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filterPrivacy="1"/>
  <xr:revisionPtr revIDLastSave="0" documentId="13_ncr:1_{20D5E43D-0A48-4A0D-8DE6-504DED380A0F}" xr6:coauthVersionLast="44" xr6:coauthVersionMax="44" xr10:uidLastSave="{00000000-0000-0000-0000-000000000000}"/>
  <bookViews>
    <workbookView minimized="1" xWindow="30" yWindow="0" windowWidth="20460" windowHeight="10920" activeTab="3" xr2:uid="{00000000-000D-0000-FFFF-FFFF00000000}"/>
  </bookViews>
  <sheets>
    <sheet name="Notes" sheetId="1" r:id="rId1"/>
    <sheet name="Sets" sheetId="3" r:id="rId2"/>
    <sheet name="SAM" sheetId="4" r:id="rId3"/>
    <sheet name="a" sheetId="14" r:id="rId4"/>
    <sheet name="a_1" sheetId="9" r:id="rId5"/>
    <sheet name="b,c_1" sheetId="15" r:id="rId6"/>
    <sheet name="d,e,f,h" sheetId="16" r:id="rId7"/>
    <sheet name="i,j,k,l" sheetId="12" r:id="rId8"/>
    <sheet name="m,n,o_1" sheetId="18" r:id="rId9"/>
    <sheet name="Index" sheetId="2" state="hidden" r:id="rId10"/>
    <sheet name="NST" sheetId="8" state="hidden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6" i="14" l="1"/>
  <c r="E5" i="14"/>
  <c r="J12" i="12" l="1"/>
  <c r="J11" i="12"/>
  <c r="L12" i="12" l="1"/>
  <c r="D33" i="18"/>
  <c r="P19" i="18"/>
  <c r="O19" i="18"/>
  <c r="N19" i="18"/>
  <c r="M19" i="18"/>
  <c r="L19" i="18"/>
  <c r="J19" i="18"/>
  <c r="H19" i="18"/>
  <c r="G19" i="18"/>
  <c r="F19" i="18"/>
  <c r="T19" i="18" s="1"/>
  <c r="T18" i="18"/>
  <c r="R18" i="18"/>
  <c r="Q18" i="18"/>
  <c r="P18" i="18"/>
  <c r="O18" i="18"/>
  <c r="N18" i="18"/>
  <c r="M18" i="18"/>
  <c r="R17" i="18"/>
  <c r="P17" i="18"/>
  <c r="O17" i="18"/>
  <c r="N17" i="18"/>
  <c r="M17" i="18"/>
  <c r="L17" i="18"/>
  <c r="H17" i="18"/>
  <c r="G17" i="18"/>
  <c r="F17" i="18"/>
  <c r="T17" i="18" s="1"/>
  <c r="R16" i="18"/>
  <c r="P16" i="18"/>
  <c r="P22" i="18" s="1"/>
  <c r="M16" i="18"/>
  <c r="L16" i="18"/>
  <c r="T16" i="18" s="1"/>
  <c r="K16" i="18"/>
  <c r="J16" i="18"/>
  <c r="T15" i="18"/>
  <c r="R15" i="18"/>
  <c r="P15" i="18"/>
  <c r="M15" i="18"/>
  <c r="M22" i="18" s="1"/>
  <c r="L15" i="18"/>
  <c r="L22" i="18" s="1"/>
  <c r="K15" i="18"/>
  <c r="K22" i="18" s="1"/>
  <c r="J15" i="18"/>
  <c r="J22" i="18" s="1"/>
  <c r="R14" i="18"/>
  <c r="P14" i="18"/>
  <c r="T14" i="18" s="1"/>
  <c r="L14" i="18"/>
  <c r="R13" i="18"/>
  <c r="T13" i="18" s="1"/>
  <c r="E13" i="18"/>
  <c r="D13" i="18"/>
  <c r="C13" i="18"/>
  <c r="T12" i="18"/>
  <c r="R12" i="18"/>
  <c r="C12" i="18"/>
  <c r="R11" i="18"/>
  <c r="T11" i="18" s="1"/>
  <c r="E11" i="18"/>
  <c r="E33" i="18" s="1"/>
  <c r="D11" i="18"/>
  <c r="D37" i="18" s="1"/>
  <c r="D38" i="18" s="1"/>
  <c r="C11" i="18"/>
  <c r="C33" i="18" s="1"/>
  <c r="T10" i="18"/>
  <c r="H10" i="18"/>
  <c r="G10" i="18"/>
  <c r="F10" i="18"/>
  <c r="R9" i="18"/>
  <c r="C45" i="18" s="1"/>
  <c r="Q9" i="18"/>
  <c r="P9" i="18"/>
  <c r="O9" i="18"/>
  <c r="N9" i="18"/>
  <c r="I9" i="18"/>
  <c r="I22" i="18" s="1"/>
  <c r="E9" i="18"/>
  <c r="D9" i="18"/>
  <c r="T9" i="18" s="1"/>
  <c r="C9" i="18"/>
  <c r="R8" i="18"/>
  <c r="C44" i="18" s="1"/>
  <c r="Q8" i="18"/>
  <c r="O8" i="18"/>
  <c r="N8" i="18"/>
  <c r="E8" i="18"/>
  <c r="D8" i="18"/>
  <c r="C8" i="18"/>
  <c r="T8" i="18" s="1"/>
  <c r="R7" i="18"/>
  <c r="R22" i="18" s="1"/>
  <c r="Q7" i="18"/>
  <c r="Q22" i="18" s="1"/>
  <c r="O7" i="18"/>
  <c r="N7" i="18"/>
  <c r="E7" i="18"/>
  <c r="E22" i="18" s="1"/>
  <c r="D7" i="18"/>
  <c r="D22" i="18" s="1"/>
  <c r="C7" i="18"/>
  <c r="C22" i="18" s="1"/>
  <c r="H6" i="18"/>
  <c r="G6" i="18"/>
  <c r="F6" i="18"/>
  <c r="T6" i="18" s="1"/>
  <c r="H5" i="18"/>
  <c r="G5" i="18"/>
  <c r="F5" i="18"/>
  <c r="T5" i="18" s="1"/>
  <c r="O4" i="18"/>
  <c r="O22" i="18" s="1"/>
  <c r="N4" i="18"/>
  <c r="N22" i="18" s="1"/>
  <c r="H4" i="18"/>
  <c r="H22" i="18" s="1"/>
  <c r="G4" i="18"/>
  <c r="G22" i="18" s="1"/>
  <c r="F4" i="18"/>
  <c r="F22" i="18" s="1"/>
  <c r="P38" i="16"/>
  <c r="I38" i="16"/>
  <c r="H38" i="16"/>
  <c r="P37" i="16"/>
  <c r="P39" i="16" s="1"/>
  <c r="O37" i="16"/>
  <c r="H37" i="16"/>
  <c r="H39" i="16" s="1"/>
  <c r="G37" i="16"/>
  <c r="G39" i="16" s="1"/>
  <c r="C33" i="16"/>
  <c r="D31" i="16"/>
  <c r="C31" i="16"/>
  <c r="B31" i="16"/>
  <c r="F31" i="16" s="1"/>
  <c r="D30" i="16"/>
  <c r="C30" i="16"/>
  <c r="B30" i="16"/>
  <c r="F30" i="16" s="1"/>
  <c r="D29" i="16"/>
  <c r="C29" i="16"/>
  <c r="B29" i="16"/>
  <c r="F29" i="16" s="1"/>
  <c r="D28" i="16"/>
  <c r="C28" i="16"/>
  <c r="B28" i="16"/>
  <c r="F28" i="16" s="1"/>
  <c r="D27" i="16"/>
  <c r="C27" i="16"/>
  <c r="B27" i="16"/>
  <c r="F27" i="16" s="1"/>
  <c r="D26" i="16"/>
  <c r="C26" i="16"/>
  <c r="B26" i="16"/>
  <c r="F26" i="16" s="1"/>
  <c r="D25" i="16"/>
  <c r="C25" i="16"/>
  <c r="B25" i="16"/>
  <c r="F25" i="16" s="1"/>
  <c r="D24" i="16"/>
  <c r="C24" i="16"/>
  <c r="B24" i="16"/>
  <c r="F24" i="16" s="1"/>
  <c r="D23" i="16"/>
  <c r="C23" i="16"/>
  <c r="B23" i="16"/>
  <c r="F23" i="16" s="1"/>
  <c r="D22" i="16"/>
  <c r="C22" i="16"/>
  <c r="B22" i="16"/>
  <c r="F22" i="16" s="1"/>
  <c r="D21" i="16"/>
  <c r="C21" i="16"/>
  <c r="B21" i="16"/>
  <c r="F21" i="16" s="1"/>
  <c r="D20" i="16"/>
  <c r="C20" i="16"/>
  <c r="B20" i="16"/>
  <c r="F20" i="16" s="1"/>
  <c r="D19" i="16"/>
  <c r="C19" i="16"/>
  <c r="B19" i="16"/>
  <c r="F19" i="16" s="1"/>
  <c r="D18" i="16"/>
  <c r="D33" i="16" s="1"/>
  <c r="C18" i="16"/>
  <c r="B18" i="16"/>
  <c r="B33" i="16" s="1"/>
  <c r="D17" i="16"/>
  <c r="C17" i="16"/>
  <c r="B17" i="16"/>
  <c r="F17" i="16" s="1"/>
  <c r="P13" i="16"/>
  <c r="O13" i="16"/>
  <c r="N13" i="16"/>
  <c r="M13" i="16"/>
  <c r="L13" i="16"/>
  <c r="K13" i="16"/>
  <c r="J13" i="16"/>
  <c r="I13" i="16"/>
  <c r="H13" i="16"/>
  <c r="G13" i="16"/>
  <c r="F13" i="16"/>
  <c r="E13" i="16"/>
  <c r="D13" i="16"/>
  <c r="C13" i="16"/>
  <c r="B13" i="16"/>
  <c r="P4" i="16"/>
  <c r="O4" i="16"/>
  <c r="O38" i="16" s="1"/>
  <c r="N4" i="16"/>
  <c r="N38" i="16" s="1"/>
  <c r="M4" i="16"/>
  <c r="M38" i="16" s="1"/>
  <c r="L4" i="16"/>
  <c r="L38" i="16" s="1"/>
  <c r="K4" i="16"/>
  <c r="K38" i="16" s="1"/>
  <c r="J4" i="16"/>
  <c r="J38" i="16" s="1"/>
  <c r="I4" i="16"/>
  <c r="H4" i="16"/>
  <c r="G4" i="16"/>
  <c r="G38" i="16" s="1"/>
  <c r="F4" i="16"/>
  <c r="F38" i="16" s="1"/>
  <c r="E4" i="16"/>
  <c r="E38" i="16" s="1"/>
  <c r="D4" i="16"/>
  <c r="D38" i="16" s="1"/>
  <c r="C4" i="16"/>
  <c r="C38" i="16" s="1"/>
  <c r="B4" i="16"/>
  <c r="R4" i="16" s="1"/>
  <c r="P3" i="16"/>
  <c r="P6" i="16" s="1"/>
  <c r="O3" i="16"/>
  <c r="O6" i="16" s="1"/>
  <c r="N3" i="16"/>
  <c r="N37" i="16" s="1"/>
  <c r="M3" i="16"/>
  <c r="M6" i="16" s="1"/>
  <c r="L3" i="16"/>
  <c r="L6" i="16" s="1"/>
  <c r="K3" i="16"/>
  <c r="K6" i="16" s="1"/>
  <c r="J3" i="16"/>
  <c r="J6" i="16" s="1"/>
  <c r="I3" i="16"/>
  <c r="I6" i="16" s="1"/>
  <c r="H3" i="16"/>
  <c r="H6" i="16" s="1"/>
  <c r="G3" i="16"/>
  <c r="G6" i="16" s="1"/>
  <c r="F3" i="16"/>
  <c r="F37" i="16" s="1"/>
  <c r="E3" i="16"/>
  <c r="E6" i="16" s="1"/>
  <c r="D3" i="16"/>
  <c r="D6" i="16" s="1"/>
  <c r="C3" i="16"/>
  <c r="C6" i="16" s="1"/>
  <c r="B3" i="16"/>
  <c r="B6" i="16" s="1"/>
  <c r="BW3" i="15"/>
  <c r="BV3" i="15"/>
  <c r="BU3" i="15"/>
  <c r="BT3" i="15"/>
  <c r="BS3" i="15"/>
  <c r="BR3" i="15"/>
  <c r="BQ3" i="15"/>
  <c r="BP3" i="15"/>
  <c r="BO3" i="15"/>
  <c r="BN3" i="15"/>
  <c r="BM3" i="15"/>
  <c r="BL3" i="15"/>
  <c r="BK3" i="15"/>
  <c r="BJ3" i="15"/>
  <c r="BI3" i="15"/>
  <c r="BH3" i="15"/>
  <c r="BG3" i="15"/>
  <c r="BF3" i="15"/>
  <c r="BE3" i="15"/>
  <c r="BD3" i="15"/>
  <c r="BC3" i="15"/>
  <c r="BB3" i="15"/>
  <c r="BA3" i="15"/>
  <c r="AZ3" i="15"/>
  <c r="AY3" i="15"/>
  <c r="AX3" i="15"/>
  <c r="AW3" i="15"/>
  <c r="AV3" i="15"/>
  <c r="AU3" i="15"/>
  <c r="AT3" i="15"/>
  <c r="AS3" i="15"/>
  <c r="AR3" i="15"/>
  <c r="AQ3" i="15"/>
  <c r="AP3" i="15"/>
  <c r="AO3" i="15"/>
  <c r="AN3" i="15"/>
  <c r="AM3" i="15"/>
  <c r="AL3" i="15"/>
  <c r="AK3" i="15"/>
  <c r="AJ3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W2" i="15"/>
  <c r="BV2" i="15"/>
  <c r="BU2" i="15"/>
  <c r="BT2" i="15"/>
  <c r="BS2" i="15"/>
  <c r="BR2" i="15"/>
  <c r="BQ2" i="15"/>
  <c r="BP2" i="15"/>
  <c r="BO2" i="15"/>
  <c r="BN2" i="15"/>
  <c r="BM2" i="15"/>
  <c r="BL2" i="15"/>
  <c r="BK2" i="15"/>
  <c r="BJ2" i="15"/>
  <c r="BI2" i="15"/>
  <c r="BH2" i="15"/>
  <c r="BG2" i="15"/>
  <c r="BF2" i="15"/>
  <c r="BE2" i="15"/>
  <c r="BD2" i="15"/>
  <c r="BC2" i="15"/>
  <c r="BB2" i="15"/>
  <c r="BA2" i="15"/>
  <c r="AZ2" i="15"/>
  <c r="AY2" i="15"/>
  <c r="AX2" i="15"/>
  <c r="AW2" i="15"/>
  <c r="AV2" i="15"/>
  <c r="AU2" i="15"/>
  <c r="AT2" i="15"/>
  <c r="AS2" i="15"/>
  <c r="AR2" i="15"/>
  <c r="AQ2" i="15"/>
  <c r="AP2" i="15"/>
  <c r="AO2" i="15"/>
  <c r="AN2" i="15"/>
  <c r="AM2" i="15"/>
  <c r="AL2" i="15"/>
  <c r="AK2" i="15"/>
  <c r="AJ2" i="15"/>
  <c r="AI2" i="15"/>
  <c r="AH2" i="15"/>
  <c r="AG2" i="15"/>
  <c r="AF2" i="15"/>
  <c r="AE2" i="15"/>
  <c r="AD2" i="15"/>
  <c r="AC2" i="15"/>
  <c r="AB2" i="15"/>
  <c r="AA2" i="15"/>
  <c r="Z2" i="15"/>
  <c r="Y2" i="15"/>
  <c r="X2" i="15"/>
  <c r="W2" i="15"/>
  <c r="V2" i="15"/>
  <c r="U2" i="15"/>
  <c r="T2" i="15"/>
  <c r="S2" i="15"/>
  <c r="R2" i="15"/>
  <c r="Q2" i="15"/>
  <c r="P2" i="15"/>
  <c r="O2" i="15"/>
  <c r="N2" i="15"/>
  <c r="M2" i="15"/>
  <c r="L2" i="15"/>
  <c r="K2" i="15"/>
  <c r="J2" i="15"/>
  <c r="I2" i="15"/>
  <c r="H2" i="15"/>
  <c r="G2" i="15"/>
  <c r="F2" i="15"/>
  <c r="E2" i="15"/>
  <c r="D2" i="15"/>
  <c r="C2" i="15"/>
  <c r="J16" i="14"/>
  <c r="O15" i="14"/>
  <c r="O14" i="14"/>
  <c r="O13" i="14"/>
  <c r="H16" i="14"/>
  <c r="O12" i="14"/>
  <c r="I16" i="14"/>
  <c r="O10" i="14"/>
  <c r="O9" i="14"/>
  <c r="O8" i="14"/>
  <c r="O7" i="14"/>
  <c r="N16" i="14"/>
  <c r="M16" i="14"/>
  <c r="L16" i="14"/>
  <c r="F16" i="14"/>
  <c r="D16" i="14"/>
  <c r="K16" i="14"/>
  <c r="E16" i="14"/>
  <c r="C29" i="18" l="1"/>
  <c r="D29" i="18"/>
  <c r="G33" i="18"/>
  <c r="D34" i="18" s="1"/>
  <c r="E29" i="18"/>
  <c r="C43" i="18"/>
  <c r="T4" i="18"/>
  <c r="T7" i="18"/>
  <c r="C37" i="18"/>
  <c r="E37" i="18"/>
  <c r="E38" i="18" s="1"/>
  <c r="F39" i="16"/>
  <c r="N39" i="16"/>
  <c r="O39" i="16"/>
  <c r="F33" i="16"/>
  <c r="F18" i="16"/>
  <c r="I37" i="16"/>
  <c r="I39" i="16" s="1"/>
  <c r="B38" i="16"/>
  <c r="N6" i="16"/>
  <c r="R3" i="16"/>
  <c r="R6" i="16" s="1"/>
  <c r="B37" i="16"/>
  <c r="J37" i="16"/>
  <c r="J39" i="16" s="1"/>
  <c r="C37" i="16"/>
  <c r="C39" i="16" s="1"/>
  <c r="K37" i="16"/>
  <c r="K39" i="16" s="1"/>
  <c r="D37" i="16"/>
  <c r="D39" i="16" s="1"/>
  <c r="L37" i="16"/>
  <c r="L39" i="16" s="1"/>
  <c r="F6" i="16"/>
  <c r="E37" i="16"/>
  <c r="E39" i="16" s="1"/>
  <c r="M37" i="16"/>
  <c r="M39" i="16" s="1"/>
  <c r="O11" i="14"/>
  <c r="O6" i="14"/>
  <c r="O5" i="14"/>
  <c r="G16" i="14"/>
  <c r="O16" i="14" s="1"/>
  <c r="H5" i="12"/>
  <c r="H4" i="12"/>
  <c r="D3" i="12"/>
  <c r="D2" i="12"/>
  <c r="I13" i="9"/>
  <c r="I16" i="9" s="1"/>
  <c r="L6" i="9"/>
  <c r="O6" i="9" s="1"/>
  <c r="L13" i="9"/>
  <c r="L15" i="9"/>
  <c r="L11" i="9"/>
  <c r="K15" i="9"/>
  <c r="K14" i="9"/>
  <c r="K13" i="9"/>
  <c r="J14" i="9"/>
  <c r="J13" i="9"/>
  <c r="J12" i="9"/>
  <c r="G12" i="9"/>
  <c r="O12" i="9" s="1"/>
  <c r="E16" i="9"/>
  <c r="F16" i="9"/>
  <c r="H16" i="9"/>
  <c r="M16" i="9"/>
  <c r="N16" i="9"/>
  <c r="D16" i="9"/>
  <c r="O7" i="9"/>
  <c r="O8" i="9"/>
  <c r="O9" i="9"/>
  <c r="O10" i="9"/>
  <c r="O5" i="9"/>
  <c r="J15" i="9"/>
  <c r="G15" i="9"/>
  <c r="I15" i="9"/>
  <c r="N14" i="9"/>
  <c r="L14" i="9"/>
  <c r="N13" i="9"/>
  <c r="N12" i="9"/>
  <c r="L12" i="9"/>
  <c r="I12" i="9"/>
  <c r="H12" i="9"/>
  <c r="N11" i="9"/>
  <c r="I11" i="9"/>
  <c r="N10" i="9"/>
  <c r="N8" i="9"/>
  <c r="N6" i="9"/>
  <c r="M6" i="9"/>
  <c r="K5" i="9"/>
  <c r="K6" i="9"/>
  <c r="F6" i="9"/>
  <c r="E13" i="9"/>
  <c r="E15" i="9"/>
  <c r="D10" i="9"/>
  <c r="D9" i="9"/>
  <c r="D8" i="9"/>
  <c r="E7" i="9"/>
  <c r="D6" i="9"/>
  <c r="E5" i="9"/>
  <c r="BD8" i="12" l="1"/>
  <c r="H8" i="12"/>
  <c r="C34" i="18"/>
  <c r="G29" i="18"/>
  <c r="C30" i="18"/>
  <c r="C38" i="18"/>
  <c r="G37" i="18"/>
  <c r="E30" i="18"/>
  <c r="C24" i="18" a="1"/>
  <c r="E34" i="18"/>
  <c r="C46" i="18"/>
  <c r="D43" i="18"/>
  <c r="D30" i="18"/>
  <c r="BT8" i="12"/>
  <c r="AN8" i="12"/>
  <c r="I4" i="12"/>
  <c r="AU8" i="12"/>
  <c r="O8" i="12"/>
  <c r="BZ8" i="12"/>
  <c r="BR8" i="12"/>
  <c r="BB8" i="12"/>
  <c r="AT8" i="12"/>
  <c r="AL8" i="12"/>
  <c r="V8" i="12"/>
  <c r="N8" i="12"/>
  <c r="CG8" i="12"/>
  <c r="BY8" i="12"/>
  <c r="BQ8" i="12"/>
  <c r="BI8" i="12"/>
  <c r="BA8" i="12"/>
  <c r="AS8" i="12"/>
  <c r="AK8" i="12"/>
  <c r="AC8" i="12"/>
  <c r="U8" i="12"/>
  <c r="M8" i="12"/>
  <c r="BL8" i="12"/>
  <c r="AF8" i="12"/>
  <c r="BS8" i="12"/>
  <c r="AM8" i="12"/>
  <c r="BJ8" i="12"/>
  <c r="AD8" i="12"/>
  <c r="CF8" i="12"/>
  <c r="BX8" i="12"/>
  <c r="BP8" i="12"/>
  <c r="BH8" i="12"/>
  <c r="AZ8" i="12"/>
  <c r="AR8" i="12"/>
  <c r="AJ8" i="12"/>
  <c r="AB8" i="12"/>
  <c r="T8" i="12"/>
  <c r="L8" i="12"/>
  <c r="P8" i="12"/>
  <c r="CB8" i="12"/>
  <c r="X8" i="12"/>
  <c r="CA8" i="12"/>
  <c r="BC8" i="12"/>
  <c r="AE8" i="12"/>
  <c r="CE8" i="12"/>
  <c r="BO8" i="12"/>
  <c r="AY8" i="12"/>
  <c r="AI8" i="12"/>
  <c r="S8" i="12"/>
  <c r="K8" i="12"/>
  <c r="CD8" i="12"/>
  <c r="BV8" i="12"/>
  <c r="BN8" i="12"/>
  <c r="BF8" i="12"/>
  <c r="AX8" i="12"/>
  <c r="AP8" i="12"/>
  <c r="AH8" i="12"/>
  <c r="Z8" i="12"/>
  <c r="R8" i="12"/>
  <c r="J8" i="12"/>
  <c r="AV8" i="12"/>
  <c r="BK8" i="12"/>
  <c r="W8" i="12"/>
  <c r="BW8" i="12"/>
  <c r="BG8" i="12"/>
  <c r="AQ8" i="12"/>
  <c r="AA8" i="12"/>
  <c r="CC8" i="12"/>
  <c r="BU8" i="12"/>
  <c r="BM8" i="12"/>
  <c r="BE8" i="12"/>
  <c r="AW8" i="12"/>
  <c r="AO8" i="12"/>
  <c r="AG8" i="12"/>
  <c r="Y8" i="12"/>
  <c r="Q8" i="12"/>
  <c r="I8" i="12"/>
  <c r="E2" i="12"/>
  <c r="B39" i="16"/>
  <c r="D18" i="14" a="1"/>
  <c r="O15" i="9"/>
  <c r="L16" i="9"/>
  <c r="O11" i="9"/>
  <c r="K16" i="9"/>
  <c r="O14" i="9"/>
  <c r="O13" i="9"/>
  <c r="J16" i="9"/>
  <c r="G16" i="9"/>
  <c r="A1" i="4"/>
  <c r="A1" i="1"/>
  <c r="N24" i="18" l="1"/>
  <c r="N26" i="18" s="1"/>
  <c r="F24" i="18"/>
  <c r="F26" i="18" s="1"/>
  <c r="M24" i="18"/>
  <c r="M26" i="18" s="1"/>
  <c r="E24" i="18"/>
  <c r="E26" i="18" s="1"/>
  <c r="L24" i="18"/>
  <c r="L26" i="18" s="1"/>
  <c r="D24" i="18"/>
  <c r="D26" i="18" s="1"/>
  <c r="K24" i="18"/>
  <c r="K26" i="18" s="1"/>
  <c r="C24" i="18"/>
  <c r="C26" i="18" s="1"/>
  <c r="R24" i="18"/>
  <c r="R26" i="18" s="1"/>
  <c r="J24" i="18"/>
  <c r="J26" i="18" s="1"/>
  <c r="Q24" i="18"/>
  <c r="Q26" i="18" s="1"/>
  <c r="I24" i="18"/>
  <c r="I26" i="18" s="1"/>
  <c r="O24" i="18"/>
  <c r="O26" i="18" s="1"/>
  <c r="G24" i="18"/>
  <c r="G26" i="18" s="1"/>
  <c r="P24" i="18"/>
  <c r="P26" i="18" s="1"/>
  <c r="H24" i="18"/>
  <c r="H26" i="18" s="1"/>
  <c r="D45" i="18"/>
  <c r="D44" i="18"/>
  <c r="K18" i="14"/>
  <c r="K20" i="14" s="1"/>
  <c r="J18" i="14"/>
  <c r="J20" i="14" s="1"/>
  <c r="I18" i="14"/>
  <c r="I20" i="14" s="1"/>
  <c r="H18" i="14"/>
  <c r="H20" i="14" s="1"/>
  <c r="O18" i="14"/>
  <c r="O20" i="14" s="1"/>
  <c r="G18" i="14"/>
  <c r="G20" i="14" s="1"/>
  <c r="N18" i="14"/>
  <c r="N20" i="14" s="1"/>
  <c r="F18" i="14"/>
  <c r="F20" i="14" s="1"/>
  <c r="M18" i="14"/>
  <c r="M20" i="14" s="1"/>
  <c r="E18" i="14"/>
  <c r="E20" i="14" s="1"/>
  <c r="L18" i="14"/>
  <c r="L20" i="14" s="1"/>
  <c r="D18" i="14"/>
  <c r="D20" i="14" s="1"/>
  <c r="O16" i="9"/>
  <c r="D18" i="9" l="1" a="1"/>
  <c r="E18" i="9" l="1"/>
  <c r="E20" i="9" s="1"/>
  <c r="F18" i="9"/>
  <c r="F20" i="9" s="1"/>
  <c r="J18" i="9"/>
  <c r="J20" i="9" s="1"/>
  <c r="D18" i="9"/>
  <c r="D20" i="9" s="1"/>
  <c r="G18" i="9"/>
  <c r="G20" i="9" s="1"/>
  <c r="I18" i="9"/>
  <c r="I20" i="9" s="1"/>
  <c r="K18" i="9"/>
  <c r="K20" i="9" s="1"/>
  <c r="M18" i="9"/>
  <c r="M20" i="9" s="1"/>
  <c r="H18" i="9"/>
  <c r="H20" i="9" s="1"/>
  <c r="O18" i="9"/>
  <c r="O20" i="9" s="1"/>
  <c r="N18" i="9"/>
  <c r="N20" i="9" s="1"/>
  <c r="L18" i="9"/>
  <c r="L20" i="9" s="1"/>
</calcChain>
</file>

<file path=xl/sharedStrings.xml><?xml version="1.0" encoding="utf-8"?>
<sst xmlns="http://schemas.openxmlformats.org/spreadsheetml/2006/main" count="2229" uniqueCount="578">
  <si>
    <t>amaiz</t>
  </si>
  <si>
    <t>asorg</t>
  </si>
  <si>
    <t>arice</t>
  </si>
  <si>
    <t>awhea</t>
  </si>
  <si>
    <t>apuls</t>
  </si>
  <si>
    <t>agnut</t>
  </si>
  <si>
    <t>aoils</t>
  </si>
  <si>
    <t>acass</t>
  </si>
  <si>
    <t>aipot</t>
  </si>
  <si>
    <t>aspot</t>
  </si>
  <si>
    <t>aroot</t>
  </si>
  <si>
    <t>aleaf</t>
  </si>
  <si>
    <t>avege</t>
  </si>
  <si>
    <t>asugr</t>
  </si>
  <si>
    <t>atoba</t>
  </si>
  <si>
    <t>abana</t>
  </si>
  <si>
    <t>afrui</t>
  </si>
  <si>
    <t>ateal</t>
  </si>
  <si>
    <t>acoff</t>
  </si>
  <si>
    <t>aocrp</t>
  </si>
  <si>
    <t>acatt</t>
  </si>
  <si>
    <t>amilk</t>
  </si>
  <si>
    <t>apoul</t>
  </si>
  <si>
    <t>aeggs</t>
  </si>
  <si>
    <t>asmlr</t>
  </si>
  <si>
    <t>aoliv</t>
  </si>
  <si>
    <t>afore</t>
  </si>
  <si>
    <t>aaqua</t>
  </si>
  <si>
    <t>afish</t>
  </si>
  <si>
    <t>aomin</t>
  </si>
  <si>
    <t>ameat</t>
  </si>
  <si>
    <t>adair</t>
  </si>
  <si>
    <t>afveg</t>
  </si>
  <si>
    <t>afoil</t>
  </si>
  <si>
    <t>ammll</t>
  </si>
  <si>
    <t>asmll</t>
  </si>
  <si>
    <t>armll</t>
  </si>
  <si>
    <t>awmll</t>
  </si>
  <si>
    <t>asref</t>
  </si>
  <si>
    <t>apcof</t>
  </si>
  <si>
    <t>aptea</t>
  </si>
  <si>
    <t>afood</t>
  </si>
  <si>
    <t>afeed</t>
  </si>
  <si>
    <t>abeve</t>
  </si>
  <si>
    <t>aptob</t>
  </si>
  <si>
    <t>atext</t>
  </si>
  <si>
    <t>aclth</t>
  </si>
  <si>
    <t>aleat</t>
  </si>
  <si>
    <t>awood</t>
  </si>
  <si>
    <t>apapr</t>
  </si>
  <si>
    <t>afert</t>
  </si>
  <si>
    <t>achem</t>
  </si>
  <si>
    <t>anmet</t>
  </si>
  <si>
    <t>ametl</t>
  </si>
  <si>
    <t>amach</t>
  </si>
  <si>
    <t>aequi</t>
  </si>
  <si>
    <t>avehi</t>
  </si>
  <si>
    <t>aoman</t>
  </si>
  <si>
    <t>aelec</t>
  </si>
  <si>
    <t>awatr</t>
  </si>
  <si>
    <t>acons</t>
  </si>
  <si>
    <t>atrad</t>
  </si>
  <si>
    <t>atran</t>
  </si>
  <si>
    <t>ahotl</t>
  </si>
  <si>
    <t>arest</t>
  </si>
  <si>
    <t>acomm</t>
  </si>
  <si>
    <t>afsrv</t>
  </si>
  <si>
    <t>areal</t>
  </si>
  <si>
    <t>absrv</t>
  </si>
  <si>
    <t>apadm</t>
  </si>
  <si>
    <t>aeduc</t>
  </si>
  <si>
    <t>aheal</t>
  </si>
  <si>
    <t>aosrv</t>
  </si>
  <si>
    <t>cmaiz</t>
  </si>
  <si>
    <t>csorg</t>
  </si>
  <si>
    <t>crice</t>
  </si>
  <si>
    <t>cwhea</t>
  </si>
  <si>
    <t>cpuls</t>
  </si>
  <si>
    <t>cgnut</t>
  </si>
  <si>
    <t>coils</t>
  </si>
  <si>
    <t>ccass</t>
  </si>
  <si>
    <t>cipot</t>
  </si>
  <si>
    <t>cspot</t>
  </si>
  <si>
    <t>croot</t>
  </si>
  <si>
    <t>cleaf</t>
  </si>
  <si>
    <t>cvege</t>
  </si>
  <si>
    <t>csugr</t>
  </si>
  <si>
    <t>ctoba</t>
  </si>
  <si>
    <t>cbana</t>
  </si>
  <si>
    <t>cfrui</t>
  </si>
  <si>
    <t>cteal</t>
  </si>
  <si>
    <t>ccoff</t>
  </si>
  <si>
    <t>cocrp</t>
  </si>
  <si>
    <t>ccatt</t>
  </si>
  <si>
    <t>cmilk</t>
  </si>
  <si>
    <t>cpoul</t>
  </si>
  <si>
    <t>ceggs</t>
  </si>
  <si>
    <t>csmlr</t>
  </si>
  <si>
    <t>coliv</t>
  </si>
  <si>
    <t>cfore</t>
  </si>
  <si>
    <t>caqua</t>
  </si>
  <si>
    <t>cfish</t>
  </si>
  <si>
    <t>ccoal</t>
  </si>
  <si>
    <t>cngas</t>
  </si>
  <si>
    <t>comin</t>
  </si>
  <si>
    <t>cmeat</t>
  </si>
  <si>
    <t>cfsea</t>
  </si>
  <si>
    <t>cdair</t>
  </si>
  <si>
    <t>cfveg</t>
  </si>
  <si>
    <t>cfoil</t>
  </si>
  <si>
    <t>cmmll</t>
  </si>
  <si>
    <t>csmll</t>
  </si>
  <si>
    <t>crmll</t>
  </si>
  <si>
    <t>cwmll</t>
  </si>
  <si>
    <t>csref</t>
  </si>
  <si>
    <t>cpcof</t>
  </si>
  <si>
    <t>cptea</t>
  </si>
  <si>
    <t>cfood</t>
  </si>
  <si>
    <t>cfeed</t>
  </si>
  <si>
    <t>cbeve</t>
  </si>
  <si>
    <t>cptob</t>
  </si>
  <si>
    <t>cyarn</t>
  </si>
  <si>
    <t>ctext</t>
  </si>
  <si>
    <t>cclth</t>
  </si>
  <si>
    <t>cleat</t>
  </si>
  <si>
    <t>cwood</t>
  </si>
  <si>
    <t>cpapr</t>
  </si>
  <si>
    <t>cpetr</t>
  </si>
  <si>
    <t>cfert</t>
  </si>
  <si>
    <t>cchem</t>
  </si>
  <si>
    <t>cnmet</t>
  </si>
  <si>
    <t>cmetl</t>
  </si>
  <si>
    <t>cmach</t>
  </si>
  <si>
    <t>cequi</t>
  </si>
  <si>
    <t>cvehi</t>
  </si>
  <si>
    <t>coman</t>
  </si>
  <si>
    <t>celec</t>
  </si>
  <si>
    <t>cwatr</t>
  </si>
  <si>
    <t>ccons</t>
  </si>
  <si>
    <t>ctrad</t>
  </si>
  <si>
    <t>ctran</t>
  </si>
  <si>
    <t>chotl</t>
  </si>
  <si>
    <t>crest</t>
  </si>
  <si>
    <t>ccomm</t>
  </si>
  <si>
    <t>cfsrv</t>
  </si>
  <si>
    <t>creal</t>
  </si>
  <si>
    <t>cbsrv</t>
  </si>
  <si>
    <t>cpadm</t>
  </si>
  <si>
    <t>ceduc</t>
  </si>
  <si>
    <t>cheal</t>
  </si>
  <si>
    <t>cosrv</t>
  </si>
  <si>
    <t>trc</t>
  </si>
  <si>
    <t>flab-rn</t>
  </si>
  <si>
    <t>flab-rp</t>
  </si>
  <si>
    <t>flab-rs</t>
  </si>
  <si>
    <t>flab-rt</t>
  </si>
  <si>
    <t>flab-un</t>
  </si>
  <si>
    <t>flab-up</t>
  </si>
  <si>
    <t>flab-us</t>
  </si>
  <si>
    <t>flab-ut</t>
  </si>
  <si>
    <t>flnd</t>
  </si>
  <si>
    <t>fcap-c</t>
  </si>
  <si>
    <t>fcap-l</t>
  </si>
  <si>
    <t>fcap-m</t>
  </si>
  <si>
    <t>fcap-n</t>
  </si>
  <si>
    <t>ent</t>
  </si>
  <si>
    <t>hhd-f1</t>
  </si>
  <si>
    <t>hhd-f2</t>
  </si>
  <si>
    <t>hhd-f3</t>
  </si>
  <si>
    <t>hhd-f4</t>
  </si>
  <si>
    <t>hhd-f5</t>
  </si>
  <si>
    <t>hhd-n1</t>
  </si>
  <si>
    <t>hhd-n2</t>
  </si>
  <si>
    <t>hhd-n3</t>
  </si>
  <si>
    <t>hhd-n4</t>
  </si>
  <si>
    <t>hhd-n5</t>
  </si>
  <si>
    <t>hhd-u1</t>
  </si>
  <si>
    <t>hhd-u2</t>
  </si>
  <si>
    <t>hhd-u3</t>
  </si>
  <si>
    <t>hhd-u4</t>
  </si>
  <si>
    <t>hhd-u5</t>
  </si>
  <si>
    <t>gov</t>
  </si>
  <si>
    <t>dtax</t>
  </si>
  <si>
    <t>ftax</t>
  </si>
  <si>
    <t>mtax</t>
  </si>
  <si>
    <t>stax</t>
  </si>
  <si>
    <t>s-i</t>
  </si>
  <si>
    <t>dstk</t>
  </si>
  <si>
    <t>row</t>
  </si>
  <si>
    <t>total</t>
  </si>
  <si>
    <t>Country</t>
  </si>
  <si>
    <t>Year</t>
  </si>
  <si>
    <t>Units</t>
  </si>
  <si>
    <t>Billions of Rwanda Francs</t>
  </si>
  <si>
    <t>Activities and commodities</t>
  </si>
  <si>
    <t>Factors</t>
  </si>
  <si>
    <t>Households</t>
  </si>
  <si>
    <t>Other accounts</t>
  </si>
  <si>
    <t>Maize</t>
  </si>
  <si>
    <t>Labor - rural uneducated</t>
  </si>
  <si>
    <t>Rural - farm q1</t>
  </si>
  <si>
    <t>Transaction costs</t>
  </si>
  <si>
    <t>Sorghum and millet</t>
  </si>
  <si>
    <t>Labor - rural primary</t>
  </si>
  <si>
    <t>Rural - farm q2</t>
  </si>
  <si>
    <t>Enterprises</t>
  </si>
  <si>
    <t>Rice</t>
  </si>
  <si>
    <t>Labor - rural secondary</t>
  </si>
  <si>
    <t>Rural - farm q3</t>
  </si>
  <si>
    <t>Government</t>
  </si>
  <si>
    <t>Wheat and barley</t>
  </si>
  <si>
    <t>Labor - rural tertiary</t>
  </si>
  <si>
    <t>Rural - farm q4</t>
  </si>
  <si>
    <t>atax</t>
  </si>
  <si>
    <t>Taxes - activity</t>
  </si>
  <si>
    <t>aocer</t>
  </si>
  <si>
    <t>cocer</t>
  </si>
  <si>
    <t>Other cereals</t>
  </si>
  <si>
    <t>Labor - urban uneducated</t>
  </si>
  <si>
    <t>Rural - farm q5</t>
  </si>
  <si>
    <t>Taxes - direct</t>
  </si>
  <si>
    <t>Pulses</t>
  </si>
  <si>
    <t>Labor - urban primary</t>
  </si>
  <si>
    <t>Rural - nonfarm q1</t>
  </si>
  <si>
    <t>etax</t>
  </si>
  <si>
    <t>Taxes - export</t>
  </si>
  <si>
    <t>Groundnuts</t>
  </si>
  <si>
    <t>Labor - urban secondary</t>
  </si>
  <si>
    <t>Rural - nonfarm q2</t>
  </si>
  <si>
    <t>Taxes - factor</t>
  </si>
  <si>
    <t>Other oilseeds</t>
  </si>
  <si>
    <t>Labor - urban tertiary</t>
  </si>
  <si>
    <t>Rural - nonfarm q3</t>
  </si>
  <si>
    <t>Taxes - import</t>
  </si>
  <si>
    <t>Cassava</t>
  </si>
  <si>
    <t>Crop land</t>
  </si>
  <si>
    <t>Rural - nonfarm q4</t>
  </si>
  <si>
    <t>Taxes - sales</t>
  </si>
  <si>
    <t>Irish potatoes</t>
  </si>
  <si>
    <t>Capital - crops</t>
  </si>
  <si>
    <t>Rural - nonfarm q5</t>
  </si>
  <si>
    <t>Savings-investment</t>
  </si>
  <si>
    <t>Sweet potatoes</t>
  </si>
  <si>
    <t>Capital - livestock</t>
  </si>
  <si>
    <t>Urban - q1</t>
  </si>
  <si>
    <t>Change in stocks</t>
  </si>
  <si>
    <t>Other roots</t>
  </si>
  <si>
    <t>Capital - mining</t>
  </si>
  <si>
    <t>Urban - q2</t>
  </si>
  <si>
    <t>Rest of world</t>
  </si>
  <si>
    <t>Leafy vegetables</t>
  </si>
  <si>
    <t>Capital - non-primary</t>
  </si>
  <si>
    <t>Urban - q3</t>
  </si>
  <si>
    <t>Total</t>
  </si>
  <si>
    <t>Other vegetables</t>
  </si>
  <si>
    <t>Urban - q4</t>
  </si>
  <si>
    <t>Sugarcane</t>
  </si>
  <si>
    <t>Urban - q5</t>
  </si>
  <si>
    <t>Tobacco</t>
  </si>
  <si>
    <t>acott</t>
  </si>
  <si>
    <t>ccott</t>
  </si>
  <si>
    <t>Cotton and fibres</t>
  </si>
  <si>
    <t>anuts</t>
  </si>
  <si>
    <t>cnuts</t>
  </si>
  <si>
    <t>Nuts</t>
  </si>
  <si>
    <t>Bananas and plantains</t>
  </si>
  <si>
    <t>Other fruits</t>
  </si>
  <si>
    <t>Leaf tea</t>
  </si>
  <si>
    <t>Coffee</t>
  </si>
  <si>
    <t>acoco</t>
  </si>
  <si>
    <t>ccoco</t>
  </si>
  <si>
    <t>Cocoa</t>
  </si>
  <si>
    <t>aflwr</t>
  </si>
  <si>
    <t>cflwr</t>
  </si>
  <si>
    <t>Cut flowers</t>
  </si>
  <si>
    <t>arubb</t>
  </si>
  <si>
    <t>crubb</t>
  </si>
  <si>
    <t>Rubber</t>
  </si>
  <si>
    <t>Other crops</t>
  </si>
  <si>
    <t>Cattle</t>
  </si>
  <si>
    <t>Raw milk</t>
  </si>
  <si>
    <t>Poultry</t>
  </si>
  <si>
    <t>Eggs</t>
  </si>
  <si>
    <t>Small ruminants</t>
  </si>
  <si>
    <t>Other livestock</t>
  </si>
  <si>
    <t>Forestry</t>
  </si>
  <si>
    <t>Aquaculture</t>
  </si>
  <si>
    <t>Capture fisheries</t>
  </si>
  <si>
    <t>acoal</t>
  </si>
  <si>
    <t>Coal and lignite</t>
  </si>
  <si>
    <t>acoil</t>
  </si>
  <si>
    <t>ccoil</t>
  </si>
  <si>
    <t>Crude oil</t>
  </si>
  <si>
    <t>angas</t>
  </si>
  <si>
    <t>Natural gas</t>
  </si>
  <si>
    <t>Other mining</t>
  </si>
  <si>
    <t>Meat processing</t>
  </si>
  <si>
    <t>afsea</t>
  </si>
  <si>
    <t>Fish and seafood processing</t>
  </si>
  <si>
    <t>Dairy</t>
  </si>
  <si>
    <t>Fruit and vegetable processing</t>
  </si>
  <si>
    <t>Fats and oils</t>
  </si>
  <si>
    <t>Maize milling</t>
  </si>
  <si>
    <t>Sorghum and millet milling</t>
  </si>
  <si>
    <t>Rice milling</t>
  </si>
  <si>
    <t>Wheat and barley milling</t>
  </si>
  <si>
    <t>agmll</t>
  </si>
  <si>
    <t>cgmll</t>
  </si>
  <si>
    <t>Other grain milling</t>
  </si>
  <si>
    <t>Sugar refining</t>
  </si>
  <si>
    <t>Coffee processing</t>
  </si>
  <si>
    <t>Tea processing</t>
  </si>
  <si>
    <t>Other foods</t>
  </si>
  <si>
    <t>Animal feed</t>
  </si>
  <si>
    <t>Beverages</t>
  </si>
  <si>
    <t>Tobacco processing</t>
  </si>
  <si>
    <t>ayarn</t>
  </si>
  <si>
    <t>Cotton yarn</t>
  </si>
  <si>
    <t>Textiles</t>
  </si>
  <si>
    <t>Clothing</t>
  </si>
  <si>
    <t>Leather and footwear</t>
  </si>
  <si>
    <t>Wood products</t>
  </si>
  <si>
    <t>Paper products and publishing</t>
  </si>
  <si>
    <t>apetr</t>
  </si>
  <si>
    <t>Petroleum products</t>
  </si>
  <si>
    <t>Fertilizers and herbicides</t>
  </si>
  <si>
    <t>Other chemicals</t>
  </si>
  <si>
    <t>Non-metal minerals</t>
  </si>
  <si>
    <t>Metals and metal products</t>
  </si>
  <si>
    <t>Machinery and other equipment</t>
  </si>
  <si>
    <t>Electrical equipment</t>
  </si>
  <si>
    <t>Vehicles and transport equipment</t>
  </si>
  <si>
    <t>Other manufacturing</t>
  </si>
  <si>
    <t>Electricity, gas and steam</t>
  </si>
  <si>
    <t>Water supply and sewage</t>
  </si>
  <si>
    <t>Construction</t>
  </si>
  <si>
    <t>Wholesale and retail trade</t>
  </si>
  <si>
    <t>Transportation and storage</t>
  </si>
  <si>
    <t>Accommodation</t>
  </si>
  <si>
    <t>Restaurants and food services</t>
  </si>
  <si>
    <t>Information and communication</t>
  </si>
  <si>
    <t>Finance and insurance</t>
  </si>
  <si>
    <t>Real estate activities</t>
  </si>
  <si>
    <t>Business services</t>
  </si>
  <si>
    <t>Public administration</t>
  </si>
  <si>
    <t>Education</t>
  </si>
  <si>
    <t>Health and social work</t>
  </si>
  <si>
    <t>Other services</t>
  </si>
  <si>
    <t>GDX index</t>
  </si>
  <si>
    <t>Type</t>
  </si>
  <si>
    <t>Name</t>
  </si>
  <si>
    <t>Location</t>
  </si>
  <si>
    <t>Row</t>
  </si>
  <si>
    <t>Column</t>
  </si>
  <si>
    <t>rdim</t>
  </si>
  <si>
    <t>cdim</t>
  </si>
  <si>
    <t>dset</t>
  </si>
  <si>
    <t>mac</t>
  </si>
  <si>
    <t>sets!a7</t>
  </si>
  <si>
    <t>ac</t>
  </si>
  <si>
    <t>sets!b7</t>
  </si>
  <si>
    <t>sets!c7</t>
  </si>
  <si>
    <t>a</t>
  </si>
  <si>
    <t>sets!d7</t>
  </si>
  <si>
    <t>sets!e7</t>
  </si>
  <si>
    <t>amin</t>
  </si>
  <si>
    <t>sets!f7</t>
  </si>
  <si>
    <t>c</t>
  </si>
  <si>
    <t>sets!g7</t>
  </si>
  <si>
    <t>sets!h7</t>
  </si>
  <si>
    <t>sets!i7</t>
  </si>
  <si>
    <t>sets!j7</t>
  </si>
  <si>
    <t>sets!k7</t>
  </si>
  <si>
    <t>h</t>
  </si>
  <si>
    <t>sets!l7</t>
  </si>
  <si>
    <t>t</t>
  </si>
  <si>
    <t>sets!m7</t>
  </si>
  <si>
    <t>sets!n7</t>
  </si>
  <si>
    <t>set</t>
  </si>
  <si>
    <t>sets!q7</t>
  </si>
  <si>
    <t>values=nodata</t>
  </si>
  <si>
    <t>sets!t7</t>
  </si>
  <si>
    <t>sets!w7</t>
  </si>
  <si>
    <t>par</t>
  </si>
  <si>
    <t>b</t>
  </si>
  <si>
    <t>d</t>
  </si>
  <si>
    <t>e</t>
  </si>
  <si>
    <t>f</t>
  </si>
  <si>
    <t>g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</si>
  <si>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</si>
  <si>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</si>
  <si>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</si>
  <si>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</si>
  <si>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</si>
  <si>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</si>
  <si>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</si>
  <si>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</si>
  <si>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</si>
  <si>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</si>
  <si>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</si>
  <si>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u</t>
  </si>
  <si>
    <t>v</t>
  </si>
  <si>
    <t>w</t>
  </si>
  <si>
    <t>x</t>
  </si>
  <si>
    <t>y</t>
  </si>
  <si>
    <t>z</t>
  </si>
  <si>
    <t>Activities</t>
  </si>
  <si>
    <t>Commodities</t>
  </si>
  <si>
    <t>All</t>
  </si>
  <si>
    <t>Mining</t>
  </si>
  <si>
    <t>Labor</t>
  </si>
  <si>
    <t>Land</t>
  </si>
  <si>
    <t>Capital</t>
  </si>
  <si>
    <t>MAC</t>
  </si>
  <si>
    <t>AC</t>
  </si>
  <si>
    <t>A</t>
  </si>
  <si>
    <t>AMIN</t>
  </si>
  <si>
    <t>C</t>
  </si>
  <si>
    <t>FLND</t>
  </si>
  <si>
    <t>H</t>
  </si>
  <si>
    <t>flab</t>
  </si>
  <si>
    <t>fcap</t>
  </si>
  <si>
    <t>Sets and Mappings</t>
  </si>
  <si>
    <t>aa</t>
  </si>
  <si>
    <t>ab</t>
  </si>
  <si>
    <t>Global</t>
  </si>
  <si>
    <t>Institutions</t>
  </si>
  <si>
    <t>Agric.</t>
  </si>
  <si>
    <t>Industry</t>
  </si>
  <si>
    <t>Services</t>
  </si>
  <si>
    <t>Aggregate</t>
  </si>
  <si>
    <t>Domestic</t>
  </si>
  <si>
    <t>Non-gov.</t>
  </si>
  <si>
    <t>Export</t>
  </si>
  <si>
    <t>Import</t>
  </si>
  <si>
    <t>Rural</t>
  </si>
  <si>
    <t>Urban</t>
  </si>
  <si>
    <t>AAGR</t>
  </si>
  <si>
    <t>AIND</t>
  </si>
  <si>
    <t>ASER</t>
  </si>
  <si>
    <t>CAGR</t>
  </si>
  <si>
    <t>CMIN</t>
  </si>
  <si>
    <t>CIND</t>
  </si>
  <si>
    <t>CSER</t>
  </si>
  <si>
    <t>F</t>
  </si>
  <si>
    <t>FA</t>
  </si>
  <si>
    <t>FLAB</t>
  </si>
  <si>
    <t>FCAP</t>
  </si>
  <si>
    <t>INS</t>
  </si>
  <si>
    <t>INSD</t>
  </si>
  <si>
    <t>INSDNG</t>
  </si>
  <si>
    <t>EN</t>
  </si>
  <si>
    <t>HRUR</t>
  </si>
  <si>
    <t>HURB</t>
  </si>
  <si>
    <t>CTD</t>
  </si>
  <si>
    <t>CTE</t>
  </si>
  <si>
    <t>CTM</t>
  </si>
  <si>
    <t>trd</t>
  </si>
  <si>
    <t>tre</t>
  </si>
  <si>
    <t>trm</t>
  </si>
  <si>
    <t>trncstdom</t>
  </si>
  <si>
    <t>trncstexp</t>
  </si>
  <si>
    <t>trncstimp</t>
  </si>
  <si>
    <t>instax</t>
  </si>
  <si>
    <t>factax</t>
  </si>
  <si>
    <t>imptax</t>
  </si>
  <si>
    <t>exptax</t>
  </si>
  <si>
    <t>vatax</t>
  </si>
  <si>
    <t>acttax</t>
  </si>
  <si>
    <t>comtax</t>
  </si>
  <si>
    <t>dum</t>
  </si>
  <si>
    <t>Mapping: Activities-Commodities</t>
  </si>
  <si>
    <t>Nested Labor Market Structure</t>
  </si>
  <si>
    <t>[all factors (F) x aggregate factors (FAGG)]</t>
  </si>
  <si>
    <t>Only relate each aggregate factor to the factor beneath it in the nest.</t>
  </si>
  <si>
    <t>Number nested layers in order staring with 1</t>
  </si>
  <si>
    <t>Factor nesting</t>
  </si>
  <si>
    <t>Hierarchical relationship between factors at different layers of the nest</t>
  </si>
  <si>
    <t>aagr</t>
  </si>
  <si>
    <t>aind</t>
  </si>
  <si>
    <t>aser</t>
  </si>
  <si>
    <t>cagr</t>
  </si>
  <si>
    <t>cmin</t>
  </si>
  <si>
    <t>cind</t>
  </si>
  <si>
    <t>cser</t>
  </si>
  <si>
    <t>fa</t>
  </si>
  <si>
    <t>sets!o7</t>
  </si>
  <si>
    <t>sets!p7</t>
  </si>
  <si>
    <t>ins</t>
  </si>
  <si>
    <t>insd</t>
  </si>
  <si>
    <t>sets!r7</t>
  </si>
  <si>
    <t>insdng</t>
  </si>
  <si>
    <t>sets!s7</t>
  </si>
  <si>
    <t>en</t>
  </si>
  <si>
    <t>sets!u7</t>
  </si>
  <si>
    <t>hrur</t>
  </si>
  <si>
    <t>sets!v7</t>
  </si>
  <si>
    <t>hurb</t>
  </si>
  <si>
    <t>ctd</t>
  </si>
  <si>
    <t>sets!x7</t>
  </si>
  <si>
    <t>cte</t>
  </si>
  <si>
    <t>sets!y7</t>
  </si>
  <si>
    <t>ctm</t>
  </si>
  <si>
    <t>sets!z7</t>
  </si>
  <si>
    <t>sets!ab7</t>
  </si>
  <si>
    <t>sam</t>
  </si>
  <si>
    <t>sam!a7</t>
  </si>
  <si>
    <t>leselas1</t>
  </si>
  <si>
    <t>tradelas</t>
  </si>
  <si>
    <t>prodelastab</t>
  </si>
  <si>
    <t>al</t>
  </si>
  <si>
    <t>mala</t>
  </si>
  <si>
    <t>qfinput</t>
  </si>
  <si>
    <t>wfinput</t>
  </si>
  <si>
    <t>facnest</t>
  </si>
  <si>
    <t>inc!a7</t>
  </si>
  <si>
    <t>trd!a7</t>
  </si>
  <si>
    <t>trd!e7</t>
  </si>
  <si>
    <t>emp!a7</t>
  </si>
  <si>
    <t>emp!c7</t>
  </si>
  <si>
    <t>nst!a7</t>
  </si>
  <si>
    <t>ad</t>
  </si>
  <si>
    <t>emp!h6</t>
  </si>
  <si>
    <t>emp!m6</t>
  </si>
  <si>
    <t>Margins</t>
  </si>
  <si>
    <t>Savings</t>
  </si>
  <si>
    <t>VA share</t>
  </si>
  <si>
    <t>Food</t>
  </si>
  <si>
    <t xml:space="preserve">e) </t>
  </si>
  <si>
    <t>eduction, health, and public adminstration</t>
  </si>
  <si>
    <t>f)</t>
  </si>
  <si>
    <t>tax</t>
  </si>
  <si>
    <t>g)</t>
  </si>
  <si>
    <t>lab</t>
  </si>
  <si>
    <t>n-lab</t>
  </si>
  <si>
    <t>total inc</t>
  </si>
  <si>
    <t>labor income share</t>
  </si>
  <si>
    <t>h)</t>
  </si>
  <si>
    <t xml:space="preserve">Food  </t>
  </si>
  <si>
    <t>=&gt;&gt;&gt; Rural hosueholds tend to spend most of their income on food.</t>
  </si>
  <si>
    <t>Agric export</t>
  </si>
  <si>
    <t>Food&amp;Agric</t>
  </si>
  <si>
    <t>Share</t>
  </si>
  <si>
    <t>i)</t>
  </si>
  <si>
    <t>j)</t>
  </si>
  <si>
    <t>k)</t>
  </si>
  <si>
    <t>==&gt;&gt;&gt;Transport is the single most important import commodity with a 13% share.</t>
  </si>
  <si>
    <t>l)</t>
  </si>
  <si>
    <t>Total import of F&amp;A</t>
  </si>
  <si>
    <t>Total export of F&amp;A</t>
  </si>
  <si>
    <t>asrv</t>
  </si>
  <si>
    <t>csrv</t>
  </si>
  <si>
    <t>land</t>
  </si>
  <si>
    <t>cap</t>
  </si>
  <si>
    <t>m)</t>
  </si>
  <si>
    <t>n)</t>
  </si>
  <si>
    <t>Gross Q</t>
  </si>
  <si>
    <t>GDP at FC</t>
  </si>
  <si>
    <t>Lab in GDP at FC</t>
  </si>
  <si>
    <t>Share of Lab</t>
  </si>
  <si>
    <t xml:space="preserve">==&gt;&gt;Services have the largest share of labor in GDP </t>
  </si>
  <si>
    <t>Agric</t>
  </si>
  <si>
    <t>Ind</t>
  </si>
  <si>
    <t>Serv</t>
  </si>
  <si>
    <t>Act</t>
  </si>
  <si>
    <t>Com</t>
  </si>
  <si>
    <t>Mar</t>
  </si>
  <si>
    <t>Fact</t>
  </si>
  <si>
    <t>Ent</t>
  </si>
  <si>
    <t>HH</t>
  </si>
  <si>
    <t>Gov</t>
  </si>
  <si>
    <t>S</t>
  </si>
  <si>
    <t>Tot</t>
  </si>
  <si>
    <t>Lab in VA</t>
  </si>
  <si>
    <t>d)</t>
  </si>
  <si>
    <t>b)</t>
  </si>
  <si>
    <t>c)</t>
  </si>
  <si>
    <t>==&gt;&gt;&gt; Rwanda is net importer of food and food and agricultural commodity.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</si>
</sst>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0"/>
      <color theme="1"/>
      <name val="Arial Narrow"/>
      <family val="2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theme="0" tint="-0.499984740745262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2" fillId="0" borderId="0" xfId="0" applyFont="1"/>
    <xf numFmtId="0" fontId="1" fillId="0" borderId="0" xfId="0" applyFont="1"/>
    <xf numFmtId="3" fontId="0" fillId="0" borderId="0" xfId="0" applyNumberFormat="1"/>
    <xf numFmtId="0" fontId="4" fillId="0" borderId="0" xfId="0" applyFont="1"/>
    <xf numFmtId="0" fontId="7" fillId="2" borderId="0" xfId="0" applyFont="1" applyFill="1"/>
    <xf numFmtId="0" fontId="0" fillId="3" borderId="0" xfId="0" applyFill="1"/>
    <xf numFmtId="0" fontId="1" fillId="3" borderId="0" xfId="0" applyFont="1" applyFill="1"/>
    <xf numFmtId="0" fontId="8" fillId="3" borderId="0" xfId="0" applyFont="1" applyFill="1"/>
    <xf numFmtId="0" fontId="5" fillId="4" borderId="0" xfId="0" applyFont="1" applyFill="1"/>
    <xf numFmtId="0" fontId="1" fillId="5" borderId="0" xfId="0" applyFont="1" applyFill="1"/>
    <xf numFmtId="0" fontId="0" fillId="5" borderId="0" xfId="0" applyFill="1"/>
    <xf numFmtId="0" fontId="0" fillId="5" borderId="1" xfId="0" applyFill="1" applyBorder="1"/>
    <xf numFmtId="0" fontId="0" fillId="3" borderId="1" xfId="0" applyFill="1" applyBorder="1"/>
    <xf numFmtId="0" fontId="6" fillId="2" borderId="0" xfId="0" applyFont="1" applyFill="1"/>
    <xf numFmtId="0" fontId="3" fillId="3" borderId="0" xfId="0" applyFont="1" applyFill="1"/>
    <xf numFmtId="0" fontId="0" fillId="3" borderId="0" xfId="0" applyFont="1" applyFill="1"/>
    <xf numFmtId="0" fontId="0" fillId="6" borderId="0" xfId="0" applyFill="1" applyProtection="1">
      <protection locked="0"/>
    </xf>
    <xf numFmtId="0" fontId="0" fillId="6" borderId="0" xfId="0" applyFont="1" applyFill="1" applyProtection="1">
      <protection locked="0"/>
    </xf>
    <xf numFmtId="164" fontId="0" fillId="6" borderId="0" xfId="0" applyNumberFormat="1" applyFill="1" applyProtection="1">
      <protection locked="0"/>
    </xf>
    <xf numFmtId="0" fontId="0" fillId="6" borderId="0" xfId="0" applyFill="1" applyAlignment="1" applyProtection="1">
      <alignment horizontal="left"/>
      <protection locked="0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vertical="center" wrapText="1"/>
    </xf>
    <xf numFmtId="0" fontId="9" fillId="0" borderId="9" xfId="0" applyFont="1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vertical="center" wrapText="1"/>
    </xf>
    <xf numFmtId="0" fontId="9" fillId="0" borderId="13" xfId="0" applyFont="1" applyBorder="1" applyAlignment="1">
      <alignment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0" fillId="0" borderId="0" xfId="0" applyFont="1"/>
    <xf numFmtId="0" fontId="9" fillId="7" borderId="14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 wrapText="1"/>
    </xf>
    <xf numFmtId="1" fontId="9" fillId="7" borderId="0" xfId="0" applyNumberFormat="1" applyFont="1" applyFill="1" applyAlignment="1">
      <alignment horizontal="center" vertical="center"/>
    </xf>
    <xf numFmtId="1" fontId="9" fillId="7" borderId="11" xfId="0" applyNumberFormat="1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/>
    </xf>
    <xf numFmtId="0" fontId="9" fillId="7" borderId="16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9" fillId="7" borderId="11" xfId="0" applyFont="1" applyFill="1" applyBorder="1" applyAlignment="1">
      <alignment horizontal="center" vertical="center"/>
    </xf>
    <xf numFmtId="0" fontId="9" fillId="7" borderId="15" xfId="0" applyFont="1" applyFill="1" applyBorder="1" applyAlignment="1">
      <alignment horizontal="center" vertical="center"/>
    </xf>
    <xf numFmtId="165" fontId="0" fillId="0" borderId="0" xfId="0" applyNumberFormat="1"/>
    <xf numFmtId="165" fontId="0" fillId="7" borderId="0" xfId="0" applyNumberFormat="1" applyFill="1"/>
    <xf numFmtId="165" fontId="0" fillId="0" borderId="17" xfId="0" applyNumberFormat="1" applyBorder="1"/>
    <xf numFmtId="165" fontId="1" fillId="0" borderId="0" xfId="0" applyNumberFormat="1" applyFont="1"/>
    <xf numFmtId="165" fontId="11" fillId="0" borderId="0" xfId="0" applyNumberFormat="1" applyFont="1"/>
    <xf numFmtId="2" fontId="0" fillId="0" borderId="0" xfId="0" applyNumberFormat="1"/>
    <xf numFmtId="0" fontId="12" fillId="0" borderId="0" xfId="0" applyFont="1"/>
    <xf numFmtId="0" fontId="13" fillId="0" borderId="0" xfId="0" applyFont="1"/>
    <xf numFmtId="0" fontId="0" fillId="0" borderId="0" xfId="0" quotePrefix="1"/>
    <xf numFmtId="165" fontId="1" fillId="7" borderId="0" xfId="0" applyNumberFormat="1" applyFont="1" applyFill="1"/>
    <xf numFmtId="0" fontId="14" fillId="0" borderId="10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0" fontId="14" fillId="0" borderId="11" xfId="0" applyFont="1" applyBorder="1" applyAlignment="1">
      <alignment vertical="center" wrapText="1"/>
    </xf>
    <xf numFmtId="0" fontId="14" fillId="0" borderId="6" xfId="0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4" fillId="0" borderId="0" xfId="0" applyFont="1" applyAlignment="1">
      <alignment horizontal="right" vertical="center"/>
    </xf>
    <xf numFmtId="0" fontId="14" fillId="0" borderId="3" xfId="0" applyFont="1" applyBorder="1" applyAlignment="1">
      <alignment horizontal="right" vertical="center"/>
    </xf>
    <xf numFmtId="0" fontId="14" fillId="0" borderId="8" xfId="0" applyFont="1" applyBorder="1" applyAlignment="1">
      <alignment horizontal="right" vertical="center"/>
    </xf>
    <xf numFmtId="0" fontId="14" fillId="0" borderId="0" xfId="0" applyFont="1" applyAlignment="1">
      <alignment horizontal="right" vertical="center" wrapText="1"/>
    </xf>
    <xf numFmtId="0" fontId="14" fillId="0" borderId="5" xfId="0" applyFont="1" applyBorder="1" applyAlignment="1">
      <alignment horizontal="right" vertical="center"/>
    </xf>
    <xf numFmtId="0" fontId="14" fillId="0" borderId="3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4" fillId="0" borderId="16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6" xfId="0" applyFont="1" applyBorder="1" applyAlignment="1">
      <alignment horizontal="right" vertical="center"/>
    </xf>
    <xf numFmtId="0" fontId="14" fillId="0" borderId="2" xfId="0" applyFont="1" applyBorder="1" applyAlignment="1">
      <alignment horizontal="right" vertical="center"/>
    </xf>
    <xf numFmtId="0" fontId="14" fillId="0" borderId="7" xfId="0" applyFont="1" applyBorder="1" applyAlignment="1">
      <alignment horizontal="right" vertical="center"/>
    </xf>
    <xf numFmtId="0" fontId="14" fillId="0" borderId="6" xfId="0" applyFont="1" applyBorder="1" applyAlignment="1">
      <alignment horizontal="right" vertical="center" wrapText="1"/>
    </xf>
    <xf numFmtId="0" fontId="14" fillId="0" borderId="4" xfId="0" applyFont="1" applyBorder="1" applyAlignment="1">
      <alignment horizontal="right" vertical="center"/>
    </xf>
    <xf numFmtId="0" fontId="14" fillId="0" borderId="2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14" xfId="0" applyFont="1" applyBorder="1" applyAlignment="1">
      <alignment vertical="center"/>
    </xf>
    <xf numFmtId="0" fontId="14" fillId="0" borderId="15" xfId="0" applyFont="1" applyBorder="1" applyAlignment="1">
      <alignment horizontal="right" vertical="center"/>
    </xf>
    <xf numFmtId="0" fontId="14" fillId="0" borderId="13" xfId="0" applyFont="1" applyBorder="1" applyAlignment="1">
      <alignment horizontal="right" vertical="center"/>
    </xf>
    <xf numFmtId="0" fontId="14" fillId="0" borderId="16" xfId="0" applyFont="1" applyBorder="1" applyAlignment="1">
      <alignment horizontal="right" vertical="center"/>
    </xf>
    <xf numFmtId="0" fontId="14" fillId="0" borderId="15" xfId="0" applyFont="1" applyBorder="1" applyAlignment="1">
      <alignment horizontal="right" vertical="center" wrapText="1"/>
    </xf>
    <xf numFmtId="0" fontId="14" fillId="0" borderId="14" xfId="0" applyFont="1" applyBorder="1" applyAlignment="1">
      <alignment horizontal="right" vertical="center"/>
    </xf>
    <xf numFmtId="0" fontId="14" fillId="0" borderId="13" xfId="0" applyFont="1" applyBorder="1" applyAlignment="1">
      <alignment vertical="center"/>
    </xf>
    <xf numFmtId="0" fontId="0" fillId="0" borderId="15" xfId="0" applyBorder="1"/>
    <xf numFmtId="0" fontId="14" fillId="0" borderId="11" xfId="0" applyFont="1" applyBorder="1" applyAlignment="1">
      <alignment horizontal="right" vertical="center"/>
    </xf>
    <xf numFmtId="0" fontId="14" fillId="0" borderId="9" xfId="0" applyFont="1" applyBorder="1" applyAlignment="1">
      <alignment horizontal="right" vertical="center"/>
    </xf>
    <xf numFmtId="0" fontId="14" fillId="0" borderId="12" xfId="0" applyFont="1" applyBorder="1" applyAlignment="1">
      <alignment horizontal="right" vertical="center"/>
    </xf>
    <xf numFmtId="0" fontId="14" fillId="0" borderId="11" xfId="0" applyFont="1" applyBorder="1" applyAlignment="1">
      <alignment horizontal="right" vertical="center" wrapText="1"/>
    </xf>
    <xf numFmtId="0" fontId="14" fillId="0" borderId="10" xfId="0" applyFont="1" applyBorder="1" applyAlignment="1">
      <alignment horizontal="right" vertical="center"/>
    </xf>
    <xf numFmtId="0" fontId="14" fillId="7" borderId="3" xfId="0" applyFont="1" applyFill="1" applyBorder="1" applyAlignment="1">
      <alignment horizontal="right" vertical="center"/>
    </xf>
    <xf numFmtId="0" fontId="14" fillId="7" borderId="0" xfId="0" applyFont="1" applyFill="1" applyAlignment="1">
      <alignment horizontal="right" vertical="center"/>
    </xf>
    <xf numFmtId="0" fontId="14" fillId="7" borderId="8" xfId="0" applyFont="1" applyFill="1" applyBorder="1" applyAlignment="1">
      <alignment horizontal="right" vertical="center"/>
    </xf>
    <xf numFmtId="0" fontId="14" fillId="7" borderId="6" xfId="0" applyFont="1" applyFill="1" applyBorder="1" applyAlignment="1">
      <alignment horizontal="right" vertical="center"/>
    </xf>
    <xf numFmtId="0" fontId="14" fillId="7" borderId="15" xfId="0" applyFont="1" applyFill="1" applyBorder="1" applyAlignment="1">
      <alignment horizontal="right" vertical="center"/>
    </xf>
    <xf numFmtId="0" fontId="14" fillId="7" borderId="9" xfId="0" applyFont="1" applyFill="1" applyBorder="1" applyAlignment="1">
      <alignment horizontal="right" vertical="center"/>
    </xf>
    <xf numFmtId="0" fontId="14" fillId="7" borderId="11" xfId="0" applyFont="1" applyFill="1" applyBorder="1" applyAlignment="1">
      <alignment horizontal="right" vertical="center"/>
    </xf>
    <xf numFmtId="0" fontId="14" fillId="7" borderId="13" xfId="0" applyFont="1" applyFill="1" applyBorder="1" applyAlignment="1">
      <alignment horizontal="right" vertical="center"/>
    </xf>
    <xf numFmtId="0" fontId="14" fillId="7" borderId="16" xfId="0" applyFont="1" applyFill="1" applyBorder="1" applyAlignment="1">
      <alignment horizontal="right" vertical="center"/>
    </xf>
    <xf numFmtId="0" fontId="14" fillId="7" borderId="0" xfId="0" applyFont="1" applyFill="1" applyAlignment="1">
      <alignment horizontal="right" vertical="center" wrapText="1"/>
    </xf>
    <xf numFmtId="0" fontId="14" fillId="7" borderId="15" xfId="0" applyFont="1" applyFill="1" applyBorder="1" applyAlignment="1">
      <alignment horizontal="right" vertical="center" wrapText="1"/>
    </xf>
    <xf numFmtId="0" fontId="14" fillId="7" borderId="13" xfId="0" applyFont="1" applyFill="1" applyBorder="1" applyAlignment="1">
      <alignment vertical="center"/>
    </xf>
    <xf numFmtId="0" fontId="14" fillId="7" borderId="0" xfId="0" applyFont="1" applyFill="1" applyAlignment="1">
      <alignment vertical="center"/>
    </xf>
    <xf numFmtId="0" fontId="14" fillId="7" borderId="8" xfId="0" applyFont="1" applyFill="1" applyBorder="1" applyAlignment="1">
      <alignment vertical="center"/>
    </xf>
    <xf numFmtId="0" fontId="0" fillId="7" borderId="0" xfId="0" applyFill="1"/>
    <xf numFmtId="0" fontId="14" fillId="7" borderId="16" xfId="0" applyFont="1" applyFill="1" applyBorder="1" applyAlignment="1">
      <alignment vertical="center"/>
    </xf>
    <xf numFmtId="0" fontId="14" fillId="7" borderId="12" xfId="0" applyFont="1" applyFill="1" applyBorder="1" applyAlignment="1">
      <alignment vertical="center"/>
    </xf>
    <xf numFmtId="0" fontId="14" fillId="7" borderId="7" xfId="0" applyFont="1" applyFill="1" applyBorder="1" applyAlignment="1">
      <alignment vertical="center"/>
    </xf>
    <xf numFmtId="0" fontId="14" fillId="7" borderId="9" xfId="0" applyFont="1" applyFill="1" applyBorder="1" applyAlignment="1">
      <alignment vertical="center"/>
    </xf>
    <xf numFmtId="0" fontId="14" fillId="7" borderId="3" xfId="0" applyFont="1" applyFill="1" applyBorder="1" applyAlignment="1">
      <alignment vertical="center"/>
    </xf>
    <xf numFmtId="0" fontId="14" fillId="7" borderId="5" xfId="0" applyFont="1" applyFill="1" applyBorder="1" applyAlignment="1">
      <alignment horizontal="right" vertical="center"/>
    </xf>
    <xf numFmtId="0" fontId="14" fillId="7" borderId="14" xfId="0" applyFont="1" applyFill="1" applyBorder="1" applyAlignment="1">
      <alignment horizontal="right" vertical="center"/>
    </xf>
    <xf numFmtId="0" fontId="14" fillId="0" borderId="0" xfId="0" applyFont="1" applyFill="1" applyBorder="1" applyAlignment="1">
      <alignment vertical="center"/>
    </xf>
    <xf numFmtId="2" fontId="1" fillId="0" borderId="0" xfId="0" applyNumberFormat="1" applyFont="1"/>
    <xf numFmtId="0" fontId="15" fillId="0" borderId="11" xfId="0" applyFont="1" applyBorder="1" applyAlignment="1">
      <alignment vertical="center"/>
    </xf>
    <xf numFmtId="0" fontId="9" fillId="0" borderId="6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9" fillId="0" borderId="4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S94"/>
  <sheetViews>
    <sheetView zoomScale="70" zoomScaleNormal="70" workbookViewId="0">
      <pane ySplit="7" topLeftCell="A8" activePane="bottomLeft" state="frozen"/>
      <selection pane="bottomLeft" activeCell="I12" sqref="I12"/>
    </sheetView>
  </sheetViews>
  <sheetFormatPr defaultColWidth="0" defaultRowHeight="15" zeroHeight="1" x14ac:dyDescent="0.25"/>
  <cols>
    <col min="1" max="2" width="8.85546875" customWidth="1"/>
    <col min="3" max="3" width="14.5703125" customWidth="1"/>
    <col min="4" max="5" width="8.85546875" customWidth="1"/>
    <col min="6" max="6" width="14.5703125" customWidth="1"/>
    <col min="7" max="8" width="8.85546875" customWidth="1"/>
    <col min="9" max="9" width="14.5703125" customWidth="1"/>
    <col min="10" max="11" width="8.85546875" customWidth="1"/>
    <col min="12" max="12" width="14.5703125" customWidth="1"/>
    <col min="13" max="13" width="8.85546875" customWidth="1"/>
    <col min="14" max="19" width="0" hidden="1" customWidth="1"/>
    <col min="20" max="16384" width="8.85546875" hidden="1"/>
  </cols>
  <sheetData>
    <row r="1" spans="1:19" ht="18.75" x14ac:dyDescent="0.3">
      <c r="A1" s="5" t="str">
        <f>CONCATENATE(B4," ",B3," Standard Excel Interface Model")</f>
        <v xml:space="preserve">  Standard Excel Interface Model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9" x14ac:dyDescent="0.25">
      <c r="A2" s="1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9" x14ac:dyDescent="0.25">
      <c r="A3" s="7" t="s">
        <v>190</v>
      </c>
      <c r="B3" s="20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9" x14ac:dyDescent="0.25">
      <c r="A4" s="7" t="s">
        <v>191</v>
      </c>
      <c r="B4" s="20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9" x14ac:dyDescent="0.25">
      <c r="A5" s="7" t="s">
        <v>192</v>
      </c>
      <c r="B5" s="17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9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9" x14ac:dyDescent="0.25">
      <c r="A7" s="9" t="s">
        <v>194</v>
      </c>
      <c r="B7" s="9"/>
      <c r="C7" s="9"/>
      <c r="D7" s="9"/>
      <c r="E7" s="9" t="s">
        <v>195</v>
      </c>
      <c r="F7" s="9"/>
      <c r="G7" s="9"/>
      <c r="H7" s="9" t="s">
        <v>196</v>
      </c>
      <c r="I7" s="9"/>
      <c r="J7" s="9"/>
      <c r="K7" s="9" t="s">
        <v>197</v>
      </c>
      <c r="L7" s="9"/>
      <c r="M7" s="9"/>
    </row>
    <row r="8" spans="1:19" x14ac:dyDescent="0.25">
      <c r="A8" s="6" t="s">
        <v>0</v>
      </c>
      <c r="B8" s="6" t="s">
        <v>73</v>
      </c>
      <c r="C8" s="16" t="s">
        <v>198</v>
      </c>
      <c r="D8" s="6"/>
      <c r="E8" s="6" t="s">
        <v>152</v>
      </c>
      <c r="F8" s="6" t="s">
        <v>199</v>
      </c>
      <c r="G8" s="6"/>
      <c r="H8" s="6" t="s">
        <v>166</v>
      </c>
      <c r="I8" s="6" t="s">
        <v>200</v>
      </c>
      <c r="J8" s="6"/>
      <c r="K8" s="6" t="s">
        <v>151</v>
      </c>
      <c r="L8" s="6" t="s">
        <v>201</v>
      </c>
      <c r="M8" s="6"/>
    </row>
    <row r="9" spans="1:19" x14ac:dyDescent="0.25">
      <c r="A9" s="6" t="s">
        <v>1</v>
      </c>
      <c r="B9" s="6" t="s">
        <v>74</v>
      </c>
      <c r="C9" s="6" t="s">
        <v>202</v>
      </c>
      <c r="D9" s="6"/>
      <c r="E9" s="6" t="s">
        <v>153</v>
      </c>
      <c r="F9" s="6" t="s">
        <v>203</v>
      </c>
      <c r="G9" s="6"/>
      <c r="H9" s="6" t="s">
        <v>167</v>
      </c>
      <c r="I9" s="6" t="s">
        <v>204</v>
      </c>
      <c r="J9" s="6"/>
      <c r="K9" s="6" t="s">
        <v>165</v>
      </c>
      <c r="L9" s="6" t="s">
        <v>205</v>
      </c>
      <c r="M9" s="6"/>
      <c r="S9" s="3"/>
    </row>
    <row r="10" spans="1:19" x14ac:dyDescent="0.25">
      <c r="A10" s="6" t="s">
        <v>2</v>
      </c>
      <c r="B10" s="6" t="s">
        <v>75</v>
      </c>
      <c r="C10" s="6" t="s">
        <v>206</v>
      </c>
      <c r="D10" s="6"/>
      <c r="E10" s="6" t="s">
        <v>154</v>
      </c>
      <c r="F10" s="6" t="s">
        <v>207</v>
      </c>
      <c r="G10" s="6"/>
      <c r="H10" s="6" t="s">
        <v>168</v>
      </c>
      <c r="I10" s="6" t="s">
        <v>208</v>
      </c>
      <c r="J10" s="6"/>
      <c r="K10" s="6" t="s">
        <v>181</v>
      </c>
      <c r="L10" s="6" t="s">
        <v>209</v>
      </c>
      <c r="M10" s="6"/>
      <c r="S10" s="3"/>
    </row>
    <row r="11" spans="1:19" x14ac:dyDescent="0.25">
      <c r="A11" s="6" t="s">
        <v>3</v>
      </c>
      <c r="B11" s="6" t="s">
        <v>76</v>
      </c>
      <c r="C11" s="6" t="s">
        <v>210</v>
      </c>
      <c r="D11" s="6"/>
      <c r="E11" s="6" t="s">
        <v>155</v>
      </c>
      <c r="F11" s="6" t="s">
        <v>211</v>
      </c>
      <c r="G11" s="6"/>
      <c r="H11" s="6" t="s">
        <v>169</v>
      </c>
      <c r="I11" s="6" t="s">
        <v>212</v>
      </c>
      <c r="J11" s="6"/>
      <c r="K11" s="6" t="s">
        <v>213</v>
      </c>
      <c r="L11" s="6" t="s">
        <v>214</v>
      </c>
      <c r="M11" s="6"/>
      <c r="S11" s="3"/>
    </row>
    <row r="12" spans="1:19" x14ac:dyDescent="0.25">
      <c r="A12" s="6" t="s">
        <v>215</v>
      </c>
      <c r="B12" s="6" t="s">
        <v>216</v>
      </c>
      <c r="C12" s="6" t="s">
        <v>217</v>
      </c>
      <c r="D12" s="6"/>
      <c r="E12" s="6" t="s">
        <v>156</v>
      </c>
      <c r="F12" s="6" t="s">
        <v>218</v>
      </c>
      <c r="G12" s="6"/>
      <c r="H12" s="6" t="s">
        <v>170</v>
      </c>
      <c r="I12" s="6" t="s">
        <v>219</v>
      </c>
      <c r="J12" s="6"/>
      <c r="K12" s="6" t="s">
        <v>182</v>
      </c>
      <c r="L12" s="6" t="s">
        <v>220</v>
      </c>
      <c r="M12" s="6"/>
      <c r="S12" s="3"/>
    </row>
    <row r="13" spans="1:19" x14ac:dyDescent="0.25">
      <c r="A13" s="6" t="s">
        <v>4</v>
      </c>
      <c r="B13" s="6" t="s">
        <v>77</v>
      </c>
      <c r="C13" s="6" t="s">
        <v>221</v>
      </c>
      <c r="D13" s="6"/>
      <c r="E13" s="6" t="s">
        <v>157</v>
      </c>
      <c r="F13" s="6" t="s">
        <v>222</v>
      </c>
      <c r="G13" s="6"/>
      <c r="H13" s="6" t="s">
        <v>171</v>
      </c>
      <c r="I13" s="6" t="s">
        <v>223</v>
      </c>
      <c r="J13" s="6"/>
      <c r="K13" s="6" t="s">
        <v>224</v>
      </c>
      <c r="L13" s="6" t="s">
        <v>225</v>
      </c>
      <c r="M13" s="6"/>
      <c r="S13" s="3"/>
    </row>
    <row r="14" spans="1:19" x14ac:dyDescent="0.25">
      <c r="A14" s="6" t="s">
        <v>5</v>
      </c>
      <c r="B14" s="6" t="s">
        <v>78</v>
      </c>
      <c r="C14" s="6" t="s">
        <v>226</v>
      </c>
      <c r="D14" s="6"/>
      <c r="E14" s="6" t="s">
        <v>158</v>
      </c>
      <c r="F14" s="6" t="s">
        <v>227</v>
      </c>
      <c r="G14" s="6"/>
      <c r="H14" s="6" t="s">
        <v>172</v>
      </c>
      <c r="I14" s="6" t="s">
        <v>228</v>
      </c>
      <c r="J14" s="6"/>
      <c r="K14" s="6" t="s">
        <v>183</v>
      </c>
      <c r="L14" s="6" t="s">
        <v>229</v>
      </c>
      <c r="M14" s="6"/>
    </row>
    <row r="15" spans="1:19" x14ac:dyDescent="0.25">
      <c r="A15" s="6" t="s">
        <v>6</v>
      </c>
      <c r="B15" s="6" t="s">
        <v>79</v>
      </c>
      <c r="C15" s="6" t="s">
        <v>230</v>
      </c>
      <c r="D15" s="6"/>
      <c r="E15" s="6" t="s">
        <v>159</v>
      </c>
      <c r="F15" s="6" t="s">
        <v>231</v>
      </c>
      <c r="G15" s="6"/>
      <c r="H15" s="6" t="s">
        <v>173</v>
      </c>
      <c r="I15" s="6" t="s">
        <v>232</v>
      </c>
      <c r="J15" s="6"/>
      <c r="K15" s="6" t="s">
        <v>184</v>
      </c>
      <c r="L15" s="6" t="s">
        <v>233</v>
      </c>
      <c r="M15" s="6"/>
    </row>
    <row r="16" spans="1:19" x14ac:dyDescent="0.25">
      <c r="A16" s="6" t="s">
        <v>7</v>
      </c>
      <c r="B16" s="6" t="s">
        <v>80</v>
      </c>
      <c r="C16" s="6" t="s">
        <v>234</v>
      </c>
      <c r="D16" s="6"/>
      <c r="E16" s="6" t="s">
        <v>160</v>
      </c>
      <c r="F16" s="6" t="s">
        <v>235</v>
      </c>
      <c r="G16" s="6"/>
      <c r="H16" s="6" t="s">
        <v>174</v>
      </c>
      <c r="I16" s="6" t="s">
        <v>236</v>
      </c>
      <c r="J16" s="6"/>
      <c r="K16" s="6" t="s">
        <v>185</v>
      </c>
      <c r="L16" s="6" t="s">
        <v>237</v>
      </c>
      <c r="M16" s="6"/>
    </row>
    <row r="17" spans="1:19" x14ac:dyDescent="0.25">
      <c r="A17" s="6" t="s">
        <v>8</v>
      </c>
      <c r="B17" s="6" t="s">
        <v>81</v>
      </c>
      <c r="C17" s="6" t="s">
        <v>238</v>
      </c>
      <c r="D17" s="6"/>
      <c r="E17" s="6" t="s">
        <v>161</v>
      </c>
      <c r="F17" s="6" t="s">
        <v>239</v>
      </c>
      <c r="G17" s="6"/>
      <c r="H17" s="6" t="s">
        <v>175</v>
      </c>
      <c r="I17" s="6" t="s">
        <v>240</v>
      </c>
      <c r="J17" s="6"/>
      <c r="K17" s="6" t="s">
        <v>186</v>
      </c>
      <c r="L17" s="6" t="s">
        <v>241</v>
      </c>
      <c r="M17" s="6"/>
    </row>
    <row r="18" spans="1:19" x14ac:dyDescent="0.25">
      <c r="A18" s="6" t="s">
        <v>9</v>
      </c>
      <c r="B18" s="6" t="s">
        <v>82</v>
      </c>
      <c r="C18" s="6" t="s">
        <v>242</v>
      </c>
      <c r="D18" s="6"/>
      <c r="E18" s="6" t="s">
        <v>162</v>
      </c>
      <c r="F18" s="6" t="s">
        <v>243</v>
      </c>
      <c r="G18" s="6"/>
      <c r="H18" s="6" t="s">
        <v>176</v>
      </c>
      <c r="I18" s="6" t="s">
        <v>244</v>
      </c>
      <c r="J18" s="6"/>
      <c r="K18" s="6" t="s">
        <v>187</v>
      </c>
      <c r="L18" s="6" t="s">
        <v>245</v>
      </c>
      <c r="M18" s="6"/>
    </row>
    <row r="19" spans="1:19" x14ac:dyDescent="0.25">
      <c r="A19" s="6" t="s">
        <v>10</v>
      </c>
      <c r="B19" s="6" t="s">
        <v>83</v>
      </c>
      <c r="C19" s="6" t="s">
        <v>246</v>
      </c>
      <c r="D19" s="6"/>
      <c r="E19" s="6" t="s">
        <v>163</v>
      </c>
      <c r="F19" s="6" t="s">
        <v>247</v>
      </c>
      <c r="G19" s="6"/>
      <c r="H19" s="6" t="s">
        <v>177</v>
      </c>
      <c r="I19" s="6" t="s">
        <v>248</v>
      </c>
      <c r="J19" s="6"/>
      <c r="K19" s="6" t="s">
        <v>188</v>
      </c>
      <c r="L19" s="6" t="s">
        <v>249</v>
      </c>
      <c r="M19" s="6"/>
    </row>
    <row r="20" spans="1:19" x14ac:dyDescent="0.25">
      <c r="A20" s="6" t="s">
        <v>11</v>
      </c>
      <c r="B20" s="6" t="s">
        <v>84</v>
      </c>
      <c r="C20" s="6" t="s">
        <v>250</v>
      </c>
      <c r="D20" s="6"/>
      <c r="E20" s="6" t="s">
        <v>164</v>
      </c>
      <c r="F20" s="6" t="s">
        <v>251</v>
      </c>
      <c r="G20" s="6"/>
      <c r="H20" s="6" t="s">
        <v>178</v>
      </c>
      <c r="I20" s="6" t="s">
        <v>252</v>
      </c>
      <c r="J20" s="6"/>
      <c r="K20" s="6" t="s">
        <v>189</v>
      </c>
      <c r="L20" s="6" t="s">
        <v>253</v>
      </c>
      <c r="M20" s="6"/>
    </row>
    <row r="21" spans="1:19" x14ac:dyDescent="0.25">
      <c r="A21" s="6" t="s">
        <v>12</v>
      </c>
      <c r="B21" s="6" t="s">
        <v>85</v>
      </c>
      <c r="C21" s="6" t="s">
        <v>254</v>
      </c>
      <c r="D21" s="6"/>
      <c r="E21" s="6"/>
      <c r="F21" s="6"/>
      <c r="G21" s="6"/>
      <c r="H21" s="6" t="s">
        <v>179</v>
      </c>
      <c r="I21" s="6" t="s">
        <v>255</v>
      </c>
      <c r="J21" s="6"/>
      <c r="K21" s="6"/>
      <c r="L21" s="6"/>
      <c r="M21" s="6"/>
    </row>
    <row r="22" spans="1:19" x14ac:dyDescent="0.25">
      <c r="A22" s="6" t="s">
        <v>13</v>
      </c>
      <c r="B22" s="6" t="s">
        <v>86</v>
      </c>
      <c r="C22" s="6" t="s">
        <v>256</v>
      </c>
      <c r="D22" s="6"/>
      <c r="E22" s="6"/>
      <c r="F22" s="6"/>
      <c r="G22" s="6"/>
      <c r="H22" s="6" t="s">
        <v>180</v>
      </c>
      <c r="I22" s="6" t="s">
        <v>257</v>
      </c>
      <c r="J22" s="6"/>
      <c r="K22" s="6"/>
      <c r="L22" s="6"/>
      <c r="M22" s="6"/>
    </row>
    <row r="23" spans="1:19" x14ac:dyDescent="0.25">
      <c r="A23" s="6" t="s">
        <v>14</v>
      </c>
      <c r="B23" s="6" t="s">
        <v>87</v>
      </c>
      <c r="C23" s="6" t="s">
        <v>258</v>
      </c>
      <c r="D23" s="6"/>
      <c r="E23" s="6"/>
      <c r="F23" s="6"/>
      <c r="G23" s="6"/>
      <c r="H23" s="6"/>
      <c r="I23" s="6"/>
      <c r="J23" s="6"/>
      <c r="K23" s="6"/>
      <c r="L23" s="6"/>
      <c r="M23" s="6"/>
      <c r="S23" s="3"/>
    </row>
    <row r="24" spans="1:19" x14ac:dyDescent="0.25">
      <c r="A24" s="6" t="s">
        <v>259</v>
      </c>
      <c r="B24" s="6" t="s">
        <v>260</v>
      </c>
      <c r="C24" s="6" t="s">
        <v>261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9" x14ac:dyDescent="0.25">
      <c r="A25" s="6" t="s">
        <v>262</v>
      </c>
      <c r="B25" s="6" t="s">
        <v>263</v>
      </c>
      <c r="C25" s="6" t="s">
        <v>264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9" x14ac:dyDescent="0.25">
      <c r="A26" s="6" t="s">
        <v>15</v>
      </c>
      <c r="B26" s="6" t="s">
        <v>88</v>
      </c>
      <c r="C26" s="6" t="s">
        <v>265</v>
      </c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9" x14ac:dyDescent="0.25">
      <c r="A27" s="6" t="s">
        <v>16</v>
      </c>
      <c r="B27" s="6" t="s">
        <v>89</v>
      </c>
      <c r="C27" s="6" t="s">
        <v>266</v>
      </c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9" x14ac:dyDescent="0.25">
      <c r="A28" s="6" t="s">
        <v>17</v>
      </c>
      <c r="B28" s="6" t="s">
        <v>90</v>
      </c>
      <c r="C28" s="6" t="s">
        <v>267</v>
      </c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9" x14ac:dyDescent="0.25">
      <c r="A29" s="6" t="s">
        <v>18</v>
      </c>
      <c r="B29" s="6" t="s">
        <v>91</v>
      </c>
      <c r="C29" s="6" t="s">
        <v>268</v>
      </c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9" x14ac:dyDescent="0.25">
      <c r="A30" s="6" t="s">
        <v>269</v>
      </c>
      <c r="B30" s="6" t="s">
        <v>270</v>
      </c>
      <c r="C30" s="6" t="s">
        <v>271</v>
      </c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9" x14ac:dyDescent="0.25">
      <c r="A31" s="6" t="s">
        <v>272</v>
      </c>
      <c r="B31" s="6" t="s">
        <v>273</v>
      </c>
      <c r="C31" s="6" t="s">
        <v>274</v>
      </c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9" x14ac:dyDescent="0.25">
      <c r="A32" s="6" t="s">
        <v>275</v>
      </c>
      <c r="B32" s="6" t="s">
        <v>276</v>
      </c>
      <c r="C32" s="6" t="s">
        <v>277</v>
      </c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1:13" x14ac:dyDescent="0.25">
      <c r="A33" s="6" t="s">
        <v>19</v>
      </c>
      <c r="B33" s="6" t="s">
        <v>92</v>
      </c>
      <c r="C33" s="6" t="s">
        <v>278</v>
      </c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3" x14ac:dyDescent="0.25">
      <c r="A34" s="6" t="s">
        <v>20</v>
      </c>
      <c r="B34" s="6" t="s">
        <v>93</v>
      </c>
      <c r="C34" s="6" t="s">
        <v>279</v>
      </c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1:13" x14ac:dyDescent="0.25">
      <c r="A35" s="6" t="s">
        <v>21</v>
      </c>
      <c r="B35" s="6" t="s">
        <v>94</v>
      </c>
      <c r="C35" s="6" t="s">
        <v>280</v>
      </c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x14ac:dyDescent="0.25">
      <c r="A36" s="6" t="s">
        <v>22</v>
      </c>
      <c r="B36" s="6" t="s">
        <v>95</v>
      </c>
      <c r="C36" s="6" t="s">
        <v>281</v>
      </c>
      <c r="D36" s="6"/>
      <c r="E36" s="6"/>
      <c r="F36" s="6"/>
      <c r="G36" s="6"/>
      <c r="H36" s="6"/>
      <c r="I36" s="6"/>
      <c r="J36" s="6"/>
      <c r="K36" s="6"/>
      <c r="L36" s="6"/>
      <c r="M36" s="6"/>
    </row>
    <row r="37" spans="1:13" x14ac:dyDescent="0.25">
      <c r="A37" s="6" t="s">
        <v>23</v>
      </c>
      <c r="B37" s="6" t="s">
        <v>96</v>
      </c>
      <c r="C37" s="6" t="s">
        <v>282</v>
      </c>
      <c r="D37" s="6"/>
      <c r="E37" s="6"/>
      <c r="F37" s="6"/>
      <c r="G37" s="6"/>
      <c r="H37" s="6"/>
      <c r="I37" s="6"/>
      <c r="J37" s="6"/>
      <c r="K37" s="6"/>
      <c r="L37" s="6"/>
      <c r="M37" s="6"/>
    </row>
    <row r="38" spans="1:13" x14ac:dyDescent="0.25">
      <c r="A38" s="6" t="s">
        <v>24</v>
      </c>
      <c r="B38" s="6" t="s">
        <v>97</v>
      </c>
      <c r="C38" s="6" t="s">
        <v>283</v>
      </c>
      <c r="D38" s="6"/>
      <c r="E38" s="6"/>
      <c r="F38" s="6"/>
      <c r="G38" s="6"/>
      <c r="H38" s="6"/>
      <c r="I38" s="6"/>
      <c r="J38" s="6"/>
      <c r="K38" s="6"/>
      <c r="L38" s="6"/>
      <c r="M38" s="6"/>
    </row>
    <row r="39" spans="1:13" x14ac:dyDescent="0.25">
      <c r="A39" s="6" t="s">
        <v>25</v>
      </c>
      <c r="B39" s="6" t="s">
        <v>98</v>
      </c>
      <c r="C39" s="6" t="s">
        <v>284</v>
      </c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1:13" x14ac:dyDescent="0.25">
      <c r="A40" s="6" t="s">
        <v>26</v>
      </c>
      <c r="B40" s="6" t="s">
        <v>99</v>
      </c>
      <c r="C40" s="6" t="s">
        <v>285</v>
      </c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x14ac:dyDescent="0.25">
      <c r="A41" s="6" t="s">
        <v>27</v>
      </c>
      <c r="B41" s="6" t="s">
        <v>100</v>
      </c>
      <c r="C41" s="6" t="s">
        <v>286</v>
      </c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1:13" x14ac:dyDescent="0.25">
      <c r="A42" s="6" t="s">
        <v>28</v>
      </c>
      <c r="B42" s="6" t="s">
        <v>101</v>
      </c>
      <c r="C42" s="6" t="s">
        <v>287</v>
      </c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1:13" x14ac:dyDescent="0.25">
      <c r="A43" s="6" t="s">
        <v>288</v>
      </c>
      <c r="B43" s="6" t="s">
        <v>102</v>
      </c>
      <c r="C43" s="6" t="s">
        <v>289</v>
      </c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1:13" x14ac:dyDescent="0.25">
      <c r="A44" s="6" t="s">
        <v>290</v>
      </c>
      <c r="B44" s="6" t="s">
        <v>291</v>
      </c>
      <c r="C44" s="6" t="s">
        <v>292</v>
      </c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1:13" x14ac:dyDescent="0.25">
      <c r="A45" s="6" t="s">
        <v>293</v>
      </c>
      <c r="B45" s="6" t="s">
        <v>103</v>
      </c>
      <c r="C45" s="6" t="s">
        <v>294</v>
      </c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1:13" x14ac:dyDescent="0.25">
      <c r="A46" s="6" t="s">
        <v>29</v>
      </c>
      <c r="B46" s="6" t="s">
        <v>104</v>
      </c>
      <c r="C46" s="6" t="s">
        <v>295</v>
      </c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1:13" x14ac:dyDescent="0.25">
      <c r="A47" s="6" t="s">
        <v>30</v>
      </c>
      <c r="B47" s="6" t="s">
        <v>105</v>
      </c>
      <c r="C47" s="6" t="s">
        <v>296</v>
      </c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1:13" x14ac:dyDescent="0.25">
      <c r="A48" s="6" t="s">
        <v>297</v>
      </c>
      <c r="B48" s="6" t="s">
        <v>106</v>
      </c>
      <c r="C48" s="6" t="s">
        <v>298</v>
      </c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1:13" x14ac:dyDescent="0.25">
      <c r="A49" s="6" t="s">
        <v>31</v>
      </c>
      <c r="B49" s="6" t="s">
        <v>107</v>
      </c>
      <c r="C49" s="6" t="s">
        <v>299</v>
      </c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1:13" x14ac:dyDescent="0.25">
      <c r="A50" s="6" t="s">
        <v>32</v>
      </c>
      <c r="B50" s="6" t="s">
        <v>108</v>
      </c>
      <c r="C50" s="6" t="s">
        <v>300</v>
      </c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1:13" x14ac:dyDescent="0.25">
      <c r="A51" s="6" t="s">
        <v>33</v>
      </c>
      <c r="B51" s="6" t="s">
        <v>109</v>
      </c>
      <c r="C51" s="6" t="s">
        <v>301</v>
      </c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1:13" x14ac:dyDescent="0.25">
      <c r="A52" s="6" t="s">
        <v>34</v>
      </c>
      <c r="B52" s="6" t="s">
        <v>110</v>
      </c>
      <c r="C52" s="6" t="s">
        <v>302</v>
      </c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1:13" x14ac:dyDescent="0.25">
      <c r="A53" s="6" t="s">
        <v>35</v>
      </c>
      <c r="B53" s="6" t="s">
        <v>111</v>
      </c>
      <c r="C53" s="6" t="s">
        <v>303</v>
      </c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1:13" x14ac:dyDescent="0.25">
      <c r="A54" s="6" t="s">
        <v>36</v>
      </c>
      <c r="B54" s="6" t="s">
        <v>112</v>
      </c>
      <c r="C54" s="6" t="s">
        <v>304</v>
      </c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1:13" x14ac:dyDescent="0.25">
      <c r="A55" s="6" t="s">
        <v>37</v>
      </c>
      <c r="B55" s="6" t="s">
        <v>113</v>
      </c>
      <c r="C55" s="6" t="s">
        <v>305</v>
      </c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1:13" x14ac:dyDescent="0.25">
      <c r="A56" s="6" t="s">
        <v>306</v>
      </c>
      <c r="B56" s="6" t="s">
        <v>307</v>
      </c>
      <c r="C56" s="6" t="s">
        <v>308</v>
      </c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1:13" x14ac:dyDescent="0.25">
      <c r="A57" s="6" t="s">
        <v>38</v>
      </c>
      <c r="B57" s="6" t="s">
        <v>114</v>
      </c>
      <c r="C57" s="6" t="s">
        <v>309</v>
      </c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1:13" x14ac:dyDescent="0.25">
      <c r="A58" s="6" t="s">
        <v>39</v>
      </c>
      <c r="B58" s="6" t="s">
        <v>115</v>
      </c>
      <c r="C58" s="6" t="s">
        <v>310</v>
      </c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1:13" x14ac:dyDescent="0.25">
      <c r="A59" s="6" t="s">
        <v>40</v>
      </c>
      <c r="B59" s="6" t="s">
        <v>116</v>
      </c>
      <c r="C59" s="6" t="s">
        <v>311</v>
      </c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1:13" x14ac:dyDescent="0.25">
      <c r="A60" s="6" t="s">
        <v>41</v>
      </c>
      <c r="B60" s="6" t="s">
        <v>117</v>
      </c>
      <c r="C60" s="6" t="s">
        <v>312</v>
      </c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1:13" x14ac:dyDescent="0.25">
      <c r="A61" s="6" t="s">
        <v>42</v>
      </c>
      <c r="B61" s="6" t="s">
        <v>118</v>
      </c>
      <c r="C61" s="6" t="s">
        <v>313</v>
      </c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1:13" x14ac:dyDescent="0.25">
      <c r="A62" s="6" t="s">
        <v>43</v>
      </c>
      <c r="B62" s="6" t="s">
        <v>119</v>
      </c>
      <c r="C62" s="6" t="s">
        <v>314</v>
      </c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1:13" x14ac:dyDescent="0.25">
      <c r="A63" s="6" t="s">
        <v>44</v>
      </c>
      <c r="B63" s="6" t="s">
        <v>120</v>
      </c>
      <c r="C63" s="6" t="s">
        <v>315</v>
      </c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1:13" x14ac:dyDescent="0.25">
      <c r="A64" s="6" t="s">
        <v>316</v>
      </c>
      <c r="B64" s="6" t="s">
        <v>121</v>
      </c>
      <c r="C64" s="6" t="s">
        <v>317</v>
      </c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1:13" x14ac:dyDescent="0.25">
      <c r="A65" s="6" t="s">
        <v>45</v>
      </c>
      <c r="B65" s="6" t="s">
        <v>122</v>
      </c>
      <c r="C65" s="6" t="s">
        <v>318</v>
      </c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1:13" x14ac:dyDescent="0.25">
      <c r="A66" s="6" t="s">
        <v>46</v>
      </c>
      <c r="B66" s="6" t="s">
        <v>123</v>
      </c>
      <c r="C66" s="6" t="s">
        <v>319</v>
      </c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1:13" x14ac:dyDescent="0.25">
      <c r="A67" s="6" t="s">
        <v>47</v>
      </c>
      <c r="B67" s="6" t="s">
        <v>124</v>
      </c>
      <c r="C67" s="6" t="s">
        <v>320</v>
      </c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1:13" x14ac:dyDescent="0.25">
      <c r="A68" s="6" t="s">
        <v>48</v>
      </c>
      <c r="B68" s="6" t="s">
        <v>125</v>
      </c>
      <c r="C68" s="6" t="s">
        <v>321</v>
      </c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1:13" x14ac:dyDescent="0.25">
      <c r="A69" s="6" t="s">
        <v>49</v>
      </c>
      <c r="B69" s="6" t="s">
        <v>126</v>
      </c>
      <c r="C69" s="6" t="s">
        <v>322</v>
      </c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1:13" x14ac:dyDescent="0.25">
      <c r="A70" s="6" t="s">
        <v>323</v>
      </c>
      <c r="B70" s="6" t="s">
        <v>127</v>
      </c>
      <c r="C70" s="6" t="s">
        <v>324</v>
      </c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1:13" x14ac:dyDescent="0.25">
      <c r="A71" s="6" t="s">
        <v>50</v>
      </c>
      <c r="B71" s="6" t="s">
        <v>128</v>
      </c>
      <c r="C71" s="6" t="s">
        <v>325</v>
      </c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1:13" x14ac:dyDescent="0.25">
      <c r="A72" s="6" t="s">
        <v>51</v>
      </c>
      <c r="B72" s="6" t="s">
        <v>129</v>
      </c>
      <c r="C72" s="6" t="s">
        <v>326</v>
      </c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1:13" x14ac:dyDescent="0.25">
      <c r="A73" s="6" t="s">
        <v>52</v>
      </c>
      <c r="B73" s="6" t="s">
        <v>130</v>
      </c>
      <c r="C73" s="6" t="s">
        <v>327</v>
      </c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1:13" x14ac:dyDescent="0.25">
      <c r="A74" s="6" t="s">
        <v>53</v>
      </c>
      <c r="B74" s="6" t="s">
        <v>131</v>
      </c>
      <c r="C74" s="6" t="s">
        <v>328</v>
      </c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1:13" x14ac:dyDescent="0.25">
      <c r="A75" s="6" t="s">
        <v>54</v>
      </c>
      <c r="B75" s="6" t="s">
        <v>132</v>
      </c>
      <c r="C75" s="6" t="s">
        <v>329</v>
      </c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1:13" x14ac:dyDescent="0.25">
      <c r="A76" s="6" t="s">
        <v>55</v>
      </c>
      <c r="B76" s="6" t="s">
        <v>133</v>
      </c>
      <c r="C76" s="6" t="s">
        <v>330</v>
      </c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1:13" x14ac:dyDescent="0.25">
      <c r="A77" s="6" t="s">
        <v>56</v>
      </c>
      <c r="B77" s="6" t="s">
        <v>134</v>
      </c>
      <c r="C77" s="6" t="s">
        <v>331</v>
      </c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1:13" x14ac:dyDescent="0.25">
      <c r="A78" s="6" t="s">
        <v>57</v>
      </c>
      <c r="B78" s="6" t="s">
        <v>135</v>
      </c>
      <c r="C78" s="6" t="s">
        <v>332</v>
      </c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1:13" x14ac:dyDescent="0.25">
      <c r="A79" s="6" t="s">
        <v>58</v>
      </c>
      <c r="B79" s="6" t="s">
        <v>136</v>
      </c>
      <c r="C79" s="6" t="s">
        <v>333</v>
      </c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1:13" x14ac:dyDescent="0.25">
      <c r="A80" s="6" t="s">
        <v>59</v>
      </c>
      <c r="B80" s="6" t="s">
        <v>137</v>
      </c>
      <c r="C80" s="6" t="s">
        <v>334</v>
      </c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1:13" x14ac:dyDescent="0.25">
      <c r="A81" s="6" t="s">
        <v>60</v>
      </c>
      <c r="B81" s="6" t="s">
        <v>138</v>
      </c>
      <c r="C81" s="6" t="s">
        <v>335</v>
      </c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1:13" x14ac:dyDescent="0.25">
      <c r="A82" s="6" t="s">
        <v>61</v>
      </c>
      <c r="B82" s="6" t="s">
        <v>139</v>
      </c>
      <c r="C82" s="6" t="s">
        <v>336</v>
      </c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1:13" x14ac:dyDescent="0.25">
      <c r="A83" s="6" t="s">
        <v>62</v>
      </c>
      <c r="B83" s="6" t="s">
        <v>140</v>
      </c>
      <c r="C83" s="6" t="s">
        <v>337</v>
      </c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1:13" x14ac:dyDescent="0.25">
      <c r="A84" s="6" t="s">
        <v>63</v>
      </c>
      <c r="B84" s="6" t="s">
        <v>141</v>
      </c>
      <c r="C84" s="6" t="s">
        <v>338</v>
      </c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1:13" x14ac:dyDescent="0.25">
      <c r="A85" s="6" t="s">
        <v>64</v>
      </c>
      <c r="B85" s="6" t="s">
        <v>142</v>
      </c>
      <c r="C85" s="6" t="s">
        <v>339</v>
      </c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1:13" x14ac:dyDescent="0.25">
      <c r="A86" s="6" t="s">
        <v>65</v>
      </c>
      <c r="B86" s="6" t="s">
        <v>143</v>
      </c>
      <c r="C86" s="6" t="s">
        <v>340</v>
      </c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1:13" x14ac:dyDescent="0.25">
      <c r="A87" s="6" t="s">
        <v>66</v>
      </c>
      <c r="B87" s="6" t="s">
        <v>144</v>
      </c>
      <c r="C87" s="6" t="s">
        <v>341</v>
      </c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1:13" x14ac:dyDescent="0.25">
      <c r="A88" s="6" t="s">
        <v>67</v>
      </c>
      <c r="B88" s="6" t="s">
        <v>145</v>
      </c>
      <c r="C88" s="6" t="s">
        <v>342</v>
      </c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1:13" x14ac:dyDescent="0.25">
      <c r="A89" s="6" t="s">
        <v>68</v>
      </c>
      <c r="B89" s="6" t="s">
        <v>146</v>
      </c>
      <c r="C89" s="6" t="s">
        <v>343</v>
      </c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1:13" x14ac:dyDescent="0.25">
      <c r="A90" s="6" t="s">
        <v>69</v>
      </c>
      <c r="B90" s="6" t="s">
        <v>147</v>
      </c>
      <c r="C90" s="6" t="s">
        <v>344</v>
      </c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1:13" x14ac:dyDescent="0.25">
      <c r="A91" s="6" t="s">
        <v>70</v>
      </c>
      <c r="B91" s="6" t="s">
        <v>148</v>
      </c>
      <c r="C91" s="6" t="s">
        <v>345</v>
      </c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1:13" x14ac:dyDescent="0.25">
      <c r="A92" s="6" t="s">
        <v>71</v>
      </c>
      <c r="B92" s="6" t="s">
        <v>149</v>
      </c>
      <c r="C92" s="6" t="s">
        <v>346</v>
      </c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1:13" x14ac:dyDescent="0.25">
      <c r="A93" s="6" t="s">
        <v>72</v>
      </c>
      <c r="B93" s="6" t="s">
        <v>150</v>
      </c>
      <c r="C93" s="6" t="s">
        <v>347</v>
      </c>
      <c r="D93" s="6"/>
      <c r="E93" s="6"/>
      <c r="F93" s="6"/>
      <c r="G93" s="6"/>
      <c r="H93" s="6"/>
      <c r="I93" s="6"/>
      <c r="J93" s="6"/>
      <c r="K93" s="6"/>
      <c r="L93" s="6"/>
      <c r="M93" s="6"/>
    </row>
    <row r="94" spans="1:1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4FA82-B5F3-426B-951D-4B1E5CE2349C}">
  <sheetPr>
    <tabColor theme="1" tint="0.249977111117893"/>
  </sheetPr>
  <dimension ref="A1:AD235"/>
  <sheetViews>
    <sheetView zoomScale="70" zoomScaleNormal="70" workbookViewId="0">
      <pane ySplit="6" topLeftCell="A7" activePane="bottomLeft" state="frozen"/>
      <selection pane="bottomLeft"/>
    </sheetView>
  </sheetViews>
  <sheetFormatPr defaultColWidth="0" defaultRowHeight="15" zeroHeight="1" x14ac:dyDescent="0.25"/>
  <cols>
    <col min="1" max="30" width="8.85546875" customWidth="1"/>
    <col min="31" max="16384" width="8.85546875" hidden="1"/>
  </cols>
  <sheetData>
    <row r="1" spans="1:30" ht="18.75" x14ac:dyDescent="0.3">
      <c r="A1" s="5" t="s">
        <v>422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x14ac:dyDescent="0.25">
      <c r="A2" s="8" t="s">
        <v>362</v>
      </c>
      <c r="B2" s="8" t="s">
        <v>384</v>
      </c>
      <c r="C2" s="8" t="s">
        <v>367</v>
      </c>
      <c r="D2" s="8" t="s">
        <v>385</v>
      </c>
      <c r="E2" s="8" t="s">
        <v>386</v>
      </c>
      <c r="F2" s="8" t="s">
        <v>387</v>
      </c>
      <c r="G2" s="8" t="s">
        <v>388</v>
      </c>
      <c r="H2" s="8" t="s">
        <v>373</v>
      </c>
      <c r="I2" s="8" t="s">
        <v>389</v>
      </c>
      <c r="J2" s="8" t="s">
        <v>390</v>
      </c>
      <c r="K2" s="8" t="s">
        <v>391</v>
      </c>
      <c r="L2" s="8" t="s">
        <v>392</v>
      </c>
      <c r="M2" s="8" t="s">
        <v>393</v>
      </c>
      <c r="N2" s="8" t="s">
        <v>394</v>
      </c>
      <c r="O2" s="8" t="s">
        <v>395</v>
      </c>
      <c r="P2" s="8" t="s">
        <v>396</v>
      </c>
      <c r="Q2" s="8" t="s">
        <v>397</v>
      </c>
      <c r="R2" s="8" t="s">
        <v>398</v>
      </c>
      <c r="S2" s="8" t="s">
        <v>399</v>
      </c>
      <c r="T2" s="8" t="s">
        <v>375</v>
      </c>
      <c r="U2" s="8" t="s">
        <v>400</v>
      </c>
      <c r="V2" s="8" t="s">
        <v>401</v>
      </c>
      <c r="W2" s="8" t="s">
        <v>402</v>
      </c>
      <c r="X2" s="8" t="s">
        <v>403</v>
      </c>
      <c r="Y2" s="8" t="s">
        <v>404</v>
      </c>
      <c r="Z2" s="8" t="s">
        <v>405</v>
      </c>
      <c r="AA2" s="8" t="s">
        <v>423</v>
      </c>
      <c r="AB2" s="8" t="s">
        <v>424</v>
      </c>
      <c r="AC2" s="8" t="s">
        <v>359</v>
      </c>
      <c r="AD2" s="8" t="s">
        <v>521</v>
      </c>
    </row>
    <row r="3" spans="1:30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  <c r="V3" s="7"/>
      <c r="W3" s="7"/>
      <c r="X3" s="6"/>
      <c r="Y3" s="6"/>
      <c r="Z3" s="6"/>
      <c r="AA3" s="7"/>
      <c r="AB3" s="6"/>
      <c r="AC3" s="6"/>
      <c r="AD3" s="6"/>
    </row>
    <row r="4" spans="1:30" x14ac:dyDescent="0.25">
      <c r="A4" s="9" t="s">
        <v>425</v>
      </c>
      <c r="B4" s="9" t="s">
        <v>406</v>
      </c>
      <c r="C4" s="9"/>
      <c r="D4" s="9"/>
      <c r="E4" s="9"/>
      <c r="F4" s="9"/>
      <c r="G4" s="9" t="s">
        <v>407</v>
      </c>
      <c r="H4" s="9"/>
      <c r="I4" s="9"/>
      <c r="J4" s="9"/>
      <c r="K4" s="9"/>
      <c r="L4" s="9" t="s">
        <v>195</v>
      </c>
      <c r="M4" s="9"/>
      <c r="N4" s="9"/>
      <c r="O4" s="9"/>
      <c r="P4" s="9"/>
      <c r="Q4" s="9" t="s">
        <v>426</v>
      </c>
      <c r="R4" s="9"/>
      <c r="S4" s="9"/>
      <c r="T4" s="9"/>
      <c r="U4" s="9" t="s">
        <v>196</v>
      </c>
      <c r="V4" s="9"/>
      <c r="W4" s="9"/>
      <c r="X4" s="9" t="s">
        <v>201</v>
      </c>
      <c r="Y4" s="9"/>
      <c r="Z4" s="9"/>
      <c r="AA4" s="9"/>
      <c r="AB4" s="9" t="s">
        <v>471</v>
      </c>
      <c r="AC4" s="9"/>
      <c r="AD4" s="9"/>
    </row>
    <row r="5" spans="1:30" x14ac:dyDescent="0.25">
      <c r="A5" s="10"/>
      <c r="B5" s="12" t="s">
        <v>408</v>
      </c>
      <c r="C5" s="11" t="s">
        <v>427</v>
      </c>
      <c r="D5" s="11" t="s">
        <v>409</v>
      </c>
      <c r="E5" s="11" t="s">
        <v>428</v>
      </c>
      <c r="F5" s="11" t="s">
        <v>429</v>
      </c>
      <c r="G5" s="12" t="s">
        <v>408</v>
      </c>
      <c r="H5" s="11" t="s">
        <v>427</v>
      </c>
      <c r="I5" s="11" t="s">
        <v>409</v>
      </c>
      <c r="J5" s="11" t="s">
        <v>428</v>
      </c>
      <c r="K5" s="11" t="s">
        <v>429</v>
      </c>
      <c r="L5" s="12" t="s">
        <v>408</v>
      </c>
      <c r="M5" s="11" t="s">
        <v>430</v>
      </c>
      <c r="N5" s="11" t="s">
        <v>410</v>
      </c>
      <c r="O5" s="11" t="s">
        <v>412</v>
      </c>
      <c r="P5" s="11" t="s">
        <v>411</v>
      </c>
      <c r="Q5" s="12" t="s">
        <v>408</v>
      </c>
      <c r="R5" s="11" t="s">
        <v>431</v>
      </c>
      <c r="S5" s="11" t="s">
        <v>432</v>
      </c>
      <c r="T5" s="11" t="s">
        <v>205</v>
      </c>
      <c r="U5" s="12" t="s">
        <v>408</v>
      </c>
      <c r="V5" s="11" t="s">
        <v>435</v>
      </c>
      <c r="W5" s="11" t="s">
        <v>436</v>
      </c>
      <c r="X5" s="12" t="s">
        <v>431</v>
      </c>
      <c r="Y5" s="11" t="s">
        <v>433</v>
      </c>
      <c r="Z5" s="11" t="s">
        <v>434</v>
      </c>
      <c r="AA5" s="11"/>
      <c r="AB5" s="11" t="s">
        <v>413</v>
      </c>
      <c r="AC5" s="11"/>
      <c r="AD5" s="11"/>
    </row>
    <row r="6" spans="1:30" x14ac:dyDescent="0.25">
      <c r="A6" s="11" t="s">
        <v>414</v>
      </c>
      <c r="B6" s="12" t="s">
        <v>415</v>
      </c>
      <c r="C6" s="11" t="s">
        <v>437</v>
      </c>
      <c r="D6" s="11" t="s">
        <v>416</v>
      </c>
      <c r="E6" s="11" t="s">
        <v>438</v>
      </c>
      <c r="F6" s="11" t="s">
        <v>439</v>
      </c>
      <c r="G6" s="12" t="s">
        <v>417</v>
      </c>
      <c r="H6" s="11" t="s">
        <v>440</v>
      </c>
      <c r="I6" s="11" t="s">
        <v>441</v>
      </c>
      <c r="J6" s="11" t="s">
        <v>442</v>
      </c>
      <c r="K6" s="11" t="s">
        <v>443</v>
      </c>
      <c r="L6" s="12" t="s">
        <v>444</v>
      </c>
      <c r="M6" s="11" t="s">
        <v>445</v>
      </c>
      <c r="N6" s="11" t="s">
        <v>446</v>
      </c>
      <c r="O6" s="11" t="s">
        <v>447</v>
      </c>
      <c r="P6" s="11" t="s">
        <v>418</v>
      </c>
      <c r="Q6" s="12" t="s">
        <v>448</v>
      </c>
      <c r="R6" s="11" t="s">
        <v>449</v>
      </c>
      <c r="S6" s="11" t="s">
        <v>450</v>
      </c>
      <c r="T6" s="11" t="s">
        <v>451</v>
      </c>
      <c r="U6" s="12" t="s">
        <v>419</v>
      </c>
      <c r="V6" s="11" t="s">
        <v>452</v>
      </c>
      <c r="W6" s="11" t="s">
        <v>453</v>
      </c>
      <c r="X6" s="12" t="s">
        <v>454</v>
      </c>
      <c r="Y6" s="11" t="s">
        <v>455</v>
      </c>
      <c r="Z6" s="11" t="s">
        <v>456</v>
      </c>
      <c r="AA6" s="11"/>
      <c r="AB6" s="11" t="s">
        <v>415</v>
      </c>
      <c r="AC6" s="11" t="s">
        <v>417</v>
      </c>
      <c r="AD6" s="11"/>
    </row>
    <row r="7" spans="1:30" x14ac:dyDescent="0.25">
      <c r="A7" s="6" t="s">
        <v>0</v>
      </c>
      <c r="B7" s="13" t="s">
        <v>0</v>
      </c>
      <c r="C7" s="6" t="s">
        <v>0</v>
      </c>
      <c r="D7" s="6" t="s">
        <v>288</v>
      </c>
      <c r="E7" s="6" t="s">
        <v>30</v>
      </c>
      <c r="F7" s="6" t="s">
        <v>61</v>
      </c>
      <c r="G7" s="13" t="s">
        <v>73</v>
      </c>
      <c r="H7" s="6" t="s">
        <v>73</v>
      </c>
      <c r="I7" s="6" t="s">
        <v>102</v>
      </c>
      <c r="J7" s="6" t="s">
        <v>105</v>
      </c>
      <c r="K7" s="6" t="s">
        <v>139</v>
      </c>
      <c r="L7" s="13" t="s">
        <v>152</v>
      </c>
      <c r="M7" s="6"/>
      <c r="N7" s="6" t="s">
        <v>152</v>
      </c>
      <c r="O7" s="6" t="s">
        <v>161</v>
      </c>
      <c r="P7" s="6" t="s">
        <v>160</v>
      </c>
      <c r="Q7" s="13" t="s">
        <v>165</v>
      </c>
      <c r="R7" s="6" t="s">
        <v>165</v>
      </c>
      <c r="S7" s="6" t="s">
        <v>165</v>
      </c>
      <c r="T7" s="6" t="s">
        <v>165</v>
      </c>
      <c r="U7" s="13" t="s">
        <v>166</v>
      </c>
      <c r="V7" s="6" t="s">
        <v>166</v>
      </c>
      <c r="W7" s="6" t="s">
        <v>176</v>
      </c>
      <c r="X7" s="13" t="s">
        <v>457</v>
      </c>
      <c r="Y7" s="6" t="s">
        <v>458</v>
      </c>
      <c r="Z7" s="6" t="s">
        <v>459</v>
      </c>
      <c r="AA7" s="6"/>
      <c r="AB7" s="6" t="s">
        <v>0</v>
      </c>
      <c r="AC7" s="6" t="s">
        <v>73</v>
      </c>
      <c r="AD7" s="6"/>
    </row>
    <row r="8" spans="1:30" x14ac:dyDescent="0.25">
      <c r="A8" s="6" t="s">
        <v>1</v>
      </c>
      <c r="B8" s="13" t="s">
        <v>1</v>
      </c>
      <c r="C8" s="6" t="s">
        <v>1</v>
      </c>
      <c r="D8" s="6" t="s">
        <v>290</v>
      </c>
      <c r="E8" s="6" t="s">
        <v>297</v>
      </c>
      <c r="F8" s="6" t="s">
        <v>62</v>
      </c>
      <c r="G8" s="13" t="s">
        <v>74</v>
      </c>
      <c r="H8" s="6" t="s">
        <v>74</v>
      </c>
      <c r="I8" s="6" t="s">
        <v>291</v>
      </c>
      <c r="J8" s="6" t="s">
        <v>106</v>
      </c>
      <c r="K8" s="6" t="s">
        <v>140</v>
      </c>
      <c r="L8" s="13" t="s">
        <v>153</v>
      </c>
      <c r="M8" s="6"/>
      <c r="N8" s="6" t="s">
        <v>153</v>
      </c>
      <c r="O8" s="6" t="s">
        <v>162</v>
      </c>
      <c r="P8" s="6"/>
      <c r="Q8" s="13" t="s">
        <v>166</v>
      </c>
      <c r="R8" s="6" t="s">
        <v>166</v>
      </c>
      <c r="S8" s="6" t="s">
        <v>166</v>
      </c>
      <c r="T8" s="6"/>
      <c r="U8" s="13" t="s">
        <v>167</v>
      </c>
      <c r="V8" s="6" t="s">
        <v>167</v>
      </c>
      <c r="W8" s="6" t="s">
        <v>177</v>
      </c>
      <c r="X8" s="13"/>
      <c r="Y8" s="6"/>
      <c r="Z8" s="6"/>
      <c r="AA8" s="6"/>
      <c r="AB8" s="6" t="s">
        <v>1</v>
      </c>
      <c r="AC8" s="6" t="s">
        <v>74</v>
      </c>
      <c r="AD8" s="6"/>
    </row>
    <row r="9" spans="1:30" x14ac:dyDescent="0.25">
      <c r="A9" s="6" t="s">
        <v>2</v>
      </c>
      <c r="B9" s="13" t="s">
        <v>2</v>
      </c>
      <c r="C9" s="6" t="s">
        <v>2</v>
      </c>
      <c r="D9" s="6" t="s">
        <v>293</v>
      </c>
      <c r="E9" s="6" t="s">
        <v>31</v>
      </c>
      <c r="F9" s="6" t="s">
        <v>63</v>
      </c>
      <c r="G9" s="13" t="s">
        <v>75</v>
      </c>
      <c r="H9" s="6" t="s">
        <v>75</v>
      </c>
      <c r="I9" s="6" t="s">
        <v>103</v>
      </c>
      <c r="J9" s="6" t="s">
        <v>107</v>
      </c>
      <c r="K9" s="6" t="s">
        <v>141</v>
      </c>
      <c r="L9" s="13" t="s">
        <v>154</v>
      </c>
      <c r="M9" s="6"/>
      <c r="N9" s="6" t="s">
        <v>154</v>
      </c>
      <c r="O9" s="6" t="s">
        <v>163</v>
      </c>
      <c r="P9" s="6"/>
      <c r="Q9" s="13" t="s">
        <v>167</v>
      </c>
      <c r="R9" s="6" t="s">
        <v>167</v>
      </c>
      <c r="S9" s="6" t="s">
        <v>167</v>
      </c>
      <c r="T9" s="6"/>
      <c r="U9" s="13" t="s">
        <v>168</v>
      </c>
      <c r="V9" s="6" t="s">
        <v>168</v>
      </c>
      <c r="W9" s="6" t="s">
        <v>178</v>
      </c>
      <c r="X9" s="13"/>
      <c r="Y9" s="6"/>
      <c r="Z9" s="6"/>
      <c r="AA9" s="6"/>
      <c r="AB9" s="6" t="s">
        <v>2</v>
      </c>
      <c r="AC9" s="6" t="s">
        <v>75</v>
      </c>
      <c r="AD9" s="6"/>
    </row>
    <row r="10" spans="1:30" x14ac:dyDescent="0.25">
      <c r="A10" s="6" t="s">
        <v>3</v>
      </c>
      <c r="B10" s="13" t="s">
        <v>3</v>
      </c>
      <c r="C10" s="6" t="s">
        <v>3</v>
      </c>
      <c r="D10" s="6" t="s">
        <v>29</v>
      </c>
      <c r="E10" s="6" t="s">
        <v>32</v>
      </c>
      <c r="F10" s="6" t="s">
        <v>64</v>
      </c>
      <c r="G10" s="13" t="s">
        <v>76</v>
      </c>
      <c r="H10" s="6" t="s">
        <v>76</v>
      </c>
      <c r="I10" s="6" t="s">
        <v>104</v>
      </c>
      <c r="J10" s="6" t="s">
        <v>108</v>
      </c>
      <c r="K10" s="6" t="s">
        <v>142</v>
      </c>
      <c r="L10" s="13" t="s">
        <v>155</v>
      </c>
      <c r="M10" s="6"/>
      <c r="N10" s="6" t="s">
        <v>155</v>
      </c>
      <c r="O10" s="6" t="s">
        <v>164</v>
      </c>
      <c r="P10" s="6"/>
      <c r="Q10" s="13" t="s">
        <v>168</v>
      </c>
      <c r="R10" s="6" t="s">
        <v>168</v>
      </c>
      <c r="S10" s="6" t="s">
        <v>168</v>
      </c>
      <c r="T10" s="6"/>
      <c r="U10" s="13" t="s">
        <v>169</v>
      </c>
      <c r="V10" s="6" t="s">
        <v>169</v>
      </c>
      <c r="W10" s="6" t="s">
        <v>179</v>
      </c>
      <c r="X10" s="13"/>
      <c r="Y10" s="6"/>
      <c r="Z10" s="6"/>
      <c r="AA10" s="6"/>
      <c r="AB10" s="6" t="s">
        <v>3</v>
      </c>
      <c r="AC10" s="6" t="s">
        <v>76</v>
      </c>
      <c r="AD10" s="6"/>
    </row>
    <row r="11" spans="1:30" x14ac:dyDescent="0.25">
      <c r="A11" s="6" t="s">
        <v>215</v>
      </c>
      <c r="B11" s="13" t="s">
        <v>215</v>
      </c>
      <c r="C11" s="6" t="s">
        <v>215</v>
      </c>
      <c r="D11" s="6"/>
      <c r="E11" s="6" t="s">
        <v>33</v>
      </c>
      <c r="F11" s="6" t="s">
        <v>65</v>
      </c>
      <c r="G11" s="13" t="s">
        <v>216</v>
      </c>
      <c r="H11" s="6" t="s">
        <v>216</v>
      </c>
      <c r="I11" s="6"/>
      <c r="J11" s="6" t="s">
        <v>109</v>
      </c>
      <c r="K11" s="6" t="s">
        <v>143</v>
      </c>
      <c r="L11" s="13" t="s">
        <v>156</v>
      </c>
      <c r="M11" s="6"/>
      <c r="N11" s="6" t="s">
        <v>156</v>
      </c>
      <c r="O11" s="6"/>
      <c r="P11" s="6"/>
      <c r="Q11" s="13" t="s">
        <v>169</v>
      </c>
      <c r="R11" s="6" t="s">
        <v>169</v>
      </c>
      <c r="S11" s="6" t="s">
        <v>169</v>
      </c>
      <c r="T11" s="6"/>
      <c r="U11" s="13" t="s">
        <v>170</v>
      </c>
      <c r="V11" s="6" t="s">
        <v>170</v>
      </c>
      <c r="W11" s="6" t="s">
        <v>180</v>
      </c>
      <c r="X11" s="13"/>
      <c r="Y11" s="6"/>
      <c r="Z11" s="6"/>
      <c r="AA11" s="6"/>
      <c r="AB11" s="6" t="s">
        <v>215</v>
      </c>
      <c r="AC11" s="6" t="s">
        <v>216</v>
      </c>
      <c r="AD11" s="6"/>
    </row>
    <row r="12" spans="1:30" x14ac:dyDescent="0.25">
      <c r="A12" s="6" t="s">
        <v>4</v>
      </c>
      <c r="B12" s="13" t="s">
        <v>4</v>
      </c>
      <c r="C12" s="6" t="s">
        <v>4</v>
      </c>
      <c r="D12" s="6"/>
      <c r="E12" s="6" t="s">
        <v>34</v>
      </c>
      <c r="F12" s="6" t="s">
        <v>66</v>
      </c>
      <c r="G12" s="13" t="s">
        <v>77</v>
      </c>
      <c r="H12" s="6" t="s">
        <v>77</v>
      </c>
      <c r="I12" s="6"/>
      <c r="J12" s="6" t="s">
        <v>110</v>
      </c>
      <c r="K12" s="6" t="s">
        <v>144</v>
      </c>
      <c r="L12" s="13" t="s">
        <v>157</v>
      </c>
      <c r="M12" s="6"/>
      <c r="N12" s="6" t="s">
        <v>157</v>
      </c>
      <c r="O12" s="6"/>
      <c r="P12" s="6"/>
      <c r="Q12" s="13" t="s">
        <v>170</v>
      </c>
      <c r="R12" s="6" t="s">
        <v>170</v>
      </c>
      <c r="S12" s="6" t="s">
        <v>170</v>
      </c>
      <c r="T12" s="6"/>
      <c r="U12" s="13" t="s">
        <v>171</v>
      </c>
      <c r="V12" s="6" t="s">
        <v>171</v>
      </c>
      <c r="W12" s="6"/>
      <c r="X12" s="13"/>
      <c r="Y12" s="6"/>
      <c r="Z12" s="6"/>
      <c r="AA12" s="6"/>
      <c r="AB12" s="6" t="s">
        <v>4</v>
      </c>
      <c r="AC12" s="6" t="s">
        <v>77</v>
      </c>
      <c r="AD12" s="6"/>
    </row>
    <row r="13" spans="1:30" x14ac:dyDescent="0.25">
      <c r="A13" s="6" t="s">
        <v>5</v>
      </c>
      <c r="B13" s="13" t="s">
        <v>5</v>
      </c>
      <c r="C13" s="6" t="s">
        <v>5</v>
      </c>
      <c r="D13" s="6"/>
      <c r="E13" s="6" t="s">
        <v>35</v>
      </c>
      <c r="F13" s="6" t="s">
        <v>67</v>
      </c>
      <c r="G13" s="13" t="s">
        <v>78</v>
      </c>
      <c r="H13" s="6" t="s">
        <v>78</v>
      </c>
      <c r="I13" s="6"/>
      <c r="J13" s="6" t="s">
        <v>111</v>
      </c>
      <c r="K13" s="6" t="s">
        <v>145</v>
      </c>
      <c r="L13" s="13" t="s">
        <v>158</v>
      </c>
      <c r="M13" s="6"/>
      <c r="N13" s="6" t="s">
        <v>158</v>
      </c>
      <c r="O13" s="6"/>
      <c r="P13" s="6"/>
      <c r="Q13" s="13" t="s">
        <v>171</v>
      </c>
      <c r="R13" s="6" t="s">
        <v>171</v>
      </c>
      <c r="S13" s="6" t="s">
        <v>171</v>
      </c>
      <c r="T13" s="6"/>
      <c r="U13" s="13" t="s">
        <v>172</v>
      </c>
      <c r="V13" s="6" t="s">
        <v>172</v>
      </c>
      <c r="W13" s="6"/>
      <c r="X13" s="13"/>
      <c r="Y13" s="6"/>
      <c r="Z13" s="6"/>
      <c r="AA13" s="6"/>
      <c r="AB13" s="6" t="s">
        <v>5</v>
      </c>
      <c r="AC13" s="6" t="s">
        <v>78</v>
      </c>
      <c r="AD13" s="6"/>
    </row>
    <row r="14" spans="1:30" x14ac:dyDescent="0.25">
      <c r="A14" s="6" t="s">
        <v>6</v>
      </c>
      <c r="B14" s="13" t="s">
        <v>6</v>
      </c>
      <c r="C14" s="6" t="s">
        <v>6</v>
      </c>
      <c r="D14" s="6"/>
      <c r="E14" s="6" t="s">
        <v>36</v>
      </c>
      <c r="F14" s="6" t="s">
        <v>68</v>
      </c>
      <c r="G14" s="13" t="s">
        <v>79</v>
      </c>
      <c r="H14" s="6" t="s">
        <v>79</v>
      </c>
      <c r="I14" s="6"/>
      <c r="J14" s="6" t="s">
        <v>112</v>
      </c>
      <c r="K14" s="6" t="s">
        <v>146</v>
      </c>
      <c r="L14" s="13" t="s">
        <v>159</v>
      </c>
      <c r="M14" s="6"/>
      <c r="N14" s="6" t="s">
        <v>159</v>
      </c>
      <c r="O14" s="6"/>
      <c r="P14" s="6"/>
      <c r="Q14" s="13" t="s">
        <v>172</v>
      </c>
      <c r="R14" s="6" t="s">
        <v>172</v>
      </c>
      <c r="S14" s="6" t="s">
        <v>172</v>
      </c>
      <c r="T14" s="6"/>
      <c r="U14" s="13" t="s">
        <v>173</v>
      </c>
      <c r="V14" s="6" t="s">
        <v>173</v>
      </c>
      <c r="W14" s="6"/>
      <c r="X14" s="13"/>
      <c r="Y14" s="6"/>
      <c r="Z14" s="6"/>
      <c r="AA14" s="6"/>
      <c r="AB14" s="6" t="s">
        <v>6</v>
      </c>
      <c r="AC14" s="6" t="s">
        <v>79</v>
      </c>
      <c r="AD14" s="6"/>
    </row>
    <row r="15" spans="1:30" x14ac:dyDescent="0.25">
      <c r="A15" s="6" t="s">
        <v>7</v>
      </c>
      <c r="B15" s="13" t="s">
        <v>7</v>
      </c>
      <c r="C15" s="6" t="s">
        <v>7</v>
      </c>
      <c r="D15" s="6"/>
      <c r="E15" s="6" t="s">
        <v>37</v>
      </c>
      <c r="F15" s="6" t="s">
        <v>69</v>
      </c>
      <c r="G15" s="13" t="s">
        <v>80</v>
      </c>
      <c r="H15" s="6" t="s">
        <v>80</v>
      </c>
      <c r="I15" s="6"/>
      <c r="J15" s="6" t="s">
        <v>113</v>
      </c>
      <c r="K15" s="6" t="s">
        <v>147</v>
      </c>
      <c r="L15" s="13" t="s">
        <v>160</v>
      </c>
      <c r="M15" s="6"/>
      <c r="N15" s="6"/>
      <c r="O15" s="6"/>
      <c r="P15" s="6"/>
      <c r="Q15" s="13" t="s">
        <v>173</v>
      </c>
      <c r="R15" s="6" t="s">
        <v>173</v>
      </c>
      <c r="S15" s="6" t="s">
        <v>173</v>
      </c>
      <c r="T15" s="6"/>
      <c r="U15" s="13" t="s">
        <v>174</v>
      </c>
      <c r="V15" s="6" t="s">
        <v>174</v>
      </c>
      <c r="W15" s="6"/>
      <c r="X15" s="13"/>
      <c r="Y15" s="6"/>
      <c r="Z15" s="6"/>
      <c r="AA15" s="6"/>
      <c r="AB15" s="6" t="s">
        <v>7</v>
      </c>
      <c r="AC15" s="6" t="s">
        <v>80</v>
      </c>
      <c r="AD15" s="6"/>
    </row>
    <row r="16" spans="1:30" x14ac:dyDescent="0.25">
      <c r="A16" s="6" t="s">
        <v>8</v>
      </c>
      <c r="B16" s="13" t="s">
        <v>8</v>
      </c>
      <c r="C16" s="6" t="s">
        <v>8</v>
      </c>
      <c r="D16" s="6"/>
      <c r="E16" s="6" t="s">
        <v>306</v>
      </c>
      <c r="F16" s="6" t="s">
        <v>70</v>
      </c>
      <c r="G16" s="13" t="s">
        <v>81</v>
      </c>
      <c r="H16" s="6" t="s">
        <v>81</v>
      </c>
      <c r="I16" s="6"/>
      <c r="J16" s="6" t="s">
        <v>307</v>
      </c>
      <c r="K16" s="6" t="s">
        <v>148</v>
      </c>
      <c r="L16" s="13" t="s">
        <v>161</v>
      </c>
      <c r="M16" s="6"/>
      <c r="N16" s="6"/>
      <c r="O16" s="6"/>
      <c r="P16" s="6"/>
      <c r="Q16" s="13" t="s">
        <v>174</v>
      </c>
      <c r="R16" s="6" t="s">
        <v>174</v>
      </c>
      <c r="S16" s="6" t="s">
        <v>174</v>
      </c>
      <c r="T16" s="6"/>
      <c r="U16" s="13" t="s">
        <v>175</v>
      </c>
      <c r="V16" s="6" t="s">
        <v>175</v>
      </c>
      <c r="W16" s="6"/>
      <c r="X16" s="13"/>
      <c r="Y16" s="6"/>
      <c r="Z16" s="6"/>
      <c r="AA16" s="6"/>
      <c r="AB16" s="6" t="s">
        <v>8</v>
      </c>
      <c r="AC16" s="6" t="s">
        <v>81</v>
      </c>
      <c r="AD16" s="6"/>
    </row>
    <row r="17" spans="1:30" x14ac:dyDescent="0.25">
      <c r="A17" s="6" t="s">
        <v>9</v>
      </c>
      <c r="B17" s="13" t="s">
        <v>9</v>
      </c>
      <c r="C17" s="6" t="s">
        <v>9</v>
      </c>
      <c r="D17" s="6"/>
      <c r="E17" s="6" t="s">
        <v>38</v>
      </c>
      <c r="F17" s="6" t="s">
        <v>71</v>
      </c>
      <c r="G17" s="13" t="s">
        <v>82</v>
      </c>
      <c r="H17" s="6" t="s">
        <v>82</v>
      </c>
      <c r="I17" s="6"/>
      <c r="J17" s="6" t="s">
        <v>114</v>
      </c>
      <c r="K17" s="6" t="s">
        <v>149</v>
      </c>
      <c r="L17" s="13" t="s">
        <v>162</v>
      </c>
      <c r="M17" s="6"/>
      <c r="N17" s="6"/>
      <c r="O17" s="6"/>
      <c r="P17" s="6"/>
      <c r="Q17" s="13" t="s">
        <v>175</v>
      </c>
      <c r="R17" s="6" t="s">
        <v>175</v>
      </c>
      <c r="S17" s="6" t="s">
        <v>175</v>
      </c>
      <c r="T17" s="6"/>
      <c r="U17" s="13" t="s">
        <v>176</v>
      </c>
      <c r="V17" s="6"/>
      <c r="W17" s="6"/>
      <c r="X17" s="13"/>
      <c r="Y17" s="6"/>
      <c r="Z17" s="6"/>
      <c r="AA17" s="6"/>
      <c r="AB17" s="6" t="s">
        <v>9</v>
      </c>
      <c r="AC17" s="6" t="s">
        <v>82</v>
      </c>
      <c r="AD17" s="6"/>
    </row>
    <row r="18" spans="1:30" x14ac:dyDescent="0.25">
      <c r="A18" s="6" t="s">
        <v>10</v>
      </c>
      <c r="B18" s="13" t="s">
        <v>10</v>
      </c>
      <c r="C18" s="6" t="s">
        <v>10</v>
      </c>
      <c r="D18" s="6"/>
      <c r="E18" s="6" t="s">
        <v>39</v>
      </c>
      <c r="F18" s="6" t="s">
        <v>72</v>
      </c>
      <c r="G18" s="13" t="s">
        <v>83</v>
      </c>
      <c r="H18" s="6" t="s">
        <v>83</v>
      </c>
      <c r="I18" s="6"/>
      <c r="J18" s="6" t="s">
        <v>115</v>
      </c>
      <c r="K18" s="6" t="s">
        <v>150</v>
      </c>
      <c r="L18" s="13" t="s">
        <v>163</v>
      </c>
      <c r="M18" s="6"/>
      <c r="N18" s="6"/>
      <c r="O18" s="6"/>
      <c r="P18" s="6"/>
      <c r="Q18" s="13" t="s">
        <v>176</v>
      </c>
      <c r="R18" s="6" t="s">
        <v>176</v>
      </c>
      <c r="S18" s="6" t="s">
        <v>176</v>
      </c>
      <c r="T18" s="6"/>
      <c r="U18" s="13" t="s">
        <v>177</v>
      </c>
      <c r="V18" s="6"/>
      <c r="W18" s="6"/>
      <c r="X18" s="13"/>
      <c r="Y18" s="6"/>
      <c r="Z18" s="6"/>
      <c r="AA18" s="6"/>
      <c r="AB18" s="6" t="s">
        <v>10</v>
      </c>
      <c r="AC18" s="6" t="s">
        <v>83</v>
      </c>
      <c r="AD18" s="6"/>
    </row>
    <row r="19" spans="1:30" x14ac:dyDescent="0.25">
      <c r="A19" s="6" t="s">
        <v>11</v>
      </c>
      <c r="B19" s="13" t="s">
        <v>11</v>
      </c>
      <c r="C19" s="6" t="s">
        <v>11</v>
      </c>
      <c r="D19" s="6"/>
      <c r="E19" s="6" t="s">
        <v>40</v>
      </c>
      <c r="F19" s="6"/>
      <c r="G19" s="13" t="s">
        <v>84</v>
      </c>
      <c r="H19" s="6" t="s">
        <v>84</v>
      </c>
      <c r="I19" s="6"/>
      <c r="J19" s="6" t="s">
        <v>116</v>
      </c>
      <c r="K19" s="6"/>
      <c r="L19" s="13" t="s">
        <v>164</v>
      </c>
      <c r="M19" s="6"/>
      <c r="N19" s="6"/>
      <c r="O19" s="6"/>
      <c r="P19" s="6"/>
      <c r="Q19" s="13" t="s">
        <v>177</v>
      </c>
      <c r="R19" s="6" t="s">
        <v>177</v>
      </c>
      <c r="S19" s="6" t="s">
        <v>177</v>
      </c>
      <c r="T19" s="6"/>
      <c r="U19" s="13" t="s">
        <v>178</v>
      </c>
      <c r="V19" s="6"/>
      <c r="W19" s="6"/>
      <c r="X19" s="13"/>
      <c r="Y19" s="6"/>
      <c r="Z19" s="6"/>
      <c r="AA19" s="6"/>
      <c r="AB19" s="6" t="s">
        <v>11</v>
      </c>
      <c r="AC19" s="6" t="s">
        <v>84</v>
      </c>
      <c r="AD19" s="6"/>
    </row>
    <row r="20" spans="1:30" x14ac:dyDescent="0.25">
      <c r="A20" s="6" t="s">
        <v>12</v>
      </c>
      <c r="B20" s="13" t="s">
        <v>12</v>
      </c>
      <c r="C20" s="6" t="s">
        <v>12</v>
      </c>
      <c r="D20" s="6"/>
      <c r="E20" s="6" t="s">
        <v>41</v>
      </c>
      <c r="F20" s="6"/>
      <c r="G20" s="13" t="s">
        <v>85</v>
      </c>
      <c r="H20" s="6" t="s">
        <v>85</v>
      </c>
      <c r="I20" s="6"/>
      <c r="J20" s="6" t="s">
        <v>117</v>
      </c>
      <c r="K20" s="6"/>
      <c r="L20" s="13"/>
      <c r="M20" s="6"/>
      <c r="N20" s="6"/>
      <c r="O20" s="6"/>
      <c r="P20" s="6"/>
      <c r="Q20" s="13" t="s">
        <v>178</v>
      </c>
      <c r="R20" s="6" t="s">
        <v>178</v>
      </c>
      <c r="S20" s="6" t="s">
        <v>178</v>
      </c>
      <c r="T20" s="6"/>
      <c r="U20" s="13" t="s">
        <v>179</v>
      </c>
      <c r="V20" s="6"/>
      <c r="W20" s="6"/>
      <c r="X20" s="13"/>
      <c r="Y20" s="6"/>
      <c r="Z20" s="6"/>
      <c r="AA20" s="6"/>
      <c r="AB20" s="6" t="s">
        <v>12</v>
      </c>
      <c r="AC20" s="6" t="s">
        <v>85</v>
      </c>
      <c r="AD20" s="6"/>
    </row>
    <row r="21" spans="1:30" x14ac:dyDescent="0.25">
      <c r="A21" s="6" t="s">
        <v>13</v>
      </c>
      <c r="B21" s="13" t="s">
        <v>13</v>
      </c>
      <c r="C21" s="6" t="s">
        <v>13</v>
      </c>
      <c r="D21" s="6"/>
      <c r="E21" s="6" t="s">
        <v>42</v>
      </c>
      <c r="F21" s="6"/>
      <c r="G21" s="13" t="s">
        <v>86</v>
      </c>
      <c r="H21" s="6" t="s">
        <v>86</v>
      </c>
      <c r="I21" s="6"/>
      <c r="J21" s="6" t="s">
        <v>118</v>
      </c>
      <c r="K21" s="6"/>
      <c r="L21" s="13"/>
      <c r="M21" s="6"/>
      <c r="N21" s="6"/>
      <c r="O21" s="6"/>
      <c r="P21" s="6"/>
      <c r="Q21" s="13" t="s">
        <v>179</v>
      </c>
      <c r="R21" s="6" t="s">
        <v>179</v>
      </c>
      <c r="S21" s="6" t="s">
        <v>179</v>
      </c>
      <c r="T21" s="6"/>
      <c r="U21" s="13" t="s">
        <v>180</v>
      </c>
      <c r="V21" s="6"/>
      <c r="W21" s="6"/>
      <c r="X21" s="13"/>
      <c r="Y21" s="6"/>
      <c r="Z21" s="6"/>
      <c r="AA21" s="6"/>
      <c r="AB21" s="6" t="s">
        <v>13</v>
      </c>
      <c r="AC21" s="6" t="s">
        <v>86</v>
      </c>
      <c r="AD21" s="6"/>
    </row>
    <row r="22" spans="1:30" x14ac:dyDescent="0.25">
      <c r="A22" s="6" t="s">
        <v>14</v>
      </c>
      <c r="B22" s="13" t="s">
        <v>14</v>
      </c>
      <c r="C22" s="6" t="s">
        <v>14</v>
      </c>
      <c r="D22" s="6"/>
      <c r="E22" s="6" t="s">
        <v>43</v>
      </c>
      <c r="F22" s="6"/>
      <c r="G22" s="13" t="s">
        <v>87</v>
      </c>
      <c r="H22" s="6" t="s">
        <v>87</v>
      </c>
      <c r="I22" s="6"/>
      <c r="J22" s="6" t="s">
        <v>119</v>
      </c>
      <c r="K22" s="6"/>
      <c r="L22" s="13"/>
      <c r="M22" s="6"/>
      <c r="N22" s="6"/>
      <c r="O22" s="6"/>
      <c r="P22" s="6"/>
      <c r="Q22" s="13" t="s">
        <v>180</v>
      </c>
      <c r="R22" s="6" t="s">
        <v>180</v>
      </c>
      <c r="S22" s="6" t="s">
        <v>180</v>
      </c>
      <c r="T22" s="6"/>
      <c r="U22" s="13"/>
      <c r="V22" s="6"/>
      <c r="W22" s="6"/>
      <c r="X22" s="13"/>
      <c r="Y22" s="6"/>
      <c r="Z22" s="6"/>
      <c r="AA22" s="6"/>
      <c r="AB22" s="6" t="s">
        <v>14</v>
      </c>
      <c r="AC22" s="6" t="s">
        <v>87</v>
      </c>
      <c r="AD22" s="6"/>
    </row>
    <row r="23" spans="1:30" x14ac:dyDescent="0.25">
      <c r="A23" s="6" t="s">
        <v>259</v>
      </c>
      <c r="B23" s="13" t="s">
        <v>259</v>
      </c>
      <c r="C23" s="6" t="s">
        <v>259</v>
      </c>
      <c r="D23" s="6"/>
      <c r="E23" s="6" t="s">
        <v>44</v>
      </c>
      <c r="F23" s="6"/>
      <c r="G23" s="13" t="s">
        <v>260</v>
      </c>
      <c r="H23" s="6" t="s">
        <v>260</v>
      </c>
      <c r="I23" s="6"/>
      <c r="J23" s="6" t="s">
        <v>120</v>
      </c>
      <c r="K23" s="6"/>
      <c r="L23" s="13"/>
      <c r="M23" s="6"/>
      <c r="N23" s="6"/>
      <c r="O23" s="6"/>
      <c r="P23" s="6"/>
      <c r="Q23" s="13" t="s">
        <v>181</v>
      </c>
      <c r="R23" s="6" t="s">
        <v>181</v>
      </c>
      <c r="S23" s="6"/>
      <c r="T23" s="6"/>
      <c r="U23" s="13"/>
      <c r="V23" s="6"/>
      <c r="W23" s="6"/>
      <c r="X23" s="13"/>
      <c r="Y23" s="6"/>
      <c r="Z23" s="6"/>
      <c r="AA23" s="6"/>
      <c r="AB23" s="6" t="s">
        <v>259</v>
      </c>
      <c r="AC23" s="6" t="s">
        <v>260</v>
      </c>
      <c r="AD23" s="6"/>
    </row>
    <row r="24" spans="1:30" x14ac:dyDescent="0.25">
      <c r="A24" s="6" t="s">
        <v>262</v>
      </c>
      <c r="B24" s="13" t="s">
        <v>262</v>
      </c>
      <c r="C24" s="6" t="s">
        <v>262</v>
      </c>
      <c r="D24" s="6"/>
      <c r="E24" s="6" t="s">
        <v>316</v>
      </c>
      <c r="F24" s="6"/>
      <c r="G24" s="13" t="s">
        <v>263</v>
      </c>
      <c r="H24" s="6" t="s">
        <v>263</v>
      </c>
      <c r="I24" s="6"/>
      <c r="J24" s="6" t="s">
        <v>121</v>
      </c>
      <c r="K24" s="6"/>
      <c r="L24" s="13"/>
      <c r="M24" s="6"/>
      <c r="N24" s="6"/>
      <c r="O24" s="6"/>
      <c r="P24" s="6"/>
      <c r="Q24" s="13" t="s">
        <v>188</v>
      </c>
      <c r="R24" s="6"/>
      <c r="S24" s="6"/>
      <c r="T24" s="6"/>
      <c r="U24" s="13"/>
      <c r="V24" s="6"/>
      <c r="W24" s="6"/>
      <c r="X24" s="13"/>
      <c r="Y24" s="6"/>
      <c r="Z24" s="6"/>
      <c r="AA24" s="6"/>
      <c r="AB24" s="6" t="s">
        <v>262</v>
      </c>
      <c r="AC24" s="6" t="s">
        <v>263</v>
      </c>
      <c r="AD24" s="6"/>
    </row>
    <row r="25" spans="1:30" x14ac:dyDescent="0.25">
      <c r="A25" s="6" t="s">
        <v>15</v>
      </c>
      <c r="B25" s="13" t="s">
        <v>15</v>
      </c>
      <c r="C25" s="6" t="s">
        <v>15</v>
      </c>
      <c r="D25" s="6"/>
      <c r="E25" s="6" t="s">
        <v>45</v>
      </c>
      <c r="F25" s="6"/>
      <c r="G25" s="13" t="s">
        <v>88</v>
      </c>
      <c r="H25" s="6" t="s">
        <v>88</v>
      </c>
      <c r="I25" s="6"/>
      <c r="J25" s="6" t="s">
        <v>122</v>
      </c>
      <c r="K25" s="6"/>
      <c r="L25" s="13"/>
      <c r="M25" s="6"/>
      <c r="N25" s="6"/>
      <c r="O25" s="6"/>
      <c r="P25" s="6"/>
      <c r="Q25" s="13"/>
      <c r="R25" s="6"/>
      <c r="S25" s="6"/>
      <c r="T25" s="6"/>
      <c r="U25" s="13"/>
      <c r="V25" s="6"/>
      <c r="W25" s="6"/>
      <c r="X25" s="13"/>
      <c r="Y25" s="6"/>
      <c r="Z25" s="6"/>
      <c r="AA25" s="6"/>
      <c r="AB25" s="6" t="s">
        <v>15</v>
      </c>
      <c r="AC25" s="6" t="s">
        <v>88</v>
      </c>
      <c r="AD25" s="6"/>
    </row>
    <row r="26" spans="1:30" x14ac:dyDescent="0.25">
      <c r="A26" s="6" t="s">
        <v>16</v>
      </c>
      <c r="B26" s="13" t="s">
        <v>16</v>
      </c>
      <c r="C26" s="6" t="s">
        <v>16</v>
      </c>
      <c r="D26" s="6"/>
      <c r="E26" s="6" t="s">
        <v>46</v>
      </c>
      <c r="F26" s="6"/>
      <c r="G26" s="13" t="s">
        <v>89</v>
      </c>
      <c r="H26" s="6" t="s">
        <v>89</v>
      </c>
      <c r="I26" s="6"/>
      <c r="J26" s="6" t="s">
        <v>123</v>
      </c>
      <c r="K26" s="6"/>
      <c r="L26" s="13"/>
      <c r="M26" s="6"/>
      <c r="N26" s="6"/>
      <c r="O26" s="6"/>
      <c r="P26" s="6"/>
      <c r="Q26" s="13"/>
      <c r="R26" s="6"/>
      <c r="S26" s="6"/>
      <c r="T26" s="6"/>
      <c r="U26" s="13"/>
      <c r="V26" s="6"/>
      <c r="W26" s="6"/>
      <c r="X26" s="13"/>
      <c r="Y26" s="6"/>
      <c r="Z26" s="6"/>
      <c r="AA26" s="6"/>
      <c r="AB26" s="6" t="s">
        <v>16</v>
      </c>
      <c r="AC26" s="6" t="s">
        <v>89</v>
      </c>
      <c r="AD26" s="6"/>
    </row>
    <row r="27" spans="1:30" x14ac:dyDescent="0.25">
      <c r="A27" s="6" t="s">
        <v>17</v>
      </c>
      <c r="B27" s="13" t="s">
        <v>17</v>
      </c>
      <c r="C27" s="6" t="s">
        <v>17</v>
      </c>
      <c r="D27" s="6"/>
      <c r="E27" s="6" t="s">
        <v>47</v>
      </c>
      <c r="F27" s="6"/>
      <c r="G27" s="13" t="s">
        <v>90</v>
      </c>
      <c r="H27" s="6" t="s">
        <v>90</v>
      </c>
      <c r="I27" s="6"/>
      <c r="J27" s="6" t="s">
        <v>124</v>
      </c>
      <c r="K27" s="6"/>
      <c r="L27" s="13"/>
      <c r="M27" s="6"/>
      <c r="N27" s="6"/>
      <c r="O27" s="6"/>
      <c r="P27" s="6"/>
      <c r="Q27" s="13"/>
      <c r="R27" s="6"/>
      <c r="S27" s="6"/>
      <c r="T27" s="6"/>
      <c r="U27" s="13"/>
      <c r="V27" s="6"/>
      <c r="W27" s="6"/>
      <c r="X27" s="13"/>
      <c r="Y27" s="6"/>
      <c r="Z27" s="6"/>
      <c r="AA27" s="6"/>
      <c r="AB27" s="6" t="s">
        <v>17</v>
      </c>
      <c r="AC27" s="6" t="s">
        <v>90</v>
      </c>
      <c r="AD27" s="6"/>
    </row>
    <row r="28" spans="1:30" x14ac:dyDescent="0.25">
      <c r="A28" s="6" t="s">
        <v>18</v>
      </c>
      <c r="B28" s="13" t="s">
        <v>18</v>
      </c>
      <c r="C28" s="6" t="s">
        <v>18</v>
      </c>
      <c r="D28" s="6"/>
      <c r="E28" s="6" t="s">
        <v>48</v>
      </c>
      <c r="F28" s="6"/>
      <c r="G28" s="13" t="s">
        <v>91</v>
      </c>
      <c r="H28" s="6" t="s">
        <v>91</v>
      </c>
      <c r="I28" s="6"/>
      <c r="J28" s="6" t="s">
        <v>125</v>
      </c>
      <c r="K28" s="6"/>
      <c r="L28" s="13"/>
      <c r="M28" s="6"/>
      <c r="N28" s="6"/>
      <c r="O28" s="6"/>
      <c r="P28" s="6"/>
      <c r="Q28" s="13"/>
      <c r="R28" s="6"/>
      <c r="S28" s="6"/>
      <c r="T28" s="6"/>
      <c r="U28" s="13"/>
      <c r="V28" s="6"/>
      <c r="W28" s="6"/>
      <c r="X28" s="13"/>
      <c r="Y28" s="6"/>
      <c r="Z28" s="6"/>
      <c r="AA28" s="6"/>
      <c r="AB28" s="6" t="s">
        <v>18</v>
      </c>
      <c r="AC28" s="6" t="s">
        <v>91</v>
      </c>
      <c r="AD28" s="6"/>
    </row>
    <row r="29" spans="1:30" x14ac:dyDescent="0.25">
      <c r="A29" s="6" t="s">
        <v>269</v>
      </c>
      <c r="B29" s="13" t="s">
        <v>269</v>
      </c>
      <c r="C29" s="6" t="s">
        <v>269</v>
      </c>
      <c r="D29" s="6"/>
      <c r="E29" s="6" t="s">
        <v>49</v>
      </c>
      <c r="F29" s="6"/>
      <c r="G29" s="13" t="s">
        <v>270</v>
      </c>
      <c r="H29" s="6" t="s">
        <v>270</v>
      </c>
      <c r="I29" s="6"/>
      <c r="J29" s="6" t="s">
        <v>126</v>
      </c>
      <c r="K29" s="6"/>
      <c r="L29" s="13"/>
      <c r="M29" s="6"/>
      <c r="N29" s="6"/>
      <c r="O29" s="6"/>
      <c r="P29" s="6"/>
      <c r="Q29" s="13"/>
      <c r="R29" s="6"/>
      <c r="S29" s="6"/>
      <c r="T29" s="6"/>
      <c r="U29" s="13"/>
      <c r="V29" s="6"/>
      <c r="W29" s="6"/>
      <c r="X29" s="13"/>
      <c r="Y29" s="6"/>
      <c r="Z29" s="6"/>
      <c r="AA29" s="6"/>
      <c r="AB29" s="6" t="s">
        <v>269</v>
      </c>
      <c r="AC29" s="6" t="s">
        <v>270</v>
      </c>
      <c r="AD29" s="6"/>
    </row>
    <row r="30" spans="1:30" x14ac:dyDescent="0.25">
      <c r="A30" s="6" t="s">
        <v>272</v>
      </c>
      <c r="B30" s="13" t="s">
        <v>272</v>
      </c>
      <c r="C30" s="6" t="s">
        <v>272</v>
      </c>
      <c r="D30" s="6"/>
      <c r="E30" s="6" t="s">
        <v>323</v>
      </c>
      <c r="F30" s="6"/>
      <c r="G30" s="13" t="s">
        <v>273</v>
      </c>
      <c r="H30" s="6" t="s">
        <v>273</v>
      </c>
      <c r="I30" s="6"/>
      <c r="J30" s="6" t="s">
        <v>127</v>
      </c>
      <c r="K30" s="6"/>
      <c r="L30" s="13"/>
      <c r="M30" s="6"/>
      <c r="N30" s="6"/>
      <c r="O30" s="6"/>
      <c r="P30" s="6"/>
      <c r="Q30" s="13"/>
      <c r="R30" s="6"/>
      <c r="S30" s="6"/>
      <c r="T30" s="6"/>
      <c r="U30" s="13"/>
      <c r="V30" s="6"/>
      <c r="W30" s="6"/>
      <c r="X30" s="13"/>
      <c r="Y30" s="6"/>
      <c r="Z30" s="6"/>
      <c r="AA30" s="6"/>
      <c r="AB30" s="6" t="s">
        <v>272</v>
      </c>
      <c r="AC30" s="6" t="s">
        <v>273</v>
      </c>
      <c r="AD30" s="6"/>
    </row>
    <row r="31" spans="1:30" x14ac:dyDescent="0.25">
      <c r="A31" s="6" t="s">
        <v>275</v>
      </c>
      <c r="B31" s="13" t="s">
        <v>275</v>
      </c>
      <c r="C31" s="6" t="s">
        <v>275</v>
      </c>
      <c r="D31" s="6"/>
      <c r="E31" s="6" t="s">
        <v>50</v>
      </c>
      <c r="F31" s="6"/>
      <c r="G31" s="13" t="s">
        <v>276</v>
      </c>
      <c r="H31" s="6" t="s">
        <v>276</v>
      </c>
      <c r="I31" s="6"/>
      <c r="J31" s="6" t="s">
        <v>128</v>
      </c>
      <c r="K31" s="6"/>
      <c r="L31" s="13"/>
      <c r="M31" s="6"/>
      <c r="N31" s="6"/>
      <c r="O31" s="6"/>
      <c r="P31" s="6"/>
      <c r="Q31" s="13"/>
      <c r="R31" s="6"/>
      <c r="S31" s="6"/>
      <c r="T31" s="6"/>
      <c r="U31" s="13"/>
      <c r="V31" s="6"/>
      <c r="W31" s="6"/>
      <c r="X31" s="13"/>
      <c r="Y31" s="6"/>
      <c r="Z31" s="6"/>
      <c r="AA31" s="6"/>
      <c r="AB31" s="6" t="s">
        <v>275</v>
      </c>
      <c r="AC31" s="6" t="s">
        <v>276</v>
      </c>
      <c r="AD31" s="6"/>
    </row>
    <row r="32" spans="1:30" x14ac:dyDescent="0.25">
      <c r="A32" s="6" t="s">
        <v>19</v>
      </c>
      <c r="B32" s="13" t="s">
        <v>19</v>
      </c>
      <c r="C32" s="6" t="s">
        <v>19</v>
      </c>
      <c r="D32" s="6"/>
      <c r="E32" s="6" t="s">
        <v>51</v>
      </c>
      <c r="F32" s="6"/>
      <c r="G32" s="13" t="s">
        <v>92</v>
      </c>
      <c r="H32" s="6" t="s">
        <v>92</v>
      </c>
      <c r="I32" s="6"/>
      <c r="J32" s="6" t="s">
        <v>129</v>
      </c>
      <c r="K32" s="6"/>
      <c r="L32" s="13"/>
      <c r="M32" s="6"/>
      <c r="N32" s="6"/>
      <c r="O32" s="6"/>
      <c r="P32" s="6"/>
      <c r="Q32" s="13"/>
      <c r="R32" s="6"/>
      <c r="S32" s="6"/>
      <c r="T32" s="6"/>
      <c r="U32" s="13"/>
      <c r="V32" s="6"/>
      <c r="W32" s="6"/>
      <c r="X32" s="13"/>
      <c r="Y32" s="6"/>
      <c r="Z32" s="6"/>
      <c r="AA32" s="6"/>
      <c r="AB32" s="6" t="s">
        <v>19</v>
      </c>
      <c r="AC32" s="6" t="s">
        <v>92</v>
      </c>
      <c r="AD32" s="6"/>
    </row>
    <row r="33" spans="1:30" x14ac:dyDescent="0.25">
      <c r="A33" s="6" t="s">
        <v>20</v>
      </c>
      <c r="B33" s="13" t="s">
        <v>20</v>
      </c>
      <c r="C33" s="6" t="s">
        <v>20</v>
      </c>
      <c r="D33" s="6"/>
      <c r="E33" s="6" t="s">
        <v>52</v>
      </c>
      <c r="F33" s="6"/>
      <c r="G33" s="13" t="s">
        <v>93</v>
      </c>
      <c r="H33" s="6" t="s">
        <v>93</v>
      </c>
      <c r="I33" s="6"/>
      <c r="J33" s="6" t="s">
        <v>130</v>
      </c>
      <c r="K33" s="6"/>
      <c r="L33" s="13"/>
      <c r="M33" s="6"/>
      <c r="N33" s="6"/>
      <c r="O33" s="6"/>
      <c r="P33" s="6"/>
      <c r="Q33" s="13"/>
      <c r="R33" s="6"/>
      <c r="S33" s="6"/>
      <c r="T33" s="6"/>
      <c r="U33" s="13"/>
      <c r="V33" s="6"/>
      <c r="W33" s="6"/>
      <c r="X33" s="13"/>
      <c r="Y33" s="6"/>
      <c r="Z33" s="6"/>
      <c r="AA33" s="6"/>
      <c r="AB33" s="6" t="s">
        <v>20</v>
      </c>
      <c r="AC33" s="6" t="s">
        <v>93</v>
      </c>
      <c r="AD33" s="6"/>
    </row>
    <row r="34" spans="1:30" x14ac:dyDescent="0.25">
      <c r="A34" s="6" t="s">
        <v>21</v>
      </c>
      <c r="B34" s="13" t="s">
        <v>21</v>
      </c>
      <c r="C34" s="6" t="s">
        <v>21</v>
      </c>
      <c r="D34" s="6"/>
      <c r="E34" s="6" t="s">
        <v>53</v>
      </c>
      <c r="F34" s="6"/>
      <c r="G34" s="13" t="s">
        <v>94</v>
      </c>
      <c r="H34" s="6" t="s">
        <v>94</v>
      </c>
      <c r="I34" s="6"/>
      <c r="J34" s="6" t="s">
        <v>131</v>
      </c>
      <c r="K34" s="6"/>
      <c r="L34" s="13"/>
      <c r="M34" s="6"/>
      <c r="N34" s="6"/>
      <c r="O34" s="6"/>
      <c r="P34" s="6"/>
      <c r="Q34" s="13"/>
      <c r="R34" s="6"/>
      <c r="S34" s="6"/>
      <c r="T34" s="6"/>
      <c r="U34" s="13"/>
      <c r="V34" s="6"/>
      <c r="W34" s="6"/>
      <c r="X34" s="13"/>
      <c r="Y34" s="6"/>
      <c r="Z34" s="6"/>
      <c r="AA34" s="6"/>
      <c r="AB34" s="6" t="s">
        <v>21</v>
      </c>
      <c r="AC34" s="6" t="s">
        <v>94</v>
      </c>
      <c r="AD34" s="6"/>
    </row>
    <row r="35" spans="1:30" x14ac:dyDescent="0.25">
      <c r="A35" s="6" t="s">
        <v>22</v>
      </c>
      <c r="B35" s="13" t="s">
        <v>22</v>
      </c>
      <c r="C35" s="6" t="s">
        <v>22</v>
      </c>
      <c r="D35" s="6"/>
      <c r="E35" s="6" t="s">
        <v>54</v>
      </c>
      <c r="F35" s="6"/>
      <c r="G35" s="13" t="s">
        <v>95</v>
      </c>
      <c r="H35" s="6" t="s">
        <v>95</v>
      </c>
      <c r="I35" s="6"/>
      <c r="J35" s="6" t="s">
        <v>132</v>
      </c>
      <c r="K35" s="6"/>
      <c r="L35" s="13"/>
      <c r="M35" s="6"/>
      <c r="N35" s="6"/>
      <c r="O35" s="6"/>
      <c r="P35" s="6"/>
      <c r="Q35" s="13"/>
      <c r="R35" s="6"/>
      <c r="S35" s="6"/>
      <c r="T35" s="6"/>
      <c r="U35" s="13"/>
      <c r="V35" s="6"/>
      <c r="W35" s="6"/>
      <c r="X35" s="13"/>
      <c r="Y35" s="6"/>
      <c r="Z35" s="6"/>
      <c r="AA35" s="6"/>
      <c r="AB35" s="6" t="s">
        <v>22</v>
      </c>
      <c r="AC35" s="6" t="s">
        <v>95</v>
      </c>
      <c r="AD35" s="6"/>
    </row>
    <row r="36" spans="1:30" x14ac:dyDescent="0.25">
      <c r="A36" s="6" t="s">
        <v>23</v>
      </c>
      <c r="B36" s="13" t="s">
        <v>23</v>
      </c>
      <c r="C36" s="6" t="s">
        <v>23</v>
      </c>
      <c r="D36" s="6"/>
      <c r="E36" s="6" t="s">
        <v>55</v>
      </c>
      <c r="F36" s="6"/>
      <c r="G36" s="13" t="s">
        <v>96</v>
      </c>
      <c r="H36" s="6" t="s">
        <v>96</v>
      </c>
      <c r="I36" s="6"/>
      <c r="J36" s="6" t="s">
        <v>133</v>
      </c>
      <c r="K36" s="6"/>
      <c r="L36" s="13"/>
      <c r="M36" s="6"/>
      <c r="N36" s="6"/>
      <c r="O36" s="6"/>
      <c r="P36" s="6"/>
      <c r="Q36" s="13"/>
      <c r="R36" s="6"/>
      <c r="S36" s="6"/>
      <c r="T36" s="6"/>
      <c r="U36" s="13"/>
      <c r="V36" s="6"/>
      <c r="W36" s="6"/>
      <c r="X36" s="13"/>
      <c r="Y36" s="6"/>
      <c r="Z36" s="6"/>
      <c r="AA36" s="6"/>
      <c r="AB36" s="6" t="s">
        <v>23</v>
      </c>
      <c r="AC36" s="6" t="s">
        <v>96</v>
      </c>
      <c r="AD36" s="6"/>
    </row>
    <row r="37" spans="1:30" x14ac:dyDescent="0.25">
      <c r="A37" s="6" t="s">
        <v>24</v>
      </c>
      <c r="B37" s="13" t="s">
        <v>24</v>
      </c>
      <c r="C37" s="6" t="s">
        <v>24</v>
      </c>
      <c r="D37" s="6"/>
      <c r="E37" s="6" t="s">
        <v>56</v>
      </c>
      <c r="F37" s="6"/>
      <c r="G37" s="13" t="s">
        <v>97</v>
      </c>
      <c r="H37" s="6" t="s">
        <v>97</v>
      </c>
      <c r="I37" s="6"/>
      <c r="J37" s="6" t="s">
        <v>134</v>
      </c>
      <c r="K37" s="6"/>
      <c r="L37" s="13"/>
      <c r="M37" s="6"/>
      <c r="N37" s="6"/>
      <c r="O37" s="6"/>
      <c r="P37" s="6"/>
      <c r="Q37" s="13"/>
      <c r="R37" s="6"/>
      <c r="S37" s="6"/>
      <c r="T37" s="6"/>
      <c r="U37" s="13"/>
      <c r="V37" s="6"/>
      <c r="W37" s="6"/>
      <c r="X37" s="13"/>
      <c r="Y37" s="6"/>
      <c r="Z37" s="6"/>
      <c r="AA37" s="6"/>
      <c r="AB37" s="6" t="s">
        <v>24</v>
      </c>
      <c r="AC37" s="6" t="s">
        <v>97</v>
      </c>
      <c r="AD37" s="6"/>
    </row>
    <row r="38" spans="1:30" x14ac:dyDescent="0.25">
      <c r="A38" s="6" t="s">
        <v>25</v>
      </c>
      <c r="B38" s="13" t="s">
        <v>25</v>
      </c>
      <c r="C38" s="6" t="s">
        <v>25</v>
      </c>
      <c r="D38" s="6"/>
      <c r="E38" s="6" t="s">
        <v>57</v>
      </c>
      <c r="F38" s="6"/>
      <c r="G38" s="13" t="s">
        <v>98</v>
      </c>
      <c r="H38" s="6" t="s">
        <v>98</v>
      </c>
      <c r="I38" s="6"/>
      <c r="J38" s="6" t="s">
        <v>135</v>
      </c>
      <c r="K38" s="6"/>
      <c r="L38" s="13"/>
      <c r="M38" s="6"/>
      <c r="N38" s="6"/>
      <c r="O38" s="6"/>
      <c r="P38" s="6"/>
      <c r="Q38" s="13"/>
      <c r="R38" s="6"/>
      <c r="S38" s="6"/>
      <c r="T38" s="6"/>
      <c r="U38" s="13"/>
      <c r="V38" s="6"/>
      <c r="W38" s="6"/>
      <c r="X38" s="13"/>
      <c r="Y38" s="6"/>
      <c r="Z38" s="6"/>
      <c r="AA38" s="6"/>
      <c r="AB38" s="6" t="s">
        <v>25</v>
      </c>
      <c r="AC38" s="6" t="s">
        <v>98</v>
      </c>
      <c r="AD38" s="6"/>
    </row>
    <row r="39" spans="1:30" x14ac:dyDescent="0.25">
      <c r="A39" s="6" t="s">
        <v>26</v>
      </c>
      <c r="B39" s="13" t="s">
        <v>26</v>
      </c>
      <c r="C39" s="6" t="s">
        <v>26</v>
      </c>
      <c r="D39" s="6"/>
      <c r="E39" s="6" t="s">
        <v>58</v>
      </c>
      <c r="F39" s="6"/>
      <c r="G39" s="13" t="s">
        <v>99</v>
      </c>
      <c r="H39" s="6" t="s">
        <v>99</v>
      </c>
      <c r="I39" s="6"/>
      <c r="J39" s="6" t="s">
        <v>136</v>
      </c>
      <c r="K39" s="6"/>
      <c r="L39" s="13"/>
      <c r="M39" s="6"/>
      <c r="N39" s="6"/>
      <c r="O39" s="6"/>
      <c r="P39" s="6"/>
      <c r="Q39" s="13"/>
      <c r="R39" s="6"/>
      <c r="S39" s="6"/>
      <c r="T39" s="6"/>
      <c r="U39" s="13"/>
      <c r="V39" s="6"/>
      <c r="W39" s="6"/>
      <c r="X39" s="13"/>
      <c r="Y39" s="6"/>
      <c r="Z39" s="6"/>
      <c r="AA39" s="6"/>
      <c r="AB39" s="6" t="s">
        <v>26</v>
      </c>
      <c r="AC39" s="6" t="s">
        <v>99</v>
      </c>
      <c r="AD39" s="6"/>
    </row>
    <row r="40" spans="1:30" x14ac:dyDescent="0.25">
      <c r="A40" s="6" t="s">
        <v>27</v>
      </c>
      <c r="B40" s="13" t="s">
        <v>27</v>
      </c>
      <c r="C40" s="6" t="s">
        <v>27</v>
      </c>
      <c r="D40" s="6"/>
      <c r="E40" s="6" t="s">
        <v>59</v>
      </c>
      <c r="F40" s="6"/>
      <c r="G40" s="13" t="s">
        <v>100</v>
      </c>
      <c r="H40" s="6" t="s">
        <v>100</v>
      </c>
      <c r="I40" s="6"/>
      <c r="J40" s="6" t="s">
        <v>137</v>
      </c>
      <c r="K40" s="6"/>
      <c r="L40" s="13"/>
      <c r="M40" s="6"/>
      <c r="N40" s="6"/>
      <c r="O40" s="6"/>
      <c r="P40" s="6"/>
      <c r="Q40" s="13"/>
      <c r="R40" s="6"/>
      <c r="S40" s="6"/>
      <c r="T40" s="6"/>
      <c r="U40" s="13"/>
      <c r="V40" s="6"/>
      <c r="W40" s="6"/>
      <c r="X40" s="13"/>
      <c r="Y40" s="6"/>
      <c r="Z40" s="6"/>
      <c r="AA40" s="6"/>
      <c r="AB40" s="6" t="s">
        <v>27</v>
      </c>
      <c r="AC40" s="6" t="s">
        <v>100</v>
      </c>
      <c r="AD40" s="6"/>
    </row>
    <row r="41" spans="1:30" x14ac:dyDescent="0.25">
      <c r="A41" s="6" t="s">
        <v>28</v>
      </c>
      <c r="B41" s="13" t="s">
        <v>28</v>
      </c>
      <c r="C41" s="6" t="s">
        <v>28</v>
      </c>
      <c r="D41" s="6"/>
      <c r="E41" s="6" t="s">
        <v>60</v>
      </c>
      <c r="F41" s="6"/>
      <c r="G41" s="13" t="s">
        <v>101</v>
      </c>
      <c r="H41" s="6" t="s">
        <v>101</v>
      </c>
      <c r="I41" s="6"/>
      <c r="J41" s="6" t="s">
        <v>138</v>
      </c>
      <c r="K41" s="6"/>
      <c r="L41" s="13"/>
      <c r="M41" s="6"/>
      <c r="N41" s="6"/>
      <c r="O41" s="6"/>
      <c r="P41" s="6"/>
      <c r="Q41" s="13"/>
      <c r="R41" s="6"/>
      <c r="S41" s="6"/>
      <c r="T41" s="6"/>
      <c r="U41" s="13"/>
      <c r="V41" s="6"/>
      <c r="W41" s="6"/>
      <c r="X41" s="13"/>
      <c r="Y41" s="6"/>
      <c r="Z41" s="6"/>
      <c r="AA41" s="6"/>
      <c r="AB41" s="6" t="s">
        <v>28</v>
      </c>
      <c r="AC41" s="6" t="s">
        <v>101</v>
      </c>
      <c r="AD41" s="6"/>
    </row>
    <row r="42" spans="1:30" x14ac:dyDescent="0.25">
      <c r="A42" s="6" t="s">
        <v>288</v>
      </c>
      <c r="B42" s="13" t="s">
        <v>288</v>
      </c>
      <c r="C42" s="6"/>
      <c r="D42" s="6"/>
      <c r="E42" s="6"/>
      <c r="F42" s="6"/>
      <c r="G42" s="13" t="s">
        <v>102</v>
      </c>
      <c r="H42" s="6"/>
      <c r="I42" s="6"/>
      <c r="J42" s="6"/>
      <c r="K42" s="6"/>
      <c r="L42" s="13"/>
      <c r="M42" s="6"/>
      <c r="N42" s="6"/>
      <c r="O42" s="6"/>
      <c r="P42" s="6"/>
      <c r="Q42" s="13"/>
      <c r="R42" s="6"/>
      <c r="S42" s="6"/>
      <c r="T42" s="6"/>
      <c r="U42" s="13"/>
      <c r="V42" s="6"/>
      <c r="W42" s="6"/>
      <c r="X42" s="13"/>
      <c r="Y42" s="6"/>
      <c r="Z42" s="6"/>
      <c r="AA42" s="6"/>
      <c r="AB42" s="6" t="s">
        <v>288</v>
      </c>
      <c r="AC42" s="6" t="s">
        <v>102</v>
      </c>
      <c r="AD42" s="6"/>
    </row>
    <row r="43" spans="1:30" x14ac:dyDescent="0.25">
      <c r="A43" s="6" t="s">
        <v>290</v>
      </c>
      <c r="B43" s="13" t="s">
        <v>290</v>
      </c>
      <c r="C43" s="6"/>
      <c r="D43" s="6"/>
      <c r="E43" s="6"/>
      <c r="F43" s="6"/>
      <c r="G43" s="13" t="s">
        <v>291</v>
      </c>
      <c r="H43" s="6"/>
      <c r="I43" s="6"/>
      <c r="J43" s="6"/>
      <c r="K43" s="6"/>
      <c r="L43" s="13"/>
      <c r="M43" s="6"/>
      <c r="N43" s="6"/>
      <c r="O43" s="6"/>
      <c r="P43" s="6"/>
      <c r="Q43" s="13"/>
      <c r="R43" s="6"/>
      <c r="S43" s="6"/>
      <c r="T43" s="6"/>
      <c r="U43" s="13"/>
      <c r="V43" s="6"/>
      <c r="W43" s="6"/>
      <c r="X43" s="13"/>
      <c r="Y43" s="6"/>
      <c r="Z43" s="6"/>
      <c r="AA43" s="6"/>
      <c r="AB43" s="6" t="s">
        <v>290</v>
      </c>
      <c r="AC43" s="6" t="s">
        <v>291</v>
      </c>
      <c r="AD43" s="6"/>
    </row>
    <row r="44" spans="1:30" x14ac:dyDescent="0.25">
      <c r="A44" s="6" t="s">
        <v>293</v>
      </c>
      <c r="B44" s="13" t="s">
        <v>293</v>
      </c>
      <c r="C44" s="6"/>
      <c r="D44" s="6"/>
      <c r="E44" s="6"/>
      <c r="F44" s="6"/>
      <c r="G44" s="13" t="s">
        <v>103</v>
      </c>
      <c r="H44" s="6"/>
      <c r="I44" s="6"/>
      <c r="J44" s="6"/>
      <c r="K44" s="6"/>
      <c r="L44" s="13"/>
      <c r="M44" s="6"/>
      <c r="N44" s="6"/>
      <c r="O44" s="6"/>
      <c r="P44" s="6"/>
      <c r="Q44" s="13"/>
      <c r="R44" s="6"/>
      <c r="S44" s="6"/>
      <c r="T44" s="6"/>
      <c r="U44" s="13"/>
      <c r="V44" s="6"/>
      <c r="W44" s="6"/>
      <c r="X44" s="13"/>
      <c r="Y44" s="6"/>
      <c r="Z44" s="6"/>
      <c r="AA44" s="6"/>
      <c r="AB44" s="6" t="s">
        <v>293</v>
      </c>
      <c r="AC44" s="6" t="s">
        <v>103</v>
      </c>
      <c r="AD44" s="6"/>
    </row>
    <row r="45" spans="1:30" x14ac:dyDescent="0.25">
      <c r="A45" s="6" t="s">
        <v>29</v>
      </c>
      <c r="B45" s="13" t="s">
        <v>29</v>
      </c>
      <c r="C45" s="6"/>
      <c r="D45" s="6"/>
      <c r="E45" s="6"/>
      <c r="F45" s="6"/>
      <c r="G45" s="13" t="s">
        <v>104</v>
      </c>
      <c r="H45" s="6"/>
      <c r="I45" s="6"/>
      <c r="J45" s="6"/>
      <c r="K45" s="6"/>
      <c r="L45" s="13"/>
      <c r="M45" s="6"/>
      <c r="N45" s="6"/>
      <c r="O45" s="6"/>
      <c r="P45" s="6"/>
      <c r="Q45" s="13"/>
      <c r="R45" s="6"/>
      <c r="S45" s="6"/>
      <c r="T45" s="6"/>
      <c r="U45" s="13"/>
      <c r="V45" s="6"/>
      <c r="W45" s="6"/>
      <c r="X45" s="13"/>
      <c r="Y45" s="6"/>
      <c r="Z45" s="6"/>
      <c r="AA45" s="6"/>
      <c r="AB45" s="6" t="s">
        <v>29</v>
      </c>
      <c r="AC45" s="6" t="s">
        <v>104</v>
      </c>
      <c r="AD45" s="6"/>
    </row>
    <row r="46" spans="1:30" x14ac:dyDescent="0.25">
      <c r="A46" s="6" t="s">
        <v>30</v>
      </c>
      <c r="B46" s="13" t="s">
        <v>30</v>
      </c>
      <c r="C46" s="6"/>
      <c r="D46" s="6"/>
      <c r="E46" s="6"/>
      <c r="F46" s="6"/>
      <c r="G46" s="13" t="s">
        <v>105</v>
      </c>
      <c r="H46" s="6"/>
      <c r="I46" s="6"/>
      <c r="J46" s="6"/>
      <c r="K46" s="6"/>
      <c r="L46" s="13"/>
      <c r="M46" s="6"/>
      <c r="N46" s="6"/>
      <c r="O46" s="6"/>
      <c r="P46" s="6"/>
      <c r="Q46" s="13"/>
      <c r="R46" s="6"/>
      <c r="S46" s="6"/>
      <c r="T46" s="6"/>
      <c r="U46" s="13"/>
      <c r="V46" s="6"/>
      <c r="W46" s="6"/>
      <c r="X46" s="13"/>
      <c r="Y46" s="6"/>
      <c r="Z46" s="6"/>
      <c r="AA46" s="6"/>
      <c r="AB46" s="6" t="s">
        <v>30</v>
      </c>
      <c r="AC46" s="6" t="s">
        <v>105</v>
      </c>
      <c r="AD46" s="6"/>
    </row>
    <row r="47" spans="1:30" x14ac:dyDescent="0.25">
      <c r="A47" s="6" t="s">
        <v>297</v>
      </c>
      <c r="B47" s="13" t="s">
        <v>297</v>
      </c>
      <c r="C47" s="6"/>
      <c r="D47" s="6"/>
      <c r="E47" s="6"/>
      <c r="F47" s="6"/>
      <c r="G47" s="13" t="s">
        <v>106</v>
      </c>
      <c r="H47" s="6"/>
      <c r="I47" s="6"/>
      <c r="J47" s="6"/>
      <c r="K47" s="6"/>
      <c r="L47" s="13"/>
      <c r="M47" s="6"/>
      <c r="N47" s="6"/>
      <c r="O47" s="6"/>
      <c r="P47" s="6"/>
      <c r="Q47" s="13"/>
      <c r="R47" s="6"/>
      <c r="S47" s="6"/>
      <c r="T47" s="6"/>
      <c r="U47" s="13"/>
      <c r="V47" s="6"/>
      <c r="W47" s="6"/>
      <c r="X47" s="13"/>
      <c r="Y47" s="6"/>
      <c r="Z47" s="6"/>
      <c r="AA47" s="6"/>
      <c r="AB47" s="6" t="s">
        <v>297</v>
      </c>
      <c r="AC47" s="6" t="s">
        <v>106</v>
      </c>
      <c r="AD47" s="6"/>
    </row>
    <row r="48" spans="1:30" x14ac:dyDescent="0.25">
      <c r="A48" s="6" t="s">
        <v>31</v>
      </c>
      <c r="B48" s="13" t="s">
        <v>31</v>
      </c>
      <c r="C48" s="6"/>
      <c r="D48" s="6"/>
      <c r="E48" s="6"/>
      <c r="F48" s="6"/>
      <c r="G48" s="13" t="s">
        <v>107</v>
      </c>
      <c r="H48" s="6"/>
      <c r="I48" s="6"/>
      <c r="J48" s="6"/>
      <c r="K48" s="6"/>
      <c r="L48" s="13"/>
      <c r="M48" s="6"/>
      <c r="N48" s="6"/>
      <c r="O48" s="6"/>
      <c r="P48" s="6"/>
      <c r="Q48" s="13"/>
      <c r="R48" s="6"/>
      <c r="S48" s="6"/>
      <c r="T48" s="6"/>
      <c r="U48" s="13"/>
      <c r="V48" s="6"/>
      <c r="W48" s="6"/>
      <c r="X48" s="13"/>
      <c r="Y48" s="6"/>
      <c r="Z48" s="6"/>
      <c r="AA48" s="6"/>
      <c r="AB48" s="6" t="s">
        <v>31</v>
      </c>
      <c r="AC48" s="6" t="s">
        <v>107</v>
      </c>
      <c r="AD48" s="6"/>
    </row>
    <row r="49" spans="1:30" x14ac:dyDescent="0.25">
      <c r="A49" s="6" t="s">
        <v>32</v>
      </c>
      <c r="B49" s="13" t="s">
        <v>32</v>
      </c>
      <c r="C49" s="6"/>
      <c r="D49" s="6"/>
      <c r="E49" s="6"/>
      <c r="F49" s="6"/>
      <c r="G49" s="13" t="s">
        <v>108</v>
      </c>
      <c r="H49" s="6"/>
      <c r="I49" s="6"/>
      <c r="J49" s="6"/>
      <c r="K49" s="6"/>
      <c r="L49" s="13"/>
      <c r="M49" s="6"/>
      <c r="N49" s="6"/>
      <c r="O49" s="6"/>
      <c r="P49" s="6"/>
      <c r="Q49" s="13"/>
      <c r="R49" s="6"/>
      <c r="S49" s="6"/>
      <c r="T49" s="6"/>
      <c r="U49" s="13"/>
      <c r="V49" s="6"/>
      <c r="W49" s="6"/>
      <c r="X49" s="13"/>
      <c r="Y49" s="6"/>
      <c r="Z49" s="6"/>
      <c r="AA49" s="6"/>
      <c r="AB49" s="6" t="s">
        <v>32</v>
      </c>
      <c r="AC49" s="6" t="s">
        <v>108</v>
      </c>
      <c r="AD49" s="6"/>
    </row>
    <row r="50" spans="1:30" x14ac:dyDescent="0.25">
      <c r="A50" s="6" t="s">
        <v>33</v>
      </c>
      <c r="B50" s="13" t="s">
        <v>33</v>
      </c>
      <c r="C50" s="6"/>
      <c r="D50" s="6"/>
      <c r="E50" s="6"/>
      <c r="F50" s="6"/>
      <c r="G50" s="13" t="s">
        <v>109</v>
      </c>
      <c r="H50" s="6"/>
      <c r="I50" s="6"/>
      <c r="J50" s="6"/>
      <c r="K50" s="6"/>
      <c r="L50" s="13"/>
      <c r="M50" s="6"/>
      <c r="N50" s="6"/>
      <c r="O50" s="6"/>
      <c r="P50" s="6"/>
      <c r="Q50" s="13"/>
      <c r="R50" s="6"/>
      <c r="S50" s="6"/>
      <c r="T50" s="6"/>
      <c r="U50" s="13"/>
      <c r="V50" s="6"/>
      <c r="W50" s="6"/>
      <c r="X50" s="13"/>
      <c r="Y50" s="6"/>
      <c r="Z50" s="6"/>
      <c r="AA50" s="6"/>
      <c r="AB50" s="6" t="s">
        <v>33</v>
      </c>
      <c r="AC50" s="6" t="s">
        <v>109</v>
      </c>
      <c r="AD50" s="6"/>
    </row>
    <row r="51" spans="1:30" x14ac:dyDescent="0.25">
      <c r="A51" s="6" t="s">
        <v>34</v>
      </c>
      <c r="B51" s="13" t="s">
        <v>34</v>
      </c>
      <c r="C51" s="6"/>
      <c r="D51" s="6"/>
      <c r="E51" s="6"/>
      <c r="F51" s="6"/>
      <c r="G51" s="13" t="s">
        <v>110</v>
      </c>
      <c r="H51" s="6"/>
      <c r="I51" s="6"/>
      <c r="J51" s="6"/>
      <c r="K51" s="6"/>
      <c r="L51" s="13"/>
      <c r="M51" s="6"/>
      <c r="N51" s="6"/>
      <c r="O51" s="6"/>
      <c r="P51" s="6"/>
      <c r="Q51" s="13"/>
      <c r="R51" s="6"/>
      <c r="S51" s="6"/>
      <c r="T51" s="6"/>
      <c r="U51" s="13"/>
      <c r="V51" s="6"/>
      <c r="W51" s="6"/>
      <c r="X51" s="13"/>
      <c r="Y51" s="6"/>
      <c r="Z51" s="6"/>
      <c r="AA51" s="6"/>
      <c r="AB51" s="6" t="s">
        <v>34</v>
      </c>
      <c r="AC51" s="6" t="s">
        <v>110</v>
      </c>
      <c r="AD51" s="6"/>
    </row>
    <row r="52" spans="1:30" x14ac:dyDescent="0.25">
      <c r="A52" s="6" t="s">
        <v>35</v>
      </c>
      <c r="B52" s="13" t="s">
        <v>35</v>
      </c>
      <c r="C52" s="6"/>
      <c r="D52" s="6"/>
      <c r="E52" s="6"/>
      <c r="F52" s="6"/>
      <c r="G52" s="13" t="s">
        <v>111</v>
      </c>
      <c r="H52" s="6"/>
      <c r="I52" s="6"/>
      <c r="J52" s="6"/>
      <c r="K52" s="6"/>
      <c r="L52" s="13"/>
      <c r="M52" s="6"/>
      <c r="N52" s="6"/>
      <c r="O52" s="6"/>
      <c r="P52" s="6"/>
      <c r="Q52" s="13"/>
      <c r="R52" s="6"/>
      <c r="S52" s="6"/>
      <c r="T52" s="6"/>
      <c r="U52" s="13"/>
      <c r="V52" s="6"/>
      <c r="W52" s="6"/>
      <c r="X52" s="13"/>
      <c r="Y52" s="6"/>
      <c r="Z52" s="6"/>
      <c r="AA52" s="6"/>
      <c r="AB52" s="6" t="s">
        <v>35</v>
      </c>
      <c r="AC52" s="6" t="s">
        <v>111</v>
      </c>
      <c r="AD52" s="6"/>
    </row>
    <row r="53" spans="1:30" x14ac:dyDescent="0.25">
      <c r="A53" s="6" t="s">
        <v>36</v>
      </c>
      <c r="B53" s="13" t="s">
        <v>36</v>
      </c>
      <c r="C53" s="6"/>
      <c r="D53" s="6"/>
      <c r="E53" s="6"/>
      <c r="F53" s="6"/>
      <c r="G53" s="13" t="s">
        <v>112</v>
      </c>
      <c r="H53" s="6"/>
      <c r="I53" s="6"/>
      <c r="J53" s="6"/>
      <c r="K53" s="6"/>
      <c r="L53" s="13"/>
      <c r="M53" s="6"/>
      <c r="N53" s="6"/>
      <c r="O53" s="6"/>
      <c r="P53" s="6"/>
      <c r="Q53" s="13"/>
      <c r="R53" s="6"/>
      <c r="S53" s="6"/>
      <c r="T53" s="6"/>
      <c r="U53" s="13"/>
      <c r="V53" s="6"/>
      <c r="W53" s="6"/>
      <c r="X53" s="13"/>
      <c r="Y53" s="6"/>
      <c r="Z53" s="6"/>
      <c r="AA53" s="6"/>
      <c r="AB53" s="6" t="s">
        <v>36</v>
      </c>
      <c r="AC53" s="6" t="s">
        <v>112</v>
      </c>
      <c r="AD53" s="6"/>
    </row>
    <row r="54" spans="1:30" x14ac:dyDescent="0.25">
      <c r="A54" s="6" t="s">
        <v>37</v>
      </c>
      <c r="B54" s="13" t="s">
        <v>37</v>
      </c>
      <c r="C54" s="6"/>
      <c r="D54" s="6"/>
      <c r="E54" s="6"/>
      <c r="F54" s="6"/>
      <c r="G54" s="13" t="s">
        <v>113</v>
      </c>
      <c r="H54" s="6"/>
      <c r="I54" s="6"/>
      <c r="J54" s="6"/>
      <c r="K54" s="6"/>
      <c r="L54" s="13"/>
      <c r="M54" s="6"/>
      <c r="N54" s="6"/>
      <c r="O54" s="6"/>
      <c r="P54" s="6"/>
      <c r="Q54" s="13"/>
      <c r="R54" s="6"/>
      <c r="S54" s="6"/>
      <c r="T54" s="6"/>
      <c r="U54" s="13"/>
      <c r="V54" s="6"/>
      <c r="W54" s="6"/>
      <c r="X54" s="13"/>
      <c r="Y54" s="6"/>
      <c r="Z54" s="6"/>
      <c r="AA54" s="6"/>
      <c r="AB54" s="6" t="s">
        <v>37</v>
      </c>
      <c r="AC54" s="6" t="s">
        <v>113</v>
      </c>
      <c r="AD54" s="6"/>
    </row>
    <row r="55" spans="1:30" x14ac:dyDescent="0.25">
      <c r="A55" s="6" t="s">
        <v>306</v>
      </c>
      <c r="B55" s="13" t="s">
        <v>306</v>
      </c>
      <c r="C55" s="6"/>
      <c r="D55" s="6"/>
      <c r="E55" s="6"/>
      <c r="F55" s="6"/>
      <c r="G55" s="13" t="s">
        <v>307</v>
      </c>
      <c r="H55" s="6"/>
      <c r="I55" s="6"/>
      <c r="J55" s="6"/>
      <c r="K55" s="6"/>
      <c r="L55" s="13"/>
      <c r="M55" s="6"/>
      <c r="N55" s="6"/>
      <c r="O55" s="6"/>
      <c r="P55" s="6"/>
      <c r="Q55" s="13"/>
      <c r="R55" s="6"/>
      <c r="S55" s="6"/>
      <c r="T55" s="6"/>
      <c r="U55" s="13"/>
      <c r="V55" s="6"/>
      <c r="W55" s="6"/>
      <c r="X55" s="13"/>
      <c r="Y55" s="6"/>
      <c r="Z55" s="6"/>
      <c r="AA55" s="6"/>
      <c r="AB55" s="6" t="s">
        <v>306</v>
      </c>
      <c r="AC55" s="6" t="s">
        <v>307</v>
      </c>
      <c r="AD55" s="6"/>
    </row>
    <row r="56" spans="1:30" x14ac:dyDescent="0.25">
      <c r="A56" s="6" t="s">
        <v>38</v>
      </c>
      <c r="B56" s="13" t="s">
        <v>38</v>
      </c>
      <c r="C56" s="6"/>
      <c r="D56" s="6"/>
      <c r="E56" s="6"/>
      <c r="F56" s="6"/>
      <c r="G56" s="13" t="s">
        <v>114</v>
      </c>
      <c r="H56" s="6"/>
      <c r="I56" s="6"/>
      <c r="J56" s="6"/>
      <c r="K56" s="6"/>
      <c r="L56" s="13"/>
      <c r="M56" s="6"/>
      <c r="N56" s="6"/>
      <c r="O56" s="6"/>
      <c r="P56" s="6"/>
      <c r="Q56" s="13"/>
      <c r="R56" s="6"/>
      <c r="S56" s="6"/>
      <c r="T56" s="6"/>
      <c r="U56" s="13"/>
      <c r="V56" s="6"/>
      <c r="W56" s="6"/>
      <c r="X56" s="13"/>
      <c r="Y56" s="6"/>
      <c r="Z56" s="6"/>
      <c r="AA56" s="6"/>
      <c r="AB56" s="6" t="s">
        <v>38</v>
      </c>
      <c r="AC56" s="6" t="s">
        <v>114</v>
      </c>
      <c r="AD56" s="6"/>
    </row>
    <row r="57" spans="1:30" x14ac:dyDescent="0.25">
      <c r="A57" s="6" t="s">
        <v>39</v>
      </c>
      <c r="B57" s="13" t="s">
        <v>39</v>
      </c>
      <c r="C57" s="6"/>
      <c r="D57" s="6"/>
      <c r="E57" s="6"/>
      <c r="F57" s="6"/>
      <c r="G57" s="13" t="s">
        <v>115</v>
      </c>
      <c r="H57" s="6"/>
      <c r="I57" s="6"/>
      <c r="J57" s="6"/>
      <c r="K57" s="6"/>
      <c r="L57" s="13"/>
      <c r="M57" s="6"/>
      <c r="N57" s="6"/>
      <c r="O57" s="6"/>
      <c r="P57" s="6"/>
      <c r="Q57" s="13"/>
      <c r="R57" s="6"/>
      <c r="S57" s="6"/>
      <c r="T57" s="6"/>
      <c r="U57" s="13"/>
      <c r="V57" s="6"/>
      <c r="W57" s="6"/>
      <c r="X57" s="13"/>
      <c r="Y57" s="6"/>
      <c r="Z57" s="6"/>
      <c r="AA57" s="6"/>
      <c r="AB57" s="6" t="s">
        <v>39</v>
      </c>
      <c r="AC57" s="6" t="s">
        <v>115</v>
      </c>
      <c r="AD57" s="6"/>
    </row>
    <row r="58" spans="1:30" x14ac:dyDescent="0.25">
      <c r="A58" s="6" t="s">
        <v>40</v>
      </c>
      <c r="B58" s="13" t="s">
        <v>40</v>
      </c>
      <c r="C58" s="6"/>
      <c r="D58" s="6"/>
      <c r="E58" s="6"/>
      <c r="F58" s="6"/>
      <c r="G58" s="13" t="s">
        <v>116</v>
      </c>
      <c r="H58" s="6"/>
      <c r="I58" s="6"/>
      <c r="J58" s="6"/>
      <c r="K58" s="6"/>
      <c r="L58" s="13"/>
      <c r="M58" s="6"/>
      <c r="N58" s="6"/>
      <c r="O58" s="6"/>
      <c r="P58" s="6"/>
      <c r="Q58" s="13"/>
      <c r="R58" s="6"/>
      <c r="S58" s="6"/>
      <c r="T58" s="6"/>
      <c r="U58" s="13"/>
      <c r="V58" s="6"/>
      <c r="W58" s="6"/>
      <c r="X58" s="13"/>
      <c r="Y58" s="6"/>
      <c r="Z58" s="6"/>
      <c r="AA58" s="6"/>
      <c r="AB58" s="6" t="s">
        <v>40</v>
      </c>
      <c r="AC58" s="6" t="s">
        <v>116</v>
      </c>
      <c r="AD58" s="6"/>
    </row>
    <row r="59" spans="1:30" x14ac:dyDescent="0.25">
      <c r="A59" s="6" t="s">
        <v>41</v>
      </c>
      <c r="B59" s="13" t="s">
        <v>41</v>
      </c>
      <c r="C59" s="6"/>
      <c r="D59" s="6"/>
      <c r="E59" s="6"/>
      <c r="F59" s="6"/>
      <c r="G59" s="13" t="s">
        <v>117</v>
      </c>
      <c r="H59" s="6"/>
      <c r="I59" s="6"/>
      <c r="J59" s="6"/>
      <c r="K59" s="6"/>
      <c r="L59" s="13"/>
      <c r="M59" s="6"/>
      <c r="N59" s="6"/>
      <c r="O59" s="6"/>
      <c r="P59" s="6"/>
      <c r="Q59" s="13"/>
      <c r="R59" s="6"/>
      <c r="S59" s="6"/>
      <c r="T59" s="6"/>
      <c r="U59" s="13"/>
      <c r="V59" s="6"/>
      <c r="W59" s="6"/>
      <c r="X59" s="13"/>
      <c r="Y59" s="6"/>
      <c r="Z59" s="6"/>
      <c r="AA59" s="6"/>
      <c r="AB59" s="6" t="s">
        <v>41</v>
      </c>
      <c r="AC59" s="6" t="s">
        <v>117</v>
      </c>
      <c r="AD59" s="6"/>
    </row>
    <row r="60" spans="1:30" x14ac:dyDescent="0.25">
      <c r="A60" s="6" t="s">
        <v>42</v>
      </c>
      <c r="B60" s="13" t="s">
        <v>42</v>
      </c>
      <c r="C60" s="6"/>
      <c r="D60" s="6"/>
      <c r="E60" s="6"/>
      <c r="F60" s="6"/>
      <c r="G60" s="13" t="s">
        <v>118</v>
      </c>
      <c r="H60" s="6"/>
      <c r="I60" s="6"/>
      <c r="J60" s="6"/>
      <c r="K60" s="6"/>
      <c r="L60" s="13"/>
      <c r="M60" s="6"/>
      <c r="N60" s="6"/>
      <c r="O60" s="6"/>
      <c r="P60" s="6"/>
      <c r="Q60" s="13"/>
      <c r="R60" s="6"/>
      <c r="S60" s="6"/>
      <c r="T60" s="6"/>
      <c r="U60" s="13"/>
      <c r="V60" s="6"/>
      <c r="W60" s="6"/>
      <c r="X60" s="13"/>
      <c r="Y60" s="6"/>
      <c r="Z60" s="6"/>
      <c r="AA60" s="6"/>
      <c r="AB60" s="6" t="s">
        <v>42</v>
      </c>
      <c r="AC60" s="6" t="s">
        <v>118</v>
      </c>
      <c r="AD60" s="6"/>
    </row>
    <row r="61" spans="1:30" x14ac:dyDescent="0.25">
      <c r="A61" s="6" t="s">
        <v>43</v>
      </c>
      <c r="B61" s="13" t="s">
        <v>43</v>
      </c>
      <c r="C61" s="6"/>
      <c r="D61" s="6"/>
      <c r="E61" s="6"/>
      <c r="F61" s="6"/>
      <c r="G61" s="13" t="s">
        <v>119</v>
      </c>
      <c r="H61" s="6"/>
      <c r="I61" s="6"/>
      <c r="J61" s="6"/>
      <c r="K61" s="6"/>
      <c r="L61" s="13"/>
      <c r="M61" s="6"/>
      <c r="N61" s="6"/>
      <c r="O61" s="6"/>
      <c r="P61" s="6"/>
      <c r="Q61" s="13"/>
      <c r="R61" s="6"/>
      <c r="S61" s="6"/>
      <c r="T61" s="6"/>
      <c r="U61" s="13"/>
      <c r="V61" s="6"/>
      <c r="W61" s="6"/>
      <c r="X61" s="13"/>
      <c r="Y61" s="6"/>
      <c r="Z61" s="6"/>
      <c r="AA61" s="6"/>
      <c r="AB61" s="6" t="s">
        <v>43</v>
      </c>
      <c r="AC61" s="6" t="s">
        <v>119</v>
      </c>
      <c r="AD61" s="6"/>
    </row>
    <row r="62" spans="1:30" x14ac:dyDescent="0.25">
      <c r="A62" s="6" t="s">
        <v>44</v>
      </c>
      <c r="B62" s="13" t="s">
        <v>44</v>
      </c>
      <c r="C62" s="6"/>
      <c r="D62" s="6"/>
      <c r="E62" s="6"/>
      <c r="F62" s="6"/>
      <c r="G62" s="13" t="s">
        <v>120</v>
      </c>
      <c r="H62" s="6"/>
      <c r="I62" s="6"/>
      <c r="J62" s="6"/>
      <c r="K62" s="6"/>
      <c r="L62" s="13"/>
      <c r="M62" s="6"/>
      <c r="N62" s="6"/>
      <c r="O62" s="6"/>
      <c r="P62" s="6"/>
      <c r="Q62" s="13"/>
      <c r="R62" s="6"/>
      <c r="S62" s="6"/>
      <c r="T62" s="6"/>
      <c r="U62" s="13"/>
      <c r="V62" s="6"/>
      <c r="W62" s="6"/>
      <c r="X62" s="13"/>
      <c r="Y62" s="6"/>
      <c r="Z62" s="6"/>
      <c r="AA62" s="6"/>
      <c r="AB62" s="6" t="s">
        <v>44</v>
      </c>
      <c r="AC62" s="6" t="s">
        <v>120</v>
      </c>
      <c r="AD62" s="6"/>
    </row>
    <row r="63" spans="1:30" x14ac:dyDescent="0.25">
      <c r="A63" s="6" t="s">
        <v>316</v>
      </c>
      <c r="B63" s="13" t="s">
        <v>316</v>
      </c>
      <c r="C63" s="6"/>
      <c r="D63" s="6"/>
      <c r="E63" s="6"/>
      <c r="F63" s="6"/>
      <c r="G63" s="13" t="s">
        <v>121</v>
      </c>
      <c r="H63" s="6"/>
      <c r="I63" s="6"/>
      <c r="J63" s="6"/>
      <c r="K63" s="6"/>
      <c r="L63" s="13"/>
      <c r="M63" s="6"/>
      <c r="N63" s="6"/>
      <c r="O63" s="6"/>
      <c r="P63" s="6"/>
      <c r="Q63" s="13"/>
      <c r="R63" s="6"/>
      <c r="S63" s="6"/>
      <c r="T63" s="6"/>
      <c r="U63" s="13"/>
      <c r="V63" s="6"/>
      <c r="W63" s="6"/>
      <c r="X63" s="13"/>
      <c r="Y63" s="6"/>
      <c r="Z63" s="6"/>
      <c r="AA63" s="6"/>
      <c r="AB63" s="6" t="s">
        <v>316</v>
      </c>
      <c r="AC63" s="6" t="s">
        <v>121</v>
      </c>
      <c r="AD63" s="6"/>
    </row>
    <row r="64" spans="1:30" x14ac:dyDescent="0.25">
      <c r="A64" s="6" t="s">
        <v>45</v>
      </c>
      <c r="B64" s="13" t="s">
        <v>45</v>
      </c>
      <c r="C64" s="6"/>
      <c r="D64" s="6"/>
      <c r="E64" s="6"/>
      <c r="F64" s="6"/>
      <c r="G64" s="13" t="s">
        <v>122</v>
      </c>
      <c r="H64" s="6"/>
      <c r="I64" s="6"/>
      <c r="J64" s="6"/>
      <c r="K64" s="6"/>
      <c r="L64" s="13"/>
      <c r="M64" s="6"/>
      <c r="N64" s="6"/>
      <c r="O64" s="6"/>
      <c r="P64" s="6"/>
      <c r="Q64" s="13"/>
      <c r="R64" s="6"/>
      <c r="S64" s="6"/>
      <c r="T64" s="6"/>
      <c r="U64" s="13"/>
      <c r="V64" s="6"/>
      <c r="W64" s="6"/>
      <c r="X64" s="13"/>
      <c r="Y64" s="6"/>
      <c r="Z64" s="6"/>
      <c r="AA64" s="6"/>
      <c r="AB64" s="6" t="s">
        <v>45</v>
      </c>
      <c r="AC64" s="6" t="s">
        <v>122</v>
      </c>
      <c r="AD64" s="6"/>
    </row>
    <row r="65" spans="1:30" x14ac:dyDescent="0.25">
      <c r="A65" s="6" t="s">
        <v>46</v>
      </c>
      <c r="B65" s="13" t="s">
        <v>46</v>
      </c>
      <c r="C65" s="6"/>
      <c r="D65" s="6"/>
      <c r="E65" s="6"/>
      <c r="F65" s="6"/>
      <c r="G65" s="13" t="s">
        <v>123</v>
      </c>
      <c r="H65" s="6"/>
      <c r="I65" s="6"/>
      <c r="J65" s="6"/>
      <c r="K65" s="6"/>
      <c r="L65" s="13"/>
      <c r="M65" s="6"/>
      <c r="N65" s="6"/>
      <c r="O65" s="6"/>
      <c r="P65" s="6"/>
      <c r="Q65" s="13"/>
      <c r="R65" s="6"/>
      <c r="S65" s="6"/>
      <c r="T65" s="6"/>
      <c r="U65" s="13"/>
      <c r="V65" s="6"/>
      <c r="W65" s="6"/>
      <c r="X65" s="13"/>
      <c r="Y65" s="6"/>
      <c r="Z65" s="6"/>
      <c r="AA65" s="6"/>
      <c r="AB65" s="6" t="s">
        <v>46</v>
      </c>
      <c r="AC65" s="6" t="s">
        <v>123</v>
      </c>
      <c r="AD65" s="6"/>
    </row>
    <row r="66" spans="1:30" x14ac:dyDescent="0.25">
      <c r="A66" s="6" t="s">
        <v>47</v>
      </c>
      <c r="B66" s="13" t="s">
        <v>47</v>
      </c>
      <c r="C66" s="6"/>
      <c r="D66" s="6"/>
      <c r="E66" s="6"/>
      <c r="F66" s="6"/>
      <c r="G66" s="13" t="s">
        <v>124</v>
      </c>
      <c r="H66" s="6"/>
      <c r="I66" s="6"/>
      <c r="J66" s="6"/>
      <c r="K66" s="6"/>
      <c r="L66" s="13"/>
      <c r="M66" s="6"/>
      <c r="N66" s="6"/>
      <c r="O66" s="6"/>
      <c r="P66" s="6"/>
      <c r="Q66" s="13"/>
      <c r="R66" s="6"/>
      <c r="S66" s="6"/>
      <c r="T66" s="6"/>
      <c r="U66" s="13"/>
      <c r="V66" s="6"/>
      <c r="W66" s="6"/>
      <c r="X66" s="13"/>
      <c r="Y66" s="6"/>
      <c r="Z66" s="6"/>
      <c r="AA66" s="6"/>
      <c r="AB66" s="6" t="s">
        <v>47</v>
      </c>
      <c r="AC66" s="6" t="s">
        <v>124</v>
      </c>
      <c r="AD66" s="6"/>
    </row>
    <row r="67" spans="1:30" x14ac:dyDescent="0.25">
      <c r="A67" s="6" t="s">
        <v>48</v>
      </c>
      <c r="B67" s="13" t="s">
        <v>48</v>
      </c>
      <c r="C67" s="6"/>
      <c r="D67" s="6"/>
      <c r="E67" s="6"/>
      <c r="F67" s="6"/>
      <c r="G67" s="13" t="s">
        <v>125</v>
      </c>
      <c r="H67" s="6"/>
      <c r="I67" s="6"/>
      <c r="J67" s="6"/>
      <c r="K67" s="6"/>
      <c r="L67" s="13"/>
      <c r="M67" s="6"/>
      <c r="N67" s="6"/>
      <c r="O67" s="6"/>
      <c r="P67" s="6"/>
      <c r="Q67" s="13"/>
      <c r="R67" s="6"/>
      <c r="S67" s="6"/>
      <c r="T67" s="6"/>
      <c r="U67" s="13"/>
      <c r="V67" s="6"/>
      <c r="W67" s="6"/>
      <c r="X67" s="13"/>
      <c r="Y67" s="6"/>
      <c r="Z67" s="6"/>
      <c r="AA67" s="6"/>
      <c r="AB67" s="6" t="s">
        <v>48</v>
      </c>
      <c r="AC67" s="6" t="s">
        <v>125</v>
      </c>
      <c r="AD67" s="6"/>
    </row>
    <row r="68" spans="1:30" x14ac:dyDescent="0.25">
      <c r="A68" s="6" t="s">
        <v>49</v>
      </c>
      <c r="B68" s="13" t="s">
        <v>49</v>
      </c>
      <c r="C68" s="6"/>
      <c r="D68" s="6"/>
      <c r="E68" s="6"/>
      <c r="F68" s="6"/>
      <c r="G68" s="13" t="s">
        <v>126</v>
      </c>
      <c r="H68" s="6"/>
      <c r="I68" s="6"/>
      <c r="J68" s="6"/>
      <c r="K68" s="6"/>
      <c r="L68" s="13"/>
      <c r="M68" s="6"/>
      <c r="N68" s="6"/>
      <c r="O68" s="6"/>
      <c r="P68" s="6"/>
      <c r="Q68" s="13"/>
      <c r="R68" s="6"/>
      <c r="S68" s="6"/>
      <c r="T68" s="6"/>
      <c r="U68" s="13"/>
      <c r="V68" s="6"/>
      <c r="W68" s="6"/>
      <c r="X68" s="13"/>
      <c r="Y68" s="6"/>
      <c r="Z68" s="6"/>
      <c r="AA68" s="6"/>
      <c r="AB68" s="6" t="s">
        <v>49</v>
      </c>
      <c r="AC68" s="6" t="s">
        <v>126</v>
      </c>
      <c r="AD68" s="6"/>
    </row>
    <row r="69" spans="1:30" x14ac:dyDescent="0.25">
      <c r="A69" s="6" t="s">
        <v>323</v>
      </c>
      <c r="B69" s="13" t="s">
        <v>323</v>
      </c>
      <c r="C69" s="6"/>
      <c r="D69" s="6"/>
      <c r="E69" s="6"/>
      <c r="F69" s="6"/>
      <c r="G69" s="13" t="s">
        <v>127</v>
      </c>
      <c r="H69" s="6"/>
      <c r="I69" s="6"/>
      <c r="J69" s="6"/>
      <c r="K69" s="6"/>
      <c r="L69" s="13"/>
      <c r="M69" s="6"/>
      <c r="N69" s="6"/>
      <c r="O69" s="6"/>
      <c r="P69" s="6"/>
      <c r="Q69" s="13"/>
      <c r="R69" s="6"/>
      <c r="S69" s="6"/>
      <c r="T69" s="6"/>
      <c r="U69" s="13"/>
      <c r="V69" s="6"/>
      <c r="W69" s="6"/>
      <c r="X69" s="13"/>
      <c r="Y69" s="6"/>
      <c r="Z69" s="6"/>
      <c r="AA69" s="6"/>
      <c r="AB69" s="6" t="s">
        <v>323</v>
      </c>
      <c r="AC69" s="6" t="s">
        <v>127</v>
      </c>
      <c r="AD69" s="6"/>
    </row>
    <row r="70" spans="1:30" x14ac:dyDescent="0.25">
      <c r="A70" s="6" t="s">
        <v>50</v>
      </c>
      <c r="B70" s="13" t="s">
        <v>50</v>
      </c>
      <c r="C70" s="6"/>
      <c r="D70" s="6"/>
      <c r="E70" s="6"/>
      <c r="F70" s="6"/>
      <c r="G70" s="13" t="s">
        <v>128</v>
      </c>
      <c r="H70" s="6"/>
      <c r="I70" s="6"/>
      <c r="J70" s="6"/>
      <c r="K70" s="6"/>
      <c r="L70" s="13"/>
      <c r="M70" s="6"/>
      <c r="N70" s="6"/>
      <c r="O70" s="6"/>
      <c r="P70" s="6"/>
      <c r="Q70" s="13"/>
      <c r="R70" s="6"/>
      <c r="S70" s="6"/>
      <c r="T70" s="6"/>
      <c r="U70" s="13"/>
      <c r="V70" s="6"/>
      <c r="W70" s="6"/>
      <c r="X70" s="13"/>
      <c r="Y70" s="6"/>
      <c r="Z70" s="6"/>
      <c r="AA70" s="6"/>
      <c r="AB70" s="6" t="s">
        <v>50</v>
      </c>
      <c r="AC70" s="6" t="s">
        <v>128</v>
      </c>
      <c r="AD70" s="6"/>
    </row>
    <row r="71" spans="1:30" x14ac:dyDescent="0.25">
      <c r="A71" s="6" t="s">
        <v>51</v>
      </c>
      <c r="B71" s="13" t="s">
        <v>51</v>
      </c>
      <c r="C71" s="6"/>
      <c r="D71" s="6"/>
      <c r="E71" s="6"/>
      <c r="F71" s="6"/>
      <c r="G71" s="13" t="s">
        <v>129</v>
      </c>
      <c r="H71" s="6"/>
      <c r="I71" s="6"/>
      <c r="J71" s="6"/>
      <c r="K71" s="6"/>
      <c r="L71" s="13"/>
      <c r="M71" s="6"/>
      <c r="N71" s="6"/>
      <c r="O71" s="6"/>
      <c r="P71" s="6"/>
      <c r="Q71" s="13"/>
      <c r="R71" s="6"/>
      <c r="S71" s="6"/>
      <c r="T71" s="6"/>
      <c r="U71" s="13"/>
      <c r="V71" s="6"/>
      <c r="W71" s="6"/>
      <c r="X71" s="13"/>
      <c r="Y71" s="6"/>
      <c r="Z71" s="6"/>
      <c r="AA71" s="6"/>
      <c r="AB71" s="6" t="s">
        <v>51</v>
      </c>
      <c r="AC71" s="6" t="s">
        <v>129</v>
      </c>
      <c r="AD71" s="6"/>
    </row>
    <row r="72" spans="1:30" x14ac:dyDescent="0.25">
      <c r="A72" s="6" t="s">
        <v>52</v>
      </c>
      <c r="B72" s="13" t="s">
        <v>52</v>
      </c>
      <c r="C72" s="6"/>
      <c r="D72" s="6"/>
      <c r="E72" s="6"/>
      <c r="F72" s="6"/>
      <c r="G72" s="13" t="s">
        <v>130</v>
      </c>
      <c r="H72" s="6"/>
      <c r="I72" s="6"/>
      <c r="J72" s="6"/>
      <c r="K72" s="6"/>
      <c r="L72" s="13"/>
      <c r="M72" s="6"/>
      <c r="N72" s="6"/>
      <c r="O72" s="6"/>
      <c r="P72" s="6"/>
      <c r="Q72" s="13"/>
      <c r="R72" s="6"/>
      <c r="S72" s="6"/>
      <c r="T72" s="6"/>
      <c r="U72" s="13"/>
      <c r="V72" s="6"/>
      <c r="W72" s="6"/>
      <c r="X72" s="13"/>
      <c r="Y72" s="6"/>
      <c r="Z72" s="6"/>
      <c r="AA72" s="6"/>
      <c r="AB72" s="6" t="s">
        <v>52</v>
      </c>
      <c r="AC72" s="6" t="s">
        <v>130</v>
      </c>
      <c r="AD72" s="6"/>
    </row>
    <row r="73" spans="1:30" x14ac:dyDescent="0.25">
      <c r="A73" s="6" t="s">
        <v>53</v>
      </c>
      <c r="B73" s="13" t="s">
        <v>53</v>
      </c>
      <c r="C73" s="6"/>
      <c r="D73" s="6"/>
      <c r="E73" s="6"/>
      <c r="F73" s="6"/>
      <c r="G73" s="13" t="s">
        <v>131</v>
      </c>
      <c r="H73" s="6"/>
      <c r="I73" s="6"/>
      <c r="J73" s="6"/>
      <c r="K73" s="6"/>
      <c r="L73" s="13"/>
      <c r="M73" s="6"/>
      <c r="N73" s="6"/>
      <c r="O73" s="6"/>
      <c r="P73" s="6"/>
      <c r="Q73" s="13"/>
      <c r="R73" s="6"/>
      <c r="S73" s="6"/>
      <c r="T73" s="6"/>
      <c r="U73" s="13"/>
      <c r="V73" s="6"/>
      <c r="W73" s="6"/>
      <c r="X73" s="13"/>
      <c r="Y73" s="6"/>
      <c r="Z73" s="6"/>
      <c r="AA73" s="6"/>
      <c r="AB73" s="6" t="s">
        <v>53</v>
      </c>
      <c r="AC73" s="6" t="s">
        <v>131</v>
      </c>
      <c r="AD73" s="6"/>
    </row>
    <row r="74" spans="1:30" x14ac:dyDescent="0.25">
      <c r="A74" s="6" t="s">
        <v>54</v>
      </c>
      <c r="B74" s="13" t="s">
        <v>54</v>
      </c>
      <c r="C74" s="6"/>
      <c r="D74" s="6"/>
      <c r="E74" s="6"/>
      <c r="F74" s="6"/>
      <c r="G74" s="13" t="s">
        <v>132</v>
      </c>
      <c r="H74" s="6"/>
      <c r="I74" s="6"/>
      <c r="J74" s="6"/>
      <c r="K74" s="6"/>
      <c r="L74" s="13"/>
      <c r="M74" s="6"/>
      <c r="N74" s="6"/>
      <c r="O74" s="6"/>
      <c r="P74" s="6"/>
      <c r="Q74" s="13"/>
      <c r="R74" s="6"/>
      <c r="S74" s="6"/>
      <c r="T74" s="6"/>
      <c r="U74" s="13"/>
      <c r="V74" s="6"/>
      <c r="W74" s="6"/>
      <c r="X74" s="13"/>
      <c r="Y74" s="6"/>
      <c r="Z74" s="6"/>
      <c r="AA74" s="6"/>
      <c r="AB74" s="6" t="s">
        <v>54</v>
      </c>
      <c r="AC74" s="6" t="s">
        <v>132</v>
      </c>
      <c r="AD74" s="6"/>
    </row>
    <row r="75" spans="1:30" x14ac:dyDescent="0.25">
      <c r="A75" s="6" t="s">
        <v>55</v>
      </c>
      <c r="B75" s="13" t="s">
        <v>55</v>
      </c>
      <c r="C75" s="6"/>
      <c r="D75" s="6"/>
      <c r="E75" s="6"/>
      <c r="F75" s="6"/>
      <c r="G75" s="13" t="s">
        <v>133</v>
      </c>
      <c r="H75" s="6"/>
      <c r="I75" s="6"/>
      <c r="J75" s="6"/>
      <c r="K75" s="6"/>
      <c r="L75" s="13"/>
      <c r="M75" s="6"/>
      <c r="N75" s="6"/>
      <c r="O75" s="6"/>
      <c r="P75" s="6"/>
      <c r="Q75" s="13"/>
      <c r="R75" s="6"/>
      <c r="S75" s="6"/>
      <c r="T75" s="6"/>
      <c r="U75" s="13"/>
      <c r="V75" s="6"/>
      <c r="W75" s="6"/>
      <c r="X75" s="13"/>
      <c r="Y75" s="6"/>
      <c r="Z75" s="6"/>
      <c r="AA75" s="6"/>
      <c r="AB75" s="6" t="s">
        <v>55</v>
      </c>
      <c r="AC75" s="6" t="s">
        <v>133</v>
      </c>
      <c r="AD75" s="6"/>
    </row>
    <row r="76" spans="1:30" x14ac:dyDescent="0.25">
      <c r="A76" s="6" t="s">
        <v>56</v>
      </c>
      <c r="B76" s="13" t="s">
        <v>56</v>
      </c>
      <c r="C76" s="6"/>
      <c r="D76" s="6"/>
      <c r="E76" s="6"/>
      <c r="F76" s="6"/>
      <c r="G76" s="13" t="s">
        <v>134</v>
      </c>
      <c r="H76" s="6"/>
      <c r="I76" s="6"/>
      <c r="J76" s="6"/>
      <c r="K76" s="6"/>
      <c r="L76" s="13"/>
      <c r="M76" s="6"/>
      <c r="N76" s="6"/>
      <c r="O76" s="6"/>
      <c r="P76" s="6"/>
      <c r="Q76" s="13"/>
      <c r="R76" s="6"/>
      <c r="S76" s="6"/>
      <c r="T76" s="6"/>
      <c r="U76" s="13"/>
      <c r="V76" s="6"/>
      <c r="W76" s="6"/>
      <c r="X76" s="13"/>
      <c r="Y76" s="6"/>
      <c r="Z76" s="6"/>
      <c r="AA76" s="6"/>
      <c r="AB76" s="6" t="s">
        <v>56</v>
      </c>
      <c r="AC76" s="6" t="s">
        <v>134</v>
      </c>
      <c r="AD76" s="6"/>
    </row>
    <row r="77" spans="1:30" x14ac:dyDescent="0.25">
      <c r="A77" s="6" t="s">
        <v>57</v>
      </c>
      <c r="B77" s="13" t="s">
        <v>57</v>
      </c>
      <c r="C77" s="6"/>
      <c r="D77" s="6"/>
      <c r="E77" s="6"/>
      <c r="F77" s="6"/>
      <c r="G77" s="13" t="s">
        <v>135</v>
      </c>
      <c r="H77" s="6"/>
      <c r="I77" s="6"/>
      <c r="J77" s="6"/>
      <c r="K77" s="6"/>
      <c r="L77" s="13"/>
      <c r="M77" s="6"/>
      <c r="N77" s="6"/>
      <c r="O77" s="6"/>
      <c r="P77" s="6"/>
      <c r="Q77" s="13"/>
      <c r="R77" s="6"/>
      <c r="S77" s="6"/>
      <c r="T77" s="6"/>
      <c r="U77" s="13"/>
      <c r="V77" s="6"/>
      <c r="W77" s="6"/>
      <c r="X77" s="13"/>
      <c r="Y77" s="6"/>
      <c r="Z77" s="6"/>
      <c r="AA77" s="6"/>
      <c r="AB77" s="6" t="s">
        <v>57</v>
      </c>
      <c r="AC77" s="6" t="s">
        <v>135</v>
      </c>
      <c r="AD77" s="6"/>
    </row>
    <row r="78" spans="1:30" x14ac:dyDescent="0.25">
      <c r="A78" s="6" t="s">
        <v>58</v>
      </c>
      <c r="B78" s="13" t="s">
        <v>58</v>
      </c>
      <c r="C78" s="6"/>
      <c r="D78" s="6"/>
      <c r="E78" s="6"/>
      <c r="F78" s="6"/>
      <c r="G78" s="13" t="s">
        <v>136</v>
      </c>
      <c r="H78" s="6"/>
      <c r="I78" s="6"/>
      <c r="J78" s="6"/>
      <c r="K78" s="6"/>
      <c r="L78" s="13"/>
      <c r="M78" s="6"/>
      <c r="N78" s="6"/>
      <c r="O78" s="6"/>
      <c r="P78" s="6"/>
      <c r="Q78" s="13"/>
      <c r="R78" s="6"/>
      <c r="S78" s="6"/>
      <c r="T78" s="6"/>
      <c r="U78" s="13"/>
      <c r="V78" s="6"/>
      <c r="W78" s="6"/>
      <c r="X78" s="13"/>
      <c r="Y78" s="6"/>
      <c r="Z78" s="6"/>
      <c r="AA78" s="6"/>
      <c r="AB78" s="6" t="s">
        <v>58</v>
      </c>
      <c r="AC78" s="6" t="s">
        <v>136</v>
      </c>
      <c r="AD78" s="6"/>
    </row>
    <row r="79" spans="1:30" x14ac:dyDescent="0.25">
      <c r="A79" s="6" t="s">
        <v>59</v>
      </c>
      <c r="B79" s="13" t="s">
        <v>59</v>
      </c>
      <c r="C79" s="6"/>
      <c r="D79" s="6"/>
      <c r="E79" s="6"/>
      <c r="F79" s="6"/>
      <c r="G79" s="13" t="s">
        <v>137</v>
      </c>
      <c r="H79" s="6"/>
      <c r="I79" s="6"/>
      <c r="J79" s="6"/>
      <c r="K79" s="6"/>
      <c r="L79" s="13"/>
      <c r="M79" s="6"/>
      <c r="N79" s="6"/>
      <c r="O79" s="6"/>
      <c r="P79" s="6"/>
      <c r="Q79" s="13"/>
      <c r="R79" s="6"/>
      <c r="S79" s="6"/>
      <c r="T79" s="6"/>
      <c r="U79" s="13"/>
      <c r="V79" s="6"/>
      <c r="W79" s="6"/>
      <c r="X79" s="13"/>
      <c r="Y79" s="6"/>
      <c r="Z79" s="6"/>
      <c r="AA79" s="6"/>
      <c r="AB79" s="6" t="s">
        <v>59</v>
      </c>
      <c r="AC79" s="6" t="s">
        <v>137</v>
      </c>
      <c r="AD79" s="6"/>
    </row>
    <row r="80" spans="1:30" x14ac:dyDescent="0.25">
      <c r="A80" s="6" t="s">
        <v>60</v>
      </c>
      <c r="B80" s="13" t="s">
        <v>60</v>
      </c>
      <c r="C80" s="6"/>
      <c r="D80" s="6"/>
      <c r="E80" s="6"/>
      <c r="F80" s="6"/>
      <c r="G80" s="13" t="s">
        <v>138</v>
      </c>
      <c r="H80" s="6"/>
      <c r="I80" s="6"/>
      <c r="J80" s="6"/>
      <c r="K80" s="6"/>
      <c r="L80" s="13"/>
      <c r="M80" s="6"/>
      <c r="N80" s="6"/>
      <c r="O80" s="6"/>
      <c r="P80" s="6"/>
      <c r="Q80" s="13"/>
      <c r="R80" s="6"/>
      <c r="S80" s="6"/>
      <c r="T80" s="6"/>
      <c r="U80" s="13"/>
      <c r="V80" s="6"/>
      <c r="W80" s="6"/>
      <c r="X80" s="13"/>
      <c r="Y80" s="6"/>
      <c r="Z80" s="6"/>
      <c r="AA80" s="6"/>
      <c r="AB80" s="6" t="s">
        <v>60</v>
      </c>
      <c r="AC80" s="6" t="s">
        <v>138</v>
      </c>
      <c r="AD80" s="6"/>
    </row>
    <row r="81" spans="1:30" x14ac:dyDescent="0.25">
      <c r="A81" s="6" t="s">
        <v>61</v>
      </c>
      <c r="B81" s="13" t="s">
        <v>61</v>
      </c>
      <c r="C81" s="6"/>
      <c r="D81" s="6"/>
      <c r="E81" s="6"/>
      <c r="F81" s="6"/>
      <c r="G81" s="13" t="s">
        <v>139</v>
      </c>
      <c r="H81" s="6"/>
      <c r="I81" s="6"/>
      <c r="J81" s="6"/>
      <c r="K81" s="6"/>
      <c r="L81" s="13"/>
      <c r="M81" s="6"/>
      <c r="N81" s="6"/>
      <c r="O81" s="6"/>
      <c r="P81" s="6"/>
      <c r="Q81" s="13"/>
      <c r="R81" s="6"/>
      <c r="S81" s="6"/>
      <c r="T81" s="6"/>
      <c r="U81" s="13"/>
      <c r="V81" s="6"/>
      <c r="W81" s="6"/>
      <c r="X81" s="13"/>
      <c r="Y81" s="6"/>
      <c r="Z81" s="6"/>
      <c r="AA81" s="6"/>
      <c r="AB81" s="6" t="s">
        <v>61</v>
      </c>
      <c r="AC81" s="6" t="s">
        <v>139</v>
      </c>
      <c r="AD81" s="6"/>
    </row>
    <row r="82" spans="1:30" x14ac:dyDescent="0.25">
      <c r="A82" s="6" t="s">
        <v>62</v>
      </c>
      <c r="B82" s="13" t="s">
        <v>62</v>
      </c>
      <c r="C82" s="6"/>
      <c r="D82" s="6"/>
      <c r="E82" s="6"/>
      <c r="F82" s="6"/>
      <c r="G82" s="13" t="s">
        <v>140</v>
      </c>
      <c r="H82" s="6"/>
      <c r="I82" s="6"/>
      <c r="J82" s="6"/>
      <c r="K82" s="6"/>
      <c r="L82" s="13"/>
      <c r="M82" s="6"/>
      <c r="N82" s="6"/>
      <c r="O82" s="6"/>
      <c r="P82" s="6"/>
      <c r="Q82" s="13"/>
      <c r="R82" s="6"/>
      <c r="S82" s="6"/>
      <c r="T82" s="6"/>
      <c r="U82" s="13"/>
      <c r="V82" s="6"/>
      <c r="W82" s="6"/>
      <c r="X82" s="13"/>
      <c r="Y82" s="6"/>
      <c r="Z82" s="6"/>
      <c r="AA82" s="6"/>
      <c r="AB82" s="6" t="s">
        <v>62</v>
      </c>
      <c r="AC82" s="6" t="s">
        <v>140</v>
      </c>
      <c r="AD82" s="6"/>
    </row>
    <row r="83" spans="1:30" x14ac:dyDescent="0.25">
      <c r="A83" s="6" t="s">
        <v>63</v>
      </c>
      <c r="B83" s="13" t="s">
        <v>63</v>
      </c>
      <c r="C83" s="6"/>
      <c r="D83" s="6"/>
      <c r="E83" s="6"/>
      <c r="F83" s="6"/>
      <c r="G83" s="13" t="s">
        <v>141</v>
      </c>
      <c r="H83" s="6"/>
      <c r="I83" s="6"/>
      <c r="J83" s="6"/>
      <c r="K83" s="6"/>
      <c r="L83" s="13"/>
      <c r="M83" s="6"/>
      <c r="N83" s="6"/>
      <c r="O83" s="6"/>
      <c r="P83" s="6"/>
      <c r="Q83" s="13"/>
      <c r="R83" s="6"/>
      <c r="S83" s="6"/>
      <c r="T83" s="6"/>
      <c r="U83" s="13"/>
      <c r="V83" s="6"/>
      <c r="W83" s="6"/>
      <c r="X83" s="13"/>
      <c r="Y83" s="6"/>
      <c r="Z83" s="6"/>
      <c r="AA83" s="6"/>
      <c r="AB83" s="6" t="s">
        <v>63</v>
      </c>
      <c r="AC83" s="6" t="s">
        <v>141</v>
      </c>
      <c r="AD83" s="6"/>
    </row>
    <row r="84" spans="1:30" x14ac:dyDescent="0.25">
      <c r="A84" s="6" t="s">
        <v>64</v>
      </c>
      <c r="B84" s="13" t="s">
        <v>64</v>
      </c>
      <c r="C84" s="6"/>
      <c r="D84" s="6"/>
      <c r="E84" s="6"/>
      <c r="F84" s="6"/>
      <c r="G84" s="13" t="s">
        <v>142</v>
      </c>
      <c r="H84" s="6"/>
      <c r="I84" s="6"/>
      <c r="J84" s="6"/>
      <c r="K84" s="6"/>
      <c r="L84" s="13"/>
      <c r="M84" s="6"/>
      <c r="N84" s="6"/>
      <c r="O84" s="6"/>
      <c r="P84" s="6"/>
      <c r="Q84" s="13"/>
      <c r="R84" s="6"/>
      <c r="S84" s="6"/>
      <c r="T84" s="6"/>
      <c r="U84" s="13"/>
      <c r="V84" s="6"/>
      <c r="W84" s="6"/>
      <c r="X84" s="13"/>
      <c r="Y84" s="6"/>
      <c r="Z84" s="6"/>
      <c r="AA84" s="6"/>
      <c r="AB84" s="6" t="s">
        <v>64</v>
      </c>
      <c r="AC84" s="6" t="s">
        <v>142</v>
      </c>
      <c r="AD84" s="6"/>
    </row>
    <row r="85" spans="1:30" x14ac:dyDescent="0.25">
      <c r="A85" s="6" t="s">
        <v>65</v>
      </c>
      <c r="B85" s="13" t="s">
        <v>65</v>
      </c>
      <c r="C85" s="6"/>
      <c r="D85" s="6"/>
      <c r="E85" s="6"/>
      <c r="F85" s="6"/>
      <c r="G85" s="13" t="s">
        <v>143</v>
      </c>
      <c r="H85" s="6"/>
      <c r="I85" s="6"/>
      <c r="J85" s="6"/>
      <c r="K85" s="6"/>
      <c r="L85" s="13"/>
      <c r="M85" s="6"/>
      <c r="N85" s="6"/>
      <c r="O85" s="6"/>
      <c r="P85" s="6"/>
      <c r="Q85" s="13"/>
      <c r="R85" s="6"/>
      <c r="S85" s="6"/>
      <c r="T85" s="6"/>
      <c r="U85" s="13"/>
      <c r="V85" s="6"/>
      <c r="W85" s="6"/>
      <c r="X85" s="13"/>
      <c r="Y85" s="6"/>
      <c r="Z85" s="6"/>
      <c r="AA85" s="6"/>
      <c r="AB85" s="6" t="s">
        <v>65</v>
      </c>
      <c r="AC85" s="6" t="s">
        <v>143</v>
      </c>
      <c r="AD85" s="6"/>
    </row>
    <row r="86" spans="1:30" x14ac:dyDescent="0.25">
      <c r="A86" s="6" t="s">
        <v>66</v>
      </c>
      <c r="B86" s="13" t="s">
        <v>66</v>
      </c>
      <c r="C86" s="6"/>
      <c r="D86" s="6"/>
      <c r="E86" s="6"/>
      <c r="F86" s="6"/>
      <c r="G86" s="13" t="s">
        <v>144</v>
      </c>
      <c r="H86" s="6"/>
      <c r="I86" s="6"/>
      <c r="J86" s="6"/>
      <c r="K86" s="6"/>
      <c r="L86" s="13"/>
      <c r="M86" s="6"/>
      <c r="N86" s="6"/>
      <c r="O86" s="6"/>
      <c r="P86" s="6"/>
      <c r="Q86" s="13"/>
      <c r="R86" s="6"/>
      <c r="S86" s="6"/>
      <c r="T86" s="6"/>
      <c r="U86" s="13"/>
      <c r="V86" s="6"/>
      <c r="W86" s="6"/>
      <c r="X86" s="13"/>
      <c r="Y86" s="6"/>
      <c r="Z86" s="6"/>
      <c r="AA86" s="6"/>
      <c r="AB86" s="6" t="s">
        <v>66</v>
      </c>
      <c r="AC86" s="6" t="s">
        <v>144</v>
      </c>
      <c r="AD86" s="6"/>
    </row>
    <row r="87" spans="1:30" x14ac:dyDescent="0.25">
      <c r="A87" s="6" t="s">
        <v>67</v>
      </c>
      <c r="B87" s="13" t="s">
        <v>67</v>
      </c>
      <c r="C87" s="6"/>
      <c r="D87" s="6"/>
      <c r="E87" s="6"/>
      <c r="F87" s="6"/>
      <c r="G87" s="13" t="s">
        <v>145</v>
      </c>
      <c r="H87" s="6"/>
      <c r="I87" s="6"/>
      <c r="J87" s="6"/>
      <c r="K87" s="6"/>
      <c r="L87" s="13"/>
      <c r="M87" s="6"/>
      <c r="N87" s="6"/>
      <c r="O87" s="6"/>
      <c r="P87" s="6"/>
      <c r="Q87" s="13"/>
      <c r="R87" s="6"/>
      <c r="S87" s="6"/>
      <c r="T87" s="6"/>
      <c r="U87" s="13"/>
      <c r="V87" s="6"/>
      <c r="W87" s="6"/>
      <c r="X87" s="13"/>
      <c r="Y87" s="6"/>
      <c r="Z87" s="6"/>
      <c r="AA87" s="6"/>
      <c r="AB87" s="6" t="s">
        <v>67</v>
      </c>
      <c r="AC87" s="6" t="s">
        <v>145</v>
      </c>
      <c r="AD87" s="6"/>
    </row>
    <row r="88" spans="1:30" x14ac:dyDescent="0.25">
      <c r="A88" s="6" t="s">
        <v>68</v>
      </c>
      <c r="B88" s="13" t="s">
        <v>68</v>
      </c>
      <c r="C88" s="6"/>
      <c r="D88" s="6"/>
      <c r="E88" s="6"/>
      <c r="F88" s="6"/>
      <c r="G88" s="13" t="s">
        <v>146</v>
      </c>
      <c r="H88" s="6"/>
      <c r="I88" s="6"/>
      <c r="J88" s="6"/>
      <c r="K88" s="6"/>
      <c r="L88" s="13"/>
      <c r="M88" s="6"/>
      <c r="N88" s="6"/>
      <c r="O88" s="6"/>
      <c r="P88" s="6"/>
      <c r="Q88" s="13"/>
      <c r="R88" s="6"/>
      <c r="S88" s="6"/>
      <c r="T88" s="6"/>
      <c r="U88" s="13"/>
      <c r="V88" s="6"/>
      <c r="W88" s="6"/>
      <c r="X88" s="13"/>
      <c r="Y88" s="6"/>
      <c r="Z88" s="6"/>
      <c r="AA88" s="6"/>
      <c r="AB88" s="6" t="s">
        <v>68</v>
      </c>
      <c r="AC88" s="6" t="s">
        <v>146</v>
      </c>
      <c r="AD88" s="6"/>
    </row>
    <row r="89" spans="1:30" x14ac:dyDescent="0.25">
      <c r="A89" s="6" t="s">
        <v>69</v>
      </c>
      <c r="B89" s="13" t="s">
        <v>69</v>
      </c>
      <c r="C89" s="6"/>
      <c r="D89" s="6"/>
      <c r="E89" s="6"/>
      <c r="F89" s="6"/>
      <c r="G89" s="13" t="s">
        <v>147</v>
      </c>
      <c r="H89" s="6"/>
      <c r="I89" s="6"/>
      <c r="J89" s="6"/>
      <c r="K89" s="6"/>
      <c r="L89" s="13"/>
      <c r="M89" s="6"/>
      <c r="N89" s="6"/>
      <c r="O89" s="6"/>
      <c r="P89" s="6"/>
      <c r="Q89" s="13"/>
      <c r="R89" s="6"/>
      <c r="S89" s="6"/>
      <c r="T89" s="6"/>
      <c r="U89" s="13"/>
      <c r="V89" s="6"/>
      <c r="W89" s="6"/>
      <c r="X89" s="13"/>
      <c r="Y89" s="6"/>
      <c r="Z89" s="6"/>
      <c r="AA89" s="6"/>
      <c r="AB89" s="6" t="s">
        <v>69</v>
      </c>
      <c r="AC89" s="6" t="s">
        <v>147</v>
      </c>
      <c r="AD89" s="6"/>
    </row>
    <row r="90" spans="1:30" x14ac:dyDescent="0.25">
      <c r="A90" s="6" t="s">
        <v>70</v>
      </c>
      <c r="B90" s="13" t="s">
        <v>70</v>
      </c>
      <c r="C90" s="6"/>
      <c r="D90" s="6"/>
      <c r="E90" s="6"/>
      <c r="F90" s="6"/>
      <c r="G90" s="13" t="s">
        <v>148</v>
      </c>
      <c r="H90" s="6"/>
      <c r="I90" s="6"/>
      <c r="J90" s="6"/>
      <c r="K90" s="6"/>
      <c r="L90" s="13"/>
      <c r="M90" s="6"/>
      <c r="N90" s="6"/>
      <c r="O90" s="6"/>
      <c r="P90" s="6"/>
      <c r="Q90" s="13"/>
      <c r="R90" s="6"/>
      <c r="S90" s="6"/>
      <c r="T90" s="6"/>
      <c r="U90" s="13"/>
      <c r="V90" s="6"/>
      <c r="W90" s="6"/>
      <c r="X90" s="13"/>
      <c r="Y90" s="6"/>
      <c r="Z90" s="6"/>
      <c r="AA90" s="6"/>
      <c r="AB90" s="6" t="s">
        <v>70</v>
      </c>
      <c r="AC90" s="6" t="s">
        <v>148</v>
      </c>
      <c r="AD90" s="6"/>
    </row>
    <row r="91" spans="1:30" x14ac:dyDescent="0.25">
      <c r="A91" s="6" t="s">
        <v>71</v>
      </c>
      <c r="B91" s="13" t="s">
        <v>71</v>
      </c>
      <c r="C91" s="6"/>
      <c r="D91" s="6"/>
      <c r="E91" s="6"/>
      <c r="F91" s="6"/>
      <c r="G91" s="13" t="s">
        <v>149</v>
      </c>
      <c r="H91" s="6"/>
      <c r="I91" s="6"/>
      <c r="J91" s="6"/>
      <c r="K91" s="6"/>
      <c r="L91" s="13"/>
      <c r="M91" s="6"/>
      <c r="N91" s="6"/>
      <c r="O91" s="6"/>
      <c r="P91" s="6"/>
      <c r="Q91" s="13"/>
      <c r="R91" s="6"/>
      <c r="S91" s="6"/>
      <c r="T91" s="6"/>
      <c r="U91" s="13"/>
      <c r="V91" s="6"/>
      <c r="W91" s="6"/>
      <c r="X91" s="13"/>
      <c r="Y91" s="6"/>
      <c r="Z91" s="6"/>
      <c r="AA91" s="6"/>
      <c r="AB91" s="6" t="s">
        <v>71</v>
      </c>
      <c r="AC91" s="6" t="s">
        <v>149</v>
      </c>
      <c r="AD91" s="6"/>
    </row>
    <row r="92" spans="1:30" x14ac:dyDescent="0.25">
      <c r="A92" s="6" t="s">
        <v>72</v>
      </c>
      <c r="B92" s="13" t="s">
        <v>72</v>
      </c>
      <c r="C92" s="6"/>
      <c r="D92" s="6"/>
      <c r="E92" s="6"/>
      <c r="F92" s="6"/>
      <c r="G92" s="13" t="s">
        <v>150</v>
      </c>
      <c r="H92" s="6"/>
      <c r="I92" s="6"/>
      <c r="J92" s="6"/>
      <c r="K92" s="6"/>
      <c r="L92" s="13"/>
      <c r="M92" s="6"/>
      <c r="N92" s="6"/>
      <c r="O92" s="6"/>
      <c r="P92" s="6"/>
      <c r="Q92" s="13"/>
      <c r="R92" s="6"/>
      <c r="S92" s="6"/>
      <c r="T92" s="6"/>
      <c r="U92" s="13"/>
      <c r="V92" s="6"/>
      <c r="W92" s="6"/>
      <c r="X92" s="13"/>
      <c r="Y92" s="6"/>
      <c r="Z92" s="6"/>
      <c r="AA92" s="6"/>
      <c r="AB92" s="6" t="s">
        <v>72</v>
      </c>
      <c r="AC92" s="6" t="s">
        <v>150</v>
      </c>
      <c r="AD92" s="6"/>
    </row>
    <row r="93" spans="1:30" x14ac:dyDescent="0.25">
      <c r="A93" s="6" t="s">
        <v>73</v>
      </c>
      <c r="B93" s="13"/>
      <c r="C93" s="6"/>
      <c r="D93" s="6"/>
      <c r="E93" s="6"/>
      <c r="F93" s="6"/>
      <c r="G93" s="13"/>
      <c r="H93" s="6"/>
      <c r="I93" s="6"/>
      <c r="J93" s="6"/>
      <c r="K93" s="6"/>
      <c r="L93" s="13"/>
      <c r="M93" s="6"/>
      <c r="N93" s="6"/>
      <c r="O93" s="6"/>
      <c r="P93" s="6"/>
      <c r="Q93" s="13"/>
      <c r="R93" s="6"/>
      <c r="S93" s="6"/>
      <c r="T93" s="6"/>
      <c r="U93" s="13"/>
      <c r="V93" s="6"/>
      <c r="W93" s="6"/>
      <c r="X93" s="13"/>
      <c r="Y93" s="6"/>
      <c r="Z93" s="6"/>
      <c r="AA93" s="6"/>
      <c r="AB93" s="6"/>
      <c r="AC93" s="6"/>
      <c r="AD93" s="6"/>
    </row>
    <row r="94" spans="1:30" x14ac:dyDescent="0.25">
      <c r="A94" s="6" t="s">
        <v>74</v>
      </c>
      <c r="B94" s="13"/>
      <c r="C94" s="6"/>
      <c r="D94" s="6"/>
      <c r="E94" s="6"/>
      <c r="F94" s="6"/>
      <c r="G94" s="13"/>
      <c r="H94" s="6"/>
      <c r="I94" s="6"/>
      <c r="J94" s="6"/>
      <c r="K94" s="6"/>
      <c r="L94" s="13"/>
      <c r="M94" s="6"/>
      <c r="N94" s="6"/>
      <c r="O94" s="6"/>
      <c r="P94" s="6"/>
      <c r="Q94" s="13"/>
      <c r="R94" s="6"/>
      <c r="S94" s="6"/>
      <c r="T94" s="6"/>
      <c r="U94" s="13"/>
      <c r="V94" s="6"/>
      <c r="W94" s="6"/>
      <c r="X94" s="13"/>
      <c r="Y94" s="6"/>
      <c r="Z94" s="6"/>
      <c r="AA94" s="6"/>
      <c r="AB94" s="6"/>
      <c r="AC94" s="6"/>
      <c r="AD94" s="6"/>
    </row>
    <row r="95" spans="1:30" x14ac:dyDescent="0.25">
      <c r="A95" s="6" t="s">
        <v>75</v>
      </c>
      <c r="B95" s="13"/>
      <c r="C95" s="6"/>
      <c r="D95" s="6"/>
      <c r="E95" s="6"/>
      <c r="F95" s="6"/>
      <c r="G95" s="13"/>
      <c r="H95" s="6"/>
      <c r="I95" s="6"/>
      <c r="J95" s="6"/>
      <c r="K95" s="6"/>
      <c r="L95" s="13"/>
      <c r="M95" s="6"/>
      <c r="N95" s="6"/>
      <c r="O95" s="6"/>
      <c r="P95" s="6"/>
      <c r="Q95" s="13"/>
      <c r="R95" s="6"/>
      <c r="S95" s="6"/>
      <c r="T95" s="6"/>
      <c r="U95" s="13"/>
      <c r="V95" s="6"/>
      <c r="W95" s="6"/>
      <c r="X95" s="13"/>
      <c r="Y95" s="6"/>
      <c r="Z95" s="6"/>
      <c r="AA95" s="6"/>
      <c r="AB95" s="6"/>
      <c r="AC95" s="6"/>
      <c r="AD95" s="6"/>
    </row>
    <row r="96" spans="1:30" x14ac:dyDescent="0.25">
      <c r="A96" s="6" t="s">
        <v>76</v>
      </c>
      <c r="B96" s="13"/>
      <c r="C96" s="6"/>
      <c r="D96" s="6"/>
      <c r="E96" s="6"/>
      <c r="F96" s="6"/>
      <c r="G96" s="13"/>
      <c r="H96" s="6"/>
      <c r="I96" s="6"/>
      <c r="J96" s="6"/>
      <c r="K96" s="6"/>
      <c r="L96" s="13"/>
      <c r="M96" s="6"/>
      <c r="N96" s="6"/>
      <c r="O96" s="6"/>
      <c r="P96" s="6"/>
      <c r="Q96" s="13"/>
      <c r="R96" s="6"/>
      <c r="S96" s="6"/>
      <c r="T96" s="6"/>
      <c r="U96" s="13"/>
      <c r="V96" s="6"/>
      <c r="W96" s="6"/>
      <c r="X96" s="13"/>
      <c r="Y96" s="6"/>
      <c r="Z96" s="6"/>
      <c r="AA96" s="6"/>
      <c r="AB96" s="6"/>
      <c r="AC96" s="6"/>
      <c r="AD96" s="6"/>
    </row>
    <row r="97" spans="1:30" x14ac:dyDescent="0.25">
      <c r="A97" s="6" t="s">
        <v>216</v>
      </c>
      <c r="B97" s="13"/>
      <c r="C97" s="6"/>
      <c r="D97" s="6"/>
      <c r="E97" s="6"/>
      <c r="F97" s="6"/>
      <c r="G97" s="13"/>
      <c r="H97" s="6"/>
      <c r="I97" s="6"/>
      <c r="J97" s="6"/>
      <c r="K97" s="6"/>
      <c r="L97" s="13"/>
      <c r="M97" s="6"/>
      <c r="N97" s="6"/>
      <c r="O97" s="6"/>
      <c r="P97" s="6"/>
      <c r="Q97" s="13"/>
      <c r="R97" s="6"/>
      <c r="S97" s="6"/>
      <c r="T97" s="6"/>
      <c r="U97" s="13"/>
      <c r="V97" s="6"/>
      <c r="W97" s="6"/>
      <c r="X97" s="13"/>
      <c r="Y97" s="6"/>
      <c r="Z97" s="6"/>
      <c r="AA97" s="6"/>
      <c r="AB97" s="6"/>
      <c r="AC97" s="6"/>
      <c r="AD97" s="6"/>
    </row>
    <row r="98" spans="1:30" x14ac:dyDescent="0.25">
      <c r="A98" s="6" t="s">
        <v>77</v>
      </c>
      <c r="B98" s="13"/>
      <c r="C98" s="6"/>
      <c r="D98" s="6"/>
      <c r="E98" s="6"/>
      <c r="F98" s="6"/>
      <c r="G98" s="13"/>
      <c r="H98" s="6"/>
      <c r="I98" s="6"/>
      <c r="J98" s="6"/>
      <c r="K98" s="6"/>
      <c r="L98" s="13"/>
      <c r="M98" s="6"/>
      <c r="N98" s="6"/>
      <c r="O98" s="6"/>
      <c r="P98" s="6"/>
      <c r="Q98" s="13"/>
      <c r="R98" s="6"/>
      <c r="S98" s="6"/>
      <c r="T98" s="6"/>
      <c r="U98" s="13"/>
      <c r="V98" s="6"/>
      <c r="W98" s="6"/>
      <c r="X98" s="13"/>
      <c r="Y98" s="6"/>
      <c r="Z98" s="6"/>
      <c r="AA98" s="6"/>
      <c r="AB98" s="6"/>
      <c r="AC98" s="6"/>
      <c r="AD98" s="6"/>
    </row>
    <row r="99" spans="1:30" x14ac:dyDescent="0.25">
      <c r="A99" s="6" t="s">
        <v>78</v>
      </c>
      <c r="B99" s="13"/>
      <c r="C99" s="6"/>
      <c r="D99" s="6"/>
      <c r="E99" s="6"/>
      <c r="F99" s="6"/>
      <c r="G99" s="13"/>
      <c r="H99" s="6"/>
      <c r="I99" s="6"/>
      <c r="J99" s="6"/>
      <c r="K99" s="6"/>
      <c r="L99" s="13"/>
      <c r="M99" s="6"/>
      <c r="N99" s="6"/>
      <c r="O99" s="6"/>
      <c r="P99" s="6"/>
      <c r="Q99" s="13"/>
      <c r="R99" s="6"/>
      <c r="S99" s="6"/>
      <c r="T99" s="6"/>
      <c r="U99" s="13"/>
      <c r="V99" s="6"/>
      <c r="W99" s="6"/>
      <c r="X99" s="13"/>
      <c r="Y99" s="6"/>
      <c r="Z99" s="6"/>
      <c r="AA99" s="6"/>
      <c r="AB99" s="6"/>
      <c r="AC99" s="6"/>
      <c r="AD99" s="6"/>
    </row>
    <row r="100" spans="1:30" x14ac:dyDescent="0.25">
      <c r="A100" s="6" t="s">
        <v>79</v>
      </c>
      <c r="B100" s="13"/>
      <c r="C100" s="6"/>
      <c r="D100" s="6"/>
      <c r="E100" s="6"/>
      <c r="F100" s="6"/>
      <c r="G100" s="13"/>
      <c r="H100" s="6"/>
      <c r="I100" s="6"/>
      <c r="J100" s="6"/>
      <c r="K100" s="6"/>
      <c r="L100" s="13"/>
      <c r="M100" s="6"/>
      <c r="N100" s="6"/>
      <c r="O100" s="6"/>
      <c r="P100" s="6"/>
      <c r="Q100" s="13"/>
      <c r="R100" s="6"/>
      <c r="S100" s="6"/>
      <c r="T100" s="6"/>
      <c r="U100" s="13"/>
      <c r="V100" s="6"/>
      <c r="W100" s="6"/>
      <c r="X100" s="13"/>
      <c r="Y100" s="6"/>
      <c r="Z100" s="6"/>
      <c r="AA100" s="6"/>
      <c r="AB100" s="6"/>
      <c r="AC100" s="6"/>
      <c r="AD100" s="6"/>
    </row>
    <row r="101" spans="1:30" x14ac:dyDescent="0.25">
      <c r="A101" s="6" t="s">
        <v>80</v>
      </c>
      <c r="B101" s="13"/>
      <c r="C101" s="6"/>
      <c r="D101" s="6"/>
      <c r="E101" s="6"/>
      <c r="F101" s="6"/>
      <c r="G101" s="13"/>
      <c r="H101" s="6"/>
      <c r="I101" s="6"/>
      <c r="J101" s="6"/>
      <c r="K101" s="6"/>
      <c r="L101" s="13"/>
      <c r="M101" s="6"/>
      <c r="N101" s="6"/>
      <c r="O101" s="6"/>
      <c r="P101" s="6"/>
      <c r="Q101" s="13"/>
      <c r="R101" s="6"/>
      <c r="S101" s="6"/>
      <c r="T101" s="6"/>
      <c r="U101" s="13"/>
      <c r="V101" s="6"/>
      <c r="W101" s="6"/>
      <c r="X101" s="13"/>
      <c r="Y101" s="6"/>
      <c r="Z101" s="6"/>
      <c r="AA101" s="6"/>
      <c r="AB101" s="6"/>
      <c r="AC101" s="6"/>
      <c r="AD101" s="6"/>
    </row>
    <row r="102" spans="1:30" x14ac:dyDescent="0.25">
      <c r="A102" s="6" t="s">
        <v>81</v>
      </c>
      <c r="B102" s="13"/>
      <c r="C102" s="6"/>
      <c r="D102" s="6"/>
      <c r="E102" s="6"/>
      <c r="F102" s="6"/>
      <c r="G102" s="13"/>
      <c r="H102" s="6"/>
      <c r="I102" s="6"/>
      <c r="J102" s="6"/>
      <c r="K102" s="6"/>
      <c r="L102" s="13"/>
      <c r="M102" s="6"/>
      <c r="N102" s="6"/>
      <c r="O102" s="6"/>
      <c r="P102" s="6"/>
      <c r="Q102" s="13"/>
      <c r="R102" s="6"/>
      <c r="S102" s="6"/>
      <c r="T102" s="6"/>
      <c r="U102" s="13"/>
      <c r="V102" s="6"/>
      <c r="W102" s="6"/>
      <c r="X102" s="13"/>
      <c r="Y102" s="6"/>
      <c r="Z102" s="6"/>
      <c r="AA102" s="6"/>
      <c r="AB102" s="6"/>
      <c r="AC102" s="6"/>
      <c r="AD102" s="6"/>
    </row>
    <row r="103" spans="1:30" x14ac:dyDescent="0.25">
      <c r="A103" s="6" t="s">
        <v>82</v>
      </c>
      <c r="B103" s="13"/>
      <c r="C103" s="6"/>
      <c r="D103" s="6"/>
      <c r="E103" s="6"/>
      <c r="F103" s="6"/>
      <c r="G103" s="13"/>
      <c r="H103" s="6"/>
      <c r="I103" s="6"/>
      <c r="J103" s="6"/>
      <c r="K103" s="6"/>
      <c r="L103" s="13"/>
      <c r="M103" s="6"/>
      <c r="N103" s="6"/>
      <c r="O103" s="6"/>
      <c r="P103" s="6"/>
      <c r="Q103" s="13"/>
      <c r="R103" s="6"/>
      <c r="S103" s="6"/>
      <c r="T103" s="6"/>
      <c r="U103" s="13"/>
      <c r="V103" s="6"/>
      <c r="W103" s="6"/>
      <c r="X103" s="13"/>
      <c r="Y103" s="6"/>
      <c r="Z103" s="6"/>
      <c r="AA103" s="6"/>
      <c r="AB103" s="6"/>
      <c r="AC103" s="6"/>
      <c r="AD103" s="6"/>
    </row>
    <row r="104" spans="1:30" x14ac:dyDescent="0.25">
      <c r="A104" s="6" t="s">
        <v>83</v>
      </c>
      <c r="B104" s="13"/>
      <c r="C104" s="6"/>
      <c r="D104" s="6"/>
      <c r="E104" s="6"/>
      <c r="F104" s="6"/>
      <c r="G104" s="13"/>
      <c r="H104" s="6"/>
      <c r="I104" s="6"/>
      <c r="J104" s="6"/>
      <c r="K104" s="6"/>
      <c r="L104" s="13"/>
      <c r="M104" s="6"/>
      <c r="N104" s="6"/>
      <c r="O104" s="6"/>
      <c r="P104" s="6"/>
      <c r="Q104" s="13"/>
      <c r="R104" s="6"/>
      <c r="S104" s="6"/>
      <c r="T104" s="6"/>
      <c r="U104" s="13"/>
      <c r="V104" s="6"/>
      <c r="W104" s="6"/>
      <c r="X104" s="13"/>
      <c r="Y104" s="6"/>
      <c r="Z104" s="6"/>
      <c r="AA104" s="6"/>
      <c r="AB104" s="6"/>
      <c r="AC104" s="6"/>
      <c r="AD104" s="6"/>
    </row>
    <row r="105" spans="1:30" x14ac:dyDescent="0.25">
      <c r="A105" s="6" t="s">
        <v>84</v>
      </c>
      <c r="B105" s="13"/>
      <c r="C105" s="6"/>
      <c r="D105" s="6"/>
      <c r="E105" s="6"/>
      <c r="F105" s="6"/>
      <c r="G105" s="13"/>
      <c r="H105" s="6"/>
      <c r="I105" s="6"/>
      <c r="J105" s="6"/>
      <c r="K105" s="6"/>
      <c r="L105" s="13"/>
      <c r="M105" s="6"/>
      <c r="N105" s="6"/>
      <c r="O105" s="6"/>
      <c r="P105" s="6"/>
      <c r="Q105" s="13"/>
      <c r="R105" s="6"/>
      <c r="S105" s="6"/>
      <c r="T105" s="6"/>
      <c r="U105" s="13"/>
      <c r="V105" s="6"/>
      <c r="W105" s="6"/>
      <c r="X105" s="13"/>
      <c r="Y105" s="6"/>
      <c r="Z105" s="6"/>
      <c r="AA105" s="6"/>
      <c r="AB105" s="6"/>
      <c r="AC105" s="6"/>
      <c r="AD105" s="6"/>
    </row>
    <row r="106" spans="1:30" x14ac:dyDescent="0.25">
      <c r="A106" s="6" t="s">
        <v>85</v>
      </c>
      <c r="B106" s="13"/>
      <c r="C106" s="6"/>
      <c r="D106" s="6"/>
      <c r="E106" s="6"/>
      <c r="F106" s="6"/>
      <c r="G106" s="13"/>
      <c r="H106" s="6"/>
      <c r="I106" s="6"/>
      <c r="J106" s="6"/>
      <c r="K106" s="6"/>
      <c r="L106" s="13"/>
      <c r="M106" s="6"/>
      <c r="N106" s="6"/>
      <c r="O106" s="6"/>
      <c r="P106" s="6"/>
      <c r="Q106" s="13"/>
      <c r="R106" s="6"/>
      <c r="S106" s="6"/>
      <c r="T106" s="6"/>
      <c r="U106" s="13"/>
      <c r="V106" s="6"/>
      <c r="W106" s="6"/>
      <c r="X106" s="13"/>
      <c r="Y106" s="6"/>
      <c r="Z106" s="6"/>
      <c r="AA106" s="6"/>
      <c r="AB106" s="6"/>
      <c r="AC106" s="6"/>
      <c r="AD106" s="6"/>
    </row>
    <row r="107" spans="1:30" x14ac:dyDescent="0.25">
      <c r="A107" s="6" t="s">
        <v>86</v>
      </c>
      <c r="B107" s="13"/>
      <c r="C107" s="6"/>
      <c r="D107" s="6"/>
      <c r="E107" s="6"/>
      <c r="F107" s="6"/>
      <c r="G107" s="13"/>
      <c r="H107" s="6"/>
      <c r="I107" s="6"/>
      <c r="J107" s="6"/>
      <c r="K107" s="6"/>
      <c r="L107" s="13"/>
      <c r="M107" s="6"/>
      <c r="N107" s="6"/>
      <c r="O107" s="6"/>
      <c r="P107" s="6"/>
      <c r="Q107" s="13"/>
      <c r="R107" s="6"/>
      <c r="S107" s="6"/>
      <c r="T107" s="6"/>
      <c r="U107" s="13"/>
      <c r="V107" s="6"/>
      <c r="W107" s="6"/>
      <c r="X107" s="13"/>
      <c r="Y107" s="6"/>
      <c r="Z107" s="6"/>
      <c r="AA107" s="6"/>
      <c r="AB107" s="6"/>
      <c r="AC107" s="6"/>
      <c r="AD107" s="6"/>
    </row>
    <row r="108" spans="1:30" x14ac:dyDescent="0.25">
      <c r="A108" s="6" t="s">
        <v>87</v>
      </c>
      <c r="B108" s="13"/>
      <c r="C108" s="6"/>
      <c r="D108" s="6"/>
      <c r="E108" s="6"/>
      <c r="F108" s="6"/>
      <c r="G108" s="13"/>
      <c r="H108" s="6"/>
      <c r="I108" s="6"/>
      <c r="J108" s="6"/>
      <c r="K108" s="6"/>
      <c r="L108" s="13"/>
      <c r="M108" s="6"/>
      <c r="N108" s="6"/>
      <c r="O108" s="6"/>
      <c r="P108" s="6"/>
      <c r="Q108" s="13"/>
      <c r="R108" s="6"/>
      <c r="S108" s="6"/>
      <c r="T108" s="6"/>
      <c r="U108" s="13"/>
      <c r="V108" s="6"/>
      <c r="W108" s="6"/>
      <c r="X108" s="13"/>
      <c r="Y108" s="6"/>
      <c r="Z108" s="6"/>
      <c r="AA108" s="6"/>
      <c r="AB108" s="6"/>
      <c r="AC108" s="6"/>
      <c r="AD108" s="6"/>
    </row>
    <row r="109" spans="1:30" x14ac:dyDescent="0.25">
      <c r="A109" s="6" t="s">
        <v>260</v>
      </c>
      <c r="B109" s="13"/>
      <c r="C109" s="6"/>
      <c r="D109" s="6"/>
      <c r="E109" s="6"/>
      <c r="F109" s="6"/>
      <c r="G109" s="13"/>
      <c r="H109" s="6"/>
      <c r="I109" s="6"/>
      <c r="J109" s="6"/>
      <c r="K109" s="6"/>
      <c r="L109" s="13"/>
      <c r="M109" s="6"/>
      <c r="N109" s="6"/>
      <c r="O109" s="6"/>
      <c r="P109" s="6"/>
      <c r="Q109" s="13"/>
      <c r="R109" s="6"/>
      <c r="S109" s="6"/>
      <c r="T109" s="6"/>
      <c r="U109" s="13"/>
      <c r="V109" s="6"/>
      <c r="W109" s="6"/>
      <c r="X109" s="13"/>
      <c r="Y109" s="6"/>
      <c r="Z109" s="6"/>
      <c r="AA109" s="6"/>
      <c r="AB109" s="6"/>
      <c r="AC109" s="6"/>
      <c r="AD109" s="6"/>
    </row>
    <row r="110" spans="1:30" x14ac:dyDescent="0.25">
      <c r="A110" s="6" t="s">
        <v>263</v>
      </c>
      <c r="B110" s="13"/>
      <c r="C110" s="6"/>
      <c r="D110" s="6"/>
      <c r="E110" s="6"/>
      <c r="F110" s="6"/>
      <c r="G110" s="13"/>
      <c r="H110" s="6"/>
      <c r="I110" s="6"/>
      <c r="J110" s="6"/>
      <c r="K110" s="6"/>
      <c r="L110" s="13"/>
      <c r="M110" s="6"/>
      <c r="N110" s="6"/>
      <c r="O110" s="6"/>
      <c r="P110" s="6"/>
      <c r="Q110" s="13"/>
      <c r="R110" s="6"/>
      <c r="S110" s="6"/>
      <c r="T110" s="6"/>
      <c r="U110" s="13"/>
      <c r="V110" s="6"/>
      <c r="W110" s="6"/>
      <c r="X110" s="13"/>
      <c r="Y110" s="6"/>
      <c r="Z110" s="6"/>
      <c r="AA110" s="6"/>
      <c r="AB110" s="6"/>
      <c r="AC110" s="6"/>
      <c r="AD110" s="6"/>
    </row>
    <row r="111" spans="1:30" x14ac:dyDescent="0.25">
      <c r="A111" s="6" t="s">
        <v>88</v>
      </c>
      <c r="B111" s="13"/>
      <c r="C111" s="6"/>
      <c r="D111" s="6"/>
      <c r="E111" s="6"/>
      <c r="F111" s="6"/>
      <c r="G111" s="13"/>
      <c r="H111" s="6"/>
      <c r="I111" s="6"/>
      <c r="J111" s="6"/>
      <c r="K111" s="6"/>
      <c r="L111" s="13"/>
      <c r="M111" s="6"/>
      <c r="N111" s="6"/>
      <c r="O111" s="6"/>
      <c r="P111" s="6"/>
      <c r="Q111" s="13"/>
      <c r="R111" s="6"/>
      <c r="S111" s="6"/>
      <c r="T111" s="6"/>
      <c r="U111" s="13"/>
      <c r="V111" s="6"/>
      <c r="W111" s="6"/>
      <c r="X111" s="13"/>
      <c r="Y111" s="6"/>
      <c r="Z111" s="6"/>
      <c r="AA111" s="6"/>
      <c r="AB111" s="6"/>
      <c r="AC111" s="6"/>
      <c r="AD111" s="6"/>
    </row>
    <row r="112" spans="1:30" x14ac:dyDescent="0.25">
      <c r="A112" s="6" t="s">
        <v>89</v>
      </c>
      <c r="B112" s="13"/>
      <c r="C112" s="6"/>
      <c r="D112" s="6"/>
      <c r="E112" s="6"/>
      <c r="F112" s="6"/>
      <c r="G112" s="13"/>
      <c r="H112" s="6"/>
      <c r="I112" s="6"/>
      <c r="J112" s="6"/>
      <c r="K112" s="6"/>
      <c r="L112" s="13"/>
      <c r="M112" s="6"/>
      <c r="N112" s="6"/>
      <c r="O112" s="6"/>
      <c r="P112" s="6"/>
      <c r="Q112" s="13"/>
      <c r="R112" s="6"/>
      <c r="S112" s="6"/>
      <c r="T112" s="6"/>
      <c r="U112" s="13"/>
      <c r="V112" s="6"/>
      <c r="W112" s="6"/>
      <c r="X112" s="13"/>
      <c r="Y112" s="6"/>
      <c r="Z112" s="6"/>
      <c r="AA112" s="6"/>
      <c r="AB112" s="6"/>
      <c r="AC112" s="6"/>
      <c r="AD112" s="6"/>
    </row>
    <row r="113" spans="1:30" x14ac:dyDescent="0.25">
      <c r="A113" s="6" t="s">
        <v>90</v>
      </c>
      <c r="B113" s="13"/>
      <c r="C113" s="6"/>
      <c r="D113" s="6"/>
      <c r="E113" s="6"/>
      <c r="F113" s="6"/>
      <c r="G113" s="13"/>
      <c r="H113" s="6"/>
      <c r="I113" s="6"/>
      <c r="J113" s="6"/>
      <c r="K113" s="6"/>
      <c r="L113" s="13"/>
      <c r="M113" s="6"/>
      <c r="N113" s="6"/>
      <c r="O113" s="6"/>
      <c r="P113" s="6"/>
      <c r="Q113" s="13"/>
      <c r="R113" s="6"/>
      <c r="S113" s="6"/>
      <c r="T113" s="6"/>
      <c r="U113" s="13"/>
      <c r="V113" s="6"/>
      <c r="W113" s="6"/>
      <c r="X113" s="13"/>
      <c r="Y113" s="6"/>
      <c r="Z113" s="6"/>
      <c r="AA113" s="6"/>
      <c r="AB113" s="6"/>
      <c r="AC113" s="6"/>
      <c r="AD113" s="6"/>
    </row>
    <row r="114" spans="1:30" x14ac:dyDescent="0.25">
      <c r="A114" s="6" t="s">
        <v>91</v>
      </c>
      <c r="B114" s="13"/>
      <c r="C114" s="6"/>
      <c r="D114" s="6"/>
      <c r="E114" s="6"/>
      <c r="F114" s="6"/>
      <c r="G114" s="13"/>
      <c r="H114" s="6"/>
      <c r="I114" s="6"/>
      <c r="J114" s="6"/>
      <c r="K114" s="6"/>
      <c r="L114" s="13"/>
      <c r="M114" s="6"/>
      <c r="N114" s="6"/>
      <c r="O114" s="6"/>
      <c r="P114" s="6"/>
      <c r="Q114" s="13"/>
      <c r="R114" s="6"/>
      <c r="S114" s="6"/>
      <c r="T114" s="6"/>
      <c r="U114" s="13"/>
      <c r="V114" s="6"/>
      <c r="W114" s="6"/>
      <c r="X114" s="13"/>
      <c r="Y114" s="6"/>
      <c r="Z114" s="6"/>
      <c r="AA114" s="6"/>
      <c r="AB114" s="6"/>
      <c r="AC114" s="6"/>
      <c r="AD114" s="6"/>
    </row>
    <row r="115" spans="1:30" x14ac:dyDescent="0.25">
      <c r="A115" s="6" t="s">
        <v>270</v>
      </c>
      <c r="B115" s="13"/>
      <c r="C115" s="6"/>
      <c r="D115" s="6"/>
      <c r="E115" s="6"/>
      <c r="F115" s="6"/>
      <c r="G115" s="13"/>
      <c r="H115" s="6"/>
      <c r="I115" s="6"/>
      <c r="J115" s="6"/>
      <c r="K115" s="6"/>
      <c r="L115" s="13"/>
      <c r="M115" s="6"/>
      <c r="N115" s="6"/>
      <c r="O115" s="6"/>
      <c r="P115" s="6"/>
      <c r="Q115" s="13"/>
      <c r="R115" s="6"/>
      <c r="S115" s="6"/>
      <c r="T115" s="6"/>
      <c r="U115" s="13"/>
      <c r="V115" s="6"/>
      <c r="W115" s="6"/>
      <c r="X115" s="13"/>
      <c r="Y115" s="6"/>
      <c r="Z115" s="6"/>
      <c r="AA115" s="6"/>
      <c r="AB115" s="6"/>
      <c r="AC115" s="6"/>
      <c r="AD115" s="6"/>
    </row>
    <row r="116" spans="1:30" x14ac:dyDescent="0.25">
      <c r="A116" s="6" t="s">
        <v>273</v>
      </c>
      <c r="B116" s="13"/>
      <c r="C116" s="6"/>
      <c r="D116" s="6"/>
      <c r="E116" s="6"/>
      <c r="F116" s="6"/>
      <c r="G116" s="13"/>
      <c r="H116" s="6"/>
      <c r="I116" s="6"/>
      <c r="J116" s="6"/>
      <c r="K116" s="6"/>
      <c r="L116" s="13"/>
      <c r="M116" s="6"/>
      <c r="N116" s="6"/>
      <c r="O116" s="6"/>
      <c r="P116" s="6"/>
      <c r="Q116" s="13"/>
      <c r="R116" s="6"/>
      <c r="S116" s="6"/>
      <c r="T116" s="6"/>
      <c r="U116" s="13"/>
      <c r="V116" s="6"/>
      <c r="W116" s="6"/>
      <c r="X116" s="13"/>
      <c r="Y116" s="6"/>
      <c r="Z116" s="6"/>
      <c r="AA116" s="6"/>
      <c r="AB116" s="6"/>
      <c r="AC116" s="6"/>
      <c r="AD116" s="6"/>
    </row>
    <row r="117" spans="1:30" x14ac:dyDescent="0.25">
      <c r="A117" s="6" t="s">
        <v>276</v>
      </c>
      <c r="B117" s="13"/>
      <c r="C117" s="6"/>
      <c r="D117" s="6"/>
      <c r="E117" s="6"/>
      <c r="F117" s="6"/>
      <c r="G117" s="13"/>
      <c r="H117" s="6"/>
      <c r="I117" s="6"/>
      <c r="J117" s="6"/>
      <c r="K117" s="6"/>
      <c r="L117" s="13"/>
      <c r="M117" s="6"/>
      <c r="N117" s="6"/>
      <c r="O117" s="6"/>
      <c r="P117" s="6"/>
      <c r="Q117" s="13"/>
      <c r="R117" s="6"/>
      <c r="S117" s="6"/>
      <c r="T117" s="6"/>
      <c r="U117" s="13"/>
      <c r="V117" s="6"/>
      <c r="W117" s="6"/>
      <c r="X117" s="13"/>
      <c r="Y117" s="6"/>
      <c r="Z117" s="6"/>
      <c r="AA117" s="6"/>
      <c r="AB117" s="6"/>
      <c r="AC117" s="6"/>
      <c r="AD117" s="6"/>
    </row>
    <row r="118" spans="1:30" x14ac:dyDescent="0.25">
      <c r="A118" s="6" t="s">
        <v>92</v>
      </c>
      <c r="B118" s="13"/>
      <c r="C118" s="6"/>
      <c r="D118" s="6"/>
      <c r="E118" s="6"/>
      <c r="F118" s="6"/>
      <c r="G118" s="13"/>
      <c r="H118" s="6"/>
      <c r="I118" s="6"/>
      <c r="J118" s="6"/>
      <c r="K118" s="6"/>
      <c r="L118" s="13"/>
      <c r="M118" s="6"/>
      <c r="N118" s="6"/>
      <c r="O118" s="6"/>
      <c r="P118" s="6"/>
      <c r="Q118" s="13"/>
      <c r="R118" s="6"/>
      <c r="S118" s="6"/>
      <c r="T118" s="6"/>
      <c r="U118" s="13"/>
      <c r="V118" s="6"/>
      <c r="W118" s="6"/>
      <c r="X118" s="13"/>
      <c r="Y118" s="6"/>
      <c r="Z118" s="6"/>
      <c r="AA118" s="6"/>
      <c r="AB118" s="6"/>
      <c r="AC118" s="6"/>
      <c r="AD118" s="6"/>
    </row>
    <row r="119" spans="1:30" x14ac:dyDescent="0.25">
      <c r="A119" s="6" t="s">
        <v>93</v>
      </c>
      <c r="B119" s="13"/>
      <c r="C119" s="6"/>
      <c r="D119" s="6"/>
      <c r="E119" s="6"/>
      <c r="F119" s="6"/>
      <c r="G119" s="13"/>
      <c r="H119" s="6"/>
      <c r="I119" s="6"/>
      <c r="J119" s="6"/>
      <c r="K119" s="6"/>
      <c r="L119" s="13"/>
      <c r="M119" s="6"/>
      <c r="N119" s="6"/>
      <c r="O119" s="6"/>
      <c r="P119" s="6"/>
      <c r="Q119" s="13"/>
      <c r="R119" s="6"/>
      <c r="S119" s="6"/>
      <c r="T119" s="6"/>
      <c r="U119" s="13"/>
      <c r="V119" s="6"/>
      <c r="W119" s="6"/>
      <c r="X119" s="13"/>
      <c r="Y119" s="6"/>
      <c r="Z119" s="6"/>
      <c r="AA119" s="6"/>
      <c r="AB119" s="6"/>
      <c r="AC119" s="6"/>
      <c r="AD119" s="6"/>
    </row>
    <row r="120" spans="1:30" x14ac:dyDescent="0.25">
      <c r="A120" s="6" t="s">
        <v>94</v>
      </c>
      <c r="B120" s="13"/>
      <c r="C120" s="6"/>
      <c r="D120" s="6"/>
      <c r="E120" s="6"/>
      <c r="F120" s="6"/>
      <c r="G120" s="13"/>
      <c r="H120" s="6"/>
      <c r="I120" s="6"/>
      <c r="J120" s="6"/>
      <c r="K120" s="6"/>
      <c r="L120" s="13"/>
      <c r="M120" s="6"/>
      <c r="N120" s="6"/>
      <c r="O120" s="6"/>
      <c r="P120" s="6"/>
      <c r="Q120" s="13"/>
      <c r="R120" s="6"/>
      <c r="S120" s="6"/>
      <c r="T120" s="6"/>
      <c r="U120" s="13"/>
      <c r="V120" s="6"/>
      <c r="W120" s="6"/>
      <c r="X120" s="13"/>
      <c r="Y120" s="6"/>
      <c r="Z120" s="6"/>
      <c r="AA120" s="6"/>
      <c r="AB120" s="6"/>
      <c r="AC120" s="6"/>
      <c r="AD120" s="6"/>
    </row>
    <row r="121" spans="1:30" x14ac:dyDescent="0.25">
      <c r="A121" s="6" t="s">
        <v>95</v>
      </c>
      <c r="B121" s="13"/>
      <c r="C121" s="6"/>
      <c r="D121" s="6"/>
      <c r="E121" s="6"/>
      <c r="F121" s="6"/>
      <c r="G121" s="13"/>
      <c r="H121" s="6"/>
      <c r="I121" s="6"/>
      <c r="J121" s="6"/>
      <c r="K121" s="6"/>
      <c r="L121" s="13"/>
      <c r="M121" s="6"/>
      <c r="N121" s="6"/>
      <c r="O121" s="6"/>
      <c r="P121" s="6"/>
      <c r="Q121" s="13"/>
      <c r="R121" s="6"/>
      <c r="S121" s="6"/>
      <c r="T121" s="6"/>
      <c r="U121" s="13"/>
      <c r="V121" s="6"/>
      <c r="W121" s="6"/>
      <c r="X121" s="13"/>
      <c r="Y121" s="6"/>
      <c r="Z121" s="6"/>
      <c r="AA121" s="6"/>
      <c r="AB121" s="6"/>
      <c r="AC121" s="6"/>
      <c r="AD121" s="6"/>
    </row>
    <row r="122" spans="1:30" x14ac:dyDescent="0.25">
      <c r="A122" s="6" t="s">
        <v>96</v>
      </c>
      <c r="B122" s="13"/>
      <c r="C122" s="6"/>
      <c r="D122" s="6"/>
      <c r="E122" s="6"/>
      <c r="F122" s="6"/>
      <c r="G122" s="13"/>
      <c r="H122" s="6"/>
      <c r="I122" s="6"/>
      <c r="J122" s="6"/>
      <c r="K122" s="6"/>
      <c r="L122" s="13"/>
      <c r="M122" s="6"/>
      <c r="N122" s="6"/>
      <c r="O122" s="6"/>
      <c r="P122" s="6"/>
      <c r="Q122" s="13"/>
      <c r="R122" s="6"/>
      <c r="S122" s="6"/>
      <c r="T122" s="6"/>
      <c r="U122" s="13"/>
      <c r="V122" s="6"/>
      <c r="W122" s="6"/>
      <c r="X122" s="13"/>
      <c r="Y122" s="6"/>
      <c r="Z122" s="6"/>
      <c r="AA122" s="6"/>
      <c r="AB122" s="6"/>
      <c r="AC122" s="6"/>
      <c r="AD122" s="6"/>
    </row>
    <row r="123" spans="1:30" x14ac:dyDescent="0.25">
      <c r="A123" s="6" t="s">
        <v>97</v>
      </c>
      <c r="B123" s="13"/>
      <c r="C123" s="6"/>
      <c r="D123" s="6"/>
      <c r="E123" s="6"/>
      <c r="F123" s="6"/>
      <c r="G123" s="13"/>
      <c r="H123" s="6"/>
      <c r="I123" s="6"/>
      <c r="J123" s="6"/>
      <c r="K123" s="6"/>
      <c r="L123" s="13"/>
      <c r="M123" s="6"/>
      <c r="N123" s="6"/>
      <c r="O123" s="6"/>
      <c r="P123" s="6"/>
      <c r="Q123" s="13"/>
      <c r="R123" s="6"/>
      <c r="S123" s="6"/>
      <c r="T123" s="6"/>
      <c r="U123" s="13"/>
      <c r="V123" s="6"/>
      <c r="W123" s="6"/>
      <c r="X123" s="13"/>
      <c r="Y123" s="6"/>
      <c r="Z123" s="6"/>
      <c r="AA123" s="6"/>
      <c r="AB123" s="6"/>
      <c r="AC123" s="6"/>
      <c r="AD123" s="6"/>
    </row>
    <row r="124" spans="1:30" x14ac:dyDescent="0.25">
      <c r="A124" s="6" t="s">
        <v>98</v>
      </c>
      <c r="B124" s="13"/>
      <c r="C124" s="6"/>
      <c r="D124" s="6"/>
      <c r="E124" s="6"/>
      <c r="F124" s="6"/>
      <c r="G124" s="13"/>
      <c r="H124" s="6"/>
      <c r="I124" s="6"/>
      <c r="J124" s="6"/>
      <c r="K124" s="6"/>
      <c r="L124" s="13"/>
      <c r="M124" s="6"/>
      <c r="N124" s="6"/>
      <c r="O124" s="6"/>
      <c r="P124" s="6"/>
      <c r="Q124" s="13"/>
      <c r="R124" s="6"/>
      <c r="S124" s="6"/>
      <c r="T124" s="6"/>
      <c r="U124" s="13"/>
      <c r="V124" s="6"/>
      <c r="W124" s="6"/>
      <c r="X124" s="13"/>
      <c r="Y124" s="6"/>
      <c r="Z124" s="6"/>
      <c r="AA124" s="6"/>
      <c r="AB124" s="6"/>
      <c r="AC124" s="6"/>
      <c r="AD124" s="6"/>
    </row>
    <row r="125" spans="1:30" x14ac:dyDescent="0.25">
      <c r="A125" s="6" t="s">
        <v>99</v>
      </c>
      <c r="B125" s="13"/>
      <c r="C125" s="6"/>
      <c r="D125" s="6"/>
      <c r="E125" s="6"/>
      <c r="F125" s="6"/>
      <c r="G125" s="13"/>
      <c r="H125" s="6"/>
      <c r="I125" s="6"/>
      <c r="J125" s="6"/>
      <c r="K125" s="6"/>
      <c r="L125" s="13"/>
      <c r="M125" s="6"/>
      <c r="N125" s="6"/>
      <c r="O125" s="6"/>
      <c r="P125" s="6"/>
      <c r="Q125" s="13"/>
      <c r="R125" s="6"/>
      <c r="S125" s="6"/>
      <c r="T125" s="6"/>
      <c r="U125" s="13"/>
      <c r="V125" s="6"/>
      <c r="W125" s="6"/>
      <c r="X125" s="13"/>
      <c r="Y125" s="6"/>
      <c r="Z125" s="6"/>
      <c r="AA125" s="6"/>
      <c r="AB125" s="6"/>
      <c r="AC125" s="6"/>
      <c r="AD125" s="6"/>
    </row>
    <row r="126" spans="1:30" x14ac:dyDescent="0.25">
      <c r="A126" s="6" t="s">
        <v>100</v>
      </c>
      <c r="B126" s="13"/>
      <c r="C126" s="6"/>
      <c r="D126" s="6"/>
      <c r="E126" s="6"/>
      <c r="F126" s="6"/>
      <c r="G126" s="13"/>
      <c r="H126" s="6"/>
      <c r="I126" s="6"/>
      <c r="J126" s="6"/>
      <c r="K126" s="6"/>
      <c r="L126" s="13"/>
      <c r="M126" s="6"/>
      <c r="N126" s="6"/>
      <c r="O126" s="6"/>
      <c r="P126" s="6"/>
      <c r="Q126" s="13"/>
      <c r="R126" s="6"/>
      <c r="S126" s="6"/>
      <c r="T126" s="6"/>
      <c r="U126" s="13"/>
      <c r="V126" s="6"/>
      <c r="W126" s="6"/>
      <c r="X126" s="13"/>
      <c r="Y126" s="6"/>
      <c r="Z126" s="6"/>
      <c r="AA126" s="6"/>
      <c r="AB126" s="6"/>
      <c r="AC126" s="6"/>
      <c r="AD126" s="6"/>
    </row>
    <row r="127" spans="1:30" x14ac:dyDescent="0.25">
      <c r="A127" s="6" t="s">
        <v>101</v>
      </c>
      <c r="B127" s="13"/>
      <c r="C127" s="6"/>
      <c r="D127" s="6"/>
      <c r="E127" s="6"/>
      <c r="F127" s="6"/>
      <c r="G127" s="13"/>
      <c r="H127" s="6"/>
      <c r="I127" s="6"/>
      <c r="J127" s="6"/>
      <c r="K127" s="6"/>
      <c r="L127" s="13"/>
      <c r="M127" s="6"/>
      <c r="N127" s="6"/>
      <c r="O127" s="6"/>
      <c r="P127" s="6"/>
      <c r="Q127" s="13"/>
      <c r="R127" s="6"/>
      <c r="S127" s="6"/>
      <c r="T127" s="6"/>
      <c r="U127" s="13"/>
      <c r="V127" s="6"/>
      <c r="W127" s="6"/>
      <c r="X127" s="13"/>
      <c r="Y127" s="6"/>
      <c r="Z127" s="6"/>
      <c r="AA127" s="6"/>
      <c r="AB127" s="6"/>
      <c r="AC127" s="6"/>
      <c r="AD127" s="6"/>
    </row>
    <row r="128" spans="1:30" x14ac:dyDescent="0.25">
      <c r="A128" s="6" t="s">
        <v>102</v>
      </c>
      <c r="B128" s="13"/>
      <c r="C128" s="6"/>
      <c r="D128" s="6"/>
      <c r="E128" s="6"/>
      <c r="F128" s="6"/>
      <c r="G128" s="13"/>
      <c r="H128" s="6"/>
      <c r="I128" s="6"/>
      <c r="J128" s="6"/>
      <c r="K128" s="6"/>
      <c r="L128" s="13"/>
      <c r="M128" s="6"/>
      <c r="N128" s="6"/>
      <c r="O128" s="6"/>
      <c r="P128" s="6"/>
      <c r="Q128" s="13"/>
      <c r="R128" s="6"/>
      <c r="S128" s="6"/>
      <c r="T128" s="6"/>
      <c r="U128" s="13"/>
      <c r="V128" s="6"/>
      <c r="W128" s="6"/>
      <c r="X128" s="13"/>
      <c r="Y128" s="6"/>
      <c r="Z128" s="6"/>
      <c r="AA128" s="6"/>
      <c r="AB128" s="6"/>
      <c r="AC128" s="6"/>
      <c r="AD128" s="6"/>
    </row>
    <row r="129" spans="1:30" x14ac:dyDescent="0.25">
      <c r="A129" s="6" t="s">
        <v>291</v>
      </c>
      <c r="B129" s="13"/>
      <c r="C129" s="6"/>
      <c r="D129" s="6"/>
      <c r="E129" s="6"/>
      <c r="F129" s="6"/>
      <c r="G129" s="13"/>
      <c r="H129" s="6"/>
      <c r="I129" s="6"/>
      <c r="J129" s="6"/>
      <c r="K129" s="6"/>
      <c r="L129" s="13"/>
      <c r="M129" s="6"/>
      <c r="N129" s="6"/>
      <c r="O129" s="6"/>
      <c r="P129" s="6"/>
      <c r="Q129" s="13"/>
      <c r="R129" s="6"/>
      <c r="S129" s="6"/>
      <c r="T129" s="6"/>
      <c r="U129" s="13"/>
      <c r="V129" s="6"/>
      <c r="W129" s="6"/>
      <c r="X129" s="13"/>
      <c r="Y129" s="6"/>
      <c r="Z129" s="6"/>
      <c r="AA129" s="6"/>
      <c r="AB129" s="6"/>
      <c r="AC129" s="6"/>
      <c r="AD129" s="6"/>
    </row>
    <row r="130" spans="1:30" x14ac:dyDescent="0.25">
      <c r="A130" s="6" t="s">
        <v>103</v>
      </c>
      <c r="B130" s="13"/>
      <c r="C130" s="6"/>
      <c r="D130" s="6"/>
      <c r="E130" s="6"/>
      <c r="F130" s="6"/>
      <c r="G130" s="13"/>
      <c r="H130" s="6"/>
      <c r="I130" s="6"/>
      <c r="J130" s="6"/>
      <c r="K130" s="6"/>
      <c r="L130" s="13"/>
      <c r="M130" s="6"/>
      <c r="N130" s="6"/>
      <c r="O130" s="6"/>
      <c r="P130" s="6"/>
      <c r="Q130" s="13"/>
      <c r="R130" s="6"/>
      <c r="S130" s="6"/>
      <c r="T130" s="6"/>
      <c r="U130" s="13"/>
      <c r="V130" s="6"/>
      <c r="W130" s="6"/>
      <c r="X130" s="13"/>
      <c r="Y130" s="6"/>
      <c r="Z130" s="6"/>
      <c r="AA130" s="6"/>
      <c r="AB130" s="6"/>
      <c r="AC130" s="6"/>
      <c r="AD130" s="6"/>
    </row>
    <row r="131" spans="1:30" x14ac:dyDescent="0.25">
      <c r="A131" s="6" t="s">
        <v>104</v>
      </c>
      <c r="B131" s="13"/>
      <c r="C131" s="6"/>
      <c r="D131" s="6"/>
      <c r="E131" s="6"/>
      <c r="F131" s="6"/>
      <c r="G131" s="13"/>
      <c r="H131" s="6"/>
      <c r="I131" s="6"/>
      <c r="J131" s="6"/>
      <c r="K131" s="6"/>
      <c r="L131" s="13"/>
      <c r="M131" s="6"/>
      <c r="N131" s="6"/>
      <c r="O131" s="6"/>
      <c r="P131" s="6"/>
      <c r="Q131" s="13"/>
      <c r="R131" s="6"/>
      <c r="S131" s="6"/>
      <c r="T131" s="6"/>
      <c r="U131" s="13"/>
      <c r="V131" s="6"/>
      <c r="W131" s="6"/>
      <c r="X131" s="13"/>
      <c r="Y131" s="6"/>
      <c r="Z131" s="6"/>
      <c r="AA131" s="6"/>
      <c r="AB131" s="6"/>
      <c r="AC131" s="6"/>
      <c r="AD131" s="6"/>
    </row>
    <row r="132" spans="1:30" x14ac:dyDescent="0.25">
      <c r="A132" s="6" t="s">
        <v>105</v>
      </c>
      <c r="B132" s="13"/>
      <c r="C132" s="6"/>
      <c r="D132" s="6"/>
      <c r="E132" s="6"/>
      <c r="F132" s="6"/>
      <c r="G132" s="13"/>
      <c r="H132" s="6"/>
      <c r="I132" s="6"/>
      <c r="J132" s="6"/>
      <c r="K132" s="6"/>
      <c r="L132" s="13"/>
      <c r="M132" s="6"/>
      <c r="N132" s="6"/>
      <c r="O132" s="6"/>
      <c r="P132" s="6"/>
      <c r="Q132" s="13"/>
      <c r="R132" s="6"/>
      <c r="S132" s="6"/>
      <c r="T132" s="6"/>
      <c r="U132" s="13"/>
      <c r="V132" s="6"/>
      <c r="W132" s="6"/>
      <c r="X132" s="13"/>
      <c r="Y132" s="6"/>
      <c r="Z132" s="6"/>
      <c r="AA132" s="6"/>
      <c r="AB132" s="6"/>
      <c r="AC132" s="6"/>
      <c r="AD132" s="6"/>
    </row>
    <row r="133" spans="1:30" x14ac:dyDescent="0.25">
      <c r="A133" s="6" t="s">
        <v>106</v>
      </c>
      <c r="B133" s="13"/>
      <c r="C133" s="6"/>
      <c r="D133" s="6"/>
      <c r="E133" s="6"/>
      <c r="F133" s="6"/>
      <c r="G133" s="13"/>
      <c r="H133" s="6"/>
      <c r="I133" s="6"/>
      <c r="J133" s="6"/>
      <c r="K133" s="6"/>
      <c r="L133" s="13"/>
      <c r="M133" s="6"/>
      <c r="N133" s="6"/>
      <c r="O133" s="6"/>
      <c r="P133" s="6"/>
      <c r="Q133" s="13"/>
      <c r="R133" s="6"/>
      <c r="S133" s="6"/>
      <c r="T133" s="6"/>
      <c r="U133" s="13"/>
      <c r="V133" s="6"/>
      <c r="W133" s="6"/>
      <c r="X133" s="13"/>
      <c r="Y133" s="6"/>
      <c r="Z133" s="6"/>
      <c r="AA133" s="6"/>
      <c r="AB133" s="6"/>
      <c r="AC133" s="6"/>
      <c r="AD133" s="6"/>
    </row>
    <row r="134" spans="1:30" x14ac:dyDescent="0.25">
      <c r="A134" s="6" t="s">
        <v>107</v>
      </c>
      <c r="B134" s="13"/>
      <c r="C134" s="6"/>
      <c r="D134" s="6"/>
      <c r="E134" s="6"/>
      <c r="F134" s="6"/>
      <c r="G134" s="13"/>
      <c r="H134" s="6"/>
      <c r="I134" s="6"/>
      <c r="J134" s="6"/>
      <c r="K134" s="6"/>
      <c r="L134" s="13"/>
      <c r="M134" s="6"/>
      <c r="N134" s="6"/>
      <c r="O134" s="6"/>
      <c r="P134" s="6"/>
      <c r="Q134" s="13"/>
      <c r="R134" s="6"/>
      <c r="S134" s="6"/>
      <c r="T134" s="6"/>
      <c r="U134" s="13"/>
      <c r="V134" s="6"/>
      <c r="W134" s="6"/>
      <c r="X134" s="13"/>
      <c r="Y134" s="6"/>
      <c r="Z134" s="6"/>
      <c r="AA134" s="6"/>
      <c r="AB134" s="6"/>
      <c r="AC134" s="6"/>
      <c r="AD134" s="6"/>
    </row>
    <row r="135" spans="1:30" x14ac:dyDescent="0.25">
      <c r="A135" s="6" t="s">
        <v>108</v>
      </c>
      <c r="B135" s="13"/>
      <c r="C135" s="6"/>
      <c r="D135" s="6"/>
      <c r="E135" s="6"/>
      <c r="F135" s="6"/>
      <c r="G135" s="13"/>
      <c r="H135" s="6"/>
      <c r="I135" s="6"/>
      <c r="J135" s="6"/>
      <c r="K135" s="6"/>
      <c r="L135" s="13"/>
      <c r="M135" s="6"/>
      <c r="N135" s="6"/>
      <c r="O135" s="6"/>
      <c r="P135" s="6"/>
      <c r="Q135" s="13"/>
      <c r="R135" s="6"/>
      <c r="S135" s="6"/>
      <c r="T135" s="6"/>
      <c r="U135" s="13"/>
      <c r="V135" s="6"/>
      <c r="W135" s="6"/>
      <c r="X135" s="13"/>
      <c r="Y135" s="6"/>
      <c r="Z135" s="6"/>
      <c r="AA135" s="6"/>
      <c r="AB135" s="6"/>
      <c r="AC135" s="6"/>
      <c r="AD135" s="6"/>
    </row>
    <row r="136" spans="1:30" x14ac:dyDescent="0.25">
      <c r="A136" s="6" t="s">
        <v>109</v>
      </c>
      <c r="B136" s="13"/>
      <c r="C136" s="6"/>
      <c r="D136" s="6"/>
      <c r="E136" s="6"/>
      <c r="F136" s="6"/>
      <c r="G136" s="13"/>
      <c r="H136" s="6"/>
      <c r="I136" s="6"/>
      <c r="J136" s="6"/>
      <c r="K136" s="6"/>
      <c r="L136" s="13"/>
      <c r="M136" s="6"/>
      <c r="N136" s="6"/>
      <c r="O136" s="6"/>
      <c r="P136" s="6"/>
      <c r="Q136" s="13"/>
      <c r="R136" s="6"/>
      <c r="S136" s="6"/>
      <c r="T136" s="6"/>
      <c r="U136" s="13"/>
      <c r="V136" s="6"/>
      <c r="W136" s="6"/>
      <c r="X136" s="13"/>
      <c r="Y136" s="6"/>
      <c r="Z136" s="6"/>
      <c r="AA136" s="6"/>
      <c r="AB136" s="6"/>
      <c r="AC136" s="6"/>
      <c r="AD136" s="6"/>
    </row>
    <row r="137" spans="1:30" x14ac:dyDescent="0.25">
      <c r="A137" s="6" t="s">
        <v>110</v>
      </c>
      <c r="B137" s="13"/>
      <c r="C137" s="6"/>
      <c r="D137" s="6"/>
      <c r="E137" s="6"/>
      <c r="F137" s="6"/>
      <c r="G137" s="13"/>
      <c r="H137" s="6"/>
      <c r="I137" s="6"/>
      <c r="J137" s="6"/>
      <c r="K137" s="6"/>
      <c r="L137" s="13"/>
      <c r="M137" s="6"/>
      <c r="N137" s="6"/>
      <c r="O137" s="6"/>
      <c r="P137" s="6"/>
      <c r="Q137" s="13"/>
      <c r="R137" s="6"/>
      <c r="S137" s="6"/>
      <c r="T137" s="6"/>
      <c r="U137" s="13"/>
      <c r="V137" s="6"/>
      <c r="W137" s="6"/>
      <c r="X137" s="13"/>
      <c r="Y137" s="6"/>
      <c r="Z137" s="6"/>
      <c r="AA137" s="6"/>
      <c r="AB137" s="6"/>
      <c r="AC137" s="6"/>
      <c r="AD137" s="6"/>
    </row>
    <row r="138" spans="1:30" x14ac:dyDescent="0.25">
      <c r="A138" s="6" t="s">
        <v>111</v>
      </c>
      <c r="B138" s="13"/>
      <c r="C138" s="6"/>
      <c r="D138" s="6"/>
      <c r="E138" s="6"/>
      <c r="F138" s="6"/>
      <c r="G138" s="13"/>
      <c r="H138" s="6"/>
      <c r="I138" s="6"/>
      <c r="J138" s="6"/>
      <c r="K138" s="6"/>
      <c r="L138" s="13"/>
      <c r="M138" s="6"/>
      <c r="N138" s="6"/>
      <c r="O138" s="6"/>
      <c r="P138" s="6"/>
      <c r="Q138" s="13"/>
      <c r="R138" s="6"/>
      <c r="S138" s="6"/>
      <c r="T138" s="6"/>
      <c r="U138" s="13"/>
      <c r="V138" s="6"/>
      <c r="W138" s="6"/>
      <c r="X138" s="13"/>
      <c r="Y138" s="6"/>
      <c r="Z138" s="6"/>
      <c r="AA138" s="6"/>
      <c r="AB138" s="6"/>
      <c r="AC138" s="6"/>
      <c r="AD138" s="6"/>
    </row>
    <row r="139" spans="1:30" x14ac:dyDescent="0.25">
      <c r="A139" s="6" t="s">
        <v>112</v>
      </c>
      <c r="B139" s="13"/>
      <c r="C139" s="6"/>
      <c r="D139" s="6"/>
      <c r="E139" s="6"/>
      <c r="F139" s="6"/>
      <c r="G139" s="13"/>
      <c r="H139" s="6"/>
      <c r="I139" s="6"/>
      <c r="J139" s="6"/>
      <c r="K139" s="6"/>
      <c r="L139" s="13"/>
      <c r="M139" s="6"/>
      <c r="N139" s="6"/>
      <c r="O139" s="6"/>
      <c r="P139" s="6"/>
      <c r="Q139" s="13"/>
      <c r="R139" s="6"/>
      <c r="S139" s="6"/>
      <c r="T139" s="6"/>
      <c r="U139" s="13"/>
      <c r="V139" s="6"/>
      <c r="W139" s="6"/>
      <c r="X139" s="13"/>
      <c r="Y139" s="6"/>
      <c r="Z139" s="6"/>
      <c r="AA139" s="6"/>
      <c r="AB139" s="6"/>
      <c r="AC139" s="6"/>
      <c r="AD139" s="6"/>
    </row>
    <row r="140" spans="1:30" x14ac:dyDescent="0.25">
      <c r="A140" s="6" t="s">
        <v>113</v>
      </c>
      <c r="B140" s="13"/>
      <c r="C140" s="6"/>
      <c r="D140" s="6"/>
      <c r="E140" s="6"/>
      <c r="F140" s="6"/>
      <c r="G140" s="13"/>
      <c r="H140" s="6"/>
      <c r="I140" s="6"/>
      <c r="J140" s="6"/>
      <c r="K140" s="6"/>
      <c r="L140" s="13"/>
      <c r="M140" s="6"/>
      <c r="N140" s="6"/>
      <c r="O140" s="6"/>
      <c r="P140" s="6"/>
      <c r="Q140" s="13"/>
      <c r="R140" s="6"/>
      <c r="S140" s="6"/>
      <c r="T140" s="6"/>
      <c r="U140" s="13"/>
      <c r="V140" s="6"/>
      <c r="W140" s="6"/>
      <c r="X140" s="13"/>
      <c r="Y140" s="6"/>
      <c r="Z140" s="6"/>
      <c r="AA140" s="6"/>
      <c r="AB140" s="6"/>
      <c r="AC140" s="6"/>
      <c r="AD140" s="6"/>
    </row>
    <row r="141" spans="1:30" x14ac:dyDescent="0.25">
      <c r="A141" s="6" t="s">
        <v>307</v>
      </c>
      <c r="B141" s="13"/>
      <c r="C141" s="6"/>
      <c r="D141" s="6"/>
      <c r="E141" s="6"/>
      <c r="F141" s="6"/>
      <c r="G141" s="13"/>
      <c r="H141" s="6"/>
      <c r="I141" s="6"/>
      <c r="J141" s="6"/>
      <c r="K141" s="6"/>
      <c r="L141" s="13"/>
      <c r="M141" s="6"/>
      <c r="N141" s="6"/>
      <c r="O141" s="6"/>
      <c r="P141" s="6"/>
      <c r="Q141" s="13"/>
      <c r="R141" s="6"/>
      <c r="S141" s="6"/>
      <c r="T141" s="6"/>
      <c r="U141" s="13"/>
      <c r="V141" s="6"/>
      <c r="W141" s="6"/>
      <c r="X141" s="13"/>
      <c r="Y141" s="6"/>
      <c r="Z141" s="6"/>
      <c r="AA141" s="6"/>
      <c r="AB141" s="6"/>
      <c r="AC141" s="6"/>
      <c r="AD141" s="6"/>
    </row>
    <row r="142" spans="1:30" x14ac:dyDescent="0.25">
      <c r="A142" s="6" t="s">
        <v>114</v>
      </c>
      <c r="B142" s="13"/>
      <c r="C142" s="6"/>
      <c r="D142" s="6"/>
      <c r="E142" s="6"/>
      <c r="F142" s="6"/>
      <c r="G142" s="13"/>
      <c r="H142" s="6"/>
      <c r="I142" s="6"/>
      <c r="J142" s="6"/>
      <c r="K142" s="6"/>
      <c r="L142" s="13"/>
      <c r="M142" s="6"/>
      <c r="N142" s="6"/>
      <c r="O142" s="6"/>
      <c r="P142" s="6"/>
      <c r="Q142" s="13"/>
      <c r="R142" s="6"/>
      <c r="S142" s="6"/>
      <c r="T142" s="6"/>
      <c r="U142" s="13"/>
      <c r="V142" s="6"/>
      <c r="W142" s="6"/>
      <c r="X142" s="13"/>
      <c r="Y142" s="6"/>
      <c r="Z142" s="6"/>
      <c r="AA142" s="6"/>
      <c r="AB142" s="6"/>
      <c r="AC142" s="6"/>
      <c r="AD142" s="6"/>
    </row>
    <row r="143" spans="1:30" x14ac:dyDescent="0.25">
      <c r="A143" s="6" t="s">
        <v>115</v>
      </c>
      <c r="B143" s="13"/>
      <c r="C143" s="6"/>
      <c r="D143" s="6"/>
      <c r="E143" s="6"/>
      <c r="F143" s="6"/>
      <c r="G143" s="13"/>
      <c r="H143" s="6"/>
      <c r="I143" s="6"/>
      <c r="J143" s="6"/>
      <c r="K143" s="6"/>
      <c r="L143" s="13"/>
      <c r="M143" s="6"/>
      <c r="N143" s="6"/>
      <c r="O143" s="6"/>
      <c r="P143" s="6"/>
      <c r="Q143" s="13"/>
      <c r="R143" s="6"/>
      <c r="S143" s="6"/>
      <c r="T143" s="6"/>
      <c r="U143" s="13"/>
      <c r="V143" s="6"/>
      <c r="W143" s="6"/>
      <c r="X143" s="13"/>
      <c r="Y143" s="6"/>
      <c r="Z143" s="6"/>
      <c r="AA143" s="6"/>
      <c r="AB143" s="6"/>
      <c r="AC143" s="6"/>
      <c r="AD143" s="6"/>
    </row>
    <row r="144" spans="1:30" x14ac:dyDescent="0.25">
      <c r="A144" s="6" t="s">
        <v>116</v>
      </c>
      <c r="B144" s="13"/>
      <c r="C144" s="6"/>
      <c r="D144" s="6"/>
      <c r="E144" s="6"/>
      <c r="F144" s="6"/>
      <c r="G144" s="13"/>
      <c r="H144" s="6"/>
      <c r="I144" s="6"/>
      <c r="J144" s="6"/>
      <c r="K144" s="6"/>
      <c r="L144" s="13"/>
      <c r="M144" s="6"/>
      <c r="N144" s="6"/>
      <c r="O144" s="6"/>
      <c r="P144" s="6"/>
      <c r="Q144" s="13"/>
      <c r="R144" s="6"/>
      <c r="S144" s="6"/>
      <c r="T144" s="6"/>
      <c r="U144" s="13"/>
      <c r="V144" s="6"/>
      <c r="W144" s="6"/>
      <c r="X144" s="13"/>
      <c r="Y144" s="6"/>
      <c r="Z144" s="6"/>
      <c r="AA144" s="6"/>
      <c r="AB144" s="6"/>
      <c r="AC144" s="6"/>
      <c r="AD144" s="6"/>
    </row>
    <row r="145" spans="1:30" x14ac:dyDescent="0.25">
      <c r="A145" s="6" t="s">
        <v>117</v>
      </c>
      <c r="B145" s="13"/>
      <c r="C145" s="6"/>
      <c r="D145" s="6"/>
      <c r="E145" s="6"/>
      <c r="F145" s="6"/>
      <c r="G145" s="13"/>
      <c r="H145" s="6"/>
      <c r="I145" s="6"/>
      <c r="J145" s="6"/>
      <c r="K145" s="6"/>
      <c r="L145" s="13"/>
      <c r="M145" s="6"/>
      <c r="N145" s="6"/>
      <c r="O145" s="6"/>
      <c r="P145" s="6"/>
      <c r="Q145" s="13"/>
      <c r="R145" s="6"/>
      <c r="S145" s="6"/>
      <c r="T145" s="6"/>
      <c r="U145" s="13"/>
      <c r="V145" s="6"/>
      <c r="W145" s="6"/>
      <c r="X145" s="13"/>
      <c r="Y145" s="6"/>
      <c r="Z145" s="6"/>
      <c r="AA145" s="6"/>
      <c r="AB145" s="6"/>
      <c r="AC145" s="6"/>
      <c r="AD145" s="6"/>
    </row>
    <row r="146" spans="1:30" x14ac:dyDescent="0.25">
      <c r="A146" s="6" t="s">
        <v>118</v>
      </c>
      <c r="B146" s="13"/>
      <c r="C146" s="6"/>
      <c r="D146" s="6"/>
      <c r="E146" s="6"/>
      <c r="F146" s="6"/>
      <c r="G146" s="13"/>
      <c r="H146" s="6"/>
      <c r="I146" s="6"/>
      <c r="J146" s="6"/>
      <c r="K146" s="6"/>
      <c r="L146" s="13"/>
      <c r="M146" s="6"/>
      <c r="N146" s="6"/>
      <c r="O146" s="6"/>
      <c r="P146" s="6"/>
      <c r="Q146" s="13"/>
      <c r="R146" s="6"/>
      <c r="S146" s="6"/>
      <c r="T146" s="6"/>
      <c r="U146" s="13"/>
      <c r="V146" s="6"/>
      <c r="W146" s="6"/>
      <c r="X146" s="13"/>
      <c r="Y146" s="6"/>
      <c r="Z146" s="6"/>
      <c r="AA146" s="6"/>
      <c r="AB146" s="6"/>
      <c r="AC146" s="6"/>
      <c r="AD146" s="6"/>
    </row>
    <row r="147" spans="1:30" x14ac:dyDescent="0.25">
      <c r="A147" s="6" t="s">
        <v>119</v>
      </c>
      <c r="B147" s="13"/>
      <c r="C147" s="6"/>
      <c r="D147" s="6"/>
      <c r="E147" s="6"/>
      <c r="F147" s="6"/>
      <c r="G147" s="13"/>
      <c r="H147" s="6"/>
      <c r="I147" s="6"/>
      <c r="J147" s="6"/>
      <c r="K147" s="6"/>
      <c r="L147" s="13"/>
      <c r="M147" s="6"/>
      <c r="N147" s="6"/>
      <c r="O147" s="6"/>
      <c r="P147" s="6"/>
      <c r="Q147" s="13"/>
      <c r="R147" s="6"/>
      <c r="S147" s="6"/>
      <c r="T147" s="6"/>
      <c r="U147" s="13"/>
      <c r="V147" s="6"/>
      <c r="W147" s="6"/>
      <c r="X147" s="13"/>
      <c r="Y147" s="6"/>
      <c r="Z147" s="6"/>
      <c r="AA147" s="6"/>
      <c r="AB147" s="6"/>
      <c r="AC147" s="6"/>
      <c r="AD147" s="6"/>
    </row>
    <row r="148" spans="1:30" x14ac:dyDescent="0.25">
      <c r="A148" s="6" t="s">
        <v>120</v>
      </c>
      <c r="B148" s="13"/>
      <c r="C148" s="6"/>
      <c r="D148" s="6"/>
      <c r="E148" s="6"/>
      <c r="F148" s="6"/>
      <c r="G148" s="13"/>
      <c r="H148" s="6"/>
      <c r="I148" s="6"/>
      <c r="J148" s="6"/>
      <c r="K148" s="6"/>
      <c r="L148" s="13"/>
      <c r="M148" s="6"/>
      <c r="N148" s="6"/>
      <c r="O148" s="6"/>
      <c r="P148" s="6"/>
      <c r="Q148" s="13"/>
      <c r="R148" s="6"/>
      <c r="S148" s="6"/>
      <c r="T148" s="6"/>
      <c r="U148" s="13"/>
      <c r="V148" s="6"/>
      <c r="W148" s="6"/>
      <c r="X148" s="13"/>
      <c r="Y148" s="6"/>
      <c r="Z148" s="6"/>
      <c r="AA148" s="6"/>
      <c r="AB148" s="6"/>
      <c r="AC148" s="6"/>
      <c r="AD148" s="6"/>
    </row>
    <row r="149" spans="1:30" x14ac:dyDescent="0.25">
      <c r="A149" s="6" t="s">
        <v>121</v>
      </c>
      <c r="B149" s="13"/>
      <c r="C149" s="6"/>
      <c r="D149" s="6"/>
      <c r="E149" s="6"/>
      <c r="F149" s="6"/>
      <c r="G149" s="13"/>
      <c r="H149" s="6"/>
      <c r="I149" s="6"/>
      <c r="J149" s="6"/>
      <c r="K149" s="6"/>
      <c r="L149" s="13"/>
      <c r="M149" s="6"/>
      <c r="N149" s="6"/>
      <c r="O149" s="6"/>
      <c r="P149" s="6"/>
      <c r="Q149" s="13"/>
      <c r="R149" s="6"/>
      <c r="S149" s="6"/>
      <c r="T149" s="6"/>
      <c r="U149" s="13"/>
      <c r="V149" s="6"/>
      <c r="W149" s="6"/>
      <c r="X149" s="13"/>
      <c r="Y149" s="6"/>
      <c r="Z149" s="6"/>
      <c r="AA149" s="6"/>
      <c r="AB149" s="6"/>
      <c r="AC149" s="6"/>
      <c r="AD149" s="6"/>
    </row>
    <row r="150" spans="1:30" x14ac:dyDescent="0.25">
      <c r="A150" s="6" t="s">
        <v>122</v>
      </c>
      <c r="B150" s="13"/>
      <c r="C150" s="6"/>
      <c r="D150" s="6"/>
      <c r="E150" s="6"/>
      <c r="F150" s="6"/>
      <c r="G150" s="13"/>
      <c r="H150" s="6"/>
      <c r="I150" s="6"/>
      <c r="J150" s="6"/>
      <c r="K150" s="6"/>
      <c r="L150" s="13"/>
      <c r="M150" s="6"/>
      <c r="N150" s="6"/>
      <c r="O150" s="6"/>
      <c r="P150" s="6"/>
      <c r="Q150" s="13"/>
      <c r="R150" s="6"/>
      <c r="S150" s="6"/>
      <c r="T150" s="6"/>
      <c r="U150" s="13"/>
      <c r="V150" s="6"/>
      <c r="W150" s="6"/>
      <c r="X150" s="13"/>
      <c r="Y150" s="6"/>
      <c r="Z150" s="6"/>
      <c r="AA150" s="6"/>
      <c r="AB150" s="6"/>
      <c r="AC150" s="6"/>
      <c r="AD150" s="6"/>
    </row>
    <row r="151" spans="1:30" x14ac:dyDescent="0.25">
      <c r="A151" s="6" t="s">
        <v>123</v>
      </c>
      <c r="B151" s="13"/>
      <c r="C151" s="6"/>
      <c r="D151" s="6"/>
      <c r="E151" s="6"/>
      <c r="F151" s="6"/>
      <c r="G151" s="13"/>
      <c r="H151" s="6"/>
      <c r="I151" s="6"/>
      <c r="J151" s="6"/>
      <c r="K151" s="6"/>
      <c r="L151" s="13"/>
      <c r="M151" s="6"/>
      <c r="N151" s="6"/>
      <c r="O151" s="6"/>
      <c r="P151" s="6"/>
      <c r="Q151" s="13"/>
      <c r="R151" s="6"/>
      <c r="S151" s="6"/>
      <c r="T151" s="6"/>
      <c r="U151" s="13"/>
      <c r="V151" s="6"/>
      <c r="W151" s="6"/>
      <c r="X151" s="13"/>
      <c r="Y151" s="6"/>
      <c r="Z151" s="6"/>
      <c r="AA151" s="6"/>
      <c r="AB151" s="6"/>
      <c r="AC151" s="6"/>
      <c r="AD151" s="6"/>
    </row>
    <row r="152" spans="1:30" x14ac:dyDescent="0.25">
      <c r="A152" s="6" t="s">
        <v>124</v>
      </c>
      <c r="B152" s="13"/>
      <c r="C152" s="6"/>
      <c r="D152" s="6"/>
      <c r="E152" s="6"/>
      <c r="F152" s="6"/>
      <c r="G152" s="13"/>
      <c r="H152" s="6"/>
      <c r="I152" s="6"/>
      <c r="J152" s="6"/>
      <c r="K152" s="6"/>
      <c r="L152" s="13"/>
      <c r="M152" s="6"/>
      <c r="N152" s="6"/>
      <c r="O152" s="6"/>
      <c r="P152" s="6"/>
      <c r="Q152" s="13"/>
      <c r="R152" s="6"/>
      <c r="S152" s="6"/>
      <c r="T152" s="6"/>
      <c r="U152" s="13"/>
      <c r="V152" s="6"/>
      <c r="W152" s="6"/>
      <c r="X152" s="13"/>
      <c r="Y152" s="6"/>
      <c r="Z152" s="6"/>
      <c r="AA152" s="6"/>
      <c r="AB152" s="6"/>
      <c r="AC152" s="6"/>
      <c r="AD152" s="6"/>
    </row>
    <row r="153" spans="1:30" x14ac:dyDescent="0.25">
      <c r="A153" s="6" t="s">
        <v>125</v>
      </c>
      <c r="B153" s="13"/>
      <c r="C153" s="6"/>
      <c r="D153" s="6"/>
      <c r="E153" s="6"/>
      <c r="F153" s="6"/>
      <c r="G153" s="13"/>
      <c r="H153" s="6"/>
      <c r="I153" s="6"/>
      <c r="J153" s="6"/>
      <c r="K153" s="6"/>
      <c r="L153" s="13"/>
      <c r="M153" s="6"/>
      <c r="N153" s="6"/>
      <c r="O153" s="6"/>
      <c r="P153" s="6"/>
      <c r="Q153" s="13"/>
      <c r="R153" s="6"/>
      <c r="S153" s="6"/>
      <c r="T153" s="6"/>
      <c r="U153" s="13"/>
      <c r="V153" s="6"/>
      <c r="W153" s="6"/>
      <c r="X153" s="13"/>
      <c r="Y153" s="6"/>
      <c r="Z153" s="6"/>
      <c r="AA153" s="6"/>
      <c r="AB153" s="6"/>
      <c r="AC153" s="6"/>
      <c r="AD153" s="6"/>
    </row>
    <row r="154" spans="1:30" x14ac:dyDescent="0.25">
      <c r="A154" s="6" t="s">
        <v>126</v>
      </c>
      <c r="B154" s="13"/>
      <c r="C154" s="6"/>
      <c r="D154" s="6"/>
      <c r="E154" s="6"/>
      <c r="F154" s="6"/>
      <c r="G154" s="13"/>
      <c r="H154" s="6"/>
      <c r="I154" s="6"/>
      <c r="J154" s="6"/>
      <c r="K154" s="6"/>
      <c r="L154" s="13"/>
      <c r="M154" s="6"/>
      <c r="N154" s="6"/>
      <c r="O154" s="6"/>
      <c r="P154" s="6"/>
      <c r="Q154" s="13"/>
      <c r="R154" s="6"/>
      <c r="S154" s="6"/>
      <c r="T154" s="6"/>
      <c r="U154" s="13"/>
      <c r="V154" s="6"/>
      <c r="W154" s="6"/>
      <c r="X154" s="13"/>
      <c r="Y154" s="6"/>
      <c r="Z154" s="6"/>
      <c r="AA154" s="6"/>
      <c r="AB154" s="6"/>
      <c r="AC154" s="6"/>
      <c r="AD154" s="6"/>
    </row>
    <row r="155" spans="1:30" x14ac:dyDescent="0.25">
      <c r="A155" s="6" t="s">
        <v>127</v>
      </c>
      <c r="B155" s="13"/>
      <c r="C155" s="6"/>
      <c r="D155" s="6"/>
      <c r="E155" s="6"/>
      <c r="F155" s="6"/>
      <c r="G155" s="13"/>
      <c r="H155" s="6"/>
      <c r="I155" s="6"/>
      <c r="J155" s="6"/>
      <c r="K155" s="6"/>
      <c r="L155" s="13"/>
      <c r="M155" s="6"/>
      <c r="N155" s="6"/>
      <c r="O155" s="6"/>
      <c r="P155" s="6"/>
      <c r="Q155" s="13"/>
      <c r="R155" s="6"/>
      <c r="S155" s="6"/>
      <c r="T155" s="6"/>
      <c r="U155" s="13"/>
      <c r="V155" s="6"/>
      <c r="W155" s="6"/>
      <c r="X155" s="13"/>
      <c r="Y155" s="6"/>
      <c r="Z155" s="6"/>
      <c r="AA155" s="6"/>
      <c r="AB155" s="6"/>
      <c r="AC155" s="6"/>
      <c r="AD155" s="6"/>
    </row>
    <row r="156" spans="1:30" x14ac:dyDescent="0.25">
      <c r="A156" s="6" t="s">
        <v>128</v>
      </c>
      <c r="B156" s="13"/>
      <c r="C156" s="6"/>
      <c r="D156" s="6"/>
      <c r="E156" s="6"/>
      <c r="F156" s="6"/>
      <c r="G156" s="13"/>
      <c r="H156" s="6"/>
      <c r="I156" s="6"/>
      <c r="J156" s="6"/>
      <c r="K156" s="6"/>
      <c r="L156" s="13"/>
      <c r="M156" s="6"/>
      <c r="N156" s="6"/>
      <c r="O156" s="6"/>
      <c r="P156" s="6"/>
      <c r="Q156" s="13"/>
      <c r="R156" s="6"/>
      <c r="S156" s="6"/>
      <c r="T156" s="6"/>
      <c r="U156" s="13"/>
      <c r="V156" s="6"/>
      <c r="W156" s="6"/>
      <c r="X156" s="13"/>
      <c r="Y156" s="6"/>
      <c r="Z156" s="6"/>
      <c r="AA156" s="6"/>
      <c r="AB156" s="6"/>
      <c r="AC156" s="6"/>
      <c r="AD156" s="6"/>
    </row>
    <row r="157" spans="1:30" x14ac:dyDescent="0.25">
      <c r="A157" s="6" t="s">
        <v>129</v>
      </c>
      <c r="B157" s="13"/>
      <c r="C157" s="6"/>
      <c r="D157" s="6"/>
      <c r="E157" s="6"/>
      <c r="F157" s="6"/>
      <c r="G157" s="13"/>
      <c r="H157" s="6"/>
      <c r="I157" s="6"/>
      <c r="J157" s="6"/>
      <c r="K157" s="6"/>
      <c r="L157" s="13"/>
      <c r="M157" s="6"/>
      <c r="N157" s="6"/>
      <c r="O157" s="6"/>
      <c r="P157" s="6"/>
      <c r="Q157" s="13"/>
      <c r="R157" s="6"/>
      <c r="S157" s="6"/>
      <c r="T157" s="6"/>
      <c r="U157" s="13"/>
      <c r="V157" s="6"/>
      <c r="W157" s="6"/>
      <c r="X157" s="13"/>
      <c r="Y157" s="6"/>
      <c r="Z157" s="6"/>
      <c r="AA157" s="6"/>
      <c r="AB157" s="6"/>
      <c r="AC157" s="6"/>
      <c r="AD157" s="6"/>
    </row>
    <row r="158" spans="1:30" x14ac:dyDescent="0.25">
      <c r="A158" s="6" t="s">
        <v>130</v>
      </c>
      <c r="B158" s="13"/>
      <c r="C158" s="6"/>
      <c r="D158" s="6"/>
      <c r="E158" s="6"/>
      <c r="F158" s="6"/>
      <c r="G158" s="13"/>
      <c r="H158" s="6"/>
      <c r="I158" s="6"/>
      <c r="J158" s="6"/>
      <c r="K158" s="6"/>
      <c r="L158" s="13"/>
      <c r="M158" s="6"/>
      <c r="N158" s="6"/>
      <c r="O158" s="6"/>
      <c r="P158" s="6"/>
      <c r="Q158" s="13"/>
      <c r="R158" s="6"/>
      <c r="S158" s="6"/>
      <c r="T158" s="6"/>
      <c r="U158" s="13"/>
      <c r="V158" s="6"/>
      <c r="W158" s="6"/>
      <c r="X158" s="13"/>
      <c r="Y158" s="6"/>
      <c r="Z158" s="6"/>
      <c r="AA158" s="6"/>
      <c r="AB158" s="6"/>
      <c r="AC158" s="6"/>
      <c r="AD158" s="6"/>
    </row>
    <row r="159" spans="1:30" x14ac:dyDescent="0.25">
      <c r="A159" s="6" t="s">
        <v>131</v>
      </c>
      <c r="B159" s="13"/>
      <c r="C159" s="6"/>
      <c r="D159" s="6"/>
      <c r="E159" s="6"/>
      <c r="F159" s="6"/>
      <c r="G159" s="13"/>
      <c r="H159" s="6"/>
      <c r="I159" s="6"/>
      <c r="J159" s="6"/>
      <c r="K159" s="6"/>
      <c r="L159" s="13"/>
      <c r="M159" s="6"/>
      <c r="N159" s="6"/>
      <c r="O159" s="6"/>
      <c r="P159" s="6"/>
      <c r="Q159" s="13"/>
      <c r="R159" s="6"/>
      <c r="S159" s="6"/>
      <c r="T159" s="6"/>
      <c r="U159" s="13"/>
      <c r="V159" s="6"/>
      <c r="W159" s="6"/>
      <c r="X159" s="13"/>
      <c r="Y159" s="6"/>
      <c r="Z159" s="6"/>
      <c r="AA159" s="6"/>
      <c r="AB159" s="6"/>
      <c r="AC159" s="6"/>
      <c r="AD159" s="6"/>
    </row>
    <row r="160" spans="1:30" x14ac:dyDescent="0.25">
      <c r="A160" s="6" t="s">
        <v>132</v>
      </c>
      <c r="B160" s="13"/>
      <c r="C160" s="6"/>
      <c r="D160" s="6"/>
      <c r="E160" s="6"/>
      <c r="F160" s="6"/>
      <c r="G160" s="13"/>
      <c r="H160" s="6"/>
      <c r="I160" s="6"/>
      <c r="J160" s="6"/>
      <c r="K160" s="6"/>
      <c r="L160" s="13"/>
      <c r="M160" s="6"/>
      <c r="N160" s="6"/>
      <c r="O160" s="6"/>
      <c r="P160" s="6"/>
      <c r="Q160" s="13"/>
      <c r="R160" s="6"/>
      <c r="S160" s="6"/>
      <c r="T160" s="6"/>
      <c r="U160" s="13"/>
      <c r="V160" s="6"/>
      <c r="W160" s="6"/>
      <c r="X160" s="13"/>
      <c r="Y160" s="6"/>
      <c r="Z160" s="6"/>
      <c r="AA160" s="6"/>
      <c r="AB160" s="6"/>
      <c r="AC160" s="6"/>
      <c r="AD160" s="6"/>
    </row>
    <row r="161" spans="1:30" x14ac:dyDescent="0.25">
      <c r="A161" s="6" t="s">
        <v>133</v>
      </c>
      <c r="B161" s="13"/>
      <c r="C161" s="6"/>
      <c r="D161" s="6"/>
      <c r="E161" s="6"/>
      <c r="F161" s="6"/>
      <c r="G161" s="13"/>
      <c r="H161" s="6"/>
      <c r="I161" s="6"/>
      <c r="J161" s="6"/>
      <c r="K161" s="6"/>
      <c r="L161" s="13"/>
      <c r="M161" s="6"/>
      <c r="N161" s="6"/>
      <c r="O161" s="6"/>
      <c r="P161" s="6"/>
      <c r="Q161" s="13"/>
      <c r="R161" s="6"/>
      <c r="S161" s="6"/>
      <c r="T161" s="6"/>
      <c r="U161" s="13"/>
      <c r="V161" s="6"/>
      <c r="W161" s="6"/>
      <c r="X161" s="13"/>
      <c r="Y161" s="6"/>
      <c r="Z161" s="6"/>
      <c r="AA161" s="6"/>
      <c r="AB161" s="6"/>
      <c r="AC161" s="6"/>
      <c r="AD161" s="6"/>
    </row>
    <row r="162" spans="1:30" x14ac:dyDescent="0.25">
      <c r="A162" s="6" t="s">
        <v>134</v>
      </c>
      <c r="B162" s="13"/>
      <c r="C162" s="6"/>
      <c r="D162" s="6"/>
      <c r="E162" s="6"/>
      <c r="F162" s="6"/>
      <c r="G162" s="13"/>
      <c r="H162" s="6"/>
      <c r="I162" s="6"/>
      <c r="J162" s="6"/>
      <c r="K162" s="6"/>
      <c r="L162" s="13"/>
      <c r="M162" s="6"/>
      <c r="N162" s="6"/>
      <c r="O162" s="6"/>
      <c r="P162" s="6"/>
      <c r="Q162" s="13"/>
      <c r="R162" s="6"/>
      <c r="S162" s="6"/>
      <c r="T162" s="6"/>
      <c r="U162" s="13"/>
      <c r="V162" s="6"/>
      <c r="W162" s="6"/>
      <c r="X162" s="13"/>
      <c r="Y162" s="6"/>
      <c r="Z162" s="6"/>
      <c r="AA162" s="6"/>
      <c r="AB162" s="6"/>
      <c r="AC162" s="6"/>
      <c r="AD162" s="6"/>
    </row>
    <row r="163" spans="1:30" x14ac:dyDescent="0.25">
      <c r="A163" s="6" t="s">
        <v>135</v>
      </c>
      <c r="B163" s="13"/>
      <c r="C163" s="6"/>
      <c r="D163" s="6"/>
      <c r="E163" s="6"/>
      <c r="F163" s="6"/>
      <c r="G163" s="13"/>
      <c r="H163" s="6"/>
      <c r="I163" s="6"/>
      <c r="J163" s="6"/>
      <c r="K163" s="6"/>
      <c r="L163" s="13"/>
      <c r="M163" s="6"/>
      <c r="N163" s="6"/>
      <c r="O163" s="6"/>
      <c r="P163" s="6"/>
      <c r="Q163" s="13"/>
      <c r="R163" s="6"/>
      <c r="S163" s="6"/>
      <c r="T163" s="6"/>
      <c r="U163" s="13"/>
      <c r="V163" s="6"/>
      <c r="W163" s="6"/>
      <c r="X163" s="13"/>
      <c r="Y163" s="6"/>
      <c r="Z163" s="6"/>
      <c r="AA163" s="6"/>
      <c r="AB163" s="6"/>
      <c r="AC163" s="6"/>
      <c r="AD163" s="6"/>
    </row>
    <row r="164" spans="1:30" x14ac:dyDescent="0.25">
      <c r="A164" s="6" t="s">
        <v>136</v>
      </c>
      <c r="B164" s="13"/>
      <c r="C164" s="6"/>
      <c r="D164" s="6"/>
      <c r="E164" s="6"/>
      <c r="F164" s="6"/>
      <c r="G164" s="13"/>
      <c r="H164" s="6"/>
      <c r="I164" s="6"/>
      <c r="J164" s="6"/>
      <c r="K164" s="6"/>
      <c r="L164" s="13"/>
      <c r="M164" s="6"/>
      <c r="N164" s="6"/>
      <c r="O164" s="6"/>
      <c r="P164" s="6"/>
      <c r="Q164" s="13"/>
      <c r="R164" s="6"/>
      <c r="S164" s="6"/>
      <c r="T164" s="6"/>
      <c r="U164" s="13"/>
      <c r="V164" s="6"/>
      <c r="W164" s="6"/>
      <c r="X164" s="13"/>
      <c r="Y164" s="6"/>
      <c r="Z164" s="6"/>
      <c r="AA164" s="6"/>
      <c r="AB164" s="6"/>
      <c r="AC164" s="6"/>
      <c r="AD164" s="6"/>
    </row>
    <row r="165" spans="1:30" x14ac:dyDescent="0.25">
      <c r="A165" s="6" t="s">
        <v>137</v>
      </c>
      <c r="B165" s="13"/>
      <c r="C165" s="6"/>
      <c r="D165" s="6"/>
      <c r="E165" s="6"/>
      <c r="F165" s="6"/>
      <c r="G165" s="13"/>
      <c r="H165" s="6"/>
      <c r="I165" s="6"/>
      <c r="J165" s="6"/>
      <c r="K165" s="6"/>
      <c r="L165" s="13"/>
      <c r="M165" s="6"/>
      <c r="N165" s="6"/>
      <c r="O165" s="6"/>
      <c r="P165" s="6"/>
      <c r="Q165" s="13"/>
      <c r="R165" s="6"/>
      <c r="S165" s="6"/>
      <c r="T165" s="6"/>
      <c r="U165" s="13"/>
      <c r="V165" s="6"/>
      <c r="W165" s="6"/>
      <c r="X165" s="13"/>
      <c r="Y165" s="6"/>
      <c r="Z165" s="6"/>
      <c r="AA165" s="6"/>
      <c r="AB165" s="6"/>
      <c r="AC165" s="6"/>
      <c r="AD165" s="6"/>
    </row>
    <row r="166" spans="1:30" x14ac:dyDescent="0.25">
      <c r="A166" s="6" t="s">
        <v>138</v>
      </c>
      <c r="B166" s="13"/>
      <c r="C166" s="6"/>
      <c r="D166" s="6"/>
      <c r="E166" s="6"/>
      <c r="F166" s="6"/>
      <c r="G166" s="13"/>
      <c r="H166" s="6"/>
      <c r="I166" s="6"/>
      <c r="J166" s="6"/>
      <c r="K166" s="6"/>
      <c r="L166" s="13"/>
      <c r="M166" s="6"/>
      <c r="N166" s="6"/>
      <c r="O166" s="6"/>
      <c r="P166" s="6"/>
      <c r="Q166" s="13"/>
      <c r="R166" s="6"/>
      <c r="S166" s="6"/>
      <c r="T166" s="6"/>
      <c r="U166" s="13"/>
      <c r="V166" s="6"/>
      <c r="W166" s="6"/>
      <c r="X166" s="13"/>
      <c r="Y166" s="6"/>
      <c r="Z166" s="6"/>
      <c r="AA166" s="6"/>
      <c r="AB166" s="6"/>
      <c r="AC166" s="6"/>
      <c r="AD166" s="6"/>
    </row>
    <row r="167" spans="1:30" x14ac:dyDescent="0.25">
      <c r="A167" s="6" t="s">
        <v>139</v>
      </c>
      <c r="B167" s="13"/>
      <c r="C167" s="6"/>
      <c r="D167" s="6"/>
      <c r="E167" s="6"/>
      <c r="F167" s="6"/>
      <c r="G167" s="13"/>
      <c r="H167" s="6"/>
      <c r="I167" s="6"/>
      <c r="J167" s="6"/>
      <c r="K167" s="6"/>
      <c r="L167" s="13"/>
      <c r="M167" s="6"/>
      <c r="N167" s="6"/>
      <c r="O167" s="6"/>
      <c r="P167" s="6"/>
      <c r="Q167" s="13"/>
      <c r="R167" s="6"/>
      <c r="S167" s="6"/>
      <c r="T167" s="6"/>
      <c r="U167" s="13"/>
      <c r="V167" s="6"/>
      <c r="W167" s="6"/>
      <c r="X167" s="13"/>
      <c r="Y167" s="6"/>
      <c r="Z167" s="6"/>
      <c r="AA167" s="6"/>
      <c r="AB167" s="6"/>
      <c r="AC167" s="6"/>
      <c r="AD167" s="6"/>
    </row>
    <row r="168" spans="1:30" x14ac:dyDescent="0.25">
      <c r="A168" s="6" t="s">
        <v>140</v>
      </c>
      <c r="B168" s="13"/>
      <c r="C168" s="6"/>
      <c r="D168" s="6"/>
      <c r="E168" s="6"/>
      <c r="F168" s="6"/>
      <c r="G168" s="13"/>
      <c r="H168" s="6"/>
      <c r="I168" s="6"/>
      <c r="J168" s="6"/>
      <c r="K168" s="6"/>
      <c r="L168" s="13"/>
      <c r="M168" s="6"/>
      <c r="N168" s="6"/>
      <c r="O168" s="6"/>
      <c r="P168" s="6"/>
      <c r="Q168" s="13"/>
      <c r="R168" s="6"/>
      <c r="S168" s="6"/>
      <c r="T168" s="6"/>
      <c r="U168" s="13"/>
      <c r="V168" s="6"/>
      <c r="W168" s="6"/>
      <c r="X168" s="13"/>
      <c r="Y168" s="6"/>
      <c r="Z168" s="6"/>
      <c r="AA168" s="6"/>
      <c r="AB168" s="6"/>
      <c r="AC168" s="6"/>
      <c r="AD168" s="6"/>
    </row>
    <row r="169" spans="1:30" x14ac:dyDescent="0.25">
      <c r="A169" s="6" t="s">
        <v>141</v>
      </c>
      <c r="B169" s="13"/>
      <c r="C169" s="6"/>
      <c r="D169" s="6"/>
      <c r="E169" s="6"/>
      <c r="F169" s="6"/>
      <c r="G169" s="13"/>
      <c r="H169" s="6"/>
      <c r="I169" s="6"/>
      <c r="J169" s="6"/>
      <c r="K169" s="6"/>
      <c r="L169" s="13"/>
      <c r="M169" s="6"/>
      <c r="N169" s="6"/>
      <c r="O169" s="6"/>
      <c r="P169" s="6"/>
      <c r="Q169" s="13"/>
      <c r="R169" s="6"/>
      <c r="S169" s="6"/>
      <c r="T169" s="6"/>
      <c r="U169" s="13"/>
      <c r="V169" s="6"/>
      <c r="W169" s="6"/>
      <c r="X169" s="13"/>
      <c r="Y169" s="6"/>
      <c r="Z169" s="6"/>
      <c r="AA169" s="6"/>
      <c r="AB169" s="6"/>
      <c r="AC169" s="6"/>
      <c r="AD169" s="6"/>
    </row>
    <row r="170" spans="1:30" x14ac:dyDescent="0.25">
      <c r="A170" s="6" t="s">
        <v>142</v>
      </c>
      <c r="B170" s="13"/>
      <c r="C170" s="6"/>
      <c r="D170" s="6"/>
      <c r="E170" s="6"/>
      <c r="F170" s="6"/>
      <c r="G170" s="13"/>
      <c r="H170" s="6"/>
      <c r="I170" s="6"/>
      <c r="J170" s="6"/>
      <c r="K170" s="6"/>
      <c r="L170" s="13"/>
      <c r="M170" s="6"/>
      <c r="N170" s="6"/>
      <c r="O170" s="6"/>
      <c r="P170" s="6"/>
      <c r="Q170" s="13"/>
      <c r="R170" s="6"/>
      <c r="S170" s="6"/>
      <c r="T170" s="6"/>
      <c r="U170" s="13"/>
      <c r="V170" s="6"/>
      <c r="W170" s="6"/>
      <c r="X170" s="13"/>
      <c r="Y170" s="6"/>
      <c r="Z170" s="6"/>
      <c r="AA170" s="6"/>
      <c r="AB170" s="6"/>
      <c r="AC170" s="6"/>
      <c r="AD170" s="6"/>
    </row>
    <row r="171" spans="1:30" x14ac:dyDescent="0.25">
      <c r="A171" s="6" t="s">
        <v>143</v>
      </c>
      <c r="B171" s="13"/>
      <c r="C171" s="6"/>
      <c r="D171" s="6"/>
      <c r="E171" s="6"/>
      <c r="F171" s="6"/>
      <c r="G171" s="13"/>
      <c r="H171" s="6"/>
      <c r="I171" s="6"/>
      <c r="J171" s="6"/>
      <c r="K171" s="6"/>
      <c r="L171" s="13"/>
      <c r="M171" s="6"/>
      <c r="N171" s="6"/>
      <c r="O171" s="6"/>
      <c r="P171" s="6"/>
      <c r="Q171" s="13"/>
      <c r="R171" s="6"/>
      <c r="S171" s="6"/>
      <c r="T171" s="6"/>
      <c r="U171" s="13"/>
      <c r="V171" s="6"/>
      <c r="W171" s="6"/>
      <c r="X171" s="13"/>
      <c r="Y171" s="6"/>
      <c r="Z171" s="6"/>
      <c r="AA171" s="6"/>
      <c r="AB171" s="6"/>
      <c r="AC171" s="6"/>
      <c r="AD171" s="6"/>
    </row>
    <row r="172" spans="1:30" x14ac:dyDescent="0.25">
      <c r="A172" s="6" t="s">
        <v>144</v>
      </c>
      <c r="B172" s="13"/>
      <c r="C172" s="6"/>
      <c r="D172" s="6"/>
      <c r="E172" s="6"/>
      <c r="F172" s="6"/>
      <c r="G172" s="13"/>
      <c r="H172" s="6"/>
      <c r="I172" s="6"/>
      <c r="J172" s="6"/>
      <c r="K172" s="6"/>
      <c r="L172" s="13"/>
      <c r="M172" s="6"/>
      <c r="N172" s="6"/>
      <c r="O172" s="6"/>
      <c r="P172" s="6"/>
      <c r="Q172" s="13"/>
      <c r="R172" s="6"/>
      <c r="S172" s="6"/>
      <c r="T172" s="6"/>
      <c r="U172" s="13"/>
      <c r="V172" s="6"/>
      <c r="W172" s="6"/>
      <c r="X172" s="13"/>
      <c r="Y172" s="6"/>
      <c r="Z172" s="6"/>
      <c r="AA172" s="6"/>
      <c r="AB172" s="6"/>
      <c r="AC172" s="6"/>
      <c r="AD172" s="6"/>
    </row>
    <row r="173" spans="1:30" x14ac:dyDescent="0.25">
      <c r="A173" s="6" t="s">
        <v>145</v>
      </c>
      <c r="B173" s="13"/>
      <c r="C173" s="6"/>
      <c r="D173" s="6"/>
      <c r="E173" s="6"/>
      <c r="F173" s="6"/>
      <c r="G173" s="13"/>
      <c r="H173" s="6"/>
      <c r="I173" s="6"/>
      <c r="J173" s="6"/>
      <c r="K173" s="6"/>
      <c r="L173" s="13"/>
      <c r="M173" s="6"/>
      <c r="N173" s="6"/>
      <c r="O173" s="6"/>
      <c r="P173" s="6"/>
      <c r="Q173" s="13"/>
      <c r="R173" s="6"/>
      <c r="S173" s="6"/>
      <c r="T173" s="6"/>
      <c r="U173" s="13"/>
      <c r="V173" s="6"/>
      <c r="W173" s="6"/>
      <c r="X173" s="13"/>
      <c r="Y173" s="6"/>
      <c r="Z173" s="6"/>
      <c r="AA173" s="6"/>
      <c r="AB173" s="6"/>
      <c r="AC173" s="6"/>
      <c r="AD173" s="6"/>
    </row>
    <row r="174" spans="1:30" x14ac:dyDescent="0.25">
      <c r="A174" s="6" t="s">
        <v>146</v>
      </c>
      <c r="B174" s="13"/>
      <c r="C174" s="6"/>
      <c r="D174" s="6"/>
      <c r="E174" s="6"/>
      <c r="F174" s="6"/>
      <c r="G174" s="13"/>
      <c r="H174" s="6"/>
      <c r="I174" s="6"/>
      <c r="J174" s="6"/>
      <c r="K174" s="6"/>
      <c r="L174" s="13"/>
      <c r="M174" s="6"/>
      <c r="N174" s="6"/>
      <c r="O174" s="6"/>
      <c r="P174" s="6"/>
      <c r="Q174" s="13"/>
      <c r="R174" s="6"/>
      <c r="S174" s="6"/>
      <c r="T174" s="6"/>
      <c r="U174" s="13"/>
      <c r="V174" s="6"/>
      <c r="W174" s="6"/>
      <c r="X174" s="13"/>
      <c r="Y174" s="6"/>
      <c r="Z174" s="6"/>
      <c r="AA174" s="6"/>
      <c r="AB174" s="6"/>
      <c r="AC174" s="6"/>
      <c r="AD174" s="6"/>
    </row>
    <row r="175" spans="1:30" x14ac:dyDescent="0.25">
      <c r="A175" s="6" t="s">
        <v>147</v>
      </c>
      <c r="B175" s="13"/>
      <c r="C175" s="6"/>
      <c r="D175" s="6"/>
      <c r="E175" s="6"/>
      <c r="F175" s="6"/>
      <c r="G175" s="13"/>
      <c r="H175" s="6"/>
      <c r="I175" s="6"/>
      <c r="J175" s="6"/>
      <c r="K175" s="6"/>
      <c r="L175" s="13"/>
      <c r="M175" s="6"/>
      <c r="N175" s="6"/>
      <c r="O175" s="6"/>
      <c r="P175" s="6"/>
      <c r="Q175" s="13"/>
      <c r="R175" s="6"/>
      <c r="S175" s="6"/>
      <c r="T175" s="6"/>
      <c r="U175" s="13"/>
      <c r="V175" s="6"/>
      <c r="W175" s="6"/>
      <c r="X175" s="13"/>
      <c r="Y175" s="6"/>
      <c r="Z175" s="6"/>
      <c r="AA175" s="6"/>
      <c r="AB175" s="6"/>
      <c r="AC175" s="6"/>
      <c r="AD175" s="6"/>
    </row>
    <row r="176" spans="1:30" x14ac:dyDescent="0.25">
      <c r="A176" s="6" t="s">
        <v>148</v>
      </c>
      <c r="B176" s="13"/>
      <c r="C176" s="6"/>
      <c r="D176" s="6"/>
      <c r="E176" s="6"/>
      <c r="F176" s="6"/>
      <c r="G176" s="13"/>
      <c r="H176" s="6"/>
      <c r="I176" s="6"/>
      <c r="J176" s="6"/>
      <c r="K176" s="6"/>
      <c r="L176" s="13"/>
      <c r="M176" s="6"/>
      <c r="N176" s="6"/>
      <c r="O176" s="6"/>
      <c r="P176" s="6"/>
      <c r="Q176" s="13"/>
      <c r="R176" s="6"/>
      <c r="S176" s="6"/>
      <c r="T176" s="6"/>
      <c r="U176" s="13"/>
      <c r="V176" s="6"/>
      <c r="W176" s="6"/>
      <c r="X176" s="13"/>
      <c r="Y176" s="6"/>
      <c r="Z176" s="6"/>
      <c r="AA176" s="6"/>
      <c r="AB176" s="6"/>
      <c r="AC176" s="6"/>
      <c r="AD176" s="6"/>
    </row>
    <row r="177" spans="1:30" x14ac:dyDescent="0.25">
      <c r="A177" s="6" t="s">
        <v>149</v>
      </c>
      <c r="B177" s="13"/>
      <c r="C177" s="6"/>
      <c r="D177" s="6"/>
      <c r="E177" s="6"/>
      <c r="F177" s="6"/>
      <c r="G177" s="13"/>
      <c r="H177" s="6"/>
      <c r="I177" s="6"/>
      <c r="J177" s="6"/>
      <c r="K177" s="6"/>
      <c r="L177" s="13"/>
      <c r="M177" s="6"/>
      <c r="N177" s="6"/>
      <c r="O177" s="6"/>
      <c r="P177" s="6"/>
      <c r="Q177" s="13"/>
      <c r="R177" s="6"/>
      <c r="S177" s="6"/>
      <c r="T177" s="6"/>
      <c r="U177" s="13"/>
      <c r="V177" s="6"/>
      <c r="W177" s="6"/>
      <c r="X177" s="13"/>
      <c r="Y177" s="6"/>
      <c r="Z177" s="6"/>
      <c r="AA177" s="6"/>
      <c r="AB177" s="6"/>
      <c r="AC177" s="6"/>
      <c r="AD177" s="6"/>
    </row>
    <row r="178" spans="1:30" x14ac:dyDescent="0.25">
      <c r="A178" s="6" t="s">
        <v>150</v>
      </c>
      <c r="B178" s="13"/>
      <c r="C178" s="6"/>
      <c r="D178" s="6"/>
      <c r="E178" s="6"/>
      <c r="F178" s="6"/>
      <c r="G178" s="13"/>
      <c r="H178" s="6"/>
      <c r="I178" s="6"/>
      <c r="J178" s="6"/>
      <c r="K178" s="6"/>
      <c r="L178" s="13"/>
      <c r="M178" s="6"/>
      <c r="N178" s="6"/>
      <c r="O178" s="6"/>
      <c r="P178" s="6"/>
      <c r="Q178" s="13"/>
      <c r="R178" s="6"/>
      <c r="S178" s="6"/>
      <c r="T178" s="6"/>
      <c r="U178" s="13"/>
      <c r="V178" s="6"/>
      <c r="W178" s="6"/>
      <c r="X178" s="13"/>
      <c r="Y178" s="6"/>
      <c r="Z178" s="6"/>
      <c r="AA178" s="6"/>
      <c r="AB178" s="6"/>
      <c r="AC178" s="6"/>
      <c r="AD178" s="6"/>
    </row>
    <row r="179" spans="1:30" x14ac:dyDescent="0.25">
      <c r="A179" s="6" t="s">
        <v>151</v>
      </c>
      <c r="B179" s="13"/>
      <c r="C179" s="6"/>
      <c r="D179" s="6"/>
      <c r="E179" s="6"/>
      <c r="F179" s="6"/>
      <c r="G179" s="13"/>
      <c r="H179" s="6"/>
      <c r="I179" s="6"/>
      <c r="J179" s="6"/>
      <c r="K179" s="6"/>
      <c r="L179" s="13"/>
      <c r="M179" s="6"/>
      <c r="N179" s="6"/>
      <c r="O179" s="6"/>
      <c r="P179" s="6"/>
      <c r="Q179" s="13"/>
      <c r="R179" s="6"/>
      <c r="S179" s="6"/>
      <c r="T179" s="6"/>
      <c r="U179" s="13"/>
      <c r="V179" s="6"/>
      <c r="W179" s="6"/>
      <c r="X179" s="13"/>
      <c r="Y179" s="6"/>
      <c r="Z179" s="6"/>
      <c r="AA179" s="6"/>
      <c r="AB179" s="6"/>
      <c r="AC179" s="6"/>
      <c r="AD179" s="6"/>
    </row>
    <row r="180" spans="1:30" x14ac:dyDescent="0.25">
      <c r="A180" s="6" t="s">
        <v>457</v>
      </c>
      <c r="B180" s="13"/>
      <c r="C180" s="6"/>
      <c r="D180" s="6"/>
      <c r="E180" s="6"/>
      <c r="F180" s="6"/>
      <c r="G180" s="13"/>
      <c r="H180" s="6"/>
      <c r="I180" s="6"/>
      <c r="J180" s="6"/>
      <c r="K180" s="6"/>
      <c r="L180" s="13"/>
      <c r="M180" s="6"/>
      <c r="N180" s="6"/>
      <c r="O180" s="6"/>
      <c r="P180" s="6"/>
      <c r="Q180" s="13"/>
      <c r="R180" s="6"/>
      <c r="S180" s="6"/>
      <c r="T180" s="6"/>
      <c r="U180" s="13"/>
      <c r="V180" s="6"/>
      <c r="W180" s="6"/>
      <c r="X180" s="13"/>
      <c r="Y180" s="6"/>
      <c r="Z180" s="6"/>
      <c r="AA180" s="6"/>
      <c r="AB180" s="6"/>
      <c r="AC180" s="6"/>
      <c r="AD180" s="6"/>
    </row>
    <row r="181" spans="1:30" x14ac:dyDescent="0.25">
      <c r="A181" s="6" t="s">
        <v>458</v>
      </c>
      <c r="B181" s="13"/>
      <c r="C181" s="6"/>
      <c r="D181" s="6"/>
      <c r="E181" s="6"/>
      <c r="F181" s="6"/>
      <c r="G181" s="13"/>
      <c r="H181" s="6"/>
      <c r="I181" s="6"/>
      <c r="J181" s="6"/>
      <c r="K181" s="6"/>
      <c r="L181" s="13"/>
      <c r="M181" s="6"/>
      <c r="N181" s="6"/>
      <c r="O181" s="6"/>
      <c r="P181" s="6"/>
      <c r="Q181" s="13"/>
      <c r="R181" s="6"/>
      <c r="S181" s="6"/>
      <c r="T181" s="6"/>
      <c r="U181" s="13"/>
      <c r="V181" s="6"/>
      <c r="W181" s="6"/>
      <c r="X181" s="13"/>
      <c r="Y181" s="6"/>
      <c r="Z181" s="6"/>
      <c r="AA181" s="6"/>
      <c r="AB181" s="6"/>
      <c r="AC181" s="6"/>
      <c r="AD181" s="6"/>
    </row>
    <row r="182" spans="1:30" x14ac:dyDescent="0.25">
      <c r="A182" s="6" t="s">
        <v>459</v>
      </c>
      <c r="B182" s="13"/>
      <c r="C182" s="6"/>
      <c r="D182" s="6"/>
      <c r="E182" s="6"/>
      <c r="F182" s="6"/>
      <c r="G182" s="13"/>
      <c r="H182" s="6"/>
      <c r="I182" s="6"/>
      <c r="J182" s="6"/>
      <c r="K182" s="6"/>
      <c r="L182" s="13"/>
      <c r="M182" s="6"/>
      <c r="N182" s="6"/>
      <c r="O182" s="6"/>
      <c r="P182" s="6"/>
      <c r="Q182" s="13"/>
      <c r="R182" s="6"/>
      <c r="S182" s="6"/>
      <c r="T182" s="6"/>
      <c r="U182" s="13"/>
      <c r="V182" s="6"/>
      <c r="W182" s="6"/>
      <c r="X182" s="13"/>
      <c r="Y182" s="6"/>
      <c r="Z182" s="6"/>
      <c r="AA182" s="6"/>
      <c r="AB182" s="6"/>
      <c r="AC182" s="6"/>
      <c r="AD182" s="6"/>
    </row>
    <row r="183" spans="1:30" x14ac:dyDescent="0.25">
      <c r="A183" s="6" t="s">
        <v>152</v>
      </c>
      <c r="B183" s="13"/>
      <c r="C183" s="6"/>
      <c r="D183" s="6"/>
      <c r="E183" s="6"/>
      <c r="F183" s="6"/>
      <c r="G183" s="13"/>
      <c r="H183" s="6"/>
      <c r="I183" s="6"/>
      <c r="J183" s="6"/>
      <c r="K183" s="6"/>
      <c r="L183" s="13"/>
      <c r="M183" s="6"/>
      <c r="N183" s="6"/>
      <c r="O183" s="6"/>
      <c r="P183" s="6"/>
      <c r="Q183" s="13"/>
      <c r="R183" s="6"/>
      <c r="S183" s="6"/>
      <c r="T183" s="6"/>
      <c r="U183" s="13"/>
      <c r="V183" s="6"/>
      <c r="W183" s="6"/>
      <c r="X183" s="13"/>
      <c r="Y183" s="6"/>
      <c r="Z183" s="6"/>
      <c r="AA183" s="6"/>
      <c r="AB183" s="6"/>
      <c r="AC183" s="6"/>
      <c r="AD183" s="6"/>
    </row>
    <row r="184" spans="1:30" x14ac:dyDescent="0.25">
      <c r="A184" s="6" t="s">
        <v>153</v>
      </c>
      <c r="B184" s="13"/>
      <c r="C184" s="6"/>
      <c r="D184" s="6"/>
      <c r="E184" s="6"/>
      <c r="F184" s="6"/>
      <c r="G184" s="13"/>
      <c r="H184" s="6"/>
      <c r="I184" s="6"/>
      <c r="J184" s="6"/>
      <c r="K184" s="6"/>
      <c r="L184" s="13"/>
      <c r="M184" s="6"/>
      <c r="N184" s="6"/>
      <c r="O184" s="6"/>
      <c r="P184" s="6"/>
      <c r="Q184" s="13"/>
      <c r="R184" s="6"/>
      <c r="S184" s="6"/>
      <c r="T184" s="6"/>
      <c r="U184" s="13"/>
      <c r="V184" s="6"/>
      <c r="W184" s="6"/>
      <c r="X184" s="13"/>
      <c r="Y184" s="6"/>
      <c r="Z184" s="6"/>
      <c r="AA184" s="6"/>
      <c r="AB184" s="6"/>
      <c r="AC184" s="6"/>
      <c r="AD184" s="6"/>
    </row>
    <row r="185" spans="1:30" x14ac:dyDescent="0.25">
      <c r="A185" s="6" t="s">
        <v>154</v>
      </c>
      <c r="B185" s="13"/>
      <c r="C185" s="6"/>
      <c r="D185" s="6"/>
      <c r="E185" s="6"/>
      <c r="F185" s="6"/>
      <c r="G185" s="13"/>
      <c r="H185" s="6"/>
      <c r="I185" s="6"/>
      <c r="J185" s="6"/>
      <c r="K185" s="6"/>
      <c r="L185" s="13"/>
      <c r="M185" s="6"/>
      <c r="N185" s="6"/>
      <c r="O185" s="6"/>
      <c r="P185" s="6"/>
      <c r="Q185" s="13"/>
      <c r="R185" s="6"/>
      <c r="S185" s="6"/>
      <c r="T185" s="6"/>
      <c r="U185" s="13"/>
      <c r="V185" s="6"/>
      <c r="W185" s="6"/>
      <c r="X185" s="13"/>
      <c r="Y185" s="6"/>
      <c r="Z185" s="6"/>
      <c r="AA185" s="6"/>
      <c r="AB185" s="6"/>
      <c r="AC185" s="6"/>
      <c r="AD185" s="6"/>
    </row>
    <row r="186" spans="1:30" x14ac:dyDescent="0.25">
      <c r="A186" s="6" t="s">
        <v>155</v>
      </c>
      <c r="B186" s="13"/>
      <c r="C186" s="6"/>
      <c r="D186" s="6"/>
      <c r="E186" s="6"/>
      <c r="F186" s="6"/>
      <c r="G186" s="13"/>
      <c r="H186" s="6"/>
      <c r="I186" s="6"/>
      <c r="J186" s="6"/>
      <c r="K186" s="6"/>
      <c r="L186" s="13"/>
      <c r="M186" s="6"/>
      <c r="N186" s="6"/>
      <c r="O186" s="6"/>
      <c r="P186" s="6"/>
      <c r="Q186" s="13"/>
      <c r="R186" s="6"/>
      <c r="S186" s="6"/>
      <c r="T186" s="6"/>
      <c r="U186" s="13"/>
      <c r="V186" s="6"/>
      <c r="W186" s="6"/>
      <c r="X186" s="13"/>
      <c r="Y186" s="6"/>
      <c r="Z186" s="6"/>
      <c r="AA186" s="6"/>
      <c r="AB186" s="6"/>
      <c r="AC186" s="6"/>
      <c r="AD186" s="6"/>
    </row>
    <row r="187" spans="1:30" x14ac:dyDescent="0.25">
      <c r="A187" s="6" t="s">
        <v>156</v>
      </c>
      <c r="B187" s="13"/>
      <c r="C187" s="6"/>
      <c r="D187" s="6"/>
      <c r="E187" s="6"/>
      <c r="F187" s="6"/>
      <c r="G187" s="13"/>
      <c r="H187" s="6"/>
      <c r="I187" s="6"/>
      <c r="J187" s="6"/>
      <c r="K187" s="6"/>
      <c r="L187" s="13"/>
      <c r="M187" s="6"/>
      <c r="N187" s="6"/>
      <c r="O187" s="6"/>
      <c r="P187" s="6"/>
      <c r="Q187" s="13"/>
      <c r="R187" s="6"/>
      <c r="S187" s="6"/>
      <c r="T187" s="6"/>
      <c r="U187" s="13"/>
      <c r="V187" s="6"/>
      <c r="W187" s="6"/>
      <c r="X187" s="13"/>
      <c r="Y187" s="6"/>
      <c r="Z187" s="6"/>
      <c r="AA187" s="6"/>
      <c r="AB187" s="6"/>
      <c r="AC187" s="6"/>
      <c r="AD187" s="6"/>
    </row>
    <row r="188" spans="1:30" x14ac:dyDescent="0.25">
      <c r="A188" s="6" t="s">
        <v>157</v>
      </c>
      <c r="B188" s="13"/>
      <c r="C188" s="6"/>
      <c r="D188" s="6"/>
      <c r="E188" s="6"/>
      <c r="F188" s="6"/>
      <c r="G188" s="13"/>
      <c r="H188" s="6"/>
      <c r="I188" s="6"/>
      <c r="J188" s="6"/>
      <c r="K188" s="6"/>
      <c r="L188" s="13"/>
      <c r="M188" s="6"/>
      <c r="N188" s="6"/>
      <c r="O188" s="6"/>
      <c r="P188" s="6"/>
      <c r="Q188" s="13"/>
      <c r="R188" s="6"/>
      <c r="S188" s="6"/>
      <c r="T188" s="6"/>
      <c r="U188" s="13"/>
      <c r="V188" s="6"/>
      <c r="W188" s="6"/>
      <c r="X188" s="13"/>
      <c r="Y188" s="6"/>
      <c r="Z188" s="6"/>
      <c r="AA188" s="6"/>
      <c r="AB188" s="6"/>
      <c r="AC188" s="6"/>
      <c r="AD188" s="6"/>
    </row>
    <row r="189" spans="1:30" x14ac:dyDescent="0.25">
      <c r="A189" s="6" t="s">
        <v>158</v>
      </c>
      <c r="B189" s="13"/>
      <c r="C189" s="6"/>
      <c r="D189" s="6"/>
      <c r="E189" s="6"/>
      <c r="F189" s="6"/>
      <c r="G189" s="13"/>
      <c r="H189" s="6"/>
      <c r="I189" s="6"/>
      <c r="J189" s="6"/>
      <c r="K189" s="6"/>
      <c r="L189" s="13"/>
      <c r="M189" s="6"/>
      <c r="N189" s="6"/>
      <c r="O189" s="6"/>
      <c r="P189" s="6"/>
      <c r="Q189" s="13"/>
      <c r="R189" s="6"/>
      <c r="S189" s="6"/>
      <c r="T189" s="6"/>
      <c r="U189" s="13"/>
      <c r="V189" s="6"/>
      <c r="W189" s="6"/>
      <c r="X189" s="13"/>
      <c r="Y189" s="6"/>
      <c r="Z189" s="6"/>
      <c r="AA189" s="6"/>
      <c r="AB189" s="6"/>
      <c r="AC189" s="6"/>
      <c r="AD189" s="6"/>
    </row>
    <row r="190" spans="1:30" x14ac:dyDescent="0.25">
      <c r="A190" s="6" t="s">
        <v>159</v>
      </c>
      <c r="B190" s="13"/>
      <c r="C190" s="6"/>
      <c r="D190" s="6"/>
      <c r="E190" s="6"/>
      <c r="F190" s="6"/>
      <c r="G190" s="13"/>
      <c r="H190" s="6"/>
      <c r="I190" s="6"/>
      <c r="J190" s="6"/>
      <c r="K190" s="6"/>
      <c r="L190" s="13"/>
      <c r="M190" s="6"/>
      <c r="N190" s="6"/>
      <c r="O190" s="6"/>
      <c r="P190" s="6"/>
      <c r="Q190" s="13"/>
      <c r="R190" s="6"/>
      <c r="S190" s="6"/>
      <c r="T190" s="6"/>
      <c r="U190" s="13"/>
      <c r="V190" s="6"/>
      <c r="W190" s="6"/>
      <c r="X190" s="13"/>
      <c r="Y190" s="6"/>
      <c r="Z190" s="6"/>
      <c r="AA190" s="6"/>
      <c r="AB190" s="6"/>
      <c r="AC190" s="6"/>
      <c r="AD190" s="6"/>
    </row>
    <row r="191" spans="1:30" x14ac:dyDescent="0.25">
      <c r="A191" s="6" t="s">
        <v>160</v>
      </c>
      <c r="B191" s="13"/>
      <c r="C191" s="6"/>
      <c r="D191" s="6"/>
      <c r="E191" s="6"/>
      <c r="F191" s="6"/>
      <c r="G191" s="13"/>
      <c r="H191" s="6"/>
      <c r="I191" s="6"/>
      <c r="J191" s="6"/>
      <c r="K191" s="6"/>
      <c r="L191" s="13"/>
      <c r="M191" s="6"/>
      <c r="N191" s="6"/>
      <c r="O191" s="6"/>
      <c r="P191" s="6"/>
      <c r="Q191" s="13"/>
      <c r="R191" s="6"/>
      <c r="S191" s="6"/>
      <c r="T191" s="6"/>
      <c r="U191" s="13"/>
      <c r="V191" s="6"/>
      <c r="W191" s="6"/>
      <c r="X191" s="13"/>
      <c r="Y191" s="6"/>
      <c r="Z191" s="6"/>
      <c r="AA191" s="6"/>
      <c r="AB191" s="6"/>
      <c r="AC191" s="6"/>
      <c r="AD191" s="6"/>
    </row>
    <row r="192" spans="1:30" x14ac:dyDescent="0.25">
      <c r="A192" s="6" t="s">
        <v>161</v>
      </c>
      <c r="B192" s="13"/>
      <c r="C192" s="6"/>
      <c r="D192" s="6"/>
      <c r="E192" s="6"/>
      <c r="F192" s="6"/>
      <c r="G192" s="13"/>
      <c r="H192" s="6"/>
      <c r="I192" s="6"/>
      <c r="J192" s="6"/>
      <c r="K192" s="6"/>
      <c r="L192" s="13"/>
      <c r="M192" s="6"/>
      <c r="N192" s="6"/>
      <c r="O192" s="6"/>
      <c r="P192" s="6"/>
      <c r="Q192" s="13"/>
      <c r="R192" s="6"/>
      <c r="S192" s="6"/>
      <c r="T192" s="6"/>
      <c r="U192" s="13"/>
      <c r="V192" s="6"/>
      <c r="W192" s="6"/>
      <c r="X192" s="13"/>
      <c r="Y192" s="6"/>
      <c r="Z192" s="6"/>
      <c r="AA192" s="6"/>
      <c r="AB192" s="6"/>
      <c r="AC192" s="6"/>
      <c r="AD192" s="6"/>
    </row>
    <row r="193" spans="1:30" x14ac:dyDescent="0.25">
      <c r="A193" s="6" t="s">
        <v>162</v>
      </c>
      <c r="B193" s="13"/>
      <c r="C193" s="6"/>
      <c r="D193" s="6"/>
      <c r="E193" s="6"/>
      <c r="F193" s="6"/>
      <c r="G193" s="13"/>
      <c r="H193" s="6"/>
      <c r="I193" s="6"/>
      <c r="J193" s="6"/>
      <c r="K193" s="6"/>
      <c r="L193" s="13"/>
      <c r="M193" s="6"/>
      <c r="N193" s="6"/>
      <c r="O193" s="6"/>
      <c r="P193" s="6"/>
      <c r="Q193" s="13"/>
      <c r="R193" s="6"/>
      <c r="S193" s="6"/>
      <c r="T193" s="6"/>
      <c r="U193" s="13"/>
      <c r="V193" s="6"/>
      <c r="W193" s="6"/>
      <c r="X193" s="13"/>
      <c r="Y193" s="6"/>
      <c r="Z193" s="6"/>
      <c r="AA193" s="6"/>
      <c r="AB193" s="6"/>
      <c r="AC193" s="6"/>
      <c r="AD193" s="6"/>
    </row>
    <row r="194" spans="1:30" x14ac:dyDescent="0.25">
      <c r="A194" s="6" t="s">
        <v>163</v>
      </c>
      <c r="B194" s="13"/>
      <c r="C194" s="6"/>
      <c r="D194" s="6"/>
      <c r="E194" s="6"/>
      <c r="F194" s="6"/>
      <c r="G194" s="13"/>
      <c r="H194" s="6"/>
      <c r="I194" s="6"/>
      <c r="J194" s="6"/>
      <c r="K194" s="6"/>
      <c r="L194" s="13"/>
      <c r="M194" s="6"/>
      <c r="N194" s="6"/>
      <c r="O194" s="6"/>
      <c r="P194" s="6"/>
      <c r="Q194" s="13"/>
      <c r="R194" s="6"/>
      <c r="S194" s="6"/>
      <c r="T194" s="6"/>
      <c r="U194" s="13"/>
      <c r="V194" s="6"/>
      <c r="W194" s="6"/>
      <c r="X194" s="13"/>
      <c r="Y194" s="6"/>
      <c r="Z194" s="6"/>
      <c r="AA194" s="6"/>
      <c r="AB194" s="6"/>
      <c r="AC194" s="6"/>
      <c r="AD194" s="6"/>
    </row>
    <row r="195" spans="1:30" x14ac:dyDescent="0.25">
      <c r="A195" s="6" t="s">
        <v>164</v>
      </c>
      <c r="B195" s="13"/>
      <c r="C195" s="6"/>
      <c r="D195" s="6"/>
      <c r="E195" s="6"/>
      <c r="F195" s="6"/>
      <c r="G195" s="13"/>
      <c r="H195" s="6"/>
      <c r="I195" s="6"/>
      <c r="J195" s="6"/>
      <c r="K195" s="6"/>
      <c r="L195" s="13"/>
      <c r="M195" s="6"/>
      <c r="N195" s="6"/>
      <c r="O195" s="6"/>
      <c r="P195" s="6"/>
      <c r="Q195" s="13"/>
      <c r="R195" s="6"/>
      <c r="S195" s="6"/>
      <c r="T195" s="6"/>
      <c r="U195" s="13"/>
      <c r="V195" s="6"/>
      <c r="W195" s="6"/>
      <c r="X195" s="13"/>
      <c r="Y195" s="6"/>
      <c r="Z195" s="6"/>
      <c r="AA195" s="6"/>
      <c r="AB195" s="6"/>
      <c r="AC195" s="6"/>
      <c r="AD195" s="6"/>
    </row>
    <row r="196" spans="1:30" x14ac:dyDescent="0.25">
      <c r="A196" s="6" t="s">
        <v>165</v>
      </c>
      <c r="B196" s="13"/>
      <c r="C196" s="6"/>
      <c r="D196" s="6"/>
      <c r="E196" s="6"/>
      <c r="F196" s="6"/>
      <c r="G196" s="13"/>
      <c r="H196" s="6"/>
      <c r="I196" s="6"/>
      <c r="J196" s="6"/>
      <c r="K196" s="6"/>
      <c r="L196" s="13"/>
      <c r="M196" s="6"/>
      <c r="N196" s="6"/>
      <c r="O196" s="6"/>
      <c r="P196" s="6"/>
      <c r="Q196" s="13"/>
      <c r="R196" s="6"/>
      <c r="S196" s="6"/>
      <c r="T196" s="6"/>
      <c r="U196" s="13"/>
      <c r="V196" s="6"/>
      <c r="W196" s="6"/>
      <c r="X196" s="13"/>
      <c r="Y196" s="6"/>
      <c r="Z196" s="6"/>
      <c r="AA196" s="6"/>
      <c r="AB196" s="6"/>
      <c r="AC196" s="6"/>
      <c r="AD196" s="6"/>
    </row>
    <row r="197" spans="1:30" x14ac:dyDescent="0.25">
      <c r="A197" s="6" t="s">
        <v>166</v>
      </c>
      <c r="B197" s="13"/>
      <c r="C197" s="6"/>
      <c r="D197" s="6"/>
      <c r="E197" s="6"/>
      <c r="F197" s="6"/>
      <c r="G197" s="13"/>
      <c r="H197" s="6"/>
      <c r="I197" s="6"/>
      <c r="J197" s="6"/>
      <c r="K197" s="6"/>
      <c r="L197" s="13"/>
      <c r="M197" s="6"/>
      <c r="N197" s="6"/>
      <c r="O197" s="6"/>
      <c r="P197" s="6"/>
      <c r="Q197" s="13"/>
      <c r="R197" s="6"/>
      <c r="S197" s="6"/>
      <c r="T197" s="6"/>
      <c r="U197" s="13"/>
      <c r="V197" s="6"/>
      <c r="W197" s="6"/>
      <c r="X197" s="13"/>
      <c r="Y197" s="6"/>
      <c r="Z197" s="6"/>
      <c r="AA197" s="6"/>
      <c r="AB197" s="6"/>
      <c r="AC197" s="6"/>
      <c r="AD197" s="6"/>
    </row>
    <row r="198" spans="1:30" x14ac:dyDescent="0.25">
      <c r="A198" s="6" t="s">
        <v>167</v>
      </c>
      <c r="B198" s="13"/>
      <c r="C198" s="6"/>
      <c r="D198" s="6"/>
      <c r="E198" s="6"/>
      <c r="F198" s="6"/>
      <c r="G198" s="13"/>
      <c r="H198" s="6"/>
      <c r="I198" s="6"/>
      <c r="J198" s="6"/>
      <c r="K198" s="6"/>
      <c r="L198" s="13"/>
      <c r="M198" s="6"/>
      <c r="N198" s="6"/>
      <c r="O198" s="6"/>
      <c r="P198" s="6"/>
      <c r="Q198" s="13"/>
      <c r="R198" s="6"/>
      <c r="S198" s="6"/>
      <c r="T198" s="6"/>
      <c r="U198" s="13"/>
      <c r="V198" s="6"/>
      <c r="W198" s="6"/>
      <c r="X198" s="13"/>
      <c r="Y198" s="6"/>
      <c r="Z198" s="6"/>
      <c r="AA198" s="6"/>
      <c r="AB198" s="6"/>
      <c r="AC198" s="6"/>
      <c r="AD198" s="6"/>
    </row>
    <row r="199" spans="1:30" x14ac:dyDescent="0.25">
      <c r="A199" s="6" t="s">
        <v>168</v>
      </c>
      <c r="B199" s="13"/>
      <c r="C199" s="6"/>
      <c r="D199" s="6"/>
      <c r="E199" s="6"/>
      <c r="F199" s="6"/>
      <c r="G199" s="13"/>
      <c r="H199" s="6"/>
      <c r="I199" s="6"/>
      <c r="J199" s="6"/>
      <c r="K199" s="6"/>
      <c r="L199" s="13"/>
      <c r="M199" s="6"/>
      <c r="N199" s="6"/>
      <c r="O199" s="6"/>
      <c r="P199" s="6"/>
      <c r="Q199" s="13"/>
      <c r="R199" s="6"/>
      <c r="S199" s="6"/>
      <c r="T199" s="6"/>
      <c r="U199" s="13"/>
      <c r="V199" s="6"/>
      <c r="W199" s="6"/>
      <c r="X199" s="13"/>
      <c r="Y199" s="6"/>
      <c r="Z199" s="6"/>
      <c r="AA199" s="6"/>
      <c r="AB199" s="6"/>
      <c r="AC199" s="6"/>
      <c r="AD199" s="6"/>
    </row>
    <row r="200" spans="1:30" x14ac:dyDescent="0.25">
      <c r="A200" s="6" t="s">
        <v>169</v>
      </c>
      <c r="B200" s="13"/>
      <c r="C200" s="6"/>
      <c r="D200" s="6"/>
      <c r="E200" s="6"/>
      <c r="F200" s="6"/>
      <c r="G200" s="13"/>
      <c r="H200" s="6"/>
      <c r="I200" s="6"/>
      <c r="J200" s="6"/>
      <c r="K200" s="6"/>
      <c r="L200" s="13"/>
      <c r="M200" s="6"/>
      <c r="N200" s="6"/>
      <c r="O200" s="6"/>
      <c r="P200" s="6"/>
      <c r="Q200" s="13"/>
      <c r="R200" s="6"/>
      <c r="S200" s="6"/>
      <c r="T200" s="6"/>
      <c r="U200" s="13"/>
      <c r="V200" s="6"/>
      <c r="W200" s="6"/>
      <c r="X200" s="13"/>
      <c r="Y200" s="6"/>
      <c r="Z200" s="6"/>
      <c r="AA200" s="6"/>
      <c r="AB200" s="6"/>
      <c r="AC200" s="6"/>
      <c r="AD200" s="6"/>
    </row>
    <row r="201" spans="1:30" x14ac:dyDescent="0.25">
      <c r="A201" s="6" t="s">
        <v>170</v>
      </c>
      <c r="B201" s="13"/>
      <c r="C201" s="6"/>
      <c r="D201" s="6"/>
      <c r="E201" s="6"/>
      <c r="F201" s="6"/>
      <c r="G201" s="13"/>
      <c r="H201" s="6"/>
      <c r="I201" s="6"/>
      <c r="J201" s="6"/>
      <c r="K201" s="6"/>
      <c r="L201" s="13"/>
      <c r="M201" s="6"/>
      <c r="N201" s="6"/>
      <c r="O201" s="6"/>
      <c r="P201" s="6"/>
      <c r="Q201" s="13"/>
      <c r="R201" s="6"/>
      <c r="S201" s="6"/>
      <c r="T201" s="6"/>
      <c r="U201" s="13"/>
      <c r="V201" s="6"/>
      <c r="W201" s="6"/>
      <c r="X201" s="13"/>
      <c r="Y201" s="6"/>
      <c r="Z201" s="6"/>
      <c r="AA201" s="6"/>
      <c r="AB201" s="6"/>
      <c r="AC201" s="6"/>
      <c r="AD201" s="6"/>
    </row>
    <row r="202" spans="1:30" x14ac:dyDescent="0.25">
      <c r="A202" s="6" t="s">
        <v>171</v>
      </c>
      <c r="B202" s="13"/>
      <c r="C202" s="6"/>
      <c r="D202" s="6"/>
      <c r="E202" s="6"/>
      <c r="F202" s="6"/>
      <c r="G202" s="13"/>
      <c r="H202" s="6"/>
      <c r="I202" s="6"/>
      <c r="J202" s="6"/>
      <c r="K202" s="6"/>
      <c r="L202" s="13"/>
      <c r="M202" s="6"/>
      <c r="N202" s="6"/>
      <c r="O202" s="6"/>
      <c r="P202" s="6"/>
      <c r="Q202" s="13"/>
      <c r="R202" s="6"/>
      <c r="S202" s="6"/>
      <c r="T202" s="6"/>
      <c r="U202" s="13"/>
      <c r="V202" s="6"/>
      <c r="W202" s="6"/>
      <c r="X202" s="13"/>
      <c r="Y202" s="6"/>
      <c r="Z202" s="6"/>
      <c r="AA202" s="6"/>
      <c r="AB202" s="6"/>
      <c r="AC202" s="6"/>
      <c r="AD202" s="6"/>
    </row>
    <row r="203" spans="1:30" x14ac:dyDescent="0.25">
      <c r="A203" s="6" t="s">
        <v>172</v>
      </c>
      <c r="B203" s="13"/>
      <c r="C203" s="6"/>
      <c r="D203" s="6"/>
      <c r="E203" s="6"/>
      <c r="F203" s="6"/>
      <c r="G203" s="13"/>
      <c r="H203" s="6"/>
      <c r="I203" s="6"/>
      <c r="J203" s="6"/>
      <c r="K203" s="6"/>
      <c r="L203" s="13"/>
      <c r="M203" s="6"/>
      <c r="N203" s="6"/>
      <c r="O203" s="6"/>
      <c r="P203" s="6"/>
      <c r="Q203" s="13"/>
      <c r="R203" s="6"/>
      <c r="S203" s="6"/>
      <c r="T203" s="6"/>
      <c r="U203" s="13"/>
      <c r="V203" s="6"/>
      <c r="W203" s="6"/>
      <c r="X203" s="13"/>
      <c r="Y203" s="6"/>
      <c r="Z203" s="6"/>
      <c r="AA203" s="6"/>
      <c r="AB203" s="6"/>
      <c r="AC203" s="6"/>
      <c r="AD203" s="6"/>
    </row>
    <row r="204" spans="1:30" x14ac:dyDescent="0.25">
      <c r="A204" s="6" t="s">
        <v>173</v>
      </c>
      <c r="B204" s="13"/>
      <c r="C204" s="6"/>
      <c r="D204" s="6"/>
      <c r="E204" s="6"/>
      <c r="F204" s="6"/>
      <c r="G204" s="13"/>
      <c r="H204" s="6"/>
      <c r="I204" s="6"/>
      <c r="J204" s="6"/>
      <c r="K204" s="6"/>
      <c r="L204" s="13"/>
      <c r="M204" s="6"/>
      <c r="N204" s="6"/>
      <c r="O204" s="6"/>
      <c r="P204" s="6"/>
      <c r="Q204" s="13"/>
      <c r="R204" s="6"/>
      <c r="S204" s="6"/>
      <c r="T204" s="6"/>
      <c r="U204" s="13"/>
      <c r="V204" s="6"/>
      <c r="W204" s="6"/>
      <c r="X204" s="13"/>
      <c r="Y204" s="6"/>
      <c r="Z204" s="6"/>
      <c r="AA204" s="6"/>
      <c r="AB204" s="6"/>
      <c r="AC204" s="6"/>
      <c r="AD204" s="6"/>
    </row>
    <row r="205" spans="1:30" x14ac:dyDescent="0.25">
      <c r="A205" s="6" t="s">
        <v>174</v>
      </c>
      <c r="B205" s="13"/>
      <c r="C205" s="6"/>
      <c r="D205" s="6"/>
      <c r="E205" s="6"/>
      <c r="F205" s="6"/>
      <c r="G205" s="13"/>
      <c r="H205" s="6"/>
      <c r="I205" s="6"/>
      <c r="J205" s="6"/>
      <c r="K205" s="6"/>
      <c r="L205" s="13"/>
      <c r="M205" s="6"/>
      <c r="N205" s="6"/>
      <c r="O205" s="6"/>
      <c r="P205" s="6"/>
      <c r="Q205" s="13"/>
      <c r="R205" s="6"/>
      <c r="S205" s="6"/>
      <c r="T205" s="6"/>
      <c r="U205" s="13"/>
      <c r="V205" s="6"/>
      <c r="W205" s="6"/>
      <c r="X205" s="13"/>
      <c r="Y205" s="6"/>
      <c r="Z205" s="6"/>
      <c r="AA205" s="6"/>
      <c r="AB205" s="6"/>
      <c r="AC205" s="6"/>
      <c r="AD205" s="6"/>
    </row>
    <row r="206" spans="1:30" x14ac:dyDescent="0.25">
      <c r="A206" s="6" t="s">
        <v>175</v>
      </c>
      <c r="B206" s="13"/>
      <c r="C206" s="6"/>
      <c r="D206" s="6"/>
      <c r="E206" s="6"/>
      <c r="F206" s="6"/>
      <c r="G206" s="13"/>
      <c r="H206" s="6"/>
      <c r="I206" s="6"/>
      <c r="J206" s="6"/>
      <c r="K206" s="6"/>
      <c r="L206" s="13"/>
      <c r="M206" s="6"/>
      <c r="N206" s="6"/>
      <c r="O206" s="6"/>
      <c r="P206" s="6"/>
      <c r="Q206" s="13"/>
      <c r="R206" s="6"/>
      <c r="S206" s="6"/>
      <c r="T206" s="6"/>
      <c r="U206" s="13"/>
      <c r="V206" s="6"/>
      <c r="W206" s="6"/>
      <c r="X206" s="13"/>
      <c r="Y206" s="6"/>
      <c r="Z206" s="6"/>
      <c r="AA206" s="6"/>
      <c r="AB206" s="6"/>
      <c r="AC206" s="6"/>
      <c r="AD206" s="6"/>
    </row>
    <row r="207" spans="1:30" x14ac:dyDescent="0.25">
      <c r="A207" s="6" t="s">
        <v>176</v>
      </c>
      <c r="B207" s="13"/>
      <c r="C207" s="6"/>
      <c r="D207" s="6"/>
      <c r="E207" s="6"/>
      <c r="F207" s="6"/>
      <c r="G207" s="13"/>
      <c r="H207" s="6"/>
      <c r="I207" s="6"/>
      <c r="J207" s="6"/>
      <c r="K207" s="6"/>
      <c r="L207" s="13"/>
      <c r="M207" s="6"/>
      <c r="N207" s="6"/>
      <c r="O207" s="6"/>
      <c r="P207" s="6"/>
      <c r="Q207" s="13"/>
      <c r="R207" s="6"/>
      <c r="S207" s="6"/>
      <c r="T207" s="6"/>
      <c r="U207" s="13"/>
      <c r="V207" s="6"/>
      <c r="W207" s="6"/>
      <c r="X207" s="13"/>
      <c r="Y207" s="6"/>
      <c r="Z207" s="6"/>
      <c r="AA207" s="6"/>
      <c r="AB207" s="6"/>
      <c r="AC207" s="6"/>
      <c r="AD207" s="6"/>
    </row>
    <row r="208" spans="1:30" x14ac:dyDescent="0.25">
      <c r="A208" s="6" t="s">
        <v>177</v>
      </c>
      <c r="B208" s="13"/>
      <c r="C208" s="6"/>
      <c r="D208" s="6"/>
      <c r="E208" s="6"/>
      <c r="F208" s="6"/>
      <c r="G208" s="13"/>
      <c r="H208" s="6"/>
      <c r="I208" s="6"/>
      <c r="J208" s="6"/>
      <c r="K208" s="6"/>
      <c r="L208" s="13"/>
      <c r="M208" s="6"/>
      <c r="N208" s="6"/>
      <c r="O208" s="6"/>
      <c r="P208" s="6"/>
      <c r="Q208" s="13"/>
      <c r="R208" s="6"/>
      <c r="S208" s="6"/>
      <c r="T208" s="6"/>
      <c r="U208" s="13"/>
      <c r="V208" s="6"/>
      <c r="W208" s="6"/>
      <c r="X208" s="13"/>
      <c r="Y208" s="6"/>
      <c r="Z208" s="6"/>
      <c r="AA208" s="6"/>
      <c r="AB208" s="6"/>
      <c r="AC208" s="6"/>
      <c r="AD208" s="6"/>
    </row>
    <row r="209" spans="1:30" x14ac:dyDescent="0.25">
      <c r="A209" s="6" t="s">
        <v>178</v>
      </c>
      <c r="B209" s="13"/>
      <c r="C209" s="6"/>
      <c r="D209" s="6"/>
      <c r="E209" s="6"/>
      <c r="F209" s="6"/>
      <c r="G209" s="13"/>
      <c r="H209" s="6"/>
      <c r="I209" s="6"/>
      <c r="J209" s="6"/>
      <c r="K209" s="6"/>
      <c r="L209" s="13"/>
      <c r="M209" s="6"/>
      <c r="N209" s="6"/>
      <c r="O209" s="6"/>
      <c r="P209" s="6"/>
      <c r="Q209" s="13"/>
      <c r="R209" s="6"/>
      <c r="S209" s="6"/>
      <c r="T209" s="6"/>
      <c r="U209" s="13"/>
      <c r="V209" s="6"/>
      <c r="W209" s="6"/>
      <c r="X209" s="13"/>
      <c r="Y209" s="6"/>
      <c r="Z209" s="6"/>
      <c r="AA209" s="6"/>
      <c r="AB209" s="6"/>
      <c r="AC209" s="6"/>
      <c r="AD209" s="6"/>
    </row>
    <row r="210" spans="1:30" x14ac:dyDescent="0.25">
      <c r="A210" s="6" t="s">
        <v>179</v>
      </c>
      <c r="B210" s="13"/>
      <c r="C210" s="6"/>
      <c r="D210" s="6"/>
      <c r="E210" s="6"/>
      <c r="F210" s="6"/>
      <c r="G210" s="13"/>
      <c r="H210" s="6"/>
      <c r="I210" s="6"/>
      <c r="J210" s="6"/>
      <c r="K210" s="6"/>
      <c r="L210" s="13"/>
      <c r="M210" s="6"/>
      <c r="N210" s="6"/>
      <c r="O210" s="6"/>
      <c r="P210" s="6"/>
      <c r="Q210" s="13"/>
      <c r="R210" s="6"/>
      <c r="S210" s="6"/>
      <c r="T210" s="6"/>
      <c r="U210" s="13"/>
      <c r="V210" s="6"/>
      <c r="W210" s="6"/>
      <c r="X210" s="13"/>
      <c r="Y210" s="6"/>
      <c r="Z210" s="6"/>
      <c r="AA210" s="6"/>
      <c r="AB210" s="6"/>
      <c r="AC210" s="6"/>
      <c r="AD210" s="6"/>
    </row>
    <row r="211" spans="1:30" x14ac:dyDescent="0.25">
      <c r="A211" s="6" t="s">
        <v>180</v>
      </c>
      <c r="B211" s="13"/>
      <c r="C211" s="6"/>
      <c r="D211" s="6"/>
      <c r="E211" s="6"/>
      <c r="F211" s="6"/>
      <c r="G211" s="13"/>
      <c r="H211" s="6"/>
      <c r="I211" s="6"/>
      <c r="J211" s="6"/>
      <c r="K211" s="6"/>
      <c r="L211" s="13"/>
      <c r="M211" s="6"/>
      <c r="N211" s="6"/>
      <c r="O211" s="6"/>
      <c r="P211" s="6"/>
      <c r="Q211" s="13"/>
      <c r="R211" s="6"/>
      <c r="S211" s="6"/>
      <c r="T211" s="6"/>
      <c r="U211" s="13"/>
      <c r="V211" s="6"/>
      <c r="W211" s="6"/>
      <c r="X211" s="13"/>
      <c r="Y211" s="6"/>
      <c r="Z211" s="6"/>
      <c r="AA211" s="6"/>
      <c r="AB211" s="6"/>
      <c r="AC211" s="6"/>
      <c r="AD211" s="6"/>
    </row>
    <row r="212" spans="1:30" x14ac:dyDescent="0.25">
      <c r="A212" s="6" t="s">
        <v>181</v>
      </c>
      <c r="B212" s="13"/>
      <c r="C212" s="6"/>
      <c r="D212" s="6"/>
      <c r="E212" s="6"/>
      <c r="F212" s="6"/>
      <c r="G212" s="13"/>
      <c r="H212" s="6"/>
      <c r="I212" s="6"/>
      <c r="J212" s="6"/>
      <c r="K212" s="6"/>
      <c r="L212" s="13"/>
      <c r="M212" s="6"/>
      <c r="N212" s="6"/>
      <c r="O212" s="6"/>
      <c r="P212" s="6"/>
      <c r="Q212" s="13"/>
      <c r="R212" s="6"/>
      <c r="S212" s="6"/>
      <c r="T212" s="6"/>
      <c r="U212" s="13"/>
      <c r="V212" s="6"/>
      <c r="W212" s="6"/>
      <c r="X212" s="13"/>
      <c r="Y212" s="6"/>
      <c r="Z212" s="6"/>
      <c r="AA212" s="6"/>
      <c r="AB212" s="6"/>
      <c r="AC212" s="6"/>
      <c r="AD212" s="6"/>
    </row>
    <row r="213" spans="1:30" x14ac:dyDescent="0.25">
      <c r="A213" s="6" t="s">
        <v>213</v>
      </c>
      <c r="B213" s="13"/>
      <c r="C213" s="6"/>
      <c r="D213" s="6"/>
      <c r="E213" s="6"/>
      <c r="F213" s="6"/>
      <c r="G213" s="13"/>
      <c r="H213" s="6"/>
      <c r="I213" s="6"/>
      <c r="J213" s="6"/>
      <c r="K213" s="6"/>
      <c r="L213" s="13"/>
      <c r="M213" s="6"/>
      <c r="N213" s="6"/>
      <c r="O213" s="6"/>
      <c r="P213" s="6"/>
      <c r="Q213" s="13"/>
      <c r="R213" s="6"/>
      <c r="S213" s="6"/>
      <c r="T213" s="6"/>
      <c r="U213" s="13"/>
      <c r="V213" s="6"/>
      <c r="W213" s="6"/>
      <c r="X213" s="13"/>
      <c r="Y213" s="6"/>
      <c r="Z213" s="6"/>
      <c r="AA213" s="6"/>
      <c r="AB213" s="6"/>
      <c r="AC213" s="6"/>
      <c r="AD213" s="6"/>
    </row>
    <row r="214" spans="1:30" x14ac:dyDescent="0.25">
      <c r="A214" s="6" t="s">
        <v>182</v>
      </c>
      <c r="B214" s="13"/>
      <c r="C214" s="6"/>
      <c r="D214" s="6"/>
      <c r="E214" s="6"/>
      <c r="F214" s="6"/>
      <c r="G214" s="13"/>
      <c r="H214" s="6"/>
      <c r="I214" s="6"/>
      <c r="J214" s="6"/>
      <c r="K214" s="6"/>
      <c r="L214" s="13"/>
      <c r="M214" s="6"/>
      <c r="N214" s="6"/>
      <c r="O214" s="6"/>
      <c r="P214" s="6"/>
      <c r="Q214" s="13"/>
      <c r="R214" s="6"/>
      <c r="S214" s="6"/>
      <c r="T214" s="6"/>
      <c r="U214" s="13"/>
      <c r="V214" s="6"/>
      <c r="W214" s="6"/>
      <c r="X214" s="13"/>
      <c r="Y214" s="6"/>
      <c r="Z214" s="6"/>
      <c r="AA214" s="6"/>
      <c r="AB214" s="6"/>
      <c r="AC214" s="6"/>
      <c r="AD214" s="6"/>
    </row>
    <row r="215" spans="1:30" x14ac:dyDescent="0.25">
      <c r="A215" s="6" t="s">
        <v>224</v>
      </c>
      <c r="B215" s="13"/>
      <c r="C215" s="6"/>
      <c r="D215" s="6"/>
      <c r="E215" s="6"/>
      <c r="F215" s="6"/>
      <c r="G215" s="13"/>
      <c r="H215" s="6"/>
      <c r="I215" s="6"/>
      <c r="J215" s="6"/>
      <c r="K215" s="6"/>
      <c r="L215" s="13"/>
      <c r="M215" s="6"/>
      <c r="N215" s="6"/>
      <c r="O215" s="6"/>
      <c r="P215" s="6"/>
      <c r="Q215" s="13"/>
      <c r="R215" s="6"/>
      <c r="S215" s="6"/>
      <c r="T215" s="6"/>
      <c r="U215" s="13"/>
      <c r="V215" s="6"/>
      <c r="W215" s="6"/>
      <c r="X215" s="13"/>
      <c r="Y215" s="6"/>
      <c r="Z215" s="6"/>
      <c r="AA215" s="6"/>
      <c r="AB215" s="6"/>
      <c r="AC215" s="6"/>
      <c r="AD215" s="6"/>
    </row>
    <row r="216" spans="1:30" x14ac:dyDescent="0.25">
      <c r="A216" s="6" t="s">
        <v>183</v>
      </c>
      <c r="B216" s="13"/>
      <c r="C216" s="6"/>
      <c r="D216" s="6"/>
      <c r="E216" s="6"/>
      <c r="F216" s="6"/>
      <c r="G216" s="13"/>
      <c r="H216" s="6"/>
      <c r="I216" s="6"/>
      <c r="J216" s="6"/>
      <c r="K216" s="6"/>
      <c r="L216" s="13"/>
      <c r="M216" s="6"/>
      <c r="N216" s="6"/>
      <c r="O216" s="6"/>
      <c r="P216" s="6"/>
      <c r="Q216" s="13"/>
      <c r="R216" s="6"/>
      <c r="S216" s="6"/>
      <c r="T216" s="6"/>
      <c r="U216" s="13"/>
      <c r="V216" s="6"/>
      <c r="W216" s="6"/>
      <c r="X216" s="13"/>
      <c r="Y216" s="6"/>
      <c r="Z216" s="6"/>
      <c r="AA216" s="6"/>
      <c r="AB216" s="6"/>
      <c r="AC216" s="6"/>
      <c r="AD216" s="6"/>
    </row>
    <row r="217" spans="1:30" x14ac:dyDescent="0.25">
      <c r="A217" s="6" t="s">
        <v>184</v>
      </c>
      <c r="B217" s="13"/>
      <c r="C217" s="6"/>
      <c r="D217" s="6"/>
      <c r="E217" s="6"/>
      <c r="F217" s="6"/>
      <c r="G217" s="13"/>
      <c r="H217" s="6"/>
      <c r="I217" s="6"/>
      <c r="J217" s="6"/>
      <c r="K217" s="6"/>
      <c r="L217" s="13"/>
      <c r="M217" s="6"/>
      <c r="N217" s="6"/>
      <c r="O217" s="6"/>
      <c r="P217" s="6"/>
      <c r="Q217" s="13"/>
      <c r="R217" s="6"/>
      <c r="S217" s="6"/>
      <c r="T217" s="6"/>
      <c r="U217" s="13"/>
      <c r="V217" s="6"/>
      <c r="W217" s="6"/>
      <c r="X217" s="13"/>
      <c r="Y217" s="6"/>
      <c r="Z217" s="6"/>
      <c r="AA217" s="6"/>
      <c r="AB217" s="6"/>
      <c r="AC217" s="6"/>
      <c r="AD217" s="6"/>
    </row>
    <row r="218" spans="1:30" x14ac:dyDescent="0.25">
      <c r="A218" s="6" t="s">
        <v>185</v>
      </c>
      <c r="B218" s="13"/>
      <c r="C218" s="6"/>
      <c r="D218" s="6"/>
      <c r="E218" s="6"/>
      <c r="F218" s="6"/>
      <c r="G218" s="13"/>
      <c r="H218" s="6"/>
      <c r="I218" s="6"/>
      <c r="J218" s="6"/>
      <c r="K218" s="6"/>
      <c r="L218" s="13"/>
      <c r="M218" s="6"/>
      <c r="N218" s="6"/>
      <c r="O218" s="6"/>
      <c r="P218" s="6"/>
      <c r="Q218" s="13"/>
      <c r="R218" s="6"/>
      <c r="S218" s="6"/>
      <c r="T218" s="6"/>
      <c r="U218" s="13"/>
      <c r="V218" s="6"/>
      <c r="W218" s="6"/>
      <c r="X218" s="13"/>
      <c r="Y218" s="6"/>
      <c r="Z218" s="6"/>
      <c r="AA218" s="6"/>
      <c r="AB218" s="6"/>
      <c r="AC218" s="6"/>
      <c r="AD218" s="6"/>
    </row>
    <row r="219" spans="1:30" x14ac:dyDescent="0.25">
      <c r="A219" s="6" t="s">
        <v>186</v>
      </c>
      <c r="B219" s="13"/>
      <c r="C219" s="6"/>
      <c r="D219" s="6"/>
      <c r="E219" s="6"/>
      <c r="F219" s="6"/>
      <c r="G219" s="13"/>
      <c r="H219" s="6"/>
      <c r="I219" s="6"/>
      <c r="J219" s="6"/>
      <c r="K219" s="6"/>
      <c r="L219" s="13"/>
      <c r="M219" s="6"/>
      <c r="N219" s="6"/>
      <c r="O219" s="6"/>
      <c r="P219" s="6"/>
      <c r="Q219" s="13"/>
      <c r="R219" s="6"/>
      <c r="S219" s="6"/>
      <c r="T219" s="6"/>
      <c r="U219" s="13"/>
      <c r="V219" s="6"/>
      <c r="W219" s="6"/>
      <c r="X219" s="13"/>
      <c r="Y219" s="6"/>
      <c r="Z219" s="6"/>
      <c r="AA219" s="6"/>
      <c r="AB219" s="6"/>
      <c r="AC219" s="6"/>
      <c r="AD219" s="6"/>
    </row>
    <row r="220" spans="1:30" x14ac:dyDescent="0.25">
      <c r="A220" s="6" t="s">
        <v>187</v>
      </c>
      <c r="B220" s="13"/>
      <c r="C220" s="6"/>
      <c r="D220" s="6"/>
      <c r="E220" s="6"/>
      <c r="F220" s="6"/>
      <c r="G220" s="13"/>
      <c r="H220" s="6"/>
      <c r="I220" s="6"/>
      <c r="J220" s="6"/>
      <c r="K220" s="6"/>
      <c r="L220" s="13"/>
      <c r="M220" s="6"/>
      <c r="N220" s="6"/>
      <c r="O220" s="6"/>
      <c r="P220" s="6"/>
      <c r="Q220" s="13"/>
      <c r="R220" s="6"/>
      <c r="S220" s="6"/>
      <c r="T220" s="6"/>
      <c r="U220" s="13"/>
      <c r="V220" s="6"/>
      <c r="W220" s="6"/>
      <c r="X220" s="13"/>
      <c r="Y220" s="6"/>
      <c r="Z220" s="6"/>
      <c r="AA220" s="6"/>
      <c r="AB220" s="6"/>
      <c r="AC220" s="6"/>
      <c r="AD220" s="6"/>
    </row>
    <row r="221" spans="1:30" x14ac:dyDescent="0.25">
      <c r="A221" s="6" t="s">
        <v>188</v>
      </c>
      <c r="B221" s="13"/>
      <c r="C221" s="6"/>
      <c r="D221" s="6"/>
      <c r="E221" s="6"/>
      <c r="F221" s="6"/>
      <c r="G221" s="13"/>
      <c r="H221" s="6"/>
      <c r="I221" s="6"/>
      <c r="J221" s="6"/>
      <c r="K221" s="6"/>
      <c r="L221" s="13"/>
      <c r="M221" s="6"/>
      <c r="N221" s="6"/>
      <c r="O221" s="6"/>
      <c r="P221" s="6"/>
      <c r="Q221" s="13"/>
      <c r="R221" s="6"/>
      <c r="S221" s="6"/>
      <c r="T221" s="6"/>
      <c r="U221" s="13"/>
      <c r="V221" s="6"/>
      <c r="W221" s="6"/>
      <c r="X221" s="13"/>
      <c r="Y221" s="6"/>
      <c r="Z221" s="6"/>
      <c r="AA221" s="6"/>
      <c r="AB221" s="6"/>
      <c r="AC221" s="6"/>
      <c r="AD221" s="6"/>
    </row>
    <row r="222" spans="1:30" x14ac:dyDescent="0.25">
      <c r="A222" s="6" t="s">
        <v>460</v>
      </c>
      <c r="B222" s="13"/>
      <c r="C222" s="6"/>
      <c r="D222" s="6"/>
      <c r="E222" s="6"/>
      <c r="F222" s="6"/>
      <c r="G222" s="13"/>
      <c r="H222" s="6"/>
      <c r="I222" s="6"/>
      <c r="J222" s="6"/>
      <c r="K222" s="6"/>
      <c r="L222" s="13"/>
      <c r="M222" s="6"/>
      <c r="N222" s="6"/>
      <c r="O222" s="6"/>
      <c r="P222" s="6"/>
      <c r="Q222" s="13"/>
      <c r="R222" s="6"/>
      <c r="S222" s="6"/>
      <c r="T222" s="6"/>
      <c r="U222" s="13"/>
      <c r="V222" s="6"/>
      <c r="W222" s="6"/>
      <c r="X222" s="13"/>
      <c r="Y222" s="6"/>
      <c r="Z222" s="6"/>
      <c r="AA222" s="6"/>
      <c r="AB222" s="6"/>
      <c r="AC222" s="6"/>
      <c r="AD222" s="6"/>
    </row>
    <row r="223" spans="1:30" x14ac:dyDescent="0.25">
      <c r="A223" s="6" t="s">
        <v>461</v>
      </c>
      <c r="B223" s="13"/>
      <c r="C223" s="6"/>
      <c r="D223" s="6"/>
      <c r="E223" s="6"/>
      <c r="F223" s="6"/>
      <c r="G223" s="13"/>
      <c r="H223" s="6"/>
      <c r="I223" s="6"/>
      <c r="J223" s="6"/>
      <c r="K223" s="6"/>
      <c r="L223" s="13"/>
      <c r="M223" s="6"/>
      <c r="N223" s="6"/>
      <c r="O223" s="6"/>
      <c r="P223" s="6"/>
      <c r="Q223" s="13"/>
      <c r="R223" s="6"/>
      <c r="S223" s="6"/>
      <c r="T223" s="6"/>
      <c r="U223" s="13"/>
      <c r="V223" s="6"/>
      <c r="W223" s="6"/>
      <c r="X223" s="13"/>
      <c r="Y223" s="6"/>
      <c r="Z223" s="6"/>
      <c r="AA223" s="6"/>
      <c r="AB223" s="6"/>
      <c r="AC223" s="6"/>
      <c r="AD223" s="6"/>
    </row>
    <row r="224" spans="1:30" x14ac:dyDescent="0.25">
      <c r="A224" s="6" t="s">
        <v>462</v>
      </c>
      <c r="B224" s="13"/>
      <c r="C224" s="6"/>
      <c r="D224" s="6"/>
      <c r="E224" s="6"/>
      <c r="F224" s="6"/>
      <c r="G224" s="13"/>
      <c r="H224" s="6"/>
      <c r="I224" s="6"/>
      <c r="J224" s="6"/>
      <c r="K224" s="6"/>
      <c r="L224" s="13"/>
      <c r="M224" s="6"/>
      <c r="N224" s="6"/>
      <c r="O224" s="6"/>
      <c r="P224" s="6"/>
      <c r="Q224" s="13"/>
      <c r="R224" s="6"/>
      <c r="S224" s="6"/>
      <c r="T224" s="6"/>
      <c r="U224" s="13"/>
      <c r="V224" s="6"/>
      <c r="W224" s="6"/>
      <c r="X224" s="13"/>
      <c r="Y224" s="6"/>
      <c r="Z224" s="6"/>
      <c r="AA224" s="6"/>
      <c r="AB224" s="6"/>
      <c r="AC224" s="6"/>
      <c r="AD224" s="6"/>
    </row>
    <row r="225" spans="1:30" x14ac:dyDescent="0.25">
      <c r="A225" s="6" t="s">
        <v>463</v>
      </c>
      <c r="B225" s="13"/>
      <c r="C225" s="6"/>
      <c r="D225" s="6"/>
      <c r="E225" s="6"/>
      <c r="F225" s="6"/>
      <c r="G225" s="13"/>
      <c r="H225" s="6"/>
      <c r="I225" s="6"/>
      <c r="J225" s="6"/>
      <c r="K225" s="6"/>
      <c r="L225" s="13"/>
      <c r="M225" s="6"/>
      <c r="N225" s="6"/>
      <c r="O225" s="6"/>
      <c r="P225" s="6"/>
      <c r="Q225" s="13"/>
      <c r="R225" s="6"/>
      <c r="S225" s="6"/>
      <c r="T225" s="6"/>
      <c r="U225" s="13"/>
      <c r="V225" s="6"/>
      <c r="W225" s="6"/>
      <c r="X225" s="13"/>
      <c r="Y225" s="6"/>
      <c r="Z225" s="6"/>
      <c r="AA225" s="6"/>
      <c r="AB225" s="6"/>
      <c r="AC225" s="6"/>
      <c r="AD225" s="6"/>
    </row>
    <row r="226" spans="1:30" x14ac:dyDescent="0.25">
      <c r="A226" s="6" t="s">
        <v>464</v>
      </c>
      <c r="B226" s="13"/>
      <c r="C226" s="6"/>
      <c r="D226" s="6"/>
      <c r="E226" s="6"/>
      <c r="F226" s="6"/>
      <c r="G226" s="13"/>
      <c r="H226" s="6"/>
      <c r="I226" s="6"/>
      <c r="J226" s="6"/>
      <c r="K226" s="6"/>
      <c r="L226" s="13"/>
      <c r="M226" s="6"/>
      <c r="N226" s="6"/>
      <c r="O226" s="6"/>
      <c r="P226" s="6"/>
      <c r="Q226" s="13"/>
      <c r="R226" s="6"/>
      <c r="S226" s="6"/>
      <c r="T226" s="6"/>
      <c r="U226" s="13"/>
      <c r="V226" s="6"/>
      <c r="W226" s="6"/>
      <c r="X226" s="13"/>
      <c r="Y226" s="6"/>
      <c r="Z226" s="6"/>
      <c r="AA226" s="6"/>
      <c r="AB226" s="6"/>
      <c r="AC226" s="6"/>
      <c r="AD226" s="6"/>
    </row>
    <row r="227" spans="1:30" x14ac:dyDescent="0.25">
      <c r="A227" s="6" t="s">
        <v>465</v>
      </c>
      <c r="B227" s="13"/>
      <c r="C227" s="6"/>
      <c r="D227" s="6"/>
      <c r="E227" s="6"/>
      <c r="F227" s="6"/>
      <c r="G227" s="13"/>
      <c r="H227" s="6"/>
      <c r="I227" s="6"/>
      <c r="J227" s="6"/>
      <c r="K227" s="6"/>
      <c r="L227" s="13"/>
      <c r="M227" s="6"/>
      <c r="N227" s="6"/>
      <c r="O227" s="6"/>
      <c r="P227" s="6"/>
      <c r="Q227" s="13"/>
      <c r="R227" s="6"/>
      <c r="S227" s="6"/>
      <c r="T227" s="6"/>
      <c r="U227" s="13"/>
      <c r="V227" s="6"/>
      <c r="W227" s="6"/>
      <c r="X227" s="13"/>
      <c r="Y227" s="6"/>
      <c r="Z227" s="6"/>
      <c r="AA227" s="6"/>
      <c r="AB227" s="6"/>
      <c r="AC227" s="6"/>
      <c r="AD227" s="6"/>
    </row>
    <row r="228" spans="1:30" x14ac:dyDescent="0.25">
      <c r="A228" s="6" t="s">
        <v>466</v>
      </c>
      <c r="B228" s="13"/>
      <c r="C228" s="6"/>
      <c r="D228" s="6"/>
      <c r="E228" s="6"/>
      <c r="F228" s="6"/>
      <c r="G228" s="13"/>
      <c r="H228" s="6"/>
      <c r="I228" s="6"/>
      <c r="J228" s="6"/>
      <c r="K228" s="6"/>
      <c r="L228" s="13"/>
      <c r="M228" s="6"/>
      <c r="N228" s="6"/>
      <c r="O228" s="6"/>
      <c r="P228" s="6"/>
      <c r="Q228" s="13"/>
      <c r="R228" s="6"/>
      <c r="S228" s="6"/>
      <c r="T228" s="6"/>
      <c r="U228" s="13"/>
      <c r="V228" s="6"/>
      <c r="W228" s="6"/>
      <c r="X228" s="13"/>
      <c r="Y228" s="6"/>
      <c r="Z228" s="6"/>
      <c r="AA228" s="6"/>
      <c r="AB228" s="6"/>
      <c r="AC228" s="6"/>
      <c r="AD228" s="6"/>
    </row>
    <row r="229" spans="1:30" x14ac:dyDescent="0.25">
      <c r="A229" s="6" t="s">
        <v>467</v>
      </c>
      <c r="B229" s="13"/>
      <c r="C229" s="6"/>
      <c r="D229" s="6"/>
      <c r="E229" s="6"/>
      <c r="F229" s="6"/>
      <c r="G229" s="13"/>
      <c r="H229" s="6"/>
      <c r="I229" s="6"/>
      <c r="J229" s="6"/>
      <c r="K229" s="6"/>
      <c r="L229" s="13"/>
      <c r="M229" s="6"/>
      <c r="N229" s="6"/>
      <c r="O229" s="6"/>
      <c r="P229" s="6"/>
      <c r="Q229" s="13"/>
      <c r="R229" s="6"/>
      <c r="S229" s="6"/>
      <c r="T229" s="6"/>
      <c r="U229" s="13"/>
      <c r="V229" s="6"/>
      <c r="W229" s="6"/>
      <c r="X229" s="13"/>
      <c r="Y229" s="6"/>
      <c r="Z229" s="6"/>
      <c r="AA229" s="6"/>
      <c r="AB229" s="6"/>
      <c r="AC229" s="6"/>
      <c r="AD229" s="6"/>
    </row>
    <row r="230" spans="1:30" x14ac:dyDescent="0.25">
      <c r="A230" s="6" t="s">
        <v>468</v>
      </c>
      <c r="B230" s="13"/>
      <c r="C230" s="6"/>
      <c r="D230" s="6"/>
      <c r="E230" s="6"/>
      <c r="F230" s="6"/>
      <c r="G230" s="13"/>
      <c r="H230" s="6"/>
      <c r="I230" s="6"/>
      <c r="J230" s="6"/>
      <c r="K230" s="6"/>
      <c r="L230" s="13"/>
      <c r="M230" s="6"/>
      <c r="N230" s="6"/>
      <c r="O230" s="6"/>
      <c r="P230" s="6"/>
      <c r="Q230" s="13"/>
      <c r="R230" s="6"/>
      <c r="S230" s="6"/>
      <c r="T230" s="6"/>
      <c r="U230" s="13"/>
      <c r="V230" s="6"/>
      <c r="W230" s="6"/>
      <c r="X230" s="13"/>
      <c r="Y230" s="6"/>
      <c r="Z230" s="6"/>
      <c r="AA230" s="6"/>
      <c r="AB230" s="6"/>
      <c r="AC230" s="6"/>
      <c r="AD230" s="6"/>
    </row>
    <row r="231" spans="1:30" x14ac:dyDescent="0.25">
      <c r="A231" s="6" t="s">
        <v>469</v>
      </c>
      <c r="B231" s="13"/>
      <c r="C231" s="6"/>
      <c r="D231" s="6"/>
      <c r="E231" s="6"/>
      <c r="F231" s="6"/>
      <c r="G231" s="13"/>
      <c r="H231" s="6"/>
      <c r="I231" s="6"/>
      <c r="J231" s="6"/>
      <c r="K231" s="6"/>
      <c r="L231" s="13"/>
      <c r="M231" s="6"/>
      <c r="N231" s="6"/>
      <c r="O231" s="6"/>
      <c r="P231" s="6"/>
      <c r="Q231" s="13"/>
      <c r="R231" s="6"/>
      <c r="S231" s="6"/>
      <c r="T231" s="6"/>
      <c r="U231" s="13"/>
      <c r="V231" s="6"/>
      <c r="W231" s="6"/>
      <c r="X231" s="13"/>
      <c r="Y231" s="6"/>
      <c r="Z231" s="6"/>
      <c r="AA231" s="6"/>
      <c r="AB231" s="6"/>
      <c r="AC231" s="6"/>
      <c r="AD231" s="6"/>
    </row>
    <row r="232" spans="1:30" x14ac:dyDescent="0.25">
      <c r="A232" s="6" t="s">
        <v>187</v>
      </c>
      <c r="B232" s="13"/>
      <c r="C232" s="6"/>
      <c r="D232" s="6"/>
      <c r="E232" s="6"/>
      <c r="F232" s="6"/>
      <c r="G232" s="13"/>
      <c r="H232" s="6"/>
      <c r="I232" s="6"/>
      <c r="J232" s="6"/>
      <c r="K232" s="6"/>
      <c r="L232" s="13"/>
      <c r="M232" s="6"/>
      <c r="N232" s="6"/>
      <c r="O232" s="6"/>
      <c r="P232" s="6"/>
      <c r="Q232" s="13"/>
      <c r="R232" s="6"/>
      <c r="S232" s="6"/>
      <c r="T232" s="6"/>
      <c r="U232" s="13"/>
      <c r="V232" s="6"/>
      <c r="W232" s="6"/>
      <c r="X232" s="13"/>
      <c r="Y232" s="6"/>
      <c r="Z232" s="6"/>
      <c r="AA232" s="6"/>
      <c r="AB232" s="6"/>
      <c r="AC232" s="6"/>
      <c r="AD232" s="6"/>
    </row>
    <row r="233" spans="1:30" x14ac:dyDescent="0.25">
      <c r="A233" s="6" t="s">
        <v>470</v>
      </c>
      <c r="B233" s="13"/>
      <c r="C233" s="6"/>
      <c r="D233" s="6"/>
      <c r="E233" s="6"/>
      <c r="F233" s="6"/>
      <c r="G233" s="13"/>
      <c r="H233" s="6"/>
      <c r="I233" s="6"/>
      <c r="J233" s="6"/>
      <c r="K233" s="6"/>
      <c r="L233" s="13"/>
      <c r="M233" s="6"/>
      <c r="N233" s="6"/>
      <c r="O233" s="6"/>
      <c r="P233" s="6"/>
      <c r="Q233" s="13"/>
      <c r="R233" s="6"/>
      <c r="S233" s="6"/>
      <c r="T233" s="6"/>
      <c r="U233" s="13"/>
      <c r="V233" s="6"/>
      <c r="W233" s="6"/>
      <c r="X233" s="13"/>
      <c r="Y233" s="6"/>
      <c r="Z233" s="6"/>
      <c r="AA233" s="6"/>
      <c r="AB233" s="6"/>
      <c r="AC233" s="6"/>
      <c r="AD233" s="6"/>
    </row>
    <row r="234" spans="1:30" x14ac:dyDescent="0.25">
      <c r="A234" s="6" t="s">
        <v>189</v>
      </c>
      <c r="B234" s="13"/>
      <c r="C234" s="6"/>
      <c r="D234" s="6"/>
      <c r="E234" s="6"/>
      <c r="F234" s="6"/>
      <c r="G234" s="13"/>
      <c r="H234" s="6"/>
      <c r="I234" s="6"/>
      <c r="J234" s="6"/>
      <c r="K234" s="6"/>
      <c r="L234" s="13"/>
      <c r="M234" s="6"/>
      <c r="N234" s="6"/>
      <c r="O234" s="6"/>
      <c r="P234" s="6"/>
      <c r="Q234" s="13"/>
      <c r="R234" s="6"/>
      <c r="S234" s="6"/>
      <c r="T234" s="6"/>
      <c r="U234" s="13"/>
      <c r="V234" s="6"/>
      <c r="W234" s="6"/>
      <c r="X234" s="13"/>
      <c r="Y234" s="6"/>
      <c r="Z234" s="6"/>
      <c r="AA234" s="6"/>
      <c r="AB234" s="6"/>
      <c r="AC234" s="6"/>
      <c r="AD234" s="6"/>
    </row>
    <row r="235" spans="1:30" x14ac:dyDescent="0.25">
      <c r="A235" s="6"/>
      <c r="B235" s="13"/>
      <c r="C235" s="6"/>
      <c r="D235" s="6"/>
      <c r="E235" s="6"/>
      <c r="F235" s="6"/>
      <c r="G235" s="13"/>
      <c r="H235" s="6"/>
      <c r="I235" s="6"/>
      <c r="J235" s="6"/>
      <c r="K235" s="6"/>
      <c r="L235" s="13"/>
      <c r="M235" s="6"/>
      <c r="N235" s="6"/>
      <c r="O235" s="6"/>
      <c r="P235" s="6"/>
      <c r="Q235" s="13"/>
      <c r="R235" s="6"/>
      <c r="S235" s="6"/>
      <c r="T235" s="6"/>
      <c r="U235" s="13"/>
      <c r="V235" s="6"/>
      <c r="W235" s="6"/>
      <c r="X235" s="13"/>
      <c r="Y235" s="6"/>
      <c r="Z235" s="6"/>
      <c r="AA235" s="6"/>
      <c r="AB235" s="6"/>
      <c r="AC235" s="6"/>
      <c r="AD235" s="6"/>
    </row>
  </sheetData>
  <sheetProtection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F2C6A-818B-4955-B7ED-9377B154A68C}">
  <sheetPr>
    <tabColor rgb="FFC00000"/>
  </sheetPr>
  <dimension ref="A1:GY220"/>
  <sheetViews>
    <sheetView zoomScale="70" zoomScaleNormal="70" workbookViewId="0">
      <pane xSplit="1" ySplit="7" topLeftCell="AW142" activePane="bottomRight" state="frozen"/>
      <selection pane="topRight"/>
      <selection pane="bottomLeft"/>
      <selection pane="bottomRight" activeCell="BW196" sqref="BW196:EV196"/>
    </sheetView>
  </sheetViews>
  <sheetFormatPr defaultColWidth="0" defaultRowHeight="15" zeroHeight="1" x14ac:dyDescent="0.25"/>
  <cols>
    <col min="1" max="207" width="8.85546875" customWidth="1"/>
    <col min="208" max="16384" width="8.85546875" hidden="1"/>
  </cols>
  <sheetData>
    <row r="1" spans="1:207" ht="18.75" x14ac:dyDescent="0.3">
      <c r="A1" s="5" t="str">
        <f>CONCATENATE(Notes!B4," ",Notes!B3," Social Accounting Matrix")</f>
        <v xml:space="preserve">  Social Accounting Matrix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</row>
    <row r="2" spans="1:207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</row>
    <row r="3" spans="1:207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</row>
    <row r="4" spans="1:207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</row>
    <row r="5" spans="1:20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</row>
    <row r="6" spans="1:207" x14ac:dyDescent="0.25">
      <c r="A6" s="9" t="s">
        <v>193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</row>
    <row r="7" spans="1:207" x14ac:dyDescent="0.25">
      <c r="A7" s="18"/>
      <c r="B7" s="18" t="s">
        <v>0</v>
      </c>
      <c r="C7" s="18" t="s">
        <v>1</v>
      </c>
      <c r="D7" s="18" t="s">
        <v>2</v>
      </c>
      <c r="E7" s="18" t="s">
        <v>3</v>
      </c>
      <c r="F7" s="18" t="s">
        <v>4</v>
      </c>
      <c r="G7" s="18" t="s">
        <v>5</v>
      </c>
      <c r="H7" s="18" t="s">
        <v>6</v>
      </c>
      <c r="I7" s="18" t="s">
        <v>7</v>
      </c>
      <c r="J7" s="18" t="s">
        <v>8</v>
      </c>
      <c r="K7" s="18" t="s">
        <v>9</v>
      </c>
      <c r="L7" s="18" t="s">
        <v>10</v>
      </c>
      <c r="M7" s="18" t="s">
        <v>11</v>
      </c>
      <c r="N7" s="18" t="s">
        <v>12</v>
      </c>
      <c r="O7" s="18" t="s">
        <v>13</v>
      </c>
      <c r="P7" s="18" t="s">
        <v>14</v>
      </c>
      <c r="Q7" s="18" t="s">
        <v>15</v>
      </c>
      <c r="R7" s="18" t="s">
        <v>16</v>
      </c>
      <c r="S7" s="18" t="s">
        <v>17</v>
      </c>
      <c r="T7" s="18" t="s">
        <v>18</v>
      </c>
      <c r="U7" s="18" t="s">
        <v>19</v>
      </c>
      <c r="V7" s="18" t="s">
        <v>20</v>
      </c>
      <c r="W7" s="18" t="s">
        <v>21</v>
      </c>
      <c r="X7" s="18" t="s">
        <v>22</v>
      </c>
      <c r="Y7" s="18" t="s">
        <v>23</v>
      </c>
      <c r="Z7" s="18" t="s">
        <v>24</v>
      </c>
      <c r="AA7" s="18" t="s">
        <v>25</v>
      </c>
      <c r="AB7" s="18" t="s">
        <v>26</v>
      </c>
      <c r="AC7" s="18" t="s">
        <v>27</v>
      </c>
      <c r="AD7" s="18" t="s">
        <v>28</v>
      </c>
      <c r="AE7" s="18" t="s">
        <v>29</v>
      </c>
      <c r="AF7" s="18" t="s">
        <v>30</v>
      </c>
      <c r="AG7" s="18" t="s">
        <v>31</v>
      </c>
      <c r="AH7" s="18" t="s">
        <v>32</v>
      </c>
      <c r="AI7" s="18" t="s">
        <v>33</v>
      </c>
      <c r="AJ7" s="18" t="s">
        <v>34</v>
      </c>
      <c r="AK7" s="18" t="s">
        <v>35</v>
      </c>
      <c r="AL7" s="18" t="s">
        <v>36</v>
      </c>
      <c r="AM7" s="18" t="s">
        <v>37</v>
      </c>
      <c r="AN7" s="18" t="s">
        <v>38</v>
      </c>
      <c r="AO7" s="18" t="s">
        <v>39</v>
      </c>
      <c r="AP7" s="18" t="s">
        <v>40</v>
      </c>
      <c r="AQ7" s="18" t="s">
        <v>41</v>
      </c>
      <c r="AR7" s="18" t="s">
        <v>42</v>
      </c>
      <c r="AS7" s="18" t="s">
        <v>43</v>
      </c>
      <c r="AT7" s="18" t="s">
        <v>44</v>
      </c>
      <c r="AU7" s="18" t="s">
        <v>45</v>
      </c>
      <c r="AV7" s="18" t="s">
        <v>46</v>
      </c>
      <c r="AW7" s="18" t="s">
        <v>47</v>
      </c>
      <c r="AX7" s="18" t="s">
        <v>48</v>
      </c>
      <c r="AY7" s="18" t="s">
        <v>49</v>
      </c>
      <c r="AZ7" s="18" t="s">
        <v>50</v>
      </c>
      <c r="BA7" s="18" t="s">
        <v>51</v>
      </c>
      <c r="BB7" s="18" t="s">
        <v>52</v>
      </c>
      <c r="BC7" s="18" t="s">
        <v>53</v>
      </c>
      <c r="BD7" s="18" t="s">
        <v>54</v>
      </c>
      <c r="BE7" s="18" t="s">
        <v>55</v>
      </c>
      <c r="BF7" s="18" t="s">
        <v>56</v>
      </c>
      <c r="BG7" s="18" t="s">
        <v>57</v>
      </c>
      <c r="BH7" s="18" t="s">
        <v>58</v>
      </c>
      <c r="BI7" s="18" t="s">
        <v>59</v>
      </c>
      <c r="BJ7" s="18" t="s">
        <v>60</v>
      </c>
      <c r="BK7" s="18" t="s">
        <v>61</v>
      </c>
      <c r="BL7" s="18" t="s">
        <v>62</v>
      </c>
      <c r="BM7" s="18" t="s">
        <v>63</v>
      </c>
      <c r="BN7" s="18" t="s">
        <v>64</v>
      </c>
      <c r="BO7" s="18" t="s">
        <v>65</v>
      </c>
      <c r="BP7" s="18" t="s">
        <v>66</v>
      </c>
      <c r="BQ7" s="18" t="s">
        <v>67</v>
      </c>
      <c r="BR7" s="18" t="s">
        <v>68</v>
      </c>
      <c r="BS7" s="18" t="s">
        <v>69</v>
      </c>
      <c r="BT7" s="18" t="s">
        <v>70</v>
      </c>
      <c r="BU7" s="18" t="s">
        <v>71</v>
      </c>
      <c r="BV7" s="18" t="s">
        <v>72</v>
      </c>
      <c r="BW7" s="18" t="s">
        <v>73</v>
      </c>
      <c r="BX7" s="18" t="s">
        <v>74</v>
      </c>
      <c r="BY7" s="18" t="s">
        <v>75</v>
      </c>
      <c r="BZ7" s="18" t="s">
        <v>76</v>
      </c>
      <c r="CA7" s="18" t="s">
        <v>77</v>
      </c>
      <c r="CB7" s="18" t="s">
        <v>78</v>
      </c>
      <c r="CC7" s="18" t="s">
        <v>79</v>
      </c>
      <c r="CD7" s="18" t="s">
        <v>80</v>
      </c>
      <c r="CE7" s="18" t="s">
        <v>81</v>
      </c>
      <c r="CF7" s="18" t="s">
        <v>82</v>
      </c>
      <c r="CG7" s="18" t="s">
        <v>83</v>
      </c>
      <c r="CH7" s="18" t="s">
        <v>84</v>
      </c>
      <c r="CI7" s="18" t="s">
        <v>85</v>
      </c>
      <c r="CJ7" s="18" t="s">
        <v>86</v>
      </c>
      <c r="CK7" s="18" t="s">
        <v>87</v>
      </c>
      <c r="CL7" s="18" t="s">
        <v>88</v>
      </c>
      <c r="CM7" s="18" t="s">
        <v>89</v>
      </c>
      <c r="CN7" s="18" t="s">
        <v>90</v>
      </c>
      <c r="CO7" s="18" t="s">
        <v>91</v>
      </c>
      <c r="CP7" s="18" t="s">
        <v>92</v>
      </c>
      <c r="CQ7" s="18" t="s">
        <v>93</v>
      </c>
      <c r="CR7" s="18" t="s">
        <v>94</v>
      </c>
      <c r="CS7" s="18" t="s">
        <v>95</v>
      </c>
      <c r="CT7" s="18" t="s">
        <v>96</v>
      </c>
      <c r="CU7" s="18" t="s">
        <v>97</v>
      </c>
      <c r="CV7" s="18" t="s">
        <v>98</v>
      </c>
      <c r="CW7" s="18" t="s">
        <v>99</v>
      </c>
      <c r="CX7" s="18" t="s">
        <v>100</v>
      </c>
      <c r="CY7" s="18" t="s">
        <v>101</v>
      </c>
      <c r="CZ7" s="18" t="s">
        <v>102</v>
      </c>
      <c r="DA7" s="18" t="s">
        <v>103</v>
      </c>
      <c r="DB7" s="18" t="s">
        <v>104</v>
      </c>
      <c r="DC7" s="18" t="s">
        <v>105</v>
      </c>
      <c r="DD7" s="18" t="s">
        <v>106</v>
      </c>
      <c r="DE7" s="18" t="s">
        <v>107</v>
      </c>
      <c r="DF7" s="18" t="s">
        <v>108</v>
      </c>
      <c r="DG7" s="18" t="s">
        <v>109</v>
      </c>
      <c r="DH7" s="18" t="s">
        <v>110</v>
      </c>
      <c r="DI7" s="18" t="s">
        <v>111</v>
      </c>
      <c r="DJ7" s="18" t="s">
        <v>112</v>
      </c>
      <c r="DK7" s="18" t="s">
        <v>113</v>
      </c>
      <c r="DL7" s="18" t="s">
        <v>114</v>
      </c>
      <c r="DM7" s="18" t="s">
        <v>115</v>
      </c>
      <c r="DN7" s="18" t="s">
        <v>116</v>
      </c>
      <c r="DO7" s="18" t="s">
        <v>117</v>
      </c>
      <c r="DP7" s="18" t="s">
        <v>118</v>
      </c>
      <c r="DQ7" s="18" t="s">
        <v>119</v>
      </c>
      <c r="DR7" s="18" t="s">
        <v>120</v>
      </c>
      <c r="DS7" s="18" t="s">
        <v>121</v>
      </c>
      <c r="DT7" s="18" t="s">
        <v>122</v>
      </c>
      <c r="DU7" s="18" t="s">
        <v>123</v>
      </c>
      <c r="DV7" s="18" t="s">
        <v>124</v>
      </c>
      <c r="DW7" s="18" t="s">
        <v>125</v>
      </c>
      <c r="DX7" s="18" t="s">
        <v>126</v>
      </c>
      <c r="DY7" s="18" t="s">
        <v>127</v>
      </c>
      <c r="DZ7" s="18" t="s">
        <v>128</v>
      </c>
      <c r="EA7" s="18" t="s">
        <v>129</v>
      </c>
      <c r="EB7" s="18" t="s">
        <v>130</v>
      </c>
      <c r="EC7" s="18" t="s">
        <v>131</v>
      </c>
      <c r="ED7" s="18" t="s">
        <v>132</v>
      </c>
      <c r="EE7" s="18" t="s">
        <v>133</v>
      </c>
      <c r="EF7" s="18" t="s">
        <v>134</v>
      </c>
      <c r="EG7" s="18" t="s">
        <v>135</v>
      </c>
      <c r="EH7" s="18" t="s">
        <v>136</v>
      </c>
      <c r="EI7" s="18" t="s">
        <v>137</v>
      </c>
      <c r="EJ7" s="18" t="s">
        <v>138</v>
      </c>
      <c r="EK7" s="18" t="s">
        <v>139</v>
      </c>
      <c r="EL7" s="18" t="s">
        <v>140</v>
      </c>
      <c r="EM7" s="18" t="s">
        <v>141</v>
      </c>
      <c r="EN7" s="18" t="s">
        <v>142</v>
      </c>
      <c r="EO7" s="18" t="s">
        <v>143</v>
      </c>
      <c r="EP7" s="18" t="s">
        <v>144</v>
      </c>
      <c r="EQ7" s="18" t="s">
        <v>145</v>
      </c>
      <c r="ER7" s="18" t="s">
        <v>146</v>
      </c>
      <c r="ES7" s="18" t="s">
        <v>147</v>
      </c>
      <c r="ET7" s="18" t="s">
        <v>148</v>
      </c>
      <c r="EU7" s="18" t="s">
        <v>149</v>
      </c>
      <c r="EV7" s="18" t="s">
        <v>150</v>
      </c>
      <c r="EW7" s="18" t="s">
        <v>151</v>
      </c>
      <c r="EX7" s="18" t="s">
        <v>152</v>
      </c>
      <c r="EY7" s="18" t="s">
        <v>153</v>
      </c>
      <c r="EZ7" s="18" t="s">
        <v>154</v>
      </c>
      <c r="FA7" s="18" t="s">
        <v>155</v>
      </c>
      <c r="FB7" s="18" t="s">
        <v>156</v>
      </c>
      <c r="FC7" s="18" t="s">
        <v>157</v>
      </c>
      <c r="FD7" s="18" t="s">
        <v>158</v>
      </c>
      <c r="FE7" s="18" t="s">
        <v>159</v>
      </c>
      <c r="FF7" s="18" t="s">
        <v>160</v>
      </c>
      <c r="FG7" s="18" t="s">
        <v>161</v>
      </c>
      <c r="FH7" s="18" t="s">
        <v>162</v>
      </c>
      <c r="FI7" s="18" t="s">
        <v>163</v>
      </c>
      <c r="FJ7" s="18" t="s">
        <v>164</v>
      </c>
      <c r="FK7" s="18" t="s">
        <v>165</v>
      </c>
      <c r="FL7" s="18" t="s">
        <v>166</v>
      </c>
      <c r="FM7" s="18" t="s">
        <v>167</v>
      </c>
      <c r="FN7" s="18" t="s">
        <v>168</v>
      </c>
      <c r="FO7" s="18" t="s">
        <v>169</v>
      </c>
      <c r="FP7" s="18" t="s">
        <v>170</v>
      </c>
      <c r="FQ7" s="18" t="s">
        <v>171</v>
      </c>
      <c r="FR7" s="18" t="s">
        <v>172</v>
      </c>
      <c r="FS7" s="18" t="s">
        <v>173</v>
      </c>
      <c r="FT7" s="18" t="s">
        <v>174</v>
      </c>
      <c r="FU7" s="18" t="s">
        <v>175</v>
      </c>
      <c r="FV7" s="18" t="s">
        <v>176</v>
      </c>
      <c r="FW7" s="18" t="s">
        <v>177</v>
      </c>
      <c r="FX7" s="18" t="s">
        <v>178</v>
      </c>
      <c r="FY7" s="18" t="s">
        <v>179</v>
      </c>
      <c r="FZ7" s="18" t="s">
        <v>180</v>
      </c>
      <c r="GA7" s="18" t="s">
        <v>181</v>
      </c>
      <c r="GB7" s="18" t="s">
        <v>182</v>
      </c>
      <c r="GC7" s="18" t="s">
        <v>183</v>
      </c>
      <c r="GD7" s="18" t="s">
        <v>184</v>
      </c>
      <c r="GE7" s="18" t="s">
        <v>185</v>
      </c>
      <c r="GF7" s="18" t="s">
        <v>186</v>
      </c>
      <c r="GG7" s="18" t="s">
        <v>187</v>
      </c>
      <c r="GH7" s="18" t="s">
        <v>188</v>
      </c>
      <c r="GI7" s="18" t="s">
        <v>189</v>
      </c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</row>
    <row r="8" spans="1:207" x14ac:dyDescent="0.25">
      <c r="A8" s="18" t="s">
        <v>0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>
        <v>74.185639669012247</v>
      </c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>
        <v>2.3156934579200099</v>
      </c>
      <c r="FM8" s="19">
        <v>3.6969662613314593</v>
      </c>
      <c r="FN8" s="19">
        <v>5.2632086212690057</v>
      </c>
      <c r="FO8" s="19">
        <v>6.5031495222927775</v>
      </c>
      <c r="FP8" s="19">
        <v>3.7954763575843748</v>
      </c>
      <c r="FQ8" s="19"/>
      <c r="FR8" s="19"/>
      <c r="FS8" s="19"/>
      <c r="FT8" s="19"/>
      <c r="FU8" s="19"/>
      <c r="FV8" s="19">
        <v>3.0859200295765641E-2</v>
      </c>
      <c r="FW8" s="19">
        <v>0.10958440630886696</v>
      </c>
      <c r="FX8" s="19">
        <v>0.14372259690566291</v>
      </c>
      <c r="FY8" s="19">
        <v>0.22680585514937252</v>
      </c>
      <c r="FZ8" s="19">
        <v>0.57867236610821782</v>
      </c>
      <c r="GA8" s="19"/>
      <c r="GB8" s="19"/>
      <c r="GC8" s="19"/>
      <c r="GD8" s="19"/>
      <c r="GE8" s="19"/>
      <c r="GF8" s="19"/>
      <c r="GG8" s="19"/>
      <c r="GH8" s="19"/>
      <c r="GI8" s="19">
        <v>96.849778314177755</v>
      </c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</row>
    <row r="9" spans="1:207" x14ac:dyDescent="0.25">
      <c r="A9" s="18" t="s">
        <v>1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>
        <v>30.796226815433322</v>
      </c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>
        <v>1.1913090401310836E-2</v>
      </c>
      <c r="FM9" s="19">
        <v>2.3352112324239383E-2</v>
      </c>
      <c r="FN9" s="19">
        <v>1.2480006921600799E-2</v>
      </c>
      <c r="FO9" s="19">
        <v>2.1472574099807067E-2</v>
      </c>
      <c r="FP9" s="19">
        <v>6.8811164828408211E-2</v>
      </c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>
        <v>30.934255764008686</v>
      </c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</row>
    <row r="10" spans="1:207" x14ac:dyDescent="0.25">
      <c r="A10" s="18" t="s">
        <v>2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>
        <v>29.235197145035627</v>
      </c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>
        <v>0.22192994472870589</v>
      </c>
      <c r="FM10" s="19">
        <v>0.58260707241300935</v>
      </c>
      <c r="FN10" s="19">
        <v>0.82136817710830345</v>
      </c>
      <c r="FO10" s="19">
        <v>1.0680662571836557</v>
      </c>
      <c r="FP10" s="19">
        <v>0.61625156893993016</v>
      </c>
      <c r="FQ10" s="19"/>
      <c r="FR10" s="19"/>
      <c r="FS10" s="19"/>
      <c r="FT10" s="19"/>
      <c r="FU10" s="19"/>
      <c r="FV10" s="19"/>
      <c r="FW10" s="19">
        <v>6.339822293834378E-3</v>
      </c>
      <c r="FX10" s="19">
        <v>5.5957196822911885E-2</v>
      </c>
      <c r="FY10" s="19">
        <v>3.9771713524275436E-2</v>
      </c>
      <c r="FZ10" s="19">
        <v>1.4323971397891823E-2</v>
      </c>
      <c r="GA10" s="19"/>
      <c r="GB10" s="19"/>
      <c r="GC10" s="19"/>
      <c r="GD10" s="19"/>
      <c r="GE10" s="19"/>
      <c r="GF10" s="19"/>
      <c r="GG10" s="19"/>
      <c r="GH10" s="19"/>
      <c r="GI10" s="19">
        <v>32.661812869448141</v>
      </c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</row>
    <row r="11" spans="1:207" x14ac:dyDescent="0.25">
      <c r="A11" s="18" t="s">
        <v>3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>
        <v>10.514044785245153</v>
      </c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>
        <v>4.9400979596699007E-2</v>
      </c>
      <c r="FM11" s="19">
        <v>1.8198162584664537E-3</v>
      </c>
      <c r="FN11" s="19">
        <v>1.0600397007643968E-3</v>
      </c>
      <c r="FO11" s="19"/>
      <c r="FP11" s="19">
        <v>2.2509867326468751E-2</v>
      </c>
      <c r="FQ11" s="19"/>
      <c r="FR11" s="19"/>
      <c r="FS11" s="19"/>
      <c r="FT11" s="19"/>
      <c r="FU11" s="19"/>
      <c r="FV11" s="19"/>
      <c r="FW11" s="19"/>
      <c r="FX11" s="19">
        <v>2.0303790231163722E-3</v>
      </c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>
        <v>10.590865867150667</v>
      </c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</row>
    <row r="12" spans="1:207" x14ac:dyDescent="0.25">
      <c r="A12" s="18" t="s">
        <v>4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>
        <v>159.97086120525989</v>
      </c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>
        <v>10.378058677835664</v>
      </c>
      <c r="FM12" s="19">
        <v>17.274315338752871</v>
      </c>
      <c r="FN12" s="19">
        <v>24.139621884212559</v>
      </c>
      <c r="FO12" s="19">
        <v>28.828248838348014</v>
      </c>
      <c r="FP12" s="19">
        <v>18.508412168011446</v>
      </c>
      <c r="FQ12" s="19"/>
      <c r="FR12" s="19"/>
      <c r="FS12" s="19"/>
      <c r="FT12" s="19"/>
      <c r="FU12" s="19"/>
      <c r="FV12" s="19">
        <v>0.3668507217863255</v>
      </c>
      <c r="FW12" s="19">
        <v>0.78092207222626175</v>
      </c>
      <c r="FX12" s="19">
        <v>1.0728395831140309</v>
      </c>
      <c r="FY12" s="19">
        <v>1.4123506144607256</v>
      </c>
      <c r="FZ12" s="19">
        <v>3.384568370961738</v>
      </c>
      <c r="GA12" s="19"/>
      <c r="GB12" s="19"/>
      <c r="GC12" s="19"/>
      <c r="GD12" s="19"/>
      <c r="GE12" s="19"/>
      <c r="GF12" s="19"/>
      <c r="GG12" s="19"/>
      <c r="GH12" s="19"/>
      <c r="GI12" s="19">
        <v>266.11704947496952</v>
      </c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</row>
    <row r="13" spans="1:207" x14ac:dyDescent="0.25">
      <c r="A13" s="18" t="s">
        <v>5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>
        <v>11.601489277317565</v>
      </c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>
        <v>0.18871396960222703</v>
      </c>
      <c r="FM13" s="19">
        <v>0.32156580520897549</v>
      </c>
      <c r="FN13" s="19">
        <v>0.81962415393074595</v>
      </c>
      <c r="FO13" s="19">
        <v>1.0755620392277252</v>
      </c>
      <c r="FP13" s="19">
        <v>0.96790179276485366</v>
      </c>
      <c r="FQ13" s="19"/>
      <c r="FR13" s="19"/>
      <c r="FS13" s="19"/>
      <c r="FT13" s="19"/>
      <c r="FU13" s="19"/>
      <c r="FV13" s="19">
        <v>9.2650233080861458E-3</v>
      </c>
      <c r="FW13" s="19">
        <v>3.7986495120585994E-3</v>
      </c>
      <c r="FX13" s="19">
        <v>2.6951488893546784E-2</v>
      </c>
      <c r="FY13" s="19">
        <v>1.2597033866962554E-2</v>
      </c>
      <c r="FZ13" s="19">
        <v>0.14626206505677553</v>
      </c>
      <c r="GA13" s="19"/>
      <c r="GB13" s="19"/>
      <c r="GC13" s="19"/>
      <c r="GD13" s="19"/>
      <c r="GE13" s="19"/>
      <c r="GF13" s="19"/>
      <c r="GG13" s="19"/>
      <c r="GH13" s="19"/>
      <c r="GI13" s="19">
        <v>15.173731298689521</v>
      </c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</row>
    <row r="14" spans="1:207" x14ac:dyDescent="0.25">
      <c r="A14" s="18" t="s">
        <v>6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>
        <v>3.3557015811794413</v>
      </c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>
        <v>0.26529079584882076</v>
      </c>
      <c r="FM14" s="19">
        <v>0.39188717475375667</v>
      </c>
      <c r="FN14" s="19">
        <v>0.46064989345695107</v>
      </c>
      <c r="FO14" s="19">
        <v>0.58671866650465021</v>
      </c>
      <c r="FP14" s="19">
        <v>0.27378579456123547</v>
      </c>
      <c r="FQ14" s="19"/>
      <c r="FR14" s="19"/>
      <c r="FS14" s="19"/>
      <c r="FT14" s="19"/>
      <c r="FU14" s="19"/>
      <c r="FV14" s="19">
        <v>5.0206082032834684E-3</v>
      </c>
      <c r="FW14" s="19">
        <v>1.6867735917967183E-2</v>
      </c>
      <c r="FX14" s="19">
        <v>1.7289164129432228E-2</v>
      </c>
      <c r="FY14" s="19">
        <v>2.0499509039195316E-2</v>
      </c>
      <c r="FZ14" s="19">
        <v>1.0954003463894277</v>
      </c>
      <c r="GA14" s="19"/>
      <c r="GB14" s="19"/>
      <c r="GC14" s="19"/>
      <c r="GD14" s="19"/>
      <c r="GE14" s="19"/>
      <c r="GF14" s="19"/>
      <c r="GG14" s="19"/>
      <c r="GH14" s="19"/>
      <c r="GI14" s="19">
        <v>6.4891112699841624</v>
      </c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</row>
    <row r="15" spans="1:207" x14ac:dyDescent="0.25">
      <c r="A15" s="18" t="s">
        <v>7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>
        <v>113.27157142791462</v>
      </c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>
        <v>7.0429466836693786</v>
      </c>
      <c r="FM15" s="19">
        <v>11.959615928692182</v>
      </c>
      <c r="FN15" s="19">
        <v>16.840758574928767</v>
      </c>
      <c r="FO15" s="19">
        <v>18.012300575769356</v>
      </c>
      <c r="FP15" s="19">
        <v>10.497284480389499</v>
      </c>
      <c r="FQ15" s="19"/>
      <c r="FR15" s="19"/>
      <c r="FS15" s="19"/>
      <c r="FT15" s="19"/>
      <c r="FU15" s="19"/>
      <c r="FV15" s="19">
        <v>0.16068173234631289</v>
      </c>
      <c r="FW15" s="19">
        <v>0.36351999032867832</v>
      </c>
      <c r="FX15" s="19">
        <v>0.29990204811951943</v>
      </c>
      <c r="FY15" s="19">
        <v>0.80970460530505095</v>
      </c>
      <c r="FZ15" s="19">
        <v>1.0319882801508653</v>
      </c>
      <c r="GA15" s="19"/>
      <c r="GB15" s="19"/>
      <c r="GC15" s="19"/>
      <c r="GD15" s="19"/>
      <c r="GE15" s="19"/>
      <c r="GF15" s="19"/>
      <c r="GG15" s="19"/>
      <c r="GH15" s="19"/>
      <c r="GI15" s="19">
        <v>180.29027432761427</v>
      </c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</row>
    <row r="16" spans="1:207" x14ac:dyDescent="0.25">
      <c r="A16" s="18" t="s">
        <v>8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>
        <v>64.381627484868659</v>
      </c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>
        <v>2.1572187165134955</v>
      </c>
      <c r="FM16" s="19">
        <v>4.8500577238544862</v>
      </c>
      <c r="FN16" s="19">
        <v>8.3358514164840205</v>
      </c>
      <c r="FO16" s="19">
        <v>9.9502245108372627</v>
      </c>
      <c r="FP16" s="19">
        <v>5.915467753075208</v>
      </c>
      <c r="FQ16" s="19"/>
      <c r="FR16" s="19"/>
      <c r="FS16" s="19"/>
      <c r="FT16" s="19"/>
      <c r="FU16" s="19"/>
      <c r="FV16" s="19">
        <v>3.9284330607132247E-2</v>
      </c>
      <c r="FW16" s="19">
        <v>8.1212099546907307E-2</v>
      </c>
      <c r="FX16" s="19">
        <v>0.22352083392283972</v>
      </c>
      <c r="FY16" s="19">
        <v>0.3721659969638757</v>
      </c>
      <c r="FZ16" s="19">
        <v>0.77217216772047248</v>
      </c>
      <c r="GA16" s="19"/>
      <c r="GB16" s="19"/>
      <c r="GC16" s="19"/>
      <c r="GD16" s="19"/>
      <c r="GE16" s="19"/>
      <c r="GF16" s="19"/>
      <c r="GG16" s="19"/>
      <c r="GH16" s="19"/>
      <c r="GI16" s="19">
        <v>97.07880303439434</v>
      </c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</row>
    <row r="17" spans="1:207" x14ac:dyDescent="0.25">
      <c r="A17" s="18" t="s">
        <v>9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>
        <v>57.22739054906328</v>
      </c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>
        <v>6.7246230550876351</v>
      </c>
      <c r="FM17" s="19">
        <v>9.5220143366437622</v>
      </c>
      <c r="FN17" s="19">
        <v>11.504436071494943</v>
      </c>
      <c r="FO17" s="19">
        <v>11.218642197535454</v>
      </c>
      <c r="FP17" s="19">
        <v>4.8603448475761368</v>
      </c>
      <c r="FQ17" s="19"/>
      <c r="FR17" s="19"/>
      <c r="FS17" s="19"/>
      <c r="FT17" s="19"/>
      <c r="FU17" s="19"/>
      <c r="FV17" s="19">
        <v>0.11461288805597984</v>
      </c>
      <c r="FW17" s="19">
        <v>0.28072783440106602</v>
      </c>
      <c r="FX17" s="19">
        <v>0.30337563893579511</v>
      </c>
      <c r="FY17" s="19">
        <v>0.27090055146474878</v>
      </c>
      <c r="FZ17" s="19">
        <v>0.33239639622232681</v>
      </c>
      <c r="GA17" s="19"/>
      <c r="GB17" s="19"/>
      <c r="GC17" s="19"/>
      <c r="GD17" s="19"/>
      <c r="GE17" s="19"/>
      <c r="GF17" s="19"/>
      <c r="GG17" s="19"/>
      <c r="GH17" s="19"/>
      <c r="GI17" s="19">
        <v>102.35946436648111</v>
      </c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</row>
    <row r="18" spans="1:207" x14ac:dyDescent="0.25">
      <c r="A18" s="18" t="s">
        <v>10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>
        <v>9.1578541001034051</v>
      </c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>
        <v>0.70538477344618311</v>
      </c>
      <c r="FM18" s="19">
        <v>1.3133803001063549</v>
      </c>
      <c r="FN18" s="19">
        <v>2.032164471049227</v>
      </c>
      <c r="FO18" s="19">
        <v>2.474200526610812</v>
      </c>
      <c r="FP18" s="19">
        <v>1.5368839176195164</v>
      </c>
      <c r="FQ18" s="19"/>
      <c r="FR18" s="19"/>
      <c r="FS18" s="19"/>
      <c r="FT18" s="19"/>
      <c r="FU18" s="19"/>
      <c r="FV18" s="19">
        <v>2.3085330752761528E-2</v>
      </c>
      <c r="FW18" s="19">
        <v>5.8840099797363841E-2</v>
      </c>
      <c r="FX18" s="19">
        <v>3.9760153006854961E-2</v>
      </c>
      <c r="FY18" s="19">
        <v>7.1929978751129955E-2</v>
      </c>
      <c r="FZ18" s="19">
        <v>0.14044310169653956</v>
      </c>
      <c r="GA18" s="19"/>
      <c r="GB18" s="19"/>
      <c r="GC18" s="19"/>
      <c r="GD18" s="19"/>
      <c r="GE18" s="19"/>
      <c r="GF18" s="19"/>
      <c r="GG18" s="19"/>
      <c r="GH18" s="19"/>
      <c r="GI18" s="19">
        <v>17.553926752940146</v>
      </c>
      <c r="GJ18" s="17"/>
      <c r="GK18" s="17"/>
      <c r="GL18" s="17"/>
      <c r="GM18" s="17"/>
      <c r="GN18" s="17"/>
      <c r="GO18" s="17"/>
      <c r="GP18" s="17"/>
      <c r="GQ18" s="17"/>
      <c r="GR18" s="17"/>
      <c r="GS18" s="17"/>
      <c r="GT18" s="17"/>
      <c r="GU18" s="17"/>
      <c r="GV18" s="17"/>
      <c r="GW18" s="17"/>
      <c r="GX18" s="17"/>
      <c r="GY18" s="17"/>
    </row>
    <row r="19" spans="1:207" x14ac:dyDescent="0.25">
      <c r="A19" s="18" t="s">
        <v>11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>
        <v>69.501715472131906</v>
      </c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>
        <v>6.7009317525476284</v>
      </c>
      <c r="FM19" s="19">
        <v>8.2045750508684954</v>
      </c>
      <c r="FN19" s="19">
        <v>9.7040922900252227</v>
      </c>
      <c r="FO19" s="19">
        <v>11.368298916828056</v>
      </c>
      <c r="FP19" s="19">
        <v>7.4670231568582945</v>
      </c>
      <c r="FQ19" s="19"/>
      <c r="FR19" s="19"/>
      <c r="FS19" s="19"/>
      <c r="FT19" s="19"/>
      <c r="FU19" s="19"/>
      <c r="FV19" s="19">
        <v>0.26636710445815143</v>
      </c>
      <c r="FW19" s="19">
        <v>0.51984891025537505</v>
      </c>
      <c r="FX19" s="19">
        <v>0.73035381068700189</v>
      </c>
      <c r="FY19" s="19">
        <v>0.81699125358610769</v>
      </c>
      <c r="FZ19" s="19">
        <v>1.9463845611825996</v>
      </c>
      <c r="GA19" s="19"/>
      <c r="GB19" s="19"/>
      <c r="GC19" s="19"/>
      <c r="GD19" s="19"/>
      <c r="GE19" s="19"/>
      <c r="GF19" s="19"/>
      <c r="GG19" s="19"/>
      <c r="GH19" s="19"/>
      <c r="GI19" s="19">
        <v>117.22658227942884</v>
      </c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</row>
    <row r="20" spans="1:207" x14ac:dyDescent="0.25">
      <c r="A20" s="18" t="s">
        <v>12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>
        <v>29.718427850839596</v>
      </c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>
        <v>0.31860506549023809</v>
      </c>
      <c r="FM20" s="19">
        <v>0.60002285329621519</v>
      </c>
      <c r="FN20" s="19">
        <v>0.96214467136577497</v>
      </c>
      <c r="FO20" s="19">
        <v>1.2434540409414978</v>
      </c>
      <c r="FP20" s="19">
        <v>1.4294975984453606</v>
      </c>
      <c r="FQ20" s="19"/>
      <c r="FR20" s="19"/>
      <c r="FS20" s="19"/>
      <c r="FT20" s="19"/>
      <c r="FU20" s="19"/>
      <c r="FV20" s="19">
        <v>1.3624981902084783E-2</v>
      </c>
      <c r="FW20" s="19">
        <v>4.7269952031518653E-2</v>
      </c>
      <c r="FX20" s="19">
        <v>2.3986854105034632E-2</v>
      </c>
      <c r="FY20" s="19">
        <v>5.6135032698696019E-2</v>
      </c>
      <c r="FZ20" s="19">
        <v>0.18913075987684655</v>
      </c>
      <c r="GA20" s="19"/>
      <c r="GB20" s="19"/>
      <c r="GC20" s="19"/>
      <c r="GD20" s="19"/>
      <c r="GE20" s="19"/>
      <c r="GF20" s="19"/>
      <c r="GG20" s="19"/>
      <c r="GH20" s="19"/>
      <c r="GI20" s="19">
        <v>34.602299660992863</v>
      </c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</row>
    <row r="21" spans="1:207" x14ac:dyDescent="0.25">
      <c r="A21" s="18" t="s">
        <v>13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>
        <v>21.177548048207814</v>
      </c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>
        <v>21.177548048207814</v>
      </c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</row>
    <row r="22" spans="1:207" x14ac:dyDescent="0.25">
      <c r="A22" s="18" t="s">
        <v>14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>
        <v>13.612360899423193</v>
      </c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>
        <v>13.612360899423193</v>
      </c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</row>
    <row r="23" spans="1:207" x14ac:dyDescent="0.25">
      <c r="A23" s="18" t="s">
        <v>15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>
        <v>151.47669998357401</v>
      </c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>
        <v>6.3714546345154313</v>
      </c>
      <c r="FM23" s="19">
        <v>11.646538111820762</v>
      </c>
      <c r="FN23" s="19">
        <v>20.237362293960036</v>
      </c>
      <c r="FO23" s="19">
        <v>30.293317136296174</v>
      </c>
      <c r="FP23" s="19">
        <v>21.961185588874216</v>
      </c>
      <c r="FQ23" s="19"/>
      <c r="FR23" s="19"/>
      <c r="FS23" s="19"/>
      <c r="FT23" s="19"/>
      <c r="FU23" s="19"/>
      <c r="FV23" s="19">
        <v>0.13961585013027358</v>
      </c>
      <c r="FW23" s="19">
        <v>0.58479346898403006</v>
      </c>
      <c r="FX23" s="19">
        <v>0.81443421046470454</v>
      </c>
      <c r="FY23" s="19">
        <v>1.2733782758434284</v>
      </c>
      <c r="FZ23" s="19">
        <v>3.8745899193126125</v>
      </c>
      <c r="GA23" s="19"/>
      <c r="GB23" s="19"/>
      <c r="GC23" s="19"/>
      <c r="GD23" s="19"/>
      <c r="GE23" s="19"/>
      <c r="GF23" s="19"/>
      <c r="GG23" s="19"/>
      <c r="GH23" s="19"/>
      <c r="GI23" s="19">
        <v>248.67336947377569</v>
      </c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</row>
    <row r="24" spans="1:207" x14ac:dyDescent="0.25">
      <c r="A24" s="18" t="s">
        <v>16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>
        <v>47.713439355857759</v>
      </c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>
        <v>1.4232072568325036</v>
      </c>
      <c r="FM24" s="19">
        <v>2.3357984695700371</v>
      </c>
      <c r="FN24" s="19">
        <v>3.9028133299580139</v>
      </c>
      <c r="FO24" s="19">
        <v>5.2461887479382936</v>
      </c>
      <c r="FP24" s="19">
        <v>3.8163011293016016</v>
      </c>
      <c r="FQ24" s="19"/>
      <c r="FR24" s="19"/>
      <c r="FS24" s="19"/>
      <c r="FT24" s="19"/>
      <c r="FU24" s="19"/>
      <c r="FV24" s="19">
        <v>1.2149931510272903E-2</v>
      </c>
      <c r="FW24" s="19">
        <v>7.2482879226033192E-2</v>
      </c>
      <c r="FX24" s="19">
        <v>0.16439210337643004</v>
      </c>
      <c r="FY24" s="19">
        <v>0.22293755595564371</v>
      </c>
      <c r="FZ24" s="19">
        <v>0.92250988880662388</v>
      </c>
      <c r="GA24" s="19"/>
      <c r="GB24" s="19"/>
      <c r="GC24" s="19"/>
      <c r="GD24" s="19"/>
      <c r="GE24" s="19"/>
      <c r="GF24" s="19"/>
      <c r="GG24" s="19"/>
      <c r="GH24" s="19"/>
      <c r="GI24" s="19">
        <v>65.83222064833322</v>
      </c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</row>
    <row r="25" spans="1:207" x14ac:dyDescent="0.25">
      <c r="A25" s="18" t="s">
        <v>17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>
        <v>24.625758573170952</v>
      </c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>
        <v>24.625758573170952</v>
      </c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</row>
    <row r="26" spans="1:207" x14ac:dyDescent="0.25">
      <c r="A26" s="18" t="s">
        <v>18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>
        <v>64.85480909685441</v>
      </c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>
        <v>64.85480909685441</v>
      </c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</row>
    <row r="27" spans="1:207" x14ac:dyDescent="0.25">
      <c r="A27" s="18" t="s">
        <v>19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>
        <v>2.3344349067583523</v>
      </c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>
        <v>2.3344349067583523</v>
      </c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</row>
    <row r="28" spans="1:207" x14ac:dyDescent="0.25">
      <c r="A28" s="18" t="s">
        <v>20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>
        <v>65.193022360893309</v>
      </c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>
        <v>3.3947735806729377E-2</v>
      </c>
      <c r="FN28" s="19">
        <v>4.3563826730965011E-2</v>
      </c>
      <c r="FO28" s="19">
        <v>1.2443355996006322E-2</v>
      </c>
      <c r="FP28" s="19">
        <v>2.8510149152720196E-2</v>
      </c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>
        <v>65.311487428579738</v>
      </c>
      <c r="GJ28" s="17"/>
      <c r="GK28" s="17"/>
      <c r="GL28" s="17"/>
      <c r="GM28" s="17"/>
      <c r="GN28" s="1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</row>
    <row r="29" spans="1:207" x14ac:dyDescent="0.25">
      <c r="A29" s="18" t="s">
        <v>21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>
        <v>68.026218581518165</v>
      </c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>
        <v>0.30250087480674731</v>
      </c>
      <c r="FM29" s="19">
        <v>1.7169731363993119</v>
      </c>
      <c r="FN29" s="19">
        <v>3.3729655770984825</v>
      </c>
      <c r="FO29" s="19">
        <v>6.2771107738020104</v>
      </c>
      <c r="FP29" s="19">
        <v>6.8153588684027229</v>
      </c>
      <c r="FQ29" s="19"/>
      <c r="FR29" s="19"/>
      <c r="FS29" s="19"/>
      <c r="FT29" s="19"/>
      <c r="FU29" s="19"/>
      <c r="FV29" s="19">
        <v>1.811627999793532E-2</v>
      </c>
      <c r="FW29" s="19">
        <v>5.5180972812677587E-2</v>
      </c>
      <c r="FX29" s="19">
        <v>9.4082860786409941E-2</v>
      </c>
      <c r="FY29" s="19">
        <v>0.27772786403601923</v>
      </c>
      <c r="FZ29" s="19">
        <v>1.6541933552560879</v>
      </c>
      <c r="GA29" s="19"/>
      <c r="GB29" s="19"/>
      <c r="GC29" s="19"/>
      <c r="GD29" s="19"/>
      <c r="GE29" s="19"/>
      <c r="GF29" s="19"/>
      <c r="GG29" s="19"/>
      <c r="GH29" s="19"/>
      <c r="GI29" s="19">
        <v>88.610429144916594</v>
      </c>
      <c r="GJ29" s="17"/>
      <c r="GK29" s="17"/>
      <c r="GL29" s="17"/>
      <c r="GM29" s="17"/>
      <c r="GN29" s="17"/>
      <c r="GO29" s="17"/>
      <c r="GP29" s="17"/>
      <c r="GQ29" s="17"/>
      <c r="GR29" s="17"/>
      <c r="GS29" s="17"/>
      <c r="GT29" s="17"/>
      <c r="GU29" s="17"/>
      <c r="GV29" s="17"/>
      <c r="GW29" s="17"/>
      <c r="GX29" s="17"/>
      <c r="GY29" s="17"/>
    </row>
    <row r="30" spans="1:207" x14ac:dyDescent="0.25">
      <c r="A30" s="18" t="s">
        <v>22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>
        <v>53.806665468030772</v>
      </c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>
        <v>7.6679196327893967E-2</v>
      </c>
      <c r="FM30" s="19">
        <v>0.83426061819778596</v>
      </c>
      <c r="FN30" s="19">
        <v>1.2093622028686133</v>
      </c>
      <c r="FO30" s="19">
        <v>3.1076089984614255</v>
      </c>
      <c r="FP30" s="19">
        <v>4.6735462621645407</v>
      </c>
      <c r="FQ30" s="19"/>
      <c r="FR30" s="19"/>
      <c r="FS30" s="19"/>
      <c r="FT30" s="19"/>
      <c r="FU30" s="19"/>
      <c r="FV30" s="19"/>
      <c r="FW30" s="19"/>
      <c r="FX30" s="19">
        <v>0.3848929091714004</v>
      </c>
      <c r="FY30" s="19"/>
      <c r="FZ30" s="19">
        <v>1.7628255978388159</v>
      </c>
      <c r="GA30" s="19"/>
      <c r="GB30" s="19"/>
      <c r="GC30" s="19"/>
      <c r="GD30" s="19"/>
      <c r="GE30" s="19"/>
      <c r="GF30" s="19"/>
      <c r="GG30" s="19"/>
      <c r="GH30" s="19"/>
      <c r="GI30" s="19">
        <v>65.855841253061243</v>
      </c>
      <c r="GJ30" s="17"/>
      <c r="GK30" s="17"/>
      <c r="GL30" s="17"/>
      <c r="GM30" s="17"/>
      <c r="GN30" s="17"/>
      <c r="GO30" s="17"/>
      <c r="GP30" s="17"/>
      <c r="GQ30" s="17"/>
      <c r="GR30" s="17"/>
      <c r="GS30" s="17"/>
      <c r="GT30" s="17"/>
      <c r="GU30" s="17"/>
      <c r="GV30" s="17"/>
      <c r="GW30" s="17"/>
      <c r="GX30" s="17"/>
      <c r="GY30" s="17"/>
    </row>
    <row r="31" spans="1:207" x14ac:dyDescent="0.25">
      <c r="A31" s="18" t="s">
        <v>23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>
        <v>9.3678287368521342</v>
      </c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>
        <v>1.0921230023499403E-2</v>
      </c>
      <c r="FM31" s="19">
        <v>7.0562158892105376E-2</v>
      </c>
      <c r="FN31" s="19">
        <v>0.16602997933439936</v>
      </c>
      <c r="FO31" s="19">
        <v>0.30405973643219492</v>
      </c>
      <c r="FP31" s="19">
        <v>0.4420418505830781</v>
      </c>
      <c r="FQ31" s="19"/>
      <c r="FR31" s="19"/>
      <c r="FS31" s="19"/>
      <c r="FT31" s="19"/>
      <c r="FU31" s="19"/>
      <c r="FV31" s="19"/>
      <c r="FW31" s="19"/>
      <c r="FX31" s="19">
        <v>4.5520994973835723E-3</v>
      </c>
      <c r="FY31" s="19">
        <v>1.7451414762636518E-2</v>
      </c>
      <c r="FZ31" s="19">
        <v>9.8196133427443141E-2</v>
      </c>
      <c r="GA31" s="19"/>
      <c r="GB31" s="19"/>
      <c r="GC31" s="19"/>
      <c r="GD31" s="19"/>
      <c r="GE31" s="19"/>
      <c r="GF31" s="19"/>
      <c r="GG31" s="19"/>
      <c r="GH31" s="19"/>
      <c r="GI31" s="19">
        <v>10.481643339804874</v>
      </c>
      <c r="GJ31" s="17"/>
      <c r="GK31" s="17"/>
      <c r="GL31" s="17"/>
      <c r="GM31" s="17"/>
      <c r="GN31" s="17"/>
      <c r="GO31" s="17"/>
      <c r="GP31" s="17"/>
      <c r="GQ31" s="17"/>
      <c r="GR31" s="17"/>
      <c r="GS31" s="17"/>
      <c r="GT31" s="17"/>
      <c r="GU31" s="17"/>
      <c r="GV31" s="17"/>
      <c r="GW31" s="17"/>
      <c r="GX31" s="17"/>
      <c r="GY31" s="17"/>
    </row>
    <row r="32" spans="1:207" x14ac:dyDescent="0.25">
      <c r="A32" s="18" t="s">
        <v>24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>
        <v>52.200558760876014</v>
      </c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>
        <v>0.40473756549031503</v>
      </c>
      <c r="FM32" s="19"/>
      <c r="FN32" s="19">
        <v>1.5719198286824809</v>
      </c>
      <c r="FO32" s="19">
        <v>0.83494310757437173</v>
      </c>
      <c r="FP32" s="19">
        <v>0.68551109314754</v>
      </c>
      <c r="FQ32" s="19"/>
      <c r="FR32" s="19"/>
      <c r="FS32" s="19"/>
      <c r="FT32" s="19"/>
      <c r="FU32" s="19"/>
      <c r="FV32" s="19"/>
      <c r="FW32" s="19"/>
      <c r="FX32" s="19"/>
      <c r="FY32" s="19">
        <v>0.8217398925962428</v>
      </c>
      <c r="FZ32" s="19"/>
      <c r="GA32" s="19"/>
      <c r="GB32" s="19"/>
      <c r="GC32" s="19"/>
      <c r="GD32" s="19"/>
      <c r="GE32" s="19"/>
      <c r="GF32" s="19"/>
      <c r="GG32" s="19"/>
      <c r="GH32" s="19"/>
      <c r="GI32" s="19">
        <v>56.519410248366967</v>
      </c>
      <c r="GJ32" s="17"/>
      <c r="GK32" s="17"/>
      <c r="GL32" s="17"/>
      <c r="GM32" s="17"/>
      <c r="GN32" s="17"/>
      <c r="GO32" s="17"/>
      <c r="GP32" s="17"/>
      <c r="GQ32" s="17"/>
      <c r="GR32" s="17"/>
      <c r="GS32" s="17"/>
      <c r="GT32" s="17"/>
      <c r="GU32" s="17"/>
      <c r="GV32" s="17"/>
      <c r="GW32" s="17"/>
      <c r="GX32" s="17"/>
      <c r="GY32" s="17"/>
    </row>
    <row r="33" spans="1:207" x14ac:dyDescent="0.25">
      <c r="A33" s="18" t="s">
        <v>25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>
        <v>15.453476350451599</v>
      </c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>
        <v>7.831676531855164E-2</v>
      </c>
      <c r="FM33" s="19">
        <v>0.18301778604996147</v>
      </c>
      <c r="FN33" s="19">
        <v>0.25750199929951223</v>
      </c>
      <c r="FO33" s="19">
        <v>0.49978412913665632</v>
      </c>
      <c r="FP33" s="19">
        <v>0.18144125006940129</v>
      </c>
      <c r="FQ33" s="19"/>
      <c r="FR33" s="19"/>
      <c r="FS33" s="19"/>
      <c r="FT33" s="19"/>
      <c r="FU33" s="19"/>
      <c r="FV33" s="19"/>
      <c r="FW33" s="19"/>
      <c r="FX33" s="19">
        <v>2.7027246910880352E-2</v>
      </c>
      <c r="FY33" s="19"/>
      <c r="FZ33" s="19">
        <v>6.2252097979166969E-2</v>
      </c>
      <c r="GA33" s="19"/>
      <c r="GB33" s="19"/>
      <c r="GC33" s="19"/>
      <c r="GD33" s="19"/>
      <c r="GE33" s="19"/>
      <c r="GF33" s="19"/>
      <c r="GG33" s="19"/>
      <c r="GH33" s="19"/>
      <c r="GI33" s="19">
        <v>16.742817625215725</v>
      </c>
      <c r="GJ33" s="17"/>
      <c r="GK33" s="17"/>
      <c r="GL33" s="17"/>
      <c r="GM33" s="17"/>
      <c r="GN33" s="17"/>
      <c r="GO33" s="17"/>
      <c r="GP33" s="17"/>
      <c r="GQ33" s="17"/>
      <c r="GR33" s="17"/>
      <c r="GS33" s="17"/>
      <c r="GT33" s="17"/>
      <c r="GU33" s="17"/>
      <c r="GV33" s="17"/>
      <c r="GW33" s="17"/>
      <c r="GX33" s="17"/>
      <c r="GY33" s="17"/>
    </row>
    <row r="34" spans="1:207" x14ac:dyDescent="0.25">
      <c r="A34" s="18" t="s">
        <v>26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>
        <v>381.32136635617593</v>
      </c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>
        <v>381.32136635617593</v>
      </c>
      <c r="GJ34" s="17"/>
      <c r="GK34" s="17"/>
      <c r="GL34" s="17"/>
      <c r="GM34" s="17"/>
      <c r="GN34" s="17"/>
      <c r="GO34" s="17"/>
      <c r="GP34" s="17"/>
      <c r="GQ34" s="17"/>
      <c r="GR34" s="17"/>
      <c r="GS34" s="17"/>
      <c r="GT34" s="17"/>
      <c r="GU34" s="17"/>
      <c r="GV34" s="17"/>
      <c r="GW34" s="17"/>
      <c r="GX34" s="17"/>
      <c r="GY34" s="17"/>
    </row>
    <row r="35" spans="1:207" x14ac:dyDescent="0.25">
      <c r="A35" s="18" t="s">
        <v>27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>
        <v>2.3634804955104562</v>
      </c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  <c r="FO35" s="19"/>
      <c r="FP35" s="19"/>
      <c r="FQ35" s="19"/>
      <c r="FR35" s="19"/>
      <c r="FS35" s="19"/>
      <c r="FT35" s="19"/>
      <c r="FU35" s="19"/>
      <c r="FV35" s="19"/>
      <c r="FW35" s="19"/>
      <c r="FX35" s="19"/>
      <c r="FY35" s="19"/>
      <c r="FZ35" s="19"/>
      <c r="GA35" s="19"/>
      <c r="GB35" s="19"/>
      <c r="GC35" s="19"/>
      <c r="GD35" s="19"/>
      <c r="GE35" s="19"/>
      <c r="GF35" s="19"/>
      <c r="GG35" s="19"/>
      <c r="GH35" s="19"/>
      <c r="GI35" s="19">
        <v>2.3634804955104562</v>
      </c>
      <c r="GJ35" s="17"/>
      <c r="GK35" s="17"/>
      <c r="GL35" s="17"/>
      <c r="GM35" s="17"/>
      <c r="GN35" s="17"/>
      <c r="GO35" s="17"/>
      <c r="GP35" s="17"/>
      <c r="GQ35" s="17"/>
      <c r="GR35" s="17"/>
      <c r="GS35" s="17"/>
      <c r="GT35" s="17"/>
      <c r="GU35" s="17"/>
      <c r="GV35" s="17"/>
      <c r="GW35" s="17"/>
      <c r="GX35" s="17"/>
      <c r="GY35" s="17"/>
    </row>
    <row r="36" spans="1:207" x14ac:dyDescent="0.25">
      <c r="A36" s="18" t="s">
        <v>28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>
        <v>22.491305675741838</v>
      </c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>
        <v>22.491305675741838</v>
      </c>
      <c r="GJ36" s="17"/>
      <c r="GK36" s="17"/>
      <c r="GL36" s="17"/>
      <c r="GM36" s="17"/>
      <c r="GN36" s="17"/>
      <c r="GO36" s="17"/>
      <c r="GP36" s="17"/>
      <c r="GQ36" s="17"/>
      <c r="GR36" s="17"/>
      <c r="GS36" s="17"/>
      <c r="GT36" s="17"/>
      <c r="GU36" s="17"/>
      <c r="GV36" s="17"/>
      <c r="GW36" s="17"/>
      <c r="GX36" s="17"/>
      <c r="GY36" s="17"/>
    </row>
    <row r="37" spans="1:207" x14ac:dyDescent="0.25">
      <c r="A37" s="18" t="s">
        <v>29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>
        <v>187.27954983765477</v>
      </c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9"/>
      <c r="EY37" s="19"/>
      <c r="EZ37" s="19"/>
      <c r="FA37" s="19"/>
      <c r="FB37" s="19"/>
      <c r="FC37" s="19"/>
      <c r="FD37" s="19"/>
      <c r="FE37" s="19"/>
      <c r="FF37" s="19"/>
      <c r="FG37" s="19"/>
      <c r="FH37" s="19"/>
      <c r="FI37" s="19"/>
      <c r="FJ37" s="19"/>
      <c r="FK37" s="19"/>
      <c r="FL37" s="19"/>
      <c r="FM37" s="19"/>
      <c r="FN37" s="19"/>
      <c r="FO37" s="19"/>
      <c r="FP37" s="19"/>
      <c r="FQ37" s="19"/>
      <c r="FR37" s="19"/>
      <c r="FS37" s="19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>
        <v>187.27954983765477</v>
      </c>
      <c r="GJ37" s="17"/>
      <c r="GK37" s="17"/>
      <c r="GL37" s="17"/>
      <c r="GM37" s="17"/>
      <c r="GN37" s="17"/>
      <c r="GO37" s="17"/>
      <c r="GP37" s="17"/>
      <c r="GQ37" s="17"/>
      <c r="GR37" s="17"/>
      <c r="GS37" s="17"/>
      <c r="GT37" s="17"/>
      <c r="GU37" s="17"/>
      <c r="GV37" s="17"/>
      <c r="GW37" s="17"/>
      <c r="GX37" s="17"/>
      <c r="GY37" s="17"/>
    </row>
    <row r="38" spans="1:207" x14ac:dyDescent="0.25">
      <c r="A38" s="18" t="s">
        <v>30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>
        <v>39.792943540677001</v>
      </c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9"/>
      <c r="EY38" s="19"/>
      <c r="EZ38" s="19"/>
      <c r="FA38" s="19"/>
      <c r="FB38" s="19"/>
      <c r="FC38" s="19"/>
      <c r="FD38" s="19"/>
      <c r="FE38" s="19"/>
      <c r="FF38" s="19"/>
      <c r="FG38" s="19"/>
      <c r="FH38" s="19"/>
      <c r="FI38" s="19"/>
      <c r="FJ38" s="19"/>
      <c r="FK38" s="19"/>
      <c r="FL38" s="19"/>
      <c r="FM38" s="19"/>
      <c r="FN38" s="19"/>
      <c r="FO38" s="19"/>
      <c r="FP38" s="19"/>
      <c r="FQ38" s="19"/>
      <c r="FR38" s="19"/>
      <c r="FS38" s="19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>
        <v>39.792943540677001</v>
      </c>
      <c r="GJ38" s="17"/>
      <c r="GK38" s="17"/>
      <c r="GL38" s="17"/>
      <c r="GM38" s="17"/>
      <c r="GN38" s="17"/>
      <c r="GO38" s="17"/>
      <c r="GP38" s="17"/>
      <c r="GQ38" s="17"/>
      <c r="GR38" s="17"/>
      <c r="GS38" s="17"/>
      <c r="GT38" s="17"/>
      <c r="GU38" s="17"/>
      <c r="GV38" s="17"/>
      <c r="GW38" s="17"/>
      <c r="GX38" s="17"/>
      <c r="GY38" s="17"/>
    </row>
    <row r="39" spans="1:207" x14ac:dyDescent="0.25">
      <c r="A39" s="18" t="s">
        <v>31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>
        <v>19.720135044631277</v>
      </c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/>
      <c r="FB39" s="19"/>
      <c r="FC39" s="19"/>
      <c r="FD39" s="19"/>
      <c r="FE39" s="19"/>
      <c r="FF39" s="19"/>
      <c r="FG39" s="19"/>
      <c r="FH39" s="19"/>
      <c r="FI39" s="19"/>
      <c r="FJ39" s="19"/>
      <c r="FK39" s="19"/>
      <c r="FL39" s="19"/>
      <c r="FM39" s="19"/>
      <c r="FN39" s="19"/>
      <c r="FO39" s="19"/>
      <c r="FP39" s="19"/>
      <c r="FQ39" s="19"/>
      <c r="FR39" s="19"/>
      <c r="FS39" s="19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>
        <v>19.720135044631277</v>
      </c>
      <c r="GJ39" s="17"/>
      <c r="GK39" s="17"/>
      <c r="GL39" s="17"/>
      <c r="GM39" s="17"/>
      <c r="GN39" s="17"/>
      <c r="GO39" s="17"/>
      <c r="GP39" s="17"/>
      <c r="GQ39" s="17"/>
      <c r="GR39" s="17"/>
      <c r="GS39" s="17"/>
      <c r="GT39" s="17"/>
      <c r="GU39" s="17"/>
      <c r="GV39" s="17"/>
      <c r="GW39" s="17"/>
      <c r="GX39" s="17"/>
      <c r="GY39" s="17"/>
    </row>
    <row r="40" spans="1:207" x14ac:dyDescent="0.25">
      <c r="A40" s="18" t="s">
        <v>32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>
        <v>8.5040524428662945</v>
      </c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9"/>
      <c r="EY40" s="19"/>
      <c r="EZ40" s="19"/>
      <c r="FA40" s="19"/>
      <c r="FB40" s="19"/>
      <c r="FC40" s="19"/>
      <c r="FD40" s="19"/>
      <c r="FE40" s="19"/>
      <c r="FF40" s="19"/>
      <c r="FG40" s="19"/>
      <c r="FH40" s="19"/>
      <c r="FI40" s="19"/>
      <c r="FJ40" s="19"/>
      <c r="FK40" s="19"/>
      <c r="FL40" s="19"/>
      <c r="FM40" s="19"/>
      <c r="FN40" s="19"/>
      <c r="FO40" s="19"/>
      <c r="FP40" s="19"/>
      <c r="FQ40" s="19"/>
      <c r="FR40" s="19"/>
      <c r="FS40" s="19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>
        <v>8.5040524428662945</v>
      </c>
      <c r="GJ40" s="17"/>
      <c r="GK40" s="17"/>
      <c r="GL40" s="17"/>
      <c r="GM40" s="17"/>
      <c r="GN40" s="17"/>
      <c r="GO40" s="17"/>
      <c r="GP40" s="17"/>
      <c r="GQ40" s="17"/>
      <c r="GR40" s="17"/>
      <c r="GS40" s="17"/>
      <c r="GT40" s="17"/>
      <c r="GU40" s="17"/>
      <c r="GV40" s="17"/>
      <c r="GW40" s="17"/>
      <c r="GX40" s="17"/>
      <c r="GY40" s="17"/>
    </row>
    <row r="41" spans="1:207" x14ac:dyDescent="0.25">
      <c r="A41" s="18" t="s">
        <v>33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>
        <v>1.2379078606142346</v>
      </c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/>
      <c r="EQ41" s="19"/>
      <c r="ER41" s="19"/>
      <c r="ES41" s="19"/>
      <c r="ET41" s="19"/>
      <c r="EU41" s="19"/>
      <c r="EV41" s="19"/>
      <c r="EW41" s="19"/>
      <c r="EX41" s="19"/>
      <c r="EY41" s="19"/>
      <c r="EZ41" s="19"/>
      <c r="FA41" s="19"/>
      <c r="FB41" s="19"/>
      <c r="FC41" s="19"/>
      <c r="FD41" s="19"/>
      <c r="FE41" s="19"/>
      <c r="FF41" s="19"/>
      <c r="FG41" s="19"/>
      <c r="FH41" s="19"/>
      <c r="FI41" s="19"/>
      <c r="FJ41" s="19"/>
      <c r="FK41" s="19"/>
      <c r="FL41" s="19"/>
      <c r="FM41" s="19"/>
      <c r="FN41" s="19"/>
      <c r="FO41" s="19"/>
      <c r="FP41" s="19"/>
      <c r="FQ41" s="19"/>
      <c r="FR41" s="19"/>
      <c r="FS41" s="19"/>
      <c r="FT41" s="19"/>
      <c r="FU41" s="19"/>
      <c r="FV41" s="19"/>
      <c r="FW41" s="19"/>
      <c r="FX41" s="19"/>
      <c r="FY41" s="19"/>
      <c r="FZ41" s="19"/>
      <c r="GA41" s="19"/>
      <c r="GB41" s="19"/>
      <c r="GC41" s="19"/>
      <c r="GD41" s="19"/>
      <c r="GE41" s="19"/>
      <c r="GF41" s="19"/>
      <c r="GG41" s="19"/>
      <c r="GH41" s="19"/>
      <c r="GI41" s="19">
        <v>1.2379078606142346</v>
      </c>
      <c r="GJ41" s="17"/>
      <c r="GK41" s="17"/>
      <c r="GL41" s="17"/>
      <c r="GM41" s="17"/>
      <c r="GN41" s="17"/>
      <c r="GO41" s="17"/>
      <c r="GP41" s="17"/>
      <c r="GQ41" s="17"/>
      <c r="GR41" s="17"/>
      <c r="GS41" s="17"/>
      <c r="GT41" s="17"/>
      <c r="GU41" s="17"/>
      <c r="GV41" s="17"/>
      <c r="GW41" s="17"/>
      <c r="GX41" s="17"/>
      <c r="GY41" s="17"/>
    </row>
    <row r="42" spans="1:207" x14ac:dyDescent="0.25">
      <c r="A42" s="18" t="s">
        <v>34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>
        <v>83.695750854987295</v>
      </c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9"/>
      <c r="EY42" s="19"/>
      <c r="EZ42" s="19"/>
      <c r="FA42" s="19"/>
      <c r="FB42" s="19"/>
      <c r="FC42" s="19"/>
      <c r="FD42" s="19"/>
      <c r="FE42" s="19"/>
      <c r="FF42" s="19"/>
      <c r="FG42" s="19"/>
      <c r="FH42" s="19"/>
      <c r="FI42" s="19"/>
      <c r="FJ42" s="19"/>
      <c r="FK42" s="19"/>
      <c r="FL42" s="19"/>
      <c r="FM42" s="19"/>
      <c r="FN42" s="19"/>
      <c r="FO42" s="19"/>
      <c r="FP42" s="19"/>
      <c r="FQ42" s="19"/>
      <c r="FR42" s="19"/>
      <c r="FS42" s="19"/>
      <c r="FT42" s="19"/>
      <c r="FU42" s="19"/>
      <c r="FV42" s="19"/>
      <c r="FW42" s="19"/>
      <c r="FX42" s="19"/>
      <c r="FY42" s="19"/>
      <c r="FZ42" s="19"/>
      <c r="GA42" s="19"/>
      <c r="GB42" s="19"/>
      <c r="GC42" s="19"/>
      <c r="GD42" s="19"/>
      <c r="GE42" s="19"/>
      <c r="GF42" s="19"/>
      <c r="GG42" s="19"/>
      <c r="GH42" s="19"/>
      <c r="GI42" s="19">
        <v>83.695750854987295</v>
      </c>
      <c r="GJ42" s="17"/>
      <c r="GK42" s="17"/>
      <c r="GL42" s="17"/>
      <c r="GM42" s="17"/>
      <c r="GN42" s="17"/>
      <c r="GO42" s="17"/>
      <c r="GP42" s="17"/>
      <c r="GQ42" s="17"/>
      <c r="GR42" s="17"/>
      <c r="GS42" s="17"/>
      <c r="GT42" s="17"/>
      <c r="GU42" s="17"/>
      <c r="GV42" s="17"/>
      <c r="GW42" s="17"/>
      <c r="GX42" s="17"/>
      <c r="GY42" s="17"/>
    </row>
    <row r="43" spans="1:207" x14ac:dyDescent="0.25">
      <c r="A43" s="18" t="s">
        <v>35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>
        <v>24.902167666191001</v>
      </c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19"/>
      <c r="EY43" s="19"/>
      <c r="EZ43" s="19"/>
      <c r="FA43" s="19"/>
      <c r="FB43" s="19"/>
      <c r="FC43" s="19"/>
      <c r="FD43" s="19"/>
      <c r="FE43" s="19"/>
      <c r="FF43" s="19"/>
      <c r="FG43" s="19"/>
      <c r="FH43" s="19"/>
      <c r="FI43" s="19"/>
      <c r="FJ43" s="19"/>
      <c r="FK43" s="19"/>
      <c r="FL43" s="19"/>
      <c r="FM43" s="19"/>
      <c r="FN43" s="19"/>
      <c r="FO43" s="19"/>
      <c r="FP43" s="19"/>
      <c r="FQ43" s="19"/>
      <c r="FR43" s="19"/>
      <c r="FS43" s="19"/>
      <c r="FT43" s="19"/>
      <c r="FU43" s="19"/>
      <c r="FV43" s="19"/>
      <c r="FW43" s="19"/>
      <c r="FX43" s="19"/>
      <c r="FY43" s="19"/>
      <c r="FZ43" s="19"/>
      <c r="GA43" s="19"/>
      <c r="GB43" s="19"/>
      <c r="GC43" s="19"/>
      <c r="GD43" s="19"/>
      <c r="GE43" s="19"/>
      <c r="GF43" s="19"/>
      <c r="GG43" s="19"/>
      <c r="GH43" s="19"/>
      <c r="GI43" s="19">
        <v>24.902167666191001</v>
      </c>
      <c r="GJ43" s="17"/>
      <c r="GK43" s="17"/>
      <c r="GL43" s="17"/>
      <c r="GM43" s="17"/>
      <c r="GN43" s="17"/>
      <c r="GO43" s="17"/>
      <c r="GP43" s="17"/>
      <c r="GQ43" s="17"/>
      <c r="GR43" s="17"/>
      <c r="GS43" s="17"/>
      <c r="GT43" s="17"/>
      <c r="GU43" s="17"/>
      <c r="GV43" s="17"/>
      <c r="GW43" s="17"/>
      <c r="GX43" s="17"/>
      <c r="GY43" s="17"/>
    </row>
    <row r="44" spans="1:207" x14ac:dyDescent="0.25">
      <c r="A44" s="18" t="s">
        <v>36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>
        <v>27.039316054763141</v>
      </c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9"/>
      <c r="EY44" s="19"/>
      <c r="EZ44" s="19"/>
      <c r="FA44" s="19"/>
      <c r="FB44" s="19"/>
      <c r="FC44" s="19"/>
      <c r="FD44" s="19"/>
      <c r="FE44" s="19"/>
      <c r="FF44" s="19"/>
      <c r="FG44" s="19"/>
      <c r="FH44" s="19"/>
      <c r="FI44" s="19"/>
      <c r="FJ44" s="19"/>
      <c r="FK44" s="19"/>
      <c r="FL44" s="19"/>
      <c r="FM44" s="19"/>
      <c r="FN44" s="19"/>
      <c r="FO44" s="19"/>
      <c r="FP44" s="19"/>
      <c r="FQ44" s="19"/>
      <c r="FR44" s="19"/>
      <c r="FS44" s="19"/>
      <c r="FT44" s="19"/>
      <c r="FU44" s="19"/>
      <c r="FV44" s="19"/>
      <c r="FW44" s="19"/>
      <c r="FX44" s="19"/>
      <c r="FY44" s="19"/>
      <c r="FZ44" s="19"/>
      <c r="GA44" s="19"/>
      <c r="GB44" s="19"/>
      <c r="GC44" s="19"/>
      <c r="GD44" s="19"/>
      <c r="GE44" s="19"/>
      <c r="GF44" s="19"/>
      <c r="GG44" s="19"/>
      <c r="GH44" s="19"/>
      <c r="GI44" s="19">
        <v>27.039316054763141</v>
      </c>
      <c r="GJ44" s="17"/>
      <c r="GK44" s="17"/>
      <c r="GL44" s="17"/>
      <c r="GM44" s="17"/>
      <c r="GN44" s="17"/>
      <c r="GO44" s="17"/>
      <c r="GP44" s="17"/>
      <c r="GQ44" s="17"/>
      <c r="GR44" s="17"/>
      <c r="GS44" s="17"/>
      <c r="GT44" s="17"/>
      <c r="GU44" s="17"/>
      <c r="GV44" s="17"/>
      <c r="GW44" s="17"/>
      <c r="GX44" s="17"/>
      <c r="GY44" s="17"/>
    </row>
    <row r="45" spans="1:207" x14ac:dyDescent="0.25">
      <c r="A45" s="18" t="s">
        <v>37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>
        <v>15.866824749285994</v>
      </c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FI45" s="19"/>
      <c r="FJ45" s="19"/>
      <c r="FK45" s="19"/>
      <c r="FL45" s="19"/>
      <c r="FM45" s="19"/>
      <c r="FN45" s="19"/>
      <c r="FO45" s="19"/>
      <c r="FP45" s="19"/>
      <c r="FQ45" s="19"/>
      <c r="FR45" s="19"/>
      <c r="FS45" s="19"/>
      <c r="FT45" s="19"/>
      <c r="FU45" s="19"/>
      <c r="FV45" s="19"/>
      <c r="FW45" s="19"/>
      <c r="FX45" s="19"/>
      <c r="FY45" s="19"/>
      <c r="FZ45" s="19"/>
      <c r="GA45" s="19"/>
      <c r="GB45" s="19"/>
      <c r="GC45" s="19"/>
      <c r="GD45" s="19"/>
      <c r="GE45" s="19"/>
      <c r="GF45" s="19"/>
      <c r="GG45" s="19"/>
      <c r="GH45" s="19"/>
      <c r="GI45" s="19">
        <v>15.866824749285994</v>
      </c>
      <c r="GJ45" s="17"/>
      <c r="GK45" s="17"/>
      <c r="GL45" s="17"/>
      <c r="GM45" s="17"/>
      <c r="GN45" s="17"/>
      <c r="GO45" s="17"/>
      <c r="GP45" s="17"/>
      <c r="GQ45" s="17"/>
      <c r="GR45" s="17"/>
      <c r="GS45" s="17"/>
      <c r="GT45" s="17"/>
      <c r="GU45" s="17"/>
      <c r="GV45" s="17"/>
      <c r="GW45" s="17"/>
      <c r="GX45" s="17"/>
      <c r="GY45" s="17"/>
    </row>
    <row r="46" spans="1:207" x14ac:dyDescent="0.25">
      <c r="A46" s="18" t="s">
        <v>38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>
        <v>32.726484136518096</v>
      </c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/>
      <c r="EQ46" s="19"/>
      <c r="ER46" s="19"/>
      <c r="ES46" s="19"/>
      <c r="ET46" s="19"/>
      <c r="EU46" s="19"/>
      <c r="EV46" s="19"/>
      <c r="EW46" s="19"/>
      <c r="EX46" s="19"/>
      <c r="EY46" s="19"/>
      <c r="EZ46" s="19"/>
      <c r="FA46" s="19"/>
      <c r="FB46" s="19"/>
      <c r="FC46" s="19"/>
      <c r="FD46" s="19"/>
      <c r="FE46" s="19"/>
      <c r="FF46" s="19"/>
      <c r="FG46" s="19"/>
      <c r="FH46" s="19"/>
      <c r="FI46" s="19"/>
      <c r="FJ46" s="19"/>
      <c r="FK46" s="19"/>
      <c r="FL46" s="19"/>
      <c r="FM46" s="19"/>
      <c r="FN46" s="19"/>
      <c r="FO46" s="19"/>
      <c r="FP46" s="19"/>
      <c r="FQ46" s="19"/>
      <c r="FR46" s="19"/>
      <c r="FS46" s="19"/>
      <c r="FT46" s="19"/>
      <c r="FU46" s="19"/>
      <c r="FV46" s="19"/>
      <c r="FW46" s="19"/>
      <c r="FX46" s="19"/>
      <c r="FY46" s="19"/>
      <c r="FZ46" s="19"/>
      <c r="GA46" s="19"/>
      <c r="GB46" s="19"/>
      <c r="GC46" s="19"/>
      <c r="GD46" s="19"/>
      <c r="GE46" s="19"/>
      <c r="GF46" s="19"/>
      <c r="GG46" s="19"/>
      <c r="GH46" s="19"/>
      <c r="GI46" s="19">
        <v>32.726484136518096</v>
      </c>
      <c r="GJ46" s="17"/>
      <c r="GK46" s="17"/>
      <c r="GL46" s="17"/>
      <c r="GM46" s="17"/>
      <c r="GN46" s="17"/>
      <c r="GO46" s="17"/>
      <c r="GP46" s="17"/>
      <c r="GQ46" s="17"/>
      <c r="GR46" s="17"/>
      <c r="GS46" s="17"/>
      <c r="GT46" s="17"/>
      <c r="GU46" s="17"/>
      <c r="GV46" s="17"/>
      <c r="GW46" s="17"/>
      <c r="GX46" s="17"/>
      <c r="GY46" s="17"/>
    </row>
    <row r="47" spans="1:207" x14ac:dyDescent="0.25">
      <c r="A47" s="18" t="s">
        <v>39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>
        <v>0.41106575897464614</v>
      </c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>
        <v>0.41106575897464614</v>
      </c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</row>
    <row r="48" spans="1:207" x14ac:dyDescent="0.25">
      <c r="A48" s="18" t="s">
        <v>40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>
        <v>4.9311764772629472</v>
      </c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/>
      <c r="EQ48" s="19"/>
      <c r="ER48" s="19"/>
      <c r="ES48" s="19"/>
      <c r="ET48" s="19"/>
      <c r="EU48" s="19"/>
      <c r="EV48" s="19"/>
      <c r="EW48" s="19"/>
      <c r="EX48" s="19"/>
      <c r="EY48" s="19"/>
      <c r="EZ48" s="19"/>
      <c r="FA48" s="19"/>
      <c r="FB48" s="19"/>
      <c r="FC48" s="19"/>
      <c r="FD48" s="19"/>
      <c r="FE48" s="19"/>
      <c r="FF48" s="19"/>
      <c r="FG48" s="19"/>
      <c r="FH48" s="19"/>
      <c r="FI48" s="19"/>
      <c r="FJ48" s="19"/>
      <c r="FK48" s="19"/>
      <c r="FL48" s="19"/>
      <c r="FM48" s="19"/>
      <c r="FN48" s="19"/>
      <c r="FO48" s="19"/>
      <c r="FP48" s="19"/>
      <c r="FQ48" s="19"/>
      <c r="FR48" s="19"/>
      <c r="FS48" s="19"/>
      <c r="FT48" s="19"/>
      <c r="FU48" s="19"/>
      <c r="FV48" s="19"/>
      <c r="FW48" s="19"/>
      <c r="FX48" s="19"/>
      <c r="FY48" s="19"/>
      <c r="FZ48" s="19"/>
      <c r="GA48" s="19"/>
      <c r="GB48" s="19"/>
      <c r="GC48" s="19"/>
      <c r="GD48" s="19"/>
      <c r="GE48" s="19"/>
      <c r="GF48" s="19"/>
      <c r="GG48" s="19"/>
      <c r="GH48" s="19"/>
      <c r="GI48" s="19">
        <v>4.9311764772629472</v>
      </c>
      <c r="GJ48" s="17"/>
      <c r="GK48" s="17"/>
      <c r="GL48" s="17"/>
      <c r="GM48" s="17"/>
      <c r="GN48" s="17"/>
      <c r="GO48" s="17"/>
      <c r="GP48" s="17"/>
      <c r="GQ48" s="17"/>
      <c r="GR48" s="17"/>
      <c r="GS48" s="17"/>
      <c r="GT48" s="17"/>
      <c r="GU48" s="17"/>
      <c r="GV48" s="17"/>
      <c r="GW48" s="17"/>
      <c r="GX48" s="17"/>
      <c r="GY48" s="17"/>
    </row>
    <row r="49" spans="1:207" x14ac:dyDescent="0.25">
      <c r="A49" s="18" t="s">
        <v>41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>
        <v>147.65138239745943</v>
      </c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/>
      <c r="EQ49" s="19"/>
      <c r="ER49" s="19"/>
      <c r="ES49" s="19"/>
      <c r="ET49" s="19"/>
      <c r="EU49" s="19"/>
      <c r="EV49" s="19"/>
      <c r="EW49" s="19"/>
      <c r="EX49" s="19"/>
      <c r="EY49" s="19"/>
      <c r="EZ49" s="19"/>
      <c r="FA49" s="19"/>
      <c r="FB49" s="19"/>
      <c r="FC49" s="19"/>
      <c r="FD49" s="19"/>
      <c r="FE49" s="19"/>
      <c r="FF49" s="19"/>
      <c r="FG49" s="19"/>
      <c r="FH49" s="19"/>
      <c r="FI49" s="19"/>
      <c r="FJ49" s="19"/>
      <c r="FK49" s="19"/>
      <c r="FL49" s="19"/>
      <c r="FM49" s="19"/>
      <c r="FN49" s="19"/>
      <c r="FO49" s="19"/>
      <c r="FP49" s="19"/>
      <c r="FQ49" s="19"/>
      <c r="FR49" s="19"/>
      <c r="FS49" s="19"/>
      <c r="FT49" s="19"/>
      <c r="FU49" s="19"/>
      <c r="FV49" s="19"/>
      <c r="FW49" s="19"/>
      <c r="FX49" s="19"/>
      <c r="FY49" s="19"/>
      <c r="FZ49" s="19"/>
      <c r="GA49" s="19"/>
      <c r="GB49" s="19"/>
      <c r="GC49" s="19"/>
      <c r="GD49" s="19"/>
      <c r="GE49" s="19"/>
      <c r="GF49" s="19"/>
      <c r="GG49" s="19"/>
      <c r="GH49" s="19"/>
      <c r="GI49" s="19">
        <v>147.65138239745943</v>
      </c>
      <c r="GJ49" s="17"/>
      <c r="GK49" s="17"/>
      <c r="GL49" s="17"/>
      <c r="GM49" s="17"/>
      <c r="GN49" s="17"/>
      <c r="GO49" s="17"/>
      <c r="GP49" s="17"/>
      <c r="GQ49" s="17"/>
      <c r="GR49" s="17"/>
      <c r="GS49" s="17"/>
      <c r="GT49" s="17"/>
      <c r="GU49" s="17"/>
      <c r="GV49" s="17"/>
      <c r="GW49" s="17"/>
      <c r="GX49" s="17"/>
      <c r="GY49" s="17"/>
    </row>
    <row r="50" spans="1:207" x14ac:dyDescent="0.25">
      <c r="A50" s="18" t="s">
        <v>42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>
        <v>0.10376829156765502</v>
      </c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FI50" s="19"/>
      <c r="FJ50" s="19"/>
      <c r="FK50" s="19"/>
      <c r="FL50" s="19"/>
      <c r="FM50" s="19"/>
      <c r="FN50" s="19"/>
      <c r="FO50" s="19"/>
      <c r="FP50" s="19"/>
      <c r="FQ50" s="19"/>
      <c r="FR50" s="19"/>
      <c r="FS50" s="19"/>
      <c r="FT50" s="19"/>
      <c r="FU50" s="19"/>
      <c r="FV50" s="19"/>
      <c r="FW50" s="19"/>
      <c r="FX50" s="19"/>
      <c r="FY50" s="19"/>
      <c r="FZ50" s="19"/>
      <c r="GA50" s="19"/>
      <c r="GB50" s="19"/>
      <c r="GC50" s="19"/>
      <c r="GD50" s="19"/>
      <c r="GE50" s="19"/>
      <c r="GF50" s="19"/>
      <c r="GG50" s="19"/>
      <c r="GH50" s="19"/>
      <c r="GI50" s="19">
        <v>0.10376829156765502</v>
      </c>
      <c r="GJ50" s="17"/>
      <c r="GK50" s="17"/>
      <c r="GL50" s="17"/>
      <c r="GM50" s="17"/>
      <c r="GN50" s="17"/>
      <c r="GO50" s="17"/>
      <c r="GP50" s="17"/>
      <c r="GQ50" s="17"/>
      <c r="GR50" s="17"/>
      <c r="GS50" s="17"/>
      <c r="GT50" s="17"/>
      <c r="GU50" s="17"/>
      <c r="GV50" s="17"/>
      <c r="GW50" s="17"/>
      <c r="GX50" s="17"/>
      <c r="GY50" s="17"/>
    </row>
    <row r="51" spans="1:207" x14ac:dyDescent="0.25">
      <c r="A51" s="18" t="s">
        <v>43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>
        <v>150.23815656002949</v>
      </c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19">
        <v>150.23815656002949</v>
      </c>
      <c r="GJ51" s="17"/>
      <c r="GK51" s="17"/>
      <c r="GL51" s="17"/>
      <c r="GM51" s="17"/>
      <c r="GN51" s="17"/>
      <c r="GO51" s="17"/>
      <c r="GP51" s="17"/>
      <c r="GQ51" s="17"/>
      <c r="GR51" s="17"/>
      <c r="GS51" s="17"/>
      <c r="GT51" s="17"/>
      <c r="GU51" s="17"/>
      <c r="GV51" s="17"/>
      <c r="GW51" s="17"/>
      <c r="GX51" s="17"/>
      <c r="GY51" s="17"/>
    </row>
    <row r="52" spans="1:207" x14ac:dyDescent="0.25">
      <c r="A52" s="18" t="s">
        <v>44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>
        <v>30.972664678421317</v>
      </c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/>
      <c r="EQ52" s="19"/>
      <c r="ER52" s="19"/>
      <c r="ES52" s="19"/>
      <c r="ET52" s="19"/>
      <c r="EU52" s="19"/>
      <c r="EV52" s="19"/>
      <c r="EW52" s="19"/>
      <c r="EX52" s="19"/>
      <c r="EY52" s="19"/>
      <c r="EZ52" s="19"/>
      <c r="FA52" s="19"/>
      <c r="FB52" s="19"/>
      <c r="FC52" s="19"/>
      <c r="FD52" s="19"/>
      <c r="FE52" s="19"/>
      <c r="FF52" s="19"/>
      <c r="FG52" s="19"/>
      <c r="FH52" s="19"/>
      <c r="FI52" s="19"/>
      <c r="FJ52" s="19"/>
      <c r="FK52" s="19"/>
      <c r="FL52" s="19"/>
      <c r="FM52" s="19"/>
      <c r="FN52" s="19"/>
      <c r="FO52" s="19"/>
      <c r="FP52" s="19"/>
      <c r="FQ52" s="19"/>
      <c r="FR52" s="19"/>
      <c r="FS52" s="19"/>
      <c r="FT52" s="19"/>
      <c r="FU52" s="19"/>
      <c r="FV52" s="19"/>
      <c r="FW52" s="19"/>
      <c r="FX52" s="19"/>
      <c r="FY52" s="19"/>
      <c r="FZ52" s="19"/>
      <c r="GA52" s="19"/>
      <c r="GB52" s="19"/>
      <c r="GC52" s="19"/>
      <c r="GD52" s="19"/>
      <c r="GE52" s="19"/>
      <c r="GF52" s="19"/>
      <c r="GG52" s="19"/>
      <c r="GH52" s="19"/>
      <c r="GI52" s="19">
        <v>30.972664678421317</v>
      </c>
      <c r="GJ52" s="17"/>
      <c r="GK52" s="17"/>
      <c r="GL52" s="17"/>
      <c r="GM52" s="17"/>
      <c r="GN52" s="17"/>
      <c r="GO52" s="17"/>
      <c r="GP52" s="17"/>
      <c r="GQ52" s="17"/>
      <c r="GR52" s="17"/>
      <c r="GS52" s="17"/>
      <c r="GT52" s="17"/>
      <c r="GU52" s="17"/>
      <c r="GV52" s="17"/>
      <c r="GW52" s="17"/>
      <c r="GX52" s="17"/>
      <c r="GY52" s="17"/>
    </row>
    <row r="53" spans="1:207" x14ac:dyDescent="0.25">
      <c r="A53" s="18" t="s">
        <v>45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>
        <v>2.6387413557230062</v>
      </c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9"/>
      <c r="EY53" s="19"/>
      <c r="EZ53" s="19"/>
      <c r="FA53" s="19"/>
      <c r="FB53" s="19"/>
      <c r="FC53" s="19"/>
      <c r="FD53" s="19"/>
      <c r="FE53" s="19"/>
      <c r="FF53" s="19"/>
      <c r="FG53" s="19"/>
      <c r="FH53" s="19"/>
      <c r="FI53" s="19"/>
      <c r="FJ53" s="19"/>
      <c r="FK53" s="19"/>
      <c r="FL53" s="19"/>
      <c r="FM53" s="19"/>
      <c r="FN53" s="19"/>
      <c r="FO53" s="19"/>
      <c r="FP53" s="19"/>
      <c r="FQ53" s="19"/>
      <c r="FR53" s="19"/>
      <c r="FS53" s="19"/>
      <c r="FT53" s="19"/>
      <c r="FU53" s="19"/>
      <c r="FV53" s="19"/>
      <c r="FW53" s="19"/>
      <c r="FX53" s="19"/>
      <c r="FY53" s="19"/>
      <c r="FZ53" s="19"/>
      <c r="GA53" s="19"/>
      <c r="GB53" s="19"/>
      <c r="GC53" s="19"/>
      <c r="GD53" s="19"/>
      <c r="GE53" s="19"/>
      <c r="GF53" s="19"/>
      <c r="GG53" s="19"/>
      <c r="GH53" s="19"/>
      <c r="GI53" s="19">
        <v>2.6387413557230062</v>
      </c>
      <c r="GJ53" s="17"/>
      <c r="GK53" s="17"/>
      <c r="GL53" s="17"/>
      <c r="GM53" s="17"/>
      <c r="GN53" s="17"/>
      <c r="GO53" s="17"/>
      <c r="GP53" s="17"/>
      <c r="GQ53" s="17"/>
      <c r="GR53" s="17"/>
      <c r="GS53" s="17"/>
      <c r="GT53" s="17"/>
      <c r="GU53" s="17"/>
      <c r="GV53" s="17"/>
      <c r="GW53" s="17"/>
      <c r="GX53" s="17"/>
      <c r="GY53" s="17"/>
    </row>
    <row r="54" spans="1:207" x14ac:dyDescent="0.25">
      <c r="A54" s="18" t="s">
        <v>46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>
        <v>44.338076871080169</v>
      </c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FI54" s="19"/>
      <c r="FJ54" s="19"/>
      <c r="FK54" s="19"/>
      <c r="FL54" s="19"/>
      <c r="FM54" s="19"/>
      <c r="FN54" s="19"/>
      <c r="FO54" s="19"/>
      <c r="FP54" s="19"/>
      <c r="FQ54" s="19"/>
      <c r="FR54" s="19"/>
      <c r="FS54" s="19"/>
      <c r="FT54" s="19"/>
      <c r="FU54" s="19"/>
      <c r="FV54" s="19"/>
      <c r="FW54" s="19"/>
      <c r="FX54" s="19"/>
      <c r="FY54" s="19"/>
      <c r="FZ54" s="19"/>
      <c r="GA54" s="19"/>
      <c r="GB54" s="19"/>
      <c r="GC54" s="19"/>
      <c r="GD54" s="19"/>
      <c r="GE54" s="19"/>
      <c r="GF54" s="19"/>
      <c r="GG54" s="19"/>
      <c r="GH54" s="19"/>
      <c r="GI54" s="19">
        <v>44.338076871080169</v>
      </c>
      <c r="GJ54" s="17"/>
      <c r="GK54" s="17"/>
      <c r="GL54" s="17"/>
      <c r="GM54" s="17"/>
      <c r="GN54" s="17"/>
      <c r="GO54" s="17"/>
      <c r="GP54" s="17"/>
      <c r="GQ54" s="17"/>
      <c r="GR54" s="17"/>
      <c r="GS54" s="17"/>
      <c r="GT54" s="17"/>
      <c r="GU54" s="17"/>
      <c r="GV54" s="17"/>
      <c r="GW54" s="17"/>
      <c r="GX54" s="17"/>
      <c r="GY54" s="17"/>
    </row>
    <row r="55" spans="1:207" x14ac:dyDescent="0.25">
      <c r="A55" s="18" t="s">
        <v>47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>
        <v>0.64989953750446328</v>
      </c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/>
      <c r="EQ55" s="19"/>
      <c r="ER55" s="19"/>
      <c r="ES55" s="19"/>
      <c r="ET55" s="19"/>
      <c r="EU55" s="19"/>
      <c r="EV55" s="19"/>
      <c r="EW55" s="19"/>
      <c r="EX55" s="19"/>
      <c r="EY55" s="19"/>
      <c r="EZ55" s="19"/>
      <c r="FA55" s="19"/>
      <c r="FB55" s="19"/>
      <c r="FC55" s="19"/>
      <c r="FD55" s="19"/>
      <c r="FE55" s="19"/>
      <c r="FF55" s="19"/>
      <c r="FG55" s="19"/>
      <c r="FH55" s="19"/>
      <c r="FI55" s="19"/>
      <c r="FJ55" s="19"/>
      <c r="FK55" s="19"/>
      <c r="FL55" s="19"/>
      <c r="FM55" s="19"/>
      <c r="FN55" s="19"/>
      <c r="FO55" s="19"/>
      <c r="FP55" s="19"/>
      <c r="FQ55" s="19"/>
      <c r="FR55" s="19"/>
      <c r="FS55" s="19"/>
      <c r="FT55" s="19"/>
      <c r="FU55" s="19"/>
      <c r="FV55" s="19"/>
      <c r="FW55" s="19"/>
      <c r="FX55" s="19"/>
      <c r="FY55" s="19"/>
      <c r="FZ55" s="19"/>
      <c r="GA55" s="19"/>
      <c r="GB55" s="19"/>
      <c r="GC55" s="19"/>
      <c r="GD55" s="19"/>
      <c r="GE55" s="19"/>
      <c r="GF55" s="19"/>
      <c r="GG55" s="19"/>
      <c r="GH55" s="19"/>
      <c r="GI55" s="19">
        <v>0.64989953750446328</v>
      </c>
      <c r="GJ55" s="17"/>
      <c r="GK55" s="17"/>
      <c r="GL55" s="17"/>
      <c r="GM55" s="17"/>
      <c r="GN55" s="17"/>
      <c r="GO55" s="17"/>
      <c r="GP55" s="17"/>
      <c r="GQ55" s="17"/>
      <c r="GR55" s="17"/>
      <c r="GS55" s="17"/>
      <c r="GT55" s="17"/>
      <c r="GU55" s="17"/>
      <c r="GV55" s="17"/>
      <c r="GW55" s="17"/>
      <c r="GX55" s="17"/>
      <c r="GY55" s="17"/>
    </row>
    <row r="56" spans="1:207" x14ac:dyDescent="0.25">
      <c r="A56" s="18" t="s">
        <v>48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>
        <v>77.984480372158927</v>
      </c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/>
      <c r="EQ56" s="19"/>
      <c r="ER56" s="19"/>
      <c r="ES56" s="19"/>
      <c r="ET56" s="19"/>
      <c r="EU56" s="19"/>
      <c r="EV56" s="19"/>
      <c r="EW56" s="19"/>
      <c r="EX56" s="19"/>
      <c r="EY56" s="19"/>
      <c r="EZ56" s="19"/>
      <c r="FA56" s="19"/>
      <c r="FB56" s="19"/>
      <c r="FC56" s="19"/>
      <c r="FD56" s="19"/>
      <c r="FE56" s="19"/>
      <c r="FF56" s="19"/>
      <c r="FG56" s="19"/>
      <c r="FH56" s="19"/>
      <c r="FI56" s="19"/>
      <c r="FJ56" s="19"/>
      <c r="FK56" s="19"/>
      <c r="FL56" s="19"/>
      <c r="FM56" s="19"/>
      <c r="FN56" s="19"/>
      <c r="FO56" s="19"/>
      <c r="FP56" s="19"/>
      <c r="FQ56" s="19"/>
      <c r="FR56" s="19"/>
      <c r="FS56" s="19"/>
      <c r="FT56" s="19"/>
      <c r="FU56" s="19"/>
      <c r="FV56" s="19"/>
      <c r="FW56" s="19"/>
      <c r="FX56" s="19"/>
      <c r="FY56" s="19"/>
      <c r="FZ56" s="19"/>
      <c r="GA56" s="19"/>
      <c r="GB56" s="19"/>
      <c r="GC56" s="19"/>
      <c r="GD56" s="19"/>
      <c r="GE56" s="19"/>
      <c r="GF56" s="19"/>
      <c r="GG56" s="19"/>
      <c r="GH56" s="19"/>
      <c r="GI56" s="19">
        <v>77.984480372158927</v>
      </c>
      <c r="GJ56" s="17"/>
      <c r="GK56" s="17"/>
      <c r="GL56" s="17"/>
      <c r="GM56" s="17"/>
      <c r="GN56" s="17"/>
      <c r="GO56" s="17"/>
      <c r="GP56" s="17"/>
      <c r="GQ56" s="17"/>
      <c r="GR56" s="17"/>
      <c r="GS56" s="17"/>
      <c r="GT56" s="17"/>
      <c r="GU56" s="17"/>
      <c r="GV56" s="17"/>
      <c r="GW56" s="17"/>
      <c r="GX56" s="17"/>
      <c r="GY56" s="17"/>
    </row>
    <row r="57" spans="1:207" x14ac:dyDescent="0.25">
      <c r="A57" s="18" t="s">
        <v>49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>
        <v>23.716593477406356</v>
      </c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19"/>
      <c r="GC57" s="19"/>
      <c r="GD57" s="19"/>
      <c r="GE57" s="19"/>
      <c r="GF57" s="19"/>
      <c r="GG57" s="19"/>
      <c r="GH57" s="19"/>
      <c r="GI57" s="19">
        <v>23.716593477406356</v>
      </c>
      <c r="GJ57" s="17"/>
      <c r="GK57" s="17"/>
      <c r="GL57" s="17"/>
      <c r="GM57" s="17"/>
      <c r="GN57" s="17"/>
      <c r="GO57" s="17"/>
      <c r="GP57" s="17"/>
      <c r="GQ57" s="17"/>
      <c r="GR57" s="17"/>
      <c r="GS57" s="17"/>
      <c r="GT57" s="17"/>
      <c r="GU57" s="17"/>
      <c r="GV57" s="17"/>
      <c r="GW57" s="17"/>
      <c r="GX57" s="17"/>
      <c r="GY57" s="17"/>
    </row>
    <row r="58" spans="1:207" x14ac:dyDescent="0.25">
      <c r="A58" s="18" t="s">
        <v>50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>
        <v>11.090584576201941</v>
      </c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/>
      <c r="EQ58" s="19"/>
      <c r="ER58" s="19"/>
      <c r="ES58" s="19"/>
      <c r="ET58" s="19"/>
      <c r="EU58" s="19"/>
      <c r="EV58" s="19"/>
      <c r="EW58" s="19"/>
      <c r="EX58" s="19"/>
      <c r="EY58" s="19"/>
      <c r="EZ58" s="19"/>
      <c r="FA58" s="19"/>
      <c r="FB58" s="19"/>
      <c r="FC58" s="19"/>
      <c r="FD58" s="19"/>
      <c r="FE58" s="19"/>
      <c r="FF58" s="19"/>
      <c r="FG58" s="19"/>
      <c r="FH58" s="19"/>
      <c r="FI58" s="19"/>
      <c r="FJ58" s="19"/>
      <c r="FK58" s="19"/>
      <c r="FL58" s="19"/>
      <c r="FM58" s="19"/>
      <c r="FN58" s="19"/>
      <c r="FO58" s="19"/>
      <c r="FP58" s="19"/>
      <c r="FQ58" s="19"/>
      <c r="FR58" s="19"/>
      <c r="FS58" s="19"/>
      <c r="FT58" s="19"/>
      <c r="FU58" s="19"/>
      <c r="FV58" s="19"/>
      <c r="FW58" s="19"/>
      <c r="FX58" s="19"/>
      <c r="FY58" s="19"/>
      <c r="FZ58" s="19"/>
      <c r="GA58" s="19"/>
      <c r="GB58" s="19"/>
      <c r="GC58" s="19"/>
      <c r="GD58" s="19"/>
      <c r="GE58" s="19"/>
      <c r="GF58" s="19"/>
      <c r="GG58" s="19"/>
      <c r="GH58" s="19"/>
      <c r="GI58" s="19">
        <v>11.090584576201941</v>
      </c>
      <c r="GJ58" s="17"/>
      <c r="GK58" s="17"/>
      <c r="GL58" s="17"/>
      <c r="GM58" s="17"/>
      <c r="GN58" s="17"/>
      <c r="GO58" s="17"/>
      <c r="GP58" s="17"/>
      <c r="GQ58" s="17"/>
      <c r="GR58" s="17"/>
      <c r="GS58" s="17"/>
      <c r="GT58" s="17"/>
      <c r="GU58" s="17"/>
      <c r="GV58" s="17"/>
      <c r="GW58" s="17"/>
      <c r="GX58" s="17"/>
      <c r="GY58" s="17"/>
    </row>
    <row r="59" spans="1:207" x14ac:dyDescent="0.25">
      <c r="A59" s="18" t="s">
        <v>51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>
        <v>152.11799533285517</v>
      </c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/>
      <c r="EQ59" s="19"/>
      <c r="ER59" s="19"/>
      <c r="ES59" s="19"/>
      <c r="ET59" s="19"/>
      <c r="EU59" s="19"/>
      <c r="EV59" s="19"/>
      <c r="EW59" s="19"/>
      <c r="EX59" s="19"/>
      <c r="EY59" s="19"/>
      <c r="EZ59" s="19"/>
      <c r="FA59" s="19"/>
      <c r="FB59" s="19"/>
      <c r="FC59" s="19"/>
      <c r="FD59" s="19"/>
      <c r="FE59" s="19"/>
      <c r="FF59" s="19"/>
      <c r="FG59" s="19"/>
      <c r="FH59" s="19"/>
      <c r="FI59" s="19"/>
      <c r="FJ59" s="19"/>
      <c r="FK59" s="19"/>
      <c r="FL59" s="19"/>
      <c r="FM59" s="19"/>
      <c r="FN59" s="19"/>
      <c r="FO59" s="19"/>
      <c r="FP59" s="19"/>
      <c r="FQ59" s="19"/>
      <c r="FR59" s="19"/>
      <c r="FS59" s="19"/>
      <c r="FT59" s="19"/>
      <c r="FU59" s="19"/>
      <c r="FV59" s="19"/>
      <c r="FW59" s="19"/>
      <c r="FX59" s="19"/>
      <c r="FY59" s="19"/>
      <c r="FZ59" s="19"/>
      <c r="GA59" s="19"/>
      <c r="GB59" s="19"/>
      <c r="GC59" s="19"/>
      <c r="GD59" s="19"/>
      <c r="GE59" s="19"/>
      <c r="GF59" s="19"/>
      <c r="GG59" s="19"/>
      <c r="GH59" s="19"/>
      <c r="GI59" s="19">
        <v>152.11799533285517</v>
      </c>
      <c r="GJ59" s="17"/>
      <c r="GK59" s="17"/>
      <c r="GL59" s="17"/>
      <c r="GM59" s="17"/>
      <c r="GN59" s="17"/>
      <c r="GO59" s="17"/>
      <c r="GP59" s="17"/>
      <c r="GQ59" s="17"/>
      <c r="GR59" s="17"/>
      <c r="GS59" s="17"/>
      <c r="GT59" s="17"/>
      <c r="GU59" s="17"/>
      <c r="GV59" s="17"/>
      <c r="GW59" s="17"/>
      <c r="GX59" s="17"/>
      <c r="GY59" s="17"/>
    </row>
    <row r="60" spans="1:207" x14ac:dyDescent="0.25">
      <c r="A60" s="18" t="s">
        <v>52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>
        <v>59.509190094005874</v>
      </c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/>
      <c r="EQ60" s="19"/>
      <c r="ER60" s="19"/>
      <c r="ES60" s="19"/>
      <c r="ET60" s="19"/>
      <c r="EU60" s="19"/>
      <c r="EV60" s="19"/>
      <c r="EW60" s="19"/>
      <c r="EX60" s="19"/>
      <c r="EY60" s="19"/>
      <c r="EZ60" s="19"/>
      <c r="FA60" s="19"/>
      <c r="FB60" s="19"/>
      <c r="FC60" s="19"/>
      <c r="FD60" s="19"/>
      <c r="FE60" s="19"/>
      <c r="FF60" s="19"/>
      <c r="FG60" s="19"/>
      <c r="FH60" s="19"/>
      <c r="FI60" s="19"/>
      <c r="FJ60" s="19"/>
      <c r="FK60" s="19"/>
      <c r="FL60" s="19"/>
      <c r="FM60" s="19"/>
      <c r="FN60" s="19"/>
      <c r="FO60" s="19"/>
      <c r="FP60" s="19"/>
      <c r="FQ60" s="19"/>
      <c r="FR60" s="19"/>
      <c r="FS60" s="19"/>
      <c r="FT60" s="19"/>
      <c r="FU60" s="19"/>
      <c r="FV60" s="19"/>
      <c r="FW60" s="19"/>
      <c r="FX60" s="19"/>
      <c r="FY60" s="19"/>
      <c r="FZ60" s="19"/>
      <c r="GA60" s="19"/>
      <c r="GB60" s="19"/>
      <c r="GC60" s="19"/>
      <c r="GD60" s="19"/>
      <c r="GE60" s="19"/>
      <c r="GF60" s="19"/>
      <c r="GG60" s="19"/>
      <c r="GH60" s="19"/>
      <c r="GI60" s="19">
        <v>59.509190094005874</v>
      </c>
      <c r="GJ60" s="17"/>
      <c r="GK60" s="17"/>
      <c r="GL60" s="17"/>
      <c r="GM60" s="17"/>
      <c r="GN60" s="17"/>
      <c r="GO60" s="17"/>
      <c r="GP60" s="17"/>
      <c r="GQ60" s="17"/>
      <c r="GR60" s="17"/>
      <c r="GS60" s="17"/>
      <c r="GT60" s="17"/>
      <c r="GU60" s="17"/>
      <c r="GV60" s="17"/>
      <c r="GW60" s="17"/>
      <c r="GX60" s="17"/>
      <c r="GY60" s="17"/>
    </row>
    <row r="61" spans="1:207" x14ac:dyDescent="0.25">
      <c r="A61" s="18" t="s">
        <v>53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>
        <v>104.29143520714651</v>
      </c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/>
      <c r="EQ61" s="19"/>
      <c r="ER61" s="19"/>
      <c r="ES61" s="19"/>
      <c r="ET61" s="19"/>
      <c r="EU61" s="19"/>
      <c r="EV61" s="19"/>
      <c r="EW61" s="19"/>
      <c r="EX61" s="19"/>
      <c r="EY61" s="19"/>
      <c r="EZ61" s="19"/>
      <c r="FA61" s="19"/>
      <c r="FB61" s="19"/>
      <c r="FC61" s="19"/>
      <c r="FD61" s="19"/>
      <c r="FE61" s="19"/>
      <c r="FF61" s="19"/>
      <c r="FG61" s="19"/>
      <c r="FH61" s="19"/>
      <c r="FI61" s="19"/>
      <c r="FJ61" s="19"/>
      <c r="FK61" s="19"/>
      <c r="FL61" s="19"/>
      <c r="FM61" s="19"/>
      <c r="FN61" s="19"/>
      <c r="FO61" s="19"/>
      <c r="FP61" s="19"/>
      <c r="FQ61" s="19"/>
      <c r="FR61" s="19"/>
      <c r="FS61" s="19"/>
      <c r="FT61" s="19"/>
      <c r="FU61" s="19"/>
      <c r="FV61" s="19"/>
      <c r="FW61" s="19"/>
      <c r="FX61" s="19"/>
      <c r="FY61" s="19"/>
      <c r="FZ61" s="19"/>
      <c r="GA61" s="19"/>
      <c r="GB61" s="19"/>
      <c r="GC61" s="19"/>
      <c r="GD61" s="19"/>
      <c r="GE61" s="19"/>
      <c r="GF61" s="19"/>
      <c r="GG61" s="19"/>
      <c r="GH61" s="19"/>
      <c r="GI61" s="19">
        <v>104.29143520714651</v>
      </c>
      <c r="GJ61" s="17"/>
      <c r="GK61" s="17"/>
      <c r="GL61" s="17"/>
      <c r="GM61" s="17"/>
      <c r="GN61" s="17"/>
      <c r="GO61" s="17"/>
      <c r="GP61" s="17"/>
      <c r="GQ61" s="17"/>
      <c r="GR61" s="17"/>
      <c r="GS61" s="17"/>
      <c r="GT61" s="17"/>
      <c r="GU61" s="17"/>
      <c r="GV61" s="17"/>
      <c r="GW61" s="17"/>
      <c r="GX61" s="17"/>
      <c r="GY61" s="17"/>
    </row>
    <row r="62" spans="1:207" x14ac:dyDescent="0.25">
      <c r="A62" s="18" t="s">
        <v>54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>
        <v>0.27562249583007192</v>
      </c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/>
      <c r="EQ62" s="19"/>
      <c r="ER62" s="19"/>
      <c r="ES62" s="19"/>
      <c r="ET62" s="19"/>
      <c r="EU62" s="19"/>
      <c r="EV62" s="19"/>
      <c r="EW62" s="19"/>
      <c r="EX62" s="19"/>
      <c r="EY62" s="19"/>
      <c r="EZ62" s="19"/>
      <c r="FA62" s="19"/>
      <c r="FB62" s="19"/>
      <c r="FC62" s="19"/>
      <c r="FD62" s="19"/>
      <c r="FE62" s="19"/>
      <c r="FF62" s="19"/>
      <c r="FG62" s="19"/>
      <c r="FH62" s="19"/>
      <c r="FI62" s="19"/>
      <c r="FJ62" s="19"/>
      <c r="FK62" s="19"/>
      <c r="FL62" s="19"/>
      <c r="FM62" s="19"/>
      <c r="FN62" s="19"/>
      <c r="FO62" s="19"/>
      <c r="FP62" s="19"/>
      <c r="FQ62" s="19"/>
      <c r="FR62" s="19"/>
      <c r="FS62" s="19"/>
      <c r="FT62" s="19"/>
      <c r="FU62" s="19"/>
      <c r="FV62" s="19"/>
      <c r="FW62" s="19"/>
      <c r="FX62" s="19"/>
      <c r="FY62" s="19"/>
      <c r="FZ62" s="19"/>
      <c r="GA62" s="19"/>
      <c r="GB62" s="19"/>
      <c r="GC62" s="19"/>
      <c r="GD62" s="19"/>
      <c r="GE62" s="19"/>
      <c r="GF62" s="19"/>
      <c r="GG62" s="19"/>
      <c r="GH62" s="19"/>
      <c r="GI62" s="19">
        <v>0.27562249583007192</v>
      </c>
      <c r="GJ62" s="17"/>
      <c r="GK62" s="17"/>
      <c r="GL62" s="17"/>
      <c r="GM62" s="17"/>
      <c r="GN62" s="17"/>
      <c r="GO62" s="17"/>
      <c r="GP62" s="17"/>
      <c r="GQ62" s="17"/>
      <c r="GR62" s="17"/>
      <c r="GS62" s="17"/>
      <c r="GT62" s="17"/>
      <c r="GU62" s="17"/>
      <c r="GV62" s="17"/>
      <c r="GW62" s="17"/>
      <c r="GX62" s="17"/>
      <c r="GY62" s="17"/>
    </row>
    <row r="63" spans="1:207" x14ac:dyDescent="0.25">
      <c r="A63" s="18" t="s">
        <v>55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>
        <v>5.8359269745390705</v>
      </c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/>
      <c r="EQ63" s="19"/>
      <c r="ER63" s="19"/>
      <c r="ES63" s="19"/>
      <c r="ET63" s="19"/>
      <c r="EU63" s="19"/>
      <c r="EV63" s="19"/>
      <c r="EW63" s="19"/>
      <c r="EX63" s="19"/>
      <c r="EY63" s="19"/>
      <c r="EZ63" s="19"/>
      <c r="FA63" s="19"/>
      <c r="FB63" s="19"/>
      <c r="FC63" s="19"/>
      <c r="FD63" s="19"/>
      <c r="FE63" s="19"/>
      <c r="FF63" s="19"/>
      <c r="FG63" s="19"/>
      <c r="FH63" s="19"/>
      <c r="FI63" s="19"/>
      <c r="FJ63" s="19"/>
      <c r="FK63" s="19"/>
      <c r="FL63" s="19"/>
      <c r="FM63" s="19"/>
      <c r="FN63" s="19"/>
      <c r="FO63" s="19"/>
      <c r="FP63" s="19"/>
      <c r="FQ63" s="19"/>
      <c r="FR63" s="19"/>
      <c r="FS63" s="19"/>
      <c r="FT63" s="19"/>
      <c r="FU63" s="19"/>
      <c r="FV63" s="19"/>
      <c r="FW63" s="19"/>
      <c r="FX63" s="19"/>
      <c r="FY63" s="19"/>
      <c r="FZ63" s="19"/>
      <c r="GA63" s="19"/>
      <c r="GB63" s="19"/>
      <c r="GC63" s="19"/>
      <c r="GD63" s="19"/>
      <c r="GE63" s="19"/>
      <c r="GF63" s="19"/>
      <c r="GG63" s="19"/>
      <c r="GH63" s="19"/>
      <c r="GI63" s="19">
        <v>5.8359269745390705</v>
      </c>
      <c r="GJ63" s="17"/>
      <c r="GK63" s="17"/>
      <c r="GL63" s="17"/>
      <c r="GM63" s="17"/>
      <c r="GN63" s="17"/>
      <c r="GO63" s="17"/>
      <c r="GP63" s="17"/>
      <c r="GQ63" s="17"/>
      <c r="GR63" s="17"/>
      <c r="GS63" s="17"/>
      <c r="GT63" s="17"/>
      <c r="GU63" s="17"/>
      <c r="GV63" s="17"/>
      <c r="GW63" s="17"/>
      <c r="GX63" s="17"/>
      <c r="GY63" s="17"/>
    </row>
    <row r="64" spans="1:207" x14ac:dyDescent="0.25">
      <c r="A64" s="18" t="s">
        <v>56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>
        <v>2.4236115892828134</v>
      </c>
      <c r="EG64" s="19"/>
      <c r="EH64" s="19"/>
      <c r="EI64" s="19"/>
      <c r="EJ64" s="19"/>
      <c r="EK64" s="19"/>
      <c r="EL64" s="19"/>
      <c r="EM64" s="19"/>
      <c r="EN64" s="19"/>
      <c r="EO64" s="19"/>
      <c r="EP64" s="19"/>
      <c r="EQ64" s="19"/>
      <c r="ER64" s="19"/>
      <c r="ES64" s="19"/>
      <c r="ET64" s="19"/>
      <c r="EU64" s="19"/>
      <c r="EV64" s="19"/>
      <c r="EW64" s="19"/>
      <c r="EX64" s="19"/>
      <c r="EY64" s="19"/>
      <c r="EZ64" s="19"/>
      <c r="FA64" s="19"/>
      <c r="FB64" s="19"/>
      <c r="FC64" s="19"/>
      <c r="FD64" s="19"/>
      <c r="FE64" s="19"/>
      <c r="FF64" s="19"/>
      <c r="FG64" s="19"/>
      <c r="FH64" s="19"/>
      <c r="FI64" s="19"/>
      <c r="FJ64" s="19"/>
      <c r="FK64" s="19"/>
      <c r="FL64" s="19"/>
      <c r="FM64" s="19"/>
      <c r="FN64" s="19"/>
      <c r="FO64" s="19"/>
      <c r="FP64" s="19"/>
      <c r="FQ64" s="19"/>
      <c r="FR64" s="19"/>
      <c r="FS64" s="19"/>
      <c r="FT64" s="19"/>
      <c r="FU64" s="19"/>
      <c r="FV64" s="19"/>
      <c r="FW64" s="19"/>
      <c r="FX64" s="19"/>
      <c r="FY64" s="19"/>
      <c r="FZ64" s="19"/>
      <c r="GA64" s="19"/>
      <c r="GB64" s="19"/>
      <c r="GC64" s="19"/>
      <c r="GD64" s="19"/>
      <c r="GE64" s="19"/>
      <c r="GF64" s="19"/>
      <c r="GG64" s="19"/>
      <c r="GH64" s="19"/>
      <c r="GI64" s="19">
        <v>2.4236115892828134</v>
      </c>
      <c r="GJ64" s="17"/>
      <c r="GK64" s="17"/>
      <c r="GL64" s="17"/>
      <c r="GM64" s="17"/>
      <c r="GN64" s="17"/>
      <c r="GO64" s="17"/>
      <c r="GP64" s="17"/>
      <c r="GQ64" s="17"/>
      <c r="GR64" s="17"/>
      <c r="GS64" s="17"/>
      <c r="GT64" s="17"/>
      <c r="GU64" s="17"/>
      <c r="GV64" s="17"/>
      <c r="GW64" s="17"/>
      <c r="GX64" s="17"/>
      <c r="GY64" s="17"/>
    </row>
    <row r="65" spans="1:207" x14ac:dyDescent="0.25">
      <c r="A65" s="18" t="s">
        <v>57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>
        <v>153.59251258751485</v>
      </c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19"/>
      <c r="GA65" s="19"/>
      <c r="GB65" s="19"/>
      <c r="GC65" s="19"/>
      <c r="GD65" s="19"/>
      <c r="GE65" s="19"/>
      <c r="GF65" s="19"/>
      <c r="GG65" s="19"/>
      <c r="GH65" s="19"/>
      <c r="GI65" s="19">
        <v>153.59251258751485</v>
      </c>
      <c r="GJ65" s="17"/>
      <c r="GK65" s="17"/>
      <c r="GL65" s="17"/>
      <c r="GM65" s="17"/>
      <c r="GN65" s="17"/>
      <c r="GO65" s="17"/>
      <c r="GP65" s="17"/>
      <c r="GQ65" s="17"/>
      <c r="GR65" s="17"/>
      <c r="GS65" s="17"/>
      <c r="GT65" s="17"/>
      <c r="GU65" s="17"/>
      <c r="GV65" s="17"/>
      <c r="GW65" s="17"/>
      <c r="GX65" s="17"/>
      <c r="GY65" s="17"/>
    </row>
    <row r="66" spans="1:207" x14ac:dyDescent="0.25">
      <c r="A66" s="18" t="s">
        <v>58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>
        <v>261.76447732998656</v>
      </c>
      <c r="EI66" s="19"/>
      <c r="EJ66" s="19"/>
      <c r="EK66" s="19"/>
      <c r="EL66" s="19"/>
      <c r="EM66" s="19"/>
      <c r="EN66" s="19"/>
      <c r="EO66" s="19"/>
      <c r="EP66" s="19"/>
      <c r="EQ66" s="19"/>
      <c r="ER66" s="19"/>
      <c r="ES66" s="19"/>
      <c r="ET66" s="19"/>
      <c r="EU66" s="19"/>
      <c r="EV66" s="19"/>
      <c r="EW66" s="19"/>
      <c r="EX66" s="19"/>
      <c r="EY66" s="19"/>
      <c r="EZ66" s="19"/>
      <c r="FA66" s="19"/>
      <c r="FB66" s="19"/>
      <c r="FC66" s="19"/>
      <c r="FD66" s="19"/>
      <c r="FE66" s="19"/>
      <c r="FF66" s="19"/>
      <c r="FG66" s="19"/>
      <c r="FH66" s="19"/>
      <c r="FI66" s="19"/>
      <c r="FJ66" s="19"/>
      <c r="FK66" s="19"/>
      <c r="FL66" s="19"/>
      <c r="FM66" s="19"/>
      <c r="FN66" s="19"/>
      <c r="FO66" s="19"/>
      <c r="FP66" s="19"/>
      <c r="FQ66" s="19"/>
      <c r="FR66" s="19"/>
      <c r="FS66" s="19"/>
      <c r="FT66" s="19"/>
      <c r="FU66" s="19"/>
      <c r="FV66" s="19"/>
      <c r="FW66" s="19"/>
      <c r="FX66" s="19"/>
      <c r="FY66" s="19"/>
      <c r="FZ66" s="19"/>
      <c r="GA66" s="19"/>
      <c r="GB66" s="19"/>
      <c r="GC66" s="19"/>
      <c r="GD66" s="19"/>
      <c r="GE66" s="19"/>
      <c r="GF66" s="19"/>
      <c r="GG66" s="19"/>
      <c r="GH66" s="19"/>
      <c r="GI66" s="19">
        <v>261.76447732998656</v>
      </c>
      <c r="GJ66" s="17"/>
      <c r="GK66" s="17"/>
      <c r="GL66" s="17"/>
      <c r="GM66" s="17"/>
      <c r="GN66" s="17"/>
      <c r="GO66" s="17"/>
      <c r="GP66" s="17"/>
      <c r="GQ66" s="17"/>
      <c r="GR66" s="17"/>
      <c r="GS66" s="17"/>
      <c r="GT66" s="17"/>
      <c r="GU66" s="17"/>
      <c r="GV66" s="17"/>
      <c r="GW66" s="17"/>
      <c r="GX66" s="17"/>
      <c r="GY66" s="17"/>
    </row>
    <row r="67" spans="1:207" x14ac:dyDescent="0.25">
      <c r="A67" s="18" t="s">
        <v>59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>
        <v>62.27341649150771</v>
      </c>
      <c r="EJ67" s="19"/>
      <c r="EK67" s="19"/>
      <c r="EL67" s="19"/>
      <c r="EM67" s="19"/>
      <c r="EN67" s="19"/>
      <c r="EO67" s="19"/>
      <c r="EP67" s="19"/>
      <c r="EQ67" s="19"/>
      <c r="ER67" s="19"/>
      <c r="ES67" s="19"/>
      <c r="ET67" s="19"/>
      <c r="EU67" s="19"/>
      <c r="EV67" s="19"/>
      <c r="EW67" s="19"/>
      <c r="EX67" s="19"/>
      <c r="EY67" s="19"/>
      <c r="EZ67" s="19"/>
      <c r="FA67" s="19"/>
      <c r="FB67" s="19"/>
      <c r="FC67" s="19"/>
      <c r="FD67" s="19"/>
      <c r="FE67" s="19"/>
      <c r="FF67" s="19"/>
      <c r="FG67" s="19"/>
      <c r="FH67" s="19"/>
      <c r="FI67" s="19"/>
      <c r="FJ67" s="19"/>
      <c r="FK67" s="19"/>
      <c r="FL67" s="19"/>
      <c r="FM67" s="19"/>
      <c r="FN67" s="19"/>
      <c r="FO67" s="19"/>
      <c r="FP67" s="19"/>
      <c r="FQ67" s="19"/>
      <c r="FR67" s="19"/>
      <c r="FS67" s="19"/>
      <c r="FT67" s="19"/>
      <c r="FU67" s="19"/>
      <c r="FV67" s="19"/>
      <c r="FW67" s="19"/>
      <c r="FX67" s="19"/>
      <c r="FY67" s="19"/>
      <c r="FZ67" s="19"/>
      <c r="GA67" s="19"/>
      <c r="GB67" s="19"/>
      <c r="GC67" s="19"/>
      <c r="GD67" s="19"/>
      <c r="GE67" s="19"/>
      <c r="GF67" s="19"/>
      <c r="GG67" s="19"/>
      <c r="GH67" s="19"/>
      <c r="GI67" s="19">
        <v>62.27341649150771</v>
      </c>
      <c r="GJ67" s="17"/>
      <c r="GK67" s="17"/>
      <c r="GL67" s="17"/>
      <c r="GM67" s="17"/>
      <c r="GN67" s="17"/>
      <c r="GO67" s="17"/>
      <c r="GP67" s="17"/>
      <c r="GQ67" s="17"/>
      <c r="GR67" s="17"/>
      <c r="GS67" s="17"/>
      <c r="GT67" s="17"/>
      <c r="GU67" s="17"/>
      <c r="GV67" s="17"/>
      <c r="GW67" s="17"/>
      <c r="GX67" s="17"/>
      <c r="GY67" s="17"/>
    </row>
    <row r="68" spans="1:207" x14ac:dyDescent="0.25">
      <c r="A68" s="18" t="s">
        <v>60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>
        <v>1465.666579477489</v>
      </c>
      <c r="EK68" s="19"/>
      <c r="EL68" s="19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I68" s="19"/>
      <c r="FJ68" s="19"/>
      <c r="FK68" s="19"/>
      <c r="FL68" s="19"/>
      <c r="FM68" s="19"/>
      <c r="FN68" s="19"/>
      <c r="FO68" s="19"/>
      <c r="FP68" s="19"/>
      <c r="FQ68" s="19"/>
      <c r="FR68" s="19"/>
      <c r="FS68" s="19"/>
      <c r="FT68" s="19"/>
      <c r="FU68" s="19"/>
      <c r="FV68" s="19"/>
      <c r="FW68" s="19"/>
      <c r="FX68" s="19"/>
      <c r="FY68" s="19"/>
      <c r="FZ68" s="19"/>
      <c r="GA68" s="19"/>
      <c r="GB68" s="19"/>
      <c r="GC68" s="19"/>
      <c r="GD68" s="19"/>
      <c r="GE68" s="19"/>
      <c r="GF68" s="19"/>
      <c r="GG68" s="19"/>
      <c r="GH68" s="19"/>
      <c r="GI68" s="19">
        <v>1465.666579477489</v>
      </c>
      <c r="GJ68" s="17"/>
      <c r="GK68" s="17"/>
      <c r="GL68" s="17"/>
      <c r="GM68" s="17"/>
      <c r="GN68" s="17"/>
      <c r="GO68" s="17"/>
      <c r="GP68" s="17"/>
      <c r="GQ68" s="17"/>
      <c r="GR68" s="17"/>
      <c r="GS68" s="17"/>
      <c r="GT68" s="17"/>
      <c r="GU68" s="17"/>
      <c r="GV68" s="17"/>
      <c r="GW68" s="17"/>
      <c r="GX68" s="17"/>
      <c r="GY68" s="17"/>
    </row>
    <row r="69" spans="1:207" x14ac:dyDescent="0.25">
      <c r="A69" s="18" t="s">
        <v>61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>
        <v>1241.2242186404244</v>
      </c>
      <c r="EL69" s="19"/>
      <c r="EM69" s="19"/>
      <c r="EN69" s="19"/>
      <c r="EO69" s="19"/>
      <c r="EP69" s="19"/>
      <c r="EQ69" s="19"/>
      <c r="ER69" s="19"/>
      <c r="ES69" s="19"/>
      <c r="ET69" s="19"/>
      <c r="EU69" s="19"/>
      <c r="EV69" s="19"/>
      <c r="EW69" s="19"/>
      <c r="EX69" s="19"/>
      <c r="EY69" s="19"/>
      <c r="EZ69" s="19"/>
      <c r="FA69" s="19"/>
      <c r="FB69" s="19"/>
      <c r="FC69" s="19"/>
      <c r="FD69" s="19"/>
      <c r="FE69" s="19"/>
      <c r="FF69" s="19"/>
      <c r="FG69" s="19"/>
      <c r="FH69" s="19"/>
      <c r="FI69" s="19"/>
      <c r="FJ69" s="19"/>
      <c r="FK69" s="19"/>
      <c r="FL69" s="19"/>
      <c r="FM69" s="19"/>
      <c r="FN69" s="19"/>
      <c r="FO69" s="19"/>
      <c r="FP69" s="19"/>
      <c r="FQ69" s="19"/>
      <c r="FR69" s="19"/>
      <c r="FS69" s="19"/>
      <c r="FT69" s="19"/>
      <c r="FU69" s="19"/>
      <c r="FV69" s="19"/>
      <c r="FW69" s="19"/>
      <c r="FX69" s="19"/>
      <c r="FY69" s="19"/>
      <c r="FZ69" s="19"/>
      <c r="GA69" s="19"/>
      <c r="GB69" s="19"/>
      <c r="GC69" s="19"/>
      <c r="GD69" s="19"/>
      <c r="GE69" s="19"/>
      <c r="GF69" s="19"/>
      <c r="GG69" s="19"/>
      <c r="GH69" s="19"/>
      <c r="GI69" s="19">
        <v>1241.2242186404244</v>
      </c>
      <c r="GJ69" s="17"/>
      <c r="GK69" s="17"/>
      <c r="GL69" s="17"/>
      <c r="GM69" s="17"/>
      <c r="GN69" s="17"/>
      <c r="GO69" s="17"/>
      <c r="GP69" s="17"/>
      <c r="GQ69" s="17"/>
      <c r="GR69" s="17"/>
      <c r="GS69" s="17"/>
      <c r="GT69" s="17"/>
      <c r="GU69" s="17"/>
      <c r="GV69" s="17"/>
      <c r="GW69" s="17"/>
      <c r="GX69" s="17"/>
      <c r="GY69" s="17"/>
    </row>
    <row r="70" spans="1:207" x14ac:dyDescent="0.25">
      <c r="A70" s="18" t="s">
        <v>62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>
        <v>599.60410408830694</v>
      </c>
      <c r="EM70" s="19"/>
      <c r="EN70" s="19"/>
      <c r="EO70" s="19"/>
      <c r="EP70" s="19"/>
      <c r="EQ70" s="19"/>
      <c r="ER70" s="19"/>
      <c r="ES70" s="19"/>
      <c r="ET70" s="19"/>
      <c r="EU70" s="19"/>
      <c r="EV70" s="19"/>
      <c r="EW70" s="19"/>
      <c r="EX70" s="19"/>
      <c r="EY70" s="19"/>
      <c r="EZ70" s="19"/>
      <c r="FA70" s="19"/>
      <c r="FB70" s="19"/>
      <c r="FC70" s="19"/>
      <c r="FD70" s="19"/>
      <c r="FE70" s="19"/>
      <c r="FF70" s="19"/>
      <c r="FG70" s="19"/>
      <c r="FH70" s="19"/>
      <c r="FI70" s="19"/>
      <c r="FJ70" s="19"/>
      <c r="FK70" s="19"/>
      <c r="FL70" s="19"/>
      <c r="FM70" s="19"/>
      <c r="FN70" s="19"/>
      <c r="FO70" s="19"/>
      <c r="FP70" s="19"/>
      <c r="FQ70" s="19"/>
      <c r="FR70" s="19"/>
      <c r="FS70" s="19"/>
      <c r="FT70" s="19"/>
      <c r="FU70" s="19"/>
      <c r="FV70" s="19"/>
      <c r="FW70" s="19"/>
      <c r="FX70" s="19"/>
      <c r="FY70" s="19"/>
      <c r="FZ70" s="19"/>
      <c r="GA70" s="19"/>
      <c r="GB70" s="19"/>
      <c r="GC70" s="19"/>
      <c r="GD70" s="19"/>
      <c r="GE70" s="19"/>
      <c r="GF70" s="19"/>
      <c r="GG70" s="19"/>
      <c r="GH70" s="19"/>
      <c r="GI70" s="19">
        <v>599.60410408830694</v>
      </c>
      <c r="GJ70" s="17"/>
      <c r="GK70" s="17"/>
      <c r="GL70" s="17"/>
      <c r="GM70" s="17"/>
      <c r="GN70" s="17"/>
      <c r="GO70" s="17"/>
      <c r="GP70" s="17"/>
      <c r="GQ70" s="17"/>
      <c r="GR70" s="17"/>
      <c r="GS70" s="17"/>
      <c r="GT70" s="17"/>
      <c r="GU70" s="17"/>
      <c r="GV70" s="17"/>
      <c r="GW70" s="17"/>
      <c r="GX70" s="17"/>
      <c r="GY70" s="17"/>
    </row>
    <row r="71" spans="1:207" x14ac:dyDescent="0.25">
      <c r="A71" s="18" t="s">
        <v>63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>
        <v>142.04402387828543</v>
      </c>
      <c r="EN71" s="19"/>
      <c r="EO71" s="19"/>
      <c r="EP71" s="19"/>
      <c r="EQ71" s="19"/>
      <c r="ER71" s="19"/>
      <c r="ES71" s="19"/>
      <c r="ET71" s="19"/>
      <c r="EU71" s="19"/>
      <c r="EV71" s="19"/>
      <c r="EW71" s="19"/>
      <c r="EX71" s="19"/>
      <c r="EY71" s="19"/>
      <c r="EZ71" s="19"/>
      <c r="FA71" s="19"/>
      <c r="FB71" s="19"/>
      <c r="FC71" s="19"/>
      <c r="FD71" s="19"/>
      <c r="FE71" s="19"/>
      <c r="FF71" s="19"/>
      <c r="FG71" s="19"/>
      <c r="FH71" s="19"/>
      <c r="FI71" s="19"/>
      <c r="FJ71" s="19"/>
      <c r="FK71" s="19"/>
      <c r="FL71" s="19"/>
      <c r="FM71" s="19"/>
      <c r="FN71" s="19"/>
      <c r="FO71" s="19"/>
      <c r="FP71" s="19"/>
      <c r="FQ71" s="19"/>
      <c r="FR71" s="19"/>
      <c r="FS71" s="19"/>
      <c r="FT71" s="19"/>
      <c r="FU71" s="19"/>
      <c r="FV71" s="19"/>
      <c r="FW71" s="19"/>
      <c r="FX71" s="19"/>
      <c r="FY71" s="19"/>
      <c r="FZ71" s="19"/>
      <c r="GA71" s="19"/>
      <c r="GB71" s="19"/>
      <c r="GC71" s="19"/>
      <c r="GD71" s="19"/>
      <c r="GE71" s="19"/>
      <c r="GF71" s="19"/>
      <c r="GG71" s="19"/>
      <c r="GH71" s="19"/>
      <c r="GI71" s="19">
        <v>142.04402387828543</v>
      </c>
      <c r="GJ71" s="17"/>
      <c r="GK71" s="17"/>
      <c r="GL71" s="17"/>
      <c r="GM71" s="17"/>
      <c r="GN71" s="17"/>
      <c r="GO71" s="17"/>
      <c r="GP71" s="17"/>
      <c r="GQ71" s="17"/>
      <c r="GR71" s="17"/>
      <c r="GS71" s="17"/>
      <c r="GT71" s="17"/>
      <c r="GU71" s="17"/>
      <c r="GV71" s="17"/>
      <c r="GW71" s="17"/>
      <c r="GX71" s="17"/>
      <c r="GY71" s="17"/>
    </row>
    <row r="72" spans="1:207" x14ac:dyDescent="0.25">
      <c r="A72" s="18" t="s">
        <v>64</v>
      </c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>
        <v>243.27380574717034</v>
      </c>
      <c r="EO72" s="19"/>
      <c r="EP72" s="19"/>
      <c r="EQ72" s="19"/>
      <c r="ER72" s="19"/>
      <c r="ES72" s="19"/>
      <c r="ET72" s="19"/>
      <c r="EU72" s="19"/>
      <c r="EV72" s="19"/>
      <c r="EW72" s="19"/>
      <c r="EX72" s="19"/>
      <c r="EY72" s="19"/>
      <c r="EZ72" s="19"/>
      <c r="FA72" s="19"/>
      <c r="FB72" s="19"/>
      <c r="FC72" s="19"/>
      <c r="FD72" s="19"/>
      <c r="FE72" s="19"/>
      <c r="FF72" s="19"/>
      <c r="FG72" s="19"/>
      <c r="FH72" s="19"/>
      <c r="FI72" s="19"/>
      <c r="FJ72" s="19"/>
      <c r="FK72" s="19"/>
      <c r="FL72" s="19"/>
      <c r="FM72" s="19"/>
      <c r="FN72" s="19"/>
      <c r="FO72" s="19"/>
      <c r="FP72" s="19"/>
      <c r="FQ72" s="19"/>
      <c r="FR72" s="19"/>
      <c r="FS72" s="19"/>
      <c r="FT72" s="19"/>
      <c r="FU72" s="19"/>
      <c r="FV72" s="19"/>
      <c r="FW72" s="19"/>
      <c r="FX72" s="19"/>
      <c r="FY72" s="19"/>
      <c r="FZ72" s="19"/>
      <c r="GA72" s="19"/>
      <c r="GB72" s="19"/>
      <c r="GC72" s="19"/>
      <c r="GD72" s="19"/>
      <c r="GE72" s="19"/>
      <c r="GF72" s="19"/>
      <c r="GG72" s="19"/>
      <c r="GH72" s="19"/>
      <c r="GI72" s="19">
        <v>243.27380574717034</v>
      </c>
      <c r="GJ72" s="17"/>
      <c r="GK72" s="17"/>
      <c r="GL72" s="17"/>
      <c r="GM72" s="17"/>
      <c r="GN72" s="17"/>
      <c r="GO72" s="17"/>
      <c r="GP72" s="17"/>
      <c r="GQ72" s="17"/>
      <c r="GR72" s="17"/>
      <c r="GS72" s="17"/>
      <c r="GT72" s="17"/>
      <c r="GU72" s="17"/>
      <c r="GV72" s="17"/>
      <c r="GW72" s="17"/>
      <c r="GX72" s="17"/>
      <c r="GY72" s="17"/>
    </row>
    <row r="73" spans="1:207" x14ac:dyDescent="0.25">
      <c r="A73" s="18" t="s">
        <v>65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>
        <v>334.60685266918188</v>
      </c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19"/>
      <c r="FX73" s="19"/>
      <c r="FY73" s="19"/>
      <c r="FZ73" s="19"/>
      <c r="GA73" s="19"/>
      <c r="GB73" s="19"/>
      <c r="GC73" s="19"/>
      <c r="GD73" s="19"/>
      <c r="GE73" s="19"/>
      <c r="GF73" s="19"/>
      <c r="GG73" s="19"/>
      <c r="GH73" s="19"/>
      <c r="GI73" s="19">
        <v>334.60685266918188</v>
      </c>
      <c r="GJ73" s="17"/>
      <c r="GK73" s="17"/>
      <c r="GL73" s="17"/>
      <c r="GM73" s="17"/>
      <c r="GN73" s="17"/>
      <c r="GO73" s="17"/>
      <c r="GP73" s="17"/>
      <c r="GQ73" s="17"/>
      <c r="GR73" s="17"/>
      <c r="GS73" s="17"/>
      <c r="GT73" s="17"/>
      <c r="GU73" s="17"/>
      <c r="GV73" s="17"/>
      <c r="GW73" s="17"/>
      <c r="GX73" s="17"/>
      <c r="GY73" s="17"/>
    </row>
    <row r="74" spans="1:207" x14ac:dyDescent="0.25">
      <c r="A74" s="18" t="s">
        <v>66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>
        <v>371.46627387183821</v>
      </c>
      <c r="EQ74" s="19"/>
      <c r="ER74" s="19"/>
      <c r="ES74" s="19"/>
      <c r="ET74" s="19"/>
      <c r="EU74" s="19"/>
      <c r="EV74" s="19"/>
      <c r="EW74" s="19"/>
      <c r="EX74" s="19"/>
      <c r="EY74" s="19"/>
      <c r="EZ74" s="19"/>
      <c r="FA74" s="19"/>
      <c r="FB74" s="19"/>
      <c r="FC74" s="19"/>
      <c r="FD74" s="19"/>
      <c r="FE74" s="19"/>
      <c r="FF74" s="19"/>
      <c r="FG74" s="19"/>
      <c r="FH74" s="19"/>
      <c r="FI74" s="19"/>
      <c r="FJ74" s="19"/>
      <c r="FK74" s="19"/>
      <c r="FL74" s="19"/>
      <c r="FM74" s="19"/>
      <c r="FN74" s="19"/>
      <c r="FO74" s="19"/>
      <c r="FP74" s="19"/>
      <c r="FQ74" s="19"/>
      <c r="FR74" s="19"/>
      <c r="FS74" s="19"/>
      <c r="FT74" s="19"/>
      <c r="FU74" s="19"/>
      <c r="FV74" s="19"/>
      <c r="FW74" s="19"/>
      <c r="FX74" s="19"/>
      <c r="FY74" s="19"/>
      <c r="FZ74" s="19"/>
      <c r="GA74" s="19"/>
      <c r="GB74" s="19"/>
      <c r="GC74" s="19"/>
      <c r="GD74" s="19"/>
      <c r="GE74" s="19"/>
      <c r="GF74" s="19"/>
      <c r="GG74" s="19"/>
      <c r="GH74" s="19"/>
      <c r="GI74" s="19">
        <v>371.46627387183821</v>
      </c>
      <c r="GJ74" s="17"/>
      <c r="GK74" s="17"/>
      <c r="GL74" s="17"/>
      <c r="GM74" s="17"/>
      <c r="GN74" s="17"/>
      <c r="GO74" s="17"/>
      <c r="GP74" s="17"/>
      <c r="GQ74" s="17"/>
      <c r="GR74" s="17"/>
      <c r="GS74" s="17"/>
      <c r="GT74" s="17"/>
      <c r="GU74" s="17"/>
      <c r="GV74" s="17"/>
      <c r="GW74" s="17"/>
      <c r="GX74" s="17"/>
      <c r="GY74" s="17"/>
    </row>
    <row r="75" spans="1:207" x14ac:dyDescent="0.25">
      <c r="A75" s="18" t="s">
        <v>67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/>
      <c r="EQ75" s="19">
        <v>681.10043793761849</v>
      </c>
      <c r="ER75" s="19"/>
      <c r="ES75" s="19"/>
      <c r="ET75" s="19"/>
      <c r="EU75" s="19"/>
      <c r="EV75" s="19"/>
      <c r="EW75" s="19"/>
      <c r="EX75" s="19"/>
      <c r="EY75" s="19"/>
      <c r="EZ75" s="19"/>
      <c r="FA75" s="19"/>
      <c r="FB75" s="19"/>
      <c r="FC75" s="19"/>
      <c r="FD75" s="19"/>
      <c r="FE75" s="19"/>
      <c r="FF75" s="19"/>
      <c r="FG75" s="19"/>
      <c r="FH75" s="19"/>
      <c r="FI75" s="19"/>
      <c r="FJ75" s="19"/>
      <c r="FK75" s="19"/>
      <c r="FL75" s="19"/>
      <c r="FM75" s="19"/>
      <c r="FN75" s="19"/>
      <c r="FO75" s="19"/>
      <c r="FP75" s="19"/>
      <c r="FQ75" s="19"/>
      <c r="FR75" s="19"/>
      <c r="FS75" s="19"/>
      <c r="FT75" s="19"/>
      <c r="FU75" s="19"/>
      <c r="FV75" s="19"/>
      <c r="FW75" s="19"/>
      <c r="FX75" s="19"/>
      <c r="FY75" s="19"/>
      <c r="FZ75" s="19"/>
      <c r="GA75" s="19"/>
      <c r="GB75" s="19"/>
      <c r="GC75" s="19"/>
      <c r="GD75" s="19"/>
      <c r="GE75" s="19"/>
      <c r="GF75" s="19"/>
      <c r="GG75" s="19"/>
      <c r="GH75" s="19"/>
      <c r="GI75" s="19">
        <v>681.10043793761849</v>
      </c>
      <c r="GJ75" s="17"/>
      <c r="GK75" s="17"/>
      <c r="GL75" s="17"/>
      <c r="GM75" s="17"/>
      <c r="GN75" s="17"/>
      <c r="GO75" s="17"/>
      <c r="GP75" s="17"/>
      <c r="GQ75" s="17"/>
      <c r="GR75" s="17"/>
      <c r="GS75" s="17"/>
      <c r="GT75" s="17"/>
      <c r="GU75" s="17"/>
      <c r="GV75" s="17"/>
      <c r="GW75" s="17"/>
      <c r="GX75" s="17"/>
      <c r="GY75" s="17"/>
    </row>
    <row r="76" spans="1:207" x14ac:dyDescent="0.25">
      <c r="A76" s="18" t="s">
        <v>68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>
        <v>553.6029566111913</v>
      </c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19"/>
      <c r="FX76" s="19"/>
      <c r="FY76" s="19"/>
      <c r="FZ76" s="19"/>
      <c r="GA76" s="19"/>
      <c r="GB76" s="19"/>
      <c r="GC76" s="19"/>
      <c r="GD76" s="19"/>
      <c r="GE76" s="19"/>
      <c r="GF76" s="19"/>
      <c r="GG76" s="19"/>
      <c r="GH76" s="19"/>
      <c r="GI76" s="19">
        <v>553.6029566111913</v>
      </c>
      <c r="GJ76" s="17"/>
      <c r="GK76" s="17"/>
      <c r="GL76" s="17"/>
      <c r="GM76" s="17"/>
      <c r="GN76" s="17"/>
      <c r="GO76" s="17"/>
      <c r="GP76" s="17"/>
      <c r="GQ76" s="17"/>
      <c r="GR76" s="17"/>
      <c r="GS76" s="17"/>
      <c r="GT76" s="17"/>
      <c r="GU76" s="17"/>
      <c r="GV76" s="17"/>
      <c r="GW76" s="17"/>
      <c r="GX76" s="17"/>
      <c r="GY76" s="17"/>
    </row>
    <row r="77" spans="1:207" x14ac:dyDescent="0.25">
      <c r="A77" s="18" t="s">
        <v>69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/>
      <c r="EQ77" s="19"/>
      <c r="ER77" s="19"/>
      <c r="ES77" s="19">
        <v>703.99317277595719</v>
      </c>
      <c r="ET77" s="19"/>
      <c r="EU77" s="19"/>
      <c r="EV77" s="19"/>
      <c r="EW77" s="19"/>
      <c r="EX77" s="19"/>
      <c r="EY77" s="19"/>
      <c r="EZ77" s="19"/>
      <c r="FA77" s="19"/>
      <c r="FB77" s="19"/>
      <c r="FC77" s="19"/>
      <c r="FD77" s="19"/>
      <c r="FE77" s="19"/>
      <c r="FF77" s="19"/>
      <c r="FG77" s="19"/>
      <c r="FH77" s="19"/>
      <c r="FI77" s="19"/>
      <c r="FJ77" s="19"/>
      <c r="FK77" s="19"/>
      <c r="FL77" s="19"/>
      <c r="FM77" s="19"/>
      <c r="FN77" s="19"/>
      <c r="FO77" s="19"/>
      <c r="FP77" s="19"/>
      <c r="FQ77" s="19"/>
      <c r="FR77" s="19"/>
      <c r="FS77" s="19"/>
      <c r="FT77" s="19"/>
      <c r="FU77" s="19"/>
      <c r="FV77" s="19"/>
      <c r="FW77" s="19"/>
      <c r="FX77" s="19"/>
      <c r="FY77" s="19"/>
      <c r="FZ77" s="19"/>
      <c r="GA77" s="19"/>
      <c r="GB77" s="19"/>
      <c r="GC77" s="19"/>
      <c r="GD77" s="19"/>
      <c r="GE77" s="19"/>
      <c r="GF77" s="19"/>
      <c r="GG77" s="19"/>
      <c r="GH77" s="19"/>
      <c r="GI77" s="19">
        <v>703.99317277595719</v>
      </c>
      <c r="GJ77" s="17"/>
      <c r="GK77" s="17"/>
      <c r="GL77" s="17"/>
      <c r="GM77" s="17"/>
      <c r="GN77" s="17"/>
      <c r="GO77" s="17"/>
      <c r="GP77" s="17"/>
      <c r="GQ77" s="17"/>
      <c r="GR77" s="17"/>
      <c r="GS77" s="17"/>
      <c r="GT77" s="17"/>
      <c r="GU77" s="17"/>
      <c r="GV77" s="17"/>
      <c r="GW77" s="17"/>
      <c r="GX77" s="17"/>
      <c r="GY77" s="17"/>
    </row>
    <row r="78" spans="1:207" x14ac:dyDescent="0.25">
      <c r="A78" s="18" t="s">
        <v>70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/>
      <c r="EQ78" s="19"/>
      <c r="ER78" s="19"/>
      <c r="ES78" s="19"/>
      <c r="ET78" s="19">
        <v>405.37012680446117</v>
      </c>
      <c r="EU78" s="19"/>
      <c r="EV78" s="19"/>
      <c r="EW78" s="19"/>
      <c r="EX78" s="19"/>
      <c r="EY78" s="19"/>
      <c r="EZ78" s="19"/>
      <c r="FA78" s="19"/>
      <c r="FB78" s="19"/>
      <c r="FC78" s="19"/>
      <c r="FD78" s="19"/>
      <c r="FE78" s="19"/>
      <c r="FF78" s="19"/>
      <c r="FG78" s="19"/>
      <c r="FH78" s="19"/>
      <c r="FI78" s="19"/>
      <c r="FJ78" s="19"/>
      <c r="FK78" s="19"/>
      <c r="FL78" s="19"/>
      <c r="FM78" s="19"/>
      <c r="FN78" s="19"/>
      <c r="FO78" s="19"/>
      <c r="FP78" s="19"/>
      <c r="FQ78" s="19"/>
      <c r="FR78" s="19"/>
      <c r="FS78" s="19"/>
      <c r="FT78" s="19"/>
      <c r="FU78" s="19"/>
      <c r="FV78" s="19"/>
      <c r="FW78" s="19"/>
      <c r="FX78" s="19"/>
      <c r="FY78" s="19"/>
      <c r="FZ78" s="19"/>
      <c r="GA78" s="19"/>
      <c r="GB78" s="19"/>
      <c r="GC78" s="19"/>
      <c r="GD78" s="19"/>
      <c r="GE78" s="19"/>
      <c r="GF78" s="19"/>
      <c r="GG78" s="19"/>
      <c r="GH78" s="19"/>
      <c r="GI78" s="19">
        <v>405.37012680446117</v>
      </c>
      <c r="GJ78" s="17"/>
      <c r="GK78" s="17"/>
      <c r="GL78" s="17"/>
      <c r="GM78" s="17"/>
      <c r="GN78" s="17"/>
      <c r="GO78" s="17"/>
      <c r="GP78" s="17"/>
      <c r="GQ78" s="17"/>
      <c r="GR78" s="17"/>
      <c r="GS78" s="17"/>
      <c r="GT78" s="17"/>
      <c r="GU78" s="17"/>
      <c r="GV78" s="17"/>
      <c r="GW78" s="17"/>
      <c r="GX78" s="17"/>
      <c r="GY78" s="17"/>
    </row>
    <row r="79" spans="1:207" x14ac:dyDescent="0.25">
      <c r="A79" s="18" t="s">
        <v>71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/>
      <c r="EQ79" s="19"/>
      <c r="ER79" s="19"/>
      <c r="ES79" s="19"/>
      <c r="ET79" s="19"/>
      <c r="EU79" s="19">
        <v>296.65955751899253</v>
      </c>
      <c r="EV79" s="19"/>
      <c r="EW79" s="19"/>
      <c r="EX79" s="19"/>
      <c r="EY79" s="19"/>
      <c r="EZ79" s="19"/>
      <c r="FA79" s="19"/>
      <c r="FB79" s="19"/>
      <c r="FC79" s="19"/>
      <c r="FD79" s="19"/>
      <c r="FE79" s="19"/>
      <c r="FF79" s="19"/>
      <c r="FG79" s="19"/>
      <c r="FH79" s="19"/>
      <c r="FI79" s="19"/>
      <c r="FJ79" s="19"/>
      <c r="FK79" s="19"/>
      <c r="FL79" s="19"/>
      <c r="FM79" s="19"/>
      <c r="FN79" s="19"/>
      <c r="FO79" s="19"/>
      <c r="FP79" s="19"/>
      <c r="FQ79" s="19"/>
      <c r="FR79" s="19"/>
      <c r="FS79" s="19"/>
      <c r="FT79" s="19"/>
      <c r="FU79" s="19"/>
      <c r="FV79" s="19"/>
      <c r="FW79" s="19"/>
      <c r="FX79" s="19"/>
      <c r="FY79" s="19"/>
      <c r="FZ79" s="19"/>
      <c r="GA79" s="19"/>
      <c r="GB79" s="19"/>
      <c r="GC79" s="19"/>
      <c r="GD79" s="19"/>
      <c r="GE79" s="19"/>
      <c r="GF79" s="19"/>
      <c r="GG79" s="19"/>
      <c r="GH79" s="19"/>
      <c r="GI79" s="19">
        <v>296.65955751899253</v>
      </c>
      <c r="GJ79" s="17"/>
      <c r="GK79" s="17"/>
      <c r="GL79" s="17"/>
      <c r="GM79" s="17"/>
      <c r="GN79" s="17"/>
      <c r="GO79" s="17"/>
      <c r="GP79" s="17"/>
      <c r="GQ79" s="17"/>
      <c r="GR79" s="17"/>
      <c r="GS79" s="17"/>
      <c r="GT79" s="17"/>
      <c r="GU79" s="17"/>
      <c r="GV79" s="17"/>
      <c r="GW79" s="17"/>
      <c r="GX79" s="17"/>
      <c r="GY79" s="17"/>
    </row>
    <row r="80" spans="1:207" x14ac:dyDescent="0.25">
      <c r="A80" s="18" t="s">
        <v>72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/>
      <c r="EQ80" s="19"/>
      <c r="ER80" s="19"/>
      <c r="ES80" s="19"/>
      <c r="ET80" s="19"/>
      <c r="EU80" s="19"/>
      <c r="EV80" s="19">
        <v>430.80797227814929</v>
      </c>
      <c r="EW80" s="19"/>
      <c r="EX80" s="19"/>
      <c r="EY80" s="19"/>
      <c r="EZ80" s="19"/>
      <c r="FA80" s="19"/>
      <c r="FB80" s="19"/>
      <c r="FC80" s="19"/>
      <c r="FD80" s="19"/>
      <c r="FE80" s="19"/>
      <c r="FF80" s="19"/>
      <c r="FG80" s="19"/>
      <c r="FH80" s="19"/>
      <c r="FI80" s="19"/>
      <c r="FJ80" s="19"/>
      <c r="FK80" s="19"/>
      <c r="FL80" s="19"/>
      <c r="FM80" s="19"/>
      <c r="FN80" s="19"/>
      <c r="FO80" s="19"/>
      <c r="FP80" s="19"/>
      <c r="FQ80" s="19"/>
      <c r="FR80" s="19"/>
      <c r="FS80" s="19"/>
      <c r="FT80" s="19"/>
      <c r="FU80" s="19"/>
      <c r="FV80" s="19"/>
      <c r="FW80" s="19"/>
      <c r="FX80" s="19"/>
      <c r="FY80" s="19"/>
      <c r="FZ80" s="19"/>
      <c r="GA80" s="19"/>
      <c r="GB80" s="19"/>
      <c r="GC80" s="19"/>
      <c r="GD80" s="19"/>
      <c r="GE80" s="19"/>
      <c r="GF80" s="19"/>
      <c r="GG80" s="19"/>
      <c r="GH80" s="19"/>
      <c r="GI80" s="19">
        <v>430.80797227814929</v>
      </c>
      <c r="GJ80" s="17"/>
      <c r="GK80" s="17"/>
      <c r="GL80" s="17"/>
      <c r="GM80" s="17"/>
      <c r="GN80" s="17"/>
      <c r="GO80" s="17"/>
      <c r="GP80" s="17"/>
      <c r="GQ80" s="17"/>
      <c r="GR80" s="17"/>
      <c r="GS80" s="17"/>
      <c r="GT80" s="17"/>
      <c r="GU80" s="17"/>
      <c r="GV80" s="17"/>
      <c r="GW80" s="17"/>
      <c r="GX80" s="17"/>
      <c r="GY80" s="17"/>
    </row>
    <row r="81" spans="1:207" x14ac:dyDescent="0.25">
      <c r="A81" s="18" t="s">
        <v>73</v>
      </c>
      <c r="B81" s="19">
        <v>3.1064289055744463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>
        <v>7.7007134644434405</v>
      </c>
      <c r="W81" s="19">
        <v>6.6445241129727997</v>
      </c>
      <c r="X81" s="19">
        <v>4.5251648191741802</v>
      </c>
      <c r="Y81" s="19">
        <v>0.60525755799669578</v>
      </c>
      <c r="Z81" s="19">
        <v>3.5629538387939204</v>
      </c>
      <c r="AA81" s="19">
        <v>0.72562681084843716</v>
      </c>
      <c r="AB81" s="19"/>
      <c r="AC81" s="19"/>
      <c r="AD81" s="19"/>
      <c r="AE81" s="19"/>
      <c r="AF81" s="19"/>
      <c r="AG81" s="19"/>
      <c r="AH81" s="19"/>
      <c r="AI81" s="19"/>
      <c r="AJ81" s="19">
        <v>33.850913232460172</v>
      </c>
      <c r="AK81" s="19"/>
      <c r="AL81" s="19"/>
      <c r="AM81" s="19"/>
      <c r="AN81" s="19"/>
      <c r="AO81" s="19"/>
      <c r="AP81" s="19"/>
      <c r="AQ81" s="19">
        <v>5.632450731543087</v>
      </c>
      <c r="AR81" s="19">
        <v>2.0387036210295674E-2</v>
      </c>
      <c r="AS81" s="19">
        <v>3.1337646607684029</v>
      </c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>
        <v>7.7746133936300255E-2</v>
      </c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/>
      <c r="EQ81" s="19"/>
      <c r="ER81" s="19"/>
      <c r="ES81" s="19"/>
      <c r="ET81" s="19"/>
      <c r="EU81" s="19"/>
      <c r="EV81" s="19"/>
      <c r="EW81" s="19"/>
      <c r="EX81" s="19"/>
      <c r="EY81" s="19"/>
      <c r="EZ81" s="19"/>
      <c r="FA81" s="19"/>
      <c r="FB81" s="19"/>
      <c r="FC81" s="19"/>
      <c r="FD81" s="19"/>
      <c r="FE81" s="19"/>
      <c r="FF81" s="19"/>
      <c r="FG81" s="19"/>
      <c r="FH81" s="19"/>
      <c r="FI81" s="19"/>
      <c r="FJ81" s="19"/>
      <c r="FK81" s="19"/>
      <c r="FL81" s="19">
        <v>4.2758945511354627</v>
      </c>
      <c r="FM81" s="19">
        <v>5.5114415470931641</v>
      </c>
      <c r="FN81" s="19">
        <v>5.2801944284154381</v>
      </c>
      <c r="FO81" s="19">
        <v>8.4093674761402859</v>
      </c>
      <c r="FP81" s="19">
        <v>4.8485259112918841</v>
      </c>
      <c r="FQ81" s="19">
        <v>0.12882581108314919</v>
      </c>
      <c r="FR81" s="19">
        <v>6.1659024303020497E-2</v>
      </c>
      <c r="FS81" s="19">
        <v>0.25800134051660095</v>
      </c>
      <c r="FT81" s="19">
        <v>2.3727132699676919E-2</v>
      </c>
      <c r="FU81" s="19">
        <v>0.29484683923342259</v>
      </c>
      <c r="FV81" s="19">
        <v>0.14484380716362716</v>
      </c>
      <c r="FW81" s="19">
        <v>0.32183248619233279</v>
      </c>
      <c r="FX81" s="19">
        <v>0.45309894531223127</v>
      </c>
      <c r="FY81" s="19">
        <v>0.88902609471055483</v>
      </c>
      <c r="FZ81" s="19">
        <v>2.0212067925752253</v>
      </c>
      <c r="GA81" s="19"/>
      <c r="GB81" s="19"/>
      <c r="GC81" s="19"/>
      <c r="GD81" s="19"/>
      <c r="GE81" s="19"/>
      <c r="GF81" s="19"/>
      <c r="GG81" s="19"/>
      <c r="GH81" s="19">
        <v>0.64447817241207705</v>
      </c>
      <c r="GI81" s="19">
        <v>103.15290166500037</v>
      </c>
      <c r="GJ81" s="17"/>
      <c r="GK81" s="17"/>
      <c r="GL81" s="17"/>
      <c r="GM81" s="17"/>
      <c r="GN81" s="17"/>
      <c r="GO81" s="17"/>
      <c r="GP81" s="17"/>
      <c r="GQ81" s="17"/>
      <c r="GR81" s="17"/>
      <c r="GS81" s="17"/>
      <c r="GT81" s="17"/>
      <c r="GU81" s="17"/>
      <c r="GV81" s="17"/>
      <c r="GW81" s="17"/>
      <c r="GX81" s="17"/>
      <c r="GY81" s="17"/>
    </row>
    <row r="82" spans="1:207" x14ac:dyDescent="0.25">
      <c r="A82" s="18" t="s">
        <v>74</v>
      </c>
      <c r="B82" s="19"/>
      <c r="C82" s="19">
        <v>0.94803564182958522</v>
      </c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>
        <v>10.962437423138045</v>
      </c>
      <c r="AL82" s="19"/>
      <c r="AM82" s="19"/>
      <c r="AN82" s="19"/>
      <c r="AO82" s="19"/>
      <c r="AP82" s="19"/>
      <c r="AQ82" s="19"/>
      <c r="AR82" s="19"/>
      <c r="AS82" s="19">
        <v>8.7094719145430481</v>
      </c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>
        <v>1.1901798134059118</v>
      </c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/>
      <c r="EQ82" s="19"/>
      <c r="ER82" s="19"/>
      <c r="ES82" s="19"/>
      <c r="ET82" s="19"/>
      <c r="EU82" s="19"/>
      <c r="EV82" s="19"/>
      <c r="EW82" s="19"/>
      <c r="EX82" s="19"/>
      <c r="EY82" s="19"/>
      <c r="EZ82" s="19"/>
      <c r="FA82" s="19"/>
      <c r="FB82" s="19"/>
      <c r="FC82" s="19"/>
      <c r="FD82" s="19"/>
      <c r="FE82" s="19"/>
      <c r="FF82" s="19"/>
      <c r="FG82" s="19"/>
      <c r="FH82" s="19"/>
      <c r="FI82" s="19"/>
      <c r="FJ82" s="19"/>
      <c r="FK82" s="19"/>
      <c r="FL82" s="19">
        <v>0.56885213165255688</v>
      </c>
      <c r="FM82" s="19">
        <v>1.5275949196232788</v>
      </c>
      <c r="FN82" s="19">
        <v>2.070700410724426</v>
      </c>
      <c r="FO82" s="19">
        <v>3.4096018177540506</v>
      </c>
      <c r="FP82" s="19">
        <v>4.4823768759202958</v>
      </c>
      <c r="FQ82" s="19"/>
      <c r="FR82" s="19">
        <v>7.355734786256357E-3</v>
      </c>
      <c r="FS82" s="19">
        <v>2.872122430745537E-2</v>
      </c>
      <c r="FT82" s="19">
        <v>1.8506313595165875E-2</v>
      </c>
      <c r="FU82" s="19">
        <v>0.1042862465494154</v>
      </c>
      <c r="FV82" s="19"/>
      <c r="FW82" s="19">
        <v>3.542259853651613E-2</v>
      </c>
      <c r="FX82" s="19">
        <v>0.19144238826585019</v>
      </c>
      <c r="FY82" s="19">
        <v>0.13941082353496015</v>
      </c>
      <c r="FZ82" s="19">
        <v>0.43961067621868477</v>
      </c>
      <c r="GA82" s="19"/>
      <c r="GB82" s="19"/>
      <c r="GC82" s="19"/>
      <c r="GD82" s="19"/>
      <c r="GE82" s="19"/>
      <c r="GF82" s="19"/>
      <c r="GG82" s="19"/>
      <c r="GH82" s="19"/>
      <c r="GI82" s="19">
        <v>34.834006954385501</v>
      </c>
      <c r="GJ82" s="17"/>
      <c r="GK82" s="17"/>
      <c r="GL82" s="17"/>
      <c r="GM82" s="17"/>
      <c r="GN82" s="17"/>
      <c r="GO82" s="17"/>
      <c r="GP82" s="17"/>
      <c r="GQ82" s="17"/>
      <c r="GR82" s="17"/>
      <c r="GS82" s="17"/>
      <c r="GT82" s="17"/>
      <c r="GU82" s="17"/>
      <c r="GV82" s="17"/>
      <c r="GW82" s="17"/>
      <c r="GX82" s="17"/>
      <c r="GY82" s="17"/>
    </row>
    <row r="83" spans="1:207" x14ac:dyDescent="0.25">
      <c r="A83" s="18" t="s">
        <v>75</v>
      </c>
      <c r="B83" s="19"/>
      <c r="C83" s="19"/>
      <c r="D83" s="19">
        <v>3.1147230827798196</v>
      </c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>
        <v>13.733005498271494</v>
      </c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/>
      <c r="EQ83" s="19"/>
      <c r="ER83" s="19"/>
      <c r="ES83" s="19"/>
      <c r="ET83" s="19"/>
      <c r="EU83" s="19"/>
      <c r="EV83" s="19"/>
      <c r="EW83" s="19"/>
      <c r="EX83" s="19"/>
      <c r="EY83" s="19"/>
      <c r="EZ83" s="19"/>
      <c r="FA83" s="19"/>
      <c r="FB83" s="19"/>
      <c r="FC83" s="19"/>
      <c r="FD83" s="19"/>
      <c r="FE83" s="19"/>
      <c r="FF83" s="19"/>
      <c r="FG83" s="19"/>
      <c r="FH83" s="19"/>
      <c r="FI83" s="19"/>
      <c r="FJ83" s="19"/>
      <c r="FK83" s="19"/>
      <c r="FL83" s="19">
        <v>1.6769468553368534</v>
      </c>
      <c r="FM83" s="19">
        <v>2.9985105124609186</v>
      </c>
      <c r="FN83" s="19">
        <v>4.4493143885298361</v>
      </c>
      <c r="FO83" s="19">
        <v>6.9785338772916727</v>
      </c>
      <c r="FP83" s="19">
        <v>6.7305368445781992</v>
      </c>
      <c r="FQ83" s="19">
        <v>2.4355920407866181E-2</v>
      </c>
      <c r="FR83" s="19">
        <v>5.8938980886018941E-2</v>
      </c>
      <c r="FS83" s="19">
        <v>5.6710905641473686E-2</v>
      </c>
      <c r="FT83" s="19">
        <v>7.2896041792784042E-2</v>
      </c>
      <c r="FU83" s="19">
        <v>0.48585938706299392</v>
      </c>
      <c r="FV83" s="19">
        <v>0.12351674603606717</v>
      </c>
      <c r="FW83" s="19">
        <v>0.34238686336480462</v>
      </c>
      <c r="FX83" s="19">
        <v>0.39584065218347164</v>
      </c>
      <c r="FY83" s="19">
        <v>1.1625165707532628</v>
      </c>
      <c r="FZ83" s="19">
        <v>5.0173516907212026</v>
      </c>
      <c r="GA83" s="19"/>
      <c r="GB83" s="19"/>
      <c r="GC83" s="19"/>
      <c r="GD83" s="19"/>
      <c r="GE83" s="19"/>
      <c r="GF83" s="19"/>
      <c r="GG83" s="19"/>
      <c r="GH83" s="19">
        <v>9.2892381349555961</v>
      </c>
      <c r="GI83" s="19">
        <v>56.711182953054319</v>
      </c>
      <c r="GJ83" s="17"/>
      <c r="GK83" s="17"/>
      <c r="GL83" s="17"/>
      <c r="GM83" s="17"/>
      <c r="GN83" s="17"/>
      <c r="GO83" s="17"/>
      <c r="GP83" s="17"/>
      <c r="GQ83" s="17"/>
      <c r="GR83" s="17"/>
      <c r="GS83" s="17"/>
      <c r="GT83" s="17"/>
      <c r="GU83" s="17"/>
      <c r="GV83" s="17"/>
      <c r="GW83" s="17"/>
      <c r="GX83" s="17"/>
      <c r="GY83" s="17"/>
    </row>
    <row r="84" spans="1:207" x14ac:dyDescent="0.25">
      <c r="A84" s="18" t="s">
        <v>76</v>
      </c>
      <c r="B84" s="19"/>
      <c r="C84" s="19"/>
      <c r="D84" s="19"/>
      <c r="E84" s="19">
        <v>0.6135166722712263</v>
      </c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>
        <v>4.2259632266914435</v>
      </c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>
        <v>8.2088800994714806</v>
      </c>
      <c r="AN84" s="19"/>
      <c r="AO84" s="19"/>
      <c r="AP84" s="19"/>
      <c r="AQ84" s="19">
        <v>12.434058538136657</v>
      </c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>
        <v>3.3265257154716329E-2</v>
      </c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/>
      <c r="EQ84" s="19"/>
      <c r="ER84" s="19"/>
      <c r="ES84" s="19"/>
      <c r="ET84" s="19"/>
      <c r="EU84" s="19"/>
      <c r="EV84" s="19"/>
      <c r="EW84" s="19"/>
      <c r="EX84" s="19"/>
      <c r="EY84" s="19"/>
      <c r="EZ84" s="19"/>
      <c r="FA84" s="19"/>
      <c r="FB84" s="19"/>
      <c r="FC84" s="19"/>
      <c r="FD84" s="19"/>
      <c r="FE84" s="19"/>
      <c r="FF84" s="19"/>
      <c r="FG84" s="19"/>
      <c r="FH84" s="19"/>
      <c r="FI84" s="19"/>
      <c r="FJ84" s="19"/>
      <c r="FK84" s="19"/>
      <c r="FL84" s="19">
        <v>2.3023879359090317E-2</v>
      </c>
      <c r="FM84" s="19">
        <v>4.702956243837153E-2</v>
      </c>
      <c r="FN84" s="19">
        <v>8.493373407681433E-2</v>
      </c>
      <c r="FO84" s="19">
        <v>0.20253809521990004</v>
      </c>
      <c r="FP84" s="19">
        <v>0.19495429437436354</v>
      </c>
      <c r="FQ84" s="19"/>
      <c r="FR84" s="19"/>
      <c r="FS84" s="19">
        <v>8.5495086123031031E-3</v>
      </c>
      <c r="FT84" s="19">
        <v>4.0341938647105056E-3</v>
      </c>
      <c r="FU84" s="19"/>
      <c r="FV84" s="19"/>
      <c r="FW84" s="19"/>
      <c r="FX84" s="19">
        <v>3.364137860813201E-2</v>
      </c>
      <c r="FY84" s="19">
        <v>3.3383940361178692E-2</v>
      </c>
      <c r="FZ84" s="19">
        <v>5.9301150234436703E-2</v>
      </c>
      <c r="GA84" s="19"/>
      <c r="GB84" s="19"/>
      <c r="GC84" s="19"/>
      <c r="GD84" s="19"/>
      <c r="GE84" s="19"/>
      <c r="GF84" s="19"/>
      <c r="GG84" s="19"/>
      <c r="GH84" s="19"/>
      <c r="GI84" s="19">
        <v>26.207073530874826</v>
      </c>
      <c r="GJ84" s="17"/>
      <c r="GK84" s="17"/>
      <c r="GL84" s="17"/>
      <c r="GM84" s="17"/>
      <c r="GN84" s="17"/>
      <c r="GO84" s="17"/>
      <c r="GP84" s="17"/>
      <c r="GQ84" s="17"/>
      <c r="GR84" s="17"/>
      <c r="GS84" s="17"/>
      <c r="GT84" s="17"/>
      <c r="GU84" s="17"/>
      <c r="GV84" s="17"/>
      <c r="GW84" s="17"/>
      <c r="GX84" s="17"/>
      <c r="GY84" s="17"/>
    </row>
    <row r="85" spans="1:207" x14ac:dyDescent="0.25">
      <c r="A85" s="18" t="s">
        <v>77</v>
      </c>
      <c r="B85" s="19"/>
      <c r="C85" s="19"/>
      <c r="D85" s="19"/>
      <c r="E85" s="19"/>
      <c r="F85" s="19">
        <v>10.288411070771698</v>
      </c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>
        <v>2.6941175557870178E-2</v>
      </c>
      <c r="BO85" s="19"/>
      <c r="BP85" s="19"/>
      <c r="BQ85" s="19"/>
      <c r="BR85" s="19"/>
      <c r="BS85" s="19"/>
      <c r="BT85" s="19">
        <v>0.71283997561079548</v>
      </c>
      <c r="BU85" s="19">
        <v>0.46271087238822523</v>
      </c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/>
      <c r="EQ85" s="19"/>
      <c r="ER85" s="19"/>
      <c r="ES85" s="19"/>
      <c r="ET85" s="19"/>
      <c r="EU85" s="19"/>
      <c r="EV85" s="19"/>
      <c r="EW85" s="19"/>
      <c r="EX85" s="19"/>
      <c r="EY85" s="19"/>
      <c r="EZ85" s="19"/>
      <c r="FA85" s="19"/>
      <c r="FB85" s="19"/>
      <c r="FC85" s="19"/>
      <c r="FD85" s="19"/>
      <c r="FE85" s="19"/>
      <c r="FF85" s="19"/>
      <c r="FG85" s="19"/>
      <c r="FH85" s="19"/>
      <c r="FI85" s="19"/>
      <c r="FJ85" s="19"/>
      <c r="FK85" s="19"/>
      <c r="FL85" s="19">
        <v>21.667839374860613</v>
      </c>
      <c r="FM85" s="19">
        <v>28.149073178813151</v>
      </c>
      <c r="FN85" s="19">
        <v>31.005919348678791</v>
      </c>
      <c r="FO85" s="19">
        <v>36.578848890768484</v>
      </c>
      <c r="FP85" s="19">
        <v>23.831368090742835</v>
      </c>
      <c r="FQ85" s="19">
        <v>0.40397761766920548</v>
      </c>
      <c r="FR85" s="19">
        <v>0.62367068388362512</v>
      </c>
      <c r="FS85" s="19">
        <v>0.69192627467622214</v>
      </c>
      <c r="FT85" s="19">
        <v>0.52797445479088689</v>
      </c>
      <c r="FU85" s="19">
        <v>2.2043537763064132</v>
      </c>
      <c r="FV85" s="19">
        <v>0.76336546511279779</v>
      </c>
      <c r="FW85" s="19">
        <v>2.1777084127744089</v>
      </c>
      <c r="FX85" s="19">
        <v>2.5553779120403339</v>
      </c>
      <c r="FY85" s="19">
        <v>5.4643992521036049</v>
      </c>
      <c r="FZ85" s="19">
        <v>29.478121827401893</v>
      </c>
      <c r="GA85" s="19"/>
      <c r="GB85" s="19"/>
      <c r="GC85" s="19"/>
      <c r="GD85" s="19"/>
      <c r="GE85" s="19"/>
      <c r="GF85" s="19"/>
      <c r="GG85" s="19"/>
      <c r="GH85" s="19">
        <v>1.3425019212871654</v>
      </c>
      <c r="GI85" s="19">
        <v>198.95732957623906</v>
      </c>
      <c r="GJ85" s="17"/>
      <c r="GK85" s="17"/>
      <c r="GL85" s="17"/>
      <c r="GM85" s="17"/>
      <c r="GN85" s="17"/>
      <c r="GO85" s="17"/>
      <c r="GP85" s="17"/>
      <c r="GQ85" s="17"/>
      <c r="GR85" s="17"/>
      <c r="GS85" s="17"/>
      <c r="GT85" s="17"/>
      <c r="GU85" s="17"/>
      <c r="GV85" s="17"/>
      <c r="GW85" s="17"/>
      <c r="GX85" s="17"/>
      <c r="GY85" s="17"/>
    </row>
    <row r="86" spans="1:207" x14ac:dyDescent="0.25">
      <c r="A86" s="18" t="s">
        <v>78</v>
      </c>
      <c r="B86" s="19"/>
      <c r="C86" s="19"/>
      <c r="D86" s="19"/>
      <c r="E86" s="19"/>
      <c r="F86" s="19"/>
      <c r="G86" s="19">
        <v>1.4313567188154825</v>
      </c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>
        <v>0.15708289063338335</v>
      </c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/>
      <c r="EQ86" s="19"/>
      <c r="ER86" s="19"/>
      <c r="ES86" s="19"/>
      <c r="ET86" s="19"/>
      <c r="EU86" s="19"/>
      <c r="EV86" s="19"/>
      <c r="EW86" s="19"/>
      <c r="EX86" s="19"/>
      <c r="EY86" s="19"/>
      <c r="EZ86" s="19"/>
      <c r="FA86" s="19"/>
      <c r="FB86" s="19"/>
      <c r="FC86" s="19"/>
      <c r="FD86" s="19"/>
      <c r="FE86" s="19"/>
      <c r="FF86" s="19"/>
      <c r="FG86" s="19"/>
      <c r="FH86" s="19"/>
      <c r="FI86" s="19"/>
      <c r="FJ86" s="19"/>
      <c r="FK86" s="19"/>
      <c r="FL86" s="19">
        <v>1.4088696245651076</v>
      </c>
      <c r="FM86" s="19">
        <v>2.0300270878295428</v>
      </c>
      <c r="FN86" s="19">
        <v>2.5746206294236536</v>
      </c>
      <c r="FO86" s="19">
        <v>3.8498797057664027</v>
      </c>
      <c r="FP86" s="19">
        <v>3.3035515067590193</v>
      </c>
      <c r="FQ86" s="19">
        <v>2.0069048033817771E-2</v>
      </c>
      <c r="FR86" s="19">
        <v>5.3805216516260829E-2</v>
      </c>
      <c r="FS86" s="19">
        <v>5.9476047644367418E-2</v>
      </c>
      <c r="FT86" s="19">
        <v>6.0981249763366094E-2</v>
      </c>
      <c r="FU86" s="19">
        <v>0.33664317384876563</v>
      </c>
      <c r="FV86" s="19">
        <v>5.734380351420032E-2</v>
      </c>
      <c r="FW86" s="19">
        <v>0.18276377886011791</v>
      </c>
      <c r="FX86" s="19">
        <v>0.24119775229543239</v>
      </c>
      <c r="FY86" s="19">
        <v>0.63950633927462397</v>
      </c>
      <c r="FZ86" s="19">
        <v>3.9774749536076444</v>
      </c>
      <c r="GA86" s="19"/>
      <c r="GB86" s="19"/>
      <c r="GC86" s="19"/>
      <c r="GD86" s="19"/>
      <c r="GE86" s="19"/>
      <c r="GF86" s="19"/>
      <c r="GG86" s="19"/>
      <c r="GH86" s="19">
        <v>8.0928360102590441E-2</v>
      </c>
      <c r="GI86" s="19">
        <v>20.465577887253776</v>
      </c>
      <c r="GJ86" s="17"/>
      <c r="GK86" s="17"/>
      <c r="GL86" s="17"/>
      <c r="GM86" s="17"/>
      <c r="GN86" s="17"/>
      <c r="GO86" s="17"/>
      <c r="GP86" s="17"/>
      <c r="GQ86" s="17"/>
      <c r="GR86" s="17"/>
      <c r="GS86" s="17"/>
      <c r="GT86" s="17"/>
      <c r="GU86" s="17"/>
      <c r="GV86" s="17"/>
      <c r="GW86" s="17"/>
      <c r="GX86" s="17"/>
      <c r="GY86" s="17"/>
    </row>
    <row r="87" spans="1:207" x14ac:dyDescent="0.25">
      <c r="A87" s="18" t="s">
        <v>79</v>
      </c>
      <c r="B87" s="19"/>
      <c r="C87" s="19"/>
      <c r="D87" s="19"/>
      <c r="E87" s="19"/>
      <c r="F87" s="19"/>
      <c r="G87" s="19"/>
      <c r="H87" s="19">
        <v>0.10099317967124491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>
        <v>0.37757585571343472</v>
      </c>
      <c r="AJ87" s="19"/>
      <c r="AK87" s="19"/>
      <c r="AL87" s="19"/>
      <c r="AM87" s="19"/>
      <c r="AN87" s="19"/>
      <c r="AO87" s="19"/>
      <c r="AP87" s="19"/>
      <c r="AQ87" s="19">
        <v>1.0916806530240923</v>
      </c>
      <c r="AR87" s="19">
        <v>3.0495904174185084E-2</v>
      </c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>
        <v>0.23933249419866875</v>
      </c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/>
      <c r="EQ87" s="19"/>
      <c r="ER87" s="19"/>
      <c r="ES87" s="19"/>
      <c r="ET87" s="19"/>
      <c r="EU87" s="19"/>
      <c r="EV87" s="19"/>
      <c r="EW87" s="19"/>
      <c r="EX87" s="19"/>
      <c r="EY87" s="19"/>
      <c r="EZ87" s="19"/>
      <c r="FA87" s="19"/>
      <c r="FB87" s="19"/>
      <c r="FC87" s="19"/>
      <c r="FD87" s="19"/>
      <c r="FE87" s="19"/>
      <c r="FF87" s="19"/>
      <c r="FG87" s="19"/>
      <c r="FH87" s="19"/>
      <c r="FI87" s="19"/>
      <c r="FJ87" s="19"/>
      <c r="FK87" s="19"/>
      <c r="FL87" s="19">
        <v>0.78592617163210599</v>
      </c>
      <c r="FM87" s="19">
        <v>0.86946926362862764</v>
      </c>
      <c r="FN87" s="19">
        <v>0.86372148359082801</v>
      </c>
      <c r="FO87" s="19">
        <v>0.95471008886743614</v>
      </c>
      <c r="FP87" s="19">
        <v>0.84497828558597166</v>
      </c>
      <c r="FQ87" s="19">
        <v>2.1999609643549703E-2</v>
      </c>
      <c r="FR87" s="19">
        <v>1.4411552176725044E-2</v>
      </c>
      <c r="FS87" s="19">
        <v>3.6634924324035811E-2</v>
      </c>
      <c r="FT87" s="19">
        <v>1.1520630204063355E-2</v>
      </c>
      <c r="FU87" s="19">
        <v>3.2941360447965237E-2</v>
      </c>
      <c r="FV87" s="19">
        <v>2.6004723859570127E-2</v>
      </c>
      <c r="FW87" s="19">
        <v>3.549702767893801E-2</v>
      </c>
      <c r="FX87" s="19">
        <v>3.468465877167113E-2</v>
      </c>
      <c r="FY87" s="19">
        <v>8.4186554748818643E-2</v>
      </c>
      <c r="FZ87" s="19">
        <v>0.4504304527784313</v>
      </c>
      <c r="GA87" s="19"/>
      <c r="GB87" s="19"/>
      <c r="GC87" s="19"/>
      <c r="GD87" s="19"/>
      <c r="GE87" s="19"/>
      <c r="GF87" s="19"/>
      <c r="GG87" s="19"/>
      <c r="GH87" s="19"/>
      <c r="GI87" s="19">
        <v>6.9071948747203624</v>
      </c>
      <c r="GJ87" s="17"/>
      <c r="GK87" s="17"/>
      <c r="GL87" s="17"/>
      <c r="GM87" s="17"/>
      <c r="GN87" s="17"/>
      <c r="GO87" s="17"/>
      <c r="GP87" s="17"/>
      <c r="GQ87" s="17"/>
      <c r="GR87" s="17"/>
      <c r="GS87" s="17"/>
      <c r="GT87" s="17"/>
      <c r="GU87" s="17"/>
      <c r="GV87" s="17"/>
      <c r="GW87" s="17"/>
      <c r="GX87" s="17"/>
      <c r="GY87" s="17"/>
    </row>
    <row r="88" spans="1:207" x14ac:dyDescent="0.25">
      <c r="A88" s="18" t="s">
        <v>80</v>
      </c>
      <c r="B88" s="19"/>
      <c r="C88" s="19"/>
      <c r="D88" s="19"/>
      <c r="E88" s="19"/>
      <c r="F88" s="19"/>
      <c r="G88" s="19"/>
      <c r="H88" s="19"/>
      <c r="I88" s="19">
        <v>4.4838900842600058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>
        <v>1.0724470105302568</v>
      </c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>
        <v>15.271534876560954</v>
      </c>
      <c r="BU88" s="19">
        <v>0.14516388768289368</v>
      </c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/>
      <c r="EQ88" s="19"/>
      <c r="ER88" s="19"/>
      <c r="ES88" s="19"/>
      <c r="ET88" s="19"/>
      <c r="EU88" s="19"/>
      <c r="EV88" s="19"/>
      <c r="EW88" s="19"/>
      <c r="EX88" s="19"/>
      <c r="EY88" s="19"/>
      <c r="EZ88" s="19"/>
      <c r="FA88" s="19"/>
      <c r="FB88" s="19"/>
      <c r="FC88" s="19"/>
      <c r="FD88" s="19"/>
      <c r="FE88" s="19"/>
      <c r="FF88" s="19"/>
      <c r="FG88" s="19"/>
      <c r="FH88" s="19"/>
      <c r="FI88" s="19"/>
      <c r="FJ88" s="19"/>
      <c r="FK88" s="19"/>
      <c r="FL88" s="19">
        <v>18.413134941757502</v>
      </c>
      <c r="FM88" s="19">
        <v>19.967979612365529</v>
      </c>
      <c r="FN88" s="19">
        <v>19.592637613069762</v>
      </c>
      <c r="FO88" s="19">
        <v>20.973690534368014</v>
      </c>
      <c r="FP88" s="19">
        <v>14.460077495071673</v>
      </c>
      <c r="FQ88" s="19">
        <v>0.31664610829630035</v>
      </c>
      <c r="FR88" s="19">
        <v>0.64223266668449963</v>
      </c>
      <c r="FS88" s="19">
        <v>0.52834089611047819</v>
      </c>
      <c r="FT88" s="19">
        <v>0.42389549866395437</v>
      </c>
      <c r="FU88" s="19">
        <v>1.5842883139904698</v>
      </c>
      <c r="FV88" s="19">
        <v>0.81852807058194998</v>
      </c>
      <c r="FW88" s="19">
        <v>1.5370025018031608</v>
      </c>
      <c r="FX88" s="19">
        <v>1.8146592005724085</v>
      </c>
      <c r="FY88" s="19">
        <v>5.1160967585514197</v>
      </c>
      <c r="FZ88" s="19">
        <v>19.093839680426321</v>
      </c>
      <c r="GA88" s="19"/>
      <c r="GB88" s="19"/>
      <c r="GC88" s="19"/>
      <c r="GD88" s="19"/>
      <c r="GE88" s="19"/>
      <c r="GF88" s="19"/>
      <c r="GG88" s="19"/>
      <c r="GH88" s="19"/>
      <c r="GI88" s="19">
        <v>146.25608575134754</v>
      </c>
      <c r="GJ88" s="17"/>
      <c r="GK88" s="17"/>
      <c r="GL88" s="17"/>
      <c r="GM88" s="17"/>
      <c r="GN88" s="17"/>
      <c r="GO88" s="17"/>
      <c r="GP88" s="17"/>
      <c r="GQ88" s="17"/>
      <c r="GR88" s="17"/>
      <c r="GS88" s="17"/>
      <c r="GT88" s="17"/>
      <c r="GU88" s="17"/>
      <c r="GV88" s="17"/>
      <c r="GW88" s="17"/>
      <c r="GX88" s="17"/>
      <c r="GY88" s="17"/>
    </row>
    <row r="89" spans="1:207" x14ac:dyDescent="0.25">
      <c r="A89" s="18" t="s">
        <v>81</v>
      </c>
      <c r="B89" s="19"/>
      <c r="C89" s="19"/>
      <c r="D89" s="19"/>
      <c r="E89" s="19"/>
      <c r="F89" s="19"/>
      <c r="G89" s="19"/>
      <c r="H89" s="19"/>
      <c r="I89" s="19"/>
      <c r="J89" s="19">
        <v>2.9979868164979799</v>
      </c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>
        <v>0.52083170313450389</v>
      </c>
      <c r="BU89" s="19">
        <v>0.23131603973880843</v>
      </c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/>
      <c r="EQ89" s="19"/>
      <c r="ER89" s="19"/>
      <c r="ES89" s="19"/>
      <c r="ET89" s="19"/>
      <c r="EU89" s="19"/>
      <c r="EV89" s="19"/>
      <c r="EW89" s="19"/>
      <c r="EX89" s="19"/>
      <c r="EY89" s="19"/>
      <c r="EZ89" s="19"/>
      <c r="FA89" s="19"/>
      <c r="FB89" s="19"/>
      <c r="FC89" s="19"/>
      <c r="FD89" s="19"/>
      <c r="FE89" s="19"/>
      <c r="FF89" s="19"/>
      <c r="FG89" s="19"/>
      <c r="FH89" s="19"/>
      <c r="FI89" s="19"/>
      <c r="FJ89" s="19"/>
      <c r="FK89" s="19"/>
      <c r="FL89" s="19">
        <v>4.953196598154932</v>
      </c>
      <c r="FM89" s="19">
        <v>6.8140639925985171</v>
      </c>
      <c r="FN89" s="19">
        <v>8.9201087496242728</v>
      </c>
      <c r="FO89" s="19">
        <v>12.429402134034303</v>
      </c>
      <c r="FP89" s="19">
        <v>11.385706223078236</v>
      </c>
      <c r="FQ89" s="19">
        <v>0.35260172486876218</v>
      </c>
      <c r="FR89" s="19">
        <v>0.25753323525055799</v>
      </c>
      <c r="FS89" s="19">
        <v>0.46719869870244524</v>
      </c>
      <c r="FT89" s="19">
        <v>0.27536225499439826</v>
      </c>
      <c r="FU89" s="19">
        <v>1.2340081360123782</v>
      </c>
      <c r="FV89" s="19">
        <v>0.45209293145440815</v>
      </c>
      <c r="FW89" s="19">
        <v>1.0972996036381886</v>
      </c>
      <c r="FX89" s="19">
        <v>1.4927632156783945</v>
      </c>
      <c r="FY89" s="19">
        <v>3.3562168147141214</v>
      </c>
      <c r="FZ89" s="19">
        <v>19.999113294774482</v>
      </c>
      <c r="GA89" s="19"/>
      <c r="GB89" s="19"/>
      <c r="GC89" s="19"/>
      <c r="GD89" s="19"/>
      <c r="GE89" s="19"/>
      <c r="GF89" s="19"/>
      <c r="GG89" s="19"/>
      <c r="GH89" s="19">
        <v>0.24066473656686652</v>
      </c>
      <c r="GI89" s="19">
        <v>77.477466903516572</v>
      </c>
      <c r="GJ89" s="17"/>
      <c r="GK89" s="17"/>
      <c r="GL89" s="17"/>
      <c r="GM89" s="17"/>
      <c r="GN89" s="17"/>
      <c r="GO89" s="17"/>
      <c r="GP89" s="17"/>
      <c r="GQ89" s="17"/>
      <c r="GR89" s="17"/>
      <c r="GS89" s="17"/>
      <c r="GT89" s="17"/>
      <c r="GU89" s="17"/>
      <c r="GV89" s="17"/>
      <c r="GW89" s="17"/>
      <c r="GX89" s="17"/>
      <c r="GY89" s="17"/>
    </row>
    <row r="90" spans="1:207" x14ac:dyDescent="0.25">
      <c r="A90" s="18" t="s">
        <v>82</v>
      </c>
      <c r="B90" s="19"/>
      <c r="C90" s="19"/>
      <c r="D90" s="19"/>
      <c r="E90" s="19"/>
      <c r="F90" s="19"/>
      <c r="G90" s="19"/>
      <c r="H90" s="19"/>
      <c r="I90" s="19"/>
      <c r="J90" s="19"/>
      <c r="K90" s="19">
        <v>9.7563848576898096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>
        <v>2.2450368074090683E-2</v>
      </c>
      <c r="BO90" s="19"/>
      <c r="BP90" s="19"/>
      <c r="BQ90" s="19"/>
      <c r="BR90" s="19"/>
      <c r="BS90" s="19"/>
      <c r="BT90" s="19">
        <v>0.64847897773763807</v>
      </c>
      <c r="BU90" s="19">
        <v>0.38545072736378833</v>
      </c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/>
      <c r="EQ90" s="19"/>
      <c r="ER90" s="19"/>
      <c r="ES90" s="19"/>
      <c r="ET90" s="19"/>
      <c r="EU90" s="19"/>
      <c r="EV90" s="19"/>
      <c r="EW90" s="19"/>
      <c r="EX90" s="19"/>
      <c r="EY90" s="19"/>
      <c r="EZ90" s="19"/>
      <c r="FA90" s="19"/>
      <c r="FB90" s="19"/>
      <c r="FC90" s="19"/>
      <c r="FD90" s="19"/>
      <c r="FE90" s="19"/>
      <c r="FF90" s="19"/>
      <c r="FG90" s="19"/>
      <c r="FH90" s="19"/>
      <c r="FI90" s="19"/>
      <c r="FJ90" s="19"/>
      <c r="FK90" s="19"/>
      <c r="FL90" s="19">
        <v>13.254527458342348</v>
      </c>
      <c r="FM90" s="19">
        <v>10.850161846423134</v>
      </c>
      <c r="FN90" s="19">
        <v>10.065077848250423</v>
      </c>
      <c r="FO90" s="19">
        <v>9.4176036839364965</v>
      </c>
      <c r="FP90" s="19">
        <v>5.5452483868133235</v>
      </c>
      <c r="FQ90" s="19">
        <v>0.32856474307326389</v>
      </c>
      <c r="FR90" s="19">
        <v>0.29305288502996996</v>
      </c>
      <c r="FS90" s="19">
        <v>0.22471219740212961</v>
      </c>
      <c r="FT90" s="19">
        <v>0.15820049867361105</v>
      </c>
      <c r="FU90" s="19">
        <v>0.37150195482044845</v>
      </c>
      <c r="FV90" s="19">
        <v>0.68388665306520635</v>
      </c>
      <c r="FW90" s="19">
        <v>0.85997314651832857</v>
      </c>
      <c r="FX90" s="19">
        <v>0.92939752482906635</v>
      </c>
      <c r="FY90" s="19">
        <v>1.7633499907477161</v>
      </c>
      <c r="FZ90" s="19">
        <v>4.8781214801071942</v>
      </c>
      <c r="GA90" s="19"/>
      <c r="GB90" s="19"/>
      <c r="GC90" s="19"/>
      <c r="GD90" s="19"/>
      <c r="GE90" s="19"/>
      <c r="GF90" s="19"/>
      <c r="GG90" s="19"/>
      <c r="GH90" s="19"/>
      <c r="GI90" s="19">
        <v>70.436145228897985</v>
      </c>
      <c r="GJ90" s="17"/>
      <c r="GK90" s="17"/>
      <c r="GL90" s="17"/>
      <c r="GM90" s="17"/>
      <c r="GN90" s="17"/>
      <c r="GO90" s="17"/>
      <c r="GP90" s="17"/>
      <c r="GQ90" s="17"/>
      <c r="GR90" s="17"/>
      <c r="GS90" s="17"/>
      <c r="GT90" s="17"/>
      <c r="GU90" s="17"/>
      <c r="GV90" s="17"/>
      <c r="GW90" s="17"/>
      <c r="GX90" s="17"/>
      <c r="GY90" s="17"/>
    </row>
    <row r="91" spans="1:207" x14ac:dyDescent="0.25">
      <c r="A91" s="18" t="s">
        <v>83</v>
      </c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>
        <v>0.4881116494323432</v>
      </c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/>
      <c r="EQ91" s="19"/>
      <c r="ER91" s="19"/>
      <c r="ES91" s="19"/>
      <c r="ET91" s="19"/>
      <c r="EU91" s="19"/>
      <c r="EV91" s="19"/>
      <c r="EW91" s="19"/>
      <c r="EX91" s="19"/>
      <c r="EY91" s="19"/>
      <c r="EZ91" s="19"/>
      <c r="FA91" s="19"/>
      <c r="FB91" s="19"/>
      <c r="FC91" s="19"/>
      <c r="FD91" s="19"/>
      <c r="FE91" s="19"/>
      <c r="FF91" s="19"/>
      <c r="FG91" s="19"/>
      <c r="FH91" s="19"/>
      <c r="FI91" s="19"/>
      <c r="FJ91" s="19"/>
      <c r="FK91" s="19"/>
      <c r="FL91" s="19">
        <v>1.4841697548750772</v>
      </c>
      <c r="FM91" s="19">
        <v>2.3044732819723719</v>
      </c>
      <c r="FN91" s="19">
        <v>1.9244166217429775</v>
      </c>
      <c r="FO91" s="19">
        <v>2.0911795489057612</v>
      </c>
      <c r="FP91" s="19">
        <v>1.4182580661595592</v>
      </c>
      <c r="FQ91" s="19">
        <v>1.0439808245919639E-2</v>
      </c>
      <c r="FR91" s="19">
        <v>9.5353761040528045E-3</v>
      </c>
      <c r="FS91" s="19">
        <v>1.7778345389111189E-2</v>
      </c>
      <c r="FT91" s="19">
        <v>2.7745871130078089E-2</v>
      </c>
      <c r="FU91" s="19">
        <v>3.3437421214043521E-2</v>
      </c>
      <c r="FV91" s="19">
        <v>7.1364919017700368E-2</v>
      </c>
      <c r="FW91" s="19">
        <v>6.7894354373873492E-2</v>
      </c>
      <c r="FX91" s="19">
        <v>0.14333292595869068</v>
      </c>
      <c r="FY91" s="19">
        <v>0.25324889137980072</v>
      </c>
      <c r="FZ91" s="19">
        <v>1.2790026108653405</v>
      </c>
      <c r="GA91" s="19"/>
      <c r="GB91" s="19"/>
      <c r="GC91" s="19"/>
      <c r="GD91" s="19"/>
      <c r="GE91" s="19"/>
      <c r="GF91" s="19"/>
      <c r="GG91" s="19"/>
      <c r="GH91" s="19"/>
      <c r="GI91" s="19">
        <v>11.624389446766703</v>
      </c>
      <c r="GJ91" s="17"/>
      <c r="GK91" s="17"/>
      <c r="GL91" s="17"/>
      <c r="GM91" s="17"/>
      <c r="GN91" s="17"/>
      <c r="GO91" s="17"/>
      <c r="GP91" s="17"/>
      <c r="GQ91" s="17"/>
      <c r="GR91" s="17"/>
      <c r="GS91" s="17"/>
      <c r="GT91" s="17"/>
      <c r="GU91" s="17"/>
      <c r="GV91" s="17"/>
      <c r="GW91" s="17"/>
      <c r="GX91" s="17"/>
      <c r="GY91" s="17"/>
    </row>
    <row r="92" spans="1:207" x14ac:dyDescent="0.25">
      <c r="A92" s="18" t="s">
        <v>84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>
        <v>3.8189709146242738</v>
      </c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/>
      <c r="EQ92" s="19"/>
      <c r="ER92" s="19"/>
      <c r="ES92" s="19"/>
      <c r="ET92" s="19"/>
      <c r="EU92" s="19"/>
      <c r="EV92" s="19"/>
      <c r="EW92" s="19"/>
      <c r="EX92" s="19"/>
      <c r="EY92" s="19"/>
      <c r="EZ92" s="19"/>
      <c r="FA92" s="19"/>
      <c r="FB92" s="19"/>
      <c r="FC92" s="19"/>
      <c r="FD92" s="19"/>
      <c r="FE92" s="19"/>
      <c r="FF92" s="19"/>
      <c r="FG92" s="19"/>
      <c r="FH92" s="19"/>
      <c r="FI92" s="19"/>
      <c r="FJ92" s="19"/>
      <c r="FK92" s="19"/>
      <c r="FL92" s="19">
        <v>5.034801727495064</v>
      </c>
      <c r="FM92" s="19">
        <v>7.6119112267335982</v>
      </c>
      <c r="FN92" s="19">
        <v>10.376058099772488</v>
      </c>
      <c r="FO92" s="19">
        <v>14.72653611094163</v>
      </c>
      <c r="FP92" s="19">
        <v>14.280408614147788</v>
      </c>
      <c r="FQ92" s="19">
        <v>0.25064676314330397</v>
      </c>
      <c r="FR92" s="19">
        <v>0.23791831806052691</v>
      </c>
      <c r="FS92" s="19">
        <v>0.35400531023816462</v>
      </c>
      <c r="FT92" s="19">
        <v>0.2527748419077549</v>
      </c>
      <c r="FU92" s="19">
        <v>1.6956792852085116</v>
      </c>
      <c r="FV92" s="19">
        <v>0.26742631545768408</v>
      </c>
      <c r="FW92" s="19">
        <v>0.78261004177211602</v>
      </c>
      <c r="FX92" s="19">
        <v>1.1655758205498892</v>
      </c>
      <c r="FY92" s="19">
        <v>3.2519662932657867</v>
      </c>
      <c r="FZ92" s="19">
        <v>28.806488613154755</v>
      </c>
      <c r="GA92" s="19"/>
      <c r="GB92" s="19"/>
      <c r="GC92" s="19"/>
      <c r="GD92" s="19"/>
      <c r="GE92" s="19"/>
      <c r="GF92" s="19"/>
      <c r="GG92" s="19"/>
      <c r="GH92" s="19">
        <v>0.96106893533221938</v>
      </c>
      <c r="GI92" s="19">
        <v>93.87484723180556</v>
      </c>
      <c r="GJ92" s="17"/>
      <c r="GK92" s="17"/>
      <c r="GL92" s="17"/>
      <c r="GM92" s="17"/>
      <c r="GN92" s="17"/>
      <c r="GO92" s="17"/>
      <c r="GP92" s="17"/>
      <c r="GQ92" s="17"/>
      <c r="GR92" s="17"/>
      <c r="GS92" s="17"/>
      <c r="GT92" s="17"/>
      <c r="GU92" s="17"/>
      <c r="GV92" s="17"/>
      <c r="GW92" s="17"/>
      <c r="GX92" s="17"/>
      <c r="GY92" s="17"/>
    </row>
    <row r="93" spans="1:207" x14ac:dyDescent="0.25">
      <c r="A93" s="18" t="s">
        <v>85</v>
      </c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>
        <v>1.0246777463625325</v>
      </c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>
        <v>1.9420859370975017</v>
      </c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/>
      <c r="EQ93" s="19"/>
      <c r="ER93" s="19"/>
      <c r="ES93" s="19"/>
      <c r="ET93" s="19"/>
      <c r="EU93" s="19"/>
      <c r="EV93" s="19"/>
      <c r="EW93" s="19"/>
      <c r="EX93" s="19"/>
      <c r="EY93" s="19"/>
      <c r="EZ93" s="19"/>
      <c r="FA93" s="19"/>
      <c r="FB93" s="19"/>
      <c r="FC93" s="19"/>
      <c r="FD93" s="19"/>
      <c r="FE93" s="19"/>
      <c r="FF93" s="19"/>
      <c r="FG93" s="19"/>
      <c r="FH93" s="19"/>
      <c r="FI93" s="19"/>
      <c r="FJ93" s="19"/>
      <c r="FK93" s="19"/>
      <c r="FL93" s="19">
        <v>1.7956494045739204</v>
      </c>
      <c r="FM93" s="19">
        <v>3.38257700945484</v>
      </c>
      <c r="FN93" s="19">
        <v>5.3391150572742543</v>
      </c>
      <c r="FO93" s="19">
        <v>9.0948610210775129</v>
      </c>
      <c r="FP93" s="19">
        <v>9.8122772154619486</v>
      </c>
      <c r="FQ93" s="19">
        <v>3.655925995064549E-2</v>
      </c>
      <c r="FR93" s="19">
        <v>8.3352633433809789E-2</v>
      </c>
      <c r="FS93" s="19">
        <v>0.1340767154061582</v>
      </c>
      <c r="FT93" s="19">
        <v>0.13110361524931</v>
      </c>
      <c r="FU93" s="19">
        <v>1.0292370517175369</v>
      </c>
      <c r="FV93" s="19">
        <v>0.12649175316627767</v>
      </c>
      <c r="FW93" s="19">
        <v>0.41292163635794699</v>
      </c>
      <c r="FX93" s="19">
        <v>0.6938752836759412</v>
      </c>
      <c r="FY93" s="19">
        <v>2.153035408332054</v>
      </c>
      <c r="FZ93" s="19">
        <v>17.592265275583976</v>
      </c>
      <c r="GA93" s="19"/>
      <c r="GB93" s="19"/>
      <c r="GC93" s="19"/>
      <c r="GD93" s="19"/>
      <c r="GE93" s="19"/>
      <c r="GF93" s="19"/>
      <c r="GG93" s="19"/>
      <c r="GH93" s="19"/>
      <c r="GI93" s="19">
        <v>54.784162024176169</v>
      </c>
      <c r="GJ93" s="17"/>
      <c r="GK93" s="17"/>
      <c r="GL93" s="17"/>
      <c r="GM93" s="17"/>
      <c r="GN93" s="17"/>
      <c r="GO93" s="17"/>
      <c r="GP93" s="17"/>
      <c r="GQ93" s="17"/>
      <c r="GR93" s="17"/>
      <c r="GS93" s="17"/>
      <c r="GT93" s="17"/>
      <c r="GU93" s="17"/>
      <c r="GV93" s="17"/>
      <c r="GW93" s="17"/>
      <c r="GX93" s="17"/>
      <c r="GY93" s="17"/>
    </row>
    <row r="94" spans="1:207" x14ac:dyDescent="0.25">
      <c r="A94" s="18" t="s">
        <v>86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>
        <v>0.9827619653438554</v>
      </c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>
        <v>19.357316070822922</v>
      </c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/>
      <c r="EQ94" s="19"/>
      <c r="ER94" s="19"/>
      <c r="ES94" s="19"/>
      <c r="ET94" s="19"/>
      <c r="EU94" s="19"/>
      <c r="EV94" s="19"/>
      <c r="EW94" s="19"/>
      <c r="EX94" s="19"/>
      <c r="EY94" s="19"/>
      <c r="EZ94" s="19"/>
      <c r="FA94" s="19"/>
      <c r="FB94" s="19"/>
      <c r="FC94" s="19"/>
      <c r="FD94" s="19"/>
      <c r="FE94" s="19"/>
      <c r="FF94" s="19"/>
      <c r="FG94" s="19"/>
      <c r="FH94" s="19"/>
      <c r="FI94" s="19"/>
      <c r="FJ94" s="19"/>
      <c r="FK94" s="19"/>
      <c r="FL94" s="19">
        <v>0.25272062156880604</v>
      </c>
      <c r="FM94" s="19">
        <v>0.4158192570547124</v>
      </c>
      <c r="FN94" s="19">
        <v>0.56324092248376123</v>
      </c>
      <c r="FO94" s="19">
        <v>0.7532054854478849</v>
      </c>
      <c r="FP94" s="19">
        <v>0.56505020122850957</v>
      </c>
      <c r="FQ94" s="19">
        <v>1.0603409224933497E-2</v>
      </c>
      <c r="FR94" s="19">
        <v>1.4187983801394881E-2</v>
      </c>
      <c r="FS94" s="19">
        <v>1.2332383886015149E-2</v>
      </c>
      <c r="FT94" s="19">
        <v>9.2500248811158252E-3</v>
      </c>
      <c r="FU94" s="19">
        <v>2.98513180917966E-2</v>
      </c>
      <c r="FV94" s="19">
        <v>2.4912669009049204E-2</v>
      </c>
      <c r="FW94" s="19">
        <v>3.6315348180437544E-2</v>
      </c>
      <c r="FX94" s="19">
        <v>6.6073686711920709E-2</v>
      </c>
      <c r="FY94" s="19">
        <v>0.10573649638741918</v>
      </c>
      <c r="FZ94" s="19">
        <v>0.28341445169283569</v>
      </c>
      <c r="GA94" s="19"/>
      <c r="GB94" s="19"/>
      <c r="GC94" s="19"/>
      <c r="GD94" s="19"/>
      <c r="GE94" s="19"/>
      <c r="GF94" s="19"/>
      <c r="GG94" s="19"/>
      <c r="GH94" s="19"/>
      <c r="GI94" s="19">
        <v>23.482792295817365</v>
      </c>
      <c r="GJ94" s="17"/>
      <c r="GK94" s="17"/>
      <c r="GL94" s="17"/>
      <c r="GM94" s="17"/>
      <c r="GN94" s="17"/>
      <c r="GO94" s="17"/>
      <c r="GP94" s="17"/>
      <c r="GQ94" s="17"/>
      <c r="GR94" s="17"/>
      <c r="GS94" s="17"/>
      <c r="GT94" s="17"/>
      <c r="GU94" s="17"/>
      <c r="GV94" s="17"/>
      <c r="GW94" s="17"/>
      <c r="GX94" s="17"/>
      <c r="GY94" s="17"/>
    </row>
    <row r="95" spans="1:207" x14ac:dyDescent="0.25">
      <c r="A95" s="18" t="s">
        <v>87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>
        <v>0.54674196791481855</v>
      </c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>
        <v>13.84967097263455</v>
      </c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/>
      <c r="EQ95" s="19"/>
      <c r="ER95" s="19"/>
      <c r="ES95" s="19"/>
      <c r="ET95" s="19"/>
      <c r="EU95" s="19"/>
      <c r="EV95" s="19"/>
      <c r="EW95" s="19"/>
      <c r="EX95" s="19"/>
      <c r="EY95" s="19"/>
      <c r="EZ95" s="19"/>
      <c r="FA95" s="19"/>
      <c r="FB95" s="19"/>
      <c r="FC95" s="19"/>
      <c r="FD95" s="19"/>
      <c r="FE95" s="19"/>
      <c r="FF95" s="19"/>
      <c r="FG95" s="19"/>
      <c r="FH95" s="19"/>
      <c r="FI95" s="19"/>
      <c r="FJ95" s="19"/>
      <c r="FK95" s="19"/>
      <c r="FL95" s="19">
        <v>0.34813634022569145</v>
      </c>
      <c r="FM95" s="19">
        <v>0.4900709979644467</v>
      </c>
      <c r="FN95" s="19">
        <v>0.56809889536345792</v>
      </c>
      <c r="FO95" s="19">
        <v>0.59191942440440792</v>
      </c>
      <c r="FP95" s="19">
        <v>0.33380265211169707</v>
      </c>
      <c r="FQ95" s="19">
        <v>6.5616717549125108E-3</v>
      </c>
      <c r="FR95" s="19">
        <v>5.0046028921407549E-3</v>
      </c>
      <c r="FS95" s="19">
        <v>2.701726792757628E-3</v>
      </c>
      <c r="FT95" s="19">
        <v>1.7910544111698387E-3</v>
      </c>
      <c r="FU95" s="19">
        <v>6.2983635266963094E-3</v>
      </c>
      <c r="FV95" s="19">
        <v>1.1787767077242292E-2</v>
      </c>
      <c r="FW95" s="19">
        <v>3.0884608371777124E-2</v>
      </c>
      <c r="FX95" s="19">
        <v>2.2778692568763404E-2</v>
      </c>
      <c r="FY95" s="19">
        <v>1.5503622050419438E-2</v>
      </c>
      <c r="FZ95" s="19">
        <v>3.1861681498302562E-2</v>
      </c>
      <c r="GA95" s="19"/>
      <c r="GB95" s="19"/>
      <c r="GC95" s="19"/>
      <c r="GD95" s="19"/>
      <c r="GE95" s="19"/>
      <c r="GF95" s="19"/>
      <c r="GG95" s="19"/>
      <c r="GH95" s="19"/>
      <c r="GI95" s="19">
        <v>16.863615041563254</v>
      </c>
      <c r="GJ95" s="17"/>
      <c r="GK95" s="17"/>
      <c r="GL95" s="17"/>
      <c r="GM95" s="17"/>
      <c r="GN95" s="17"/>
      <c r="GO95" s="17"/>
      <c r="GP95" s="17"/>
      <c r="GQ95" s="17"/>
      <c r="GR95" s="17"/>
      <c r="GS95" s="17"/>
      <c r="GT95" s="17"/>
      <c r="GU95" s="17"/>
      <c r="GV95" s="17"/>
      <c r="GW95" s="17"/>
      <c r="GX95" s="17"/>
      <c r="GY95" s="17"/>
    </row>
    <row r="96" spans="1:207" x14ac:dyDescent="0.25">
      <c r="A96" s="18" t="s">
        <v>88</v>
      </c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>
        <v>0.3050091356588685</v>
      </c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>
        <v>1.7950920311880236</v>
      </c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>
        <v>1.5526826317852576</v>
      </c>
      <c r="BO96" s="19"/>
      <c r="BP96" s="19"/>
      <c r="BQ96" s="19"/>
      <c r="BR96" s="19"/>
      <c r="BS96" s="19"/>
      <c r="BT96" s="19">
        <v>7.0079921054406098</v>
      </c>
      <c r="BU96" s="19">
        <v>9.5460461090403559</v>
      </c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/>
      <c r="EQ96" s="19"/>
      <c r="ER96" s="19"/>
      <c r="ES96" s="19"/>
      <c r="ET96" s="19"/>
      <c r="EU96" s="19"/>
      <c r="EV96" s="19"/>
      <c r="EW96" s="19"/>
      <c r="EX96" s="19"/>
      <c r="EY96" s="19"/>
      <c r="EZ96" s="19"/>
      <c r="FA96" s="19"/>
      <c r="FB96" s="19"/>
      <c r="FC96" s="19"/>
      <c r="FD96" s="19"/>
      <c r="FE96" s="19"/>
      <c r="FF96" s="19"/>
      <c r="FG96" s="19"/>
      <c r="FH96" s="19"/>
      <c r="FI96" s="19"/>
      <c r="FJ96" s="19"/>
      <c r="FK96" s="19"/>
      <c r="FL96" s="19">
        <v>9.7027800813177496</v>
      </c>
      <c r="FM96" s="19">
        <v>14.201184865300061</v>
      </c>
      <c r="FN96" s="19">
        <v>18.909575737367899</v>
      </c>
      <c r="FO96" s="19">
        <v>26.525048402185057</v>
      </c>
      <c r="FP96" s="19">
        <v>29.668101898864784</v>
      </c>
      <c r="FQ96" s="19">
        <v>0.16897609955894691</v>
      </c>
      <c r="FR96" s="19">
        <v>0.2528408241753709</v>
      </c>
      <c r="FS96" s="19">
        <v>0.49135773342592481</v>
      </c>
      <c r="FT96" s="19">
        <v>0.33724189246905462</v>
      </c>
      <c r="FU96" s="19">
        <v>3.4293586394792968</v>
      </c>
      <c r="FV96" s="19">
        <v>0.29204696240975575</v>
      </c>
      <c r="FW96" s="19">
        <v>1.0228175271855902</v>
      </c>
      <c r="FX96" s="19">
        <v>1.5223059759262685</v>
      </c>
      <c r="FY96" s="19">
        <v>4.9596327164048049</v>
      </c>
      <c r="FZ96" s="19">
        <v>49.837331767162503</v>
      </c>
      <c r="GA96" s="19"/>
      <c r="GB96" s="19"/>
      <c r="GC96" s="19"/>
      <c r="GD96" s="19"/>
      <c r="GE96" s="19"/>
      <c r="GF96" s="19"/>
      <c r="GG96" s="19"/>
      <c r="GH96" s="19"/>
      <c r="GI96" s="19">
        <v>181.52742313634621</v>
      </c>
      <c r="GJ96" s="17"/>
      <c r="GK96" s="17"/>
      <c r="GL96" s="17"/>
      <c r="GM96" s="17"/>
      <c r="GN96" s="17"/>
      <c r="GO96" s="17"/>
      <c r="GP96" s="17"/>
      <c r="GQ96" s="17"/>
      <c r="GR96" s="17"/>
      <c r="GS96" s="17"/>
      <c r="GT96" s="17"/>
      <c r="GU96" s="17"/>
      <c r="GV96" s="17"/>
      <c r="GW96" s="17"/>
      <c r="GX96" s="17"/>
      <c r="GY96" s="17"/>
    </row>
    <row r="97" spans="1:207" x14ac:dyDescent="0.25">
      <c r="A97" s="18" t="s">
        <v>89</v>
      </c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>
        <v>2.8242773915987902</v>
      </c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>
        <v>0.80889138623923595</v>
      </c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>
        <v>1.1889810890227059</v>
      </c>
      <c r="BO97" s="19"/>
      <c r="BP97" s="19"/>
      <c r="BQ97" s="19"/>
      <c r="BR97" s="19"/>
      <c r="BS97" s="19"/>
      <c r="BT97" s="19">
        <v>1.8907537321058385</v>
      </c>
      <c r="BU97" s="19">
        <v>2.9919143719053025</v>
      </c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/>
      <c r="EQ97" s="19"/>
      <c r="ER97" s="19"/>
      <c r="ES97" s="19"/>
      <c r="ET97" s="19"/>
      <c r="EU97" s="19"/>
      <c r="EV97" s="19"/>
      <c r="EW97" s="19"/>
      <c r="EX97" s="19"/>
      <c r="EY97" s="19"/>
      <c r="EZ97" s="19"/>
      <c r="FA97" s="19"/>
      <c r="FB97" s="19"/>
      <c r="FC97" s="19"/>
      <c r="FD97" s="19"/>
      <c r="FE97" s="19"/>
      <c r="FF97" s="19"/>
      <c r="FG97" s="19"/>
      <c r="FH97" s="19"/>
      <c r="FI97" s="19"/>
      <c r="FJ97" s="19"/>
      <c r="FK97" s="19"/>
      <c r="FL97" s="19">
        <v>1.5040098144437597</v>
      </c>
      <c r="FM97" s="19">
        <v>2.71811345344635</v>
      </c>
      <c r="FN97" s="19">
        <v>4.2732848539431458</v>
      </c>
      <c r="FO97" s="19">
        <v>6.8944232353463093</v>
      </c>
      <c r="FP97" s="19">
        <v>9.599506055215425</v>
      </c>
      <c r="FQ97" s="19">
        <v>5.0911751318769329E-2</v>
      </c>
      <c r="FR97" s="19">
        <v>6.0934054584943269E-2</v>
      </c>
      <c r="FS97" s="19">
        <v>6.3046829269775312E-2</v>
      </c>
      <c r="FT97" s="19">
        <v>0.11248721356009671</v>
      </c>
      <c r="FU97" s="19">
        <v>1.2246006608986844</v>
      </c>
      <c r="FV97" s="19">
        <v>7.4971148497620738E-2</v>
      </c>
      <c r="FW97" s="19">
        <v>0.25991721648402666</v>
      </c>
      <c r="FX97" s="19">
        <v>0.52897585360268373</v>
      </c>
      <c r="FY97" s="19">
        <v>1.3407922589527896</v>
      </c>
      <c r="FZ97" s="19">
        <v>26.449727476059458</v>
      </c>
      <c r="GA97" s="19"/>
      <c r="GB97" s="19"/>
      <c r="GC97" s="19"/>
      <c r="GD97" s="19"/>
      <c r="GE97" s="19"/>
      <c r="GF97" s="19"/>
      <c r="GG97" s="19"/>
      <c r="GH97" s="19"/>
      <c r="GI97" s="19">
        <v>64.860519846495691</v>
      </c>
      <c r="GJ97" s="17"/>
      <c r="GK97" s="17"/>
      <c r="GL97" s="17"/>
      <c r="GM97" s="17"/>
      <c r="GN97" s="17"/>
      <c r="GO97" s="17"/>
      <c r="GP97" s="17"/>
      <c r="GQ97" s="17"/>
      <c r="GR97" s="17"/>
      <c r="GS97" s="17"/>
      <c r="GT97" s="17"/>
      <c r="GU97" s="17"/>
      <c r="GV97" s="17"/>
      <c r="GW97" s="17"/>
      <c r="GX97" s="17"/>
      <c r="GY97" s="17"/>
    </row>
    <row r="98" spans="1:207" x14ac:dyDescent="0.25">
      <c r="A98" s="18" t="s">
        <v>90</v>
      </c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>
        <v>0.92479340466287552</v>
      </c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>
        <v>2.5151881444154149</v>
      </c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/>
      <c r="EQ98" s="19"/>
      <c r="ER98" s="19"/>
      <c r="ES98" s="19"/>
      <c r="ET98" s="19"/>
      <c r="EU98" s="19"/>
      <c r="EV98" s="19"/>
      <c r="EW98" s="19"/>
      <c r="EX98" s="19"/>
      <c r="EY98" s="19"/>
      <c r="EZ98" s="19"/>
      <c r="FA98" s="19"/>
      <c r="FB98" s="19"/>
      <c r="FC98" s="19"/>
      <c r="FD98" s="19"/>
      <c r="FE98" s="19"/>
      <c r="FF98" s="19"/>
      <c r="FG98" s="19"/>
      <c r="FH98" s="19"/>
      <c r="FI98" s="19"/>
      <c r="FJ98" s="19"/>
      <c r="FK98" s="19"/>
      <c r="FL98" s="19"/>
      <c r="FM98" s="19"/>
      <c r="FN98" s="19"/>
      <c r="FO98" s="19"/>
      <c r="FP98" s="19"/>
      <c r="FQ98" s="19"/>
      <c r="FR98" s="19"/>
      <c r="FS98" s="19"/>
      <c r="FT98" s="19"/>
      <c r="FU98" s="19"/>
      <c r="FV98" s="19"/>
      <c r="FW98" s="19"/>
      <c r="FX98" s="19"/>
      <c r="FY98" s="19"/>
      <c r="FZ98" s="19"/>
      <c r="GA98" s="19"/>
      <c r="GB98" s="19"/>
      <c r="GC98" s="19"/>
      <c r="GD98" s="19"/>
      <c r="GE98" s="19"/>
      <c r="GF98" s="19"/>
      <c r="GG98" s="19"/>
      <c r="GH98" s="19">
        <v>30.254456883961723</v>
      </c>
      <c r="GI98" s="19">
        <v>33.694438433040013</v>
      </c>
      <c r="GJ98" s="17"/>
      <c r="GK98" s="17"/>
      <c r="GL98" s="17"/>
      <c r="GM98" s="17"/>
      <c r="GN98" s="17"/>
      <c r="GO98" s="17"/>
      <c r="GP98" s="17"/>
      <c r="GQ98" s="17"/>
      <c r="GR98" s="17"/>
      <c r="GS98" s="17"/>
      <c r="GT98" s="17"/>
      <c r="GU98" s="17"/>
      <c r="GV98" s="17"/>
      <c r="GW98" s="17"/>
      <c r="GX98" s="17"/>
      <c r="GY98" s="17"/>
    </row>
    <row r="99" spans="1:207" x14ac:dyDescent="0.25">
      <c r="A99" s="18" t="s">
        <v>91</v>
      </c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>
        <v>1.8265407757629983</v>
      </c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>
        <v>0.23598216282349349</v>
      </c>
      <c r="AP99" s="19"/>
      <c r="AQ99" s="19">
        <v>10.634589339255474</v>
      </c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19"/>
      <c r="EQ99" s="19"/>
      <c r="ER99" s="19"/>
      <c r="ES99" s="19"/>
      <c r="ET99" s="19"/>
      <c r="EU99" s="19"/>
      <c r="EV99" s="19"/>
      <c r="EW99" s="19"/>
      <c r="EX99" s="19"/>
      <c r="EY99" s="19"/>
      <c r="EZ99" s="19"/>
      <c r="FA99" s="19"/>
      <c r="FB99" s="19"/>
      <c r="FC99" s="19"/>
      <c r="FD99" s="19"/>
      <c r="FE99" s="19"/>
      <c r="FF99" s="19"/>
      <c r="FG99" s="19"/>
      <c r="FH99" s="19"/>
      <c r="FI99" s="19"/>
      <c r="FJ99" s="19"/>
      <c r="FK99" s="19"/>
      <c r="FL99" s="19"/>
      <c r="FM99" s="19"/>
      <c r="FN99" s="19"/>
      <c r="FO99" s="19"/>
      <c r="FP99" s="19"/>
      <c r="FQ99" s="19"/>
      <c r="FR99" s="19"/>
      <c r="FS99" s="19"/>
      <c r="FT99" s="19"/>
      <c r="FU99" s="19"/>
      <c r="FV99" s="19"/>
      <c r="FW99" s="19"/>
      <c r="FX99" s="19"/>
      <c r="FY99" s="19"/>
      <c r="FZ99" s="19"/>
      <c r="GA99" s="19"/>
      <c r="GB99" s="19"/>
      <c r="GC99" s="19"/>
      <c r="GD99" s="19"/>
      <c r="GE99" s="19"/>
      <c r="GF99" s="19"/>
      <c r="GG99" s="19"/>
      <c r="GH99" s="19">
        <v>61.240052051156809</v>
      </c>
      <c r="GI99" s="19">
        <v>73.937164328998776</v>
      </c>
      <c r="GJ99" s="17"/>
      <c r="GK99" s="17"/>
      <c r="GL99" s="17"/>
      <c r="GM99" s="17"/>
      <c r="GN99" s="17"/>
      <c r="GO99" s="17"/>
      <c r="GP99" s="17"/>
      <c r="GQ99" s="17"/>
      <c r="GR99" s="17"/>
      <c r="GS99" s="17"/>
      <c r="GT99" s="17"/>
      <c r="GU99" s="17"/>
      <c r="GV99" s="17"/>
      <c r="GW99" s="17"/>
      <c r="GX99" s="17"/>
      <c r="GY99" s="17"/>
    </row>
    <row r="100" spans="1:207" x14ac:dyDescent="0.25">
      <c r="A100" s="18" t="s">
        <v>92</v>
      </c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>
        <v>7.4311136159255678E-2</v>
      </c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>
        <v>5.2176431412889667E-3</v>
      </c>
      <c r="AQ100" s="19">
        <v>3.9590590456246475</v>
      </c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/>
      <c r="EQ100" s="19"/>
      <c r="ER100" s="19"/>
      <c r="ES100" s="19"/>
      <c r="ET100" s="19"/>
      <c r="EU100" s="19"/>
      <c r="EV100" s="19"/>
      <c r="EW100" s="19"/>
      <c r="EX100" s="19"/>
      <c r="EY100" s="19"/>
      <c r="EZ100" s="19"/>
      <c r="FA100" s="19"/>
      <c r="FB100" s="19"/>
      <c r="FC100" s="19"/>
      <c r="FD100" s="19"/>
      <c r="FE100" s="19"/>
      <c r="FF100" s="19"/>
      <c r="FG100" s="19"/>
      <c r="FH100" s="19"/>
      <c r="FI100" s="19"/>
      <c r="FJ100" s="19"/>
      <c r="FK100" s="19"/>
      <c r="FL100" s="19"/>
      <c r="FM100" s="19"/>
      <c r="FN100" s="19"/>
      <c r="FO100" s="19"/>
      <c r="FP100" s="19"/>
      <c r="FQ100" s="19"/>
      <c r="FR100" s="19"/>
      <c r="FS100" s="19"/>
      <c r="FT100" s="19"/>
      <c r="FU100" s="19"/>
      <c r="FV100" s="19"/>
      <c r="FW100" s="19"/>
      <c r="FX100" s="19"/>
      <c r="FY100" s="19"/>
      <c r="FZ100" s="19"/>
      <c r="GA100" s="19"/>
      <c r="GB100" s="19"/>
      <c r="GC100" s="19"/>
      <c r="GD100" s="19"/>
      <c r="GE100" s="19"/>
      <c r="GF100" s="19"/>
      <c r="GG100" s="19"/>
      <c r="GH100" s="19">
        <v>2.2563416605676716</v>
      </c>
      <c r="GI100" s="19">
        <v>6.2949294854928635</v>
      </c>
      <c r="GJ100" s="17"/>
      <c r="GK100" s="17"/>
      <c r="GL100" s="17"/>
      <c r="GM100" s="17"/>
      <c r="GN100" s="17"/>
      <c r="GO100" s="17"/>
      <c r="GP100" s="17"/>
      <c r="GQ100" s="17"/>
      <c r="GR100" s="17"/>
      <c r="GS100" s="17"/>
      <c r="GT100" s="17"/>
      <c r="GU100" s="17"/>
      <c r="GV100" s="17"/>
      <c r="GW100" s="17"/>
      <c r="GX100" s="17"/>
      <c r="GY100" s="17"/>
    </row>
    <row r="101" spans="1:207" x14ac:dyDescent="0.25">
      <c r="A101" s="18" t="s">
        <v>93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>
        <v>5.9944660238646215</v>
      </c>
      <c r="W101" s="19"/>
      <c r="X101" s="19"/>
      <c r="Y101" s="19"/>
      <c r="Z101" s="19"/>
      <c r="AA101" s="19"/>
      <c r="AB101" s="19"/>
      <c r="AC101" s="19"/>
      <c r="AD101" s="19"/>
      <c r="AE101" s="19"/>
      <c r="AF101" s="19">
        <v>4.7879467430041904</v>
      </c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>
        <v>1.6810285942767797E-3</v>
      </c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/>
      <c r="EQ101" s="19"/>
      <c r="ER101" s="19"/>
      <c r="ES101" s="19"/>
      <c r="ET101" s="19"/>
      <c r="EU101" s="19"/>
      <c r="EV101" s="19"/>
      <c r="EW101" s="19"/>
      <c r="EX101" s="19"/>
      <c r="EY101" s="19"/>
      <c r="EZ101" s="19"/>
      <c r="FA101" s="19"/>
      <c r="FB101" s="19"/>
      <c r="FC101" s="19"/>
      <c r="FD101" s="19"/>
      <c r="FE101" s="19"/>
      <c r="FF101" s="19"/>
      <c r="FG101" s="19"/>
      <c r="FH101" s="19"/>
      <c r="FI101" s="19"/>
      <c r="FJ101" s="19"/>
      <c r="FK101" s="19"/>
      <c r="FL101" s="19">
        <v>0.45427257330507753</v>
      </c>
      <c r="FM101" s="19">
        <v>1.4868008634929173</v>
      </c>
      <c r="FN101" s="19">
        <v>3.7050985013620283</v>
      </c>
      <c r="FO101" s="19">
        <v>8.7075459205241899</v>
      </c>
      <c r="FP101" s="19">
        <v>12.458083346590595</v>
      </c>
      <c r="FQ101" s="19">
        <v>7.6994475075654765E-3</v>
      </c>
      <c r="FR101" s="19">
        <v>4.1472085140389602E-3</v>
      </c>
      <c r="FS101" s="19">
        <v>7.0370649505572896E-2</v>
      </c>
      <c r="FT101" s="19">
        <v>9.2158190248683658E-2</v>
      </c>
      <c r="FU101" s="19">
        <v>0.96891989377663434</v>
      </c>
      <c r="FV101" s="19">
        <v>2.8033072272402142E-2</v>
      </c>
      <c r="FW101" s="19">
        <v>0.21975954940059567</v>
      </c>
      <c r="FX101" s="19">
        <v>0.3402371430458907</v>
      </c>
      <c r="FY101" s="19">
        <v>1.6836328529223519</v>
      </c>
      <c r="FZ101" s="19">
        <v>22.269525683834853</v>
      </c>
      <c r="GA101" s="19"/>
      <c r="GB101" s="19"/>
      <c r="GC101" s="19"/>
      <c r="GD101" s="19"/>
      <c r="GE101" s="19"/>
      <c r="GF101" s="19"/>
      <c r="GG101" s="19">
        <v>3.510290446166338</v>
      </c>
      <c r="GH101" s="19">
        <v>4.3862444686702222</v>
      </c>
      <c r="GI101" s="19">
        <v>71.176913606603037</v>
      </c>
      <c r="GJ101" s="17"/>
      <c r="GK101" s="17"/>
      <c r="GL101" s="17"/>
      <c r="GM101" s="17"/>
      <c r="GN101" s="17"/>
      <c r="GO101" s="17"/>
      <c r="GP101" s="17"/>
      <c r="GQ101" s="17"/>
      <c r="GR101" s="17"/>
      <c r="GS101" s="17"/>
      <c r="GT101" s="17"/>
      <c r="GU101" s="17"/>
      <c r="GV101" s="17"/>
      <c r="GW101" s="17"/>
      <c r="GX101" s="17"/>
      <c r="GY101" s="17"/>
    </row>
    <row r="102" spans="1:207" x14ac:dyDescent="0.25">
      <c r="A102" s="18" t="s">
        <v>94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>
        <v>16.985433178474619</v>
      </c>
      <c r="X102" s="19"/>
      <c r="Y102" s="19"/>
      <c r="Z102" s="19"/>
      <c r="AA102" s="19"/>
      <c r="AB102" s="19"/>
      <c r="AC102" s="19"/>
      <c r="AD102" s="19"/>
      <c r="AE102" s="19"/>
      <c r="AF102" s="19"/>
      <c r="AG102" s="19">
        <v>6.0372408398922373</v>
      </c>
      <c r="AH102" s="19"/>
      <c r="AI102" s="19"/>
      <c r="AJ102" s="19"/>
      <c r="AK102" s="19"/>
      <c r="AL102" s="19"/>
      <c r="AM102" s="19"/>
      <c r="AN102" s="19"/>
      <c r="AO102" s="19"/>
      <c r="AP102" s="19"/>
      <c r="AQ102" s="19">
        <v>1.7338636061563126</v>
      </c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>
        <v>2.1119944851187249</v>
      </c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19"/>
      <c r="EQ102" s="19"/>
      <c r="ER102" s="19"/>
      <c r="ES102" s="19"/>
      <c r="ET102" s="19"/>
      <c r="EU102" s="19"/>
      <c r="EV102" s="19"/>
      <c r="EW102" s="19"/>
      <c r="EX102" s="19"/>
      <c r="EY102" s="19"/>
      <c r="EZ102" s="19"/>
      <c r="FA102" s="19"/>
      <c r="FB102" s="19"/>
      <c r="FC102" s="19"/>
      <c r="FD102" s="19"/>
      <c r="FE102" s="19"/>
      <c r="FF102" s="19"/>
      <c r="FG102" s="19"/>
      <c r="FH102" s="19"/>
      <c r="FI102" s="19"/>
      <c r="FJ102" s="19"/>
      <c r="FK102" s="19"/>
      <c r="FL102" s="19">
        <v>0.47000868963581727</v>
      </c>
      <c r="FM102" s="19">
        <v>1.1860071867184656</v>
      </c>
      <c r="FN102" s="19">
        <v>1.8510358216916569</v>
      </c>
      <c r="FO102" s="19">
        <v>4.7959174229837176</v>
      </c>
      <c r="FP102" s="19">
        <v>6.9086124468342982</v>
      </c>
      <c r="FQ102" s="19">
        <v>1.7161235219111413E-2</v>
      </c>
      <c r="FR102" s="19">
        <v>3.4749178643520125E-2</v>
      </c>
      <c r="FS102" s="19">
        <v>6.8314603850872166E-2</v>
      </c>
      <c r="FT102" s="19">
        <v>9.5085828964806177E-2</v>
      </c>
      <c r="FU102" s="19">
        <v>1.1983054161720961</v>
      </c>
      <c r="FV102" s="19">
        <v>4.5552782099611812E-2</v>
      </c>
      <c r="FW102" s="19">
        <v>0.13327763170769802</v>
      </c>
      <c r="FX102" s="19">
        <v>0.4894744566210581</v>
      </c>
      <c r="FY102" s="19">
        <v>1.233528083203532</v>
      </c>
      <c r="FZ102" s="19">
        <v>28.021915405784956</v>
      </c>
      <c r="GA102" s="19"/>
      <c r="GB102" s="19"/>
      <c r="GC102" s="19"/>
      <c r="GD102" s="19"/>
      <c r="GE102" s="19"/>
      <c r="GF102" s="19"/>
      <c r="GG102" s="19"/>
      <c r="GH102" s="19"/>
      <c r="GI102" s="19">
        <v>73.417478299773123</v>
      </c>
      <c r="GJ102" s="17"/>
      <c r="GK102" s="17"/>
      <c r="GL102" s="17"/>
      <c r="GM102" s="17"/>
      <c r="GN102" s="17"/>
      <c r="GO102" s="17"/>
      <c r="GP102" s="17"/>
      <c r="GQ102" s="17"/>
      <c r="GR102" s="17"/>
      <c r="GS102" s="17"/>
      <c r="GT102" s="17"/>
      <c r="GU102" s="17"/>
      <c r="GV102" s="17"/>
      <c r="GW102" s="17"/>
      <c r="GX102" s="17"/>
      <c r="GY102" s="17"/>
    </row>
    <row r="103" spans="1:207" x14ac:dyDescent="0.25">
      <c r="A103" s="18" t="s">
        <v>95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>
        <v>11.855325281989437</v>
      </c>
      <c r="Y103" s="19">
        <v>1.3296804978650762</v>
      </c>
      <c r="Z103" s="19"/>
      <c r="AA103" s="19"/>
      <c r="AB103" s="19"/>
      <c r="AC103" s="19"/>
      <c r="AD103" s="19"/>
      <c r="AE103" s="19"/>
      <c r="AF103" s="19">
        <v>5.6605100003782418</v>
      </c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>
        <v>5.9019649168694688</v>
      </c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  <c r="DS103" s="19"/>
      <c r="DT103" s="19"/>
      <c r="DU103" s="19"/>
      <c r="DV103" s="19"/>
      <c r="DW103" s="19"/>
      <c r="DX103" s="19"/>
      <c r="DY103" s="19"/>
      <c r="DZ103" s="19"/>
      <c r="EA103" s="19"/>
      <c r="EB103" s="19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  <c r="EP103" s="19"/>
      <c r="EQ103" s="19"/>
      <c r="ER103" s="19"/>
      <c r="ES103" s="19"/>
      <c r="ET103" s="19"/>
      <c r="EU103" s="19"/>
      <c r="EV103" s="19"/>
      <c r="EW103" s="19"/>
      <c r="EX103" s="19"/>
      <c r="EY103" s="19"/>
      <c r="EZ103" s="19"/>
      <c r="FA103" s="19"/>
      <c r="FB103" s="19"/>
      <c r="FC103" s="19"/>
      <c r="FD103" s="19"/>
      <c r="FE103" s="19"/>
      <c r="FF103" s="19"/>
      <c r="FG103" s="19"/>
      <c r="FH103" s="19"/>
      <c r="FI103" s="19"/>
      <c r="FJ103" s="19"/>
      <c r="FK103" s="19"/>
      <c r="FL103" s="19"/>
      <c r="FM103" s="19">
        <v>0.15238953063357391</v>
      </c>
      <c r="FN103" s="19">
        <v>0.78395528572042594</v>
      </c>
      <c r="FO103" s="19">
        <v>2.0321019659805226</v>
      </c>
      <c r="FP103" s="19">
        <v>3.4694655639772338</v>
      </c>
      <c r="FQ103" s="19"/>
      <c r="FR103" s="19"/>
      <c r="FS103" s="19"/>
      <c r="FT103" s="19"/>
      <c r="FU103" s="19">
        <v>1.2032549934565522</v>
      </c>
      <c r="FV103" s="19"/>
      <c r="FW103" s="19"/>
      <c r="FX103" s="19">
        <v>9.585096354605345E-2</v>
      </c>
      <c r="FY103" s="19">
        <v>0.20667057098628738</v>
      </c>
      <c r="FZ103" s="19">
        <v>26.18574992566305</v>
      </c>
      <c r="GA103" s="19"/>
      <c r="GB103" s="19"/>
      <c r="GC103" s="19"/>
      <c r="GD103" s="19"/>
      <c r="GE103" s="19"/>
      <c r="GF103" s="19"/>
      <c r="GG103" s="19"/>
      <c r="GH103" s="19"/>
      <c r="GI103" s="19">
        <v>58.876919497065927</v>
      </c>
      <c r="GJ103" s="17"/>
      <c r="GK103" s="17"/>
      <c r="GL103" s="17"/>
      <c r="GM103" s="17"/>
      <c r="GN103" s="17"/>
      <c r="GO103" s="17"/>
      <c r="GP103" s="17"/>
      <c r="GQ103" s="17"/>
      <c r="GR103" s="17"/>
      <c r="GS103" s="17"/>
      <c r="GT103" s="17"/>
      <c r="GU103" s="17"/>
      <c r="GV103" s="17"/>
      <c r="GW103" s="17"/>
      <c r="GX103" s="17"/>
      <c r="GY103" s="17"/>
    </row>
    <row r="104" spans="1:207" x14ac:dyDescent="0.25">
      <c r="A104" s="18" t="s">
        <v>96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>
        <v>3.080865906213766</v>
      </c>
      <c r="Y104" s="19">
        <v>0.49813802323724676</v>
      </c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>
        <v>0.24948946867231697</v>
      </c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>
        <v>1.9315267798567064</v>
      </c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19"/>
      <c r="EQ104" s="19"/>
      <c r="ER104" s="19"/>
      <c r="ES104" s="19"/>
      <c r="ET104" s="19"/>
      <c r="EU104" s="19"/>
      <c r="EV104" s="19"/>
      <c r="EW104" s="19"/>
      <c r="EX104" s="19"/>
      <c r="EY104" s="19"/>
      <c r="EZ104" s="19"/>
      <c r="FA104" s="19"/>
      <c r="FB104" s="19"/>
      <c r="FC104" s="19"/>
      <c r="FD104" s="19"/>
      <c r="FE104" s="19"/>
      <c r="FF104" s="19"/>
      <c r="FG104" s="19"/>
      <c r="FH104" s="19"/>
      <c r="FI104" s="19"/>
      <c r="FJ104" s="19"/>
      <c r="FK104" s="19"/>
      <c r="FL104" s="19">
        <v>1.5549479850753625E-2</v>
      </c>
      <c r="FM104" s="19">
        <v>4.1605982294732127E-2</v>
      </c>
      <c r="FN104" s="19">
        <v>9.1810983470839672E-2</v>
      </c>
      <c r="FO104" s="19">
        <v>0.31924293794538999</v>
      </c>
      <c r="FP104" s="19">
        <v>1.0066755202681179</v>
      </c>
      <c r="FQ104" s="19"/>
      <c r="FR104" s="19">
        <v>4.25426205750065E-3</v>
      </c>
      <c r="FS104" s="19">
        <v>5.2583608135888414E-3</v>
      </c>
      <c r="FT104" s="19">
        <v>3.9984233659661628E-3</v>
      </c>
      <c r="FU104" s="19">
        <v>0.16279366409459931</v>
      </c>
      <c r="FV104" s="19"/>
      <c r="FW104" s="19">
        <v>4.5099002993297301E-3</v>
      </c>
      <c r="FX104" s="19">
        <v>2.2602542220869458E-2</v>
      </c>
      <c r="FY104" s="19">
        <v>5.4351161339240658E-2</v>
      </c>
      <c r="FZ104" s="19">
        <v>3.3830197816298329</v>
      </c>
      <c r="GA104" s="19"/>
      <c r="GB104" s="19"/>
      <c r="GC104" s="19"/>
      <c r="GD104" s="19"/>
      <c r="GE104" s="19"/>
      <c r="GF104" s="19"/>
      <c r="GG104" s="19"/>
      <c r="GH104" s="19">
        <v>2.6747332761321692E-2</v>
      </c>
      <c r="GI104" s="19">
        <v>10.902440510392118</v>
      </c>
      <c r="GJ104" s="17"/>
      <c r="GK104" s="17"/>
      <c r="GL104" s="17"/>
      <c r="GM104" s="17"/>
      <c r="GN104" s="17"/>
      <c r="GO104" s="17"/>
      <c r="GP104" s="17"/>
      <c r="GQ104" s="17"/>
      <c r="GR104" s="17"/>
      <c r="GS104" s="17"/>
      <c r="GT104" s="17"/>
      <c r="GU104" s="17"/>
      <c r="GV104" s="17"/>
      <c r="GW104" s="17"/>
      <c r="GX104" s="17"/>
      <c r="GY104" s="17"/>
    </row>
    <row r="105" spans="1:207" x14ac:dyDescent="0.25">
      <c r="A105" s="18" t="s">
        <v>97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>
        <v>1.2252820457929363</v>
      </c>
      <c r="AA105" s="19"/>
      <c r="AB105" s="19"/>
      <c r="AC105" s="19"/>
      <c r="AD105" s="19"/>
      <c r="AE105" s="19"/>
      <c r="AF105" s="19">
        <v>0.37085136143957276</v>
      </c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>
        <v>5.6744632347652729E-2</v>
      </c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>
        <v>3.7866979129246143</v>
      </c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O105" s="19"/>
      <c r="DP105" s="19"/>
      <c r="DQ105" s="19"/>
      <c r="DR105" s="19"/>
      <c r="DS105" s="19"/>
      <c r="DT105" s="19"/>
      <c r="DU105" s="19"/>
      <c r="DV105" s="19"/>
      <c r="DW105" s="19"/>
      <c r="DX105" s="19"/>
      <c r="DY105" s="19"/>
      <c r="DZ105" s="19"/>
      <c r="EA105" s="19"/>
      <c r="EB105" s="19"/>
      <c r="EC105" s="19"/>
      <c r="ED105" s="19"/>
      <c r="EE105" s="19"/>
      <c r="EF105" s="19"/>
      <c r="EG105" s="19"/>
      <c r="EH105" s="19"/>
      <c r="EI105" s="19"/>
      <c r="EJ105" s="19"/>
      <c r="EK105" s="19"/>
      <c r="EL105" s="19"/>
      <c r="EM105" s="19"/>
      <c r="EN105" s="19"/>
      <c r="EO105" s="19"/>
      <c r="EP105" s="19"/>
      <c r="EQ105" s="19"/>
      <c r="ER105" s="19"/>
      <c r="ES105" s="19"/>
      <c r="ET105" s="19"/>
      <c r="EU105" s="19"/>
      <c r="EV105" s="19"/>
      <c r="EW105" s="19"/>
      <c r="EX105" s="19"/>
      <c r="EY105" s="19"/>
      <c r="EZ105" s="19"/>
      <c r="FA105" s="19"/>
      <c r="FB105" s="19"/>
      <c r="FC105" s="19"/>
      <c r="FD105" s="19"/>
      <c r="FE105" s="19"/>
      <c r="FF105" s="19"/>
      <c r="FG105" s="19"/>
      <c r="FH105" s="19"/>
      <c r="FI105" s="19"/>
      <c r="FJ105" s="19"/>
      <c r="FK105" s="19"/>
      <c r="FL105" s="19">
        <v>1.2898838702783599</v>
      </c>
      <c r="FM105" s="19">
        <v>3.6717227506227506</v>
      </c>
      <c r="FN105" s="19">
        <v>5.7387718772533187</v>
      </c>
      <c r="FO105" s="19">
        <v>11.562185747760109</v>
      </c>
      <c r="FP105" s="19">
        <v>19.566305773853085</v>
      </c>
      <c r="FQ105" s="19"/>
      <c r="FR105" s="19">
        <v>0.10417309492290214</v>
      </c>
      <c r="FS105" s="19">
        <v>4.8583811735327123E-2</v>
      </c>
      <c r="FT105" s="19">
        <v>0.12588418363280329</v>
      </c>
      <c r="FU105" s="19">
        <v>0.56734172355807688</v>
      </c>
      <c r="FV105" s="19">
        <v>4.4227476517623911E-2</v>
      </c>
      <c r="FW105" s="19"/>
      <c r="FX105" s="19">
        <v>9.1511539535994113E-2</v>
      </c>
      <c r="FY105" s="19">
        <v>0.93644780844697439</v>
      </c>
      <c r="FZ105" s="19">
        <v>4.8992405430212695</v>
      </c>
      <c r="GA105" s="19"/>
      <c r="GB105" s="19"/>
      <c r="GC105" s="19"/>
      <c r="GD105" s="19"/>
      <c r="GE105" s="19"/>
      <c r="GF105" s="19"/>
      <c r="GG105" s="19"/>
      <c r="GH105" s="19"/>
      <c r="GI105" s="19">
        <v>54.085856153643377</v>
      </c>
      <c r="GJ105" s="17"/>
      <c r="GK105" s="17"/>
      <c r="GL105" s="17"/>
      <c r="GM105" s="17"/>
      <c r="GN105" s="17"/>
      <c r="GO105" s="17"/>
      <c r="GP105" s="17"/>
      <c r="GQ105" s="17"/>
      <c r="GR105" s="17"/>
      <c r="GS105" s="17"/>
      <c r="GT105" s="17"/>
      <c r="GU105" s="17"/>
      <c r="GV105" s="17"/>
      <c r="GW105" s="17"/>
      <c r="GX105" s="17"/>
      <c r="GY105" s="17"/>
    </row>
    <row r="106" spans="1:207" x14ac:dyDescent="0.25">
      <c r="A106" s="18" t="s">
        <v>98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>
        <v>1.3936452893036295</v>
      </c>
      <c r="AB106" s="19"/>
      <c r="AC106" s="19"/>
      <c r="AD106" s="19"/>
      <c r="AE106" s="19"/>
      <c r="AF106" s="19">
        <v>0.88227056413756988</v>
      </c>
      <c r="AG106" s="19">
        <v>0.38259912431554766</v>
      </c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>
        <v>1.3324812035107763</v>
      </c>
      <c r="AW106" s="19">
        <v>1.196907063939864E-2</v>
      </c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>
        <v>1.9503036703478507</v>
      </c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O106" s="19"/>
      <c r="DP106" s="19"/>
      <c r="DQ106" s="19"/>
      <c r="DR106" s="19"/>
      <c r="DS106" s="19"/>
      <c r="DT106" s="19"/>
      <c r="DU106" s="19"/>
      <c r="DV106" s="19"/>
      <c r="DW106" s="19"/>
      <c r="DX106" s="19"/>
      <c r="DY106" s="19"/>
      <c r="DZ106" s="19"/>
      <c r="EA106" s="19"/>
      <c r="EB106" s="19"/>
      <c r="EC106" s="19"/>
      <c r="ED106" s="19"/>
      <c r="EE106" s="19"/>
      <c r="EF106" s="19"/>
      <c r="EG106" s="19"/>
      <c r="EH106" s="19"/>
      <c r="EI106" s="19"/>
      <c r="EJ106" s="19"/>
      <c r="EK106" s="19"/>
      <c r="EL106" s="19"/>
      <c r="EM106" s="19"/>
      <c r="EN106" s="19"/>
      <c r="EO106" s="19"/>
      <c r="EP106" s="19"/>
      <c r="EQ106" s="19"/>
      <c r="ER106" s="19"/>
      <c r="ES106" s="19"/>
      <c r="ET106" s="19"/>
      <c r="EU106" s="19"/>
      <c r="EV106" s="19"/>
      <c r="EW106" s="19"/>
      <c r="EX106" s="19"/>
      <c r="EY106" s="19"/>
      <c r="EZ106" s="19"/>
      <c r="FA106" s="19"/>
      <c r="FB106" s="19"/>
      <c r="FC106" s="19"/>
      <c r="FD106" s="19"/>
      <c r="FE106" s="19"/>
      <c r="FF106" s="19"/>
      <c r="FG106" s="19"/>
      <c r="FH106" s="19"/>
      <c r="FI106" s="19"/>
      <c r="FJ106" s="19"/>
      <c r="FK106" s="19"/>
      <c r="FL106" s="19">
        <v>0.27902424041973917</v>
      </c>
      <c r="FM106" s="19">
        <v>1.0447784769500683</v>
      </c>
      <c r="FN106" s="19">
        <v>1.7101816503139313</v>
      </c>
      <c r="FO106" s="19">
        <v>2.6817499574725909</v>
      </c>
      <c r="FP106" s="19">
        <v>2.4847678483442524</v>
      </c>
      <c r="FQ106" s="19"/>
      <c r="FR106" s="19">
        <v>3.8949681818694529E-2</v>
      </c>
      <c r="FS106" s="19">
        <v>1.4893979992040939E-2</v>
      </c>
      <c r="FT106" s="19">
        <v>2.5298000899498102E-2</v>
      </c>
      <c r="FU106" s="19">
        <v>0.16956610080505566</v>
      </c>
      <c r="FV106" s="19">
        <v>4.7055905139888936E-2</v>
      </c>
      <c r="FW106" s="19">
        <v>5.7204485505863913E-2</v>
      </c>
      <c r="FX106" s="19">
        <v>5.348329274351421E-2</v>
      </c>
      <c r="FY106" s="19">
        <v>0.11276486939386475</v>
      </c>
      <c r="FZ106" s="19">
        <v>0.87650699793258813</v>
      </c>
      <c r="GA106" s="19"/>
      <c r="GB106" s="19"/>
      <c r="GC106" s="19"/>
      <c r="GD106" s="19"/>
      <c r="GE106" s="19"/>
      <c r="GF106" s="19"/>
      <c r="GG106" s="19"/>
      <c r="GH106" s="19">
        <v>1.0342762822776221</v>
      </c>
      <c r="GI106" s="19">
        <v>16.583770692263986</v>
      </c>
      <c r="GJ106" s="17"/>
      <c r="GK106" s="17"/>
      <c r="GL106" s="17"/>
      <c r="GM106" s="17"/>
      <c r="GN106" s="17"/>
      <c r="GO106" s="17"/>
      <c r="GP106" s="17"/>
      <c r="GQ106" s="17"/>
      <c r="GR106" s="17"/>
      <c r="GS106" s="17"/>
      <c r="GT106" s="17"/>
      <c r="GU106" s="17"/>
      <c r="GV106" s="17"/>
      <c r="GW106" s="17"/>
      <c r="GX106" s="17"/>
      <c r="GY106" s="17"/>
    </row>
    <row r="107" spans="1:207" x14ac:dyDescent="0.25">
      <c r="A107" s="18" t="s">
        <v>99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>
        <v>25.531883810331919</v>
      </c>
      <c r="AC107" s="19"/>
      <c r="AD107" s="19"/>
      <c r="AE107" s="19"/>
      <c r="AF107" s="19">
        <v>2.8997324748648206</v>
      </c>
      <c r="AG107" s="19">
        <v>1.7453560628460452</v>
      </c>
      <c r="AH107" s="19"/>
      <c r="AI107" s="19">
        <v>1.9728918538087156E-3</v>
      </c>
      <c r="AJ107" s="19">
        <v>0.67856523630376131</v>
      </c>
      <c r="AK107" s="19">
        <v>0.21475858297113076</v>
      </c>
      <c r="AL107" s="19">
        <v>0.29296843463968908</v>
      </c>
      <c r="AM107" s="19">
        <v>0.1333145005518778</v>
      </c>
      <c r="AN107" s="19"/>
      <c r="AO107" s="19"/>
      <c r="AP107" s="19"/>
      <c r="AQ107" s="19"/>
      <c r="AR107" s="19"/>
      <c r="AS107" s="19"/>
      <c r="AT107" s="19"/>
      <c r="AU107" s="19">
        <v>4.3994186222474909E-3</v>
      </c>
      <c r="AV107" s="19">
        <v>3.0756034726241676E-2</v>
      </c>
      <c r="AW107" s="19"/>
      <c r="AX107" s="19">
        <v>15.23915993658342</v>
      </c>
      <c r="AY107" s="19">
        <v>2.4274402868558287</v>
      </c>
      <c r="AZ107" s="19"/>
      <c r="BA107" s="19"/>
      <c r="BB107" s="19"/>
      <c r="BC107" s="19">
        <v>4.3189478852562434E-3</v>
      </c>
      <c r="BD107" s="19"/>
      <c r="BE107" s="19">
        <v>1.1295551538949324E-3</v>
      </c>
      <c r="BF107" s="19"/>
      <c r="BG107" s="19"/>
      <c r="BH107" s="19"/>
      <c r="BI107" s="19"/>
      <c r="BJ107" s="19">
        <v>331.69627257653514</v>
      </c>
      <c r="BK107" s="19"/>
      <c r="BL107" s="19"/>
      <c r="BM107" s="19"/>
      <c r="BN107" s="19">
        <v>6.0782782533720624E-2</v>
      </c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O107" s="19"/>
      <c r="DP107" s="19"/>
      <c r="DQ107" s="19"/>
      <c r="DR107" s="19"/>
      <c r="DS107" s="19"/>
      <c r="DT107" s="19"/>
      <c r="DU107" s="19"/>
      <c r="DV107" s="19"/>
      <c r="DW107" s="19"/>
      <c r="DX107" s="19"/>
      <c r="DY107" s="19"/>
      <c r="DZ107" s="19"/>
      <c r="EA107" s="19"/>
      <c r="EB107" s="19"/>
      <c r="EC107" s="19"/>
      <c r="ED107" s="19"/>
      <c r="EE107" s="19"/>
      <c r="EF107" s="19"/>
      <c r="EG107" s="19"/>
      <c r="EH107" s="19"/>
      <c r="EI107" s="19"/>
      <c r="EJ107" s="19"/>
      <c r="EK107" s="19"/>
      <c r="EL107" s="19"/>
      <c r="EM107" s="19"/>
      <c r="EN107" s="19"/>
      <c r="EO107" s="19"/>
      <c r="EP107" s="19"/>
      <c r="EQ107" s="19"/>
      <c r="ER107" s="19"/>
      <c r="ES107" s="19"/>
      <c r="ET107" s="19"/>
      <c r="EU107" s="19"/>
      <c r="EV107" s="19"/>
      <c r="EW107" s="19"/>
      <c r="EX107" s="19"/>
      <c r="EY107" s="19"/>
      <c r="EZ107" s="19"/>
      <c r="FA107" s="19"/>
      <c r="FB107" s="19"/>
      <c r="FC107" s="19"/>
      <c r="FD107" s="19"/>
      <c r="FE107" s="19"/>
      <c r="FF107" s="19"/>
      <c r="FG107" s="19"/>
      <c r="FH107" s="19"/>
      <c r="FI107" s="19"/>
      <c r="FJ107" s="19"/>
      <c r="FK107" s="19"/>
      <c r="FL107" s="19">
        <v>0.35210732826327384</v>
      </c>
      <c r="FM107" s="19">
        <v>0.84167163195115036</v>
      </c>
      <c r="FN107" s="19">
        <v>1.5913414438145979</v>
      </c>
      <c r="FO107" s="19">
        <v>3.3506112078186683</v>
      </c>
      <c r="FP107" s="19">
        <v>7.2391221290896857</v>
      </c>
      <c r="FQ107" s="19">
        <v>4.2179500124628289E-2</v>
      </c>
      <c r="FR107" s="19">
        <v>7.7951988658301094E-2</v>
      </c>
      <c r="FS107" s="19">
        <v>0.12958378323563982</v>
      </c>
      <c r="FT107" s="19">
        <v>0.27421922631883872</v>
      </c>
      <c r="FU107" s="19">
        <v>1.9838705370303231</v>
      </c>
      <c r="FV107" s="19">
        <v>0.11489218197538707</v>
      </c>
      <c r="FW107" s="19">
        <v>0.50117698911181829</v>
      </c>
      <c r="FX107" s="19">
        <v>1.021000329444014</v>
      </c>
      <c r="FY107" s="19">
        <v>3.7024242248911472</v>
      </c>
      <c r="FZ107" s="19">
        <v>39.961236241930116</v>
      </c>
      <c r="GA107" s="19"/>
      <c r="GB107" s="19"/>
      <c r="GC107" s="19"/>
      <c r="GD107" s="19"/>
      <c r="GE107" s="19"/>
      <c r="GF107" s="19"/>
      <c r="GG107" s="19"/>
      <c r="GH107" s="19"/>
      <c r="GI107" s="19">
        <v>442.14620027691643</v>
      </c>
      <c r="GJ107" s="17"/>
      <c r="GK107" s="17"/>
      <c r="GL107" s="17"/>
      <c r="GM107" s="17"/>
      <c r="GN107" s="17"/>
      <c r="GO107" s="17"/>
      <c r="GP107" s="17"/>
      <c r="GQ107" s="17"/>
      <c r="GR107" s="17"/>
      <c r="GS107" s="17"/>
      <c r="GT107" s="17"/>
      <c r="GU107" s="17"/>
      <c r="GV107" s="17"/>
      <c r="GW107" s="17"/>
      <c r="GX107" s="17"/>
      <c r="GY107" s="17"/>
    </row>
    <row r="108" spans="1:207" x14ac:dyDescent="0.25">
      <c r="A108" s="18" t="s">
        <v>100</v>
      </c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>
        <v>7.0056038820204184E-6</v>
      </c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  <c r="DJ108" s="19"/>
      <c r="DK108" s="19"/>
      <c r="DL108" s="19"/>
      <c r="DM108" s="19"/>
      <c r="DN108" s="19"/>
      <c r="DO108" s="19"/>
      <c r="DP108" s="19"/>
      <c r="DQ108" s="19"/>
      <c r="DR108" s="19"/>
      <c r="DS108" s="19"/>
      <c r="DT108" s="19"/>
      <c r="DU108" s="19"/>
      <c r="DV108" s="19"/>
      <c r="DW108" s="19"/>
      <c r="DX108" s="19"/>
      <c r="DY108" s="19"/>
      <c r="DZ108" s="19"/>
      <c r="EA108" s="19"/>
      <c r="EB108" s="19"/>
      <c r="EC108" s="19"/>
      <c r="ED108" s="19"/>
      <c r="EE108" s="19"/>
      <c r="EF108" s="19"/>
      <c r="EG108" s="19"/>
      <c r="EH108" s="19"/>
      <c r="EI108" s="19"/>
      <c r="EJ108" s="19"/>
      <c r="EK108" s="19"/>
      <c r="EL108" s="19"/>
      <c r="EM108" s="19"/>
      <c r="EN108" s="19"/>
      <c r="EO108" s="19"/>
      <c r="EP108" s="19"/>
      <c r="EQ108" s="19"/>
      <c r="ER108" s="19"/>
      <c r="ES108" s="19"/>
      <c r="ET108" s="19"/>
      <c r="EU108" s="19"/>
      <c r="EV108" s="19"/>
      <c r="EW108" s="19"/>
      <c r="EX108" s="19"/>
      <c r="EY108" s="19"/>
      <c r="EZ108" s="19"/>
      <c r="FA108" s="19"/>
      <c r="FB108" s="19"/>
      <c r="FC108" s="19"/>
      <c r="FD108" s="19"/>
      <c r="FE108" s="19"/>
      <c r="FF108" s="19"/>
      <c r="FG108" s="19"/>
      <c r="FH108" s="19"/>
      <c r="FI108" s="19"/>
      <c r="FJ108" s="19"/>
      <c r="FK108" s="19"/>
      <c r="FL108" s="19">
        <v>0.15299661886928059</v>
      </c>
      <c r="FM108" s="19">
        <v>0.19744278921945282</v>
      </c>
      <c r="FN108" s="19">
        <v>0.27552669157340748</v>
      </c>
      <c r="FO108" s="19">
        <v>0.43325825534251211</v>
      </c>
      <c r="FP108" s="19">
        <v>0.56880089102026277</v>
      </c>
      <c r="FQ108" s="19">
        <v>1.647605132709717E-3</v>
      </c>
      <c r="FR108" s="19">
        <v>5.9187774189006686E-3</v>
      </c>
      <c r="FS108" s="19">
        <v>2.5755210248612479E-3</v>
      </c>
      <c r="FT108" s="19">
        <v>1.9346767788328563E-2</v>
      </c>
      <c r="FU108" s="19">
        <v>6.6028506690003055E-2</v>
      </c>
      <c r="FV108" s="19">
        <v>2.1400180245360104E-3</v>
      </c>
      <c r="FW108" s="19">
        <v>1.2505465727734212E-2</v>
      </c>
      <c r="FX108" s="19">
        <v>2.9603673976639284E-2</v>
      </c>
      <c r="FY108" s="19">
        <v>9.3591299809358916E-2</v>
      </c>
      <c r="FZ108" s="19">
        <v>1.2836533829670884</v>
      </c>
      <c r="GA108" s="19"/>
      <c r="GB108" s="19"/>
      <c r="GC108" s="19"/>
      <c r="GD108" s="19"/>
      <c r="GE108" s="19"/>
      <c r="GF108" s="19"/>
      <c r="GG108" s="19"/>
      <c r="GH108" s="19"/>
      <c r="GI108" s="19">
        <v>3.1450432701889577</v>
      </c>
      <c r="GJ108" s="17"/>
      <c r="GK108" s="17"/>
      <c r="GL108" s="17"/>
      <c r="GM108" s="17"/>
      <c r="GN108" s="17"/>
      <c r="GO108" s="17"/>
      <c r="GP108" s="17"/>
      <c r="GQ108" s="17"/>
      <c r="GR108" s="17"/>
      <c r="GS108" s="17"/>
      <c r="GT108" s="17"/>
      <c r="GU108" s="17"/>
      <c r="GV108" s="17"/>
      <c r="GW108" s="17"/>
      <c r="GX108" s="17"/>
      <c r="GY108" s="17"/>
    </row>
    <row r="109" spans="1:207" x14ac:dyDescent="0.25">
      <c r="A109" s="18" t="s">
        <v>101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>
        <v>0.29993877826517512</v>
      </c>
      <c r="AD109" s="19">
        <v>1.9334651300530772</v>
      </c>
      <c r="AE109" s="19"/>
      <c r="AF109" s="19"/>
      <c r="AG109" s="19">
        <v>1.5672114581340233</v>
      </c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  <c r="DS109" s="19"/>
      <c r="DT109" s="19"/>
      <c r="DU109" s="19"/>
      <c r="DV109" s="19"/>
      <c r="DW109" s="19"/>
      <c r="DX109" s="19"/>
      <c r="DY109" s="19"/>
      <c r="DZ109" s="19"/>
      <c r="EA109" s="19"/>
      <c r="EB109" s="19"/>
      <c r="EC109" s="19"/>
      <c r="ED109" s="19"/>
      <c r="EE109" s="19"/>
      <c r="EF109" s="19"/>
      <c r="EG109" s="19"/>
      <c r="EH109" s="19"/>
      <c r="EI109" s="19"/>
      <c r="EJ109" s="19"/>
      <c r="EK109" s="19"/>
      <c r="EL109" s="19"/>
      <c r="EM109" s="19"/>
      <c r="EN109" s="19"/>
      <c r="EO109" s="19"/>
      <c r="EP109" s="19"/>
      <c r="EQ109" s="19"/>
      <c r="ER109" s="19"/>
      <c r="ES109" s="19"/>
      <c r="ET109" s="19"/>
      <c r="EU109" s="19"/>
      <c r="EV109" s="19"/>
      <c r="EW109" s="19"/>
      <c r="EX109" s="19"/>
      <c r="EY109" s="19"/>
      <c r="EZ109" s="19"/>
      <c r="FA109" s="19"/>
      <c r="FB109" s="19"/>
      <c r="FC109" s="19"/>
      <c r="FD109" s="19"/>
      <c r="FE109" s="19"/>
      <c r="FF109" s="19"/>
      <c r="FG109" s="19"/>
      <c r="FH109" s="19"/>
      <c r="FI109" s="19"/>
      <c r="FJ109" s="19"/>
      <c r="FK109" s="19"/>
      <c r="FL109" s="19">
        <v>1.0606527617671493</v>
      </c>
      <c r="FM109" s="19">
        <v>1.3692859169616298</v>
      </c>
      <c r="FN109" s="19">
        <v>1.9115311069376562</v>
      </c>
      <c r="FO109" s="19">
        <v>3.0064231096049032</v>
      </c>
      <c r="FP109" s="19">
        <v>3.9447044522282555</v>
      </c>
      <c r="FQ109" s="19">
        <v>1.1415254820260684E-2</v>
      </c>
      <c r="FR109" s="19">
        <v>4.1008117522532105E-2</v>
      </c>
      <c r="FS109" s="19">
        <v>1.7844282837792571E-2</v>
      </c>
      <c r="FT109" s="19">
        <v>0.13404292197465081</v>
      </c>
      <c r="FU109" s="19">
        <v>0.45744969164604293</v>
      </c>
      <c r="FV109" s="19">
        <v>1.4826888384021296E-2</v>
      </c>
      <c r="FW109" s="19">
        <v>8.6643059218946411E-2</v>
      </c>
      <c r="FX109" s="19">
        <v>0.20510709527000243</v>
      </c>
      <c r="FY109" s="19">
        <v>0.64842150028744872</v>
      </c>
      <c r="FZ109" s="19">
        <v>8.880645194941895</v>
      </c>
      <c r="GA109" s="19"/>
      <c r="GB109" s="19"/>
      <c r="GC109" s="19"/>
      <c r="GD109" s="19"/>
      <c r="GE109" s="19"/>
      <c r="GF109" s="19"/>
      <c r="GG109" s="19"/>
      <c r="GH109" s="19"/>
      <c r="GI109" s="19">
        <v>25.590616720855458</v>
      </c>
      <c r="GJ109" s="17"/>
      <c r="GK109" s="17"/>
      <c r="GL109" s="17"/>
      <c r="GM109" s="17"/>
      <c r="GN109" s="17"/>
      <c r="GO109" s="17"/>
      <c r="GP109" s="17"/>
      <c r="GQ109" s="17"/>
      <c r="GR109" s="17"/>
      <c r="GS109" s="17"/>
      <c r="GT109" s="17"/>
      <c r="GU109" s="17"/>
      <c r="GV109" s="17"/>
      <c r="GW109" s="17"/>
      <c r="GX109" s="17"/>
      <c r="GY109" s="17"/>
    </row>
    <row r="110" spans="1:207" x14ac:dyDescent="0.25">
      <c r="A110" s="18" t="s">
        <v>102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>
        <v>3.1485245200254521</v>
      </c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O110" s="19"/>
      <c r="DP110" s="19"/>
      <c r="DQ110" s="19"/>
      <c r="DR110" s="19"/>
      <c r="DS110" s="19"/>
      <c r="DT110" s="19"/>
      <c r="DU110" s="19"/>
      <c r="DV110" s="19"/>
      <c r="DW110" s="19"/>
      <c r="DX110" s="19"/>
      <c r="DY110" s="19"/>
      <c r="DZ110" s="19"/>
      <c r="EA110" s="19"/>
      <c r="EB110" s="19"/>
      <c r="EC110" s="19"/>
      <c r="ED110" s="19"/>
      <c r="EE110" s="19"/>
      <c r="EF110" s="19"/>
      <c r="EG110" s="19"/>
      <c r="EH110" s="19"/>
      <c r="EI110" s="19"/>
      <c r="EJ110" s="19"/>
      <c r="EK110" s="19"/>
      <c r="EL110" s="19"/>
      <c r="EM110" s="19"/>
      <c r="EN110" s="19"/>
      <c r="EO110" s="19"/>
      <c r="EP110" s="19"/>
      <c r="EQ110" s="19"/>
      <c r="ER110" s="19"/>
      <c r="ES110" s="19"/>
      <c r="ET110" s="19"/>
      <c r="EU110" s="19"/>
      <c r="EV110" s="19"/>
      <c r="EW110" s="19"/>
      <c r="EX110" s="19"/>
      <c r="EY110" s="19"/>
      <c r="EZ110" s="19"/>
      <c r="FA110" s="19"/>
      <c r="FB110" s="19"/>
      <c r="FC110" s="19"/>
      <c r="FD110" s="19"/>
      <c r="FE110" s="19"/>
      <c r="FF110" s="19"/>
      <c r="FG110" s="19"/>
      <c r="FH110" s="19"/>
      <c r="FI110" s="19"/>
      <c r="FJ110" s="19"/>
      <c r="FK110" s="19"/>
      <c r="FL110" s="19"/>
      <c r="FM110" s="19"/>
      <c r="FN110" s="19"/>
      <c r="FO110" s="19"/>
      <c r="FP110" s="19"/>
      <c r="FQ110" s="19"/>
      <c r="FR110" s="19"/>
      <c r="FS110" s="19"/>
      <c r="FT110" s="19"/>
      <c r="FU110" s="19"/>
      <c r="FV110" s="19"/>
      <c r="FW110" s="19"/>
      <c r="FX110" s="19"/>
      <c r="FY110" s="19"/>
      <c r="FZ110" s="19"/>
      <c r="GA110" s="19"/>
      <c r="GB110" s="19"/>
      <c r="GC110" s="19"/>
      <c r="GD110" s="19"/>
      <c r="GE110" s="19"/>
      <c r="GF110" s="19"/>
      <c r="GG110" s="19"/>
      <c r="GH110" s="19"/>
      <c r="GI110" s="19">
        <v>3.1485245200254521</v>
      </c>
      <c r="GJ110" s="17"/>
      <c r="GK110" s="17"/>
      <c r="GL110" s="17"/>
      <c r="GM110" s="17"/>
      <c r="GN110" s="17"/>
      <c r="GO110" s="17"/>
      <c r="GP110" s="17"/>
      <c r="GQ110" s="17"/>
      <c r="GR110" s="17"/>
      <c r="GS110" s="17"/>
      <c r="GT110" s="17"/>
      <c r="GU110" s="17"/>
      <c r="GV110" s="17"/>
      <c r="GW110" s="17"/>
      <c r="GX110" s="17"/>
      <c r="GY110" s="17"/>
    </row>
    <row r="111" spans="1:207" x14ac:dyDescent="0.25">
      <c r="A111" s="18" t="s">
        <v>103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>
        <v>1.0574004297765578</v>
      </c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19"/>
      <c r="DP111" s="19"/>
      <c r="DQ111" s="19"/>
      <c r="DR111" s="19"/>
      <c r="DS111" s="19"/>
      <c r="DT111" s="19"/>
      <c r="DU111" s="19"/>
      <c r="DV111" s="19"/>
      <c r="DW111" s="19"/>
      <c r="DX111" s="19"/>
      <c r="DY111" s="19"/>
      <c r="DZ111" s="19"/>
      <c r="EA111" s="19"/>
      <c r="EB111" s="19"/>
      <c r="EC111" s="19"/>
      <c r="ED111" s="19"/>
      <c r="EE111" s="19"/>
      <c r="EF111" s="19"/>
      <c r="EG111" s="19"/>
      <c r="EH111" s="19"/>
      <c r="EI111" s="19"/>
      <c r="EJ111" s="19"/>
      <c r="EK111" s="19"/>
      <c r="EL111" s="19"/>
      <c r="EM111" s="19"/>
      <c r="EN111" s="19"/>
      <c r="EO111" s="19"/>
      <c r="EP111" s="19"/>
      <c r="EQ111" s="19"/>
      <c r="ER111" s="19"/>
      <c r="ES111" s="19"/>
      <c r="ET111" s="19"/>
      <c r="EU111" s="19"/>
      <c r="EV111" s="19"/>
      <c r="EW111" s="19"/>
      <c r="EX111" s="19"/>
      <c r="EY111" s="19"/>
      <c r="EZ111" s="19"/>
      <c r="FA111" s="19"/>
      <c r="FB111" s="19"/>
      <c r="FC111" s="19"/>
      <c r="FD111" s="19"/>
      <c r="FE111" s="19"/>
      <c r="FF111" s="19"/>
      <c r="FG111" s="19"/>
      <c r="FH111" s="19"/>
      <c r="FI111" s="19"/>
      <c r="FJ111" s="19"/>
      <c r="FK111" s="19"/>
      <c r="FL111" s="19"/>
      <c r="FM111" s="19"/>
      <c r="FN111" s="19"/>
      <c r="FO111" s="19"/>
      <c r="FP111" s="19"/>
      <c r="FQ111" s="19"/>
      <c r="FR111" s="19"/>
      <c r="FS111" s="19"/>
      <c r="FT111" s="19"/>
      <c r="FU111" s="19"/>
      <c r="FV111" s="19"/>
      <c r="FW111" s="19"/>
      <c r="FX111" s="19"/>
      <c r="FY111" s="19"/>
      <c r="FZ111" s="19"/>
      <c r="GA111" s="19"/>
      <c r="GB111" s="19"/>
      <c r="GC111" s="19"/>
      <c r="GD111" s="19"/>
      <c r="GE111" s="19"/>
      <c r="GF111" s="19"/>
      <c r="GG111" s="19"/>
      <c r="GH111" s="19"/>
      <c r="GI111" s="19">
        <v>1.0574004297765578</v>
      </c>
      <c r="GJ111" s="17"/>
      <c r="GK111" s="17"/>
      <c r="GL111" s="17"/>
      <c r="GM111" s="17"/>
      <c r="GN111" s="17"/>
      <c r="GO111" s="17"/>
      <c r="GP111" s="17"/>
      <c r="GQ111" s="17"/>
      <c r="GR111" s="17"/>
      <c r="GS111" s="17"/>
      <c r="GT111" s="17"/>
      <c r="GU111" s="17"/>
      <c r="GV111" s="17"/>
      <c r="GW111" s="17"/>
      <c r="GX111" s="17"/>
      <c r="GY111" s="17"/>
    </row>
    <row r="112" spans="1:207" x14ac:dyDescent="0.25">
      <c r="A112" s="18" t="s">
        <v>104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>
        <v>3.7500815686694104</v>
      </c>
      <c r="AF112" s="19"/>
      <c r="AG112" s="19"/>
      <c r="AH112" s="19"/>
      <c r="AI112" s="19">
        <v>9.4536362846569508E-2</v>
      </c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>
        <v>1.2211168265087785E-2</v>
      </c>
      <c r="AV112" s="19"/>
      <c r="AW112" s="19">
        <v>8.6021006604937583E-3</v>
      </c>
      <c r="AX112" s="19"/>
      <c r="AY112" s="19">
        <v>1.3609760830449228E-3</v>
      </c>
      <c r="AZ112" s="19"/>
      <c r="BA112" s="19"/>
      <c r="BB112" s="19"/>
      <c r="BC112" s="19">
        <v>3.453117213038678</v>
      </c>
      <c r="BD112" s="19"/>
      <c r="BE112" s="19">
        <v>0.39988158147412328</v>
      </c>
      <c r="BF112" s="19">
        <v>7.5864876159457869E-5</v>
      </c>
      <c r="BG112" s="19"/>
      <c r="BH112" s="19"/>
      <c r="BI112" s="19">
        <v>2.1225420423005313E-2</v>
      </c>
      <c r="BJ112" s="19">
        <v>68.430936976072744</v>
      </c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  <c r="DA112" s="19"/>
      <c r="DB112" s="19"/>
      <c r="DC112" s="19"/>
      <c r="DD112" s="19"/>
      <c r="DE112" s="19"/>
      <c r="DF112" s="19"/>
      <c r="DG112" s="19"/>
      <c r="DH112" s="19"/>
      <c r="DI112" s="19"/>
      <c r="DJ112" s="19"/>
      <c r="DK112" s="19"/>
      <c r="DL112" s="19"/>
      <c r="DM112" s="19"/>
      <c r="DN112" s="19"/>
      <c r="DO112" s="19"/>
      <c r="DP112" s="19"/>
      <c r="DQ112" s="19"/>
      <c r="DR112" s="19"/>
      <c r="DS112" s="19"/>
      <c r="DT112" s="19"/>
      <c r="DU112" s="19"/>
      <c r="DV112" s="19"/>
      <c r="DW112" s="19"/>
      <c r="DX112" s="19"/>
      <c r="DY112" s="19"/>
      <c r="DZ112" s="19"/>
      <c r="EA112" s="19"/>
      <c r="EB112" s="19"/>
      <c r="EC112" s="19"/>
      <c r="ED112" s="19"/>
      <c r="EE112" s="19"/>
      <c r="EF112" s="19"/>
      <c r="EG112" s="19"/>
      <c r="EH112" s="19"/>
      <c r="EI112" s="19"/>
      <c r="EJ112" s="19"/>
      <c r="EK112" s="19"/>
      <c r="EL112" s="19"/>
      <c r="EM112" s="19"/>
      <c r="EN112" s="19"/>
      <c r="EO112" s="19"/>
      <c r="EP112" s="19"/>
      <c r="EQ112" s="19"/>
      <c r="ER112" s="19"/>
      <c r="ES112" s="19"/>
      <c r="ET112" s="19"/>
      <c r="EU112" s="19"/>
      <c r="EV112" s="19"/>
      <c r="EW112" s="19"/>
      <c r="EX112" s="19"/>
      <c r="EY112" s="19"/>
      <c r="EZ112" s="19"/>
      <c r="FA112" s="19"/>
      <c r="FB112" s="19"/>
      <c r="FC112" s="19"/>
      <c r="FD112" s="19"/>
      <c r="FE112" s="19"/>
      <c r="FF112" s="19"/>
      <c r="FG112" s="19"/>
      <c r="FH112" s="19"/>
      <c r="FI112" s="19"/>
      <c r="FJ112" s="19"/>
      <c r="FK112" s="19"/>
      <c r="FL112" s="19"/>
      <c r="FM112" s="19"/>
      <c r="FN112" s="19"/>
      <c r="FO112" s="19"/>
      <c r="FP112" s="19"/>
      <c r="FQ112" s="19"/>
      <c r="FR112" s="19"/>
      <c r="FS112" s="19"/>
      <c r="FT112" s="19"/>
      <c r="FU112" s="19"/>
      <c r="FV112" s="19"/>
      <c r="FW112" s="19"/>
      <c r="FX112" s="19"/>
      <c r="FY112" s="19"/>
      <c r="FZ112" s="19"/>
      <c r="GA112" s="19"/>
      <c r="GB112" s="19"/>
      <c r="GC112" s="19"/>
      <c r="GD112" s="19"/>
      <c r="GE112" s="19"/>
      <c r="GF112" s="19"/>
      <c r="GG112" s="19">
        <v>35.384155086500677</v>
      </c>
      <c r="GH112" s="19">
        <v>114.22988431693754</v>
      </c>
      <c r="GI112" s="19">
        <v>225.78606863584753</v>
      </c>
      <c r="GJ112" s="17"/>
      <c r="GK112" s="17"/>
      <c r="GL112" s="17"/>
      <c r="GM112" s="17"/>
      <c r="GN112" s="17"/>
      <c r="GO112" s="17"/>
      <c r="GP112" s="17"/>
      <c r="GQ112" s="17"/>
      <c r="GR112" s="17"/>
      <c r="GS112" s="17"/>
      <c r="GT112" s="17"/>
      <c r="GU112" s="17"/>
      <c r="GV112" s="17"/>
      <c r="GW112" s="17"/>
      <c r="GX112" s="17"/>
      <c r="GY112" s="17"/>
    </row>
    <row r="113" spans="1:207" x14ac:dyDescent="0.25">
      <c r="A113" s="18" t="s">
        <v>105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>
        <v>8.9712301935278038</v>
      </c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>
        <v>8.3383057028762657</v>
      </c>
      <c r="BO113" s="19"/>
      <c r="BP113" s="19"/>
      <c r="BQ113" s="19"/>
      <c r="BR113" s="19"/>
      <c r="BS113" s="19"/>
      <c r="BT113" s="19">
        <v>4.0515411906263932</v>
      </c>
      <c r="BU113" s="19">
        <v>4.1269513558010358</v>
      </c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  <c r="DJ113" s="19"/>
      <c r="DK113" s="19"/>
      <c r="DL113" s="19"/>
      <c r="DM113" s="19"/>
      <c r="DN113" s="19"/>
      <c r="DO113" s="19"/>
      <c r="DP113" s="19"/>
      <c r="DQ113" s="19"/>
      <c r="DR113" s="19"/>
      <c r="DS113" s="19"/>
      <c r="DT113" s="19"/>
      <c r="DU113" s="19"/>
      <c r="DV113" s="19"/>
      <c r="DW113" s="19"/>
      <c r="DX113" s="19"/>
      <c r="DY113" s="19"/>
      <c r="DZ113" s="19"/>
      <c r="EA113" s="19"/>
      <c r="EB113" s="19"/>
      <c r="EC113" s="19"/>
      <c r="ED113" s="19"/>
      <c r="EE113" s="19"/>
      <c r="EF113" s="19"/>
      <c r="EG113" s="19"/>
      <c r="EH113" s="19"/>
      <c r="EI113" s="19"/>
      <c r="EJ113" s="19"/>
      <c r="EK113" s="19"/>
      <c r="EL113" s="19"/>
      <c r="EM113" s="19"/>
      <c r="EN113" s="19"/>
      <c r="EO113" s="19"/>
      <c r="EP113" s="19"/>
      <c r="EQ113" s="19"/>
      <c r="ER113" s="19"/>
      <c r="ES113" s="19"/>
      <c r="ET113" s="19"/>
      <c r="EU113" s="19"/>
      <c r="EV113" s="19"/>
      <c r="EW113" s="19"/>
      <c r="EX113" s="19"/>
      <c r="EY113" s="19"/>
      <c r="EZ113" s="19"/>
      <c r="FA113" s="19"/>
      <c r="FB113" s="19"/>
      <c r="FC113" s="19"/>
      <c r="FD113" s="19"/>
      <c r="FE113" s="19"/>
      <c r="FF113" s="19"/>
      <c r="FG113" s="19"/>
      <c r="FH113" s="19"/>
      <c r="FI113" s="19"/>
      <c r="FJ113" s="19"/>
      <c r="FK113" s="19"/>
      <c r="FL113" s="19"/>
      <c r="FM113" s="19">
        <v>0.10469198002878845</v>
      </c>
      <c r="FN113" s="19">
        <v>5.9925540423804012E-2</v>
      </c>
      <c r="FO113" s="19">
        <v>0.23468250618016032</v>
      </c>
      <c r="FP113" s="19">
        <v>1.6319662246706435</v>
      </c>
      <c r="FQ113" s="19"/>
      <c r="FR113" s="19"/>
      <c r="FS113" s="19"/>
      <c r="FT113" s="19"/>
      <c r="FU113" s="19">
        <v>0.52071775106430329</v>
      </c>
      <c r="FV113" s="19"/>
      <c r="FW113" s="19"/>
      <c r="FX113" s="19">
        <v>9.3926584240764471E-2</v>
      </c>
      <c r="FY113" s="19">
        <v>0.47754690395371352</v>
      </c>
      <c r="FZ113" s="19">
        <v>15.437508269110262</v>
      </c>
      <c r="GA113" s="19"/>
      <c r="GB113" s="19"/>
      <c r="GC113" s="19"/>
      <c r="GD113" s="19"/>
      <c r="GE113" s="19"/>
      <c r="GF113" s="19"/>
      <c r="GG113" s="19"/>
      <c r="GH113" s="19">
        <v>3.473269189700539</v>
      </c>
      <c r="GI113" s="19">
        <v>47.522263392204486</v>
      </c>
      <c r="GJ113" s="17"/>
      <c r="GK113" s="17"/>
      <c r="GL113" s="17"/>
      <c r="GM113" s="17"/>
      <c r="GN113" s="17"/>
      <c r="GO113" s="17"/>
      <c r="GP113" s="17"/>
      <c r="GQ113" s="17"/>
      <c r="GR113" s="17"/>
      <c r="GS113" s="17"/>
      <c r="GT113" s="17"/>
      <c r="GU113" s="17"/>
      <c r="GV113" s="17"/>
      <c r="GW113" s="17"/>
      <c r="GX113" s="17"/>
      <c r="GY113" s="17"/>
    </row>
    <row r="114" spans="1:207" x14ac:dyDescent="0.25">
      <c r="A114" s="18" t="s">
        <v>106</v>
      </c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  <c r="CZ114" s="19"/>
      <c r="DA114" s="19"/>
      <c r="DB114" s="19"/>
      <c r="DC114" s="19"/>
      <c r="DD114" s="19"/>
      <c r="DE114" s="19"/>
      <c r="DF114" s="19"/>
      <c r="DG114" s="19"/>
      <c r="DH114" s="19"/>
      <c r="DI114" s="19"/>
      <c r="DJ114" s="19"/>
      <c r="DK114" s="19"/>
      <c r="DL114" s="19"/>
      <c r="DM114" s="19"/>
      <c r="DN114" s="19"/>
      <c r="DO114" s="19"/>
      <c r="DP114" s="19"/>
      <c r="DQ114" s="19"/>
      <c r="DR114" s="19"/>
      <c r="DS114" s="19"/>
      <c r="DT114" s="19"/>
      <c r="DU114" s="19"/>
      <c r="DV114" s="19"/>
      <c r="DW114" s="19"/>
      <c r="DX114" s="19"/>
      <c r="DY114" s="19"/>
      <c r="DZ114" s="19"/>
      <c r="EA114" s="19"/>
      <c r="EB114" s="19"/>
      <c r="EC114" s="19"/>
      <c r="ED114" s="19"/>
      <c r="EE114" s="19"/>
      <c r="EF114" s="19"/>
      <c r="EG114" s="19"/>
      <c r="EH114" s="19"/>
      <c r="EI114" s="19"/>
      <c r="EJ114" s="19"/>
      <c r="EK114" s="19"/>
      <c r="EL114" s="19"/>
      <c r="EM114" s="19"/>
      <c r="EN114" s="19"/>
      <c r="EO114" s="19"/>
      <c r="EP114" s="19"/>
      <c r="EQ114" s="19"/>
      <c r="ER114" s="19"/>
      <c r="ES114" s="19"/>
      <c r="ET114" s="19"/>
      <c r="EU114" s="19"/>
      <c r="EV114" s="19"/>
      <c r="EW114" s="19"/>
      <c r="EX114" s="19"/>
      <c r="EY114" s="19"/>
      <c r="EZ114" s="19"/>
      <c r="FA114" s="19"/>
      <c r="FB114" s="19"/>
      <c r="FC114" s="19"/>
      <c r="FD114" s="19"/>
      <c r="FE114" s="19"/>
      <c r="FF114" s="19"/>
      <c r="FG114" s="19"/>
      <c r="FH114" s="19"/>
      <c r="FI114" s="19"/>
      <c r="FJ114" s="19"/>
      <c r="FK114" s="19"/>
      <c r="FL114" s="19">
        <v>1.5938321165662956</v>
      </c>
      <c r="FM114" s="19">
        <v>2.1621519476078963</v>
      </c>
      <c r="FN114" s="19">
        <v>3.0925001663988088</v>
      </c>
      <c r="FO114" s="19">
        <v>4.1809270585904423</v>
      </c>
      <c r="FP114" s="19">
        <v>4.386336594727485</v>
      </c>
      <c r="FQ114" s="19">
        <v>2.6093592514651792E-2</v>
      </c>
      <c r="FR114" s="19">
        <v>5.2872542251608118E-2</v>
      </c>
      <c r="FS114" s="19">
        <v>3.0472922239821263E-2</v>
      </c>
      <c r="FT114" s="19">
        <v>4.7117779022222812E-2</v>
      </c>
      <c r="FU114" s="19">
        <v>0.33852267613899467</v>
      </c>
      <c r="FV114" s="19">
        <v>6.6398012179680235E-2</v>
      </c>
      <c r="FW114" s="19">
        <v>0.23169832879781407</v>
      </c>
      <c r="FX114" s="19">
        <v>0.27610622282476177</v>
      </c>
      <c r="FY114" s="19">
        <v>0.8343290329044768</v>
      </c>
      <c r="FZ114" s="19">
        <v>5.1135757915815852</v>
      </c>
      <c r="GA114" s="19"/>
      <c r="GB114" s="19"/>
      <c r="GC114" s="19"/>
      <c r="GD114" s="19"/>
      <c r="GE114" s="19"/>
      <c r="GF114" s="19"/>
      <c r="GG114" s="19"/>
      <c r="GH114" s="19">
        <v>1.6151425885456976</v>
      </c>
      <c r="GI114" s="19">
        <v>24.048077372892244</v>
      </c>
      <c r="GJ114" s="17"/>
      <c r="GK114" s="17"/>
      <c r="GL114" s="17"/>
      <c r="GM114" s="17"/>
      <c r="GN114" s="17"/>
      <c r="GO114" s="17"/>
      <c r="GP114" s="17"/>
      <c r="GQ114" s="17"/>
      <c r="GR114" s="17"/>
      <c r="GS114" s="17"/>
      <c r="GT114" s="17"/>
      <c r="GU114" s="17"/>
      <c r="GV114" s="17"/>
      <c r="GW114" s="17"/>
      <c r="GX114" s="17"/>
      <c r="GY114" s="17"/>
    </row>
    <row r="115" spans="1:207" x14ac:dyDescent="0.25">
      <c r="A115" s="18" t="s">
        <v>107</v>
      </c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>
        <v>1.2792629501607811</v>
      </c>
      <c r="AH115" s="19"/>
      <c r="AI115" s="19"/>
      <c r="AJ115" s="19"/>
      <c r="AK115" s="19"/>
      <c r="AL115" s="19"/>
      <c r="AM115" s="19"/>
      <c r="AN115" s="19"/>
      <c r="AO115" s="19"/>
      <c r="AP115" s="19"/>
      <c r="AQ115" s="19">
        <v>11.375417073102156</v>
      </c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>
        <v>2.6961562550642331</v>
      </c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  <c r="DE115" s="19"/>
      <c r="DF115" s="19"/>
      <c r="DG115" s="19"/>
      <c r="DH115" s="19"/>
      <c r="DI115" s="19"/>
      <c r="DJ115" s="19"/>
      <c r="DK115" s="19"/>
      <c r="DL115" s="19"/>
      <c r="DM115" s="19"/>
      <c r="DN115" s="19"/>
      <c r="DO115" s="19"/>
      <c r="DP115" s="19"/>
      <c r="DQ115" s="19"/>
      <c r="DR115" s="19"/>
      <c r="DS115" s="19"/>
      <c r="DT115" s="19"/>
      <c r="DU115" s="19"/>
      <c r="DV115" s="19"/>
      <c r="DW115" s="19"/>
      <c r="DX115" s="19"/>
      <c r="DY115" s="19"/>
      <c r="DZ115" s="19"/>
      <c r="EA115" s="19"/>
      <c r="EB115" s="19"/>
      <c r="EC115" s="19"/>
      <c r="ED115" s="19"/>
      <c r="EE115" s="19"/>
      <c r="EF115" s="19"/>
      <c r="EG115" s="19"/>
      <c r="EH115" s="19"/>
      <c r="EI115" s="19"/>
      <c r="EJ115" s="19"/>
      <c r="EK115" s="19"/>
      <c r="EL115" s="19"/>
      <c r="EM115" s="19"/>
      <c r="EN115" s="19"/>
      <c r="EO115" s="19"/>
      <c r="EP115" s="19"/>
      <c r="EQ115" s="19"/>
      <c r="ER115" s="19"/>
      <c r="ES115" s="19"/>
      <c r="ET115" s="19"/>
      <c r="EU115" s="19"/>
      <c r="EV115" s="19"/>
      <c r="EW115" s="19"/>
      <c r="EX115" s="19"/>
      <c r="EY115" s="19"/>
      <c r="EZ115" s="19"/>
      <c r="FA115" s="19"/>
      <c r="FB115" s="19"/>
      <c r="FC115" s="19"/>
      <c r="FD115" s="19"/>
      <c r="FE115" s="19"/>
      <c r="FF115" s="19"/>
      <c r="FG115" s="19"/>
      <c r="FH115" s="19"/>
      <c r="FI115" s="19"/>
      <c r="FJ115" s="19"/>
      <c r="FK115" s="19"/>
      <c r="FL115" s="19"/>
      <c r="FM115" s="19">
        <v>1.9832634232388249E-3</v>
      </c>
      <c r="FN115" s="19">
        <v>8.6662603027921781E-2</v>
      </c>
      <c r="FO115" s="19">
        <v>7.7841457339609815E-2</v>
      </c>
      <c r="FP115" s="19">
        <v>0.68635457900154651</v>
      </c>
      <c r="FQ115" s="19"/>
      <c r="FR115" s="19"/>
      <c r="FS115" s="19">
        <v>1.0437044030559206E-2</v>
      </c>
      <c r="FT115" s="19">
        <v>1.8371507616843199E-3</v>
      </c>
      <c r="FU115" s="19">
        <v>0.20215528450089723</v>
      </c>
      <c r="FV115" s="19"/>
      <c r="FW115" s="19"/>
      <c r="FX115" s="19">
        <v>1.1322452676533088E-2</v>
      </c>
      <c r="FY115" s="19">
        <v>2.5355970969253527E-2</v>
      </c>
      <c r="FZ115" s="19">
        <v>6.5556919487113596</v>
      </c>
      <c r="GA115" s="19"/>
      <c r="GB115" s="19"/>
      <c r="GC115" s="19"/>
      <c r="GD115" s="19"/>
      <c r="GE115" s="19"/>
      <c r="GF115" s="19"/>
      <c r="GG115" s="19"/>
      <c r="GH115" s="19">
        <v>1.9485309126979169</v>
      </c>
      <c r="GI115" s="19">
        <v>24.959008945467691</v>
      </c>
      <c r="GJ115" s="17"/>
      <c r="GK115" s="17"/>
      <c r="GL115" s="17"/>
      <c r="GM115" s="17"/>
      <c r="GN115" s="17"/>
      <c r="GO115" s="17"/>
      <c r="GP115" s="17"/>
      <c r="GQ115" s="17"/>
      <c r="GR115" s="17"/>
      <c r="GS115" s="17"/>
      <c r="GT115" s="17"/>
      <c r="GU115" s="17"/>
      <c r="GV115" s="17"/>
      <c r="GW115" s="17"/>
      <c r="GX115" s="17"/>
      <c r="GY115" s="17"/>
    </row>
    <row r="116" spans="1:207" x14ac:dyDescent="0.25">
      <c r="A116" s="18" t="s">
        <v>108</v>
      </c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>
        <v>0.79145588670088007</v>
      </c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  <c r="CZ116" s="19"/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19"/>
      <c r="DP116" s="19"/>
      <c r="DQ116" s="19"/>
      <c r="DR116" s="19"/>
      <c r="DS116" s="19"/>
      <c r="DT116" s="19"/>
      <c r="DU116" s="19"/>
      <c r="DV116" s="19"/>
      <c r="DW116" s="19"/>
      <c r="DX116" s="19"/>
      <c r="DY116" s="19"/>
      <c r="DZ116" s="19"/>
      <c r="EA116" s="19"/>
      <c r="EB116" s="19"/>
      <c r="EC116" s="19"/>
      <c r="ED116" s="19"/>
      <c r="EE116" s="19"/>
      <c r="EF116" s="19"/>
      <c r="EG116" s="19"/>
      <c r="EH116" s="19"/>
      <c r="EI116" s="19"/>
      <c r="EJ116" s="19"/>
      <c r="EK116" s="19"/>
      <c r="EL116" s="19"/>
      <c r="EM116" s="19"/>
      <c r="EN116" s="19"/>
      <c r="EO116" s="19"/>
      <c r="EP116" s="19"/>
      <c r="EQ116" s="19"/>
      <c r="ER116" s="19"/>
      <c r="ES116" s="19"/>
      <c r="ET116" s="19"/>
      <c r="EU116" s="19"/>
      <c r="EV116" s="19"/>
      <c r="EW116" s="19"/>
      <c r="EX116" s="19"/>
      <c r="EY116" s="19"/>
      <c r="EZ116" s="19"/>
      <c r="FA116" s="19"/>
      <c r="FB116" s="19"/>
      <c r="FC116" s="19"/>
      <c r="FD116" s="19"/>
      <c r="FE116" s="19"/>
      <c r="FF116" s="19"/>
      <c r="FG116" s="19"/>
      <c r="FH116" s="19"/>
      <c r="FI116" s="19"/>
      <c r="FJ116" s="19"/>
      <c r="FK116" s="19"/>
      <c r="FL116" s="19">
        <v>0.13116244065234114</v>
      </c>
      <c r="FM116" s="19">
        <v>0.28478572646989031</v>
      </c>
      <c r="FN116" s="19">
        <v>0.6919281456579891</v>
      </c>
      <c r="FO116" s="19">
        <v>1.3392699833353823</v>
      </c>
      <c r="FP116" s="19">
        <v>2.8534657109802772</v>
      </c>
      <c r="FQ116" s="19">
        <v>2.0978046496284799E-3</v>
      </c>
      <c r="FR116" s="19">
        <v>1.0174042498032046E-2</v>
      </c>
      <c r="FS116" s="19">
        <v>3.2288814369013569E-2</v>
      </c>
      <c r="FT116" s="19">
        <v>2.5753276331950091E-2</v>
      </c>
      <c r="FU116" s="19">
        <v>0.39208728248545194</v>
      </c>
      <c r="FV116" s="19">
        <v>1.174048521002061E-2</v>
      </c>
      <c r="FW116" s="19">
        <v>3.3998285726343488E-2</v>
      </c>
      <c r="FX116" s="19">
        <v>0.10988005444969383</v>
      </c>
      <c r="FY116" s="19">
        <v>0.46539659805447986</v>
      </c>
      <c r="FZ116" s="19">
        <v>10.460169847200595</v>
      </c>
      <c r="GA116" s="19"/>
      <c r="GB116" s="19"/>
      <c r="GC116" s="19"/>
      <c r="GD116" s="19"/>
      <c r="GE116" s="19"/>
      <c r="GF116" s="19"/>
      <c r="GG116" s="19">
        <v>-5.0906074121656513</v>
      </c>
      <c r="GH116" s="19">
        <v>1.5859725967053764</v>
      </c>
      <c r="GI116" s="19">
        <v>14.131019569311693</v>
      </c>
      <c r="GJ116" s="17"/>
      <c r="GK116" s="17"/>
      <c r="GL116" s="17"/>
      <c r="GM116" s="17"/>
      <c r="GN116" s="17"/>
      <c r="GO116" s="17"/>
      <c r="GP116" s="17"/>
      <c r="GQ116" s="17"/>
      <c r="GR116" s="17"/>
      <c r="GS116" s="17"/>
      <c r="GT116" s="17"/>
      <c r="GU116" s="17"/>
      <c r="GV116" s="17"/>
      <c r="GW116" s="17"/>
      <c r="GX116" s="17"/>
      <c r="GY116" s="17"/>
    </row>
    <row r="117" spans="1:207" x14ac:dyDescent="0.25">
      <c r="A117" s="18" t="s">
        <v>109</v>
      </c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>
        <v>9.575543243689508E-6</v>
      </c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>
        <v>3.9148630116467324E-3</v>
      </c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  <c r="CZ117" s="19"/>
      <c r="DA117" s="19"/>
      <c r="DB117" s="19"/>
      <c r="DC117" s="19"/>
      <c r="DD117" s="19"/>
      <c r="DE117" s="19"/>
      <c r="DF117" s="19"/>
      <c r="DG117" s="19"/>
      <c r="DH117" s="19"/>
      <c r="DI117" s="19"/>
      <c r="DJ117" s="19"/>
      <c r="DK117" s="19"/>
      <c r="DL117" s="19"/>
      <c r="DM117" s="19"/>
      <c r="DN117" s="19"/>
      <c r="DO117" s="19"/>
      <c r="DP117" s="19"/>
      <c r="DQ117" s="19"/>
      <c r="DR117" s="19"/>
      <c r="DS117" s="19"/>
      <c r="DT117" s="19"/>
      <c r="DU117" s="19"/>
      <c r="DV117" s="19"/>
      <c r="DW117" s="19"/>
      <c r="DX117" s="19"/>
      <c r="DY117" s="19"/>
      <c r="DZ117" s="19"/>
      <c r="EA117" s="19"/>
      <c r="EB117" s="19"/>
      <c r="EC117" s="19"/>
      <c r="ED117" s="19"/>
      <c r="EE117" s="19"/>
      <c r="EF117" s="19"/>
      <c r="EG117" s="19"/>
      <c r="EH117" s="19"/>
      <c r="EI117" s="19"/>
      <c r="EJ117" s="19"/>
      <c r="EK117" s="19"/>
      <c r="EL117" s="19"/>
      <c r="EM117" s="19"/>
      <c r="EN117" s="19"/>
      <c r="EO117" s="19"/>
      <c r="EP117" s="19"/>
      <c r="EQ117" s="19"/>
      <c r="ER117" s="19"/>
      <c r="ES117" s="19"/>
      <c r="ET117" s="19"/>
      <c r="EU117" s="19"/>
      <c r="EV117" s="19"/>
      <c r="EW117" s="19"/>
      <c r="EX117" s="19"/>
      <c r="EY117" s="19"/>
      <c r="EZ117" s="19"/>
      <c r="FA117" s="19"/>
      <c r="FB117" s="19"/>
      <c r="FC117" s="19"/>
      <c r="FD117" s="19"/>
      <c r="FE117" s="19"/>
      <c r="FF117" s="19"/>
      <c r="FG117" s="19"/>
      <c r="FH117" s="19"/>
      <c r="FI117" s="19"/>
      <c r="FJ117" s="19"/>
      <c r="FK117" s="19"/>
      <c r="FL117" s="19">
        <v>3.7214662840733017</v>
      </c>
      <c r="FM117" s="19">
        <v>6.2062847345606924</v>
      </c>
      <c r="FN117" s="19">
        <v>9.2406169127536337</v>
      </c>
      <c r="FO117" s="19">
        <v>14.239395079275276</v>
      </c>
      <c r="FP117" s="19">
        <v>13.210510904463364</v>
      </c>
      <c r="FQ117" s="19">
        <v>6.419589806049604E-2</v>
      </c>
      <c r="FR117" s="19">
        <v>0.12766874872916928</v>
      </c>
      <c r="FS117" s="19">
        <v>0.16985465400902036</v>
      </c>
      <c r="FT117" s="19">
        <v>0.17353684029076735</v>
      </c>
      <c r="FU117" s="19">
        <v>1.0819190070016589</v>
      </c>
      <c r="FV117" s="19">
        <v>0.22329384761752691</v>
      </c>
      <c r="FW117" s="19">
        <v>0.60744731624558945</v>
      </c>
      <c r="FX117" s="19">
        <v>0.90847091056705154</v>
      </c>
      <c r="FY117" s="19">
        <v>2.5262372401678514</v>
      </c>
      <c r="FZ117" s="19">
        <v>17.862191043560717</v>
      </c>
      <c r="GA117" s="19"/>
      <c r="GB117" s="19"/>
      <c r="GC117" s="19"/>
      <c r="GD117" s="19"/>
      <c r="GE117" s="19"/>
      <c r="GF117" s="19"/>
      <c r="GG117" s="19">
        <v>-8.9221306776776377</v>
      </c>
      <c r="GH117" s="19">
        <v>17.897615418575924</v>
      </c>
      <c r="GI117" s="19">
        <v>79.342498600829288</v>
      </c>
      <c r="GJ117" s="17"/>
      <c r="GK117" s="17"/>
      <c r="GL117" s="17"/>
      <c r="GM117" s="17"/>
      <c r="GN117" s="17"/>
      <c r="GO117" s="17"/>
      <c r="GP117" s="17"/>
      <c r="GQ117" s="17"/>
      <c r="GR117" s="17"/>
      <c r="GS117" s="17"/>
      <c r="GT117" s="17"/>
      <c r="GU117" s="17"/>
      <c r="GV117" s="17"/>
      <c r="GW117" s="17"/>
      <c r="GX117" s="17"/>
      <c r="GY117" s="17"/>
    </row>
    <row r="118" spans="1:207" x14ac:dyDescent="0.25">
      <c r="A118" s="18" t="s">
        <v>110</v>
      </c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>
        <v>0.31473019254519474</v>
      </c>
      <c r="AH118" s="19"/>
      <c r="AI118" s="19"/>
      <c r="AJ118" s="19">
        <v>2.5151672690422866</v>
      </c>
      <c r="AK118" s="19">
        <v>0.79831371364130244</v>
      </c>
      <c r="AL118" s="19">
        <v>1.0887277551907586</v>
      </c>
      <c r="AM118" s="19">
        <v>0.49554756592822796</v>
      </c>
      <c r="AN118" s="19"/>
      <c r="AO118" s="19"/>
      <c r="AP118" s="19"/>
      <c r="AQ118" s="19">
        <v>12.702837449837576</v>
      </c>
      <c r="AR118" s="19"/>
      <c r="AS118" s="19"/>
      <c r="AT118" s="19"/>
      <c r="AU118" s="19"/>
      <c r="AV118" s="19"/>
      <c r="AW118" s="19"/>
      <c r="AX118" s="19"/>
      <c r="AY118" s="19">
        <v>1.5695545853381863E-2</v>
      </c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>
        <v>4.479419772143828</v>
      </c>
      <c r="BO118" s="19"/>
      <c r="BP118" s="19"/>
      <c r="BQ118" s="19"/>
      <c r="BR118" s="19"/>
      <c r="BS118" s="19"/>
      <c r="BT118" s="19">
        <v>4.1599987094675592</v>
      </c>
      <c r="BU118" s="19">
        <v>2.7296334295794824</v>
      </c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  <c r="CZ118" s="19"/>
      <c r="DA118" s="19"/>
      <c r="DB118" s="19"/>
      <c r="DC118" s="19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O118" s="19"/>
      <c r="DP118" s="19"/>
      <c r="DQ118" s="19"/>
      <c r="DR118" s="19"/>
      <c r="DS118" s="19"/>
      <c r="DT118" s="19"/>
      <c r="DU118" s="19"/>
      <c r="DV118" s="19"/>
      <c r="DW118" s="19"/>
      <c r="DX118" s="19"/>
      <c r="DY118" s="19"/>
      <c r="DZ118" s="19"/>
      <c r="EA118" s="19"/>
      <c r="EB118" s="19"/>
      <c r="EC118" s="19"/>
      <c r="ED118" s="19"/>
      <c r="EE118" s="19"/>
      <c r="EF118" s="19"/>
      <c r="EG118" s="19"/>
      <c r="EH118" s="19"/>
      <c r="EI118" s="19"/>
      <c r="EJ118" s="19"/>
      <c r="EK118" s="19"/>
      <c r="EL118" s="19"/>
      <c r="EM118" s="19"/>
      <c r="EN118" s="19"/>
      <c r="EO118" s="19"/>
      <c r="EP118" s="19"/>
      <c r="EQ118" s="19"/>
      <c r="ER118" s="19"/>
      <c r="ES118" s="19"/>
      <c r="ET118" s="19"/>
      <c r="EU118" s="19"/>
      <c r="EV118" s="19"/>
      <c r="EW118" s="19"/>
      <c r="EX118" s="19"/>
      <c r="EY118" s="19"/>
      <c r="EZ118" s="19"/>
      <c r="FA118" s="19"/>
      <c r="FB118" s="19"/>
      <c r="FC118" s="19"/>
      <c r="FD118" s="19"/>
      <c r="FE118" s="19"/>
      <c r="FF118" s="19"/>
      <c r="FG118" s="19"/>
      <c r="FH118" s="19"/>
      <c r="FI118" s="19"/>
      <c r="FJ118" s="19"/>
      <c r="FK118" s="19"/>
      <c r="FL118" s="19">
        <v>4.6877821604073322</v>
      </c>
      <c r="FM118" s="19">
        <v>8.1377594708779508</v>
      </c>
      <c r="FN118" s="19">
        <v>11.067763752516496</v>
      </c>
      <c r="FO118" s="19">
        <v>14.950376999777404</v>
      </c>
      <c r="FP118" s="19">
        <v>13.201826663120455</v>
      </c>
      <c r="FQ118" s="19">
        <v>0.15306812936142655</v>
      </c>
      <c r="FR118" s="19">
        <v>0.16297609303056804</v>
      </c>
      <c r="FS118" s="19">
        <v>0.19271873212461074</v>
      </c>
      <c r="FT118" s="19">
        <v>0.18379089266791618</v>
      </c>
      <c r="FU118" s="19">
        <v>0.61282466891267506</v>
      </c>
      <c r="FV118" s="19">
        <v>0.28413447412910364</v>
      </c>
      <c r="FW118" s="19">
        <v>0.85036118849768982</v>
      </c>
      <c r="FX118" s="19">
        <v>1.3325922251736417</v>
      </c>
      <c r="FY118" s="19">
        <v>2.2850253596409957</v>
      </c>
      <c r="FZ118" s="19">
        <v>13.312395746473097</v>
      </c>
      <c r="GA118" s="19"/>
      <c r="GB118" s="19"/>
      <c r="GC118" s="19"/>
      <c r="GD118" s="19"/>
      <c r="GE118" s="19"/>
      <c r="GF118" s="19"/>
      <c r="GG118" s="19">
        <v>3.5104505030410986</v>
      </c>
      <c r="GH118" s="19">
        <v>4.5192794564182481</v>
      </c>
      <c r="GI118" s="19">
        <v>108.74519791940031</v>
      </c>
      <c r="GJ118" s="17"/>
      <c r="GK118" s="17"/>
      <c r="GL118" s="17"/>
      <c r="GM118" s="17"/>
      <c r="GN118" s="17"/>
      <c r="GO118" s="17"/>
      <c r="GP118" s="17"/>
      <c r="GQ118" s="17"/>
      <c r="GR118" s="17"/>
      <c r="GS118" s="17"/>
      <c r="GT118" s="17"/>
      <c r="GU118" s="17"/>
      <c r="GV118" s="17"/>
      <c r="GW118" s="17"/>
      <c r="GX118" s="17"/>
      <c r="GY118" s="17"/>
    </row>
    <row r="119" spans="1:207" x14ac:dyDescent="0.25">
      <c r="A119" s="18" t="s">
        <v>111</v>
      </c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>
        <v>2.5697636740439811</v>
      </c>
      <c r="BU119" s="19">
        <v>4.1107506602109565</v>
      </c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  <c r="CZ119" s="19"/>
      <c r="DA119" s="19"/>
      <c r="DB119" s="19"/>
      <c r="DC119" s="19"/>
      <c r="DD119" s="19"/>
      <c r="DE119" s="19"/>
      <c r="DF119" s="19"/>
      <c r="DG119" s="19"/>
      <c r="DH119" s="19"/>
      <c r="DI119" s="19"/>
      <c r="DJ119" s="19"/>
      <c r="DK119" s="19"/>
      <c r="DL119" s="19"/>
      <c r="DM119" s="19"/>
      <c r="DN119" s="19"/>
      <c r="DO119" s="19"/>
      <c r="DP119" s="19"/>
      <c r="DQ119" s="19"/>
      <c r="DR119" s="19"/>
      <c r="DS119" s="19"/>
      <c r="DT119" s="19"/>
      <c r="DU119" s="19"/>
      <c r="DV119" s="19"/>
      <c r="DW119" s="19"/>
      <c r="DX119" s="19"/>
      <c r="DY119" s="19"/>
      <c r="DZ119" s="19"/>
      <c r="EA119" s="19"/>
      <c r="EB119" s="19"/>
      <c r="EC119" s="19"/>
      <c r="ED119" s="19"/>
      <c r="EE119" s="19"/>
      <c r="EF119" s="19"/>
      <c r="EG119" s="19"/>
      <c r="EH119" s="19"/>
      <c r="EI119" s="19"/>
      <c r="EJ119" s="19"/>
      <c r="EK119" s="19"/>
      <c r="EL119" s="19"/>
      <c r="EM119" s="19"/>
      <c r="EN119" s="19"/>
      <c r="EO119" s="19"/>
      <c r="EP119" s="19"/>
      <c r="EQ119" s="19"/>
      <c r="ER119" s="19"/>
      <c r="ES119" s="19"/>
      <c r="ET119" s="19"/>
      <c r="EU119" s="19"/>
      <c r="EV119" s="19"/>
      <c r="EW119" s="19"/>
      <c r="EX119" s="19"/>
      <c r="EY119" s="19"/>
      <c r="EZ119" s="19"/>
      <c r="FA119" s="19"/>
      <c r="FB119" s="19"/>
      <c r="FC119" s="19"/>
      <c r="FD119" s="19"/>
      <c r="FE119" s="19"/>
      <c r="FF119" s="19"/>
      <c r="FG119" s="19"/>
      <c r="FH119" s="19"/>
      <c r="FI119" s="19"/>
      <c r="FJ119" s="19"/>
      <c r="FK119" s="19"/>
      <c r="FL119" s="19">
        <v>1.3134793798290929</v>
      </c>
      <c r="FM119" s="19">
        <v>2.1254781127618636</v>
      </c>
      <c r="FN119" s="19">
        <v>3.1143988356636885</v>
      </c>
      <c r="FO119" s="19">
        <v>4.5450480835199105</v>
      </c>
      <c r="FP119" s="19">
        <v>4.0085233263621571</v>
      </c>
      <c r="FQ119" s="19">
        <v>3.1593727395178371E-2</v>
      </c>
      <c r="FR119" s="19">
        <v>2.4419388875114936E-2</v>
      </c>
      <c r="FS119" s="19">
        <v>5.7148352761875645E-2</v>
      </c>
      <c r="FT119" s="19">
        <v>4.5930453328519999E-2</v>
      </c>
      <c r="FU119" s="19">
        <v>0.17608211668949511</v>
      </c>
      <c r="FV119" s="19">
        <v>5.7751115903227755E-2</v>
      </c>
      <c r="FW119" s="19">
        <v>0.20489629818095079</v>
      </c>
      <c r="FX119" s="19">
        <v>0.21238295265395499</v>
      </c>
      <c r="FY119" s="19">
        <v>0.59536163526077113</v>
      </c>
      <c r="FZ119" s="19">
        <v>2.4390447066857344</v>
      </c>
      <c r="GA119" s="19"/>
      <c r="GB119" s="19"/>
      <c r="GC119" s="19"/>
      <c r="GD119" s="19"/>
      <c r="GE119" s="19"/>
      <c r="GF119" s="19"/>
      <c r="GG119" s="19">
        <v>5.147387491729349</v>
      </c>
      <c r="GH119" s="19"/>
      <c r="GI119" s="19">
        <v>30.779440311855822</v>
      </c>
      <c r="GJ119" s="17"/>
      <c r="GK119" s="17"/>
      <c r="GL119" s="17"/>
      <c r="GM119" s="17"/>
      <c r="GN119" s="17"/>
      <c r="GO119" s="17"/>
      <c r="GP119" s="17"/>
      <c r="GQ119" s="17"/>
      <c r="GR119" s="17"/>
      <c r="GS119" s="17"/>
      <c r="GT119" s="17"/>
      <c r="GU119" s="17"/>
      <c r="GV119" s="17"/>
      <c r="GW119" s="17"/>
      <c r="GX119" s="17"/>
      <c r="GY119" s="17"/>
    </row>
    <row r="120" spans="1:207" x14ac:dyDescent="0.25">
      <c r="A120" s="18" t="s">
        <v>112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>
        <v>0.80341690356489626</v>
      </c>
      <c r="BU120" s="19">
        <v>2.1491845273684524</v>
      </c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  <c r="DA120" s="19"/>
      <c r="DB120" s="19"/>
      <c r="DC120" s="19"/>
      <c r="DD120" s="19"/>
      <c r="DE120" s="19"/>
      <c r="DF120" s="19"/>
      <c r="DG120" s="19"/>
      <c r="DH120" s="19"/>
      <c r="DI120" s="19"/>
      <c r="DJ120" s="19"/>
      <c r="DK120" s="19"/>
      <c r="DL120" s="19"/>
      <c r="DM120" s="19"/>
      <c r="DN120" s="19"/>
      <c r="DO120" s="19"/>
      <c r="DP120" s="19"/>
      <c r="DQ120" s="19"/>
      <c r="DR120" s="19"/>
      <c r="DS120" s="19"/>
      <c r="DT120" s="19"/>
      <c r="DU120" s="19"/>
      <c r="DV120" s="19"/>
      <c r="DW120" s="19"/>
      <c r="DX120" s="19"/>
      <c r="DY120" s="19"/>
      <c r="DZ120" s="19"/>
      <c r="EA120" s="19"/>
      <c r="EB120" s="19"/>
      <c r="EC120" s="19"/>
      <c r="ED120" s="19"/>
      <c r="EE120" s="19"/>
      <c r="EF120" s="19"/>
      <c r="EG120" s="19"/>
      <c r="EH120" s="19"/>
      <c r="EI120" s="19"/>
      <c r="EJ120" s="19"/>
      <c r="EK120" s="19"/>
      <c r="EL120" s="19"/>
      <c r="EM120" s="19"/>
      <c r="EN120" s="19"/>
      <c r="EO120" s="19"/>
      <c r="EP120" s="19"/>
      <c r="EQ120" s="19"/>
      <c r="ER120" s="19"/>
      <c r="ES120" s="19"/>
      <c r="ET120" s="19"/>
      <c r="EU120" s="19"/>
      <c r="EV120" s="19"/>
      <c r="EW120" s="19"/>
      <c r="EX120" s="19"/>
      <c r="EY120" s="19"/>
      <c r="EZ120" s="19"/>
      <c r="FA120" s="19"/>
      <c r="FB120" s="19"/>
      <c r="FC120" s="19"/>
      <c r="FD120" s="19"/>
      <c r="FE120" s="19"/>
      <c r="FF120" s="19"/>
      <c r="FG120" s="19"/>
      <c r="FH120" s="19"/>
      <c r="FI120" s="19"/>
      <c r="FJ120" s="19"/>
      <c r="FK120" s="19"/>
      <c r="FL120" s="19">
        <v>0.51025592642823114</v>
      </c>
      <c r="FM120" s="19">
        <v>1.371181282378646</v>
      </c>
      <c r="FN120" s="19">
        <v>2.9347122311365967</v>
      </c>
      <c r="FO120" s="19">
        <v>6.4095696353348703</v>
      </c>
      <c r="FP120" s="19">
        <v>9.9316772331712677</v>
      </c>
      <c r="FQ120" s="19">
        <v>6.6232752537792082E-3</v>
      </c>
      <c r="FR120" s="19">
        <v>6.6696484952429955E-2</v>
      </c>
      <c r="FS120" s="19">
        <v>0.14489477115931296</v>
      </c>
      <c r="FT120" s="19">
        <v>0.10306543112836758</v>
      </c>
      <c r="FU120" s="19">
        <v>1.2769895834181757</v>
      </c>
      <c r="FV120" s="19">
        <v>3.8099242297429947E-2</v>
      </c>
      <c r="FW120" s="19">
        <v>0.29715156143240307</v>
      </c>
      <c r="FX120" s="19">
        <v>0.87292987018951662</v>
      </c>
      <c r="FY120" s="19">
        <v>2.0847950711743577</v>
      </c>
      <c r="FZ120" s="19">
        <v>23.452788513397422</v>
      </c>
      <c r="GA120" s="19"/>
      <c r="GB120" s="19"/>
      <c r="GC120" s="19"/>
      <c r="GD120" s="19"/>
      <c r="GE120" s="19"/>
      <c r="GF120" s="19"/>
      <c r="GG120" s="19">
        <v>-7.1673032995708859</v>
      </c>
      <c r="GH120" s="19">
        <v>4.3467158320823849</v>
      </c>
      <c r="GI120" s="19">
        <v>49.63344407629765</v>
      </c>
      <c r="GJ120" s="17"/>
      <c r="GK120" s="17"/>
      <c r="GL120" s="17"/>
      <c r="GM120" s="17"/>
      <c r="GN120" s="17"/>
      <c r="GO120" s="17"/>
      <c r="GP120" s="17"/>
      <c r="GQ120" s="17"/>
      <c r="GR120" s="17"/>
      <c r="GS120" s="17"/>
      <c r="GT120" s="17"/>
      <c r="GU120" s="17"/>
      <c r="GV120" s="17"/>
      <c r="GW120" s="17"/>
      <c r="GX120" s="17"/>
      <c r="GY120" s="17"/>
    </row>
    <row r="121" spans="1:207" x14ac:dyDescent="0.25">
      <c r="A121" s="18" t="s">
        <v>113</v>
      </c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>
        <v>9.893802417397719</v>
      </c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  <c r="CZ121" s="19"/>
      <c r="DA121" s="19"/>
      <c r="DB121" s="19"/>
      <c r="DC121" s="19"/>
      <c r="DD121" s="19"/>
      <c r="DE121" s="19"/>
      <c r="DF121" s="19"/>
      <c r="DG121" s="19"/>
      <c r="DH121" s="19"/>
      <c r="DI121" s="19"/>
      <c r="DJ121" s="19"/>
      <c r="DK121" s="19"/>
      <c r="DL121" s="19"/>
      <c r="DM121" s="19"/>
      <c r="DN121" s="19"/>
      <c r="DO121" s="19"/>
      <c r="DP121" s="19"/>
      <c r="DQ121" s="19"/>
      <c r="DR121" s="19"/>
      <c r="DS121" s="19"/>
      <c r="DT121" s="19"/>
      <c r="DU121" s="19"/>
      <c r="DV121" s="19"/>
      <c r="DW121" s="19"/>
      <c r="DX121" s="19"/>
      <c r="DY121" s="19"/>
      <c r="DZ121" s="19"/>
      <c r="EA121" s="19"/>
      <c r="EB121" s="19"/>
      <c r="EC121" s="19"/>
      <c r="ED121" s="19"/>
      <c r="EE121" s="19"/>
      <c r="EF121" s="19"/>
      <c r="EG121" s="19"/>
      <c r="EH121" s="19"/>
      <c r="EI121" s="19"/>
      <c r="EJ121" s="19"/>
      <c r="EK121" s="19"/>
      <c r="EL121" s="19"/>
      <c r="EM121" s="19"/>
      <c r="EN121" s="19"/>
      <c r="EO121" s="19"/>
      <c r="EP121" s="19"/>
      <c r="EQ121" s="19"/>
      <c r="ER121" s="19"/>
      <c r="ES121" s="19"/>
      <c r="ET121" s="19"/>
      <c r="EU121" s="19"/>
      <c r="EV121" s="19"/>
      <c r="EW121" s="19"/>
      <c r="EX121" s="19"/>
      <c r="EY121" s="19"/>
      <c r="EZ121" s="19"/>
      <c r="FA121" s="19"/>
      <c r="FB121" s="19"/>
      <c r="FC121" s="19"/>
      <c r="FD121" s="19"/>
      <c r="FE121" s="19"/>
      <c r="FF121" s="19"/>
      <c r="FG121" s="19"/>
      <c r="FH121" s="19"/>
      <c r="FI121" s="19"/>
      <c r="FJ121" s="19"/>
      <c r="FK121" s="19"/>
      <c r="FL121" s="19">
        <v>0.16964482446658141</v>
      </c>
      <c r="FM121" s="19">
        <v>0.26917577945709015</v>
      </c>
      <c r="FN121" s="19">
        <v>0.34494200625320381</v>
      </c>
      <c r="FO121" s="19">
        <v>0.43179045455485499</v>
      </c>
      <c r="FP121" s="19">
        <v>0.39243000750650581</v>
      </c>
      <c r="FQ121" s="19">
        <v>3.5530370862646958E-4</v>
      </c>
      <c r="FR121" s="19">
        <v>3.4041299659945826E-3</v>
      </c>
      <c r="FS121" s="19"/>
      <c r="FT121" s="19"/>
      <c r="FU121" s="19">
        <v>4.1590157878907213E-2</v>
      </c>
      <c r="FV121" s="19">
        <v>1.5341917558751752E-3</v>
      </c>
      <c r="FW121" s="19"/>
      <c r="FX121" s="19">
        <v>1.934192161146461E-2</v>
      </c>
      <c r="FY121" s="19">
        <v>3.5448486918279398E-2</v>
      </c>
      <c r="FZ121" s="19">
        <v>0.72117299166496251</v>
      </c>
      <c r="GA121" s="19"/>
      <c r="GB121" s="19"/>
      <c r="GC121" s="19"/>
      <c r="GD121" s="19"/>
      <c r="GE121" s="19"/>
      <c r="GF121" s="19"/>
      <c r="GG121" s="19"/>
      <c r="GH121" s="19">
        <v>9.23579357242469</v>
      </c>
      <c r="GI121" s="19">
        <v>21.560426245564756</v>
      </c>
      <c r="GJ121" s="17"/>
      <c r="GK121" s="17"/>
      <c r="GL121" s="17"/>
      <c r="GM121" s="17"/>
      <c r="GN121" s="17"/>
      <c r="GO121" s="17"/>
      <c r="GP121" s="17"/>
      <c r="GQ121" s="17"/>
      <c r="GR121" s="17"/>
      <c r="GS121" s="17"/>
      <c r="GT121" s="17"/>
      <c r="GU121" s="17"/>
      <c r="GV121" s="17"/>
      <c r="GW121" s="17"/>
      <c r="GX121" s="17"/>
      <c r="GY121" s="17"/>
    </row>
    <row r="122" spans="1:207" x14ac:dyDescent="0.25">
      <c r="A122" s="18" t="s">
        <v>114</v>
      </c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>
        <v>8.7654310292255282</v>
      </c>
      <c r="AR122" s="19">
        <v>3.3904808417806937E-3</v>
      </c>
      <c r="AS122" s="19">
        <v>5.4616464972167069</v>
      </c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>
        <v>6.8387538302618189</v>
      </c>
      <c r="BO122" s="19"/>
      <c r="BP122" s="19"/>
      <c r="BQ122" s="19"/>
      <c r="BR122" s="19"/>
      <c r="BS122" s="19">
        <v>8.6569959344339864</v>
      </c>
      <c r="BT122" s="19">
        <v>5.786170883386907</v>
      </c>
      <c r="BU122" s="19">
        <v>2.5940324276036204</v>
      </c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  <c r="CZ122" s="19"/>
      <c r="DA122" s="19"/>
      <c r="DB122" s="19"/>
      <c r="DC122" s="19"/>
      <c r="DD122" s="19"/>
      <c r="DE122" s="19"/>
      <c r="DF122" s="19"/>
      <c r="DG122" s="19"/>
      <c r="DH122" s="19"/>
      <c r="DI122" s="19"/>
      <c r="DJ122" s="19"/>
      <c r="DK122" s="19"/>
      <c r="DL122" s="19"/>
      <c r="DM122" s="19"/>
      <c r="DN122" s="19"/>
      <c r="DO122" s="19"/>
      <c r="DP122" s="19"/>
      <c r="DQ122" s="19"/>
      <c r="DR122" s="19"/>
      <c r="DS122" s="19"/>
      <c r="DT122" s="19"/>
      <c r="DU122" s="19"/>
      <c r="DV122" s="19"/>
      <c r="DW122" s="19"/>
      <c r="DX122" s="19"/>
      <c r="DY122" s="19"/>
      <c r="DZ122" s="19"/>
      <c r="EA122" s="19"/>
      <c r="EB122" s="19"/>
      <c r="EC122" s="19"/>
      <c r="ED122" s="19"/>
      <c r="EE122" s="19"/>
      <c r="EF122" s="19"/>
      <c r="EG122" s="19"/>
      <c r="EH122" s="19"/>
      <c r="EI122" s="19"/>
      <c r="EJ122" s="19"/>
      <c r="EK122" s="19"/>
      <c r="EL122" s="19"/>
      <c r="EM122" s="19"/>
      <c r="EN122" s="19"/>
      <c r="EO122" s="19"/>
      <c r="EP122" s="19"/>
      <c r="EQ122" s="19"/>
      <c r="ER122" s="19"/>
      <c r="ES122" s="19"/>
      <c r="ET122" s="19"/>
      <c r="EU122" s="19"/>
      <c r="EV122" s="19"/>
      <c r="EW122" s="19"/>
      <c r="EX122" s="19"/>
      <c r="EY122" s="19"/>
      <c r="EZ122" s="19"/>
      <c r="FA122" s="19"/>
      <c r="FB122" s="19"/>
      <c r="FC122" s="19"/>
      <c r="FD122" s="19"/>
      <c r="FE122" s="19"/>
      <c r="FF122" s="19"/>
      <c r="FG122" s="19"/>
      <c r="FH122" s="19"/>
      <c r="FI122" s="19"/>
      <c r="FJ122" s="19"/>
      <c r="FK122" s="19"/>
      <c r="FL122" s="19">
        <v>1.4673338669789107</v>
      </c>
      <c r="FM122" s="19">
        <v>3.381989824299513</v>
      </c>
      <c r="FN122" s="19">
        <v>6.3083664713643577</v>
      </c>
      <c r="FO122" s="19">
        <v>11.752271355653706</v>
      </c>
      <c r="FP122" s="19">
        <v>13.208148617528996</v>
      </c>
      <c r="FQ122" s="19">
        <v>4.5618284643044106E-2</v>
      </c>
      <c r="FR122" s="19">
        <v>6.1513357834605466E-2</v>
      </c>
      <c r="FS122" s="19">
        <v>0.17409186609567709</v>
      </c>
      <c r="FT122" s="19">
        <v>0.18656043626250302</v>
      </c>
      <c r="FU122" s="19">
        <v>1.3567502878085493</v>
      </c>
      <c r="FV122" s="19">
        <v>0.13702561202777422</v>
      </c>
      <c r="FW122" s="19">
        <v>0.58739230524125896</v>
      </c>
      <c r="FX122" s="19">
        <v>1.0812688718182908</v>
      </c>
      <c r="FY122" s="19">
        <v>2.8042900161666071</v>
      </c>
      <c r="FZ122" s="19">
        <v>22.393767342434177</v>
      </c>
      <c r="GA122" s="19"/>
      <c r="GB122" s="19"/>
      <c r="GC122" s="19"/>
      <c r="GD122" s="19"/>
      <c r="GE122" s="19"/>
      <c r="GF122" s="19"/>
      <c r="GG122" s="19"/>
      <c r="GH122" s="19">
        <v>0.71525517213256629</v>
      </c>
      <c r="GI122" s="19">
        <v>103.76806477126087</v>
      </c>
      <c r="GJ122" s="17"/>
      <c r="GK122" s="17"/>
      <c r="GL122" s="17"/>
      <c r="GM122" s="17"/>
      <c r="GN122" s="17"/>
      <c r="GO122" s="17"/>
      <c r="GP122" s="17"/>
      <c r="GQ122" s="17"/>
      <c r="GR122" s="17"/>
      <c r="GS122" s="17"/>
      <c r="GT122" s="17"/>
      <c r="GU122" s="17"/>
      <c r="GV122" s="17"/>
      <c r="GW122" s="17"/>
      <c r="GX122" s="17"/>
      <c r="GY122" s="17"/>
    </row>
    <row r="123" spans="1:207" x14ac:dyDescent="0.25">
      <c r="A123" s="18" t="s">
        <v>115</v>
      </c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>
        <v>5.3265891100494553E-2</v>
      </c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  <c r="CZ123" s="19"/>
      <c r="DA123" s="19"/>
      <c r="DB123" s="19"/>
      <c r="DC123" s="19"/>
      <c r="DD123" s="19"/>
      <c r="DE123" s="19"/>
      <c r="DF123" s="19"/>
      <c r="DG123" s="19"/>
      <c r="DH123" s="19"/>
      <c r="DI123" s="19"/>
      <c r="DJ123" s="19"/>
      <c r="DK123" s="19"/>
      <c r="DL123" s="19"/>
      <c r="DM123" s="19"/>
      <c r="DN123" s="19"/>
      <c r="DO123" s="19"/>
      <c r="DP123" s="19"/>
      <c r="DQ123" s="19"/>
      <c r="DR123" s="19"/>
      <c r="DS123" s="19"/>
      <c r="DT123" s="19"/>
      <c r="DU123" s="19"/>
      <c r="DV123" s="19"/>
      <c r="DW123" s="19"/>
      <c r="DX123" s="19"/>
      <c r="DY123" s="19"/>
      <c r="DZ123" s="19"/>
      <c r="EA123" s="19"/>
      <c r="EB123" s="19"/>
      <c r="EC123" s="19"/>
      <c r="ED123" s="19"/>
      <c r="EE123" s="19"/>
      <c r="EF123" s="19"/>
      <c r="EG123" s="19"/>
      <c r="EH123" s="19"/>
      <c r="EI123" s="19"/>
      <c r="EJ123" s="19"/>
      <c r="EK123" s="19"/>
      <c r="EL123" s="19"/>
      <c r="EM123" s="19"/>
      <c r="EN123" s="19"/>
      <c r="EO123" s="19"/>
      <c r="EP123" s="19"/>
      <c r="EQ123" s="19"/>
      <c r="ER123" s="19"/>
      <c r="ES123" s="19"/>
      <c r="ET123" s="19"/>
      <c r="EU123" s="19"/>
      <c r="EV123" s="19"/>
      <c r="EW123" s="19"/>
      <c r="EX123" s="19"/>
      <c r="EY123" s="19"/>
      <c r="EZ123" s="19"/>
      <c r="FA123" s="19"/>
      <c r="FB123" s="19"/>
      <c r="FC123" s="19"/>
      <c r="FD123" s="19"/>
      <c r="FE123" s="19"/>
      <c r="FF123" s="19"/>
      <c r="FG123" s="19"/>
      <c r="FH123" s="19"/>
      <c r="FI123" s="19"/>
      <c r="FJ123" s="19"/>
      <c r="FK123" s="19"/>
      <c r="FL123" s="19">
        <v>1.7053097393406507E-3</v>
      </c>
      <c r="FM123" s="19">
        <v>1.5778296176375247E-3</v>
      </c>
      <c r="FN123" s="19">
        <v>1.788021069083761E-2</v>
      </c>
      <c r="FO123" s="19">
        <v>2.6037765406274491E-2</v>
      </c>
      <c r="FP123" s="19">
        <v>5.7658256422356502E-2</v>
      </c>
      <c r="FQ123" s="19"/>
      <c r="FR123" s="19">
        <v>5.6363947183284623E-4</v>
      </c>
      <c r="FS123" s="19"/>
      <c r="FT123" s="19"/>
      <c r="FU123" s="19">
        <v>2.3666100227656847E-2</v>
      </c>
      <c r="FV123" s="19"/>
      <c r="FW123" s="19">
        <v>1.5327810901612079E-3</v>
      </c>
      <c r="FX123" s="19"/>
      <c r="FY123" s="19">
        <v>3.1479702721232773E-2</v>
      </c>
      <c r="FZ123" s="19">
        <v>0.3729813074425426</v>
      </c>
      <c r="GA123" s="19"/>
      <c r="GB123" s="19"/>
      <c r="GC123" s="19"/>
      <c r="GD123" s="19"/>
      <c r="GE123" s="19"/>
      <c r="GF123" s="19"/>
      <c r="GG123" s="19"/>
      <c r="GH123" s="19"/>
      <c r="GI123" s="19">
        <v>0.58834879393036765</v>
      </c>
      <c r="GJ123" s="17"/>
      <c r="GK123" s="17"/>
      <c r="GL123" s="17"/>
      <c r="GM123" s="17"/>
      <c r="GN123" s="17"/>
      <c r="GO123" s="17"/>
      <c r="GP123" s="17"/>
      <c r="GQ123" s="17"/>
      <c r="GR123" s="17"/>
      <c r="GS123" s="17"/>
      <c r="GT123" s="17"/>
      <c r="GU123" s="17"/>
      <c r="GV123" s="17"/>
      <c r="GW123" s="17"/>
      <c r="GX123" s="17"/>
      <c r="GY123" s="17"/>
    </row>
    <row r="124" spans="1:207" x14ac:dyDescent="0.25">
      <c r="A124" s="18" t="s">
        <v>116</v>
      </c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>
        <v>0.79926388793214831</v>
      </c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>
        <v>1.7460107384823236</v>
      </c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  <c r="CZ124" s="19"/>
      <c r="DA124" s="19"/>
      <c r="DB124" s="19"/>
      <c r="DC124" s="19"/>
      <c r="DD124" s="19"/>
      <c r="DE124" s="19"/>
      <c r="DF124" s="19"/>
      <c r="DG124" s="19"/>
      <c r="DH124" s="19"/>
      <c r="DI124" s="19"/>
      <c r="DJ124" s="19"/>
      <c r="DK124" s="19"/>
      <c r="DL124" s="19"/>
      <c r="DM124" s="19"/>
      <c r="DN124" s="19"/>
      <c r="DO124" s="19"/>
      <c r="DP124" s="19"/>
      <c r="DQ124" s="19"/>
      <c r="DR124" s="19"/>
      <c r="DS124" s="19"/>
      <c r="DT124" s="19"/>
      <c r="DU124" s="19"/>
      <c r="DV124" s="19"/>
      <c r="DW124" s="19"/>
      <c r="DX124" s="19"/>
      <c r="DY124" s="19"/>
      <c r="DZ124" s="19"/>
      <c r="EA124" s="19"/>
      <c r="EB124" s="19"/>
      <c r="EC124" s="19"/>
      <c r="ED124" s="19"/>
      <c r="EE124" s="19"/>
      <c r="EF124" s="19"/>
      <c r="EG124" s="19"/>
      <c r="EH124" s="19"/>
      <c r="EI124" s="19"/>
      <c r="EJ124" s="19"/>
      <c r="EK124" s="19"/>
      <c r="EL124" s="19"/>
      <c r="EM124" s="19"/>
      <c r="EN124" s="19"/>
      <c r="EO124" s="19"/>
      <c r="EP124" s="19"/>
      <c r="EQ124" s="19"/>
      <c r="ER124" s="19"/>
      <c r="ES124" s="19"/>
      <c r="ET124" s="19"/>
      <c r="EU124" s="19"/>
      <c r="EV124" s="19"/>
      <c r="EW124" s="19"/>
      <c r="EX124" s="19"/>
      <c r="EY124" s="19"/>
      <c r="EZ124" s="19"/>
      <c r="FA124" s="19"/>
      <c r="FB124" s="19"/>
      <c r="FC124" s="19"/>
      <c r="FD124" s="19"/>
      <c r="FE124" s="19"/>
      <c r="FF124" s="19"/>
      <c r="FG124" s="19"/>
      <c r="FH124" s="19"/>
      <c r="FI124" s="19"/>
      <c r="FJ124" s="19"/>
      <c r="FK124" s="19"/>
      <c r="FL124" s="19">
        <v>4.745950666234848E-2</v>
      </c>
      <c r="FM124" s="19">
        <v>9.6494865673655991E-2</v>
      </c>
      <c r="FN124" s="19">
        <v>0.20947470465690302</v>
      </c>
      <c r="FO124" s="19">
        <v>0.45650391991022493</v>
      </c>
      <c r="FP124" s="19">
        <v>0.69634254618668268</v>
      </c>
      <c r="FQ124" s="19">
        <v>1.7668230109570732E-3</v>
      </c>
      <c r="FR124" s="19">
        <v>1.5195241820400748E-3</v>
      </c>
      <c r="FS124" s="19">
        <v>7.4927475381639311E-3</v>
      </c>
      <c r="FT124" s="19">
        <v>5.4930438217722826E-3</v>
      </c>
      <c r="FU124" s="19">
        <v>8.8308299165647738E-2</v>
      </c>
      <c r="FV124" s="19">
        <v>4.7073561841224666E-3</v>
      </c>
      <c r="FW124" s="19">
        <v>1.7541156164527588E-2</v>
      </c>
      <c r="FX124" s="19">
        <v>4.4972127532570141E-2</v>
      </c>
      <c r="FY124" s="19">
        <v>0.14647747066747946</v>
      </c>
      <c r="FZ124" s="19">
        <v>1.6880817014504805</v>
      </c>
      <c r="GA124" s="19"/>
      <c r="GB124" s="19"/>
      <c r="GC124" s="19"/>
      <c r="GD124" s="19"/>
      <c r="GE124" s="19"/>
      <c r="GF124" s="19"/>
      <c r="GG124" s="19"/>
      <c r="GH124" s="19"/>
      <c r="GI124" s="19">
        <v>6.0579104192220488</v>
      </c>
      <c r="GJ124" s="17"/>
      <c r="GK124" s="17"/>
      <c r="GL124" s="17"/>
      <c r="GM124" s="17"/>
      <c r="GN124" s="17"/>
      <c r="GO124" s="17"/>
      <c r="GP124" s="17"/>
      <c r="GQ124" s="17"/>
      <c r="GR124" s="17"/>
      <c r="GS124" s="17"/>
      <c r="GT124" s="17"/>
      <c r="GU124" s="17"/>
      <c r="GV124" s="17"/>
      <c r="GW124" s="17"/>
      <c r="GX124" s="17"/>
      <c r="GY124" s="17"/>
    </row>
    <row r="125" spans="1:207" x14ac:dyDescent="0.25">
      <c r="A125" s="18" t="s">
        <v>117</v>
      </c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>
        <v>0.18420001024358768</v>
      </c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>
        <v>22.4212774400422</v>
      </c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  <c r="CZ125" s="19"/>
      <c r="DA125" s="19"/>
      <c r="DB125" s="19"/>
      <c r="DC125" s="19"/>
      <c r="DD125" s="19"/>
      <c r="DE125" s="19"/>
      <c r="DF125" s="19"/>
      <c r="DG125" s="19"/>
      <c r="DH125" s="19"/>
      <c r="DI125" s="19"/>
      <c r="DJ125" s="19"/>
      <c r="DK125" s="19"/>
      <c r="DL125" s="19"/>
      <c r="DM125" s="19"/>
      <c r="DN125" s="19"/>
      <c r="DO125" s="19"/>
      <c r="DP125" s="19"/>
      <c r="DQ125" s="19"/>
      <c r="DR125" s="19"/>
      <c r="DS125" s="19"/>
      <c r="DT125" s="19"/>
      <c r="DU125" s="19"/>
      <c r="DV125" s="19"/>
      <c r="DW125" s="19"/>
      <c r="DX125" s="19"/>
      <c r="DY125" s="19"/>
      <c r="DZ125" s="19"/>
      <c r="EA125" s="19"/>
      <c r="EB125" s="19"/>
      <c r="EC125" s="19"/>
      <c r="ED125" s="19"/>
      <c r="EE125" s="19"/>
      <c r="EF125" s="19"/>
      <c r="EG125" s="19"/>
      <c r="EH125" s="19"/>
      <c r="EI125" s="19"/>
      <c r="EJ125" s="19"/>
      <c r="EK125" s="19"/>
      <c r="EL125" s="19"/>
      <c r="EM125" s="19"/>
      <c r="EN125" s="19"/>
      <c r="EO125" s="19"/>
      <c r="EP125" s="19"/>
      <c r="EQ125" s="19"/>
      <c r="ER125" s="19"/>
      <c r="ES125" s="19"/>
      <c r="ET125" s="19"/>
      <c r="EU125" s="19"/>
      <c r="EV125" s="19"/>
      <c r="EW125" s="19"/>
      <c r="EX125" s="19"/>
      <c r="EY125" s="19"/>
      <c r="EZ125" s="19"/>
      <c r="FA125" s="19"/>
      <c r="FB125" s="19"/>
      <c r="FC125" s="19"/>
      <c r="FD125" s="19"/>
      <c r="FE125" s="19"/>
      <c r="FF125" s="19"/>
      <c r="FG125" s="19"/>
      <c r="FH125" s="19"/>
      <c r="FI125" s="19"/>
      <c r="FJ125" s="19"/>
      <c r="FK125" s="19"/>
      <c r="FL125" s="19">
        <v>8.6180237249105023</v>
      </c>
      <c r="FM125" s="19">
        <v>13.331107680838809</v>
      </c>
      <c r="FN125" s="19">
        <v>19.071013374029786</v>
      </c>
      <c r="FO125" s="19">
        <v>28.881547651381155</v>
      </c>
      <c r="FP125" s="19">
        <v>33.07728869500945</v>
      </c>
      <c r="FQ125" s="19">
        <v>0.17173670375548375</v>
      </c>
      <c r="FR125" s="19">
        <v>0.19189427395135458</v>
      </c>
      <c r="FS125" s="19">
        <v>0.27607589969609964</v>
      </c>
      <c r="FT125" s="19">
        <v>0.26659402010151678</v>
      </c>
      <c r="FU125" s="19">
        <v>3.3764265014978392</v>
      </c>
      <c r="FV125" s="19">
        <v>0.36288507998148656</v>
      </c>
      <c r="FW125" s="19">
        <v>0.93903560193384072</v>
      </c>
      <c r="FX125" s="19">
        <v>1.6597934893099582</v>
      </c>
      <c r="FY125" s="19">
        <v>4.4835862426309738</v>
      </c>
      <c r="FZ125" s="19">
        <v>68.080264852187042</v>
      </c>
      <c r="GA125" s="19"/>
      <c r="GB125" s="19"/>
      <c r="GC125" s="19"/>
      <c r="GD125" s="19"/>
      <c r="GE125" s="19"/>
      <c r="GF125" s="19"/>
      <c r="GG125" s="19"/>
      <c r="GH125" s="19">
        <v>10.948446187279131</v>
      </c>
      <c r="GI125" s="19">
        <v>216.34119742878019</v>
      </c>
      <c r="GJ125" s="17"/>
      <c r="GK125" s="17"/>
      <c r="GL125" s="17"/>
      <c r="GM125" s="17"/>
      <c r="GN125" s="17"/>
      <c r="GO125" s="17"/>
      <c r="GP125" s="17"/>
      <c r="GQ125" s="17"/>
      <c r="GR125" s="17"/>
      <c r="GS125" s="17"/>
      <c r="GT125" s="17"/>
      <c r="GU125" s="17"/>
      <c r="GV125" s="17"/>
      <c r="GW125" s="17"/>
      <c r="GX125" s="17"/>
      <c r="GY125" s="17"/>
    </row>
    <row r="126" spans="1:207" x14ac:dyDescent="0.25">
      <c r="A126" s="18" t="s">
        <v>118</v>
      </c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>
        <v>0.91891085566046005</v>
      </c>
      <c r="W126" s="19"/>
      <c r="X126" s="19">
        <v>0.20532388449010727</v>
      </c>
      <c r="Y126" s="19"/>
      <c r="Z126" s="19">
        <v>0.21374570184331362</v>
      </c>
      <c r="AA126" s="19">
        <v>0.21758787390056478</v>
      </c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  <c r="CZ126" s="19"/>
      <c r="DA126" s="19"/>
      <c r="DB126" s="19"/>
      <c r="DC126" s="19"/>
      <c r="DD126" s="19"/>
      <c r="DE126" s="19"/>
      <c r="DF126" s="19"/>
      <c r="DG126" s="19"/>
      <c r="DH126" s="19"/>
      <c r="DI126" s="19"/>
      <c r="DJ126" s="19"/>
      <c r="DK126" s="19"/>
      <c r="DL126" s="19"/>
      <c r="DM126" s="19"/>
      <c r="DN126" s="19"/>
      <c r="DO126" s="19"/>
      <c r="DP126" s="19"/>
      <c r="DQ126" s="19"/>
      <c r="DR126" s="19"/>
      <c r="DS126" s="19"/>
      <c r="DT126" s="19"/>
      <c r="DU126" s="19"/>
      <c r="DV126" s="19"/>
      <c r="DW126" s="19"/>
      <c r="DX126" s="19"/>
      <c r="DY126" s="19"/>
      <c r="DZ126" s="19"/>
      <c r="EA126" s="19"/>
      <c r="EB126" s="19"/>
      <c r="EC126" s="19"/>
      <c r="ED126" s="19"/>
      <c r="EE126" s="19"/>
      <c r="EF126" s="19"/>
      <c r="EG126" s="19"/>
      <c r="EH126" s="19"/>
      <c r="EI126" s="19"/>
      <c r="EJ126" s="19"/>
      <c r="EK126" s="19"/>
      <c r="EL126" s="19"/>
      <c r="EM126" s="19"/>
      <c r="EN126" s="19"/>
      <c r="EO126" s="19"/>
      <c r="EP126" s="19"/>
      <c r="EQ126" s="19"/>
      <c r="ER126" s="19"/>
      <c r="ES126" s="19"/>
      <c r="ET126" s="19"/>
      <c r="EU126" s="19"/>
      <c r="EV126" s="19"/>
      <c r="EW126" s="19"/>
      <c r="EX126" s="19"/>
      <c r="EY126" s="19"/>
      <c r="EZ126" s="19"/>
      <c r="FA126" s="19"/>
      <c r="FB126" s="19"/>
      <c r="FC126" s="19"/>
      <c r="FD126" s="19"/>
      <c r="FE126" s="19"/>
      <c r="FF126" s="19"/>
      <c r="FG126" s="19"/>
      <c r="FH126" s="19"/>
      <c r="FI126" s="19"/>
      <c r="FJ126" s="19"/>
      <c r="FK126" s="19"/>
      <c r="FL126" s="19"/>
      <c r="FM126" s="19"/>
      <c r="FN126" s="19"/>
      <c r="FO126" s="19"/>
      <c r="FP126" s="19"/>
      <c r="FQ126" s="19"/>
      <c r="FR126" s="19"/>
      <c r="FS126" s="19"/>
      <c r="FT126" s="19"/>
      <c r="FU126" s="19"/>
      <c r="FV126" s="19"/>
      <c r="FW126" s="19"/>
      <c r="FX126" s="19"/>
      <c r="FY126" s="19"/>
      <c r="FZ126" s="19"/>
      <c r="GA126" s="19"/>
      <c r="GB126" s="19"/>
      <c r="GC126" s="19"/>
      <c r="GD126" s="19"/>
      <c r="GE126" s="19"/>
      <c r="GF126" s="19"/>
      <c r="GG126" s="19"/>
      <c r="GH126" s="19">
        <v>1.5130345032444287E-2</v>
      </c>
      <c r="GI126" s="19">
        <v>1.5706986609268898</v>
      </c>
      <c r="GJ126" s="17"/>
      <c r="GK126" s="17"/>
      <c r="GL126" s="17"/>
      <c r="GM126" s="17"/>
      <c r="GN126" s="17"/>
      <c r="GO126" s="17"/>
      <c r="GP126" s="17"/>
      <c r="GQ126" s="17"/>
      <c r="GR126" s="17"/>
      <c r="GS126" s="17"/>
      <c r="GT126" s="17"/>
      <c r="GU126" s="17"/>
      <c r="GV126" s="17"/>
      <c r="GW126" s="17"/>
      <c r="GX126" s="17"/>
      <c r="GY126" s="17"/>
    </row>
    <row r="127" spans="1:207" x14ac:dyDescent="0.25">
      <c r="A127" s="18" t="s">
        <v>119</v>
      </c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>
        <v>1.4491548298413337</v>
      </c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>
        <v>106.57670685880259</v>
      </c>
      <c r="BO127" s="19"/>
      <c r="BP127" s="19"/>
      <c r="BQ127" s="19"/>
      <c r="BR127" s="19"/>
      <c r="BS127" s="19">
        <v>8.5077797984830781</v>
      </c>
      <c r="BT127" s="19">
        <v>0.58492647936563447</v>
      </c>
      <c r="BU127" s="19">
        <v>0.30856483268264867</v>
      </c>
      <c r="BV127" s="19">
        <v>2.0689435593007177</v>
      </c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  <c r="CZ127" s="19"/>
      <c r="DA127" s="19"/>
      <c r="DB127" s="19"/>
      <c r="DC127" s="19"/>
      <c r="DD127" s="19"/>
      <c r="DE127" s="19"/>
      <c r="DF127" s="19"/>
      <c r="DG127" s="19"/>
      <c r="DH127" s="19"/>
      <c r="DI127" s="19"/>
      <c r="DJ127" s="19"/>
      <c r="DK127" s="19"/>
      <c r="DL127" s="19"/>
      <c r="DM127" s="19"/>
      <c r="DN127" s="19"/>
      <c r="DO127" s="19"/>
      <c r="DP127" s="19"/>
      <c r="DQ127" s="19"/>
      <c r="DR127" s="19"/>
      <c r="DS127" s="19"/>
      <c r="DT127" s="19"/>
      <c r="DU127" s="19"/>
      <c r="DV127" s="19"/>
      <c r="DW127" s="19"/>
      <c r="DX127" s="19"/>
      <c r="DY127" s="19"/>
      <c r="DZ127" s="19"/>
      <c r="EA127" s="19"/>
      <c r="EB127" s="19"/>
      <c r="EC127" s="19"/>
      <c r="ED127" s="19"/>
      <c r="EE127" s="19"/>
      <c r="EF127" s="19"/>
      <c r="EG127" s="19"/>
      <c r="EH127" s="19"/>
      <c r="EI127" s="19"/>
      <c r="EJ127" s="19"/>
      <c r="EK127" s="19"/>
      <c r="EL127" s="19"/>
      <c r="EM127" s="19"/>
      <c r="EN127" s="19"/>
      <c r="EO127" s="19"/>
      <c r="EP127" s="19"/>
      <c r="EQ127" s="19"/>
      <c r="ER127" s="19"/>
      <c r="ES127" s="19"/>
      <c r="ET127" s="19"/>
      <c r="EU127" s="19"/>
      <c r="EV127" s="19"/>
      <c r="EW127" s="19"/>
      <c r="EX127" s="19"/>
      <c r="EY127" s="19"/>
      <c r="EZ127" s="19"/>
      <c r="FA127" s="19"/>
      <c r="FB127" s="19"/>
      <c r="FC127" s="19"/>
      <c r="FD127" s="19"/>
      <c r="FE127" s="19"/>
      <c r="FF127" s="19"/>
      <c r="FG127" s="19"/>
      <c r="FH127" s="19"/>
      <c r="FI127" s="19"/>
      <c r="FJ127" s="19"/>
      <c r="FK127" s="19"/>
      <c r="FL127" s="19">
        <v>4.947565612488602</v>
      </c>
      <c r="FM127" s="19">
        <v>12.265321546595777</v>
      </c>
      <c r="FN127" s="19">
        <v>23.449019260290196</v>
      </c>
      <c r="FO127" s="19">
        <v>37.884538148444442</v>
      </c>
      <c r="FP127" s="19">
        <v>45.880566701497585</v>
      </c>
      <c r="FQ127" s="19">
        <v>7.3762027809489317E-2</v>
      </c>
      <c r="FR127" s="19">
        <v>9.1238275712830344E-2</v>
      </c>
      <c r="FS127" s="19">
        <v>0.16741569929717329</v>
      </c>
      <c r="FT127" s="19">
        <v>0.21356171420431158</v>
      </c>
      <c r="FU127" s="19">
        <v>3.3283063083998661</v>
      </c>
      <c r="FV127" s="19">
        <v>0.1538158782206564</v>
      </c>
      <c r="FW127" s="19">
        <v>0.43537751633201577</v>
      </c>
      <c r="FX127" s="19">
        <v>1.0891049295309583</v>
      </c>
      <c r="FY127" s="19">
        <v>2.6109016323241243</v>
      </c>
      <c r="FZ127" s="19">
        <v>42.593708982963918</v>
      </c>
      <c r="GA127" s="19"/>
      <c r="GB127" s="19"/>
      <c r="GC127" s="19"/>
      <c r="GD127" s="19"/>
      <c r="GE127" s="19"/>
      <c r="GF127" s="19"/>
      <c r="GG127" s="19"/>
      <c r="GH127" s="19">
        <v>2.5410397040110504</v>
      </c>
      <c r="GI127" s="19">
        <v>297.221320296599</v>
      </c>
      <c r="GJ127" s="17"/>
      <c r="GK127" s="17"/>
      <c r="GL127" s="17"/>
      <c r="GM127" s="17"/>
      <c r="GN127" s="17"/>
      <c r="GO127" s="17"/>
      <c r="GP127" s="17"/>
      <c r="GQ127" s="17"/>
      <c r="GR127" s="17"/>
      <c r="GS127" s="17"/>
      <c r="GT127" s="17"/>
      <c r="GU127" s="17"/>
      <c r="GV127" s="17"/>
      <c r="GW127" s="17"/>
      <c r="GX127" s="17"/>
      <c r="GY127" s="17"/>
    </row>
    <row r="128" spans="1:207" x14ac:dyDescent="0.25">
      <c r="A128" s="18" t="s">
        <v>120</v>
      </c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>
        <v>0.17588617871742515</v>
      </c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  <c r="CZ128" s="19"/>
      <c r="DA128" s="19"/>
      <c r="DB128" s="19"/>
      <c r="DC128" s="19"/>
      <c r="DD128" s="19"/>
      <c r="DE128" s="19"/>
      <c r="DF128" s="19"/>
      <c r="DG128" s="19"/>
      <c r="DH128" s="19"/>
      <c r="DI128" s="19"/>
      <c r="DJ128" s="19"/>
      <c r="DK128" s="19"/>
      <c r="DL128" s="19"/>
      <c r="DM128" s="19"/>
      <c r="DN128" s="19"/>
      <c r="DO128" s="19"/>
      <c r="DP128" s="19"/>
      <c r="DQ128" s="19"/>
      <c r="DR128" s="19"/>
      <c r="DS128" s="19"/>
      <c r="DT128" s="19"/>
      <c r="DU128" s="19"/>
      <c r="DV128" s="19"/>
      <c r="DW128" s="19"/>
      <c r="DX128" s="19"/>
      <c r="DY128" s="19"/>
      <c r="DZ128" s="19"/>
      <c r="EA128" s="19"/>
      <c r="EB128" s="19"/>
      <c r="EC128" s="19"/>
      <c r="ED128" s="19"/>
      <c r="EE128" s="19"/>
      <c r="EF128" s="19"/>
      <c r="EG128" s="19"/>
      <c r="EH128" s="19"/>
      <c r="EI128" s="19"/>
      <c r="EJ128" s="19"/>
      <c r="EK128" s="19"/>
      <c r="EL128" s="19"/>
      <c r="EM128" s="19"/>
      <c r="EN128" s="19"/>
      <c r="EO128" s="19"/>
      <c r="EP128" s="19"/>
      <c r="EQ128" s="19"/>
      <c r="ER128" s="19"/>
      <c r="ES128" s="19"/>
      <c r="ET128" s="19"/>
      <c r="EU128" s="19"/>
      <c r="EV128" s="19"/>
      <c r="EW128" s="19"/>
      <c r="EX128" s="19"/>
      <c r="EY128" s="19"/>
      <c r="EZ128" s="19"/>
      <c r="FA128" s="19"/>
      <c r="FB128" s="19"/>
      <c r="FC128" s="19"/>
      <c r="FD128" s="19"/>
      <c r="FE128" s="19"/>
      <c r="FF128" s="19"/>
      <c r="FG128" s="19"/>
      <c r="FH128" s="19"/>
      <c r="FI128" s="19"/>
      <c r="FJ128" s="19"/>
      <c r="FK128" s="19"/>
      <c r="FL128" s="19">
        <v>2.7719264566466579</v>
      </c>
      <c r="FM128" s="19">
        <v>5.2440658568503125</v>
      </c>
      <c r="FN128" s="19">
        <v>5.8439928666589918</v>
      </c>
      <c r="FO128" s="19">
        <v>10.832028212124893</v>
      </c>
      <c r="FP128" s="19">
        <v>6.7558078427120991</v>
      </c>
      <c r="FQ128" s="19">
        <v>8.5226116856041562E-2</v>
      </c>
      <c r="FR128" s="19">
        <v>0.16038931752404964</v>
      </c>
      <c r="FS128" s="19">
        <v>0.16051746822603918</v>
      </c>
      <c r="FT128" s="19">
        <v>0.26969314312864606</v>
      </c>
      <c r="FU128" s="19">
        <v>2.3078495517638209</v>
      </c>
      <c r="FV128" s="19">
        <v>0.14110698360333221</v>
      </c>
      <c r="FW128" s="19">
        <v>1.1021221508457388</v>
      </c>
      <c r="FX128" s="19">
        <v>1.4699524830560391</v>
      </c>
      <c r="FY128" s="19">
        <v>3.3301013115043787</v>
      </c>
      <c r="FZ128" s="19">
        <v>15.470575385895266</v>
      </c>
      <c r="GA128" s="19"/>
      <c r="GB128" s="19"/>
      <c r="GC128" s="19"/>
      <c r="GD128" s="19"/>
      <c r="GE128" s="19"/>
      <c r="GF128" s="19"/>
      <c r="GG128" s="19"/>
      <c r="GH128" s="19">
        <v>3.8592629180049041E-2</v>
      </c>
      <c r="GI128" s="19">
        <v>56.159833955293784</v>
      </c>
      <c r="GJ128" s="17"/>
      <c r="GK128" s="17"/>
      <c r="GL128" s="17"/>
      <c r="GM128" s="17"/>
      <c r="GN128" s="17"/>
      <c r="GO128" s="17"/>
      <c r="GP128" s="17"/>
      <c r="GQ128" s="17"/>
      <c r="GR128" s="17"/>
      <c r="GS128" s="17"/>
      <c r="GT128" s="17"/>
      <c r="GU128" s="17"/>
      <c r="GV128" s="17"/>
      <c r="GW128" s="17"/>
      <c r="GX128" s="17"/>
      <c r="GY128" s="17"/>
    </row>
    <row r="129" spans="1:207" x14ac:dyDescent="0.25">
      <c r="A129" s="18" t="s">
        <v>121</v>
      </c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>
        <v>0.68802007572160617</v>
      </c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  <c r="CZ129" s="19"/>
      <c r="DA129" s="19"/>
      <c r="DB129" s="19"/>
      <c r="DC129" s="19"/>
      <c r="DD129" s="19"/>
      <c r="DE129" s="19"/>
      <c r="DF129" s="19"/>
      <c r="DG129" s="19"/>
      <c r="DH129" s="19"/>
      <c r="DI129" s="19"/>
      <c r="DJ129" s="19"/>
      <c r="DK129" s="19"/>
      <c r="DL129" s="19"/>
      <c r="DM129" s="19"/>
      <c r="DN129" s="19"/>
      <c r="DO129" s="19"/>
      <c r="DP129" s="19"/>
      <c r="DQ129" s="19"/>
      <c r="DR129" s="19"/>
      <c r="DS129" s="19"/>
      <c r="DT129" s="19"/>
      <c r="DU129" s="19"/>
      <c r="DV129" s="19"/>
      <c r="DW129" s="19"/>
      <c r="DX129" s="19"/>
      <c r="DY129" s="19"/>
      <c r="DZ129" s="19"/>
      <c r="EA129" s="19"/>
      <c r="EB129" s="19"/>
      <c r="EC129" s="19"/>
      <c r="ED129" s="19"/>
      <c r="EE129" s="19"/>
      <c r="EF129" s="19"/>
      <c r="EG129" s="19"/>
      <c r="EH129" s="19"/>
      <c r="EI129" s="19"/>
      <c r="EJ129" s="19"/>
      <c r="EK129" s="19"/>
      <c r="EL129" s="19"/>
      <c r="EM129" s="19"/>
      <c r="EN129" s="19"/>
      <c r="EO129" s="19"/>
      <c r="EP129" s="19"/>
      <c r="EQ129" s="19"/>
      <c r="ER129" s="19"/>
      <c r="ES129" s="19"/>
      <c r="ET129" s="19"/>
      <c r="EU129" s="19"/>
      <c r="EV129" s="19"/>
      <c r="EW129" s="19"/>
      <c r="EX129" s="19"/>
      <c r="EY129" s="19"/>
      <c r="EZ129" s="19"/>
      <c r="FA129" s="19"/>
      <c r="FB129" s="19"/>
      <c r="FC129" s="19"/>
      <c r="FD129" s="19"/>
      <c r="FE129" s="19"/>
      <c r="FF129" s="19"/>
      <c r="FG129" s="19"/>
      <c r="FH129" s="19"/>
      <c r="FI129" s="19"/>
      <c r="FJ129" s="19"/>
      <c r="FK129" s="19"/>
      <c r="FL129" s="19"/>
      <c r="FM129" s="19"/>
      <c r="FN129" s="19"/>
      <c r="FO129" s="19"/>
      <c r="FP129" s="19"/>
      <c r="FQ129" s="19"/>
      <c r="FR129" s="19"/>
      <c r="FS129" s="19"/>
      <c r="FT129" s="19"/>
      <c r="FU129" s="19"/>
      <c r="FV129" s="19"/>
      <c r="FW129" s="19"/>
      <c r="FX129" s="19"/>
      <c r="FY129" s="19"/>
      <c r="FZ129" s="19"/>
      <c r="GA129" s="19"/>
      <c r="GB129" s="19"/>
      <c r="GC129" s="19"/>
      <c r="GD129" s="19"/>
      <c r="GE129" s="19"/>
      <c r="GF129" s="19"/>
      <c r="GG129" s="19"/>
      <c r="GH129" s="19">
        <v>4.94203199344321E-3</v>
      </c>
      <c r="GI129" s="19">
        <v>0.6929621077150494</v>
      </c>
      <c r="GJ129" s="17"/>
      <c r="GK129" s="17"/>
      <c r="GL129" s="17"/>
      <c r="GM129" s="17"/>
      <c r="GN129" s="17"/>
      <c r="GO129" s="17"/>
      <c r="GP129" s="17"/>
      <c r="GQ129" s="17"/>
      <c r="GR129" s="17"/>
      <c r="GS129" s="17"/>
      <c r="GT129" s="17"/>
      <c r="GU129" s="17"/>
      <c r="GV129" s="17"/>
      <c r="GW129" s="17"/>
      <c r="GX129" s="17"/>
      <c r="GY129" s="17"/>
    </row>
    <row r="130" spans="1:207" x14ac:dyDescent="0.25">
      <c r="A130" s="18" t="s">
        <v>122</v>
      </c>
      <c r="B130" s="19"/>
      <c r="C130" s="19"/>
      <c r="D130" s="19"/>
      <c r="E130" s="19"/>
      <c r="F130" s="19"/>
      <c r="G130" s="19">
        <v>3.7713633727399082E-2</v>
      </c>
      <c r="H130" s="19">
        <v>2.6519730200957724E-3</v>
      </c>
      <c r="I130" s="19">
        <v>4.9256227247181074E-2</v>
      </c>
      <c r="J130" s="19"/>
      <c r="K130" s="19"/>
      <c r="L130" s="19">
        <v>0.26279625102251575</v>
      </c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>
        <v>0.16396733756365281</v>
      </c>
      <c r="AV130" s="19">
        <v>3.848939648176994</v>
      </c>
      <c r="AW130" s="19">
        <v>1.5936776276906362E-3</v>
      </c>
      <c r="AX130" s="19">
        <v>0.12755751120463232</v>
      </c>
      <c r="AY130" s="19">
        <v>6.4154979159625454E-3</v>
      </c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>
        <v>12.808812621557591</v>
      </c>
      <c r="BT130" s="19">
        <v>0.97933937884149191</v>
      </c>
      <c r="BU130" s="19">
        <v>0.47465287574937964</v>
      </c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  <c r="CZ130" s="19"/>
      <c r="DA130" s="19"/>
      <c r="DB130" s="19"/>
      <c r="DC130" s="19"/>
      <c r="DD130" s="19"/>
      <c r="DE130" s="19"/>
      <c r="DF130" s="19"/>
      <c r="DG130" s="19"/>
      <c r="DH130" s="19"/>
      <c r="DI130" s="19"/>
      <c r="DJ130" s="19"/>
      <c r="DK130" s="19"/>
      <c r="DL130" s="19"/>
      <c r="DM130" s="19"/>
      <c r="DN130" s="19"/>
      <c r="DO130" s="19"/>
      <c r="DP130" s="19"/>
      <c r="DQ130" s="19"/>
      <c r="DR130" s="19"/>
      <c r="DS130" s="19"/>
      <c r="DT130" s="19"/>
      <c r="DU130" s="19"/>
      <c r="DV130" s="19"/>
      <c r="DW130" s="19"/>
      <c r="DX130" s="19"/>
      <c r="DY130" s="19"/>
      <c r="DZ130" s="19"/>
      <c r="EA130" s="19"/>
      <c r="EB130" s="19"/>
      <c r="EC130" s="19"/>
      <c r="ED130" s="19"/>
      <c r="EE130" s="19"/>
      <c r="EF130" s="19"/>
      <c r="EG130" s="19"/>
      <c r="EH130" s="19"/>
      <c r="EI130" s="19"/>
      <c r="EJ130" s="19"/>
      <c r="EK130" s="19"/>
      <c r="EL130" s="19"/>
      <c r="EM130" s="19"/>
      <c r="EN130" s="19"/>
      <c r="EO130" s="19"/>
      <c r="EP130" s="19"/>
      <c r="EQ130" s="19"/>
      <c r="ER130" s="19"/>
      <c r="ES130" s="19"/>
      <c r="ET130" s="19"/>
      <c r="EU130" s="19"/>
      <c r="EV130" s="19"/>
      <c r="EW130" s="19"/>
      <c r="EX130" s="19"/>
      <c r="EY130" s="19"/>
      <c r="EZ130" s="19"/>
      <c r="FA130" s="19"/>
      <c r="FB130" s="19"/>
      <c r="FC130" s="19"/>
      <c r="FD130" s="19"/>
      <c r="FE130" s="19"/>
      <c r="FF130" s="19"/>
      <c r="FG130" s="19"/>
      <c r="FH130" s="19"/>
      <c r="FI130" s="19"/>
      <c r="FJ130" s="19"/>
      <c r="FK130" s="19"/>
      <c r="FL130" s="19">
        <v>0.97506186858295862</v>
      </c>
      <c r="FM130" s="19">
        <v>1.9188437152108089</v>
      </c>
      <c r="FN130" s="19">
        <v>3.5243605041506112</v>
      </c>
      <c r="FO130" s="19">
        <v>5.8016556399895132</v>
      </c>
      <c r="FP130" s="19">
        <v>7.2610116894156205</v>
      </c>
      <c r="FQ130" s="19">
        <v>1.3777379597346632E-2</v>
      </c>
      <c r="FR130" s="19">
        <v>3.0441356799333096E-2</v>
      </c>
      <c r="FS130" s="19">
        <v>3.6915545080813836E-2</v>
      </c>
      <c r="FT130" s="19">
        <v>5.4376775243177779E-2</v>
      </c>
      <c r="FU130" s="19">
        <v>0.90595412696155597</v>
      </c>
      <c r="FV130" s="19">
        <v>4.210700177569815E-2</v>
      </c>
      <c r="FW130" s="19">
        <v>0.1482016424663839</v>
      </c>
      <c r="FX130" s="19">
        <v>0.24293109120066253</v>
      </c>
      <c r="FY130" s="19">
        <v>0.61028936003788969</v>
      </c>
      <c r="FZ130" s="19">
        <v>13.610662837615921</v>
      </c>
      <c r="GA130" s="19"/>
      <c r="GB130" s="19"/>
      <c r="GC130" s="19"/>
      <c r="GD130" s="19"/>
      <c r="GE130" s="19"/>
      <c r="GF130" s="19"/>
      <c r="GG130" s="19"/>
      <c r="GH130" s="19">
        <v>1.3386062555825475</v>
      </c>
      <c r="GI130" s="19">
        <v>55.278893423365425</v>
      </c>
      <c r="GJ130" s="17"/>
      <c r="GK130" s="17"/>
      <c r="GL130" s="17"/>
      <c r="GM130" s="17"/>
      <c r="GN130" s="17"/>
      <c r="GO130" s="17"/>
      <c r="GP130" s="17"/>
      <c r="GQ130" s="17"/>
      <c r="GR130" s="17"/>
      <c r="GS130" s="17"/>
      <c r="GT130" s="17"/>
      <c r="GU130" s="17"/>
      <c r="GV130" s="17"/>
      <c r="GW130" s="17"/>
      <c r="GX130" s="17"/>
      <c r="GY130" s="17"/>
    </row>
    <row r="131" spans="1:207" x14ac:dyDescent="0.25">
      <c r="A131" s="18" t="s">
        <v>123</v>
      </c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>
        <v>0.16926068098864891</v>
      </c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  <c r="CZ131" s="19"/>
      <c r="DA131" s="19"/>
      <c r="DB131" s="19"/>
      <c r="DC131" s="19"/>
      <c r="DD131" s="19"/>
      <c r="DE131" s="19"/>
      <c r="DF131" s="19"/>
      <c r="DG131" s="19"/>
      <c r="DH131" s="19"/>
      <c r="DI131" s="19"/>
      <c r="DJ131" s="19"/>
      <c r="DK131" s="19"/>
      <c r="DL131" s="19"/>
      <c r="DM131" s="19"/>
      <c r="DN131" s="19"/>
      <c r="DO131" s="19"/>
      <c r="DP131" s="19"/>
      <c r="DQ131" s="19"/>
      <c r="DR131" s="19"/>
      <c r="DS131" s="19"/>
      <c r="DT131" s="19"/>
      <c r="DU131" s="19"/>
      <c r="DV131" s="19"/>
      <c r="DW131" s="19"/>
      <c r="DX131" s="19"/>
      <c r="DY131" s="19"/>
      <c r="DZ131" s="19"/>
      <c r="EA131" s="19"/>
      <c r="EB131" s="19"/>
      <c r="EC131" s="19"/>
      <c r="ED131" s="19"/>
      <c r="EE131" s="19"/>
      <c r="EF131" s="19"/>
      <c r="EG131" s="19"/>
      <c r="EH131" s="19"/>
      <c r="EI131" s="19"/>
      <c r="EJ131" s="19"/>
      <c r="EK131" s="19"/>
      <c r="EL131" s="19"/>
      <c r="EM131" s="19"/>
      <c r="EN131" s="19"/>
      <c r="EO131" s="19"/>
      <c r="EP131" s="19"/>
      <c r="EQ131" s="19"/>
      <c r="ER131" s="19"/>
      <c r="ES131" s="19"/>
      <c r="ET131" s="19"/>
      <c r="EU131" s="19"/>
      <c r="EV131" s="19"/>
      <c r="EW131" s="19"/>
      <c r="EX131" s="19"/>
      <c r="EY131" s="19"/>
      <c r="EZ131" s="19"/>
      <c r="FA131" s="19"/>
      <c r="FB131" s="19"/>
      <c r="FC131" s="19"/>
      <c r="FD131" s="19"/>
      <c r="FE131" s="19"/>
      <c r="FF131" s="19"/>
      <c r="FG131" s="19"/>
      <c r="FH131" s="19"/>
      <c r="FI131" s="19"/>
      <c r="FJ131" s="19"/>
      <c r="FK131" s="19"/>
      <c r="FL131" s="19">
        <v>6.0479818338725604</v>
      </c>
      <c r="FM131" s="19">
        <v>10.407633670277436</v>
      </c>
      <c r="FN131" s="19">
        <v>16.151811190610715</v>
      </c>
      <c r="FO131" s="19">
        <v>23.839209099680531</v>
      </c>
      <c r="FP131" s="19">
        <v>24.227436370862112</v>
      </c>
      <c r="FQ131" s="19">
        <v>9.3842304328680751E-2</v>
      </c>
      <c r="FR131" s="19">
        <v>0.13913202911428219</v>
      </c>
      <c r="FS131" s="19">
        <v>0.31039766402289026</v>
      </c>
      <c r="FT131" s="19">
        <v>0.19434863353847923</v>
      </c>
      <c r="FU131" s="19">
        <v>2.3778195554596535</v>
      </c>
      <c r="FV131" s="19">
        <v>0.28623897009371918</v>
      </c>
      <c r="FW131" s="19">
        <v>0.66399575544102185</v>
      </c>
      <c r="FX131" s="19">
        <v>1.2874094525661866</v>
      </c>
      <c r="FY131" s="19">
        <v>2.8889122031515369</v>
      </c>
      <c r="FZ131" s="19">
        <v>43.793322521876924</v>
      </c>
      <c r="GA131" s="19"/>
      <c r="GB131" s="19"/>
      <c r="GC131" s="19"/>
      <c r="GD131" s="19"/>
      <c r="GE131" s="19"/>
      <c r="GF131" s="19"/>
      <c r="GG131" s="19"/>
      <c r="GH131" s="19">
        <v>3.5188354780302311</v>
      </c>
      <c r="GI131" s="19">
        <v>136.3975874139156</v>
      </c>
      <c r="GJ131" s="17"/>
      <c r="GK131" s="17"/>
      <c r="GL131" s="17"/>
      <c r="GM131" s="17"/>
      <c r="GN131" s="17"/>
      <c r="GO131" s="17"/>
      <c r="GP131" s="17"/>
      <c r="GQ131" s="17"/>
      <c r="GR131" s="17"/>
      <c r="GS131" s="17"/>
      <c r="GT131" s="17"/>
      <c r="GU131" s="17"/>
      <c r="GV131" s="17"/>
      <c r="GW131" s="17"/>
      <c r="GX131" s="17"/>
      <c r="GY131" s="17"/>
    </row>
    <row r="132" spans="1:207" x14ac:dyDescent="0.25">
      <c r="A132" s="18" t="s">
        <v>124</v>
      </c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>
        <v>1.178762041054761E-2</v>
      </c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>
        <v>0.40443200295031057</v>
      </c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  <c r="CZ132" s="19"/>
      <c r="DA132" s="19"/>
      <c r="DB132" s="19"/>
      <c r="DC132" s="19"/>
      <c r="DD132" s="19"/>
      <c r="DE132" s="19"/>
      <c r="DF132" s="19"/>
      <c r="DG132" s="19"/>
      <c r="DH132" s="19"/>
      <c r="DI132" s="19"/>
      <c r="DJ132" s="19"/>
      <c r="DK132" s="19"/>
      <c r="DL132" s="19"/>
      <c r="DM132" s="19"/>
      <c r="DN132" s="19"/>
      <c r="DO132" s="19"/>
      <c r="DP132" s="19"/>
      <c r="DQ132" s="19"/>
      <c r="DR132" s="19"/>
      <c r="DS132" s="19"/>
      <c r="DT132" s="19"/>
      <c r="DU132" s="19"/>
      <c r="DV132" s="19"/>
      <c r="DW132" s="19"/>
      <c r="DX132" s="19"/>
      <c r="DY132" s="19"/>
      <c r="DZ132" s="19"/>
      <c r="EA132" s="19"/>
      <c r="EB132" s="19"/>
      <c r="EC132" s="19"/>
      <c r="ED132" s="19"/>
      <c r="EE132" s="19"/>
      <c r="EF132" s="19"/>
      <c r="EG132" s="19"/>
      <c r="EH132" s="19"/>
      <c r="EI132" s="19"/>
      <c r="EJ132" s="19"/>
      <c r="EK132" s="19"/>
      <c r="EL132" s="19"/>
      <c r="EM132" s="19"/>
      <c r="EN132" s="19"/>
      <c r="EO132" s="19"/>
      <c r="EP132" s="19"/>
      <c r="EQ132" s="19"/>
      <c r="ER132" s="19"/>
      <c r="ES132" s="19"/>
      <c r="ET132" s="19"/>
      <c r="EU132" s="19"/>
      <c r="EV132" s="19"/>
      <c r="EW132" s="19"/>
      <c r="EX132" s="19"/>
      <c r="EY132" s="19"/>
      <c r="EZ132" s="19"/>
      <c r="FA132" s="19"/>
      <c r="FB132" s="19"/>
      <c r="FC132" s="19"/>
      <c r="FD132" s="19"/>
      <c r="FE132" s="19"/>
      <c r="FF132" s="19"/>
      <c r="FG132" s="19"/>
      <c r="FH132" s="19"/>
      <c r="FI132" s="19"/>
      <c r="FJ132" s="19"/>
      <c r="FK132" s="19"/>
      <c r="FL132" s="19">
        <v>1.6511449899343635</v>
      </c>
      <c r="FM132" s="19">
        <v>2.9776447352858355</v>
      </c>
      <c r="FN132" s="19">
        <v>4.7701740087548767</v>
      </c>
      <c r="FO132" s="19">
        <v>6.9774511391457326</v>
      </c>
      <c r="FP132" s="19">
        <v>6.9472025104386068</v>
      </c>
      <c r="FQ132" s="19">
        <v>2.830203155059749E-2</v>
      </c>
      <c r="FR132" s="19">
        <v>3.1820829643751394E-2</v>
      </c>
      <c r="FS132" s="19">
        <v>6.7600836002954065E-2</v>
      </c>
      <c r="FT132" s="19">
        <v>6.6949455174842673E-2</v>
      </c>
      <c r="FU132" s="19">
        <v>0.7132580593758493</v>
      </c>
      <c r="FV132" s="19">
        <v>8.8828418834047657E-2</v>
      </c>
      <c r="FW132" s="19">
        <v>0.18038451801784919</v>
      </c>
      <c r="FX132" s="19">
        <v>0.4047675796714813</v>
      </c>
      <c r="FY132" s="19">
        <v>0.92766157123491544</v>
      </c>
      <c r="FZ132" s="19">
        <v>13.047509406035902</v>
      </c>
      <c r="GA132" s="19"/>
      <c r="GB132" s="19"/>
      <c r="GC132" s="19"/>
      <c r="GD132" s="19"/>
      <c r="GE132" s="19"/>
      <c r="GF132" s="19"/>
      <c r="GG132" s="19"/>
      <c r="GH132" s="19">
        <v>5.2312609982947302</v>
      </c>
      <c r="GI132" s="19">
        <v>44.528180710757198</v>
      </c>
      <c r="GJ132" s="17"/>
      <c r="GK132" s="17"/>
      <c r="GL132" s="17"/>
      <c r="GM132" s="17"/>
      <c r="GN132" s="17"/>
      <c r="GO132" s="17"/>
      <c r="GP132" s="17"/>
      <c r="GQ132" s="17"/>
      <c r="GR132" s="17"/>
      <c r="GS132" s="17"/>
      <c r="GT132" s="17"/>
      <c r="GU132" s="17"/>
      <c r="GV132" s="17"/>
      <c r="GW132" s="17"/>
      <c r="GX132" s="17"/>
      <c r="GY132" s="17"/>
    </row>
    <row r="133" spans="1:207" x14ac:dyDescent="0.25">
      <c r="A133" s="18" t="s">
        <v>125</v>
      </c>
      <c r="B133" s="19"/>
      <c r="C133" s="19"/>
      <c r="D133" s="19"/>
      <c r="E133" s="19"/>
      <c r="F133" s="19">
        <v>0.10271230075328293</v>
      </c>
      <c r="G133" s="19">
        <v>0.10723626093863801</v>
      </c>
      <c r="H133" s="19">
        <v>7.5345164037085629E-3</v>
      </c>
      <c r="I133" s="19">
        <v>0.13989499391786125</v>
      </c>
      <c r="J133" s="19">
        <v>4.7936539047522004E-3</v>
      </c>
      <c r="K133" s="19">
        <v>0.1204202425909866</v>
      </c>
      <c r="L133" s="19">
        <v>9.7020052337592061E-3</v>
      </c>
      <c r="M133" s="19">
        <v>4.4116948358951177E-2</v>
      </c>
      <c r="N133" s="19">
        <v>1.1866231096740641E-2</v>
      </c>
      <c r="O133" s="19">
        <v>0.10338327177749172</v>
      </c>
      <c r="P133" s="19">
        <v>5.787982217036184E-2</v>
      </c>
      <c r="Q133" s="19">
        <v>0.12306307699086243</v>
      </c>
      <c r="R133" s="19">
        <v>0.29834332771394706</v>
      </c>
      <c r="S133" s="19"/>
      <c r="T133" s="19"/>
      <c r="U133" s="19"/>
      <c r="V133" s="19">
        <v>3.2984316461646734E-2</v>
      </c>
      <c r="W133" s="19"/>
      <c r="X133" s="19"/>
      <c r="Y133" s="19"/>
      <c r="Z133" s="19"/>
      <c r="AA133" s="19"/>
      <c r="AB133" s="19"/>
      <c r="AC133" s="19"/>
      <c r="AD133" s="19"/>
      <c r="AE133" s="19">
        <v>6.2503401881037552</v>
      </c>
      <c r="AF133" s="19">
        <v>1.3203370754356414</v>
      </c>
      <c r="AG133" s="19">
        <v>0.58189996676990619</v>
      </c>
      <c r="AH133" s="19">
        <v>0.36765580862849245</v>
      </c>
      <c r="AI133" s="19"/>
      <c r="AJ133" s="19">
        <v>1.8685925610829017</v>
      </c>
      <c r="AK133" s="19">
        <v>0.58890216805767359</v>
      </c>
      <c r="AL133" s="19">
        <v>0.80403809059460274</v>
      </c>
      <c r="AM133" s="19">
        <v>0.3651735641642066</v>
      </c>
      <c r="AN133" s="19"/>
      <c r="AO133" s="19">
        <v>4.394775105327681E-4</v>
      </c>
      <c r="AP133" s="19">
        <v>5.9503428039965412E-3</v>
      </c>
      <c r="AQ133" s="19">
        <v>0.17672624872749931</v>
      </c>
      <c r="AR133" s="19">
        <v>2.4482705916401622E-4</v>
      </c>
      <c r="AS133" s="19"/>
      <c r="AT133" s="19"/>
      <c r="AU133" s="19"/>
      <c r="AV133" s="19">
        <v>4.7855017164801068E-2</v>
      </c>
      <c r="AW133" s="19"/>
      <c r="AX133" s="19">
        <v>10.452459328460009</v>
      </c>
      <c r="AY133" s="19">
        <v>0.68532933678767216</v>
      </c>
      <c r="AZ133" s="19">
        <v>0.41722999556085483</v>
      </c>
      <c r="BA133" s="19">
        <v>5.0388000849844277</v>
      </c>
      <c r="BB133" s="19">
        <v>0.50034700600342519</v>
      </c>
      <c r="BC133" s="19">
        <v>0.15403084731920605</v>
      </c>
      <c r="BD133" s="19"/>
      <c r="BE133" s="19"/>
      <c r="BF133" s="19"/>
      <c r="BG133" s="19"/>
      <c r="BH133" s="19">
        <v>4.0469375179006573</v>
      </c>
      <c r="BI133" s="19"/>
      <c r="BJ133" s="19">
        <v>27.655541864912639</v>
      </c>
      <c r="BK133" s="19"/>
      <c r="BL133" s="19">
        <v>3.5796211663328186</v>
      </c>
      <c r="BM133" s="19"/>
      <c r="BN133" s="19"/>
      <c r="BO133" s="19">
        <v>10.318850686775574</v>
      </c>
      <c r="BP133" s="19"/>
      <c r="BQ133" s="19"/>
      <c r="BR133" s="19"/>
      <c r="BS133" s="19">
        <v>12.854831822716912</v>
      </c>
      <c r="BT133" s="19">
        <v>6.0246404026952547</v>
      </c>
      <c r="BU133" s="19">
        <v>6.0403222090893296</v>
      </c>
      <c r="BV133" s="19">
        <v>5.2271093154683745</v>
      </c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  <c r="CR133" s="19"/>
      <c r="CS133" s="19"/>
      <c r="CT133" s="19"/>
      <c r="CU133" s="19"/>
      <c r="CV133" s="19"/>
      <c r="CW133" s="19"/>
      <c r="CX133" s="19"/>
      <c r="CY133" s="19"/>
      <c r="CZ133" s="19"/>
      <c r="DA133" s="19"/>
      <c r="DB133" s="19"/>
      <c r="DC133" s="19"/>
      <c r="DD133" s="19"/>
      <c r="DE133" s="19"/>
      <c r="DF133" s="19"/>
      <c r="DG133" s="19"/>
      <c r="DH133" s="19"/>
      <c r="DI133" s="19"/>
      <c r="DJ133" s="19"/>
      <c r="DK133" s="19"/>
      <c r="DL133" s="19"/>
      <c r="DM133" s="19"/>
      <c r="DN133" s="19"/>
      <c r="DO133" s="19"/>
      <c r="DP133" s="19"/>
      <c r="DQ133" s="19"/>
      <c r="DR133" s="19"/>
      <c r="DS133" s="19"/>
      <c r="DT133" s="19"/>
      <c r="DU133" s="19"/>
      <c r="DV133" s="19"/>
      <c r="DW133" s="19"/>
      <c r="DX133" s="19"/>
      <c r="DY133" s="19"/>
      <c r="DZ133" s="19"/>
      <c r="EA133" s="19"/>
      <c r="EB133" s="19"/>
      <c r="EC133" s="19"/>
      <c r="ED133" s="19"/>
      <c r="EE133" s="19"/>
      <c r="EF133" s="19"/>
      <c r="EG133" s="19"/>
      <c r="EH133" s="19"/>
      <c r="EI133" s="19"/>
      <c r="EJ133" s="19"/>
      <c r="EK133" s="19"/>
      <c r="EL133" s="19"/>
      <c r="EM133" s="19"/>
      <c r="EN133" s="19"/>
      <c r="EO133" s="19"/>
      <c r="EP133" s="19"/>
      <c r="EQ133" s="19"/>
      <c r="ER133" s="19"/>
      <c r="ES133" s="19"/>
      <c r="ET133" s="19"/>
      <c r="EU133" s="19"/>
      <c r="EV133" s="19"/>
      <c r="EW133" s="19"/>
      <c r="EX133" s="19"/>
      <c r="EY133" s="19"/>
      <c r="EZ133" s="19"/>
      <c r="FA133" s="19"/>
      <c r="FB133" s="19"/>
      <c r="FC133" s="19"/>
      <c r="FD133" s="19"/>
      <c r="FE133" s="19"/>
      <c r="FF133" s="19"/>
      <c r="FG133" s="19"/>
      <c r="FH133" s="19"/>
      <c r="FI133" s="19"/>
      <c r="FJ133" s="19"/>
      <c r="FK133" s="19"/>
      <c r="FL133" s="19"/>
      <c r="FM133" s="19"/>
      <c r="FN133" s="19"/>
      <c r="FO133" s="19"/>
      <c r="FP133" s="19"/>
      <c r="FQ133" s="19"/>
      <c r="FR133" s="19"/>
      <c r="FS133" s="19"/>
      <c r="FT133" s="19"/>
      <c r="FU133" s="19"/>
      <c r="FV133" s="19"/>
      <c r="FW133" s="19"/>
      <c r="FX133" s="19"/>
      <c r="FY133" s="19"/>
      <c r="FZ133" s="19"/>
      <c r="GA133" s="19"/>
      <c r="GB133" s="19"/>
      <c r="GC133" s="19"/>
      <c r="GD133" s="19"/>
      <c r="GE133" s="19"/>
      <c r="GF133" s="19"/>
      <c r="GG133" s="19"/>
      <c r="GH133" s="19">
        <v>0.23868582758496906</v>
      </c>
      <c r="GI133" s="19">
        <v>106.77682371700828</v>
      </c>
      <c r="GJ133" s="17"/>
      <c r="GK133" s="17"/>
      <c r="GL133" s="17"/>
      <c r="GM133" s="17"/>
      <c r="GN133" s="17"/>
      <c r="GO133" s="17"/>
      <c r="GP133" s="17"/>
      <c r="GQ133" s="17"/>
      <c r="GR133" s="17"/>
      <c r="GS133" s="17"/>
      <c r="GT133" s="17"/>
      <c r="GU133" s="17"/>
      <c r="GV133" s="17"/>
      <c r="GW133" s="17"/>
      <c r="GX133" s="17"/>
      <c r="GY133" s="17"/>
    </row>
    <row r="134" spans="1:207" x14ac:dyDescent="0.25">
      <c r="A134" s="18" t="s">
        <v>126</v>
      </c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>
        <v>0.18708289254213334</v>
      </c>
      <c r="AU134" s="19"/>
      <c r="AV134" s="19"/>
      <c r="AW134" s="19">
        <v>1.0732485931107472E-4</v>
      </c>
      <c r="AX134" s="19"/>
      <c r="AY134" s="19">
        <v>4.5102950231151047</v>
      </c>
      <c r="AZ134" s="19"/>
      <c r="BA134" s="19"/>
      <c r="BB134" s="19"/>
      <c r="BC134" s="19">
        <v>1.6638956836466955E-2</v>
      </c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>
        <v>15.326065824348813</v>
      </c>
      <c r="BT134" s="19">
        <v>6.1340234805387821</v>
      </c>
      <c r="BU134" s="19">
        <v>6.5513850186294471</v>
      </c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  <c r="CO134" s="19"/>
      <c r="CP134" s="19"/>
      <c r="CQ134" s="19"/>
      <c r="CR134" s="19"/>
      <c r="CS134" s="19"/>
      <c r="CT134" s="19"/>
      <c r="CU134" s="19"/>
      <c r="CV134" s="19"/>
      <c r="CW134" s="19"/>
      <c r="CX134" s="19"/>
      <c r="CY134" s="19"/>
      <c r="CZ134" s="19"/>
      <c r="DA134" s="19"/>
      <c r="DB134" s="19"/>
      <c r="DC134" s="19"/>
      <c r="DD134" s="19"/>
      <c r="DE134" s="19"/>
      <c r="DF134" s="19"/>
      <c r="DG134" s="19"/>
      <c r="DH134" s="19"/>
      <c r="DI134" s="19"/>
      <c r="DJ134" s="19"/>
      <c r="DK134" s="19"/>
      <c r="DL134" s="19"/>
      <c r="DM134" s="19"/>
      <c r="DN134" s="19"/>
      <c r="DO134" s="19"/>
      <c r="DP134" s="19"/>
      <c r="DQ134" s="19"/>
      <c r="DR134" s="19"/>
      <c r="DS134" s="19"/>
      <c r="DT134" s="19"/>
      <c r="DU134" s="19"/>
      <c r="DV134" s="19"/>
      <c r="DW134" s="19"/>
      <c r="DX134" s="19"/>
      <c r="DY134" s="19"/>
      <c r="DZ134" s="19"/>
      <c r="EA134" s="19"/>
      <c r="EB134" s="19"/>
      <c r="EC134" s="19"/>
      <c r="ED134" s="19"/>
      <c r="EE134" s="19"/>
      <c r="EF134" s="19"/>
      <c r="EG134" s="19"/>
      <c r="EH134" s="19"/>
      <c r="EI134" s="19"/>
      <c r="EJ134" s="19"/>
      <c r="EK134" s="19"/>
      <c r="EL134" s="19"/>
      <c r="EM134" s="19"/>
      <c r="EN134" s="19"/>
      <c r="EO134" s="19"/>
      <c r="EP134" s="19"/>
      <c r="EQ134" s="19"/>
      <c r="ER134" s="19"/>
      <c r="ES134" s="19"/>
      <c r="ET134" s="19"/>
      <c r="EU134" s="19"/>
      <c r="EV134" s="19"/>
      <c r="EW134" s="19"/>
      <c r="EX134" s="19"/>
      <c r="EY134" s="19"/>
      <c r="EZ134" s="19"/>
      <c r="FA134" s="19"/>
      <c r="FB134" s="19"/>
      <c r="FC134" s="19"/>
      <c r="FD134" s="19"/>
      <c r="FE134" s="19"/>
      <c r="FF134" s="19"/>
      <c r="FG134" s="19"/>
      <c r="FH134" s="19"/>
      <c r="FI134" s="19"/>
      <c r="FJ134" s="19"/>
      <c r="FK134" s="19"/>
      <c r="FL134" s="19">
        <v>0.28655983189325507</v>
      </c>
      <c r="FM134" s="19">
        <v>0.81748163598220691</v>
      </c>
      <c r="FN134" s="19">
        <v>1.5609188229569826</v>
      </c>
      <c r="FO134" s="19">
        <v>2.6638370889981671</v>
      </c>
      <c r="FP134" s="19">
        <v>4.0252145699667263</v>
      </c>
      <c r="FQ134" s="19">
        <v>4.676362650503892E-3</v>
      </c>
      <c r="FR134" s="19">
        <v>1.1098992951905895E-2</v>
      </c>
      <c r="FS134" s="19">
        <v>2.5043246737211151E-2</v>
      </c>
      <c r="FT134" s="19">
        <v>3.0901276672316354E-2</v>
      </c>
      <c r="FU134" s="19">
        <v>0.44617233704976578</v>
      </c>
      <c r="FV134" s="19">
        <v>2.1933460506772421E-2</v>
      </c>
      <c r="FW134" s="19">
        <v>8.6310992209563439E-2</v>
      </c>
      <c r="FX134" s="19">
        <v>0.20784927745831627</v>
      </c>
      <c r="FY134" s="19">
        <v>0.55381339886872294</v>
      </c>
      <c r="FZ134" s="19">
        <v>12.031767430366225</v>
      </c>
      <c r="GA134" s="19"/>
      <c r="GB134" s="19"/>
      <c r="GC134" s="19"/>
      <c r="GD134" s="19"/>
      <c r="GE134" s="19"/>
      <c r="GF134" s="19"/>
      <c r="GG134" s="19"/>
      <c r="GH134" s="19">
        <v>2.6589706007682321</v>
      </c>
      <c r="GI134" s="19">
        <v>58.158147846906942</v>
      </c>
      <c r="GJ134" s="17"/>
      <c r="GK134" s="17"/>
      <c r="GL134" s="17"/>
      <c r="GM134" s="17"/>
      <c r="GN134" s="17"/>
      <c r="GO134" s="17"/>
      <c r="GP134" s="17"/>
      <c r="GQ134" s="17"/>
      <c r="GR134" s="17"/>
      <c r="GS134" s="17"/>
      <c r="GT134" s="17"/>
      <c r="GU134" s="17"/>
      <c r="GV134" s="17"/>
      <c r="GW134" s="17"/>
      <c r="GX134" s="17"/>
      <c r="GY134" s="17"/>
    </row>
    <row r="135" spans="1:207" x14ac:dyDescent="0.25">
      <c r="A135" s="18" t="s">
        <v>127</v>
      </c>
      <c r="B135" s="19">
        <v>0.38493077573199153</v>
      </c>
      <c r="C135" s="19">
        <v>2.9851006762568414E-2</v>
      </c>
      <c r="D135" s="19">
        <v>8.4656901930756423E-2</v>
      </c>
      <c r="E135" s="19">
        <v>3.1148067401409803E-2</v>
      </c>
      <c r="F135" s="19">
        <v>0.23534902832359242</v>
      </c>
      <c r="G135" s="19">
        <v>5.4849830735775491E-2</v>
      </c>
      <c r="H135" s="19">
        <v>3.8530827538135557E-3</v>
      </c>
      <c r="I135" s="19">
        <v>0.19126941724881313</v>
      </c>
      <c r="J135" s="19">
        <v>0.19473281042639728</v>
      </c>
      <c r="K135" s="19">
        <v>9.3740174349460345E-2</v>
      </c>
      <c r="L135" s="19">
        <v>9.0200601509584175E-3</v>
      </c>
      <c r="M135" s="19">
        <v>0.66657553210773113</v>
      </c>
      <c r="N135" s="19">
        <v>0.18059890552895305</v>
      </c>
      <c r="O135" s="19">
        <v>7.3318593130351176E-2</v>
      </c>
      <c r="P135" s="19">
        <v>4.129239658221507E-2</v>
      </c>
      <c r="Q135" s="19">
        <v>0.63598482859985406</v>
      </c>
      <c r="R135" s="19">
        <v>0.21326902600179332</v>
      </c>
      <c r="S135" s="19">
        <v>8.2125534726936317E-2</v>
      </c>
      <c r="T135" s="19">
        <v>0.16274872954619268</v>
      </c>
      <c r="U135" s="19">
        <v>2.9299717684194287E-2</v>
      </c>
      <c r="V135" s="19">
        <v>0.19689553974842672</v>
      </c>
      <c r="W135" s="19">
        <v>0.30462130540041837</v>
      </c>
      <c r="X135" s="19">
        <v>0.25444683591759398</v>
      </c>
      <c r="Y135" s="19">
        <v>4.0986298154611585E-2</v>
      </c>
      <c r="Z135" s="19">
        <v>0.25361988112388928</v>
      </c>
      <c r="AA135" s="19">
        <v>4.5169778452727717E-2</v>
      </c>
      <c r="AB135" s="19"/>
      <c r="AC135" s="19"/>
      <c r="AD135" s="19"/>
      <c r="AE135" s="19">
        <v>0.17227261119387144</v>
      </c>
      <c r="AF135" s="19">
        <v>0.33296188210471395</v>
      </c>
      <c r="AG135" s="19">
        <v>5.5621093487580493E-2</v>
      </c>
      <c r="AH135" s="19">
        <v>9.2154481280431771E-2</v>
      </c>
      <c r="AI135" s="19">
        <v>1.5661991650863249E-2</v>
      </c>
      <c r="AJ135" s="19">
        <v>0.25138995129608327</v>
      </c>
      <c r="AK135" s="19">
        <v>7.9745884197010564E-2</v>
      </c>
      <c r="AL135" s="19">
        <v>0.10874019097234984</v>
      </c>
      <c r="AM135" s="19">
        <v>4.9529610970468291E-2</v>
      </c>
      <c r="AN135" s="19">
        <v>0.22726031187300841</v>
      </c>
      <c r="AO135" s="19">
        <v>3.0414240699081884E-4</v>
      </c>
      <c r="AP135" s="19">
        <v>4.1149254683329828E-3</v>
      </c>
      <c r="AQ135" s="19">
        <v>0.12239517689187096</v>
      </c>
      <c r="AR135" s="19">
        <v>3.2719148458945066E-4</v>
      </c>
      <c r="AS135" s="19">
        <v>2.1059927882585412</v>
      </c>
      <c r="AT135" s="19">
        <v>0.39520370857664566</v>
      </c>
      <c r="AU135" s="19">
        <v>5.6548863578883514E-5</v>
      </c>
      <c r="AV135" s="19">
        <v>1.0712051201811517</v>
      </c>
      <c r="AW135" s="19">
        <v>8.6395340405769922E-3</v>
      </c>
      <c r="AX135" s="19">
        <v>0.35638430792716325</v>
      </c>
      <c r="AY135" s="19">
        <v>1.1242344935403632</v>
      </c>
      <c r="AZ135" s="19">
        <v>1.0225451955680591</v>
      </c>
      <c r="BA135" s="19">
        <v>10.41146687956099</v>
      </c>
      <c r="BB135" s="19">
        <v>0.16576743302397889</v>
      </c>
      <c r="BC135" s="19">
        <v>1.3729079456016886</v>
      </c>
      <c r="BD135" s="19">
        <v>5.4312192363769876E-3</v>
      </c>
      <c r="BE135" s="19">
        <v>6.7683894684158682E-2</v>
      </c>
      <c r="BF135" s="19">
        <v>5.6471369153280968E-3</v>
      </c>
      <c r="BG135" s="19">
        <v>0.47757067687001548</v>
      </c>
      <c r="BH135" s="19"/>
      <c r="BI135" s="19">
        <v>2.5498314411672824</v>
      </c>
      <c r="BJ135" s="19">
        <v>6.6453945298239301</v>
      </c>
      <c r="BK135" s="19"/>
      <c r="BL135" s="19">
        <v>21.862740544090549</v>
      </c>
      <c r="BM135" s="19">
        <v>0.13481342940910257</v>
      </c>
      <c r="BN135" s="19">
        <v>0.14973144102535221</v>
      </c>
      <c r="BO135" s="19">
        <v>2.7880218931374912</v>
      </c>
      <c r="BP135" s="19"/>
      <c r="BQ135" s="19"/>
      <c r="BR135" s="19">
        <v>2.7979558832952418</v>
      </c>
      <c r="BS135" s="19">
        <v>7.9503781668719995</v>
      </c>
      <c r="BT135" s="19">
        <v>3.9288528482143925</v>
      </c>
      <c r="BU135" s="19">
        <v>1.7140497382850373</v>
      </c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  <c r="CO135" s="19"/>
      <c r="CP135" s="19"/>
      <c r="CQ135" s="19"/>
      <c r="CR135" s="19"/>
      <c r="CS135" s="19"/>
      <c r="CT135" s="19"/>
      <c r="CU135" s="19"/>
      <c r="CV135" s="19"/>
      <c r="CW135" s="19"/>
      <c r="CX135" s="19"/>
      <c r="CY135" s="19"/>
      <c r="CZ135" s="19"/>
      <c r="DA135" s="19"/>
      <c r="DB135" s="19"/>
      <c r="DC135" s="19"/>
      <c r="DD135" s="19"/>
      <c r="DE135" s="19"/>
      <c r="DF135" s="19"/>
      <c r="DG135" s="19"/>
      <c r="DH135" s="19"/>
      <c r="DI135" s="19"/>
      <c r="DJ135" s="19"/>
      <c r="DK135" s="19"/>
      <c r="DL135" s="19"/>
      <c r="DM135" s="19"/>
      <c r="DN135" s="19"/>
      <c r="DO135" s="19"/>
      <c r="DP135" s="19"/>
      <c r="DQ135" s="19"/>
      <c r="DR135" s="19"/>
      <c r="DS135" s="19"/>
      <c r="DT135" s="19"/>
      <c r="DU135" s="19"/>
      <c r="DV135" s="19"/>
      <c r="DW135" s="19"/>
      <c r="DX135" s="19"/>
      <c r="DY135" s="19"/>
      <c r="DZ135" s="19"/>
      <c r="EA135" s="19"/>
      <c r="EB135" s="19"/>
      <c r="EC135" s="19"/>
      <c r="ED135" s="19"/>
      <c r="EE135" s="19"/>
      <c r="EF135" s="19"/>
      <c r="EG135" s="19"/>
      <c r="EH135" s="19"/>
      <c r="EI135" s="19"/>
      <c r="EJ135" s="19"/>
      <c r="EK135" s="19"/>
      <c r="EL135" s="19"/>
      <c r="EM135" s="19"/>
      <c r="EN135" s="19"/>
      <c r="EO135" s="19"/>
      <c r="EP135" s="19"/>
      <c r="EQ135" s="19"/>
      <c r="ER135" s="19"/>
      <c r="ES135" s="19"/>
      <c r="ET135" s="19"/>
      <c r="EU135" s="19"/>
      <c r="EV135" s="19"/>
      <c r="EW135" s="19"/>
      <c r="EX135" s="19"/>
      <c r="EY135" s="19"/>
      <c r="EZ135" s="19"/>
      <c r="FA135" s="19"/>
      <c r="FB135" s="19"/>
      <c r="FC135" s="19"/>
      <c r="FD135" s="19"/>
      <c r="FE135" s="19"/>
      <c r="FF135" s="19"/>
      <c r="FG135" s="19"/>
      <c r="FH135" s="19"/>
      <c r="FI135" s="19"/>
      <c r="FJ135" s="19"/>
      <c r="FK135" s="19"/>
      <c r="FL135" s="19">
        <v>9.181912028590461E-2</v>
      </c>
      <c r="FM135" s="19">
        <v>0.18258255508646362</v>
      </c>
      <c r="FN135" s="19">
        <v>0.32711605161368978</v>
      </c>
      <c r="FO135" s="19">
        <v>0.65960600419887538</v>
      </c>
      <c r="FP135" s="19">
        <v>3.2564598786862669</v>
      </c>
      <c r="FQ135" s="19">
        <v>3.8416165230275405E-3</v>
      </c>
      <c r="FR135" s="19">
        <v>4.2481061302198017E-3</v>
      </c>
      <c r="FS135" s="19">
        <v>3.4952533471557397E-3</v>
      </c>
      <c r="FT135" s="19">
        <v>2.6833549002021882E-3</v>
      </c>
      <c r="FU135" s="19">
        <v>0.3018027868675851</v>
      </c>
      <c r="FV135" s="19">
        <v>1.4271204302086452E-2</v>
      </c>
      <c r="FW135" s="19">
        <v>3.2555290457899552E-2</v>
      </c>
      <c r="FX135" s="19">
        <v>3.9812785945760397E-2</v>
      </c>
      <c r="FY135" s="19">
        <v>9.7215574683340716E-2</v>
      </c>
      <c r="FZ135" s="19">
        <v>20.2373778370191</v>
      </c>
      <c r="GA135" s="19"/>
      <c r="GB135" s="19"/>
      <c r="GC135" s="19"/>
      <c r="GD135" s="19"/>
      <c r="GE135" s="19"/>
      <c r="GF135" s="19"/>
      <c r="GG135" s="19"/>
      <c r="GH135" s="19">
        <v>29.383376809802943</v>
      </c>
      <c r="GI135" s="19">
        <v>129.75760453181911</v>
      </c>
      <c r="GJ135" s="17"/>
      <c r="GK135" s="17"/>
      <c r="GL135" s="17"/>
      <c r="GM135" s="17"/>
      <c r="GN135" s="17"/>
      <c r="GO135" s="17"/>
      <c r="GP135" s="17"/>
      <c r="GQ135" s="17"/>
      <c r="GR135" s="17"/>
      <c r="GS135" s="17"/>
      <c r="GT135" s="17"/>
      <c r="GU135" s="17"/>
      <c r="GV135" s="17"/>
      <c r="GW135" s="17"/>
      <c r="GX135" s="17"/>
      <c r="GY135" s="17"/>
    </row>
    <row r="136" spans="1:207" x14ac:dyDescent="0.25">
      <c r="A136" s="18" t="s">
        <v>128</v>
      </c>
      <c r="B136" s="19">
        <v>6.6188730532994482</v>
      </c>
      <c r="C136" s="19"/>
      <c r="D136" s="19">
        <v>2.6302731983310501</v>
      </c>
      <c r="E136" s="19">
        <v>0.99255212296694217</v>
      </c>
      <c r="F136" s="19">
        <v>5.7358401604117235</v>
      </c>
      <c r="G136" s="19">
        <v>1.7715143885655056</v>
      </c>
      <c r="H136" s="19">
        <v>0.12780268507012968</v>
      </c>
      <c r="I136" s="19">
        <v>5.1143054733447464</v>
      </c>
      <c r="J136" s="19">
        <v>5.2617595394656274</v>
      </c>
      <c r="K136" s="19">
        <v>2.9013877352370936</v>
      </c>
      <c r="L136" s="19">
        <v>0.2990867174172861</v>
      </c>
      <c r="M136" s="19">
        <v>6.0668859643095683</v>
      </c>
      <c r="N136" s="19">
        <v>2.8355732362386248</v>
      </c>
      <c r="O136" s="19">
        <v>1.1801639764519416</v>
      </c>
      <c r="P136" s="19">
        <v>0.68036285129917107</v>
      </c>
      <c r="Q136" s="19">
        <v>6.0080418812244867</v>
      </c>
      <c r="R136" s="19">
        <v>3.1915667794958522</v>
      </c>
      <c r="S136" s="19">
        <v>1.3375737065349851</v>
      </c>
      <c r="T136" s="19">
        <v>2.4706932689967847</v>
      </c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>
        <v>0.79290665127935955</v>
      </c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  <c r="CO136" s="19"/>
      <c r="CP136" s="19"/>
      <c r="CQ136" s="19"/>
      <c r="CR136" s="19"/>
      <c r="CS136" s="19"/>
      <c r="CT136" s="19"/>
      <c r="CU136" s="19"/>
      <c r="CV136" s="19"/>
      <c r="CW136" s="19"/>
      <c r="CX136" s="19"/>
      <c r="CY136" s="19"/>
      <c r="CZ136" s="19"/>
      <c r="DA136" s="19"/>
      <c r="DB136" s="19"/>
      <c r="DC136" s="19"/>
      <c r="DD136" s="19"/>
      <c r="DE136" s="19"/>
      <c r="DF136" s="19"/>
      <c r="DG136" s="19"/>
      <c r="DH136" s="19"/>
      <c r="DI136" s="19"/>
      <c r="DJ136" s="19"/>
      <c r="DK136" s="19"/>
      <c r="DL136" s="19"/>
      <c r="DM136" s="19"/>
      <c r="DN136" s="19"/>
      <c r="DO136" s="19"/>
      <c r="DP136" s="19"/>
      <c r="DQ136" s="19"/>
      <c r="DR136" s="19"/>
      <c r="DS136" s="19"/>
      <c r="DT136" s="19"/>
      <c r="DU136" s="19"/>
      <c r="DV136" s="19"/>
      <c r="DW136" s="19"/>
      <c r="DX136" s="19"/>
      <c r="DY136" s="19"/>
      <c r="DZ136" s="19"/>
      <c r="EA136" s="19"/>
      <c r="EB136" s="19"/>
      <c r="EC136" s="19"/>
      <c r="ED136" s="19"/>
      <c r="EE136" s="19"/>
      <c r="EF136" s="19"/>
      <c r="EG136" s="19"/>
      <c r="EH136" s="19"/>
      <c r="EI136" s="19"/>
      <c r="EJ136" s="19"/>
      <c r="EK136" s="19"/>
      <c r="EL136" s="19"/>
      <c r="EM136" s="19"/>
      <c r="EN136" s="19"/>
      <c r="EO136" s="19"/>
      <c r="EP136" s="19"/>
      <c r="EQ136" s="19"/>
      <c r="ER136" s="19"/>
      <c r="ES136" s="19"/>
      <c r="ET136" s="19"/>
      <c r="EU136" s="19"/>
      <c r="EV136" s="19"/>
      <c r="EW136" s="19"/>
      <c r="EX136" s="19"/>
      <c r="EY136" s="19"/>
      <c r="EZ136" s="19"/>
      <c r="FA136" s="19"/>
      <c r="FB136" s="19"/>
      <c r="FC136" s="19"/>
      <c r="FD136" s="19"/>
      <c r="FE136" s="19"/>
      <c r="FF136" s="19"/>
      <c r="FG136" s="19"/>
      <c r="FH136" s="19"/>
      <c r="FI136" s="19"/>
      <c r="FJ136" s="19"/>
      <c r="FK136" s="19"/>
      <c r="FL136" s="19">
        <v>2.2133863781604612E-3</v>
      </c>
      <c r="FM136" s="19">
        <v>3.4534718539282303E-3</v>
      </c>
      <c r="FN136" s="19">
        <v>1.8700614063424863E-2</v>
      </c>
      <c r="FO136" s="19">
        <v>3.4937354632868241E-2</v>
      </c>
      <c r="FP136" s="19">
        <v>5.184545531683897E-2</v>
      </c>
      <c r="FQ136" s="19"/>
      <c r="FR136" s="19"/>
      <c r="FS136" s="19"/>
      <c r="FT136" s="19"/>
      <c r="FU136" s="19">
        <v>8.9580641201762292E-5</v>
      </c>
      <c r="FV136" s="19"/>
      <c r="FW136" s="19"/>
      <c r="FX136" s="19"/>
      <c r="FY136" s="19">
        <v>6.9546395920717366E-4</v>
      </c>
      <c r="FZ136" s="19">
        <v>0.24682483261831448</v>
      </c>
      <c r="GA136" s="19"/>
      <c r="GB136" s="19"/>
      <c r="GC136" s="19"/>
      <c r="GD136" s="19"/>
      <c r="GE136" s="19"/>
      <c r="GF136" s="19"/>
      <c r="GG136" s="19"/>
      <c r="GH136" s="19">
        <v>0.11315131589908731</v>
      </c>
      <c r="GI136" s="19">
        <v>56.489074865303351</v>
      </c>
      <c r="GJ136" s="17"/>
      <c r="GK136" s="17"/>
      <c r="GL136" s="17"/>
      <c r="GM136" s="17"/>
      <c r="GN136" s="17"/>
      <c r="GO136" s="17"/>
      <c r="GP136" s="17"/>
      <c r="GQ136" s="17"/>
      <c r="GR136" s="17"/>
      <c r="GS136" s="17"/>
      <c r="GT136" s="17"/>
      <c r="GU136" s="17"/>
      <c r="GV136" s="17"/>
      <c r="GW136" s="17"/>
      <c r="GX136" s="17"/>
      <c r="GY136" s="17"/>
    </row>
    <row r="137" spans="1:207" x14ac:dyDescent="0.25">
      <c r="A137" s="18" t="s">
        <v>129</v>
      </c>
      <c r="B137" s="19">
        <v>3.4742438250758703</v>
      </c>
      <c r="C137" s="19">
        <v>0.26859749812974976</v>
      </c>
      <c r="D137" s="19">
        <v>0.7641048207812442</v>
      </c>
      <c r="E137" s="19">
        <v>0.27914724110176609</v>
      </c>
      <c r="F137" s="19">
        <v>2.120790361030906</v>
      </c>
      <c r="G137" s="19">
        <v>0.49494736910046944</v>
      </c>
      <c r="H137" s="19">
        <v>3.4691196192988723E-2</v>
      </c>
      <c r="I137" s="19">
        <v>1.7225146637008348</v>
      </c>
      <c r="J137" s="19">
        <v>1.7550411652562676</v>
      </c>
      <c r="K137" s="19">
        <v>0.84451597273194845</v>
      </c>
      <c r="L137" s="19">
        <v>8.1208572072928142E-2</v>
      </c>
      <c r="M137" s="19">
        <v>5.9773056026000289</v>
      </c>
      <c r="N137" s="19">
        <v>1.6313849989442859</v>
      </c>
      <c r="O137" s="19">
        <v>0.65903247933258513</v>
      </c>
      <c r="P137" s="19">
        <v>0.37246776268838061</v>
      </c>
      <c r="Q137" s="19">
        <v>5.7039016478749982</v>
      </c>
      <c r="R137" s="19">
        <v>1.9099745411139177</v>
      </c>
      <c r="S137" s="19">
        <v>0.74138484020054529</v>
      </c>
      <c r="T137" s="19">
        <v>1.4514973774965796</v>
      </c>
      <c r="U137" s="19">
        <v>0.26530186630648556</v>
      </c>
      <c r="V137" s="19">
        <v>1.777040264091287</v>
      </c>
      <c r="W137" s="19">
        <v>2.7508904782246852</v>
      </c>
      <c r="X137" s="19">
        <v>2.2762382174749369</v>
      </c>
      <c r="Y137" s="19">
        <v>0.3705039365334189</v>
      </c>
      <c r="Z137" s="19">
        <v>2.2693202785279403</v>
      </c>
      <c r="AA137" s="19">
        <v>0.83473106807462871</v>
      </c>
      <c r="AB137" s="19"/>
      <c r="AC137" s="19"/>
      <c r="AD137" s="19"/>
      <c r="AE137" s="19">
        <v>1.5520724600607267</v>
      </c>
      <c r="AF137" s="19">
        <v>3.0515717484297844</v>
      </c>
      <c r="AG137" s="19">
        <v>0.49584823383917997</v>
      </c>
      <c r="AH137" s="19">
        <v>0.82629913118348741</v>
      </c>
      <c r="AI137" s="19">
        <v>8.3497574419396717E-2</v>
      </c>
      <c r="AJ137" s="19">
        <v>2.2705971106493696</v>
      </c>
      <c r="AK137" s="19">
        <v>0.71977057162595792</v>
      </c>
      <c r="AL137" s="19">
        <v>0.98179596875297259</v>
      </c>
      <c r="AM137" s="19">
        <v>0.44672535541208008</v>
      </c>
      <c r="AN137" s="19">
        <v>0.25382317183098152</v>
      </c>
      <c r="AO137" s="19">
        <v>2.7379850787862627E-3</v>
      </c>
      <c r="AP137" s="19">
        <v>3.6981081452351253E-2</v>
      </c>
      <c r="AQ137" s="19">
        <v>1.0996506581961321</v>
      </c>
      <c r="AR137" s="19">
        <v>2.9450228174256322E-3</v>
      </c>
      <c r="AS137" s="19">
        <v>19.269979307802707</v>
      </c>
      <c r="AT137" s="19"/>
      <c r="AU137" s="19">
        <v>0.60926419023076683</v>
      </c>
      <c r="AV137" s="19">
        <v>4.6965222085480169</v>
      </c>
      <c r="AW137" s="19">
        <v>4.8381758825082999E-2</v>
      </c>
      <c r="AX137" s="19">
        <v>3.1823348526249466</v>
      </c>
      <c r="AY137" s="19">
        <v>3.1191127495098812</v>
      </c>
      <c r="AZ137" s="19"/>
      <c r="BA137" s="19">
        <v>10.845006856201193</v>
      </c>
      <c r="BB137" s="19">
        <v>1.4910159238989149</v>
      </c>
      <c r="BC137" s="19">
        <v>0.19023505776514812</v>
      </c>
      <c r="BD137" s="19">
        <v>8.1434701502268512E-5</v>
      </c>
      <c r="BE137" s="19">
        <v>1.3070562039089342E-4</v>
      </c>
      <c r="BF137" s="19">
        <v>9.1295614790528972E-4</v>
      </c>
      <c r="BG137" s="19">
        <v>4.3758332981133989</v>
      </c>
      <c r="BH137" s="19"/>
      <c r="BI137" s="19">
        <v>12.063455656892206</v>
      </c>
      <c r="BJ137" s="19">
        <v>19.884774444842581</v>
      </c>
      <c r="BK137" s="19"/>
      <c r="BL137" s="19">
        <v>149.63145799228263</v>
      </c>
      <c r="BM137" s="19">
        <v>0.24302563745870109</v>
      </c>
      <c r="BN137" s="19">
        <v>0.2699606342612258</v>
      </c>
      <c r="BO137" s="19">
        <v>25.855023636676236</v>
      </c>
      <c r="BP137" s="19"/>
      <c r="BQ137" s="19"/>
      <c r="BR137" s="19">
        <v>25.088252076557236</v>
      </c>
      <c r="BS137" s="19">
        <v>49.784548942290492</v>
      </c>
      <c r="BT137" s="19">
        <v>13.874473239725896</v>
      </c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19"/>
      <c r="CO137" s="19"/>
      <c r="CP137" s="19"/>
      <c r="CQ137" s="19"/>
      <c r="CR137" s="19"/>
      <c r="CS137" s="19"/>
      <c r="CT137" s="19"/>
      <c r="CU137" s="19"/>
      <c r="CV137" s="19"/>
      <c r="CW137" s="19"/>
      <c r="CX137" s="19"/>
      <c r="CY137" s="19"/>
      <c r="CZ137" s="19"/>
      <c r="DA137" s="19"/>
      <c r="DB137" s="19"/>
      <c r="DC137" s="19"/>
      <c r="DD137" s="19"/>
      <c r="DE137" s="19"/>
      <c r="DF137" s="19"/>
      <c r="DG137" s="19"/>
      <c r="DH137" s="19"/>
      <c r="DI137" s="19"/>
      <c r="DJ137" s="19"/>
      <c r="DK137" s="19"/>
      <c r="DL137" s="19"/>
      <c r="DM137" s="19"/>
      <c r="DN137" s="19"/>
      <c r="DO137" s="19"/>
      <c r="DP137" s="19"/>
      <c r="DQ137" s="19"/>
      <c r="DR137" s="19"/>
      <c r="DS137" s="19"/>
      <c r="DT137" s="19"/>
      <c r="DU137" s="19"/>
      <c r="DV137" s="19"/>
      <c r="DW137" s="19"/>
      <c r="DX137" s="19"/>
      <c r="DY137" s="19"/>
      <c r="DZ137" s="19"/>
      <c r="EA137" s="19"/>
      <c r="EB137" s="19"/>
      <c r="EC137" s="19"/>
      <c r="ED137" s="19"/>
      <c r="EE137" s="19"/>
      <c r="EF137" s="19"/>
      <c r="EG137" s="19"/>
      <c r="EH137" s="19"/>
      <c r="EI137" s="19"/>
      <c r="EJ137" s="19"/>
      <c r="EK137" s="19"/>
      <c r="EL137" s="19"/>
      <c r="EM137" s="19"/>
      <c r="EN137" s="19"/>
      <c r="EO137" s="19"/>
      <c r="EP137" s="19"/>
      <c r="EQ137" s="19"/>
      <c r="ER137" s="19"/>
      <c r="ES137" s="19"/>
      <c r="ET137" s="19"/>
      <c r="EU137" s="19"/>
      <c r="EV137" s="19"/>
      <c r="EW137" s="19"/>
      <c r="EX137" s="19"/>
      <c r="EY137" s="19"/>
      <c r="EZ137" s="19"/>
      <c r="FA137" s="19"/>
      <c r="FB137" s="19"/>
      <c r="FC137" s="19"/>
      <c r="FD137" s="19"/>
      <c r="FE137" s="19"/>
      <c r="FF137" s="19"/>
      <c r="FG137" s="19"/>
      <c r="FH137" s="19"/>
      <c r="FI137" s="19"/>
      <c r="FJ137" s="19"/>
      <c r="FK137" s="19"/>
      <c r="FL137" s="19">
        <v>6.2387798288508618</v>
      </c>
      <c r="FM137" s="19">
        <v>10.104003460484662</v>
      </c>
      <c r="FN137" s="19">
        <v>14.840117119075872</v>
      </c>
      <c r="FO137" s="19">
        <v>21.315866801445885</v>
      </c>
      <c r="FP137" s="19">
        <v>48.963795039274395</v>
      </c>
      <c r="FQ137" s="19">
        <v>0.12379799920405286</v>
      </c>
      <c r="FR137" s="19">
        <v>0.16605152552348415</v>
      </c>
      <c r="FS137" s="19">
        <v>0.23467036324298551</v>
      </c>
      <c r="FT137" s="19">
        <v>0.2300080568377014</v>
      </c>
      <c r="FU137" s="19">
        <v>2.1292538550597326</v>
      </c>
      <c r="FV137" s="19">
        <v>0.2976041362893117</v>
      </c>
      <c r="FW137" s="19">
        <v>0.80846288862821114</v>
      </c>
      <c r="FX137" s="19">
        <v>1.4215701035151467</v>
      </c>
      <c r="FY137" s="19">
        <v>3.5195231298250031</v>
      </c>
      <c r="FZ137" s="19">
        <v>38.384539276438936</v>
      </c>
      <c r="GA137" s="19"/>
      <c r="GB137" s="19"/>
      <c r="GC137" s="19"/>
      <c r="GD137" s="19"/>
      <c r="GE137" s="19"/>
      <c r="GF137" s="19"/>
      <c r="GG137" s="19">
        <v>10.523837557334621</v>
      </c>
      <c r="GH137" s="19">
        <v>6.5199713806059494</v>
      </c>
      <c r="GI137" s="19">
        <v>563.00073020102207</v>
      </c>
      <c r="GJ137" s="17"/>
      <c r="GK137" s="17"/>
      <c r="GL137" s="17"/>
      <c r="GM137" s="17"/>
      <c r="GN137" s="17"/>
      <c r="GO137" s="17"/>
      <c r="GP137" s="17"/>
      <c r="GQ137" s="17"/>
      <c r="GR137" s="17"/>
      <c r="GS137" s="17"/>
      <c r="GT137" s="17"/>
      <c r="GU137" s="17"/>
      <c r="GV137" s="17"/>
      <c r="GW137" s="17"/>
      <c r="GX137" s="17"/>
      <c r="GY137" s="17"/>
    </row>
    <row r="138" spans="1:207" x14ac:dyDescent="0.25">
      <c r="A138" s="18" t="s">
        <v>130</v>
      </c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>
        <v>6.4574675158300003</v>
      </c>
      <c r="W138" s="19"/>
      <c r="X138" s="19"/>
      <c r="Y138" s="19"/>
      <c r="Z138" s="19"/>
      <c r="AA138" s="19"/>
      <c r="AB138" s="19"/>
      <c r="AC138" s="19"/>
      <c r="AD138" s="19"/>
      <c r="AE138" s="19">
        <v>3.5044903352430719E-2</v>
      </c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>
        <v>3.0501962187753133E-5</v>
      </c>
      <c r="AX138" s="19">
        <v>9.3428747340801074E-2</v>
      </c>
      <c r="AY138" s="19">
        <v>3.1927926205670917E-5</v>
      </c>
      <c r="AZ138" s="19"/>
      <c r="BA138" s="19">
        <v>10.019328841567786</v>
      </c>
      <c r="BB138" s="19">
        <v>3.0639464616157324</v>
      </c>
      <c r="BC138" s="19">
        <v>4.6226920717620184</v>
      </c>
      <c r="BD138" s="19"/>
      <c r="BE138" s="19"/>
      <c r="BF138" s="19"/>
      <c r="BG138" s="19"/>
      <c r="BH138" s="19"/>
      <c r="BI138" s="19">
        <v>1.2924535054373276</v>
      </c>
      <c r="BJ138" s="19">
        <v>105.89462979681552</v>
      </c>
      <c r="BK138" s="19"/>
      <c r="BL138" s="19"/>
      <c r="BM138" s="19">
        <v>0.20261999224639057</v>
      </c>
      <c r="BN138" s="19">
        <v>0.22508789947526658</v>
      </c>
      <c r="BO138" s="19"/>
      <c r="BP138" s="19"/>
      <c r="BQ138" s="19"/>
      <c r="BR138" s="19"/>
      <c r="BS138" s="19">
        <v>1.9087056049847644</v>
      </c>
      <c r="BT138" s="19">
        <v>0.76968795095620846</v>
      </c>
      <c r="BU138" s="19">
        <v>0.22360203299762538</v>
      </c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  <c r="CO138" s="19"/>
      <c r="CP138" s="19"/>
      <c r="CQ138" s="19"/>
      <c r="CR138" s="19"/>
      <c r="CS138" s="19"/>
      <c r="CT138" s="19"/>
      <c r="CU138" s="19"/>
      <c r="CV138" s="19"/>
      <c r="CW138" s="19"/>
      <c r="CX138" s="19"/>
      <c r="CY138" s="19"/>
      <c r="CZ138" s="19"/>
      <c r="DA138" s="19"/>
      <c r="DB138" s="19"/>
      <c r="DC138" s="19"/>
      <c r="DD138" s="19"/>
      <c r="DE138" s="19"/>
      <c r="DF138" s="19"/>
      <c r="DG138" s="19"/>
      <c r="DH138" s="19"/>
      <c r="DI138" s="19"/>
      <c r="DJ138" s="19"/>
      <c r="DK138" s="19"/>
      <c r="DL138" s="19"/>
      <c r="DM138" s="19"/>
      <c r="DN138" s="19"/>
      <c r="DO138" s="19"/>
      <c r="DP138" s="19"/>
      <c r="DQ138" s="19"/>
      <c r="DR138" s="19"/>
      <c r="DS138" s="19"/>
      <c r="DT138" s="19"/>
      <c r="DU138" s="19"/>
      <c r="DV138" s="19"/>
      <c r="DW138" s="19"/>
      <c r="DX138" s="19"/>
      <c r="DY138" s="19"/>
      <c r="DZ138" s="19"/>
      <c r="EA138" s="19"/>
      <c r="EB138" s="19"/>
      <c r="EC138" s="19"/>
      <c r="ED138" s="19"/>
      <c r="EE138" s="19"/>
      <c r="EF138" s="19"/>
      <c r="EG138" s="19"/>
      <c r="EH138" s="19"/>
      <c r="EI138" s="19"/>
      <c r="EJ138" s="19"/>
      <c r="EK138" s="19"/>
      <c r="EL138" s="19"/>
      <c r="EM138" s="19"/>
      <c r="EN138" s="19"/>
      <c r="EO138" s="19"/>
      <c r="EP138" s="19"/>
      <c r="EQ138" s="19"/>
      <c r="ER138" s="19"/>
      <c r="ES138" s="19"/>
      <c r="ET138" s="19"/>
      <c r="EU138" s="19"/>
      <c r="EV138" s="19"/>
      <c r="EW138" s="19"/>
      <c r="EX138" s="19"/>
      <c r="EY138" s="19"/>
      <c r="EZ138" s="19"/>
      <c r="FA138" s="19"/>
      <c r="FB138" s="19"/>
      <c r="FC138" s="19"/>
      <c r="FD138" s="19"/>
      <c r="FE138" s="19"/>
      <c r="FF138" s="19"/>
      <c r="FG138" s="19"/>
      <c r="FH138" s="19"/>
      <c r="FI138" s="19"/>
      <c r="FJ138" s="19"/>
      <c r="FK138" s="19"/>
      <c r="FL138" s="19">
        <v>0.24959479931415998</v>
      </c>
      <c r="FM138" s="19">
        <v>0.46641527748603989</v>
      </c>
      <c r="FN138" s="19">
        <v>0.72975381523002092</v>
      </c>
      <c r="FO138" s="19">
        <v>1.2274878173203791</v>
      </c>
      <c r="FP138" s="19">
        <v>1.6603920835668022</v>
      </c>
      <c r="FQ138" s="19">
        <v>7.2208300864276811E-3</v>
      </c>
      <c r="FR138" s="19">
        <v>1.2838450405397434E-2</v>
      </c>
      <c r="FS138" s="19">
        <v>9.5293790250046469E-3</v>
      </c>
      <c r="FT138" s="19">
        <v>1.9836190689536241E-2</v>
      </c>
      <c r="FU138" s="19">
        <v>0.1780452575340607</v>
      </c>
      <c r="FV138" s="19">
        <v>1.0367627388495814E-2</v>
      </c>
      <c r="FW138" s="19">
        <v>3.2330659072496458E-2</v>
      </c>
      <c r="FX138" s="19">
        <v>5.2220783194723952E-2</v>
      </c>
      <c r="FY138" s="19">
        <v>0.15080500233516128</v>
      </c>
      <c r="FZ138" s="19">
        <v>3.0518229256194425</v>
      </c>
      <c r="GA138" s="19"/>
      <c r="GB138" s="19"/>
      <c r="GC138" s="19"/>
      <c r="GD138" s="19"/>
      <c r="GE138" s="19"/>
      <c r="GF138" s="19"/>
      <c r="GG138" s="19"/>
      <c r="GH138" s="19">
        <v>6.5331070892331455</v>
      </c>
      <c r="GI138" s="19">
        <v>149.20052574177151</v>
      </c>
      <c r="GJ138" s="17"/>
      <c r="GK138" s="17"/>
      <c r="GL138" s="17"/>
      <c r="GM138" s="17"/>
      <c r="GN138" s="17"/>
      <c r="GO138" s="17"/>
      <c r="GP138" s="17"/>
      <c r="GQ138" s="17"/>
      <c r="GR138" s="17"/>
      <c r="GS138" s="17"/>
      <c r="GT138" s="17"/>
      <c r="GU138" s="17"/>
      <c r="GV138" s="17"/>
      <c r="GW138" s="17"/>
      <c r="GX138" s="17"/>
      <c r="GY138" s="17"/>
    </row>
    <row r="139" spans="1:207" x14ac:dyDescent="0.25">
      <c r="A139" s="18" t="s">
        <v>131</v>
      </c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>
        <v>2.2597055044820701E-2</v>
      </c>
      <c r="AZ139" s="19"/>
      <c r="BA139" s="19"/>
      <c r="BB139" s="19">
        <v>3.0521399954796236</v>
      </c>
      <c r="BC139" s="19">
        <v>31.178587322427681</v>
      </c>
      <c r="BD139" s="19">
        <v>6.6825336144584774E-2</v>
      </c>
      <c r="BE139" s="19">
        <v>2.8499500934268007</v>
      </c>
      <c r="BF139" s="19">
        <v>0.67827598176782566</v>
      </c>
      <c r="BG139" s="19">
        <v>4.9209214741007887</v>
      </c>
      <c r="BH139" s="19">
        <v>9.7495260582537568</v>
      </c>
      <c r="BI139" s="19">
        <v>1.466380447920576</v>
      </c>
      <c r="BJ139" s="19">
        <v>63.088009905831122</v>
      </c>
      <c r="BK139" s="19"/>
      <c r="BL139" s="19"/>
      <c r="BM139" s="19"/>
      <c r="BN139" s="19"/>
      <c r="BO139" s="19"/>
      <c r="BP139" s="19"/>
      <c r="BQ139" s="19"/>
      <c r="BR139" s="19"/>
      <c r="BS139" s="19">
        <v>29.381690713522179</v>
      </c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  <c r="CO139" s="19"/>
      <c r="CP139" s="19"/>
      <c r="CQ139" s="19"/>
      <c r="CR139" s="19"/>
      <c r="CS139" s="19"/>
      <c r="CT139" s="19"/>
      <c r="CU139" s="19"/>
      <c r="CV139" s="19"/>
      <c r="CW139" s="19"/>
      <c r="CX139" s="19"/>
      <c r="CY139" s="19"/>
      <c r="CZ139" s="19"/>
      <c r="DA139" s="19"/>
      <c r="DB139" s="19"/>
      <c r="DC139" s="19"/>
      <c r="DD139" s="19"/>
      <c r="DE139" s="19"/>
      <c r="DF139" s="19"/>
      <c r="DG139" s="19"/>
      <c r="DH139" s="19"/>
      <c r="DI139" s="19"/>
      <c r="DJ139" s="19"/>
      <c r="DK139" s="19"/>
      <c r="DL139" s="19"/>
      <c r="DM139" s="19"/>
      <c r="DN139" s="19"/>
      <c r="DO139" s="19"/>
      <c r="DP139" s="19"/>
      <c r="DQ139" s="19"/>
      <c r="DR139" s="19"/>
      <c r="DS139" s="19"/>
      <c r="DT139" s="19"/>
      <c r="DU139" s="19"/>
      <c r="DV139" s="19"/>
      <c r="DW139" s="19"/>
      <c r="DX139" s="19"/>
      <c r="DY139" s="19"/>
      <c r="DZ139" s="19"/>
      <c r="EA139" s="19"/>
      <c r="EB139" s="19"/>
      <c r="EC139" s="19"/>
      <c r="ED139" s="19"/>
      <c r="EE139" s="19"/>
      <c r="EF139" s="19"/>
      <c r="EG139" s="19"/>
      <c r="EH139" s="19"/>
      <c r="EI139" s="19"/>
      <c r="EJ139" s="19"/>
      <c r="EK139" s="19"/>
      <c r="EL139" s="19"/>
      <c r="EM139" s="19"/>
      <c r="EN139" s="19"/>
      <c r="EO139" s="19"/>
      <c r="EP139" s="19"/>
      <c r="EQ139" s="19"/>
      <c r="ER139" s="19"/>
      <c r="ES139" s="19"/>
      <c r="ET139" s="19"/>
      <c r="EU139" s="19"/>
      <c r="EV139" s="19"/>
      <c r="EW139" s="19"/>
      <c r="EX139" s="19"/>
      <c r="EY139" s="19"/>
      <c r="EZ139" s="19"/>
      <c r="FA139" s="19"/>
      <c r="FB139" s="19"/>
      <c r="FC139" s="19"/>
      <c r="FD139" s="19"/>
      <c r="FE139" s="19"/>
      <c r="FF139" s="19"/>
      <c r="FG139" s="19"/>
      <c r="FH139" s="19"/>
      <c r="FI139" s="19"/>
      <c r="FJ139" s="19"/>
      <c r="FK139" s="19"/>
      <c r="FL139" s="19">
        <v>0.38600484168646737</v>
      </c>
      <c r="FM139" s="19">
        <v>0.70463498765022381</v>
      </c>
      <c r="FN139" s="19">
        <v>1.0612500948833343</v>
      </c>
      <c r="FO139" s="19">
        <v>1.6214733071623897</v>
      </c>
      <c r="FP139" s="19">
        <v>2.0297793703394107</v>
      </c>
      <c r="FQ139" s="19">
        <v>8.1343641020673648E-3</v>
      </c>
      <c r="FR139" s="19">
        <v>1.0433399862184731E-2</v>
      </c>
      <c r="FS139" s="19">
        <v>2.50035966599996E-2</v>
      </c>
      <c r="FT139" s="19">
        <v>2.3804529555045688E-2</v>
      </c>
      <c r="FU139" s="19">
        <v>0.22589965000467971</v>
      </c>
      <c r="FV139" s="19">
        <v>1.6482475621958995E-2</v>
      </c>
      <c r="FW139" s="19">
        <v>4.5991464944810871E-2</v>
      </c>
      <c r="FX139" s="19">
        <v>7.3255851928385865E-2</v>
      </c>
      <c r="FY139" s="19">
        <v>0.16912801391595544</v>
      </c>
      <c r="FZ139" s="19">
        <v>2.9178832570637692</v>
      </c>
      <c r="GA139" s="19"/>
      <c r="GB139" s="19"/>
      <c r="GC139" s="19"/>
      <c r="GD139" s="19"/>
      <c r="GE139" s="19"/>
      <c r="GF139" s="19">
        <v>94.215206369105474</v>
      </c>
      <c r="GG139" s="19"/>
      <c r="GH139" s="19">
        <v>4.0207701520905346</v>
      </c>
      <c r="GI139" s="19">
        <v>254.01004011049648</v>
      </c>
      <c r="GJ139" s="17"/>
      <c r="GK139" s="17"/>
      <c r="GL139" s="17"/>
      <c r="GM139" s="17"/>
      <c r="GN139" s="17"/>
      <c r="GO139" s="17"/>
      <c r="GP139" s="17"/>
      <c r="GQ139" s="17"/>
      <c r="GR139" s="17"/>
      <c r="GS139" s="17"/>
      <c r="GT139" s="17"/>
      <c r="GU139" s="17"/>
      <c r="GV139" s="17"/>
      <c r="GW139" s="17"/>
      <c r="GX139" s="17"/>
      <c r="GY139" s="17"/>
    </row>
    <row r="140" spans="1:207" x14ac:dyDescent="0.25">
      <c r="A140" s="18" t="s">
        <v>132</v>
      </c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>
        <v>1.6721606577123585E-2</v>
      </c>
      <c r="AV140" s="19">
        <v>3.2708063355124626</v>
      </c>
      <c r="AW140" s="19">
        <v>0.1504931609199027</v>
      </c>
      <c r="AX140" s="19">
        <v>3.8345516209635893</v>
      </c>
      <c r="AY140" s="19">
        <v>0.17786371422518857</v>
      </c>
      <c r="AZ140" s="19"/>
      <c r="BA140" s="19"/>
      <c r="BB140" s="19"/>
      <c r="BC140" s="19">
        <v>0.89873717761031391</v>
      </c>
      <c r="BD140" s="19">
        <v>4.1587307347778503E-4</v>
      </c>
      <c r="BE140" s="19">
        <v>0.19068305416211803</v>
      </c>
      <c r="BF140" s="19">
        <v>0.29409271475219634</v>
      </c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  <c r="CO140" s="19"/>
      <c r="CP140" s="19"/>
      <c r="CQ140" s="19"/>
      <c r="CR140" s="19"/>
      <c r="CS140" s="19"/>
      <c r="CT140" s="19"/>
      <c r="CU140" s="19"/>
      <c r="CV140" s="19"/>
      <c r="CW140" s="19"/>
      <c r="CX140" s="19"/>
      <c r="CY140" s="19"/>
      <c r="CZ140" s="19"/>
      <c r="DA140" s="19"/>
      <c r="DB140" s="19"/>
      <c r="DC140" s="19"/>
      <c r="DD140" s="19"/>
      <c r="DE140" s="19"/>
      <c r="DF140" s="19"/>
      <c r="DG140" s="19"/>
      <c r="DH140" s="19"/>
      <c r="DI140" s="19"/>
      <c r="DJ140" s="19"/>
      <c r="DK140" s="19"/>
      <c r="DL140" s="19"/>
      <c r="DM140" s="19"/>
      <c r="DN140" s="19"/>
      <c r="DO140" s="19"/>
      <c r="DP140" s="19"/>
      <c r="DQ140" s="19"/>
      <c r="DR140" s="19"/>
      <c r="DS140" s="19"/>
      <c r="DT140" s="19"/>
      <c r="DU140" s="19"/>
      <c r="DV140" s="19"/>
      <c r="DW140" s="19"/>
      <c r="DX140" s="19"/>
      <c r="DY140" s="19"/>
      <c r="DZ140" s="19"/>
      <c r="EA140" s="19"/>
      <c r="EB140" s="19"/>
      <c r="EC140" s="19"/>
      <c r="ED140" s="19"/>
      <c r="EE140" s="19"/>
      <c r="EF140" s="19"/>
      <c r="EG140" s="19"/>
      <c r="EH140" s="19"/>
      <c r="EI140" s="19"/>
      <c r="EJ140" s="19"/>
      <c r="EK140" s="19"/>
      <c r="EL140" s="19"/>
      <c r="EM140" s="19"/>
      <c r="EN140" s="19"/>
      <c r="EO140" s="19"/>
      <c r="EP140" s="19"/>
      <c r="EQ140" s="19"/>
      <c r="ER140" s="19"/>
      <c r="ES140" s="19"/>
      <c r="ET140" s="19"/>
      <c r="EU140" s="19"/>
      <c r="EV140" s="19"/>
      <c r="EW140" s="19"/>
      <c r="EX140" s="19"/>
      <c r="EY140" s="19"/>
      <c r="EZ140" s="19"/>
      <c r="FA140" s="19"/>
      <c r="FB140" s="19"/>
      <c r="FC140" s="19"/>
      <c r="FD140" s="19"/>
      <c r="FE140" s="19"/>
      <c r="FF140" s="19"/>
      <c r="FG140" s="19"/>
      <c r="FH140" s="19"/>
      <c r="FI140" s="19"/>
      <c r="FJ140" s="19"/>
      <c r="FK140" s="19"/>
      <c r="FL140" s="19">
        <v>1.0621246471488389E-3</v>
      </c>
      <c r="FM140" s="19">
        <v>2.869204272199707E-3</v>
      </c>
      <c r="FN140" s="19">
        <v>1.998744841250822E-2</v>
      </c>
      <c r="FO140" s="19">
        <v>3.3049306473125865E-2</v>
      </c>
      <c r="FP140" s="19">
        <v>0.11522312126907093</v>
      </c>
      <c r="FQ140" s="19"/>
      <c r="FR140" s="19"/>
      <c r="FS140" s="19"/>
      <c r="FT140" s="19"/>
      <c r="FU140" s="19">
        <v>1.2427148721599354E-2</v>
      </c>
      <c r="FV140" s="19"/>
      <c r="FW140" s="19">
        <v>1.3849899757734114E-3</v>
      </c>
      <c r="FX140" s="19"/>
      <c r="FY140" s="19">
        <v>4.2968785996904948E-3</v>
      </c>
      <c r="FZ140" s="19">
        <v>3.7701018302465472E-2</v>
      </c>
      <c r="GA140" s="19"/>
      <c r="GB140" s="19"/>
      <c r="GC140" s="19"/>
      <c r="GD140" s="19"/>
      <c r="GE140" s="19"/>
      <c r="GF140" s="19">
        <v>104.44877288328023</v>
      </c>
      <c r="GG140" s="19"/>
      <c r="GH140" s="19">
        <v>10.740300040565813</v>
      </c>
      <c r="GI140" s="19">
        <v>124.251439422316</v>
      </c>
      <c r="GJ140" s="17"/>
      <c r="GK140" s="17"/>
      <c r="GL140" s="17"/>
      <c r="GM140" s="17"/>
      <c r="GN140" s="17"/>
      <c r="GO140" s="17"/>
      <c r="GP140" s="17"/>
      <c r="GQ140" s="17"/>
      <c r="GR140" s="17"/>
      <c r="GS140" s="17"/>
      <c r="GT140" s="17"/>
      <c r="GU140" s="17"/>
      <c r="GV140" s="17"/>
      <c r="GW140" s="17"/>
      <c r="GX140" s="17"/>
      <c r="GY140" s="17"/>
    </row>
    <row r="141" spans="1:207" x14ac:dyDescent="0.25">
      <c r="A141" s="18" t="s">
        <v>133</v>
      </c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>
        <v>0.35200074333836701</v>
      </c>
      <c r="AZ141" s="19"/>
      <c r="BA141" s="19"/>
      <c r="BB141" s="19"/>
      <c r="BC141" s="19"/>
      <c r="BD141" s="19">
        <v>1.3357239849665406E-2</v>
      </c>
      <c r="BE141" s="19">
        <v>1.4638112598477869E-4</v>
      </c>
      <c r="BF141" s="19">
        <v>0.26250805377063613</v>
      </c>
      <c r="BG141" s="19">
        <v>0.96237079955158489</v>
      </c>
      <c r="BH141" s="19">
        <v>1.9860072678595651</v>
      </c>
      <c r="BI141" s="19">
        <v>0.29205852045761377</v>
      </c>
      <c r="BJ141" s="19">
        <v>24.886470785035783</v>
      </c>
      <c r="BK141" s="19"/>
      <c r="BL141" s="19">
        <v>21.541393130770729</v>
      </c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  <c r="CO141" s="19"/>
      <c r="CP141" s="19"/>
      <c r="CQ141" s="19"/>
      <c r="CR141" s="19"/>
      <c r="CS141" s="19"/>
      <c r="CT141" s="19"/>
      <c r="CU141" s="19"/>
      <c r="CV141" s="19"/>
      <c r="CW141" s="19"/>
      <c r="CX141" s="19"/>
      <c r="CY141" s="19"/>
      <c r="CZ141" s="19"/>
      <c r="DA141" s="19"/>
      <c r="DB141" s="19"/>
      <c r="DC141" s="19"/>
      <c r="DD141" s="19"/>
      <c r="DE141" s="19"/>
      <c r="DF141" s="19"/>
      <c r="DG141" s="19"/>
      <c r="DH141" s="19"/>
      <c r="DI141" s="19"/>
      <c r="DJ141" s="19"/>
      <c r="DK141" s="19"/>
      <c r="DL141" s="19"/>
      <c r="DM141" s="19"/>
      <c r="DN141" s="19"/>
      <c r="DO141" s="19"/>
      <c r="DP141" s="19"/>
      <c r="DQ141" s="19"/>
      <c r="DR141" s="19"/>
      <c r="DS141" s="19"/>
      <c r="DT141" s="19"/>
      <c r="DU141" s="19"/>
      <c r="DV141" s="19"/>
      <c r="DW141" s="19"/>
      <c r="DX141" s="19"/>
      <c r="DY141" s="19"/>
      <c r="DZ141" s="19"/>
      <c r="EA141" s="19"/>
      <c r="EB141" s="19"/>
      <c r="EC141" s="19"/>
      <c r="ED141" s="19"/>
      <c r="EE141" s="19"/>
      <c r="EF141" s="19"/>
      <c r="EG141" s="19"/>
      <c r="EH141" s="19"/>
      <c r="EI141" s="19"/>
      <c r="EJ141" s="19"/>
      <c r="EK141" s="19"/>
      <c r="EL141" s="19"/>
      <c r="EM141" s="19"/>
      <c r="EN141" s="19"/>
      <c r="EO141" s="19"/>
      <c r="EP141" s="19"/>
      <c r="EQ141" s="19"/>
      <c r="ER141" s="19"/>
      <c r="ES141" s="19"/>
      <c r="ET141" s="19"/>
      <c r="EU141" s="19"/>
      <c r="EV141" s="19"/>
      <c r="EW141" s="19"/>
      <c r="EX141" s="19"/>
      <c r="EY141" s="19"/>
      <c r="EZ141" s="19"/>
      <c r="FA141" s="19"/>
      <c r="FB141" s="19"/>
      <c r="FC141" s="19"/>
      <c r="FD141" s="19"/>
      <c r="FE141" s="19"/>
      <c r="FF141" s="19"/>
      <c r="FG141" s="19"/>
      <c r="FH141" s="19"/>
      <c r="FI141" s="19"/>
      <c r="FJ141" s="19"/>
      <c r="FK141" s="19"/>
      <c r="FL141" s="19">
        <v>0.36693754477980978</v>
      </c>
      <c r="FM141" s="19">
        <v>0.76834751103120535</v>
      </c>
      <c r="FN141" s="19">
        <v>0.96859681387203744</v>
      </c>
      <c r="FO141" s="19">
        <v>1.8101240541258719</v>
      </c>
      <c r="FP141" s="19">
        <v>3.136362832033015</v>
      </c>
      <c r="FQ141" s="19">
        <v>8.3851279123148686E-3</v>
      </c>
      <c r="FR141" s="19">
        <v>6.3846515382451393E-3</v>
      </c>
      <c r="FS141" s="19">
        <v>6.0717479302194212E-3</v>
      </c>
      <c r="FT141" s="19">
        <v>2.2703474543664486E-2</v>
      </c>
      <c r="FU141" s="19">
        <v>0.46278564194600702</v>
      </c>
      <c r="FV141" s="19">
        <v>1.2860934562039482E-2</v>
      </c>
      <c r="FW141" s="19">
        <v>4.1515680036347265E-2</v>
      </c>
      <c r="FX141" s="19">
        <v>5.7484597713855758E-2</v>
      </c>
      <c r="FY141" s="19">
        <v>0.21904487708044476</v>
      </c>
      <c r="FZ141" s="19">
        <v>5.6568866457922624</v>
      </c>
      <c r="GA141" s="19"/>
      <c r="GB141" s="19"/>
      <c r="GC141" s="19"/>
      <c r="GD141" s="19"/>
      <c r="GE141" s="19"/>
      <c r="GF141" s="19">
        <v>199.61889934386693</v>
      </c>
      <c r="GG141" s="19"/>
      <c r="GH141" s="19">
        <v>7.5868352739774858</v>
      </c>
      <c r="GI141" s="19">
        <v>271.04653967450167</v>
      </c>
      <c r="GJ141" s="17"/>
      <c r="GK141" s="17"/>
      <c r="GL141" s="17"/>
      <c r="GM141" s="17"/>
      <c r="GN141" s="17"/>
      <c r="GO141" s="17"/>
      <c r="GP141" s="17"/>
      <c r="GQ141" s="17"/>
      <c r="GR141" s="17"/>
      <c r="GS141" s="17"/>
      <c r="GT141" s="17"/>
      <c r="GU141" s="17"/>
      <c r="GV141" s="17"/>
      <c r="GW141" s="17"/>
      <c r="GX141" s="17"/>
      <c r="GY141" s="17"/>
    </row>
    <row r="142" spans="1:207" x14ac:dyDescent="0.25">
      <c r="A142" s="18" t="s">
        <v>134</v>
      </c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>
        <v>8.6919687623059794E-2</v>
      </c>
      <c r="AZ142" s="19"/>
      <c r="BA142" s="19"/>
      <c r="BB142" s="19"/>
      <c r="BC142" s="19"/>
      <c r="BD142" s="19"/>
      <c r="BE142" s="19"/>
      <c r="BF142" s="19">
        <v>3.5505322954754774E-2</v>
      </c>
      <c r="BG142" s="19"/>
      <c r="BH142" s="19"/>
      <c r="BI142" s="19"/>
      <c r="BJ142" s="19"/>
      <c r="BK142" s="19"/>
      <c r="BL142" s="19">
        <v>27.688468777396366</v>
      </c>
      <c r="BM142" s="19"/>
      <c r="BN142" s="19"/>
      <c r="BO142" s="19"/>
      <c r="BP142" s="19"/>
      <c r="BQ142" s="19"/>
      <c r="BR142" s="19"/>
      <c r="BS142" s="19">
        <v>7.7087018884639757</v>
      </c>
      <c r="BT142" s="19">
        <v>7.7629356696786198</v>
      </c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  <c r="CO142" s="19"/>
      <c r="CP142" s="19"/>
      <c r="CQ142" s="19"/>
      <c r="CR142" s="19"/>
      <c r="CS142" s="19"/>
      <c r="CT142" s="19"/>
      <c r="CU142" s="19"/>
      <c r="CV142" s="19"/>
      <c r="CW142" s="19"/>
      <c r="CX142" s="19"/>
      <c r="CY142" s="19"/>
      <c r="CZ142" s="19"/>
      <c r="DA142" s="19"/>
      <c r="DB142" s="19"/>
      <c r="DC142" s="19"/>
      <c r="DD142" s="19"/>
      <c r="DE142" s="19"/>
      <c r="DF142" s="19"/>
      <c r="DG142" s="19"/>
      <c r="DH142" s="19"/>
      <c r="DI142" s="19"/>
      <c r="DJ142" s="19"/>
      <c r="DK142" s="19"/>
      <c r="DL142" s="19"/>
      <c r="DM142" s="19"/>
      <c r="DN142" s="19"/>
      <c r="DO142" s="19"/>
      <c r="DP142" s="19"/>
      <c r="DQ142" s="19"/>
      <c r="DR142" s="19"/>
      <c r="DS142" s="19"/>
      <c r="DT142" s="19"/>
      <c r="DU142" s="19"/>
      <c r="DV142" s="19"/>
      <c r="DW142" s="19"/>
      <c r="DX142" s="19"/>
      <c r="DY142" s="19"/>
      <c r="DZ142" s="19"/>
      <c r="EA142" s="19"/>
      <c r="EB142" s="19"/>
      <c r="EC142" s="19"/>
      <c r="ED142" s="19"/>
      <c r="EE142" s="19"/>
      <c r="EF142" s="19"/>
      <c r="EG142" s="19"/>
      <c r="EH142" s="19"/>
      <c r="EI142" s="19"/>
      <c r="EJ142" s="19"/>
      <c r="EK142" s="19"/>
      <c r="EL142" s="19"/>
      <c r="EM142" s="19"/>
      <c r="EN142" s="19"/>
      <c r="EO142" s="19"/>
      <c r="EP142" s="19"/>
      <c r="EQ142" s="19"/>
      <c r="ER142" s="19"/>
      <c r="ES142" s="19"/>
      <c r="ET142" s="19"/>
      <c r="EU142" s="19"/>
      <c r="EV142" s="19"/>
      <c r="EW142" s="19"/>
      <c r="EX142" s="19"/>
      <c r="EY142" s="19"/>
      <c r="EZ142" s="19"/>
      <c r="FA142" s="19"/>
      <c r="FB142" s="19"/>
      <c r="FC142" s="19"/>
      <c r="FD142" s="19"/>
      <c r="FE142" s="19"/>
      <c r="FF142" s="19"/>
      <c r="FG142" s="19"/>
      <c r="FH142" s="19"/>
      <c r="FI142" s="19"/>
      <c r="FJ142" s="19"/>
      <c r="FK142" s="19"/>
      <c r="FL142" s="19">
        <v>0.20578046527356811</v>
      </c>
      <c r="FM142" s="19">
        <v>1.1586720790224954</v>
      </c>
      <c r="FN142" s="19">
        <v>2.771997354278922</v>
      </c>
      <c r="FO142" s="19">
        <v>6.630578966821969</v>
      </c>
      <c r="FP142" s="19">
        <v>17.515712911489722</v>
      </c>
      <c r="FQ142" s="19">
        <v>7.1010273805836872E-3</v>
      </c>
      <c r="FR142" s="19">
        <v>2.256846977310065E-2</v>
      </c>
      <c r="FS142" s="19">
        <v>9.1671916628451432E-3</v>
      </c>
      <c r="FT142" s="19">
        <v>5.1206504452436775E-2</v>
      </c>
      <c r="FU142" s="19">
        <v>2.4213924762702268</v>
      </c>
      <c r="FV142" s="19">
        <v>1.5815471348293627E-3</v>
      </c>
      <c r="FW142" s="19">
        <v>1.9812033967923758E-2</v>
      </c>
      <c r="FX142" s="19">
        <v>0.11685588799752325</v>
      </c>
      <c r="FY142" s="19">
        <v>0.61336818204638532</v>
      </c>
      <c r="FZ142" s="19">
        <v>42.307135020577505</v>
      </c>
      <c r="GA142" s="19"/>
      <c r="GB142" s="19"/>
      <c r="GC142" s="19"/>
      <c r="GD142" s="19"/>
      <c r="GE142" s="19"/>
      <c r="GF142" s="19">
        <v>67.895202332820318</v>
      </c>
      <c r="GG142" s="19"/>
      <c r="GH142" s="19">
        <v>7.6316552710340018</v>
      </c>
      <c r="GI142" s="19">
        <v>192.66231906812112</v>
      </c>
      <c r="GJ142" s="17"/>
      <c r="GK142" s="17"/>
      <c r="GL142" s="17"/>
      <c r="GM142" s="17"/>
      <c r="GN142" s="17"/>
      <c r="GO142" s="17"/>
      <c r="GP142" s="17"/>
      <c r="GQ142" s="17"/>
      <c r="GR142" s="17"/>
      <c r="GS142" s="17"/>
      <c r="GT142" s="17"/>
      <c r="GU142" s="17"/>
      <c r="GV142" s="17"/>
      <c r="GW142" s="17"/>
      <c r="GX142" s="17"/>
      <c r="GY142" s="17"/>
    </row>
    <row r="143" spans="1:207" x14ac:dyDescent="0.25">
      <c r="A143" s="18" t="s">
        <v>135</v>
      </c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>
        <v>0.65695304423614831</v>
      </c>
      <c r="AF143" s="19">
        <v>0.58895819497423985</v>
      </c>
      <c r="AG143" s="19">
        <v>0.25916312232701416</v>
      </c>
      <c r="AH143" s="19">
        <v>0.16258053105674597</v>
      </c>
      <c r="AI143" s="19">
        <v>7.2611263630631179E-4</v>
      </c>
      <c r="AJ143" s="19">
        <v>0.43092462553137717</v>
      </c>
      <c r="AK143" s="19">
        <v>0.13658349740496567</v>
      </c>
      <c r="AL143" s="19">
        <v>0.18627285271153507</v>
      </c>
      <c r="AM143" s="19">
        <v>8.4814159929453334E-2</v>
      </c>
      <c r="AN143" s="19">
        <v>2.1775799044210165E-2</v>
      </c>
      <c r="AO143" s="19">
        <v>1.002494184451686E-3</v>
      </c>
      <c r="AP143" s="19">
        <v>1.356544627825719E-2</v>
      </c>
      <c r="AQ143" s="19">
        <v>0.40212618936143518</v>
      </c>
      <c r="AR143" s="19">
        <v>5.5661853798409861E-4</v>
      </c>
      <c r="AS143" s="19">
        <v>0.78668421850321546</v>
      </c>
      <c r="AT143" s="19">
        <v>0.51277638198690711</v>
      </c>
      <c r="AU143" s="19">
        <v>3.4968130777618102E-2</v>
      </c>
      <c r="AV143" s="19">
        <v>2.2945172222801813</v>
      </c>
      <c r="AW143" s="19">
        <v>8.3097443994841313E-2</v>
      </c>
      <c r="AX143" s="19">
        <v>1.4527491532515937</v>
      </c>
      <c r="AY143" s="19">
        <v>1.3566903461659618</v>
      </c>
      <c r="AZ143" s="19"/>
      <c r="BA143" s="19"/>
      <c r="BB143" s="19">
        <v>4.1698360052739361</v>
      </c>
      <c r="BC143" s="19">
        <v>23.634681083016847</v>
      </c>
      <c r="BD143" s="19">
        <v>2.3814036160250997E-3</v>
      </c>
      <c r="BE143" s="19">
        <v>0.10276760683783316</v>
      </c>
      <c r="BF143" s="19">
        <v>1.7629693043718227E-3</v>
      </c>
      <c r="BG143" s="19">
        <v>80.871414428154523</v>
      </c>
      <c r="BH143" s="19">
        <v>21.489994813541927</v>
      </c>
      <c r="BI143" s="19"/>
      <c r="BJ143" s="19">
        <v>0.25354596448808714</v>
      </c>
      <c r="BK143" s="19">
        <v>12.976526692127829</v>
      </c>
      <c r="BL143" s="19">
        <v>6.4041762694151165</v>
      </c>
      <c r="BM143" s="19"/>
      <c r="BN143" s="19"/>
      <c r="BO143" s="19">
        <v>16.121184131472464</v>
      </c>
      <c r="BP143" s="19"/>
      <c r="BQ143" s="19"/>
      <c r="BR143" s="19">
        <v>18.550901256170647</v>
      </c>
      <c r="BS143" s="19">
        <v>0.23961062399932728</v>
      </c>
      <c r="BT143" s="19">
        <v>7.3027657484307573</v>
      </c>
      <c r="BU143" s="19">
        <v>8.0991489026188237</v>
      </c>
      <c r="BV143" s="19">
        <v>9.6436655323932339</v>
      </c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  <c r="CV143" s="19"/>
      <c r="CW143" s="19"/>
      <c r="CX143" s="19"/>
      <c r="CY143" s="19"/>
      <c r="CZ143" s="19"/>
      <c r="DA143" s="19"/>
      <c r="DB143" s="19"/>
      <c r="DC143" s="19"/>
      <c r="DD143" s="19"/>
      <c r="DE143" s="19"/>
      <c r="DF143" s="19"/>
      <c r="DG143" s="19"/>
      <c r="DH143" s="19"/>
      <c r="DI143" s="19"/>
      <c r="DJ143" s="19"/>
      <c r="DK143" s="19"/>
      <c r="DL143" s="19"/>
      <c r="DM143" s="19"/>
      <c r="DN143" s="19"/>
      <c r="DO143" s="19"/>
      <c r="DP143" s="19"/>
      <c r="DQ143" s="19"/>
      <c r="DR143" s="19"/>
      <c r="DS143" s="19"/>
      <c r="DT143" s="19"/>
      <c r="DU143" s="19"/>
      <c r="DV143" s="19"/>
      <c r="DW143" s="19"/>
      <c r="DX143" s="19"/>
      <c r="DY143" s="19"/>
      <c r="DZ143" s="19"/>
      <c r="EA143" s="19"/>
      <c r="EB143" s="19"/>
      <c r="EC143" s="19"/>
      <c r="ED143" s="19"/>
      <c r="EE143" s="19"/>
      <c r="EF143" s="19"/>
      <c r="EG143" s="19"/>
      <c r="EH143" s="19"/>
      <c r="EI143" s="19"/>
      <c r="EJ143" s="19"/>
      <c r="EK143" s="19"/>
      <c r="EL143" s="19"/>
      <c r="EM143" s="19"/>
      <c r="EN143" s="19"/>
      <c r="EO143" s="19"/>
      <c r="EP143" s="19"/>
      <c r="EQ143" s="19"/>
      <c r="ER143" s="19"/>
      <c r="ES143" s="19"/>
      <c r="ET143" s="19"/>
      <c r="EU143" s="19"/>
      <c r="EV143" s="19"/>
      <c r="EW143" s="19"/>
      <c r="EX143" s="19"/>
      <c r="EY143" s="19"/>
      <c r="EZ143" s="19"/>
      <c r="FA143" s="19"/>
      <c r="FB143" s="19"/>
      <c r="FC143" s="19"/>
      <c r="FD143" s="19"/>
      <c r="FE143" s="19"/>
      <c r="FF143" s="19"/>
      <c r="FG143" s="19"/>
      <c r="FH143" s="19"/>
      <c r="FI143" s="19"/>
      <c r="FJ143" s="19"/>
      <c r="FK143" s="19"/>
      <c r="FL143" s="19">
        <v>0.9533016432411674</v>
      </c>
      <c r="FM143" s="19">
        <v>1.8662804861890685</v>
      </c>
      <c r="FN143" s="19">
        <v>3.155548658994205</v>
      </c>
      <c r="FO143" s="19">
        <v>4.9859518584322604</v>
      </c>
      <c r="FP143" s="19">
        <v>6.6392912277142777</v>
      </c>
      <c r="FQ143" s="19">
        <v>1.3679951806312695E-2</v>
      </c>
      <c r="FR143" s="19">
        <v>1.9970370777387114E-2</v>
      </c>
      <c r="FS143" s="19">
        <v>5.671235017073057E-2</v>
      </c>
      <c r="FT143" s="19">
        <v>6.9566458689860194E-2</v>
      </c>
      <c r="FU143" s="19">
        <v>0.89256063783881756</v>
      </c>
      <c r="FV143" s="19">
        <v>4.5250289954780247E-2</v>
      </c>
      <c r="FW143" s="19">
        <v>0.13415986116805639</v>
      </c>
      <c r="FX143" s="19">
        <v>0.22279891449248748</v>
      </c>
      <c r="FY143" s="19">
        <v>0.70355888818585544</v>
      </c>
      <c r="FZ143" s="19">
        <v>14.25890915721415</v>
      </c>
      <c r="GA143" s="19"/>
      <c r="GB143" s="19"/>
      <c r="GC143" s="19"/>
      <c r="GD143" s="19"/>
      <c r="GE143" s="19"/>
      <c r="GF143" s="19"/>
      <c r="GG143" s="19"/>
      <c r="GH143" s="19">
        <v>2.749375120106456</v>
      </c>
      <c r="GI143" s="19">
        <v>256.09876489101208</v>
      </c>
      <c r="GJ143" s="17"/>
      <c r="GK143" s="17"/>
      <c r="GL143" s="17"/>
      <c r="GM143" s="17"/>
      <c r="GN143" s="17"/>
      <c r="GO143" s="17"/>
      <c r="GP143" s="17"/>
      <c r="GQ143" s="17"/>
      <c r="GR143" s="17"/>
      <c r="GS143" s="17"/>
      <c r="GT143" s="17"/>
      <c r="GU143" s="17"/>
      <c r="GV143" s="17"/>
      <c r="GW143" s="17"/>
      <c r="GX143" s="17"/>
      <c r="GY143" s="17"/>
    </row>
    <row r="144" spans="1:207" x14ac:dyDescent="0.25">
      <c r="A144" s="18" t="s">
        <v>136</v>
      </c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>
        <v>0.66501246542839398</v>
      </c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>
        <v>13.836532476112236</v>
      </c>
      <c r="AF144" s="19">
        <v>1.026225421113814</v>
      </c>
      <c r="AG144" s="19">
        <v>0.44503664161606871</v>
      </c>
      <c r="AH144" s="19">
        <v>0.28019012389424536</v>
      </c>
      <c r="AI144" s="19">
        <v>8.5493438987536436E-3</v>
      </c>
      <c r="AJ144" s="19">
        <v>0.82528533683079941</v>
      </c>
      <c r="AK144" s="19">
        <v>0.26078066916585529</v>
      </c>
      <c r="AL144" s="19">
        <v>0.35585116594470217</v>
      </c>
      <c r="AM144" s="19">
        <v>0.16183150661519335</v>
      </c>
      <c r="AN144" s="19">
        <v>0.96580741332877695</v>
      </c>
      <c r="AO144" s="19">
        <v>3.3278857420515308E-4</v>
      </c>
      <c r="AP144" s="19">
        <v>4.5067766892873647E-3</v>
      </c>
      <c r="AQ144" s="19">
        <v>0.13375739408771609</v>
      </c>
      <c r="AR144" s="19">
        <v>1.85387670067609E-4</v>
      </c>
      <c r="AS144" s="19">
        <v>1.5785650387981129</v>
      </c>
      <c r="AT144" s="19">
        <v>0.75985110544800238</v>
      </c>
      <c r="AU144" s="19">
        <v>6.9585459705657837E-5</v>
      </c>
      <c r="AV144" s="19">
        <v>0.45923776525392124</v>
      </c>
      <c r="AW144" s="19">
        <v>1.8106709128964265E-2</v>
      </c>
      <c r="AX144" s="19">
        <v>2.0013630618455154</v>
      </c>
      <c r="AY144" s="19">
        <v>0.49222447799885743</v>
      </c>
      <c r="AZ144" s="19">
        <v>0.12650032275404904</v>
      </c>
      <c r="BA144" s="19">
        <v>1.5447903982038509</v>
      </c>
      <c r="BB144" s="19">
        <v>0.95803765233908644</v>
      </c>
      <c r="BC144" s="19">
        <v>6.1340147084100387</v>
      </c>
      <c r="BD144" s="19">
        <v>1.164667655322638E-3</v>
      </c>
      <c r="BE144" s="19">
        <v>0.10233334112865206</v>
      </c>
      <c r="BF144" s="19">
        <v>2.0215529136730939E-2</v>
      </c>
      <c r="BG144" s="19">
        <v>0.50677889395755926</v>
      </c>
      <c r="BH144" s="19">
        <v>52.032006384103916</v>
      </c>
      <c r="BI144" s="19">
        <v>1.8305557862051902</v>
      </c>
      <c r="BJ144" s="19">
        <v>81.784862919478186</v>
      </c>
      <c r="BK144" s="19">
        <v>5.4824117870123112</v>
      </c>
      <c r="BL144" s="19">
        <v>2.5044451810595607</v>
      </c>
      <c r="BM144" s="19">
        <v>0.64000957485671151</v>
      </c>
      <c r="BN144" s="19">
        <v>0.7111158930905308</v>
      </c>
      <c r="BO144" s="19">
        <v>5.038630290504523</v>
      </c>
      <c r="BP144" s="19">
        <v>5.607042863407889</v>
      </c>
      <c r="BQ144" s="19"/>
      <c r="BR144" s="19"/>
      <c r="BS144" s="19">
        <v>27.095258575009691</v>
      </c>
      <c r="BT144" s="19">
        <v>3.6857850955675429</v>
      </c>
      <c r="BU144" s="19">
        <v>4.3330989277821699</v>
      </c>
      <c r="BV144" s="19">
        <v>7.6654681716198079</v>
      </c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  <c r="CO144" s="19"/>
      <c r="CP144" s="19"/>
      <c r="CQ144" s="19"/>
      <c r="CR144" s="19"/>
      <c r="CS144" s="19"/>
      <c r="CT144" s="19"/>
      <c r="CU144" s="19"/>
      <c r="CV144" s="19"/>
      <c r="CW144" s="19"/>
      <c r="CX144" s="19"/>
      <c r="CY144" s="19"/>
      <c r="CZ144" s="19"/>
      <c r="DA144" s="19"/>
      <c r="DB144" s="19"/>
      <c r="DC144" s="19"/>
      <c r="DD144" s="19"/>
      <c r="DE144" s="19"/>
      <c r="DF144" s="19"/>
      <c r="DG144" s="19"/>
      <c r="DH144" s="19"/>
      <c r="DI144" s="19"/>
      <c r="DJ144" s="19"/>
      <c r="DK144" s="19"/>
      <c r="DL144" s="19"/>
      <c r="DM144" s="19"/>
      <c r="DN144" s="19"/>
      <c r="DO144" s="19"/>
      <c r="DP144" s="19"/>
      <c r="DQ144" s="19"/>
      <c r="DR144" s="19"/>
      <c r="DS144" s="19"/>
      <c r="DT144" s="19"/>
      <c r="DU144" s="19"/>
      <c r="DV144" s="19"/>
      <c r="DW144" s="19"/>
      <c r="DX144" s="19"/>
      <c r="DY144" s="19"/>
      <c r="DZ144" s="19"/>
      <c r="EA144" s="19"/>
      <c r="EB144" s="19"/>
      <c r="EC144" s="19"/>
      <c r="ED144" s="19"/>
      <c r="EE144" s="19"/>
      <c r="EF144" s="19"/>
      <c r="EG144" s="19"/>
      <c r="EH144" s="19"/>
      <c r="EI144" s="19"/>
      <c r="EJ144" s="19"/>
      <c r="EK144" s="19"/>
      <c r="EL144" s="19"/>
      <c r="EM144" s="19"/>
      <c r="EN144" s="19"/>
      <c r="EO144" s="19"/>
      <c r="EP144" s="19"/>
      <c r="EQ144" s="19"/>
      <c r="ER144" s="19"/>
      <c r="ES144" s="19"/>
      <c r="ET144" s="19"/>
      <c r="EU144" s="19"/>
      <c r="EV144" s="19"/>
      <c r="EW144" s="19"/>
      <c r="EX144" s="19"/>
      <c r="EY144" s="19"/>
      <c r="EZ144" s="19"/>
      <c r="FA144" s="19"/>
      <c r="FB144" s="19"/>
      <c r="FC144" s="19"/>
      <c r="FD144" s="19"/>
      <c r="FE144" s="19"/>
      <c r="FF144" s="19"/>
      <c r="FG144" s="19"/>
      <c r="FH144" s="19"/>
      <c r="FI144" s="19"/>
      <c r="FJ144" s="19"/>
      <c r="FK144" s="19"/>
      <c r="FL144" s="19">
        <v>0.16929020146797732</v>
      </c>
      <c r="FM144" s="19">
        <v>0.36623895363001013</v>
      </c>
      <c r="FN144" s="19">
        <v>0.77928378495899386</v>
      </c>
      <c r="FO144" s="19">
        <v>1.9915664206623187</v>
      </c>
      <c r="FP144" s="19">
        <v>4.2106106473734508</v>
      </c>
      <c r="FQ144" s="19">
        <v>1.5793276778407223E-2</v>
      </c>
      <c r="FR144" s="19">
        <v>1.3733779149628421E-2</v>
      </c>
      <c r="FS144" s="19">
        <v>1.0148065244568634E-2</v>
      </c>
      <c r="FT144" s="19">
        <v>5.1062317487834755E-2</v>
      </c>
      <c r="FU144" s="19">
        <v>0.86830110057788368</v>
      </c>
      <c r="FV144" s="19">
        <v>3.4916427926454448E-2</v>
      </c>
      <c r="FW144" s="19">
        <v>0.2076271781834102</v>
      </c>
      <c r="FX144" s="19">
        <v>0.3843923515490934</v>
      </c>
      <c r="FY144" s="19">
        <v>1.3178655690145138</v>
      </c>
      <c r="FZ144" s="19">
        <v>22.047198455370836</v>
      </c>
      <c r="GA144" s="19"/>
      <c r="GB144" s="19"/>
      <c r="GC144" s="19"/>
      <c r="GD144" s="19"/>
      <c r="GE144" s="19"/>
      <c r="GF144" s="19"/>
      <c r="GG144" s="19"/>
      <c r="GH144" s="19">
        <v>6.6787532193154373E-3</v>
      </c>
      <c r="GI144" s="19">
        <v>264.55853690078123</v>
      </c>
      <c r="GJ144" s="17"/>
      <c r="GK144" s="17"/>
      <c r="GL144" s="17"/>
      <c r="GM144" s="17"/>
      <c r="GN144" s="17"/>
      <c r="GO144" s="17"/>
      <c r="GP144" s="17"/>
      <c r="GQ144" s="17"/>
      <c r="GR144" s="17"/>
      <c r="GS144" s="17"/>
      <c r="GT144" s="17"/>
      <c r="GU144" s="17"/>
      <c r="GV144" s="17"/>
      <c r="GW144" s="17"/>
      <c r="GX144" s="17"/>
      <c r="GY144" s="17"/>
    </row>
    <row r="145" spans="1:207" x14ac:dyDescent="0.25">
      <c r="A145" s="18" t="s">
        <v>137</v>
      </c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>
        <v>1.1107423691802808E-2</v>
      </c>
      <c r="AJ145" s="19"/>
      <c r="AK145" s="19"/>
      <c r="AL145" s="19"/>
      <c r="AM145" s="19"/>
      <c r="AN145" s="19">
        <v>9.2131625833911208E-4</v>
      </c>
      <c r="AO145" s="19"/>
      <c r="AP145" s="19"/>
      <c r="AQ145" s="19"/>
      <c r="AR145" s="19"/>
      <c r="AS145" s="19"/>
      <c r="AT145" s="19">
        <v>8.4662533468661719E-2</v>
      </c>
      <c r="AU145" s="19">
        <v>6.1048864179701534E-6</v>
      </c>
      <c r="AV145" s="19">
        <v>8.1834658824390852E-2</v>
      </c>
      <c r="AW145" s="19">
        <v>7.4780516378481041E-4</v>
      </c>
      <c r="AX145" s="19"/>
      <c r="AY145" s="19">
        <v>2.241287111161629E-2</v>
      </c>
      <c r="AZ145" s="19"/>
      <c r="BA145" s="19"/>
      <c r="BB145" s="19"/>
      <c r="BC145" s="19">
        <v>0.20113505619515057</v>
      </c>
      <c r="BD145" s="19">
        <v>7.1802123895782337E-4</v>
      </c>
      <c r="BE145" s="19">
        <v>1.9101022730728577E-2</v>
      </c>
      <c r="BF145" s="19">
        <v>7.2628756724394056E-4</v>
      </c>
      <c r="BG145" s="19"/>
      <c r="BH145" s="19"/>
      <c r="BI145" s="19">
        <v>0.53913685326997995</v>
      </c>
      <c r="BJ145" s="19"/>
      <c r="BK145" s="19"/>
      <c r="BL145" s="19"/>
      <c r="BM145" s="19">
        <v>0.63090890841872949</v>
      </c>
      <c r="BN145" s="19">
        <v>0.70085373955256391</v>
      </c>
      <c r="BO145" s="19">
        <v>4.9053250108205342</v>
      </c>
      <c r="BP145" s="19">
        <v>5.4589033853649758</v>
      </c>
      <c r="BQ145" s="19"/>
      <c r="BR145" s="19"/>
      <c r="BS145" s="19">
        <v>3.8677249485803191</v>
      </c>
      <c r="BT145" s="19">
        <v>1.8187431920912016</v>
      </c>
      <c r="BU145" s="19">
        <v>2.1053432866933406</v>
      </c>
      <c r="BV145" s="19">
        <v>3.6669730492227215</v>
      </c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  <c r="CO145" s="19"/>
      <c r="CP145" s="19"/>
      <c r="CQ145" s="19"/>
      <c r="CR145" s="19"/>
      <c r="CS145" s="19"/>
      <c r="CT145" s="19"/>
      <c r="CU145" s="19"/>
      <c r="CV145" s="19"/>
      <c r="CW145" s="19"/>
      <c r="CX145" s="19"/>
      <c r="CY145" s="19"/>
      <c r="CZ145" s="19"/>
      <c r="DA145" s="19"/>
      <c r="DB145" s="19"/>
      <c r="DC145" s="19"/>
      <c r="DD145" s="19"/>
      <c r="DE145" s="19"/>
      <c r="DF145" s="19"/>
      <c r="DG145" s="19"/>
      <c r="DH145" s="19"/>
      <c r="DI145" s="19"/>
      <c r="DJ145" s="19"/>
      <c r="DK145" s="19"/>
      <c r="DL145" s="19"/>
      <c r="DM145" s="19"/>
      <c r="DN145" s="19"/>
      <c r="DO145" s="19"/>
      <c r="DP145" s="19"/>
      <c r="DQ145" s="19"/>
      <c r="DR145" s="19"/>
      <c r="DS145" s="19"/>
      <c r="DT145" s="19"/>
      <c r="DU145" s="19"/>
      <c r="DV145" s="19"/>
      <c r="DW145" s="19"/>
      <c r="DX145" s="19"/>
      <c r="DY145" s="19"/>
      <c r="DZ145" s="19"/>
      <c r="EA145" s="19"/>
      <c r="EB145" s="19"/>
      <c r="EC145" s="19"/>
      <c r="ED145" s="19"/>
      <c r="EE145" s="19"/>
      <c r="EF145" s="19"/>
      <c r="EG145" s="19"/>
      <c r="EH145" s="19"/>
      <c r="EI145" s="19"/>
      <c r="EJ145" s="19"/>
      <c r="EK145" s="19"/>
      <c r="EL145" s="19"/>
      <c r="EM145" s="19"/>
      <c r="EN145" s="19"/>
      <c r="EO145" s="19"/>
      <c r="EP145" s="19"/>
      <c r="EQ145" s="19"/>
      <c r="ER145" s="19"/>
      <c r="ES145" s="19"/>
      <c r="ET145" s="19"/>
      <c r="EU145" s="19"/>
      <c r="EV145" s="19"/>
      <c r="EW145" s="19"/>
      <c r="EX145" s="19"/>
      <c r="EY145" s="19"/>
      <c r="EZ145" s="19"/>
      <c r="FA145" s="19"/>
      <c r="FB145" s="19"/>
      <c r="FC145" s="19"/>
      <c r="FD145" s="19"/>
      <c r="FE145" s="19"/>
      <c r="FF145" s="19"/>
      <c r="FG145" s="19"/>
      <c r="FH145" s="19"/>
      <c r="FI145" s="19"/>
      <c r="FJ145" s="19"/>
      <c r="FK145" s="19"/>
      <c r="FL145" s="19">
        <v>0.88161277923438242</v>
      </c>
      <c r="FM145" s="19">
        <v>1.4901163976459446</v>
      </c>
      <c r="FN145" s="19">
        <v>2.597711953456606</v>
      </c>
      <c r="FO145" s="19">
        <v>4.535159466151681</v>
      </c>
      <c r="FP145" s="19">
        <v>6.5917416016476764</v>
      </c>
      <c r="FQ145" s="19">
        <v>2.4905272347084232E-2</v>
      </c>
      <c r="FR145" s="19">
        <v>6.3613278805720347E-2</v>
      </c>
      <c r="FS145" s="19">
        <v>8.828461665352523E-2</v>
      </c>
      <c r="FT145" s="19">
        <v>0.12481103216486869</v>
      </c>
      <c r="FU145" s="19">
        <v>0.92563336620081904</v>
      </c>
      <c r="FV145" s="19">
        <v>0.15848817462772988</v>
      </c>
      <c r="FW145" s="19">
        <v>0.43814856155166104</v>
      </c>
      <c r="FX145" s="19">
        <v>0.76045793299361919</v>
      </c>
      <c r="FY145" s="19">
        <v>1.760651286786626</v>
      </c>
      <c r="FZ145" s="19">
        <v>17.761160028514158</v>
      </c>
      <c r="GA145" s="19"/>
      <c r="GB145" s="19"/>
      <c r="GC145" s="19"/>
      <c r="GD145" s="19"/>
      <c r="GE145" s="19"/>
      <c r="GF145" s="19"/>
      <c r="GG145" s="19"/>
      <c r="GH145" s="19"/>
      <c r="GI145" s="19">
        <v>62.31978122393356</v>
      </c>
      <c r="GJ145" s="17"/>
      <c r="GK145" s="17"/>
      <c r="GL145" s="17"/>
      <c r="GM145" s="17"/>
      <c r="GN145" s="17"/>
      <c r="GO145" s="17"/>
      <c r="GP145" s="17"/>
      <c r="GQ145" s="17"/>
      <c r="GR145" s="17"/>
      <c r="GS145" s="17"/>
      <c r="GT145" s="17"/>
      <c r="GU145" s="17"/>
      <c r="GV145" s="17"/>
      <c r="GW145" s="17"/>
      <c r="GX145" s="17"/>
      <c r="GY145" s="17"/>
    </row>
    <row r="146" spans="1:207" x14ac:dyDescent="0.25">
      <c r="A146" s="18" t="s">
        <v>138</v>
      </c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>
        <v>13.433366749361671</v>
      </c>
      <c r="AF146" s="19">
        <v>1.4122296434410531</v>
      </c>
      <c r="AG146" s="19">
        <v>0.60942536286823057</v>
      </c>
      <c r="AH146" s="19">
        <v>0.3855423692506994</v>
      </c>
      <c r="AI146" s="19">
        <v>2.4055584822537592E-2</v>
      </c>
      <c r="AJ146" s="19">
        <v>1.6715608066144316</v>
      </c>
      <c r="AK146" s="19">
        <v>0.52921064043722699</v>
      </c>
      <c r="AL146" s="19">
        <v>0.72197153472554065</v>
      </c>
      <c r="AM146" s="19">
        <v>0.3284394631921202</v>
      </c>
      <c r="AN146" s="19">
        <v>0.29709442437353539</v>
      </c>
      <c r="AO146" s="19">
        <v>7.262203215764023E-4</v>
      </c>
      <c r="AP146" s="19">
        <v>9.8307624693004247E-3</v>
      </c>
      <c r="AQ146" s="19">
        <v>0.2917630506924786</v>
      </c>
      <c r="AR146" s="19">
        <v>4.0371228736687967E-4</v>
      </c>
      <c r="AS146" s="19">
        <v>0.36229062331064943</v>
      </c>
      <c r="AT146" s="19">
        <v>6.7721913172791776E-2</v>
      </c>
      <c r="AU146" s="19"/>
      <c r="AV146" s="19"/>
      <c r="AW146" s="19"/>
      <c r="AX146" s="19">
        <v>4.4211778100902857</v>
      </c>
      <c r="AY146" s="19">
        <v>0.96052798798409478</v>
      </c>
      <c r="AZ146" s="19">
        <v>0.37330105581030637</v>
      </c>
      <c r="BA146" s="19">
        <v>4.5391458464521586</v>
      </c>
      <c r="BB146" s="19">
        <v>1.2591962138541011</v>
      </c>
      <c r="BC146" s="19">
        <v>1.5697010785378678</v>
      </c>
      <c r="BD146" s="19">
        <v>2.8015707130968621E-3</v>
      </c>
      <c r="BE146" s="19">
        <v>0.11676949069449676</v>
      </c>
      <c r="BF146" s="19">
        <v>2.8269172752000825E-2</v>
      </c>
      <c r="BG146" s="19">
        <v>2.6955213453444986</v>
      </c>
      <c r="BH146" s="19">
        <v>16.759065839536486</v>
      </c>
      <c r="BI146" s="19">
        <v>0.36816236332820612</v>
      </c>
      <c r="BJ146" s="19">
        <v>104.28335762278611</v>
      </c>
      <c r="BK146" s="19">
        <v>9.5930569951703859</v>
      </c>
      <c r="BL146" s="19">
        <v>6.9301870077867305</v>
      </c>
      <c r="BM146" s="19">
        <v>0.42455027004789586</v>
      </c>
      <c r="BN146" s="19">
        <v>0.47161156437932739</v>
      </c>
      <c r="BO146" s="19">
        <v>6.3139862250718695</v>
      </c>
      <c r="BP146" s="19"/>
      <c r="BQ146" s="19">
        <v>90.05895331819066</v>
      </c>
      <c r="BR146" s="19"/>
      <c r="BS146" s="19">
        <v>6.5593429444433227</v>
      </c>
      <c r="BT146" s="19">
        <v>3.7505979530149363</v>
      </c>
      <c r="BU146" s="19">
        <v>6.3949882583874569</v>
      </c>
      <c r="BV146" s="19">
        <v>10.467901074211563</v>
      </c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  <c r="CX146" s="19"/>
      <c r="CY146" s="19"/>
      <c r="CZ146" s="19"/>
      <c r="DA146" s="19"/>
      <c r="DB146" s="19"/>
      <c r="DC146" s="19"/>
      <c r="DD146" s="19"/>
      <c r="DE146" s="19"/>
      <c r="DF146" s="19"/>
      <c r="DG146" s="19"/>
      <c r="DH146" s="19"/>
      <c r="DI146" s="19"/>
      <c r="DJ146" s="19"/>
      <c r="DK146" s="19"/>
      <c r="DL146" s="19"/>
      <c r="DM146" s="19"/>
      <c r="DN146" s="19"/>
      <c r="DO146" s="19"/>
      <c r="DP146" s="19"/>
      <c r="DQ146" s="19"/>
      <c r="DR146" s="19"/>
      <c r="DS146" s="19"/>
      <c r="DT146" s="19"/>
      <c r="DU146" s="19"/>
      <c r="DV146" s="19"/>
      <c r="DW146" s="19"/>
      <c r="DX146" s="19"/>
      <c r="DY146" s="19"/>
      <c r="DZ146" s="19"/>
      <c r="EA146" s="19"/>
      <c r="EB146" s="19"/>
      <c r="EC146" s="19"/>
      <c r="ED146" s="19"/>
      <c r="EE146" s="19"/>
      <c r="EF146" s="19"/>
      <c r="EG146" s="19"/>
      <c r="EH146" s="19"/>
      <c r="EI146" s="19"/>
      <c r="EJ146" s="19"/>
      <c r="EK146" s="19"/>
      <c r="EL146" s="19"/>
      <c r="EM146" s="19"/>
      <c r="EN146" s="19"/>
      <c r="EO146" s="19"/>
      <c r="EP146" s="19"/>
      <c r="EQ146" s="19"/>
      <c r="ER146" s="19"/>
      <c r="ES146" s="19"/>
      <c r="ET146" s="19"/>
      <c r="EU146" s="19"/>
      <c r="EV146" s="19"/>
      <c r="EW146" s="19"/>
      <c r="EX146" s="19"/>
      <c r="EY146" s="19"/>
      <c r="EZ146" s="19"/>
      <c r="FA146" s="19"/>
      <c r="FB146" s="19"/>
      <c r="FC146" s="19"/>
      <c r="FD146" s="19"/>
      <c r="FE146" s="19"/>
      <c r="FF146" s="19"/>
      <c r="FG146" s="19"/>
      <c r="FH146" s="19"/>
      <c r="FI146" s="19"/>
      <c r="FJ146" s="19"/>
      <c r="FK146" s="19"/>
      <c r="FL146" s="19"/>
      <c r="FM146" s="19"/>
      <c r="FN146" s="19"/>
      <c r="FO146" s="19"/>
      <c r="FP146" s="19"/>
      <c r="FQ146" s="19"/>
      <c r="FR146" s="19"/>
      <c r="FS146" s="19"/>
      <c r="FT146" s="19"/>
      <c r="FU146" s="19"/>
      <c r="FV146" s="19"/>
      <c r="FW146" s="19"/>
      <c r="FX146" s="19"/>
      <c r="FY146" s="19"/>
      <c r="FZ146" s="19"/>
      <c r="GA146" s="19"/>
      <c r="GB146" s="19"/>
      <c r="GC146" s="19"/>
      <c r="GD146" s="19"/>
      <c r="GE146" s="19"/>
      <c r="GF146" s="19">
        <v>1212.6282136236905</v>
      </c>
      <c r="GG146" s="19"/>
      <c r="GH146" s="19">
        <v>25.622505590026435</v>
      </c>
      <c r="GI146" s="19">
        <v>1536.738525083646</v>
      </c>
      <c r="GJ146" s="17"/>
      <c r="GK146" s="17"/>
      <c r="GL146" s="17"/>
      <c r="GM146" s="17"/>
      <c r="GN146" s="17"/>
      <c r="GO146" s="17"/>
      <c r="GP146" s="17"/>
      <c r="GQ146" s="17"/>
      <c r="GR146" s="17"/>
      <c r="GS146" s="17"/>
      <c r="GT146" s="17"/>
      <c r="GU146" s="17"/>
      <c r="GV146" s="17"/>
      <c r="GW146" s="17"/>
      <c r="GX146" s="17"/>
      <c r="GY146" s="17"/>
    </row>
    <row r="147" spans="1:207" x14ac:dyDescent="0.25">
      <c r="A147" s="18" t="s">
        <v>139</v>
      </c>
      <c r="B147" s="19">
        <v>1.2733657400428682E-2</v>
      </c>
      <c r="C147" s="19">
        <v>1.7482377040080857E-3</v>
      </c>
      <c r="D147" s="19">
        <v>6.5160069111453393E-3</v>
      </c>
      <c r="E147" s="19">
        <v>1.3889148279603398E-3</v>
      </c>
      <c r="F147" s="19">
        <v>0.13272177836442603</v>
      </c>
      <c r="G147" s="19">
        <v>2.8290010899979793E-2</v>
      </c>
      <c r="H147" s="19">
        <v>1.989651323929093E-3</v>
      </c>
      <c r="I147" s="19">
        <v>0.69174803577557864</v>
      </c>
      <c r="J147" s="19">
        <v>4.2471430205485239E-3</v>
      </c>
      <c r="K147" s="19">
        <v>2.2927944515857702E-2</v>
      </c>
      <c r="L147" s="19">
        <v>1.4325103098575111E-3</v>
      </c>
      <c r="M147" s="19">
        <v>4.9476189987681957E-3</v>
      </c>
      <c r="N147" s="19">
        <v>1.3308325042703881E-3</v>
      </c>
      <c r="O147" s="19">
        <v>1.4740258786341092E-3</v>
      </c>
      <c r="P147" s="19">
        <v>8.240405145995862E-4</v>
      </c>
      <c r="Q147" s="19">
        <v>1.9916809457662728E-2</v>
      </c>
      <c r="R147" s="19">
        <v>4.2489519545897414E-3</v>
      </c>
      <c r="S147" s="19">
        <v>5.6003968231373054E-2</v>
      </c>
      <c r="T147" s="19">
        <v>0.16897551192416857</v>
      </c>
      <c r="U147" s="19">
        <v>5.0408746249557719E-3</v>
      </c>
      <c r="V147" s="19">
        <v>2.9742406293640073E-2</v>
      </c>
      <c r="W147" s="19">
        <v>5.4605316517512693E-2</v>
      </c>
      <c r="X147" s="19">
        <v>8.1223099253586537E-3</v>
      </c>
      <c r="Y147" s="19">
        <v>2.5904063840206594E-3</v>
      </c>
      <c r="Z147" s="19">
        <v>7.8900005936490044E-3</v>
      </c>
      <c r="AA147" s="19">
        <v>3.9173963634316199E-3</v>
      </c>
      <c r="AB147" s="19">
        <v>7.7712707505591921E-2</v>
      </c>
      <c r="AC147" s="19">
        <v>1.8992992882667899E-3</v>
      </c>
      <c r="AD147" s="19">
        <v>1.1497088536519626E-2</v>
      </c>
      <c r="AE147" s="19">
        <v>0.2866645345719786</v>
      </c>
      <c r="AF147" s="19">
        <v>0.86634289824932875</v>
      </c>
      <c r="AG147" s="19">
        <v>0.41261983428387461</v>
      </c>
      <c r="AH147" s="19">
        <v>0.25972624541778611</v>
      </c>
      <c r="AI147" s="19">
        <v>1.62013035076609E-2</v>
      </c>
      <c r="AJ147" s="19">
        <v>4.6562179993795629</v>
      </c>
      <c r="AK147" s="19">
        <v>1.4744328470719845</v>
      </c>
      <c r="AL147" s="19">
        <v>2.0120542193925308</v>
      </c>
      <c r="AM147" s="19">
        <v>0.91430396201159758</v>
      </c>
      <c r="AN147" s="19">
        <v>0.20019103836364216</v>
      </c>
      <c r="AO147" s="19">
        <v>4.8704571723527101E-3</v>
      </c>
      <c r="AP147" s="19">
        <v>8.7298232876630022E-2</v>
      </c>
      <c r="AQ147" s="19">
        <v>5.1896102656040703</v>
      </c>
      <c r="AR147" s="19">
        <v>6.6006403146915121E-3</v>
      </c>
      <c r="AS147" s="19">
        <v>1.0050676790629656</v>
      </c>
      <c r="AT147" s="19">
        <v>0.18777862771325324</v>
      </c>
      <c r="AU147" s="19"/>
      <c r="AV147" s="19">
        <v>0.56756870423790007</v>
      </c>
      <c r="AW147" s="19">
        <v>5.3534713374260136E-3</v>
      </c>
      <c r="AX147" s="19">
        <v>1.3520851097499265</v>
      </c>
      <c r="AY147" s="19">
        <v>0.29459100975140973</v>
      </c>
      <c r="AZ147" s="19">
        <v>0.3743748060586124</v>
      </c>
      <c r="BA147" s="19">
        <v>4.5546694214780219</v>
      </c>
      <c r="BB147" s="19">
        <v>0.48617230044924253</v>
      </c>
      <c r="BC147" s="19">
        <v>0.60529738286479751</v>
      </c>
      <c r="BD147" s="19">
        <v>1.0800697187457469E-3</v>
      </c>
      <c r="BE147" s="19">
        <v>4.5017846134904463E-2</v>
      </c>
      <c r="BF147" s="19">
        <v>1.0897838738389818E-2</v>
      </c>
      <c r="BG147" s="19">
        <v>1.5706283492609323</v>
      </c>
      <c r="BH147" s="19">
        <v>7.0236825784871719</v>
      </c>
      <c r="BI147" s="19"/>
      <c r="BJ147" s="19">
        <v>46.979648663972675</v>
      </c>
      <c r="BK147" s="19">
        <v>163.16599100597907</v>
      </c>
      <c r="BL147" s="19">
        <v>9.2771040620141108</v>
      </c>
      <c r="BM147" s="19">
        <v>1.3385616974529682</v>
      </c>
      <c r="BN147" s="19">
        <v>1.4869083511591972</v>
      </c>
      <c r="BO147" s="19">
        <v>5.5286144211215422</v>
      </c>
      <c r="BP147" s="19">
        <v>8.6883333251853525</v>
      </c>
      <c r="BQ147" s="19">
        <v>3.8336004515903066</v>
      </c>
      <c r="BR147" s="19">
        <v>8.0989423972132197</v>
      </c>
      <c r="BS147" s="19">
        <v>7.1214235707917366</v>
      </c>
      <c r="BT147" s="19">
        <v>6.311428513333289</v>
      </c>
      <c r="BU147" s="19">
        <v>2.3432944803466884</v>
      </c>
      <c r="BV147" s="19">
        <v>4.1109894680369239</v>
      </c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9"/>
      <c r="CV147" s="19"/>
      <c r="CW147" s="19"/>
      <c r="CX147" s="19"/>
      <c r="CY147" s="19"/>
      <c r="CZ147" s="19"/>
      <c r="DA147" s="19"/>
      <c r="DB147" s="19"/>
      <c r="DC147" s="19"/>
      <c r="DD147" s="19"/>
      <c r="DE147" s="19"/>
      <c r="DF147" s="19"/>
      <c r="DG147" s="19"/>
      <c r="DH147" s="19"/>
      <c r="DI147" s="19"/>
      <c r="DJ147" s="19"/>
      <c r="DK147" s="19"/>
      <c r="DL147" s="19"/>
      <c r="DM147" s="19"/>
      <c r="DN147" s="19"/>
      <c r="DO147" s="19"/>
      <c r="DP147" s="19"/>
      <c r="DQ147" s="19"/>
      <c r="DR147" s="19"/>
      <c r="DS147" s="19"/>
      <c r="DT147" s="19"/>
      <c r="DU147" s="19"/>
      <c r="DV147" s="19"/>
      <c r="DW147" s="19"/>
      <c r="DX147" s="19"/>
      <c r="DY147" s="19"/>
      <c r="DZ147" s="19"/>
      <c r="EA147" s="19"/>
      <c r="EB147" s="19"/>
      <c r="EC147" s="19"/>
      <c r="ED147" s="19"/>
      <c r="EE147" s="19"/>
      <c r="EF147" s="19"/>
      <c r="EG147" s="19"/>
      <c r="EH147" s="19"/>
      <c r="EI147" s="19"/>
      <c r="EJ147" s="19"/>
      <c r="EK147" s="19"/>
      <c r="EL147" s="19"/>
      <c r="EM147" s="19"/>
      <c r="EN147" s="19"/>
      <c r="EO147" s="19"/>
      <c r="EP147" s="19"/>
      <c r="EQ147" s="19"/>
      <c r="ER147" s="19"/>
      <c r="ES147" s="19"/>
      <c r="ET147" s="19"/>
      <c r="EU147" s="19"/>
      <c r="EV147" s="19"/>
      <c r="EW147" s="19">
        <v>945.49652532861421</v>
      </c>
      <c r="EX147" s="19"/>
      <c r="EY147" s="19"/>
      <c r="EZ147" s="19"/>
      <c r="FA147" s="19"/>
      <c r="FB147" s="19"/>
      <c r="FC147" s="19"/>
      <c r="FD147" s="19"/>
      <c r="FE147" s="19"/>
      <c r="FF147" s="19"/>
      <c r="FG147" s="19"/>
      <c r="FH147" s="19"/>
      <c r="FI147" s="19"/>
      <c r="FJ147" s="19"/>
      <c r="FK147" s="19"/>
      <c r="FL147" s="19">
        <v>8.560098784558709E-2</v>
      </c>
      <c r="FM147" s="19">
        <v>0.62478399994825518</v>
      </c>
      <c r="FN147" s="19">
        <v>1.4795801426708821</v>
      </c>
      <c r="FO147" s="19">
        <v>2.7778741009612018</v>
      </c>
      <c r="FP147" s="19">
        <v>5.2535038782545023</v>
      </c>
      <c r="FQ147" s="19">
        <v>2.8971394104636674E-3</v>
      </c>
      <c r="FR147" s="19">
        <v>4.4191832876793499E-2</v>
      </c>
      <c r="FS147" s="19"/>
      <c r="FT147" s="19"/>
      <c r="FU147" s="19">
        <v>0.48127405988281485</v>
      </c>
      <c r="FV147" s="19">
        <v>1.5665140231747674E-3</v>
      </c>
      <c r="FW147" s="19">
        <v>6.5452832603034704E-3</v>
      </c>
      <c r="FX147" s="19">
        <v>3.6327224562187593E-2</v>
      </c>
      <c r="FY147" s="19">
        <v>9.2508198558308954E-2</v>
      </c>
      <c r="FZ147" s="19">
        <v>16.949939389688581</v>
      </c>
      <c r="GA147" s="19"/>
      <c r="GB147" s="19"/>
      <c r="GC147" s="19"/>
      <c r="GD147" s="19"/>
      <c r="GE147" s="19"/>
      <c r="GF147" s="19"/>
      <c r="GG147" s="19"/>
      <c r="GH147" s="19">
        <v>4.1268174288088426</v>
      </c>
      <c r="GI147" s="19">
        <v>1281.582659047375</v>
      </c>
      <c r="GJ147" s="17"/>
      <c r="GK147" s="17"/>
      <c r="GL147" s="17"/>
      <c r="GM147" s="17"/>
      <c r="GN147" s="17"/>
      <c r="GO147" s="17"/>
      <c r="GP147" s="17"/>
      <c r="GQ147" s="17"/>
      <c r="GR147" s="17"/>
      <c r="GS147" s="17"/>
      <c r="GT147" s="17"/>
      <c r="GU147" s="17"/>
      <c r="GV147" s="17"/>
      <c r="GW147" s="17"/>
      <c r="GX147" s="17"/>
      <c r="GY147" s="17"/>
    </row>
    <row r="148" spans="1:207" x14ac:dyDescent="0.25">
      <c r="A148" s="18" t="s">
        <v>140</v>
      </c>
      <c r="B148" s="19">
        <v>0.54984924833283788</v>
      </c>
      <c r="C148" s="19">
        <v>3.3234748624952182E-2</v>
      </c>
      <c r="D148" s="19">
        <v>0.15263841868958597</v>
      </c>
      <c r="E148" s="19">
        <v>5.9948418964913881E-2</v>
      </c>
      <c r="F148" s="19">
        <v>1.5114067396069983</v>
      </c>
      <c r="G148" s="19">
        <v>1.1182570000183312</v>
      </c>
      <c r="H148" s="19">
        <v>7.798903024508598E-2</v>
      </c>
      <c r="I148" s="19">
        <v>1.0910251285047667</v>
      </c>
      <c r="J148" s="19">
        <v>1.4195652347895762</v>
      </c>
      <c r="K148" s="19">
        <v>1.5335397430794675</v>
      </c>
      <c r="L148" s="19">
        <v>9.5704532037812692E-2</v>
      </c>
      <c r="M148" s="19">
        <v>3.296255658737091</v>
      </c>
      <c r="N148" s="19">
        <v>0.89182182955501532</v>
      </c>
      <c r="O148" s="19">
        <v>0.19957826313945287</v>
      </c>
      <c r="P148" s="19">
        <v>0.11190250687346805</v>
      </c>
      <c r="Q148" s="19">
        <v>1.348419461322508</v>
      </c>
      <c r="R148" s="19">
        <v>0.57629694693693156</v>
      </c>
      <c r="S148" s="19">
        <v>1.0822350743123503</v>
      </c>
      <c r="T148" s="19">
        <v>3.1811009986695713</v>
      </c>
      <c r="U148" s="19">
        <v>9.875848932775641E-2</v>
      </c>
      <c r="V148" s="19">
        <v>1.0033836795343904</v>
      </c>
      <c r="W148" s="19">
        <v>1.8346858212681763</v>
      </c>
      <c r="X148" s="19">
        <v>0.27180955473499091</v>
      </c>
      <c r="Y148" s="19">
        <v>8.6889526701025815E-2</v>
      </c>
      <c r="Z148" s="19">
        <v>0.26473479091583846</v>
      </c>
      <c r="AA148" s="19">
        <v>0.13135031562383997</v>
      </c>
      <c r="AB148" s="19">
        <v>1.4403328142918541</v>
      </c>
      <c r="AC148" s="19">
        <v>0.12358741673350225</v>
      </c>
      <c r="AD148" s="19">
        <v>0.761527098529313</v>
      </c>
      <c r="AE148" s="19">
        <v>0.75406915037708122</v>
      </c>
      <c r="AF148" s="19">
        <v>4.5955344323635048</v>
      </c>
      <c r="AG148" s="19">
        <v>1.9497130216743217</v>
      </c>
      <c r="AH148" s="19">
        <v>1.2813256072781716</v>
      </c>
      <c r="AI148" s="19">
        <v>2.403710153702603E-2</v>
      </c>
      <c r="AJ148" s="19">
        <v>6.9050005633250091</v>
      </c>
      <c r="AK148" s="19">
        <v>2.1863326057336341</v>
      </c>
      <c r="AL148" s="19">
        <v>2.9842871952409387</v>
      </c>
      <c r="AM148" s="19">
        <v>1.3548568424465681</v>
      </c>
      <c r="AN148" s="19">
        <v>0.47164495975826348</v>
      </c>
      <c r="AO148" s="19">
        <v>1.5926847019358637E-2</v>
      </c>
      <c r="AP148" s="19">
        <v>0.21232561055842739</v>
      </c>
      <c r="AQ148" s="19">
        <v>6.3979408879296304</v>
      </c>
      <c r="AR148" s="19">
        <v>7.8883390909725553E-3</v>
      </c>
      <c r="AS148" s="19">
        <v>4.3812102795925023</v>
      </c>
      <c r="AT148" s="19">
        <v>0.38677324902865629</v>
      </c>
      <c r="AU148" s="19">
        <v>2.0175264107593982E-5</v>
      </c>
      <c r="AV148" s="19">
        <v>0.3546884818869826</v>
      </c>
      <c r="AW148" s="19">
        <v>1.3170769056570155E-3</v>
      </c>
      <c r="AX148" s="19">
        <v>11.858851132664288</v>
      </c>
      <c r="AY148" s="19">
        <v>0.61457874813338509</v>
      </c>
      <c r="AZ148" s="19">
        <v>3.5963936784682669</v>
      </c>
      <c r="BA148" s="19">
        <v>44.097654451623214</v>
      </c>
      <c r="BB148" s="19">
        <v>8.6853489884158623</v>
      </c>
      <c r="BC148" s="19">
        <v>0.27827575532818827</v>
      </c>
      <c r="BD148" s="19">
        <v>1.6747794704014642E-3</v>
      </c>
      <c r="BE148" s="19">
        <v>2.0494634702977431E-2</v>
      </c>
      <c r="BF148" s="19">
        <v>7.0990072274341402E-3</v>
      </c>
      <c r="BG148" s="19">
        <v>26.91973563443911</v>
      </c>
      <c r="BH148" s="19">
        <v>26.745053464787851</v>
      </c>
      <c r="BI148" s="19">
        <v>8.9510475977508316E-2</v>
      </c>
      <c r="BJ148" s="19">
        <v>44.058394856599215</v>
      </c>
      <c r="BK148" s="19">
        <v>260.86510999095935</v>
      </c>
      <c r="BL148" s="19">
        <v>16.541783705857632</v>
      </c>
      <c r="BM148" s="19">
        <v>1.5509038155012609</v>
      </c>
      <c r="BN148" s="19">
        <v>1.7227903885628699</v>
      </c>
      <c r="BO148" s="19">
        <v>5.5246951140476694</v>
      </c>
      <c r="BP148" s="19">
        <v>8.6819267566856553</v>
      </c>
      <c r="BQ148" s="19">
        <v>3.8328543143475651</v>
      </c>
      <c r="BR148" s="19">
        <v>28.520882174372815</v>
      </c>
      <c r="BS148" s="19">
        <v>6.9489552881101382</v>
      </c>
      <c r="BT148" s="19">
        <v>65.885646983348664</v>
      </c>
      <c r="BU148" s="19">
        <v>13.346934913060975</v>
      </c>
      <c r="BV148" s="19">
        <v>23.434174139700648</v>
      </c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  <c r="CO148" s="19"/>
      <c r="CP148" s="19"/>
      <c r="CQ148" s="19"/>
      <c r="CR148" s="19"/>
      <c r="CS148" s="19"/>
      <c r="CT148" s="19"/>
      <c r="CU148" s="19"/>
      <c r="CV148" s="19"/>
      <c r="CW148" s="19"/>
      <c r="CX148" s="19"/>
      <c r="CY148" s="19"/>
      <c r="CZ148" s="19"/>
      <c r="DA148" s="19"/>
      <c r="DB148" s="19"/>
      <c r="DC148" s="19"/>
      <c r="DD148" s="19"/>
      <c r="DE148" s="19"/>
      <c r="DF148" s="19"/>
      <c r="DG148" s="19"/>
      <c r="DH148" s="19"/>
      <c r="DI148" s="19"/>
      <c r="DJ148" s="19"/>
      <c r="DK148" s="19"/>
      <c r="DL148" s="19"/>
      <c r="DM148" s="19"/>
      <c r="DN148" s="19"/>
      <c r="DO148" s="19"/>
      <c r="DP148" s="19"/>
      <c r="DQ148" s="19"/>
      <c r="DR148" s="19"/>
      <c r="DS148" s="19"/>
      <c r="DT148" s="19"/>
      <c r="DU148" s="19"/>
      <c r="DV148" s="19"/>
      <c r="DW148" s="19"/>
      <c r="DX148" s="19"/>
      <c r="DY148" s="19"/>
      <c r="DZ148" s="19"/>
      <c r="EA148" s="19"/>
      <c r="EB148" s="19"/>
      <c r="EC148" s="19"/>
      <c r="ED148" s="19"/>
      <c r="EE148" s="19"/>
      <c r="EF148" s="19"/>
      <c r="EG148" s="19"/>
      <c r="EH148" s="19"/>
      <c r="EI148" s="19"/>
      <c r="EJ148" s="19"/>
      <c r="EK148" s="19"/>
      <c r="EL148" s="19"/>
      <c r="EM148" s="19"/>
      <c r="EN148" s="19"/>
      <c r="EO148" s="19"/>
      <c r="EP148" s="19"/>
      <c r="EQ148" s="19"/>
      <c r="ER148" s="19"/>
      <c r="ES148" s="19"/>
      <c r="ET148" s="19"/>
      <c r="EU148" s="19"/>
      <c r="EV148" s="19"/>
      <c r="EW148" s="19">
        <v>64.471780230213668</v>
      </c>
      <c r="EX148" s="19"/>
      <c r="EY148" s="19"/>
      <c r="EZ148" s="19"/>
      <c r="FA148" s="19"/>
      <c r="FB148" s="19"/>
      <c r="FC148" s="19"/>
      <c r="FD148" s="19"/>
      <c r="FE148" s="19"/>
      <c r="FF148" s="19"/>
      <c r="FG148" s="19"/>
      <c r="FH148" s="19"/>
      <c r="FI148" s="19"/>
      <c r="FJ148" s="19"/>
      <c r="FK148" s="19"/>
      <c r="FL148" s="19">
        <v>0.5451881062439613</v>
      </c>
      <c r="FM148" s="19">
        <v>1.3000014695306874</v>
      </c>
      <c r="FN148" s="19">
        <v>3.0864558760813225</v>
      </c>
      <c r="FO148" s="19">
        <v>9.0691846609757256</v>
      </c>
      <c r="FP148" s="19">
        <v>18.885352438828022</v>
      </c>
      <c r="FQ148" s="19">
        <v>3.5075410842728147E-3</v>
      </c>
      <c r="FR148" s="19">
        <v>3.1176949100330011E-2</v>
      </c>
      <c r="FS148" s="19">
        <v>0.16545655217775895</v>
      </c>
      <c r="FT148" s="19">
        <v>8.6879083942350901E-2</v>
      </c>
      <c r="FU148" s="19">
        <v>2.7287845164883393</v>
      </c>
      <c r="FV148" s="19">
        <v>0.10061528289935842</v>
      </c>
      <c r="FW148" s="19">
        <v>0.22725722471942206</v>
      </c>
      <c r="FX148" s="19">
        <v>0.62903981161854972</v>
      </c>
      <c r="FY148" s="19">
        <v>2.6592162953097342</v>
      </c>
      <c r="FZ148" s="19">
        <v>73.242589148950373</v>
      </c>
      <c r="GA148" s="19"/>
      <c r="GB148" s="19"/>
      <c r="GC148" s="19"/>
      <c r="GD148" s="19"/>
      <c r="GE148" s="19"/>
      <c r="GF148" s="19"/>
      <c r="GG148" s="19"/>
      <c r="GH148" s="19">
        <v>64.248594037048164</v>
      </c>
      <c r="GI148" s="19">
        <v>903.92352333471717</v>
      </c>
      <c r="GJ148" s="17"/>
      <c r="GK148" s="17"/>
      <c r="GL148" s="17"/>
      <c r="GM148" s="17"/>
      <c r="GN148" s="17"/>
      <c r="GO148" s="17"/>
      <c r="GP148" s="17"/>
      <c r="GQ148" s="17"/>
      <c r="GR148" s="17"/>
      <c r="GS148" s="17"/>
      <c r="GT148" s="17"/>
      <c r="GU148" s="17"/>
      <c r="GV148" s="17"/>
      <c r="GW148" s="17"/>
      <c r="GX148" s="17"/>
      <c r="GY148" s="17"/>
    </row>
    <row r="149" spans="1:207" x14ac:dyDescent="0.25">
      <c r="A149" s="18" t="s">
        <v>141</v>
      </c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>
        <v>5.6662752161154427E-2</v>
      </c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>
        <v>0.29729858460110714</v>
      </c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>
        <v>0.85672694180449183</v>
      </c>
      <c r="BN149" s="19">
        <v>0.95164518254834385</v>
      </c>
      <c r="BO149" s="19"/>
      <c r="BP149" s="19"/>
      <c r="BQ149" s="19"/>
      <c r="BR149" s="19"/>
      <c r="BS149" s="19">
        <v>63.212600157720608</v>
      </c>
      <c r="BT149" s="19">
        <v>10.200612724171544</v>
      </c>
      <c r="BU149" s="19">
        <v>21.459222167300457</v>
      </c>
      <c r="BV149" s="19">
        <v>12.972934505343732</v>
      </c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  <c r="CO149" s="19"/>
      <c r="CP149" s="19"/>
      <c r="CQ149" s="19"/>
      <c r="CR149" s="19"/>
      <c r="CS149" s="19"/>
      <c r="CT149" s="19"/>
      <c r="CU149" s="19"/>
      <c r="CV149" s="19"/>
      <c r="CW149" s="19"/>
      <c r="CX149" s="19"/>
      <c r="CY149" s="19"/>
      <c r="CZ149" s="19"/>
      <c r="DA149" s="19"/>
      <c r="DB149" s="19"/>
      <c r="DC149" s="19"/>
      <c r="DD149" s="19"/>
      <c r="DE149" s="19"/>
      <c r="DF149" s="19"/>
      <c r="DG149" s="19"/>
      <c r="DH149" s="19"/>
      <c r="DI149" s="19"/>
      <c r="DJ149" s="19"/>
      <c r="DK149" s="19"/>
      <c r="DL149" s="19"/>
      <c r="DM149" s="19"/>
      <c r="DN149" s="19"/>
      <c r="DO149" s="19"/>
      <c r="DP149" s="19"/>
      <c r="DQ149" s="19"/>
      <c r="DR149" s="19"/>
      <c r="DS149" s="19"/>
      <c r="DT149" s="19"/>
      <c r="DU149" s="19"/>
      <c r="DV149" s="19"/>
      <c r="DW149" s="19"/>
      <c r="DX149" s="19"/>
      <c r="DY149" s="19"/>
      <c r="DZ149" s="19"/>
      <c r="EA149" s="19"/>
      <c r="EB149" s="19"/>
      <c r="EC149" s="19"/>
      <c r="ED149" s="19"/>
      <c r="EE149" s="19"/>
      <c r="EF149" s="19"/>
      <c r="EG149" s="19"/>
      <c r="EH149" s="19"/>
      <c r="EI149" s="19"/>
      <c r="EJ149" s="19"/>
      <c r="EK149" s="19"/>
      <c r="EL149" s="19"/>
      <c r="EM149" s="19"/>
      <c r="EN149" s="19"/>
      <c r="EO149" s="19"/>
      <c r="EP149" s="19"/>
      <c r="EQ149" s="19"/>
      <c r="ER149" s="19"/>
      <c r="ES149" s="19"/>
      <c r="ET149" s="19"/>
      <c r="EU149" s="19"/>
      <c r="EV149" s="19"/>
      <c r="EW149" s="19"/>
      <c r="EX149" s="19"/>
      <c r="EY149" s="19"/>
      <c r="EZ149" s="19"/>
      <c r="FA149" s="19"/>
      <c r="FB149" s="19"/>
      <c r="FC149" s="19"/>
      <c r="FD149" s="19"/>
      <c r="FE149" s="19"/>
      <c r="FF149" s="19"/>
      <c r="FG149" s="19"/>
      <c r="FH149" s="19"/>
      <c r="FI149" s="19"/>
      <c r="FJ149" s="19"/>
      <c r="FK149" s="19"/>
      <c r="FL149" s="19"/>
      <c r="FM149" s="19">
        <v>2.8892850138730115E-2</v>
      </c>
      <c r="FN149" s="19">
        <v>7.4232435120630625E-3</v>
      </c>
      <c r="FO149" s="19">
        <v>2.4815761715900081E-2</v>
      </c>
      <c r="FP149" s="19">
        <v>0.45532887355332496</v>
      </c>
      <c r="FQ149" s="19"/>
      <c r="FR149" s="19">
        <v>6.1928232905851153E-4</v>
      </c>
      <c r="FS149" s="19"/>
      <c r="FT149" s="19"/>
      <c r="FU149" s="19">
        <v>9.8937451001893786E-2</v>
      </c>
      <c r="FV149" s="19"/>
      <c r="FW149" s="19"/>
      <c r="FX149" s="19"/>
      <c r="FY149" s="19">
        <v>6.0449815322573025E-4</v>
      </c>
      <c r="FZ149" s="19">
        <v>4.5793965401327181</v>
      </c>
      <c r="GA149" s="19"/>
      <c r="GB149" s="19"/>
      <c r="GC149" s="19"/>
      <c r="GD149" s="19"/>
      <c r="GE149" s="19"/>
      <c r="GF149" s="19"/>
      <c r="GG149" s="19"/>
      <c r="GH149" s="19">
        <v>247.49712802591498</v>
      </c>
      <c r="GI149" s="19">
        <v>362.70084954210336</v>
      </c>
      <c r="GJ149" s="17"/>
      <c r="GK149" s="17"/>
      <c r="GL149" s="17"/>
      <c r="GM149" s="17"/>
      <c r="GN149" s="17"/>
      <c r="GO149" s="17"/>
      <c r="GP149" s="17"/>
      <c r="GQ149" s="17"/>
      <c r="GR149" s="17"/>
      <c r="GS149" s="17"/>
      <c r="GT149" s="17"/>
      <c r="GU149" s="17"/>
      <c r="GV149" s="17"/>
      <c r="GW149" s="17"/>
      <c r="GX149" s="17"/>
      <c r="GY149" s="17"/>
    </row>
    <row r="150" spans="1:207" x14ac:dyDescent="0.25">
      <c r="A150" s="18" t="s">
        <v>142</v>
      </c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>
        <v>92.168693597340507</v>
      </c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  <c r="CO150" s="19"/>
      <c r="CP150" s="19"/>
      <c r="CQ150" s="19"/>
      <c r="CR150" s="19"/>
      <c r="CS150" s="19"/>
      <c r="CT150" s="19"/>
      <c r="CU150" s="19"/>
      <c r="CV150" s="19"/>
      <c r="CW150" s="19"/>
      <c r="CX150" s="19"/>
      <c r="CY150" s="19"/>
      <c r="CZ150" s="19"/>
      <c r="DA150" s="19"/>
      <c r="DB150" s="19"/>
      <c r="DC150" s="19"/>
      <c r="DD150" s="19"/>
      <c r="DE150" s="19"/>
      <c r="DF150" s="19"/>
      <c r="DG150" s="19"/>
      <c r="DH150" s="19"/>
      <c r="DI150" s="19"/>
      <c r="DJ150" s="19"/>
      <c r="DK150" s="19"/>
      <c r="DL150" s="19"/>
      <c r="DM150" s="19"/>
      <c r="DN150" s="19"/>
      <c r="DO150" s="19"/>
      <c r="DP150" s="19"/>
      <c r="DQ150" s="19"/>
      <c r="DR150" s="19"/>
      <c r="DS150" s="19"/>
      <c r="DT150" s="19"/>
      <c r="DU150" s="19"/>
      <c r="DV150" s="19"/>
      <c r="DW150" s="19"/>
      <c r="DX150" s="19"/>
      <c r="DY150" s="19"/>
      <c r="DZ150" s="19"/>
      <c r="EA150" s="19"/>
      <c r="EB150" s="19"/>
      <c r="EC150" s="19"/>
      <c r="ED150" s="19"/>
      <c r="EE150" s="19"/>
      <c r="EF150" s="19"/>
      <c r="EG150" s="19"/>
      <c r="EH150" s="19"/>
      <c r="EI150" s="19"/>
      <c r="EJ150" s="19"/>
      <c r="EK150" s="19"/>
      <c r="EL150" s="19"/>
      <c r="EM150" s="19"/>
      <c r="EN150" s="19"/>
      <c r="EO150" s="19"/>
      <c r="EP150" s="19"/>
      <c r="EQ150" s="19"/>
      <c r="ER150" s="19"/>
      <c r="ES150" s="19"/>
      <c r="ET150" s="19"/>
      <c r="EU150" s="19"/>
      <c r="EV150" s="19"/>
      <c r="EW150" s="19"/>
      <c r="EX150" s="19"/>
      <c r="EY150" s="19"/>
      <c r="EZ150" s="19"/>
      <c r="FA150" s="19"/>
      <c r="FB150" s="19"/>
      <c r="FC150" s="19"/>
      <c r="FD150" s="19"/>
      <c r="FE150" s="19"/>
      <c r="FF150" s="19"/>
      <c r="FG150" s="19"/>
      <c r="FH150" s="19"/>
      <c r="FI150" s="19"/>
      <c r="FJ150" s="19"/>
      <c r="FK150" s="19"/>
      <c r="FL150" s="19">
        <v>2.5177475197428545</v>
      </c>
      <c r="FM150" s="19">
        <v>5.4689320161185178</v>
      </c>
      <c r="FN150" s="19">
        <v>10.100881250444413</v>
      </c>
      <c r="FO150" s="19">
        <v>21.66728364578859</v>
      </c>
      <c r="FP150" s="19">
        <v>33.290134045606422</v>
      </c>
      <c r="FQ150" s="19">
        <v>4.4644168014030997E-2</v>
      </c>
      <c r="FR150" s="19">
        <v>4.5089017125317085E-2</v>
      </c>
      <c r="FS150" s="19">
        <v>0.25403963701189475</v>
      </c>
      <c r="FT150" s="19">
        <v>0.42533974915638184</v>
      </c>
      <c r="FU150" s="19">
        <v>5.5707827983880867</v>
      </c>
      <c r="FV150" s="19">
        <v>0.12087131853844875</v>
      </c>
      <c r="FW150" s="19">
        <v>0.47222333579849729</v>
      </c>
      <c r="FX150" s="19">
        <v>1.1709309707612656</v>
      </c>
      <c r="FY150" s="19">
        <v>3.2793970969007868</v>
      </c>
      <c r="FZ150" s="19">
        <v>84.510698607944462</v>
      </c>
      <c r="GA150" s="19"/>
      <c r="GB150" s="19"/>
      <c r="GC150" s="19"/>
      <c r="GD150" s="19"/>
      <c r="GE150" s="19"/>
      <c r="GF150" s="19"/>
      <c r="GG150" s="19"/>
      <c r="GH150" s="19"/>
      <c r="GI150" s="19">
        <v>261.10768877468053</v>
      </c>
      <c r="GJ150" s="17"/>
      <c r="GK150" s="17"/>
      <c r="GL150" s="17"/>
      <c r="GM150" s="17"/>
      <c r="GN150" s="17"/>
      <c r="GO150" s="17"/>
      <c r="GP150" s="17"/>
      <c r="GQ150" s="17"/>
      <c r="GR150" s="17"/>
      <c r="GS150" s="17"/>
      <c r="GT150" s="17"/>
      <c r="GU150" s="17"/>
      <c r="GV150" s="17"/>
      <c r="GW150" s="17"/>
      <c r="GX150" s="17"/>
      <c r="GY150" s="17"/>
    </row>
    <row r="151" spans="1:207" x14ac:dyDescent="0.25">
      <c r="A151" s="18" t="s">
        <v>143</v>
      </c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>
        <v>5.15075547868128E-6</v>
      </c>
      <c r="AV151" s="19"/>
      <c r="AW151" s="19"/>
      <c r="AX151" s="19"/>
      <c r="AY151" s="19"/>
      <c r="AZ151" s="19"/>
      <c r="BA151" s="19"/>
      <c r="BB151" s="19"/>
      <c r="BC151" s="19"/>
      <c r="BD151" s="19">
        <v>3.6652685260717805E-4</v>
      </c>
      <c r="BE151" s="19"/>
      <c r="BF151" s="19">
        <v>5.0348767270971852E-3</v>
      </c>
      <c r="BG151" s="19"/>
      <c r="BH151" s="19">
        <v>3.0714160723096886</v>
      </c>
      <c r="BI151" s="19">
        <v>6.301900849925994E-2</v>
      </c>
      <c r="BJ151" s="19">
        <v>2.2583923828124064</v>
      </c>
      <c r="BK151" s="19">
        <v>78.335372384108297</v>
      </c>
      <c r="BL151" s="19">
        <v>4.3086493451394201</v>
      </c>
      <c r="BM151" s="19">
        <v>0.22898125237075029</v>
      </c>
      <c r="BN151" s="19">
        <v>0.25435930901420473</v>
      </c>
      <c r="BO151" s="19">
        <v>13.862976942569706</v>
      </c>
      <c r="BP151" s="19">
        <v>42.88037681924515</v>
      </c>
      <c r="BQ151" s="19"/>
      <c r="BR151" s="19"/>
      <c r="BS151" s="19">
        <v>72.975745621417502</v>
      </c>
      <c r="BT151" s="19">
        <v>13.307344428843228</v>
      </c>
      <c r="BU151" s="19">
        <v>14.876048509721668</v>
      </c>
      <c r="BV151" s="19">
        <v>15.051396107023475</v>
      </c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  <c r="CO151" s="19"/>
      <c r="CP151" s="19"/>
      <c r="CQ151" s="19"/>
      <c r="CR151" s="19"/>
      <c r="CS151" s="19"/>
      <c r="CT151" s="19"/>
      <c r="CU151" s="19"/>
      <c r="CV151" s="19"/>
      <c r="CW151" s="19"/>
      <c r="CX151" s="19"/>
      <c r="CY151" s="19"/>
      <c r="CZ151" s="19"/>
      <c r="DA151" s="19"/>
      <c r="DB151" s="19"/>
      <c r="DC151" s="19"/>
      <c r="DD151" s="19"/>
      <c r="DE151" s="19"/>
      <c r="DF151" s="19"/>
      <c r="DG151" s="19"/>
      <c r="DH151" s="19"/>
      <c r="DI151" s="19"/>
      <c r="DJ151" s="19"/>
      <c r="DK151" s="19"/>
      <c r="DL151" s="19"/>
      <c r="DM151" s="19"/>
      <c r="DN151" s="19"/>
      <c r="DO151" s="19"/>
      <c r="DP151" s="19"/>
      <c r="DQ151" s="19"/>
      <c r="DR151" s="19"/>
      <c r="DS151" s="19"/>
      <c r="DT151" s="19"/>
      <c r="DU151" s="19"/>
      <c r="DV151" s="19"/>
      <c r="DW151" s="19"/>
      <c r="DX151" s="19"/>
      <c r="DY151" s="19"/>
      <c r="DZ151" s="19"/>
      <c r="EA151" s="19"/>
      <c r="EB151" s="19"/>
      <c r="EC151" s="19"/>
      <c r="ED151" s="19"/>
      <c r="EE151" s="19"/>
      <c r="EF151" s="19"/>
      <c r="EG151" s="19"/>
      <c r="EH151" s="19"/>
      <c r="EI151" s="19"/>
      <c r="EJ151" s="19"/>
      <c r="EK151" s="19"/>
      <c r="EL151" s="19"/>
      <c r="EM151" s="19"/>
      <c r="EN151" s="19"/>
      <c r="EO151" s="19"/>
      <c r="EP151" s="19"/>
      <c r="EQ151" s="19"/>
      <c r="ER151" s="19"/>
      <c r="ES151" s="19"/>
      <c r="ET151" s="19"/>
      <c r="EU151" s="19"/>
      <c r="EV151" s="19"/>
      <c r="EW151" s="19"/>
      <c r="EX151" s="19"/>
      <c r="EY151" s="19"/>
      <c r="EZ151" s="19"/>
      <c r="FA151" s="19"/>
      <c r="FB151" s="19"/>
      <c r="FC151" s="19"/>
      <c r="FD151" s="19"/>
      <c r="FE151" s="19"/>
      <c r="FF151" s="19"/>
      <c r="FG151" s="19"/>
      <c r="FH151" s="19"/>
      <c r="FI151" s="19"/>
      <c r="FJ151" s="19"/>
      <c r="FK151" s="19"/>
      <c r="FL151" s="19">
        <v>1.3972533617596739</v>
      </c>
      <c r="FM151" s="19">
        <v>3.2529865053781739</v>
      </c>
      <c r="FN151" s="19">
        <v>6.6206164182383933</v>
      </c>
      <c r="FO151" s="19">
        <v>12.433438669581204</v>
      </c>
      <c r="FP151" s="19">
        <v>16.495908905624002</v>
      </c>
      <c r="FQ151" s="19">
        <v>2.4825380004179425E-2</v>
      </c>
      <c r="FR151" s="19">
        <v>3.3911327759382465E-2</v>
      </c>
      <c r="FS151" s="19">
        <v>0.11069144705526159</v>
      </c>
      <c r="FT151" s="19">
        <v>0.14817699233715731</v>
      </c>
      <c r="FU151" s="19">
        <v>2.5498575365017127</v>
      </c>
      <c r="FV151" s="19">
        <v>8.2966937265949642E-2</v>
      </c>
      <c r="FW151" s="19">
        <v>0.33826597493713395</v>
      </c>
      <c r="FX151" s="19">
        <v>0.6506671470819303</v>
      </c>
      <c r="FY151" s="19">
        <v>2.3657682527563391</v>
      </c>
      <c r="FZ151" s="19">
        <v>50.087039994690464</v>
      </c>
      <c r="GA151" s="19"/>
      <c r="GB151" s="19"/>
      <c r="GC151" s="19"/>
      <c r="GD151" s="19"/>
      <c r="GE151" s="19"/>
      <c r="GF151" s="19"/>
      <c r="GG151" s="19"/>
      <c r="GH151" s="19"/>
      <c r="GI151" s="19">
        <v>358.0718595883809</v>
      </c>
      <c r="GJ151" s="17"/>
      <c r="GK151" s="17"/>
      <c r="GL151" s="17"/>
      <c r="GM151" s="17"/>
      <c r="GN151" s="17"/>
      <c r="GO151" s="17"/>
      <c r="GP151" s="17"/>
      <c r="GQ151" s="17"/>
      <c r="GR151" s="17"/>
      <c r="GS151" s="17"/>
      <c r="GT151" s="17"/>
      <c r="GU151" s="17"/>
      <c r="GV151" s="17"/>
      <c r="GW151" s="17"/>
      <c r="GX151" s="17"/>
      <c r="GY151" s="17"/>
    </row>
    <row r="152" spans="1:207" x14ac:dyDescent="0.25">
      <c r="A152" s="18" t="s">
        <v>144</v>
      </c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>
        <v>1.7963566367516082</v>
      </c>
      <c r="T152" s="19">
        <v>2.1210690652707576</v>
      </c>
      <c r="U152" s="19">
        <v>0.18325690033080913</v>
      </c>
      <c r="V152" s="19"/>
      <c r="W152" s="19"/>
      <c r="X152" s="19"/>
      <c r="Y152" s="19"/>
      <c r="Z152" s="19"/>
      <c r="AA152" s="19"/>
      <c r="AB152" s="19"/>
      <c r="AC152" s="19">
        <v>6.2601212137743278E-2</v>
      </c>
      <c r="AD152" s="19">
        <v>0.38227749457764704</v>
      </c>
      <c r="AE152" s="19">
        <v>4.3471139731892423</v>
      </c>
      <c r="AF152" s="19">
        <v>0.31183898203744181</v>
      </c>
      <c r="AG152" s="19">
        <v>0.13751261450482688</v>
      </c>
      <c r="AH152" s="19">
        <v>8.5962168043128243E-2</v>
      </c>
      <c r="AI152" s="19">
        <v>2.2575028035560235E-4</v>
      </c>
      <c r="AJ152" s="19">
        <v>0.18089443212691594</v>
      </c>
      <c r="AK152" s="19">
        <v>5.7259176618595364E-2</v>
      </c>
      <c r="AL152" s="19">
        <v>7.8105565132613949E-2</v>
      </c>
      <c r="AM152" s="19">
        <v>3.5550518769373207E-2</v>
      </c>
      <c r="AN152" s="19">
        <v>1.9702500143958388E-2</v>
      </c>
      <c r="AO152" s="19">
        <v>5.6959477477642583E-4</v>
      </c>
      <c r="AP152" s="19">
        <v>7.7112161058368427E-3</v>
      </c>
      <c r="AQ152" s="19">
        <v>0.22899147542377779</v>
      </c>
      <c r="AR152" s="19">
        <v>3.1706052497831535E-4</v>
      </c>
      <c r="AS152" s="19">
        <v>0.1842175216193403</v>
      </c>
      <c r="AT152" s="19">
        <v>1.5092381364909977E-2</v>
      </c>
      <c r="AU152" s="19">
        <v>4.2611668192226841E-6</v>
      </c>
      <c r="AV152" s="19">
        <v>2.9015889700622178E-2</v>
      </c>
      <c r="AW152" s="19">
        <v>2.2096907338902552E-4</v>
      </c>
      <c r="AX152" s="19">
        <v>1.2881533107331591</v>
      </c>
      <c r="AY152" s="19">
        <v>3.9298700414398535E-2</v>
      </c>
      <c r="AZ152" s="19">
        <v>0.54670840707059765</v>
      </c>
      <c r="BA152" s="19">
        <v>6.7152890201682878</v>
      </c>
      <c r="BB152" s="19">
        <v>0.37596003674540807</v>
      </c>
      <c r="BC152" s="19">
        <v>7.9510494813379864E-2</v>
      </c>
      <c r="BD152" s="19">
        <v>1.3668327300962073E-4</v>
      </c>
      <c r="BE152" s="19">
        <v>2.3472238805518635E-3</v>
      </c>
      <c r="BF152" s="19">
        <v>1.3994332099760178E-3</v>
      </c>
      <c r="BG152" s="19">
        <v>0.68135870412740018</v>
      </c>
      <c r="BH152" s="19">
        <v>4.1278986100924611</v>
      </c>
      <c r="BI152" s="19">
        <v>0.11381904945804913</v>
      </c>
      <c r="BJ152" s="19">
        <v>13.02964851745924</v>
      </c>
      <c r="BK152" s="19">
        <v>168.6767008105229</v>
      </c>
      <c r="BL152" s="19">
        <v>16.290723886074737</v>
      </c>
      <c r="BM152" s="19">
        <v>9.6097765856126657E-2</v>
      </c>
      <c r="BN152" s="19">
        <v>0.10675176189057092</v>
      </c>
      <c r="BO152" s="19"/>
      <c r="BP152" s="19">
        <v>47.838079278776448</v>
      </c>
      <c r="BQ152" s="19">
        <v>11.101527368015896</v>
      </c>
      <c r="BR152" s="19">
        <v>47.379959287630903</v>
      </c>
      <c r="BS152" s="19">
        <v>0.60414632716164818</v>
      </c>
      <c r="BT152" s="19">
        <v>0.53498592422981894</v>
      </c>
      <c r="BU152" s="19">
        <v>0.96069592936444448</v>
      </c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  <c r="CO152" s="19"/>
      <c r="CP152" s="19"/>
      <c r="CQ152" s="19"/>
      <c r="CR152" s="19"/>
      <c r="CS152" s="19"/>
      <c r="CT152" s="19"/>
      <c r="CU152" s="19"/>
      <c r="CV152" s="19"/>
      <c r="CW152" s="19"/>
      <c r="CX152" s="19"/>
      <c r="CY152" s="19"/>
      <c r="CZ152" s="19"/>
      <c r="DA152" s="19"/>
      <c r="DB152" s="19"/>
      <c r="DC152" s="19"/>
      <c r="DD152" s="19"/>
      <c r="DE152" s="19"/>
      <c r="DF152" s="19"/>
      <c r="DG152" s="19"/>
      <c r="DH152" s="19"/>
      <c r="DI152" s="19"/>
      <c r="DJ152" s="19"/>
      <c r="DK152" s="19"/>
      <c r="DL152" s="19"/>
      <c r="DM152" s="19"/>
      <c r="DN152" s="19"/>
      <c r="DO152" s="19"/>
      <c r="DP152" s="19"/>
      <c r="DQ152" s="19"/>
      <c r="DR152" s="19"/>
      <c r="DS152" s="19"/>
      <c r="DT152" s="19"/>
      <c r="DU152" s="19"/>
      <c r="DV152" s="19"/>
      <c r="DW152" s="19"/>
      <c r="DX152" s="19"/>
      <c r="DY152" s="19"/>
      <c r="DZ152" s="19"/>
      <c r="EA152" s="19"/>
      <c r="EB152" s="19"/>
      <c r="EC152" s="19"/>
      <c r="ED152" s="19"/>
      <c r="EE152" s="19"/>
      <c r="EF152" s="19"/>
      <c r="EG152" s="19"/>
      <c r="EH152" s="19"/>
      <c r="EI152" s="19"/>
      <c r="EJ152" s="19"/>
      <c r="EK152" s="19"/>
      <c r="EL152" s="19"/>
      <c r="EM152" s="19"/>
      <c r="EN152" s="19"/>
      <c r="EO152" s="19"/>
      <c r="EP152" s="19"/>
      <c r="EQ152" s="19"/>
      <c r="ER152" s="19"/>
      <c r="ES152" s="19"/>
      <c r="ET152" s="19"/>
      <c r="EU152" s="19"/>
      <c r="EV152" s="19"/>
      <c r="EW152" s="19"/>
      <c r="EX152" s="19"/>
      <c r="EY152" s="19"/>
      <c r="EZ152" s="19"/>
      <c r="FA152" s="19"/>
      <c r="FB152" s="19"/>
      <c r="FC152" s="19"/>
      <c r="FD152" s="19"/>
      <c r="FE152" s="19"/>
      <c r="FF152" s="19"/>
      <c r="FG152" s="19"/>
      <c r="FH152" s="19"/>
      <c r="FI152" s="19"/>
      <c r="FJ152" s="19"/>
      <c r="FK152" s="19"/>
      <c r="FL152" s="19">
        <v>2.7654143244176401</v>
      </c>
      <c r="FM152" s="19">
        <v>4.3761766005990284</v>
      </c>
      <c r="FN152" s="19">
        <v>6.2735974387130042</v>
      </c>
      <c r="FO152" s="19">
        <v>7.7747872508192417</v>
      </c>
      <c r="FP152" s="19">
        <v>5.5884848782519905</v>
      </c>
      <c r="FQ152" s="19">
        <v>2.144929533973081E-2</v>
      </c>
      <c r="FR152" s="19">
        <v>2.1359794115272702E-2</v>
      </c>
      <c r="FS152" s="19">
        <v>6.258575918280708E-2</v>
      </c>
      <c r="FT152" s="19">
        <v>3.2265115270337437E-2</v>
      </c>
      <c r="FU152" s="19">
        <v>0.41654477327098854</v>
      </c>
      <c r="FV152" s="19">
        <v>0.11531489083849771</v>
      </c>
      <c r="FW152" s="19">
        <v>0.26086931861279505</v>
      </c>
      <c r="FX152" s="19">
        <v>0.38141119915576327</v>
      </c>
      <c r="FY152" s="19">
        <v>0.71577072631428929</v>
      </c>
      <c r="FZ152" s="19">
        <v>11.199683356664448</v>
      </c>
      <c r="GA152" s="19"/>
      <c r="GB152" s="19"/>
      <c r="GC152" s="19"/>
      <c r="GD152" s="19"/>
      <c r="GE152" s="19"/>
      <c r="GF152" s="19"/>
      <c r="GG152" s="19"/>
      <c r="GH152" s="19">
        <v>19.878108362955494</v>
      </c>
      <c r="GI152" s="19">
        <v>390.74088697516015</v>
      </c>
      <c r="GJ152" s="17"/>
      <c r="GK152" s="17"/>
      <c r="GL152" s="17"/>
      <c r="GM152" s="17"/>
      <c r="GN152" s="17"/>
      <c r="GO152" s="17"/>
      <c r="GP152" s="17"/>
      <c r="GQ152" s="17"/>
      <c r="GR152" s="17"/>
      <c r="GS152" s="17"/>
      <c r="GT152" s="17"/>
      <c r="GU152" s="17"/>
      <c r="GV152" s="17"/>
      <c r="GW152" s="17"/>
      <c r="GX152" s="17"/>
      <c r="GY152" s="17"/>
    </row>
    <row r="153" spans="1:207" x14ac:dyDescent="0.25">
      <c r="A153" s="18" t="s">
        <v>145</v>
      </c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>
        <v>0.33120402070052007</v>
      </c>
      <c r="T153" s="19">
        <v>0.57286850541016143</v>
      </c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>
        <v>0.26275700063227125</v>
      </c>
      <c r="AG153" s="19">
        <v>0.11608106278952193</v>
      </c>
      <c r="AH153" s="19">
        <v>7.2529048235981164E-2</v>
      </c>
      <c r="AI153" s="19"/>
      <c r="AJ153" s="19">
        <v>0.23895363358827951</v>
      </c>
      <c r="AK153" s="19">
        <v>7.5639729969664504E-2</v>
      </c>
      <c r="AL153" s="19">
        <v>0.10317792362650807</v>
      </c>
      <c r="AM153" s="19">
        <v>4.6961969834033584E-2</v>
      </c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>
        <v>1.5297748695745961</v>
      </c>
      <c r="AY153" s="19"/>
      <c r="AZ153" s="19">
        <v>5.3235950292874527E-2</v>
      </c>
      <c r="BA153" s="19">
        <v>0.64635883709398045</v>
      </c>
      <c r="BB153" s="19">
        <v>0.17611945036423921</v>
      </c>
      <c r="BC153" s="19"/>
      <c r="BD153" s="19"/>
      <c r="BE153" s="19"/>
      <c r="BF153" s="19"/>
      <c r="BG153" s="19">
        <v>0.42443941123303203</v>
      </c>
      <c r="BH153" s="19"/>
      <c r="BI153" s="19">
        <v>2.3241614568813964E-3</v>
      </c>
      <c r="BJ153" s="19">
        <v>0.53311021751017673</v>
      </c>
      <c r="BK153" s="19"/>
      <c r="BL153" s="19">
        <v>11.455252577184554</v>
      </c>
      <c r="BM153" s="19">
        <v>9.7364011145528132E-2</v>
      </c>
      <c r="BN153" s="19">
        <v>0.1081580061123561</v>
      </c>
      <c r="BO153" s="19"/>
      <c r="BP153" s="19"/>
      <c r="BQ153" s="19">
        <v>18.786136888202634</v>
      </c>
      <c r="BR153" s="19"/>
      <c r="BS153" s="19">
        <v>6.8766419836090034</v>
      </c>
      <c r="BT153" s="19">
        <v>3.2850225596773694</v>
      </c>
      <c r="BU153" s="19">
        <v>3.8704343739278504</v>
      </c>
      <c r="BV153" s="19">
        <v>4.0271496012340862</v>
      </c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  <c r="CO153" s="19"/>
      <c r="CP153" s="19"/>
      <c r="CQ153" s="19"/>
      <c r="CR153" s="19"/>
      <c r="CS153" s="19"/>
      <c r="CT153" s="19"/>
      <c r="CU153" s="19"/>
      <c r="CV153" s="19"/>
      <c r="CW153" s="19"/>
      <c r="CX153" s="19"/>
      <c r="CY153" s="19"/>
      <c r="CZ153" s="19"/>
      <c r="DA153" s="19"/>
      <c r="DB153" s="19"/>
      <c r="DC153" s="19"/>
      <c r="DD153" s="19"/>
      <c r="DE153" s="19"/>
      <c r="DF153" s="19"/>
      <c r="DG153" s="19"/>
      <c r="DH153" s="19"/>
      <c r="DI153" s="19"/>
      <c r="DJ153" s="19"/>
      <c r="DK153" s="19"/>
      <c r="DL153" s="19"/>
      <c r="DM153" s="19"/>
      <c r="DN153" s="19"/>
      <c r="DO153" s="19"/>
      <c r="DP153" s="19"/>
      <c r="DQ153" s="19"/>
      <c r="DR153" s="19"/>
      <c r="DS153" s="19"/>
      <c r="DT153" s="19"/>
      <c r="DU153" s="19"/>
      <c r="DV153" s="19"/>
      <c r="DW153" s="19"/>
      <c r="DX153" s="19"/>
      <c r="DY153" s="19"/>
      <c r="DZ153" s="19"/>
      <c r="EA153" s="19"/>
      <c r="EB153" s="19"/>
      <c r="EC153" s="19"/>
      <c r="ED153" s="19"/>
      <c r="EE153" s="19"/>
      <c r="EF153" s="19"/>
      <c r="EG153" s="19"/>
      <c r="EH153" s="19"/>
      <c r="EI153" s="19"/>
      <c r="EJ153" s="19"/>
      <c r="EK153" s="19"/>
      <c r="EL153" s="19"/>
      <c r="EM153" s="19"/>
      <c r="EN153" s="19"/>
      <c r="EO153" s="19"/>
      <c r="EP153" s="19"/>
      <c r="EQ153" s="19"/>
      <c r="ER153" s="19"/>
      <c r="ES153" s="19"/>
      <c r="ET153" s="19"/>
      <c r="EU153" s="19"/>
      <c r="EV153" s="19"/>
      <c r="EW153" s="19"/>
      <c r="EX153" s="19"/>
      <c r="EY153" s="19"/>
      <c r="EZ153" s="19"/>
      <c r="FA153" s="19"/>
      <c r="FB153" s="19"/>
      <c r="FC153" s="19"/>
      <c r="FD153" s="19"/>
      <c r="FE153" s="19"/>
      <c r="FF153" s="19"/>
      <c r="FG153" s="19"/>
      <c r="FH153" s="19"/>
      <c r="FI153" s="19"/>
      <c r="FJ153" s="19"/>
      <c r="FK153" s="19"/>
      <c r="FL153" s="19">
        <v>29.829537468480371</v>
      </c>
      <c r="FM153" s="19">
        <v>36.575156196755621</v>
      </c>
      <c r="FN153" s="19">
        <v>50.925927610485537</v>
      </c>
      <c r="FO153" s="19">
        <v>78.250557104097652</v>
      </c>
      <c r="FP153" s="19">
        <v>81.208259516533474</v>
      </c>
      <c r="FQ153" s="19">
        <v>0.78390463850886061</v>
      </c>
      <c r="FR153" s="19">
        <v>0.5987602449872288</v>
      </c>
      <c r="FS153" s="19">
        <v>0.68618936253854479</v>
      </c>
      <c r="FT153" s="19">
        <v>0.88714545127623368</v>
      </c>
      <c r="FU153" s="19">
        <v>10.111569291756393</v>
      </c>
      <c r="FV153" s="19">
        <v>2.1413297057915446</v>
      </c>
      <c r="FW153" s="19">
        <v>6.4287199569889522</v>
      </c>
      <c r="FX153" s="19">
        <v>8.9401847474706386</v>
      </c>
      <c r="FY153" s="19">
        <v>22.522379648865073</v>
      </c>
      <c r="FZ153" s="19">
        <v>356.80275348639702</v>
      </c>
      <c r="GA153" s="19"/>
      <c r="GB153" s="19"/>
      <c r="GC153" s="19"/>
      <c r="GD153" s="19"/>
      <c r="GE153" s="19"/>
      <c r="GF153" s="19"/>
      <c r="GG153" s="19"/>
      <c r="GH153" s="19"/>
      <c r="GI153" s="19">
        <v>740.38407022433921</v>
      </c>
      <c r="GJ153" s="17"/>
      <c r="GK153" s="17"/>
      <c r="GL153" s="17"/>
      <c r="GM153" s="17"/>
      <c r="GN153" s="17"/>
      <c r="GO153" s="17"/>
      <c r="GP153" s="17"/>
      <c r="GQ153" s="17"/>
      <c r="GR153" s="17"/>
      <c r="GS153" s="17"/>
      <c r="GT153" s="17"/>
      <c r="GU153" s="17"/>
      <c r="GV153" s="17"/>
      <c r="GW153" s="17"/>
      <c r="GX153" s="17"/>
      <c r="GY153" s="17"/>
    </row>
    <row r="154" spans="1:207" x14ac:dyDescent="0.25">
      <c r="A154" s="18" t="s">
        <v>146</v>
      </c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>
        <v>1.3639030134795875</v>
      </c>
      <c r="T154" s="19">
        <v>0.72809214995139526</v>
      </c>
      <c r="U154" s="19"/>
      <c r="V154" s="19"/>
      <c r="W154" s="19"/>
      <c r="X154" s="19"/>
      <c r="Y154" s="19"/>
      <c r="Z154" s="19"/>
      <c r="AA154" s="19"/>
      <c r="AB154" s="19"/>
      <c r="AC154" s="19">
        <v>0.19491792980578687</v>
      </c>
      <c r="AD154" s="19">
        <v>1.2163353969726474</v>
      </c>
      <c r="AE154" s="19">
        <v>1.8960895621696179</v>
      </c>
      <c r="AF154" s="19">
        <v>3.8645807031203949</v>
      </c>
      <c r="AG154" s="19">
        <v>1.5853784014919388</v>
      </c>
      <c r="AH154" s="19">
        <v>1.0294264732910778</v>
      </c>
      <c r="AI154" s="19">
        <v>3.3120092033630817E-2</v>
      </c>
      <c r="AJ154" s="19">
        <v>0.73106890981596018</v>
      </c>
      <c r="AK154" s="19">
        <v>0.23132435967496787</v>
      </c>
      <c r="AL154" s="19">
        <v>0.31558057302122811</v>
      </c>
      <c r="AM154" s="19">
        <v>0.1435901860425895</v>
      </c>
      <c r="AN154" s="19">
        <v>0.37264881861563748</v>
      </c>
      <c r="AO154" s="19">
        <v>6.9885977968417775E-3</v>
      </c>
      <c r="AP154" s="19">
        <v>9.4022641679082461E-2</v>
      </c>
      <c r="AQ154" s="19">
        <v>2.8147551205036381</v>
      </c>
      <c r="AR154" s="19">
        <v>3.7434187295589251E-3</v>
      </c>
      <c r="AS154" s="19">
        <v>0.17492175626590775</v>
      </c>
      <c r="AT154" s="19">
        <v>0.51141871318369647</v>
      </c>
      <c r="AU154" s="19">
        <v>5.1717012197241182E-5</v>
      </c>
      <c r="AV154" s="19">
        <v>4.1828363590892037</v>
      </c>
      <c r="AW154" s="19">
        <v>2.4375440591884272E-2</v>
      </c>
      <c r="AX154" s="19">
        <v>8.1757110031770335</v>
      </c>
      <c r="AY154" s="19">
        <v>1.8765344792411367</v>
      </c>
      <c r="AZ154" s="19">
        <v>1.3676901655228031</v>
      </c>
      <c r="BA154" s="19">
        <v>17.36674956653945</v>
      </c>
      <c r="BB154" s="19">
        <v>10.412531845406978</v>
      </c>
      <c r="BC154" s="19">
        <v>2.5301938301872737</v>
      </c>
      <c r="BD154" s="19">
        <v>8.016569053017562E-3</v>
      </c>
      <c r="BE154" s="19">
        <v>0.32679339444720801</v>
      </c>
      <c r="BF154" s="19">
        <v>6.0491388129430231E-2</v>
      </c>
      <c r="BG154" s="19">
        <v>2.6874497985875108</v>
      </c>
      <c r="BH154" s="19">
        <v>39.523089460202478</v>
      </c>
      <c r="BI154" s="19">
        <v>2.5824999309062546</v>
      </c>
      <c r="BJ154" s="19">
        <v>52.847582173574416</v>
      </c>
      <c r="BK154" s="19">
        <v>10.00700960636944</v>
      </c>
      <c r="BL154" s="19">
        <v>33.529102183299145</v>
      </c>
      <c r="BM154" s="19">
        <v>0.94267292499493816</v>
      </c>
      <c r="BN154" s="19">
        <v>1.0472578279326801</v>
      </c>
      <c r="BO154" s="19">
        <v>141.24687208634808</v>
      </c>
      <c r="BP154" s="19">
        <v>77.836727853763151</v>
      </c>
      <c r="BQ154" s="19"/>
      <c r="BR154" s="19">
        <v>56.142586862145748</v>
      </c>
      <c r="BS154" s="19">
        <v>25.334429587268087</v>
      </c>
      <c r="BT154" s="19">
        <v>39.595489399965672</v>
      </c>
      <c r="BU154" s="19">
        <v>42.695690687660999</v>
      </c>
      <c r="BV154" s="19">
        <v>14.781956789155977</v>
      </c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  <c r="CO154" s="19"/>
      <c r="CP154" s="19"/>
      <c r="CQ154" s="19"/>
      <c r="CR154" s="19"/>
      <c r="CS154" s="19"/>
      <c r="CT154" s="19"/>
      <c r="CU154" s="19"/>
      <c r="CV154" s="19"/>
      <c r="CW154" s="19"/>
      <c r="CX154" s="19"/>
      <c r="CY154" s="19"/>
      <c r="CZ154" s="19"/>
      <c r="DA154" s="19"/>
      <c r="DB154" s="19"/>
      <c r="DC154" s="19"/>
      <c r="DD154" s="19"/>
      <c r="DE154" s="19"/>
      <c r="DF154" s="19"/>
      <c r="DG154" s="19"/>
      <c r="DH154" s="19"/>
      <c r="DI154" s="19"/>
      <c r="DJ154" s="19"/>
      <c r="DK154" s="19"/>
      <c r="DL154" s="19"/>
      <c r="DM154" s="19"/>
      <c r="DN154" s="19"/>
      <c r="DO154" s="19"/>
      <c r="DP154" s="19"/>
      <c r="DQ154" s="19"/>
      <c r="DR154" s="19"/>
      <c r="DS154" s="19"/>
      <c r="DT154" s="19"/>
      <c r="DU154" s="19"/>
      <c r="DV154" s="19"/>
      <c r="DW154" s="19"/>
      <c r="DX154" s="19"/>
      <c r="DY154" s="19"/>
      <c r="DZ154" s="19"/>
      <c r="EA154" s="19"/>
      <c r="EB154" s="19"/>
      <c r="EC154" s="19"/>
      <c r="ED154" s="19"/>
      <c r="EE154" s="19"/>
      <c r="EF154" s="19"/>
      <c r="EG154" s="19"/>
      <c r="EH154" s="19"/>
      <c r="EI154" s="19"/>
      <c r="EJ154" s="19"/>
      <c r="EK154" s="19"/>
      <c r="EL154" s="19"/>
      <c r="EM154" s="19"/>
      <c r="EN154" s="19"/>
      <c r="EO154" s="19"/>
      <c r="EP154" s="19"/>
      <c r="EQ154" s="19"/>
      <c r="ER154" s="19"/>
      <c r="ES154" s="19"/>
      <c r="ET154" s="19"/>
      <c r="EU154" s="19"/>
      <c r="EV154" s="19"/>
      <c r="EW154" s="19"/>
      <c r="EX154" s="19"/>
      <c r="EY154" s="19"/>
      <c r="EZ154" s="19"/>
      <c r="FA154" s="19"/>
      <c r="FB154" s="19"/>
      <c r="FC154" s="19"/>
      <c r="FD154" s="19"/>
      <c r="FE154" s="19"/>
      <c r="FF154" s="19"/>
      <c r="FG154" s="19"/>
      <c r="FH154" s="19"/>
      <c r="FI154" s="19"/>
      <c r="FJ154" s="19"/>
      <c r="FK154" s="19"/>
      <c r="FL154" s="19">
        <v>0.82879010048151402</v>
      </c>
      <c r="FM154" s="19">
        <v>1.3069768181697996</v>
      </c>
      <c r="FN154" s="19">
        <v>2.2128027135249271</v>
      </c>
      <c r="FO154" s="19">
        <v>3.5481846186240125</v>
      </c>
      <c r="FP154" s="19">
        <v>4.9850507276136522</v>
      </c>
      <c r="FQ154" s="19">
        <v>1.523259791858708E-2</v>
      </c>
      <c r="FR154" s="19">
        <v>3.4570430251761215E-2</v>
      </c>
      <c r="FS154" s="19">
        <v>4.2435465962233895E-2</v>
      </c>
      <c r="FT154" s="19">
        <v>2.8598926395244841E-2</v>
      </c>
      <c r="FU154" s="19">
        <v>0.62119341542868145</v>
      </c>
      <c r="FV154" s="19">
        <v>5.0098619415248576E-2</v>
      </c>
      <c r="FW154" s="19">
        <v>0.17087687227378975</v>
      </c>
      <c r="FX154" s="19">
        <v>0.26332427851082091</v>
      </c>
      <c r="FY154" s="19">
        <v>0.65881275697599873</v>
      </c>
      <c r="FZ154" s="19">
        <v>15.670137560659219</v>
      </c>
      <c r="GA154" s="19"/>
      <c r="GB154" s="19"/>
      <c r="GC154" s="19"/>
      <c r="GD154" s="19"/>
      <c r="GE154" s="19"/>
      <c r="GF154" s="19"/>
      <c r="GG154" s="19"/>
      <c r="GH154" s="19">
        <v>14.985044680349594</v>
      </c>
      <c r="GI154" s="19">
        <v>649.86643033077246</v>
      </c>
      <c r="GJ154" s="17"/>
      <c r="GK154" s="17"/>
      <c r="GL154" s="17"/>
      <c r="GM154" s="17"/>
      <c r="GN154" s="17"/>
      <c r="GO154" s="17"/>
      <c r="GP154" s="17"/>
      <c r="GQ154" s="17"/>
      <c r="GR154" s="17"/>
      <c r="GS154" s="17"/>
      <c r="GT154" s="17"/>
      <c r="GU154" s="17"/>
      <c r="GV154" s="17"/>
      <c r="GW154" s="17"/>
      <c r="GX154" s="17"/>
      <c r="GY154" s="17"/>
    </row>
    <row r="155" spans="1:207" x14ac:dyDescent="0.25">
      <c r="A155" s="18" t="s">
        <v>147</v>
      </c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/>
      <c r="CN155" s="19"/>
      <c r="CO155" s="19"/>
      <c r="CP155" s="19"/>
      <c r="CQ155" s="19"/>
      <c r="CR155" s="19"/>
      <c r="CS155" s="19"/>
      <c r="CT155" s="19"/>
      <c r="CU155" s="19"/>
      <c r="CV155" s="19"/>
      <c r="CW155" s="19"/>
      <c r="CX155" s="19"/>
      <c r="CY155" s="19"/>
      <c r="CZ155" s="19"/>
      <c r="DA155" s="19"/>
      <c r="DB155" s="19"/>
      <c r="DC155" s="19"/>
      <c r="DD155" s="19"/>
      <c r="DE155" s="19"/>
      <c r="DF155" s="19"/>
      <c r="DG155" s="19"/>
      <c r="DH155" s="19"/>
      <c r="DI155" s="19"/>
      <c r="DJ155" s="19"/>
      <c r="DK155" s="19"/>
      <c r="DL155" s="19"/>
      <c r="DM155" s="19"/>
      <c r="DN155" s="19"/>
      <c r="DO155" s="19"/>
      <c r="DP155" s="19"/>
      <c r="DQ155" s="19"/>
      <c r="DR155" s="19"/>
      <c r="DS155" s="19"/>
      <c r="DT155" s="19"/>
      <c r="DU155" s="19"/>
      <c r="DV155" s="19"/>
      <c r="DW155" s="19"/>
      <c r="DX155" s="19"/>
      <c r="DY155" s="19"/>
      <c r="DZ155" s="19"/>
      <c r="EA155" s="19"/>
      <c r="EB155" s="19"/>
      <c r="EC155" s="19"/>
      <c r="ED155" s="19"/>
      <c r="EE155" s="19"/>
      <c r="EF155" s="19"/>
      <c r="EG155" s="19"/>
      <c r="EH155" s="19"/>
      <c r="EI155" s="19"/>
      <c r="EJ155" s="19"/>
      <c r="EK155" s="19"/>
      <c r="EL155" s="19"/>
      <c r="EM155" s="19"/>
      <c r="EN155" s="19"/>
      <c r="EO155" s="19"/>
      <c r="EP155" s="19"/>
      <c r="EQ155" s="19"/>
      <c r="ER155" s="19"/>
      <c r="ES155" s="19"/>
      <c r="ET155" s="19"/>
      <c r="EU155" s="19"/>
      <c r="EV155" s="19"/>
      <c r="EW155" s="19"/>
      <c r="EX155" s="19"/>
      <c r="EY155" s="19"/>
      <c r="EZ155" s="19"/>
      <c r="FA155" s="19"/>
      <c r="FB155" s="19"/>
      <c r="FC155" s="19"/>
      <c r="FD155" s="19"/>
      <c r="FE155" s="19"/>
      <c r="FF155" s="19"/>
      <c r="FG155" s="19"/>
      <c r="FH155" s="19"/>
      <c r="FI155" s="19"/>
      <c r="FJ155" s="19"/>
      <c r="FK155" s="19"/>
      <c r="FL155" s="19">
        <v>0.1189068889837305</v>
      </c>
      <c r="FM155" s="19">
        <v>0.26524714613832695</v>
      </c>
      <c r="FN155" s="19">
        <v>0.50021450989635163</v>
      </c>
      <c r="FO155" s="19">
        <v>0.91406571603211695</v>
      </c>
      <c r="FP155" s="19">
        <v>1.3775938638264238</v>
      </c>
      <c r="FQ155" s="19">
        <v>2.2023040904145912E-4</v>
      </c>
      <c r="FR155" s="19">
        <v>3.4295150696682917E-3</v>
      </c>
      <c r="FS155" s="19">
        <v>5.7014324064836328E-4</v>
      </c>
      <c r="FT155" s="19">
        <v>3.2552272312083358E-3</v>
      </c>
      <c r="FU155" s="19">
        <v>7.9523791483419981E-2</v>
      </c>
      <c r="FV155" s="19">
        <v>6.3602356240211027E-3</v>
      </c>
      <c r="FW155" s="19">
        <v>5.0618684986176339E-3</v>
      </c>
      <c r="FX155" s="19">
        <v>4.6482054187626597E-2</v>
      </c>
      <c r="FY155" s="19">
        <v>0.11486215851584257</v>
      </c>
      <c r="FZ155" s="19">
        <v>4.0251576471217811</v>
      </c>
      <c r="GA155" s="19">
        <v>570.43878638514434</v>
      </c>
      <c r="GB155" s="19"/>
      <c r="GC155" s="19"/>
      <c r="GD155" s="19"/>
      <c r="GE155" s="19"/>
      <c r="GF155" s="19"/>
      <c r="GG155" s="19"/>
      <c r="GH155" s="19">
        <v>207.3466137605194</v>
      </c>
      <c r="GI155" s="19">
        <v>785.24635114192256</v>
      </c>
      <c r="GJ155" s="17"/>
      <c r="GK155" s="17"/>
      <c r="GL155" s="17"/>
      <c r="GM155" s="17"/>
      <c r="GN155" s="17"/>
      <c r="GO155" s="17"/>
      <c r="GP155" s="17"/>
      <c r="GQ155" s="17"/>
      <c r="GR155" s="17"/>
      <c r="GS155" s="17"/>
      <c r="GT155" s="17"/>
      <c r="GU155" s="17"/>
      <c r="GV155" s="17"/>
      <c r="GW155" s="17"/>
      <c r="GX155" s="17"/>
      <c r="GY155" s="17"/>
    </row>
    <row r="156" spans="1:207" x14ac:dyDescent="0.25">
      <c r="A156" s="18" t="s">
        <v>148</v>
      </c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  <c r="CO156" s="19"/>
      <c r="CP156" s="19"/>
      <c r="CQ156" s="19"/>
      <c r="CR156" s="19"/>
      <c r="CS156" s="19"/>
      <c r="CT156" s="19"/>
      <c r="CU156" s="19"/>
      <c r="CV156" s="19"/>
      <c r="CW156" s="19"/>
      <c r="CX156" s="19"/>
      <c r="CY156" s="19"/>
      <c r="CZ156" s="19"/>
      <c r="DA156" s="19"/>
      <c r="DB156" s="19"/>
      <c r="DC156" s="19"/>
      <c r="DD156" s="19"/>
      <c r="DE156" s="19"/>
      <c r="DF156" s="19"/>
      <c r="DG156" s="19"/>
      <c r="DH156" s="19"/>
      <c r="DI156" s="19"/>
      <c r="DJ156" s="19"/>
      <c r="DK156" s="19"/>
      <c r="DL156" s="19"/>
      <c r="DM156" s="19"/>
      <c r="DN156" s="19"/>
      <c r="DO156" s="19"/>
      <c r="DP156" s="19"/>
      <c r="DQ156" s="19"/>
      <c r="DR156" s="19"/>
      <c r="DS156" s="19"/>
      <c r="DT156" s="19"/>
      <c r="DU156" s="19"/>
      <c r="DV156" s="19"/>
      <c r="DW156" s="19"/>
      <c r="DX156" s="19"/>
      <c r="DY156" s="19"/>
      <c r="DZ156" s="19"/>
      <c r="EA156" s="19"/>
      <c r="EB156" s="19"/>
      <c r="EC156" s="19"/>
      <c r="ED156" s="19"/>
      <c r="EE156" s="19"/>
      <c r="EF156" s="19"/>
      <c r="EG156" s="19"/>
      <c r="EH156" s="19"/>
      <c r="EI156" s="19"/>
      <c r="EJ156" s="19"/>
      <c r="EK156" s="19"/>
      <c r="EL156" s="19"/>
      <c r="EM156" s="19"/>
      <c r="EN156" s="19"/>
      <c r="EO156" s="19"/>
      <c r="EP156" s="19"/>
      <c r="EQ156" s="19"/>
      <c r="ER156" s="19"/>
      <c r="ES156" s="19"/>
      <c r="ET156" s="19"/>
      <c r="EU156" s="19"/>
      <c r="EV156" s="19"/>
      <c r="EW156" s="19"/>
      <c r="EX156" s="19"/>
      <c r="EY156" s="19"/>
      <c r="EZ156" s="19"/>
      <c r="FA156" s="19"/>
      <c r="FB156" s="19"/>
      <c r="FC156" s="19"/>
      <c r="FD156" s="19"/>
      <c r="FE156" s="19"/>
      <c r="FF156" s="19"/>
      <c r="FG156" s="19"/>
      <c r="FH156" s="19"/>
      <c r="FI156" s="19"/>
      <c r="FJ156" s="19"/>
      <c r="FK156" s="19"/>
      <c r="FL156" s="19">
        <v>1.4436464510151967</v>
      </c>
      <c r="FM156" s="19">
        <v>2.7970156966891695</v>
      </c>
      <c r="FN156" s="19">
        <v>5.3304725062798974</v>
      </c>
      <c r="FO156" s="19">
        <v>9.2878459223585335</v>
      </c>
      <c r="FP156" s="19">
        <v>93.156585080007844</v>
      </c>
      <c r="FQ156" s="19">
        <v>2.2007417528185819E-2</v>
      </c>
      <c r="FR156" s="19">
        <v>8.7222801470654213E-3</v>
      </c>
      <c r="FS156" s="19">
        <v>6.5902704394083855E-2</v>
      </c>
      <c r="FT156" s="19">
        <v>2.2409817941757077E-2</v>
      </c>
      <c r="FU156" s="19">
        <v>1.7550800106737809</v>
      </c>
      <c r="FV156" s="19">
        <v>8.0155248337597587E-2</v>
      </c>
      <c r="FW156" s="19">
        <v>0.64178772057528888</v>
      </c>
      <c r="FX156" s="19">
        <v>0.54837263953236981</v>
      </c>
      <c r="FY156" s="19">
        <v>1.8225050881880811</v>
      </c>
      <c r="FZ156" s="19">
        <v>48.784338042584416</v>
      </c>
      <c r="GA156" s="19">
        <v>239.60328017820788</v>
      </c>
      <c r="GB156" s="19"/>
      <c r="GC156" s="19"/>
      <c r="GD156" s="19"/>
      <c r="GE156" s="19"/>
      <c r="GF156" s="19"/>
      <c r="GG156" s="19"/>
      <c r="GH156" s="19"/>
      <c r="GI156" s="19">
        <v>405.37012680446117</v>
      </c>
      <c r="GJ156" s="17"/>
      <c r="GK156" s="17"/>
      <c r="GL156" s="17"/>
      <c r="GM156" s="17"/>
      <c r="GN156" s="17"/>
      <c r="GO156" s="17"/>
      <c r="GP156" s="17"/>
      <c r="GQ156" s="17"/>
      <c r="GR156" s="17"/>
      <c r="GS156" s="17"/>
      <c r="GT156" s="17"/>
      <c r="GU156" s="17"/>
      <c r="GV156" s="17"/>
      <c r="GW156" s="17"/>
      <c r="GX156" s="17"/>
      <c r="GY156" s="17"/>
    </row>
    <row r="157" spans="1:207" x14ac:dyDescent="0.25">
      <c r="A157" s="18" t="s">
        <v>149</v>
      </c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  <c r="CO157" s="19"/>
      <c r="CP157" s="19"/>
      <c r="CQ157" s="19"/>
      <c r="CR157" s="19"/>
      <c r="CS157" s="19"/>
      <c r="CT157" s="19"/>
      <c r="CU157" s="19"/>
      <c r="CV157" s="19"/>
      <c r="CW157" s="19"/>
      <c r="CX157" s="19"/>
      <c r="CY157" s="19"/>
      <c r="CZ157" s="19"/>
      <c r="DA157" s="19"/>
      <c r="DB157" s="19"/>
      <c r="DC157" s="19"/>
      <c r="DD157" s="19"/>
      <c r="DE157" s="19"/>
      <c r="DF157" s="19"/>
      <c r="DG157" s="19"/>
      <c r="DH157" s="19"/>
      <c r="DI157" s="19"/>
      <c r="DJ157" s="19"/>
      <c r="DK157" s="19"/>
      <c r="DL157" s="19"/>
      <c r="DM157" s="19"/>
      <c r="DN157" s="19"/>
      <c r="DO157" s="19"/>
      <c r="DP157" s="19"/>
      <c r="DQ157" s="19"/>
      <c r="DR157" s="19"/>
      <c r="DS157" s="19"/>
      <c r="DT157" s="19"/>
      <c r="DU157" s="19"/>
      <c r="DV157" s="19"/>
      <c r="DW157" s="19"/>
      <c r="DX157" s="19"/>
      <c r="DY157" s="19"/>
      <c r="DZ157" s="19"/>
      <c r="EA157" s="19"/>
      <c r="EB157" s="19"/>
      <c r="EC157" s="19"/>
      <c r="ED157" s="19"/>
      <c r="EE157" s="19"/>
      <c r="EF157" s="19"/>
      <c r="EG157" s="19"/>
      <c r="EH157" s="19"/>
      <c r="EI157" s="19"/>
      <c r="EJ157" s="19"/>
      <c r="EK157" s="19"/>
      <c r="EL157" s="19"/>
      <c r="EM157" s="19"/>
      <c r="EN157" s="19"/>
      <c r="EO157" s="19"/>
      <c r="EP157" s="19"/>
      <c r="EQ157" s="19"/>
      <c r="ER157" s="19"/>
      <c r="ES157" s="19"/>
      <c r="ET157" s="19"/>
      <c r="EU157" s="19"/>
      <c r="EV157" s="19"/>
      <c r="EW157" s="19"/>
      <c r="EX157" s="19"/>
      <c r="EY157" s="19"/>
      <c r="EZ157" s="19"/>
      <c r="FA157" s="19"/>
      <c r="FB157" s="19"/>
      <c r="FC157" s="19"/>
      <c r="FD157" s="19"/>
      <c r="FE157" s="19"/>
      <c r="FF157" s="19"/>
      <c r="FG157" s="19"/>
      <c r="FH157" s="19"/>
      <c r="FI157" s="19"/>
      <c r="FJ157" s="19"/>
      <c r="FK157" s="19"/>
      <c r="FL157" s="19">
        <v>1.7636455259382406</v>
      </c>
      <c r="FM157" s="19">
        <v>2.6952994728110844</v>
      </c>
      <c r="FN157" s="19">
        <v>3.6866878125603804</v>
      </c>
      <c r="FO157" s="19">
        <v>5.8954483601508603</v>
      </c>
      <c r="FP157" s="19">
        <v>7.3355690820415491</v>
      </c>
      <c r="FQ157" s="19">
        <v>2.6069683675665555E-2</v>
      </c>
      <c r="FR157" s="19">
        <v>1.0076357209655119E-2</v>
      </c>
      <c r="FS157" s="19">
        <v>2.9630023708515703E-2</v>
      </c>
      <c r="FT157" s="19">
        <v>4.4328116225170335E-2</v>
      </c>
      <c r="FU157" s="19">
        <v>0.30910814557524557</v>
      </c>
      <c r="FV157" s="19">
        <v>0.14498904619658223</v>
      </c>
      <c r="FW157" s="19">
        <v>0.22708066400451693</v>
      </c>
      <c r="FX157" s="19">
        <v>0.33995796907951209</v>
      </c>
      <c r="FY157" s="19">
        <v>0.78058477543394011</v>
      </c>
      <c r="FZ157" s="19">
        <v>13.414481552346921</v>
      </c>
      <c r="GA157" s="19">
        <v>262.15873985342131</v>
      </c>
      <c r="GB157" s="19"/>
      <c r="GC157" s="19"/>
      <c r="GD157" s="19"/>
      <c r="GE157" s="19"/>
      <c r="GF157" s="19"/>
      <c r="GG157" s="19"/>
      <c r="GH157" s="19"/>
      <c r="GI157" s="19">
        <v>298.86169644037915</v>
      </c>
      <c r="GJ157" s="17"/>
      <c r="GK157" s="17"/>
      <c r="GL157" s="17"/>
      <c r="GM157" s="17"/>
      <c r="GN157" s="17"/>
      <c r="GO157" s="17"/>
      <c r="GP157" s="17"/>
      <c r="GQ157" s="17"/>
      <c r="GR157" s="17"/>
      <c r="GS157" s="17"/>
      <c r="GT157" s="17"/>
      <c r="GU157" s="17"/>
      <c r="GV157" s="17"/>
      <c r="GW157" s="17"/>
      <c r="GX157" s="17"/>
      <c r="GY157" s="17"/>
    </row>
    <row r="158" spans="1:207" x14ac:dyDescent="0.25">
      <c r="A158" s="18" t="s">
        <v>150</v>
      </c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>
        <v>1.5811379671962908</v>
      </c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  <c r="CO158" s="19"/>
      <c r="CP158" s="19"/>
      <c r="CQ158" s="19"/>
      <c r="CR158" s="19"/>
      <c r="CS158" s="19"/>
      <c r="CT158" s="19"/>
      <c r="CU158" s="19"/>
      <c r="CV158" s="19"/>
      <c r="CW158" s="19"/>
      <c r="CX158" s="19"/>
      <c r="CY158" s="19"/>
      <c r="CZ158" s="19"/>
      <c r="DA158" s="19"/>
      <c r="DB158" s="19"/>
      <c r="DC158" s="19"/>
      <c r="DD158" s="19"/>
      <c r="DE158" s="19"/>
      <c r="DF158" s="19"/>
      <c r="DG158" s="19"/>
      <c r="DH158" s="19"/>
      <c r="DI158" s="19"/>
      <c r="DJ158" s="19"/>
      <c r="DK158" s="19"/>
      <c r="DL158" s="19"/>
      <c r="DM158" s="19"/>
      <c r="DN158" s="19"/>
      <c r="DO158" s="19"/>
      <c r="DP158" s="19"/>
      <c r="DQ158" s="19"/>
      <c r="DR158" s="19"/>
      <c r="DS158" s="19"/>
      <c r="DT158" s="19"/>
      <c r="DU158" s="19"/>
      <c r="DV158" s="19"/>
      <c r="DW158" s="19"/>
      <c r="DX158" s="19"/>
      <c r="DY158" s="19"/>
      <c r="DZ158" s="19"/>
      <c r="EA158" s="19"/>
      <c r="EB158" s="19"/>
      <c r="EC158" s="19"/>
      <c r="ED158" s="19"/>
      <c r="EE158" s="19"/>
      <c r="EF158" s="19"/>
      <c r="EG158" s="19"/>
      <c r="EH158" s="19"/>
      <c r="EI158" s="19"/>
      <c r="EJ158" s="19"/>
      <c r="EK158" s="19"/>
      <c r="EL158" s="19"/>
      <c r="EM158" s="19"/>
      <c r="EN158" s="19"/>
      <c r="EO158" s="19"/>
      <c r="EP158" s="19"/>
      <c r="EQ158" s="19"/>
      <c r="ER158" s="19"/>
      <c r="ES158" s="19"/>
      <c r="ET158" s="19"/>
      <c r="EU158" s="19"/>
      <c r="EV158" s="19"/>
      <c r="EW158" s="19"/>
      <c r="EX158" s="19"/>
      <c r="EY158" s="19"/>
      <c r="EZ158" s="19"/>
      <c r="FA158" s="19"/>
      <c r="FB158" s="19"/>
      <c r="FC158" s="19"/>
      <c r="FD158" s="19"/>
      <c r="FE158" s="19"/>
      <c r="FF158" s="19"/>
      <c r="FG158" s="19"/>
      <c r="FH158" s="19"/>
      <c r="FI158" s="19"/>
      <c r="FJ158" s="19"/>
      <c r="FK158" s="19"/>
      <c r="FL158" s="19">
        <v>6.4858743752378878</v>
      </c>
      <c r="FM158" s="19">
        <v>11.484169630562082</v>
      </c>
      <c r="FN158" s="19">
        <v>20.575332983199218</v>
      </c>
      <c r="FO158" s="19">
        <v>37.601576528396748</v>
      </c>
      <c r="FP158" s="19">
        <v>78.093260676259462</v>
      </c>
      <c r="FQ158" s="19">
        <v>8.169094366373561E-2</v>
      </c>
      <c r="FR158" s="19">
        <v>0.10253704788396739</v>
      </c>
      <c r="FS158" s="19">
        <v>0.14266134986319703</v>
      </c>
      <c r="FT158" s="19">
        <v>0.25584187874192493</v>
      </c>
      <c r="FU158" s="19">
        <v>4.5687609080992084</v>
      </c>
      <c r="FV158" s="19">
        <v>0.339654150296058</v>
      </c>
      <c r="FW158" s="19">
        <v>0.77883745427313078</v>
      </c>
      <c r="FX158" s="19">
        <v>2.171079635507752</v>
      </c>
      <c r="FY158" s="19">
        <v>4.615830292480231</v>
      </c>
      <c r="FZ158" s="19">
        <v>267.18769269262168</v>
      </c>
      <c r="GA158" s="19"/>
      <c r="GB158" s="19"/>
      <c r="GC158" s="19"/>
      <c r="GD158" s="19"/>
      <c r="GE158" s="19"/>
      <c r="GF158" s="19"/>
      <c r="GG158" s="19"/>
      <c r="GH158" s="19"/>
      <c r="GI158" s="19">
        <v>436.06593851428261</v>
      </c>
      <c r="GJ158" s="17"/>
      <c r="GK158" s="17"/>
      <c r="GL158" s="17"/>
      <c r="GM158" s="17"/>
      <c r="GN158" s="17"/>
      <c r="GO158" s="17"/>
      <c r="GP158" s="17"/>
      <c r="GQ158" s="17"/>
      <c r="GR158" s="17"/>
      <c r="GS158" s="17"/>
      <c r="GT158" s="17"/>
      <c r="GU158" s="17"/>
      <c r="GV158" s="17"/>
      <c r="GW158" s="17"/>
      <c r="GX158" s="17"/>
      <c r="GY158" s="17"/>
    </row>
    <row r="159" spans="1:207" x14ac:dyDescent="0.25">
      <c r="A159" s="18" t="s">
        <v>151</v>
      </c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>
        <v>11.476560279877608</v>
      </c>
      <c r="BX159" s="19">
        <v>2.3344442146451398</v>
      </c>
      <c r="BY159" s="19">
        <v>10.04973979089468</v>
      </c>
      <c r="BZ159" s="19">
        <v>1.452345808605547</v>
      </c>
      <c r="CA159" s="19">
        <v>38.09375619192199</v>
      </c>
      <c r="CB159" s="19">
        <v>3.4052334832433684</v>
      </c>
      <c r="CC159" s="19">
        <v>1.7886481311060398</v>
      </c>
      <c r="CD159" s="19">
        <v>21.460438838109933</v>
      </c>
      <c r="CE159" s="19">
        <v>9.7843361368527457</v>
      </c>
      <c r="CF159" s="19">
        <v>13.208754679834701</v>
      </c>
      <c r="CG159" s="19">
        <v>1.8605705021146446</v>
      </c>
      <c r="CH159" s="19">
        <v>22.464898775760037</v>
      </c>
      <c r="CI159" s="19">
        <v>24.326522638678686</v>
      </c>
      <c r="CJ159" s="19">
        <v>2.3052442476095516</v>
      </c>
      <c r="CK159" s="19">
        <v>3.1031821586053909</v>
      </c>
      <c r="CL159" s="19">
        <v>29.920414573276553</v>
      </c>
      <c r="CM159" s="19">
        <v>11.753085182093226</v>
      </c>
      <c r="CN159" s="19">
        <v>8.7723597585283741</v>
      </c>
      <c r="CO159" s="19">
        <v>9.082355232144403</v>
      </c>
      <c r="CP159" s="19">
        <v>2.0055349955445529</v>
      </c>
      <c r="CQ159" s="19">
        <v>5.8455453001692002</v>
      </c>
      <c r="CR159" s="19">
        <v>5.3912597182549398</v>
      </c>
      <c r="CS159" s="19">
        <v>4.336147973951924</v>
      </c>
      <c r="CT159" s="19">
        <v>1.082566793538859</v>
      </c>
      <c r="CU159" s="19">
        <v>1.8852973927673435</v>
      </c>
      <c r="CV159" s="19">
        <v>0.58740545213336504</v>
      </c>
      <c r="CW159" s="19">
        <v>54.621703004919553</v>
      </c>
      <c r="CX159" s="19">
        <v>0.19786439925457625</v>
      </c>
      <c r="CY159" s="19">
        <v>2.4423039632779848</v>
      </c>
      <c r="CZ159" s="19">
        <v>0.19870246149200463</v>
      </c>
      <c r="DA159" s="19">
        <v>8.2201944219194203E-2</v>
      </c>
      <c r="DB159" s="19">
        <v>23.133673543163603</v>
      </c>
      <c r="DC159" s="19">
        <v>6.8983096642836985</v>
      </c>
      <c r="DD159" s="19">
        <v>3.5013344383629685</v>
      </c>
      <c r="DE159" s="19">
        <v>2.27428804375822</v>
      </c>
      <c r="DF159" s="19">
        <v>2.0514338344172529</v>
      </c>
      <c r="DG159" s="19">
        <v>18.724152097001706</v>
      </c>
      <c r="DH159" s="19">
        <v>21.240813130120259</v>
      </c>
      <c r="DI159" s="19">
        <v>5.8772726456648217</v>
      </c>
      <c r="DJ159" s="19">
        <v>14.603801417205124</v>
      </c>
      <c r="DK159" s="19">
        <v>4.8741133436534643</v>
      </c>
      <c r="DL159" s="19">
        <v>16.303339997074751</v>
      </c>
      <c r="DM159" s="19">
        <v>0.11998129738773192</v>
      </c>
      <c r="DN159" s="19">
        <v>0.86528771982701469</v>
      </c>
      <c r="DO159" s="19">
        <v>27.541317639880972</v>
      </c>
      <c r="DP159" s="19">
        <v>0.32449590433719955</v>
      </c>
      <c r="DQ159" s="19">
        <v>59.464454687617561</v>
      </c>
      <c r="DR159" s="19">
        <v>10.259074089918485</v>
      </c>
      <c r="DS159" s="19">
        <v>0.11776107714553923</v>
      </c>
      <c r="DT159" s="19">
        <v>10.148217567027</v>
      </c>
      <c r="DU159" s="19">
        <v>45.975428943893355</v>
      </c>
      <c r="DV159" s="19">
        <v>17.290508407889618</v>
      </c>
      <c r="DW159" s="19">
        <v>16.335652433094747</v>
      </c>
      <c r="DX159" s="19">
        <v>4.566940651957899</v>
      </c>
      <c r="DY159" s="19">
        <v>47.037690427568656</v>
      </c>
      <c r="DZ159" s="19">
        <v>17.956464769736034</v>
      </c>
      <c r="EA159" s="19">
        <v>137.63777006558257</v>
      </c>
      <c r="EB159" s="19">
        <v>16.323693977312114</v>
      </c>
      <c r="EC159" s="19">
        <v>29.545287449085524</v>
      </c>
      <c r="ED159" s="19">
        <v>12.619507918630674</v>
      </c>
      <c r="EE159" s="19">
        <v>29.001924471259226</v>
      </c>
      <c r="EF159" s="19">
        <v>39.481340097374677</v>
      </c>
      <c r="EG159" s="19">
        <v>62.507185051744273</v>
      </c>
      <c r="EH159" s="19"/>
      <c r="EI159" s="19">
        <v>4.6364732425848876E-2</v>
      </c>
      <c r="EJ159" s="19"/>
      <c r="EK159" s="19"/>
      <c r="EL159" s="19"/>
      <c r="EM159" s="19"/>
      <c r="EN159" s="19"/>
      <c r="EO159" s="19"/>
      <c r="EP159" s="19"/>
      <c r="EQ159" s="19"/>
      <c r="ER159" s="19"/>
      <c r="ES159" s="19"/>
      <c r="ET159" s="19"/>
      <c r="EU159" s="19"/>
      <c r="EV159" s="19"/>
      <c r="EW159" s="19"/>
      <c r="EX159" s="19"/>
      <c r="EY159" s="19"/>
      <c r="EZ159" s="19"/>
      <c r="FA159" s="19"/>
      <c r="FB159" s="19"/>
      <c r="FC159" s="19"/>
      <c r="FD159" s="19"/>
      <c r="FE159" s="19"/>
      <c r="FF159" s="19"/>
      <c r="FG159" s="19"/>
      <c r="FH159" s="19"/>
      <c r="FI159" s="19"/>
      <c r="FJ159" s="19"/>
      <c r="FK159" s="19"/>
      <c r="FL159" s="19"/>
      <c r="FM159" s="19"/>
      <c r="FN159" s="19"/>
      <c r="FO159" s="19"/>
      <c r="FP159" s="19"/>
      <c r="FQ159" s="19"/>
      <c r="FR159" s="19"/>
      <c r="FS159" s="19"/>
      <c r="FT159" s="19"/>
      <c r="FU159" s="19"/>
      <c r="FV159" s="19"/>
      <c r="FW159" s="19"/>
      <c r="FX159" s="19"/>
      <c r="FY159" s="19"/>
      <c r="FZ159" s="19"/>
      <c r="GA159" s="19"/>
      <c r="GB159" s="19"/>
      <c r="GC159" s="19"/>
      <c r="GD159" s="19"/>
      <c r="GE159" s="19"/>
      <c r="GF159" s="19"/>
      <c r="GG159" s="19"/>
      <c r="GH159" s="19"/>
      <c r="GI159" s="19">
        <v>1009.9683055588291</v>
      </c>
      <c r="GJ159" s="17"/>
      <c r="GK159" s="17"/>
      <c r="GL159" s="17"/>
      <c r="GM159" s="17"/>
      <c r="GN159" s="17"/>
      <c r="GO159" s="17"/>
      <c r="GP159" s="17"/>
      <c r="GQ159" s="17"/>
      <c r="GR159" s="17"/>
      <c r="GS159" s="17"/>
      <c r="GT159" s="17"/>
      <c r="GU159" s="17"/>
      <c r="GV159" s="17"/>
      <c r="GW159" s="17"/>
      <c r="GX159" s="17"/>
      <c r="GY159" s="17"/>
    </row>
    <row r="160" spans="1:207" x14ac:dyDescent="0.25">
      <c r="A160" s="18" t="s">
        <v>152</v>
      </c>
      <c r="B160" s="19">
        <v>4.4664898960311428</v>
      </c>
      <c r="C160" s="19">
        <v>2.223797664758195</v>
      </c>
      <c r="D160" s="19">
        <v>0.76202947390769482</v>
      </c>
      <c r="E160" s="19">
        <v>0.22496337315868603</v>
      </c>
      <c r="F160" s="19">
        <v>19.459367048192313</v>
      </c>
      <c r="G160" s="19">
        <v>0.26075418290042152</v>
      </c>
      <c r="H160" s="19">
        <v>0.19286564485005059</v>
      </c>
      <c r="I160" s="19">
        <v>7.6410420381608484</v>
      </c>
      <c r="J160" s="19">
        <v>4.2307391653847688</v>
      </c>
      <c r="K160" s="19">
        <v>3.6925188266454283</v>
      </c>
      <c r="L160" s="19">
        <v>0.73741525208362235</v>
      </c>
      <c r="M160" s="19">
        <v>5.6390093798682095</v>
      </c>
      <c r="N160" s="19">
        <v>1.6151271898328312</v>
      </c>
      <c r="O160" s="19">
        <v>0.49915669214284392</v>
      </c>
      <c r="P160" s="19">
        <v>0.31489213302883484</v>
      </c>
      <c r="Q160" s="19">
        <v>14.166427613229473</v>
      </c>
      <c r="R160" s="19">
        <v>3.7683012513853189</v>
      </c>
      <c r="S160" s="19">
        <v>0.49509782263922286</v>
      </c>
      <c r="T160" s="19">
        <v>1.4750441548138271</v>
      </c>
      <c r="U160" s="19">
        <v>4.8361196824956189E-2</v>
      </c>
      <c r="V160" s="19">
        <v>3.9316885348323884</v>
      </c>
      <c r="W160" s="19">
        <v>6.4875258792387944</v>
      </c>
      <c r="X160" s="19">
        <v>1.2261783605763146</v>
      </c>
      <c r="Y160" s="19">
        <v>0.25086759270911396</v>
      </c>
      <c r="Z160" s="19">
        <v>5.6364252778426867</v>
      </c>
      <c r="AA160" s="19">
        <v>1.4430767358684109</v>
      </c>
      <c r="AB160" s="19">
        <v>49.192754853682672</v>
      </c>
      <c r="AC160" s="19">
        <v>0.21075212910919242</v>
      </c>
      <c r="AD160" s="19">
        <v>2.7335980729795084</v>
      </c>
      <c r="AE160" s="19">
        <v>16.42392867702063</v>
      </c>
      <c r="AF160" s="19">
        <v>0.10553217072667416</v>
      </c>
      <c r="AG160" s="19">
        <v>2.4133916373874686E-2</v>
      </c>
      <c r="AH160" s="19">
        <v>1.28854054132592E-2</v>
      </c>
      <c r="AI160" s="19">
        <v>4.5842792605261742E-4</v>
      </c>
      <c r="AJ160" s="19">
        <v>0.45672798638389472</v>
      </c>
      <c r="AK160" s="19">
        <v>0.11288598320770406</v>
      </c>
      <c r="AL160" s="19">
        <v>5.5984123491232489E-2</v>
      </c>
      <c r="AM160" s="19">
        <v>5.3013245841256232E-2</v>
      </c>
      <c r="AN160" s="19">
        <v>0.12951287892653612</v>
      </c>
      <c r="AO160" s="19">
        <v>1.2513224084880657E-3</v>
      </c>
      <c r="AP160" s="19">
        <v>1.629120034999312E-2</v>
      </c>
      <c r="AQ160" s="19">
        <v>0.82885567536791349</v>
      </c>
      <c r="AR160" s="19">
        <v>3.5099379591646676E-4</v>
      </c>
      <c r="AS160" s="19">
        <v>1.5371303378140624</v>
      </c>
      <c r="AT160" s="19">
        <v>0.17181196105736574</v>
      </c>
      <c r="AU160" s="19">
        <v>1.5744417143168238E-2</v>
      </c>
      <c r="AV160" s="19">
        <v>0.53017379718638724</v>
      </c>
      <c r="AW160" s="19">
        <v>5.1491168872533589E-3</v>
      </c>
      <c r="AX160" s="19">
        <v>0.43243150137849834</v>
      </c>
      <c r="AY160" s="19">
        <v>0.10789186624838053</v>
      </c>
      <c r="AZ160" s="19">
        <v>4.0752171805617458E-2</v>
      </c>
      <c r="BA160" s="19">
        <v>0.60874488068935029</v>
      </c>
      <c r="BB160" s="19">
        <v>0.4460519103885846</v>
      </c>
      <c r="BC160" s="19">
        <v>0.34485350050368918</v>
      </c>
      <c r="BD160" s="19">
        <v>4.8646801045755484E-3</v>
      </c>
      <c r="BE160" s="19">
        <v>1.2830196865464745E-2</v>
      </c>
      <c r="BF160" s="19">
        <v>1.3678661876481658E-2</v>
      </c>
      <c r="BG160" s="19">
        <v>0.77196244915515155</v>
      </c>
      <c r="BH160" s="19">
        <v>1.0129240756504947</v>
      </c>
      <c r="BI160" s="19">
        <v>0.38413166841747626</v>
      </c>
      <c r="BJ160" s="19">
        <v>11.797725459959754</v>
      </c>
      <c r="BK160" s="19">
        <v>32.902886728034908</v>
      </c>
      <c r="BL160" s="19">
        <v>5.4105673414158737</v>
      </c>
      <c r="BM160" s="19">
        <v>1.5641399838694898</v>
      </c>
      <c r="BN160" s="19">
        <v>3.1113921037729</v>
      </c>
      <c r="BO160" s="19">
        <v>1.7812435618932636</v>
      </c>
      <c r="BP160" s="19">
        <v>5.9886833567748265</v>
      </c>
      <c r="BQ160" s="19">
        <v>0.28668167240321779</v>
      </c>
      <c r="BR160" s="19">
        <v>2.6066737142436747</v>
      </c>
      <c r="BS160" s="19">
        <v>2.2169301312714564</v>
      </c>
      <c r="BT160" s="19">
        <v>0.95240150361663978</v>
      </c>
      <c r="BU160" s="19">
        <v>0.78750232058145564</v>
      </c>
      <c r="BV160" s="19">
        <v>14.484482389863041</v>
      </c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  <c r="CO160" s="19"/>
      <c r="CP160" s="19"/>
      <c r="CQ160" s="19"/>
      <c r="CR160" s="19"/>
      <c r="CS160" s="19"/>
      <c r="CT160" s="19"/>
      <c r="CU160" s="19"/>
      <c r="CV160" s="19"/>
      <c r="CW160" s="19"/>
      <c r="CX160" s="19"/>
      <c r="CY160" s="19"/>
      <c r="CZ160" s="19"/>
      <c r="DA160" s="19"/>
      <c r="DB160" s="19"/>
      <c r="DC160" s="19"/>
      <c r="DD160" s="19"/>
      <c r="DE160" s="19"/>
      <c r="DF160" s="19"/>
      <c r="DG160" s="19"/>
      <c r="DH160" s="19"/>
      <c r="DI160" s="19"/>
      <c r="DJ160" s="19"/>
      <c r="DK160" s="19"/>
      <c r="DL160" s="19"/>
      <c r="DM160" s="19"/>
      <c r="DN160" s="19"/>
      <c r="DO160" s="19"/>
      <c r="DP160" s="19"/>
      <c r="DQ160" s="19"/>
      <c r="DR160" s="19"/>
      <c r="DS160" s="19"/>
      <c r="DT160" s="19"/>
      <c r="DU160" s="19"/>
      <c r="DV160" s="19"/>
      <c r="DW160" s="19"/>
      <c r="DX160" s="19"/>
      <c r="DY160" s="19"/>
      <c r="DZ160" s="19"/>
      <c r="EA160" s="19"/>
      <c r="EB160" s="19"/>
      <c r="EC160" s="19"/>
      <c r="ED160" s="19"/>
      <c r="EE160" s="19"/>
      <c r="EF160" s="19"/>
      <c r="EG160" s="19"/>
      <c r="EH160" s="19"/>
      <c r="EI160" s="19"/>
      <c r="EJ160" s="19"/>
      <c r="EK160" s="19"/>
      <c r="EL160" s="19"/>
      <c r="EM160" s="19"/>
      <c r="EN160" s="19"/>
      <c r="EO160" s="19"/>
      <c r="EP160" s="19"/>
      <c r="EQ160" s="19"/>
      <c r="ER160" s="19"/>
      <c r="ES160" s="19"/>
      <c r="ET160" s="19"/>
      <c r="EU160" s="19"/>
      <c r="EV160" s="19"/>
      <c r="EW160" s="19"/>
      <c r="EX160" s="19"/>
      <c r="EY160" s="19"/>
      <c r="EZ160" s="19"/>
      <c r="FA160" s="19"/>
      <c r="FB160" s="19"/>
      <c r="FC160" s="19"/>
      <c r="FD160" s="19"/>
      <c r="FE160" s="19"/>
      <c r="FF160" s="19"/>
      <c r="FG160" s="19"/>
      <c r="FH160" s="19"/>
      <c r="FI160" s="19"/>
      <c r="FJ160" s="19"/>
      <c r="FK160" s="19"/>
      <c r="FL160" s="19"/>
      <c r="FM160" s="19"/>
      <c r="FN160" s="19"/>
      <c r="FO160" s="19"/>
      <c r="FP160" s="19"/>
      <c r="FQ160" s="19"/>
      <c r="FR160" s="19"/>
      <c r="FS160" s="19"/>
      <c r="FT160" s="19"/>
      <c r="FU160" s="19"/>
      <c r="FV160" s="19"/>
      <c r="FW160" s="19"/>
      <c r="FX160" s="19"/>
      <c r="FY160" s="19"/>
      <c r="FZ160" s="19"/>
      <c r="GA160" s="19"/>
      <c r="GB160" s="19"/>
      <c r="GC160" s="19"/>
      <c r="GD160" s="19"/>
      <c r="GE160" s="19"/>
      <c r="GF160" s="19"/>
      <c r="GG160" s="19"/>
      <c r="GH160" s="19"/>
      <c r="GI160" s="19">
        <v>251.58051690478368</v>
      </c>
      <c r="GJ160" s="17"/>
      <c r="GK160" s="17"/>
      <c r="GL160" s="17"/>
      <c r="GM160" s="17"/>
      <c r="GN160" s="17"/>
      <c r="GO160" s="17"/>
      <c r="GP160" s="17"/>
      <c r="GQ160" s="17"/>
      <c r="GR160" s="17"/>
      <c r="GS160" s="17"/>
      <c r="GT160" s="17"/>
      <c r="GU160" s="17"/>
      <c r="GV160" s="17"/>
      <c r="GW160" s="17"/>
      <c r="GX160" s="17"/>
      <c r="GY160" s="17"/>
    </row>
    <row r="161" spans="1:207" x14ac:dyDescent="0.25">
      <c r="A161" s="18" t="s">
        <v>153</v>
      </c>
      <c r="B161" s="19">
        <v>20.84204309568414</v>
      </c>
      <c r="C161" s="19">
        <v>6.6671930531163079</v>
      </c>
      <c r="D161" s="19">
        <v>9.4323791382665778</v>
      </c>
      <c r="E161" s="19">
        <v>2.7845902297909038</v>
      </c>
      <c r="F161" s="19">
        <v>41.611205335793684</v>
      </c>
      <c r="G161" s="19">
        <v>0.75400553028750539</v>
      </c>
      <c r="H161" s="19">
        <v>0.55769675946076258</v>
      </c>
      <c r="I161" s="19">
        <v>35.826203430398806</v>
      </c>
      <c r="J161" s="19">
        <v>19.836472727548646</v>
      </c>
      <c r="K161" s="19">
        <v>17.312943704968511</v>
      </c>
      <c r="L161" s="19">
        <v>3.4574850788526104</v>
      </c>
      <c r="M161" s="19">
        <v>23.945680348574076</v>
      </c>
      <c r="N161" s="19">
        <v>6.8585307816834291</v>
      </c>
      <c r="O161" s="19">
        <v>5.7469615370560811</v>
      </c>
      <c r="P161" s="19">
        <v>3.6254607126861593</v>
      </c>
      <c r="Q161" s="19">
        <v>47.567794262388915</v>
      </c>
      <c r="R161" s="19">
        <v>12.653139065010656</v>
      </c>
      <c r="S161" s="19">
        <v>5.7002303857194079</v>
      </c>
      <c r="T161" s="19">
        <v>16.98268731364336</v>
      </c>
      <c r="U161" s="19">
        <v>0.55679898199078248</v>
      </c>
      <c r="V161" s="19">
        <v>11.240176975861308</v>
      </c>
      <c r="W161" s="19">
        <v>18.546977557374841</v>
      </c>
      <c r="X161" s="19">
        <v>9.2673215447034618</v>
      </c>
      <c r="Y161" s="19">
        <v>1.8960297470005549</v>
      </c>
      <c r="Z161" s="19">
        <v>11.837288063281514</v>
      </c>
      <c r="AA161" s="19">
        <v>3.0306646815750011</v>
      </c>
      <c r="AB161" s="19">
        <v>146.85561587952589</v>
      </c>
      <c r="AC161" s="19">
        <v>0.6676722491010022</v>
      </c>
      <c r="AD161" s="19">
        <v>8.6601619696034948</v>
      </c>
      <c r="AE161" s="19">
        <v>32.989267897114381</v>
      </c>
      <c r="AF161" s="19">
        <v>1.3751970884193938</v>
      </c>
      <c r="AG161" s="19">
        <v>0.31449075008101607</v>
      </c>
      <c r="AH161" s="19">
        <v>0.16791061801724763</v>
      </c>
      <c r="AI161" s="19">
        <v>5.9738063267029372E-3</v>
      </c>
      <c r="AJ161" s="19">
        <v>5.9516542941348707</v>
      </c>
      <c r="AK161" s="19">
        <v>1.4710251325414729</v>
      </c>
      <c r="AL161" s="19">
        <v>0.72953302384213181</v>
      </c>
      <c r="AM161" s="19">
        <v>0.69081930966222493</v>
      </c>
      <c r="AN161" s="19">
        <v>1.6876913720828848</v>
      </c>
      <c r="AO161" s="19">
        <v>1.6306069712937122E-2</v>
      </c>
      <c r="AP161" s="19">
        <v>0.21229176974092928</v>
      </c>
      <c r="AQ161" s="19">
        <v>10.800876203314376</v>
      </c>
      <c r="AR161" s="19">
        <v>4.5738246723621414E-3</v>
      </c>
      <c r="AS161" s="19">
        <v>20.030452804366718</v>
      </c>
      <c r="AT161" s="19">
        <v>2.2388936660240137</v>
      </c>
      <c r="AU161" s="19">
        <v>9.7156185872150275E-2</v>
      </c>
      <c r="AV161" s="19">
        <v>3.2716145358442335</v>
      </c>
      <c r="AW161" s="19">
        <v>3.177434596824627E-2</v>
      </c>
      <c r="AX161" s="19">
        <v>2.2837446898228455</v>
      </c>
      <c r="AY161" s="19">
        <v>0.56979539148825586</v>
      </c>
      <c r="AZ161" s="19">
        <v>0.36615032698492755</v>
      </c>
      <c r="BA161" s="19">
        <v>5.4694541968946515</v>
      </c>
      <c r="BB161" s="19">
        <v>4.0076895440090103</v>
      </c>
      <c r="BC161" s="19">
        <v>3.0984415400878662</v>
      </c>
      <c r="BD161" s="19">
        <v>4.3708203318918074E-2</v>
      </c>
      <c r="BE161" s="19">
        <v>0.11527682009142262</v>
      </c>
      <c r="BF161" s="19">
        <v>0.12290011297262041</v>
      </c>
      <c r="BG161" s="19">
        <v>6.9359322621250321</v>
      </c>
      <c r="BH161" s="19">
        <v>6.8670142006201669</v>
      </c>
      <c r="BI161" s="19">
        <v>2.604180989810831</v>
      </c>
      <c r="BJ161" s="19">
        <v>80.293536062978774</v>
      </c>
      <c r="BK161" s="19">
        <v>123.14389836870902</v>
      </c>
      <c r="BL161" s="19">
        <v>39.800001396244326</v>
      </c>
      <c r="BM161" s="19">
        <v>9.5906372369335884</v>
      </c>
      <c r="BN161" s="19">
        <v>19.077725316710112</v>
      </c>
      <c r="BO161" s="19">
        <v>13.102784195612879</v>
      </c>
      <c r="BP161" s="19">
        <v>30.15187798207301</v>
      </c>
      <c r="BQ161" s="19">
        <v>2.920842747401533</v>
      </c>
      <c r="BR161" s="19">
        <v>26.55797264354662</v>
      </c>
      <c r="BS161" s="19">
        <v>22.448237528096485</v>
      </c>
      <c r="BT161" s="19">
        <v>9.6438470810267898</v>
      </c>
      <c r="BU161" s="19">
        <v>7.9741074817729922</v>
      </c>
      <c r="BV161" s="19">
        <v>65.591252258269364</v>
      </c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  <c r="CO161" s="19"/>
      <c r="CP161" s="19"/>
      <c r="CQ161" s="19"/>
      <c r="CR161" s="19"/>
      <c r="CS161" s="19"/>
      <c r="CT161" s="19"/>
      <c r="CU161" s="19"/>
      <c r="CV161" s="19"/>
      <c r="CW161" s="19"/>
      <c r="CX161" s="19"/>
      <c r="CY161" s="19"/>
      <c r="CZ161" s="19"/>
      <c r="DA161" s="19"/>
      <c r="DB161" s="19"/>
      <c r="DC161" s="19"/>
      <c r="DD161" s="19"/>
      <c r="DE161" s="19"/>
      <c r="DF161" s="19"/>
      <c r="DG161" s="19"/>
      <c r="DH161" s="19"/>
      <c r="DI161" s="19"/>
      <c r="DJ161" s="19"/>
      <c r="DK161" s="19"/>
      <c r="DL161" s="19"/>
      <c r="DM161" s="19"/>
      <c r="DN161" s="19"/>
      <c r="DO161" s="19"/>
      <c r="DP161" s="19"/>
      <c r="DQ161" s="19"/>
      <c r="DR161" s="19"/>
      <c r="DS161" s="19"/>
      <c r="DT161" s="19"/>
      <c r="DU161" s="19"/>
      <c r="DV161" s="19"/>
      <c r="DW161" s="19"/>
      <c r="DX161" s="19"/>
      <c r="DY161" s="19"/>
      <c r="DZ161" s="19"/>
      <c r="EA161" s="19"/>
      <c r="EB161" s="19"/>
      <c r="EC161" s="19"/>
      <c r="ED161" s="19"/>
      <c r="EE161" s="19"/>
      <c r="EF161" s="19"/>
      <c r="EG161" s="19"/>
      <c r="EH161" s="19"/>
      <c r="EI161" s="19"/>
      <c r="EJ161" s="19"/>
      <c r="EK161" s="19"/>
      <c r="EL161" s="19"/>
      <c r="EM161" s="19"/>
      <c r="EN161" s="19"/>
      <c r="EO161" s="19"/>
      <c r="EP161" s="19"/>
      <c r="EQ161" s="19"/>
      <c r="ER161" s="19"/>
      <c r="ES161" s="19"/>
      <c r="ET161" s="19"/>
      <c r="EU161" s="19"/>
      <c r="EV161" s="19"/>
      <c r="EW161" s="19"/>
      <c r="EX161" s="19"/>
      <c r="EY161" s="19"/>
      <c r="EZ161" s="19"/>
      <c r="FA161" s="19"/>
      <c r="FB161" s="19"/>
      <c r="FC161" s="19"/>
      <c r="FD161" s="19"/>
      <c r="FE161" s="19"/>
      <c r="FF161" s="19"/>
      <c r="FG161" s="19"/>
      <c r="FH161" s="19"/>
      <c r="FI161" s="19"/>
      <c r="FJ161" s="19"/>
      <c r="FK161" s="19"/>
      <c r="FL161" s="19"/>
      <c r="FM161" s="19"/>
      <c r="FN161" s="19"/>
      <c r="FO161" s="19"/>
      <c r="FP161" s="19"/>
      <c r="FQ161" s="19"/>
      <c r="FR161" s="19"/>
      <c r="FS161" s="19"/>
      <c r="FT161" s="19"/>
      <c r="FU161" s="19"/>
      <c r="FV161" s="19"/>
      <c r="FW161" s="19"/>
      <c r="FX161" s="19"/>
      <c r="FY161" s="19"/>
      <c r="FZ161" s="19"/>
      <c r="GA161" s="19"/>
      <c r="GB161" s="19"/>
      <c r="GC161" s="19"/>
      <c r="GD161" s="19"/>
      <c r="GE161" s="19"/>
      <c r="GF161" s="19"/>
      <c r="GG161" s="19"/>
      <c r="GH161" s="19"/>
      <c r="GI161" s="19">
        <v>1059.5899214162885</v>
      </c>
      <c r="GJ161" s="17"/>
      <c r="GK161" s="17"/>
      <c r="GL161" s="17"/>
      <c r="GM161" s="17"/>
      <c r="GN161" s="17"/>
      <c r="GO161" s="17"/>
      <c r="GP161" s="17"/>
      <c r="GQ161" s="17"/>
      <c r="GR161" s="17"/>
      <c r="GS161" s="17"/>
      <c r="GT161" s="17"/>
      <c r="GU161" s="17"/>
      <c r="GV161" s="17"/>
      <c r="GW161" s="17"/>
      <c r="GX161" s="17"/>
      <c r="GY161" s="17"/>
    </row>
    <row r="162" spans="1:207" x14ac:dyDescent="0.25">
      <c r="A162" s="18" t="s">
        <v>154</v>
      </c>
      <c r="B162" s="19">
        <v>1.7478147615778028</v>
      </c>
      <c r="C162" s="19">
        <v>0.92058756729425528</v>
      </c>
      <c r="D162" s="19">
        <v>0.4025896181145498</v>
      </c>
      <c r="E162" s="19">
        <v>0.11885093896077691</v>
      </c>
      <c r="F162" s="19">
        <v>4.5502600109884206</v>
      </c>
      <c r="G162" s="19">
        <v>0.11943042262170415</v>
      </c>
      <c r="H162" s="19">
        <v>8.8336168637591611E-2</v>
      </c>
      <c r="I162" s="19">
        <v>3.7021713921619743</v>
      </c>
      <c r="J162" s="19">
        <v>2.0498410331422137</v>
      </c>
      <c r="K162" s="19">
        <v>1.7890671843910666</v>
      </c>
      <c r="L162" s="19">
        <v>0.35728603988481661</v>
      </c>
      <c r="M162" s="19">
        <v>2.210540373555677</v>
      </c>
      <c r="N162" s="19">
        <v>0.63314380612653631</v>
      </c>
      <c r="O162" s="19">
        <v>0.20413868655147374</v>
      </c>
      <c r="P162" s="19">
        <v>0.12878053615978122</v>
      </c>
      <c r="Q162" s="19">
        <v>7.205105797328212</v>
      </c>
      <c r="R162" s="19">
        <v>1.9165741663113607</v>
      </c>
      <c r="S162" s="19">
        <v>0.20247874228468241</v>
      </c>
      <c r="T162" s="19">
        <v>0.60324459455099033</v>
      </c>
      <c r="U162" s="19">
        <v>1.9778140522412693E-2</v>
      </c>
      <c r="V162" s="19">
        <v>2.1297209359859139</v>
      </c>
      <c r="W162" s="19">
        <v>3.5141694377258959</v>
      </c>
      <c r="X162" s="19">
        <v>2.4534123685391815</v>
      </c>
      <c r="Y162" s="19">
        <v>0.50195116355577196</v>
      </c>
      <c r="Z162" s="19">
        <v>1.5898782440837487</v>
      </c>
      <c r="AA162" s="19">
        <v>0.40705166728985981</v>
      </c>
      <c r="AB162" s="19">
        <v>18.728539205812051</v>
      </c>
      <c r="AC162" s="19">
        <v>3.409253955235917E-2</v>
      </c>
      <c r="AD162" s="19">
        <v>0.44220336381523073</v>
      </c>
      <c r="AE162" s="19">
        <v>13.707547957288789</v>
      </c>
      <c r="AF162" s="19">
        <v>0.37242441652752356</v>
      </c>
      <c r="AG162" s="19">
        <v>8.5168907852214953E-2</v>
      </c>
      <c r="AH162" s="19">
        <v>4.5472764937078129E-2</v>
      </c>
      <c r="AI162" s="19">
        <v>1.6177981719172137E-3</v>
      </c>
      <c r="AJ162" s="19">
        <v>1.6117990624997098</v>
      </c>
      <c r="AK162" s="19">
        <v>0.39837611735620881</v>
      </c>
      <c r="AL162" s="19">
        <v>0.19756870708201121</v>
      </c>
      <c r="AM162" s="19">
        <v>0.18708444083648226</v>
      </c>
      <c r="AN162" s="19">
        <v>0.4570526507214499</v>
      </c>
      <c r="AO162" s="19">
        <v>4.415933214109392E-3</v>
      </c>
      <c r="AP162" s="19">
        <v>5.7491859999669548E-2</v>
      </c>
      <c r="AQ162" s="19">
        <v>2.9250425643561466</v>
      </c>
      <c r="AR162" s="19">
        <v>1.2386617156537893E-3</v>
      </c>
      <c r="AS162" s="19">
        <v>5.4245531504305724</v>
      </c>
      <c r="AT162" s="19">
        <v>0.60632666710669469</v>
      </c>
      <c r="AU162" s="19">
        <v>1.5167602827426453E-2</v>
      </c>
      <c r="AV162" s="19">
        <v>0.51075028768028996</v>
      </c>
      <c r="AW162" s="19">
        <v>4.96047323617452E-3</v>
      </c>
      <c r="AX162" s="19">
        <v>0.49409689543821683</v>
      </c>
      <c r="AY162" s="19">
        <v>0.12327741153552052</v>
      </c>
      <c r="AZ162" s="19">
        <v>0.39677984584854969</v>
      </c>
      <c r="BA162" s="19">
        <v>5.9269896356227951</v>
      </c>
      <c r="BB162" s="19">
        <v>4.3429442015661461</v>
      </c>
      <c r="BC162" s="19">
        <v>3.3576350095610161</v>
      </c>
      <c r="BD162" s="19">
        <v>4.7364519152570041E-2</v>
      </c>
      <c r="BE162" s="19">
        <v>0.12492005478304138</v>
      </c>
      <c r="BF162" s="19">
        <v>0.13318105785019013</v>
      </c>
      <c r="BG162" s="19">
        <v>7.5161427724062628</v>
      </c>
      <c r="BH162" s="19">
        <v>1.9212322300928442</v>
      </c>
      <c r="BI162" s="19">
        <v>0.72858979236824739</v>
      </c>
      <c r="BJ162" s="19">
        <v>25.049262534662635</v>
      </c>
      <c r="BK162" s="19">
        <v>25.497575349627414</v>
      </c>
      <c r="BL162" s="19">
        <v>10.37453080438263</v>
      </c>
      <c r="BM162" s="19">
        <v>2.7689836877510188</v>
      </c>
      <c r="BN162" s="19">
        <v>5.5080709337990719</v>
      </c>
      <c r="BO162" s="19">
        <v>3.4154581279334084</v>
      </c>
      <c r="BP162" s="19">
        <v>13.454030701464152</v>
      </c>
      <c r="BQ162" s="19">
        <v>1.7952271371745303</v>
      </c>
      <c r="BR162" s="19">
        <v>16.323231793443544</v>
      </c>
      <c r="BS162" s="19">
        <v>40.520388752238979</v>
      </c>
      <c r="BT162" s="19">
        <v>17.407711064231886</v>
      </c>
      <c r="BU162" s="19">
        <v>14.393732902601629</v>
      </c>
      <c r="BV162" s="19">
        <v>27.863615400461548</v>
      </c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9"/>
      <c r="CV162" s="19"/>
      <c r="CW162" s="19"/>
      <c r="CX162" s="19"/>
      <c r="CY162" s="19"/>
      <c r="CZ162" s="19"/>
      <c r="DA162" s="19"/>
      <c r="DB162" s="19"/>
      <c r="DC162" s="19"/>
      <c r="DD162" s="19"/>
      <c r="DE162" s="19"/>
      <c r="DF162" s="19"/>
      <c r="DG162" s="19"/>
      <c r="DH162" s="19"/>
      <c r="DI162" s="19"/>
      <c r="DJ162" s="19"/>
      <c r="DK162" s="19"/>
      <c r="DL162" s="19"/>
      <c r="DM162" s="19"/>
      <c r="DN162" s="19"/>
      <c r="DO162" s="19"/>
      <c r="DP162" s="19"/>
      <c r="DQ162" s="19"/>
      <c r="DR162" s="19"/>
      <c r="DS162" s="19"/>
      <c r="DT162" s="19"/>
      <c r="DU162" s="19"/>
      <c r="DV162" s="19"/>
      <c r="DW162" s="19"/>
      <c r="DX162" s="19"/>
      <c r="DY162" s="19"/>
      <c r="DZ162" s="19"/>
      <c r="EA162" s="19"/>
      <c r="EB162" s="19"/>
      <c r="EC162" s="19"/>
      <c r="ED162" s="19"/>
      <c r="EE162" s="19"/>
      <c r="EF162" s="19"/>
      <c r="EG162" s="19"/>
      <c r="EH162" s="19"/>
      <c r="EI162" s="19"/>
      <c r="EJ162" s="19"/>
      <c r="EK162" s="19"/>
      <c r="EL162" s="19"/>
      <c r="EM162" s="19"/>
      <c r="EN162" s="19"/>
      <c r="EO162" s="19"/>
      <c r="EP162" s="19"/>
      <c r="EQ162" s="19"/>
      <c r="ER162" s="19"/>
      <c r="ES162" s="19"/>
      <c r="ET162" s="19"/>
      <c r="EU162" s="19"/>
      <c r="EV162" s="19"/>
      <c r="EW162" s="19"/>
      <c r="EX162" s="19"/>
      <c r="EY162" s="19"/>
      <c r="EZ162" s="19"/>
      <c r="FA162" s="19"/>
      <c r="FB162" s="19"/>
      <c r="FC162" s="19"/>
      <c r="FD162" s="19"/>
      <c r="FE162" s="19"/>
      <c r="FF162" s="19"/>
      <c r="FG162" s="19"/>
      <c r="FH162" s="19"/>
      <c r="FI162" s="19"/>
      <c r="FJ162" s="19"/>
      <c r="FK162" s="19"/>
      <c r="FL162" s="19"/>
      <c r="FM162" s="19"/>
      <c r="FN162" s="19"/>
      <c r="FO162" s="19"/>
      <c r="FP162" s="19"/>
      <c r="FQ162" s="19"/>
      <c r="FR162" s="19"/>
      <c r="FS162" s="19"/>
      <c r="FT162" s="19"/>
      <c r="FU162" s="19"/>
      <c r="FV162" s="19"/>
      <c r="FW162" s="19"/>
      <c r="FX162" s="19"/>
      <c r="FY162" s="19"/>
      <c r="FZ162" s="19"/>
      <c r="GA162" s="19"/>
      <c r="GB162" s="19"/>
      <c r="GC162" s="19"/>
      <c r="GD162" s="19"/>
      <c r="GE162" s="19"/>
      <c r="GF162" s="19"/>
      <c r="GG162" s="19"/>
      <c r="GH162" s="19"/>
      <c r="GI162" s="19">
        <v>314.87007154736432</v>
      </c>
      <c r="GJ162" s="17"/>
      <c r="GK162" s="17"/>
      <c r="GL162" s="17"/>
      <c r="GM162" s="17"/>
      <c r="GN162" s="17"/>
      <c r="GO162" s="17"/>
      <c r="GP162" s="17"/>
      <c r="GQ162" s="17"/>
      <c r="GR162" s="17"/>
      <c r="GS162" s="17"/>
      <c r="GT162" s="17"/>
      <c r="GU162" s="17"/>
      <c r="GV162" s="17"/>
      <c r="GW162" s="17"/>
      <c r="GX162" s="17"/>
      <c r="GY162" s="17"/>
    </row>
    <row r="163" spans="1:207" x14ac:dyDescent="0.25">
      <c r="A163" s="18" t="s">
        <v>155</v>
      </c>
      <c r="B163" s="19">
        <v>0.16159302224677863</v>
      </c>
      <c r="C163" s="19">
        <v>4.1848675751543739E-2</v>
      </c>
      <c r="D163" s="19">
        <v>2.549555581855862E-2</v>
      </c>
      <c r="E163" s="19">
        <v>7.5266986827772827E-3</v>
      </c>
      <c r="F163" s="19">
        <v>0.49235998342832665</v>
      </c>
      <c r="G163" s="19">
        <v>3.5679610334760216E-3</v>
      </c>
      <c r="H163" s="19">
        <v>2.6390261428097437E-3</v>
      </c>
      <c r="I163" s="19">
        <v>0.26813697060405789</v>
      </c>
      <c r="J163" s="19">
        <v>0.14846372753306555</v>
      </c>
      <c r="K163" s="19">
        <v>0.12957667385291163</v>
      </c>
      <c r="L163" s="19">
        <v>2.5877137016579239E-2</v>
      </c>
      <c r="M163" s="19">
        <v>0.13444119288568768</v>
      </c>
      <c r="N163" s="19">
        <v>3.8506697087336492E-2</v>
      </c>
      <c r="O163" s="19">
        <v>2.4703788690754239E-2</v>
      </c>
      <c r="P163" s="19">
        <v>1.5584342225945919E-2</v>
      </c>
      <c r="Q163" s="19">
        <v>0.51572570000079954</v>
      </c>
      <c r="R163" s="19">
        <v>0.13718418317894823</v>
      </c>
      <c r="S163" s="19">
        <v>2.4502910978165929E-2</v>
      </c>
      <c r="T163" s="19">
        <v>7.3001483669631231E-2</v>
      </c>
      <c r="U163" s="19">
        <v>2.3934463986987945E-3</v>
      </c>
      <c r="V163" s="19">
        <v>0.24811196180037437</v>
      </c>
      <c r="W163" s="19">
        <v>0.40939986951363527</v>
      </c>
      <c r="X163" s="19">
        <v>2.3760767434731953</v>
      </c>
      <c r="Y163" s="19">
        <v>0.48612883075759739</v>
      </c>
      <c r="Z163" s="19">
        <v>0.26665712248324486</v>
      </c>
      <c r="AA163" s="19">
        <v>6.8271408018464305E-2</v>
      </c>
      <c r="AB163" s="19"/>
      <c r="AC163" s="19"/>
      <c r="AD163" s="19"/>
      <c r="AE163" s="19">
        <v>0.55751716412760366</v>
      </c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>
        <v>1.384728481581959E-3</v>
      </c>
      <c r="AV163" s="19">
        <v>4.6629020971475338E-2</v>
      </c>
      <c r="AW163" s="19">
        <v>4.5286711752732281E-4</v>
      </c>
      <c r="AX163" s="19">
        <v>8.1099736931519086E-3</v>
      </c>
      <c r="AY163" s="19">
        <v>2.0234423121121346E-3</v>
      </c>
      <c r="AZ163" s="19">
        <v>9.4880665573846316E-4</v>
      </c>
      <c r="BA163" s="19">
        <v>1.4173016279960713E-2</v>
      </c>
      <c r="BB163" s="19">
        <v>1.0385140291423867E-2</v>
      </c>
      <c r="BC163" s="19">
        <v>8.0290026772881131E-3</v>
      </c>
      <c r="BD163" s="19">
        <v>1.1326122404655556E-4</v>
      </c>
      <c r="BE163" s="19">
        <v>2.9871723741382752E-4</v>
      </c>
      <c r="BF163" s="19">
        <v>3.184715036024846E-4</v>
      </c>
      <c r="BG163" s="19">
        <v>1.7973106150814017E-2</v>
      </c>
      <c r="BH163" s="19">
        <v>4.7091109789902566E-2</v>
      </c>
      <c r="BI163" s="19">
        <v>1.7858383472235111E-2</v>
      </c>
      <c r="BJ163" s="19">
        <v>0.84274231145933765</v>
      </c>
      <c r="BK163" s="19">
        <v>1.583576238919449</v>
      </c>
      <c r="BL163" s="19">
        <v>0.26011660119186492</v>
      </c>
      <c r="BM163" s="19">
        <v>0.17979405260769646</v>
      </c>
      <c r="BN163" s="19">
        <v>0.3576468866968065</v>
      </c>
      <c r="BO163" s="19">
        <v>8.5634461596650113E-2</v>
      </c>
      <c r="BP163" s="19">
        <v>1.775551631925069</v>
      </c>
      <c r="BQ163" s="19">
        <v>0.74648973053309498</v>
      </c>
      <c r="BR163" s="19">
        <v>6.787511535779716</v>
      </c>
      <c r="BS163" s="19">
        <v>33.497373077649854</v>
      </c>
      <c r="BT163" s="19">
        <v>14.390597175953511</v>
      </c>
      <c r="BU163" s="19">
        <v>11.899003337964002</v>
      </c>
      <c r="BV163" s="19">
        <v>4.8583012851783138</v>
      </c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  <c r="CO163" s="19"/>
      <c r="CP163" s="19"/>
      <c r="CQ163" s="19"/>
      <c r="CR163" s="19"/>
      <c r="CS163" s="19"/>
      <c r="CT163" s="19"/>
      <c r="CU163" s="19"/>
      <c r="CV163" s="19"/>
      <c r="CW163" s="19"/>
      <c r="CX163" s="19"/>
      <c r="CY163" s="19"/>
      <c r="CZ163" s="19"/>
      <c r="DA163" s="19"/>
      <c r="DB163" s="19"/>
      <c r="DC163" s="19"/>
      <c r="DD163" s="19"/>
      <c r="DE163" s="19"/>
      <c r="DF163" s="19"/>
      <c r="DG163" s="19"/>
      <c r="DH163" s="19"/>
      <c r="DI163" s="19"/>
      <c r="DJ163" s="19"/>
      <c r="DK163" s="19"/>
      <c r="DL163" s="19"/>
      <c r="DM163" s="19"/>
      <c r="DN163" s="19"/>
      <c r="DO163" s="19"/>
      <c r="DP163" s="19"/>
      <c r="DQ163" s="19"/>
      <c r="DR163" s="19"/>
      <c r="DS163" s="19"/>
      <c r="DT163" s="19"/>
      <c r="DU163" s="19"/>
      <c r="DV163" s="19"/>
      <c r="DW163" s="19"/>
      <c r="DX163" s="19"/>
      <c r="DY163" s="19"/>
      <c r="DZ163" s="19"/>
      <c r="EA163" s="19"/>
      <c r="EB163" s="19"/>
      <c r="EC163" s="19"/>
      <c r="ED163" s="19"/>
      <c r="EE163" s="19"/>
      <c r="EF163" s="19"/>
      <c r="EG163" s="19"/>
      <c r="EH163" s="19"/>
      <c r="EI163" s="19"/>
      <c r="EJ163" s="19"/>
      <c r="EK163" s="19"/>
      <c r="EL163" s="19"/>
      <c r="EM163" s="19"/>
      <c r="EN163" s="19"/>
      <c r="EO163" s="19"/>
      <c r="EP163" s="19"/>
      <c r="EQ163" s="19"/>
      <c r="ER163" s="19"/>
      <c r="ES163" s="19"/>
      <c r="ET163" s="19"/>
      <c r="EU163" s="19"/>
      <c r="EV163" s="19"/>
      <c r="EW163" s="19"/>
      <c r="EX163" s="19"/>
      <c r="EY163" s="19"/>
      <c r="EZ163" s="19"/>
      <c r="FA163" s="19"/>
      <c r="FB163" s="19"/>
      <c r="FC163" s="19"/>
      <c r="FD163" s="19"/>
      <c r="FE163" s="19"/>
      <c r="FF163" s="19"/>
      <c r="FG163" s="19"/>
      <c r="FH163" s="19"/>
      <c r="FI163" s="19"/>
      <c r="FJ163" s="19"/>
      <c r="FK163" s="19"/>
      <c r="FL163" s="19"/>
      <c r="FM163" s="19"/>
      <c r="FN163" s="19"/>
      <c r="FO163" s="19"/>
      <c r="FP163" s="19"/>
      <c r="FQ163" s="19"/>
      <c r="FR163" s="19"/>
      <c r="FS163" s="19"/>
      <c r="FT163" s="19"/>
      <c r="FU163" s="19"/>
      <c r="FV163" s="19"/>
      <c r="FW163" s="19"/>
      <c r="FX163" s="19"/>
      <c r="FY163" s="19"/>
      <c r="FZ163" s="19"/>
      <c r="GA163" s="19"/>
      <c r="GB163" s="19"/>
      <c r="GC163" s="19"/>
      <c r="GD163" s="19"/>
      <c r="GE163" s="19"/>
      <c r="GF163" s="19"/>
      <c r="GG163" s="19"/>
      <c r="GH163" s="19"/>
      <c r="GI163" s="19">
        <v>84.125419652714612</v>
      </c>
      <c r="GJ163" s="17"/>
      <c r="GK163" s="17"/>
      <c r="GL163" s="17"/>
      <c r="GM163" s="17"/>
      <c r="GN163" s="17"/>
      <c r="GO163" s="17"/>
      <c r="GP163" s="17"/>
      <c r="GQ163" s="17"/>
      <c r="GR163" s="17"/>
      <c r="GS163" s="17"/>
      <c r="GT163" s="17"/>
      <c r="GU163" s="17"/>
      <c r="GV163" s="17"/>
      <c r="GW163" s="17"/>
      <c r="GX163" s="17"/>
      <c r="GY163" s="17"/>
    </row>
    <row r="164" spans="1:207" x14ac:dyDescent="0.25">
      <c r="A164" s="18" t="s">
        <v>156</v>
      </c>
      <c r="B164" s="19">
        <v>0.36037545818800404</v>
      </c>
      <c r="C164" s="19">
        <v>0.18130994675022782</v>
      </c>
      <c r="D164" s="19">
        <v>3.779528348598047E-2</v>
      </c>
      <c r="E164" s="19">
        <v>1.1157776376934297E-2</v>
      </c>
      <c r="F164" s="19">
        <v>0.64583733900689422</v>
      </c>
      <c r="G164" s="19">
        <v>5.115305514986089E-3</v>
      </c>
      <c r="H164" s="19">
        <v>3.7835124475436265E-3</v>
      </c>
      <c r="I164" s="19">
        <v>0.39752093566309665</v>
      </c>
      <c r="J164" s="19">
        <v>0.22010183731106162</v>
      </c>
      <c r="K164" s="19">
        <v>0.19210122540760075</v>
      </c>
      <c r="L164" s="19">
        <v>3.8363615789120342E-2</v>
      </c>
      <c r="M164" s="19">
        <v>0.34951862493645341</v>
      </c>
      <c r="N164" s="19">
        <v>0.10010925615822309</v>
      </c>
      <c r="O164" s="19"/>
      <c r="P164" s="19"/>
      <c r="Q164" s="19">
        <v>0.95872680512535946</v>
      </c>
      <c r="R164" s="19">
        <v>0.25502346238064383</v>
      </c>
      <c r="S164" s="19"/>
      <c r="T164" s="19"/>
      <c r="U164" s="19"/>
      <c r="V164" s="19">
        <v>0.38171413947562971</v>
      </c>
      <c r="W164" s="19">
        <v>0.62985161117933885</v>
      </c>
      <c r="X164" s="19">
        <v>0.11756085238508956</v>
      </c>
      <c r="Y164" s="19">
        <v>2.4052135466505316E-2</v>
      </c>
      <c r="Z164" s="19">
        <v>0.25539701355128014</v>
      </c>
      <c r="AA164" s="19">
        <v>6.5388516745703257E-2</v>
      </c>
      <c r="AB164" s="19">
        <v>0.35840615592379665</v>
      </c>
      <c r="AC164" s="19">
        <v>4.3599395862885838E-3</v>
      </c>
      <c r="AD164" s="19">
        <v>5.6551373890085667E-2</v>
      </c>
      <c r="AE164" s="19">
        <v>0.43245560942160927</v>
      </c>
      <c r="AF164" s="19">
        <v>1.5529891418977078E-2</v>
      </c>
      <c r="AG164" s="19">
        <v>3.5514961761912633E-3</v>
      </c>
      <c r="AH164" s="19">
        <v>1.8961890538165115E-3</v>
      </c>
      <c r="AI164" s="19">
        <v>6.7461285653480142E-5</v>
      </c>
      <c r="AJ164" s="19">
        <v>6.7211126121156581E-2</v>
      </c>
      <c r="AK164" s="19">
        <v>1.661206293652975E-2</v>
      </c>
      <c r="AL164" s="19">
        <v>8.2385054056856345E-3</v>
      </c>
      <c r="AM164" s="19">
        <v>7.8013173235538663E-3</v>
      </c>
      <c r="AN164" s="19">
        <v>1.9058841803770953E-2</v>
      </c>
      <c r="AO164" s="19">
        <v>1.8414196353719754E-4</v>
      </c>
      <c r="AP164" s="19">
        <v>2.3973786455644889E-3</v>
      </c>
      <c r="AQ164" s="19">
        <v>0.12197265110565086</v>
      </c>
      <c r="AR164" s="19">
        <v>5.1651505903683343E-5</v>
      </c>
      <c r="AS164" s="19">
        <v>0.22620085494966727</v>
      </c>
      <c r="AT164" s="19">
        <v>2.5283485418044111E-2</v>
      </c>
      <c r="AU164" s="19">
        <v>3.2657933952939658E-2</v>
      </c>
      <c r="AV164" s="19">
        <v>1.0997155813802391</v>
      </c>
      <c r="AW164" s="19">
        <v>1.0680580785605876E-2</v>
      </c>
      <c r="AX164" s="19">
        <v>1.0161832955428076</v>
      </c>
      <c r="AY164" s="19">
        <v>0.25353821786118991</v>
      </c>
      <c r="AZ164" s="19"/>
      <c r="BA164" s="19"/>
      <c r="BB164" s="19"/>
      <c r="BC164" s="19"/>
      <c r="BD164" s="19"/>
      <c r="BE164" s="19"/>
      <c r="BF164" s="19"/>
      <c r="BG164" s="19"/>
      <c r="BH164" s="19">
        <v>0.12505689770132244</v>
      </c>
      <c r="BI164" s="19">
        <v>4.7425385491279469E-2</v>
      </c>
      <c r="BJ164" s="19">
        <v>16.942568529072101</v>
      </c>
      <c r="BK164" s="19">
        <v>14.836158467240192</v>
      </c>
      <c r="BL164" s="19">
        <v>4.8917155388356637</v>
      </c>
      <c r="BM164" s="19">
        <v>1.1373155310743193</v>
      </c>
      <c r="BN164" s="19">
        <v>2.2623515793827944</v>
      </c>
      <c r="BO164" s="19">
        <v>1.6104294171642446</v>
      </c>
      <c r="BP164" s="19">
        <v>1.9053580260559859</v>
      </c>
      <c r="BQ164" s="19">
        <v>0.2511424800877558</v>
      </c>
      <c r="BR164" s="19">
        <v>2.2835310534046216</v>
      </c>
      <c r="BS164" s="19">
        <v>0.3076531579161953</v>
      </c>
      <c r="BT164" s="19">
        <v>0.13216895113593177</v>
      </c>
      <c r="BU164" s="19">
        <v>0.10928516527233337</v>
      </c>
      <c r="BV164" s="19">
        <v>8.9335182845210852</v>
      </c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  <c r="CO164" s="19"/>
      <c r="CP164" s="19"/>
      <c r="CQ164" s="19"/>
      <c r="CR164" s="19"/>
      <c r="CS164" s="19"/>
      <c r="CT164" s="19"/>
      <c r="CU164" s="19"/>
      <c r="CV164" s="19"/>
      <c r="CW164" s="19"/>
      <c r="CX164" s="19"/>
      <c r="CY164" s="19"/>
      <c r="CZ164" s="19"/>
      <c r="DA164" s="19"/>
      <c r="DB164" s="19"/>
      <c r="DC164" s="19"/>
      <c r="DD164" s="19"/>
      <c r="DE164" s="19"/>
      <c r="DF164" s="19"/>
      <c r="DG164" s="19"/>
      <c r="DH164" s="19"/>
      <c r="DI164" s="19"/>
      <c r="DJ164" s="19"/>
      <c r="DK164" s="19"/>
      <c r="DL164" s="19"/>
      <c r="DM164" s="19"/>
      <c r="DN164" s="19"/>
      <c r="DO164" s="19"/>
      <c r="DP164" s="19"/>
      <c r="DQ164" s="19"/>
      <c r="DR164" s="19"/>
      <c r="DS164" s="19"/>
      <c r="DT164" s="19"/>
      <c r="DU164" s="19"/>
      <c r="DV164" s="19"/>
      <c r="DW164" s="19"/>
      <c r="DX164" s="19"/>
      <c r="DY164" s="19"/>
      <c r="DZ164" s="19"/>
      <c r="EA164" s="19"/>
      <c r="EB164" s="19"/>
      <c r="EC164" s="19"/>
      <c r="ED164" s="19"/>
      <c r="EE164" s="19"/>
      <c r="EF164" s="19"/>
      <c r="EG164" s="19"/>
      <c r="EH164" s="19"/>
      <c r="EI164" s="19"/>
      <c r="EJ164" s="19"/>
      <c r="EK164" s="19"/>
      <c r="EL164" s="19"/>
      <c r="EM164" s="19"/>
      <c r="EN164" s="19"/>
      <c r="EO164" s="19"/>
      <c r="EP164" s="19"/>
      <c r="EQ164" s="19"/>
      <c r="ER164" s="19"/>
      <c r="ES164" s="19"/>
      <c r="ET164" s="19"/>
      <c r="EU164" s="19"/>
      <c r="EV164" s="19"/>
      <c r="EW164" s="19"/>
      <c r="EX164" s="19"/>
      <c r="EY164" s="19"/>
      <c r="EZ164" s="19"/>
      <c r="FA164" s="19"/>
      <c r="FB164" s="19"/>
      <c r="FC164" s="19"/>
      <c r="FD164" s="19"/>
      <c r="FE164" s="19"/>
      <c r="FF164" s="19"/>
      <c r="FG164" s="19"/>
      <c r="FH164" s="19"/>
      <c r="FI164" s="19"/>
      <c r="FJ164" s="19"/>
      <c r="FK164" s="19"/>
      <c r="FL164" s="19"/>
      <c r="FM164" s="19"/>
      <c r="FN164" s="19"/>
      <c r="FO164" s="19"/>
      <c r="FP164" s="19"/>
      <c r="FQ164" s="19"/>
      <c r="FR164" s="19"/>
      <c r="FS164" s="19"/>
      <c r="FT164" s="19"/>
      <c r="FU164" s="19"/>
      <c r="FV164" s="19"/>
      <c r="FW164" s="19"/>
      <c r="FX164" s="19"/>
      <c r="FY164" s="19"/>
      <c r="FZ164" s="19"/>
      <c r="GA164" s="19"/>
      <c r="GB164" s="19"/>
      <c r="GC164" s="19"/>
      <c r="GD164" s="19"/>
      <c r="GE164" s="19"/>
      <c r="GF164" s="19"/>
      <c r="GG164" s="19"/>
      <c r="GH164" s="19"/>
      <c r="GI164" s="19">
        <v>64.787088861159759</v>
      </c>
      <c r="GJ164" s="17"/>
      <c r="GK164" s="17"/>
      <c r="GL164" s="17"/>
      <c r="GM164" s="17"/>
      <c r="GN164" s="17"/>
      <c r="GO164" s="17"/>
      <c r="GP164" s="17"/>
      <c r="GQ164" s="17"/>
      <c r="GR164" s="17"/>
      <c r="GS164" s="17"/>
      <c r="GT164" s="17"/>
      <c r="GU164" s="17"/>
      <c r="GV164" s="17"/>
      <c r="GW164" s="17"/>
      <c r="GX164" s="17"/>
      <c r="GY164" s="17"/>
    </row>
    <row r="165" spans="1:207" x14ac:dyDescent="0.25">
      <c r="A165" s="18" t="s">
        <v>157</v>
      </c>
      <c r="B165" s="19">
        <v>2.0120246083010378</v>
      </c>
      <c r="C165" s="19">
        <v>0.30432193629380921</v>
      </c>
      <c r="D165" s="19">
        <v>0.19502929645488379</v>
      </c>
      <c r="E165" s="19">
        <v>5.7575789254275707E-2</v>
      </c>
      <c r="F165" s="19">
        <v>1.8950105846734664</v>
      </c>
      <c r="G165" s="19">
        <v>4.49175340372375E-2</v>
      </c>
      <c r="H165" s="19">
        <v>3.3223049658513845E-2</v>
      </c>
      <c r="I165" s="19">
        <v>1.0731571943942204</v>
      </c>
      <c r="J165" s="19">
        <v>0.59419227773688232</v>
      </c>
      <c r="K165" s="19">
        <v>0.51860114424974846</v>
      </c>
      <c r="L165" s="19">
        <v>0.10356735103371359</v>
      </c>
      <c r="M165" s="19">
        <v>1.043954073149105</v>
      </c>
      <c r="N165" s="19">
        <v>0.29900971871042692</v>
      </c>
      <c r="O165" s="19"/>
      <c r="P165" s="19"/>
      <c r="Q165" s="19">
        <v>2.763405592088644</v>
      </c>
      <c r="R165" s="19">
        <v>0.73507203333522197</v>
      </c>
      <c r="S165" s="19"/>
      <c r="T165" s="19"/>
      <c r="U165" s="19"/>
      <c r="V165" s="19">
        <v>1.0700038933120661</v>
      </c>
      <c r="W165" s="19">
        <v>1.7655716843410194</v>
      </c>
      <c r="X165" s="19">
        <v>1.0314986079486079</v>
      </c>
      <c r="Y165" s="19">
        <v>0.21103746484095953</v>
      </c>
      <c r="Z165" s="19">
        <v>0.76951077825074066</v>
      </c>
      <c r="AA165" s="19">
        <v>0.19701549250709904</v>
      </c>
      <c r="AB165" s="19">
        <v>10.47119391294067</v>
      </c>
      <c r="AC165" s="19">
        <v>6.5399093794328749E-3</v>
      </c>
      <c r="AD165" s="19">
        <v>8.482706083512849E-2</v>
      </c>
      <c r="AE165" s="19">
        <v>1.9367336368528179</v>
      </c>
      <c r="AF165" s="19">
        <v>0.5336330423554877</v>
      </c>
      <c r="AG165" s="19">
        <v>0.12203534836688883</v>
      </c>
      <c r="AH165" s="19">
        <v>6.5156227198910344E-2</v>
      </c>
      <c r="AI165" s="19">
        <v>2.3180826016908781E-3</v>
      </c>
      <c r="AJ165" s="19">
        <v>2.309486701777185</v>
      </c>
      <c r="AK165" s="19">
        <v>0.57081826559255566</v>
      </c>
      <c r="AL165" s="19">
        <v>0.28308882435108068</v>
      </c>
      <c r="AM165" s="19">
        <v>0.26806631066727904</v>
      </c>
      <c r="AN165" s="19">
        <v>0.65489367962291589</v>
      </c>
      <c r="AO165" s="19">
        <v>6.3274258381222142E-3</v>
      </c>
      <c r="AP165" s="19">
        <v>8.2377939793407975E-2</v>
      </c>
      <c r="AQ165" s="19">
        <v>4.1911842869768225</v>
      </c>
      <c r="AR165" s="19">
        <v>1.7748321281849948E-3</v>
      </c>
      <c r="AS165" s="19">
        <v>7.772639689077371</v>
      </c>
      <c r="AT165" s="19">
        <v>0.86878284470775702</v>
      </c>
      <c r="AU165" s="19">
        <v>0.15017472665891246</v>
      </c>
      <c r="AV165" s="19">
        <v>5.0569483995621436</v>
      </c>
      <c r="AW165" s="19">
        <v>4.9113740702277864E-2</v>
      </c>
      <c r="AX165" s="19">
        <v>0.96819236913653539</v>
      </c>
      <c r="AY165" s="19">
        <v>0.24156445878846833</v>
      </c>
      <c r="AZ165" s="19">
        <v>1.1595416680736855E-2</v>
      </c>
      <c r="BA165" s="19">
        <v>0.17320918692449816</v>
      </c>
      <c r="BB165" s="19">
        <v>0.12691735269631402</v>
      </c>
      <c r="BC165" s="19">
        <v>9.8122869407410857E-2</v>
      </c>
      <c r="BD165" s="19">
        <v>1.3841714522627845E-3</v>
      </c>
      <c r="BE165" s="19">
        <v>3.6506392704803111E-3</v>
      </c>
      <c r="BF165" s="19">
        <v>3.892057209840562E-3</v>
      </c>
      <c r="BG165" s="19">
        <v>0.2196502876590799</v>
      </c>
      <c r="BH165" s="19">
        <v>6.4220604157081738</v>
      </c>
      <c r="BI165" s="19">
        <v>2.4354409589677988</v>
      </c>
      <c r="BJ165" s="19">
        <v>119.54254491045957</v>
      </c>
      <c r="BK165" s="19">
        <v>103.86377618710962</v>
      </c>
      <c r="BL165" s="19">
        <v>70.676030750089424</v>
      </c>
      <c r="BM165" s="19">
        <v>5.4346194046066296</v>
      </c>
      <c r="BN165" s="19">
        <v>10.81056176357866</v>
      </c>
      <c r="BO165" s="19">
        <v>23.267656940542402</v>
      </c>
      <c r="BP165" s="19">
        <v>32.065335566844205</v>
      </c>
      <c r="BQ165" s="19">
        <v>5.3397905510781474</v>
      </c>
      <c r="BR165" s="19">
        <v>48.552429432897085</v>
      </c>
      <c r="BS165" s="19">
        <v>21.633166878506287</v>
      </c>
      <c r="BT165" s="19">
        <v>9.2936896713396013</v>
      </c>
      <c r="BU165" s="19">
        <v>7.6845764681717705</v>
      </c>
      <c r="BV165" s="19">
        <v>68.36219110246688</v>
      </c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  <c r="CO165" s="19"/>
      <c r="CP165" s="19"/>
      <c r="CQ165" s="19"/>
      <c r="CR165" s="19"/>
      <c r="CS165" s="19"/>
      <c r="CT165" s="19"/>
      <c r="CU165" s="19"/>
      <c r="CV165" s="19"/>
      <c r="CW165" s="19"/>
      <c r="CX165" s="19"/>
      <c r="CY165" s="19"/>
      <c r="CZ165" s="19"/>
      <c r="DA165" s="19"/>
      <c r="DB165" s="19"/>
      <c r="DC165" s="19"/>
      <c r="DD165" s="19"/>
      <c r="DE165" s="19"/>
      <c r="DF165" s="19"/>
      <c r="DG165" s="19"/>
      <c r="DH165" s="19"/>
      <c r="DI165" s="19"/>
      <c r="DJ165" s="19"/>
      <c r="DK165" s="19"/>
      <c r="DL165" s="19"/>
      <c r="DM165" s="19"/>
      <c r="DN165" s="19"/>
      <c r="DO165" s="19"/>
      <c r="DP165" s="19"/>
      <c r="DQ165" s="19"/>
      <c r="DR165" s="19"/>
      <c r="DS165" s="19"/>
      <c r="DT165" s="19"/>
      <c r="DU165" s="19"/>
      <c r="DV165" s="19"/>
      <c r="DW165" s="19"/>
      <c r="DX165" s="19"/>
      <c r="DY165" s="19"/>
      <c r="DZ165" s="19"/>
      <c r="EA165" s="19"/>
      <c r="EB165" s="19"/>
      <c r="EC165" s="19"/>
      <c r="ED165" s="19"/>
      <c r="EE165" s="19"/>
      <c r="EF165" s="19"/>
      <c r="EG165" s="19"/>
      <c r="EH165" s="19"/>
      <c r="EI165" s="19"/>
      <c r="EJ165" s="19"/>
      <c r="EK165" s="19"/>
      <c r="EL165" s="19"/>
      <c r="EM165" s="19"/>
      <c r="EN165" s="19"/>
      <c r="EO165" s="19"/>
      <c r="EP165" s="19"/>
      <c r="EQ165" s="19"/>
      <c r="ER165" s="19"/>
      <c r="ES165" s="19"/>
      <c r="ET165" s="19"/>
      <c r="EU165" s="19"/>
      <c r="EV165" s="19"/>
      <c r="EW165" s="19"/>
      <c r="EX165" s="19"/>
      <c r="EY165" s="19"/>
      <c r="EZ165" s="19"/>
      <c r="FA165" s="19"/>
      <c r="FB165" s="19"/>
      <c r="FC165" s="19"/>
      <c r="FD165" s="19"/>
      <c r="FE165" s="19"/>
      <c r="FF165" s="19"/>
      <c r="FG165" s="19"/>
      <c r="FH165" s="19"/>
      <c r="FI165" s="19"/>
      <c r="FJ165" s="19"/>
      <c r="FK165" s="19"/>
      <c r="FL165" s="19"/>
      <c r="FM165" s="19"/>
      <c r="FN165" s="19"/>
      <c r="FO165" s="19"/>
      <c r="FP165" s="19"/>
      <c r="FQ165" s="19"/>
      <c r="FR165" s="19"/>
      <c r="FS165" s="19"/>
      <c r="FT165" s="19"/>
      <c r="FU165" s="19"/>
      <c r="FV165" s="19"/>
      <c r="FW165" s="19"/>
      <c r="FX165" s="19"/>
      <c r="FY165" s="19"/>
      <c r="FZ165" s="19"/>
      <c r="GA165" s="19"/>
      <c r="GB165" s="19"/>
      <c r="GC165" s="19"/>
      <c r="GD165" s="19"/>
      <c r="GE165" s="19"/>
      <c r="GF165" s="19"/>
      <c r="GG165" s="19"/>
      <c r="GH165" s="19"/>
      <c r="GI165" s="19">
        <v>589.43786480415065</v>
      </c>
      <c r="GJ165" s="17"/>
      <c r="GK165" s="17"/>
      <c r="GL165" s="17"/>
      <c r="GM165" s="17"/>
      <c r="GN165" s="17"/>
      <c r="GO165" s="17"/>
      <c r="GP165" s="17"/>
      <c r="GQ165" s="17"/>
      <c r="GR165" s="17"/>
      <c r="GS165" s="17"/>
      <c r="GT165" s="17"/>
      <c r="GU165" s="17"/>
      <c r="GV165" s="17"/>
      <c r="GW165" s="17"/>
      <c r="GX165" s="17"/>
      <c r="GY165" s="17"/>
    </row>
    <row r="166" spans="1:207" x14ac:dyDescent="0.25">
      <c r="A166" s="18" t="s">
        <v>158</v>
      </c>
      <c r="B166" s="19">
        <v>0.40039397967882334</v>
      </c>
      <c r="C166" s="19">
        <v>0.16090883222386601</v>
      </c>
      <c r="D166" s="19">
        <v>1.9456973079781406E-2</v>
      </c>
      <c r="E166" s="19">
        <v>5.7440118071018014E-3</v>
      </c>
      <c r="F166" s="19">
        <v>1.1490442103734293</v>
      </c>
      <c r="G166" s="19">
        <v>1.729400065857847</v>
      </c>
      <c r="H166" s="19">
        <v>1.2791428892734915</v>
      </c>
      <c r="I166" s="19">
        <v>0.60669274379765037</v>
      </c>
      <c r="J166" s="19">
        <v>0.33591737091885832</v>
      </c>
      <c r="K166" s="19">
        <v>0.29318309823108935</v>
      </c>
      <c r="L166" s="19">
        <v>5.855019254841471E-2</v>
      </c>
      <c r="M166" s="19">
        <v>0.5357887800264457</v>
      </c>
      <c r="N166" s="19">
        <v>0.15346082411522766</v>
      </c>
      <c r="O166" s="19"/>
      <c r="P166" s="19"/>
      <c r="Q166" s="19">
        <v>1.367183313310663</v>
      </c>
      <c r="R166" s="19">
        <v>0.36367380196899352</v>
      </c>
      <c r="S166" s="19"/>
      <c r="T166" s="19"/>
      <c r="U166" s="19"/>
      <c r="V166" s="19">
        <v>3.392211048994338</v>
      </c>
      <c r="W166" s="19">
        <v>5.5973551244513127</v>
      </c>
      <c r="X166" s="19">
        <v>5.4075503590691048</v>
      </c>
      <c r="Y166" s="19">
        <v>1.1063473183423063</v>
      </c>
      <c r="Z166" s="19">
        <v>9.8912800369199587</v>
      </c>
      <c r="AA166" s="19">
        <v>2.5324341946571645</v>
      </c>
      <c r="AB166" s="19">
        <v>10.170539627747907</v>
      </c>
      <c r="AC166" s="19">
        <v>4.9138152915628966E-2</v>
      </c>
      <c r="AD166" s="19">
        <v>0.63735517495218952</v>
      </c>
      <c r="AE166" s="19">
        <v>1.3116462875695387</v>
      </c>
      <c r="AF166" s="19">
        <v>0.5887896719792407</v>
      </c>
      <c r="AG166" s="19">
        <v>0.1346489947804746</v>
      </c>
      <c r="AH166" s="19">
        <v>7.189081371444575E-2</v>
      </c>
      <c r="AI166" s="19">
        <v>2.5576810023715374E-3</v>
      </c>
      <c r="AJ166" s="19">
        <v>2.5481966251144446</v>
      </c>
      <c r="AK166" s="19">
        <v>0.6298183820748251</v>
      </c>
      <c r="AL166" s="19">
        <v>0.31234905412702202</v>
      </c>
      <c r="AM166" s="19">
        <v>0.29577380446641927</v>
      </c>
      <c r="AN166" s="19">
        <v>0.7225838810588211</v>
      </c>
      <c r="AO166" s="19">
        <v>6.9814323476977214E-3</v>
      </c>
      <c r="AP166" s="19">
        <v>9.0892572797197826E-2</v>
      </c>
      <c r="AQ166" s="19">
        <v>4.624387595342565</v>
      </c>
      <c r="AR166" s="19">
        <v>1.9582798358204296E-3</v>
      </c>
      <c r="AS166" s="19">
        <v>8.576024364503315</v>
      </c>
      <c r="AT166" s="19">
        <v>0.95858075785327423</v>
      </c>
      <c r="AU166" s="19">
        <v>0.10914257790463187</v>
      </c>
      <c r="AV166" s="19">
        <v>3.6752414799628292</v>
      </c>
      <c r="AW166" s="19">
        <v>3.5694423356342604E-2</v>
      </c>
      <c r="AX166" s="19">
        <v>1.438336717615188</v>
      </c>
      <c r="AY166" s="19">
        <v>0.35886569841090848</v>
      </c>
      <c r="AZ166" s="19">
        <v>2.4646087347879118E-2</v>
      </c>
      <c r="BA166" s="19">
        <v>0.36815656288472642</v>
      </c>
      <c r="BB166" s="19">
        <v>0.26976315268699425</v>
      </c>
      <c r="BC166" s="19">
        <v>0.20856040596256564</v>
      </c>
      <c r="BD166" s="19">
        <v>2.9420599066166037E-3</v>
      </c>
      <c r="BE166" s="19">
        <v>7.7594429603661183E-3</v>
      </c>
      <c r="BF166" s="19">
        <v>8.2725773982774628E-3</v>
      </c>
      <c r="BG166" s="19">
        <v>0.4668672394176045</v>
      </c>
      <c r="BH166" s="19">
        <v>14.308859537526743</v>
      </c>
      <c r="BI166" s="19">
        <v>5.4263554588448795</v>
      </c>
      <c r="BJ166" s="19">
        <v>67.930842002944289</v>
      </c>
      <c r="BK166" s="19">
        <v>51.309901826339086</v>
      </c>
      <c r="BL166" s="19">
        <v>45.616123113506717</v>
      </c>
      <c r="BM166" s="19">
        <v>7.9067525818553301</v>
      </c>
      <c r="BN166" s="19">
        <v>15.728136741834833</v>
      </c>
      <c r="BO166" s="19">
        <v>15.017542613784638</v>
      </c>
      <c r="BP166" s="19">
        <v>19.096929353573518</v>
      </c>
      <c r="BQ166" s="19">
        <v>8.0418447629180658</v>
      </c>
      <c r="BR166" s="19">
        <v>73.121051589384365</v>
      </c>
      <c r="BS166" s="19">
        <v>33.93537602732961</v>
      </c>
      <c r="BT166" s="19">
        <v>14.578764886779959</v>
      </c>
      <c r="BU166" s="19">
        <v>12.054591614937129</v>
      </c>
      <c r="BV166" s="19">
        <v>57.004790479828586</v>
      </c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  <c r="CO166" s="19"/>
      <c r="CP166" s="19"/>
      <c r="CQ166" s="19"/>
      <c r="CR166" s="19"/>
      <c r="CS166" s="19"/>
      <c r="CT166" s="19"/>
      <c r="CU166" s="19"/>
      <c r="CV166" s="19"/>
      <c r="CW166" s="19"/>
      <c r="CX166" s="19"/>
      <c r="CY166" s="19"/>
      <c r="CZ166" s="19"/>
      <c r="DA166" s="19"/>
      <c r="DB166" s="19"/>
      <c r="DC166" s="19"/>
      <c r="DD166" s="19"/>
      <c r="DE166" s="19"/>
      <c r="DF166" s="19"/>
      <c r="DG166" s="19"/>
      <c r="DH166" s="19"/>
      <c r="DI166" s="19"/>
      <c r="DJ166" s="19"/>
      <c r="DK166" s="19"/>
      <c r="DL166" s="19"/>
      <c r="DM166" s="19"/>
      <c r="DN166" s="19"/>
      <c r="DO166" s="19"/>
      <c r="DP166" s="19"/>
      <c r="DQ166" s="19"/>
      <c r="DR166" s="19"/>
      <c r="DS166" s="19"/>
      <c r="DT166" s="19"/>
      <c r="DU166" s="19"/>
      <c r="DV166" s="19"/>
      <c r="DW166" s="19"/>
      <c r="DX166" s="19"/>
      <c r="DY166" s="19"/>
      <c r="DZ166" s="19"/>
      <c r="EA166" s="19"/>
      <c r="EB166" s="19"/>
      <c r="EC166" s="19"/>
      <c r="ED166" s="19"/>
      <c r="EE166" s="19"/>
      <c r="EF166" s="19"/>
      <c r="EG166" s="19"/>
      <c r="EH166" s="19"/>
      <c r="EI166" s="19"/>
      <c r="EJ166" s="19"/>
      <c r="EK166" s="19"/>
      <c r="EL166" s="19"/>
      <c r="EM166" s="19"/>
      <c r="EN166" s="19"/>
      <c r="EO166" s="19"/>
      <c r="EP166" s="19"/>
      <c r="EQ166" s="19"/>
      <c r="ER166" s="19"/>
      <c r="ES166" s="19"/>
      <c r="ET166" s="19"/>
      <c r="EU166" s="19"/>
      <c r="EV166" s="19"/>
      <c r="EW166" s="19"/>
      <c r="EX166" s="19"/>
      <c r="EY166" s="19"/>
      <c r="EZ166" s="19"/>
      <c r="FA166" s="19"/>
      <c r="FB166" s="19"/>
      <c r="FC166" s="19"/>
      <c r="FD166" s="19"/>
      <c r="FE166" s="19"/>
      <c r="FF166" s="19"/>
      <c r="FG166" s="19"/>
      <c r="FH166" s="19"/>
      <c r="FI166" s="19"/>
      <c r="FJ166" s="19"/>
      <c r="FK166" s="19"/>
      <c r="FL166" s="19"/>
      <c r="FM166" s="19"/>
      <c r="FN166" s="19"/>
      <c r="FO166" s="19"/>
      <c r="FP166" s="19"/>
      <c r="FQ166" s="19"/>
      <c r="FR166" s="19"/>
      <c r="FS166" s="19"/>
      <c r="FT166" s="19"/>
      <c r="FU166" s="19"/>
      <c r="FV166" s="19"/>
      <c r="FW166" s="19"/>
      <c r="FX166" s="19"/>
      <c r="FY166" s="19"/>
      <c r="FZ166" s="19"/>
      <c r="GA166" s="19"/>
      <c r="GB166" s="19"/>
      <c r="GC166" s="19"/>
      <c r="GD166" s="19"/>
      <c r="GE166" s="19"/>
      <c r="GF166" s="19"/>
      <c r="GG166" s="19"/>
      <c r="GH166" s="19"/>
      <c r="GI166" s="19">
        <v>516.17194334103169</v>
      </c>
      <c r="GJ166" s="17"/>
      <c r="GK166" s="17"/>
      <c r="GL166" s="17"/>
      <c r="GM166" s="17"/>
      <c r="GN166" s="17"/>
      <c r="GO166" s="17"/>
      <c r="GP166" s="17"/>
      <c r="GQ166" s="17"/>
      <c r="GR166" s="17"/>
      <c r="GS166" s="17"/>
      <c r="GT166" s="17"/>
      <c r="GU166" s="17"/>
      <c r="GV166" s="17"/>
      <c r="GW166" s="17"/>
      <c r="GX166" s="17"/>
      <c r="GY166" s="17"/>
    </row>
    <row r="167" spans="1:207" x14ac:dyDescent="0.25">
      <c r="A167" s="18" t="s">
        <v>159</v>
      </c>
      <c r="B167" s="19">
        <v>0.52341131126174945</v>
      </c>
      <c r="C167" s="19">
        <v>0.19691887391256321</v>
      </c>
      <c r="D167" s="19">
        <v>2.2857128906765726E-2</v>
      </c>
      <c r="E167" s="19">
        <v>6.7477925666321187E-3</v>
      </c>
      <c r="F167" s="19">
        <v>0.89896942428550175</v>
      </c>
      <c r="G167" s="19">
        <v>9.2794705666910064E-3</v>
      </c>
      <c r="H167" s="19">
        <v>6.863518179477811E-3</v>
      </c>
      <c r="I167" s="19">
        <v>3.1838112986490099</v>
      </c>
      <c r="J167" s="19">
        <v>1.7628322274786259</v>
      </c>
      <c r="K167" s="19">
        <v>1.5385706690311001</v>
      </c>
      <c r="L167" s="19">
        <v>0.30726058038348958</v>
      </c>
      <c r="M167" s="19">
        <v>1.1992656670152806</v>
      </c>
      <c r="N167" s="19">
        <v>0.34349412390490747</v>
      </c>
      <c r="O167" s="19"/>
      <c r="P167" s="19"/>
      <c r="Q167" s="19">
        <v>0.48199685001126119</v>
      </c>
      <c r="R167" s="19">
        <v>0.12821223406845611</v>
      </c>
      <c r="S167" s="19"/>
      <c r="T167" s="19"/>
      <c r="U167" s="19"/>
      <c r="V167" s="19">
        <v>0.97731314769887923</v>
      </c>
      <c r="W167" s="19">
        <v>1.6126263007980361</v>
      </c>
      <c r="X167" s="19">
        <v>0.20958019474343859</v>
      </c>
      <c r="Y167" s="19">
        <v>4.2878655035212127E-2</v>
      </c>
      <c r="Z167" s="19">
        <v>0.24128279858112944</v>
      </c>
      <c r="AA167" s="19">
        <v>6.1774897427704277E-2</v>
      </c>
      <c r="AB167" s="19"/>
      <c r="AC167" s="19"/>
      <c r="AD167" s="19"/>
      <c r="AE167" s="19">
        <v>0.41362443742136396</v>
      </c>
      <c r="AF167" s="19">
        <v>1.3246718898451799</v>
      </c>
      <c r="AG167" s="19">
        <v>0.30293625528793888</v>
      </c>
      <c r="AH167" s="19">
        <v>0.16174152604528069</v>
      </c>
      <c r="AI167" s="19">
        <v>5.7543266946979916E-3</v>
      </c>
      <c r="AJ167" s="19">
        <v>5.7329885351767409</v>
      </c>
      <c r="AK167" s="19">
        <v>1.4169791797429963</v>
      </c>
      <c r="AL167" s="19">
        <v>0.70272973782119075</v>
      </c>
      <c r="AM167" s="19">
        <v>0.66543837838080222</v>
      </c>
      <c r="AN167" s="19">
        <v>1.6256850295560235</v>
      </c>
      <c r="AO167" s="19">
        <v>1.5706979286445568E-2</v>
      </c>
      <c r="AP167" s="19">
        <v>0.20449209948845665</v>
      </c>
      <c r="AQ167" s="19">
        <v>10.404048418014751</v>
      </c>
      <c r="AR167" s="19">
        <v>4.4057808321295048E-3</v>
      </c>
      <c r="AS167" s="19">
        <v>19.294527303946083</v>
      </c>
      <c r="AT167" s="19">
        <v>2.1566359678256926</v>
      </c>
      <c r="AU167" s="19">
        <v>1.0980584375021097E-2</v>
      </c>
      <c r="AV167" s="19">
        <v>0.36975761379369598</v>
      </c>
      <c r="AW167" s="19">
        <v>3.5911340460046985E-3</v>
      </c>
      <c r="AX167" s="19">
        <v>0.81954637606311065</v>
      </c>
      <c r="AY167" s="19">
        <v>0.20447721248029946</v>
      </c>
      <c r="AZ167" s="19">
        <v>4.753074499610487E-3</v>
      </c>
      <c r="BA167" s="19">
        <v>7.1000136703736089E-2</v>
      </c>
      <c r="BB167" s="19">
        <v>5.2024661921902221E-2</v>
      </c>
      <c r="BC167" s="19">
        <v>4.0221522110867096E-2</v>
      </c>
      <c r="BD167" s="19">
        <v>5.6738539148564479E-4</v>
      </c>
      <c r="BE167" s="19">
        <v>1.496432676940588E-3</v>
      </c>
      <c r="BF167" s="19">
        <v>1.5953922471669854E-3</v>
      </c>
      <c r="BG167" s="19">
        <v>9.0036797283781334E-2</v>
      </c>
      <c r="BH167" s="19">
        <v>5.2226102745704832</v>
      </c>
      <c r="BI167" s="19">
        <v>1.9805729239643761</v>
      </c>
      <c r="BJ167" s="19">
        <v>30.817818711748856</v>
      </c>
      <c r="BK167" s="19">
        <v>17.794526005384583</v>
      </c>
      <c r="BL167" s="19">
        <v>19.201538421298942</v>
      </c>
      <c r="BM167" s="19">
        <v>1.6568599997937166</v>
      </c>
      <c r="BN167" s="19">
        <v>3.29583104682367</v>
      </c>
      <c r="BO167" s="19">
        <v>6.3214473701448304</v>
      </c>
      <c r="BP167" s="19">
        <v>17.971012138117192</v>
      </c>
      <c r="BQ167" s="19">
        <v>5.8518541056633149</v>
      </c>
      <c r="BR167" s="19">
        <v>53.208404112303747</v>
      </c>
      <c r="BS167" s="19">
        <v>151.28837883712151</v>
      </c>
      <c r="BT167" s="19">
        <v>64.994055271178638</v>
      </c>
      <c r="BU167" s="19">
        <v>53.740958152303286</v>
      </c>
      <c r="BV167" s="19">
        <v>45.745566858055398</v>
      </c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  <c r="CO167" s="19"/>
      <c r="CP167" s="19"/>
      <c r="CQ167" s="19"/>
      <c r="CR167" s="19"/>
      <c r="CS167" s="19"/>
      <c r="CT167" s="19"/>
      <c r="CU167" s="19"/>
      <c r="CV167" s="19"/>
      <c r="CW167" s="19"/>
      <c r="CX167" s="19"/>
      <c r="CY167" s="19"/>
      <c r="CZ167" s="19"/>
      <c r="DA167" s="19"/>
      <c r="DB167" s="19"/>
      <c r="DC167" s="19"/>
      <c r="DD167" s="19"/>
      <c r="DE167" s="19"/>
      <c r="DF167" s="19"/>
      <c r="DG167" s="19"/>
      <c r="DH167" s="19"/>
      <c r="DI167" s="19"/>
      <c r="DJ167" s="19"/>
      <c r="DK167" s="19"/>
      <c r="DL167" s="19"/>
      <c r="DM167" s="19"/>
      <c r="DN167" s="19"/>
      <c r="DO167" s="19"/>
      <c r="DP167" s="19"/>
      <c r="DQ167" s="19"/>
      <c r="DR167" s="19"/>
      <c r="DS167" s="19"/>
      <c r="DT167" s="19"/>
      <c r="DU167" s="19"/>
      <c r="DV167" s="19"/>
      <c r="DW167" s="19"/>
      <c r="DX167" s="19"/>
      <c r="DY167" s="19"/>
      <c r="DZ167" s="19"/>
      <c r="EA167" s="19"/>
      <c r="EB167" s="19"/>
      <c r="EC167" s="19"/>
      <c r="ED167" s="19"/>
      <c r="EE167" s="19"/>
      <c r="EF167" s="19"/>
      <c r="EG167" s="19"/>
      <c r="EH167" s="19"/>
      <c r="EI167" s="19"/>
      <c r="EJ167" s="19"/>
      <c r="EK167" s="19"/>
      <c r="EL167" s="19"/>
      <c r="EM167" s="19"/>
      <c r="EN167" s="19"/>
      <c r="EO167" s="19"/>
      <c r="EP167" s="19"/>
      <c r="EQ167" s="19"/>
      <c r="ER167" s="19"/>
      <c r="ES167" s="19"/>
      <c r="ET167" s="19"/>
      <c r="EU167" s="19"/>
      <c r="EV167" s="19"/>
      <c r="EW167" s="19"/>
      <c r="EX167" s="19"/>
      <c r="EY167" s="19"/>
      <c r="EZ167" s="19"/>
      <c r="FA167" s="19"/>
      <c r="FB167" s="19"/>
      <c r="FC167" s="19"/>
      <c r="FD167" s="19"/>
      <c r="FE167" s="19"/>
      <c r="FF167" s="19"/>
      <c r="FG167" s="19"/>
      <c r="FH167" s="19"/>
      <c r="FI167" s="19"/>
      <c r="FJ167" s="19"/>
      <c r="FK167" s="19"/>
      <c r="FL167" s="19"/>
      <c r="FM167" s="19"/>
      <c r="FN167" s="19"/>
      <c r="FO167" s="19"/>
      <c r="FP167" s="19"/>
      <c r="FQ167" s="19"/>
      <c r="FR167" s="19"/>
      <c r="FS167" s="19"/>
      <c r="FT167" s="19"/>
      <c r="FU167" s="19"/>
      <c r="FV167" s="19"/>
      <c r="FW167" s="19"/>
      <c r="FX167" s="19"/>
      <c r="FY167" s="19"/>
      <c r="FZ167" s="19"/>
      <c r="GA167" s="19"/>
      <c r="GB167" s="19"/>
      <c r="GC167" s="19"/>
      <c r="GD167" s="19"/>
      <c r="GE167" s="19"/>
      <c r="GF167" s="19"/>
      <c r="GG167" s="19"/>
      <c r="GH167" s="19">
        <v>4.0893736898277764</v>
      </c>
      <c r="GI167" s="19">
        <v>543.03916925176566</v>
      </c>
      <c r="GJ167" s="17"/>
      <c r="GK167" s="17"/>
      <c r="GL167" s="17"/>
      <c r="GM167" s="17"/>
      <c r="GN167" s="17"/>
      <c r="GO167" s="17"/>
      <c r="GP167" s="17"/>
      <c r="GQ167" s="17"/>
      <c r="GR167" s="17"/>
      <c r="GS167" s="17"/>
      <c r="GT167" s="17"/>
      <c r="GU167" s="17"/>
      <c r="GV167" s="17"/>
      <c r="GW167" s="17"/>
      <c r="GX167" s="17"/>
      <c r="GY167" s="17"/>
    </row>
    <row r="168" spans="1:207" x14ac:dyDescent="0.25">
      <c r="A168" s="18" t="s">
        <v>160</v>
      </c>
      <c r="B168" s="19">
        <v>46.603662466849123</v>
      </c>
      <c r="C168" s="19">
        <v>16.780835171278003</v>
      </c>
      <c r="D168" s="19">
        <v>12.299949022846555</v>
      </c>
      <c r="E168" s="19">
        <v>4.7008825617886494</v>
      </c>
      <c r="F168" s="19">
        <v>162.99466755177221</v>
      </c>
      <c r="G168" s="19">
        <v>6.3117257388888159</v>
      </c>
      <c r="H168" s="19">
        <v>3.229956561714582</v>
      </c>
      <c r="I168" s="19">
        <v>101.57215187867075</v>
      </c>
      <c r="J168" s="19">
        <v>48.713099872135189</v>
      </c>
      <c r="K168" s="19">
        <v>56.738100823220563</v>
      </c>
      <c r="L168" s="19">
        <v>10.200699431864967</v>
      </c>
      <c r="M168" s="19">
        <v>51.693454271766093</v>
      </c>
      <c r="N168" s="19">
        <v>15.081306488734796</v>
      </c>
      <c r="O168" s="19">
        <v>9.256755251970894</v>
      </c>
      <c r="P168" s="19">
        <v>6.4161001952015235</v>
      </c>
      <c r="Q168" s="19">
        <v>139.12449504037522</v>
      </c>
      <c r="R168" s="19">
        <v>30.244670124597445</v>
      </c>
      <c r="S168" s="19">
        <v>7.4550850342595778</v>
      </c>
      <c r="T168" s="19">
        <v>20.034778932072413</v>
      </c>
      <c r="U168" s="19">
        <v>0.99229711891639605</v>
      </c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  <c r="CO168" s="19"/>
      <c r="CP168" s="19"/>
      <c r="CQ168" s="19"/>
      <c r="CR168" s="19"/>
      <c r="CS168" s="19"/>
      <c r="CT168" s="19"/>
      <c r="CU168" s="19"/>
      <c r="CV168" s="19"/>
      <c r="CW168" s="19"/>
      <c r="CX168" s="19"/>
      <c r="CY168" s="19"/>
      <c r="CZ168" s="19"/>
      <c r="DA168" s="19"/>
      <c r="DB168" s="19"/>
      <c r="DC168" s="19"/>
      <c r="DD168" s="19"/>
      <c r="DE168" s="19"/>
      <c r="DF168" s="19"/>
      <c r="DG168" s="19"/>
      <c r="DH168" s="19"/>
      <c r="DI168" s="19"/>
      <c r="DJ168" s="19"/>
      <c r="DK168" s="19"/>
      <c r="DL168" s="19"/>
      <c r="DM168" s="19"/>
      <c r="DN168" s="19"/>
      <c r="DO168" s="19"/>
      <c r="DP168" s="19"/>
      <c r="DQ168" s="19"/>
      <c r="DR168" s="19"/>
      <c r="DS168" s="19"/>
      <c r="DT168" s="19"/>
      <c r="DU168" s="19"/>
      <c r="DV168" s="19"/>
      <c r="DW168" s="19"/>
      <c r="DX168" s="19"/>
      <c r="DY168" s="19"/>
      <c r="DZ168" s="19"/>
      <c r="EA168" s="19"/>
      <c r="EB168" s="19"/>
      <c r="EC168" s="19"/>
      <c r="ED168" s="19"/>
      <c r="EE168" s="19"/>
      <c r="EF168" s="19"/>
      <c r="EG168" s="19"/>
      <c r="EH168" s="19"/>
      <c r="EI168" s="19"/>
      <c r="EJ168" s="19"/>
      <c r="EK168" s="19"/>
      <c r="EL168" s="19"/>
      <c r="EM168" s="19"/>
      <c r="EN168" s="19"/>
      <c r="EO168" s="19"/>
      <c r="EP168" s="19"/>
      <c r="EQ168" s="19"/>
      <c r="ER168" s="19"/>
      <c r="ES168" s="19"/>
      <c r="ET168" s="19"/>
      <c r="EU168" s="19"/>
      <c r="EV168" s="19"/>
      <c r="EW168" s="19"/>
      <c r="EX168" s="19"/>
      <c r="EY168" s="19"/>
      <c r="EZ168" s="19"/>
      <c r="FA168" s="19"/>
      <c r="FB168" s="19"/>
      <c r="FC168" s="19"/>
      <c r="FD168" s="19"/>
      <c r="FE168" s="19"/>
      <c r="FF168" s="19"/>
      <c r="FG168" s="19"/>
      <c r="FH168" s="19"/>
      <c r="FI168" s="19"/>
      <c r="FJ168" s="19"/>
      <c r="FK168" s="19"/>
      <c r="FL168" s="19"/>
      <c r="FM168" s="19"/>
      <c r="FN168" s="19"/>
      <c r="FO168" s="19"/>
      <c r="FP168" s="19"/>
      <c r="FQ168" s="19"/>
      <c r="FR168" s="19"/>
      <c r="FS168" s="19"/>
      <c r="FT168" s="19"/>
      <c r="FU168" s="19"/>
      <c r="FV168" s="19"/>
      <c r="FW168" s="19"/>
      <c r="FX168" s="19"/>
      <c r="FY168" s="19"/>
      <c r="FZ168" s="19"/>
      <c r="GA168" s="19"/>
      <c r="GB168" s="19"/>
      <c r="GC168" s="19"/>
      <c r="GD168" s="19"/>
      <c r="GE168" s="19"/>
      <c r="GF168" s="19"/>
      <c r="GG168" s="19"/>
      <c r="GH168" s="19"/>
      <c r="GI168" s="19">
        <v>750.44467353892378</v>
      </c>
      <c r="GJ168" s="17"/>
      <c r="GK168" s="17"/>
      <c r="GL168" s="17"/>
      <c r="GM168" s="17"/>
      <c r="GN168" s="17"/>
      <c r="GO168" s="17"/>
      <c r="GP168" s="17"/>
      <c r="GQ168" s="17"/>
      <c r="GR168" s="17"/>
      <c r="GS168" s="17"/>
      <c r="GT168" s="17"/>
      <c r="GU168" s="17"/>
      <c r="GV168" s="17"/>
      <c r="GW168" s="17"/>
      <c r="GX168" s="17"/>
      <c r="GY168" s="17"/>
    </row>
    <row r="169" spans="1:207" x14ac:dyDescent="0.25">
      <c r="A169" s="18" t="s">
        <v>161</v>
      </c>
      <c r="B169" s="19">
        <v>5.5849102489441274</v>
      </c>
      <c r="C169" s="19">
        <v>2.1750669095790514</v>
      </c>
      <c r="D169" s="19">
        <v>2.7113189491431959</v>
      </c>
      <c r="E169" s="19">
        <v>0.69512525722971019</v>
      </c>
      <c r="F169" s="19">
        <v>12.293096547192688</v>
      </c>
      <c r="G169" s="19">
        <v>0.89136987417925362</v>
      </c>
      <c r="H169" s="19">
        <v>0.73709882493834278</v>
      </c>
      <c r="I169" s="19">
        <v>12.535482421114002</v>
      </c>
      <c r="J169" s="19">
        <v>7.5490164318439259</v>
      </c>
      <c r="K169" s="19">
        <v>4.8818843462884827</v>
      </c>
      <c r="L169" s="19">
        <v>1.0203597758053515</v>
      </c>
      <c r="M169" s="19">
        <v>10.599871327915427</v>
      </c>
      <c r="N169" s="19">
        <v>2.9023569944087142</v>
      </c>
      <c r="O169" s="19">
        <v>2.2461195167414845</v>
      </c>
      <c r="P169" s="19">
        <v>1.3000716320779238</v>
      </c>
      <c r="Q169" s="19">
        <v>20.378171658787888</v>
      </c>
      <c r="R169" s="19">
        <v>6.6123933612803532</v>
      </c>
      <c r="S169" s="19">
        <v>2.3677710122606923</v>
      </c>
      <c r="T169" s="19">
        <v>13.002466235075616</v>
      </c>
      <c r="U169" s="19">
        <v>5.8837037671649738E-2</v>
      </c>
      <c r="V169" s="19"/>
      <c r="W169" s="19"/>
      <c r="X169" s="19"/>
      <c r="Y169" s="19"/>
      <c r="Z169" s="19"/>
      <c r="AA169" s="19"/>
      <c r="AB169" s="19">
        <v>118.49438738841337</v>
      </c>
      <c r="AC169" s="19">
        <v>0.70798093963607667</v>
      </c>
      <c r="AD169" s="19">
        <v>5.5715064509969547</v>
      </c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  <c r="CO169" s="19"/>
      <c r="CP169" s="19"/>
      <c r="CQ169" s="19"/>
      <c r="CR169" s="19"/>
      <c r="CS169" s="19"/>
      <c r="CT169" s="19"/>
      <c r="CU169" s="19"/>
      <c r="CV169" s="19"/>
      <c r="CW169" s="19"/>
      <c r="CX169" s="19"/>
      <c r="CY169" s="19"/>
      <c r="CZ169" s="19"/>
      <c r="DA169" s="19"/>
      <c r="DB169" s="19"/>
      <c r="DC169" s="19"/>
      <c r="DD169" s="19"/>
      <c r="DE169" s="19"/>
      <c r="DF169" s="19"/>
      <c r="DG169" s="19"/>
      <c r="DH169" s="19"/>
      <c r="DI169" s="19"/>
      <c r="DJ169" s="19"/>
      <c r="DK169" s="19"/>
      <c r="DL169" s="19"/>
      <c r="DM169" s="19"/>
      <c r="DN169" s="19"/>
      <c r="DO169" s="19"/>
      <c r="DP169" s="19"/>
      <c r="DQ169" s="19"/>
      <c r="DR169" s="19"/>
      <c r="DS169" s="19"/>
      <c r="DT169" s="19"/>
      <c r="DU169" s="19"/>
      <c r="DV169" s="19"/>
      <c r="DW169" s="19"/>
      <c r="DX169" s="19"/>
      <c r="DY169" s="19"/>
      <c r="DZ169" s="19"/>
      <c r="EA169" s="19"/>
      <c r="EB169" s="19"/>
      <c r="EC169" s="19"/>
      <c r="ED169" s="19"/>
      <c r="EE169" s="19"/>
      <c r="EF169" s="19"/>
      <c r="EG169" s="19"/>
      <c r="EH169" s="19"/>
      <c r="EI169" s="19"/>
      <c r="EJ169" s="19"/>
      <c r="EK169" s="19"/>
      <c r="EL169" s="19"/>
      <c r="EM169" s="19"/>
      <c r="EN169" s="19"/>
      <c r="EO169" s="19"/>
      <c r="EP169" s="19"/>
      <c r="EQ169" s="19"/>
      <c r="ER169" s="19"/>
      <c r="ES169" s="19"/>
      <c r="ET169" s="19"/>
      <c r="EU169" s="19"/>
      <c r="EV169" s="19"/>
      <c r="EW169" s="19"/>
      <c r="EX169" s="19"/>
      <c r="EY169" s="19"/>
      <c r="EZ169" s="19"/>
      <c r="FA169" s="19"/>
      <c r="FB169" s="19"/>
      <c r="FC169" s="19"/>
      <c r="FD169" s="19"/>
      <c r="FE169" s="19"/>
      <c r="FF169" s="19"/>
      <c r="FG169" s="19"/>
      <c r="FH169" s="19"/>
      <c r="FI169" s="19"/>
      <c r="FJ169" s="19"/>
      <c r="FK169" s="19"/>
      <c r="FL169" s="19"/>
      <c r="FM169" s="19"/>
      <c r="FN169" s="19"/>
      <c r="FO169" s="19"/>
      <c r="FP169" s="19"/>
      <c r="FQ169" s="19"/>
      <c r="FR169" s="19"/>
      <c r="FS169" s="19"/>
      <c r="FT169" s="19"/>
      <c r="FU169" s="19"/>
      <c r="FV169" s="19"/>
      <c r="FW169" s="19"/>
      <c r="FX169" s="19"/>
      <c r="FY169" s="19"/>
      <c r="FZ169" s="19"/>
      <c r="GA169" s="19"/>
      <c r="GB169" s="19"/>
      <c r="GC169" s="19"/>
      <c r="GD169" s="19"/>
      <c r="GE169" s="19"/>
      <c r="GF169" s="19"/>
      <c r="GG169" s="19"/>
      <c r="GH169" s="19"/>
      <c r="GI169" s="19">
        <v>235.31666314152432</v>
      </c>
      <c r="GJ169" s="17"/>
      <c r="GK169" s="17"/>
      <c r="GL169" s="17"/>
      <c r="GM169" s="17"/>
      <c r="GN169" s="17"/>
      <c r="GO169" s="17"/>
      <c r="GP169" s="17"/>
      <c r="GQ169" s="17"/>
      <c r="GR169" s="17"/>
      <c r="GS169" s="17"/>
      <c r="GT169" s="17"/>
      <c r="GU169" s="17"/>
      <c r="GV169" s="17"/>
      <c r="GW169" s="17"/>
      <c r="GX169" s="17"/>
      <c r="GY169" s="17"/>
    </row>
    <row r="170" spans="1:207" x14ac:dyDescent="0.25">
      <c r="A170" s="18" t="s">
        <v>162</v>
      </c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>
        <v>17.828942724690918</v>
      </c>
      <c r="W170" s="19">
        <v>21.47219146743549</v>
      </c>
      <c r="X170" s="19">
        <v>17.063402185011043</v>
      </c>
      <c r="Y170" s="19">
        <v>3.0283041852247545</v>
      </c>
      <c r="Z170" s="19">
        <v>18.234144375781174</v>
      </c>
      <c r="AA170" s="19">
        <v>5.5851114985590602</v>
      </c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  <c r="CO170" s="19"/>
      <c r="CP170" s="19"/>
      <c r="CQ170" s="19"/>
      <c r="CR170" s="19"/>
      <c r="CS170" s="19"/>
      <c r="CT170" s="19"/>
      <c r="CU170" s="19"/>
      <c r="CV170" s="19"/>
      <c r="CW170" s="19"/>
      <c r="CX170" s="19"/>
      <c r="CY170" s="19"/>
      <c r="CZ170" s="19"/>
      <c r="DA170" s="19"/>
      <c r="DB170" s="19"/>
      <c r="DC170" s="19"/>
      <c r="DD170" s="19"/>
      <c r="DE170" s="19"/>
      <c r="DF170" s="19"/>
      <c r="DG170" s="19"/>
      <c r="DH170" s="19"/>
      <c r="DI170" s="19"/>
      <c r="DJ170" s="19"/>
      <c r="DK170" s="19"/>
      <c r="DL170" s="19"/>
      <c r="DM170" s="19"/>
      <c r="DN170" s="19"/>
      <c r="DO170" s="19"/>
      <c r="DP170" s="19"/>
      <c r="DQ170" s="19"/>
      <c r="DR170" s="19"/>
      <c r="DS170" s="19"/>
      <c r="DT170" s="19"/>
      <c r="DU170" s="19"/>
      <c r="DV170" s="19"/>
      <c r="DW170" s="19"/>
      <c r="DX170" s="19"/>
      <c r="DY170" s="19"/>
      <c r="DZ170" s="19"/>
      <c r="EA170" s="19"/>
      <c r="EB170" s="19"/>
      <c r="EC170" s="19"/>
      <c r="ED170" s="19"/>
      <c r="EE170" s="19"/>
      <c r="EF170" s="19"/>
      <c r="EG170" s="19"/>
      <c r="EH170" s="19"/>
      <c r="EI170" s="19"/>
      <c r="EJ170" s="19"/>
      <c r="EK170" s="19"/>
      <c r="EL170" s="19"/>
      <c r="EM170" s="19"/>
      <c r="EN170" s="19"/>
      <c r="EO170" s="19"/>
      <c r="EP170" s="19"/>
      <c r="EQ170" s="19"/>
      <c r="ER170" s="19"/>
      <c r="ES170" s="19"/>
      <c r="ET170" s="19"/>
      <c r="EU170" s="19"/>
      <c r="EV170" s="19"/>
      <c r="EW170" s="19"/>
      <c r="EX170" s="19"/>
      <c r="EY170" s="19"/>
      <c r="EZ170" s="19"/>
      <c r="FA170" s="19"/>
      <c r="FB170" s="19"/>
      <c r="FC170" s="19"/>
      <c r="FD170" s="19"/>
      <c r="FE170" s="19"/>
      <c r="FF170" s="19"/>
      <c r="FG170" s="19"/>
      <c r="FH170" s="19"/>
      <c r="FI170" s="19"/>
      <c r="FJ170" s="19"/>
      <c r="FK170" s="19"/>
      <c r="FL170" s="19"/>
      <c r="FM170" s="19"/>
      <c r="FN170" s="19"/>
      <c r="FO170" s="19"/>
      <c r="FP170" s="19"/>
      <c r="FQ170" s="19"/>
      <c r="FR170" s="19"/>
      <c r="FS170" s="19"/>
      <c r="FT170" s="19"/>
      <c r="FU170" s="19"/>
      <c r="FV170" s="19"/>
      <c r="FW170" s="19"/>
      <c r="FX170" s="19"/>
      <c r="FY170" s="19"/>
      <c r="FZ170" s="19"/>
      <c r="GA170" s="19"/>
      <c r="GB170" s="19"/>
      <c r="GC170" s="19"/>
      <c r="GD170" s="19"/>
      <c r="GE170" s="19"/>
      <c r="GF170" s="19"/>
      <c r="GG170" s="19"/>
      <c r="GH170" s="19"/>
      <c r="GI170" s="19">
        <v>83.212096436702438</v>
      </c>
      <c r="GJ170" s="17"/>
      <c r="GK170" s="17"/>
      <c r="GL170" s="17"/>
      <c r="GM170" s="17"/>
      <c r="GN170" s="17"/>
      <c r="GO170" s="17"/>
      <c r="GP170" s="17"/>
      <c r="GQ170" s="17"/>
      <c r="GR170" s="17"/>
      <c r="GS170" s="17"/>
      <c r="GT170" s="17"/>
      <c r="GU170" s="17"/>
      <c r="GV170" s="17"/>
      <c r="GW170" s="17"/>
      <c r="GX170" s="17"/>
      <c r="GY170" s="17"/>
    </row>
    <row r="171" spans="1:207" x14ac:dyDescent="0.25">
      <c r="A171" s="18" t="s">
        <v>163</v>
      </c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>
        <v>72.479564197278748</v>
      </c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  <c r="CO171" s="19"/>
      <c r="CP171" s="19"/>
      <c r="CQ171" s="19"/>
      <c r="CR171" s="19"/>
      <c r="CS171" s="19"/>
      <c r="CT171" s="19"/>
      <c r="CU171" s="19"/>
      <c r="CV171" s="19"/>
      <c r="CW171" s="19"/>
      <c r="CX171" s="19"/>
      <c r="CY171" s="19"/>
      <c r="CZ171" s="19"/>
      <c r="DA171" s="19"/>
      <c r="DB171" s="19"/>
      <c r="DC171" s="19"/>
      <c r="DD171" s="19"/>
      <c r="DE171" s="19"/>
      <c r="DF171" s="19"/>
      <c r="DG171" s="19"/>
      <c r="DH171" s="19"/>
      <c r="DI171" s="19"/>
      <c r="DJ171" s="19"/>
      <c r="DK171" s="19"/>
      <c r="DL171" s="19"/>
      <c r="DM171" s="19"/>
      <c r="DN171" s="19"/>
      <c r="DO171" s="19"/>
      <c r="DP171" s="19"/>
      <c r="DQ171" s="19"/>
      <c r="DR171" s="19"/>
      <c r="DS171" s="19"/>
      <c r="DT171" s="19"/>
      <c r="DU171" s="19"/>
      <c r="DV171" s="19"/>
      <c r="DW171" s="19"/>
      <c r="DX171" s="19"/>
      <c r="DY171" s="19"/>
      <c r="DZ171" s="19"/>
      <c r="EA171" s="19"/>
      <c r="EB171" s="19"/>
      <c r="EC171" s="19"/>
      <c r="ED171" s="19"/>
      <c r="EE171" s="19"/>
      <c r="EF171" s="19"/>
      <c r="EG171" s="19"/>
      <c r="EH171" s="19"/>
      <c r="EI171" s="19"/>
      <c r="EJ171" s="19"/>
      <c r="EK171" s="19"/>
      <c r="EL171" s="19"/>
      <c r="EM171" s="19"/>
      <c r="EN171" s="19"/>
      <c r="EO171" s="19"/>
      <c r="EP171" s="19"/>
      <c r="EQ171" s="19"/>
      <c r="ER171" s="19"/>
      <c r="ES171" s="19"/>
      <c r="ET171" s="19"/>
      <c r="EU171" s="19"/>
      <c r="EV171" s="19"/>
      <c r="EW171" s="19"/>
      <c r="EX171" s="19"/>
      <c r="EY171" s="19"/>
      <c r="EZ171" s="19"/>
      <c r="FA171" s="19"/>
      <c r="FB171" s="19"/>
      <c r="FC171" s="19"/>
      <c r="FD171" s="19"/>
      <c r="FE171" s="19"/>
      <c r="FF171" s="19"/>
      <c r="FG171" s="19"/>
      <c r="FH171" s="19"/>
      <c r="FI171" s="19"/>
      <c r="FJ171" s="19"/>
      <c r="FK171" s="19"/>
      <c r="FL171" s="19"/>
      <c r="FM171" s="19"/>
      <c r="FN171" s="19"/>
      <c r="FO171" s="19"/>
      <c r="FP171" s="19"/>
      <c r="FQ171" s="19"/>
      <c r="FR171" s="19"/>
      <c r="FS171" s="19"/>
      <c r="FT171" s="19"/>
      <c r="FU171" s="19"/>
      <c r="FV171" s="19"/>
      <c r="FW171" s="19"/>
      <c r="FX171" s="19"/>
      <c r="FY171" s="19"/>
      <c r="FZ171" s="19"/>
      <c r="GA171" s="19"/>
      <c r="GB171" s="19"/>
      <c r="GC171" s="19"/>
      <c r="GD171" s="19"/>
      <c r="GE171" s="19"/>
      <c r="GF171" s="19"/>
      <c r="GG171" s="19"/>
      <c r="GH171" s="19">
        <v>0.15665211568691528</v>
      </c>
      <c r="GI171" s="19">
        <v>72.636216312965658</v>
      </c>
      <c r="GJ171" s="17"/>
      <c r="GK171" s="17"/>
      <c r="GL171" s="17"/>
      <c r="GM171" s="17"/>
      <c r="GN171" s="17"/>
      <c r="GO171" s="17"/>
      <c r="GP171" s="17"/>
      <c r="GQ171" s="17"/>
      <c r="GR171" s="17"/>
      <c r="GS171" s="17"/>
      <c r="GT171" s="17"/>
      <c r="GU171" s="17"/>
      <c r="GV171" s="17"/>
      <c r="GW171" s="17"/>
      <c r="GX171" s="17"/>
      <c r="GY171" s="17"/>
    </row>
    <row r="172" spans="1:207" x14ac:dyDescent="0.25">
      <c r="A172" s="18" t="s">
        <v>164</v>
      </c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>
        <v>3.242516243677926</v>
      </c>
      <c r="AG172" s="19">
        <v>0.75846939216639131</v>
      </c>
      <c r="AH172" s="19">
        <v>0.40016508712763121</v>
      </c>
      <c r="AI172" s="19">
        <v>0.37080042153637333</v>
      </c>
      <c r="AJ172" s="19">
        <v>7.9425548557324515</v>
      </c>
      <c r="AK172" s="19">
        <v>1.970160673030706</v>
      </c>
      <c r="AL172" s="19">
        <v>0.98324711042531476</v>
      </c>
      <c r="AM172" s="19">
        <v>0.92930863676868825</v>
      </c>
      <c r="AN172" s="19">
        <v>5.2418199783324395</v>
      </c>
      <c r="AO172" s="19">
        <v>3.6745795439448323E-2</v>
      </c>
      <c r="AP172" s="19">
        <v>0.46896494457737842</v>
      </c>
      <c r="AQ172" s="19">
        <v>19.347191407457149</v>
      </c>
      <c r="AR172" s="19">
        <v>1.1928627338623699E-2</v>
      </c>
      <c r="AS172" s="19">
        <v>35.09723051140088</v>
      </c>
      <c r="AT172" s="19">
        <v>6.8124306705907927</v>
      </c>
      <c r="AU172" s="19">
        <v>0.67264525872523484</v>
      </c>
      <c r="AV172" s="19">
        <v>7.3397208246166246</v>
      </c>
      <c r="AW172" s="19">
        <v>7.5233528321962811E-2</v>
      </c>
      <c r="AX172" s="19">
        <v>4.8607982126765563</v>
      </c>
      <c r="AY172" s="19">
        <v>3.4848041094179241</v>
      </c>
      <c r="AZ172" s="19">
        <v>1.5740726179930875</v>
      </c>
      <c r="BA172" s="19">
        <v>23.707007512981786</v>
      </c>
      <c r="BB172" s="19">
        <v>15.456994817575008</v>
      </c>
      <c r="BC172" s="19">
        <v>20.211496427235883</v>
      </c>
      <c r="BD172" s="19">
        <v>7.0226820682805113E-2</v>
      </c>
      <c r="BE172" s="19">
        <v>1.3244648444491129</v>
      </c>
      <c r="BF172" s="19">
        <v>0.72685872424715192</v>
      </c>
      <c r="BG172" s="19">
        <v>10.479924859576682</v>
      </c>
      <c r="BH172" s="19">
        <v>35.077025571448736</v>
      </c>
      <c r="BI172" s="19">
        <v>23.388858338624672</v>
      </c>
      <c r="BJ172" s="19">
        <v>118.23896475565212</v>
      </c>
      <c r="BK172" s="19">
        <v>161.18974019681323</v>
      </c>
      <c r="BL172" s="19">
        <v>71.828374292636212</v>
      </c>
      <c r="BM172" s="19">
        <v>12.248991580889779</v>
      </c>
      <c r="BN172" s="19">
        <v>24.165654707149212</v>
      </c>
      <c r="BO172" s="19">
        <v>32.500475541964541</v>
      </c>
      <c r="BP172" s="19">
        <v>52.06610483258158</v>
      </c>
      <c r="BQ172" s="19">
        <v>528.2534924100114</v>
      </c>
      <c r="BR172" s="19">
        <v>137.58267079880278</v>
      </c>
      <c r="BS172" s="19"/>
      <c r="BT172" s="19">
        <v>24.922464077429517</v>
      </c>
      <c r="BU172" s="19">
        <v>22.745168522406267</v>
      </c>
      <c r="BV172" s="19">
        <v>24.84559290679373</v>
      </c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  <c r="CO172" s="19"/>
      <c r="CP172" s="19"/>
      <c r="CQ172" s="19"/>
      <c r="CR172" s="19"/>
      <c r="CS172" s="19"/>
      <c r="CT172" s="19"/>
      <c r="CU172" s="19"/>
      <c r="CV172" s="19"/>
      <c r="CW172" s="19"/>
      <c r="CX172" s="19"/>
      <c r="CY172" s="19"/>
      <c r="CZ172" s="19"/>
      <c r="DA172" s="19"/>
      <c r="DB172" s="19"/>
      <c r="DC172" s="19"/>
      <c r="DD172" s="19"/>
      <c r="DE172" s="19"/>
      <c r="DF172" s="19"/>
      <c r="DG172" s="19"/>
      <c r="DH172" s="19"/>
      <c r="DI172" s="19"/>
      <c r="DJ172" s="19"/>
      <c r="DK172" s="19"/>
      <c r="DL172" s="19"/>
      <c r="DM172" s="19"/>
      <c r="DN172" s="19"/>
      <c r="DO172" s="19"/>
      <c r="DP172" s="19"/>
      <c r="DQ172" s="19"/>
      <c r="DR172" s="19"/>
      <c r="DS172" s="19"/>
      <c r="DT172" s="19"/>
      <c r="DU172" s="19"/>
      <c r="DV172" s="19"/>
      <c r="DW172" s="19"/>
      <c r="DX172" s="19"/>
      <c r="DY172" s="19"/>
      <c r="DZ172" s="19"/>
      <c r="EA172" s="19"/>
      <c r="EB172" s="19"/>
      <c r="EC172" s="19"/>
      <c r="ED172" s="19"/>
      <c r="EE172" s="19"/>
      <c r="EF172" s="19"/>
      <c r="EG172" s="19"/>
      <c r="EH172" s="19"/>
      <c r="EI172" s="19"/>
      <c r="EJ172" s="19"/>
      <c r="EK172" s="19"/>
      <c r="EL172" s="19"/>
      <c r="EM172" s="19"/>
      <c r="EN172" s="19"/>
      <c r="EO172" s="19"/>
      <c r="EP172" s="19"/>
      <c r="EQ172" s="19"/>
      <c r="ER172" s="19"/>
      <c r="ES172" s="19"/>
      <c r="ET172" s="19"/>
      <c r="EU172" s="19"/>
      <c r="EV172" s="19"/>
      <c r="EW172" s="19"/>
      <c r="EX172" s="19"/>
      <c r="EY172" s="19"/>
      <c r="EZ172" s="19"/>
      <c r="FA172" s="19"/>
      <c r="FB172" s="19"/>
      <c r="FC172" s="19"/>
      <c r="FD172" s="19"/>
      <c r="FE172" s="19"/>
      <c r="FF172" s="19"/>
      <c r="FG172" s="19"/>
      <c r="FH172" s="19"/>
      <c r="FI172" s="19"/>
      <c r="FJ172" s="19"/>
      <c r="FK172" s="19"/>
      <c r="FL172" s="19"/>
      <c r="FM172" s="19"/>
      <c r="FN172" s="19"/>
      <c r="FO172" s="19"/>
      <c r="FP172" s="19"/>
      <c r="FQ172" s="19"/>
      <c r="FR172" s="19"/>
      <c r="FS172" s="19"/>
      <c r="FT172" s="19"/>
      <c r="FU172" s="19"/>
      <c r="FV172" s="19"/>
      <c r="FW172" s="19"/>
      <c r="FX172" s="19"/>
      <c r="FY172" s="19"/>
      <c r="FZ172" s="19"/>
      <c r="GA172" s="19"/>
      <c r="GB172" s="19"/>
      <c r="GC172" s="19"/>
      <c r="GD172" s="19"/>
      <c r="GE172" s="19"/>
      <c r="GF172" s="19"/>
      <c r="GG172" s="19"/>
      <c r="GH172" s="19">
        <v>3.1180428645266898</v>
      </c>
      <c r="GI172" s="19">
        <v>1445.7694043118322</v>
      </c>
      <c r="GJ172" s="17"/>
      <c r="GK172" s="17"/>
      <c r="GL172" s="17"/>
      <c r="GM172" s="17"/>
      <c r="GN172" s="17"/>
      <c r="GO172" s="17"/>
      <c r="GP172" s="17"/>
      <c r="GQ172" s="17"/>
      <c r="GR172" s="17"/>
      <c r="GS172" s="17"/>
      <c r="GT172" s="17"/>
      <c r="GU172" s="17"/>
      <c r="GV172" s="17"/>
      <c r="GW172" s="17"/>
      <c r="GX172" s="17"/>
      <c r="GY172" s="17"/>
    </row>
    <row r="173" spans="1:207" x14ac:dyDescent="0.25">
      <c r="A173" s="18" t="s">
        <v>165</v>
      </c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  <c r="CO173" s="19"/>
      <c r="CP173" s="19"/>
      <c r="CQ173" s="19"/>
      <c r="CR173" s="19"/>
      <c r="CS173" s="19"/>
      <c r="CT173" s="19"/>
      <c r="CU173" s="19"/>
      <c r="CV173" s="19"/>
      <c r="CW173" s="19"/>
      <c r="CX173" s="19"/>
      <c r="CY173" s="19"/>
      <c r="CZ173" s="19"/>
      <c r="DA173" s="19"/>
      <c r="DB173" s="19"/>
      <c r="DC173" s="19"/>
      <c r="DD173" s="19"/>
      <c r="DE173" s="19"/>
      <c r="DF173" s="19"/>
      <c r="DG173" s="19"/>
      <c r="DH173" s="19"/>
      <c r="DI173" s="19"/>
      <c r="DJ173" s="19"/>
      <c r="DK173" s="19"/>
      <c r="DL173" s="19"/>
      <c r="DM173" s="19"/>
      <c r="DN173" s="19"/>
      <c r="DO173" s="19"/>
      <c r="DP173" s="19"/>
      <c r="DQ173" s="19"/>
      <c r="DR173" s="19"/>
      <c r="DS173" s="19"/>
      <c r="DT173" s="19"/>
      <c r="DU173" s="19"/>
      <c r="DV173" s="19"/>
      <c r="DW173" s="19"/>
      <c r="DX173" s="19"/>
      <c r="DY173" s="19"/>
      <c r="DZ173" s="19"/>
      <c r="EA173" s="19"/>
      <c r="EB173" s="19"/>
      <c r="EC173" s="19"/>
      <c r="ED173" s="19"/>
      <c r="EE173" s="19"/>
      <c r="EF173" s="19"/>
      <c r="EG173" s="19"/>
      <c r="EH173" s="19"/>
      <c r="EI173" s="19"/>
      <c r="EJ173" s="19"/>
      <c r="EK173" s="19"/>
      <c r="EL173" s="19"/>
      <c r="EM173" s="19"/>
      <c r="EN173" s="19"/>
      <c r="EO173" s="19"/>
      <c r="EP173" s="19"/>
      <c r="EQ173" s="19"/>
      <c r="ER173" s="19"/>
      <c r="ES173" s="19"/>
      <c r="ET173" s="19"/>
      <c r="EU173" s="19"/>
      <c r="EV173" s="19"/>
      <c r="EW173" s="19"/>
      <c r="EX173" s="19"/>
      <c r="EY173" s="19"/>
      <c r="EZ173" s="19"/>
      <c r="FA173" s="19"/>
      <c r="FB173" s="19"/>
      <c r="FC173" s="19"/>
      <c r="FD173" s="19"/>
      <c r="FE173" s="19"/>
      <c r="FF173" s="19"/>
      <c r="FG173" s="19"/>
      <c r="FH173" s="19"/>
      <c r="FI173" s="19">
        <v>63.945714727673163</v>
      </c>
      <c r="FJ173" s="19">
        <v>1272.7914886395288</v>
      </c>
      <c r="FK173" s="19"/>
      <c r="FL173" s="19"/>
      <c r="FM173" s="19"/>
      <c r="FN173" s="19"/>
      <c r="FO173" s="19"/>
      <c r="FP173" s="19"/>
      <c r="FQ173" s="19"/>
      <c r="FR173" s="19"/>
      <c r="FS173" s="19"/>
      <c r="FT173" s="19"/>
      <c r="FU173" s="19"/>
      <c r="FV173" s="19"/>
      <c r="FW173" s="19"/>
      <c r="FX173" s="19"/>
      <c r="FY173" s="19"/>
      <c r="FZ173" s="19"/>
      <c r="GA173" s="19">
        <v>144.656962129655</v>
      </c>
      <c r="GB173" s="19"/>
      <c r="GC173" s="19"/>
      <c r="GD173" s="19"/>
      <c r="GE173" s="19"/>
      <c r="GF173" s="19"/>
      <c r="GG173" s="19"/>
      <c r="GH173" s="19">
        <v>63.243464998488129</v>
      </c>
      <c r="GI173" s="19">
        <v>1544.6376304953453</v>
      </c>
      <c r="GJ173" s="17"/>
      <c r="GK173" s="17"/>
      <c r="GL173" s="17"/>
      <c r="GM173" s="17"/>
      <c r="GN173" s="17"/>
      <c r="GO173" s="17"/>
      <c r="GP173" s="17"/>
      <c r="GQ173" s="17"/>
      <c r="GR173" s="17"/>
      <c r="GS173" s="17"/>
      <c r="GT173" s="17"/>
      <c r="GU173" s="17"/>
      <c r="GV173" s="17"/>
      <c r="GW173" s="17"/>
      <c r="GX173" s="17"/>
      <c r="GY173" s="17"/>
    </row>
    <row r="174" spans="1:207" x14ac:dyDescent="0.25">
      <c r="A174" s="18" t="s">
        <v>166</v>
      </c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  <c r="CO174" s="19"/>
      <c r="CP174" s="19"/>
      <c r="CQ174" s="19"/>
      <c r="CR174" s="19"/>
      <c r="CS174" s="19"/>
      <c r="CT174" s="19"/>
      <c r="CU174" s="19"/>
      <c r="CV174" s="19"/>
      <c r="CW174" s="19"/>
      <c r="CX174" s="19"/>
      <c r="CY174" s="19"/>
      <c r="CZ174" s="19"/>
      <c r="DA174" s="19"/>
      <c r="DB174" s="19"/>
      <c r="DC174" s="19"/>
      <c r="DD174" s="19"/>
      <c r="DE174" s="19"/>
      <c r="DF174" s="19"/>
      <c r="DG174" s="19"/>
      <c r="DH174" s="19"/>
      <c r="DI174" s="19"/>
      <c r="DJ174" s="19"/>
      <c r="DK174" s="19"/>
      <c r="DL174" s="19"/>
      <c r="DM174" s="19"/>
      <c r="DN174" s="19"/>
      <c r="DO174" s="19"/>
      <c r="DP174" s="19"/>
      <c r="DQ174" s="19"/>
      <c r="DR174" s="19"/>
      <c r="DS174" s="19"/>
      <c r="DT174" s="19"/>
      <c r="DU174" s="19"/>
      <c r="DV174" s="19"/>
      <c r="DW174" s="19"/>
      <c r="DX174" s="19"/>
      <c r="DY174" s="19"/>
      <c r="DZ174" s="19"/>
      <c r="EA174" s="19"/>
      <c r="EB174" s="19"/>
      <c r="EC174" s="19"/>
      <c r="ED174" s="19"/>
      <c r="EE174" s="19"/>
      <c r="EF174" s="19"/>
      <c r="EG174" s="19"/>
      <c r="EH174" s="19"/>
      <c r="EI174" s="19"/>
      <c r="EJ174" s="19"/>
      <c r="EK174" s="19"/>
      <c r="EL174" s="19"/>
      <c r="EM174" s="19"/>
      <c r="EN174" s="19"/>
      <c r="EO174" s="19"/>
      <c r="EP174" s="19"/>
      <c r="EQ174" s="19"/>
      <c r="ER174" s="19"/>
      <c r="ES174" s="19"/>
      <c r="ET174" s="19"/>
      <c r="EU174" s="19"/>
      <c r="EV174" s="19"/>
      <c r="EW174" s="19"/>
      <c r="EX174" s="19">
        <v>32.981746220633077</v>
      </c>
      <c r="EY174" s="19">
        <v>74.802669650465333</v>
      </c>
      <c r="EZ174" s="19">
        <v>6.2257322147349594</v>
      </c>
      <c r="FA174" s="19">
        <v>5.5706936539442531E-2</v>
      </c>
      <c r="FB174" s="19"/>
      <c r="FC174" s="19"/>
      <c r="FD174" s="19"/>
      <c r="FE174" s="19"/>
      <c r="FF174" s="19">
        <v>75.270456569534701</v>
      </c>
      <c r="FG174" s="19">
        <v>23.521140081538011</v>
      </c>
      <c r="FH174" s="19">
        <v>4.8528139359171254</v>
      </c>
      <c r="FI174" s="19"/>
      <c r="FJ174" s="19"/>
      <c r="FK174" s="19">
        <v>18.403351758241417</v>
      </c>
      <c r="FL174" s="19"/>
      <c r="FM174" s="19"/>
      <c r="FN174" s="19"/>
      <c r="FO174" s="19"/>
      <c r="FP174" s="19"/>
      <c r="FQ174" s="19"/>
      <c r="FR174" s="19"/>
      <c r="FS174" s="19"/>
      <c r="FT174" s="19"/>
      <c r="FU174" s="19"/>
      <c r="FV174" s="19"/>
      <c r="FW174" s="19"/>
      <c r="FX174" s="19"/>
      <c r="FY174" s="19"/>
      <c r="FZ174" s="19"/>
      <c r="GA174" s="19">
        <v>4.4969656527387603</v>
      </c>
      <c r="GB174" s="19"/>
      <c r="GC174" s="19"/>
      <c r="GD174" s="19"/>
      <c r="GE174" s="19"/>
      <c r="GF174" s="19"/>
      <c r="GG174" s="19"/>
      <c r="GH174" s="19">
        <v>3.2700794628787864</v>
      </c>
      <c r="GI174" s="19">
        <v>243.88066248322164</v>
      </c>
      <c r="GJ174" s="17"/>
      <c r="GK174" s="17"/>
      <c r="GL174" s="17"/>
      <c r="GM174" s="17"/>
      <c r="GN174" s="17"/>
      <c r="GO174" s="17"/>
      <c r="GP174" s="17"/>
      <c r="GQ174" s="17"/>
      <c r="GR174" s="17"/>
      <c r="GS174" s="17"/>
      <c r="GT174" s="17"/>
      <c r="GU174" s="17"/>
      <c r="GV174" s="17"/>
      <c r="GW174" s="17"/>
      <c r="GX174" s="17"/>
      <c r="GY174" s="17"/>
    </row>
    <row r="175" spans="1:207" x14ac:dyDescent="0.25">
      <c r="A175" s="18" t="s">
        <v>167</v>
      </c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/>
      <c r="CN175" s="19"/>
      <c r="CO175" s="19"/>
      <c r="CP175" s="19"/>
      <c r="CQ175" s="19"/>
      <c r="CR175" s="19"/>
      <c r="CS175" s="19"/>
      <c r="CT175" s="19"/>
      <c r="CU175" s="19"/>
      <c r="CV175" s="19"/>
      <c r="CW175" s="19"/>
      <c r="CX175" s="19"/>
      <c r="CY175" s="19"/>
      <c r="CZ175" s="19"/>
      <c r="DA175" s="19"/>
      <c r="DB175" s="19"/>
      <c r="DC175" s="19"/>
      <c r="DD175" s="19"/>
      <c r="DE175" s="19"/>
      <c r="DF175" s="19"/>
      <c r="DG175" s="19"/>
      <c r="DH175" s="19"/>
      <c r="DI175" s="19"/>
      <c r="DJ175" s="19"/>
      <c r="DK175" s="19"/>
      <c r="DL175" s="19"/>
      <c r="DM175" s="19"/>
      <c r="DN175" s="19"/>
      <c r="DO175" s="19"/>
      <c r="DP175" s="19"/>
      <c r="DQ175" s="19"/>
      <c r="DR175" s="19"/>
      <c r="DS175" s="19"/>
      <c r="DT175" s="19"/>
      <c r="DU175" s="19"/>
      <c r="DV175" s="19"/>
      <c r="DW175" s="19"/>
      <c r="DX175" s="19"/>
      <c r="DY175" s="19"/>
      <c r="DZ175" s="19"/>
      <c r="EA175" s="19"/>
      <c r="EB175" s="19"/>
      <c r="EC175" s="19"/>
      <c r="ED175" s="19"/>
      <c r="EE175" s="19"/>
      <c r="EF175" s="19"/>
      <c r="EG175" s="19"/>
      <c r="EH175" s="19"/>
      <c r="EI175" s="19"/>
      <c r="EJ175" s="19"/>
      <c r="EK175" s="19"/>
      <c r="EL175" s="19"/>
      <c r="EM175" s="19"/>
      <c r="EN175" s="19"/>
      <c r="EO175" s="19"/>
      <c r="EP175" s="19"/>
      <c r="EQ175" s="19"/>
      <c r="ER175" s="19"/>
      <c r="ES175" s="19"/>
      <c r="ET175" s="19"/>
      <c r="EU175" s="19"/>
      <c r="EV175" s="19"/>
      <c r="EW175" s="19"/>
      <c r="EX175" s="19">
        <v>43.741161317906666</v>
      </c>
      <c r="EY175" s="19">
        <v>119.79005454272473</v>
      </c>
      <c r="EZ175" s="19">
        <v>14.143804732348089</v>
      </c>
      <c r="FA175" s="19">
        <v>0.37347803030300231</v>
      </c>
      <c r="FB175" s="19"/>
      <c r="FC175" s="19"/>
      <c r="FD175" s="19"/>
      <c r="FE175" s="19"/>
      <c r="FF175" s="19">
        <v>103.40576829850808</v>
      </c>
      <c r="FG175" s="19">
        <v>32.289158779828256</v>
      </c>
      <c r="FH175" s="19">
        <v>11.321151239131991</v>
      </c>
      <c r="FI175" s="19"/>
      <c r="FJ175" s="19"/>
      <c r="FK175" s="19">
        <v>36.168582579805737</v>
      </c>
      <c r="FL175" s="19"/>
      <c r="FM175" s="19"/>
      <c r="FN175" s="19"/>
      <c r="FO175" s="19"/>
      <c r="FP175" s="19"/>
      <c r="FQ175" s="19"/>
      <c r="FR175" s="19"/>
      <c r="FS175" s="19"/>
      <c r="FT175" s="19"/>
      <c r="FU175" s="19"/>
      <c r="FV175" s="19"/>
      <c r="FW175" s="19"/>
      <c r="FX175" s="19"/>
      <c r="FY175" s="19"/>
      <c r="FZ175" s="19"/>
      <c r="GA175" s="19">
        <v>8.0172932791298077</v>
      </c>
      <c r="GB175" s="19"/>
      <c r="GC175" s="19"/>
      <c r="GD175" s="19"/>
      <c r="GE175" s="19"/>
      <c r="GF175" s="19"/>
      <c r="GG175" s="19"/>
      <c r="GH175" s="19">
        <v>4.1415112488338375</v>
      </c>
      <c r="GI175" s="19">
        <v>373.39196404852026</v>
      </c>
      <c r="GJ175" s="17"/>
      <c r="GK175" s="17"/>
      <c r="GL175" s="17"/>
      <c r="GM175" s="17"/>
      <c r="GN175" s="17"/>
      <c r="GO175" s="17"/>
      <c r="GP175" s="17"/>
      <c r="GQ175" s="17"/>
      <c r="GR175" s="17"/>
      <c r="GS175" s="17"/>
      <c r="GT175" s="17"/>
      <c r="GU175" s="17"/>
      <c r="GV175" s="17"/>
      <c r="GW175" s="17"/>
      <c r="GX175" s="17"/>
      <c r="GY175" s="17"/>
    </row>
    <row r="176" spans="1:207" x14ac:dyDescent="0.25">
      <c r="A176" s="18" t="s">
        <v>168</v>
      </c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/>
      <c r="CN176" s="19"/>
      <c r="CO176" s="19"/>
      <c r="CP176" s="19"/>
      <c r="CQ176" s="19"/>
      <c r="CR176" s="19"/>
      <c r="CS176" s="19"/>
      <c r="CT176" s="19"/>
      <c r="CU176" s="19"/>
      <c r="CV176" s="19"/>
      <c r="CW176" s="19"/>
      <c r="CX176" s="19"/>
      <c r="CY176" s="19"/>
      <c r="CZ176" s="19"/>
      <c r="DA176" s="19"/>
      <c r="DB176" s="19"/>
      <c r="DC176" s="19"/>
      <c r="DD176" s="19"/>
      <c r="DE176" s="19"/>
      <c r="DF176" s="19"/>
      <c r="DG176" s="19"/>
      <c r="DH176" s="19"/>
      <c r="DI176" s="19"/>
      <c r="DJ176" s="19"/>
      <c r="DK176" s="19"/>
      <c r="DL176" s="19"/>
      <c r="DM176" s="19"/>
      <c r="DN176" s="19"/>
      <c r="DO176" s="19"/>
      <c r="DP176" s="19"/>
      <c r="DQ176" s="19"/>
      <c r="DR176" s="19"/>
      <c r="DS176" s="19"/>
      <c r="DT176" s="19"/>
      <c r="DU176" s="19"/>
      <c r="DV176" s="19"/>
      <c r="DW176" s="19"/>
      <c r="DX176" s="19"/>
      <c r="DY176" s="19"/>
      <c r="DZ176" s="19"/>
      <c r="EA176" s="19"/>
      <c r="EB176" s="19"/>
      <c r="EC176" s="19"/>
      <c r="ED176" s="19"/>
      <c r="EE176" s="19"/>
      <c r="EF176" s="19"/>
      <c r="EG176" s="19"/>
      <c r="EH176" s="19"/>
      <c r="EI176" s="19"/>
      <c r="EJ176" s="19"/>
      <c r="EK176" s="19"/>
      <c r="EL176" s="19"/>
      <c r="EM176" s="19"/>
      <c r="EN176" s="19"/>
      <c r="EO176" s="19"/>
      <c r="EP176" s="19"/>
      <c r="EQ176" s="19"/>
      <c r="ER176" s="19"/>
      <c r="ES176" s="19"/>
      <c r="ET176" s="19"/>
      <c r="EU176" s="19"/>
      <c r="EV176" s="19"/>
      <c r="EW176" s="19"/>
      <c r="EX176" s="19">
        <v>59.948554599891622</v>
      </c>
      <c r="EY176" s="19">
        <v>185.38899556809108</v>
      </c>
      <c r="EZ176" s="19">
        <v>27.382514335448416</v>
      </c>
      <c r="FA176" s="19">
        <v>1.8632588218922845</v>
      </c>
      <c r="FB176" s="19"/>
      <c r="FC176" s="19"/>
      <c r="FD176" s="19"/>
      <c r="FE176" s="19"/>
      <c r="FF176" s="19">
        <v>136.92602231381005</v>
      </c>
      <c r="FG176" s="19">
        <v>43.027617405312817</v>
      </c>
      <c r="FH176" s="19">
        <v>14.782910365680147</v>
      </c>
      <c r="FI176" s="19"/>
      <c r="FJ176" s="19"/>
      <c r="FK176" s="19">
        <v>56.040259363648516</v>
      </c>
      <c r="FL176" s="19"/>
      <c r="FM176" s="19"/>
      <c r="FN176" s="19"/>
      <c r="FO176" s="19"/>
      <c r="FP176" s="19"/>
      <c r="FQ176" s="19"/>
      <c r="FR176" s="19"/>
      <c r="FS176" s="19"/>
      <c r="FT176" s="19"/>
      <c r="FU176" s="19"/>
      <c r="FV176" s="19"/>
      <c r="FW176" s="19"/>
      <c r="FX176" s="19"/>
      <c r="FY176" s="19"/>
      <c r="FZ176" s="19"/>
      <c r="GA176" s="19">
        <v>11.762810048006541</v>
      </c>
      <c r="GB176" s="19"/>
      <c r="GC176" s="19"/>
      <c r="GD176" s="19"/>
      <c r="GE176" s="19"/>
      <c r="GF176" s="19"/>
      <c r="GG176" s="19"/>
      <c r="GH176" s="19">
        <v>5.1936444209971384</v>
      </c>
      <c r="GI176" s="19">
        <v>542.3165872427785</v>
      </c>
      <c r="GJ176" s="17"/>
      <c r="GK176" s="17"/>
      <c r="GL176" s="17"/>
      <c r="GM176" s="17"/>
      <c r="GN176" s="17"/>
      <c r="GO176" s="17"/>
      <c r="GP176" s="17"/>
      <c r="GQ176" s="17"/>
      <c r="GR176" s="17"/>
      <c r="GS176" s="17"/>
      <c r="GT176" s="17"/>
      <c r="GU176" s="17"/>
      <c r="GV176" s="17"/>
      <c r="GW176" s="17"/>
      <c r="GX176" s="17"/>
      <c r="GY176" s="17"/>
    </row>
    <row r="177" spans="1:207" x14ac:dyDescent="0.25">
      <c r="A177" s="18" t="s">
        <v>169</v>
      </c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  <c r="CO177" s="19"/>
      <c r="CP177" s="19"/>
      <c r="CQ177" s="19"/>
      <c r="CR177" s="19"/>
      <c r="CS177" s="19"/>
      <c r="CT177" s="19"/>
      <c r="CU177" s="19"/>
      <c r="CV177" s="19"/>
      <c r="CW177" s="19"/>
      <c r="CX177" s="19"/>
      <c r="CY177" s="19"/>
      <c r="CZ177" s="19"/>
      <c r="DA177" s="19"/>
      <c r="DB177" s="19"/>
      <c r="DC177" s="19"/>
      <c r="DD177" s="19"/>
      <c r="DE177" s="19"/>
      <c r="DF177" s="19"/>
      <c r="DG177" s="19"/>
      <c r="DH177" s="19"/>
      <c r="DI177" s="19"/>
      <c r="DJ177" s="19"/>
      <c r="DK177" s="19"/>
      <c r="DL177" s="19"/>
      <c r="DM177" s="19"/>
      <c r="DN177" s="19"/>
      <c r="DO177" s="19"/>
      <c r="DP177" s="19"/>
      <c r="DQ177" s="19"/>
      <c r="DR177" s="19"/>
      <c r="DS177" s="19"/>
      <c r="DT177" s="19"/>
      <c r="DU177" s="19"/>
      <c r="DV177" s="19"/>
      <c r="DW177" s="19"/>
      <c r="DX177" s="19"/>
      <c r="DY177" s="19"/>
      <c r="DZ177" s="19"/>
      <c r="EA177" s="19"/>
      <c r="EB177" s="19"/>
      <c r="EC177" s="19"/>
      <c r="ED177" s="19"/>
      <c r="EE177" s="19"/>
      <c r="EF177" s="19"/>
      <c r="EG177" s="19"/>
      <c r="EH177" s="19"/>
      <c r="EI177" s="19"/>
      <c r="EJ177" s="19"/>
      <c r="EK177" s="19"/>
      <c r="EL177" s="19"/>
      <c r="EM177" s="19"/>
      <c r="EN177" s="19"/>
      <c r="EO177" s="19"/>
      <c r="EP177" s="19"/>
      <c r="EQ177" s="19"/>
      <c r="ER177" s="19"/>
      <c r="ES177" s="19"/>
      <c r="ET177" s="19"/>
      <c r="EU177" s="19"/>
      <c r="EV177" s="19"/>
      <c r="EW177" s="19"/>
      <c r="EX177" s="19">
        <v>67.945489636047824</v>
      </c>
      <c r="EY177" s="19">
        <v>271.11261533694648</v>
      </c>
      <c r="EZ177" s="19">
        <v>60.567380689332289</v>
      </c>
      <c r="FA177" s="19">
        <v>8.7850945228511197</v>
      </c>
      <c r="FB177" s="19"/>
      <c r="FC177" s="19"/>
      <c r="FD177" s="19"/>
      <c r="FE177" s="19"/>
      <c r="FF177" s="19">
        <v>209.14394678709724</v>
      </c>
      <c r="FG177" s="19">
        <v>65.832393263412925</v>
      </c>
      <c r="FH177" s="19">
        <v>18.84319519749263</v>
      </c>
      <c r="FI177" s="19"/>
      <c r="FJ177" s="19"/>
      <c r="FK177" s="19">
        <v>102.17288491507406</v>
      </c>
      <c r="FL177" s="19"/>
      <c r="FM177" s="19"/>
      <c r="FN177" s="19"/>
      <c r="FO177" s="19"/>
      <c r="FP177" s="19"/>
      <c r="FQ177" s="19"/>
      <c r="FR177" s="19"/>
      <c r="FS177" s="19"/>
      <c r="FT177" s="19"/>
      <c r="FU177" s="19"/>
      <c r="FV177" s="19"/>
      <c r="FW177" s="19"/>
      <c r="FX177" s="19"/>
      <c r="FY177" s="19"/>
      <c r="FZ177" s="19"/>
      <c r="GA177" s="19">
        <v>12.670992073492336</v>
      </c>
      <c r="GB177" s="19"/>
      <c r="GC177" s="19"/>
      <c r="GD177" s="19"/>
      <c r="GE177" s="19"/>
      <c r="GF177" s="19"/>
      <c r="GG177" s="19"/>
      <c r="GH177" s="19">
        <v>5.8451805875359959</v>
      </c>
      <c r="GI177" s="19">
        <v>822.91917300928287</v>
      </c>
      <c r="GJ177" s="17"/>
      <c r="GK177" s="17"/>
      <c r="GL177" s="17"/>
      <c r="GM177" s="17"/>
      <c r="GN177" s="17"/>
      <c r="GO177" s="17"/>
      <c r="GP177" s="17"/>
      <c r="GQ177" s="17"/>
      <c r="GR177" s="17"/>
      <c r="GS177" s="17"/>
      <c r="GT177" s="17"/>
      <c r="GU177" s="17"/>
      <c r="GV177" s="17"/>
      <c r="GW177" s="17"/>
      <c r="GX177" s="17"/>
      <c r="GY177" s="17"/>
    </row>
    <row r="178" spans="1:207" x14ac:dyDescent="0.25">
      <c r="A178" s="18" t="s">
        <v>170</v>
      </c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  <c r="CO178" s="19"/>
      <c r="CP178" s="19"/>
      <c r="CQ178" s="19"/>
      <c r="CR178" s="19"/>
      <c r="CS178" s="19"/>
      <c r="CT178" s="19"/>
      <c r="CU178" s="19"/>
      <c r="CV178" s="19"/>
      <c r="CW178" s="19"/>
      <c r="CX178" s="19"/>
      <c r="CY178" s="19"/>
      <c r="CZ178" s="19"/>
      <c r="DA178" s="19"/>
      <c r="DB178" s="19"/>
      <c r="DC178" s="19"/>
      <c r="DD178" s="19"/>
      <c r="DE178" s="19"/>
      <c r="DF178" s="19"/>
      <c r="DG178" s="19"/>
      <c r="DH178" s="19"/>
      <c r="DI178" s="19"/>
      <c r="DJ178" s="19"/>
      <c r="DK178" s="19"/>
      <c r="DL178" s="19"/>
      <c r="DM178" s="19"/>
      <c r="DN178" s="19"/>
      <c r="DO178" s="19"/>
      <c r="DP178" s="19"/>
      <c r="DQ178" s="19"/>
      <c r="DR178" s="19"/>
      <c r="DS178" s="19"/>
      <c r="DT178" s="19"/>
      <c r="DU178" s="19"/>
      <c r="DV178" s="19"/>
      <c r="DW178" s="19"/>
      <c r="DX178" s="19"/>
      <c r="DY178" s="19"/>
      <c r="DZ178" s="19"/>
      <c r="EA178" s="19"/>
      <c r="EB178" s="19"/>
      <c r="EC178" s="19"/>
      <c r="ED178" s="19"/>
      <c r="EE178" s="19"/>
      <c r="EF178" s="19"/>
      <c r="EG178" s="19"/>
      <c r="EH178" s="19"/>
      <c r="EI178" s="19"/>
      <c r="EJ178" s="19"/>
      <c r="EK178" s="19"/>
      <c r="EL178" s="19"/>
      <c r="EM178" s="19"/>
      <c r="EN178" s="19"/>
      <c r="EO178" s="19"/>
      <c r="EP178" s="19"/>
      <c r="EQ178" s="19"/>
      <c r="ER178" s="19"/>
      <c r="ES178" s="19"/>
      <c r="ET178" s="19"/>
      <c r="EU178" s="19"/>
      <c r="EV178" s="19"/>
      <c r="EW178" s="19"/>
      <c r="EX178" s="19">
        <v>39.423790564919301</v>
      </c>
      <c r="EY178" s="19">
        <v>370.02684948405448</v>
      </c>
      <c r="EZ178" s="19">
        <v>184.15227118055174</v>
      </c>
      <c r="FA178" s="19">
        <v>46.840361120895921</v>
      </c>
      <c r="FB178" s="19"/>
      <c r="FC178" s="19"/>
      <c r="FD178" s="19"/>
      <c r="FE178" s="19"/>
      <c r="FF178" s="19">
        <v>153.19048963760525</v>
      </c>
      <c r="FG178" s="19">
        <v>47.997959736969996</v>
      </c>
      <c r="FH178" s="19">
        <v>19.564819985618268</v>
      </c>
      <c r="FI178" s="19"/>
      <c r="FJ178" s="19"/>
      <c r="FK178" s="19">
        <v>185.45046084751445</v>
      </c>
      <c r="FL178" s="19"/>
      <c r="FM178" s="19"/>
      <c r="FN178" s="19"/>
      <c r="FO178" s="19"/>
      <c r="FP178" s="19"/>
      <c r="FQ178" s="19"/>
      <c r="FR178" s="19"/>
      <c r="FS178" s="19"/>
      <c r="FT178" s="19"/>
      <c r="FU178" s="19"/>
      <c r="FV178" s="19"/>
      <c r="FW178" s="19"/>
      <c r="FX178" s="19"/>
      <c r="FY178" s="19"/>
      <c r="FZ178" s="19"/>
      <c r="GA178" s="19">
        <v>13.097296171480968</v>
      </c>
      <c r="GB178" s="19"/>
      <c r="GC178" s="19"/>
      <c r="GD178" s="19"/>
      <c r="GE178" s="19"/>
      <c r="GF178" s="19"/>
      <c r="GG178" s="19"/>
      <c r="GH178" s="19">
        <v>7.5599630022641495</v>
      </c>
      <c r="GI178" s="19">
        <v>1067.3042617318745</v>
      </c>
      <c r="GJ178" s="17"/>
      <c r="GK178" s="17"/>
      <c r="GL178" s="17"/>
      <c r="GM178" s="17"/>
      <c r="GN178" s="17"/>
      <c r="GO178" s="17"/>
      <c r="GP178" s="17"/>
      <c r="GQ178" s="17"/>
      <c r="GR178" s="17"/>
      <c r="GS178" s="17"/>
      <c r="GT178" s="17"/>
      <c r="GU178" s="17"/>
      <c r="GV178" s="17"/>
      <c r="GW178" s="17"/>
      <c r="GX178" s="17"/>
      <c r="GY178" s="17"/>
    </row>
    <row r="179" spans="1:207" x14ac:dyDescent="0.25">
      <c r="A179" s="18" t="s">
        <v>171</v>
      </c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  <c r="CM179" s="19"/>
      <c r="CN179" s="19"/>
      <c r="CO179" s="19"/>
      <c r="CP179" s="19"/>
      <c r="CQ179" s="19"/>
      <c r="CR179" s="19"/>
      <c r="CS179" s="19"/>
      <c r="CT179" s="19"/>
      <c r="CU179" s="19"/>
      <c r="CV179" s="19"/>
      <c r="CW179" s="19"/>
      <c r="CX179" s="19"/>
      <c r="CY179" s="19"/>
      <c r="CZ179" s="19"/>
      <c r="DA179" s="19"/>
      <c r="DB179" s="19"/>
      <c r="DC179" s="19"/>
      <c r="DD179" s="19"/>
      <c r="DE179" s="19"/>
      <c r="DF179" s="19"/>
      <c r="DG179" s="19"/>
      <c r="DH179" s="19"/>
      <c r="DI179" s="19"/>
      <c r="DJ179" s="19"/>
      <c r="DK179" s="19"/>
      <c r="DL179" s="19"/>
      <c r="DM179" s="19"/>
      <c r="DN179" s="19"/>
      <c r="DO179" s="19"/>
      <c r="DP179" s="19"/>
      <c r="DQ179" s="19"/>
      <c r="DR179" s="19"/>
      <c r="DS179" s="19"/>
      <c r="DT179" s="19"/>
      <c r="DU179" s="19"/>
      <c r="DV179" s="19"/>
      <c r="DW179" s="19"/>
      <c r="DX179" s="19"/>
      <c r="DY179" s="19"/>
      <c r="DZ179" s="19"/>
      <c r="EA179" s="19"/>
      <c r="EB179" s="19"/>
      <c r="EC179" s="19"/>
      <c r="ED179" s="19"/>
      <c r="EE179" s="19"/>
      <c r="EF179" s="19"/>
      <c r="EG179" s="19"/>
      <c r="EH179" s="19"/>
      <c r="EI179" s="19"/>
      <c r="EJ179" s="19"/>
      <c r="EK179" s="19"/>
      <c r="EL179" s="19"/>
      <c r="EM179" s="19"/>
      <c r="EN179" s="19"/>
      <c r="EO179" s="19"/>
      <c r="EP179" s="19"/>
      <c r="EQ179" s="19"/>
      <c r="ER179" s="19"/>
      <c r="ES179" s="19"/>
      <c r="ET179" s="19"/>
      <c r="EU179" s="19"/>
      <c r="EV179" s="19"/>
      <c r="EW179" s="19"/>
      <c r="EX179" s="19">
        <v>1.5681407873602757</v>
      </c>
      <c r="EY179" s="19">
        <v>1.8091245847825916</v>
      </c>
      <c r="EZ179" s="19">
        <v>8.719814766791277E-2</v>
      </c>
      <c r="FA179" s="19">
        <v>7.8013681169408419E-4</v>
      </c>
      <c r="FB179" s="19"/>
      <c r="FC179" s="19"/>
      <c r="FD179" s="19"/>
      <c r="FE179" s="19"/>
      <c r="FF179" s="19"/>
      <c r="FG179" s="19"/>
      <c r="FH179" s="19"/>
      <c r="FI179" s="19"/>
      <c r="FJ179" s="19"/>
      <c r="FK179" s="19">
        <v>0.71621243992053241</v>
      </c>
      <c r="FL179" s="19"/>
      <c r="FM179" s="19"/>
      <c r="FN179" s="19"/>
      <c r="FO179" s="19"/>
      <c r="FP179" s="19"/>
      <c r="FQ179" s="19"/>
      <c r="FR179" s="19"/>
      <c r="FS179" s="19"/>
      <c r="FT179" s="19"/>
      <c r="FU179" s="19"/>
      <c r="FV179" s="19"/>
      <c r="FW179" s="19"/>
      <c r="FX179" s="19"/>
      <c r="FY179" s="19"/>
      <c r="FZ179" s="19"/>
      <c r="GA179" s="19">
        <v>7.2134678575028408E-2</v>
      </c>
      <c r="GB179" s="19"/>
      <c r="GC179" s="19"/>
      <c r="GD179" s="19"/>
      <c r="GE179" s="19"/>
      <c r="GF179" s="19"/>
      <c r="GG179" s="19"/>
      <c r="GH179" s="19">
        <v>0.25513415463848155</v>
      </c>
      <c r="GI179" s="19">
        <v>4.5087249297565162</v>
      </c>
      <c r="GJ179" s="17"/>
      <c r="GK179" s="17"/>
      <c r="GL179" s="17"/>
      <c r="GM179" s="17"/>
      <c r="GN179" s="17"/>
      <c r="GO179" s="17"/>
      <c r="GP179" s="17"/>
      <c r="GQ179" s="17"/>
      <c r="GR179" s="17"/>
      <c r="GS179" s="17"/>
      <c r="GT179" s="17"/>
      <c r="GU179" s="17"/>
      <c r="GV179" s="17"/>
      <c r="GW179" s="17"/>
      <c r="GX179" s="17"/>
      <c r="GY179" s="17"/>
    </row>
    <row r="180" spans="1:207" x14ac:dyDescent="0.25">
      <c r="A180" s="18" t="s">
        <v>172</v>
      </c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/>
      <c r="CN180" s="19"/>
      <c r="CO180" s="19"/>
      <c r="CP180" s="19"/>
      <c r="CQ180" s="19"/>
      <c r="CR180" s="19"/>
      <c r="CS180" s="19"/>
      <c r="CT180" s="19"/>
      <c r="CU180" s="19"/>
      <c r="CV180" s="19"/>
      <c r="CW180" s="19"/>
      <c r="CX180" s="19"/>
      <c r="CY180" s="19"/>
      <c r="CZ180" s="19"/>
      <c r="DA180" s="19"/>
      <c r="DB180" s="19"/>
      <c r="DC180" s="19"/>
      <c r="DD180" s="19"/>
      <c r="DE180" s="19"/>
      <c r="DF180" s="19"/>
      <c r="DG180" s="19"/>
      <c r="DH180" s="19"/>
      <c r="DI180" s="19"/>
      <c r="DJ180" s="19"/>
      <c r="DK180" s="19"/>
      <c r="DL180" s="19"/>
      <c r="DM180" s="19"/>
      <c r="DN180" s="19"/>
      <c r="DO180" s="19"/>
      <c r="DP180" s="19"/>
      <c r="DQ180" s="19"/>
      <c r="DR180" s="19"/>
      <c r="DS180" s="19"/>
      <c r="DT180" s="19"/>
      <c r="DU180" s="19"/>
      <c r="DV180" s="19"/>
      <c r="DW180" s="19"/>
      <c r="DX180" s="19"/>
      <c r="DY180" s="19"/>
      <c r="DZ180" s="19"/>
      <c r="EA180" s="19"/>
      <c r="EB180" s="19"/>
      <c r="EC180" s="19"/>
      <c r="ED180" s="19"/>
      <c r="EE180" s="19"/>
      <c r="EF180" s="19"/>
      <c r="EG180" s="19"/>
      <c r="EH180" s="19"/>
      <c r="EI180" s="19"/>
      <c r="EJ180" s="19"/>
      <c r="EK180" s="19"/>
      <c r="EL180" s="19"/>
      <c r="EM180" s="19"/>
      <c r="EN180" s="19"/>
      <c r="EO180" s="19"/>
      <c r="EP180" s="19"/>
      <c r="EQ180" s="19"/>
      <c r="ER180" s="19"/>
      <c r="ES180" s="19"/>
      <c r="ET180" s="19"/>
      <c r="EU180" s="19"/>
      <c r="EV180" s="19"/>
      <c r="EW180" s="19"/>
      <c r="EX180" s="19">
        <v>1.5407277722438069</v>
      </c>
      <c r="EY180" s="19">
        <v>2.8767789223796441</v>
      </c>
      <c r="EZ180" s="19">
        <v>0.24975427071679213</v>
      </c>
      <c r="FA180" s="19">
        <v>1.0424010422594882E-2</v>
      </c>
      <c r="FB180" s="19"/>
      <c r="FC180" s="19"/>
      <c r="FD180" s="19"/>
      <c r="FE180" s="19"/>
      <c r="FF180" s="19"/>
      <c r="FG180" s="19"/>
      <c r="FH180" s="19"/>
      <c r="FI180" s="19"/>
      <c r="FJ180" s="19"/>
      <c r="FK180" s="19">
        <v>0.96537945829331639</v>
      </c>
      <c r="FL180" s="19"/>
      <c r="FM180" s="19"/>
      <c r="FN180" s="19"/>
      <c r="FO180" s="19"/>
      <c r="FP180" s="19"/>
      <c r="FQ180" s="19"/>
      <c r="FR180" s="19"/>
      <c r="FS180" s="19"/>
      <c r="FT180" s="19"/>
      <c r="FU180" s="19"/>
      <c r="FV180" s="19"/>
      <c r="FW180" s="19"/>
      <c r="FX180" s="19"/>
      <c r="FY180" s="19"/>
      <c r="FZ180" s="19"/>
      <c r="GA180" s="19">
        <v>7.955728253144817E-2</v>
      </c>
      <c r="GB180" s="19"/>
      <c r="GC180" s="19"/>
      <c r="GD180" s="19"/>
      <c r="GE180" s="19"/>
      <c r="GF180" s="19"/>
      <c r="GG180" s="19"/>
      <c r="GH180" s="19">
        <v>6.5491755349286515E-2</v>
      </c>
      <c r="GI180" s="19">
        <v>5.7881134719368896</v>
      </c>
      <c r="GJ180" s="17"/>
      <c r="GK180" s="17"/>
      <c r="GL180" s="17"/>
      <c r="GM180" s="17"/>
      <c r="GN180" s="17"/>
      <c r="GO180" s="17"/>
      <c r="GP180" s="17"/>
      <c r="GQ180" s="17"/>
      <c r="GR180" s="17"/>
      <c r="GS180" s="17"/>
      <c r="GT180" s="17"/>
      <c r="GU180" s="17"/>
      <c r="GV180" s="17"/>
      <c r="GW180" s="17"/>
      <c r="GX180" s="17"/>
      <c r="GY180" s="17"/>
    </row>
    <row r="181" spans="1:207" x14ac:dyDescent="0.25">
      <c r="A181" s="18" t="s">
        <v>173</v>
      </c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  <c r="CO181" s="19"/>
      <c r="CP181" s="19"/>
      <c r="CQ181" s="19"/>
      <c r="CR181" s="19"/>
      <c r="CS181" s="19"/>
      <c r="CT181" s="19"/>
      <c r="CU181" s="19"/>
      <c r="CV181" s="19"/>
      <c r="CW181" s="19"/>
      <c r="CX181" s="19"/>
      <c r="CY181" s="19"/>
      <c r="CZ181" s="19"/>
      <c r="DA181" s="19"/>
      <c r="DB181" s="19"/>
      <c r="DC181" s="19"/>
      <c r="DD181" s="19"/>
      <c r="DE181" s="19"/>
      <c r="DF181" s="19"/>
      <c r="DG181" s="19"/>
      <c r="DH181" s="19"/>
      <c r="DI181" s="19"/>
      <c r="DJ181" s="19"/>
      <c r="DK181" s="19"/>
      <c r="DL181" s="19"/>
      <c r="DM181" s="19"/>
      <c r="DN181" s="19"/>
      <c r="DO181" s="19"/>
      <c r="DP181" s="19"/>
      <c r="DQ181" s="19"/>
      <c r="DR181" s="19"/>
      <c r="DS181" s="19"/>
      <c r="DT181" s="19"/>
      <c r="DU181" s="19"/>
      <c r="DV181" s="19"/>
      <c r="DW181" s="19"/>
      <c r="DX181" s="19"/>
      <c r="DY181" s="19"/>
      <c r="DZ181" s="19"/>
      <c r="EA181" s="19"/>
      <c r="EB181" s="19"/>
      <c r="EC181" s="19"/>
      <c r="ED181" s="19"/>
      <c r="EE181" s="19"/>
      <c r="EF181" s="19"/>
      <c r="EG181" s="19"/>
      <c r="EH181" s="19"/>
      <c r="EI181" s="19"/>
      <c r="EJ181" s="19"/>
      <c r="EK181" s="19"/>
      <c r="EL181" s="19"/>
      <c r="EM181" s="19"/>
      <c r="EN181" s="19"/>
      <c r="EO181" s="19"/>
      <c r="EP181" s="19"/>
      <c r="EQ181" s="19"/>
      <c r="ER181" s="19"/>
      <c r="ES181" s="19"/>
      <c r="ET181" s="19"/>
      <c r="EU181" s="19"/>
      <c r="EV181" s="19"/>
      <c r="EW181" s="19"/>
      <c r="EX181" s="19">
        <v>1.0255826088854014</v>
      </c>
      <c r="EY181" s="19">
        <v>4.3889656825841961</v>
      </c>
      <c r="EZ181" s="19">
        <v>0.87883443126583738</v>
      </c>
      <c r="FA181" s="19">
        <v>0.10190669032681292</v>
      </c>
      <c r="FB181" s="19"/>
      <c r="FC181" s="19"/>
      <c r="FD181" s="19"/>
      <c r="FE181" s="19"/>
      <c r="FF181" s="19"/>
      <c r="FG181" s="19"/>
      <c r="FH181" s="19"/>
      <c r="FI181" s="19"/>
      <c r="FJ181" s="19"/>
      <c r="FK181" s="19">
        <v>1.7046549652942886</v>
      </c>
      <c r="FL181" s="19"/>
      <c r="FM181" s="19"/>
      <c r="FN181" s="19"/>
      <c r="FO181" s="19"/>
      <c r="FP181" s="19"/>
      <c r="FQ181" s="19"/>
      <c r="FR181" s="19"/>
      <c r="FS181" s="19"/>
      <c r="FT181" s="19"/>
      <c r="FU181" s="19"/>
      <c r="FV181" s="19"/>
      <c r="FW181" s="19"/>
      <c r="FX181" s="19"/>
      <c r="FY181" s="19"/>
      <c r="FZ181" s="19"/>
      <c r="GA181" s="19">
        <v>8.8151120854626078E-2</v>
      </c>
      <c r="GB181" s="19"/>
      <c r="GC181" s="19"/>
      <c r="GD181" s="19"/>
      <c r="GE181" s="19"/>
      <c r="GF181" s="19"/>
      <c r="GG181" s="19"/>
      <c r="GH181" s="19">
        <v>0.15996166150445695</v>
      </c>
      <c r="GI181" s="19">
        <v>8.3480571607156193</v>
      </c>
      <c r="GJ181" s="17"/>
      <c r="GK181" s="17"/>
      <c r="GL181" s="17"/>
      <c r="GM181" s="17"/>
      <c r="GN181" s="17"/>
      <c r="GO181" s="17"/>
      <c r="GP181" s="17"/>
      <c r="GQ181" s="17"/>
      <c r="GR181" s="17"/>
      <c r="GS181" s="17"/>
      <c r="GT181" s="17"/>
      <c r="GU181" s="17"/>
      <c r="GV181" s="17"/>
      <c r="GW181" s="17"/>
      <c r="GX181" s="17"/>
      <c r="GY181" s="17"/>
    </row>
    <row r="182" spans="1:207" x14ac:dyDescent="0.25">
      <c r="A182" s="18" t="s">
        <v>174</v>
      </c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  <c r="CM182" s="19"/>
      <c r="CN182" s="19"/>
      <c r="CO182" s="19"/>
      <c r="CP182" s="19"/>
      <c r="CQ182" s="19"/>
      <c r="CR182" s="19"/>
      <c r="CS182" s="19"/>
      <c r="CT182" s="19"/>
      <c r="CU182" s="19"/>
      <c r="CV182" s="19"/>
      <c r="CW182" s="19"/>
      <c r="CX182" s="19"/>
      <c r="CY182" s="19"/>
      <c r="CZ182" s="19"/>
      <c r="DA182" s="19"/>
      <c r="DB182" s="19"/>
      <c r="DC182" s="19"/>
      <c r="DD182" s="19"/>
      <c r="DE182" s="19"/>
      <c r="DF182" s="19"/>
      <c r="DG182" s="19"/>
      <c r="DH182" s="19"/>
      <c r="DI182" s="19"/>
      <c r="DJ182" s="19"/>
      <c r="DK182" s="19"/>
      <c r="DL182" s="19"/>
      <c r="DM182" s="19"/>
      <c r="DN182" s="19"/>
      <c r="DO182" s="19"/>
      <c r="DP182" s="19"/>
      <c r="DQ182" s="19"/>
      <c r="DR182" s="19"/>
      <c r="DS182" s="19"/>
      <c r="DT182" s="19"/>
      <c r="DU182" s="19"/>
      <c r="DV182" s="19"/>
      <c r="DW182" s="19"/>
      <c r="DX182" s="19"/>
      <c r="DY182" s="19"/>
      <c r="DZ182" s="19"/>
      <c r="EA182" s="19"/>
      <c r="EB182" s="19"/>
      <c r="EC182" s="19"/>
      <c r="ED182" s="19"/>
      <c r="EE182" s="19"/>
      <c r="EF182" s="19"/>
      <c r="EG182" s="19"/>
      <c r="EH182" s="19"/>
      <c r="EI182" s="19"/>
      <c r="EJ182" s="19"/>
      <c r="EK182" s="19"/>
      <c r="EL182" s="19"/>
      <c r="EM182" s="19"/>
      <c r="EN182" s="19"/>
      <c r="EO182" s="19"/>
      <c r="EP182" s="19"/>
      <c r="EQ182" s="19"/>
      <c r="ER182" s="19"/>
      <c r="ES182" s="19"/>
      <c r="ET182" s="19"/>
      <c r="EU182" s="19"/>
      <c r="EV182" s="19"/>
      <c r="EW182" s="19"/>
      <c r="EX182" s="19">
        <v>0.90169129140105364</v>
      </c>
      <c r="EY182" s="19">
        <v>3.6749342898406319</v>
      </c>
      <c r="EZ182" s="19">
        <v>1.576447440287144</v>
      </c>
      <c r="FA182" s="19">
        <v>0.20669450478498666</v>
      </c>
      <c r="FB182" s="19"/>
      <c r="FC182" s="19"/>
      <c r="FD182" s="19"/>
      <c r="FE182" s="19"/>
      <c r="FF182" s="19"/>
      <c r="FG182" s="19"/>
      <c r="FH182" s="19"/>
      <c r="FI182" s="19"/>
      <c r="FJ182" s="19"/>
      <c r="FK182" s="19">
        <v>2.0163176279614223</v>
      </c>
      <c r="FL182" s="19"/>
      <c r="FM182" s="19"/>
      <c r="FN182" s="19"/>
      <c r="FO182" s="19"/>
      <c r="FP182" s="19"/>
      <c r="FQ182" s="19"/>
      <c r="FR182" s="19"/>
      <c r="FS182" s="19"/>
      <c r="FT182" s="19"/>
      <c r="FU182" s="19"/>
      <c r="FV182" s="19"/>
      <c r="FW182" s="19"/>
      <c r="FX182" s="19"/>
      <c r="FY182" s="19"/>
      <c r="FZ182" s="19"/>
      <c r="GA182" s="19">
        <v>6.5974212270547783E-2</v>
      </c>
      <c r="GB182" s="19"/>
      <c r="GC182" s="19"/>
      <c r="GD182" s="19"/>
      <c r="GE182" s="19"/>
      <c r="GF182" s="19"/>
      <c r="GG182" s="19"/>
      <c r="GH182" s="19">
        <v>0.15303814236483657</v>
      </c>
      <c r="GI182" s="19">
        <v>8.595097508910623</v>
      </c>
      <c r="GJ182" s="17"/>
      <c r="GK182" s="17"/>
      <c r="GL182" s="17"/>
      <c r="GM182" s="17"/>
      <c r="GN182" s="17"/>
      <c r="GO182" s="17"/>
      <c r="GP182" s="17"/>
      <c r="GQ182" s="17"/>
      <c r="GR182" s="17"/>
      <c r="GS182" s="17"/>
      <c r="GT182" s="17"/>
      <c r="GU182" s="17"/>
      <c r="GV182" s="17"/>
      <c r="GW182" s="17"/>
      <c r="GX182" s="17"/>
      <c r="GY182" s="17"/>
    </row>
    <row r="183" spans="1:207" x14ac:dyDescent="0.25">
      <c r="A183" s="18" t="s">
        <v>175</v>
      </c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/>
      <c r="CN183" s="19"/>
      <c r="CO183" s="19"/>
      <c r="CP183" s="19"/>
      <c r="CQ183" s="19"/>
      <c r="CR183" s="19"/>
      <c r="CS183" s="19"/>
      <c r="CT183" s="19"/>
      <c r="CU183" s="19"/>
      <c r="CV183" s="19"/>
      <c r="CW183" s="19"/>
      <c r="CX183" s="19"/>
      <c r="CY183" s="19"/>
      <c r="CZ183" s="19"/>
      <c r="DA183" s="19"/>
      <c r="DB183" s="19"/>
      <c r="DC183" s="19"/>
      <c r="DD183" s="19"/>
      <c r="DE183" s="19"/>
      <c r="DF183" s="19"/>
      <c r="DG183" s="19"/>
      <c r="DH183" s="19"/>
      <c r="DI183" s="19"/>
      <c r="DJ183" s="19"/>
      <c r="DK183" s="19"/>
      <c r="DL183" s="19"/>
      <c r="DM183" s="19"/>
      <c r="DN183" s="19"/>
      <c r="DO183" s="19"/>
      <c r="DP183" s="19"/>
      <c r="DQ183" s="19"/>
      <c r="DR183" s="19"/>
      <c r="DS183" s="19"/>
      <c r="DT183" s="19"/>
      <c r="DU183" s="19"/>
      <c r="DV183" s="19"/>
      <c r="DW183" s="19"/>
      <c r="DX183" s="19"/>
      <c r="DY183" s="19"/>
      <c r="DZ183" s="19"/>
      <c r="EA183" s="19"/>
      <c r="EB183" s="19"/>
      <c r="EC183" s="19"/>
      <c r="ED183" s="19"/>
      <c r="EE183" s="19"/>
      <c r="EF183" s="19"/>
      <c r="EG183" s="19"/>
      <c r="EH183" s="19"/>
      <c r="EI183" s="19"/>
      <c r="EJ183" s="19"/>
      <c r="EK183" s="19"/>
      <c r="EL183" s="19"/>
      <c r="EM183" s="19"/>
      <c r="EN183" s="19"/>
      <c r="EO183" s="19"/>
      <c r="EP183" s="19"/>
      <c r="EQ183" s="19"/>
      <c r="ER183" s="19"/>
      <c r="ES183" s="19"/>
      <c r="ET183" s="19"/>
      <c r="EU183" s="19"/>
      <c r="EV183" s="19"/>
      <c r="EW183" s="19"/>
      <c r="EX183" s="19">
        <v>2.5036321054946811</v>
      </c>
      <c r="EY183" s="19">
        <v>25.718933354419409</v>
      </c>
      <c r="EZ183" s="19">
        <v>19.606134105011233</v>
      </c>
      <c r="FA183" s="19">
        <v>25.887714877886776</v>
      </c>
      <c r="FB183" s="19"/>
      <c r="FC183" s="19"/>
      <c r="FD183" s="19"/>
      <c r="FE183" s="19"/>
      <c r="FF183" s="19"/>
      <c r="FG183" s="19"/>
      <c r="FH183" s="19"/>
      <c r="FI183" s="19"/>
      <c r="FJ183" s="19"/>
      <c r="FK183" s="19">
        <v>16.942328934983276</v>
      </c>
      <c r="FL183" s="19"/>
      <c r="FM183" s="19"/>
      <c r="FN183" s="19"/>
      <c r="FO183" s="19"/>
      <c r="FP183" s="19"/>
      <c r="FQ183" s="19"/>
      <c r="FR183" s="19"/>
      <c r="FS183" s="19"/>
      <c r="FT183" s="19"/>
      <c r="FU183" s="19"/>
      <c r="FV183" s="19"/>
      <c r="FW183" s="19"/>
      <c r="FX183" s="19"/>
      <c r="FY183" s="19"/>
      <c r="FZ183" s="19"/>
      <c r="GA183" s="19">
        <v>0.78214569154023084</v>
      </c>
      <c r="GB183" s="19"/>
      <c r="GC183" s="19"/>
      <c r="GD183" s="19"/>
      <c r="GE183" s="19"/>
      <c r="GF183" s="19"/>
      <c r="GG183" s="19"/>
      <c r="GH183" s="19">
        <v>1.0776666289701393</v>
      </c>
      <c r="GI183" s="19">
        <v>92.518555698305747</v>
      </c>
      <c r="GJ183" s="17"/>
      <c r="GK183" s="17"/>
      <c r="GL183" s="17"/>
      <c r="GM183" s="17"/>
      <c r="GN183" s="17"/>
      <c r="GO183" s="17"/>
      <c r="GP183" s="17"/>
      <c r="GQ183" s="17"/>
      <c r="GR183" s="17"/>
      <c r="GS183" s="17"/>
      <c r="GT183" s="17"/>
      <c r="GU183" s="17"/>
      <c r="GV183" s="17"/>
      <c r="GW183" s="17"/>
      <c r="GX183" s="17"/>
      <c r="GY183" s="17"/>
    </row>
    <row r="184" spans="1:207" x14ac:dyDescent="0.25">
      <c r="A184" s="18" t="s">
        <v>176</v>
      </c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  <c r="CM184" s="19"/>
      <c r="CN184" s="19"/>
      <c r="CO184" s="19"/>
      <c r="CP184" s="19"/>
      <c r="CQ184" s="19"/>
      <c r="CR184" s="19"/>
      <c r="CS184" s="19"/>
      <c r="CT184" s="19"/>
      <c r="CU184" s="19"/>
      <c r="CV184" s="19"/>
      <c r="CW184" s="19"/>
      <c r="CX184" s="19"/>
      <c r="CY184" s="19"/>
      <c r="CZ184" s="19"/>
      <c r="DA184" s="19"/>
      <c r="DB184" s="19"/>
      <c r="DC184" s="19"/>
      <c r="DD184" s="19"/>
      <c r="DE184" s="19"/>
      <c r="DF184" s="19"/>
      <c r="DG184" s="19"/>
      <c r="DH184" s="19"/>
      <c r="DI184" s="19"/>
      <c r="DJ184" s="19"/>
      <c r="DK184" s="19"/>
      <c r="DL184" s="19"/>
      <c r="DM184" s="19"/>
      <c r="DN184" s="19"/>
      <c r="DO184" s="19"/>
      <c r="DP184" s="19"/>
      <c r="DQ184" s="19"/>
      <c r="DR184" s="19"/>
      <c r="DS184" s="19"/>
      <c r="DT184" s="19"/>
      <c r="DU184" s="19"/>
      <c r="DV184" s="19"/>
      <c r="DW184" s="19"/>
      <c r="DX184" s="19"/>
      <c r="DY184" s="19"/>
      <c r="DZ184" s="19"/>
      <c r="EA184" s="19"/>
      <c r="EB184" s="19"/>
      <c r="EC184" s="19"/>
      <c r="ED184" s="19"/>
      <c r="EE184" s="19"/>
      <c r="EF184" s="19"/>
      <c r="EG184" s="19"/>
      <c r="EH184" s="19"/>
      <c r="EI184" s="19"/>
      <c r="EJ184" s="19"/>
      <c r="EK184" s="19"/>
      <c r="EL184" s="19"/>
      <c r="EM184" s="19"/>
      <c r="EN184" s="19"/>
      <c r="EO184" s="19"/>
      <c r="EP184" s="19"/>
      <c r="EQ184" s="19"/>
      <c r="ER184" s="19"/>
      <c r="ES184" s="19"/>
      <c r="ET184" s="19"/>
      <c r="EU184" s="19"/>
      <c r="EV184" s="19"/>
      <c r="EW184" s="19"/>
      <c r="EX184" s="19"/>
      <c r="EY184" s="19"/>
      <c r="EZ184" s="19"/>
      <c r="FA184" s="19"/>
      <c r="FB184" s="19">
        <v>1.0245145871700094</v>
      </c>
      <c r="FC184" s="19">
        <v>5.1261496091426473</v>
      </c>
      <c r="FD184" s="19">
        <v>0.53229257939921382</v>
      </c>
      <c r="FE184" s="19">
        <v>3.5162351355720513E-3</v>
      </c>
      <c r="FF184" s="19">
        <v>1.5416420309961369</v>
      </c>
      <c r="FG184" s="19">
        <v>0.48195849814655672</v>
      </c>
      <c r="FH184" s="19">
        <v>0.14616720730238067</v>
      </c>
      <c r="FI184" s="19"/>
      <c r="FJ184" s="19"/>
      <c r="FK184" s="19">
        <v>2.0406640753068799</v>
      </c>
      <c r="FL184" s="19"/>
      <c r="FM184" s="19"/>
      <c r="FN184" s="19"/>
      <c r="FO184" s="19"/>
      <c r="FP184" s="19"/>
      <c r="FQ184" s="19"/>
      <c r="FR184" s="19"/>
      <c r="FS184" s="19"/>
      <c r="FT184" s="19"/>
      <c r="FU184" s="19"/>
      <c r="FV184" s="19"/>
      <c r="FW184" s="19"/>
      <c r="FX184" s="19"/>
      <c r="FY184" s="19"/>
      <c r="FZ184" s="19"/>
      <c r="GA184" s="19">
        <v>0.17441454309342844</v>
      </c>
      <c r="GB184" s="19"/>
      <c r="GC184" s="19"/>
      <c r="GD184" s="19"/>
      <c r="GE184" s="19"/>
      <c r="GF184" s="19"/>
      <c r="GG184" s="19"/>
      <c r="GH184" s="19">
        <v>0.90853257965548107</v>
      </c>
      <c r="GI184" s="19">
        <v>11.979851945348308</v>
      </c>
      <c r="GJ184" s="17"/>
      <c r="GK184" s="17"/>
      <c r="GL184" s="17"/>
      <c r="GM184" s="17"/>
      <c r="GN184" s="17"/>
      <c r="GO184" s="17"/>
      <c r="GP184" s="17"/>
      <c r="GQ184" s="17"/>
      <c r="GR184" s="17"/>
      <c r="GS184" s="17"/>
      <c r="GT184" s="17"/>
      <c r="GU184" s="17"/>
      <c r="GV184" s="17"/>
      <c r="GW184" s="17"/>
      <c r="GX184" s="17"/>
      <c r="GY184" s="17"/>
    </row>
    <row r="185" spans="1:207" x14ac:dyDescent="0.25">
      <c r="A185" s="18" t="s">
        <v>177</v>
      </c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  <c r="CM185" s="19"/>
      <c r="CN185" s="19"/>
      <c r="CO185" s="19"/>
      <c r="CP185" s="19"/>
      <c r="CQ185" s="19"/>
      <c r="CR185" s="19"/>
      <c r="CS185" s="19"/>
      <c r="CT185" s="19"/>
      <c r="CU185" s="19"/>
      <c r="CV185" s="19"/>
      <c r="CW185" s="19"/>
      <c r="CX185" s="19"/>
      <c r="CY185" s="19"/>
      <c r="CZ185" s="19"/>
      <c r="DA185" s="19"/>
      <c r="DB185" s="19"/>
      <c r="DC185" s="19"/>
      <c r="DD185" s="19"/>
      <c r="DE185" s="19"/>
      <c r="DF185" s="19"/>
      <c r="DG185" s="19"/>
      <c r="DH185" s="19"/>
      <c r="DI185" s="19"/>
      <c r="DJ185" s="19"/>
      <c r="DK185" s="19"/>
      <c r="DL185" s="19"/>
      <c r="DM185" s="19"/>
      <c r="DN185" s="19"/>
      <c r="DO185" s="19"/>
      <c r="DP185" s="19"/>
      <c r="DQ185" s="19"/>
      <c r="DR185" s="19"/>
      <c r="DS185" s="19"/>
      <c r="DT185" s="19"/>
      <c r="DU185" s="19"/>
      <c r="DV185" s="19"/>
      <c r="DW185" s="19"/>
      <c r="DX185" s="19"/>
      <c r="DY185" s="19"/>
      <c r="DZ185" s="19"/>
      <c r="EA185" s="19"/>
      <c r="EB185" s="19"/>
      <c r="EC185" s="19"/>
      <c r="ED185" s="19"/>
      <c r="EE185" s="19"/>
      <c r="EF185" s="19"/>
      <c r="EG185" s="19"/>
      <c r="EH185" s="19"/>
      <c r="EI185" s="19"/>
      <c r="EJ185" s="19"/>
      <c r="EK185" s="19"/>
      <c r="EL185" s="19"/>
      <c r="EM185" s="19"/>
      <c r="EN185" s="19"/>
      <c r="EO185" s="19"/>
      <c r="EP185" s="19"/>
      <c r="EQ185" s="19"/>
      <c r="ER185" s="19"/>
      <c r="ES185" s="19"/>
      <c r="ET185" s="19"/>
      <c r="EU185" s="19"/>
      <c r="EV185" s="19"/>
      <c r="EW185" s="19"/>
      <c r="EX185" s="19"/>
      <c r="EY185" s="19"/>
      <c r="EZ185" s="19"/>
      <c r="FA185" s="19"/>
      <c r="FB185" s="19">
        <v>2.5416890707958397</v>
      </c>
      <c r="FC185" s="19">
        <v>13.790895157973386</v>
      </c>
      <c r="FD185" s="19">
        <v>3.7144148913952741</v>
      </c>
      <c r="FE185" s="19">
        <v>0.11517054672240884</v>
      </c>
      <c r="FF185" s="19">
        <v>4.1283571184903378</v>
      </c>
      <c r="FG185" s="19">
        <v>1.2985174878627481</v>
      </c>
      <c r="FH185" s="19">
        <v>0.50661099980284741</v>
      </c>
      <c r="FI185" s="19"/>
      <c r="FJ185" s="19"/>
      <c r="FK185" s="19">
        <v>6.9541440398497389</v>
      </c>
      <c r="FL185" s="19"/>
      <c r="FM185" s="19"/>
      <c r="FN185" s="19"/>
      <c r="FO185" s="19"/>
      <c r="FP185" s="19"/>
      <c r="FQ185" s="19"/>
      <c r="FR185" s="19"/>
      <c r="FS185" s="19"/>
      <c r="FT185" s="19"/>
      <c r="FU185" s="19"/>
      <c r="FV185" s="19"/>
      <c r="FW185" s="19"/>
      <c r="FX185" s="19"/>
      <c r="FY185" s="19"/>
      <c r="FZ185" s="19"/>
      <c r="GA185" s="19">
        <v>0.73034465036273277</v>
      </c>
      <c r="GB185" s="19"/>
      <c r="GC185" s="19"/>
      <c r="GD185" s="19"/>
      <c r="GE185" s="19"/>
      <c r="GF185" s="19"/>
      <c r="GG185" s="19"/>
      <c r="GH185" s="19">
        <v>0.25961284398521806</v>
      </c>
      <c r="GI185" s="19">
        <v>34.039756807240536</v>
      </c>
      <c r="GJ185" s="17"/>
      <c r="GK185" s="17"/>
      <c r="GL185" s="17"/>
      <c r="GM185" s="17"/>
      <c r="GN185" s="17"/>
      <c r="GO185" s="17"/>
      <c r="GP185" s="17"/>
      <c r="GQ185" s="17"/>
      <c r="GR185" s="17"/>
      <c r="GS185" s="17"/>
      <c r="GT185" s="17"/>
      <c r="GU185" s="17"/>
      <c r="GV185" s="17"/>
      <c r="GW185" s="17"/>
      <c r="GX185" s="17"/>
      <c r="GY185" s="17"/>
    </row>
    <row r="186" spans="1:207" x14ac:dyDescent="0.25">
      <c r="A186" s="18" t="s">
        <v>178</v>
      </c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/>
      <c r="CN186" s="19"/>
      <c r="CO186" s="19"/>
      <c r="CP186" s="19"/>
      <c r="CQ186" s="19"/>
      <c r="CR186" s="19"/>
      <c r="CS186" s="19"/>
      <c r="CT186" s="19"/>
      <c r="CU186" s="19"/>
      <c r="CV186" s="19"/>
      <c r="CW186" s="19"/>
      <c r="CX186" s="19"/>
      <c r="CY186" s="19"/>
      <c r="CZ186" s="19"/>
      <c r="DA186" s="19"/>
      <c r="DB186" s="19"/>
      <c r="DC186" s="19"/>
      <c r="DD186" s="19"/>
      <c r="DE186" s="19"/>
      <c r="DF186" s="19"/>
      <c r="DG186" s="19"/>
      <c r="DH186" s="19"/>
      <c r="DI186" s="19"/>
      <c r="DJ186" s="19"/>
      <c r="DK186" s="19"/>
      <c r="DL186" s="19"/>
      <c r="DM186" s="19"/>
      <c r="DN186" s="19"/>
      <c r="DO186" s="19"/>
      <c r="DP186" s="19"/>
      <c r="DQ186" s="19"/>
      <c r="DR186" s="19"/>
      <c r="DS186" s="19"/>
      <c r="DT186" s="19"/>
      <c r="DU186" s="19"/>
      <c r="DV186" s="19"/>
      <c r="DW186" s="19"/>
      <c r="DX186" s="19"/>
      <c r="DY186" s="19"/>
      <c r="DZ186" s="19"/>
      <c r="EA186" s="19"/>
      <c r="EB186" s="19"/>
      <c r="EC186" s="19"/>
      <c r="ED186" s="19"/>
      <c r="EE186" s="19"/>
      <c r="EF186" s="19"/>
      <c r="EG186" s="19"/>
      <c r="EH186" s="19"/>
      <c r="EI186" s="19"/>
      <c r="EJ186" s="19"/>
      <c r="EK186" s="19"/>
      <c r="EL186" s="19"/>
      <c r="EM186" s="19"/>
      <c r="EN186" s="19"/>
      <c r="EO186" s="19"/>
      <c r="EP186" s="19"/>
      <c r="EQ186" s="19"/>
      <c r="ER186" s="19"/>
      <c r="ES186" s="19"/>
      <c r="ET186" s="19"/>
      <c r="EU186" s="19"/>
      <c r="EV186" s="19"/>
      <c r="EW186" s="19"/>
      <c r="EX186" s="19"/>
      <c r="EY186" s="19"/>
      <c r="EZ186" s="19"/>
      <c r="FA186" s="19"/>
      <c r="FB186" s="19">
        <v>3.7979042396726213</v>
      </c>
      <c r="FC186" s="19">
        <v>19.823625758494192</v>
      </c>
      <c r="FD186" s="19">
        <v>7.3703004779052979</v>
      </c>
      <c r="FE186" s="19">
        <v>0.63159365610218843</v>
      </c>
      <c r="FF186" s="19">
        <v>6.1212296132347177</v>
      </c>
      <c r="FG186" s="19">
        <v>1.9129219107964661</v>
      </c>
      <c r="FH186" s="19">
        <v>0.72317637594526096</v>
      </c>
      <c r="FI186" s="19"/>
      <c r="FJ186" s="19"/>
      <c r="FK186" s="19">
        <v>12.489634423516723</v>
      </c>
      <c r="FL186" s="19"/>
      <c r="FM186" s="19"/>
      <c r="FN186" s="19"/>
      <c r="FO186" s="19"/>
      <c r="FP186" s="19"/>
      <c r="FQ186" s="19"/>
      <c r="FR186" s="19"/>
      <c r="FS186" s="19"/>
      <c r="FT186" s="19"/>
      <c r="FU186" s="19"/>
      <c r="FV186" s="19"/>
      <c r="FW186" s="19"/>
      <c r="FX186" s="19"/>
      <c r="FY186" s="19"/>
      <c r="FZ186" s="19"/>
      <c r="GA186" s="19">
        <v>1.1581001445019237</v>
      </c>
      <c r="GB186" s="19"/>
      <c r="GC186" s="19"/>
      <c r="GD186" s="19"/>
      <c r="GE186" s="19"/>
      <c r="GF186" s="19"/>
      <c r="GG186" s="19"/>
      <c r="GH186" s="19">
        <v>0.80963715845607687</v>
      </c>
      <c r="GI186" s="19">
        <v>54.838123758625457</v>
      </c>
      <c r="GJ186" s="17"/>
      <c r="GK186" s="17"/>
      <c r="GL186" s="17"/>
      <c r="GM186" s="17"/>
      <c r="GN186" s="17"/>
      <c r="GO186" s="17"/>
      <c r="GP186" s="17"/>
      <c r="GQ186" s="17"/>
      <c r="GR186" s="17"/>
      <c r="GS186" s="17"/>
      <c r="GT186" s="17"/>
      <c r="GU186" s="17"/>
      <c r="GV186" s="17"/>
      <c r="GW186" s="17"/>
      <c r="GX186" s="17"/>
      <c r="GY186" s="17"/>
    </row>
    <row r="187" spans="1:207" x14ac:dyDescent="0.25">
      <c r="A187" s="18" t="s">
        <v>179</v>
      </c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  <c r="CM187" s="19"/>
      <c r="CN187" s="19"/>
      <c r="CO187" s="19"/>
      <c r="CP187" s="19"/>
      <c r="CQ187" s="19"/>
      <c r="CR187" s="19"/>
      <c r="CS187" s="19"/>
      <c r="CT187" s="19"/>
      <c r="CU187" s="19"/>
      <c r="CV187" s="19"/>
      <c r="CW187" s="19"/>
      <c r="CX187" s="19"/>
      <c r="CY187" s="19"/>
      <c r="CZ187" s="19"/>
      <c r="DA187" s="19"/>
      <c r="DB187" s="19"/>
      <c r="DC187" s="19"/>
      <c r="DD187" s="19"/>
      <c r="DE187" s="19"/>
      <c r="DF187" s="19"/>
      <c r="DG187" s="19"/>
      <c r="DH187" s="19"/>
      <c r="DI187" s="19"/>
      <c r="DJ187" s="19"/>
      <c r="DK187" s="19"/>
      <c r="DL187" s="19"/>
      <c r="DM187" s="19"/>
      <c r="DN187" s="19"/>
      <c r="DO187" s="19"/>
      <c r="DP187" s="19"/>
      <c r="DQ187" s="19"/>
      <c r="DR187" s="19"/>
      <c r="DS187" s="19"/>
      <c r="DT187" s="19"/>
      <c r="DU187" s="19"/>
      <c r="DV187" s="19"/>
      <c r="DW187" s="19"/>
      <c r="DX187" s="19"/>
      <c r="DY187" s="19"/>
      <c r="DZ187" s="19"/>
      <c r="EA187" s="19"/>
      <c r="EB187" s="19"/>
      <c r="EC187" s="19"/>
      <c r="ED187" s="19"/>
      <c r="EE187" s="19"/>
      <c r="EF187" s="19"/>
      <c r="EG187" s="19"/>
      <c r="EH187" s="19"/>
      <c r="EI187" s="19"/>
      <c r="EJ187" s="19"/>
      <c r="EK187" s="19"/>
      <c r="EL187" s="19"/>
      <c r="EM187" s="19"/>
      <c r="EN187" s="19"/>
      <c r="EO187" s="19"/>
      <c r="EP187" s="19"/>
      <c r="EQ187" s="19"/>
      <c r="ER187" s="19"/>
      <c r="ES187" s="19"/>
      <c r="ET187" s="19"/>
      <c r="EU187" s="19"/>
      <c r="EV187" s="19"/>
      <c r="EW187" s="19"/>
      <c r="EX187" s="19"/>
      <c r="EY187" s="19"/>
      <c r="EZ187" s="19"/>
      <c r="FA187" s="19"/>
      <c r="FB187" s="19">
        <v>8.2490542130066355</v>
      </c>
      <c r="FC187" s="19">
        <v>45.53618118884885</v>
      </c>
      <c r="FD187" s="19">
        <v>24.375127716426672</v>
      </c>
      <c r="FE187" s="19">
        <v>5.3355972776257197</v>
      </c>
      <c r="FF187" s="19">
        <v>11.626608388957335</v>
      </c>
      <c r="FG187" s="19">
        <v>3.6342579942279838</v>
      </c>
      <c r="FH187" s="19">
        <v>1.6322296403079686</v>
      </c>
      <c r="FI187" s="19"/>
      <c r="FJ187" s="19"/>
      <c r="FK187" s="19">
        <v>33.458947335134035</v>
      </c>
      <c r="FL187" s="19"/>
      <c r="FM187" s="19"/>
      <c r="FN187" s="19"/>
      <c r="FO187" s="19"/>
      <c r="FP187" s="19"/>
      <c r="FQ187" s="19"/>
      <c r="FR187" s="19"/>
      <c r="FS187" s="19"/>
      <c r="FT187" s="19"/>
      <c r="FU187" s="19"/>
      <c r="FV187" s="19"/>
      <c r="FW187" s="19"/>
      <c r="FX187" s="19"/>
      <c r="FY187" s="19"/>
      <c r="FZ187" s="19"/>
      <c r="GA187" s="19">
        <v>4.3621264950617133</v>
      </c>
      <c r="GB187" s="19"/>
      <c r="GC187" s="19"/>
      <c r="GD187" s="19"/>
      <c r="GE187" s="19"/>
      <c r="GF187" s="19"/>
      <c r="GG187" s="19"/>
      <c r="GH187" s="19">
        <v>2.5728032480868794</v>
      </c>
      <c r="GI187" s="19">
        <v>140.78293349768379</v>
      </c>
      <c r="GJ187" s="17"/>
      <c r="GK187" s="17"/>
      <c r="GL187" s="17"/>
      <c r="GM187" s="17"/>
      <c r="GN187" s="17"/>
      <c r="GO187" s="17"/>
      <c r="GP187" s="17"/>
      <c r="GQ187" s="17"/>
      <c r="GR187" s="17"/>
      <c r="GS187" s="17"/>
      <c r="GT187" s="17"/>
      <c r="GU187" s="17"/>
      <c r="GV187" s="17"/>
      <c r="GW187" s="17"/>
      <c r="GX187" s="17"/>
      <c r="GY187" s="17"/>
    </row>
    <row r="188" spans="1:207" x14ac:dyDescent="0.25">
      <c r="A188" s="18" t="s">
        <v>180</v>
      </c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  <c r="CO188" s="19"/>
      <c r="CP188" s="19"/>
      <c r="CQ188" s="19"/>
      <c r="CR188" s="19"/>
      <c r="CS188" s="19"/>
      <c r="CT188" s="19"/>
      <c r="CU188" s="19"/>
      <c r="CV188" s="19"/>
      <c r="CW188" s="19"/>
      <c r="CX188" s="19"/>
      <c r="CY188" s="19"/>
      <c r="CZ188" s="19"/>
      <c r="DA188" s="19"/>
      <c r="DB188" s="19"/>
      <c r="DC188" s="19"/>
      <c r="DD188" s="19"/>
      <c r="DE188" s="19"/>
      <c r="DF188" s="19"/>
      <c r="DG188" s="19"/>
      <c r="DH188" s="19"/>
      <c r="DI188" s="19"/>
      <c r="DJ188" s="19"/>
      <c r="DK188" s="19"/>
      <c r="DL188" s="19"/>
      <c r="DM188" s="19"/>
      <c r="DN188" s="19"/>
      <c r="DO188" s="19"/>
      <c r="DP188" s="19"/>
      <c r="DQ188" s="19"/>
      <c r="DR188" s="19"/>
      <c r="DS188" s="19"/>
      <c r="DT188" s="19"/>
      <c r="DU188" s="19"/>
      <c r="DV188" s="19"/>
      <c r="DW188" s="19"/>
      <c r="DX188" s="19"/>
      <c r="DY188" s="19"/>
      <c r="DZ188" s="19"/>
      <c r="EA188" s="19"/>
      <c r="EB188" s="19"/>
      <c r="EC188" s="19"/>
      <c r="ED188" s="19"/>
      <c r="EE188" s="19"/>
      <c r="EF188" s="19"/>
      <c r="EG188" s="19"/>
      <c r="EH188" s="19"/>
      <c r="EI188" s="19"/>
      <c r="EJ188" s="19"/>
      <c r="EK188" s="19"/>
      <c r="EL188" s="19"/>
      <c r="EM188" s="19"/>
      <c r="EN188" s="19"/>
      <c r="EO188" s="19"/>
      <c r="EP188" s="19"/>
      <c r="EQ188" s="19"/>
      <c r="ER188" s="19"/>
      <c r="ES188" s="19"/>
      <c r="ET188" s="19"/>
      <c r="EU188" s="19"/>
      <c r="EV188" s="19"/>
      <c r="EW188" s="19"/>
      <c r="EX188" s="19"/>
      <c r="EY188" s="19"/>
      <c r="EZ188" s="19"/>
      <c r="FA188" s="19"/>
      <c r="FB188" s="19">
        <v>49.173926750514717</v>
      </c>
      <c r="FC188" s="19">
        <v>505.16101308969127</v>
      </c>
      <c r="FD188" s="19">
        <v>480.17980767590552</v>
      </c>
      <c r="FE188" s="19">
        <v>478.69231344973412</v>
      </c>
      <c r="FF188" s="19">
        <v>49.090152780690438</v>
      </c>
      <c r="FG188" s="19">
        <v>15.320737983428621</v>
      </c>
      <c r="FH188" s="19">
        <v>10.839021489503848</v>
      </c>
      <c r="FI188" s="19"/>
      <c r="FJ188" s="19"/>
      <c r="FK188" s="19">
        <v>572.15963847349644</v>
      </c>
      <c r="FL188" s="19"/>
      <c r="FM188" s="19"/>
      <c r="FN188" s="19"/>
      <c r="FO188" s="19"/>
      <c r="FP188" s="19"/>
      <c r="FQ188" s="19"/>
      <c r="FR188" s="19"/>
      <c r="FS188" s="19"/>
      <c r="FT188" s="19"/>
      <c r="FU188" s="19"/>
      <c r="FV188" s="19"/>
      <c r="FW188" s="19"/>
      <c r="FX188" s="19"/>
      <c r="FY188" s="19"/>
      <c r="FZ188" s="19"/>
      <c r="GA188" s="19">
        <v>62.653436737562771</v>
      </c>
      <c r="GB188" s="19"/>
      <c r="GC188" s="19"/>
      <c r="GD188" s="19"/>
      <c r="GE188" s="19"/>
      <c r="GF188" s="19"/>
      <c r="GG188" s="19"/>
      <c r="GH188" s="19">
        <v>53.336214563094629</v>
      </c>
      <c r="GI188" s="19">
        <v>2276.6062629936227</v>
      </c>
      <c r="GJ188" s="17"/>
      <c r="GK188" s="17"/>
      <c r="GL188" s="17"/>
      <c r="GM188" s="17"/>
      <c r="GN188" s="17"/>
      <c r="GO188" s="17"/>
      <c r="GP188" s="17"/>
      <c r="GQ188" s="17"/>
      <c r="GR188" s="17"/>
      <c r="GS188" s="17"/>
      <c r="GT188" s="17"/>
      <c r="GU188" s="17"/>
      <c r="GV188" s="17"/>
      <c r="GW188" s="17"/>
      <c r="GX188" s="17"/>
      <c r="GY188" s="17"/>
    </row>
    <row r="189" spans="1:207" x14ac:dyDescent="0.25">
      <c r="A189" s="18" t="s">
        <v>181</v>
      </c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  <c r="CM189" s="19"/>
      <c r="CN189" s="19"/>
      <c r="CO189" s="19"/>
      <c r="CP189" s="19"/>
      <c r="CQ189" s="19"/>
      <c r="CR189" s="19"/>
      <c r="CS189" s="19"/>
      <c r="CT189" s="19"/>
      <c r="CU189" s="19"/>
      <c r="CV189" s="19"/>
      <c r="CW189" s="19"/>
      <c r="CX189" s="19"/>
      <c r="CY189" s="19"/>
      <c r="CZ189" s="19"/>
      <c r="DA189" s="19"/>
      <c r="DB189" s="19"/>
      <c r="DC189" s="19"/>
      <c r="DD189" s="19"/>
      <c r="DE189" s="19"/>
      <c r="DF189" s="19"/>
      <c r="DG189" s="19"/>
      <c r="DH189" s="19"/>
      <c r="DI189" s="19"/>
      <c r="DJ189" s="19"/>
      <c r="DK189" s="19"/>
      <c r="DL189" s="19"/>
      <c r="DM189" s="19"/>
      <c r="DN189" s="19"/>
      <c r="DO189" s="19"/>
      <c r="DP189" s="19"/>
      <c r="DQ189" s="19"/>
      <c r="DR189" s="19"/>
      <c r="DS189" s="19"/>
      <c r="DT189" s="19"/>
      <c r="DU189" s="19"/>
      <c r="DV189" s="19"/>
      <c r="DW189" s="19"/>
      <c r="DX189" s="19"/>
      <c r="DY189" s="19"/>
      <c r="DZ189" s="19"/>
      <c r="EA189" s="19"/>
      <c r="EB189" s="19"/>
      <c r="EC189" s="19"/>
      <c r="ED189" s="19"/>
      <c r="EE189" s="19"/>
      <c r="EF189" s="19"/>
      <c r="EG189" s="19"/>
      <c r="EH189" s="19"/>
      <c r="EI189" s="19"/>
      <c r="EJ189" s="19"/>
      <c r="EK189" s="19"/>
      <c r="EL189" s="19"/>
      <c r="EM189" s="19"/>
      <c r="EN189" s="19"/>
      <c r="EO189" s="19"/>
      <c r="EP189" s="19"/>
      <c r="EQ189" s="19"/>
      <c r="ER189" s="19"/>
      <c r="ES189" s="19"/>
      <c r="ET189" s="19"/>
      <c r="EU189" s="19"/>
      <c r="EV189" s="19"/>
      <c r="EW189" s="19"/>
      <c r="EX189" s="19"/>
      <c r="EY189" s="19"/>
      <c r="EZ189" s="19"/>
      <c r="FA189" s="19"/>
      <c r="FB189" s="19"/>
      <c r="FC189" s="19"/>
      <c r="FD189" s="19"/>
      <c r="FE189" s="19"/>
      <c r="FF189" s="19"/>
      <c r="FG189" s="19"/>
      <c r="FH189" s="19"/>
      <c r="FI189" s="19"/>
      <c r="FJ189" s="19"/>
      <c r="FK189" s="19">
        <v>240.71654160746456</v>
      </c>
      <c r="FL189" s="19">
        <v>4.7489814194894932E-2</v>
      </c>
      <c r="FM189" s="19">
        <v>9.0314084370508779E-2</v>
      </c>
      <c r="FN189" s="19">
        <v>0.133510475224391</v>
      </c>
      <c r="FO189" s="19">
        <v>0.30084657200007664</v>
      </c>
      <c r="FP189" s="19">
        <v>0.57537729649276081</v>
      </c>
      <c r="FQ189" s="19">
        <v>2.9467982791430282E-4</v>
      </c>
      <c r="FR189" s="19">
        <v>1.2467522611506435E-3</v>
      </c>
      <c r="FS189" s="19">
        <v>3.0516416556305753E-3</v>
      </c>
      <c r="FT189" s="19">
        <v>6.7116019352735133E-3</v>
      </c>
      <c r="FU189" s="19">
        <v>9.9673260105877348E-2</v>
      </c>
      <c r="FV189" s="19">
        <v>6.103436829465664E-3</v>
      </c>
      <c r="FW189" s="19">
        <v>1.5037886305562867E-2</v>
      </c>
      <c r="FX189" s="19">
        <v>3.6678232941608026E-2</v>
      </c>
      <c r="FY189" s="19">
        <v>0.10210584178738233</v>
      </c>
      <c r="FZ189" s="19">
        <v>3.7352827672187154</v>
      </c>
      <c r="GA189" s="19"/>
      <c r="GB189" s="19">
        <v>571.86039354303853</v>
      </c>
      <c r="GC189" s="19">
        <v>0.79905242463502946</v>
      </c>
      <c r="GD189" s="19">
        <v>53.048289364118098</v>
      </c>
      <c r="GE189" s="19">
        <v>379.61378960790432</v>
      </c>
      <c r="GF189" s="19"/>
      <c r="GG189" s="19"/>
      <c r="GH189" s="19">
        <v>448.86050921811744</v>
      </c>
      <c r="GI189" s="19">
        <v>1700.0523001084291</v>
      </c>
      <c r="GJ189" s="17"/>
      <c r="GK189" s="17"/>
      <c r="GL189" s="17"/>
      <c r="GM189" s="17"/>
      <c r="GN189" s="17"/>
      <c r="GO189" s="17"/>
      <c r="GP189" s="17"/>
      <c r="GQ189" s="17"/>
      <c r="GR189" s="17"/>
      <c r="GS189" s="17"/>
      <c r="GT189" s="17"/>
      <c r="GU189" s="17"/>
      <c r="GV189" s="17"/>
      <c r="GW189" s="17"/>
      <c r="GX189" s="17"/>
      <c r="GY189" s="17"/>
    </row>
    <row r="190" spans="1:207" x14ac:dyDescent="0.25">
      <c r="A190" s="18" t="s">
        <v>182</v>
      </c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  <c r="CR190" s="19"/>
      <c r="CS190" s="19"/>
      <c r="CT190" s="19"/>
      <c r="CU190" s="19"/>
      <c r="CV190" s="19"/>
      <c r="CW190" s="19"/>
      <c r="CX190" s="19"/>
      <c r="CY190" s="19"/>
      <c r="CZ190" s="19"/>
      <c r="DA190" s="19"/>
      <c r="DB190" s="19"/>
      <c r="DC190" s="19"/>
      <c r="DD190" s="19"/>
      <c r="DE190" s="19"/>
      <c r="DF190" s="19"/>
      <c r="DG190" s="19"/>
      <c r="DH190" s="19"/>
      <c r="DI190" s="19"/>
      <c r="DJ190" s="19"/>
      <c r="DK190" s="19"/>
      <c r="DL190" s="19"/>
      <c r="DM190" s="19"/>
      <c r="DN190" s="19"/>
      <c r="DO190" s="19"/>
      <c r="DP190" s="19"/>
      <c r="DQ190" s="19"/>
      <c r="DR190" s="19"/>
      <c r="DS190" s="19"/>
      <c r="DT190" s="19"/>
      <c r="DU190" s="19"/>
      <c r="DV190" s="19"/>
      <c r="DW190" s="19"/>
      <c r="DX190" s="19"/>
      <c r="DY190" s="19"/>
      <c r="DZ190" s="19"/>
      <c r="EA190" s="19"/>
      <c r="EB190" s="19"/>
      <c r="EC190" s="19"/>
      <c r="ED190" s="19"/>
      <c r="EE190" s="19"/>
      <c r="EF190" s="19"/>
      <c r="EG190" s="19"/>
      <c r="EH190" s="19"/>
      <c r="EI190" s="19"/>
      <c r="EJ190" s="19"/>
      <c r="EK190" s="19"/>
      <c r="EL190" s="19"/>
      <c r="EM190" s="19"/>
      <c r="EN190" s="19"/>
      <c r="EO190" s="19"/>
      <c r="EP190" s="19"/>
      <c r="EQ190" s="19"/>
      <c r="ER190" s="19"/>
      <c r="ES190" s="19"/>
      <c r="ET190" s="19"/>
      <c r="EU190" s="19"/>
      <c r="EV190" s="19"/>
      <c r="EW190" s="19"/>
      <c r="EX190" s="19"/>
      <c r="EY190" s="19"/>
      <c r="EZ190" s="19"/>
      <c r="FA190" s="19"/>
      <c r="FB190" s="19"/>
      <c r="FC190" s="19"/>
      <c r="FD190" s="19"/>
      <c r="FE190" s="19"/>
      <c r="FF190" s="19"/>
      <c r="FG190" s="19"/>
      <c r="FH190" s="19"/>
      <c r="FI190" s="19"/>
      <c r="FJ190" s="19"/>
      <c r="FK190" s="19">
        <v>197.79644788188116</v>
      </c>
      <c r="FL190" s="19">
        <v>1.7113773965268519</v>
      </c>
      <c r="FM190" s="19">
        <v>3.7613295949615271</v>
      </c>
      <c r="FN190" s="19">
        <v>8.5935115545299219</v>
      </c>
      <c r="FO190" s="19">
        <v>21.667806406847308</v>
      </c>
      <c r="FP190" s="19">
        <v>57.613954966433916</v>
      </c>
      <c r="FQ190" s="19">
        <v>2.2238319864708523E-2</v>
      </c>
      <c r="FR190" s="19">
        <v>8.0036978828408017E-2</v>
      </c>
      <c r="FS190" s="19">
        <v>0.21226319949053971</v>
      </c>
      <c r="FT190" s="19">
        <v>0.47907776535750995</v>
      </c>
      <c r="FU190" s="19">
        <v>7.5538158770438875</v>
      </c>
      <c r="FV190" s="19">
        <v>0.14645748800812594</v>
      </c>
      <c r="FW190" s="19">
        <v>1.7051982315600736</v>
      </c>
      <c r="FX190" s="19">
        <v>2.1061853630411793</v>
      </c>
      <c r="FY190" s="19">
        <v>7.8005517631270669</v>
      </c>
      <c r="FZ190" s="19">
        <v>260.61014075553641</v>
      </c>
      <c r="GA190" s="19"/>
      <c r="GB190" s="19"/>
      <c r="GC190" s="19"/>
      <c r="GD190" s="19"/>
      <c r="GE190" s="19"/>
      <c r="GF190" s="19"/>
      <c r="GG190" s="19"/>
      <c r="GH190" s="19"/>
      <c r="GI190" s="19">
        <v>571.86039354303853</v>
      </c>
      <c r="GJ190" s="17"/>
      <c r="GK190" s="17"/>
      <c r="GL190" s="17"/>
      <c r="GM190" s="17"/>
      <c r="GN190" s="17"/>
      <c r="GO190" s="17"/>
      <c r="GP190" s="17"/>
      <c r="GQ190" s="17"/>
      <c r="GR190" s="17"/>
      <c r="GS190" s="17"/>
      <c r="GT190" s="17"/>
      <c r="GU190" s="17"/>
      <c r="GV190" s="17"/>
      <c r="GW190" s="17"/>
      <c r="GX190" s="17"/>
      <c r="GY190" s="17"/>
    </row>
    <row r="191" spans="1:207" x14ac:dyDescent="0.25">
      <c r="A191" s="18" t="s">
        <v>183</v>
      </c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  <c r="CO191" s="19"/>
      <c r="CP191" s="19"/>
      <c r="CQ191" s="19"/>
      <c r="CR191" s="19"/>
      <c r="CS191" s="19"/>
      <c r="CT191" s="19"/>
      <c r="CU191" s="19"/>
      <c r="CV191" s="19"/>
      <c r="CW191" s="19"/>
      <c r="CX191" s="19"/>
      <c r="CY191" s="19"/>
      <c r="CZ191" s="19"/>
      <c r="DA191" s="19"/>
      <c r="DB191" s="19"/>
      <c r="DC191" s="19"/>
      <c r="DD191" s="19"/>
      <c r="DE191" s="19"/>
      <c r="DF191" s="19"/>
      <c r="DG191" s="19"/>
      <c r="DH191" s="19"/>
      <c r="DI191" s="19"/>
      <c r="DJ191" s="19"/>
      <c r="DK191" s="19"/>
      <c r="DL191" s="19"/>
      <c r="DM191" s="19"/>
      <c r="DN191" s="19"/>
      <c r="DO191" s="19"/>
      <c r="DP191" s="19"/>
      <c r="DQ191" s="19"/>
      <c r="DR191" s="19"/>
      <c r="DS191" s="19"/>
      <c r="DT191" s="19"/>
      <c r="DU191" s="19"/>
      <c r="DV191" s="19"/>
      <c r="DW191" s="19"/>
      <c r="DX191" s="19"/>
      <c r="DY191" s="19"/>
      <c r="DZ191" s="19"/>
      <c r="EA191" s="19"/>
      <c r="EB191" s="19"/>
      <c r="EC191" s="19"/>
      <c r="ED191" s="19"/>
      <c r="EE191" s="19"/>
      <c r="EF191" s="19"/>
      <c r="EG191" s="19"/>
      <c r="EH191" s="19"/>
      <c r="EI191" s="19"/>
      <c r="EJ191" s="19"/>
      <c r="EK191" s="19"/>
      <c r="EL191" s="19"/>
      <c r="EM191" s="19"/>
      <c r="EN191" s="19"/>
      <c r="EO191" s="19"/>
      <c r="EP191" s="19"/>
      <c r="EQ191" s="19"/>
      <c r="ER191" s="19"/>
      <c r="ES191" s="19"/>
      <c r="ET191" s="19"/>
      <c r="EU191" s="19"/>
      <c r="EV191" s="19"/>
      <c r="EW191" s="19"/>
      <c r="EX191" s="19"/>
      <c r="EY191" s="19"/>
      <c r="EZ191" s="19"/>
      <c r="FA191" s="19"/>
      <c r="FB191" s="19"/>
      <c r="FC191" s="19"/>
      <c r="FD191" s="19"/>
      <c r="FE191" s="19"/>
      <c r="FF191" s="19"/>
      <c r="FG191" s="19"/>
      <c r="FH191" s="19"/>
      <c r="FI191" s="19">
        <v>3.8224400629725777E-2</v>
      </c>
      <c r="FJ191" s="19">
        <v>0.76082802400530369</v>
      </c>
      <c r="FK191" s="19"/>
      <c r="FL191" s="19"/>
      <c r="FM191" s="19"/>
      <c r="FN191" s="19"/>
      <c r="FO191" s="19"/>
      <c r="FP191" s="19"/>
      <c r="FQ191" s="19"/>
      <c r="FR191" s="19"/>
      <c r="FS191" s="19"/>
      <c r="FT191" s="19"/>
      <c r="FU191" s="19"/>
      <c r="FV191" s="19"/>
      <c r="FW191" s="19"/>
      <c r="FX191" s="19"/>
      <c r="FY191" s="19"/>
      <c r="FZ191" s="19"/>
      <c r="GA191" s="19"/>
      <c r="GB191" s="19"/>
      <c r="GC191" s="19"/>
      <c r="GD191" s="19"/>
      <c r="GE191" s="19"/>
      <c r="GF191" s="19"/>
      <c r="GG191" s="19"/>
      <c r="GH191" s="19"/>
      <c r="GI191" s="19">
        <v>0.79905242463502946</v>
      </c>
      <c r="GJ191" s="17"/>
      <c r="GK191" s="17"/>
      <c r="GL191" s="17"/>
      <c r="GM191" s="17"/>
      <c r="GN191" s="17"/>
      <c r="GO191" s="17"/>
      <c r="GP191" s="17"/>
      <c r="GQ191" s="17"/>
      <c r="GR191" s="17"/>
      <c r="GS191" s="17"/>
      <c r="GT191" s="17"/>
      <c r="GU191" s="17"/>
      <c r="GV191" s="17"/>
      <c r="GW191" s="17"/>
      <c r="GX191" s="17"/>
      <c r="GY191" s="17"/>
    </row>
    <row r="192" spans="1:207" x14ac:dyDescent="0.25">
      <c r="A192" s="18" t="s">
        <v>184</v>
      </c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>
        <v>3.230790466582819E-2</v>
      </c>
      <c r="BX192" s="19">
        <v>1.5793981700860545E-2</v>
      </c>
      <c r="BY192" s="19">
        <v>2.3614677330375402</v>
      </c>
      <c r="BZ192" s="19">
        <v>3.3097037154306941</v>
      </c>
      <c r="CA192" s="19">
        <v>5.2777771539281645E-3</v>
      </c>
      <c r="CB192" s="19"/>
      <c r="CC192" s="19">
        <v>9.9122231756302338E-3</v>
      </c>
      <c r="CD192" s="19">
        <v>4.487923854807791E-3</v>
      </c>
      <c r="CE192" s="19">
        <v>1.9608228967965012E-4</v>
      </c>
      <c r="CF192" s="19"/>
      <c r="CG192" s="19"/>
      <c r="CH192" s="19">
        <v>2.0628635004983189E-3</v>
      </c>
      <c r="CI192" s="19">
        <v>4.6054898329241619E-3</v>
      </c>
      <c r="CJ192" s="19"/>
      <c r="CK192" s="19">
        <v>6.9363178051273571E-3</v>
      </c>
      <c r="CL192" s="19">
        <v>3.5429027572307944E-5</v>
      </c>
      <c r="CM192" s="19">
        <v>0.10638510398561699</v>
      </c>
      <c r="CN192" s="19">
        <v>1.1812398038312814E-3</v>
      </c>
      <c r="CO192" s="19"/>
      <c r="CP192" s="19">
        <v>1.794202293097779E-2</v>
      </c>
      <c r="CQ192" s="19"/>
      <c r="CR192" s="19"/>
      <c r="CS192" s="19">
        <v>1.6210477454621814E-3</v>
      </c>
      <c r="CT192" s="19">
        <v>3.4155251235845202E-3</v>
      </c>
      <c r="CU192" s="19"/>
      <c r="CV192" s="19">
        <v>1.1705568041073182E-3</v>
      </c>
      <c r="CW192" s="19">
        <v>2.2138266958652088E-5</v>
      </c>
      <c r="CX192" s="19"/>
      <c r="CY192" s="19">
        <v>3.0409690312574039E-3</v>
      </c>
      <c r="CZ192" s="19"/>
      <c r="DA192" s="19">
        <v>5.319469698823543E-5</v>
      </c>
      <c r="DB192" s="19">
        <v>0.16421419222756589</v>
      </c>
      <c r="DC192" s="19">
        <v>1.3541546023204067E-2</v>
      </c>
      <c r="DD192" s="19">
        <v>0.1416227286312231</v>
      </c>
      <c r="DE192" s="19">
        <v>0.2599598516475044</v>
      </c>
      <c r="DF192" s="19">
        <v>9.9694276168044646E-2</v>
      </c>
      <c r="DG192" s="19">
        <v>0.16287244207959001</v>
      </c>
      <c r="DH192" s="19">
        <v>4.6370251350530325E-3</v>
      </c>
      <c r="DI192" s="19"/>
      <c r="DJ192" s="19">
        <v>1.0540636046441647</v>
      </c>
      <c r="DK192" s="19">
        <v>5.2199979919112668E-2</v>
      </c>
      <c r="DL192" s="19">
        <v>11.412006198540812</v>
      </c>
      <c r="DM192" s="19"/>
      <c r="DN192" s="19"/>
      <c r="DO192" s="19">
        <v>1.3464861587248054</v>
      </c>
      <c r="DP192" s="19">
        <v>1.6907308664372501E-2</v>
      </c>
      <c r="DQ192" s="19">
        <v>0.57586202383439877</v>
      </c>
      <c r="DR192" s="19">
        <v>7.6294775601460426E-4</v>
      </c>
      <c r="DS192" s="19">
        <v>2.8192135430393825E-2</v>
      </c>
      <c r="DT192" s="19">
        <v>3.3379047619919269</v>
      </c>
      <c r="DU192" s="19">
        <v>2.8388313423984846</v>
      </c>
      <c r="DV192" s="19">
        <v>0.96721779217593962</v>
      </c>
      <c r="DW192" s="19">
        <v>0.79981140618054936</v>
      </c>
      <c r="DX192" s="19">
        <v>0.77405968048811624</v>
      </c>
      <c r="DY192" s="19">
        <v>0.26807735090459028</v>
      </c>
      <c r="DZ192" s="19"/>
      <c r="EA192" s="19">
        <v>4.4150787836714906</v>
      </c>
      <c r="EB192" s="19">
        <v>1.7119010189281068</v>
      </c>
      <c r="EC192" s="19">
        <v>5.1262038740206268</v>
      </c>
      <c r="ED192" s="19">
        <v>1.7792455501334308</v>
      </c>
      <c r="EE192" s="19">
        <v>4.3840688118958502</v>
      </c>
      <c r="EF192" s="19">
        <v>3.3693043229420683</v>
      </c>
      <c r="EG192" s="19">
        <v>2.0559430090967101</v>
      </c>
      <c r="EH192" s="19"/>
      <c r="EI192" s="19"/>
      <c r="EJ192" s="19"/>
      <c r="EK192" s="19"/>
      <c r="EL192" s="19"/>
      <c r="EM192" s="19"/>
      <c r="EN192" s="19"/>
      <c r="EO192" s="19"/>
      <c r="EP192" s="19"/>
      <c r="EQ192" s="19"/>
      <c r="ER192" s="19"/>
      <c r="ES192" s="19"/>
      <c r="ET192" s="19"/>
      <c r="EU192" s="19"/>
      <c r="EV192" s="19"/>
      <c r="EW192" s="19"/>
      <c r="EX192" s="19"/>
      <c r="EY192" s="19"/>
      <c r="EZ192" s="19"/>
      <c r="FA192" s="19"/>
      <c r="FB192" s="19"/>
      <c r="FC192" s="19"/>
      <c r="FD192" s="19"/>
      <c r="FE192" s="19"/>
      <c r="FF192" s="19"/>
      <c r="FG192" s="19"/>
      <c r="FH192" s="19"/>
      <c r="FI192" s="19"/>
      <c r="FJ192" s="19"/>
      <c r="FK192" s="19"/>
      <c r="FL192" s="19"/>
      <c r="FM192" s="19"/>
      <c r="FN192" s="19"/>
      <c r="FO192" s="19"/>
      <c r="FP192" s="19"/>
      <c r="FQ192" s="19"/>
      <c r="FR192" s="19"/>
      <c r="FS192" s="19"/>
      <c r="FT192" s="19"/>
      <c r="FU192" s="19"/>
      <c r="FV192" s="19"/>
      <c r="FW192" s="19"/>
      <c r="FX192" s="19"/>
      <c r="FY192" s="19"/>
      <c r="FZ192" s="19"/>
      <c r="GA192" s="19"/>
      <c r="GB192" s="19"/>
      <c r="GC192" s="19"/>
      <c r="GD192" s="19"/>
      <c r="GE192" s="19"/>
      <c r="GF192" s="19"/>
      <c r="GG192" s="19"/>
      <c r="GH192" s="19"/>
      <c r="GI192" s="19">
        <v>53.048289364118034</v>
      </c>
      <c r="GJ192" s="17"/>
      <c r="GK192" s="17"/>
      <c r="GL192" s="17"/>
      <c r="GM192" s="17"/>
      <c r="GN192" s="17"/>
      <c r="GO192" s="17"/>
      <c r="GP192" s="17"/>
      <c r="GQ192" s="17"/>
      <c r="GR192" s="17"/>
      <c r="GS192" s="17"/>
      <c r="GT192" s="17"/>
      <c r="GU192" s="17"/>
      <c r="GV192" s="17"/>
      <c r="GW192" s="17"/>
      <c r="GX192" s="17"/>
      <c r="GY192" s="17"/>
    </row>
    <row r="193" spans="1:207" x14ac:dyDescent="0.25">
      <c r="A193" s="18" t="s">
        <v>185</v>
      </c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9"/>
      <c r="CV193" s="19"/>
      <c r="CW193" s="19">
        <v>5.7228730995152644</v>
      </c>
      <c r="CX193" s="19">
        <v>0.58369837542392644</v>
      </c>
      <c r="CY193" s="19"/>
      <c r="CZ193" s="19"/>
      <c r="DA193" s="19"/>
      <c r="DB193" s="19"/>
      <c r="DC193" s="19">
        <v>7.825973301087441E-2</v>
      </c>
      <c r="DD193" s="19">
        <v>0.37500503760302223</v>
      </c>
      <c r="DE193" s="19">
        <v>0.45636017183695088</v>
      </c>
      <c r="DF193" s="19">
        <v>1.371849101157181</v>
      </c>
      <c r="DG193" s="19">
        <v>10.082963216494605</v>
      </c>
      <c r="DH193" s="19"/>
      <c r="DI193" s="19"/>
      <c r="DJ193" s="19"/>
      <c r="DK193" s="19"/>
      <c r="DL193" s="19">
        <v>5.33446869051481</v>
      </c>
      <c r="DM193" s="19">
        <v>5.7301737567989848E-2</v>
      </c>
      <c r="DN193" s="19">
        <v>0.26144622213208374</v>
      </c>
      <c r="DO193" s="19">
        <v>11.102364138424164</v>
      </c>
      <c r="DP193" s="19"/>
      <c r="DQ193" s="19">
        <v>70.853689067880936</v>
      </c>
      <c r="DR193" s="19">
        <v>12.424820955411368</v>
      </c>
      <c r="DS193" s="19"/>
      <c r="DT193" s="19">
        <v>3.0814932346854769</v>
      </c>
      <c r="DU193" s="19">
        <v>17.349723508777871</v>
      </c>
      <c r="DV193" s="19">
        <v>6.5276976872869845</v>
      </c>
      <c r="DW193" s="19"/>
      <c r="DX193" s="19">
        <v>1.5963267540060269</v>
      </c>
      <c r="DY193" s="19">
        <v>64.12422157807066</v>
      </c>
      <c r="DZ193" s="19">
        <v>3.5085816216902162E-2</v>
      </c>
      <c r="EA193" s="19">
        <v>20.171817248364491</v>
      </c>
      <c r="EB193" s="19">
        <v>0.75388454983946429</v>
      </c>
      <c r="EC193" s="19">
        <v>0.90133706557947513</v>
      </c>
      <c r="ED193" s="19">
        <v>2.2096784707567284E-2</v>
      </c>
      <c r="EE193" s="19">
        <v>1.2155583981586999</v>
      </c>
      <c r="EF193" s="19">
        <v>10.026874590343558</v>
      </c>
      <c r="EG193" s="19">
        <v>6.6643338761432549</v>
      </c>
      <c r="EH193" s="19">
        <v>2.7940595707946501</v>
      </c>
      <c r="EI193" s="19"/>
      <c r="EJ193" s="19"/>
      <c r="EK193" s="19">
        <v>2.6966761394688943</v>
      </c>
      <c r="EL193" s="19">
        <v>10.829777637560902</v>
      </c>
      <c r="EM193" s="19">
        <v>0.50489664462747086</v>
      </c>
      <c r="EN193" s="19">
        <v>17.833883027510268</v>
      </c>
      <c r="EO193" s="19">
        <v>23.465006919199116</v>
      </c>
      <c r="EP193" s="19">
        <v>0.71059867003705479</v>
      </c>
      <c r="EQ193" s="19">
        <v>59.283632286720739</v>
      </c>
      <c r="ER193" s="19">
        <v>2.8596029153111671</v>
      </c>
      <c r="ES193" s="19"/>
      <c r="ET193" s="19"/>
      <c r="EU193" s="19">
        <v>2.2021389213866409</v>
      </c>
      <c r="EV193" s="19">
        <v>5.2579662361335524</v>
      </c>
      <c r="EW193" s="19"/>
      <c r="EX193" s="19"/>
      <c r="EY193" s="19"/>
      <c r="EZ193" s="19"/>
      <c r="FA193" s="19"/>
      <c r="FB193" s="19"/>
      <c r="FC193" s="19"/>
      <c r="FD193" s="19"/>
      <c r="FE193" s="19"/>
      <c r="FF193" s="19"/>
      <c r="FG193" s="19"/>
      <c r="FH193" s="19"/>
      <c r="FI193" s="19"/>
      <c r="FJ193" s="19"/>
      <c r="FK193" s="19"/>
      <c r="FL193" s="19"/>
      <c r="FM193" s="19"/>
      <c r="FN193" s="19"/>
      <c r="FO193" s="19"/>
      <c r="FP193" s="19"/>
      <c r="FQ193" s="19"/>
      <c r="FR193" s="19"/>
      <c r="FS193" s="19"/>
      <c r="FT193" s="19"/>
      <c r="FU193" s="19"/>
      <c r="FV193" s="19"/>
      <c r="FW193" s="19"/>
      <c r="FX193" s="19"/>
      <c r="FY193" s="19"/>
      <c r="FZ193" s="19"/>
      <c r="GA193" s="19"/>
      <c r="GB193" s="19"/>
      <c r="GC193" s="19"/>
      <c r="GD193" s="19"/>
      <c r="GE193" s="19"/>
      <c r="GF193" s="19"/>
      <c r="GG193" s="19"/>
      <c r="GH193" s="19"/>
      <c r="GI193" s="19">
        <v>379.61378960790398</v>
      </c>
      <c r="GJ193" s="17"/>
      <c r="GK193" s="17"/>
      <c r="GL193" s="17"/>
      <c r="GM193" s="17"/>
      <c r="GN193" s="17"/>
      <c r="GO193" s="17"/>
      <c r="GP193" s="17"/>
      <c r="GQ193" s="17"/>
      <c r="GR193" s="17"/>
      <c r="GS193" s="17"/>
      <c r="GT193" s="17"/>
      <c r="GU193" s="17"/>
      <c r="GV193" s="17"/>
      <c r="GW193" s="17"/>
      <c r="GX193" s="17"/>
      <c r="GY193" s="17"/>
    </row>
    <row r="194" spans="1:207" x14ac:dyDescent="0.25">
      <c r="A194" s="18" t="s">
        <v>186</v>
      </c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  <c r="CO194" s="19"/>
      <c r="CP194" s="19"/>
      <c r="CQ194" s="19"/>
      <c r="CR194" s="19"/>
      <c r="CS194" s="19"/>
      <c r="CT194" s="19"/>
      <c r="CU194" s="19"/>
      <c r="CV194" s="19"/>
      <c r="CW194" s="19"/>
      <c r="CX194" s="19"/>
      <c r="CY194" s="19"/>
      <c r="CZ194" s="19"/>
      <c r="DA194" s="19"/>
      <c r="DB194" s="19"/>
      <c r="DC194" s="19"/>
      <c r="DD194" s="19"/>
      <c r="DE194" s="19"/>
      <c r="DF194" s="19"/>
      <c r="DG194" s="19"/>
      <c r="DH194" s="19"/>
      <c r="DI194" s="19"/>
      <c r="DJ194" s="19"/>
      <c r="DK194" s="19"/>
      <c r="DL194" s="19"/>
      <c r="DM194" s="19"/>
      <c r="DN194" s="19"/>
      <c r="DO194" s="19"/>
      <c r="DP194" s="19"/>
      <c r="DQ194" s="19"/>
      <c r="DR194" s="19"/>
      <c r="DS194" s="19"/>
      <c r="DT194" s="19"/>
      <c r="DU194" s="19"/>
      <c r="DV194" s="19"/>
      <c r="DW194" s="19"/>
      <c r="DX194" s="19"/>
      <c r="DY194" s="19"/>
      <c r="DZ194" s="19"/>
      <c r="EA194" s="19"/>
      <c r="EB194" s="19"/>
      <c r="EC194" s="19"/>
      <c r="ED194" s="19"/>
      <c r="EE194" s="19"/>
      <c r="EF194" s="19"/>
      <c r="EG194" s="19"/>
      <c r="EH194" s="19"/>
      <c r="EI194" s="19"/>
      <c r="EJ194" s="19"/>
      <c r="EK194" s="19"/>
      <c r="EL194" s="19"/>
      <c r="EM194" s="19"/>
      <c r="EN194" s="19"/>
      <c r="EO194" s="19"/>
      <c r="EP194" s="19"/>
      <c r="EQ194" s="19"/>
      <c r="ER194" s="19"/>
      <c r="ES194" s="19"/>
      <c r="ET194" s="19"/>
      <c r="EU194" s="19"/>
      <c r="EV194" s="19"/>
      <c r="EW194" s="19"/>
      <c r="EX194" s="19"/>
      <c r="EY194" s="19"/>
      <c r="EZ194" s="19"/>
      <c r="FA194" s="19"/>
      <c r="FB194" s="19"/>
      <c r="FC194" s="19"/>
      <c r="FD194" s="19"/>
      <c r="FE194" s="19"/>
      <c r="FF194" s="19"/>
      <c r="FG194" s="19"/>
      <c r="FH194" s="19"/>
      <c r="FI194" s="19"/>
      <c r="FJ194" s="19"/>
      <c r="FK194" s="19">
        <v>53.357947862574434</v>
      </c>
      <c r="FL194" s="19">
        <v>6.9608329428419458</v>
      </c>
      <c r="FM194" s="19">
        <v>13.348331967351738</v>
      </c>
      <c r="FN194" s="19">
        <v>24.369279277005536</v>
      </c>
      <c r="FO194" s="19">
        <v>47.578108357630455</v>
      </c>
      <c r="FP194" s="19">
        <v>78.130987394609477</v>
      </c>
      <c r="FQ194" s="19">
        <v>0.11005276310803504</v>
      </c>
      <c r="FR194" s="19">
        <v>0.26245471827702965</v>
      </c>
      <c r="FS194" s="19">
        <v>0.40876012713552912</v>
      </c>
      <c r="FT194" s="19">
        <v>0.4162379814410298</v>
      </c>
      <c r="FU194" s="19">
        <v>6.2459051179342797</v>
      </c>
      <c r="FV194" s="19">
        <v>0.25414810708993302</v>
      </c>
      <c r="FW194" s="19">
        <v>1.2049507788403693</v>
      </c>
      <c r="FX194" s="19">
        <v>3.6320804159522799</v>
      </c>
      <c r="FY194" s="19">
        <v>9.6879470385183222</v>
      </c>
      <c r="FZ194" s="19">
        <v>179.33684036175578</v>
      </c>
      <c r="GA194" s="19">
        <v>331.84624123337687</v>
      </c>
      <c r="GB194" s="19"/>
      <c r="GC194" s="19"/>
      <c r="GD194" s="19"/>
      <c r="GE194" s="19"/>
      <c r="GF194" s="19"/>
      <c r="GG194" s="19"/>
      <c r="GH194" s="19">
        <v>958.55126780267858</v>
      </c>
      <c r="GI194" s="19">
        <v>1715.7023742481217</v>
      </c>
      <c r="GJ194" s="17"/>
      <c r="GK194" s="17"/>
      <c r="GL194" s="17"/>
      <c r="GM194" s="17"/>
      <c r="GN194" s="17"/>
      <c r="GO194" s="17"/>
      <c r="GP194" s="17"/>
      <c r="GQ194" s="17"/>
      <c r="GR194" s="17"/>
      <c r="GS194" s="17"/>
      <c r="GT194" s="17"/>
      <c r="GU194" s="17"/>
      <c r="GV194" s="17"/>
      <c r="GW194" s="17"/>
      <c r="GX194" s="17"/>
      <c r="GY194" s="17"/>
    </row>
    <row r="195" spans="1:207" x14ac:dyDescent="0.25">
      <c r="A195" s="18" t="s">
        <v>187</v>
      </c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  <c r="CO195" s="19"/>
      <c r="CP195" s="19"/>
      <c r="CQ195" s="19"/>
      <c r="CR195" s="19"/>
      <c r="CS195" s="19"/>
      <c r="CT195" s="19"/>
      <c r="CU195" s="19"/>
      <c r="CV195" s="19"/>
      <c r="CW195" s="19"/>
      <c r="CX195" s="19"/>
      <c r="CY195" s="19"/>
      <c r="CZ195" s="19"/>
      <c r="DA195" s="19"/>
      <c r="DB195" s="19"/>
      <c r="DC195" s="19"/>
      <c r="DD195" s="19"/>
      <c r="DE195" s="19"/>
      <c r="DF195" s="19"/>
      <c r="DG195" s="19"/>
      <c r="DH195" s="19"/>
      <c r="DI195" s="19"/>
      <c r="DJ195" s="19"/>
      <c r="DK195" s="19"/>
      <c r="DL195" s="19"/>
      <c r="DM195" s="19"/>
      <c r="DN195" s="19"/>
      <c r="DO195" s="19"/>
      <c r="DP195" s="19"/>
      <c r="DQ195" s="19"/>
      <c r="DR195" s="19"/>
      <c r="DS195" s="19"/>
      <c r="DT195" s="19"/>
      <c r="DU195" s="19"/>
      <c r="DV195" s="19"/>
      <c r="DW195" s="19"/>
      <c r="DX195" s="19"/>
      <c r="DY195" s="19"/>
      <c r="DZ195" s="19"/>
      <c r="EA195" s="19"/>
      <c r="EB195" s="19"/>
      <c r="EC195" s="19"/>
      <c r="ED195" s="19"/>
      <c r="EE195" s="19"/>
      <c r="EF195" s="19"/>
      <c r="EG195" s="19"/>
      <c r="EH195" s="19"/>
      <c r="EI195" s="19"/>
      <c r="EJ195" s="19"/>
      <c r="EK195" s="19"/>
      <c r="EL195" s="19"/>
      <c r="EM195" s="19"/>
      <c r="EN195" s="19"/>
      <c r="EO195" s="19"/>
      <c r="EP195" s="19"/>
      <c r="EQ195" s="19"/>
      <c r="ER195" s="19"/>
      <c r="ES195" s="19"/>
      <c r="ET195" s="19"/>
      <c r="EU195" s="19"/>
      <c r="EV195" s="19"/>
      <c r="EW195" s="19"/>
      <c r="EX195" s="19"/>
      <c r="EY195" s="19"/>
      <c r="EZ195" s="19"/>
      <c r="FA195" s="19"/>
      <c r="FB195" s="19"/>
      <c r="FC195" s="19"/>
      <c r="FD195" s="19"/>
      <c r="FE195" s="19"/>
      <c r="FF195" s="19"/>
      <c r="FG195" s="19"/>
      <c r="FH195" s="19"/>
      <c r="FI195" s="19"/>
      <c r="FJ195" s="19"/>
      <c r="FK195" s="19"/>
      <c r="FL195" s="19"/>
      <c r="FM195" s="19"/>
      <c r="FN195" s="19"/>
      <c r="FO195" s="19"/>
      <c r="FP195" s="19"/>
      <c r="FQ195" s="19"/>
      <c r="FR195" s="19"/>
      <c r="FS195" s="19"/>
      <c r="FT195" s="19"/>
      <c r="FU195" s="19"/>
      <c r="FV195" s="19"/>
      <c r="FW195" s="19"/>
      <c r="FX195" s="19"/>
      <c r="FY195" s="19"/>
      <c r="FZ195" s="19"/>
      <c r="GA195" s="19"/>
      <c r="GB195" s="19"/>
      <c r="GC195" s="19"/>
      <c r="GD195" s="19"/>
      <c r="GE195" s="19"/>
      <c r="GF195" s="19">
        <v>36.896079695357876</v>
      </c>
      <c r="GG195" s="19"/>
      <c r="GH195" s="19"/>
      <c r="GI195" s="19">
        <v>36.896079695357876</v>
      </c>
      <c r="GJ195" s="17"/>
      <c r="GK195" s="17"/>
      <c r="GL195" s="17"/>
      <c r="GM195" s="17"/>
      <c r="GN195" s="17"/>
      <c r="GO195" s="17"/>
      <c r="GP195" s="17"/>
      <c r="GQ195" s="17"/>
      <c r="GR195" s="17"/>
      <c r="GS195" s="17"/>
      <c r="GT195" s="17"/>
      <c r="GU195" s="17"/>
      <c r="GV195" s="17"/>
      <c r="GW195" s="17"/>
      <c r="GX195" s="17"/>
      <c r="GY195" s="17"/>
    </row>
    <row r="196" spans="1:207" x14ac:dyDescent="0.25">
      <c r="A196" s="18" t="s">
        <v>188</v>
      </c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>
        <v>17.458393811444655</v>
      </c>
      <c r="BX196" s="19">
        <v>1.6875419426061873</v>
      </c>
      <c r="BY196" s="19">
        <v>15.064778284086502</v>
      </c>
      <c r="BZ196" s="19">
        <v>10.930979221593432</v>
      </c>
      <c r="CA196" s="19">
        <v>0.8874344019031839</v>
      </c>
      <c r="CB196" s="19">
        <v>5.4588551266928418</v>
      </c>
      <c r="CC196" s="19">
        <v>1.7529329392592519</v>
      </c>
      <c r="CD196" s="19">
        <v>11.519587561468182</v>
      </c>
      <c r="CE196" s="19">
        <v>3.3113071995054764</v>
      </c>
      <c r="CF196" s="19"/>
      <c r="CG196" s="19">
        <v>0.60596484454865096</v>
      </c>
      <c r="CH196" s="19">
        <v>1.9061701204131039</v>
      </c>
      <c r="CI196" s="19">
        <v>0.73460604482497038</v>
      </c>
      <c r="CJ196" s="19"/>
      <c r="CK196" s="19">
        <v>0.14113566572954345</v>
      </c>
      <c r="CL196" s="19">
        <v>0.13027315046807994</v>
      </c>
      <c r="CM196" s="19">
        <v>5.287610204559094</v>
      </c>
      <c r="CN196" s="19">
        <v>0.29513886153687113</v>
      </c>
      <c r="CO196" s="19"/>
      <c r="CP196" s="19">
        <v>1.937017560258981</v>
      </c>
      <c r="CQ196" s="19">
        <v>0.13834594554051968</v>
      </c>
      <c r="CR196" s="19"/>
      <c r="CS196" s="19">
        <v>0.73248500733776523</v>
      </c>
      <c r="CT196" s="19">
        <v>0.44862945487754169</v>
      </c>
      <c r="CU196" s="19"/>
      <c r="CV196" s="19">
        <v>0.54171833287491467</v>
      </c>
      <c r="CW196" s="19">
        <v>0.48023567803872086</v>
      </c>
      <c r="CX196" s="19"/>
      <c r="CY196" s="19">
        <v>0.65396611280438011</v>
      </c>
      <c r="CZ196" s="19">
        <v>2.9498220585334511</v>
      </c>
      <c r="DA196" s="19">
        <v>0.97514529086037516</v>
      </c>
      <c r="DB196" s="19">
        <v>15.208631062801539</v>
      </c>
      <c r="DC196" s="19">
        <v>0.73920890820969998</v>
      </c>
      <c r="DD196" s="19">
        <v>20.030115168295026</v>
      </c>
      <c r="DE196" s="19">
        <v>2.2482658335937398</v>
      </c>
      <c r="DF196" s="19">
        <v>2.1039899147029213</v>
      </c>
      <c r="DG196" s="19">
        <v>49.134602984639152</v>
      </c>
      <c r="DH196" s="19">
        <v>3.8039969091576804</v>
      </c>
      <c r="DI196" s="19"/>
      <c r="DJ196" s="19">
        <v>6.9362629996852041</v>
      </c>
      <c r="DK196" s="19">
        <v>0.76728817270618566</v>
      </c>
      <c r="DL196" s="19">
        <v>37.991765748612437</v>
      </c>
      <c r="DM196" s="19"/>
      <c r="DN196" s="19"/>
      <c r="DO196" s="19">
        <v>28.699647094290867</v>
      </c>
      <c r="DP196" s="19">
        <v>1.1255271563576625</v>
      </c>
      <c r="DQ196" s="19">
        <v>16.089157957236633</v>
      </c>
      <c r="DR196" s="19">
        <v>2.5025112837865948</v>
      </c>
      <c r="DS196" s="19">
        <v>0.54700889513911477</v>
      </c>
      <c r="DT196" s="19">
        <v>36.072536503938039</v>
      </c>
      <c r="DU196" s="19">
        <v>25.895526747765722</v>
      </c>
      <c r="DV196" s="19">
        <v>19.092857285900191</v>
      </c>
      <c r="DW196" s="19">
        <v>11.656879505574004</v>
      </c>
      <c r="DX196" s="19">
        <v>27.504227283048547</v>
      </c>
      <c r="DY196" s="19">
        <v>18.327615175275238</v>
      </c>
      <c r="DZ196" s="19">
        <v>27.406939703148481</v>
      </c>
      <c r="EA196" s="19">
        <v>248.65806877054848</v>
      </c>
      <c r="EB196" s="19">
        <v>70.901856101685979</v>
      </c>
      <c r="EC196" s="19">
        <v>114.14577651466433</v>
      </c>
      <c r="ED196" s="19">
        <v>109.55496667301426</v>
      </c>
      <c r="EE196" s="19">
        <v>230.60906101864896</v>
      </c>
      <c r="EF196" s="19">
        <v>137.361188468178</v>
      </c>
      <c r="EG196" s="19">
        <v>31.278790366513011</v>
      </c>
      <c r="EH196" s="19"/>
      <c r="EI196" s="19"/>
      <c r="EJ196" s="19">
        <v>71.071945606160071</v>
      </c>
      <c r="EK196" s="19">
        <v>37.661764267481594</v>
      </c>
      <c r="EL196" s="19">
        <v>293.48964160884958</v>
      </c>
      <c r="EM196" s="19">
        <v>220.15192901919048</v>
      </c>
      <c r="EN196" s="19"/>
      <c r="EO196" s="19"/>
      <c r="EP196" s="19">
        <v>18.564014433284882</v>
      </c>
      <c r="EQ196" s="19"/>
      <c r="ER196" s="19">
        <v>93.403870804270042</v>
      </c>
      <c r="ES196" s="19">
        <v>81.253178365965326</v>
      </c>
      <c r="ET196" s="19"/>
      <c r="EU196" s="19"/>
      <c r="EV196" s="19"/>
      <c r="EW196" s="19"/>
      <c r="EX196" s="19"/>
      <c r="EY196" s="19"/>
      <c r="EZ196" s="19"/>
      <c r="FA196" s="19"/>
      <c r="FB196" s="19"/>
      <c r="FC196" s="19"/>
      <c r="FD196" s="19"/>
      <c r="FE196" s="19">
        <v>58.260978086445881</v>
      </c>
      <c r="FF196" s="19"/>
      <c r="FG196" s="19"/>
      <c r="FH196" s="19"/>
      <c r="FI196" s="19">
        <v>8.6522771846627666</v>
      </c>
      <c r="FJ196" s="19">
        <v>172.21708764829808</v>
      </c>
      <c r="FK196" s="19">
        <v>5.0832319053846957</v>
      </c>
      <c r="FL196" s="19">
        <v>1.9170709705298474</v>
      </c>
      <c r="FM196" s="19">
        <v>2.3525974211604193</v>
      </c>
      <c r="FN196" s="19">
        <v>3.430516619225525</v>
      </c>
      <c r="FO196" s="19">
        <v>4.0613859875285225</v>
      </c>
      <c r="FP196" s="19">
        <v>4.7331136458948473</v>
      </c>
      <c r="FQ196" s="19">
        <v>0.12225251103527235</v>
      </c>
      <c r="FR196" s="19">
        <v>3.4679802134965278E-2</v>
      </c>
      <c r="FS196" s="19">
        <v>6.4374864629590703E-2</v>
      </c>
      <c r="FT196" s="19">
        <v>7.4111234814124613E-2</v>
      </c>
      <c r="FU196" s="19">
        <v>0.4674311315694899</v>
      </c>
      <c r="FV196" s="19">
        <v>0.44095197287515359</v>
      </c>
      <c r="FW196" s="19">
        <v>0.20789510327514807</v>
      </c>
      <c r="FX196" s="19">
        <v>0.36858628153142337</v>
      </c>
      <c r="FY196" s="19">
        <v>1.1679986454573474</v>
      </c>
      <c r="FZ196" s="19">
        <v>27.663005596167473</v>
      </c>
      <c r="GA196" s="19">
        <v>31.136547547421436</v>
      </c>
      <c r="GB196" s="19"/>
      <c r="GC196" s="19"/>
      <c r="GD196" s="19"/>
      <c r="GE196" s="19"/>
      <c r="GF196" s="19"/>
      <c r="GG196" s="19"/>
      <c r="GH196" s="19"/>
      <c r="GI196" s="19">
        <v>2520.4767832941275</v>
      </c>
      <c r="GJ196" s="17"/>
      <c r="GK196" s="17"/>
      <c r="GL196" s="17"/>
      <c r="GM196" s="17"/>
      <c r="GN196" s="17"/>
      <c r="GO196" s="17"/>
      <c r="GP196" s="17"/>
      <c r="GQ196" s="17"/>
      <c r="GR196" s="17"/>
      <c r="GS196" s="17"/>
      <c r="GT196" s="17"/>
      <c r="GU196" s="17"/>
      <c r="GV196" s="17"/>
      <c r="GW196" s="17"/>
      <c r="GX196" s="17"/>
      <c r="GY196" s="17"/>
    </row>
    <row r="197" spans="1:207" x14ac:dyDescent="0.25">
      <c r="A197" s="18" t="s">
        <v>189</v>
      </c>
      <c r="B197" s="19">
        <v>96.849778314177755</v>
      </c>
      <c r="C197" s="19">
        <v>30.934255764008686</v>
      </c>
      <c r="D197" s="19">
        <v>32.661812869448141</v>
      </c>
      <c r="E197" s="19">
        <v>10.590865867150667</v>
      </c>
      <c r="F197" s="19">
        <v>266.11704947496958</v>
      </c>
      <c r="G197" s="19">
        <v>15.173731298689521</v>
      </c>
      <c r="H197" s="19">
        <v>6.4891112699841624</v>
      </c>
      <c r="I197" s="19">
        <v>180.29027432761421</v>
      </c>
      <c r="J197" s="19">
        <v>97.078803034394383</v>
      </c>
      <c r="K197" s="19">
        <v>102.35946436648113</v>
      </c>
      <c r="L197" s="19">
        <v>17.55392675294015</v>
      </c>
      <c r="M197" s="19">
        <v>117.22658227942887</v>
      </c>
      <c r="N197" s="19">
        <v>34.602299660992855</v>
      </c>
      <c r="O197" s="19">
        <v>21.177548048207843</v>
      </c>
      <c r="P197" s="19">
        <v>13.612360899423184</v>
      </c>
      <c r="Q197" s="19">
        <v>248.67336947377567</v>
      </c>
      <c r="R197" s="19">
        <v>65.83222064833322</v>
      </c>
      <c r="S197" s="19">
        <v>24.625758573170923</v>
      </c>
      <c r="T197" s="19">
        <v>64.854809096854453</v>
      </c>
      <c r="U197" s="19">
        <v>2.3344349067583527</v>
      </c>
      <c r="V197" s="19">
        <v>65.311487428579738</v>
      </c>
      <c r="W197" s="19">
        <v>88.61042914491658</v>
      </c>
      <c r="X197" s="19">
        <v>65.855841253061243</v>
      </c>
      <c r="Y197" s="19">
        <v>10.481643339804872</v>
      </c>
      <c r="Z197" s="19">
        <v>56.519410248366967</v>
      </c>
      <c r="AA197" s="19">
        <v>16.742817625215729</v>
      </c>
      <c r="AB197" s="19">
        <v>381.3213663561757</v>
      </c>
      <c r="AC197" s="19">
        <v>2.3634804955104554</v>
      </c>
      <c r="AD197" s="19">
        <v>22.491305675741799</v>
      </c>
      <c r="AE197" s="19">
        <v>187.27954983765483</v>
      </c>
      <c r="AF197" s="19">
        <v>39.792943540676987</v>
      </c>
      <c r="AG197" s="19">
        <v>19.720135044631281</v>
      </c>
      <c r="AH197" s="19">
        <v>8.504052442866298</v>
      </c>
      <c r="AI197" s="19">
        <v>1.2379078606142337</v>
      </c>
      <c r="AJ197" s="19">
        <v>83.695750854987367</v>
      </c>
      <c r="AK197" s="19">
        <v>24.902167666191012</v>
      </c>
      <c r="AL197" s="19">
        <v>27.039316054763134</v>
      </c>
      <c r="AM197" s="19">
        <v>15.866824749285977</v>
      </c>
      <c r="AN197" s="19">
        <v>32.72648413651811</v>
      </c>
      <c r="AO197" s="19">
        <v>0.41106575897464631</v>
      </c>
      <c r="AP197" s="19">
        <v>4.9311764772629534</v>
      </c>
      <c r="AQ197" s="19">
        <v>147.65138239745929</v>
      </c>
      <c r="AR197" s="19">
        <v>0.10376829156765514</v>
      </c>
      <c r="AS197" s="19">
        <v>150.23815656002961</v>
      </c>
      <c r="AT197" s="19">
        <v>30.972664678421264</v>
      </c>
      <c r="AU197" s="19">
        <v>2.6387413557230031</v>
      </c>
      <c r="AV197" s="19">
        <v>44.338076871080212</v>
      </c>
      <c r="AW197" s="19">
        <v>0.64989953750446394</v>
      </c>
      <c r="AX197" s="19">
        <v>77.984480372158984</v>
      </c>
      <c r="AY197" s="19">
        <v>23.716593477406391</v>
      </c>
      <c r="AZ197" s="19">
        <v>11.09058457620193</v>
      </c>
      <c r="BA197" s="19">
        <v>152.11799533285483</v>
      </c>
      <c r="BB197" s="19">
        <v>59.509190094005916</v>
      </c>
      <c r="BC197" s="19">
        <v>104.29143520714658</v>
      </c>
      <c r="BD197" s="19">
        <v>0.27562249583007159</v>
      </c>
      <c r="BE197" s="19">
        <v>5.8359269745390678</v>
      </c>
      <c r="BF197" s="19">
        <v>2.4236115892828125</v>
      </c>
      <c r="BG197" s="19">
        <v>153.59251258751473</v>
      </c>
      <c r="BH197" s="19">
        <v>261.76447732998685</v>
      </c>
      <c r="BI197" s="19">
        <v>62.273416491507732</v>
      </c>
      <c r="BJ197" s="19">
        <v>1465.6665794774874</v>
      </c>
      <c r="BK197" s="19">
        <v>1241.2242186404271</v>
      </c>
      <c r="BL197" s="19">
        <v>599.60410408830569</v>
      </c>
      <c r="BM197" s="19">
        <v>142.04402387828566</v>
      </c>
      <c r="BN197" s="19">
        <v>243.27380574717014</v>
      </c>
      <c r="BO197" s="19">
        <v>334.60685266918256</v>
      </c>
      <c r="BP197" s="19">
        <v>371.46627387183815</v>
      </c>
      <c r="BQ197" s="19">
        <v>681.10043793761815</v>
      </c>
      <c r="BR197" s="19">
        <v>553.60295661119198</v>
      </c>
      <c r="BS197" s="19">
        <v>703.99317277595776</v>
      </c>
      <c r="BT197" s="19">
        <v>405.37012680446065</v>
      </c>
      <c r="BU197" s="19">
        <v>296.65955751899213</v>
      </c>
      <c r="BV197" s="19">
        <v>430.80797227814918</v>
      </c>
      <c r="BW197" s="19">
        <v>103.15290166500033</v>
      </c>
      <c r="BX197" s="19">
        <v>34.834006954385508</v>
      </c>
      <c r="BY197" s="19">
        <v>56.711182953054347</v>
      </c>
      <c r="BZ197" s="19">
        <v>26.207073530874826</v>
      </c>
      <c r="CA197" s="19">
        <v>198.957329576239</v>
      </c>
      <c r="CB197" s="19">
        <v>20.465577887253776</v>
      </c>
      <c r="CC197" s="19">
        <v>6.9071948747203633</v>
      </c>
      <c r="CD197" s="19">
        <v>146.25608575134754</v>
      </c>
      <c r="CE197" s="19">
        <v>77.477466903516557</v>
      </c>
      <c r="CF197" s="19">
        <v>70.436145228897985</v>
      </c>
      <c r="CG197" s="19">
        <v>11.624389446766701</v>
      </c>
      <c r="CH197" s="19">
        <v>93.874847231805546</v>
      </c>
      <c r="CI197" s="19">
        <v>54.784162024176183</v>
      </c>
      <c r="CJ197" s="19">
        <v>23.482792295817365</v>
      </c>
      <c r="CK197" s="19">
        <v>16.863615041563254</v>
      </c>
      <c r="CL197" s="19">
        <v>181.52742313634621</v>
      </c>
      <c r="CM197" s="19">
        <v>64.860519846495691</v>
      </c>
      <c r="CN197" s="19">
        <v>33.694438433040027</v>
      </c>
      <c r="CO197" s="19">
        <v>73.937164328998819</v>
      </c>
      <c r="CP197" s="19">
        <v>6.2949294854928635</v>
      </c>
      <c r="CQ197" s="19">
        <v>71.176913606603037</v>
      </c>
      <c r="CR197" s="19">
        <v>73.417478299773109</v>
      </c>
      <c r="CS197" s="19">
        <v>58.87691949706592</v>
      </c>
      <c r="CT197" s="19">
        <v>10.90244051039212</v>
      </c>
      <c r="CU197" s="19">
        <v>54.085856153643356</v>
      </c>
      <c r="CV197" s="19">
        <v>16.583770692263986</v>
      </c>
      <c r="CW197" s="19">
        <v>442.14620027691637</v>
      </c>
      <c r="CX197" s="19">
        <v>3.1450432701889586</v>
      </c>
      <c r="CY197" s="19">
        <v>25.590616720855461</v>
      </c>
      <c r="CZ197" s="19">
        <v>3.1485245200254557</v>
      </c>
      <c r="DA197" s="19">
        <v>1.0574004297765576</v>
      </c>
      <c r="DB197" s="19">
        <v>225.7860686358475</v>
      </c>
      <c r="DC197" s="19">
        <v>47.522263392204479</v>
      </c>
      <c r="DD197" s="19">
        <v>24.048077372892241</v>
      </c>
      <c r="DE197" s="19">
        <v>24.959008945467694</v>
      </c>
      <c r="DF197" s="19">
        <v>14.131019569311695</v>
      </c>
      <c r="DG197" s="19">
        <v>79.342498600829288</v>
      </c>
      <c r="DH197" s="19">
        <v>108.74519791940028</v>
      </c>
      <c r="DI197" s="19">
        <v>30.779440311855822</v>
      </c>
      <c r="DJ197" s="19">
        <v>49.633444076297636</v>
      </c>
      <c r="DK197" s="19">
        <v>21.560426245564756</v>
      </c>
      <c r="DL197" s="19">
        <v>103.76806477126091</v>
      </c>
      <c r="DM197" s="19">
        <v>0.58834879393036787</v>
      </c>
      <c r="DN197" s="19">
        <v>6.0579104192220452</v>
      </c>
      <c r="DO197" s="19">
        <v>216.34119742878022</v>
      </c>
      <c r="DP197" s="19">
        <v>1.5706986609268896</v>
      </c>
      <c r="DQ197" s="19">
        <v>297.221320296599</v>
      </c>
      <c r="DR197" s="19">
        <v>56.159833955293784</v>
      </c>
      <c r="DS197" s="19">
        <v>0.69296210771504785</v>
      </c>
      <c r="DT197" s="19">
        <v>55.278893423365446</v>
      </c>
      <c r="DU197" s="19">
        <v>136.3975874139156</v>
      </c>
      <c r="DV197" s="19">
        <v>44.528180710757198</v>
      </c>
      <c r="DW197" s="19">
        <v>106.77682371700823</v>
      </c>
      <c r="DX197" s="19">
        <v>58.158147846906942</v>
      </c>
      <c r="DY197" s="19">
        <v>129.75760453181914</v>
      </c>
      <c r="DZ197" s="19">
        <v>56.489074865303358</v>
      </c>
      <c r="EA197" s="19">
        <v>563.00073020102218</v>
      </c>
      <c r="EB197" s="19">
        <v>149.20052574177154</v>
      </c>
      <c r="EC197" s="19">
        <v>254.01004011049648</v>
      </c>
      <c r="ED197" s="19">
        <v>124.25143942231601</v>
      </c>
      <c r="EE197" s="19">
        <v>271.04653967450179</v>
      </c>
      <c r="EF197" s="19">
        <v>192.66231906812112</v>
      </c>
      <c r="EG197" s="19">
        <v>256.09876489101208</v>
      </c>
      <c r="EH197" s="19">
        <v>264.55853690078123</v>
      </c>
      <c r="EI197" s="19">
        <v>62.31978122393356</v>
      </c>
      <c r="EJ197" s="19">
        <v>1536.7385250836492</v>
      </c>
      <c r="EK197" s="19">
        <v>1281.582659047375</v>
      </c>
      <c r="EL197" s="19">
        <v>903.9235233347174</v>
      </c>
      <c r="EM197" s="19">
        <v>362.70084954210336</v>
      </c>
      <c r="EN197" s="19">
        <v>261.10768877468058</v>
      </c>
      <c r="EO197" s="19">
        <v>358.07185958838102</v>
      </c>
      <c r="EP197" s="19">
        <v>390.74088697516015</v>
      </c>
      <c r="EQ197" s="19">
        <v>740.38407022433921</v>
      </c>
      <c r="ER197" s="19">
        <v>649.86643033077246</v>
      </c>
      <c r="ES197" s="19">
        <v>785.24635114192256</v>
      </c>
      <c r="ET197" s="19">
        <v>405.37012680446117</v>
      </c>
      <c r="EU197" s="19">
        <v>298.86169644037915</v>
      </c>
      <c r="EV197" s="19">
        <v>436.06593851428283</v>
      </c>
      <c r="EW197" s="19">
        <v>1009.9683055588279</v>
      </c>
      <c r="EX197" s="19">
        <v>251.58051690478371</v>
      </c>
      <c r="EY197" s="19">
        <v>1059.5899214162889</v>
      </c>
      <c r="EZ197" s="19">
        <v>314.87007154736438</v>
      </c>
      <c r="FA197" s="19">
        <v>84.125419652714626</v>
      </c>
      <c r="FB197" s="19">
        <v>64.787088861159816</v>
      </c>
      <c r="FC197" s="19">
        <v>589.43786480415031</v>
      </c>
      <c r="FD197" s="19">
        <v>516.17194334103192</v>
      </c>
      <c r="FE197" s="19">
        <v>543.03916925176588</v>
      </c>
      <c r="FF197" s="19">
        <v>750.44467353892446</v>
      </c>
      <c r="FG197" s="19">
        <v>235.31666314152437</v>
      </c>
      <c r="FH197" s="19">
        <v>83.212096436702467</v>
      </c>
      <c r="FI197" s="19">
        <v>72.636216312965658</v>
      </c>
      <c r="FJ197" s="19">
        <v>1445.7694043118322</v>
      </c>
      <c r="FK197" s="19">
        <v>1544.637630495346</v>
      </c>
      <c r="FL197" s="19">
        <v>243.88066248322153</v>
      </c>
      <c r="FM197" s="19">
        <v>373.39196404852021</v>
      </c>
      <c r="FN197" s="19">
        <v>542.31658724277804</v>
      </c>
      <c r="FO197" s="19">
        <v>822.91917300928287</v>
      </c>
      <c r="FP197" s="19">
        <v>1067.304261731874</v>
      </c>
      <c r="FQ197" s="19">
        <v>4.5087249297565171</v>
      </c>
      <c r="FR197" s="19">
        <v>5.7881134719368905</v>
      </c>
      <c r="FS197" s="19">
        <v>8.3480571607156193</v>
      </c>
      <c r="FT197" s="19">
        <v>8.5950975089106176</v>
      </c>
      <c r="FU197" s="19">
        <v>92.51855569830569</v>
      </c>
      <c r="FV197" s="19">
        <v>11.97985194534831</v>
      </c>
      <c r="FW197" s="19">
        <v>34.039756807240529</v>
      </c>
      <c r="FX197" s="19">
        <v>54.838123758625493</v>
      </c>
      <c r="FY197" s="19">
        <v>140.78293349768384</v>
      </c>
      <c r="FZ197" s="19">
        <v>2276.6062629936182</v>
      </c>
      <c r="GA197" s="19">
        <v>1700.0523001084296</v>
      </c>
      <c r="GB197" s="19">
        <v>571.86039354303853</v>
      </c>
      <c r="GC197" s="19">
        <v>0.79905242463502946</v>
      </c>
      <c r="GD197" s="19">
        <v>53.048289364118098</v>
      </c>
      <c r="GE197" s="19">
        <v>379.61378960790432</v>
      </c>
      <c r="GF197" s="19">
        <v>1715.7023742481215</v>
      </c>
      <c r="GG197" s="19">
        <v>36.896079695357905</v>
      </c>
      <c r="GH197" s="19">
        <v>2520.4767832941284</v>
      </c>
      <c r="GI197" s="19"/>
      <c r="GJ197" s="17"/>
      <c r="GK197" s="17"/>
      <c r="GL197" s="17"/>
      <c r="GM197" s="17"/>
      <c r="GN197" s="17"/>
      <c r="GO197" s="17"/>
      <c r="GP197" s="17"/>
      <c r="GQ197" s="17"/>
      <c r="GR197" s="17"/>
      <c r="GS197" s="17"/>
      <c r="GT197" s="17"/>
      <c r="GU197" s="17"/>
      <c r="GV197" s="17"/>
      <c r="GW197" s="17"/>
      <c r="GX197" s="17"/>
      <c r="GY197" s="17"/>
    </row>
    <row r="198" spans="1:207" x14ac:dyDescent="0.25">
      <c r="A198" s="18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  <c r="EW198" s="17"/>
      <c r="EX198" s="17"/>
      <c r="EY198" s="17"/>
      <c r="EZ198" s="17"/>
      <c r="FA198" s="17"/>
      <c r="FB198" s="17"/>
      <c r="FC198" s="17"/>
      <c r="FD198" s="17"/>
      <c r="FE198" s="17"/>
      <c r="FF198" s="17"/>
      <c r="FG198" s="17"/>
      <c r="FH198" s="17"/>
      <c r="FI198" s="17"/>
      <c r="FJ198" s="17"/>
      <c r="FK198" s="17"/>
      <c r="FL198" s="17"/>
      <c r="FM198" s="17"/>
      <c r="FN198" s="17"/>
      <c r="FO198" s="17"/>
      <c r="FP198" s="17"/>
      <c r="FQ198" s="17"/>
      <c r="FR198" s="17"/>
      <c r="FS198" s="17"/>
      <c r="FT198" s="17"/>
      <c r="FU198" s="17"/>
      <c r="FV198" s="17"/>
      <c r="FW198" s="17"/>
      <c r="FX198" s="17"/>
      <c r="FY198" s="17"/>
      <c r="FZ198" s="17"/>
      <c r="GA198" s="17"/>
      <c r="GB198" s="17"/>
      <c r="GC198" s="17"/>
      <c r="GD198" s="17"/>
      <c r="GE198" s="17"/>
      <c r="GF198" s="17"/>
      <c r="GG198" s="17"/>
      <c r="GH198" s="17"/>
      <c r="GI198" s="17"/>
      <c r="GJ198" s="17"/>
      <c r="GK198" s="17"/>
      <c r="GL198" s="17"/>
      <c r="GM198" s="17"/>
      <c r="GN198" s="17"/>
      <c r="GO198" s="17"/>
      <c r="GP198" s="17"/>
      <c r="GQ198" s="17"/>
      <c r="GR198" s="17"/>
      <c r="GS198" s="17"/>
      <c r="GT198" s="17"/>
      <c r="GU198" s="17"/>
      <c r="GV198" s="17"/>
      <c r="GW198" s="17"/>
      <c r="GX198" s="17"/>
      <c r="GY198" s="17"/>
    </row>
    <row r="199" spans="1:207" x14ac:dyDescent="0.25">
      <c r="A199" s="18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  <c r="EW199" s="17"/>
      <c r="EX199" s="17"/>
      <c r="EY199" s="17"/>
      <c r="EZ199" s="17"/>
      <c r="FA199" s="17"/>
      <c r="FB199" s="17"/>
      <c r="FC199" s="17"/>
      <c r="FD199" s="17"/>
      <c r="FE199" s="17"/>
      <c r="FF199" s="17"/>
      <c r="FG199" s="17"/>
      <c r="FH199" s="17"/>
      <c r="FI199" s="17"/>
      <c r="FJ199" s="17"/>
      <c r="FK199" s="17"/>
      <c r="FL199" s="17"/>
      <c r="FM199" s="17"/>
      <c r="FN199" s="17"/>
      <c r="FO199" s="17"/>
      <c r="FP199" s="17"/>
      <c r="FQ199" s="17"/>
      <c r="FR199" s="17"/>
      <c r="FS199" s="17"/>
      <c r="FT199" s="17"/>
      <c r="FU199" s="17"/>
      <c r="FV199" s="17"/>
      <c r="FW199" s="17"/>
      <c r="FX199" s="17"/>
      <c r="FY199" s="17"/>
      <c r="FZ199" s="17"/>
      <c r="GA199" s="17"/>
      <c r="GB199" s="17"/>
      <c r="GC199" s="17"/>
      <c r="GD199" s="17"/>
      <c r="GE199" s="17"/>
      <c r="GF199" s="17"/>
      <c r="GG199" s="17"/>
      <c r="GH199" s="17"/>
      <c r="GI199" s="17"/>
      <c r="GJ199" s="17"/>
      <c r="GK199" s="17"/>
      <c r="GL199" s="17"/>
      <c r="GM199" s="17"/>
      <c r="GN199" s="17"/>
      <c r="GO199" s="17"/>
      <c r="GP199" s="17"/>
      <c r="GQ199" s="17"/>
      <c r="GR199" s="17"/>
      <c r="GS199" s="17"/>
      <c r="GT199" s="17"/>
      <c r="GU199" s="17"/>
      <c r="GV199" s="17"/>
      <c r="GW199" s="17"/>
      <c r="GX199" s="17"/>
      <c r="GY199" s="17"/>
    </row>
    <row r="200" spans="1:207" x14ac:dyDescent="0.25">
      <c r="A200" s="18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  <c r="EW200" s="17"/>
      <c r="EX200" s="17"/>
      <c r="EY200" s="17"/>
      <c r="EZ200" s="17"/>
      <c r="FA200" s="17"/>
      <c r="FB200" s="17"/>
      <c r="FC200" s="17"/>
      <c r="FD200" s="17"/>
      <c r="FE200" s="17"/>
      <c r="FF200" s="17"/>
      <c r="FG200" s="17"/>
      <c r="FH200" s="17"/>
      <c r="FI200" s="17"/>
      <c r="FJ200" s="17"/>
      <c r="FK200" s="17"/>
      <c r="FL200" s="17"/>
      <c r="FM200" s="17"/>
      <c r="FN200" s="17"/>
      <c r="FO200" s="17"/>
      <c r="FP200" s="17"/>
      <c r="FQ200" s="17"/>
      <c r="FR200" s="17"/>
      <c r="FS200" s="17"/>
      <c r="FT200" s="17"/>
      <c r="FU200" s="17"/>
      <c r="FV200" s="17"/>
      <c r="FW200" s="17"/>
      <c r="FX200" s="17"/>
      <c r="FY200" s="17"/>
      <c r="FZ200" s="17"/>
      <c r="GA200" s="17"/>
      <c r="GB200" s="17"/>
      <c r="GC200" s="17"/>
      <c r="GD200" s="17"/>
      <c r="GE200" s="17"/>
      <c r="GF200" s="17"/>
      <c r="GG200" s="17"/>
      <c r="GH200" s="17"/>
      <c r="GI200" s="17"/>
      <c r="GJ200" s="17"/>
      <c r="GK200" s="17"/>
      <c r="GL200" s="17"/>
      <c r="GM200" s="17"/>
      <c r="GN200" s="17"/>
      <c r="GO200" s="17"/>
      <c r="GP200" s="17"/>
      <c r="GQ200" s="17"/>
      <c r="GR200" s="17"/>
      <c r="GS200" s="17"/>
      <c r="GT200" s="17"/>
      <c r="GU200" s="17"/>
      <c r="GV200" s="17"/>
      <c r="GW200" s="17"/>
      <c r="GX200" s="17"/>
      <c r="GY200" s="17"/>
    </row>
    <row r="201" spans="1:207" x14ac:dyDescent="0.25">
      <c r="A201" s="18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  <c r="EW201" s="17"/>
      <c r="EX201" s="17"/>
      <c r="EY201" s="17"/>
      <c r="EZ201" s="17"/>
      <c r="FA201" s="17"/>
      <c r="FB201" s="17"/>
      <c r="FC201" s="17"/>
      <c r="FD201" s="17"/>
      <c r="FE201" s="17"/>
      <c r="FF201" s="17"/>
      <c r="FG201" s="17"/>
      <c r="FH201" s="17"/>
      <c r="FI201" s="17"/>
      <c r="FJ201" s="17"/>
      <c r="FK201" s="17"/>
      <c r="FL201" s="17"/>
      <c r="FM201" s="17"/>
      <c r="FN201" s="17"/>
      <c r="FO201" s="17"/>
      <c r="FP201" s="17"/>
      <c r="FQ201" s="17"/>
      <c r="FR201" s="17"/>
      <c r="FS201" s="17"/>
      <c r="FT201" s="17"/>
      <c r="FU201" s="17"/>
      <c r="FV201" s="17"/>
      <c r="FW201" s="17"/>
      <c r="FX201" s="17"/>
      <c r="FY201" s="17"/>
      <c r="FZ201" s="17"/>
      <c r="GA201" s="17"/>
      <c r="GB201" s="17"/>
      <c r="GC201" s="17"/>
      <c r="GD201" s="17"/>
      <c r="GE201" s="17"/>
      <c r="GF201" s="17"/>
      <c r="GG201" s="17"/>
      <c r="GH201" s="17"/>
      <c r="GI201" s="17"/>
      <c r="GJ201" s="17"/>
      <c r="GK201" s="17"/>
      <c r="GL201" s="17"/>
      <c r="GM201" s="17"/>
      <c r="GN201" s="17"/>
      <c r="GO201" s="17"/>
      <c r="GP201" s="17"/>
      <c r="GQ201" s="17"/>
      <c r="GR201" s="17"/>
      <c r="GS201" s="17"/>
      <c r="GT201" s="17"/>
      <c r="GU201" s="17"/>
      <c r="GV201" s="17"/>
      <c r="GW201" s="17"/>
      <c r="GX201" s="17"/>
      <c r="GY201" s="17"/>
    </row>
    <row r="202" spans="1:207" x14ac:dyDescent="0.25">
      <c r="A202" s="18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  <c r="EW202" s="17"/>
      <c r="EX202" s="17"/>
      <c r="EY202" s="17"/>
      <c r="EZ202" s="17"/>
      <c r="FA202" s="17"/>
      <c r="FB202" s="17"/>
      <c r="FC202" s="17"/>
      <c r="FD202" s="17"/>
      <c r="FE202" s="17"/>
      <c r="FF202" s="17"/>
      <c r="FG202" s="17"/>
      <c r="FH202" s="17"/>
      <c r="FI202" s="17"/>
      <c r="FJ202" s="17"/>
      <c r="FK202" s="17"/>
      <c r="FL202" s="17"/>
      <c r="FM202" s="17"/>
      <c r="FN202" s="17"/>
      <c r="FO202" s="17"/>
      <c r="FP202" s="17"/>
      <c r="FQ202" s="17"/>
      <c r="FR202" s="17"/>
      <c r="FS202" s="17"/>
      <c r="FT202" s="17"/>
      <c r="FU202" s="17"/>
      <c r="FV202" s="17"/>
      <c r="FW202" s="17"/>
      <c r="FX202" s="17"/>
      <c r="FY202" s="17"/>
      <c r="FZ202" s="17"/>
      <c r="GA202" s="17"/>
      <c r="GB202" s="17"/>
      <c r="GC202" s="17"/>
      <c r="GD202" s="17"/>
      <c r="GE202" s="17"/>
      <c r="GF202" s="17"/>
      <c r="GG202" s="17"/>
      <c r="GH202" s="17"/>
      <c r="GI202" s="17"/>
      <c r="GJ202" s="17"/>
      <c r="GK202" s="17"/>
      <c r="GL202" s="17"/>
      <c r="GM202" s="17"/>
      <c r="GN202" s="17"/>
      <c r="GO202" s="17"/>
      <c r="GP202" s="17"/>
      <c r="GQ202" s="17"/>
      <c r="GR202" s="17"/>
      <c r="GS202" s="17"/>
      <c r="GT202" s="17"/>
      <c r="GU202" s="17"/>
      <c r="GV202" s="17"/>
      <c r="GW202" s="17"/>
      <c r="GX202" s="17"/>
      <c r="GY202" s="17"/>
    </row>
    <row r="203" spans="1:207" x14ac:dyDescent="0.25">
      <c r="A203" s="18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  <c r="EW203" s="17"/>
      <c r="EX203" s="17"/>
      <c r="EY203" s="17"/>
      <c r="EZ203" s="17"/>
      <c r="FA203" s="17"/>
      <c r="FB203" s="17"/>
      <c r="FC203" s="17"/>
      <c r="FD203" s="17"/>
      <c r="FE203" s="17"/>
      <c r="FF203" s="17"/>
      <c r="FG203" s="17"/>
      <c r="FH203" s="17"/>
      <c r="FI203" s="17"/>
      <c r="FJ203" s="17"/>
      <c r="FK203" s="17"/>
      <c r="FL203" s="17"/>
      <c r="FM203" s="17"/>
      <c r="FN203" s="17"/>
      <c r="FO203" s="17"/>
      <c r="FP203" s="17"/>
      <c r="FQ203" s="17"/>
      <c r="FR203" s="17"/>
      <c r="FS203" s="17"/>
      <c r="FT203" s="17"/>
      <c r="FU203" s="17"/>
      <c r="FV203" s="17"/>
      <c r="FW203" s="17"/>
      <c r="FX203" s="17"/>
      <c r="FY203" s="17"/>
      <c r="FZ203" s="17"/>
      <c r="GA203" s="17"/>
      <c r="GB203" s="17"/>
      <c r="GC203" s="17"/>
      <c r="GD203" s="17"/>
      <c r="GE203" s="17"/>
      <c r="GF203" s="17"/>
      <c r="GG203" s="17"/>
      <c r="GH203" s="17"/>
      <c r="GI203" s="17"/>
      <c r="GJ203" s="17"/>
      <c r="GK203" s="17"/>
      <c r="GL203" s="17"/>
      <c r="GM203" s="17"/>
      <c r="GN203" s="17"/>
      <c r="GO203" s="17"/>
      <c r="GP203" s="17"/>
      <c r="GQ203" s="17"/>
      <c r="GR203" s="17"/>
      <c r="GS203" s="17"/>
      <c r="GT203" s="17"/>
      <c r="GU203" s="17"/>
      <c r="GV203" s="17"/>
      <c r="GW203" s="17"/>
      <c r="GX203" s="17"/>
      <c r="GY203" s="17"/>
    </row>
    <row r="204" spans="1:207" x14ac:dyDescent="0.25">
      <c r="A204" s="18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  <c r="EW204" s="17"/>
      <c r="EX204" s="17"/>
      <c r="EY204" s="17"/>
      <c r="EZ204" s="17"/>
      <c r="FA204" s="17"/>
      <c r="FB204" s="17"/>
      <c r="FC204" s="17"/>
      <c r="FD204" s="17"/>
      <c r="FE204" s="17"/>
      <c r="FF204" s="17"/>
      <c r="FG204" s="17"/>
      <c r="FH204" s="17"/>
      <c r="FI204" s="17"/>
      <c r="FJ204" s="17"/>
      <c r="FK204" s="17"/>
      <c r="FL204" s="17"/>
      <c r="FM204" s="17"/>
      <c r="FN204" s="17"/>
      <c r="FO204" s="17"/>
      <c r="FP204" s="17"/>
      <c r="FQ204" s="17"/>
      <c r="FR204" s="17"/>
      <c r="FS204" s="17"/>
      <c r="FT204" s="17"/>
      <c r="FU204" s="17"/>
      <c r="FV204" s="17"/>
      <c r="FW204" s="17"/>
      <c r="FX204" s="17"/>
      <c r="FY204" s="17"/>
      <c r="FZ204" s="17"/>
      <c r="GA204" s="17"/>
      <c r="GB204" s="17"/>
      <c r="GC204" s="17"/>
      <c r="GD204" s="17"/>
      <c r="GE204" s="17"/>
      <c r="GF204" s="17"/>
      <c r="GG204" s="17"/>
      <c r="GH204" s="17"/>
      <c r="GI204" s="17"/>
      <c r="GJ204" s="17"/>
      <c r="GK204" s="17"/>
      <c r="GL204" s="17"/>
      <c r="GM204" s="17"/>
      <c r="GN204" s="17"/>
      <c r="GO204" s="17"/>
      <c r="GP204" s="17"/>
      <c r="GQ204" s="17"/>
      <c r="GR204" s="17"/>
      <c r="GS204" s="17"/>
      <c r="GT204" s="17"/>
      <c r="GU204" s="17"/>
      <c r="GV204" s="17"/>
      <c r="GW204" s="17"/>
      <c r="GX204" s="17"/>
      <c r="GY204" s="17"/>
    </row>
    <row r="205" spans="1:207" x14ac:dyDescent="0.25">
      <c r="A205" s="18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  <c r="EW205" s="17"/>
      <c r="EX205" s="17"/>
      <c r="EY205" s="17"/>
      <c r="EZ205" s="17"/>
      <c r="FA205" s="17"/>
      <c r="FB205" s="17"/>
      <c r="FC205" s="17"/>
      <c r="FD205" s="17"/>
      <c r="FE205" s="17"/>
      <c r="FF205" s="17"/>
      <c r="FG205" s="17"/>
      <c r="FH205" s="17"/>
      <c r="FI205" s="17"/>
      <c r="FJ205" s="17"/>
      <c r="FK205" s="17"/>
      <c r="FL205" s="17"/>
      <c r="FM205" s="17"/>
      <c r="FN205" s="17"/>
      <c r="FO205" s="17"/>
      <c r="FP205" s="17"/>
      <c r="FQ205" s="17"/>
      <c r="FR205" s="17"/>
      <c r="FS205" s="17"/>
      <c r="FT205" s="17"/>
      <c r="FU205" s="17"/>
      <c r="FV205" s="17"/>
      <c r="FW205" s="17"/>
      <c r="FX205" s="17"/>
      <c r="FY205" s="17"/>
      <c r="FZ205" s="17"/>
      <c r="GA205" s="17"/>
      <c r="GB205" s="17"/>
      <c r="GC205" s="17"/>
      <c r="GD205" s="17"/>
      <c r="GE205" s="17"/>
      <c r="GF205" s="17"/>
      <c r="GG205" s="17"/>
      <c r="GH205" s="17"/>
      <c r="GI205" s="17"/>
      <c r="GJ205" s="17"/>
      <c r="GK205" s="17"/>
      <c r="GL205" s="17"/>
      <c r="GM205" s="17"/>
      <c r="GN205" s="17"/>
      <c r="GO205" s="17"/>
      <c r="GP205" s="17"/>
      <c r="GQ205" s="17"/>
      <c r="GR205" s="17"/>
      <c r="GS205" s="17"/>
      <c r="GT205" s="17"/>
      <c r="GU205" s="17"/>
      <c r="GV205" s="17"/>
      <c r="GW205" s="17"/>
      <c r="GX205" s="17"/>
      <c r="GY205" s="17"/>
    </row>
    <row r="206" spans="1:207" x14ac:dyDescent="0.25">
      <c r="A206" s="18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  <c r="EW206" s="17"/>
      <c r="EX206" s="17"/>
      <c r="EY206" s="17"/>
      <c r="EZ206" s="17"/>
      <c r="FA206" s="17"/>
      <c r="FB206" s="17"/>
      <c r="FC206" s="17"/>
      <c r="FD206" s="17"/>
      <c r="FE206" s="17"/>
      <c r="FF206" s="17"/>
      <c r="FG206" s="17"/>
      <c r="FH206" s="17"/>
      <c r="FI206" s="17"/>
      <c r="FJ206" s="17"/>
      <c r="FK206" s="17"/>
      <c r="FL206" s="17"/>
      <c r="FM206" s="17"/>
      <c r="FN206" s="17"/>
      <c r="FO206" s="17"/>
      <c r="FP206" s="17"/>
      <c r="FQ206" s="17"/>
      <c r="FR206" s="17"/>
      <c r="FS206" s="17"/>
      <c r="FT206" s="17"/>
      <c r="FU206" s="17"/>
      <c r="FV206" s="17"/>
      <c r="FW206" s="17"/>
      <c r="FX206" s="17"/>
      <c r="FY206" s="17"/>
      <c r="FZ206" s="17"/>
      <c r="GA206" s="17"/>
      <c r="GB206" s="17"/>
      <c r="GC206" s="17"/>
      <c r="GD206" s="17"/>
      <c r="GE206" s="17"/>
      <c r="GF206" s="17"/>
      <c r="GG206" s="17"/>
      <c r="GH206" s="17"/>
      <c r="GI206" s="17"/>
      <c r="GJ206" s="17"/>
      <c r="GK206" s="17"/>
      <c r="GL206" s="17"/>
      <c r="GM206" s="17"/>
      <c r="GN206" s="17"/>
      <c r="GO206" s="17"/>
      <c r="GP206" s="17"/>
      <c r="GQ206" s="17"/>
      <c r="GR206" s="17"/>
      <c r="GS206" s="17"/>
      <c r="GT206" s="17"/>
      <c r="GU206" s="17"/>
      <c r="GV206" s="17"/>
      <c r="GW206" s="17"/>
      <c r="GX206" s="17"/>
      <c r="GY206" s="17"/>
    </row>
    <row r="207" spans="1:207" x14ac:dyDescent="0.25">
      <c r="A207" s="18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  <c r="EW207" s="17"/>
      <c r="EX207" s="17"/>
      <c r="EY207" s="17"/>
      <c r="EZ207" s="17"/>
      <c r="FA207" s="17"/>
      <c r="FB207" s="17"/>
      <c r="FC207" s="17"/>
      <c r="FD207" s="17"/>
      <c r="FE207" s="17"/>
      <c r="FF207" s="17"/>
      <c r="FG207" s="17"/>
      <c r="FH207" s="17"/>
      <c r="FI207" s="17"/>
      <c r="FJ207" s="17"/>
      <c r="FK207" s="17"/>
      <c r="FL207" s="17"/>
      <c r="FM207" s="17"/>
      <c r="FN207" s="17"/>
      <c r="FO207" s="17"/>
      <c r="FP207" s="17"/>
      <c r="FQ207" s="17"/>
      <c r="FR207" s="17"/>
      <c r="FS207" s="17"/>
      <c r="FT207" s="17"/>
      <c r="FU207" s="17"/>
      <c r="FV207" s="17"/>
      <c r="FW207" s="17"/>
      <c r="FX207" s="17"/>
      <c r="FY207" s="17"/>
      <c r="FZ207" s="17"/>
      <c r="GA207" s="17"/>
      <c r="GB207" s="17"/>
      <c r="GC207" s="17"/>
      <c r="GD207" s="17"/>
      <c r="GE207" s="17"/>
      <c r="GF207" s="17"/>
      <c r="GG207" s="17"/>
      <c r="GH207" s="17"/>
      <c r="GI207" s="17"/>
      <c r="GJ207" s="17"/>
      <c r="GK207" s="17"/>
      <c r="GL207" s="17"/>
      <c r="GM207" s="17"/>
      <c r="GN207" s="17"/>
      <c r="GO207" s="17"/>
      <c r="GP207" s="17"/>
      <c r="GQ207" s="17"/>
      <c r="GR207" s="17"/>
      <c r="GS207" s="17"/>
      <c r="GT207" s="17"/>
      <c r="GU207" s="17"/>
      <c r="GV207" s="17"/>
      <c r="GW207" s="17"/>
      <c r="GX207" s="17"/>
      <c r="GY207" s="17"/>
    </row>
    <row r="208" spans="1:207" x14ac:dyDescent="0.25">
      <c r="A208" s="18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  <c r="EW208" s="17"/>
      <c r="EX208" s="17"/>
      <c r="EY208" s="17"/>
      <c r="EZ208" s="17"/>
      <c r="FA208" s="17"/>
      <c r="FB208" s="17"/>
      <c r="FC208" s="17"/>
      <c r="FD208" s="17"/>
      <c r="FE208" s="17"/>
      <c r="FF208" s="17"/>
      <c r="FG208" s="17"/>
      <c r="FH208" s="17"/>
      <c r="FI208" s="17"/>
      <c r="FJ208" s="17"/>
      <c r="FK208" s="17"/>
      <c r="FL208" s="17"/>
      <c r="FM208" s="17"/>
      <c r="FN208" s="17"/>
      <c r="FO208" s="17"/>
      <c r="FP208" s="17"/>
      <c r="FQ208" s="17"/>
      <c r="FR208" s="17"/>
      <c r="FS208" s="17"/>
      <c r="FT208" s="17"/>
      <c r="FU208" s="17"/>
      <c r="FV208" s="17"/>
      <c r="FW208" s="17"/>
      <c r="FX208" s="17"/>
      <c r="FY208" s="17"/>
      <c r="FZ208" s="17"/>
      <c r="GA208" s="17"/>
      <c r="GB208" s="17"/>
      <c r="GC208" s="17"/>
      <c r="GD208" s="17"/>
      <c r="GE208" s="17"/>
      <c r="GF208" s="17"/>
      <c r="GG208" s="17"/>
      <c r="GH208" s="17"/>
      <c r="GI208" s="17"/>
      <c r="GJ208" s="17"/>
      <c r="GK208" s="17"/>
      <c r="GL208" s="17"/>
      <c r="GM208" s="17"/>
      <c r="GN208" s="17"/>
      <c r="GO208" s="17"/>
      <c r="GP208" s="17"/>
      <c r="GQ208" s="17"/>
      <c r="GR208" s="17"/>
      <c r="GS208" s="17"/>
      <c r="GT208" s="17"/>
      <c r="GU208" s="17"/>
      <c r="GV208" s="17"/>
      <c r="GW208" s="17"/>
      <c r="GX208" s="17"/>
      <c r="GY208" s="17"/>
    </row>
    <row r="209" spans="1:207" x14ac:dyDescent="0.25">
      <c r="A209" s="18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  <c r="EW209" s="17"/>
      <c r="EX209" s="17"/>
      <c r="EY209" s="17"/>
      <c r="EZ209" s="17"/>
      <c r="FA209" s="17"/>
      <c r="FB209" s="17"/>
      <c r="FC209" s="17"/>
      <c r="FD209" s="17"/>
      <c r="FE209" s="17"/>
      <c r="FF209" s="17"/>
      <c r="FG209" s="17"/>
      <c r="FH209" s="17"/>
      <c r="FI209" s="17"/>
      <c r="FJ209" s="17"/>
      <c r="FK209" s="17"/>
      <c r="FL209" s="17"/>
      <c r="FM209" s="17"/>
      <c r="FN209" s="17"/>
      <c r="FO209" s="17"/>
      <c r="FP209" s="17"/>
      <c r="FQ209" s="17"/>
      <c r="FR209" s="17"/>
      <c r="FS209" s="17"/>
      <c r="FT209" s="17"/>
      <c r="FU209" s="17"/>
      <c r="FV209" s="17"/>
      <c r="FW209" s="17"/>
      <c r="FX209" s="17"/>
      <c r="FY209" s="17"/>
      <c r="FZ209" s="17"/>
      <c r="GA209" s="17"/>
      <c r="GB209" s="17"/>
      <c r="GC209" s="17"/>
      <c r="GD209" s="17"/>
      <c r="GE209" s="17"/>
      <c r="GF209" s="17"/>
      <c r="GG209" s="17"/>
      <c r="GH209" s="17"/>
      <c r="GI209" s="17"/>
      <c r="GJ209" s="17"/>
      <c r="GK209" s="17"/>
      <c r="GL209" s="17"/>
      <c r="GM209" s="17"/>
      <c r="GN209" s="17"/>
      <c r="GO209" s="17"/>
      <c r="GP209" s="17"/>
      <c r="GQ209" s="17"/>
      <c r="GR209" s="17"/>
      <c r="GS209" s="17"/>
      <c r="GT209" s="17"/>
      <c r="GU209" s="17"/>
      <c r="GV209" s="17"/>
      <c r="GW209" s="17"/>
      <c r="GX209" s="17"/>
      <c r="GY209" s="17"/>
    </row>
    <row r="210" spans="1:207" x14ac:dyDescent="0.25">
      <c r="A210" s="18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  <c r="EW210" s="17"/>
      <c r="EX210" s="17"/>
      <c r="EY210" s="17"/>
      <c r="EZ210" s="17"/>
      <c r="FA210" s="17"/>
      <c r="FB210" s="17"/>
      <c r="FC210" s="17"/>
      <c r="FD210" s="17"/>
      <c r="FE210" s="17"/>
      <c r="FF210" s="17"/>
      <c r="FG210" s="17"/>
      <c r="FH210" s="17"/>
      <c r="FI210" s="17"/>
      <c r="FJ210" s="17"/>
      <c r="FK210" s="17"/>
      <c r="FL210" s="17"/>
      <c r="FM210" s="17"/>
      <c r="FN210" s="17"/>
      <c r="FO210" s="17"/>
      <c r="FP210" s="17"/>
      <c r="FQ210" s="17"/>
      <c r="FR210" s="17"/>
      <c r="FS210" s="17"/>
      <c r="FT210" s="17"/>
      <c r="FU210" s="17"/>
      <c r="FV210" s="17"/>
      <c r="FW210" s="17"/>
      <c r="FX210" s="17"/>
      <c r="FY210" s="17"/>
      <c r="FZ210" s="17"/>
      <c r="GA210" s="17"/>
      <c r="GB210" s="17"/>
      <c r="GC210" s="17"/>
      <c r="GD210" s="17"/>
      <c r="GE210" s="17"/>
      <c r="GF210" s="17"/>
      <c r="GG210" s="17"/>
      <c r="GH210" s="17"/>
      <c r="GI210" s="17"/>
      <c r="GJ210" s="17"/>
      <c r="GK210" s="17"/>
      <c r="GL210" s="17"/>
      <c r="GM210" s="17"/>
      <c r="GN210" s="17"/>
      <c r="GO210" s="17"/>
      <c r="GP210" s="17"/>
      <c r="GQ210" s="17"/>
      <c r="GR210" s="17"/>
      <c r="GS210" s="17"/>
      <c r="GT210" s="17"/>
      <c r="GU210" s="17"/>
      <c r="GV210" s="17"/>
      <c r="GW210" s="17"/>
      <c r="GX210" s="17"/>
      <c r="GY210" s="17"/>
    </row>
    <row r="211" spans="1:207" x14ac:dyDescent="0.25">
      <c r="A211" s="18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  <c r="EW211" s="17"/>
      <c r="EX211" s="17"/>
      <c r="EY211" s="17"/>
      <c r="EZ211" s="17"/>
      <c r="FA211" s="17"/>
      <c r="FB211" s="17"/>
      <c r="FC211" s="17"/>
      <c r="FD211" s="17"/>
      <c r="FE211" s="17"/>
      <c r="FF211" s="17"/>
      <c r="FG211" s="17"/>
      <c r="FH211" s="17"/>
      <c r="FI211" s="17"/>
      <c r="FJ211" s="17"/>
      <c r="FK211" s="17"/>
      <c r="FL211" s="17"/>
      <c r="FM211" s="17"/>
      <c r="FN211" s="17"/>
      <c r="FO211" s="17"/>
      <c r="FP211" s="17"/>
      <c r="FQ211" s="17"/>
      <c r="FR211" s="17"/>
      <c r="FS211" s="17"/>
      <c r="FT211" s="17"/>
      <c r="FU211" s="17"/>
      <c r="FV211" s="17"/>
      <c r="FW211" s="17"/>
      <c r="FX211" s="17"/>
      <c r="FY211" s="17"/>
      <c r="FZ211" s="17"/>
      <c r="GA211" s="17"/>
      <c r="GB211" s="17"/>
      <c r="GC211" s="17"/>
      <c r="GD211" s="17"/>
      <c r="GE211" s="17"/>
      <c r="GF211" s="17"/>
      <c r="GG211" s="17"/>
      <c r="GH211" s="17"/>
      <c r="GI211" s="17"/>
      <c r="GJ211" s="17"/>
      <c r="GK211" s="17"/>
      <c r="GL211" s="17"/>
      <c r="GM211" s="17"/>
      <c r="GN211" s="17"/>
      <c r="GO211" s="17"/>
      <c r="GP211" s="17"/>
      <c r="GQ211" s="17"/>
      <c r="GR211" s="17"/>
      <c r="GS211" s="17"/>
      <c r="GT211" s="17"/>
      <c r="GU211" s="17"/>
      <c r="GV211" s="17"/>
      <c r="GW211" s="17"/>
      <c r="GX211" s="17"/>
      <c r="GY211" s="17"/>
    </row>
    <row r="212" spans="1:207" x14ac:dyDescent="0.25">
      <c r="A212" s="18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  <c r="EW212" s="17"/>
      <c r="EX212" s="17"/>
      <c r="EY212" s="17"/>
      <c r="EZ212" s="17"/>
      <c r="FA212" s="17"/>
      <c r="FB212" s="17"/>
      <c r="FC212" s="17"/>
      <c r="FD212" s="17"/>
      <c r="FE212" s="17"/>
      <c r="FF212" s="17"/>
      <c r="FG212" s="17"/>
      <c r="FH212" s="17"/>
      <c r="FI212" s="17"/>
      <c r="FJ212" s="17"/>
      <c r="FK212" s="17"/>
      <c r="FL212" s="17"/>
      <c r="FM212" s="17"/>
      <c r="FN212" s="17"/>
      <c r="FO212" s="17"/>
      <c r="FP212" s="17"/>
      <c r="FQ212" s="17"/>
      <c r="FR212" s="17"/>
      <c r="FS212" s="17"/>
      <c r="FT212" s="17"/>
      <c r="FU212" s="17"/>
      <c r="FV212" s="17"/>
      <c r="FW212" s="17"/>
      <c r="FX212" s="17"/>
      <c r="FY212" s="17"/>
      <c r="FZ212" s="17"/>
      <c r="GA212" s="17"/>
      <c r="GB212" s="17"/>
      <c r="GC212" s="17"/>
      <c r="GD212" s="17"/>
      <c r="GE212" s="17"/>
      <c r="GF212" s="17"/>
      <c r="GG212" s="17"/>
      <c r="GH212" s="17"/>
      <c r="GI212" s="17"/>
      <c r="GJ212" s="17"/>
      <c r="GK212" s="17"/>
      <c r="GL212" s="17"/>
      <c r="GM212" s="17"/>
      <c r="GN212" s="17"/>
      <c r="GO212" s="17"/>
      <c r="GP212" s="17"/>
      <c r="GQ212" s="17"/>
      <c r="GR212" s="17"/>
      <c r="GS212" s="17"/>
      <c r="GT212" s="17"/>
      <c r="GU212" s="17"/>
      <c r="GV212" s="17"/>
      <c r="GW212" s="17"/>
      <c r="GX212" s="17"/>
      <c r="GY212" s="17"/>
    </row>
    <row r="213" spans="1:207" x14ac:dyDescent="0.25">
      <c r="A213" s="18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  <c r="EW213" s="17"/>
      <c r="EX213" s="17"/>
      <c r="EY213" s="17"/>
      <c r="EZ213" s="17"/>
      <c r="FA213" s="17"/>
      <c r="FB213" s="17"/>
      <c r="FC213" s="17"/>
      <c r="FD213" s="17"/>
      <c r="FE213" s="17"/>
      <c r="FF213" s="17"/>
      <c r="FG213" s="17"/>
      <c r="FH213" s="17"/>
      <c r="FI213" s="17"/>
      <c r="FJ213" s="17"/>
      <c r="FK213" s="17"/>
      <c r="FL213" s="17"/>
      <c r="FM213" s="17"/>
      <c r="FN213" s="17"/>
      <c r="FO213" s="17"/>
      <c r="FP213" s="17"/>
      <c r="FQ213" s="17"/>
      <c r="FR213" s="17"/>
      <c r="FS213" s="17"/>
      <c r="FT213" s="17"/>
      <c r="FU213" s="17"/>
      <c r="FV213" s="17"/>
      <c r="FW213" s="17"/>
      <c r="FX213" s="17"/>
      <c r="FY213" s="17"/>
      <c r="FZ213" s="17"/>
      <c r="GA213" s="17"/>
      <c r="GB213" s="17"/>
      <c r="GC213" s="17"/>
      <c r="GD213" s="17"/>
      <c r="GE213" s="17"/>
      <c r="GF213" s="17"/>
      <c r="GG213" s="17"/>
      <c r="GH213" s="17"/>
      <c r="GI213" s="17"/>
      <c r="GJ213" s="17"/>
      <c r="GK213" s="17"/>
      <c r="GL213" s="17"/>
      <c r="GM213" s="17"/>
      <c r="GN213" s="17"/>
      <c r="GO213" s="17"/>
      <c r="GP213" s="17"/>
      <c r="GQ213" s="17"/>
      <c r="GR213" s="17"/>
      <c r="GS213" s="17"/>
      <c r="GT213" s="17"/>
      <c r="GU213" s="17"/>
      <c r="GV213" s="17"/>
      <c r="GW213" s="17"/>
      <c r="GX213" s="17"/>
      <c r="GY213" s="17"/>
    </row>
    <row r="214" spans="1:207" x14ac:dyDescent="0.25">
      <c r="A214" s="18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  <c r="EW214" s="17"/>
      <c r="EX214" s="17"/>
      <c r="EY214" s="17"/>
      <c r="EZ214" s="17"/>
      <c r="FA214" s="17"/>
      <c r="FB214" s="17"/>
      <c r="FC214" s="17"/>
      <c r="FD214" s="17"/>
      <c r="FE214" s="17"/>
      <c r="FF214" s="17"/>
      <c r="FG214" s="17"/>
      <c r="FH214" s="17"/>
      <c r="FI214" s="17"/>
      <c r="FJ214" s="17"/>
      <c r="FK214" s="17"/>
      <c r="FL214" s="17"/>
      <c r="FM214" s="17"/>
      <c r="FN214" s="17"/>
      <c r="FO214" s="17"/>
      <c r="FP214" s="17"/>
      <c r="FQ214" s="17"/>
      <c r="FR214" s="17"/>
      <c r="FS214" s="17"/>
      <c r="FT214" s="17"/>
      <c r="FU214" s="17"/>
      <c r="FV214" s="17"/>
      <c r="FW214" s="17"/>
      <c r="FX214" s="17"/>
      <c r="FY214" s="17"/>
      <c r="FZ214" s="17"/>
      <c r="GA214" s="17"/>
      <c r="GB214" s="17"/>
      <c r="GC214" s="17"/>
      <c r="GD214" s="17"/>
      <c r="GE214" s="17"/>
      <c r="GF214" s="17"/>
      <c r="GG214" s="17"/>
      <c r="GH214" s="17"/>
      <c r="GI214" s="17"/>
      <c r="GJ214" s="17"/>
      <c r="GK214" s="17"/>
      <c r="GL214" s="17"/>
      <c r="GM214" s="17"/>
      <c r="GN214" s="17"/>
      <c r="GO214" s="17"/>
      <c r="GP214" s="17"/>
      <c r="GQ214" s="17"/>
      <c r="GR214" s="17"/>
      <c r="GS214" s="17"/>
      <c r="GT214" s="17"/>
      <c r="GU214" s="17"/>
      <c r="GV214" s="17"/>
      <c r="GW214" s="17"/>
      <c r="GX214" s="17"/>
      <c r="GY214" s="17"/>
    </row>
    <row r="215" spans="1:207" x14ac:dyDescent="0.25">
      <c r="A215" s="18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  <c r="EW215" s="17"/>
      <c r="EX215" s="17"/>
      <c r="EY215" s="17"/>
      <c r="EZ215" s="17"/>
      <c r="FA215" s="17"/>
      <c r="FB215" s="17"/>
      <c r="FC215" s="17"/>
      <c r="FD215" s="17"/>
      <c r="FE215" s="17"/>
      <c r="FF215" s="17"/>
      <c r="FG215" s="17"/>
      <c r="FH215" s="17"/>
      <c r="FI215" s="17"/>
      <c r="FJ215" s="17"/>
      <c r="FK215" s="17"/>
      <c r="FL215" s="17"/>
      <c r="FM215" s="17"/>
      <c r="FN215" s="17"/>
      <c r="FO215" s="17"/>
      <c r="FP215" s="17"/>
      <c r="FQ215" s="17"/>
      <c r="FR215" s="17"/>
      <c r="FS215" s="17"/>
      <c r="FT215" s="17"/>
      <c r="FU215" s="17"/>
      <c r="FV215" s="17"/>
      <c r="FW215" s="17"/>
      <c r="FX215" s="17"/>
      <c r="FY215" s="17"/>
      <c r="FZ215" s="17"/>
      <c r="GA215" s="17"/>
      <c r="GB215" s="17"/>
      <c r="GC215" s="17"/>
      <c r="GD215" s="17"/>
      <c r="GE215" s="17"/>
      <c r="GF215" s="17"/>
      <c r="GG215" s="17"/>
      <c r="GH215" s="17"/>
      <c r="GI215" s="17"/>
      <c r="GJ215" s="17"/>
      <c r="GK215" s="17"/>
      <c r="GL215" s="17"/>
      <c r="GM215" s="17"/>
      <c r="GN215" s="17"/>
      <c r="GO215" s="17"/>
      <c r="GP215" s="17"/>
      <c r="GQ215" s="17"/>
      <c r="GR215" s="17"/>
      <c r="GS215" s="17"/>
      <c r="GT215" s="17"/>
      <c r="GU215" s="17"/>
      <c r="GV215" s="17"/>
      <c r="GW215" s="17"/>
      <c r="GX215" s="17"/>
      <c r="GY215" s="17"/>
    </row>
    <row r="216" spans="1:207" x14ac:dyDescent="0.25">
      <c r="A216" s="18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  <c r="EW216" s="17"/>
      <c r="EX216" s="17"/>
      <c r="EY216" s="17"/>
      <c r="EZ216" s="17"/>
      <c r="FA216" s="17"/>
      <c r="FB216" s="17"/>
      <c r="FC216" s="17"/>
      <c r="FD216" s="17"/>
      <c r="FE216" s="17"/>
      <c r="FF216" s="17"/>
      <c r="FG216" s="17"/>
      <c r="FH216" s="17"/>
      <c r="FI216" s="17"/>
      <c r="FJ216" s="17"/>
      <c r="FK216" s="17"/>
      <c r="FL216" s="17"/>
      <c r="FM216" s="17"/>
      <c r="FN216" s="17"/>
      <c r="FO216" s="17"/>
      <c r="FP216" s="17"/>
      <c r="FQ216" s="17"/>
      <c r="FR216" s="17"/>
      <c r="FS216" s="17"/>
      <c r="FT216" s="17"/>
      <c r="FU216" s="17"/>
      <c r="FV216" s="17"/>
      <c r="FW216" s="17"/>
      <c r="FX216" s="17"/>
      <c r="FY216" s="17"/>
      <c r="FZ216" s="17"/>
      <c r="GA216" s="17"/>
      <c r="GB216" s="17"/>
      <c r="GC216" s="17"/>
      <c r="GD216" s="17"/>
      <c r="GE216" s="17"/>
      <c r="GF216" s="17"/>
      <c r="GG216" s="17"/>
      <c r="GH216" s="17"/>
      <c r="GI216" s="17"/>
      <c r="GJ216" s="17"/>
      <c r="GK216" s="17"/>
      <c r="GL216" s="17"/>
      <c r="GM216" s="17"/>
      <c r="GN216" s="17"/>
      <c r="GO216" s="17"/>
      <c r="GP216" s="17"/>
      <c r="GQ216" s="17"/>
      <c r="GR216" s="17"/>
      <c r="GS216" s="17"/>
      <c r="GT216" s="17"/>
      <c r="GU216" s="17"/>
      <c r="GV216" s="17"/>
      <c r="GW216" s="17"/>
      <c r="GX216" s="17"/>
      <c r="GY216" s="17"/>
    </row>
    <row r="217" spans="1:207" x14ac:dyDescent="0.25">
      <c r="A217" s="18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  <c r="EW217" s="17"/>
      <c r="EX217" s="17"/>
      <c r="EY217" s="17"/>
      <c r="EZ217" s="17"/>
      <c r="FA217" s="17"/>
      <c r="FB217" s="17"/>
      <c r="FC217" s="17"/>
      <c r="FD217" s="17"/>
      <c r="FE217" s="17"/>
      <c r="FF217" s="17"/>
      <c r="FG217" s="17"/>
      <c r="FH217" s="17"/>
      <c r="FI217" s="17"/>
      <c r="FJ217" s="17"/>
      <c r="FK217" s="17"/>
      <c r="FL217" s="17"/>
      <c r="FM217" s="17"/>
      <c r="FN217" s="17"/>
      <c r="FO217" s="17"/>
      <c r="FP217" s="17"/>
      <c r="FQ217" s="17"/>
      <c r="FR217" s="17"/>
      <c r="FS217" s="17"/>
      <c r="FT217" s="17"/>
      <c r="FU217" s="17"/>
      <c r="FV217" s="17"/>
      <c r="FW217" s="17"/>
      <c r="FX217" s="17"/>
      <c r="FY217" s="17"/>
      <c r="FZ217" s="17"/>
      <c r="GA217" s="17"/>
      <c r="GB217" s="17"/>
      <c r="GC217" s="17"/>
      <c r="GD217" s="17"/>
      <c r="GE217" s="17"/>
      <c r="GF217" s="17"/>
      <c r="GG217" s="17"/>
      <c r="GH217" s="17"/>
      <c r="GI217" s="17"/>
      <c r="GJ217" s="17"/>
      <c r="GK217" s="17"/>
      <c r="GL217" s="17"/>
      <c r="GM217" s="17"/>
      <c r="GN217" s="17"/>
      <c r="GO217" s="17"/>
      <c r="GP217" s="17"/>
      <c r="GQ217" s="17"/>
      <c r="GR217" s="17"/>
      <c r="GS217" s="17"/>
      <c r="GT217" s="17"/>
      <c r="GU217" s="17"/>
      <c r="GV217" s="17"/>
      <c r="GW217" s="17"/>
      <c r="GX217" s="17"/>
      <c r="GY217" s="17"/>
    </row>
    <row r="218" spans="1:207" x14ac:dyDescent="0.25">
      <c r="A218" s="18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  <c r="EW218" s="17"/>
      <c r="EX218" s="17"/>
      <c r="EY218" s="17"/>
      <c r="EZ218" s="17"/>
      <c r="FA218" s="17"/>
      <c r="FB218" s="17"/>
      <c r="FC218" s="17"/>
      <c r="FD218" s="17"/>
      <c r="FE218" s="17"/>
      <c r="FF218" s="17"/>
      <c r="FG218" s="17"/>
      <c r="FH218" s="17"/>
      <c r="FI218" s="17"/>
      <c r="FJ218" s="17"/>
      <c r="FK218" s="17"/>
      <c r="FL218" s="17"/>
      <c r="FM218" s="17"/>
      <c r="FN218" s="17"/>
      <c r="FO218" s="17"/>
      <c r="FP218" s="17"/>
      <c r="FQ218" s="17"/>
      <c r="FR218" s="17"/>
      <c r="FS218" s="17"/>
      <c r="FT218" s="17"/>
      <c r="FU218" s="17"/>
      <c r="FV218" s="17"/>
      <c r="FW218" s="17"/>
      <c r="FX218" s="17"/>
      <c r="FY218" s="17"/>
      <c r="FZ218" s="17"/>
      <c r="GA218" s="17"/>
      <c r="GB218" s="17"/>
      <c r="GC218" s="17"/>
      <c r="GD218" s="17"/>
      <c r="GE218" s="17"/>
      <c r="GF218" s="17"/>
      <c r="GG218" s="17"/>
      <c r="GH218" s="17"/>
      <c r="GI218" s="17"/>
      <c r="GJ218" s="17"/>
      <c r="GK218" s="17"/>
      <c r="GL218" s="17"/>
      <c r="GM218" s="17"/>
      <c r="GN218" s="17"/>
      <c r="GO218" s="17"/>
      <c r="GP218" s="17"/>
      <c r="GQ218" s="17"/>
      <c r="GR218" s="17"/>
      <c r="GS218" s="17"/>
      <c r="GT218" s="17"/>
      <c r="GU218" s="17"/>
      <c r="GV218" s="17"/>
      <c r="GW218" s="17"/>
      <c r="GX218" s="17"/>
      <c r="GY218" s="17"/>
    </row>
    <row r="219" spans="1:207" x14ac:dyDescent="0.25">
      <c r="A219" s="18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  <c r="EW219" s="17"/>
      <c r="EX219" s="17"/>
      <c r="EY219" s="17"/>
      <c r="EZ219" s="17"/>
      <c r="FA219" s="17"/>
      <c r="FB219" s="17"/>
      <c r="FC219" s="17"/>
      <c r="FD219" s="17"/>
      <c r="FE219" s="17"/>
      <c r="FF219" s="17"/>
      <c r="FG219" s="17"/>
      <c r="FH219" s="17"/>
      <c r="FI219" s="17"/>
      <c r="FJ219" s="17"/>
      <c r="FK219" s="17"/>
      <c r="FL219" s="17"/>
      <c r="FM219" s="17"/>
      <c r="FN219" s="17"/>
      <c r="FO219" s="17"/>
      <c r="FP219" s="17"/>
      <c r="FQ219" s="17"/>
      <c r="FR219" s="17"/>
      <c r="FS219" s="17"/>
      <c r="FT219" s="17"/>
      <c r="FU219" s="17"/>
      <c r="FV219" s="17"/>
      <c r="FW219" s="17"/>
      <c r="FX219" s="17"/>
      <c r="FY219" s="17"/>
      <c r="FZ219" s="17"/>
      <c r="GA219" s="17"/>
      <c r="GB219" s="17"/>
      <c r="GC219" s="17"/>
      <c r="GD219" s="17"/>
      <c r="GE219" s="17"/>
      <c r="GF219" s="17"/>
      <c r="GG219" s="17"/>
      <c r="GH219" s="17"/>
      <c r="GI219" s="17"/>
      <c r="GJ219" s="17"/>
      <c r="GK219" s="17"/>
      <c r="GL219" s="17"/>
      <c r="GM219" s="17"/>
      <c r="GN219" s="17"/>
      <c r="GO219" s="17"/>
      <c r="GP219" s="17"/>
      <c r="GQ219" s="17"/>
      <c r="GR219" s="17"/>
      <c r="GS219" s="17"/>
      <c r="GT219" s="17"/>
      <c r="GU219" s="17"/>
      <c r="GV219" s="17"/>
      <c r="GW219" s="17"/>
      <c r="GX219" s="17"/>
      <c r="GY219" s="17"/>
    </row>
    <row r="220" spans="1:207" x14ac:dyDescent="0.25">
      <c r="A220" s="18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  <c r="EW220" s="17"/>
      <c r="EX220" s="17"/>
      <c r="EY220" s="17"/>
      <c r="EZ220" s="17"/>
      <c r="FA220" s="17"/>
      <c r="FB220" s="17"/>
      <c r="FC220" s="17"/>
      <c r="FD220" s="17"/>
      <c r="FE220" s="17"/>
      <c r="FF220" s="17"/>
      <c r="FG220" s="17"/>
      <c r="FH220" s="17"/>
      <c r="FI220" s="17"/>
      <c r="FJ220" s="17"/>
      <c r="FK220" s="17"/>
      <c r="FL220" s="17"/>
      <c r="FM220" s="17"/>
      <c r="FN220" s="17"/>
      <c r="FO220" s="17"/>
      <c r="FP220" s="17"/>
      <c r="FQ220" s="17"/>
      <c r="FR220" s="17"/>
      <c r="FS220" s="17"/>
      <c r="FT220" s="17"/>
      <c r="FU220" s="17"/>
      <c r="FV220" s="17"/>
      <c r="FW220" s="17"/>
      <c r="FX220" s="17"/>
      <c r="FY220" s="17"/>
      <c r="FZ220" s="17"/>
      <c r="GA220" s="17"/>
      <c r="GB220" s="17"/>
      <c r="GC220" s="17"/>
      <c r="GD220" s="17"/>
      <c r="GE220" s="17"/>
      <c r="GF220" s="17"/>
      <c r="GG220" s="17"/>
      <c r="GH220" s="17"/>
      <c r="GI220" s="17"/>
      <c r="GJ220" s="17"/>
      <c r="GK220" s="17"/>
      <c r="GL220" s="17"/>
      <c r="GM220" s="17"/>
      <c r="GN220" s="17"/>
      <c r="GO220" s="17"/>
      <c r="GP220" s="17"/>
      <c r="GQ220" s="17"/>
      <c r="GR220" s="17"/>
      <c r="GS220" s="17"/>
      <c r="GT220" s="17"/>
      <c r="GU220" s="17"/>
      <c r="GV220" s="17"/>
      <c r="GW220" s="17"/>
      <c r="GX220" s="17"/>
      <c r="GY220" s="17"/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13EE-40EF-43FF-8012-A7DCA7F646CF}">
  <dimension ref="B2:O20"/>
  <sheetViews>
    <sheetView tabSelected="1" workbookViewId="0">
      <selection activeCell="E16" sqref="E16"/>
    </sheetView>
  </sheetViews>
  <sheetFormatPr defaultRowHeight="15" x14ac:dyDescent="0.25"/>
  <cols>
    <col min="2" max="2" width="4.42578125" customWidth="1"/>
    <col min="3" max="3" width="9.5703125" bestFit="1" customWidth="1"/>
    <col min="6" max="6" width="9.42578125" bestFit="1" customWidth="1"/>
    <col min="8" max="8" width="9.42578125" bestFit="1" customWidth="1"/>
    <col min="10" max="10" width="9.42578125" bestFit="1" customWidth="1"/>
  </cols>
  <sheetData>
    <row r="2" spans="2:15" ht="15.75" thickBot="1" x14ac:dyDescent="0.3">
      <c r="D2" t="s">
        <v>564</v>
      </c>
      <c r="E2" t="s">
        <v>565</v>
      </c>
      <c r="F2" t="s">
        <v>566</v>
      </c>
      <c r="G2" t="s">
        <v>567</v>
      </c>
      <c r="H2" t="s">
        <v>567</v>
      </c>
      <c r="I2" t="s">
        <v>567</v>
      </c>
      <c r="J2" t="s">
        <v>568</v>
      </c>
      <c r="K2" t="s">
        <v>569</v>
      </c>
      <c r="L2" t="s">
        <v>570</v>
      </c>
      <c r="M2" t="s">
        <v>571</v>
      </c>
      <c r="N2" t="s">
        <v>352</v>
      </c>
      <c r="O2" t="s">
        <v>572</v>
      </c>
    </row>
    <row r="3" spans="2:15" x14ac:dyDescent="0.25">
      <c r="B3" s="155"/>
      <c r="C3" s="157"/>
      <c r="D3" s="159">
        <v>1</v>
      </c>
      <c r="E3" s="159">
        <v>2</v>
      </c>
      <c r="F3" s="161">
        <v>3</v>
      </c>
      <c r="G3" s="163">
        <v>4.0999999999999996</v>
      </c>
      <c r="H3" s="151">
        <v>4.2</v>
      </c>
      <c r="I3" s="153">
        <v>4.3</v>
      </c>
      <c r="J3" s="31"/>
      <c r="K3" s="25"/>
      <c r="L3" s="53"/>
      <c r="M3" s="25"/>
      <c r="N3" s="53"/>
      <c r="O3" s="55"/>
    </row>
    <row r="4" spans="2:15" ht="15.75" thickBot="1" x14ac:dyDescent="0.3">
      <c r="B4" s="156"/>
      <c r="C4" s="158"/>
      <c r="D4" s="160"/>
      <c r="E4" s="160"/>
      <c r="F4" s="162"/>
      <c r="G4" s="164"/>
      <c r="H4" s="152"/>
      <c r="I4" s="154"/>
      <c r="J4" s="32">
        <v>5</v>
      </c>
      <c r="K4" s="23">
        <v>6</v>
      </c>
      <c r="L4" s="33">
        <v>7</v>
      </c>
      <c r="M4" s="23">
        <v>8</v>
      </c>
      <c r="N4" s="33">
        <v>9</v>
      </c>
      <c r="O4" s="34">
        <v>10</v>
      </c>
    </row>
    <row r="5" spans="2:15" ht="15.75" thickBot="1" x14ac:dyDescent="0.3">
      <c r="B5" s="35">
        <v>1</v>
      </c>
      <c r="C5" s="36" t="s">
        <v>406</v>
      </c>
      <c r="D5" s="37"/>
      <c r="E5" s="65">
        <f>SUM(SAM!BW8:EV80)</f>
        <v>10865.932713957018</v>
      </c>
      <c r="F5" s="39"/>
      <c r="G5" s="38"/>
      <c r="H5" s="40"/>
      <c r="I5" s="41"/>
      <c r="J5" s="42"/>
      <c r="K5" s="76"/>
      <c r="L5" s="37"/>
      <c r="M5" s="38"/>
      <c r="N5" s="37"/>
      <c r="O5" s="37">
        <f>SUM(D5:N5)</f>
        <v>10865.932713957018</v>
      </c>
    </row>
    <row r="6" spans="2:15" ht="15.75" thickBot="1" x14ac:dyDescent="0.3">
      <c r="B6" s="43">
        <v>2</v>
      </c>
      <c r="C6" s="44" t="s">
        <v>407</v>
      </c>
      <c r="D6" s="62">
        <f>SUM(SAM!B81:BV158)</f>
        <v>5362.1152505867231</v>
      </c>
      <c r="E6" s="46"/>
      <c r="F6" s="63"/>
      <c r="G6" s="46"/>
      <c r="H6" s="58"/>
      <c r="I6" s="56"/>
      <c r="J6" s="50"/>
      <c r="K6" s="77"/>
      <c r="L6" s="62"/>
      <c r="M6" s="77"/>
      <c r="N6" s="62"/>
      <c r="O6" s="54">
        <f t="shared" ref="O6:O16" si="0">SUM(D6:N6)</f>
        <v>5362.1152505867231</v>
      </c>
    </row>
    <row r="7" spans="2:15" ht="15.75" thickBot="1" x14ac:dyDescent="0.3">
      <c r="B7" s="51">
        <v>3</v>
      </c>
      <c r="C7" s="52" t="s">
        <v>524</v>
      </c>
      <c r="D7" s="33"/>
      <c r="E7" s="64"/>
      <c r="F7" s="28"/>
      <c r="G7" s="23"/>
      <c r="H7" s="26"/>
      <c r="I7" s="34"/>
      <c r="J7" s="32"/>
      <c r="K7" s="23"/>
      <c r="L7" s="33"/>
      <c r="M7" s="23"/>
      <c r="N7" s="33"/>
      <c r="O7" s="33">
        <f t="shared" si="0"/>
        <v>0</v>
      </c>
    </row>
    <row r="8" spans="2:15" x14ac:dyDescent="0.25">
      <c r="B8" s="21">
        <v>4.0999999999999996</v>
      </c>
      <c r="C8" s="22" t="s">
        <v>410</v>
      </c>
      <c r="D8" s="66"/>
      <c r="E8" s="25"/>
      <c r="F8" s="59"/>
      <c r="G8" s="25"/>
      <c r="H8" s="57"/>
      <c r="I8" s="55"/>
      <c r="J8" s="31"/>
      <c r="K8" s="25"/>
      <c r="L8" s="53"/>
      <c r="M8" s="25"/>
      <c r="N8" s="66"/>
      <c r="O8" s="53">
        <f t="shared" si="0"/>
        <v>0</v>
      </c>
    </row>
    <row r="9" spans="2:15" x14ac:dyDescent="0.25">
      <c r="B9" s="51">
        <v>4.2</v>
      </c>
      <c r="C9" s="52" t="s">
        <v>411</v>
      </c>
      <c r="D9" s="67"/>
      <c r="E9" s="23"/>
      <c r="F9" s="28"/>
      <c r="G9" s="23"/>
      <c r="H9" s="26"/>
      <c r="I9" s="34"/>
      <c r="J9" s="32"/>
      <c r="K9" s="23"/>
      <c r="L9" s="33"/>
      <c r="M9" s="23"/>
      <c r="N9" s="33"/>
      <c r="O9" s="33">
        <f t="shared" si="0"/>
        <v>0</v>
      </c>
    </row>
    <row r="10" spans="2:15" ht="15.75" thickBot="1" x14ac:dyDescent="0.3">
      <c r="B10" s="43">
        <v>4.3</v>
      </c>
      <c r="C10" s="44" t="s">
        <v>412</v>
      </c>
      <c r="D10" s="62"/>
      <c r="E10" s="46"/>
      <c r="F10" s="60"/>
      <c r="G10" s="46"/>
      <c r="H10" s="58"/>
      <c r="I10" s="56"/>
      <c r="J10" s="50"/>
      <c r="K10" s="46"/>
      <c r="L10" s="54"/>
      <c r="M10" s="46"/>
      <c r="N10" s="62"/>
      <c r="O10" s="54">
        <f t="shared" si="0"/>
        <v>0</v>
      </c>
    </row>
    <row r="11" spans="2:15" ht="15.75" thickBot="1" x14ac:dyDescent="0.3">
      <c r="B11" s="43">
        <v>5</v>
      </c>
      <c r="C11" s="44" t="s">
        <v>205</v>
      </c>
      <c r="D11" s="54"/>
      <c r="E11" s="46"/>
      <c r="F11" s="60"/>
      <c r="G11" s="46"/>
      <c r="H11" s="58"/>
      <c r="I11" s="73"/>
      <c r="J11" s="50"/>
      <c r="K11" s="46"/>
      <c r="L11" s="62"/>
      <c r="M11" s="46"/>
      <c r="N11" s="62"/>
      <c r="O11" s="54">
        <f t="shared" si="0"/>
        <v>0</v>
      </c>
    </row>
    <row r="12" spans="2:15" ht="15.75" thickBot="1" x14ac:dyDescent="0.3">
      <c r="B12" s="51">
        <v>6</v>
      </c>
      <c r="C12" s="52" t="s">
        <v>196</v>
      </c>
      <c r="D12" s="33"/>
      <c r="E12" s="33"/>
      <c r="F12" s="28"/>
      <c r="G12" s="70"/>
      <c r="H12" s="71"/>
      <c r="I12" s="72"/>
      <c r="J12" s="74"/>
      <c r="K12" s="23"/>
      <c r="L12" s="67"/>
      <c r="M12" s="23"/>
      <c r="N12" s="67"/>
      <c r="O12" s="33">
        <f t="shared" si="0"/>
        <v>0</v>
      </c>
    </row>
    <row r="13" spans="2:15" ht="15.75" thickBot="1" x14ac:dyDescent="0.3">
      <c r="B13" s="35">
        <v>7</v>
      </c>
      <c r="C13" s="36" t="s">
        <v>209</v>
      </c>
      <c r="D13" s="37"/>
      <c r="E13" s="68"/>
      <c r="F13" s="39"/>
      <c r="G13" s="38"/>
      <c r="H13" s="40"/>
      <c r="I13" s="69"/>
      <c r="J13" s="74"/>
      <c r="K13" s="76"/>
      <c r="L13" s="68"/>
      <c r="M13" s="38"/>
      <c r="N13" s="68"/>
      <c r="O13" s="37">
        <f t="shared" si="0"/>
        <v>0</v>
      </c>
    </row>
    <row r="14" spans="2:15" ht="15.75" thickBot="1" x14ac:dyDescent="0.3">
      <c r="B14" s="51">
        <v>8</v>
      </c>
      <c r="C14" s="52" t="s">
        <v>525</v>
      </c>
      <c r="D14" s="33"/>
      <c r="E14" s="33"/>
      <c r="F14" s="60"/>
      <c r="G14" s="23"/>
      <c r="H14" s="26"/>
      <c r="I14" s="34"/>
      <c r="J14" s="75"/>
      <c r="K14" s="70"/>
      <c r="L14" s="67"/>
      <c r="M14" s="23"/>
      <c r="N14" s="67"/>
      <c r="O14" s="33">
        <f t="shared" si="0"/>
        <v>0</v>
      </c>
    </row>
    <row r="15" spans="2:15" ht="15.75" thickBot="1" x14ac:dyDescent="0.3">
      <c r="B15" s="35">
        <v>9</v>
      </c>
      <c r="C15" s="36" t="s">
        <v>249</v>
      </c>
      <c r="D15" s="37"/>
      <c r="E15" s="69"/>
      <c r="F15" s="50"/>
      <c r="G15" s="76"/>
      <c r="H15" s="40"/>
      <c r="I15" s="69"/>
      <c r="J15" s="74"/>
      <c r="K15" s="76"/>
      <c r="L15" s="68"/>
      <c r="M15" s="38"/>
      <c r="N15" s="37"/>
      <c r="O15" s="37">
        <f t="shared" si="0"/>
        <v>0</v>
      </c>
    </row>
    <row r="16" spans="2:15" ht="15.75" thickBot="1" x14ac:dyDescent="0.3">
      <c r="B16" s="43">
        <v>10</v>
      </c>
      <c r="C16" s="44" t="s">
        <v>253</v>
      </c>
      <c r="D16" s="37">
        <f>SUM(D5:D15)</f>
        <v>5362.1152505867231</v>
      </c>
      <c r="E16" s="41">
        <f t="shared" ref="E16:N16" si="1">SUM(E5:E15)</f>
        <v>10865.932713957018</v>
      </c>
      <c r="F16" s="50">
        <f t="shared" si="1"/>
        <v>0</v>
      </c>
      <c r="G16" s="38">
        <f t="shared" si="1"/>
        <v>0</v>
      </c>
      <c r="H16" s="40">
        <f t="shared" si="1"/>
        <v>0</v>
      </c>
      <c r="I16" s="41">
        <f t="shared" si="1"/>
        <v>0</v>
      </c>
      <c r="J16" s="42">
        <f t="shared" si="1"/>
        <v>0</v>
      </c>
      <c r="K16" s="38">
        <f t="shared" si="1"/>
        <v>0</v>
      </c>
      <c r="L16" s="37">
        <f t="shared" si="1"/>
        <v>0</v>
      </c>
      <c r="M16" s="38">
        <f t="shared" si="1"/>
        <v>0</v>
      </c>
      <c r="N16" s="37">
        <f t="shared" si="1"/>
        <v>0</v>
      </c>
      <c r="O16" s="54">
        <f t="shared" si="0"/>
        <v>16228.047964543741</v>
      </c>
    </row>
    <row r="18" spans="4:15" s="61" customFormat="1" ht="12.75" x14ac:dyDescent="0.2">
      <c r="D18" s="61">
        <f t="array" ref="D18:O18">TRANSPOSE(O5:O16)</f>
        <v>10865.932713957018</v>
      </c>
      <c r="E18" s="61">
        <v>5362.1152505867231</v>
      </c>
      <c r="F18" s="61">
        <v>0</v>
      </c>
      <c r="G18" s="61">
        <v>0</v>
      </c>
      <c r="H18" s="61">
        <v>0</v>
      </c>
      <c r="I18" s="61">
        <v>0</v>
      </c>
      <c r="J18" s="61">
        <v>0</v>
      </c>
      <c r="K18" s="61">
        <v>0</v>
      </c>
      <c r="L18" s="61">
        <v>0</v>
      </c>
      <c r="M18" s="61">
        <v>0</v>
      </c>
      <c r="N18" s="61">
        <v>0</v>
      </c>
      <c r="O18" s="61">
        <v>16228.047964543741</v>
      </c>
    </row>
    <row r="20" spans="4:15" x14ac:dyDescent="0.25">
      <c r="D20">
        <f>D16-D18</f>
        <v>-5503.8174633702947</v>
      </c>
      <c r="E20">
        <f t="shared" ref="E20:O20" si="2">E16-E18</f>
        <v>5503.8174633702947</v>
      </c>
      <c r="F20">
        <f t="shared" si="2"/>
        <v>0</v>
      </c>
      <c r="G20">
        <f t="shared" si="2"/>
        <v>0</v>
      </c>
      <c r="H20">
        <f t="shared" si="2"/>
        <v>0</v>
      </c>
      <c r="I20">
        <f>I16-I18</f>
        <v>0</v>
      </c>
      <c r="J20">
        <f t="shared" si="2"/>
        <v>0</v>
      </c>
      <c r="K20">
        <f t="shared" si="2"/>
        <v>0</v>
      </c>
      <c r="L20">
        <f t="shared" si="2"/>
        <v>0</v>
      </c>
      <c r="M20">
        <f t="shared" si="2"/>
        <v>0</v>
      </c>
      <c r="N20">
        <f t="shared" si="2"/>
        <v>0</v>
      </c>
      <c r="O20">
        <f t="shared" si="2"/>
        <v>0</v>
      </c>
    </row>
  </sheetData>
  <mergeCells count="8">
    <mergeCell ref="H3:H4"/>
    <mergeCell ref="I3:I4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6C4D-59D2-492E-B489-D712E0F77BC1}">
  <dimension ref="B2:O20"/>
  <sheetViews>
    <sheetView workbookViewId="0">
      <selection activeCell="E5" sqref="E5"/>
    </sheetView>
  </sheetViews>
  <sheetFormatPr defaultRowHeight="15" x14ac:dyDescent="0.25"/>
  <cols>
    <col min="2" max="2" width="4.42578125" customWidth="1"/>
    <col min="3" max="3" width="9.5703125" bestFit="1" customWidth="1"/>
    <col min="6" max="6" width="9.42578125" bestFit="1" customWidth="1"/>
    <col min="8" max="8" width="9.42578125" bestFit="1" customWidth="1"/>
    <col min="10" max="10" width="9.42578125" bestFit="1" customWidth="1"/>
  </cols>
  <sheetData>
    <row r="2" spans="2:15" ht="15.75" thickBot="1" x14ac:dyDescent="0.3">
      <c r="D2" t="s">
        <v>564</v>
      </c>
      <c r="E2" t="s">
        <v>565</v>
      </c>
      <c r="F2" t="s">
        <v>566</v>
      </c>
      <c r="G2" t="s">
        <v>567</v>
      </c>
      <c r="H2" t="s">
        <v>567</v>
      </c>
      <c r="I2" t="s">
        <v>567</v>
      </c>
      <c r="J2" t="s">
        <v>568</v>
      </c>
      <c r="K2" t="s">
        <v>569</v>
      </c>
      <c r="L2" t="s">
        <v>570</v>
      </c>
      <c r="M2" t="s">
        <v>571</v>
      </c>
      <c r="N2" t="s">
        <v>352</v>
      </c>
      <c r="O2" t="s">
        <v>572</v>
      </c>
    </row>
    <row r="3" spans="2:15" x14ac:dyDescent="0.25">
      <c r="B3" s="155"/>
      <c r="C3" s="157"/>
      <c r="D3" s="159">
        <v>1</v>
      </c>
      <c r="E3" s="159">
        <v>2</v>
      </c>
      <c r="F3" s="161">
        <v>3</v>
      </c>
      <c r="G3" s="163">
        <v>4.0999999999999996</v>
      </c>
      <c r="H3" s="151">
        <v>4.2</v>
      </c>
      <c r="I3" s="153">
        <v>4.3</v>
      </c>
      <c r="J3" s="31"/>
      <c r="K3" s="25"/>
      <c r="L3" s="24"/>
      <c r="M3" s="25"/>
      <c r="N3" s="24"/>
      <c r="O3" s="30"/>
    </row>
    <row r="4" spans="2:15" ht="15.75" thickBot="1" x14ac:dyDescent="0.3">
      <c r="B4" s="156"/>
      <c r="C4" s="158"/>
      <c r="D4" s="160"/>
      <c r="E4" s="160"/>
      <c r="F4" s="162"/>
      <c r="G4" s="164"/>
      <c r="H4" s="152"/>
      <c r="I4" s="154"/>
      <c r="J4" s="32">
        <v>5</v>
      </c>
      <c r="K4" s="23">
        <v>6</v>
      </c>
      <c r="L4" s="33">
        <v>7</v>
      </c>
      <c r="M4" s="23">
        <v>8</v>
      </c>
      <c r="N4" s="33">
        <v>9</v>
      </c>
      <c r="O4" s="34">
        <v>10</v>
      </c>
    </row>
    <row r="5" spans="2:15" ht="15.75" thickBot="1" x14ac:dyDescent="0.3">
      <c r="B5" s="35">
        <v>1</v>
      </c>
      <c r="C5" s="36" t="s">
        <v>406</v>
      </c>
      <c r="D5" s="37"/>
      <c r="E5" s="65">
        <f>SUM(SAM!BW8:EV80)</f>
        <v>10865.932713957018</v>
      </c>
      <c r="F5" s="39"/>
      <c r="G5" s="38"/>
      <c r="H5" s="40"/>
      <c r="I5" s="41"/>
      <c r="J5" s="42"/>
      <c r="K5" s="76">
        <f>SUM(SAM!FL8:FZ80)</f>
        <v>499.79951748087541</v>
      </c>
      <c r="L5" s="37"/>
      <c r="M5" s="38"/>
      <c r="N5" s="37"/>
      <c r="O5" s="37">
        <f>SUM(D5:N5)</f>
        <v>11365.732231437893</v>
      </c>
    </row>
    <row r="6" spans="2:15" ht="15.75" thickBot="1" x14ac:dyDescent="0.3">
      <c r="B6" s="43">
        <v>2</v>
      </c>
      <c r="C6" s="44" t="s">
        <v>407</v>
      </c>
      <c r="D6" s="62">
        <f>SUM(SAM!B81:BV158)</f>
        <v>5362.1152505867231</v>
      </c>
      <c r="E6" s="46"/>
      <c r="F6" s="63">
        <f>SUM(SAM!EW81:EW158)</f>
        <v>1009.9683055588279</v>
      </c>
      <c r="G6" s="46"/>
      <c r="H6" s="48"/>
      <c r="I6" s="49"/>
      <c r="J6" s="50"/>
      <c r="K6" s="77">
        <f>SUM(SAM!FL81:FZ158)</f>
        <v>4389.7480496653125</v>
      </c>
      <c r="L6" s="62">
        <f>SUM(SAM!GA81:GA158)</f>
        <v>1072.2008064167735</v>
      </c>
      <c r="M6" s="77">
        <f>SUM(SAM!GF81:GG158)</f>
        <v>1715.7023742481213</v>
      </c>
      <c r="N6" s="62">
        <f>SUM(SAM!GH81:GH158)</f>
        <v>956.84900114618722</v>
      </c>
      <c r="O6" s="45">
        <f t="shared" ref="O6:O16" si="0">SUM(D6:N6)</f>
        <v>14506.583787621945</v>
      </c>
    </row>
    <row r="7" spans="2:15" ht="15.75" thickBot="1" x14ac:dyDescent="0.3">
      <c r="B7" s="51">
        <v>3</v>
      </c>
      <c r="C7" s="52" t="s">
        <v>524</v>
      </c>
      <c r="D7" s="33"/>
      <c r="E7" s="64">
        <f>SUM(SAM!BW159:EV159)</f>
        <v>1009.9683055588291</v>
      </c>
      <c r="F7" s="28"/>
      <c r="G7" s="23"/>
      <c r="H7" s="26"/>
      <c r="I7" s="34"/>
      <c r="J7" s="32"/>
      <c r="K7" s="23"/>
      <c r="L7" s="33"/>
      <c r="M7" s="23"/>
      <c r="N7" s="33"/>
      <c r="O7" s="33">
        <f t="shared" si="0"/>
        <v>1009.9683055588291</v>
      </c>
    </row>
    <row r="8" spans="2:15" x14ac:dyDescent="0.25">
      <c r="B8" s="21">
        <v>4.0999999999999996</v>
      </c>
      <c r="C8" s="22" t="s">
        <v>410</v>
      </c>
      <c r="D8" s="66">
        <f>SUM(SAM!B160:BV167)</f>
        <v>3419.5126220894335</v>
      </c>
      <c r="E8" s="25"/>
      <c r="F8" s="27"/>
      <c r="G8" s="25"/>
      <c r="H8" s="29"/>
      <c r="I8" s="30"/>
      <c r="J8" s="31"/>
      <c r="K8" s="25"/>
      <c r="L8" s="24"/>
      <c r="M8" s="25"/>
      <c r="N8" s="66">
        <f>SUM(SAM!GH160:GH167)</f>
        <v>4.0893736898277764</v>
      </c>
      <c r="O8" s="24">
        <f t="shared" si="0"/>
        <v>3423.6019957792614</v>
      </c>
    </row>
    <row r="9" spans="2:15" x14ac:dyDescent="0.25">
      <c r="B9" s="51">
        <v>4.2</v>
      </c>
      <c r="C9" s="52" t="s">
        <v>411</v>
      </c>
      <c r="D9" s="67">
        <f>SUM(SAM!B168:BV168)</f>
        <v>750.44467353892378</v>
      </c>
      <c r="E9" s="23"/>
      <c r="F9" s="28"/>
      <c r="G9" s="23"/>
      <c r="H9" s="26"/>
      <c r="I9" s="34"/>
      <c r="J9" s="32"/>
      <c r="K9" s="23"/>
      <c r="L9" s="33"/>
      <c r="M9" s="23"/>
      <c r="N9" s="33"/>
      <c r="O9" s="33">
        <f t="shared" si="0"/>
        <v>750.44467353892378</v>
      </c>
    </row>
    <row r="10" spans="2:15" ht="15.75" thickBot="1" x14ac:dyDescent="0.3">
      <c r="B10" s="43">
        <v>4.3</v>
      </c>
      <c r="C10" s="44" t="s">
        <v>412</v>
      </c>
      <c r="D10" s="62">
        <f>SUM(SAM!B169:BV172)</f>
        <v>1833.6596852228115</v>
      </c>
      <c r="E10" s="46"/>
      <c r="F10" s="47"/>
      <c r="G10" s="46"/>
      <c r="H10" s="48"/>
      <c r="I10" s="49"/>
      <c r="J10" s="50"/>
      <c r="K10" s="46"/>
      <c r="L10" s="45"/>
      <c r="M10" s="46"/>
      <c r="N10" s="62">
        <f>SUM(SAM!GH169:GH172)</f>
        <v>3.2746949802136052</v>
      </c>
      <c r="O10" s="45">
        <f t="shared" si="0"/>
        <v>1836.9343802030251</v>
      </c>
    </row>
    <row r="11" spans="2:15" ht="15.75" thickBot="1" x14ac:dyDescent="0.3">
      <c r="B11" s="43">
        <v>5</v>
      </c>
      <c r="C11" s="44" t="s">
        <v>205</v>
      </c>
      <c r="D11" s="45"/>
      <c r="E11" s="46"/>
      <c r="F11" s="47"/>
      <c r="G11" s="46"/>
      <c r="H11" s="48"/>
      <c r="I11" s="73">
        <f>SUM(SAM!FG173:FJ173)</f>
        <v>1336.737203367202</v>
      </c>
      <c r="J11" s="50"/>
      <c r="K11" s="46"/>
      <c r="L11" s="62">
        <f>SUM(SAM!GA173)</f>
        <v>144.656962129655</v>
      </c>
      <c r="M11" s="46"/>
      <c r="N11" s="62">
        <f>SUM(SAM!GH173)</f>
        <v>63.243464998488129</v>
      </c>
      <c r="O11" s="45">
        <f t="shared" si="0"/>
        <v>1544.6376304953453</v>
      </c>
    </row>
    <row r="12" spans="2:15" ht="15.75" thickBot="1" x14ac:dyDescent="0.3">
      <c r="B12" s="51">
        <v>6</v>
      </c>
      <c r="C12" s="52" t="s">
        <v>196</v>
      </c>
      <c r="D12" s="33"/>
      <c r="E12" s="33"/>
      <c r="F12" s="28"/>
      <c r="G12" s="70">
        <f>SUM(SAM!EX174:FE188)</f>
        <v>3365.3410176928137</v>
      </c>
      <c r="H12" s="71">
        <f>SUM(SAM!FF174:FF188)</f>
        <v>750.44467353892446</v>
      </c>
      <c r="I12" s="72">
        <f>SUM(SAM!FG174:FJ188)</f>
        <v>318.52875957822687</v>
      </c>
      <c r="J12" s="74">
        <f>SUM(SAM!FK174:FK188)</f>
        <v>1047.683461238041</v>
      </c>
      <c r="K12" s="23"/>
      <c r="L12" s="67">
        <f>SUM(SAM!GA174:GA188)</f>
        <v>120.21174278120286</v>
      </c>
      <c r="M12" s="23"/>
      <c r="N12" s="67">
        <f>SUM(SAM!GH174:GH188)</f>
        <v>85.608471458615384</v>
      </c>
      <c r="O12" s="33">
        <f t="shared" si="0"/>
        <v>5687.8181262878234</v>
      </c>
    </row>
    <row r="13" spans="2:15" ht="15.75" thickBot="1" x14ac:dyDescent="0.3">
      <c r="B13" s="35">
        <v>7</v>
      </c>
      <c r="C13" s="36" t="s">
        <v>209</v>
      </c>
      <c r="D13" s="37"/>
      <c r="E13" s="68">
        <f>SUM(SAM!BW189:EV193)</f>
        <v>432.66207897202196</v>
      </c>
      <c r="F13" s="39"/>
      <c r="G13" s="38"/>
      <c r="H13" s="40"/>
      <c r="I13" s="69">
        <f>SUM(SAM!FG189:FJ193)</f>
        <v>0.79905242463502946</v>
      </c>
      <c r="J13" s="74">
        <f>SUM(SAM!FK189:FK193)</f>
        <v>438.51298948934573</v>
      </c>
      <c r="K13" s="76">
        <f>SUM(SAM!FL189:FZ193)</f>
        <v>379.21767000430862</v>
      </c>
      <c r="L13" s="68">
        <f>SUM(SAM!GB189:GE189)</f>
        <v>1005.321524939696</v>
      </c>
      <c r="M13" s="38"/>
      <c r="N13" s="68">
        <f>SUM(SAM!GH189)</f>
        <v>448.86050921811744</v>
      </c>
      <c r="O13" s="37">
        <f t="shared" si="0"/>
        <v>2705.3738250481251</v>
      </c>
    </row>
    <row r="14" spans="2:15" ht="15.75" thickBot="1" x14ac:dyDescent="0.3">
      <c r="B14" s="51">
        <v>8</v>
      </c>
      <c r="C14" s="52" t="s">
        <v>525</v>
      </c>
      <c r="D14" s="33"/>
      <c r="E14" s="33"/>
      <c r="F14" s="47"/>
      <c r="G14" s="23"/>
      <c r="H14" s="26"/>
      <c r="I14" s="34"/>
      <c r="J14" s="75">
        <f>SAM!FK194</f>
        <v>53.357947862574434</v>
      </c>
      <c r="K14" s="70">
        <f>SUM(SAM!FL194:FZ194)</f>
        <v>371.94691734949174</v>
      </c>
      <c r="L14" s="67">
        <f>SUM(SAM!GA194)</f>
        <v>331.84624123337687</v>
      </c>
      <c r="M14" s="23"/>
      <c r="N14" s="67">
        <f>SUM(SAM!GH194)</f>
        <v>958.55126780267858</v>
      </c>
      <c r="O14" s="33">
        <f t="shared" si="0"/>
        <v>1715.7023742481215</v>
      </c>
    </row>
    <row r="15" spans="2:15" ht="15.75" thickBot="1" x14ac:dyDescent="0.3">
      <c r="B15" s="35">
        <v>9</v>
      </c>
      <c r="C15" s="36" t="s">
        <v>249</v>
      </c>
      <c r="D15" s="37"/>
      <c r="E15" s="69">
        <f>SUM(SAM!BW196:EV196)</f>
        <v>2198.0206891340863</v>
      </c>
      <c r="F15" s="50"/>
      <c r="G15" s="76">
        <f>SUM(SAM!EX196:FE196)</f>
        <v>58.260978086445881</v>
      </c>
      <c r="H15" s="40"/>
      <c r="I15" s="69">
        <f>SUM(SAM!FG196:FJ196)</f>
        <v>180.86936483296085</v>
      </c>
      <c r="J15" s="74">
        <f>SAM!FK196</f>
        <v>5.0832319053846957</v>
      </c>
      <c r="K15" s="76">
        <f>SUM(SAM!FL196:FZ196)</f>
        <v>47.105971787829162</v>
      </c>
      <c r="L15" s="68">
        <f>SUM(SAM!GA196)</f>
        <v>31.136547547421436</v>
      </c>
      <c r="M15" s="38"/>
      <c r="N15" s="37"/>
      <c r="O15" s="37">
        <f t="shared" si="0"/>
        <v>2520.4767832941284</v>
      </c>
    </row>
    <row r="16" spans="2:15" ht="15.75" thickBot="1" x14ac:dyDescent="0.3">
      <c r="B16" s="43">
        <v>10</v>
      </c>
      <c r="C16" s="44" t="s">
        <v>253</v>
      </c>
      <c r="D16" s="37">
        <f>SUM(D5:D15)</f>
        <v>11365.732231437893</v>
      </c>
      <c r="E16" s="41">
        <f t="shared" ref="E16:N16" si="1">SUM(E5:E15)</f>
        <v>14506.583787621954</v>
      </c>
      <c r="F16" s="50">
        <f t="shared" si="1"/>
        <v>1009.9683055588279</v>
      </c>
      <c r="G16" s="38">
        <f t="shared" si="1"/>
        <v>3423.6019957792596</v>
      </c>
      <c r="H16" s="40">
        <f t="shared" si="1"/>
        <v>750.44467353892446</v>
      </c>
      <c r="I16" s="41">
        <f t="shared" si="1"/>
        <v>1836.9343802030246</v>
      </c>
      <c r="J16" s="42">
        <f t="shared" si="1"/>
        <v>1544.637630495346</v>
      </c>
      <c r="K16" s="38">
        <f t="shared" si="1"/>
        <v>5687.818126287817</v>
      </c>
      <c r="L16" s="37">
        <f t="shared" si="1"/>
        <v>2705.373825048126</v>
      </c>
      <c r="M16" s="38">
        <f t="shared" si="1"/>
        <v>1715.7023742481213</v>
      </c>
      <c r="N16" s="37">
        <f t="shared" si="1"/>
        <v>2520.4767832941279</v>
      </c>
      <c r="O16" s="45">
        <f t="shared" si="0"/>
        <v>47067.27411351342</v>
      </c>
    </row>
    <row r="18" spans="4:15" s="61" customFormat="1" ht="12.75" x14ac:dyDescent="0.2">
      <c r="D18" s="61">
        <f t="array" ref="D18:O18">TRANSPOSE(O5:O16)</f>
        <v>11365.732231437893</v>
      </c>
      <c r="E18" s="61">
        <v>14506.583787621945</v>
      </c>
      <c r="F18" s="61">
        <v>1009.9683055588291</v>
      </c>
      <c r="G18" s="61">
        <v>3423.6019957792614</v>
      </c>
      <c r="H18" s="61">
        <v>750.44467353892378</v>
      </c>
      <c r="I18" s="61">
        <v>1836.9343802030251</v>
      </c>
      <c r="J18" s="61">
        <v>1544.6376304953453</v>
      </c>
      <c r="K18" s="61">
        <v>5687.8181262878234</v>
      </c>
      <c r="L18" s="61">
        <v>2705.3738250481251</v>
      </c>
      <c r="M18" s="61">
        <v>1715.7023742481215</v>
      </c>
      <c r="N18" s="61">
        <v>2520.4767832941284</v>
      </c>
      <c r="O18" s="61">
        <v>47067.27411351342</v>
      </c>
    </row>
    <row r="20" spans="4:15" x14ac:dyDescent="0.25">
      <c r="D20">
        <f>D16-D18</f>
        <v>0</v>
      </c>
      <c r="E20">
        <f t="shared" ref="E20:O20" si="2">E16-E18</f>
        <v>0</v>
      </c>
      <c r="F20">
        <f t="shared" si="2"/>
        <v>-1.2505552149377763E-12</v>
      </c>
      <c r="G20">
        <f t="shared" si="2"/>
        <v>0</v>
      </c>
      <c r="H20">
        <f t="shared" si="2"/>
        <v>0</v>
      </c>
      <c r="I20">
        <f>I16-I18</f>
        <v>0</v>
      </c>
      <c r="J20">
        <f t="shared" si="2"/>
        <v>0</v>
      </c>
      <c r="K20">
        <f t="shared" si="2"/>
        <v>0</v>
      </c>
      <c r="L20">
        <f t="shared" si="2"/>
        <v>0</v>
      </c>
      <c r="M20">
        <f t="shared" si="2"/>
        <v>0</v>
      </c>
      <c r="N20">
        <f t="shared" si="2"/>
        <v>0</v>
      </c>
      <c r="O20">
        <f t="shared" si="2"/>
        <v>0</v>
      </c>
    </row>
  </sheetData>
  <mergeCells count="8">
    <mergeCell ref="I3:I4"/>
    <mergeCell ref="H3:H4"/>
    <mergeCell ref="F3:F4"/>
    <mergeCell ref="B3:B4"/>
    <mergeCell ref="C3:C4"/>
    <mergeCell ref="D3:D4"/>
    <mergeCell ref="E3:E4"/>
    <mergeCell ref="G3:G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66860-1062-4666-A82C-023D5B558F79}">
  <dimension ref="A1:BW3"/>
  <sheetViews>
    <sheetView workbookViewId="0">
      <selection activeCell="C2" sqref="C2"/>
    </sheetView>
  </sheetViews>
  <sheetFormatPr defaultRowHeight="15" x14ac:dyDescent="0.25"/>
  <sheetData>
    <row r="1" spans="1:75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</row>
    <row r="2" spans="1:75" x14ac:dyDescent="0.25">
      <c r="A2" t="s">
        <v>575</v>
      </c>
      <c r="B2" t="s">
        <v>526</v>
      </c>
      <c r="C2" s="78">
        <f>SUM(SAM!B160:B172)/SUM(SAM!B197)</f>
        <v>0.85392780745948238</v>
      </c>
      <c r="D2" s="78">
        <f>SUM(SAM!C160:C172)/SUM(SAM!C197)</f>
        <v>0.95857449609174628</v>
      </c>
      <c r="E2" s="78">
        <f>SUM(SAM!D160:D172)/SUM(SAM!D197)</f>
        <v>0.79324747048133781</v>
      </c>
      <c r="F2" s="78">
        <f>SUM(SAM!E160:E172)/SUM(SAM!E197)</f>
        <v>0.81326347983799985</v>
      </c>
      <c r="G2" s="78">
        <f>SUM(SAM!F160:F172)/SUM(SAM!F197)</f>
        <v>0.92436699760886309</v>
      </c>
      <c r="H2" s="78">
        <f>SUM(SAM!G160:G172)/SUM(SAM!G197)</f>
        <v>0.66757252296689729</v>
      </c>
      <c r="I2" s="78">
        <f>SUM(SAM!H160:H172)/SUM(SAM!H197)</f>
        <v>0.94490689097370517</v>
      </c>
      <c r="J2" s="78">
        <f>SUM(SAM!I160:I172)/SUM(SAM!I197)</f>
        <v>0.92521003102198662</v>
      </c>
      <c r="K2" s="78">
        <f>SUM(SAM!J160:J172)/SUM(SAM!J197)</f>
        <v>0.88011670931667929</v>
      </c>
      <c r="L2" s="78">
        <f>SUM(SAM!K160:K172)/SUM(SAM!K197)</f>
        <v>0.85079135803688377</v>
      </c>
      <c r="M2" s="78">
        <f>SUM(SAM!L160:L172)/SUM(SAM!L197)</f>
        <v>0.92895821457904892</v>
      </c>
      <c r="N2" s="78">
        <f>SUM(SAM!M160:M172)/SUM(SAM!M197)</f>
        <v>0.83045604628853764</v>
      </c>
      <c r="O2" s="78">
        <f>SUM(SAM!N160:N172)/SUM(SAM!N197)</f>
        <v>0.80991859371575348</v>
      </c>
      <c r="P2" s="78">
        <f>SUM(SAM!O160:O172)/SUM(SAM!O197)</f>
        <v>0.84891014919335339</v>
      </c>
      <c r="Q2" s="78">
        <f>SUM(SAM!P160:P172)/SUM(SAM!P197)</f>
        <v>0.86692452827049449</v>
      </c>
      <c r="R2" s="78">
        <f>SUM(SAM!Q160:Q172)/SUM(SAM!Q197)</f>
        <v>0.94312082202022507</v>
      </c>
      <c r="S2" s="78">
        <f>SUM(SAM!R160:R172)/SUM(SAM!R197)</f>
        <v>0.86301575617525295</v>
      </c>
      <c r="T2" s="79">
        <f>SUM(SAM!S160:S172)/SUM(SAM!S197)</f>
        <v>0.65968184735801016</v>
      </c>
      <c r="U2" s="79">
        <f>SUM(SAM!T160:T172)/SUM(SAM!T197)</f>
        <v>0.80443105824138827</v>
      </c>
      <c r="V2" s="78">
        <f>SUM(SAM!U160:U172)/SUM(SAM!U197)</f>
        <v>0.71900309469568824</v>
      </c>
      <c r="W2" s="78">
        <f>SUM(SAM!V160:V172)/SUM(SAM!V197)</f>
        <v>0.63082139122470982</v>
      </c>
      <c r="X2" s="78">
        <f>SUM(SAM!W160:W172)/SUM(SAM!W197)</f>
        <v>0.67752373520134912</v>
      </c>
      <c r="Y2" s="78">
        <f>SUM(SAM!X160:X172)/SUM(SAM!X197)</f>
        <v>0.5945194909286724</v>
      </c>
      <c r="Z2" s="78">
        <f>SUM(SAM!Y160:Y172)/SUM(SAM!Y197)</f>
        <v>0.72007764891886528</v>
      </c>
      <c r="AA2" s="78">
        <f>SUM(SAM!Z160:Z172)/SUM(SAM!Z197)</f>
        <v>0.86203772291101033</v>
      </c>
      <c r="AB2" s="78">
        <f>SUM(SAM!AA160:AA172)/SUM(SAM!AA197)</f>
        <v>0.79979304513722371</v>
      </c>
      <c r="AC2" s="78">
        <f>SUM(SAM!AB160:AB172)/SUM(SAM!AB197)</f>
        <v>0.92906264448118236</v>
      </c>
      <c r="AD2" s="78">
        <f>SUM(SAM!AC160:AC172)/SUM(SAM!AC197)</f>
        <v>0.71104282962023146</v>
      </c>
      <c r="AE2" s="78">
        <f>SUM(SAM!AD160:AD172)/SUM(SAM!AD197)</f>
        <v>0.80858815976555287</v>
      </c>
      <c r="AF2" s="78">
        <f>SUM(SAM!AE160:AE172)/SUM(SAM!AE197)</f>
        <v>0.74889269002234682</v>
      </c>
      <c r="AG2" s="79">
        <f>SUM(SAM!AF160:AF172)/SUM(SAM!AF197)</f>
        <v>0.18994057092620437</v>
      </c>
      <c r="AH2" s="79">
        <f>SUM(SAM!AG160:AG172)/SUM(SAM!AG197)</f>
        <v>8.8510299606704645E-2</v>
      </c>
      <c r="AI2" s="79">
        <f>SUM(SAM!AH160:AH172)/SUM(SAM!AH197)</f>
        <v>0.10902080363878652</v>
      </c>
      <c r="AJ2" s="78">
        <f>SUM(SAM!AI160:AI172)/SUM(SAM!AI197)</f>
        <v>0.31468255266766892</v>
      </c>
      <c r="AK2" s="78">
        <f>SUM(SAM!AJ160:AJ172)/SUM(SAM!AJ197)</f>
        <v>0.31806416592239878</v>
      </c>
      <c r="AL2" s="78">
        <f>SUM(SAM!AK160:AK172)/SUM(SAM!AK197)</f>
        <v>0.26450210619317077</v>
      </c>
      <c r="AM2" s="79">
        <f>SUM(SAM!AL160:AL172)/SUM(SAM!AL197)</f>
        <v>0.12103631171429563</v>
      </c>
      <c r="AN2" s="78">
        <f>SUM(SAM!AM160:AM172)/SUM(SAM!AM197)</f>
        <v>0.19520638142083771</v>
      </c>
      <c r="AO2" s="78">
        <f>SUM(SAM!AN160:AN172)/SUM(SAM!AN197)</f>
        <v>0.32201131866608296</v>
      </c>
      <c r="AP2" s="78">
        <f>SUM(SAM!AO160:AO172)/SUM(SAM!AO197)</f>
        <v>0.21388086526615388</v>
      </c>
      <c r="AQ2" s="78">
        <f>SUM(SAM!AP160:AP172)/SUM(SAM!AP197)</f>
        <v>0.23020870792738071</v>
      </c>
      <c r="AR2" s="78">
        <f>SUM(SAM!AQ160:AQ172)/SUM(SAM!AQ197)</f>
        <v>0.36060318526927365</v>
      </c>
      <c r="AS2" s="78">
        <f>SUM(SAM!AR160:AR172)/SUM(SAM!AR197)</f>
        <v>0.2532821098577967</v>
      </c>
      <c r="AT2" s="78">
        <f>SUM(SAM!AS160:AS172)/SUM(SAM!AS197)</f>
        <v>0.65202316947591121</v>
      </c>
      <c r="AU2" s="78">
        <f>SUM(SAM!AT160:AT172)/SUM(SAM!AT197)</f>
        <v>0.44680514783815567</v>
      </c>
      <c r="AV2" s="78">
        <f>SUM(SAM!AU160:AU172)/SUM(SAM!AU197)</f>
        <v>0.41878072420564583</v>
      </c>
      <c r="AW2" s="78">
        <f>SUM(SAM!AV160:AV172)/SUM(SAM!AV197)</f>
        <v>0.49394455254965497</v>
      </c>
      <c r="AX2" s="78">
        <f>SUM(SAM!AW160:AW172)/SUM(SAM!AW197)</f>
        <v>0.33335953931173129</v>
      </c>
      <c r="AY2" s="79">
        <f>SUM(SAM!AX160:AX172)/SUM(SAM!AX197)</f>
        <v>0.15799861680896388</v>
      </c>
      <c r="AZ2" s="78">
        <f>SUM(SAM!AY160:AY172)/SUM(SAM!AY197)</f>
        <v>0.22542182601544994</v>
      </c>
      <c r="BA2" s="78">
        <f>SUM(SAM!AZ160:AZ172)/SUM(SAM!AZ197)</f>
        <v>0.21817590688666785</v>
      </c>
      <c r="BB2" s="78">
        <f>SUM(SAM!BA160:BA172)/SUM(SAM!BA197)</f>
        <v>0.23888518284419549</v>
      </c>
      <c r="BC2" s="78">
        <f>SUM(SAM!BB160:BB172)/SUM(SAM!BB197)</f>
        <v>0.41527654370857564</v>
      </c>
      <c r="BD2" s="78">
        <f>SUM(SAM!BC160:BC172)/SUM(SAM!BC197)</f>
        <v>0.26241234693135412</v>
      </c>
      <c r="BE2" s="78">
        <f>SUM(SAM!BD160:BD172)/SUM(SAM!BD197)</f>
        <v>0.62103458107719833</v>
      </c>
      <c r="BF2" s="78">
        <f>SUM(SAM!BE160:BE172)/SUM(SAM!BE197)</f>
        <v>0.27256974860619787</v>
      </c>
      <c r="BG2" s="78">
        <f>SUM(SAM!BF160:BF172)/SUM(SAM!BF197)</f>
        <v>0.41702105229015424</v>
      </c>
      <c r="BH2" s="78">
        <f>SUM(SAM!BG160:BG172)/SUM(SAM!BG197)</f>
        <v>0.17252461937997116</v>
      </c>
      <c r="BI2" s="79">
        <f>SUM(SAM!BH160:BH172)/SUM(SAM!BH197)</f>
        <v>0.27125099263793384</v>
      </c>
      <c r="BJ2" s="78">
        <f>SUM(SAM!BI160:BI172)/SUM(SAM!BI197)</f>
        <v>0.59436941130424958</v>
      </c>
      <c r="BK2" s="78">
        <f>SUM(SAM!BJ160:BJ172)/SUM(SAM!BJ197)</f>
        <v>0.32166661359434984</v>
      </c>
      <c r="BL2" s="78">
        <f>SUM(SAM!BK160:BK172)/SUM(SAM!BK197)</f>
        <v>0.42870742560198866</v>
      </c>
      <c r="BM2" s="78">
        <f>SUM(SAM!BL160:BL172)/SUM(SAM!BL197)</f>
        <v>0.44705997912936851</v>
      </c>
      <c r="BN2" s="79">
        <f>SUM(SAM!BM160:BM172)/SUM(SAM!BM197)</f>
        <v>0.29911919487572852</v>
      </c>
      <c r="BO2" s="78">
        <f>SUM(SAM!BN160:BN172)/SUM(SAM!BN197)</f>
        <v>0.34659453294111536</v>
      </c>
      <c r="BP2" s="78">
        <f>SUM(SAM!BO160:BO172)/SUM(SAM!BO197)</f>
        <v>0.29019929345750678</v>
      </c>
      <c r="BQ2" s="78">
        <f>SUM(SAM!BP160:BP172)/SUM(SAM!BP197)</f>
        <v>0.46969239433458276</v>
      </c>
      <c r="BR2" s="78">
        <f>SUM(SAM!BQ160:BQ172)/SUM(SAM!BQ197)</f>
        <v>0.81263692514020203</v>
      </c>
      <c r="BS2" s="78">
        <f>SUM(SAM!BR160:BR172)/SUM(SAM!BR197)</f>
        <v>0.66297239256179608</v>
      </c>
      <c r="BT2" s="78">
        <f>SUM(SAM!BS160:BS172)/SUM(SAM!BS197)</f>
        <v>0.43444669098725025</v>
      </c>
      <c r="BU2" s="78">
        <f>SUM(SAM!BT160:BT172)/SUM(SAM!BT197)</f>
        <v>0.38561228207646103</v>
      </c>
      <c r="BV2" s="78">
        <f>SUM(SAM!BU160:BU172)/SUM(SAM!BU197)</f>
        <v>0.44289463337987806</v>
      </c>
      <c r="BW2" s="78">
        <f>SUM(SAM!BV160:BV172)/SUM(SAM!BV197)</f>
        <v>0.73742672236418905</v>
      </c>
    </row>
    <row r="3" spans="1:75" x14ac:dyDescent="0.25">
      <c r="A3" t="s">
        <v>576</v>
      </c>
      <c r="B3" t="s">
        <v>573</v>
      </c>
      <c r="C3" s="78">
        <f>SUM(SAM!B160:B167)/SUM(SAM!B160:B172)</f>
        <v>0.36896182565376429</v>
      </c>
      <c r="D3" s="78">
        <f>SUM(SAM!C160:C167)/SUM(SAM!C160:C172)</f>
        <v>0.36073796239632944</v>
      </c>
      <c r="E3" s="78">
        <f>SUM(SAM!D160:D167)/SUM(SAM!D160:D172)</f>
        <v>0.42061346807292266</v>
      </c>
      <c r="F3" s="78">
        <f>SUM(SAM!E160:E167)/SUM(SAM!E160:E172)</f>
        <v>0.37351621890972669</v>
      </c>
      <c r="G3" s="78">
        <f>SUM(SAM!F160:F167)/SUM(SAM!F160:F172)</f>
        <v>0.28741861960513831</v>
      </c>
      <c r="H3" s="78">
        <f>SUM(SAM!G160:G167)/SUM(SAM!G160:G172)</f>
        <v>0.28890383339291281</v>
      </c>
      <c r="I3" s="78">
        <f>SUM(SAM!H160:H167)/SUM(SAM!H160:H172)</f>
        <v>0.35301527600255239</v>
      </c>
      <c r="J3" s="78">
        <f>SUM(SAM!I160:I167)/SUM(SAM!I160:I172)</f>
        <v>0.31592759861574526</v>
      </c>
      <c r="K3" s="78">
        <f>SUM(SAM!J160:J167)/SUM(SAM!J160:J172)</f>
        <v>0.34150666291418152</v>
      </c>
      <c r="L3" s="78">
        <f>SUM(SAM!K160:K167)/SUM(SAM!K160:K172)</f>
        <v>0.29242820160459049</v>
      </c>
      <c r="M3" s="78">
        <f>SUM(SAM!L160:L167)/SUM(SAM!L160:L172)</f>
        <v>0.31188124863275196</v>
      </c>
      <c r="N3" s="78">
        <f>SUM(SAM!M160:M167)/SUM(SAM!M160:M172)</f>
        <v>0.36011966721462829</v>
      </c>
      <c r="O3" s="78">
        <f>SUM(SAM!N160:N167)/SUM(SAM!N160:N172)</f>
        <v>0.35830030182079908</v>
      </c>
      <c r="P3" s="78">
        <f>SUM(SAM!O160:O167)/SUM(SAM!O160:O172)</f>
        <v>0.36016353103855425</v>
      </c>
      <c r="Q3" s="78">
        <f>SUM(SAM!P160:P167)/SUM(SAM!P160:P172)</f>
        <v>0.34613642525134852</v>
      </c>
      <c r="R3" s="78">
        <f>SUM(SAM!Q160:Q167)/SUM(SAM!Q160:Q172)</f>
        <v>0.31990225300165953</v>
      </c>
      <c r="S3" s="78">
        <f>SUM(SAM!R160:R167)/SUM(SAM!R160:R172)</f>
        <v>0.35127071846297331</v>
      </c>
      <c r="T3" s="78">
        <f>SUM(SAM!S160:S167)/SUM(SAM!S160:S172)</f>
        <v>0.39533667417965529</v>
      </c>
      <c r="U3" s="78">
        <f>SUM(SAM!T160:T167)/SUM(SAM!T160:T172)</f>
        <v>0.36675348116016326</v>
      </c>
      <c r="V3" s="78">
        <f>SUM(SAM!U160:U167)/SUM(SAM!U160:U172)</f>
        <v>0.37375305473459547</v>
      </c>
      <c r="W3" s="78">
        <f>SUM(SAM!V160:V167)/SUM(SAM!V160:V172)</f>
        <v>0.56725744663507793</v>
      </c>
      <c r="X3" s="78">
        <f>SUM(SAM!W160:W167)/SUM(SAM!W160:W172)</f>
        <v>0.64234276307081195</v>
      </c>
      <c r="Y3" s="78">
        <f>SUM(SAM!X160:X167)/SUM(SAM!X160:X172)</f>
        <v>0.56418193501270153</v>
      </c>
      <c r="Z3" s="78">
        <f>SUM(SAM!Y160:Y167)/SUM(SAM!Y160:Y172)</f>
        <v>0.59877241088288613</v>
      </c>
      <c r="AA3" s="78">
        <f>SUM(SAM!Z160:Z167)/SUM(SAM!Z160:Z172)</f>
        <v>0.62575026924209276</v>
      </c>
      <c r="AB3" s="78">
        <f>SUM(SAM!AA160:AA167)/SUM(SAM!AA160:AA172)</f>
        <v>0.58291393734031094</v>
      </c>
      <c r="AC3" s="78">
        <f>SUM(SAM!AB160:AB167)/SUM(SAM!AB160:AB172)</f>
        <v>0.66552655674476369</v>
      </c>
      <c r="AD3" s="78">
        <f>SUM(SAM!AC160:AC167)/SUM(SAM!AC160:AC172)</f>
        <v>0.57871714802955265</v>
      </c>
      <c r="AE3" s="78">
        <f>SUM(SAM!AD160:AD167)/SUM(SAM!AD160:AD172)</f>
        <v>0.69364103612474359</v>
      </c>
      <c r="AF3" s="78">
        <f>SUM(SAM!AE160:AE167)/SUM(SAM!AE160:AE172)</f>
        <v>0.48322008621298723</v>
      </c>
      <c r="AG3" s="78">
        <f>SUM(SAM!AF160:AF167)/SUM(SAM!AF160:AF172)</f>
        <v>0.57099894954287733</v>
      </c>
      <c r="AH3" s="78">
        <f>SUM(SAM!AG160:AG167)/SUM(SAM!AG160:AG172)</f>
        <v>0.56545539328463212</v>
      </c>
      <c r="AI3" s="78">
        <f>SUM(SAM!AH160:AH167)/SUM(SAM!AH160:AH172)</f>
        <v>0.56837768811000222</v>
      </c>
      <c r="AJ3" s="78">
        <f>SUM(SAM!AI160:AI167)/SUM(SAM!AI160:AI172)</f>
        <v>4.8126504929310504E-2</v>
      </c>
      <c r="AK3" s="78">
        <f>SUM(SAM!AJ160:AJ167)/SUM(SAM!AJ160:AJ172)</f>
        <v>0.70163898893723298</v>
      </c>
      <c r="AL3" s="78">
        <f>SUM(SAM!AK160:AK167)/SUM(SAM!AK160:AK172)</f>
        <v>0.70088695209764429</v>
      </c>
      <c r="AM3" s="78">
        <f>SUM(SAM!AL160:AL167)/SUM(SAM!AL160:AL172)</f>
        <v>0.6995644674311271</v>
      </c>
      <c r="AN3" s="78">
        <f>SUM(SAM!AM160:AM167)/SUM(SAM!AM160:AM172)</f>
        <v>0.69996222407289377</v>
      </c>
      <c r="AO3" s="78">
        <f>SUM(SAM!AN160:AN167)/SUM(SAM!AN160:AN172)</f>
        <v>0.5025933198046395</v>
      </c>
      <c r="AP3" s="78">
        <f>SUM(SAM!AO160:AO167)/SUM(SAM!AO160:AO172)</f>
        <v>0.58204991462207345</v>
      </c>
      <c r="AQ3" s="78">
        <f>SUM(SAM!AP160:AP167)/SUM(SAM!AP160:AP172)</f>
        <v>0.58688773652521709</v>
      </c>
      <c r="AR3" s="78">
        <f>SUM(SAM!AQ160:AQ167)/SUM(SAM!AQ160:AQ172)</f>
        <v>0.63662850788340075</v>
      </c>
      <c r="AS3" s="78">
        <f>SUM(SAM!AR160:AR167)/SUM(SAM!AR160:AR172)</f>
        <v>0.54614064751787483</v>
      </c>
      <c r="AT3" s="78">
        <f>SUM(SAM!AS160:AS167)/SUM(SAM!AS160:AS172)</f>
        <v>0.64171421867958511</v>
      </c>
      <c r="AU3" s="78">
        <f>SUM(SAM!AT160:AT167)/SUM(SAM!AT160:AT172)</f>
        <v>0.50772774784232322</v>
      </c>
      <c r="AV3" s="78">
        <f>SUM(SAM!AU160:AU167)/SUM(SAM!AU160:AU172)</f>
        <v>0.39130101422923802</v>
      </c>
      <c r="AW3" s="78">
        <f>SUM(SAM!AV160:AV167)/SUM(SAM!AV160:AV172)</f>
        <v>0.66486137068846696</v>
      </c>
      <c r="AX3" s="78">
        <f>SUM(SAM!AW160:AW167)/SUM(SAM!AW160:AW172)</f>
        <v>0.65274195591303652</v>
      </c>
      <c r="AY3" s="78">
        <f>SUM(SAM!AX160:AX167)/SUM(SAM!AX160:AX172)</f>
        <v>0.60550080182979138</v>
      </c>
      <c r="AZ3" s="78">
        <f>SUM(SAM!AY160:AY167)/SUM(SAM!AY160:AY172)</f>
        <v>0.34817637482392644</v>
      </c>
      <c r="BA3" s="78">
        <f>SUM(SAM!AZ160:AZ167)/SUM(SAM!AZ160:AZ172)</f>
        <v>0.34947568178746874</v>
      </c>
      <c r="BB3" s="78">
        <f>SUM(SAM!BA160:BA167)/SUM(SAM!BA160:BA172)</f>
        <v>0.34761054756486121</v>
      </c>
      <c r="BC3" s="78">
        <f>SUM(SAM!BB160:BB167)/SUM(SAM!BB160:BB172)</f>
        <v>0.3745341243008582</v>
      </c>
      <c r="BD3" s="78">
        <f>SUM(SAM!BC160:BC167)/SUM(SAM!BC160:BC172)</f>
        <v>0.26147439057838895</v>
      </c>
      <c r="BE3" s="78">
        <f>SUM(SAM!BD160:BD167)/SUM(SAM!BD160:BD172)</f>
        <v>0.58972735364308626</v>
      </c>
      <c r="BF3" s="78">
        <f>SUM(SAM!BE160:BE167)/SUM(SAM!BE160:BE172)</f>
        <v>0.1673683165673143</v>
      </c>
      <c r="BG3" s="78">
        <f>SUM(SAM!BF160:BF167)/SUM(SAM!BF160:BF172)</f>
        <v>0.28083423174952465</v>
      </c>
      <c r="BH3" s="78">
        <f>SUM(SAM!BG160:BG167)/SUM(SAM!BG160:BG172)</f>
        <v>0.60450859845044147</v>
      </c>
      <c r="BI3" s="78">
        <f>SUM(SAM!BH160:BH167)/SUM(SAM!BH160:BH172)</f>
        <v>0.50598434366034661</v>
      </c>
      <c r="BJ3" s="78">
        <f>SUM(SAM!BI160:BI167)/SUM(SAM!BI160:BI172)</f>
        <v>0.36809778201386567</v>
      </c>
      <c r="BK3" s="78">
        <f>SUM(SAM!BJ160:BJ167)/SUM(SAM!BJ160:BJ172)</f>
        <v>0.74920466929741214</v>
      </c>
      <c r="BL3" s="78">
        <f>SUM(SAM!BK160:BK167)/SUM(SAM!BK160:BK172)</f>
        <v>0.6970812552921053</v>
      </c>
      <c r="BM3" s="78">
        <f>SUM(SAM!BL160:BL167)/SUM(SAM!BL160:BL172)</f>
        <v>0.7320426668793486</v>
      </c>
      <c r="BN3" s="78">
        <f>SUM(SAM!BM160:BM167)/SUM(SAM!BM160:BM172)</f>
        <v>0.71170767124148882</v>
      </c>
      <c r="BO3" s="78">
        <f>SUM(SAM!BN160:BN167)/SUM(SAM!BN160:BN172)</f>
        <v>0.71339648760759944</v>
      </c>
      <c r="BP3" s="78">
        <f>SUM(SAM!BO160:BO167)/SUM(SAM!BO160:BO172)</f>
        <v>0.66529782553491545</v>
      </c>
      <c r="BQ3" s="78">
        <f>SUM(SAM!BP160:BP167)/SUM(SAM!BP160:BP172)</f>
        <v>0.70158395431225296</v>
      </c>
      <c r="BR3" s="78">
        <f>SUM(SAM!BQ160:BQ167)/SUM(SAM!BQ160:BQ172)</f>
        <v>4.5590694125474139E-2</v>
      </c>
      <c r="BS3" s="78">
        <f>SUM(SAM!BR160:BR167)/SUM(SAM!BR160:BR172)</f>
        <v>0.62513931793774591</v>
      </c>
      <c r="BT3" s="78">
        <f>SUM(SAM!BS160:BS167)/SUM(SAM!BS160:BS172)</f>
        <v>1</v>
      </c>
      <c r="BU3" s="78">
        <f>SUM(SAM!BT160:BT167)/SUM(SAM!BT160:BT172)</f>
        <v>0.84056326953709715</v>
      </c>
      <c r="BV3" s="78">
        <f>SUM(SAM!BU160:BU167)/SUM(SAM!BU160:BU172)</f>
        <v>0.82688671548856219</v>
      </c>
      <c r="BW3" s="78">
        <f>SUM(SAM!BV160:BV167)/SUM(SAM!BV160:BV172)</f>
        <v>0.92179279551052717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A0A6C-DBA7-4E0F-9D4C-4C1D94DB5E97}">
  <dimension ref="A2:R40"/>
  <sheetViews>
    <sheetView workbookViewId="0">
      <selection activeCell="F7" sqref="F7"/>
    </sheetView>
  </sheetViews>
  <sheetFormatPr defaultRowHeight="15" x14ac:dyDescent="0.25"/>
  <sheetData>
    <row r="2" spans="1:18" x14ac:dyDescent="0.25">
      <c r="A2" t="s">
        <v>574</v>
      </c>
      <c r="B2" s="18" t="s">
        <v>166</v>
      </c>
      <c r="C2" s="18" t="s">
        <v>167</v>
      </c>
      <c r="D2" s="18" t="s">
        <v>168</v>
      </c>
      <c r="E2" s="18" t="s">
        <v>169</v>
      </c>
      <c r="F2" s="18" t="s">
        <v>170</v>
      </c>
      <c r="G2" s="18" t="s">
        <v>171</v>
      </c>
      <c r="H2" s="18" t="s">
        <v>172</v>
      </c>
      <c r="I2" s="18" t="s">
        <v>173</v>
      </c>
      <c r="J2" s="18" t="s">
        <v>174</v>
      </c>
      <c r="K2" s="18" t="s">
        <v>175</v>
      </c>
      <c r="L2" s="18" t="s">
        <v>176</v>
      </c>
      <c r="M2" s="18" t="s">
        <v>177</v>
      </c>
      <c r="N2" s="18" t="s">
        <v>178</v>
      </c>
      <c r="O2" s="18" t="s">
        <v>179</v>
      </c>
      <c r="P2" s="18" t="s">
        <v>180</v>
      </c>
      <c r="Q2" s="18"/>
      <c r="R2" s="18" t="s">
        <v>253</v>
      </c>
    </row>
    <row r="3" spans="1:18" x14ac:dyDescent="0.25">
      <c r="A3" t="s">
        <v>527</v>
      </c>
      <c r="B3">
        <f>SUM(SAM!FL8:FL33,SAM!FL81:FL106,SAM!FL108:FL117,SAM!FL122:FL125,SAM!FL127)</f>
        <v>157.14994491349745</v>
      </c>
      <c r="C3">
        <f>SUM(SAM!FM8:FM33,SAM!FM81:FM106,SAM!FM108:FM117,SAM!FM122:FM125,SAM!FM127)</f>
        <v>232.43920230245112</v>
      </c>
      <c r="D3">
        <f>SUM(SAM!FN8:FN33,SAM!FN81:FN106,SAM!FN108:FN117,SAM!FN122:FN125,SAM!FN127)</f>
        <v>316.81529743983015</v>
      </c>
      <c r="E3">
        <f>SUM(SAM!FO8:FO33,SAM!FO81:FO106,SAM!FO108:FO117,SAM!FO122:FO125,SAM!FO127)</f>
        <v>435.41858442740249</v>
      </c>
      <c r="F3">
        <f>SUM(SAM!FP8:FP33,SAM!FP81:FP106,SAM!FP108:FP117,SAM!FP122:FP125,SAM!FP127)</f>
        <v>401.96432995068648</v>
      </c>
      <c r="G3">
        <f>SUM(SAM!FQ8:FQ33,SAM!FQ81:FQ106,SAM!FQ108:FQ117,SAM!FQ122:FQ125,SAM!FQ127)</f>
        <v>2.5549340233967439</v>
      </c>
      <c r="H3">
        <f>SUM(SAM!FR8:FR33,SAM!FR81:FR106,SAM!FR108:FR117,SAM!FR122:FR125,SAM!FR127)</f>
        <v>3.4470784980987363</v>
      </c>
      <c r="I3">
        <f>SUM(SAM!FS8:FS33,SAM!FS81:FS106,SAM!FS108:FS117,SAM!FS122:FS125,SAM!FS127)</f>
        <v>4.5315419193810014</v>
      </c>
      <c r="J3">
        <f>SUM(SAM!FT8:FT33,SAM!FT81:FT106,SAM!FT108:FT117,SAM!FT122:FT125,SAM!FT127)</f>
        <v>3.8657613603226619</v>
      </c>
      <c r="K3">
        <f>SUM(SAM!FU8:FU33,SAM!FU81:FU106,SAM!FU108:FU117,SAM!FU122:FU125,SAM!FU127)</f>
        <v>29.599711416898767</v>
      </c>
      <c r="L3">
        <f>SUM(SAM!FV8:FV33,SAM!FV81:FV106,SAM!FV108:FV117,SAM!FV122:FV125,SAM!FV127)</f>
        <v>6.2798201326368748</v>
      </c>
      <c r="M3">
        <f>SUM(SAM!FW8:FW33,SAM!FW81:FW106,SAM!FW108:FW117,SAM!FW122:FW125,SAM!FW127)</f>
        <v>15.552559429126919</v>
      </c>
      <c r="N3">
        <f>SUM(SAM!FX8:FX33,SAM!FX81:FX106,SAM!FX108:FX117,SAM!FX122:FX125,SAM!FX127)</f>
        <v>23.316809395334708</v>
      </c>
      <c r="O3">
        <f>SUM(SAM!FY8:FY33,SAM!FY81:FY106,SAM!FY108:FY117,SAM!FY122:FY125,SAM!FY127)</f>
        <v>56.826104931226702</v>
      </c>
      <c r="P3">
        <f>SUM(SAM!FZ8:FZ33,SAM!FZ81:FZ106,SAM!FZ108:FZ117,SAM!FZ122:FZ125,SAM!FZ127)</f>
        <v>514.05917125666531</v>
      </c>
      <c r="R3">
        <f>SUM(B3:P3)</f>
        <v>2203.8208513969562</v>
      </c>
    </row>
    <row r="4" spans="1:18" x14ac:dyDescent="0.25">
      <c r="A4" t="s">
        <v>253</v>
      </c>
      <c r="B4">
        <f>SUM(SAM!FL8:FL158)</f>
        <v>233.24389135912801</v>
      </c>
      <c r="C4">
        <f>SUM(SAM!FM8:FM158)</f>
        <v>353.83939098067606</v>
      </c>
      <c r="D4">
        <f>SUM(SAM!FN8:FN158)</f>
        <v>505.78976931679279</v>
      </c>
      <c r="E4">
        <f>SUM(SAM!FO8:FO158)</f>
        <v>749.3110256852766</v>
      </c>
      <c r="F4">
        <f>SUM(SAM!FP8:FP158)</f>
        <v>926.2508284284429</v>
      </c>
      <c r="G4">
        <f>SUM(SAM!FQ8:FQ158)</f>
        <v>4.2538866559205868</v>
      </c>
      <c r="H4">
        <f>SUM(SAM!FR8:FR158)</f>
        <v>5.4096952204353368</v>
      </c>
      <c r="I4">
        <f>SUM(SAM!FS8:FS158)</f>
        <v>7.6596073278043297</v>
      </c>
      <c r="J4">
        <f>SUM(SAM!FT8:FT158)</f>
        <v>7.6189589253626799</v>
      </c>
      <c r="K4">
        <f>SUM(SAM!FU8:FU158)</f>
        <v>78.151730311652159</v>
      </c>
      <c r="L4">
        <f>SUM(SAM!FV8:FV158)</f>
        <v>11.132190940545632</v>
      </c>
      <c r="M4">
        <f>SUM(SAM!FW8:FW158)</f>
        <v>30.906674807259371</v>
      </c>
      <c r="N4">
        <f>SUM(SAM!FX8:FX158)</f>
        <v>48.694593465159002</v>
      </c>
      <c r="O4">
        <f>SUM(SAM!FY8:FY158)</f>
        <v>122.02433020879373</v>
      </c>
      <c r="P4">
        <f>SUM(SAM!FZ8:FZ158)</f>
        <v>1805.2609935129399</v>
      </c>
      <c r="R4">
        <f>SUM(B4:P4)</f>
        <v>4889.5475671461891</v>
      </c>
    </row>
    <row r="6" spans="1:18" x14ac:dyDescent="0.25">
      <c r="B6">
        <f>B3/B4</f>
        <v>0.67375803069385454</v>
      </c>
      <c r="C6">
        <f t="shared" ref="C6:R6" si="0">C3/C4</f>
        <v>0.65690595289077114</v>
      </c>
      <c r="D6">
        <f t="shared" si="0"/>
        <v>0.62637743319279815</v>
      </c>
      <c r="E6">
        <f t="shared" si="0"/>
        <v>0.58109192244861707</v>
      </c>
      <c r="F6">
        <f t="shared" si="0"/>
        <v>0.43396919885372071</v>
      </c>
      <c r="G6">
        <f t="shared" si="0"/>
        <v>0.60061168292783973</v>
      </c>
      <c r="H6">
        <f t="shared" si="0"/>
        <v>0.63720382713563262</v>
      </c>
      <c r="I6">
        <f t="shared" si="0"/>
        <v>0.59161543476667933</v>
      </c>
      <c r="J6">
        <f t="shared" si="0"/>
        <v>0.50738708505882157</v>
      </c>
      <c r="K6">
        <f t="shared" si="0"/>
        <v>0.378746718708102</v>
      </c>
      <c r="L6">
        <f t="shared" si="0"/>
        <v>0.56411358430482295</v>
      </c>
      <c r="M6">
        <f t="shared" si="0"/>
        <v>0.50321037530294033</v>
      </c>
      <c r="N6">
        <f t="shared" si="0"/>
        <v>0.47883774637153287</v>
      </c>
      <c r="O6">
        <f t="shared" si="0"/>
        <v>0.46569487276834493</v>
      </c>
      <c r="P6">
        <f t="shared" si="0"/>
        <v>0.28475615055324166</v>
      </c>
      <c r="R6">
        <f t="shared" si="0"/>
        <v>0.45072081233136019</v>
      </c>
    </row>
    <row r="9" spans="1:18" x14ac:dyDescent="0.25">
      <c r="A9" t="s">
        <v>528</v>
      </c>
      <c r="B9" t="s">
        <v>529</v>
      </c>
    </row>
    <row r="12" spans="1:18" x14ac:dyDescent="0.25">
      <c r="A12" t="s">
        <v>530</v>
      </c>
      <c r="B12" s="18" t="s">
        <v>166</v>
      </c>
      <c r="C12" s="18" t="s">
        <v>167</v>
      </c>
      <c r="D12" s="18" t="s">
        <v>168</v>
      </c>
      <c r="E12" s="18" t="s">
        <v>169</v>
      </c>
      <c r="F12" s="18" t="s">
        <v>170</v>
      </c>
      <c r="G12" s="18" t="s">
        <v>171</v>
      </c>
      <c r="H12" s="18" t="s">
        <v>172</v>
      </c>
      <c r="I12" s="18" t="s">
        <v>173</v>
      </c>
      <c r="J12" s="18" t="s">
        <v>174</v>
      </c>
      <c r="K12" s="18" t="s">
        <v>175</v>
      </c>
      <c r="L12" s="18" t="s">
        <v>176</v>
      </c>
      <c r="M12" s="18" t="s">
        <v>177</v>
      </c>
      <c r="N12" s="18" t="s">
        <v>178</v>
      </c>
      <c r="O12" s="18" t="s">
        <v>179</v>
      </c>
      <c r="P12" s="18" t="s">
        <v>180</v>
      </c>
    </row>
    <row r="13" spans="1:18" x14ac:dyDescent="0.25">
      <c r="A13" t="s">
        <v>531</v>
      </c>
      <c r="B13" s="80">
        <f>SAM!FL190/SAM!FL197</f>
        <v>7.0172738547673542E-3</v>
      </c>
      <c r="C13" s="78">
        <f>SAM!FM190/SAM!FM197</f>
        <v>1.0073407992446146E-2</v>
      </c>
      <c r="D13" s="78">
        <f>SAM!FN190/SAM!FN197</f>
        <v>1.5845931613894887E-2</v>
      </c>
      <c r="E13" s="78">
        <f>SAM!FO190/SAM!FO197</f>
        <v>2.6330418730689711E-2</v>
      </c>
      <c r="F13" s="81">
        <f>SAM!FP190/SAM!FP197</f>
        <v>5.3980815998004111E-2</v>
      </c>
      <c r="G13" s="82">
        <f>SAM!FQ190/SAM!FQ197</f>
        <v>4.9322857817164396E-3</v>
      </c>
      <c r="H13" s="78">
        <f>SAM!FR190/SAM!FR197</f>
        <v>1.3827817857486656E-2</v>
      </c>
      <c r="I13" s="78">
        <f>SAM!FS190/SAM!FS197</f>
        <v>2.5426658610989181E-2</v>
      </c>
      <c r="J13" s="78">
        <f>SAM!FT190/SAM!FT197</f>
        <v>5.5738491024778437E-2</v>
      </c>
      <c r="K13" s="81">
        <f>SAM!FU190/SAM!FU197</f>
        <v>8.1646495884308556E-2</v>
      </c>
      <c r="L13" s="82">
        <f>SAM!FV190/SAM!FV197</f>
        <v>1.2225317030315581E-2</v>
      </c>
      <c r="M13" s="78">
        <f>SAM!FW190/SAM!FW197</f>
        <v>5.0094312988668718E-2</v>
      </c>
      <c r="N13" s="78">
        <f>SAM!FX190/SAM!FX197</f>
        <v>3.8407319920567069E-2</v>
      </c>
      <c r="O13" s="78">
        <f>SAM!FY190/SAM!FY197</f>
        <v>5.5408362145369004E-2</v>
      </c>
      <c r="P13" s="81">
        <f>SAM!FZ190/SAM!FZ197</f>
        <v>0.11447308434127194</v>
      </c>
    </row>
    <row r="16" spans="1:18" x14ac:dyDescent="0.25">
      <c r="A16" t="s">
        <v>532</v>
      </c>
      <c r="B16" t="s">
        <v>533</v>
      </c>
      <c r="C16" t="s">
        <v>534</v>
      </c>
      <c r="D16" t="s">
        <v>535</v>
      </c>
      <c r="F16" t="s">
        <v>536</v>
      </c>
    </row>
    <row r="17" spans="1:6" x14ac:dyDescent="0.25">
      <c r="A17" s="18" t="s">
        <v>166</v>
      </c>
      <c r="B17">
        <f>SUM(SAM!EX174:FE174)</f>
        <v>114.06585502237282</v>
      </c>
      <c r="C17">
        <f>SUM(SAM!FF174:FJ174)</f>
        <v>103.64441058698984</v>
      </c>
      <c r="D17">
        <f>SAM!GI174</f>
        <v>243.88066248322164</v>
      </c>
      <c r="F17" s="83">
        <f>B17/D17</f>
        <v>0.46771176468417314</v>
      </c>
    </row>
    <row r="18" spans="1:6" x14ac:dyDescent="0.25">
      <c r="A18" s="18" t="s">
        <v>167</v>
      </c>
      <c r="B18">
        <f>SUM(SAM!EX175:FE175)</f>
        <v>178.04849862328248</v>
      </c>
      <c r="C18">
        <f>SUM(SAM!FF175:FJ175)</f>
        <v>147.0160783174683</v>
      </c>
      <c r="D18">
        <f>SAM!GI175</f>
        <v>373.39196404852026</v>
      </c>
      <c r="F18" s="83">
        <f t="shared" ref="F18:F33" si="1">B18/D18</f>
        <v>0.47684073511594388</v>
      </c>
    </row>
    <row r="19" spans="1:6" x14ac:dyDescent="0.25">
      <c r="A19" s="18" t="s">
        <v>168</v>
      </c>
      <c r="B19">
        <f>SUM(SAM!EX176:FE176)</f>
        <v>274.58332332532336</v>
      </c>
      <c r="C19">
        <f>SUM(SAM!FF176:FJ176)</f>
        <v>194.73655008480301</v>
      </c>
      <c r="D19">
        <f>SAM!GI176</f>
        <v>542.3165872427785</v>
      </c>
      <c r="F19" s="83">
        <f t="shared" si="1"/>
        <v>0.50631555402232398</v>
      </c>
    </row>
    <row r="20" spans="1:6" x14ac:dyDescent="0.25">
      <c r="A20" s="18" t="s">
        <v>169</v>
      </c>
      <c r="B20">
        <f>SUM(SAM!EX177:FE177)</f>
        <v>408.41058018517776</v>
      </c>
      <c r="C20">
        <f>SUM(SAM!FF177:FJ177)</f>
        <v>293.81953524800275</v>
      </c>
      <c r="D20">
        <f>SAM!GI177</f>
        <v>822.91917300928287</v>
      </c>
      <c r="F20" s="83">
        <f t="shared" si="1"/>
        <v>0.49629488968118951</v>
      </c>
    </row>
    <row r="21" spans="1:6" x14ac:dyDescent="0.25">
      <c r="A21" s="18" t="s">
        <v>170</v>
      </c>
      <c r="B21">
        <f>SUM(SAM!EX178:FE178)</f>
        <v>640.44327235042147</v>
      </c>
      <c r="C21">
        <f>SUM(SAM!FF178:FJ178)</f>
        <v>220.75326936019351</v>
      </c>
      <c r="D21">
        <f>SAM!GI178</f>
        <v>1067.3042617318745</v>
      </c>
      <c r="F21" s="83">
        <f t="shared" si="1"/>
        <v>0.60005688660063838</v>
      </c>
    </row>
    <row r="22" spans="1:6" x14ac:dyDescent="0.25">
      <c r="A22" s="18" t="s">
        <v>171</v>
      </c>
      <c r="B22">
        <f>SUM(SAM!EX179:FE179)</f>
        <v>3.4652436566224742</v>
      </c>
      <c r="C22">
        <f>SUM(SAM!FF179:FJ179)</f>
        <v>0</v>
      </c>
      <c r="D22">
        <f>SAM!GI179</f>
        <v>4.5087249297565162</v>
      </c>
      <c r="F22" s="83">
        <f t="shared" si="1"/>
        <v>0.7685639977175559</v>
      </c>
    </row>
    <row r="23" spans="1:6" x14ac:dyDescent="0.25">
      <c r="A23" s="18" t="s">
        <v>172</v>
      </c>
      <c r="B23">
        <f>SUM(SAM!EX180:FE180)</f>
        <v>4.6776849757628378</v>
      </c>
      <c r="C23">
        <f>SUM(SAM!FF180:FJ180)</f>
        <v>0</v>
      </c>
      <c r="D23">
        <f>SAM!GI180</f>
        <v>5.7881134719368896</v>
      </c>
      <c r="F23" s="83">
        <f t="shared" si="1"/>
        <v>0.80815364080924512</v>
      </c>
    </row>
    <row r="24" spans="1:6" x14ac:dyDescent="0.25">
      <c r="A24" s="18" t="s">
        <v>173</v>
      </c>
      <c r="B24">
        <f>SUM(SAM!EX181:FE181)</f>
        <v>6.3952894130622484</v>
      </c>
      <c r="C24">
        <f>SUM(SAM!FF181:FJ181)</f>
        <v>0</v>
      </c>
      <c r="D24">
        <f>SAM!GI181</f>
        <v>8.3480571607156193</v>
      </c>
      <c r="F24" s="83">
        <f t="shared" si="1"/>
        <v>0.76608117193510283</v>
      </c>
    </row>
    <row r="25" spans="1:6" x14ac:dyDescent="0.25">
      <c r="A25" s="18" t="s">
        <v>174</v>
      </c>
      <c r="B25">
        <f>SUM(SAM!EX182:FE182)</f>
        <v>6.3597675263138163</v>
      </c>
      <c r="C25">
        <f>SUM(SAM!FF182:FJ182)</f>
        <v>0</v>
      </c>
      <c r="D25">
        <f>SAM!GI182</f>
        <v>8.595097508910623</v>
      </c>
      <c r="F25" s="83">
        <f t="shared" si="1"/>
        <v>0.73992965405227595</v>
      </c>
    </row>
    <row r="26" spans="1:6" x14ac:dyDescent="0.25">
      <c r="A26" s="18" t="s">
        <v>175</v>
      </c>
      <c r="B26">
        <f>SUM(SAM!EX183:FE183)</f>
        <v>73.716414442812095</v>
      </c>
      <c r="C26">
        <f>SUM(SAM!FF183:FJ183)</f>
        <v>0</v>
      </c>
      <c r="D26">
        <f>SAM!GI183</f>
        <v>92.518555698305747</v>
      </c>
      <c r="F26" s="83">
        <f t="shared" si="1"/>
        <v>0.79677437554466746</v>
      </c>
    </row>
    <row r="27" spans="1:6" x14ac:dyDescent="0.25">
      <c r="A27" s="18" t="s">
        <v>176</v>
      </c>
      <c r="B27">
        <f>SUM(SAM!EX184:FE184)</f>
        <v>6.6864730108474424</v>
      </c>
      <c r="C27">
        <f>SUM(SAM!FF184:FJ184)</f>
        <v>2.1697677364450745</v>
      </c>
      <c r="D27">
        <f>SAM!GI184</f>
        <v>11.979851945348308</v>
      </c>
      <c r="F27" s="83">
        <f t="shared" si="1"/>
        <v>0.5581432092275358</v>
      </c>
    </row>
    <row r="28" spans="1:6" x14ac:dyDescent="0.25">
      <c r="A28" s="18" t="s">
        <v>177</v>
      </c>
      <c r="B28">
        <f>SUM(SAM!EX185:FE185)</f>
        <v>20.162169666886911</v>
      </c>
      <c r="C28">
        <f>SUM(SAM!FF185:FJ185)</f>
        <v>5.9334856061559336</v>
      </c>
      <c r="D28">
        <f>SAM!GI185</f>
        <v>34.039756807240536</v>
      </c>
      <c r="F28" s="83">
        <f t="shared" si="1"/>
        <v>0.59231238874768488</v>
      </c>
    </row>
    <row r="29" spans="1:6" x14ac:dyDescent="0.25">
      <c r="A29" s="18" t="s">
        <v>178</v>
      </c>
      <c r="B29">
        <f>SUM(SAM!EX186:FE186)</f>
        <v>31.6234241321743</v>
      </c>
      <c r="C29">
        <f>SUM(SAM!FF186:FJ186)</f>
        <v>8.7573278999764455</v>
      </c>
      <c r="D29">
        <f>SAM!GI186</f>
        <v>54.838123758625457</v>
      </c>
      <c r="F29" s="83">
        <f t="shared" si="1"/>
        <v>0.5766686014161867</v>
      </c>
    </row>
    <row r="30" spans="1:6" x14ac:dyDescent="0.25">
      <c r="A30" s="18" t="s">
        <v>179</v>
      </c>
      <c r="B30">
        <f>SUM(SAM!EX187:FE187)</f>
        <v>83.495960395907886</v>
      </c>
      <c r="C30">
        <f>SUM(SAM!FF187:FJ187)</f>
        <v>16.893096023493285</v>
      </c>
      <c r="D30">
        <f>SAM!GI187</f>
        <v>140.78293349768379</v>
      </c>
      <c r="F30" s="83">
        <f t="shared" si="1"/>
        <v>0.59308297050992753</v>
      </c>
    </row>
    <row r="31" spans="1:6" x14ac:dyDescent="0.25">
      <c r="A31" s="18" t="s">
        <v>180</v>
      </c>
      <c r="B31">
        <f>SUM(SAM!EX188:FE188)</f>
        <v>1513.2070609658458</v>
      </c>
      <c r="C31">
        <f>SUM(SAM!FF188:FJ188)</f>
        <v>75.249912253622909</v>
      </c>
      <c r="D31">
        <f>SAM!GI188</f>
        <v>2276.6062629936227</v>
      </c>
      <c r="F31" s="83">
        <f t="shared" si="1"/>
        <v>0.66467666612497789</v>
      </c>
    </row>
    <row r="32" spans="1:6" x14ac:dyDescent="0.25">
      <c r="F32" s="83"/>
    </row>
    <row r="33" spans="1:16" x14ac:dyDescent="0.25">
      <c r="A33" s="18" t="s">
        <v>253</v>
      </c>
      <c r="B33">
        <f>SUM(B17:B31)</f>
        <v>3365.3410176928137</v>
      </c>
      <c r="C33">
        <f t="shared" ref="C33:D33" si="2">SUM(C17:C31)</f>
        <v>1068.973433117151</v>
      </c>
      <c r="D33">
        <f t="shared" si="2"/>
        <v>5687.8181262878243</v>
      </c>
      <c r="F33" s="83">
        <f t="shared" si="1"/>
        <v>0.59167521586862271</v>
      </c>
    </row>
    <row r="36" spans="1:16" x14ac:dyDescent="0.25">
      <c r="A36" t="s">
        <v>537</v>
      </c>
      <c r="B36" s="18" t="s">
        <v>166</v>
      </c>
      <c r="C36" s="18" t="s">
        <v>167</v>
      </c>
      <c r="D36" s="18" t="s">
        <v>168</v>
      </c>
      <c r="E36" s="18" t="s">
        <v>169</v>
      </c>
      <c r="F36" s="18" t="s">
        <v>170</v>
      </c>
      <c r="G36" s="18" t="s">
        <v>171</v>
      </c>
      <c r="H36" s="18" t="s">
        <v>172</v>
      </c>
      <c r="I36" s="18" t="s">
        <v>173</v>
      </c>
      <c r="J36" s="18" t="s">
        <v>174</v>
      </c>
      <c r="K36" s="18" t="s">
        <v>175</v>
      </c>
      <c r="L36" s="18" t="s">
        <v>176</v>
      </c>
      <c r="M36" s="18" t="s">
        <v>177</v>
      </c>
      <c r="N36" s="18" t="s">
        <v>178</v>
      </c>
      <c r="O36" s="18" t="s">
        <v>179</v>
      </c>
      <c r="P36" s="18" t="s">
        <v>180</v>
      </c>
    </row>
    <row r="37" spans="1:16" x14ac:dyDescent="0.25">
      <c r="A37" t="s">
        <v>538</v>
      </c>
      <c r="B37">
        <f>B3</f>
        <v>157.14994491349745</v>
      </c>
      <c r="C37">
        <f t="shared" ref="C37:P38" si="3">C3</f>
        <v>232.43920230245112</v>
      </c>
      <c r="D37">
        <f t="shared" si="3"/>
        <v>316.81529743983015</v>
      </c>
      <c r="E37">
        <f t="shared" si="3"/>
        <v>435.41858442740249</v>
      </c>
      <c r="F37">
        <f t="shared" si="3"/>
        <v>401.96432995068648</v>
      </c>
      <c r="G37">
        <f t="shared" si="3"/>
        <v>2.5549340233967439</v>
      </c>
      <c r="H37">
        <f t="shared" si="3"/>
        <v>3.4470784980987363</v>
      </c>
      <c r="I37">
        <f t="shared" si="3"/>
        <v>4.5315419193810014</v>
      </c>
      <c r="J37">
        <f t="shared" si="3"/>
        <v>3.8657613603226619</v>
      </c>
      <c r="K37">
        <f t="shared" si="3"/>
        <v>29.599711416898767</v>
      </c>
      <c r="L37">
        <f t="shared" si="3"/>
        <v>6.2798201326368748</v>
      </c>
      <c r="M37">
        <f t="shared" si="3"/>
        <v>15.552559429126919</v>
      </c>
      <c r="N37">
        <f t="shared" si="3"/>
        <v>23.316809395334708</v>
      </c>
      <c r="O37">
        <f t="shared" si="3"/>
        <v>56.826104931226702</v>
      </c>
      <c r="P37">
        <f t="shared" si="3"/>
        <v>514.05917125666531</v>
      </c>
    </row>
    <row r="38" spans="1:16" x14ac:dyDescent="0.25">
      <c r="A38" t="s">
        <v>253</v>
      </c>
      <c r="B38">
        <f>B4</f>
        <v>233.24389135912801</v>
      </c>
      <c r="C38">
        <f t="shared" si="3"/>
        <v>353.83939098067606</v>
      </c>
      <c r="D38">
        <f t="shared" si="3"/>
        <v>505.78976931679279</v>
      </c>
      <c r="E38">
        <f t="shared" si="3"/>
        <v>749.3110256852766</v>
      </c>
      <c r="F38">
        <f t="shared" si="3"/>
        <v>926.2508284284429</v>
      </c>
      <c r="G38">
        <f t="shared" si="3"/>
        <v>4.2538866559205868</v>
      </c>
      <c r="H38">
        <f t="shared" si="3"/>
        <v>5.4096952204353368</v>
      </c>
      <c r="I38">
        <f t="shared" si="3"/>
        <v>7.6596073278043297</v>
      </c>
      <c r="J38">
        <f t="shared" si="3"/>
        <v>7.6189589253626799</v>
      </c>
      <c r="K38">
        <f t="shared" si="3"/>
        <v>78.151730311652159</v>
      </c>
      <c r="L38">
        <f t="shared" si="3"/>
        <v>11.132190940545632</v>
      </c>
      <c r="M38">
        <f t="shared" si="3"/>
        <v>30.906674807259371</v>
      </c>
      <c r="N38">
        <f t="shared" si="3"/>
        <v>48.694593465159002</v>
      </c>
      <c r="O38">
        <f t="shared" si="3"/>
        <v>122.02433020879373</v>
      </c>
      <c r="P38">
        <f t="shared" si="3"/>
        <v>1805.2609935129399</v>
      </c>
    </row>
    <row r="39" spans="1:16" x14ac:dyDescent="0.25">
      <c r="B39" s="84">
        <f>B37/B38</f>
        <v>0.67375803069385454</v>
      </c>
      <c r="C39" s="84">
        <f t="shared" ref="C39:K39" si="4">C37/C38</f>
        <v>0.65690595289077114</v>
      </c>
      <c r="D39" s="84">
        <f t="shared" si="4"/>
        <v>0.62637743319279815</v>
      </c>
      <c r="E39" s="84">
        <f t="shared" si="4"/>
        <v>0.58109192244861707</v>
      </c>
      <c r="F39" s="84">
        <f t="shared" si="4"/>
        <v>0.43396919885372071</v>
      </c>
      <c r="G39" s="84">
        <f t="shared" si="4"/>
        <v>0.60061168292783973</v>
      </c>
      <c r="H39" s="84">
        <f t="shared" si="4"/>
        <v>0.63720382713563262</v>
      </c>
      <c r="I39" s="84">
        <f t="shared" si="4"/>
        <v>0.59161543476667933</v>
      </c>
      <c r="J39" s="84">
        <f t="shared" si="4"/>
        <v>0.50738708505882157</v>
      </c>
      <c r="K39" s="84">
        <f t="shared" si="4"/>
        <v>0.378746718708102</v>
      </c>
      <c r="L39" s="85">
        <f>L37/L38</f>
        <v>0.56411358430482295</v>
      </c>
      <c r="M39" s="85">
        <f t="shared" ref="M39:P39" si="5">M37/M38</f>
        <v>0.50321037530294033</v>
      </c>
      <c r="N39" s="85">
        <f t="shared" si="5"/>
        <v>0.47883774637153287</v>
      </c>
      <c r="O39" s="85">
        <f t="shared" si="5"/>
        <v>0.46569487276834493</v>
      </c>
      <c r="P39" s="85">
        <f t="shared" si="5"/>
        <v>0.28475615055324166</v>
      </c>
    </row>
    <row r="40" spans="1:16" x14ac:dyDescent="0.25">
      <c r="B40" s="86" t="s">
        <v>539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F90BF-7A1F-4EA1-B572-B84668F3CDBC}">
  <dimension ref="A1:CG79"/>
  <sheetViews>
    <sheetView workbookViewId="0">
      <selection activeCell="J18" sqref="J18"/>
    </sheetView>
  </sheetViews>
  <sheetFormatPr defaultRowHeight="15" x14ac:dyDescent="0.25"/>
  <cols>
    <col min="3" max="3" width="10.85546875" bestFit="1" customWidth="1"/>
    <col min="7" max="7" width="10.42578125" bestFit="1" customWidth="1"/>
  </cols>
  <sheetData>
    <row r="1" spans="1:85" x14ac:dyDescent="0.25">
      <c r="A1" t="s">
        <v>543</v>
      </c>
      <c r="B1" t="s">
        <v>433</v>
      </c>
      <c r="G1" t="s">
        <v>544</v>
      </c>
      <c r="H1" s="18" t="s">
        <v>73</v>
      </c>
      <c r="I1" s="18" t="s">
        <v>74</v>
      </c>
      <c r="J1" s="18" t="s">
        <v>75</v>
      </c>
      <c r="K1" s="18" t="s">
        <v>76</v>
      </c>
      <c r="L1" s="18" t="s">
        <v>77</v>
      </c>
      <c r="M1" s="18" t="s">
        <v>78</v>
      </c>
      <c r="N1" s="18" t="s">
        <v>79</v>
      </c>
      <c r="O1" s="18" t="s">
        <v>80</v>
      </c>
      <c r="P1" s="18" t="s">
        <v>81</v>
      </c>
      <c r="Q1" s="18" t="s">
        <v>82</v>
      </c>
      <c r="R1" s="18" t="s">
        <v>83</v>
      </c>
      <c r="S1" s="18" t="s">
        <v>84</v>
      </c>
      <c r="T1" s="18" t="s">
        <v>85</v>
      </c>
      <c r="U1" s="18" t="s">
        <v>86</v>
      </c>
      <c r="V1" s="18" t="s">
        <v>87</v>
      </c>
      <c r="W1" s="18" t="s">
        <v>88</v>
      </c>
      <c r="X1" s="18" t="s">
        <v>89</v>
      </c>
      <c r="Y1" s="18" t="s">
        <v>90</v>
      </c>
      <c r="Z1" s="18" t="s">
        <v>91</v>
      </c>
      <c r="AA1" s="18" t="s">
        <v>92</v>
      </c>
      <c r="AB1" s="18" t="s">
        <v>93</v>
      </c>
      <c r="AC1" s="18" t="s">
        <v>94</v>
      </c>
      <c r="AD1" s="18" t="s">
        <v>95</v>
      </c>
      <c r="AE1" s="18" t="s">
        <v>96</v>
      </c>
      <c r="AF1" s="18" t="s">
        <v>97</v>
      </c>
      <c r="AG1" s="18" t="s">
        <v>98</v>
      </c>
      <c r="AH1" s="18" t="s">
        <v>99</v>
      </c>
      <c r="AI1" s="18" t="s">
        <v>100</v>
      </c>
      <c r="AJ1" s="18" t="s">
        <v>101</v>
      </c>
      <c r="AK1" s="18" t="s">
        <v>102</v>
      </c>
      <c r="AL1" s="18" t="s">
        <v>103</v>
      </c>
      <c r="AM1" s="18" t="s">
        <v>104</v>
      </c>
      <c r="AN1" s="18" t="s">
        <v>105</v>
      </c>
      <c r="AO1" s="18" t="s">
        <v>106</v>
      </c>
      <c r="AP1" s="18" t="s">
        <v>107</v>
      </c>
      <c r="AQ1" s="18" t="s">
        <v>108</v>
      </c>
      <c r="AR1" s="18" t="s">
        <v>109</v>
      </c>
      <c r="AS1" s="18" t="s">
        <v>110</v>
      </c>
      <c r="AT1" s="18" t="s">
        <v>111</v>
      </c>
      <c r="AU1" s="18" t="s">
        <v>112</v>
      </c>
      <c r="AV1" s="18" t="s">
        <v>113</v>
      </c>
      <c r="AW1" s="18" t="s">
        <v>114</v>
      </c>
      <c r="AX1" s="18" t="s">
        <v>115</v>
      </c>
      <c r="AY1" s="18" t="s">
        <v>116</v>
      </c>
      <c r="AZ1" s="18" t="s">
        <v>117</v>
      </c>
      <c r="BA1" s="18" t="s">
        <v>118</v>
      </c>
      <c r="BB1" s="18" t="s">
        <v>119</v>
      </c>
      <c r="BC1" s="18" t="s">
        <v>120</v>
      </c>
      <c r="BD1" s="18" t="s">
        <v>121</v>
      </c>
      <c r="BE1" s="18" t="s">
        <v>122</v>
      </c>
      <c r="BF1" s="18" t="s">
        <v>123</v>
      </c>
      <c r="BG1" s="18" t="s">
        <v>124</v>
      </c>
      <c r="BH1" s="18" t="s">
        <v>125</v>
      </c>
      <c r="BI1" s="18" t="s">
        <v>126</v>
      </c>
      <c r="BJ1" s="18" t="s">
        <v>127</v>
      </c>
      <c r="BK1" s="18" t="s">
        <v>128</v>
      </c>
      <c r="BL1" s="18" t="s">
        <v>129</v>
      </c>
      <c r="BM1" s="18" t="s">
        <v>130</v>
      </c>
      <c r="BN1" s="18" t="s">
        <v>131</v>
      </c>
      <c r="BO1" s="18" t="s">
        <v>132</v>
      </c>
      <c r="BP1" s="18" t="s">
        <v>133</v>
      </c>
      <c r="BQ1" s="18" t="s">
        <v>134</v>
      </c>
      <c r="BR1" s="18" t="s">
        <v>135</v>
      </c>
      <c r="BS1" s="18" t="s">
        <v>136</v>
      </c>
      <c r="BT1" s="18" t="s">
        <v>137</v>
      </c>
      <c r="BU1" s="18" t="s">
        <v>138</v>
      </c>
      <c r="BV1" s="18" t="s">
        <v>139</v>
      </c>
      <c r="BW1" s="18" t="s">
        <v>140</v>
      </c>
      <c r="BX1" s="18" t="s">
        <v>141</v>
      </c>
      <c r="BY1" s="18" t="s">
        <v>142</v>
      </c>
      <c r="BZ1" s="18" t="s">
        <v>143</v>
      </c>
      <c r="CA1" s="18" t="s">
        <v>144</v>
      </c>
      <c r="CB1" s="18" t="s">
        <v>145</v>
      </c>
      <c r="CC1" s="18" t="s">
        <v>146</v>
      </c>
      <c r="CD1" s="18" t="s">
        <v>147</v>
      </c>
      <c r="CE1" s="18" t="s">
        <v>148</v>
      </c>
      <c r="CF1" s="18" t="s">
        <v>149</v>
      </c>
      <c r="CG1" s="18" t="s">
        <v>150</v>
      </c>
    </row>
    <row r="2" spans="1:85" x14ac:dyDescent="0.25">
      <c r="A2" s="18" t="s">
        <v>73</v>
      </c>
      <c r="B2">
        <v>0.64447817241207705</v>
      </c>
      <c r="C2" t="s">
        <v>540</v>
      </c>
      <c r="D2">
        <f>SUM(B2:B30)</f>
        <v>111.75699894005189</v>
      </c>
      <c r="E2" s="83">
        <f>D2/D3</f>
        <v>0.11679690192097267</v>
      </c>
      <c r="G2" t="s">
        <v>434</v>
      </c>
      <c r="H2">
        <v>17.458393811444655</v>
      </c>
      <c r="I2">
        <v>1.6875419426061873</v>
      </c>
      <c r="J2">
        <v>15.064778284086502</v>
      </c>
      <c r="K2">
        <v>10.930979221593432</v>
      </c>
      <c r="L2">
        <v>0.8874344019031839</v>
      </c>
      <c r="M2">
        <v>5.4588551266928418</v>
      </c>
      <c r="N2">
        <v>1.7529329392592519</v>
      </c>
      <c r="O2">
        <v>11.519587561468182</v>
      </c>
      <c r="P2">
        <v>3.3113071995054764</v>
      </c>
      <c r="R2">
        <v>0.60596484454865096</v>
      </c>
      <c r="S2">
        <v>1.9061701204131039</v>
      </c>
      <c r="T2">
        <v>0.73460604482497038</v>
      </c>
      <c r="V2">
        <v>0.14113566572954345</v>
      </c>
      <c r="W2">
        <v>0.13027315046807994</v>
      </c>
      <c r="X2">
        <v>5.287610204559094</v>
      </c>
      <c r="Y2">
        <v>0.29513886153687113</v>
      </c>
      <c r="AA2">
        <v>1.937017560258981</v>
      </c>
      <c r="AB2">
        <v>0.13834594554051968</v>
      </c>
      <c r="AD2">
        <v>0.73248500733776523</v>
      </c>
      <c r="AE2">
        <v>0.44862945487754169</v>
      </c>
      <c r="AG2">
        <v>0.54171833287491467</v>
      </c>
      <c r="AH2">
        <v>0.48023567803872086</v>
      </c>
      <c r="AJ2">
        <v>0.65396611280438011</v>
      </c>
      <c r="AK2">
        <v>2.9498220585334511</v>
      </c>
      <c r="AL2">
        <v>0.97514529086037516</v>
      </c>
      <c r="AM2">
        <v>15.208631062801539</v>
      </c>
      <c r="AN2">
        <v>0.73920890820969998</v>
      </c>
      <c r="AO2">
        <v>20.030115168295026</v>
      </c>
      <c r="AP2">
        <v>2.2482658335937398</v>
      </c>
      <c r="AQ2">
        <v>2.1039899147029213</v>
      </c>
      <c r="AR2">
        <v>49.134602984639152</v>
      </c>
      <c r="AS2">
        <v>3.8039969091576804</v>
      </c>
      <c r="AU2">
        <v>6.9362629996852041</v>
      </c>
      <c r="AV2">
        <v>0.76728817270618566</v>
      </c>
      <c r="AW2">
        <v>37.991765748612437</v>
      </c>
      <c r="AZ2">
        <v>28.699647094290867</v>
      </c>
      <c r="BA2">
        <v>1.1255271563576625</v>
      </c>
      <c r="BB2">
        <v>16.089157957236633</v>
      </c>
      <c r="BC2">
        <v>2.5025112837865948</v>
      </c>
      <c r="BD2">
        <v>0.54700889513911477</v>
      </c>
      <c r="BE2">
        <v>36.072536503938039</v>
      </c>
      <c r="BF2">
        <v>25.895526747765722</v>
      </c>
      <c r="BG2">
        <v>19.092857285900191</v>
      </c>
      <c r="BH2">
        <v>11.656879505574004</v>
      </c>
      <c r="BI2">
        <v>27.504227283048547</v>
      </c>
      <c r="BJ2">
        <v>18.327615175275238</v>
      </c>
      <c r="BK2">
        <v>27.406939703148481</v>
      </c>
      <c r="BL2">
        <v>248.65806877054848</v>
      </c>
      <c r="BM2">
        <v>70.901856101685979</v>
      </c>
      <c r="BN2">
        <v>114.14577651466433</v>
      </c>
      <c r="BO2">
        <v>109.55496667301426</v>
      </c>
      <c r="BP2">
        <v>230.60906101864896</v>
      </c>
      <c r="BQ2">
        <v>137.361188468178</v>
      </c>
      <c r="BR2">
        <v>31.278790366513011</v>
      </c>
      <c r="BU2">
        <v>71.071945606160071</v>
      </c>
      <c r="BV2">
        <v>37.661764267481594</v>
      </c>
      <c r="BW2">
        <v>293.48964160884958</v>
      </c>
      <c r="BX2">
        <v>220.15192901919048</v>
      </c>
      <c r="CA2">
        <v>18.564014433284882</v>
      </c>
      <c r="CC2">
        <v>93.403870804270042</v>
      </c>
      <c r="CD2">
        <v>81.253178365965326</v>
      </c>
    </row>
    <row r="3" spans="1:85" x14ac:dyDescent="0.25">
      <c r="A3" s="18" t="s">
        <v>74</v>
      </c>
      <c r="C3" t="s">
        <v>253</v>
      </c>
      <c r="D3">
        <f>SUM(B2:B79)</f>
        <v>956.84900114618722</v>
      </c>
    </row>
    <row r="4" spans="1:85" x14ac:dyDescent="0.25">
      <c r="A4" s="18" t="s">
        <v>75</v>
      </c>
      <c r="B4">
        <v>9.2892381349555961</v>
      </c>
      <c r="G4" t="s">
        <v>541</v>
      </c>
      <c r="H4">
        <f>SUM(H2:AJ2,AN2:AR2,AW2:BB2)</f>
        <v>240.26738823831104</v>
      </c>
      <c r="I4" s="83">
        <f>H4/H5</f>
        <v>0.10931079467362283</v>
      </c>
    </row>
    <row r="5" spans="1:85" x14ac:dyDescent="0.25">
      <c r="A5" s="18" t="s">
        <v>76</v>
      </c>
      <c r="G5" t="s">
        <v>253</v>
      </c>
      <c r="H5">
        <f>SUM(H2:CG2)</f>
        <v>2198.0206891340863</v>
      </c>
    </row>
    <row r="6" spans="1:85" x14ac:dyDescent="0.25">
      <c r="A6" s="18" t="s">
        <v>77</v>
      </c>
      <c r="B6">
        <v>1.3425019212871654</v>
      </c>
    </row>
    <row r="7" spans="1:85" x14ac:dyDescent="0.25">
      <c r="A7" s="18" t="s">
        <v>78</v>
      </c>
      <c r="B7">
        <v>8.0928360102590441E-2</v>
      </c>
      <c r="G7" t="s">
        <v>545</v>
      </c>
    </row>
    <row r="8" spans="1:85" x14ac:dyDescent="0.25">
      <c r="A8" s="18" t="s">
        <v>79</v>
      </c>
      <c r="G8" t="s">
        <v>542</v>
      </c>
      <c r="H8" s="78">
        <f>H2/$H5</f>
        <v>7.9427795642462388E-3</v>
      </c>
      <c r="I8" s="78">
        <f t="shared" ref="I8:BT8" si="0">I2/$H5</f>
        <v>7.6775525860541243E-4</v>
      </c>
      <c r="J8" s="78">
        <f t="shared" si="0"/>
        <v>6.8537927593490013E-3</v>
      </c>
      <c r="K8" s="78">
        <f t="shared" si="0"/>
        <v>4.9731011521550825E-3</v>
      </c>
      <c r="L8" s="78">
        <f t="shared" si="0"/>
        <v>4.0374251538678193E-4</v>
      </c>
      <c r="M8" s="78">
        <f t="shared" si="0"/>
        <v>2.4835321858791815E-3</v>
      </c>
      <c r="N8" s="78">
        <f t="shared" si="0"/>
        <v>7.9750520453464096E-4</v>
      </c>
      <c r="O8" s="78">
        <f t="shared" si="0"/>
        <v>5.2408913248247636E-3</v>
      </c>
      <c r="P8" s="78">
        <f t="shared" si="0"/>
        <v>1.5064950097489623E-3</v>
      </c>
      <c r="Q8" s="78">
        <f t="shared" si="0"/>
        <v>0</v>
      </c>
      <c r="R8" s="78">
        <f t="shared" si="0"/>
        <v>2.7568659728465601E-4</v>
      </c>
      <c r="S8" s="78">
        <f t="shared" si="0"/>
        <v>8.6722119124549399E-4</v>
      </c>
      <c r="T8" s="78">
        <f t="shared" si="0"/>
        <v>3.3421252513977457E-4</v>
      </c>
      <c r="U8" s="78">
        <f t="shared" si="0"/>
        <v>0</v>
      </c>
      <c r="V8" s="78">
        <f t="shared" si="0"/>
        <v>6.4210344528260139E-5</v>
      </c>
      <c r="W8" s="78">
        <f t="shared" si="0"/>
        <v>5.9268391381430197E-5</v>
      </c>
      <c r="X8" s="78">
        <f t="shared" si="0"/>
        <v>2.4056234914886796E-3</v>
      </c>
      <c r="Y8" s="78">
        <f t="shared" si="0"/>
        <v>1.3427483326061937E-4</v>
      </c>
      <c r="Z8" s="78">
        <f t="shared" si="0"/>
        <v>0</v>
      </c>
      <c r="AA8" s="78">
        <f t="shared" si="0"/>
        <v>8.8125538118664025E-4</v>
      </c>
      <c r="AB8" s="78">
        <f t="shared" si="0"/>
        <v>6.2941148017592723E-5</v>
      </c>
      <c r="AC8" s="78">
        <f t="shared" si="0"/>
        <v>0</v>
      </c>
      <c r="AD8" s="78">
        <f t="shared" si="0"/>
        <v>3.3324754901480427E-4</v>
      </c>
      <c r="AE8" s="78">
        <f t="shared" si="0"/>
        <v>2.0410611105497827E-4</v>
      </c>
      <c r="AF8" s="78">
        <f t="shared" si="0"/>
        <v>0</v>
      </c>
      <c r="AG8" s="78">
        <f t="shared" si="0"/>
        <v>2.4645734025748658E-4</v>
      </c>
      <c r="AH8" s="78">
        <f t="shared" si="0"/>
        <v>2.1848551308582562E-4</v>
      </c>
      <c r="AI8" s="78">
        <f t="shared" si="0"/>
        <v>0</v>
      </c>
      <c r="AJ8" s="78">
        <f t="shared" si="0"/>
        <v>2.9752500330741248E-4</v>
      </c>
      <c r="AK8" s="78">
        <f t="shared" si="0"/>
        <v>1.342035620099435E-3</v>
      </c>
      <c r="AL8" s="78">
        <f t="shared" si="0"/>
        <v>4.4364700281530797E-4</v>
      </c>
      <c r="AM8" s="78">
        <f t="shared" si="0"/>
        <v>6.9192392673942497E-3</v>
      </c>
      <c r="AN8" s="78">
        <f t="shared" si="0"/>
        <v>3.3630661979842989E-4</v>
      </c>
      <c r="AO8" s="78">
        <f t="shared" si="0"/>
        <v>9.1127964660723555E-3</v>
      </c>
      <c r="AP8" s="78">
        <f t="shared" si="0"/>
        <v>1.0228592682080019E-3</v>
      </c>
      <c r="AQ8" s="78">
        <f t="shared" si="0"/>
        <v>9.5722025052084078E-4</v>
      </c>
      <c r="AR8" s="78">
        <f t="shared" si="0"/>
        <v>2.2354022065186205E-2</v>
      </c>
      <c r="AS8" s="78">
        <f t="shared" si="0"/>
        <v>1.7306465439396164E-3</v>
      </c>
      <c r="AT8" s="78">
        <f t="shared" si="0"/>
        <v>0</v>
      </c>
      <c r="AU8" s="78">
        <f t="shared" si="0"/>
        <v>3.1556859468951383E-3</v>
      </c>
      <c r="AV8" s="78">
        <f t="shared" si="0"/>
        <v>3.4908141515649702E-4</v>
      </c>
      <c r="AW8" s="78">
        <f t="shared" si="0"/>
        <v>1.728453509852055E-2</v>
      </c>
      <c r="AX8" s="78">
        <f t="shared" si="0"/>
        <v>0</v>
      </c>
      <c r="AY8" s="78">
        <f t="shared" si="0"/>
        <v>0</v>
      </c>
      <c r="AZ8" s="78">
        <f t="shared" si="0"/>
        <v>1.30570413809877E-2</v>
      </c>
      <c r="BA8" s="78">
        <f t="shared" si="0"/>
        <v>5.1206395004455842E-4</v>
      </c>
      <c r="BB8" s="78">
        <f t="shared" si="0"/>
        <v>7.3198391793004381E-3</v>
      </c>
      <c r="BC8" s="78">
        <f t="shared" si="0"/>
        <v>1.138529448861768E-3</v>
      </c>
      <c r="BD8" s="78">
        <f t="shared" si="0"/>
        <v>2.4886430680259419E-4</v>
      </c>
      <c r="BE8" s="78">
        <f t="shared" si="0"/>
        <v>1.6411372596383009E-2</v>
      </c>
      <c r="BF8" s="78">
        <f t="shared" si="0"/>
        <v>1.1781293449957155E-2</v>
      </c>
      <c r="BG8" s="78">
        <f t="shared" si="0"/>
        <v>8.6863865205117127E-3</v>
      </c>
      <c r="BH8" s="78">
        <f t="shared" si="0"/>
        <v>5.3033529498606536E-3</v>
      </c>
      <c r="BI8" s="78">
        <f t="shared" si="0"/>
        <v>1.251317943412256E-2</v>
      </c>
      <c r="BJ8" s="78">
        <f t="shared" si="0"/>
        <v>8.3382359710615049E-3</v>
      </c>
      <c r="BK8" s="78">
        <f t="shared" si="0"/>
        <v>1.2468917985456037E-2</v>
      </c>
      <c r="BL8" s="78">
        <f t="shared" si="0"/>
        <v>0.11312817481645622</v>
      </c>
      <c r="BM8" s="78">
        <f t="shared" si="0"/>
        <v>3.2257137729498751E-2</v>
      </c>
      <c r="BN8" s="78">
        <f t="shared" si="0"/>
        <v>5.1931165652327069E-2</v>
      </c>
      <c r="BO8" s="78">
        <f t="shared" si="0"/>
        <v>4.9842554810607183E-2</v>
      </c>
      <c r="BP8" s="78">
        <f t="shared" si="0"/>
        <v>0.104916692621987</v>
      </c>
      <c r="BQ8" s="78">
        <f t="shared" si="0"/>
        <v>6.2493128088931524E-2</v>
      </c>
      <c r="BR8" s="78">
        <f t="shared" si="0"/>
        <v>1.4230434918624602E-2</v>
      </c>
      <c r="BS8" s="78">
        <f t="shared" si="0"/>
        <v>0</v>
      </c>
      <c r="BT8" s="78">
        <f t="shared" si="0"/>
        <v>0</v>
      </c>
      <c r="BU8" s="78">
        <f t="shared" ref="BU8:CG8" si="1">BU2/$H5</f>
        <v>3.2334520761112116E-2</v>
      </c>
      <c r="BV8" s="78">
        <f t="shared" si="1"/>
        <v>1.7134399350134645E-2</v>
      </c>
      <c r="BW8" s="87">
        <f t="shared" si="1"/>
        <v>0.13352451278539615</v>
      </c>
      <c r="BX8" s="78">
        <f t="shared" si="1"/>
        <v>0.1001591705244229</v>
      </c>
      <c r="BY8" s="78">
        <f t="shared" si="1"/>
        <v>0</v>
      </c>
      <c r="BZ8" s="78">
        <f t="shared" si="1"/>
        <v>0</v>
      </c>
      <c r="CA8" s="78">
        <f t="shared" si="1"/>
        <v>8.4457869414314764E-3</v>
      </c>
      <c r="CB8" s="78">
        <f t="shared" si="1"/>
        <v>0</v>
      </c>
      <c r="CC8" s="78">
        <f t="shared" si="1"/>
        <v>4.2494536682940252E-2</v>
      </c>
      <c r="CD8" s="78">
        <f t="shared" si="1"/>
        <v>3.6966521183190111E-2</v>
      </c>
      <c r="CE8" s="78">
        <f t="shared" si="1"/>
        <v>0</v>
      </c>
      <c r="CF8" s="78">
        <f t="shared" si="1"/>
        <v>0</v>
      </c>
      <c r="CG8" s="78">
        <f t="shared" si="1"/>
        <v>0</v>
      </c>
    </row>
    <row r="9" spans="1:85" x14ac:dyDescent="0.25">
      <c r="A9" s="18" t="s">
        <v>80</v>
      </c>
      <c r="H9" s="86" t="s">
        <v>546</v>
      </c>
    </row>
    <row r="10" spans="1:85" x14ac:dyDescent="0.25">
      <c r="A10" s="18" t="s">
        <v>81</v>
      </c>
      <c r="B10">
        <v>0.24066473656686652</v>
      </c>
    </row>
    <row r="11" spans="1:85" x14ac:dyDescent="0.25">
      <c r="A11" s="18" t="s">
        <v>82</v>
      </c>
      <c r="G11" t="s">
        <v>547</v>
      </c>
      <c r="H11" t="s">
        <v>548</v>
      </c>
      <c r="J11" s="83">
        <f>SUM(H2:AJ2,AN2:AR2,AW2:AZ2,BB2)</f>
        <v>239.14186108195338</v>
      </c>
    </row>
    <row r="12" spans="1:85" x14ac:dyDescent="0.25">
      <c r="A12" s="18" t="s">
        <v>83</v>
      </c>
      <c r="H12" t="s">
        <v>549</v>
      </c>
      <c r="J12" s="83">
        <f>SUM(B2:B30,B34:B38,B43:B46,B48)</f>
        <v>152.48227070970009</v>
      </c>
      <c r="L12" s="83">
        <f>J12-J11</f>
        <v>-86.659590372253291</v>
      </c>
    </row>
    <row r="13" spans="1:85" x14ac:dyDescent="0.25">
      <c r="A13" s="18" t="s">
        <v>84</v>
      </c>
      <c r="B13">
        <v>0.96106893533221938</v>
      </c>
      <c r="H13" s="86" t="s">
        <v>577</v>
      </c>
    </row>
    <row r="14" spans="1:85" x14ac:dyDescent="0.25">
      <c r="A14" s="18" t="s">
        <v>85</v>
      </c>
    </row>
    <row r="15" spans="1:85" x14ac:dyDescent="0.25">
      <c r="A15" s="18" t="s">
        <v>86</v>
      </c>
    </row>
    <row r="16" spans="1:85" x14ac:dyDescent="0.25">
      <c r="A16" s="18" t="s">
        <v>87</v>
      </c>
    </row>
    <row r="17" spans="1:2" x14ac:dyDescent="0.25">
      <c r="A17" s="18" t="s">
        <v>88</v>
      </c>
    </row>
    <row r="18" spans="1:2" x14ac:dyDescent="0.25">
      <c r="A18" s="18" t="s">
        <v>89</v>
      </c>
    </row>
    <row r="19" spans="1:2" x14ac:dyDescent="0.25">
      <c r="A19" s="18" t="s">
        <v>90</v>
      </c>
      <c r="B19">
        <v>30.254456883961723</v>
      </c>
    </row>
    <row r="20" spans="1:2" x14ac:dyDescent="0.25">
      <c r="A20" s="18" t="s">
        <v>91</v>
      </c>
      <c r="B20">
        <v>61.240052051156809</v>
      </c>
    </row>
    <row r="21" spans="1:2" x14ac:dyDescent="0.25">
      <c r="A21" s="18" t="s">
        <v>92</v>
      </c>
      <c r="B21">
        <v>2.2563416605676716</v>
      </c>
    </row>
    <row r="22" spans="1:2" x14ac:dyDescent="0.25">
      <c r="A22" s="18" t="s">
        <v>93</v>
      </c>
      <c r="B22">
        <v>4.3862444686702222</v>
      </c>
    </row>
    <row r="23" spans="1:2" x14ac:dyDescent="0.25">
      <c r="A23" s="18" t="s">
        <v>94</v>
      </c>
    </row>
    <row r="24" spans="1:2" x14ac:dyDescent="0.25">
      <c r="A24" s="18" t="s">
        <v>95</v>
      </c>
    </row>
    <row r="25" spans="1:2" x14ac:dyDescent="0.25">
      <c r="A25" s="18" t="s">
        <v>96</v>
      </c>
      <c r="B25">
        <v>2.6747332761321692E-2</v>
      </c>
    </row>
    <row r="26" spans="1:2" x14ac:dyDescent="0.25">
      <c r="A26" s="18" t="s">
        <v>97</v>
      </c>
    </row>
    <row r="27" spans="1:2" x14ac:dyDescent="0.25">
      <c r="A27" s="18" t="s">
        <v>98</v>
      </c>
      <c r="B27">
        <v>1.0342762822776221</v>
      </c>
    </row>
    <row r="28" spans="1:2" x14ac:dyDescent="0.25">
      <c r="A28" s="18" t="s">
        <v>99</v>
      </c>
    </row>
    <row r="29" spans="1:2" x14ac:dyDescent="0.25">
      <c r="A29" s="18" t="s">
        <v>100</v>
      </c>
    </row>
    <row r="30" spans="1:2" x14ac:dyDescent="0.25">
      <c r="A30" s="18" t="s">
        <v>101</v>
      </c>
    </row>
    <row r="31" spans="1:2" x14ac:dyDescent="0.25">
      <c r="A31" s="18" t="s">
        <v>102</v>
      </c>
    </row>
    <row r="32" spans="1:2" x14ac:dyDescent="0.25">
      <c r="A32" s="18" t="s">
        <v>103</v>
      </c>
    </row>
    <row r="33" spans="1:2" x14ac:dyDescent="0.25">
      <c r="A33" s="18" t="s">
        <v>104</v>
      </c>
      <c r="B33">
        <v>114.22988431693754</v>
      </c>
    </row>
    <row r="34" spans="1:2" x14ac:dyDescent="0.25">
      <c r="A34" s="18" t="s">
        <v>105</v>
      </c>
      <c r="B34">
        <v>3.473269189700539</v>
      </c>
    </row>
    <row r="35" spans="1:2" x14ac:dyDescent="0.25">
      <c r="A35" s="18" t="s">
        <v>106</v>
      </c>
      <c r="B35">
        <v>1.6151425885456976</v>
      </c>
    </row>
    <row r="36" spans="1:2" x14ac:dyDescent="0.25">
      <c r="A36" s="18" t="s">
        <v>107</v>
      </c>
      <c r="B36">
        <v>1.9485309126979169</v>
      </c>
    </row>
    <row r="37" spans="1:2" x14ac:dyDescent="0.25">
      <c r="A37" s="18" t="s">
        <v>108</v>
      </c>
      <c r="B37">
        <v>1.5859725967053764</v>
      </c>
    </row>
    <row r="38" spans="1:2" x14ac:dyDescent="0.25">
      <c r="A38" s="18" t="s">
        <v>109</v>
      </c>
      <c r="B38">
        <v>17.897615418575924</v>
      </c>
    </row>
    <row r="39" spans="1:2" x14ac:dyDescent="0.25">
      <c r="A39" s="18" t="s">
        <v>110</v>
      </c>
      <c r="B39">
        <v>4.5192794564182481</v>
      </c>
    </row>
    <row r="40" spans="1:2" x14ac:dyDescent="0.25">
      <c r="A40" s="18" t="s">
        <v>111</v>
      </c>
    </row>
    <row r="41" spans="1:2" x14ac:dyDescent="0.25">
      <c r="A41" s="18" t="s">
        <v>112</v>
      </c>
      <c r="B41">
        <v>4.3467158320823849</v>
      </c>
    </row>
    <row r="42" spans="1:2" x14ac:dyDescent="0.25">
      <c r="A42" s="18" t="s">
        <v>113</v>
      </c>
      <c r="B42">
        <v>9.23579357242469</v>
      </c>
    </row>
    <row r="43" spans="1:2" x14ac:dyDescent="0.25">
      <c r="A43" s="18" t="s">
        <v>114</v>
      </c>
      <c r="B43">
        <v>0.71525517213256629</v>
      </c>
    </row>
    <row r="44" spans="1:2" x14ac:dyDescent="0.25">
      <c r="A44" s="18" t="s">
        <v>115</v>
      </c>
    </row>
    <row r="45" spans="1:2" x14ac:dyDescent="0.25">
      <c r="A45" s="18" t="s">
        <v>116</v>
      </c>
    </row>
    <row r="46" spans="1:2" x14ac:dyDescent="0.25">
      <c r="A46" s="18" t="s">
        <v>117</v>
      </c>
      <c r="B46">
        <v>10.948446187279131</v>
      </c>
    </row>
    <row r="47" spans="1:2" x14ac:dyDescent="0.25">
      <c r="A47" s="18" t="s">
        <v>118</v>
      </c>
      <c r="B47">
        <v>1.5130345032444287E-2</v>
      </c>
    </row>
    <row r="48" spans="1:2" x14ac:dyDescent="0.25">
      <c r="A48" s="18" t="s">
        <v>119</v>
      </c>
      <c r="B48">
        <v>2.5410397040110504</v>
      </c>
    </row>
    <row r="49" spans="1:2" x14ac:dyDescent="0.25">
      <c r="A49" s="18" t="s">
        <v>120</v>
      </c>
      <c r="B49">
        <v>3.8592629180049041E-2</v>
      </c>
    </row>
    <row r="50" spans="1:2" x14ac:dyDescent="0.25">
      <c r="A50" s="18" t="s">
        <v>121</v>
      </c>
      <c r="B50">
        <v>4.94203199344321E-3</v>
      </c>
    </row>
    <row r="51" spans="1:2" x14ac:dyDescent="0.25">
      <c r="A51" s="18" t="s">
        <v>122</v>
      </c>
      <c r="B51">
        <v>1.3386062555825475</v>
      </c>
    </row>
    <row r="52" spans="1:2" x14ac:dyDescent="0.25">
      <c r="A52" s="18" t="s">
        <v>123</v>
      </c>
      <c r="B52">
        <v>3.5188354780302311</v>
      </c>
    </row>
    <row r="53" spans="1:2" x14ac:dyDescent="0.25">
      <c r="A53" s="18" t="s">
        <v>124</v>
      </c>
      <c r="B53">
        <v>5.2312609982947302</v>
      </c>
    </row>
    <row r="54" spans="1:2" x14ac:dyDescent="0.25">
      <c r="A54" s="18" t="s">
        <v>125</v>
      </c>
      <c r="B54">
        <v>0.23868582758496906</v>
      </c>
    </row>
    <row r="55" spans="1:2" x14ac:dyDescent="0.25">
      <c r="A55" s="18" t="s">
        <v>126</v>
      </c>
      <c r="B55">
        <v>2.6589706007682321</v>
      </c>
    </row>
    <row r="56" spans="1:2" x14ac:dyDescent="0.25">
      <c r="A56" s="18" t="s">
        <v>127</v>
      </c>
      <c r="B56">
        <v>29.383376809802943</v>
      </c>
    </row>
    <row r="57" spans="1:2" x14ac:dyDescent="0.25">
      <c r="A57" s="18" t="s">
        <v>128</v>
      </c>
      <c r="B57">
        <v>0.11315131589908731</v>
      </c>
    </row>
    <row r="58" spans="1:2" x14ac:dyDescent="0.25">
      <c r="A58" s="18" t="s">
        <v>129</v>
      </c>
      <c r="B58">
        <v>6.5199713806059494</v>
      </c>
    </row>
    <row r="59" spans="1:2" x14ac:dyDescent="0.25">
      <c r="A59" s="18" t="s">
        <v>130</v>
      </c>
      <c r="B59">
        <v>6.5331070892331455</v>
      </c>
    </row>
    <row r="60" spans="1:2" x14ac:dyDescent="0.25">
      <c r="A60" s="18" t="s">
        <v>131</v>
      </c>
      <c r="B60">
        <v>4.0207701520905346</v>
      </c>
    </row>
    <row r="61" spans="1:2" x14ac:dyDescent="0.25">
      <c r="A61" s="18" t="s">
        <v>132</v>
      </c>
      <c r="B61">
        <v>10.740300040565813</v>
      </c>
    </row>
    <row r="62" spans="1:2" x14ac:dyDescent="0.25">
      <c r="A62" s="18" t="s">
        <v>133</v>
      </c>
      <c r="B62">
        <v>7.5868352739774858</v>
      </c>
    </row>
    <row r="63" spans="1:2" x14ac:dyDescent="0.25">
      <c r="A63" s="18" t="s">
        <v>134</v>
      </c>
      <c r="B63">
        <v>7.6316552710340018</v>
      </c>
    </row>
    <row r="64" spans="1:2" x14ac:dyDescent="0.25">
      <c r="A64" s="18" t="s">
        <v>135</v>
      </c>
      <c r="B64">
        <v>2.749375120106456</v>
      </c>
    </row>
    <row r="65" spans="1:2" x14ac:dyDescent="0.25">
      <c r="A65" s="18" t="s">
        <v>136</v>
      </c>
      <c r="B65">
        <v>6.6787532193154373E-3</v>
      </c>
    </row>
    <row r="66" spans="1:2" x14ac:dyDescent="0.25">
      <c r="A66" s="18" t="s">
        <v>137</v>
      </c>
    </row>
    <row r="67" spans="1:2" x14ac:dyDescent="0.25">
      <c r="A67" s="18" t="s">
        <v>138</v>
      </c>
      <c r="B67">
        <v>25.622505590026435</v>
      </c>
    </row>
    <row r="68" spans="1:2" x14ac:dyDescent="0.25">
      <c r="A68" s="18" t="s">
        <v>139</v>
      </c>
      <c r="B68">
        <v>4.1268174288088426</v>
      </c>
    </row>
    <row r="69" spans="1:2" x14ac:dyDescent="0.25">
      <c r="A69" s="18" t="s">
        <v>140</v>
      </c>
      <c r="B69">
        <v>64.248594037048164</v>
      </c>
    </row>
    <row r="70" spans="1:2" x14ac:dyDescent="0.25">
      <c r="A70" s="18" t="s">
        <v>141</v>
      </c>
      <c r="B70">
        <v>247.49712802591498</v>
      </c>
    </row>
    <row r="71" spans="1:2" x14ac:dyDescent="0.25">
      <c r="A71" s="18" t="s">
        <v>142</v>
      </c>
    </row>
    <row r="72" spans="1:2" x14ac:dyDescent="0.25">
      <c r="A72" s="18" t="s">
        <v>143</v>
      </c>
    </row>
    <row r="73" spans="1:2" x14ac:dyDescent="0.25">
      <c r="A73" s="18" t="s">
        <v>144</v>
      </c>
      <c r="B73">
        <v>19.878108362955494</v>
      </c>
    </row>
    <row r="74" spans="1:2" x14ac:dyDescent="0.25">
      <c r="A74" s="18" t="s">
        <v>145</v>
      </c>
    </row>
    <row r="75" spans="1:2" x14ac:dyDescent="0.25">
      <c r="A75" s="18" t="s">
        <v>146</v>
      </c>
      <c r="B75">
        <v>14.985044680349594</v>
      </c>
    </row>
    <row r="76" spans="1:2" x14ac:dyDescent="0.25">
      <c r="A76" s="18" t="s">
        <v>147</v>
      </c>
      <c r="B76">
        <v>207.3466137605194</v>
      </c>
    </row>
    <row r="77" spans="1:2" x14ac:dyDescent="0.25">
      <c r="A77" s="18" t="s">
        <v>148</v>
      </c>
    </row>
    <row r="78" spans="1:2" x14ac:dyDescent="0.25">
      <c r="A78" s="18" t="s">
        <v>149</v>
      </c>
    </row>
    <row r="79" spans="1:2" x14ac:dyDescent="0.25">
      <c r="A79" s="18" t="s">
        <v>150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03B8C-1DB9-4BC9-A23B-CE0E67298929}">
  <dimension ref="A2:T46"/>
  <sheetViews>
    <sheetView topLeftCell="A25" workbookViewId="0">
      <selection activeCell="I48" sqref="I48"/>
    </sheetView>
  </sheetViews>
  <sheetFormatPr defaultRowHeight="15" x14ac:dyDescent="0.25"/>
  <cols>
    <col min="11" max="11" width="11.42578125" bestFit="1" customWidth="1"/>
  </cols>
  <sheetData>
    <row r="2" spans="1:20" ht="15.75" thickBot="1" x14ac:dyDescent="0.3"/>
    <row r="3" spans="1:20" ht="15.75" thickBot="1" x14ac:dyDescent="0.3">
      <c r="A3" t="s">
        <v>554</v>
      </c>
      <c r="B3" s="88"/>
      <c r="C3" s="89" t="s">
        <v>478</v>
      </c>
      <c r="D3" s="89" t="s">
        <v>479</v>
      </c>
      <c r="E3" s="89" t="s">
        <v>550</v>
      </c>
      <c r="F3" s="90" t="s">
        <v>481</v>
      </c>
      <c r="G3" s="89" t="s">
        <v>483</v>
      </c>
      <c r="H3" s="91" t="s">
        <v>551</v>
      </c>
      <c r="I3" s="89" t="s">
        <v>151</v>
      </c>
      <c r="J3" s="90" t="s">
        <v>533</v>
      </c>
      <c r="K3" s="92" t="s">
        <v>552</v>
      </c>
      <c r="L3" s="89" t="s">
        <v>553</v>
      </c>
      <c r="M3" s="88" t="s">
        <v>165</v>
      </c>
      <c r="N3" s="89" t="s">
        <v>495</v>
      </c>
      <c r="O3" s="89" t="s">
        <v>497</v>
      </c>
      <c r="P3" s="90" t="s">
        <v>181</v>
      </c>
      <c r="Q3" s="93" t="s">
        <v>186</v>
      </c>
      <c r="R3" s="94" t="s">
        <v>188</v>
      </c>
    </row>
    <row r="4" spans="1:20" x14ac:dyDescent="0.25">
      <c r="B4" s="95" t="s">
        <v>478</v>
      </c>
      <c r="C4" s="96"/>
      <c r="D4" s="96"/>
      <c r="E4" s="96"/>
      <c r="F4" s="126">
        <f>SUM(SAM!BW8:CY36)</f>
        <v>1658.9367210133014</v>
      </c>
      <c r="G4" s="96">
        <f>SUM(SAM!CZ8:EJ36)</f>
        <v>0</v>
      </c>
      <c r="H4" s="98">
        <f>SUM(SAM!EK8:EV36)</f>
        <v>0</v>
      </c>
      <c r="I4" s="96"/>
      <c r="J4" s="97"/>
      <c r="K4" s="99"/>
      <c r="L4" s="96"/>
      <c r="M4" s="100"/>
      <c r="N4" s="127">
        <f>SUM(SAM!FL8:FU36)</f>
        <v>466.46012689861703</v>
      </c>
      <c r="O4" s="127">
        <f>SUM(SAM!FV8:FZ36)</f>
        <v>33.339390582258531</v>
      </c>
      <c r="P4" s="101"/>
      <c r="Q4" s="93"/>
      <c r="R4" s="94"/>
      <c r="T4">
        <f>SUM(C4:R4)</f>
        <v>2158.7362384941771</v>
      </c>
    </row>
    <row r="5" spans="1:20" x14ac:dyDescent="0.25">
      <c r="B5" s="95" t="s">
        <v>479</v>
      </c>
      <c r="C5" s="96"/>
      <c r="D5" s="96"/>
      <c r="E5" s="96"/>
      <c r="F5" s="97">
        <f>SUM(SAM!BW37:CY68)</f>
        <v>0</v>
      </c>
      <c r="G5" s="127">
        <f>SUM(SAM!CZ37:EJ68)</f>
        <v>3203.242490122137</v>
      </c>
      <c r="H5" s="98">
        <f>SUM(SAM!EK37:EV68)</f>
        <v>0</v>
      </c>
      <c r="I5" s="96"/>
      <c r="J5" s="97"/>
      <c r="K5" s="99"/>
      <c r="L5" s="96"/>
      <c r="M5" s="100"/>
      <c r="N5" s="96"/>
      <c r="O5" s="96"/>
      <c r="P5" s="101"/>
      <c r="R5" s="102"/>
      <c r="T5">
        <f t="shared" ref="T5:T19" si="0">SUM(C5:R5)</f>
        <v>3203.242490122137</v>
      </c>
    </row>
    <row r="6" spans="1:20" ht="15.75" thickBot="1" x14ac:dyDescent="0.3">
      <c r="B6" s="95" t="s">
        <v>550</v>
      </c>
      <c r="C6" s="96"/>
      <c r="D6" s="96"/>
      <c r="E6" s="96"/>
      <c r="F6" s="97">
        <f>SUM(SAM!BW69:CY80)</f>
        <v>0</v>
      </c>
      <c r="G6" s="96">
        <f>SUM(SAM!CZ69:EJ80)</f>
        <v>0</v>
      </c>
      <c r="H6" s="128">
        <f>SUM(SAM!EK69:EV80)</f>
        <v>6003.7535028215771</v>
      </c>
      <c r="I6" s="96"/>
      <c r="J6" s="97"/>
      <c r="K6" s="99"/>
      <c r="L6" s="96"/>
      <c r="M6" s="100"/>
      <c r="N6" s="96"/>
      <c r="O6" s="96"/>
      <c r="P6" s="101"/>
      <c r="Q6" s="103"/>
      <c r="R6" s="104"/>
      <c r="T6">
        <f t="shared" si="0"/>
        <v>6003.7535028215771</v>
      </c>
    </row>
    <row r="7" spans="1:20" x14ac:dyDescent="0.25">
      <c r="B7" s="105" t="s">
        <v>481</v>
      </c>
      <c r="C7" s="129">
        <f>SUM(SAM!B81:AD109)</f>
        <v>147.77625091399429</v>
      </c>
      <c r="D7" s="129">
        <f>SUM(SAM!AE81:BJ109)</f>
        <v>532.96275522907979</v>
      </c>
      <c r="E7" s="129">
        <f>SUM(SAM!BK81:BV109)</f>
        <v>59.889882889496313</v>
      </c>
      <c r="F7" s="107"/>
      <c r="G7" s="106"/>
      <c r="H7" s="108"/>
      <c r="I7" s="106"/>
      <c r="J7" s="107"/>
      <c r="K7" s="109"/>
      <c r="L7" s="106"/>
      <c r="M7" s="110"/>
      <c r="N7" s="129">
        <f>SUM(SAM!FL81:FU109)</f>
        <v>788.43477977772829</v>
      </c>
      <c r="O7" s="129">
        <f>SUM(SAM!FV81:FZ109)</f>
        <v>413.94352742697811</v>
      </c>
      <c r="P7" s="111"/>
      <c r="Q7" s="138">
        <f>SUM(SAM!GF81:GG109)</f>
        <v>3.510290446166338</v>
      </c>
      <c r="R7" s="139">
        <f>SUM(SAM!GH81:GH109)</f>
        <v>111.75699894005189</v>
      </c>
      <c r="T7">
        <f t="shared" si="0"/>
        <v>2058.2744856234949</v>
      </c>
    </row>
    <row r="8" spans="1:20" x14ac:dyDescent="0.25">
      <c r="B8" s="95" t="s">
        <v>483</v>
      </c>
      <c r="C8" s="127">
        <f>SUM(SAM!B110:AD146)</f>
        <v>110.7437861923251</v>
      </c>
      <c r="D8" s="127">
        <f>SUM(SAM!AE110:BJ146)</f>
        <v>1077.72121036866</v>
      </c>
      <c r="E8" s="127">
        <f>SUM(SAM!BK110:BV146)</f>
        <v>1012.2261185957951</v>
      </c>
      <c r="F8" s="97"/>
      <c r="G8" s="96"/>
      <c r="H8" s="98"/>
      <c r="I8" s="96"/>
      <c r="J8" s="97"/>
      <c r="K8" s="99"/>
      <c r="L8" s="96"/>
      <c r="M8" s="100"/>
      <c r="N8" s="127">
        <f>SUM(SAM!FL110:FU146)</f>
        <v>817.75983459403608</v>
      </c>
      <c r="O8" s="127">
        <f>SUM(SAM!FV110:FZ146)</f>
        <v>556.7344918165694</v>
      </c>
      <c r="P8" s="101"/>
      <c r="Q8" s="140">
        <f>SUM(SAM!GF110:GG146)</f>
        <v>1712.1920838019551</v>
      </c>
      <c r="R8" s="139">
        <f>SUM(SAM!GH110:GH146)</f>
        <v>287.00969591053888</v>
      </c>
      <c r="T8">
        <f t="shared" si="0"/>
        <v>5574.3872212798788</v>
      </c>
    </row>
    <row r="9" spans="1:20" ht="15.75" thickBot="1" x14ac:dyDescent="0.3">
      <c r="B9" s="113" t="s">
        <v>551</v>
      </c>
      <c r="C9" s="130">
        <f>SUM(SAM!B147:AD158)</f>
        <v>34.667194272040803</v>
      </c>
      <c r="D9" s="130">
        <f>SUM(SAM!AE147:BJ158)</f>
        <v>484.80689265135106</v>
      </c>
      <c r="E9" s="130">
        <f>SUM(SAM!BK147:BV158)</f>
        <v>1901.3211594739832</v>
      </c>
      <c r="F9" s="115"/>
      <c r="G9" s="114"/>
      <c r="H9" s="116"/>
      <c r="I9" s="130">
        <f>SUM(SAM!EW147:EW158)</f>
        <v>1009.9683055588279</v>
      </c>
      <c r="J9" s="115"/>
      <c r="K9" s="117"/>
      <c r="L9" s="114"/>
      <c r="M9" s="118"/>
      <c r="N9" s="130">
        <f>SUM(SAM!FL147:FU158)</f>
        <v>798.87404294111025</v>
      </c>
      <c r="O9" s="130">
        <f>SUM(SAM!FV147:FZ158)</f>
        <v>1014.0013731088912</v>
      </c>
      <c r="P9" s="137">
        <f>SUM(SAM!GA147:GA158)</f>
        <v>1072.2008064167735</v>
      </c>
      <c r="Q9" s="103">
        <f>SUM(SAM!GF147:GG159)</f>
        <v>0</v>
      </c>
      <c r="R9" s="141">
        <f>SUM(SAM!GH147:GH158)</f>
        <v>558.08230629559648</v>
      </c>
      <c r="T9">
        <f t="shared" si="0"/>
        <v>6873.9220807185757</v>
      </c>
    </row>
    <row r="10" spans="1:20" ht="15.75" thickBot="1" x14ac:dyDescent="0.3">
      <c r="B10" s="113" t="s">
        <v>151</v>
      </c>
      <c r="C10" s="114"/>
      <c r="D10" s="114"/>
      <c r="E10" s="114"/>
      <c r="F10" s="131">
        <f>SUM(SAM!BW159:CY159)</f>
        <v>305.03851961771494</v>
      </c>
      <c r="G10" s="132">
        <f>SUM(SAM!CZ159:EJ159)</f>
        <v>704.92978594111389</v>
      </c>
      <c r="H10" s="116">
        <f>SUM(SAM!EK159:EV159)</f>
        <v>0</v>
      </c>
      <c r="I10" s="114"/>
      <c r="J10" s="115"/>
      <c r="K10" s="117"/>
      <c r="L10" s="114"/>
      <c r="M10" s="118"/>
      <c r="N10" s="114"/>
      <c r="O10" s="114"/>
      <c r="P10" s="119"/>
      <c r="Q10" s="120"/>
      <c r="R10" s="104"/>
      <c r="T10">
        <f t="shared" si="0"/>
        <v>1009.9683055588289</v>
      </c>
    </row>
    <row r="11" spans="1:20" x14ac:dyDescent="0.25">
      <c r="B11" s="95" t="s">
        <v>533</v>
      </c>
      <c r="C11" s="127">
        <f>SUM(SAM!B160:AD167)</f>
        <v>796.57557399866528</v>
      </c>
      <c r="D11" s="127">
        <f>SUM(SAM!AE160:BJ167)</f>
        <v>684.9694360959395</v>
      </c>
      <c r="E11" s="127">
        <f>SUM(SAM!BK160:BV167)</f>
        <v>1937.9676119948256</v>
      </c>
      <c r="F11" s="97"/>
      <c r="G11" s="96"/>
      <c r="H11" s="98"/>
      <c r="I11" s="96"/>
      <c r="J11" s="97"/>
      <c r="K11" s="99"/>
      <c r="L11" s="96"/>
      <c r="M11" s="100"/>
      <c r="N11" s="96"/>
      <c r="O11" s="96"/>
      <c r="P11" s="101"/>
      <c r="R11" s="139">
        <f>SUM(SAM!GH160:GH167)</f>
        <v>4.0893736898277764</v>
      </c>
      <c r="T11">
        <f t="shared" si="0"/>
        <v>3423.6019957792582</v>
      </c>
    </row>
    <row r="12" spans="1:20" x14ac:dyDescent="0.25">
      <c r="B12" s="95" t="s">
        <v>552</v>
      </c>
      <c r="C12" s="127">
        <f>SUM(SAM!B168:AD168)</f>
        <v>750.44467353892378</v>
      </c>
      <c r="D12" s="96"/>
      <c r="E12" s="96"/>
      <c r="F12" s="97"/>
      <c r="G12" s="96"/>
      <c r="H12" s="98"/>
      <c r="I12" s="96"/>
      <c r="J12" s="97"/>
      <c r="K12" s="99"/>
      <c r="L12" s="96"/>
      <c r="M12" s="100"/>
      <c r="N12" s="96"/>
      <c r="O12" s="96"/>
      <c r="P12" s="101"/>
      <c r="Q12" s="112"/>
      <c r="R12" s="102">
        <f>SUM(SAM!GH168)</f>
        <v>0</v>
      </c>
      <c r="T12">
        <f t="shared" si="0"/>
        <v>750.44467353892378</v>
      </c>
    </row>
    <row r="13" spans="1:20" ht="15.75" thickBot="1" x14ac:dyDescent="0.3">
      <c r="B13" s="95" t="s">
        <v>553</v>
      </c>
      <c r="C13" s="127">
        <f>SUM(SAM!B169:AD172)</f>
        <v>318.52875957822675</v>
      </c>
      <c r="D13" s="127">
        <f>SUM(SAM!AE169:BJ172)</f>
        <v>422.78219577710638</v>
      </c>
      <c r="E13" s="127">
        <f>SUM(SAM!BK169:BV172)</f>
        <v>1092.3487298674781</v>
      </c>
      <c r="F13" s="97"/>
      <c r="G13" s="96"/>
      <c r="H13" s="98"/>
      <c r="I13" s="96"/>
      <c r="J13" s="97"/>
      <c r="K13" s="99"/>
      <c r="L13" s="96"/>
      <c r="M13" s="100"/>
      <c r="N13" s="96"/>
      <c r="O13" s="96"/>
      <c r="P13" s="101"/>
      <c r="R13" s="139">
        <f>SUM(SAM!GH169:GH172)</f>
        <v>3.2746949802136052</v>
      </c>
      <c r="T13">
        <f t="shared" si="0"/>
        <v>1836.9343802030248</v>
      </c>
    </row>
    <row r="14" spans="1:20" ht="15.75" thickBot="1" x14ac:dyDescent="0.3">
      <c r="B14" s="88" t="s">
        <v>165</v>
      </c>
      <c r="C14" s="121"/>
      <c r="D14" s="121"/>
      <c r="E14" s="121"/>
      <c r="F14" s="122"/>
      <c r="G14" s="121"/>
      <c r="H14" s="123"/>
      <c r="I14" s="121"/>
      <c r="J14" s="122"/>
      <c r="K14" s="124"/>
      <c r="L14" s="132">
        <f>SUM(SAM!FI173:FJ173)</f>
        <v>1336.737203367202</v>
      </c>
      <c r="M14" s="125"/>
      <c r="N14" s="121"/>
      <c r="O14" s="121"/>
      <c r="P14" s="144">
        <f>SAM!GA173</f>
        <v>144.656962129655</v>
      </c>
      <c r="Q14" s="89"/>
      <c r="R14" s="142">
        <f>SUM(SAM!GH173)</f>
        <v>63.243464998488129</v>
      </c>
      <c r="T14">
        <f t="shared" si="0"/>
        <v>1544.6376304953453</v>
      </c>
    </row>
    <row r="15" spans="1:20" x14ac:dyDescent="0.25">
      <c r="B15" s="95" t="s">
        <v>495</v>
      </c>
      <c r="C15" s="96"/>
      <c r="D15" s="96"/>
      <c r="E15" s="96"/>
      <c r="F15" s="97"/>
      <c r="G15" s="96"/>
      <c r="H15" s="98"/>
      <c r="I15" s="96"/>
      <c r="J15" s="126">
        <f>SUM(SAM!EX174:FE183)</f>
        <v>1710.1659295211514</v>
      </c>
      <c r="K15" s="135">
        <f>SUM(SAM!FF174:FF183)</f>
        <v>677.93668360655533</v>
      </c>
      <c r="L15" s="127">
        <f>SUM(SAM!FG174:FJ183)</f>
        <v>282.03315999090216</v>
      </c>
      <c r="M15" s="146">
        <f>SUM(SAM!FK174:FK183)</f>
        <v>420.58043289073709</v>
      </c>
      <c r="N15" s="96"/>
      <c r="O15" s="96"/>
      <c r="P15" s="145">
        <f>SUM(SAM!GA174:GA183)</f>
        <v>51.13332021062029</v>
      </c>
      <c r="R15" s="139">
        <f>SUM(SAM!GH174:GH183)</f>
        <v>27.721671065337105</v>
      </c>
      <c r="T15">
        <f t="shared" si="0"/>
        <v>3169.5711972853032</v>
      </c>
    </row>
    <row r="16" spans="1:20" ht="15.75" thickBot="1" x14ac:dyDescent="0.3">
      <c r="B16" s="113" t="s">
        <v>497</v>
      </c>
      <c r="C16" s="114"/>
      <c r="D16" s="114"/>
      <c r="E16" s="114"/>
      <c r="F16" s="115"/>
      <c r="G16" s="114"/>
      <c r="H16" s="116"/>
      <c r="I16" s="114"/>
      <c r="J16" s="133">
        <f>SUM(SAM!EX184:FE188)</f>
        <v>1655.1750881716621</v>
      </c>
      <c r="K16" s="136">
        <f>SUM(SAM!FF184:FF188)</f>
        <v>72.507989932368957</v>
      </c>
      <c r="L16" s="130">
        <f>SUM(SAM!FG184:FJ188)</f>
        <v>36.495599587324683</v>
      </c>
      <c r="M16" s="147">
        <f>SUM(SAM!FK184:FK188)</f>
        <v>627.10302834730385</v>
      </c>
      <c r="N16" s="114"/>
      <c r="O16" s="114"/>
      <c r="P16" s="137">
        <f>SUM(SAM!GA184:GA188)</f>
        <v>69.078422570582575</v>
      </c>
      <c r="R16" s="139">
        <f>SUM(SAM!GH184:GH188)</f>
        <v>57.886800393278286</v>
      </c>
      <c r="T16">
        <f t="shared" si="0"/>
        <v>2518.2469290025206</v>
      </c>
    </row>
    <row r="17" spans="1:20" x14ac:dyDescent="0.25">
      <c r="B17" s="95" t="s">
        <v>181</v>
      </c>
      <c r="C17" s="96"/>
      <c r="D17" s="96"/>
      <c r="E17" s="96"/>
      <c r="F17" s="126">
        <f>SUM(SAM!BW190:CY193)</f>
        <v>12.194137520106077</v>
      </c>
      <c r="G17" s="127">
        <f>SUM(SAM!CZ190:EJ193)</f>
        <v>294.82376205396019</v>
      </c>
      <c r="H17" s="128">
        <f>SUM(SAM!EK191:EV193)</f>
        <v>125.64417939795581</v>
      </c>
      <c r="I17" s="96"/>
      <c r="J17" s="97"/>
      <c r="K17" s="99"/>
      <c r="L17" s="127">
        <f>SUM(SAM!FG191:FJ191)</f>
        <v>0.79905242463502946</v>
      </c>
      <c r="M17" s="146">
        <f>SUM(SAM!FK189:FK193)</f>
        <v>438.51298948934573</v>
      </c>
      <c r="N17" s="127">
        <f>SUM(SAM!FL189:FU193)</f>
        <v>102.95392823795305</v>
      </c>
      <c r="O17" s="127">
        <f>SUM(SAM!FV189:FZ193)</f>
        <v>276.26374176635557</v>
      </c>
      <c r="P17" s="126">
        <f>SUM(SAM!GB189:GE189)</f>
        <v>1005.321524939696</v>
      </c>
      <c r="Q17" s="93"/>
      <c r="R17" s="143">
        <f>SAM!GH189</f>
        <v>448.86050921811744</v>
      </c>
      <c r="T17">
        <f t="shared" si="0"/>
        <v>2705.3738250481251</v>
      </c>
    </row>
    <row r="18" spans="1:20" x14ac:dyDescent="0.25">
      <c r="B18" s="95" t="s">
        <v>186</v>
      </c>
      <c r="C18" s="96"/>
      <c r="D18" s="96"/>
      <c r="E18" s="96"/>
      <c r="F18" s="97"/>
      <c r="G18" s="96"/>
      <c r="H18" s="98"/>
      <c r="I18" s="96"/>
      <c r="J18" s="97"/>
      <c r="K18" s="99"/>
      <c r="L18" s="96"/>
      <c r="M18" s="146">
        <f>SAM!FK194</f>
        <v>53.357947862574434</v>
      </c>
      <c r="N18" s="127">
        <f>SUM(SAM!FL194:FU195)</f>
        <v>177.83095064733507</v>
      </c>
      <c r="O18" s="127">
        <f>SUM(SAM!FV194:FZ195)</f>
        <v>194.11596670215667</v>
      </c>
      <c r="P18" s="145">
        <f>SUM(SAM!GA194:GA195)</f>
        <v>331.84624123337687</v>
      </c>
      <c r="Q18" s="127">
        <f>SUM(SAM!GF194:GF195)</f>
        <v>36.896079695357876</v>
      </c>
      <c r="R18" s="139">
        <f>SUM(SAM!GH194:GH195)</f>
        <v>958.55126780267858</v>
      </c>
      <c r="T18">
        <f t="shared" si="0"/>
        <v>1752.5984539434794</v>
      </c>
    </row>
    <row r="19" spans="1:20" ht="15.75" thickBot="1" x14ac:dyDescent="0.3">
      <c r="B19" s="113" t="s">
        <v>188</v>
      </c>
      <c r="C19" s="114"/>
      <c r="D19" s="114"/>
      <c r="E19" s="114"/>
      <c r="F19" s="133">
        <f>SUM(SAM!BW196:CY196)</f>
        <v>82.105107472372893</v>
      </c>
      <c r="G19" s="130">
        <f>SUM(SAM!CZ196:EJ196)</f>
        <v>1371.3911831626717</v>
      </c>
      <c r="H19" s="134">
        <f>SUM(SAM!EK196:EV196)</f>
        <v>744.52439849904192</v>
      </c>
      <c r="I19" s="114"/>
      <c r="J19" s="133">
        <f>SUM(SAM!EX196:FE196)</f>
        <v>58.260978086445881</v>
      </c>
      <c r="K19" s="117"/>
      <c r="L19" s="130">
        <f>SUM(SAM!FI196:FJ196)</f>
        <v>180.86936483296085</v>
      </c>
      <c r="M19" s="147">
        <f>SAM!FK196</f>
        <v>5.0832319053846957</v>
      </c>
      <c r="N19" s="130">
        <f>SUM(SAM!FL196:FU196)</f>
        <v>17.257534188522612</v>
      </c>
      <c r="O19" s="130">
        <f>SUM(SAM!FV196:FZ196)</f>
        <v>29.848437599306546</v>
      </c>
      <c r="P19" s="137">
        <f>SAM!GA196</f>
        <v>31.136547547421436</v>
      </c>
      <c r="Q19" s="103"/>
      <c r="R19" s="116"/>
      <c r="T19">
        <f t="shared" si="0"/>
        <v>2520.4767832941288</v>
      </c>
    </row>
    <row r="22" spans="1:20" x14ac:dyDescent="0.25">
      <c r="C22">
        <f>SUM(C4:C19)</f>
        <v>2158.7362384941762</v>
      </c>
      <c r="D22">
        <f t="shared" ref="D22:R22" si="1">SUM(D4:D19)</f>
        <v>3203.2424901221366</v>
      </c>
      <c r="E22">
        <f t="shared" si="1"/>
        <v>6003.753502821578</v>
      </c>
      <c r="F22">
        <f t="shared" si="1"/>
        <v>2058.2744856234954</v>
      </c>
      <c r="G22">
        <f t="shared" si="1"/>
        <v>5574.3872212798833</v>
      </c>
      <c r="H22">
        <f t="shared" si="1"/>
        <v>6873.9220807185748</v>
      </c>
      <c r="I22">
        <f t="shared" si="1"/>
        <v>1009.9683055588279</v>
      </c>
      <c r="J22">
        <f t="shared" si="1"/>
        <v>3423.6019957792596</v>
      </c>
      <c r="K22">
        <f t="shared" si="1"/>
        <v>750.44467353892423</v>
      </c>
      <c r="L22">
        <f t="shared" si="1"/>
        <v>1836.9343802030246</v>
      </c>
      <c r="M22">
        <f t="shared" si="1"/>
        <v>1544.637630495346</v>
      </c>
      <c r="N22">
        <f t="shared" si="1"/>
        <v>3169.5711972853019</v>
      </c>
      <c r="O22">
        <f t="shared" si="1"/>
        <v>2518.246929002516</v>
      </c>
      <c r="P22">
        <f t="shared" si="1"/>
        <v>2705.373825048126</v>
      </c>
      <c r="Q22">
        <f t="shared" si="1"/>
        <v>1752.5984539434794</v>
      </c>
      <c r="R22">
        <f t="shared" si="1"/>
        <v>2520.4767832941279</v>
      </c>
    </row>
    <row r="24" spans="1:20" x14ac:dyDescent="0.25">
      <c r="C24">
        <f t="array" ref="C24:R24">TRANSPOSE(T4:T19)</f>
        <v>2158.7362384941771</v>
      </c>
      <c r="D24">
        <v>3203.242490122137</v>
      </c>
      <c r="E24">
        <v>6003.7535028215771</v>
      </c>
      <c r="F24">
        <v>2058.2744856234949</v>
      </c>
      <c r="G24">
        <v>5574.3872212798788</v>
      </c>
      <c r="H24">
        <v>6873.9220807185757</v>
      </c>
      <c r="I24">
        <v>1009.9683055588289</v>
      </c>
      <c r="J24">
        <v>3423.6019957792582</v>
      </c>
      <c r="K24">
        <v>750.44467353892378</v>
      </c>
      <c r="L24">
        <v>1836.9343802030248</v>
      </c>
      <c r="M24">
        <v>1544.6376304953453</v>
      </c>
      <c r="N24">
        <v>3169.5711972853032</v>
      </c>
      <c r="O24">
        <v>2518.2469290025206</v>
      </c>
      <c r="P24">
        <v>2705.3738250481251</v>
      </c>
      <c r="Q24">
        <v>1752.5984539434794</v>
      </c>
      <c r="R24">
        <v>2520.4767832941288</v>
      </c>
    </row>
    <row r="26" spans="1:20" x14ac:dyDescent="0.25">
      <c r="C26">
        <f>C22-C24</f>
        <v>0</v>
      </c>
      <c r="D26">
        <f t="shared" ref="D26:R26" si="2">D22-D24</f>
        <v>0</v>
      </c>
      <c r="E26">
        <f t="shared" si="2"/>
        <v>0</v>
      </c>
      <c r="F26">
        <f t="shared" si="2"/>
        <v>0</v>
      </c>
      <c r="G26">
        <f t="shared" si="2"/>
        <v>0</v>
      </c>
      <c r="H26">
        <f t="shared" si="2"/>
        <v>0</v>
      </c>
      <c r="I26">
        <f t="shared" si="2"/>
        <v>-1.0231815394945443E-12</v>
      </c>
      <c r="J26">
        <f t="shared" si="2"/>
        <v>0</v>
      </c>
      <c r="K26">
        <f t="shared" si="2"/>
        <v>0</v>
      </c>
      <c r="L26">
        <f t="shared" si="2"/>
        <v>0</v>
      </c>
      <c r="M26">
        <f t="shared" si="2"/>
        <v>0</v>
      </c>
      <c r="N26">
        <f t="shared" si="2"/>
        <v>0</v>
      </c>
      <c r="O26">
        <f t="shared" si="2"/>
        <v>-4.5474735088646412E-12</v>
      </c>
      <c r="P26">
        <f t="shared" si="2"/>
        <v>0</v>
      </c>
      <c r="Q26">
        <f t="shared" si="2"/>
        <v>0</v>
      </c>
      <c r="R26">
        <f t="shared" si="2"/>
        <v>0</v>
      </c>
    </row>
    <row r="27" spans="1:20" ht="15.75" thickBot="1" x14ac:dyDescent="0.3"/>
    <row r="28" spans="1:20" ht="15.75" thickBot="1" x14ac:dyDescent="0.3">
      <c r="A28" t="s">
        <v>555</v>
      </c>
      <c r="C28" s="89" t="s">
        <v>478</v>
      </c>
      <c r="D28" s="89" t="s">
        <v>479</v>
      </c>
      <c r="E28" s="150" t="s">
        <v>550</v>
      </c>
      <c r="G28" s="148" t="s">
        <v>253</v>
      </c>
    </row>
    <row r="29" spans="1:20" x14ac:dyDescent="0.25">
      <c r="A29" t="s">
        <v>556</v>
      </c>
      <c r="C29">
        <f>C22</f>
        <v>2158.7362384941762</v>
      </c>
      <c r="D29">
        <f t="shared" ref="D29:E29" si="3">D22</f>
        <v>3203.2424901221366</v>
      </c>
      <c r="E29">
        <f t="shared" si="3"/>
        <v>6003.753502821578</v>
      </c>
      <c r="G29">
        <f>SUM(C29:E29)</f>
        <v>11365.732231437891</v>
      </c>
    </row>
    <row r="30" spans="1:20" x14ac:dyDescent="0.25">
      <c r="C30" s="83">
        <f>C29/$G29</f>
        <v>0.18993375829522532</v>
      </c>
      <c r="D30" s="83">
        <f t="shared" ref="D30:E30" si="4">D29/$G29</f>
        <v>0.28183335881008093</v>
      </c>
      <c r="E30" s="149">
        <f t="shared" si="4"/>
        <v>0.52823288289469383</v>
      </c>
    </row>
    <row r="31" spans="1:20" ht="15.75" thickBot="1" x14ac:dyDescent="0.3"/>
    <row r="32" spans="1:20" ht="15.75" thickBot="1" x14ac:dyDescent="0.3">
      <c r="C32" s="89" t="s">
        <v>478</v>
      </c>
      <c r="D32" s="89" t="s">
        <v>479</v>
      </c>
      <c r="E32" s="150" t="s">
        <v>550</v>
      </c>
      <c r="G32" s="148" t="s">
        <v>253</v>
      </c>
    </row>
    <row r="33" spans="1:7" x14ac:dyDescent="0.25">
      <c r="A33" t="s">
        <v>557</v>
      </c>
      <c r="C33">
        <f>SUM(C11:C13)</f>
        <v>1865.5490071158158</v>
      </c>
      <c r="D33">
        <f t="shared" ref="D33:E33" si="5">SUM(D11:D13)</f>
        <v>1107.7516318730459</v>
      </c>
      <c r="E33">
        <f t="shared" si="5"/>
        <v>3030.3163418623035</v>
      </c>
      <c r="G33">
        <f>SUM(C33:E33)</f>
        <v>6003.616980851165</v>
      </c>
    </row>
    <row r="34" spans="1:7" x14ac:dyDescent="0.25">
      <c r="C34" s="83">
        <f>C33/$G33</f>
        <v>0.31073751258051224</v>
      </c>
      <c r="D34" s="83">
        <f t="shared" ref="D34:E34" si="6">D33/$G33</f>
        <v>0.18451404135311678</v>
      </c>
      <c r="E34" s="149">
        <f t="shared" si="6"/>
        <v>0.50474844606637104</v>
      </c>
    </row>
    <row r="35" spans="1:7" ht="15.75" thickBot="1" x14ac:dyDescent="0.3"/>
    <row r="36" spans="1:7" ht="15.75" thickBot="1" x14ac:dyDescent="0.3">
      <c r="C36" s="89" t="s">
        <v>478</v>
      </c>
      <c r="D36" s="89" t="s">
        <v>479</v>
      </c>
      <c r="E36" s="150" t="s">
        <v>550</v>
      </c>
      <c r="G36" s="148" t="s">
        <v>253</v>
      </c>
    </row>
    <row r="37" spans="1:7" x14ac:dyDescent="0.25">
      <c r="A37" t="s">
        <v>558</v>
      </c>
      <c r="C37">
        <f>C11</f>
        <v>796.57557399866528</v>
      </c>
      <c r="D37">
        <f t="shared" ref="D37:E37" si="7">D11</f>
        <v>684.9694360959395</v>
      </c>
      <c r="E37">
        <f t="shared" si="7"/>
        <v>1937.9676119948256</v>
      </c>
      <c r="G37">
        <f>SUM(C37:E37)</f>
        <v>3419.5126220894304</v>
      </c>
    </row>
    <row r="38" spans="1:7" x14ac:dyDescent="0.25">
      <c r="A38" t="s">
        <v>559</v>
      </c>
      <c r="C38" s="83">
        <f>C37/C33</f>
        <v>0.4269925748186002</v>
      </c>
      <c r="D38" s="83">
        <f t="shared" ref="D38:E38" si="8">D37/D33</f>
        <v>0.6183420690951783</v>
      </c>
      <c r="E38" s="83">
        <f t="shared" si="8"/>
        <v>0.63952650263696009</v>
      </c>
    </row>
    <row r="39" spans="1:7" x14ac:dyDescent="0.25">
      <c r="B39" s="86" t="s">
        <v>560</v>
      </c>
    </row>
    <row r="43" spans="1:7" x14ac:dyDescent="0.25">
      <c r="B43" t="s">
        <v>561</v>
      </c>
      <c r="C43">
        <f>R7</f>
        <v>111.75699894005189</v>
      </c>
      <c r="D43" s="83">
        <f>C43/C$46*100</f>
        <v>11.679690192097267</v>
      </c>
    </row>
    <row r="44" spans="1:7" x14ac:dyDescent="0.25">
      <c r="B44" t="s">
        <v>562</v>
      </c>
      <c r="C44">
        <f t="shared" ref="C44:C45" si="9">R8</f>
        <v>287.00969591053888</v>
      </c>
      <c r="D44" s="83">
        <f t="shared" ref="D44:D45" si="10">C44/C$46*100</f>
        <v>29.995296600271999</v>
      </c>
    </row>
    <row r="45" spans="1:7" x14ac:dyDescent="0.25">
      <c r="B45" s="2" t="s">
        <v>563</v>
      </c>
      <c r="C45" s="2">
        <f t="shared" si="9"/>
        <v>558.08230629559648</v>
      </c>
      <c r="D45" s="149">
        <f t="shared" si="10"/>
        <v>58.325013207630739</v>
      </c>
    </row>
    <row r="46" spans="1:7" x14ac:dyDescent="0.25">
      <c r="B46" t="s">
        <v>253</v>
      </c>
      <c r="C46">
        <f>SUM(C43:C45)</f>
        <v>956.84900114618722</v>
      </c>
      <c r="D46" s="8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85293-4E24-4D62-9328-7E2B78E63A4D}">
  <sheetPr>
    <tabColor theme="1" tint="0.249977111117893"/>
  </sheetPr>
  <dimension ref="A1:F43"/>
  <sheetViews>
    <sheetView zoomScale="70" zoomScaleNormal="70" workbookViewId="0">
      <pane ySplit="7" topLeftCell="A12" activePane="bottomLeft" state="frozen"/>
      <selection pane="bottomLeft" activeCell="C43" sqref="C43"/>
    </sheetView>
  </sheetViews>
  <sheetFormatPr defaultRowHeight="15" x14ac:dyDescent="0.25"/>
  <sheetData>
    <row r="1" spans="1:5" ht="18.75" x14ac:dyDescent="0.3">
      <c r="A1" s="1" t="s">
        <v>348</v>
      </c>
    </row>
    <row r="6" spans="1:5" x14ac:dyDescent="0.25">
      <c r="A6" s="2" t="s">
        <v>349</v>
      </c>
      <c r="B6" s="2" t="s">
        <v>350</v>
      </c>
      <c r="C6" s="2" t="s">
        <v>351</v>
      </c>
      <c r="D6" s="2" t="s">
        <v>352</v>
      </c>
      <c r="E6" s="2" t="s">
        <v>353</v>
      </c>
    </row>
    <row r="7" spans="1:5" x14ac:dyDescent="0.25">
      <c r="D7" t="s">
        <v>354</v>
      </c>
      <c r="E7" t="s">
        <v>355</v>
      </c>
    </row>
    <row r="8" spans="1:5" x14ac:dyDescent="0.25">
      <c r="A8" t="s">
        <v>356</v>
      </c>
      <c r="B8" t="s">
        <v>359</v>
      </c>
      <c r="C8" t="s">
        <v>358</v>
      </c>
      <c r="D8">
        <v>1</v>
      </c>
    </row>
    <row r="9" spans="1:5" x14ac:dyDescent="0.25">
      <c r="A9" t="s">
        <v>356</v>
      </c>
      <c r="B9" t="s">
        <v>362</v>
      </c>
      <c r="C9" t="s">
        <v>360</v>
      </c>
      <c r="D9">
        <v>1</v>
      </c>
    </row>
    <row r="10" spans="1:5" x14ac:dyDescent="0.25">
      <c r="A10" t="s">
        <v>356</v>
      </c>
      <c r="B10" t="s">
        <v>478</v>
      </c>
      <c r="C10" t="s">
        <v>361</v>
      </c>
      <c r="D10">
        <v>1</v>
      </c>
    </row>
    <row r="11" spans="1:5" x14ac:dyDescent="0.25">
      <c r="A11" t="s">
        <v>356</v>
      </c>
      <c r="B11" t="s">
        <v>365</v>
      </c>
      <c r="C11" t="s">
        <v>363</v>
      </c>
      <c r="D11">
        <v>1</v>
      </c>
    </row>
    <row r="12" spans="1:5" x14ac:dyDescent="0.25">
      <c r="A12" t="s">
        <v>356</v>
      </c>
      <c r="B12" t="s">
        <v>479</v>
      </c>
      <c r="C12" t="s">
        <v>364</v>
      </c>
      <c r="D12">
        <v>1</v>
      </c>
    </row>
    <row r="13" spans="1:5" x14ac:dyDescent="0.25">
      <c r="A13" t="s">
        <v>356</v>
      </c>
      <c r="B13" t="s">
        <v>480</v>
      </c>
      <c r="C13" t="s">
        <v>366</v>
      </c>
      <c r="D13">
        <v>1</v>
      </c>
    </row>
    <row r="14" spans="1:5" x14ac:dyDescent="0.25">
      <c r="A14" t="s">
        <v>356</v>
      </c>
      <c r="B14" t="s">
        <v>367</v>
      </c>
      <c r="C14" t="s">
        <v>368</v>
      </c>
      <c r="D14">
        <v>1</v>
      </c>
    </row>
    <row r="15" spans="1:5" x14ac:dyDescent="0.25">
      <c r="A15" t="s">
        <v>356</v>
      </c>
      <c r="B15" t="s">
        <v>481</v>
      </c>
      <c r="C15" t="s">
        <v>369</v>
      </c>
      <c r="D15">
        <v>1</v>
      </c>
    </row>
    <row r="16" spans="1:5" x14ac:dyDescent="0.25">
      <c r="A16" t="s">
        <v>356</v>
      </c>
      <c r="B16" t="s">
        <v>482</v>
      </c>
      <c r="C16" t="s">
        <v>370</v>
      </c>
      <c r="D16">
        <v>1</v>
      </c>
    </row>
    <row r="17" spans="1:4" x14ac:dyDescent="0.25">
      <c r="A17" t="s">
        <v>356</v>
      </c>
      <c r="B17" t="s">
        <v>483</v>
      </c>
      <c r="C17" t="s">
        <v>371</v>
      </c>
      <c r="D17">
        <v>1</v>
      </c>
    </row>
    <row r="18" spans="1:4" x14ac:dyDescent="0.25">
      <c r="A18" t="s">
        <v>356</v>
      </c>
      <c r="B18" t="s">
        <v>484</v>
      </c>
      <c r="C18" t="s">
        <v>372</v>
      </c>
      <c r="D18">
        <v>1</v>
      </c>
    </row>
    <row r="19" spans="1:4" x14ac:dyDescent="0.25">
      <c r="A19" t="s">
        <v>356</v>
      </c>
      <c r="B19" t="s">
        <v>387</v>
      </c>
      <c r="C19" t="s">
        <v>374</v>
      </c>
      <c r="D19">
        <v>1</v>
      </c>
    </row>
    <row r="20" spans="1:4" x14ac:dyDescent="0.25">
      <c r="A20" t="s">
        <v>356</v>
      </c>
      <c r="B20" t="s">
        <v>485</v>
      </c>
      <c r="C20" t="s">
        <v>376</v>
      </c>
      <c r="D20">
        <v>1</v>
      </c>
    </row>
    <row r="21" spans="1:4" x14ac:dyDescent="0.25">
      <c r="A21" t="s">
        <v>356</v>
      </c>
      <c r="B21" t="s">
        <v>420</v>
      </c>
      <c r="C21" t="s">
        <v>377</v>
      </c>
      <c r="D21">
        <v>1</v>
      </c>
    </row>
    <row r="22" spans="1:4" x14ac:dyDescent="0.25">
      <c r="A22" t="s">
        <v>356</v>
      </c>
      <c r="B22" t="s">
        <v>421</v>
      </c>
      <c r="C22" t="s">
        <v>486</v>
      </c>
      <c r="D22">
        <v>1</v>
      </c>
    </row>
    <row r="23" spans="1:4" x14ac:dyDescent="0.25">
      <c r="A23" t="s">
        <v>356</v>
      </c>
      <c r="B23" t="s">
        <v>160</v>
      </c>
      <c r="C23" t="s">
        <v>487</v>
      </c>
      <c r="D23">
        <v>1</v>
      </c>
    </row>
    <row r="24" spans="1:4" x14ac:dyDescent="0.25">
      <c r="A24" t="s">
        <v>356</v>
      </c>
      <c r="B24" t="s">
        <v>488</v>
      </c>
      <c r="C24" t="s">
        <v>379</v>
      </c>
      <c r="D24">
        <v>1</v>
      </c>
    </row>
    <row r="25" spans="1:4" x14ac:dyDescent="0.25">
      <c r="A25" t="s">
        <v>356</v>
      </c>
      <c r="B25" t="s">
        <v>489</v>
      </c>
      <c r="C25" t="s">
        <v>490</v>
      </c>
      <c r="D25">
        <v>1</v>
      </c>
    </row>
    <row r="26" spans="1:4" x14ac:dyDescent="0.25">
      <c r="A26" t="s">
        <v>356</v>
      </c>
      <c r="B26" t="s">
        <v>491</v>
      </c>
      <c r="C26" t="s">
        <v>492</v>
      </c>
      <c r="D26">
        <v>1</v>
      </c>
    </row>
    <row r="27" spans="1:4" x14ac:dyDescent="0.25">
      <c r="A27" t="s">
        <v>356</v>
      </c>
      <c r="B27" t="s">
        <v>493</v>
      </c>
      <c r="C27" t="s">
        <v>381</v>
      </c>
      <c r="D27">
        <v>1</v>
      </c>
    </row>
    <row r="28" spans="1:4" x14ac:dyDescent="0.25">
      <c r="A28" t="s">
        <v>356</v>
      </c>
      <c r="B28" t="s">
        <v>373</v>
      </c>
      <c r="C28" t="s">
        <v>494</v>
      </c>
      <c r="D28">
        <v>1</v>
      </c>
    </row>
    <row r="29" spans="1:4" x14ac:dyDescent="0.25">
      <c r="A29" t="s">
        <v>356</v>
      </c>
      <c r="B29" t="s">
        <v>495</v>
      </c>
      <c r="C29" t="s">
        <v>496</v>
      </c>
      <c r="D29">
        <v>1</v>
      </c>
    </row>
    <row r="30" spans="1:4" x14ac:dyDescent="0.25">
      <c r="A30" t="s">
        <v>356</v>
      </c>
      <c r="B30" t="s">
        <v>497</v>
      </c>
      <c r="C30" t="s">
        <v>382</v>
      </c>
      <c r="D30">
        <v>1</v>
      </c>
    </row>
    <row r="31" spans="1:4" x14ac:dyDescent="0.25">
      <c r="A31" t="s">
        <v>356</v>
      </c>
      <c r="B31" t="s">
        <v>498</v>
      </c>
      <c r="C31" t="s">
        <v>499</v>
      </c>
      <c r="D31">
        <v>1</v>
      </c>
    </row>
    <row r="32" spans="1:4" x14ac:dyDescent="0.25">
      <c r="A32" t="s">
        <v>356</v>
      </c>
      <c r="B32" t="s">
        <v>500</v>
      </c>
      <c r="C32" t="s">
        <v>501</v>
      </c>
      <c r="D32">
        <v>1</v>
      </c>
    </row>
    <row r="33" spans="1:6" x14ac:dyDescent="0.25">
      <c r="A33" t="s">
        <v>356</v>
      </c>
      <c r="B33" t="s">
        <v>502</v>
      </c>
      <c r="C33" t="s">
        <v>503</v>
      </c>
      <c r="D33">
        <v>1</v>
      </c>
    </row>
    <row r="34" spans="1:6" x14ac:dyDescent="0.25">
      <c r="A34" t="s">
        <v>378</v>
      </c>
      <c r="B34" t="s">
        <v>357</v>
      </c>
      <c r="C34" t="s">
        <v>504</v>
      </c>
      <c r="D34">
        <v>2</v>
      </c>
      <c r="F34" t="s">
        <v>380</v>
      </c>
    </row>
    <row r="35" spans="1:6" x14ac:dyDescent="0.25">
      <c r="A35" t="s">
        <v>383</v>
      </c>
      <c r="B35" t="s">
        <v>505</v>
      </c>
      <c r="C35" t="s">
        <v>506</v>
      </c>
      <c r="D35">
        <v>1</v>
      </c>
      <c r="E35">
        <v>1</v>
      </c>
    </row>
    <row r="36" spans="1:6" x14ac:dyDescent="0.25">
      <c r="A36" t="s">
        <v>383</v>
      </c>
      <c r="B36" t="s">
        <v>507</v>
      </c>
      <c r="C36" t="s">
        <v>515</v>
      </c>
      <c r="D36">
        <v>1</v>
      </c>
      <c r="E36">
        <v>1</v>
      </c>
    </row>
    <row r="37" spans="1:6" x14ac:dyDescent="0.25">
      <c r="A37" t="s">
        <v>383</v>
      </c>
      <c r="B37" t="s">
        <v>508</v>
      </c>
      <c r="C37" t="s">
        <v>516</v>
      </c>
      <c r="D37">
        <v>1</v>
      </c>
      <c r="E37">
        <v>1</v>
      </c>
    </row>
    <row r="38" spans="1:6" x14ac:dyDescent="0.25">
      <c r="A38" t="s">
        <v>383</v>
      </c>
      <c r="B38" t="s">
        <v>509</v>
      </c>
      <c r="C38" t="s">
        <v>517</v>
      </c>
      <c r="D38">
        <v>1</v>
      </c>
      <c r="E38">
        <v>1</v>
      </c>
    </row>
    <row r="39" spans="1:6" x14ac:dyDescent="0.25">
      <c r="A39" t="s">
        <v>356</v>
      </c>
      <c r="B39" t="s">
        <v>510</v>
      </c>
      <c r="C39" t="s">
        <v>518</v>
      </c>
      <c r="D39">
        <v>1</v>
      </c>
    </row>
    <row r="40" spans="1:6" x14ac:dyDescent="0.25">
      <c r="A40" t="s">
        <v>378</v>
      </c>
      <c r="B40" t="s">
        <v>511</v>
      </c>
      <c r="C40" t="s">
        <v>519</v>
      </c>
      <c r="D40">
        <v>2</v>
      </c>
      <c r="F40" t="s">
        <v>380</v>
      </c>
    </row>
    <row r="41" spans="1:6" x14ac:dyDescent="0.25">
      <c r="A41" t="s">
        <v>383</v>
      </c>
      <c r="B41" t="s">
        <v>512</v>
      </c>
      <c r="C41" t="s">
        <v>522</v>
      </c>
      <c r="D41">
        <v>1</v>
      </c>
      <c r="E41">
        <v>1</v>
      </c>
    </row>
    <row r="42" spans="1:6" x14ac:dyDescent="0.25">
      <c r="A42" t="s">
        <v>383</v>
      </c>
      <c r="B42" t="s">
        <v>513</v>
      </c>
      <c r="C42" t="s">
        <v>523</v>
      </c>
      <c r="D42">
        <v>1</v>
      </c>
      <c r="E42">
        <v>1</v>
      </c>
    </row>
    <row r="43" spans="1:6" x14ac:dyDescent="0.25">
      <c r="A43" t="s">
        <v>383</v>
      </c>
      <c r="B43" t="s">
        <v>514</v>
      </c>
      <c r="C43" t="s">
        <v>520</v>
      </c>
      <c r="D43">
        <v>1</v>
      </c>
      <c r="E43">
        <v>1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205F7-6181-4857-9661-F23F2B1DC910}">
  <sheetPr>
    <tabColor theme="8" tint="-0.499984740745262"/>
  </sheetPr>
  <dimension ref="A1:F6"/>
  <sheetViews>
    <sheetView zoomScale="70" zoomScaleNormal="70" workbookViewId="0">
      <pane ySplit="6" topLeftCell="A7" activePane="bottomLeft" state="frozen"/>
      <selection pane="bottomLeft"/>
    </sheetView>
  </sheetViews>
  <sheetFormatPr defaultRowHeight="15" x14ac:dyDescent="0.25"/>
  <sheetData>
    <row r="1" spans="1:6" ht="18.75" x14ac:dyDescent="0.3">
      <c r="A1" s="1" t="s">
        <v>472</v>
      </c>
    </row>
    <row r="2" spans="1:6" x14ac:dyDescent="0.25">
      <c r="F2" s="4" t="s">
        <v>473</v>
      </c>
    </row>
    <row r="3" spans="1:6" x14ac:dyDescent="0.25">
      <c r="F3" s="4" t="s">
        <v>474</v>
      </c>
    </row>
    <row r="4" spans="1:6" x14ac:dyDescent="0.25">
      <c r="F4" s="4" t="s">
        <v>475</v>
      </c>
    </row>
    <row r="5" spans="1:6" x14ac:dyDescent="0.25">
      <c r="A5" s="2" t="s">
        <v>476</v>
      </c>
    </row>
    <row r="6" spans="1:6" x14ac:dyDescent="0.25">
      <c r="A6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Notes</vt:lpstr>
      <vt:lpstr>Sets</vt:lpstr>
      <vt:lpstr>SAM</vt:lpstr>
      <vt:lpstr>a</vt:lpstr>
      <vt:lpstr>a_1</vt:lpstr>
      <vt:lpstr>b,c_1</vt:lpstr>
      <vt:lpstr>d,e,f,h</vt:lpstr>
      <vt:lpstr>i,j,k,l</vt:lpstr>
      <vt:lpstr>m,n,o_1</vt:lpstr>
      <vt:lpstr>Index</vt:lpstr>
      <vt:lpstr>NST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2019-10-02T10:20:06Z</dcterms:modified>
</cp:coreProperties>
</file>