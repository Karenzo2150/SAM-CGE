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murenzi\Dropbox\Rwanda SAM CGE Training\Follow-up exercises\"/>
    </mc:Choice>
  </mc:AlternateContent>
  <xr:revisionPtr revIDLastSave="0" documentId="13_ncr:1_{A9DACDCC-5356-4CCC-AA42-954D9B7B9D95}" xr6:coauthVersionLast="44" xr6:coauthVersionMax="44" xr10:uidLastSave="{00000000-0000-0000-0000-000000000000}"/>
  <bookViews>
    <workbookView minimized="1" xWindow="30" yWindow="0" windowWidth="20460" windowHeight="10920" xr2:uid="{00000000-000D-0000-FFFF-FFFF00000000}"/>
  </bookViews>
  <sheets>
    <sheet name="Instruction" sheetId="6" r:id="rId1"/>
    <sheet name="Task 1" sheetId="4" r:id="rId2"/>
    <sheet name="Task 2" sheetId="5" r:id="rId3"/>
    <sheet name="Task 3" sheetId="7" r:id="rId4"/>
  </sheets>
  <calcPr calcId="18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B93" i="4" l="1" a="1"/>
  <c r="C93" i="4" s="1"/>
  <c r="C47" i="4"/>
  <c r="D47" i="4"/>
  <c r="E47" i="4"/>
  <c r="F47" i="4"/>
  <c r="G47" i="4"/>
  <c r="H47" i="4"/>
  <c r="I47" i="4"/>
  <c r="J47" i="4"/>
  <c r="K47" i="4"/>
  <c r="L47" i="4"/>
  <c r="M47" i="4"/>
  <c r="H44" i="4"/>
  <c r="I44" i="4"/>
  <c r="J44" i="4"/>
  <c r="K44" i="4"/>
  <c r="L44" i="4"/>
  <c r="M44" i="4"/>
  <c r="H45" i="4"/>
  <c r="I45" i="4"/>
  <c r="J45" i="4"/>
  <c r="K45" i="4"/>
  <c r="L45" i="4"/>
  <c r="M45" i="4"/>
  <c r="H46" i="4"/>
  <c r="I46" i="4"/>
  <c r="J46" i="4"/>
  <c r="K46" i="4"/>
  <c r="L46" i="4"/>
  <c r="M46" i="4"/>
  <c r="G46" i="4"/>
  <c r="F46" i="4"/>
  <c r="E46" i="4"/>
  <c r="G45" i="4"/>
  <c r="F45" i="4"/>
  <c r="E45" i="4"/>
  <c r="G44" i="4"/>
  <c r="F44" i="4"/>
  <c r="E44" i="4"/>
  <c r="C44" i="4"/>
  <c r="D44" i="4"/>
  <c r="C45" i="4"/>
  <c r="D45" i="4"/>
  <c r="C46" i="4"/>
  <c r="D46" i="4"/>
  <c r="B46" i="4"/>
  <c r="B45" i="4"/>
  <c r="B44" i="4"/>
  <c r="B43" i="4"/>
  <c r="B41" i="4"/>
  <c r="B47" i="4"/>
  <c r="B33" i="4"/>
  <c r="C33" i="4"/>
  <c r="D33" i="4"/>
  <c r="E33" i="4"/>
  <c r="F33" i="4"/>
  <c r="G33" i="4"/>
  <c r="H33" i="4"/>
  <c r="I33" i="4"/>
  <c r="J33" i="4"/>
  <c r="K33" i="4"/>
  <c r="L33" i="4"/>
  <c r="M33" i="4"/>
  <c r="B34" i="4"/>
  <c r="C34" i="4"/>
  <c r="D34" i="4"/>
  <c r="E34" i="4"/>
  <c r="F34" i="4"/>
  <c r="G34" i="4"/>
  <c r="H34" i="4"/>
  <c r="I34" i="4"/>
  <c r="J34" i="4"/>
  <c r="K34" i="4"/>
  <c r="L34" i="4"/>
  <c r="M34" i="4"/>
  <c r="B35" i="4"/>
  <c r="C35" i="4"/>
  <c r="D35" i="4"/>
  <c r="E35" i="4"/>
  <c r="F35" i="4"/>
  <c r="G35" i="4"/>
  <c r="H35" i="4"/>
  <c r="I35" i="4"/>
  <c r="J35" i="4"/>
  <c r="K35" i="4"/>
  <c r="L35" i="4"/>
  <c r="M35" i="4"/>
  <c r="B36" i="4"/>
  <c r="C36" i="4"/>
  <c r="D36" i="4"/>
  <c r="E36" i="4"/>
  <c r="F36" i="4"/>
  <c r="G36" i="4"/>
  <c r="H36" i="4"/>
  <c r="I36" i="4"/>
  <c r="J36" i="4"/>
  <c r="K36" i="4"/>
  <c r="L36" i="4"/>
  <c r="M36" i="4"/>
  <c r="B37" i="4"/>
  <c r="C37" i="4"/>
  <c r="D37" i="4"/>
  <c r="E37" i="4"/>
  <c r="F37" i="4"/>
  <c r="G37" i="4"/>
  <c r="H37" i="4"/>
  <c r="I37" i="4"/>
  <c r="J37" i="4"/>
  <c r="K37" i="4"/>
  <c r="L37" i="4"/>
  <c r="M37" i="4"/>
  <c r="B38" i="4"/>
  <c r="C38" i="4"/>
  <c r="D38" i="4"/>
  <c r="E38" i="4"/>
  <c r="F38" i="4"/>
  <c r="G38" i="4"/>
  <c r="H38" i="4"/>
  <c r="I38" i="4"/>
  <c r="J38" i="4"/>
  <c r="K38" i="4"/>
  <c r="L38" i="4"/>
  <c r="M38" i="4"/>
  <c r="B39" i="4"/>
  <c r="C39" i="4"/>
  <c r="D39" i="4"/>
  <c r="E39" i="4"/>
  <c r="F39" i="4"/>
  <c r="G39" i="4"/>
  <c r="H39" i="4"/>
  <c r="I39" i="4"/>
  <c r="J39" i="4"/>
  <c r="K39" i="4"/>
  <c r="L39" i="4"/>
  <c r="M39" i="4"/>
  <c r="B40" i="4"/>
  <c r="C40" i="4"/>
  <c r="D40" i="4"/>
  <c r="E40" i="4"/>
  <c r="F40" i="4"/>
  <c r="G40" i="4"/>
  <c r="H40" i="4"/>
  <c r="I40" i="4"/>
  <c r="J40" i="4"/>
  <c r="K40" i="4"/>
  <c r="L40" i="4"/>
  <c r="M40" i="4"/>
  <c r="C41" i="4"/>
  <c r="D41" i="4"/>
  <c r="E41" i="4"/>
  <c r="F41" i="4"/>
  <c r="G41" i="4"/>
  <c r="H41" i="4"/>
  <c r="I41" i="4"/>
  <c r="J41" i="4"/>
  <c r="K41" i="4"/>
  <c r="L41" i="4"/>
  <c r="M41" i="4"/>
  <c r="B42" i="4"/>
  <c r="C42" i="4"/>
  <c r="D42" i="4"/>
  <c r="E42" i="4"/>
  <c r="F42" i="4"/>
  <c r="G42" i="4"/>
  <c r="H42" i="4"/>
  <c r="I42" i="4"/>
  <c r="J42" i="4"/>
  <c r="K42" i="4"/>
  <c r="L42" i="4"/>
  <c r="M42" i="4"/>
  <c r="C43" i="4"/>
  <c r="D43" i="4"/>
  <c r="E43" i="4"/>
  <c r="F43" i="4"/>
  <c r="G43" i="4"/>
  <c r="H43" i="4"/>
  <c r="I43" i="4"/>
  <c r="J43" i="4"/>
  <c r="K43" i="4"/>
  <c r="L43" i="4"/>
  <c r="M43" i="4"/>
  <c r="M32" i="4"/>
  <c r="L32" i="4"/>
  <c r="K32" i="4"/>
  <c r="J32" i="4"/>
  <c r="I32" i="4"/>
  <c r="H32" i="4"/>
  <c r="G32" i="4"/>
  <c r="F32" i="4"/>
  <c r="E32" i="4"/>
  <c r="D32" i="4"/>
  <c r="C32" i="4"/>
  <c r="B32" i="4"/>
  <c r="P107" i="4" l="1"/>
  <c r="H107" i="4"/>
  <c r="O106" i="4"/>
  <c r="G106" i="4"/>
  <c r="N105" i="4"/>
  <c r="F105" i="4"/>
  <c r="M104" i="4"/>
  <c r="E104" i="4"/>
  <c r="L103" i="4"/>
  <c r="D103" i="4"/>
  <c r="K102" i="4"/>
  <c r="C102" i="4"/>
  <c r="J101" i="4"/>
  <c r="B101" i="4"/>
  <c r="I100" i="4"/>
  <c r="P99" i="4"/>
  <c r="H99" i="4"/>
  <c r="O98" i="4"/>
  <c r="G98" i="4"/>
  <c r="N97" i="4"/>
  <c r="F97" i="4"/>
  <c r="M96" i="4"/>
  <c r="E96" i="4"/>
  <c r="L95" i="4"/>
  <c r="D95" i="4"/>
  <c r="K94" i="4"/>
  <c r="C94" i="4"/>
  <c r="J93" i="4"/>
  <c r="B93" i="4"/>
  <c r="O107" i="4"/>
  <c r="G107" i="4"/>
  <c r="N106" i="4"/>
  <c r="F106" i="4"/>
  <c r="M105" i="4"/>
  <c r="E105" i="4"/>
  <c r="L104" i="4"/>
  <c r="D104" i="4"/>
  <c r="K103" i="4"/>
  <c r="C103" i="4"/>
  <c r="J102" i="4"/>
  <c r="B102" i="4"/>
  <c r="I101" i="4"/>
  <c r="P100" i="4"/>
  <c r="H100" i="4"/>
  <c r="O99" i="4"/>
  <c r="G99" i="4"/>
  <c r="N98" i="4"/>
  <c r="F98" i="4"/>
  <c r="M97" i="4"/>
  <c r="E97" i="4"/>
  <c r="L96" i="4"/>
  <c r="D96" i="4"/>
  <c r="K95" i="4"/>
  <c r="C95" i="4"/>
  <c r="J94" i="4"/>
  <c r="B94" i="4"/>
  <c r="I93" i="4"/>
  <c r="N107" i="4"/>
  <c r="F107" i="4"/>
  <c r="M106" i="4"/>
  <c r="E106" i="4"/>
  <c r="L105" i="4"/>
  <c r="D105" i="4"/>
  <c r="K104" i="4"/>
  <c r="C104" i="4"/>
  <c r="J103" i="4"/>
  <c r="B103" i="4"/>
  <c r="I102" i="4"/>
  <c r="P101" i="4"/>
  <c r="H101" i="4"/>
  <c r="O100" i="4"/>
  <c r="G100" i="4"/>
  <c r="N99" i="4"/>
  <c r="F99" i="4"/>
  <c r="M98" i="4"/>
  <c r="E98" i="4"/>
  <c r="L97" i="4"/>
  <c r="D97" i="4"/>
  <c r="K96" i="4"/>
  <c r="C96" i="4"/>
  <c r="J95" i="4"/>
  <c r="B95" i="4"/>
  <c r="I94" i="4"/>
  <c r="P93" i="4"/>
  <c r="H93" i="4"/>
  <c r="M107" i="4"/>
  <c r="L106" i="4"/>
  <c r="K105" i="4"/>
  <c r="B104" i="4"/>
  <c r="O101" i="4"/>
  <c r="N100" i="4"/>
  <c r="M99" i="4"/>
  <c r="D98" i="4"/>
  <c r="C97" i="4"/>
  <c r="G93" i="4"/>
  <c r="L107" i="4"/>
  <c r="D107" i="4"/>
  <c r="K106" i="4"/>
  <c r="C106" i="4"/>
  <c r="J105" i="4"/>
  <c r="B105" i="4"/>
  <c r="I104" i="4"/>
  <c r="P103" i="4"/>
  <c r="H103" i="4"/>
  <c r="O102" i="4"/>
  <c r="G102" i="4"/>
  <c r="N101" i="4"/>
  <c r="F101" i="4"/>
  <c r="M100" i="4"/>
  <c r="E100" i="4"/>
  <c r="L99" i="4"/>
  <c r="D99" i="4"/>
  <c r="K98" i="4"/>
  <c r="C98" i="4"/>
  <c r="J97" i="4"/>
  <c r="B97" i="4"/>
  <c r="I96" i="4"/>
  <c r="P95" i="4"/>
  <c r="H95" i="4"/>
  <c r="O94" i="4"/>
  <c r="G94" i="4"/>
  <c r="N93" i="4"/>
  <c r="F93" i="4"/>
  <c r="K107" i="4"/>
  <c r="C107" i="4"/>
  <c r="J106" i="4"/>
  <c r="B106" i="4"/>
  <c r="I105" i="4"/>
  <c r="P104" i="4"/>
  <c r="H104" i="4"/>
  <c r="O103" i="4"/>
  <c r="G103" i="4"/>
  <c r="N102" i="4"/>
  <c r="F102" i="4"/>
  <c r="M101" i="4"/>
  <c r="E101" i="4"/>
  <c r="L100" i="4"/>
  <c r="D100" i="4"/>
  <c r="K99" i="4"/>
  <c r="C99" i="4"/>
  <c r="J98" i="4"/>
  <c r="B98" i="4"/>
  <c r="I97" i="4"/>
  <c r="P96" i="4"/>
  <c r="H96" i="4"/>
  <c r="O95" i="4"/>
  <c r="G95" i="4"/>
  <c r="N94" i="4"/>
  <c r="F94" i="4"/>
  <c r="M93" i="4"/>
  <c r="E93" i="4"/>
  <c r="E107" i="4"/>
  <c r="D106" i="4"/>
  <c r="C105" i="4"/>
  <c r="J104" i="4"/>
  <c r="I103" i="4"/>
  <c r="P102" i="4"/>
  <c r="H102" i="4"/>
  <c r="G101" i="4"/>
  <c r="F100" i="4"/>
  <c r="E99" i="4"/>
  <c r="L98" i="4"/>
  <c r="K97" i="4"/>
  <c r="J96" i="4"/>
  <c r="B96" i="4"/>
  <c r="I95" i="4"/>
  <c r="P94" i="4"/>
  <c r="H94" i="4"/>
  <c r="O93" i="4"/>
  <c r="J107" i="4"/>
  <c r="B107" i="4"/>
  <c r="I106" i="4"/>
  <c r="P105" i="4"/>
  <c r="H105" i="4"/>
  <c r="O104" i="4"/>
  <c r="G104" i="4"/>
  <c r="N103" i="4"/>
  <c r="F103" i="4"/>
  <c r="M102" i="4"/>
  <c r="E102" i="4"/>
  <c r="L101" i="4"/>
  <c r="D101" i="4"/>
  <c r="K100" i="4"/>
  <c r="C100" i="4"/>
  <c r="J99" i="4"/>
  <c r="B99" i="4"/>
  <c r="I98" i="4"/>
  <c r="P97" i="4"/>
  <c r="H97" i="4"/>
  <c r="O96" i="4"/>
  <c r="G96" i="4"/>
  <c r="N95" i="4"/>
  <c r="F95" i="4"/>
  <c r="M94" i="4"/>
  <c r="E94" i="4"/>
  <c r="L93" i="4"/>
  <c r="D93" i="4"/>
  <c r="I107" i="4"/>
  <c r="P106" i="4"/>
  <c r="H106" i="4"/>
  <c r="O105" i="4"/>
  <c r="G105" i="4"/>
  <c r="N104" i="4"/>
  <c r="F104" i="4"/>
  <c r="M103" i="4"/>
  <c r="E103" i="4"/>
  <c r="L102" i="4"/>
  <c r="D102" i="4"/>
  <c r="K101" i="4"/>
  <c r="C101" i="4"/>
  <c r="J100" i="4"/>
  <c r="B100" i="4"/>
  <c r="I99" i="4"/>
  <c r="P98" i="4"/>
  <c r="H98" i="4"/>
  <c r="O97" i="4"/>
  <c r="G97" i="4"/>
  <c r="N96" i="4"/>
  <c r="F96" i="4"/>
  <c r="M95" i="4"/>
  <c r="E95" i="4"/>
  <c r="L94" i="4"/>
  <c r="D94" i="4"/>
  <c r="K93" i="4"/>
  <c r="W52" i="7" l="1"/>
  <c r="W51" i="7"/>
  <c r="W53" i="7"/>
  <c r="V43" i="7" l="1"/>
  <c r="AG17" i="7"/>
  <c r="AG18" i="7"/>
  <c r="AG19" i="7"/>
  <c r="AG20" i="7"/>
  <c r="AG21" i="7"/>
  <c r="AG22" i="7"/>
  <c r="AG16" i="7"/>
  <c r="O196" i="7"/>
  <c r="I189" i="7"/>
  <c r="K184" i="7"/>
  <c r="I181" i="7"/>
  <c r="N93" i="7"/>
  <c r="N92" i="7"/>
  <c r="N91" i="7"/>
  <c r="N90" i="7"/>
  <c r="N89" i="7"/>
  <c r="N88" i="7"/>
  <c r="M88" i="7"/>
  <c r="N87" i="7"/>
  <c r="M87" i="7"/>
  <c r="N86" i="7"/>
  <c r="L86" i="7"/>
  <c r="N85" i="7"/>
  <c r="N84" i="7"/>
  <c r="I84" i="7"/>
  <c r="N83" i="7"/>
  <c r="I83" i="7"/>
  <c r="O82" i="7"/>
  <c r="N82" i="7"/>
  <c r="O81" i="7"/>
  <c r="N81" i="7"/>
  <c r="N80" i="7"/>
  <c r="N79" i="7"/>
  <c r="M79" i="7"/>
  <c r="N78" i="7"/>
  <c r="N77" i="7"/>
  <c r="K77" i="7"/>
  <c r="N76" i="7"/>
  <c r="M76" i="7"/>
  <c r="I76" i="7"/>
  <c r="N75" i="7"/>
  <c r="L75" i="7"/>
  <c r="N74" i="7"/>
  <c r="N73" i="7"/>
  <c r="N72" i="7"/>
  <c r="O71" i="7"/>
  <c r="N71" i="7"/>
  <c r="X65" i="7"/>
  <c r="W65" i="7"/>
  <c r="V65" i="7"/>
  <c r="X64" i="7"/>
  <c r="W64" i="7"/>
  <c r="V64" i="7"/>
  <c r="O93" i="7"/>
  <c r="N203" i="7"/>
  <c r="M93" i="7"/>
  <c r="L93" i="7"/>
  <c r="K93" i="7"/>
  <c r="J93" i="7"/>
  <c r="I93" i="7"/>
  <c r="X63" i="7"/>
  <c r="W63" i="7"/>
  <c r="V63" i="7"/>
  <c r="O92" i="7"/>
  <c r="N202" i="7"/>
  <c r="M92" i="7"/>
  <c r="L92" i="7"/>
  <c r="K92" i="7"/>
  <c r="J92" i="7"/>
  <c r="I92" i="7"/>
  <c r="X62" i="7"/>
  <c r="W62" i="7"/>
  <c r="V62" i="7"/>
  <c r="O91" i="7"/>
  <c r="N201" i="7"/>
  <c r="M91" i="7"/>
  <c r="L91" i="7"/>
  <c r="K91" i="7"/>
  <c r="J91" i="7"/>
  <c r="I91" i="7"/>
  <c r="X61" i="7"/>
  <c r="W61" i="7"/>
  <c r="V61" i="7"/>
  <c r="O90" i="7"/>
  <c r="N200" i="7"/>
  <c r="M90" i="7"/>
  <c r="L90" i="7"/>
  <c r="K90" i="7"/>
  <c r="J90" i="7"/>
  <c r="I90" i="7"/>
  <c r="X60" i="7"/>
  <c r="W60" i="7"/>
  <c r="V60" i="7"/>
  <c r="O89" i="7"/>
  <c r="N199" i="7"/>
  <c r="M89" i="7"/>
  <c r="L89" i="7"/>
  <c r="K89" i="7"/>
  <c r="J89" i="7"/>
  <c r="I89" i="7"/>
  <c r="X59" i="7"/>
  <c r="W59" i="7"/>
  <c r="V59" i="7"/>
  <c r="O88" i="7"/>
  <c r="N198" i="7"/>
  <c r="L88" i="7"/>
  <c r="K88" i="7"/>
  <c r="J88" i="7"/>
  <c r="I88" i="7"/>
  <c r="X58" i="7"/>
  <c r="W58" i="7"/>
  <c r="V58" i="7"/>
  <c r="O87" i="7"/>
  <c r="N197" i="7"/>
  <c r="L87" i="7"/>
  <c r="K87" i="7"/>
  <c r="J87" i="7"/>
  <c r="I87" i="7"/>
  <c r="X57" i="7"/>
  <c r="W57" i="7"/>
  <c r="V57" i="7"/>
  <c r="O86" i="7"/>
  <c r="N196" i="7"/>
  <c r="M86" i="7"/>
  <c r="K86" i="7"/>
  <c r="J86" i="7"/>
  <c r="I86" i="7"/>
  <c r="X56" i="7"/>
  <c r="W56" i="7"/>
  <c r="V56" i="7"/>
  <c r="O85" i="7"/>
  <c r="N195" i="7"/>
  <c r="M85" i="7"/>
  <c r="L85" i="7"/>
  <c r="K85" i="7"/>
  <c r="J85" i="7"/>
  <c r="I85" i="7"/>
  <c r="X55" i="7"/>
  <c r="W55" i="7"/>
  <c r="V55" i="7"/>
  <c r="O84" i="7"/>
  <c r="N194" i="7"/>
  <c r="M84" i="7"/>
  <c r="L84" i="7"/>
  <c r="K84" i="7"/>
  <c r="J84" i="7"/>
  <c r="X54" i="7"/>
  <c r="W54" i="7"/>
  <c r="V54" i="7"/>
  <c r="O83" i="7"/>
  <c r="N193" i="7"/>
  <c r="M83" i="7"/>
  <c r="L83" i="7"/>
  <c r="K83" i="7"/>
  <c r="J83" i="7"/>
  <c r="X53" i="7"/>
  <c r="V53" i="7"/>
  <c r="N192" i="7"/>
  <c r="M82" i="7"/>
  <c r="L82" i="7"/>
  <c r="K82" i="7"/>
  <c r="J82" i="7"/>
  <c r="I82" i="7"/>
  <c r="X52" i="7"/>
  <c r="V52" i="7"/>
  <c r="N191" i="7"/>
  <c r="M81" i="7"/>
  <c r="L81" i="7"/>
  <c r="K81" i="7"/>
  <c r="J81" i="7"/>
  <c r="I81" i="7"/>
  <c r="X51" i="7"/>
  <c r="V51" i="7"/>
  <c r="O80" i="7"/>
  <c r="N190" i="7"/>
  <c r="M80" i="7"/>
  <c r="L80" i="7"/>
  <c r="K80" i="7"/>
  <c r="J80" i="7"/>
  <c r="I80" i="7"/>
  <c r="X50" i="7"/>
  <c r="W50" i="7"/>
  <c r="V50" i="7"/>
  <c r="O79" i="7"/>
  <c r="N189" i="7"/>
  <c r="L79" i="7"/>
  <c r="K79" i="7"/>
  <c r="J79" i="7"/>
  <c r="I79" i="7"/>
  <c r="X49" i="7"/>
  <c r="W49" i="7"/>
  <c r="V49" i="7"/>
  <c r="O78" i="7"/>
  <c r="N188" i="7"/>
  <c r="M78" i="7"/>
  <c r="L78" i="7"/>
  <c r="K78" i="7"/>
  <c r="J78" i="7"/>
  <c r="I78" i="7"/>
  <c r="X48" i="7"/>
  <c r="W48" i="7"/>
  <c r="V48" i="7"/>
  <c r="O77" i="7"/>
  <c r="N187" i="7"/>
  <c r="M77" i="7"/>
  <c r="L77" i="7"/>
  <c r="J77" i="7"/>
  <c r="I77" i="7"/>
  <c r="X47" i="7"/>
  <c r="W47" i="7"/>
  <c r="V47" i="7"/>
  <c r="O76" i="7"/>
  <c r="N186" i="7"/>
  <c r="L76" i="7"/>
  <c r="K76" i="7"/>
  <c r="J76" i="7"/>
  <c r="X46" i="7"/>
  <c r="W46" i="7"/>
  <c r="V46" i="7"/>
  <c r="O75" i="7"/>
  <c r="N185" i="7"/>
  <c r="M75" i="7"/>
  <c r="K75" i="7"/>
  <c r="J75" i="7"/>
  <c r="I75" i="7"/>
  <c r="X45" i="7"/>
  <c r="W45" i="7"/>
  <c r="V45" i="7"/>
  <c r="O74" i="7"/>
  <c r="N184" i="7"/>
  <c r="M74" i="7"/>
  <c r="L74" i="7"/>
  <c r="K74" i="7"/>
  <c r="J74" i="7"/>
  <c r="I74" i="7"/>
  <c r="X44" i="7"/>
  <c r="W44" i="7"/>
  <c r="V44" i="7"/>
  <c r="O73" i="7"/>
  <c r="N183" i="7"/>
  <c r="M73" i="7"/>
  <c r="L73" i="7"/>
  <c r="K73" i="7"/>
  <c r="J73" i="7"/>
  <c r="I73" i="7"/>
  <c r="X43" i="7"/>
  <c r="W43" i="7"/>
  <c r="O72" i="7"/>
  <c r="N182" i="7"/>
  <c r="M72" i="7"/>
  <c r="L72" i="7"/>
  <c r="K72" i="7"/>
  <c r="J72" i="7"/>
  <c r="I72" i="7"/>
  <c r="X42" i="7"/>
  <c r="W42" i="7"/>
  <c r="V42" i="7"/>
  <c r="N181" i="7"/>
  <c r="M71" i="7"/>
  <c r="L71" i="7"/>
  <c r="K71" i="7"/>
  <c r="J71" i="7"/>
  <c r="I71" i="7"/>
  <c r="M203" i="7" l="1"/>
  <c r="L202" i="7"/>
  <c r="K201" i="7"/>
  <c r="J200" i="7"/>
  <c r="I199" i="7"/>
  <c r="O197" i="7"/>
  <c r="M195" i="7"/>
  <c r="L194" i="7"/>
  <c r="K193" i="7"/>
  <c r="J192" i="7"/>
  <c r="L203" i="7"/>
  <c r="K202" i="7"/>
  <c r="J201" i="7"/>
  <c r="I200" i="7"/>
  <c r="O198" i="7"/>
  <c r="M196" i="7"/>
  <c r="L195" i="7"/>
  <c r="K203" i="7"/>
  <c r="J203" i="7"/>
  <c r="I202" i="7"/>
  <c r="J202" i="7"/>
  <c r="I201" i="7"/>
  <c r="L200" i="7"/>
  <c r="M199" i="7"/>
  <c r="I195" i="7"/>
  <c r="M194" i="7"/>
  <c r="M192" i="7"/>
  <c r="I191" i="7"/>
  <c r="O189" i="7"/>
  <c r="M187" i="7"/>
  <c r="L186" i="7"/>
  <c r="K185" i="7"/>
  <c r="J184" i="7"/>
  <c r="I183" i="7"/>
  <c r="O181" i="7"/>
  <c r="O203" i="7"/>
  <c r="K200" i="7"/>
  <c r="L199" i="7"/>
  <c r="M198" i="7"/>
  <c r="K194" i="7"/>
  <c r="L192" i="7"/>
  <c r="O190" i="7"/>
  <c r="M188" i="7"/>
  <c r="L187" i="7"/>
  <c r="K186" i="7"/>
  <c r="J185" i="7"/>
  <c r="I184" i="7"/>
  <c r="O182" i="7"/>
  <c r="K199" i="7"/>
  <c r="L198" i="7"/>
  <c r="M197" i="7"/>
  <c r="J194" i="7"/>
  <c r="O193" i="7"/>
  <c r="K192" i="7"/>
  <c r="O191" i="7"/>
  <c r="M189" i="7"/>
  <c r="L188" i="7"/>
  <c r="K187" i="7"/>
  <c r="J186" i="7"/>
  <c r="I185" i="7"/>
  <c r="O183" i="7"/>
  <c r="M181" i="7"/>
  <c r="O201" i="7"/>
  <c r="J198" i="7"/>
  <c r="K197" i="7"/>
  <c r="L196" i="7"/>
  <c r="O195" i="7"/>
  <c r="M193" i="7"/>
  <c r="M191" i="7"/>
  <c r="L190" i="7"/>
  <c r="K189" i="7"/>
  <c r="J188" i="7"/>
  <c r="I187" i="7"/>
  <c r="O185" i="7"/>
  <c r="M183" i="7"/>
  <c r="L182" i="7"/>
  <c r="K181" i="7"/>
  <c r="O202" i="7"/>
  <c r="M202" i="7"/>
  <c r="L201" i="7"/>
  <c r="M200" i="7"/>
  <c r="I196" i="7"/>
  <c r="J195" i="7"/>
  <c r="I193" i="7"/>
  <c r="L197" i="7"/>
  <c r="J196" i="7"/>
  <c r="M190" i="7"/>
  <c r="K188" i="7"/>
  <c r="I186" i="7"/>
  <c r="L181" i="7"/>
  <c r="J197" i="7"/>
  <c r="K190" i="7"/>
  <c r="I188" i="7"/>
  <c r="L183" i="7"/>
  <c r="J181" i="7"/>
  <c r="K198" i="7"/>
  <c r="I197" i="7"/>
  <c r="J190" i="7"/>
  <c r="O187" i="7"/>
  <c r="M185" i="7"/>
  <c r="K183" i="7"/>
  <c r="O199" i="7"/>
  <c r="I198" i="7"/>
  <c r="O192" i="7"/>
  <c r="I190" i="7"/>
  <c r="L185" i="7"/>
  <c r="J183" i="7"/>
  <c r="O200" i="7"/>
  <c r="J199" i="7"/>
  <c r="O194" i="7"/>
  <c r="L193" i="7"/>
  <c r="I192" i="7"/>
  <c r="L189" i="7"/>
  <c r="J187" i="7"/>
  <c r="O184" i="7"/>
  <c r="M182" i="7"/>
  <c r="I194" i="7"/>
  <c r="J193" i="7"/>
  <c r="L191" i="7"/>
  <c r="J189" i="7"/>
  <c r="O186" i="7"/>
  <c r="M184" i="7"/>
  <c r="K182" i="7"/>
  <c r="M186" i="7"/>
  <c r="K196" i="7"/>
  <c r="M201" i="7"/>
  <c r="L184" i="7"/>
  <c r="I203" i="7"/>
  <c r="I182" i="7"/>
  <c r="J182" i="7"/>
  <c r="O188" i="7"/>
  <c r="J191" i="7"/>
  <c r="K191" i="7"/>
  <c r="K195" i="7"/>
</calcChain>
</file>

<file path=xl/sharedStrings.xml><?xml version="1.0" encoding="utf-8"?>
<sst xmlns="http://schemas.openxmlformats.org/spreadsheetml/2006/main" count="1110" uniqueCount="193">
  <si>
    <t>aagr</t>
  </si>
  <si>
    <t>aind</t>
  </si>
  <si>
    <t>asrv</t>
  </si>
  <si>
    <t>cagr</t>
  </si>
  <si>
    <t>cind</t>
  </si>
  <si>
    <t>csrv</t>
  </si>
  <si>
    <t>lab</t>
  </si>
  <si>
    <t>cap</t>
  </si>
  <si>
    <t>hrur</t>
  </si>
  <si>
    <t>hurb</t>
  </si>
  <si>
    <t>gov</t>
  </si>
  <si>
    <t>s-i</t>
  </si>
  <si>
    <t>row</t>
  </si>
  <si>
    <t>tot</t>
  </si>
  <si>
    <t>SAM legend</t>
  </si>
  <si>
    <t>Activity - agriculture</t>
  </si>
  <si>
    <t>Commodity - agriculture</t>
  </si>
  <si>
    <t>Factor - labor</t>
  </si>
  <si>
    <t>Factor - capital</t>
  </si>
  <si>
    <t>Households - rural</t>
  </si>
  <si>
    <t>Households - urban</t>
  </si>
  <si>
    <t>Government</t>
  </si>
  <si>
    <t>Saving/investment</t>
  </si>
  <si>
    <t>Rest of the world</t>
  </si>
  <si>
    <t>Column and row total</t>
  </si>
  <si>
    <t>Activity - industry</t>
  </si>
  <si>
    <t>Activity - services</t>
  </si>
  <si>
    <t>Commodity - industry</t>
  </si>
  <si>
    <t>Commodity - services</t>
  </si>
  <si>
    <t>Create an identity matrix by placing the value 1 in the diagonal cell entries</t>
  </si>
  <si>
    <r>
      <t>Indentity matrix</t>
    </r>
    <r>
      <rPr>
        <sz val="11"/>
        <color theme="1"/>
        <rFont val="Calibri"/>
        <family val="2"/>
        <scheme val="minor"/>
      </rPr>
      <t xml:space="preserve"> (I)</t>
    </r>
  </si>
  <si>
    <t>Coefficient matrix (M)</t>
  </si>
  <si>
    <t>Subtract the matrix from the identity matrix</t>
  </si>
  <si>
    <r>
      <rPr>
        <u/>
        <sz val="11"/>
        <color indexed="8"/>
        <rFont val="Calibri"/>
        <family val="2"/>
      </rPr>
      <t>Intermediate step</t>
    </r>
    <r>
      <rPr>
        <sz val="11"/>
        <color theme="1"/>
        <rFont val="Calibri"/>
        <family val="2"/>
        <scheme val="minor"/>
      </rPr>
      <t xml:space="preserve"> (I-M) </t>
    </r>
  </si>
  <si>
    <t>To do this, do the following four steps when entering the formula:</t>
  </si>
  <si>
    <t>4. Finally, hold down the control (CTRL) and SHIFT keys, and then press enter</t>
  </si>
  <si>
    <t xml:space="preserve">has "curly" parentheses or brackets around it (i.e., { and }). This is how Excel shows that </t>
  </si>
  <si>
    <t>a formula is matrix algebra.</t>
  </si>
  <si>
    <t xml:space="preserve">You must use Excel matrix algebra commands for this exercise. </t>
  </si>
  <si>
    <t xml:space="preserve">Now if you move your cursor over the matrix to the left you should see that your formula </t>
  </si>
  <si>
    <t>Invert the above matrix using the Excel "MINVERSE" formula.</t>
  </si>
  <si>
    <t>0.00</t>
  </si>
  <si>
    <t>The final three columns in the coefficient matrix are exogenous accounts in our model.</t>
  </si>
  <si>
    <t>This means that we must leave these accounts as zero, since they do not generate</t>
  </si>
  <si>
    <t>Hint</t>
  </si>
  <si>
    <t>round-by-round indirect linkage effects. All other columns should sum to one.</t>
  </si>
  <si>
    <r>
      <rPr>
        <u/>
        <sz val="11"/>
        <color indexed="8"/>
        <rFont val="Calibri"/>
        <family val="2"/>
      </rPr>
      <t>Exogenous demand shock matrix</t>
    </r>
    <r>
      <rPr>
        <sz val="11"/>
        <color theme="1"/>
        <rFont val="Calibri"/>
        <family val="2"/>
        <scheme val="minor"/>
      </rPr>
      <t xml:space="preserve"> (E) </t>
    </r>
  </si>
  <si>
    <t>PART 1: Calculating the inverted coefficient matrix</t>
  </si>
  <si>
    <r>
      <rPr>
        <u/>
        <sz val="11"/>
        <color indexed="8"/>
        <rFont val="Calibri"/>
        <family val="2"/>
      </rPr>
      <t>Inverted coefficient matrix</t>
    </r>
    <r>
      <rPr>
        <sz val="11"/>
        <color theme="1"/>
        <rFont val="Calibri"/>
        <family val="2"/>
        <scheme val="minor"/>
      </rPr>
      <t xml:space="preserve"> (I-M)-1 </t>
    </r>
  </si>
  <si>
    <t>This matrix shows the size of the exogenous demand shock for each commodity.</t>
  </si>
  <si>
    <t>PART 2: The exgenous shock vector</t>
  </si>
  <si>
    <t>PART 3: The multiplier effects</t>
  </si>
  <si>
    <t>You can change the size of the shock to any number.</t>
  </si>
  <si>
    <t>Remember the unit of the shock and hence the multiplier is in value terms</t>
  </si>
  <si>
    <t>Output</t>
  </si>
  <si>
    <t>GDP</t>
  </si>
  <si>
    <t>Income</t>
  </si>
  <si>
    <t>Total multiplier effects by type of multiplier</t>
  </si>
  <si>
    <t>Use the Excel "MMULT" formula to calculate the multiplier effects</t>
  </si>
  <si>
    <t>It is necessary for matrix calculations that all of the cell entries have a value, even if is zero.</t>
  </si>
  <si>
    <t>Output multipliers</t>
  </si>
  <si>
    <t>GDP or value-added multipliers</t>
  </si>
  <si>
    <t>Income multipliers</t>
  </si>
  <si>
    <t>Note though that we are hiding all zero entries (see the Tools-Options drop-down menu).</t>
  </si>
  <si>
    <t>Q1:</t>
  </si>
  <si>
    <t>A1:</t>
  </si>
  <si>
    <t>Q2:</t>
  </si>
  <si>
    <t>A2:</t>
  </si>
  <si>
    <t>Q3:</t>
  </si>
  <si>
    <t>A3:</t>
  </si>
  <si>
    <t>Q4:</t>
  </si>
  <si>
    <t>A4:</t>
  </si>
  <si>
    <t>trc</t>
  </si>
  <si>
    <t>ent</t>
  </si>
  <si>
    <t>total</t>
  </si>
  <si>
    <t>2015 SAM for Rwanda with 3 sectors</t>
  </si>
  <si>
    <t>MINVERSE, Ctrl +Shift and Enter</t>
  </si>
  <si>
    <r>
      <rPr>
        <u/>
        <sz val="11"/>
        <color indexed="8"/>
        <rFont val="Calibri"/>
        <family val="2"/>
      </rPr>
      <t>Multiplier effects</t>
    </r>
    <r>
      <rPr>
        <sz val="11"/>
        <color theme="1"/>
        <rFont val="Calibri"/>
        <family val="2"/>
        <scheme val="minor"/>
      </rPr>
      <t xml:space="preserve"> Z = (I-M)-1*E</t>
    </r>
  </si>
  <si>
    <t>MMULT, Ctrl+Shift+Enter</t>
  </si>
  <si>
    <t>million RWF</t>
  </si>
  <si>
    <t>Units: Billions of RWF  (current prices)</t>
  </si>
  <si>
    <t>Calculate coefficients by dividing each column through by its column total.</t>
  </si>
  <si>
    <t>***How zeros are necessasy!!!!</t>
  </si>
  <si>
    <t>scen1</t>
  </si>
  <si>
    <t>scen2</t>
  </si>
  <si>
    <t>scen3</t>
  </si>
  <si>
    <t>scen4</t>
  </si>
  <si>
    <t xml:space="preserve">How can scenario 3 affect gross output, GDP and incomes in Rwanda? </t>
  </si>
  <si>
    <r>
      <t xml:space="preserve">It is initially set equal to one, which means a </t>
    </r>
    <r>
      <rPr>
        <sz val="11"/>
        <color rgb="FFFF0000"/>
        <rFont val="Calibri"/>
        <family val="2"/>
        <scheme val="minor"/>
      </rPr>
      <t xml:space="preserve">1 billion RWF </t>
    </r>
    <r>
      <rPr>
        <sz val="11"/>
        <color rgb="FF0070C0"/>
        <rFont val="Calibri"/>
        <family val="2"/>
        <scheme val="minor"/>
      </rPr>
      <t>increase in demand for each commodity.</t>
    </r>
  </si>
  <si>
    <t>1. Highlight the block where you want your answer to be (B73:P87).</t>
  </si>
  <si>
    <t>2. Then types equals (=) followed by the coordinates for the entire identity matrix (B56:P67).</t>
  </si>
  <si>
    <t>3. Then subtract (-) the coordinates for the entire coefficient matrix (B32:P46) (leave out the total row)</t>
  </si>
  <si>
    <t>(i.e., millions of Rwandan Francs at 2015 prices).</t>
  </si>
  <si>
    <t>What is the output multiplier effect of a  15 million RWF increase in agricultural export demand?</t>
  </si>
  <si>
    <t>(to answer this question you need to replace the value in the agricultural column of the exogenous shock matrix</t>
  </si>
  <si>
    <t>with a "15" - you can then read the total output multiplier from the table above).</t>
  </si>
  <si>
    <t>For which households does the service sector generate the largest income multipler effect?</t>
  </si>
  <si>
    <t>Task 1:</t>
  </si>
  <si>
    <r>
      <rPr>
        <u/>
        <sz val="11"/>
        <color rgb="FF0070C0"/>
        <rFont val="Calibri"/>
        <family val="2"/>
        <scheme val="minor"/>
      </rPr>
      <t>Scenario 1</t>
    </r>
    <r>
      <rPr>
        <sz val="11"/>
        <color rgb="FF0070C0"/>
        <rFont val="Calibri"/>
        <family val="2"/>
        <scheme val="minor"/>
      </rPr>
      <t xml:space="preserve">: Assume there is a RWFs 10 billion exogenous increase in incomes of rural households. </t>
    </r>
  </si>
  <si>
    <r>
      <rPr>
        <u/>
        <sz val="11"/>
        <color rgb="FF0070C0"/>
        <rFont val="Calibri"/>
        <family val="2"/>
        <scheme val="minor"/>
      </rPr>
      <t>Scenario 3</t>
    </r>
    <r>
      <rPr>
        <sz val="11"/>
        <color rgb="FF0070C0"/>
        <rFont val="Calibri"/>
        <family val="2"/>
        <scheme val="minor"/>
      </rPr>
      <t>: Assume the government of Rwanda adapts an agro-export oriented development strategy that results in a RWFs 10 billion increase in exports of agricultural commodities.</t>
    </r>
  </si>
  <si>
    <t xml:space="preserve">What is the multiplier effect under scenario 1? </t>
  </si>
  <si>
    <t xml:space="preserve">How can scenario 4 affect gross output, GDP and incomes in Rwanda? How can the economic effects be compared with the previous scenario. </t>
  </si>
  <si>
    <t xml:space="preserve">What is the multiplier effect under scenario 2? How can the economic effects be compared with the previous scenario. </t>
  </si>
  <si>
    <t>Task 2:</t>
  </si>
  <si>
    <r>
      <rPr>
        <u/>
        <sz val="11"/>
        <color rgb="FF0070C0"/>
        <rFont val="Calibri"/>
        <family val="2"/>
        <scheme val="minor"/>
      </rPr>
      <t>Scenario 4</t>
    </r>
    <r>
      <rPr>
        <sz val="11"/>
        <color rgb="FF0070C0"/>
        <rFont val="Calibri"/>
        <family val="2"/>
        <scheme val="minor"/>
      </rPr>
      <t xml:space="preserve">: Assume the industrial sector experiences a RWFs 10 billion increase in exports. </t>
    </r>
  </si>
  <si>
    <t>Assignment 2: Multiplier model</t>
  </si>
  <si>
    <t>Assume the agricultural, industry and service sectors each face a 5% increase in export demand. Calculate the GDP, income and output multipliers of these export shocks using the SAM in sheet Task 1.</t>
  </si>
  <si>
    <t xml:space="preserve">Using the SAM in sheet Task 2, calculate the income, GDP, and output multipliers for each of the four scenarios below:                                                                                                                                                   </t>
  </si>
  <si>
    <r>
      <rPr>
        <u/>
        <sz val="11"/>
        <color theme="1"/>
        <rFont val="Calibri"/>
        <family val="2"/>
        <scheme val="minor"/>
      </rPr>
      <t>Scenario 1</t>
    </r>
    <r>
      <rPr>
        <sz val="11"/>
        <color theme="1"/>
        <rFont val="Calibri"/>
        <family val="2"/>
        <scheme val="minor"/>
      </rPr>
      <t xml:space="preserve">: Assume there is a 10 billion RWFs exogenous increase in incomes of rural households. </t>
    </r>
  </si>
  <si>
    <r>
      <rPr>
        <u/>
        <sz val="11"/>
        <rFont val="Calibri"/>
        <family val="2"/>
        <scheme val="minor"/>
      </rPr>
      <t>Scenario 2:</t>
    </r>
    <r>
      <rPr>
        <sz val="11"/>
        <rFont val="Calibri"/>
        <family val="2"/>
        <scheme val="minor"/>
      </rPr>
      <t xml:space="preserve"> Assume a similar 10 billion RWFs exogenous increase in incomes of urban households. </t>
    </r>
  </si>
  <si>
    <r>
      <rPr>
        <u/>
        <sz val="11"/>
        <rFont val="Calibri"/>
        <family val="2"/>
        <scheme val="minor"/>
      </rPr>
      <t>Scenario 3:</t>
    </r>
    <r>
      <rPr>
        <sz val="11"/>
        <rFont val="Calibri"/>
        <family val="2"/>
        <scheme val="minor"/>
      </rPr>
      <t xml:space="preserve"> Assume the government of Rwanda adapts an agro-export oriented development strategy that results in a 10 billion RWFs increase in exports of agricultural commodities.</t>
    </r>
  </si>
  <si>
    <r>
      <rPr>
        <u/>
        <sz val="11"/>
        <rFont val="Calibri"/>
        <family val="2"/>
        <scheme val="minor"/>
      </rPr>
      <t>Scenario 4:</t>
    </r>
    <r>
      <rPr>
        <sz val="11"/>
        <rFont val="Calibri"/>
        <family val="2"/>
        <scheme val="minor"/>
      </rPr>
      <t xml:space="preserve"> Assume the industrial sector experiences a 10 billion RWFs increase in exports. </t>
    </r>
  </si>
  <si>
    <r>
      <rPr>
        <u/>
        <sz val="11"/>
        <color rgb="FF0070C0"/>
        <rFont val="Calibri"/>
        <family val="2"/>
        <scheme val="minor"/>
      </rPr>
      <t>Scenario 2</t>
    </r>
    <r>
      <rPr>
        <sz val="11"/>
        <color rgb="FF0070C0"/>
        <rFont val="Calibri"/>
        <family val="2"/>
        <scheme val="minor"/>
      </rPr>
      <t xml:space="preserve">: Assume a similar RWFs 10 billion exogenous increase in incomes of urban households. </t>
    </r>
  </si>
  <si>
    <t>2015 SAM for Rwanda with 7 sectors</t>
  </si>
  <si>
    <t>Units: Millions of  Rwandan Franks (current prices)</t>
  </si>
  <si>
    <t>amin</t>
  </si>
  <si>
    <t>aman</t>
  </si>
  <si>
    <t>aelco</t>
  </si>
  <si>
    <t>atrad</t>
  </si>
  <si>
    <t>apubs</t>
  </si>
  <si>
    <t>aprvs</t>
  </si>
  <si>
    <t>cmin</t>
  </si>
  <si>
    <t>cman</t>
  </si>
  <si>
    <t>celco</t>
  </si>
  <si>
    <t>ctrad</t>
  </si>
  <si>
    <t>cpubs</t>
  </si>
  <si>
    <t>cprvs</t>
  </si>
  <si>
    <t>i_s</t>
  </si>
  <si>
    <t>Activity - mining</t>
  </si>
  <si>
    <t>Activity - manufacturing</t>
  </si>
  <si>
    <t>Activity - electicity, water and construction</t>
  </si>
  <si>
    <t>Activity - trade and transports</t>
  </si>
  <si>
    <t>Activity - public services</t>
  </si>
  <si>
    <t>Activity - private services</t>
  </si>
  <si>
    <t>Commodity - mining</t>
  </si>
  <si>
    <t>Commodity - manufacturing</t>
  </si>
  <si>
    <t>Commodity - electicity, water and construction</t>
  </si>
  <si>
    <t>Commodity - trade and transports</t>
  </si>
  <si>
    <t>Commodity - public services</t>
  </si>
  <si>
    <t>Commodity - private services</t>
  </si>
  <si>
    <t>PART 1: Calculating the adjusted inverted coefficient matrix</t>
  </si>
  <si>
    <t>Each cell entry is divided by its column total</t>
  </si>
  <si>
    <t>Adjusted coefficient matrix (M*)</t>
  </si>
  <si>
    <t>If sector is constrained then use remove link to domestic production and shift demand change to exogenous component.</t>
  </si>
  <si>
    <r>
      <t>Identity matrix</t>
    </r>
    <r>
      <rPr>
        <sz val="11"/>
        <color theme="1"/>
        <rFont val="Calibri"/>
        <family val="2"/>
        <scheme val="minor"/>
      </rPr>
      <t xml:space="preserve"> (I)</t>
    </r>
  </si>
  <si>
    <r>
      <rPr>
        <u/>
        <sz val="11"/>
        <color indexed="8"/>
        <rFont val="Calibri"/>
        <family val="2"/>
      </rPr>
      <t>Intermediate step</t>
    </r>
    <r>
      <rPr>
        <sz val="11"/>
        <color theme="1"/>
        <rFont val="Calibri"/>
        <family val="2"/>
        <scheme val="minor"/>
      </rPr>
      <t xml:space="preserve"> (I-M*) </t>
    </r>
  </si>
  <si>
    <t>Subtract the adjusted coefficient matrix from the identity matrix</t>
  </si>
  <si>
    <r>
      <rPr>
        <u/>
        <sz val="11"/>
        <color indexed="8"/>
        <rFont val="Calibri"/>
        <family val="2"/>
      </rPr>
      <t>Inverted adjusted coefficient matrix</t>
    </r>
    <r>
      <rPr>
        <sz val="11"/>
        <color theme="1"/>
        <rFont val="Calibri"/>
        <family val="2"/>
        <scheme val="minor"/>
      </rPr>
      <t xml:space="preserve"> (I-M*)-1 </t>
    </r>
  </si>
  <si>
    <t>B-matrix</t>
  </si>
  <si>
    <t>celw</t>
  </si>
  <si>
    <t>ccon</t>
  </si>
  <si>
    <t>It is initially set equal to one, which means a 1 billion RWF increase in demand for each commodity.</t>
  </si>
  <si>
    <t>(i.e., millions of Rwanda Frank at 2015 prices).</t>
  </si>
  <si>
    <t>PART 4: Deciding on exogenous demand components and constrained sectors</t>
  </si>
  <si>
    <r>
      <t>Multiplier effects</t>
    </r>
    <r>
      <rPr>
        <sz val="11"/>
        <color indexed="8"/>
        <rFont val="Calibri"/>
        <family val="2"/>
      </rPr>
      <t xml:space="preserve">   Z = (I-M*)-1 B E</t>
    </r>
  </si>
  <si>
    <t>Exogenous demand components</t>
  </si>
  <si>
    <t>Calculated using constrained multiplier formula (see Equation 5.6)</t>
  </si>
  <si>
    <t>Enter a one if the component of demand is exogenous in the model (zero otherwise).</t>
  </si>
  <si>
    <t>This extended setup allows you to choose exogenous demand components.</t>
  </si>
  <si>
    <t xml:space="preserve">     1: component is treated as exogenous. </t>
  </si>
  <si>
    <t xml:space="preserve">     0: component is treated as endogenous. </t>
  </si>
  <si>
    <t>Constrained supply sector</t>
  </si>
  <si>
    <r>
      <t xml:space="preserve">Enter a </t>
    </r>
    <r>
      <rPr>
        <b/>
        <u/>
        <sz val="11"/>
        <color rgb="FFFF0000"/>
        <rFont val="Calibri"/>
        <family val="2"/>
        <scheme val="minor"/>
      </rPr>
      <t>one</t>
    </r>
    <r>
      <rPr>
        <sz val="11"/>
        <color theme="1"/>
        <rFont val="Calibri"/>
        <family val="2"/>
        <scheme val="minor"/>
      </rPr>
      <t xml:space="preserve"> if the sector is supply constrained (zero otherwise).</t>
    </r>
  </si>
  <si>
    <t>This extended setup allows you to choose supply constrained sectors</t>
  </si>
  <si>
    <t xml:space="preserve">     1: sector is supply constrained</t>
  </si>
  <si>
    <t xml:space="preserve">     0: sector is not supply constrained</t>
  </si>
  <si>
    <r>
      <rPr>
        <b/>
        <sz val="11"/>
        <color rgb="FFFF0000"/>
        <rFont val="Calibri"/>
        <family val="2"/>
        <scheme val="minor"/>
      </rPr>
      <t>Q1</t>
    </r>
    <r>
      <rPr>
        <sz val="11"/>
        <color rgb="FFFF0000"/>
        <rFont val="Calibri"/>
        <family val="2"/>
        <scheme val="minor"/>
      </rPr>
      <t>. Copy and save the above multplier effect table belw.</t>
    </r>
  </si>
  <si>
    <t>A1.</t>
  </si>
  <si>
    <t>A2.</t>
  </si>
  <si>
    <t>A3.</t>
  </si>
  <si>
    <r>
      <rPr>
        <b/>
        <sz val="11"/>
        <color rgb="FFFF0000"/>
        <rFont val="Calibri"/>
        <family val="2"/>
        <scheme val="minor"/>
      </rPr>
      <t>Q4</t>
    </r>
    <r>
      <rPr>
        <sz val="11"/>
        <color rgb="FFFF0000"/>
        <rFont val="Calibri"/>
        <family val="2"/>
        <scheme val="minor"/>
      </rPr>
      <t>. On which sector is an exogenous demand in agriculture has the highest gross output effect?</t>
    </r>
  </si>
  <si>
    <t>A4.</t>
  </si>
  <si>
    <r>
      <rPr>
        <b/>
        <sz val="11"/>
        <color rgb="FFFF0000"/>
        <rFont val="Calibri"/>
        <family val="2"/>
        <scheme val="minor"/>
      </rPr>
      <t>Q5</t>
    </r>
    <r>
      <rPr>
        <sz val="11"/>
        <color rgb="FFFF0000"/>
        <rFont val="Calibri"/>
        <family val="2"/>
        <scheme val="minor"/>
      </rPr>
      <t>. On which sector is an exogenous demand in the manufucturing sector has the highest gross output effect?</t>
    </r>
  </si>
  <si>
    <t>A6.</t>
  </si>
  <si>
    <t>A7.</t>
  </si>
  <si>
    <t>A8.</t>
  </si>
  <si>
    <t>A9.</t>
  </si>
  <si>
    <t>A10.</t>
  </si>
  <si>
    <t>A11.</t>
  </si>
  <si>
    <t>Assignment 2: Constrinted multiplier model</t>
  </si>
  <si>
    <r>
      <rPr>
        <b/>
        <sz val="11"/>
        <color rgb="FFFF0000"/>
        <rFont val="Calibri"/>
        <family val="2"/>
        <scheme val="minor"/>
      </rPr>
      <t>Q2</t>
    </r>
    <r>
      <rPr>
        <sz val="11"/>
        <color rgb="FFFF0000"/>
        <rFont val="Calibri"/>
        <family val="2"/>
        <scheme val="minor"/>
      </rPr>
      <t>. Which sector has the highest output multiplier effect relative to the original shock?</t>
    </r>
  </si>
  <si>
    <r>
      <rPr>
        <b/>
        <sz val="11"/>
        <color rgb="FFFF0000"/>
        <rFont val="Calibri"/>
        <family val="2"/>
        <scheme val="minor"/>
      </rPr>
      <t>Q3</t>
    </r>
    <r>
      <rPr>
        <sz val="11"/>
        <color rgb="FFFF0000"/>
        <rFont val="Calibri"/>
        <family val="2"/>
        <scheme val="minor"/>
      </rPr>
      <t>. Which sector has the highest GDP effect relative to the original shock?</t>
    </r>
  </si>
  <si>
    <r>
      <rPr>
        <b/>
        <sz val="11"/>
        <color rgb="FFFF0000"/>
        <rFont val="Calibri"/>
        <family val="2"/>
        <scheme val="minor"/>
      </rPr>
      <t>Q6</t>
    </r>
    <r>
      <rPr>
        <sz val="11"/>
        <color rgb="FFFF0000"/>
        <rFont val="Calibri"/>
        <family val="2"/>
        <scheme val="minor"/>
      </rPr>
      <t>. Which sector has the highest income multplier effect relative to the original shock?</t>
    </r>
  </si>
  <si>
    <r>
      <rPr>
        <b/>
        <sz val="11"/>
        <color rgb="FFFF0000"/>
        <rFont val="Calibri"/>
        <family val="2"/>
        <scheme val="minor"/>
      </rPr>
      <t>Q7</t>
    </r>
    <r>
      <rPr>
        <sz val="11"/>
        <color rgb="FFFF0000"/>
        <rFont val="Calibri"/>
        <family val="2"/>
        <scheme val="minor"/>
      </rPr>
      <t>. Which sector has the least output, GDP, and income multplier effects relative to the original shock?</t>
    </r>
  </si>
  <si>
    <r>
      <rPr>
        <b/>
        <sz val="11"/>
        <color rgb="FFFF0000"/>
        <rFont val="Calibri"/>
        <family val="2"/>
        <scheme val="minor"/>
      </rPr>
      <t>Q8</t>
    </r>
    <r>
      <rPr>
        <sz val="11"/>
        <color rgb="FFFF0000"/>
        <rFont val="Calibri"/>
        <family val="2"/>
        <scheme val="minor"/>
      </rPr>
      <t>. Assume mining is supply constrained. Calculate the new output, GDP and income multipliers, and see how each are affected.</t>
    </r>
  </si>
  <si>
    <r>
      <rPr>
        <b/>
        <sz val="11"/>
        <color rgb="FFFF0000"/>
        <rFont val="Calibri"/>
        <family val="2"/>
        <scheme val="minor"/>
      </rPr>
      <t>Q9</t>
    </r>
    <r>
      <rPr>
        <sz val="11"/>
        <color rgb="FFFF0000"/>
        <rFont val="Calibri"/>
        <family val="2"/>
        <scheme val="minor"/>
      </rPr>
      <t>. Assume electcity and water sectors are supply constrained. Calculate the new output, GDP and income multipliers, and see how each are affected.</t>
    </r>
  </si>
  <si>
    <r>
      <rPr>
        <b/>
        <sz val="11"/>
        <color rgb="FFFF0000"/>
        <rFont val="Calibri"/>
        <family val="2"/>
        <scheme val="minor"/>
      </rPr>
      <t>Q10</t>
    </r>
    <r>
      <rPr>
        <sz val="11"/>
        <color rgb="FFFF0000"/>
        <rFont val="Calibri"/>
        <family val="2"/>
        <scheme val="minor"/>
      </rPr>
      <t>. Assume public services sector is supply constrained. Calculate the new output, GDP and income multipliers, and see how each are affected?</t>
    </r>
  </si>
  <si>
    <r>
      <rPr>
        <b/>
        <sz val="11"/>
        <color rgb="FFFF0000"/>
        <rFont val="Calibri"/>
        <family val="2"/>
        <scheme val="minor"/>
      </rPr>
      <t>Q11</t>
    </r>
    <r>
      <rPr>
        <sz val="11"/>
        <color rgb="FFFF0000"/>
        <rFont val="Calibri"/>
        <family val="2"/>
        <scheme val="minor"/>
      </rPr>
      <t>. Of the above three (aggerate) sectors, which one is the most limitting for the economy of Rwanda? [I.e., in which of the three cases above are the multiplier effects smaller?]</t>
    </r>
  </si>
  <si>
    <t xml:space="preserve">Task 3: </t>
  </si>
  <si>
    <r>
      <rPr>
        <u/>
        <sz val="11"/>
        <color theme="1"/>
        <rFont val="Calibri"/>
        <family val="2"/>
        <scheme val="minor"/>
      </rPr>
      <t>Scenarios</t>
    </r>
    <r>
      <rPr>
        <sz val="11"/>
        <color theme="1"/>
        <rFont val="Calibri"/>
        <family val="2"/>
        <scheme val="minor"/>
      </rPr>
      <t>: Using the SAM in sheet Task 3, assume that each of the seven sectors of the economy (from cagr to cprvs) face a 5% increase in exogenous/export demand. Design seven scenarios corresponding to each sector and calculate the multipliers. Recalculate the multipliers when some exogenous accounts are switched exogenous and some sectors are supply constrained.</t>
    </r>
  </si>
  <si>
    <r>
      <rPr>
        <u/>
        <sz val="11"/>
        <color rgb="FF0070C0"/>
        <rFont val="Calibri"/>
        <family val="2"/>
        <scheme val="minor"/>
      </rPr>
      <t>Scenarios</t>
    </r>
    <r>
      <rPr>
        <sz val="11"/>
        <color rgb="FF0070C0"/>
        <rFont val="Calibri"/>
        <family val="2"/>
        <scheme val="minor"/>
      </rPr>
      <t>: Using the SAM in sheet Task 3, assume that each of the seven sectors of the economy (from cagr to cprvs) face a 5% increase in exogenous/export demand. Design seven scenarios corresponding to each sector and calculate the multipliers. Recalculate the multipliers when some exogenous accounts are switched exogenous and some sectors are supply constrained.</t>
    </r>
  </si>
  <si>
    <t>Which sector has the largest output multiplier relative to the original shock?</t>
  </si>
  <si>
    <t>Which sector has the largest income multiplier relative to the original shock?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</si>
</sst>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#,##0.000"/>
    <numFmt numFmtId="166" formatCode="0.0"/>
  </numFmts>
  <fonts count="17" x14ac:knownFonts="1">
    <font>
      <sz val="11"/>
      <color theme="1"/>
      <name val="Calibri"/>
      <family val="2"/>
      <scheme val="minor"/>
    </font>
    <font>
      <u/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4"/>
      <color theme="1"/>
      <name val="Calibri"/>
      <family val="2"/>
    </font>
    <font>
      <b/>
      <sz val="12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1"/>
      <color rgb="FF0070C0"/>
      <name val="Calibri"/>
      <family val="2"/>
      <scheme val="minor"/>
    </font>
    <font>
      <u/>
      <sz val="11"/>
      <color rgb="FF0070C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3"/>
      <name val="Calibri"/>
      <family val="2"/>
      <scheme val="minor"/>
    </font>
    <font>
      <u/>
      <sz val="11"/>
      <name val="Calibri"/>
      <family val="2"/>
      <scheme val="minor"/>
    </font>
    <font>
      <sz val="11"/>
      <color indexed="8"/>
      <name val="Calibri"/>
      <family val="2"/>
    </font>
    <font>
      <b/>
      <u/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4.9989318521683403E-2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60">
    <xf numFmtId="0" fontId="0" fillId="0" borderId="0" xfId="0"/>
    <xf numFmtId="0" fontId="4" fillId="0" borderId="0" xfId="0" applyFont="1"/>
    <xf numFmtId="0" fontId="5" fillId="0" borderId="0" xfId="0" applyFont="1"/>
    <xf numFmtId="0" fontId="6" fillId="0" borderId="0" xfId="0" applyFont="1"/>
    <xf numFmtId="3" fontId="0" fillId="0" borderId="1" xfId="0" applyNumberFormat="1" applyBorder="1"/>
    <xf numFmtId="3" fontId="0" fillId="0" borderId="2" xfId="0" applyNumberFormat="1" applyBorder="1"/>
    <xf numFmtId="3" fontId="0" fillId="0" borderId="3" xfId="0" applyNumberFormat="1" applyBorder="1"/>
    <xf numFmtId="3" fontId="0" fillId="0" borderId="4" xfId="0" applyNumberFormat="1" applyBorder="1"/>
    <xf numFmtId="3" fontId="0" fillId="0" borderId="5" xfId="0" applyNumberFormat="1" applyBorder="1"/>
    <xf numFmtId="3" fontId="0" fillId="0" borderId="0" xfId="0" applyNumberFormat="1" applyBorder="1"/>
    <xf numFmtId="3" fontId="0" fillId="0" borderId="6" xfId="0" applyNumberFormat="1" applyBorder="1"/>
    <xf numFmtId="3" fontId="0" fillId="0" borderId="7" xfId="0" applyNumberFormat="1" applyBorder="1"/>
    <xf numFmtId="3" fontId="0" fillId="0" borderId="8" xfId="0" applyNumberFormat="1" applyBorder="1"/>
    <xf numFmtId="3" fontId="0" fillId="0" borderId="9" xfId="0" applyNumberFormat="1" applyBorder="1"/>
    <xf numFmtId="3" fontId="0" fillId="0" borderId="10" xfId="0" applyNumberFormat="1" applyBorder="1"/>
    <xf numFmtId="3" fontId="0" fillId="0" borderId="11" xfId="0" applyNumberFormat="1" applyBorder="1"/>
    <xf numFmtId="3" fontId="0" fillId="0" borderId="12" xfId="0" applyNumberFormat="1" applyBorder="1"/>
    <xf numFmtId="3" fontId="0" fillId="0" borderId="13" xfId="0" applyNumberFormat="1" applyBorder="1"/>
    <xf numFmtId="3" fontId="0" fillId="0" borderId="14" xfId="0" applyNumberFormat="1" applyBorder="1"/>
    <xf numFmtId="3" fontId="0" fillId="0" borderId="15" xfId="0" applyNumberFormat="1" applyBorder="1"/>
    <xf numFmtId="3" fontId="0" fillId="0" borderId="0" xfId="0" applyNumberFormat="1" applyFill="1" applyBorder="1"/>
    <xf numFmtId="3" fontId="7" fillId="0" borderId="0" xfId="0" applyNumberFormat="1" applyFont="1" applyFill="1" applyBorder="1"/>
    <xf numFmtId="4" fontId="0" fillId="0" borderId="0" xfId="0" applyNumberFormat="1" applyBorder="1"/>
    <xf numFmtId="4" fontId="0" fillId="0" borderId="6" xfId="0" applyNumberFormat="1" applyBorder="1"/>
    <xf numFmtId="4" fontId="0" fillId="0" borderId="7" xfId="0" applyNumberFormat="1" applyBorder="1"/>
    <xf numFmtId="4" fontId="0" fillId="0" borderId="9" xfId="0" applyNumberFormat="1" applyBorder="1"/>
    <xf numFmtId="4" fontId="0" fillId="0" borderId="10" xfId="0" applyNumberFormat="1" applyBorder="1"/>
    <xf numFmtId="4" fontId="0" fillId="0" borderId="11" xfId="0" applyNumberFormat="1" applyBorder="1"/>
    <xf numFmtId="4" fontId="0" fillId="0" borderId="13" xfId="0" applyNumberFormat="1" applyBorder="1"/>
    <xf numFmtId="4" fontId="0" fillId="0" borderId="14" xfId="0" applyNumberFormat="1" applyBorder="1"/>
    <xf numFmtId="4" fontId="0" fillId="0" borderId="15" xfId="0" applyNumberFormat="1" applyBorder="1"/>
    <xf numFmtId="4" fontId="0" fillId="0" borderId="2" xfId="0" applyNumberFormat="1" applyBorder="1"/>
    <xf numFmtId="4" fontId="0" fillId="0" borderId="3" xfId="0" applyNumberFormat="1" applyBorder="1"/>
    <xf numFmtId="4" fontId="0" fillId="0" borderId="4" xfId="0" applyNumberFormat="1" applyBorder="1"/>
    <xf numFmtId="4" fontId="8" fillId="0" borderId="0" xfId="0" applyNumberFormat="1" applyFont="1"/>
    <xf numFmtId="4" fontId="8" fillId="0" borderId="0" xfId="0" quotePrefix="1" applyNumberFormat="1" applyFont="1" applyAlignment="1">
      <alignment horizontal="right"/>
    </xf>
    <xf numFmtId="4" fontId="9" fillId="0" borderId="0" xfId="0" applyNumberFormat="1" applyFont="1"/>
    <xf numFmtId="3" fontId="10" fillId="0" borderId="0" xfId="0" applyNumberFormat="1" applyFont="1" applyFill="1" applyBorder="1"/>
    <xf numFmtId="0" fontId="3" fillId="0" borderId="0" xfId="0" applyFont="1" applyAlignment="1">
      <alignment horizontal="right"/>
    </xf>
    <xf numFmtId="0" fontId="3" fillId="0" borderId="0" xfId="0" applyFont="1"/>
    <xf numFmtId="164" fontId="3" fillId="0" borderId="0" xfId="1" applyNumberFormat="1" applyFont="1"/>
    <xf numFmtId="2" fontId="3" fillId="0" borderId="0" xfId="0" applyNumberFormat="1" applyFont="1"/>
    <xf numFmtId="0" fontId="0" fillId="0" borderId="5" xfId="0" applyBorder="1"/>
    <xf numFmtId="0" fontId="0" fillId="0" borderId="1" xfId="0" applyBorder="1"/>
    <xf numFmtId="0" fontId="0" fillId="0" borderId="8" xfId="0" applyBorder="1"/>
    <xf numFmtId="0" fontId="0" fillId="0" borderId="12" xfId="0" applyBorder="1"/>
    <xf numFmtId="0" fontId="0" fillId="0" borderId="9" xfId="0" applyBorder="1"/>
    <xf numFmtId="0" fontId="0" fillId="0" borderId="11" xfId="0" applyBorder="1"/>
    <xf numFmtId="4" fontId="0" fillId="0" borderId="5" xfId="0" applyNumberFormat="1" applyBorder="1"/>
    <xf numFmtId="0" fontId="0" fillId="0" borderId="0" xfId="0" applyBorder="1"/>
    <xf numFmtId="0" fontId="0" fillId="0" borderId="7" xfId="0" applyBorder="1"/>
    <xf numFmtId="4" fontId="0" fillId="0" borderId="8" xfId="0" applyNumberFormat="1" applyBorder="1"/>
    <xf numFmtId="4" fontId="0" fillId="0" borderId="12" xfId="0" applyNumberFormat="1" applyBorder="1"/>
    <xf numFmtId="4" fontId="0" fillId="0" borderId="1" xfId="0" applyNumberFormat="1" applyBorder="1"/>
    <xf numFmtId="0" fontId="0" fillId="0" borderId="2" xfId="0" applyBorder="1"/>
    <xf numFmtId="0" fontId="0" fillId="0" borderId="4" xfId="0" applyBorder="1"/>
    <xf numFmtId="4" fontId="0" fillId="0" borderId="0" xfId="0" applyNumberFormat="1"/>
    <xf numFmtId="0" fontId="11" fillId="0" borderId="0" xfId="0" applyFont="1"/>
    <xf numFmtId="4" fontId="0" fillId="0" borderId="2" xfId="0" applyNumberFormat="1" applyFill="1" applyBorder="1"/>
    <xf numFmtId="4" fontId="3" fillId="0" borderId="0" xfId="0" applyNumberFormat="1" applyFont="1"/>
    <xf numFmtId="2" fontId="0" fillId="0" borderId="0" xfId="0" applyNumberFormat="1"/>
    <xf numFmtId="3" fontId="3" fillId="0" borderId="1" xfId="0" applyNumberFormat="1" applyFont="1" applyBorder="1"/>
    <xf numFmtId="4" fontId="3" fillId="0" borderId="1" xfId="0" applyNumberFormat="1" applyFont="1" applyBorder="1"/>
    <xf numFmtId="3" fontId="3" fillId="0" borderId="8" xfId="0" applyNumberFormat="1" applyFont="1" applyBorder="1"/>
    <xf numFmtId="4" fontId="3" fillId="0" borderId="8" xfId="0" applyNumberFormat="1" applyFont="1" applyBorder="1"/>
    <xf numFmtId="3" fontId="3" fillId="0" borderId="2" xfId="0" applyNumberFormat="1" applyFont="1" applyBorder="1"/>
    <xf numFmtId="0" fontId="3" fillId="0" borderId="9" xfId="0" applyFont="1" applyBorder="1"/>
    <xf numFmtId="164" fontId="3" fillId="0" borderId="3" xfId="1" applyNumberFormat="1" applyFont="1" applyBorder="1"/>
    <xf numFmtId="3" fontId="0" fillId="0" borderId="16" xfId="0" applyNumberFormat="1" applyBorder="1"/>
    <xf numFmtId="0" fontId="0" fillId="0" borderId="17" xfId="0" applyBorder="1"/>
    <xf numFmtId="0" fontId="0" fillId="0" borderId="18" xfId="0" applyBorder="1"/>
    <xf numFmtId="4" fontId="0" fillId="0" borderId="19" xfId="0" applyNumberFormat="1" applyBorder="1"/>
    <xf numFmtId="4" fontId="0" fillId="0" borderId="20" xfId="0" applyNumberFormat="1" applyBorder="1"/>
    <xf numFmtId="4" fontId="0" fillId="0" borderId="21" xfId="0" applyNumberFormat="1" applyBorder="1"/>
    <xf numFmtId="4" fontId="0" fillId="0" borderId="22" xfId="0" applyNumberFormat="1" applyBorder="1"/>
    <xf numFmtId="4" fontId="0" fillId="0" borderId="23" xfId="0" applyNumberFormat="1" applyBorder="1"/>
    <xf numFmtId="4" fontId="0" fillId="0" borderId="24" xfId="0" applyNumberFormat="1" applyBorder="1"/>
    <xf numFmtId="4" fontId="0" fillId="0" borderId="25" xfId="0" applyNumberFormat="1" applyBorder="1"/>
    <xf numFmtId="4" fontId="0" fillId="0" borderId="26" xfId="0" applyNumberFormat="1" applyBorder="1"/>
    <xf numFmtId="4" fontId="0" fillId="0" borderId="27" xfId="0" applyNumberFormat="1" applyBorder="1"/>
    <xf numFmtId="4" fontId="0" fillId="0" borderId="28" xfId="0" applyNumberFormat="1" applyBorder="1"/>
    <xf numFmtId="4" fontId="0" fillId="0" borderId="29" xfId="0" applyNumberFormat="1" applyBorder="1"/>
    <xf numFmtId="0" fontId="12" fillId="0" borderId="0" xfId="0" applyFont="1"/>
    <xf numFmtId="165" fontId="0" fillId="0" borderId="2" xfId="0" applyNumberFormat="1" applyBorder="1"/>
    <xf numFmtId="165" fontId="0" fillId="0" borderId="3" xfId="0" applyNumberFormat="1" applyBorder="1"/>
    <xf numFmtId="0" fontId="4" fillId="2" borderId="0" xfId="0" applyFont="1" applyFill="1"/>
    <xf numFmtId="0" fontId="0" fillId="2" borderId="0" xfId="0" applyFill="1" applyBorder="1"/>
    <xf numFmtId="0" fontId="11" fillId="2" borderId="0" xfId="0" applyFont="1" applyFill="1" applyBorder="1"/>
    <xf numFmtId="0" fontId="0" fillId="3" borderId="3" xfId="0" applyFill="1" applyBorder="1"/>
    <xf numFmtId="0" fontId="0" fillId="3" borderId="2" xfId="0" applyFill="1" applyBorder="1" applyAlignment="1">
      <alignment wrapText="1"/>
    </xf>
    <xf numFmtId="0" fontId="0" fillId="3" borderId="4" xfId="0" applyFill="1" applyBorder="1" applyAlignment="1">
      <alignment wrapText="1"/>
    </xf>
    <xf numFmtId="3" fontId="0" fillId="0" borderId="9" xfId="0" applyNumberFormat="1" applyFill="1" applyBorder="1"/>
    <xf numFmtId="3" fontId="0" fillId="0" borderId="13" xfId="0" applyNumberFormat="1" applyFill="1" applyBorder="1"/>
    <xf numFmtId="3" fontId="0" fillId="0" borderId="2" xfId="0" applyNumberFormat="1" applyFill="1" applyBorder="1"/>
    <xf numFmtId="165" fontId="0" fillId="0" borderId="9" xfId="0" applyNumberFormat="1" applyBorder="1"/>
    <xf numFmtId="4" fontId="0" fillId="4" borderId="10" xfId="0" applyNumberFormat="1" applyFill="1" applyBorder="1"/>
    <xf numFmtId="4" fontId="0" fillId="4" borderId="9" xfId="0" applyNumberFormat="1" applyFill="1" applyBorder="1"/>
    <xf numFmtId="4" fontId="0" fillId="4" borderId="11" xfId="0" applyNumberFormat="1" applyFill="1" applyBorder="1"/>
    <xf numFmtId="165" fontId="0" fillId="0" borderId="0" xfId="0" applyNumberFormat="1" applyBorder="1"/>
    <xf numFmtId="4" fontId="0" fillId="4" borderId="6" xfId="0" applyNumberFormat="1" applyFill="1" applyBorder="1"/>
    <xf numFmtId="4" fontId="0" fillId="4" borderId="0" xfId="0" applyNumberFormat="1" applyFill="1" applyBorder="1"/>
    <xf numFmtId="4" fontId="0" fillId="4" borderId="7" xfId="0" applyNumberFormat="1" applyFill="1" applyBorder="1"/>
    <xf numFmtId="165" fontId="0" fillId="0" borderId="13" xfId="0" applyNumberFormat="1" applyBorder="1"/>
    <xf numFmtId="4" fontId="0" fillId="4" borderId="14" xfId="0" applyNumberFormat="1" applyFill="1" applyBorder="1"/>
    <xf numFmtId="4" fontId="0" fillId="4" borderId="13" xfId="0" applyNumberFormat="1" applyFill="1" applyBorder="1"/>
    <xf numFmtId="4" fontId="0" fillId="4" borderId="15" xfId="0" applyNumberFormat="1" applyFill="1" applyBorder="1"/>
    <xf numFmtId="4" fontId="0" fillId="4" borderId="3" xfId="0" applyNumberFormat="1" applyFill="1" applyBorder="1"/>
    <xf numFmtId="4" fontId="0" fillId="4" borderId="2" xfId="0" applyNumberFormat="1" applyFill="1" applyBorder="1"/>
    <xf numFmtId="4" fontId="0" fillId="4" borderId="4" xfId="0" applyNumberFormat="1" applyFill="1" applyBorder="1"/>
    <xf numFmtId="3" fontId="9" fillId="0" borderId="0" xfId="0" applyNumberFormat="1" applyFont="1" applyFill="1" applyBorder="1"/>
    <xf numFmtId="4" fontId="0" fillId="0" borderId="10" xfId="0" applyNumberFormat="1" applyFill="1" applyBorder="1"/>
    <xf numFmtId="4" fontId="0" fillId="0" borderId="9" xfId="0" applyNumberFormat="1" applyFill="1" applyBorder="1"/>
    <xf numFmtId="4" fontId="0" fillId="0" borderId="11" xfId="0" applyNumberFormat="1" applyFill="1" applyBorder="1"/>
    <xf numFmtId="4" fontId="0" fillId="0" borderId="6" xfId="0" applyNumberFormat="1" applyFill="1" applyBorder="1"/>
    <xf numFmtId="4" fontId="0" fillId="0" borderId="0" xfId="0" applyNumberFormat="1" applyFill="1" applyBorder="1"/>
    <xf numFmtId="4" fontId="0" fillId="0" borderId="7" xfId="0" applyNumberFormat="1" applyFill="1" applyBorder="1"/>
    <xf numFmtId="4" fontId="0" fillId="0" borderId="14" xfId="0" applyNumberFormat="1" applyFill="1" applyBorder="1"/>
    <xf numFmtId="4" fontId="0" fillId="0" borderId="13" xfId="0" applyNumberFormat="1" applyFill="1" applyBorder="1"/>
    <xf numFmtId="4" fontId="0" fillId="0" borderId="15" xfId="0" applyNumberFormat="1" applyFill="1" applyBorder="1"/>
    <xf numFmtId="4" fontId="0" fillId="0" borderId="3" xfId="0" applyNumberFormat="1" applyFill="1" applyBorder="1"/>
    <xf numFmtId="4" fontId="0" fillId="0" borderId="4" xfId="0" applyNumberFormat="1" applyFill="1" applyBorder="1"/>
    <xf numFmtId="0" fontId="0" fillId="5" borderId="0" xfId="0" applyFill="1"/>
    <xf numFmtId="3" fontId="10" fillId="5" borderId="0" xfId="0" applyNumberFormat="1" applyFont="1" applyFill="1" applyBorder="1"/>
    <xf numFmtId="3" fontId="1" fillId="0" borderId="0" xfId="0" applyNumberFormat="1" applyFont="1" applyFill="1" applyBorder="1"/>
    <xf numFmtId="0" fontId="7" fillId="5" borderId="0" xfId="0" applyFont="1" applyFill="1"/>
    <xf numFmtId="3" fontId="14" fillId="0" borderId="0" xfId="0" applyNumberFormat="1" applyFont="1" applyFill="1" applyBorder="1"/>
    <xf numFmtId="3" fontId="0" fillId="5" borderId="10" xfId="0" applyNumberFormat="1" applyFill="1" applyBorder="1"/>
    <xf numFmtId="3" fontId="0" fillId="5" borderId="9" xfId="0" applyNumberFormat="1" applyFill="1" applyBorder="1"/>
    <xf numFmtId="3" fontId="0" fillId="5" borderId="11" xfId="0" applyNumberFormat="1" applyFill="1" applyBorder="1"/>
    <xf numFmtId="3" fontId="0" fillId="5" borderId="3" xfId="0" applyNumberFormat="1" applyFill="1" applyBorder="1"/>
    <xf numFmtId="3" fontId="0" fillId="5" borderId="2" xfId="0" applyNumberFormat="1" applyFill="1" applyBorder="1"/>
    <xf numFmtId="3" fontId="0" fillId="5" borderId="4" xfId="0" applyNumberFormat="1" applyFill="1" applyBorder="1"/>
    <xf numFmtId="4" fontId="8" fillId="5" borderId="0" xfId="0" applyNumberFormat="1" applyFont="1" applyFill="1"/>
    <xf numFmtId="3" fontId="3" fillId="0" borderId="0" xfId="0" applyNumberFormat="1" applyFont="1" applyFill="1" applyBorder="1"/>
    <xf numFmtId="0" fontId="16" fillId="0" borderId="0" xfId="0" applyFont="1"/>
    <xf numFmtId="4" fontId="3" fillId="0" borderId="2" xfId="0" applyNumberFormat="1" applyFont="1" applyBorder="1"/>
    <xf numFmtId="4" fontId="3" fillId="0" borderId="4" xfId="0" applyNumberFormat="1" applyFont="1" applyBorder="1"/>
    <xf numFmtId="166" fontId="0" fillId="0" borderId="0" xfId="0" applyNumberFormat="1"/>
    <xf numFmtId="0" fontId="11" fillId="3" borderId="0" xfId="0" applyFont="1" applyFill="1" applyBorder="1" applyAlignment="1">
      <alignment horizontal="left" wrapText="1" indent="4"/>
    </xf>
    <xf numFmtId="0" fontId="0" fillId="3" borderId="6" xfId="0" applyFill="1" applyBorder="1" applyAlignment="1">
      <alignment horizontal="center" vertical="top"/>
    </xf>
    <xf numFmtId="0" fontId="11" fillId="3" borderId="7" xfId="0" applyFont="1" applyFill="1" applyBorder="1" applyAlignment="1">
      <alignment horizontal="left" wrapText="1" indent="4"/>
    </xf>
    <xf numFmtId="2" fontId="3" fillId="0" borderId="1" xfId="0" applyNumberFormat="1" applyFont="1" applyBorder="1" applyAlignment="1">
      <alignment horizontal="left"/>
    </xf>
    <xf numFmtId="0" fontId="0" fillId="3" borderId="9" xfId="0" applyFill="1" applyBorder="1" applyAlignment="1">
      <alignment horizontal="left" wrapText="1"/>
    </xf>
    <xf numFmtId="0" fontId="0" fillId="3" borderId="11" xfId="0" applyFill="1" applyBorder="1" applyAlignment="1">
      <alignment horizontal="left" wrapText="1"/>
    </xf>
    <xf numFmtId="0" fontId="0" fillId="3" borderId="0" xfId="0" applyFill="1" applyBorder="1" applyAlignment="1">
      <alignment horizontal="left" wrapText="1"/>
    </xf>
    <xf numFmtId="0" fontId="0" fillId="3" borderId="7" xfId="0" applyFill="1" applyBorder="1" applyAlignment="1">
      <alignment horizontal="left" wrapText="1"/>
    </xf>
    <xf numFmtId="0" fontId="0" fillId="3" borderId="13" xfId="0" applyFill="1" applyBorder="1" applyAlignment="1">
      <alignment horizontal="left" wrapText="1"/>
    </xf>
    <xf numFmtId="0" fontId="0" fillId="3" borderId="15" xfId="0" applyFill="1" applyBorder="1" applyAlignment="1">
      <alignment horizontal="left" wrapText="1"/>
    </xf>
    <xf numFmtId="0" fontId="0" fillId="3" borderId="10" xfId="0" applyFill="1" applyBorder="1" applyAlignment="1">
      <alignment horizontal="center" vertical="top"/>
    </xf>
    <xf numFmtId="0" fontId="0" fillId="3" borderId="6" xfId="0" applyFill="1" applyBorder="1" applyAlignment="1">
      <alignment horizontal="center" vertical="top"/>
    </xf>
    <xf numFmtId="0" fontId="0" fillId="3" borderId="14" xfId="0" applyFill="1" applyBorder="1" applyAlignment="1">
      <alignment horizontal="center" vertical="top"/>
    </xf>
    <xf numFmtId="0" fontId="11" fillId="3" borderId="0" xfId="0" applyFont="1" applyFill="1" applyBorder="1" applyAlignment="1">
      <alignment horizontal="left" wrapText="1" indent="4"/>
    </xf>
    <xf numFmtId="0" fontId="11" fillId="3" borderId="7" xfId="0" applyFont="1" applyFill="1" applyBorder="1" applyAlignment="1">
      <alignment horizontal="left" wrapText="1" indent="4"/>
    </xf>
    <xf numFmtId="0" fontId="11" fillId="3" borderId="13" xfId="0" applyFont="1" applyFill="1" applyBorder="1" applyAlignment="1">
      <alignment horizontal="left" wrapText="1" indent="4"/>
    </xf>
    <xf numFmtId="0" fontId="11" fillId="3" borderId="15" xfId="0" applyFont="1" applyFill="1" applyBorder="1" applyAlignment="1">
      <alignment horizontal="left" wrapText="1" indent="4"/>
    </xf>
    <xf numFmtId="0" fontId="0" fillId="3" borderId="10" xfId="0" applyFill="1" applyBorder="1" applyAlignment="1">
      <alignment horizontal="left" vertical="top"/>
    </xf>
    <xf numFmtId="0" fontId="0" fillId="3" borderId="6" xfId="0" applyFill="1" applyBorder="1" applyAlignment="1">
      <alignment horizontal="left" vertical="top"/>
    </xf>
    <xf numFmtId="0" fontId="0" fillId="3" borderId="0" xfId="0" applyFill="1" applyBorder="1" applyAlignment="1">
      <alignment horizontal="left" wrapText="1" indent="4"/>
    </xf>
    <xf numFmtId="0" fontId="0" fillId="3" borderId="7" xfId="0" applyFill="1" applyBorder="1" applyAlignment="1">
      <alignment horizontal="left" wrapText="1" indent="4"/>
    </xf>
    <xf numFmtId="0" fontId="8" fillId="0" borderId="0" xfId="0" applyFont="1" applyAlignment="1">
      <alignment horizontal="left" wrapText="1"/>
    </xf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EB77EF-7507-47AB-B8F1-F365C7BF5D36}">
  <sheetPr>
    <tabColor rgb="FF0070C0"/>
  </sheetPr>
  <dimension ref="A1:X25"/>
  <sheetViews>
    <sheetView tabSelected="1" workbookViewId="0">
      <selection activeCell="C18" sqref="C18:K19"/>
    </sheetView>
  </sheetViews>
  <sheetFormatPr defaultColWidth="8.7109375" defaultRowHeight="15" x14ac:dyDescent="0.25"/>
  <cols>
    <col min="1" max="16384" width="8.7109375" style="86"/>
  </cols>
  <sheetData>
    <row r="1" spans="1:24" ht="18.75" x14ac:dyDescent="0.3">
      <c r="A1" s="85" t="s">
        <v>105</v>
      </c>
    </row>
    <row r="5" spans="1:24" ht="14.45" customHeight="1" x14ac:dyDescent="0.25">
      <c r="B5" s="155" t="s">
        <v>97</v>
      </c>
      <c r="C5" s="142" t="s">
        <v>106</v>
      </c>
      <c r="D5" s="142"/>
      <c r="E5" s="142"/>
      <c r="F5" s="142"/>
      <c r="G5" s="142"/>
      <c r="H5" s="142"/>
      <c r="I5" s="142"/>
      <c r="J5" s="142"/>
      <c r="K5" s="143"/>
    </row>
    <row r="6" spans="1:24" x14ac:dyDescent="0.25">
      <c r="B6" s="156"/>
      <c r="C6" s="144"/>
      <c r="D6" s="144"/>
      <c r="E6" s="144"/>
      <c r="F6" s="144"/>
      <c r="G6" s="144"/>
      <c r="H6" s="144"/>
      <c r="I6" s="144"/>
      <c r="J6" s="144"/>
      <c r="K6" s="145"/>
    </row>
    <row r="7" spans="1:24" x14ac:dyDescent="0.25">
      <c r="B7" s="156"/>
      <c r="C7" s="144"/>
      <c r="D7" s="144"/>
      <c r="E7" s="144"/>
      <c r="F7" s="144"/>
      <c r="G7" s="144"/>
      <c r="H7" s="144"/>
      <c r="I7" s="144"/>
      <c r="J7" s="144"/>
      <c r="K7" s="145"/>
    </row>
    <row r="8" spans="1:24" ht="3" customHeight="1" x14ac:dyDescent="0.25">
      <c r="B8" s="88"/>
      <c r="C8" s="89"/>
      <c r="D8" s="89"/>
      <c r="E8" s="89"/>
      <c r="F8" s="89"/>
      <c r="G8" s="89"/>
      <c r="H8" s="89"/>
      <c r="I8" s="89"/>
      <c r="J8" s="89"/>
      <c r="K8" s="90"/>
    </row>
    <row r="9" spans="1:24" ht="14.45" customHeight="1" x14ac:dyDescent="0.25">
      <c r="B9" s="148" t="s">
        <v>103</v>
      </c>
      <c r="C9" s="142" t="s">
        <v>107</v>
      </c>
      <c r="D9" s="142"/>
      <c r="E9" s="142"/>
      <c r="F9" s="142"/>
      <c r="G9" s="142"/>
      <c r="H9" s="142"/>
      <c r="I9" s="142"/>
      <c r="J9" s="142"/>
      <c r="K9" s="143"/>
    </row>
    <row r="10" spans="1:24" x14ac:dyDescent="0.25">
      <c r="B10" s="149"/>
      <c r="C10" s="144"/>
      <c r="D10" s="144"/>
      <c r="E10" s="144"/>
      <c r="F10" s="144"/>
      <c r="G10" s="144"/>
      <c r="H10" s="144"/>
      <c r="I10" s="144"/>
      <c r="J10" s="144"/>
      <c r="K10" s="145"/>
    </row>
    <row r="11" spans="1:24" x14ac:dyDescent="0.25">
      <c r="B11" s="149"/>
      <c r="C11" s="157" t="s">
        <v>108</v>
      </c>
      <c r="D11" s="157"/>
      <c r="E11" s="157"/>
      <c r="F11" s="157"/>
      <c r="G11" s="157"/>
      <c r="H11" s="157"/>
      <c r="I11" s="157"/>
      <c r="J11" s="157"/>
      <c r="K11" s="158"/>
      <c r="L11" s="87"/>
      <c r="M11" s="87"/>
      <c r="N11" s="87"/>
      <c r="O11" s="87"/>
      <c r="P11" s="87"/>
      <c r="Q11" s="87"/>
      <c r="R11" s="87"/>
      <c r="S11" s="87"/>
      <c r="T11" s="87"/>
      <c r="U11" s="87"/>
      <c r="V11" s="87"/>
      <c r="W11" s="87"/>
      <c r="X11" s="87"/>
    </row>
    <row r="12" spans="1:24" x14ac:dyDescent="0.25">
      <c r="B12" s="149"/>
      <c r="C12" s="157"/>
      <c r="D12" s="157"/>
      <c r="E12" s="157"/>
      <c r="F12" s="157"/>
      <c r="G12" s="157"/>
      <c r="H12" s="157"/>
      <c r="I12" s="157"/>
      <c r="J12" s="157"/>
      <c r="K12" s="158"/>
      <c r="L12" s="87"/>
      <c r="M12" s="87"/>
      <c r="N12" s="87"/>
      <c r="O12" s="87"/>
      <c r="P12" s="87"/>
      <c r="Q12" s="87"/>
      <c r="R12" s="87"/>
      <c r="S12" s="87"/>
      <c r="T12" s="87"/>
      <c r="U12" s="87"/>
      <c r="V12" s="87"/>
      <c r="W12" s="87"/>
      <c r="X12" s="87"/>
    </row>
    <row r="13" spans="1:24" ht="14.45" customHeight="1" x14ac:dyDescent="0.25">
      <c r="B13" s="149"/>
      <c r="C13" s="151" t="s">
        <v>109</v>
      </c>
      <c r="D13" s="151"/>
      <c r="E13" s="151"/>
      <c r="F13" s="151"/>
      <c r="G13" s="151"/>
      <c r="H13" s="151"/>
      <c r="I13" s="151"/>
      <c r="J13" s="151"/>
      <c r="K13" s="152"/>
      <c r="L13" s="87"/>
      <c r="M13" s="87"/>
      <c r="N13" s="87"/>
      <c r="O13" s="87"/>
      <c r="P13" s="87"/>
      <c r="Q13" s="87"/>
      <c r="R13" s="87"/>
      <c r="S13" s="87"/>
      <c r="T13" s="87"/>
      <c r="U13" s="87"/>
      <c r="V13" s="87"/>
      <c r="W13" s="87"/>
      <c r="X13" s="87"/>
    </row>
    <row r="14" spans="1:24" x14ac:dyDescent="0.25">
      <c r="B14" s="149"/>
      <c r="C14" s="151"/>
      <c r="D14" s="151"/>
      <c r="E14" s="151"/>
      <c r="F14" s="151"/>
      <c r="G14" s="151"/>
      <c r="H14" s="151"/>
      <c r="I14" s="151"/>
      <c r="J14" s="151"/>
      <c r="K14" s="152"/>
      <c r="L14" s="87"/>
      <c r="M14" s="87"/>
      <c r="N14" s="87"/>
      <c r="O14" s="87"/>
      <c r="P14" s="87"/>
      <c r="Q14" s="87"/>
      <c r="R14" s="87"/>
      <c r="S14" s="87"/>
      <c r="T14" s="87"/>
      <c r="U14" s="87"/>
      <c r="V14" s="87"/>
      <c r="W14" s="87"/>
      <c r="X14" s="87"/>
    </row>
    <row r="15" spans="1:24" ht="14.45" customHeight="1" x14ac:dyDescent="0.25">
      <c r="B15" s="149"/>
      <c r="C15" s="151" t="s">
        <v>110</v>
      </c>
      <c r="D15" s="151"/>
      <c r="E15" s="151"/>
      <c r="F15" s="151"/>
      <c r="G15" s="151"/>
      <c r="H15" s="151"/>
      <c r="I15" s="151"/>
      <c r="J15" s="151"/>
      <c r="K15" s="152"/>
      <c r="L15" s="87"/>
      <c r="M15" s="87"/>
      <c r="N15" s="87"/>
      <c r="O15" s="87"/>
      <c r="P15" s="87"/>
      <c r="Q15" s="87"/>
      <c r="R15" s="87"/>
      <c r="S15" s="87"/>
      <c r="T15" s="87"/>
      <c r="U15" s="87"/>
      <c r="V15" s="87"/>
      <c r="W15" s="87"/>
      <c r="X15" s="87"/>
    </row>
    <row r="16" spans="1:24" x14ac:dyDescent="0.25">
      <c r="B16" s="149"/>
      <c r="C16" s="151"/>
      <c r="D16" s="151"/>
      <c r="E16" s="151"/>
      <c r="F16" s="151"/>
      <c r="G16" s="151"/>
      <c r="H16" s="151"/>
      <c r="I16" s="151"/>
      <c r="J16" s="151"/>
      <c r="K16" s="152"/>
      <c r="L16" s="87"/>
      <c r="M16" s="87"/>
      <c r="N16" s="87"/>
      <c r="O16" s="87"/>
      <c r="P16" s="87"/>
      <c r="Q16" s="87"/>
      <c r="R16" s="87"/>
      <c r="S16" s="87"/>
      <c r="T16" s="87"/>
      <c r="U16" s="87"/>
      <c r="V16" s="87"/>
      <c r="W16" s="87"/>
      <c r="X16" s="87"/>
    </row>
    <row r="17" spans="2:24" x14ac:dyDescent="0.25">
      <c r="B17" s="149"/>
      <c r="C17" s="151"/>
      <c r="D17" s="151"/>
      <c r="E17" s="151"/>
      <c r="F17" s="151"/>
      <c r="G17" s="151"/>
      <c r="H17" s="151"/>
      <c r="I17" s="151"/>
      <c r="J17" s="151"/>
      <c r="K17" s="152"/>
      <c r="L17" s="87"/>
      <c r="M17" s="87"/>
      <c r="N17" s="87"/>
      <c r="O17" s="87"/>
      <c r="P17" s="87"/>
      <c r="Q17" s="87"/>
      <c r="R17" s="87"/>
      <c r="S17" s="87"/>
      <c r="T17" s="87"/>
      <c r="U17" s="87"/>
      <c r="V17" s="87"/>
      <c r="W17" s="87"/>
      <c r="X17" s="87"/>
    </row>
    <row r="18" spans="2:24" x14ac:dyDescent="0.25">
      <c r="B18" s="149"/>
      <c r="C18" s="151" t="s">
        <v>111</v>
      </c>
      <c r="D18" s="151"/>
      <c r="E18" s="151"/>
      <c r="F18" s="151"/>
      <c r="G18" s="151"/>
      <c r="H18" s="151"/>
      <c r="I18" s="151"/>
      <c r="J18" s="151"/>
      <c r="K18" s="152"/>
      <c r="L18" s="87"/>
      <c r="M18" s="87"/>
      <c r="N18" s="87"/>
      <c r="O18" s="87"/>
      <c r="P18" s="87"/>
      <c r="Q18" s="87"/>
      <c r="R18" s="87"/>
      <c r="S18" s="87"/>
      <c r="T18" s="87"/>
      <c r="U18" s="87"/>
      <c r="V18" s="87"/>
      <c r="W18" s="87"/>
      <c r="X18" s="87"/>
    </row>
    <row r="19" spans="2:24" x14ac:dyDescent="0.25">
      <c r="B19" s="150"/>
      <c r="C19" s="153"/>
      <c r="D19" s="153"/>
      <c r="E19" s="153"/>
      <c r="F19" s="153"/>
      <c r="G19" s="153"/>
      <c r="H19" s="153"/>
      <c r="I19" s="153"/>
      <c r="J19" s="153"/>
      <c r="K19" s="154"/>
      <c r="L19" s="87"/>
      <c r="M19" s="87"/>
      <c r="N19" s="87"/>
      <c r="O19" s="87"/>
      <c r="P19" s="87"/>
      <c r="Q19" s="87"/>
      <c r="R19" s="87"/>
      <c r="S19" s="87"/>
      <c r="T19" s="87"/>
      <c r="U19" s="87"/>
      <c r="V19" s="87"/>
      <c r="W19" s="87"/>
      <c r="X19" s="87"/>
    </row>
    <row r="20" spans="2:24" ht="3" customHeight="1" x14ac:dyDescent="0.25">
      <c r="B20" s="139"/>
      <c r="C20" s="138"/>
      <c r="D20" s="138"/>
      <c r="E20" s="138"/>
      <c r="F20" s="138"/>
      <c r="G20" s="138"/>
      <c r="H20" s="138"/>
      <c r="I20" s="138"/>
      <c r="J20" s="138"/>
      <c r="K20" s="140"/>
      <c r="L20" s="87"/>
      <c r="M20" s="87"/>
      <c r="N20" s="87"/>
      <c r="O20" s="87"/>
      <c r="P20" s="87"/>
      <c r="Q20" s="87"/>
      <c r="R20" s="87"/>
      <c r="S20" s="87"/>
      <c r="T20" s="87"/>
      <c r="U20" s="87"/>
      <c r="V20" s="87"/>
      <c r="W20" s="87"/>
      <c r="X20" s="87"/>
    </row>
    <row r="21" spans="2:24" x14ac:dyDescent="0.25">
      <c r="B21" s="148" t="s">
        <v>188</v>
      </c>
      <c r="C21" s="142" t="s">
        <v>189</v>
      </c>
      <c r="D21" s="142"/>
      <c r="E21" s="142"/>
      <c r="F21" s="142"/>
      <c r="G21" s="142"/>
      <c r="H21" s="142"/>
      <c r="I21" s="142"/>
      <c r="J21" s="142"/>
      <c r="K21" s="143"/>
      <c r="L21" s="87"/>
      <c r="M21" s="87"/>
      <c r="N21" s="87"/>
      <c r="O21" s="87"/>
      <c r="P21" s="87"/>
      <c r="Q21" s="87"/>
      <c r="R21" s="87"/>
      <c r="S21" s="87"/>
      <c r="T21" s="87"/>
      <c r="U21" s="87"/>
      <c r="V21" s="87"/>
      <c r="W21" s="87"/>
      <c r="X21" s="87"/>
    </row>
    <row r="22" spans="2:24" x14ac:dyDescent="0.25">
      <c r="B22" s="149"/>
      <c r="C22" s="144"/>
      <c r="D22" s="144"/>
      <c r="E22" s="144"/>
      <c r="F22" s="144"/>
      <c r="G22" s="144"/>
      <c r="H22" s="144"/>
      <c r="I22" s="144"/>
      <c r="J22" s="144"/>
      <c r="K22" s="145"/>
      <c r="L22" s="87"/>
      <c r="M22" s="87"/>
      <c r="N22" s="87"/>
      <c r="O22" s="87"/>
      <c r="P22" s="87"/>
      <c r="Q22" s="87"/>
      <c r="R22" s="87"/>
      <c r="S22" s="87"/>
      <c r="T22" s="87"/>
      <c r="U22" s="87"/>
      <c r="V22" s="87"/>
      <c r="W22" s="87"/>
      <c r="X22" s="87"/>
    </row>
    <row r="23" spans="2:24" x14ac:dyDescent="0.25">
      <c r="B23" s="149"/>
      <c r="C23" s="144"/>
      <c r="D23" s="144"/>
      <c r="E23" s="144"/>
      <c r="F23" s="144"/>
      <c r="G23" s="144"/>
      <c r="H23" s="144"/>
      <c r="I23" s="144"/>
      <c r="J23" s="144"/>
      <c r="K23" s="145"/>
      <c r="L23" s="87"/>
      <c r="M23" s="87"/>
      <c r="N23" s="87"/>
      <c r="O23" s="87"/>
      <c r="P23" s="87"/>
      <c r="Q23" s="87"/>
      <c r="R23" s="87"/>
      <c r="S23" s="87"/>
      <c r="T23" s="87"/>
      <c r="U23" s="87"/>
      <c r="V23" s="87"/>
      <c r="W23" s="87"/>
      <c r="X23" s="87"/>
    </row>
    <row r="24" spans="2:24" x14ac:dyDescent="0.25">
      <c r="B24" s="149"/>
      <c r="C24" s="144"/>
      <c r="D24" s="144"/>
      <c r="E24" s="144"/>
      <c r="F24" s="144"/>
      <c r="G24" s="144"/>
      <c r="H24" s="144"/>
      <c r="I24" s="144"/>
      <c r="J24" s="144"/>
      <c r="K24" s="145"/>
      <c r="L24" s="87"/>
      <c r="M24" s="87"/>
      <c r="N24" s="87"/>
      <c r="O24" s="87"/>
      <c r="P24" s="87"/>
      <c r="Q24" s="87"/>
      <c r="R24" s="87"/>
      <c r="S24" s="87"/>
      <c r="T24" s="87"/>
      <c r="U24" s="87"/>
      <c r="V24" s="87"/>
      <c r="W24" s="87"/>
      <c r="X24" s="87"/>
    </row>
    <row r="25" spans="2:24" x14ac:dyDescent="0.25">
      <c r="B25" s="150"/>
      <c r="C25" s="146"/>
      <c r="D25" s="146"/>
      <c r="E25" s="146"/>
      <c r="F25" s="146"/>
      <c r="G25" s="146"/>
      <c r="H25" s="146"/>
      <c r="I25" s="146"/>
      <c r="J25" s="146"/>
      <c r="K25" s="147"/>
    </row>
  </sheetData>
  <mergeCells count="10">
    <mergeCell ref="C5:K7"/>
    <mergeCell ref="B5:B7"/>
    <mergeCell ref="C9:K10"/>
    <mergeCell ref="C11:K12"/>
    <mergeCell ref="B9:B19"/>
    <mergeCell ref="C21:K25"/>
    <mergeCell ref="B21:B25"/>
    <mergeCell ref="C13:K14"/>
    <mergeCell ref="C15:K17"/>
    <mergeCell ref="C18:K19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00259F-44A0-41C2-984C-E0763644C08A}">
  <dimension ref="A1:T177"/>
  <sheetViews>
    <sheetView showZeros="0" topLeftCell="A108" zoomScale="65" zoomScaleNormal="65" workbookViewId="0">
      <selection activeCell="B121" sqref="B121"/>
    </sheetView>
  </sheetViews>
  <sheetFormatPr defaultRowHeight="15" x14ac:dyDescent="0.25"/>
  <sheetData>
    <row r="1" spans="1:20" ht="18.75" x14ac:dyDescent="0.3">
      <c r="A1" s="1" t="s">
        <v>105</v>
      </c>
    </row>
    <row r="6" spans="1:20" ht="15.75" x14ac:dyDescent="0.25">
      <c r="A6" s="2" t="s">
        <v>75</v>
      </c>
    </row>
    <row r="7" spans="1:20" x14ac:dyDescent="0.25">
      <c r="A7" s="57" t="s">
        <v>80</v>
      </c>
    </row>
    <row r="8" spans="1:20" x14ac:dyDescent="0.25">
      <c r="A8" s="4"/>
      <c r="B8" s="5" t="s">
        <v>0</v>
      </c>
      <c r="C8" s="5" t="s">
        <v>1</v>
      </c>
      <c r="D8" s="5" t="s">
        <v>2</v>
      </c>
      <c r="E8" s="6" t="s">
        <v>3</v>
      </c>
      <c r="F8" s="5" t="s">
        <v>4</v>
      </c>
      <c r="G8" s="7" t="s">
        <v>5</v>
      </c>
      <c r="H8" s="43" t="s">
        <v>72</v>
      </c>
      <c r="I8" s="5" t="s">
        <v>6</v>
      </c>
      <c r="J8" s="5" t="s">
        <v>7</v>
      </c>
      <c r="K8" s="43" t="s">
        <v>73</v>
      </c>
      <c r="L8" s="6" t="s">
        <v>8</v>
      </c>
      <c r="M8" s="7" t="s">
        <v>9</v>
      </c>
      <c r="N8" s="5" t="s">
        <v>10</v>
      </c>
      <c r="O8" s="5" t="s">
        <v>11</v>
      </c>
      <c r="P8" s="5" t="s">
        <v>12</v>
      </c>
      <c r="Q8" s="4" t="s">
        <v>74</v>
      </c>
      <c r="S8" s="3" t="s">
        <v>14</v>
      </c>
    </row>
    <row r="9" spans="1:20" x14ac:dyDescent="0.25">
      <c r="A9" s="8" t="s">
        <v>0</v>
      </c>
      <c r="B9" s="9">
        <v>0</v>
      </c>
      <c r="C9" s="9">
        <v>0</v>
      </c>
      <c r="D9" s="9">
        <v>0</v>
      </c>
      <c r="E9" s="10">
        <v>1861.5144748939067</v>
      </c>
      <c r="F9" s="9">
        <v>0</v>
      </c>
      <c r="G9" s="11">
        <v>0</v>
      </c>
      <c r="H9" s="42">
        <v>0</v>
      </c>
      <c r="I9" s="9">
        <v>0</v>
      </c>
      <c r="J9" s="9">
        <v>0</v>
      </c>
      <c r="K9" s="42">
        <v>0</v>
      </c>
      <c r="L9" s="10">
        <v>0</v>
      </c>
      <c r="M9" s="11">
        <v>0</v>
      </c>
      <c r="N9" s="9">
        <v>0</v>
      </c>
      <c r="O9" s="9">
        <v>0</v>
      </c>
      <c r="P9" s="9">
        <v>0</v>
      </c>
      <c r="Q9" s="8">
        <v>1861.5144748939067</v>
      </c>
      <c r="S9" t="s">
        <v>0</v>
      </c>
      <c r="T9" t="s">
        <v>15</v>
      </c>
    </row>
    <row r="10" spans="1:20" x14ac:dyDescent="0.25">
      <c r="A10" s="8" t="s">
        <v>1</v>
      </c>
      <c r="B10" s="9">
        <v>0</v>
      </c>
      <c r="C10" s="9">
        <v>0</v>
      </c>
      <c r="D10" s="9">
        <v>0</v>
      </c>
      <c r="E10" s="10">
        <v>0</v>
      </c>
      <c r="F10" s="9">
        <v>2951.7913337981145</v>
      </c>
      <c r="G10" s="11">
        <v>0</v>
      </c>
      <c r="H10" s="42">
        <v>0</v>
      </c>
      <c r="I10" s="9">
        <v>0</v>
      </c>
      <c r="J10" s="9">
        <v>0</v>
      </c>
      <c r="K10" s="42">
        <v>0</v>
      </c>
      <c r="L10" s="10">
        <v>0</v>
      </c>
      <c r="M10" s="11">
        <v>0</v>
      </c>
      <c r="N10" s="9">
        <v>0</v>
      </c>
      <c r="O10" s="9">
        <v>0</v>
      </c>
      <c r="P10" s="9">
        <v>0</v>
      </c>
      <c r="Q10" s="8">
        <v>2951.7913337981145</v>
      </c>
      <c r="S10" t="s">
        <v>1</v>
      </c>
      <c r="T10" t="s">
        <v>25</v>
      </c>
    </row>
    <row r="11" spans="1:20" x14ac:dyDescent="0.25">
      <c r="A11" s="8" t="s">
        <v>2</v>
      </c>
      <c r="B11" s="9">
        <v>0</v>
      </c>
      <c r="C11" s="9">
        <v>0</v>
      </c>
      <c r="D11" s="9">
        <v>0</v>
      </c>
      <c r="E11" s="10">
        <v>0</v>
      </c>
      <c r="F11" s="9">
        <v>0</v>
      </c>
      <c r="G11" s="11">
        <v>5426.8365783389136</v>
      </c>
      <c r="H11" s="42">
        <v>0</v>
      </c>
      <c r="I11" s="9">
        <v>0</v>
      </c>
      <c r="J11" s="9">
        <v>0</v>
      </c>
      <c r="K11" s="42">
        <v>0</v>
      </c>
      <c r="L11" s="10">
        <v>0</v>
      </c>
      <c r="M11" s="11">
        <v>0</v>
      </c>
      <c r="N11" s="9">
        <v>0</v>
      </c>
      <c r="O11" s="9">
        <v>0</v>
      </c>
      <c r="P11" s="9">
        <v>0</v>
      </c>
      <c r="Q11" s="8">
        <v>5426.8365783389136</v>
      </c>
      <c r="S11" t="s">
        <v>2</v>
      </c>
      <c r="T11" t="s">
        <v>26</v>
      </c>
    </row>
    <row r="12" spans="1:20" x14ac:dyDescent="0.25">
      <c r="A12" s="12" t="s">
        <v>3</v>
      </c>
      <c r="B12" s="13">
        <v>128.41043581368717</v>
      </c>
      <c r="C12" s="13">
        <v>496.01088263277438</v>
      </c>
      <c r="D12" s="13">
        <v>55.634986769874615</v>
      </c>
      <c r="E12" s="14">
        <v>0</v>
      </c>
      <c r="F12" s="13">
        <v>0</v>
      </c>
      <c r="G12" s="15">
        <v>0</v>
      </c>
      <c r="H12" s="44">
        <v>0</v>
      </c>
      <c r="I12" s="13">
        <v>0</v>
      </c>
      <c r="J12" s="13">
        <v>0</v>
      </c>
      <c r="K12" s="44">
        <v>0</v>
      </c>
      <c r="L12" s="14">
        <v>1023.8582250078596</v>
      </c>
      <c r="M12" s="15">
        <v>414.63982669743439</v>
      </c>
      <c r="N12" s="13">
        <v>0</v>
      </c>
      <c r="O12" s="13">
        <v>3.5882828901810773</v>
      </c>
      <c r="P12" s="13">
        <v>100.73062475804775</v>
      </c>
      <c r="Q12" s="12">
        <v>2222.8732645698587</v>
      </c>
      <c r="S12" t="s">
        <v>3</v>
      </c>
      <c r="T12" t="s">
        <v>16</v>
      </c>
    </row>
    <row r="13" spans="1:20" x14ac:dyDescent="0.25">
      <c r="A13" s="8" t="s">
        <v>4</v>
      </c>
      <c r="B13" s="9">
        <v>110.42998424993168</v>
      </c>
      <c r="C13" s="9">
        <v>993.556843615356</v>
      </c>
      <c r="D13" s="9">
        <v>916.97365859710339</v>
      </c>
      <c r="E13" s="10">
        <v>0</v>
      </c>
      <c r="F13" s="9">
        <v>0</v>
      </c>
      <c r="G13" s="11">
        <v>0</v>
      </c>
      <c r="H13" s="42">
        <v>0</v>
      </c>
      <c r="I13" s="9">
        <v>0</v>
      </c>
      <c r="J13" s="9">
        <v>0</v>
      </c>
      <c r="K13" s="42">
        <v>0</v>
      </c>
      <c r="L13" s="10">
        <v>688.02683644632305</v>
      </c>
      <c r="M13" s="11">
        <v>638.80011269779561</v>
      </c>
      <c r="N13" s="9">
        <v>0</v>
      </c>
      <c r="O13" s="9">
        <v>1549.5530289837036</v>
      </c>
      <c r="P13" s="9">
        <v>276.14395614476467</v>
      </c>
      <c r="Q13" s="8">
        <v>5173.4844207349788</v>
      </c>
      <c r="S13" t="s">
        <v>4</v>
      </c>
      <c r="T13" t="s">
        <v>27</v>
      </c>
    </row>
    <row r="14" spans="1:20" x14ac:dyDescent="0.25">
      <c r="A14" s="16" t="s">
        <v>5</v>
      </c>
      <c r="B14" s="17">
        <v>28.898418760757508</v>
      </c>
      <c r="C14" s="17">
        <v>446.72667224751524</v>
      </c>
      <c r="D14" s="17">
        <v>1772.4761662008084</v>
      </c>
      <c r="E14" s="18">
        <v>0</v>
      </c>
      <c r="F14" s="17">
        <v>0</v>
      </c>
      <c r="G14" s="19">
        <v>0</v>
      </c>
      <c r="H14" s="45">
        <v>924.15060017229371</v>
      </c>
      <c r="I14" s="17">
        <v>0</v>
      </c>
      <c r="J14" s="17">
        <v>0</v>
      </c>
      <c r="K14" s="45">
        <v>0</v>
      </c>
      <c r="L14" s="18">
        <v>645.62465790687088</v>
      </c>
      <c r="M14" s="19">
        <v>1056.4179250095519</v>
      </c>
      <c r="N14" s="17">
        <v>959.0324629217879</v>
      </c>
      <c r="O14" s="17">
        <v>0</v>
      </c>
      <c r="P14" s="17">
        <v>467.63454352778359</v>
      </c>
      <c r="Q14" s="16">
        <v>6300.9614467473693</v>
      </c>
      <c r="S14" t="s">
        <v>5</v>
      </c>
      <c r="T14" t="s">
        <v>28</v>
      </c>
    </row>
    <row r="15" spans="1:20" x14ac:dyDescent="0.25">
      <c r="A15" s="4" t="s">
        <v>72</v>
      </c>
      <c r="B15" s="5">
        <v>0</v>
      </c>
      <c r="C15" s="5">
        <v>0</v>
      </c>
      <c r="D15" s="5">
        <v>0</v>
      </c>
      <c r="E15" s="6">
        <v>289.91644795031846</v>
      </c>
      <c r="F15" s="5">
        <v>634.23415222197559</v>
      </c>
      <c r="G15" s="7">
        <v>0</v>
      </c>
      <c r="H15" s="43"/>
      <c r="I15" s="5">
        <v>0</v>
      </c>
      <c r="J15" s="5">
        <v>0</v>
      </c>
      <c r="K15" s="43"/>
      <c r="L15" s="6">
        <v>0</v>
      </c>
      <c r="M15" s="7">
        <v>0</v>
      </c>
      <c r="N15" s="5">
        <v>0</v>
      </c>
      <c r="O15" s="5">
        <v>0</v>
      </c>
      <c r="P15" s="5"/>
      <c r="Q15" s="4">
        <v>924.15060017229405</v>
      </c>
      <c r="S15" t="s">
        <v>72</v>
      </c>
    </row>
    <row r="16" spans="1:20" x14ac:dyDescent="0.25">
      <c r="A16" s="8" t="s">
        <v>6</v>
      </c>
      <c r="B16" s="9">
        <v>1305.0639789904651</v>
      </c>
      <c r="C16" s="9">
        <v>627.85229798308819</v>
      </c>
      <c r="D16" s="9">
        <v>1695.2347088025194</v>
      </c>
      <c r="E16" s="10">
        <v>0</v>
      </c>
      <c r="F16" s="9">
        <v>0</v>
      </c>
      <c r="G16" s="11">
        <v>0</v>
      </c>
      <c r="H16" s="42">
        <v>0</v>
      </c>
      <c r="I16" s="9">
        <v>0</v>
      </c>
      <c r="J16" s="9">
        <v>0</v>
      </c>
      <c r="K16" s="42">
        <v>0</v>
      </c>
      <c r="L16" s="10">
        <v>0</v>
      </c>
      <c r="M16" s="11">
        <v>0</v>
      </c>
      <c r="N16" s="9">
        <v>0</v>
      </c>
      <c r="O16" s="9">
        <v>0</v>
      </c>
      <c r="P16" s="9">
        <v>4.3360473316879453</v>
      </c>
      <c r="Q16" s="8">
        <v>3635.8237637534394</v>
      </c>
      <c r="S16" t="s">
        <v>6</v>
      </c>
      <c r="T16" t="s">
        <v>17</v>
      </c>
    </row>
    <row r="17" spans="1:20" x14ac:dyDescent="0.25">
      <c r="A17" s="8" t="s">
        <v>7</v>
      </c>
      <c r="B17" s="9">
        <v>285.37492643338697</v>
      </c>
      <c r="C17" s="9">
        <v>387.64463731938065</v>
      </c>
      <c r="D17" s="9">
        <v>986.51705796860801</v>
      </c>
      <c r="E17" s="10">
        <v>0</v>
      </c>
      <c r="F17" s="9">
        <v>0</v>
      </c>
      <c r="G17" s="11">
        <v>0</v>
      </c>
      <c r="H17" s="42">
        <v>0</v>
      </c>
      <c r="I17" s="9">
        <v>0</v>
      </c>
      <c r="J17" s="9">
        <v>0</v>
      </c>
      <c r="K17" s="42">
        <v>0</v>
      </c>
      <c r="L17" s="10">
        <v>0</v>
      </c>
      <c r="M17" s="11">
        <v>0</v>
      </c>
      <c r="N17" s="9">
        <v>0</v>
      </c>
      <c r="O17" s="9">
        <v>0</v>
      </c>
      <c r="P17" s="9">
        <v>3.9429870638417932</v>
      </c>
      <c r="Q17" s="8">
        <v>1663.4796087852174</v>
      </c>
      <c r="S17" t="s">
        <v>7</v>
      </c>
      <c r="T17" t="s">
        <v>18</v>
      </c>
    </row>
    <row r="18" spans="1:20" x14ac:dyDescent="0.25">
      <c r="A18" s="4" t="s">
        <v>73</v>
      </c>
      <c r="B18" s="5">
        <v>0</v>
      </c>
      <c r="C18" s="5">
        <v>0</v>
      </c>
      <c r="D18" s="5">
        <v>0</v>
      </c>
      <c r="E18" s="6">
        <v>0</v>
      </c>
      <c r="F18" s="5">
        <v>0</v>
      </c>
      <c r="G18" s="7">
        <v>0</v>
      </c>
      <c r="H18" s="43"/>
      <c r="I18" s="5">
        <v>0</v>
      </c>
      <c r="J18" s="5">
        <v>1382.1224060397058</v>
      </c>
      <c r="K18" s="43"/>
      <c r="L18" s="6">
        <v>0</v>
      </c>
      <c r="M18" s="7">
        <v>0</v>
      </c>
      <c r="N18" s="5">
        <v>174.26500138805923</v>
      </c>
      <c r="O18" s="5">
        <v>0</v>
      </c>
      <c r="P18" s="5">
        <v>50.13661925237308</v>
      </c>
      <c r="Q18" s="4">
        <v>1606.5240266801381</v>
      </c>
      <c r="S18" t="s">
        <v>73</v>
      </c>
    </row>
    <row r="19" spans="1:20" x14ac:dyDescent="0.25">
      <c r="A19" s="12" t="s">
        <v>8</v>
      </c>
      <c r="B19" s="13">
        <v>0</v>
      </c>
      <c r="C19" s="13">
        <v>0</v>
      </c>
      <c r="D19" s="13">
        <v>0</v>
      </c>
      <c r="E19" s="14">
        <v>0</v>
      </c>
      <c r="F19" s="13">
        <v>0</v>
      </c>
      <c r="G19" s="15">
        <v>0</v>
      </c>
      <c r="H19" s="44">
        <v>0</v>
      </c>
      <c r="I19" s="13">
        <v>1969.6131520464339</v>
      </c>
      <c r="J19" s="13">
        <v>150.88573323082099</v>
      </c>
      <c r="K19" s="44">
        <v>289.87133537322012</v>
      </c>
      <c r="L19" s="14">
        <v>0</v>
      </c>
      <c r="M19" s="15">
        <v>0</v>
      </c>
      <c r="N19" s="13">
        <v>32.293864012303651</v>
      </c>
      <c r="O19" s="13">
        <v>0</v>
      </c>
      <c r="P19" s="13">
        <v>30.479964572827882</v>
      </c>
      <c r="Q19" s="12">
        <v>2473.1440492356069</v>
      </c>
      <c r="S19" t="s">
        <v>8</v>
      </c>
      <c r="T19" t="s">
        <v>19</v>
      </c>
    </row>
    <row r="20" spans="1:20" x14ac:dyDescent="0.25">
      <c r="A20" s="16" t="s">
        <v>9</v>
      </c>
      <c r="B20" s="17">
        <v>0</v>
      </c>
      <c r="C20" s="17">
        <v>0</v>
      </c>
      <c r="D20" s="17">
        <v>0</v>
      </c>
      <c r="E20" s="18">
        <v>0</v>
      </c>
      <c r="F20" s="17">
        <v>0</v>
      </c>
      <c r="G20" s="19">
        <v>0</v>
      </c>
      <c r="H20" s="45">
        <v>0</v>
      </c>
      <c r="I20" s="17">
        <v>1613.7423799980618</v>
      </c>
      <c r="J20" s="17">
        <v>16.758784015081133</v>
      </c>
      <c r="K20" s="45">
        <v>857.62523790411444</v>
      </c>
      <c r="L20" s="18">
        <v>0</v>
      </c>
      <c r="M20" s="19">
        <v>0</v>
      </c>
      <c r="N20" s="17">
        <v>42.746077728489723</v>
      </c>
      <c r="O20" s="17">
        <v>0</v>
      </c>
      <c r="P20" s="17">
        <v>42.324039518465788</v>
      </c>
      <c r="Q20" s="16">
        <v>2573.196519164213</v>
      </c>
      <c r="S20" t="s">
        <v>9</v>
      </c>
      <c r="T20" t="s">
        <v>20</v>
      </c>
    </row>
    <row r="21" spans="1:20" x14ac:dyDescent="0.25">
      <c r="A21" s="8" t="s">
        <v>10</v>
      </c>
      <c r="B21" s="9">
        <v>0</v>
      </c>
      <c r="C21" s="9">
        <v>0</v>
      </c>
      <c r="D21" s="9">
        <v>0</v>
      </c>
      <c r="E21" s="10">
        <v>11.858989408862065</v>
      </c>
      <c r="F21" s="9">
        <v>276.71431452891937</v>
      </c>
      <c r="G21" s="11">
        <v>131.41440085164811</v>
      </c>
      <c r="H21" s="42">
        <v>0</v>
      </c>
      <c r="I21" s="9">
        <v>0</v>
      </c>
      <c r="J21" s="9">
        <v>2.6865174414038329</v>
      </c>
      <c r="K21" s="42">
        <v>386.91848107571712</v>
      </c>
      <c r="L21" s="10">
        <v>39.830444363912747</v>
      </c>
      <c r="M21" s="11">
        <v>308.04808965085869</v>
      </c>
      <c r="N21" s="9">
        <v>871.01595213602468</v>
      </c>
      <c r="O21" s="9">
        <v>0</v>
      </c>
      <c r="P21" s="9">
        <v>484.09318280934781</v>
      </c>
      <c r="Q21" s="8">
        <v>2512.5803722666947</v>
      </c>
      <c r="S21" t="s">
        <v>10</v>
      </c>
      <c r="T21" t="s">
        <v>21</v>
      </c>
    </row>
    <row r="22" spans="1:20" x14ac:dyDescent="0.25">
      <c r="A22" s="8" t="s">
        <v>11</v>
      </c>
      <c r="B22" s="9">
        <v>0</v>
      </c>
      <c r="C22" s="9">
        <v>0</v>
      </c>
      <c r="D22" s="9">
        <v>0</v>
      </c>
      <c r="E22" s="10">
        <v>0</v>
      </c>
      <c r="F22" s="9">
        <v>0</v>
      </c>
      <c r="G22" s="11">
        <v>0</v>
      </c>
      <c r="H22" s="42">
        <v>0</v>
      </c>
      <c r="I22" s="9">
        <v>0</v>
      </c>
      <c r="J22" s="9">
        <v>0</v>
      </c>
      <c r="K22" s="42">
        <v>67.515249639846061</v>
      </c>
      <c r="L22" s="10">
        <v>70.051565511974886</v>
      </c>
      <c r="M22" s="11">
        <v>124.38019055398732</v>
      </c>
      <c r="N22" s="9">
        <v>405.76636048732507</v>
      </c>
      <c r="O22" s="9">
        <v>37.915599447549226</v>
      </c>
      <c r="P22" s="9">
        <v>885.42794568075124</v>
      </c>
      <c r="Q22" s="8">
        <v>1591.056911321434</v>
      </c>
      <c r="S22" t="s">
        <v>11</v>
      </c>
      <c r="T22" t="s">
        <v>22</v>
      </c>
    </row>
    <row r="23" spans="1:20" x14ac:dyDescent="0.25">
      <c r="A23" s="8" t="s">
        <v>12</v>
      </c>
      <c r="B23" s="9">
        <v>0</v>
      </c>
      <c r="C23" s="9">
        <v>0</v>
      </c>
      <c r="D23" s="9">
        <v>0</v>
      </c>
      <c r="E23" s="10">
        <v>59.583352316771304</v>
      </c>
      <c r="F23" s="9">
        <v>1310.7446201859664</v>
      </c>
      <c r="G23" s="11">
        <v>742.71046755680766</v>
      </c>
      <c r="H23" s="42"/>
      <c r="I23" s="9">
        <v>52.468231708942561</v>
      </c>
      <c r="J23" s="9">
        <v>111.02616805820585</v>
      </c>
      <c r="K23" s="42">
        <v>4.5937226872404366</v>
      </c>
      <c r="L23" s="10">
        <v>5.7523199986657509</v>
      </c>
      <c r="M23" s="11">
        <v>30.910374554585353</v>
      </c>
      <c r="N23" s="9">
        <v>27.460653592704407</v>
      </c>
      <c r="O23" s="9">
        <v>0</v>
      </c>
      <c r="P23" s="9"/>
      <c r="Q23" s="8">
        <v>2345.2499106598907</v>
      </c>
      <c r="S23" t="s">
        <v>12</v>
      </c>
      <c r="T23" t="s">
        <v>23</v>
      </c>
    </row>
    <row r="24" spans="1:20" x14ac:dyDescent="0.25">
      <c r="A24" s="4" t="s">
        <v>74</v>
      </c>
      <c r="B24" s="5">
        <v>1861.5144748939067</v>
      </c>
      <c r="C24" s="5">
        <v>2951.7913337981145</v>
      </c>
      <c r="D24" s="5">
        <v>5426.8365783389145</v>
      </c>
      <c r="E24" s="6">
        <v>2222.8732645698587</v>
      </c>
      <c r="F24" s="5">
        <v>5173.4844207349752</v>
      </c>
      <c r="G24" s="7">
        <v>6300.9614467473693</v>
      </c>
      <c r="H24" s="43">
        <v>924.15060017229371</v>
      </c>
      <c r="I24" s="5">
        <v>3635.8237637534385</v>
      </c>
      <c r="J24" s="5">
        <v>1663.4796087852174</v>
      </c>
      <c r="K24" s="43">
        <v>1606.5240266801379</v>
      </c>
      <c r="L24" s="6">
        <v>2473.1440492356073</v>
      </c>
      <c r="M24" s="7">
        <v>2573.196519164213</v>
      </c>
      <c r="N24" s="5">
        <v>2512.5803722666928</v>
      </c>
      <c r="O24" s="5">
        <v>1591.0569113214344</v>
      </c>
      <c r="P24" s="5">
        <v>2345.2499106598912</v>
      </c>
      <c r="Q24" s="4"/>
      <c r="S24" t="s">
        <v>74</v>
      </c>
      <c r="T24" t="s">
        <v>24</v>
      </c>
    </row>
    <row r="27" spans="1:20" ht="18.75" x14ac:dyDescent="0.3">
      <c r="A27" s="37" t="s">
        <v>47</v>
      </c>
    </row>
    <row r="29" spans="1:20" x14ac:dyDescent="0.25">
      <c r="A29" s="21" t="s">
        <v>31</v>
      </c>
    </row>
    <row r="30" spans="1:20" x14ac:dyDescent="0.25">
      <c r="A30" s="20" t="s">
        <v>81</v>
      </c>
    </row>
    <row r="31" spans="1:20" x14ac:dyDescent="0.25">
      <c r="A31" s="4"/>
      <c r="B31" s="5" t="s">
        <v>0</v>
      </c>
      <c r="C31" s="5" t="s">
        <v>1</v>
      </c>
      <c r="D31" s="5" t="s">
        <v>2</v>
      </c>
      <c r="E31" s="6" t="s">
        <v>3</v>
      </c>
      <c r="F31" s="5" t="s">
        <v>4</v>
      </c>
      <c r="G31" s="7" t="s">
        <v>5</v>
      </c>
      <c r="H31" s="43" t="s">
        <v>72</v>
      </c>
      <c r="I31" s="5" t="s">
        <v>6</v>
      </c>
      <c r="J31" s="5" t="s">
        <v>7</v>
      </c>
      <c r="K31" s="43" t="s">
        <v>73</v>
      </c>
      <c r="L31" s="6" t="s">
        <v>8</v>
      </c>
      <c r="M31" s="7" t="s">
        <v>9</v>
      </c>
      <c r="N31" s="5" t="s">
        <v>10</v>
      </c>
      <c r="O31" s="5" t="s">
        <v>11</v>
      </c>
      <c r="P31" s="5" t="s">
        <v>12</v>
      </c>
      <c r="R31" s="36" t="s">
        <v>44</v>
      </c>
    </row>
    <row r="32" spans="1:20" x14ac:dyDescent="0.25">
      <c r="A32" s="8" t="s">
        <v>0</v>
      </c>
      <c r="B32" s="9">
        <f>B9/B$24</f>
        <v>0</v>
      </c>
      <c r="C32" s="9">
        <f t="shared" ref="C32:P32" si="0">C9/C$24</f>
        <v>0</v>
      </c>
      <c r="D32" s="9">
        <f t="shared" si="0"/>
        <v>0</v>
      </c>
      <c r="E32" s="10">
        <f t="shared" si="0"/>
        <v>0.83743617081746791</v>
      </c>
      <c r="F32" s="9">
        <f t="shared" si="0"/>
        <v>0</v>
      </c>
      <c r="G32" s="11">
        <f t="shared" si="0"/>
        <v>0</v>
      </c>
      <c r="H32" s="42">
        <f t="shared" si="0"/>
        <v>0</v>
      </c>
      <c r="I32" s="9">
        <f t="shared" si="0"/>
        <v>0</v>
      </c>
      <c r="J32" s="9">
        <f t="shared" si="0"/>
        <v>0</v>
      </c>
      <c r="K32" s="42">
        <f t="shared" si="0"/>
        <v>0</v>
      </c>
      <c r="L32" s="10">
        <f t="shared" si="0"/>
        <v>0</v>
      </c>
      <c r="M32" s="11">
        <f t="shared" si="0"/>
        <v>0</v>
      </c>
      <c r="N32" s="9"/>
      <c r="O32" s="9"/>
      <c r="P32" s="9"/>
      <c r="R32" s="34" t="s">
        <v>42</v>
      </c>
    </row>
    <row r="33" spans="1:18" x14ac:dyDescent="0.25">
      <c r="A33" s="8" t="s">
        <v>1</v>
      </c>
      <c r="B33" s="9">
        <f t="shared" ref="B33:P33" si="1">B10/B$24</f>
        <v>0</v>
      </c>
      <c r="C33" s="9">
        <f t="shared" si="1"/>
        <v>0</v>
      </c>
      <c r="D33" s="9">
        <f t="shared" si="1"/>
        <v>0</v>
      </c>
      <c r="E33" s="10">
        <f t="shared" si="1"/>
        <v>0</v>
      </c>
      <c r="F33" s="9">
        <f t="shared" si="1"/>
        <v>0.57056155846677237</v>
      </c>
      <c r="G33" s="11">
        <f t="shared" si="1"/>
        <v>0</v>
      </c>
      <c r="H33" s="42">
        <f t="shared" si="1"/>
        <v>0</v>
      </c>
      <c r="I33" s="9">
        <f t="shared" si="1"/>
        <v>0</v>
      </c>
      <c r="J33" s="9">
        <f t="shared" si="1"/>
        <v>0</v>
      </c>
      <c r="K33" s="42">
        <f t="shared" si="1"/>
        <v>0</v>
      </c>
      <c r="L33" s="10">
        <f t="shared" si="1"/>
        <v>0</v>
      </c>
      <c r="M33" s="11">
        <f t="shared" si="1"/>
        <v>0</v>
      </c>
      <c r="N33" s="9"/>
      <c r="O33" s="9"/>
      <c r="P33" s="9"/>
      <c r="R33" s="34" t="s">
        <v>43</v>
      </c>
    </row>
    <row r="34" spans="1:18" x14ac:dyDescent="0.25">
      <c r="A34" s="8" t="s">
        <v>2</v>
      </c>
      <c r="B34" s="9">
        <f t="shared" ref="B34:P34" si="2">B11/B$24</f>
        <v>0</v>
      </c>
      <c r="C34" s="9">
        <f t="shared" si="2"/>
        <v>0</v>
      </c>
      <c r="D34" s="9">
        <f t="shared" si="2"/>
        <v>0</v>
      </c>
      <c r="E34" s="10">
        <f t="shared" si="2"/>
        <v>0</v>
      </c>
      <c r="F34" s="9">
        <f t="shared" si="2"/>
        <v>0</v>
      </c>
      <c r="G34" s="11">
        <f t="shared" si="2"/>
        <v>0.86127119237339733</v>
      </c>
      <c r="H34" s="42">
        <f t="shared" si="2"/>
        <v>0</v>
      </c>
      <c r="I34" s="9">
        <f t="shared" si="2"/>
        <v>0</v>
      </c>
      <c r="J34" s="9">
        <f t="shared" si="2"/>
        <v>0</v>
      </c>
      <c r="K34" s="42">
        <f t="shared" si="2"/>
        <v>0</v>
      </c>
      <c r="L34" s="10">
        <f t="shared" si="2"/>
        <v>0</v>
      </c>
      <c r="M34" s="11">
        <f t="shared" si="2"/>
        <v>0</v>
      </c>
      <c r="N34" s="9"/>
      <c r="O34" s="9"/>
      <c r="P34" s="9"/>
      <c r="R34" s="34" t="s">
        <v>45</v>
      </c>
    </row>
    <row r="35" spans="1:18" x14ac:dyDescent="0.25">
      <c r="A35" s="12" t="s">
        <v>3</v>
      </c>
      <c r="B35" s="13">
        <f t="shared" ref="B35:P35" si="3">B12/B$24</f>
        <v>6.8981701483146224E-2</v>
      </c>
      <c r="C35" s="13">
        <f t="shared" si="3"/>
        <v>0.16803724469051465</v>
      </c>
      <c r="D35" s="13">
        <f t="shared" si="3"/>
        <v>1.0251826449305716E-2</v>
      </c>
      <c r="E35" s="14">
        <f t="shared" si="3"/>
        <v>0</v>
      </c>
      <c r="F35" s="13">
        <f t="shared" si="3"/>
        <v>0</v>
      </c>
      <c r="G35" s="15">
        <f t="shared" si="3"/>
        <v>0</v>
      </c>
      <c r="H35" s="44">
        <f t="shared" si="3"/>
        <v>0</v>
      </c>
      <c r="I35" s="13">
        <f t="shared" si="3"/>
        <v>0</v>
      </c>
      <c r="J35" s="13">
        <f t="shared" si="3"/>
        <v>0</v>
      </c>
      <c r="K35" s="44">
        <f t="shared" si="3"/>
        <v>0</v>
      </c>
      <c r="L35" s="14">
        <f t="shared" si="3"/>
        <v>0.41399053375977468</v>
      </c>
      <c r="M35" s="15">
        <f t="shared" si="3"/>
        <v>0.16113803341849361</v>
      </c>
      <c r="N35" s="13"/>
      <c r="O35" s="13"/>
      <c r="P35" s="13"/>
    </row>
    <row r="36" spans="1:18" x14ac:dyDescent="0.25">
      <c r="A36" s="8" t="s">
        <v>4</v>
      </c>
      <c r="B36" s="9">
        <f t="shared" ref="B36:P36" si="4">B13/B$24</f>
        <v>5.9322656761089873E-2</v>
      </c>
      <c r="C36" s="9">
        <f t="shared" si="4"/>
        <v>0.33659453913259219</v>
      </c>
      <c r="D36" s="9">
        <f t="shared" si="4"/>
        <v>0.16897019937124722</v>
      </c>
      <c r="E36" s="10">
        <f t="shared" si="4"/>
        <v>0</v>
      </c>
      <c r="F36" s="9">
        <f t="shared" si="4"/>
        <v>0</v>
      </c>
      <c r="G36" s="11">
        <f t="shared" si="4"/>
        <v>0</v>
      </c>
      <c r="H36" s="42">
        <f t="shared" si="4"/>
        <v>0</v>
      </c>
      <c r="I36" s="9">
        <f t="shared" si="4"/>
        <v>0</v>
      </c>
      <c r="J36" s="9">
        <f t="shared" si="4"/>
        <v>0</v>
      </c>
      <c r="K36" s="42">
        <f t="shared" si="4"/>
        <v>0</v>
      </c>
      <c r="L36" s="10">
        <f t="shared" si="4"/>
        <v>0.27819925679580876</v>
      </c>
      <c r="M36" s="11">
        <f t="shared" si="4"/>
        <v>0.24825158433887554</v>
      </c>
      <c r="N36" s="9"/>
      <c r="O36" s="9"/>
      <c r="P36" s="9"/>
    </row>
    <row r="37" spans="1:18" x14ac:dyDescent="0.25">
      <c r="A37" s="16" t="s">
        <v>5</v>
      </c>
      <c r="B37" s="17">
        <f t="shared" ref="B37:P37" si="5">B14/B$24</f>
        <v>1.5524143997002502E-2</v>
      </c>
      <c r="C37" s="17">
        <f t="shared" si="5"/>
        <v>0.15134087126433335</v>
      </c>
      <c r="D37" s="17">
        <f t="shared" si="5"/>
        <v>0.32661314572758715</v>
      </c>
      <c r="E37" s="18">
        <f t="shared" si="5"/>
        <v>0</v>
      </c>
      <c r="F37" s="17">
        <f t="shared" si="5"/>
        <v>0</v>
      </c>
      <c r="G37" s="19">
        <f t="shared" si="5"/>
        <v>0</v>
      </c>
      <c r="H37" s="45">
        <f t="shared" si="5"/>
        <v>1</v>
      </c>
      <c r="I37" s="17">
        <f t="shared" si="5"/>
        <v>0</v>
      </c>
      <c r="J37" s="17">
        <f t="shared" si="5"/>
        <v>0</v>
      </c>
      <c r="K37" s="45">
        <f t="shared" si="5"/>
        <v>0</v>
      </c>
      <c r="L37" s="18">
        <f t="shared" si="5"/>
        <v>0.26105420673187996</v>
      </c>
      <c r="M37" s="19">
        <f t="shared" si="5"/>
        <v>0.41054692758277234</v>
      </c>
      <c r="N37" s="17"/>
      <c r="O37" s="17"/>
      <c r="P37" s="17"/>
    </row>
    <row r="38" spans="1:18" x14ac:dyDescent="0.25">
      <c r="A38" s="4" t="s">
        <v>72</v>
      </c>
      <c r="B38" s="5">
        <f t="shared" ref="B38:P38" si="6">B15/B$24</f>
        <v>0</v>
      </c>
      <c r="C38" s="5">
        <f t="shared" si="6"/>
        <v>0</v>
      </c>
      <c r="D38" s="5">
        <f t="shared" si="6"/>
        <v>0</v>
      </c>
      <c r="E38" s="6">
        <f t="shared" si="6"/>
        <v>0.13042419132537422</v>
      </c>
      <c r="F38" s="5">
        <f t="shared" si="6"/>
        <v>0.12259322743488084</v>
      </c>
      <c r="G38" s="7">
        <f t="shared" si="6"/>
        <v>0</v>
      </c>
      <c r="H38" s="43">
        <f t="shared" si="6"/>
        <v>0</v>
      </c>
      <c r="I38" s="5">
        <f t="shared" si="6"/>
        <v>0</v>
      </c>
      <c r="J38" s="5">
        <f t="shared" si="6"/>
        <v>0</v>
      </c>
      <c r="K38" s="43">
        <f t="shared" si="6"/>
        <v>0</v>
      </c>
      <c r="L38" s="6">
        <f t="shared" si="6"/>
        <v>0</v>
      </c>
      <c r="M38" s="7">
        <f t="shared" si="6"/>
        <v>0</v>
      </c>
      <c r="N38" s="5"/>
      <c r="O38" s="5"/>
      <c r="P38" s="5"/>
    </row>
    <row r="39" spans="1:18" x14ac:dyDescent="0.25">
      <c r="A39" s="8" t="s">
        <v>6</v>
      </c>
      <c r="B39" s="9">
        <f t="shared" ref="B39:P39" si="7">B16/B$24</f>
        <v>0.70107646037232374</v>
      </c>
      <c r="C39" s="9">
        <f t="shared" si="7"/>
        <v>0.21270212795672827</v>
      </c>
      <c r="D39" s="9">
        <f t="shared" si="7"/>
        <v>0.31237990758170375</v>
      </c>
      <c r="E39" s="10">
        <f t="shared" si="7"/>
        <v>0</v>
      </c>
      <c r="F39" s="9">
        <f t="shared" si="7"/>
        <v>0</v>
      </c>
      <c r="G39" s="11">
        <f t="shared" si="7"/>
        <v>0</v>
      </c>
      <c r="H39" s="42">
        <f t="shared" si="7"/>
        <v>0</v>
      </c>
      <c r="I39" s="9">
        <f t="shared" si="7"/>
        <v>0</v>
      </c>
      <c r="J39" s="9">
        <f t="shared" si="7"/>
        <v>0</v>
      </c>
      <c r="K39" s="42">
        <f t="shared" si="7"/>
        <v>0</v>
      </c>
      <c r="L39" s="10">
        <f t="shared" si="7"/>
        <v>0</v>
      </c>
      <c r="M39" s="11">
        <f t="shared" si="7"/>
        <v>0</v>
      </c>
      <c r="N39" s="9"/>
      <c r="O39" s="9"/>
      <c r="P39" s="9"/>
    </row>
    <row r="40" spans="1:18" x14ac:dyDescent="0.25">
      <c r="A40" s="8" t="s">
        <v>7</v>
      </c>
      <c r="B40" s="9">
        <f t="shared" ref="B40:P43" si="8">B17/B$24</f>
        <v>0.15330255567830131</v>
      </c>
      <c r="C40" s="9">
        <f t="shared" si="8"/>
        <v>0.13132521695583152</v>
      </c>
      <c r="D40" s="9">
        <f t="shared" si="8"/>
        <v>0.18178492087015605</v>
      </c>
      <c r="E40" s="10">
        <f t="shared" si="8"/>
        <v>0</v>
      </c>
      <c r="F40" s="9">
        <f t="shared" si="8"/>
        <v>0</v>
      </c>
      <c r="G40" s="11">
        <f t="shared" si="8"/>
        <v>0</v>
      </c>
      <c r="H40" s="42">
        <f t="shared" si="8"/>
        <v>0</v>
      </c>
      <c r="I40" s="9">
        <f t="shared" si="8"/>
        <v>0</v>
      </c>
      <c r="J40" s="9">
        <f t="shared" si="8"/>
        <v>0</v>
      </c>
      <c r="K40" s="42">
        <f t="shared" si="8"/>
        <v>0</v>
      </c>
      <c r="L40" s="10">
        <f t="shared" si="8"/>
        <v>0</v>
      </c>
      <c r="M40" s="11">
        <f t="shared" si="8"/>
        <v>0</v>
      </c>
      <c r="N40" s="9"/>
      <c r="O40" s="9"/>
      <c r="P40" s="9"/>
    </row>
    <row r="41" spans="1:18" x14ac:dyDescent="0.25">
      <c r="A41" s="4" t="s">
        <v>73</v>
      </c>
      <c r="B41" s="9">
        <f t="shared" si="8"/>
        <v>0</v>
      </c>
      <c r="C41" s="5">
        <f t="shared" ref="B41:P41" si="9">C18/C$24</f>
        <v>0</v>
      </c>
      <c r="D41" s="5">
        <f t="shared" si="9"/>
        <v>0</v>
      </c>
      <c r="E41" s="6">
        <f t="shared" si="9"/>
        <v>0</v>
      </c>
      <c r="F41" s="5">
        <f t="shared" si="9"/>
        <v>0</v>
      </c>
      <c r="G41" s="7">
        <f t="shared" si="9"/>
        <v>0</v>
      </c>
      <c r="H41" s="43">
        <f t="shared" si="9"/>
        <v>0</v>
      </c>
      <c r="I41" s="5">
        <f t="shared" si="9"/>
        <v>0</v>
      </c>
      <c r="J41" s="5">
        <f t="shared" si="9"/>
        <v>0.83086224726795588</v>
      </c>
      <c r="K41" s="43">
        <f t="shared" si="9"/>
        <v>0</v>
      </c>
      <c r="L41" s="6">
        <f t="shared" si="9"/>
        <v>0</v>
      </c>
      <c r="M41" s="7">
        <f t="shared" si="9"/>
        <v>0</v>
      </c>
      <c r="N41" s="5"/>
      <c r="O41" s="5"/>
      <c r="P41" s="5"/>
    </row>
    <row r="42" spans="1:18" x14ac:dyDescent="0.25">
      <c r="A42" s="12" t="s">
        <v>8</v>
      </c>
      <c r="B42" s="13">
        <f t="shared" ref="B42:P42" si="10">B19/B$24</f>
        <v>0</v>
      </c>
      <c r="C42" s="13">
        <f t="shared" si="10"/>
        <v>0</v>
      </c>
      <c r="D42" s="13">
        <f t="shared" si="10"/>
        <v>0</v>
      </c>
      <c r="E42" s="14">
        <f t="shared" si="10"/>
        <v>0</v>
      </c>
      <c r="F42" s="13">
        <f t="shared" si="10"/>
        <v>0</v>
      </c>
      <c r="G42" s="15">
        <f t="shared" si="10"/>
        <v>0</v>
      </c>
      <c r="H42" s="44">
        <f t="shared" si="10"/>
        <v>0</v>
      </c>
      <c r="I42" s="13">
        <f t="shared" si="10"/>
        <v>0.54172404385549922</v>
      </c>
      <c r="J42" s="13">
        <f t="shared" si="10"/>
        <v>9.070488897727319E-2</v>
      </c>
      <c r="K42" s="44">
        <f t="shared" si="10"/>
        <v>0.18043386252506641</v>
      </c>
      <c r="L42" s="14">
        <f t="shared" si="10"/>
        <v>0</v>
      </c>
      <c r="M42" s="15">
        <f t="shared" si="10"/>
        <v>0</v>
      </c>
      <c r="N42" s="13"/>
      <c r="O42" s="13"/>
      <c r="P42" s="13"/>
    </row>
    <row r="43" spans="1:18" x14ac:dyDescent="0.25">
      <c r="A43" s="16" t="s">
        <v>9</v>
      </c>
      <c r="B43" s="9">
        <f t="shared" si="8"/>
        <v>0</v>
      </c>
      <c r="C43" s="17">
        <f t="shared" ref="B43:P43" si="11">C20/C$24</f>
        <v>0</v>
      </c>
      <c r="D43" s="17">
        <f t="shared" si="11"/>
        <v>0</v>
      </c>
      <c r="E43" s="18">
        <f t="shared" si="11"/>
        <v>0</v>
      </c>
      <c r="F43" s="17">
        <f t="shared" si="11"/>
        <v>0</v>
      </c>
      <c r="G43" s="19">
        <f t="shared" si="11"/>
        <v>0</v>
      </c>
      <c r="H43" s="45">
        <f t="shared" si="11"/>
        <v>0</v>
      </c>
      <c r="I43" s="17">
        <f t="shared" si="11"/>
        <v>0.44384504994051655</v>
      </c>
      <c r="J43" s="17">
        <f t="shared" si="11"/>
        <v>1.0074535285298449E-2</v>
      </c>
      <c r="K43" s="45">
        <f t="shared" si="11"/>
        <v>0.53383903611848649</v>
      </c>
      <c r="L43" s="18">
        <f t="shared" si="11"/>
        <v>0</v>
      </c>
      <c r="M43" s="19">
        <f t="shared" si="11"/>
        <v>0</v>
      </c>
      <c r="N43" s="17"/>
      <c r="O43" s="17"/>
      <c r="P43" s="17"/>
    </row>
    <row r="44" spans="1:18" x14ac:dyDescent="0.25">
      <c r="A44" s="8" t="s">
        <v>10</v>
      </c>
      <c r="B44" s="9">
        <f t="shared" ref="B44:H44" si="12">B21/B$24</f>
        <v>0</v>
      </c>
      <c r="C44" s="9">
        <f t="shared" si="12"/>
        <v>0</v>
      </c>
      <c r="D44" s="9">
        <f t="shared" si="12"/>
        <v>0</v>
      </c>
      <c r="E44" s="9">
        <f t="shared" si="12"/>
        <v>5.334982249272255E-3</v>
      </c>
      <c r="F44" s="9">
        <f t="shared" si="12"/>
        <v>5.3487029635165641E-2</v>
      </c>
      <c r="G44" s="9">
        <f t="shared" si="12"/>
        <v>2.0856245822530112E-2</v>
      </c>
      <c r="H44" s="9">
        <f t="shared" ref="H44:M44" si="13">H21/H$24</f>
        <v>0</v>
      </c>
      <c r="I44" s="9">
        <f t="shared" si="13"/>
        <v>0</v>
      </c>
      <c r="J44" s="9">
        <f t="shared" si="13"/>
        <v>1.6149987214846026E-3</v>
      </c>
      <c r="K44" s="9">
        <f t="shared" si="13"/>
        <v>0.24084201334684013</v>
      </c>
      <c r="L44" s="9">
        <f t="shared" si="13"/>
        <v>1.6105185776066473E-2</v>
      </c>
      <c r="M44" s="9">
        <f t="shared" si="13"/>
        <v>0.11971417159810019</v>
      </c>
      <c r="N44" s="9"/>
      <c r="O44" s="9"/>
      <c r="P44" s="9"/>
    </row>
    <row r="45" spans="1:18" x14ac:dyDescent="0.25">
      <c r="A45" s="8" t="s">
        <v>11</v>
      </c>
      <c r="B45" s="9">
        <f t="shared" ref="B45:H45" si="14">B22/B$24</f>
        <v>0</v>
      </c>
      <c r="C45" s="9">
        <f t="shared" si="14"/>
        <v>0</v>
      </c>
      <c r="D45" s="9">
        <f t="shared" si="14"/>
        <v>0</v>
      </c>
      <c r="E45" s="9">
        <f t="shared" si="14"/>
        <v>0</v>
      </c>
      <c r="F45" s="9">
        <f t="shared" si="14"/>
        <v>0</v>
      </c>
      <c r="G45" s="9">
        <f t="shared" si="14"/>
        <v>0</v>
      </c>
      <c r="H45" s="9">
        <f t="shared" ref="H45:M45" si="15">H22/H$24</f>
        <v>0</v>
      </c>
      <c r="I45" s="9">
        <f t="shared" si="15"/>
        <v>0</v>
      </c>
      <c r="J45" s="9">
        <f t="shared" si="15"/>
        <v>0</v>
      </c>
      <c r="K45" s="9">
        <f t="shared" si="15"/>
        <v>4.2025670652038424E-2</v>
      </c>
      <c r="L45" s="9">
        <f t="shared" si="15"/>
        <v>2.8324903085861997E-2</v>
      </c>
      <c r="M45" s="9">
        <f t="shared" si="15"/>
        <v>4.8336840823329973E-2</v>
      </c>
      <c r="N45" s="9"/>
      <c r="O45" s="9"/>
      <c r="P45" s="9"/>
    </row>
    <row r="46" spans="1:18" x14ac:dyDescent="0.25">
      <c r="A46" s="8" t="s">
        <v>12</v>
      </c>
      <c r="B46" s="9">
        <f t="shared" ref="B46:D46" si="16">B23/B$24</f>
        <v>0</v>
      </c>
      <c r="C46" s="9">
        <f t="shared" si="16"/>
        <v>0</v>
      </c>
      <c r="D46" s="9">
        <f t="shared" si="16"/>
        <v>0</v>
      </c>
      <c r="E46" s="9">
        <f t="shared" ref="E46:H46" si="17">E23/E$24</f>
        <v>2.6804655607885541E-2</v>
      </c>
      <c r="F46" s="9">
        <f t="shared" si="17"/>
        <v>0.25335818446318126</v>
      </c>
      <c r="G46" s="9">
        <f t="shared" si="17"/>
        <v>0.11787256180407255</v>
      </c>
      <c r="H46" s="9">
        <f t="shared" ref="H46:M46" si="18">H23/H$24</f>
        <v>0</v>
      </c>
      <c r="I46" s="9">
        <f t="shared" si="18"/>
        <v>1.4430906203984167E-2</v>
      </c>
      <c r="J46" s="9">
        <f t="shared" si="18"/>
        <v>6.6743329747988009E-2</v>
      </c>
      <c r="K46" s="9">
        <f t="shared" si="18"/>
        <v>2.8594173575687554E-3</v>
      </c>
      <c r="L46" s="9">
        <f t="shared" si="18"/>
        <v>2.3259138506079588E-3</v>
      </c>
      <c r="M46" s="9">
        <f t="shared" si="18"/>
        <v>1.2012442238428489E-2</v>
      </c>
      <c r="N46" s="9"/>
      <c r="O46" s="9"/>
      <c r="P46" s="9"/>
    </row>
    <row r="47" spans="1:18" x14ac:dyDescent="0.25">
      <c r="A47" s="4" t="s">
        <v>13</v>
      </c>
      <c r="B47" s="5">
        <f>SUM(B32:B43)</f>
        <v>0.9982075182918636</v>
      </c>
      <c r="C47" s="5">
        <f t="shared" ref="C47:M47" si="19">SUM(C32:C43)</f>
        <v>1</v>
      </c>
      <c r="D47" s="5">
        <f t="shared" si="19"/>
        <v>0.99999999999999989</v>
      </c>
      <c r="E47" s="5">
        <f t="shared" si="19"/>
        <v>0.9678603621428421</v>
      </c>
      <c r="F47" s="5">
        <f t="shared" si="19"/>
        <v>0.69315478590165325</v>
      </c>
      <c r="G47" s="5">
        <f t="shared" si="19"/>
        <v>0.86127119237339733</v>
      </c>
      <c r="H47" s="5">
        <f t="shared" si="19"/>
        <v>1</v>
      </c>
      <c r="I47" s="5">
        <f t="shared" si="19"/>
        <v>0.98556909379601576</v>
      </c>
      <c r="J47" s="5">
        <f t="shared" si="19"/>
        <v>0.93164167153052757</v>
      </c>
      <c r="K47" s="5">
        <f t="shared" si="19"/>
        <v>0.71427289864355292</v>
      </c>
      <c r="L47" s="5">
        <f t="shared" si="19"/>
        <v>0.95324399728746334</v>
      </c>
      <c r="M47" s="5">
        <f t="shared" si="19"/>
        <v>0.81993654534014149</v>
      </c>
      <c r="N47" s="5"/>
      <c r="O47" s="5"/>
      <c r="P47" s="5"/>
    </row>
    <row r="48" spans="1:18" x14ac:dyDescent="0.25">
      <c r="B48" s="56"/>
      <c r="C48" s="56"/>
      <c r="D48" s="56"/>
      <c r="E48" s="56"/>
      <c r="F48" s="56"/>
      <c r="G48" s="56"/>
      <c r="H48" s="56"/>
      <c r="I48" s="56"/>
      <c r="J48" s="56"/>
      <c r="K48" s="56"/>
      <c r="L48" s="56"/>
      <c r="M48" s="34">
        <v>1</v>
      </c>
      <c r="P48" s="35" t="s">
        <v>41</v>
      </c>
    </row>
    <row r="50" spans="1:16" x14ac:dyDescent="0.25">
      <c r="A50" s="21" t="s">
        <v>30</v>
      </c>
    </row>
    <row r="51" spans="1:16" x14ac:dyDescent="0.25">
      <c r="A51" s="20" t="s">
        <v>29</v>
      </c>
    </row>
    <row r="52" spans="1:16" x14ac:dyDescent="0.25">
      <c r="A52" s="4"/>
      <c r="B52" s="5" t="s">
        <v>0</v>
      </c>
      <c r="C52" s="5" t="s">
        <v>1</v>
      </c>
      <c r="D52" s="5" t="s">
        <v>2</v>
      </c>
      <c r="E52" s="6" t="s">
        <v>3</v>
      </c>
      <c r="F52" s="5" t="s">
        <v>4</v>
      </c>
      <c r="G52" s="7" t="s">
        <v>5</v>
      </c>
      <c r="H52" s="5" t="s">
        <v>72</v>
      </c>
      <c r="I52" s="6" t="s">
        <v>6</v>
      </c>
      <c r="J52" s="5" t="s">
        <v>7</v>
      </c>
      <c r="K52" s="4" t="s">
        <v>73</v>
      </c>
      <c r="L52" s="5" t="s">
        <v>8</v>
      </c>
      <c r="M52" s="5" t="s">
        <v>9</v>
      </c>
      <c r="N52" s="6" t="s">
        <v>10</v>
      </c>
      <c r="O52" s="46" t="s">
        <v>11</v>
      </c>
      <c r="P52" s="47" t="s">
        <v>12</v>
      </c>
    </row>
    <row r="53" spans="1:16" x14ac:dyDescent="0.25">
      <c r="A53" s="8" t="s">
        <v>0</v>
      </c>
      <c r="B53" s="22"/>
      <c r="C53" s="22"/>
      <c r="D53" s="22"/>
      <c r="E53" s="23"/>
      <c r="F53" s="22"/>
      <c r="G53" s="24"/>
      <c r="H53" s="22"/>
      <c r="I53" s="23"/>
      <c r="J53" s="22"/>
      <c r="K53" s="48"/>
      <c r="L53" s="22"/>
      <c r="M53" s="22"/>
      <c r="N53" s="23"/>
      <c r="O53" s="25"/>
      <c r="P53" s="27"/>
    </row>
    <row r="54" spans="1:16" x14ac:dyDescent="0.25">
      <c r="A54" s="8" t="s">
        <v>1</v>
      </c>
      <c r="B54" s="22"/>
      <c r="C54" s="22"/>
      <c r="D54" s="22"/>
      <c r="E54" s="23"/>
      <c r="F54" s="22"/>
      <c r="G54" s="24"/>
      <c r="H54" s="22"/>
      <c r="I54" s="23"/>
      <c r="J54" s="22"/>
      <c r="K54" s="48"/>
      <c r="L54" s="22"/>
      <c r="M54" s="22"/>
      <c r="N54" s="23"/>
      <c r="O54" s="22"/>
      <c r="P54" s="24"/>
    </row>
    <row r="55" spans="1:16" x14ac:dyDescent="0.25">
      <c r="A55" s="8" t="s">
        <v>2</v>
      </c>
      <c r="B55" s="22"/>
      <c r="C55" s="22"/>
      <c r="D55" s="22"/>
      <c r="E55" s="23"/>
      <c r="F55" s="22"/>
      <c r="G55" s="24"/>
      <c r="H55" s="22"/>
      <c r="I55" s="23"/>
      <c r="J55" s="22"/>
      <c r="K55" s="48"/>
      <c r="L55" s="22"/>
      <c r="M55" s="22"/>
      <c r="N55" s="23"/>
      <c r="O55" s="28"/>
      <c r="P55" s="30"/>
    </row>
    <row r="56" spans="1:16" x14ac:dyDescent="0.25">
      <c r="A56" s="12" t="s">
        <v>3</v>
      </c>
      <c r="B56" s="25"/>
      <c r="C56" s="25"/>
      <c r="D56" s="25"/>
      <c r="E56" s="26"/>
      <c r="F56" s="25"/>
      <c r="G56" s="27"/>
      <c r="H56" s="25"/>
      <c r="I56" s="26"/>
      <c r="J56" s="25"/>
      <c r="K56" s="51"/>
      <c r="L56" s="25"/>
      <c r="M56" s="25"/>
      <c r="N56" s="26"/>
      <c r="O56" s="25"/>
      <c r="P56" s="27"/>
    </row>
    <row r="57" spans="1:16" x14ac:dyDescent="0.25">
      <c r="A57" s="8" t="s">
        <v>4</v>
      </c>
      <c r="B57" s="22"/>
      <c r="C57" s="22"/>
      <c r="D57" s="22"/>
      <c r="E57" s="23"/>
      <c r="F57" s="22"/>
      <c r="G57" s="24"/>
      <c r="H57" s="22"/>
      <c r="I57" s="23"/>
      <c r="J57" s="22"/>
      <c r="K57" s="48"/>
      <c r="L57" s="22"/>
      <c r="M57" s="22"/>
      <c r="N57" s="23"/>
      <c r="O57" s="22"/>
      <c r="P57" s="24"/>
    </row>
    <row r="58" spans="1:16" x14ac:dyDescent="0.25">
      <c r="A58" s="16" t="s">
        <v>5</v>
      </c>
      <c r="B58" s="28"/>
      <c r="C58" s="28"/>
      <c r="D58" s="28"/>
      <c r="E58" s="29"/>
      <c r="F58" s="28"/>
      <c r="G58" s="30"/>
      <c r="H58" s="28"/>
      <c r="I58" s="29"/>
      <c r="J58" s="28"/>
      <c r="K58" s="52"/>
      <c r="L58" s="28"/>
      <c r="M58" s="28"/>
      <c r="N58" s="29"/>
      <c r="O58" s="28"/>
      <c r="P58" s="30"/>
    </row>
    <row r="59" spans="1:16" x14ac:dyDescent="0.25">
      <c r="A59" s="8" t="s">
        <v>72</v>
      </c>
      <c r="B59" s="22"/>
      <c r="C59" s="22"/>
      <c r="D59" s="22"/>
      <c r="E59" s="23"/>
      <c r="F59" s="22"/>
      <c r="G59" s="24"/>
      <c r="H59" s="22"/>
      <c r="I59" s="23"/>
      <c r="J59" s="22"/>
      <c r="K59" s="48"/>
      <c r="L59" s="22"/>
      <c r="M59" s="22"/>
      <c r="N59" s="23"/>
      <c r="O59" s="22"/>
      <c r="P59" s="24"/>
    </row>
    <row r="60" spans="1:16" x14ac:dyDescent="0.25">
      <c r="A60" s="8" t="s">
        <v>6</v>
      </c>
      <c r="B60" s="22"/>
      <c r="C60" s="22"/>
      <c r="D60" s="22"/>
      <c r="E60" s="23"/>
      <c r="F60" s="22"/>
      <c r="G60" s="24"/>
      <c r="H60" s="22"/>
      <c r="I60" s="23"/>
      <c r="J60" s="22"/>
      <c r="K60" s="48"/>
      <c r="L60" s="22"/>
      <c r="M60" s="22"/>
      <c r="N60" s="23"/>
      <c r="O60" s="49"/>
      <c r="P60" s="50"/>
    </row>
    <row r="61" spans="1:16" x14ac:dyDescent="0.25">
      <c r="A61" s="8" t="s">
        <v>7</v>
      </c>
      <c r="B61" s="22"/>
      <c r="C61" s="22"/>
      <c r="D61" s="22"/>
      <c r="E61" s="23"/>
      <c r="F61" s="22"/>
      <c r="G61" s="24"/>
      <c r="H61" s="22"/>
      <c r="I61" s="23"/>
      <c r="J61" s="22"/>
      <c r="K61" s="48"/>
      <c r="L61" s="22"/>
      <c r="M61" s="22"/>
      <c r="N61" s="23"/>
      <c r="O61" s="49"/>
      <c r="P61" s="50"/>
    </row>
    <row r="62" spans="1:16" x14ac:dyDescent="0.25">
      <c r="A62" s="4" t="s">
        <v>73</v>
      </c>
      <c r="B62" s="31"/>
      <c r="C62" s="31"/>
      <c r="D62" s="31"/>
      <c r="E62" s="32"/>
      <c r="F62" s="31"/>
      <c r="G62" s="33"/>
      <c r="H62" s="31"/>
      <c r="I62" s="32"/>
      <c r="J62" s="31"/>
      <c r="K62" s="53"/>
      <c r="L62" s="31"/>
      <c r="M62" s="31"/>
      <c r="N62" s="32"/>
      <c r="O62" s="54"/>
      <c r="P62" s="55"/>
    </row>
    <row r="63" spans="1:16" x14ac:dyDescent="0.25">
      <c r="A63" s="8" t="s">
        <v>8</v>
      </c>
      <c r="B63" s="22"/>
      <c r="C63" s="22"/>
      <c r="D63" s="22"/>
      <c r="E63" s="23"/>
      <c r="F63" s="22"/>
      <c r="G63" s="24"/>
      <c r="H63" s="22"/>
      <c r="I63" s="23"/>
      <c r="J63" s="22"/>
      <c r="K63" s="48"/>
      <c r="L63" s="22"/>
      <c r="M63" s="22"/>
      <c r="N63" s="23"/>
      <c r="O63" s="49"/>
      <c r="P63" s="50"/>
    </row>
    <row r="64" spans="1:16" x14ac:dyDescent="0.25">
      <c r="A64" s="16" t="s">
        <v>9</v>
      </c>
      <c r="B64" s="28"/>
      <c r="C64" s="28"/>
      <c r="D64" s="28"/>
      <c r="E64" s="29"/>
      <c r="F64" s="28"/>
      <c r="G64" s="30"/>
      <c r="H64" s="28"/>
      <c r="I64" s="29"/>
      <c r="J64" s="28"/>
      <c r="K64" s="52"/>
      <c r="L64" s="28"/>
      <c r="M64" s="28"/>
      <c r="N64" s="29"/>
      <c r="O64" s="49"/>
      <c r="P64" s="50"/>
    </row>
    <row r="65" spans="1:18" x14ac:dyDescent="0.25">
      <c r="A65" s="8" t="s">
        <v>10</v>
      </c>
      <c r="B65" s="22"/>
      <c r="C65" s="22"/>
      <c r="D65" s="22"/>
      <c r="E65" s="23"/>
      <c r="F65" s="22"/>
      <c r="G65" s="24"/>
      <c r="H65" s="22"/>
      <c r="I65" s="23"/>
      <c r="J65" s="22"/>
      <c r="K65" s="48"/>
      <c r="L65" s="22"/>
      <c r="M65" s="22"/>
      <c r="N65" s="23"/>
      <c r="O65" s="25"/>
      <c r="P65" s="27"/>
    </row>
    <row r="66" spans="1:18" x14ac:dyDescent="0.25">
      <c r="A66" s="8" t="s">
        <v>11</v>
      </c>
      <c r="B66" s="22"/>
      <c r="C66" s="22"/>
      <c r="D66" s="22"/>
      <c r="E66" s="23"/>
      <c r="F66" s="22"/>
      <c r="G66" s="24"/>
      <c r="H66" s="22"/>
      <c r="I66" s="23"/>
      <c r="J66" s="22"/>
      <c r="K66" s="48"/>
      <c r="L66" s="22"/>
      <c r="M66" s="22"/>
      <c r="N66" s="23"/>
      <c r="O66" s="22"/>
      <c r="P66" s="24"/>
    </row>
    <row r="67" spans="1:18" x14ac:dyDescent="0.25">
      <c r="A67" s="8" t="s">
        <v>12</v>
      </c>
      <c r="B67" s="22"/>
      <c r="C67" s="22"/>
      <c r="D67" s="22"/>
      <c r="E67" s="23"/>
      <c r="F67" s="22"/>
      <c r="G67" s="24"/>
      <c r="H67" s="22"/>
      <c r="I67" s="23"/>
      <c r="J67" s="22"/>
      <c r="K67" s="48"/>
      <c r="L67" s="22"/>
      <c r="M67" s="22"/>
      <c r="N67" s="23"/>
      <c r="O67" s="28"/>
      <c r="P67" s="30"/>
    </row>
    <row r="68" spans="1:18" x14ac:dyDescent="0.25">
      <c r="A68" s="13"/>
      <c r="B68" s="25"/>
      <c r="C68" s="25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46"/>
      <c r="P68" s="34">
        <v>1</v>
      </c>
    </row>
    <row r="70" spans="1:18" x14ac:dyDescent="0.25">
      <c r="A70" s="20" t="s">
        <v>33</v>
      </c>
    </row>
    <row r="71" spans="1:18" x14ac:dyDescent="0.25">
      <c r="A71" s="20" t="s">
        <v>32</v>
      </c>
    </row>
    <row r="72" spans="1:18" x14ac:dyDescent="0.25">
      <c r="A72" s="4"/>
      <c r="B72" s="5" t="s">
        <v>0</v>
      </c>
      <c r="C72" s="5" t="s">
        <v>1</v>
      </c>
      <c r="D72" s="5" t="s">
        <v>2</v>
      </c>
      <c r="E72" s="6" t="s">
        <v>3</v>
      </c>
      <c r="F72" s="5" t="s">
        <v>4</v>
      </c>
      <c r="G72" s="7" t="s">
        <v>5</v>
      </c>
      <c r="H72" s="5" t="s">
        <v>72</v>
      </c>
      <c r="I72" s="6" t="s">
        <v>6</v>
      </c>
      <c r="J72" s="5" t="s">
        <v>7</v>
      </c>
      <c r="K72" s="4" t="s">
        <v>73</v>
      </c>
      <c r="L72" s="5" t="s">
        <v>8</v>
      </c>
      <c r="M72" s="5" t="s">
        <v>9</v>
      </c>
      <c r="N72" s="6" t="s">
        <v>10</v>
      </c>
      <c r="O72" s="46" t="s">
        <v>11</v>
      </c>
      <c r="P72" s="47" t="s">
        <v>12</v>
      </c>
      <c r="R72" s="36" t="s">
        <v>44</v>
      </c>
    </row>
    <row r="73" spans="1:18" x14ac:dyDescent="0.25">
      <c r="A73" s="8" t="s">
        <v>0</v>
      </c>
      <c r="B73" s="22">
        <v>1</v>
      </c>
      <c r="C73" s="22">
        <v>0</v>
      </c>
      <c r="D73" s="22">
        <v>0</v>
      </c>
      <c r="E73" s="22">
        <v>0</v>
      </c>
      <c r="F73" s="22">
        <v>0</v>
      </c>
      <c r="G73" s="22">
        <v>0</v>
      </c>
      <c r="H73" s="22">
        <v>0</v>
      </c>
      <c r="I73" s="22">
        <v>0</v>
      </c>
      <c r="J73" s="22">
        <v>0</v>
      </c>
      <c r="K73" s="22">
        <v>0</v>
      </c>
      <c r="L73" s="22">
        <v>0</v>
      </c>
      <c r="M73" s="22">
        <v>0</v>
      </c>
      <c r="N73" s="23"/>
      <c r="O73" s="25"/>
      <c r="P73" s="27"/>
      <c r="R73" s="34" t="s">
        <v>38</v>
      </c>
    </row>
    <row r="74" spans="1:18" x14ac:dyDescent="0.25">
      <c r="A74" s="8" t="s">
        <v>1</v>
      </c>
      <c r="B74" s="22">
        <v>0</v>
      </c>
      <c r="C74" s="22">
        <v>1</v>
      </c>
      <c r="D74" s="22">
        <v>0</v>
      </c>
      <c r="E74" s="22">
        <v>0</v>
      </c>
      <c r="F74" s="22">
        <v>0</v>
      </c>
      <c r="G74" s="22">
        <v>0</v>
      </c>
      <c r="H74" s="22">
        <v>0</v>
      </c>
      <c r="I74" s="22">
        <v>0</v>
      </c>
      <c r="J74" s="22">
        <v>0</v>
      </c>
      <c r="K74" s="22">
        <v>0</v>
      </c>
      <c r="L74" s="22">
        <v>0</v>
      </c>
      <c r="M74" s="22">
        <v>0</v>
      </c>
      <c r="N74" s="23"/>
      <c r="O74" s="22"/>
      <c r="P74" s="24"/>
      <c r="R74" s="34" t="s">
        <v>34</v>
      </c>
    </row>
    <row r="75" spans="1:18" x14ac:dyDescent="0.25">
      <c r="A75" s="8" t="s">
        <v>2</v>
      </c>
      <c r="B75" s="22">
        <v>0</v>
      </c>
      <c r="C75" s="22">
        <v>0</v>
      </c>
      <c r="D75" s="22">
        <v>1</v>
      </c>
      <c r="E75" s="22">
        <v>0</v>
      </c>
      <c r="F75" s="22">
        <v>0</v>
      </c>
      <c r="G75" s="22">
        <v>0</v>
      </c>
      <c r="H75" s="22">
        <v>0</v>
      </c>
      <c r="I75" s="22">
        <v>0</v>
      </c>
      <c r="J75" s="22">
        <v>0</v>
      </c>
      <c r="K75" s="22">
        <v>0</v>
      </c>
      <c r="L75" s="22">
        <v>0</v>
      </c>
      <c r="M75" s="22">
        <v>0</v>
      </c>
      <c r="N75" s="23"/>
      <c r="O75" s="28"/>
      <c r="P75" s="30"/>
      <c r="Q75" s="114"/>
    </row>
    <row r="76" spans="1:18" x14ac:dyDescent="0.25">
      <c r="A76" s="12" t="s">
        <v>3</v>
      </c>
      <c r="B76" s="25"/>
      <c r="C76" s="22">
        <v>0</v>
      </c>
      <c r="D76" s="22">
        <v>0</v>
      </c>
      <c r="E76" s="22">
        <v>1</v>
      </c>
      <c r="F76" s="22">
        <v>0</v>
      </c>
      <c r="G76" s="22">
        <v>0</v>
      </c>
      <c r="H76" s="22">
        <v>0</v>
      </c>
      <c r="I76" s="22">
        <v>0</v>
      </c>
      <c r="J76" s="22">
        <v>0</v>
      </c>
      <c r="K76" s="22">
        <v>0</v>
      </c>
      <c r="L76" s="22">
        <v>0</v>
      </c>
      <c r="M76" s="22">
        <v>0</v>
      </c>
      <c r="N76" s="26"/>
      <c r="O76" s="25"/>
      <c r="P76" s="27"/>
      <c r="R76" s="34" t="s">
        <v>89</v>
      </c>
    </row>
    <row r="77" spans="1:18" x14ac:dyDescent="0.25">
      <c r="A77" s="8" t="s">
        <v>4</v>
      </c>
      <c r="B77" s="22"/>
      <c r="C77" s="22">
        <v>0</v>
      </c>
      <c r="D77" s="22">
        <v>0</v>
      </c>
      <c r="E77" s="22">
        <v>0</v>
      </c>
      <c r="F77" s="22">
        <v>1</v>
      </c>
      <c r="G77" s="22">
        <v>0</v>
      </c>
      <c r="H77" s="22">
        <v>0</v>
      </c>
      <c r="I77" s="22">
        <v>0</v>
      </c>
      <c r="J77" s="22">
        <v>0</v>
      </c>
      <c r="K77" s="22">
        <v>0</v>
      </c>
      <c r="L77" s="22">
        <v>0</v>
      </c>
      <c r="M77" s="22">
        <v>0</v>
      </c>
      <c r="N77" s="23"/>
      <c r="O77" s="22"/>
      <c r="P77" s="24"/>
      <c r="R77" s="34" t="s">
        <v>90</v>
      </c>
    </row>
    <row r="78" spans="1:18" x14ac:dyDescent="0.25">
      <c r="A78" s="16" t="s">
        <v>5</v>
      </c>
      <c r="B78" s="28"/>
      <c r="C78" s="22">
        <v>0</v>
      </c>
      <c r="D78" s="22">
        <v>0</v>
      </c>
      <c r="E78" s="22">
        <v>0</v>
      </c>
      <c r="F78" s="22">
        <v>0</v>
      </c>
      <c r="G78" s="22">
        <v>1</v>
      </c>
      <c r="H78" s="22">
        <v>0</v>
      </c>
      <c r="I78" s="22">
        <v>0</v>
      </c>
      <c r="J78" s="22">
        <v>0</v>
      </c>
      <c r="K78" s="22">
        <v>0</v>
      </c>
      <c r="L78" s="22">
        <v>0</v>
      </c>
      <c r="M78" s="22">
        <v>0</v>
      </c>
      <c r="N78" s="29"/>
      <c r="O78" s="28"/>
      <c r="P78" s="30"/>
      <c r="R78" s="34" t="s">
        <v>91</v>
      </c>
    </row>
    <row r="79" spans="1:18" x14ac:dyDescent="0.25">
      <c r="A79" s="8" t="s">
        <v>72</v>
      </c>
      <c r="B79" s="22"/>
      <c r="C79" s="22">
        <v>0</v>
      </c>
      <c r="D79" s="22">
        <v>0</v>
      </c>
      <c r="E79" s="22">
        <v>0</v>
      </c>
      <c r="F79" s="22">
        <v>0</v>
      </c>
      <c r="G79" s="22">
        <v>0</v>
      </c>
      <c r="H79" s="22">
        <v>1</v>
      </c>
      <c r="I79" s="22">
        <v>0</v>
      </c>
      <c r="J79" s="22">
        <v>0</v>
      </c>
      <c r="K79" s="22">
        <v>0</v>
      </c>
      <c r="L79" s="22">
        <v>0</v>
      </c>
      <c r="M79" s="22">
        <v>0</v>
      </c>
      <c r="N79" s="23"/>
      <c r="O79" s="22"/>
      <c r="P79" s="24"/>
      <c r="R79" s="34" t="s">
        <v>35</v>
      </c>
    </row>
    <row r="80" spans="1:18" x14ac:dyDescent="0.25">
      <c r="A80" s="8" t="s">
        <v>6</v>
      </c>
      <c r="B80" s="22"/>
      <c r="C80" s="22">
        <v>0</v>
      </c>
      <c r="D80" s="22">
        <v>0</v>
      </c>
      <c r="E80" s="22">
        <v>0</v>
      </c>
      <c r="F80" s="22">
        <v>0</v>
      </c>
      <c r="G80" s="22">
        <v>0</v>
      </c>
      <c r="H80" s="22">
        <v>0</v>
      </c>
      <c r="I80" s="22">
        <v>1</v>
      </c>
      <c r="J80" s="22">
        <v>0</v>
      </c>
      <c r="K80" s="22">
        <v>0</v>
      </c>
      <c r="L80" s="22">
        <v>0</v>
      </c>
      <c r="M80" s="22">
        <v>0</v>
      </c>
      <c r="N80" s="23"/>
      <c r="O80" s="49"/>
      <c r="P80" s="50"/>
    </row>
    <row r="81" spans="1:18" x14ac:dyDescent="0.25">
      <c r="A81" s="8" t="s">
        <v>7</v>
      </c>
      <c r="B81" s="22"/>
      <c r="C81" s="22">
        <v>0</v>
      </c>
      <c r="D81" s="22">
        <v>0</v>
      </c>
      <c r="E81" s="22">
        <v>0</v>
      </c>
      <c r="F81" s="22">
        <v>0</v>
      </c>
      <c r="G81" s="22">
        <v>0</v>
      </c>
      <c r="H81" s="22">
        <v>0</v>
      </c>
      <c r="I81" s="22">
        <v>0</v>
      </c>
      <c r="J81" s="22">
        <v>1</v>
      </c>
      <c r="K81" s="22">
        <v>0</v>
      </c>
      <c r="L81" s="22">
        <v>0</v>
      </c>
      <c r="M81" s="22">
        <v>0</v>
      </c>
      <c r="N81" s="23"/>
      <c r="O81" s="49"/>
      <c r="P81" s="50"/>
    </row>
    <row r="82" spans="1:18" x14ac:dyDescent="0.25">
      <c r="A82" s="4" t="s">
        <v>73</v>
      </c>
      <c r="B82" s="31"/>
      <c r="C82" s="22">
        <v>0</v>
      </c>
      <c r="D82" s="22">
        <v>0</v>
      </c>
      <c r="E82" s="22">
        <v>0</v>
      </c>
      <c r="F82" s="22">
        <v>0</v>
      </c>
      <c r="G82" s="22">
        <v>0</v>
      </c>
      <c r="H82" s="22">
        <v>0</v>
      </c>
      <c r="I82" s="22">
        <v>0</v>
      </c>
      <c r="J82" s="22">
        <v>0</v>
      </c>
      <c r="K82" s="22">
        <v>1</v>
      </c>
      <c r="L82" s="22">
        <v>0</v>
      </c>
      <c r="M82" s="22">
        <v>0</v>
      </c>
      <c r="N82" s="32"/>
      <c r="O82" s="54"/>
      <c r="P82" s="55"/>
    </row>
    <row r="83" spans="1:18" x14ac:dyDescent="0.25">
      <c r="A83" s="8" t="s">
        <v>8</v>
      </c>
      <c r="B83" s="22"/>
      <c r="C83" s="22">
        <v>0</v>
      </c>
      <c r="D83" s="22">
        <v>0</v>
      </c>
      <c r="E83" s="22">
        <v>0</v>
      </c>
      <c r="F83" s="22">
        <v>0</v>
      </c>
      <c r="G83" s="22">
        <v>0</v>
      </c>
      <c r="H83" s="22">
        <v>0</v>
      </c>
      <c r="I83" s="22">
        <v>0</v>
      </c>
      <c r="J83" s="22">
        <v>0</v>
      </c>
      <c r="K83" s="22">
        <v>0</v>
      </c>
      <c r="L83" s="22">
        <v>1</v>
      </c>
      <c r="M83" s="22">
        <v>0</v>
      </c>
      <c r="N83" s="23"/>
      <c r="O83" s="49"/>
      <c r="P83" s="50"/>
      <c r="R83" s="34" t="s">
        <v>39</v>
      </c>
    </row>
    <row r="84" spans="1:18" x14ac:dyDescent="0.25">
      <c r="A84" s="16" t="s">
        <v>9</v>
      </c>
      <c r="B84" s="28"/>
      <c r="C84" s="22">
        <v>0</v>
      </c>
      <c r="D84" s="22">
        <v>0</v>
      </c>
      <c r="E84" s="22">
        <v>0</v>
      </c>
      <c r="F84" s="22">
        <v>0</v>
      </c>
      <c r="G84" s="22">
        <v>0</v>
      </c>
      <c r="H84" s="22">
        <v>0</v>
      </c>
      <c r="I84" s="22">
        <v>0</v>
      </c>
      <c r="J84" s="22">
        <v>0</v>
      </c>
      <c r="K84" s="22">
        <v>0</v>
      </c>
      <c r="L84" s="22">
        <v>0</v>
      </c>
      <c r="M84" s="22">
        <v>1</v>
      </c>
      <c r="N84" s="29"/>
      <c r="O84" s="49"/>
      <c r="P84" s="50"/>
      <c r="R84" s="34" t="s">
        <v>36</v>
      </c>
    </row>
    <row r="85" spans="1:18" x14ac:dyDescent="0.25">
      <c r="A85" s="8" t="s">
        <v>10</v>
      </c>
      <c r="B85" s="22"/>
      <c r="C85" s="22">
        <v>0</v>
      </c>
      <c r="D85" s="22">
        <v>0</v>
      </c>
      <c r="E85" s="22">
        <v>0</v>
      </c>
      <c r="F85" s="22">
        <v>0</v>
      </c>
      <c r="G85" s="22">
        <v>0</v>
      </c>
      <c r="H85" s="22">
        <v>0</v>
      </c>
      <c r="I85" s="22">
        <v>0</v>
      </c>
      <c r="J85" s="22">
        <v>0</v>
      </c>
      <c r="K85" s="22">
        <v>0</v>
      </c>
      <c r="L85" s="22">
        <v>0</v>
      </c>
      <c r="M85" s="22">
        <v>0</v>
      </c>
      <c r="N85" s="23">
        <v>1</v>
      </c>
      <c r="O85" s="25"/>
      <c r="P85" s="27"/>
      <c r="R85" s="34" t="s">
        <v>37</v>
      </c>
    </row>
    <row r="86" spans="1:18" x14ac:dyDescent="0.25">
      <c r="A86" s="8" t="s">
        <v>11</v>
      </c>
      <c r="B86" s="22"/>
      <c r="C86" s="22">
        <v>0</v>
      </c>
      <c r="D86" s="22">
        <v>0</v>
      </c>
      <c r="E86" s="22">
        <v>0</v>
      </c>
      <c r="F86" s="22">
        <v>0</v>
      </c>
      <c r="G86" s="22">
        <v>0</v>
      </c>
      <c r="H86" s="22">
        <v>0</v>
      </c>
      <c r="I86" s="22">
        <v>0</v>
      </c>
      <c r="J86" s="22">
        <v>0</v>
      </c>
      <c r="K86" s="22">
        <v>0</v>
      </c>
      <c r="L86" s="22">
        <v>0</v>
      </c>
      <c r="M86" s="22">
        <v>0</v>
      </c>
      <c r="N86" s="23"/>
      <c r="O86" s="22">
        <v>1</v>
      </c>
      <c r="P86" s="24"/>
    </row>
    <row r="87" spans="1:18" x14ac:dyDescent="0.25">
      <c r="A87" s="16" t="s">
        <v>12</v>
      </c>
      <c r="B87" s="28"/>
      <c r="C87" s="22">
        <v>0</v>
      </c>
      <c r="D87" s="22">
        <v>0</v>
      </c>
      <c r="E87" s="22">
        <v>0</v>
      </c>
      <c r="F87" s="22">
        <v>0</v>
      </c>
      <c r="G87" s="22">
        <v>0</v>
      </c>
      <c r="H87" s="22">
        <v>0</v>
      </c>
      <c r="I87" s="22">
        <v>0</v>
      </c>
      <c r="J87" s="22">
        <v>0</v>
      </c>
      <c r="K87" s="22">
        <v>0</v>
      </c>
      <c r="L87" s="22">
        <v>0</v>
      </c>
      <c r="M87" s="22">
        <v>0</v>
      </c>
      <c r="N87" s="29"/>
      <c r="O87" s="28"/>
      <c r="P87" s="30">
        <v>1</v>
      </c>
    </row>
    <row r="88" spans="1:18" x14ac:dyDescent="0.25">
      <c r="G88" s="34">
        <v>-0.11787256180407255</v>
      </c>
      <c r="P88" s="34">
        <v>1</v>
      </c>
    </row>
    <row r="90" spans="1:18" x14ac:dyDescent="0.25">
      <c r="A90" s="20" t="s">
        <v>48</v>
      </c>
    </row>
    <row r="91" spans="1:18" x14ac:dyDescent="0.25">
      <c r="A91" s="20" t="s">
        <v>40</v>
      </c>
    </row>
    <row r="92" spans="1:18" x14ac:dyDescent="0.25">
      <c r="A92" s="4"/>
      <c r="B92" s="5" t="s">
        <v>0</v>
      </c>
      <c r="C92" s="5" t="s">
        <v>1</v>
      </c>
      <c r="D92" s="5" t="s">
        <v>2</v>
      </c>
      <c r="E92" s="6" t="s">
        <v>3</v>
      </c>
      <c r="F92" s="5" t="s">
        <v>4</v>
      </c>
      <c r="G92" s="7" t="s">
        <v>5</v>
      </c>
      <c r="H92" s="5" t="s">
        <v>72</v>
      </c>
      <c r="I92" s="6" t="s">
        <v>6</v>
      </c>
      <c r="J92" s="5" t="s">
        <v>7</v>
      </c>
      <c r="K92" s="4" t="s">
        <v>73</v>
      </c>
      <c r="L92" s="5" t="s">
        <v>8</v>
      </c>
      <c r="M92" s="5" t="s">
        <v>9</v>
      </c>
      <c r="N92" s="6" t="s">
        <v>10</v>
      </c>
      <c r="O92" s="46" t="s">
        <v>11</v>
      </c>
      <c r="P92" s="47" t="s">
        <v>12</v>
      </c>
    </row>
    <row r="93" spans="1:18" x14ac:dyDescent="0.25">
      <c r="A93" s="8" t="s">
        <v>0</v>
      </c>
      <c r="B93" s="22">
        <f t="array" ref="B93:P107">(B73:P87)-(B32:P46)</f>
        <v>1</v>
      </c>
      <c r="C93" s="22">
        <v>0</v>
      </c>
      <c r="D93" s="22">
        <v>0</v>
      </c>
      <c r="E93" s="23">
        <v>-0.83743617081746791</v>
      </c>
      <c r="F93" s="22">
        <v>0</v>
      </c>
      <c r="G93" s="24">
        <v>0</v>
      </c>
      <c r="H93" s="22">
        <v>0</v>
      </c>
      <c r="I93" s="23">
        <v>0</v>
      </c>
      <c r="J93" s="22">
        <v>0</v>
      </c>
      <c r="K93" s="48">
        <v>0</v>
      </c>
      <c r="L93" s="22">
        <v>0</v>
      </c>
      <c r="M93" s="22">
        <v>0</v>
      </c>
      <c r="N93" s="23">
        <v>0</v>
      </c>
      <c r="O93" s="25">
        <v>0</v>
      </c>
      <c r="P93" s="27">
        <v>0</v>
      </c>
    </row>
    <row r="94" spans="1:18" x14ac:dyDescent="0.25">
      <c r="A94" s="8" t="s">
        <v>1</v>
      </c>
      <c r="B94" s="22">
        <v>0</v>
      </c>
      <c r="C94" s="22">
        <v>1</v>
      </c>
      <c r="D94" s="22">
        <v>0</v>
      </c>
      <c r="E94" s="23">
        <v>0</v>
      </c>
      <c r="F94" s="22">
        <v>-0.57056155846677237</v>
      </c>
      <c r="G94" s="24">
        <v>0</v>
      </c>
      <c r="H94" s="22">
        <v>0</v>
      </c>
      <c r="I94" s="23">
        <v>0</v>
      </c>
      <c r="J94" s="22">
        <v>0</v>
      </c>
      <c r="K94" s="48">
        <v>0</v>
      </c>
      <c r="L94" s="22">
        <v>0</v>
      </c>
      <c r="M94" s="22">
        <v>0</v>
      </c>
      <c r="N94" s="23">
        <v>0</v>
      </c>
      <c r="O94" s="22">
        <v>0</v>
      </c>
      <c r="P94" s="24">
        <v>0</v>
      </c>
    </row>
    <row r="95" spans="1:18" x14ac:dyDescent="0.25">
      <c r="A95" s="8" t="s">
        <v>2</v>
      </c>
      <c r="B95" s="22">
        <v>0</v>
      </c>
      <c r="C95" s="22">
        <v>0</v>
      </c>
      <c r="D95" s="22">
        <v>1</v>
      </c>
      <c r="E95" s="23">
        <v>0</v>
      </c>
      <c r="F95" s="22">
        <v>0</v>
      </c>
      <c r="G95" s="24">
        <v>-0.86127119237339733</v>
      </c>
      <c r="H95" s="22">
        <v>0</v>
      </c>
      <c r="I95" s="23">
        <v>0</v>
      </c>
      <c r="J95" s="22">
        <v>0</v>
      </c>
      <c r="K95" s="48">
        <v>0</v>
      </c>
      <c r="L95" s="22">
        <v>0</v>
      </c>
      <c r="M95" s="22">
        <v>0</v>
      </c>
      <c r="N95" s="23">
        <v>0</v>
      </c>
      <c r="O95" s="28">
        <v>0</v>
      </c>
      <c r="P95" s="30">
        <v>0</v>
      </c>
    </row>
    <row r="96" spans="1:18" x14ac:dyDescent="0.25">
      <c r="A96" s="12" t="s">
        <v>3</v>
      </c>
      <c r="B96" s="25">
        <v>-6.8981701483146224E-2</v>
      </c>
      <c r="C96" s="25">
        <v>-0.16803724469051465</v>
      </c>
      <c r="D96" s="25">
        <v>-1.0251826449305716E-2</v>
      </c>
      <c r="E96" s="26">
        <v>1</v>
      </c>
      <c r="F96" s="25">
        <v>0</v>
      </c>
      <c r="G96" s="27">
        <v>0</v>
      </c>
      <c r="H96" s="25">
        <v>0</v>
      </c>
      <c r="I96" s="26">
        <v>0</v>
      </c>
      <c r="J96" s="25">
        <v>0</v>
      </c>
      <c r="K96" s="51">
        <v>0</v>
      </c>
      <c r="L96" s="25">
        <v>-0.41399053375977468</v>
      </c>
      <c r="M96" s="25">
        <v>-0.16113803341849361</v>
      </c>
      <c r="N96" s="26">
        <v>0</v>
      </c>
      <c r="O96" s="25">
        <v>0</v>
      </c>
      <c r="P96" s="27">
        <v>0</v>
      </c>
      <c r="R96" s="34" t="s">
        <v>76</v>
      </c>
    </row>
    <row r="97" spans="1:16" x14ac:dyDescent="0.25">
      <c r="A97" s="8" t="s">
        <v>4</v>
      </c>
      <c r="B97" s="22">
        <v>-5.9322656761089873E-2</v>
      </c>
      <c r="C97" s="22">
        <v>-0.33659453913259219</v>
      </c>
      <c r="D97" s="22">
        <v>-0.16897019937124722</v>
      </c>
      <c r="E97" s="23">
        <v>0</v>
      </c>
      <c r="F97" s="22">
        <v>1</v>
      </c>
      <c r="G97" s="24">
        <v>0</v>
      </c>
      <c r="H97" s="22">
        <v>0</v>
      </c>
      <c r="I97" s="23">
        <v>0</v>
      </c>
      <c r="J97" s="22">
        <v>0</v>
      </c>
      <c r="K97" s="48">
        <v>0</v>
      </c>
      <c r="L97" s="22">
        <v>-0.27819925679580876</v>
      </c>
      <c r="M97" s="22">
        <v>-0.24825158433887554</v>
      </c>
      <c r="N97" s="23">
        <v>0</v>
      </c>
      <c r="O97" s="22">
        <v>0</v>
      </c>
      <c r="P97" s="24">
        <v>0</v>
      </c>
    </row>
    <row r="98" spans="1:16" x14ac:dyDescent="0.25">
      <c r="A98" s="16" t="s">
        <v>5</v>
      </c>
      <c r="B98" s="28">
        <v>-1.5524143997002502E-2</v>
      </c>
      <c r="C98" s="28">
        <v>-0.15134087126433335</v>
      </c>
      <c r="D98" s="28">
        <v>-0.32661314572758715</v>
      </c>
      <c r="E98" s="29">
        <v>0</v>
      </c>
      <c r="F98" s="28">
        <v>0</v>
      </c>
      <c r="G98" s="30">
        <v>1</v>
      </c>
      <c r="H98" s="28">
        <v>-1</v>
      </c>
      <c r="I98" s="29">
        <v>0</v>
      </c>
      <c r="J98" s="28">
        <v>0</v>
      </c>
      <c r="K98" s="52">
        <v>0</v>
      </c>
      <c r="L98" s="28">
        <v>-0.26105420673187996</v>
      </c>
      <c r="M98" s="28">
        <v>-0.41054692758277234</v>
      </c>
      <c r="N98" s="29">
        <v>0</v>
      </c>
      <c r="O98" s="28">
        <v>0</v>
      </c>
      <c r="P98" s="30">
        <v>0</v>
      </c>
    </row>
    <row r="99" spans="1:16" x14ac:dyDescent="0.25">
      <c r="A99" s="8" t="s">
        <v>72</v>
      </c>
      <c r="B99" s="22">
        <v>0</v>
      </c>
      <c r="C99" s="22">
        <v>0</v>
      </c>
      <c r="D99" s="22">
        <v>0</v>
      </c>
      <c r="E99" s="23">
        <v>-0.13042419132537422</v>
      </c>
      <c r="F99" s="22">
        <v>-0.12259322743488084</v>
      </c>
      <c r="G99" s="24">
        <v>0</v>
      </c>
      <c r="H99" s="22">
        <v>1</v>
      </c>
      <c r="I99" s="23">
        <v>0</v>
      </c>
      <c r="J99" s="22">
        <v>0</v>
      </c>
      <c r="K99" s="48">
        <v>0</v>
      </c>
      <c r="L99" s="22">
        <v>0</v>
      </c>
      <c r="M99" s="22">
        <v>0</v>
      </c>
      <c r="N99" s="23">
        <v>0</v>
      </c>
      <c r="O99" s="22">
        <v>0</v>
      </c>
      <c r="P99" s="24">
        <v>0</v>
      </c>
    </row>
    <row r="100" spans="1:16" x14ac:dyDescent="0.25">
      <c r="A100" s="8" t="s">
        <v>6</v>
      </c>
      <c r="B100" s="22">
        <v>-0.70107646037232374</v>
      </c>
      <c r="C100" s="22">
        <v>-0.21270212795672827</v>
      </c>
      <c r="D100" s="22">
        <v>-0.31237990758170375</v>
      </c>
      <c r="E100" s="23">
        <v>0</v>
      </c>
      <c r="F100" s="22">
        <v>0</v>
      </c>
      <c r="G100" s="24">
        <v>0</v>
      </c>
      <c r="H100" s="22">
        <v>0</v>
      </c>
      <c r="I100" s="23">
        <v>1</v>
      </c>
      <c r="J100" s="22">
        <v>0</v>
      </c>
      <c r="K100" s="48">
        <v>0</v>
      </c>
      <c r="L100" s="22">
        <v>0</v>
      </c>
      <c r="M100" s="22">
        <v>0</v>
      </c>
      <c r="N100" s="23">
        <v>0</v>
      </c>
      <c r="O100" s="49">
        <v>0</v>
      </c>
      <c r="P100" s="50">
        <v>0</v>
      </c>
    </row>
    <row r="101" spans="1:16" x14ac:dyDescent="0.25">
      <c r="A101" s="8" t="s">
        <v>7</v>
      </c>
      <c r="B101" s="22">
        <v>-0.15330255567830131</v>
      </c>
      <c r="C101" s="22">
        <v>-0.13132521695583152</v>
      </c>
      <c r="D101" s="22">
        <v>-0.18178492087015605</v>
      </c>
      <c r="E101" s="23">
        <v>0</v>
      </c>
      <c r="F101" s="22">
        <v>0</v>
      </c>
      <c r="G101" s="24">
        <v>0</v>
      </c>
      <c r="H101" s="22">
        <v>0</v>
      </c>
      <c r="I101" s="23">
        <v>0</v>
      </c>
      <c r="J101" s="22">
        <v>1</v>
      </c>
      <c r="K101" s="48">
        <v>0</v>
      </c>
      <c r="L101" s="22">
        <v>0</v>
      </c>
      <c r="M101" s="22">
        <v>0</v>
      </c>
      <c r="N101" s="23">
        <v>0</v>
      </c>
      <c r="O101" s="49">
        <v>0</v>
      </c>
      <c r="P101" s="50">
        <v>0</v>
      </c>
    </row>
    <row r="102" spans="1:16" x14ac:dyDescent="0.25">
      <c r="A102" s="4" t="s">
        <v>73</v>
      </c>
      <c r="B102" s="31">
        <v>0</v>
      </c>
      <c r="C102" s="31">
        <v>0</v>
      </c>
      <c r="D102" s="31">
        <v>0</v>
      </c>
      <c r="E102" s="32">
        <v>0</v>
      </c>
      <c r="F102" s="31">
        <v>0</v>
      </c>
      <c r="G102" s="33">
        <v>0</v>
      </c>
      <c r="H102" s="31">
        <v>0</v>
      </c>
      <c r="I102" s="32">
        <v>0</v>
      </c>
      <c r="J102" s="31">
        <v>-0.83086224726795588</v>
      </c>
      <c r="K102" s="53">
        <v>1</v>
      </c>
      <c r="L102" s="31">
        <v>0</v>
      </c>
      <c r="M102" s="31">
        <v>0</v>
      </c>
      <c r="N102" s="32">
        <v>0</v>
      </c>
      <c r="O102" s="54">
        <v>0</v>
      </c>
      <c r="P102" s="55">
        <v>0</v>
      </c>
    </row>
    <row r="103" spans="1:16" x14ac:dyDescent="0.25">
      <c r="A103" s="8" t="s">
        <v>8</v>
      </c>
      <c r="B103" s="22">
        <v>0</v>
      </c>
      <c r="C103" s="22">
        <v>0</v>
      </c>
      <c r="D103" s="22">
        <v>0</v>
      </c>
      <c r="E103" s="23">
        <v>0</v>
      </c>
      <c r="F103" s="22">
        <v>0</v>
      </c>
      <c r="G103" s="24">
        <v>0</v>
      </c>
      <c r="H103" s="22">
        <v>0</v>
      </c>
      <c r="I103" s="23">
        <v>-0.54172404385549922</v>
      </c>
      <c r="J103" s="22">
        <v>-9.070488897727319E-2</v>
      </c>
      <c r="K103" s="48">
        <v>-0.18043386252506641</v>
      </c>
      <c r="L103" s="22">
        <v>1</v>
      </c>
      <c r="M103" s="22">
        <v>0</v>
      </c>
      <c r="N103" s="23">
        <v>0</v>
      </c>
      <c r="O103" s="49">
        <v>0</v>
      </c>
      <c r="P103" s="50">
        <v>0</v>
      </c>
    </row>
    <row r="104" spans="1:16" x14ac:dyDescent="0.25">
      <c r="A104" s="16" t="s">
        <v>9</v>
      </c>
      <c r="B104" s="28">
        <v>0</v>
      </c>
      <c r="C104" s="28">
        <v>0</v>
      </c>
      <c r="D104" s="28">
        <v>0</v>
      </c>
      <c r="E104" s="29">
        <v>0</v>
      </c>
      <c r="F104" s="28">
        <v>0</v>
      </c>
      <c r="G104" s="30">
        <v>0</v>
      </c>
      <c r="H104" s="28">
        <v>0</v>
      </c>
      <c r="I104" s="29">
        <v>-0.44384504994051655</v>
      </c>
      <c r="J104" s="28">
        <v>-1.0074535285298449E-2</v>
      </c>
      <c r="K104" s="52">
        <v>-0.53383903611848649</v>
      </c>
      <c r="L104" s="28">
        <v>0</v>
      </c>
      <c r="M104" s="28">
        <v>1</v>
      </c>
      <c r="N104" s="29">
        <v>0</v>
      </c>
      <c r="O104" s="49">
        <v>0</v>
      </c>
      <c r="P104" s="50">
        <v>0</v>
      </c>
    </row>
    <row r="105" spans="1:16" x14ac:dyDescent="0.25">
      <c r="A105" s="8" t="s">
        <v>10</v>
      </c>
      <c r="B105" s="22">
        <v>0</v>
      </c>
      <c r="C105" s="22">
        <v>0</v>
      </c>
      <c r="D105" s="22">
        <v>0</v>
      </c>
      <c r="E105" s="23">
        <v>-5.334982249272255E-3</v>
      </c>
      <c r="F105" s="22">
        <v>-5.3487029635165641E-2</v>
      </c>
      <c r="G105" s="24">
        <v>-2.0856245822530112E-2</v>
      </c>
      <c r="H105" s="22">
        <v>0</v>
      </c>
      <c r="I105" s="23">
        <v>0</v>
      </c>
      <c r="J105" s="22">
        <v>-1.6149987214846026E-3</v>
      </c>
      <c r="K105" s="48">
        <v>-0.24084201334684013</v>
      </c>
      <c r="L105" s="22">
        <v>-1.6105185776066473E-2</v>
      </c>
      <c r="M105" s="22">
        <v>-0.11971417159810019</v>
      </c>
      <c r="N105" s="23">
        <v>1</v>
      </c>
      <c r="O105" s="25">
        <v>0</v>
      </c>
      <c r="P105" s="27">
        <v>0</v>
      </c>
    </row>
    <row r="106" spans="1:16" x14ac:dyDescent="0.25">
      <c r="A106" s="8" t="s">
        <v>11</v>
      </c>
      <c r="B106" s="22">
        <v>0</v>
      </c>
      <c r="C106" s="22">
        <v>0</v>
      </c>
      <c r="D106" s="22">
        <v>0</v>
      </c>
      <c r="E106" s="23">
        <v>0</v>
      </c>
      <c r="F106" s="22">
        <v>0</v>
      </c>
      <c r="G106" s="24">
        <v>0</v>
      </c>
      <c r="H106" s="22">
        <v>0</v>
      </c>
      <c r="I106" s="23">
        <v>0</v>
      </c>
      <c r="J106" s="22">
        <v>0</v>
      </c>
      <c r="K106" s="48">
        <v>-4.2025670652038424E-2</v>
      </c>
      <c r="L106" s="22">
        <v>-2.8324903085861997E-2</v>
      </c>
      <c r="M106" s="22">
        <v>-4.8336840823329973E-2</v>
      </c>
      <c r="N106" s="23">
        <v>0</v>
      </c>
      <c r="O106" s="22">
        <v>1</v>
      </c>
      <c r="P106" s="24">
        <v>0</v>
      </c>
    </row>
    <row r="107" spans="1:16" x14ac:dyDescent="0.25">
      <c r="A107" s="16" t="s">
        <v>12</v>
      </c>
      <c r="B107" s="28">
        <v>0</v>
      </c>
      <c r="C107" s="28">
        <v>0</v>
      </c>
      <c r="D107" s="28">
        <v>0</v>
      </c>
      <c r="E107" s="29">
        <v>-2.6804655607885541E-2</v>
      </c>
      <c r="F107" s="28">
        <v>-0.25335818446318126</v>
      </c>
      <c r="G107" s="30">
        <v>-0.11787256180407255</v>
      </c>
      <c r="H107" s="28">
        <v>0</v>
      </c>
      <c r="I107" s="29">
        <v>-1.4430906203984167E-2</v>
      </c>
      <c r="J107" s="28">
        <v>-6.6743329747988009E-2</v>
      </c>
      <c r="K107" s="52">
        <v>-2.8594173575687554E-3</v>
      </c>
      <c r="L107" s="28">
        <v>-2.3259138506079588E-3</v>
      </c>
      <c r="M107" s="28">
        <v>-1.2012442238428489E-2</v>
      </c>
      <c r="N107" s="29">
        <v>0</v>
      </c>
      <c r="O107" s="28">
        <v>0</v>
      </c>
      <c r="P107" s="30">
        <v>1</v>
      </c>
    </row>
    <row r="108" spans="1:16" x14ac:dyDescent="0.25">
      <c r="M108" s="34">
        <v>0.51930771325128655</v>
      </c>
      <c r="P108" s="34">
        <v>1</v>
      </c>
    </row>
    <row r="109" spans="1:16" x14ac:dyDescent="0.25">
      <c r="K109" s="34"/>
      <c r="N109" s="34"/>
    </row>
    <row r="110" spans="1:16" ht="18.75" x14ac:dyDescent="0.3">
      <c r="A110" s="37" t="s">
        <v>50</v>
      </c>
      <c r="K110" s="34"/>
      <c r="N110" s="34"/>
    </row>
    <row r="112" spans="1:16" x14ac:dyDescent="0.25">
      <c r="A112" s="20" t="s">
        <v>46</v>
      </c>
    </row>
    <row r="113" spans="1:6" x14ac:dyDescent="0.25">
      <c r="A113" s="4"/>
      <c r="B113" s="5" t="s">
        <v>3</v>
      </c>
      <c r="C113" s="5" t="s">
        <v>4</v>
      </c>
      <c r="D113" s="7" t="s">
        <v>5</v>
      </c>
      <c r="F113" s="36" t="s">
        <v>44</v>
      </c>
    </row>
    <row r="114" spans="1:6" x14ac:dyDescent="0.25">
      <c r="A114" s="8" t="s">
        <v>0</v>
      </c>
      <c r="B114" s="26">
        <v>0</v>
      </c>
      <c r="C114" s="25">
        <v>0</v>
      </c>
      <c r="D114" s="27">
        <v>0</v>
      </c>
      <c r="F114" s="34" t="s">
        <v>49</v>
      </c>
    </row>
    <row r="115" spans="1:6" x14ac:dyDescent="0.25">
      <c r="A115" s="8" t="s">
        <v>1</v>
      </c>
      <c r="B115" s="23">
        <v>0</v>
      </c>
      <c r="C115" s="22">
        <v>0</v>
      </c>
      <c r="D115" s="24">
        <v>0</v>
      </c>
      <c r="F115" s="34" t="s">
        <v>88</v>
      </c>
    </row>
    <row r="116" spans="1:6" x14ac:dyDescent="0.25">
      <c r="A116" s="8" t="s">
        <v>2</v>
      </c>
      <c r="B116" s="23">
        <v>0</v>
      </c>
      <c r="C116" s="22">
        <v>0</v>
      </c>
      <c r="D116" s="24">
        <v>0</v>
      </c>
      <c r="F116" s="34" t="s">
        <v>52</v>
      </c>
    </row>
    <row r="117" spans="1:6" x14ac:dyDescent="0.25">
      <c r="A117" s="12" t="s">
        <v>3</v>
      </c>
      <c r="B117" s="26">
        <v>1</v>
      </c>
      <c r="C117" s="25">
        <v>0</v>
      </c>
      <c r="D117" s="27">
        <v>0</v>
      </c>
      <c r="F117" s="34"/>
    </row>
    <row r="118" spans="1:6" x14ac:dyDescent="0.25">
      <c r="A118" s="8" t="s">
        <v>4</v>
      </c>
      <c r="B118" s="23">
        <v>0</v>
      </c>
      <c r="C118" s="22">
        <v>1</v>
      </c>
      <c r="D118" s="24">
        <v>0</v>
      </c>
      <c r="F118" s="34" t="s">
        <v>53</v>
      </c>
    </row>
    <row r="119" spans="1:6" x14ac:dyDescent="0.25">
      <c r="A119" s="16" t="s">
        <v>5</v>
      </c>
      <c r="B119" s="29">
        <v>0</v>
      </c>
      <c r="C119" s="28">
        <v>0</v>
      </c>
      <c r="D119" s="30">
        <v>1</v>
      </c>
      <c r="F119" s="34" t="s">
        <v>92</v>
      </c>
    </row>
    <row r="120" spans="1:6" x14ac:dyDescent="0.25">
      <c r="A120" s="4" t="s">
        <v>72</v>
      </c>
      <c r="B120" s="32">
        <v>0</v>
      </c>
      <c r="C120" s="31">
        <v>0</v>
      </c>
      <c r="D120" s="33">
        <v>0</v>
      </c>
      <c r="F120" s="34"/>
    </row>
    <row r="121" spans="1:6" x14ac:dyDescent="0.25">
      <c r="A121" s="8" t="s">
        <v>6</v>
      </c>
      <c r="B121" s="23">
        <v>0</v>
      </c>
      <c r="C121" s="22">
        <v>0</v>
      </c>
      <c r="D121" s="24">
        <v>0</v>
      </c>
      <c r="F121" s="34"/>
    </row>
    <row r="122" spans="1:6" x14ac:dyDescent="0.25">
      <c r="A122" s="8" t="s">
        <v>7</v>
      </c>
      <c r="B122" s="23">
        <v>0</v>
      </c>
      <c r="C122" s="22">
        <v>0</v>
      </c>
      <c r="D122" s="24">
        <v>0</v>
      </c>
      <c r="F122" s="34" t="s">
        <v>59</v>
      </c>
    </row>
    <row r="123" spans="1:6" x14ac:dyDescent="0.25">
      <c r="A123" s="4" t="s">
        <v>73</v>
      </c>
      <c r="B123" s="32">
        <v>0</v>
      </c>
      <c r="C123" s="31">
        <v>0</v>
      </c>
      <c r="D123" s="33">
        <v>0</v>
      </c>
      <c r="F123" s="34" t="s">
        <v>63</v>
      </c>
    </row>
    <row r="124" spans="1:6" x14ac:dyDescent="0.25">
      <c r="A124" s="8" t="s">
        <v>8</v>
      </c>
      <c r="B124" s="26">
        <v>0</v>
      </c>
      <c r="C124" s="25">
        <v>0</v>
      </c>
      <c r="D124" s="27">
        <v>0</v>
      </c>
    </row>
    <row r="125" spans="1:6" x14ac:dyDescent="0.25">
      <c r="A125" s="16" t="s">
        <v>9</v>
      </c>
      <c r="B125" s="29">
        <v>0</v>
      </c>
      <c r="C125" s="28">
        <v>0</v>
      </c>
      <c r="D125" s="30">
        <v>0</v>
      </c>
      <c r="F125" s="59" t="s">
        <v>82</v>
      </c>
    </row>
    <row r="126" spans="1:6" x14ac:dyDescent="0.25">
      <c r="A126" s="8" t="s">
        <v>10</v>
      </c>
      <c r="B126" s="23">
        <v>0</v>
      </c>
      <c r="C126" s="22">
        <v>0</v>
      </c>
      <c r="D126" s="24">
        <v>0</v>
      </c>
      <c r="F126" s="34"/>
    </row>
    <row r="127" spans="1:6" x14ac:dyDescent="0.25">
      <c r="A127" s="8" t="s">
        <v>11</v>
      </c>
      <c r="B127" s="23">
        <v>0</v>
      </c>
      <c r="C127" s="22">
        <v>0</v>
      </c>
      <c r="D127" s="24">
        <v>0</v>
      </c>
    </row>
    <row r="128" spans="1:6" x14ac:dyDescent="0.25">
      <c r="A128" s="16" t="s">
        <v>12</v>
      </c>
      <c r="B128" s="29">
        <v>0</v>
      </c>
      <c r="C128" s="28">
        <v>0</v>
      </c>
      <c r="D128" s="30">
        <v>0</v>
      </c>
    </row>
    <row r="131" spans="1:10" ht="18.75" x14ac:dyDescent="0.3">
      <c r="A131" s="37" t="s">
        <v>51</v>
      </c>
    </row>
    <row r="133" spans="1:10" x14ac:dyDescent="0.25">
      <c r="A133" s="20" t="s">
        <v>77</v>
      </c>
    </row>
    <row r="134" spans="1:10" x14ac:dyDescent="0.25">
      <c r="A134" t="s">
        <v>58</v>
      </c>
    </row>
    <row r="135" spans="1:10" x14ac:dyDescent="0.25">
      <c r="A135" s="4"/>
      <c r="B135" s="5" t="s">
        <v>3</v>
      </c>
      <c r="C135" s="5" t="s">
        <v>4</v>
      </c>
      <c r="D135" s="7" t="s">
        <v>5</v>
      </c>
    </row>
    <row r="136" spans="1:10" x14ac:dyDescent="0.25">
      <c r="A136" s="12" t="s">
        <v>0</v>
      </c>
      <c r="B136" s="26"/>
      <c r="C136" s="25"/>
      <c r="D136" s="27"/>
      <c r="F136" s="34" t="s">
        <v>60</v>
      </c>
    </row>
    <row r="137" spans="1:10" x14ac:dyDescent="0.25">
      <c r="A137" s="8" t="s">
        <v>1</v>
      </c>
      <c r="B137" s="23"/>
      <c r="C137" s="22"/>
      <c r="D137" s="24"/>
      <c r="F137" s="34"/>
    </row>
    <row r="138" spans="1:10" x14ac:dyDescent="0.25">
      <c r="A138" s="8" t="s">
        <v>2</v>
      </c>
      <c r="B138" s="23"/>
      <c r="C138" s="22"/>
      <c r="D138" s="24"/>
      <c r="F138" s="34"/>
    </row>
    <row r="139" spans="1:10" x14ac:dyDescent="0.25">
      <c r="A139" s="12" t="s">
        <v>3</v>
      </c>
      <c r="B139" s="26"/>
      <c r="C139" s="25"/>
      <c r="D139" s="27"/>
      <c r="F139" s="34"/>
    </row>
    <row r="140" spans="1:10" x14ac:dyDescent="0.25">
      <c r="A140" s="8" t="s">
        <v>4</v>
      </c>
      <c r="B140" s="23"/>
      <c r="C140" s="22"/>
      <c r="D140" s="24"/>
      <c r="F140" s="34"/>
    </row>
    <row r="141" spans="1:10" x14ac:dyDescent="0.25">
      <c r="A141" s="16" t="s">
        <v>5</v>
      </c>
      <c r="B141" s="29"/>
      <c r="C141" s="28"/>
      <c r="D141" s="30"/>
      <c r="F141" s="34"/>
    </row>
    <row r="142" spans="1:10" x14ac:dyDescent="0.25">
      <c r="A142" s="4" t="s">
        <v>72</v>
      </c>
      <c r="B142" s="32"/>
      <c r="C142" s="31"/>
      <c r="D142" s="33"/>
      <c r="F142" s="34"/>
    </row>
    <row r="143" spans="1:10" x14ac:dyDescent="0.25">
      <c r="A143" s="8" t="s">
        <v>6</v>
      </c>
      <c r="B143" s="23"/>
      <c r="C143" s="22"/>
      <c r="D143" s="24"/>
      <c r="F143" s="34" t="s">
        <v>61</v>
      </c>
      <c r="J143" s="34" t="s">
        <v>78</v>
      </c>
    </row>
    <row r="144" spans="1:10" x14ac:dyDescent="0.25">
      <c r="A144" s="8" t="s">
        <v>7</v>
      </c>
      <c r="B144" s="23"/>
      <c r="C144" s="22"/>
      <c r="D144" s="24"/>
      <c r="F144" s="34"/>
    </row>
    <row r="145" spans="1:6" x14ac:dyDescent="0.25">
      <c r="A145" s="4" t="s">
        <v>73</v>
      </c>
      <c r="B145" s="32"/>
      <c r="C145" s="31"/>
      <c r="D145" s="33"/>
      <c r="F145" s="34"/>
    </row>
    <row r="146" spans="1:6" x14ac:dyDescent="0.25">
      <c r="A146" s="12" t="s">
        <v>8</v>
      </c>
      <c r="B146" s="26"/>
      <c r="C146" s="25"/>
      <c r="D146" s="27"/>
      <c r="F146" s="34" t="s">
        <v>62</v>
      </c>
    </row>
    <row r="147" spans="1:6" x14ac:dyDescent="0.25">
      <c r="A147" s="16" t="s">
        <v>9</v>
      </c>
      <c r="B147" s="29"/>
      <c r="C147" s="28"/>
      <c r="D147" s="30"/>
      <c r="F147" s="34"/>
    </row>
    <row r="148" spans="1:6" x14ac:dyDescent="0.25">
      <c r="A148" s="8" t="s">
        <v>10</v>
      </c>
      <c r="B148" s="23"/>
      <c r="C148" s="22"/>
      <c r="D148" s="24"/>
      <c r="F148" s="34"/>
    </row>
    <row r="149" spans="1:6" x14ac:dyDescent="0.25">
      <c r="A149" s="8" t="s">
        <v>11</v>
      </c>
      <c r="B149" s="23"/>
      <c r="C149" s="22"/>
      <c r="D149" s="24"/>
      <c r="E149" s="34">
        <v>1.7480995810129361</v>
      </c>
      <c r="F149" s="34"/>
    </row>
    <row r="150" spans="1:6" x14ac:dyDescent="0.25">
      <c r="A150" s="16" t="s">
        <v>12</v>
      </c>
      <c r="B150" s="29"/>
      <c r="C150" s="28"/>
      <c r="D150" s="30"/>
      <c r="F150" s="34"/>
    </row>
    <row r="151" spans="1:6" x14ac:dyDescent="0.25">
      <c r="F151" s="34"/>
    </row>
    <row r="152" spans="1:6" x14ac:dyDescent="0.25">
      <c r="F152" s="34"/>
    </row>
    <row r="153" spans="1:6" x14ac:dyDescent="0.25">
      <c r="A153" s="21" t="s">
        <v>57</v>
      </c>
      <c r="F153" s="34"/>
    </row>
    <row r="154" spans="1:6" x14ac:dyDescent="0.25">
      <c r="F154" s="34"/>
    </row>
    <row r="155" spans="1:6" x14ac:dyDescent="0.25">
      <c r="A155" s="4" t="s">
        <v>54</v>
      </c>
      <c r="B155" s="58"/>
      <c r="C155" s="31"/>
      <c r="D155" s="33"/>
      <c r="F155" s="34"/>
    </row>
    <row r="156" spans="1:6" x14ac:dyDescent="0.25">
      <c r="A156" s="4" t="s">
        <v>55</v>
      </c>
      <c r="B156" s="31"/>
      <c r="C156" s="31"/>
      <c r="D156" s="33"/>
      <c r="F156" s="34"/>
    </row>
    <row r="157" spans="1:6" x14ac:dyDescent="0.25">
      <c r="A157" s="4" t="s">
        <v>56</v>
      </c>
      <c r="B157" s="31"/>
      <c r="C157" s="31"/>
      <c r="D157" s="33"/>
      <c r="F157" s="34"/>
    </row>
    <row r="158" spans="1:6" x14ac:dyDescent="0.25">
      <c r="C158" s="34">
        <v>15.287184185853324</v>
      </c>
    </row>
    <row r="161" spans="1:3" x14ac:dyDescent="0.25">
      <c r="A161" s="38" t="s">
        <v>64</v>
      </c>
      <c r="B161" s="39" t="s">
        <v>191</v>
      </c>
    </row>
    <row r="162" spans="1:3" x14ac:dyDescent="0.25">
      <c r="A162" s="38" t="s">
        <v>65</v>
      </c>
      <c r="B162" s="40"/>
    </row>
    <row r="164" spans="1:3" x14ac:dyDescent="0.25">
      <c r="A164" s="38" t="s">
        <v>66</v>
      </c>
      <c r="B164" s="39" t="s">
        <v>192</v>
      </c>
    </row>
    <row r="165" spans="1:3" x14ac:dyDescent="0.25">
      <c r="A165" s="38" t="s">
        <v>67</v>
      </c>
      <c r="B165" s="39"/>
    </row>
    <row r="166" spans="1:3" x14ac:dyDescent="0.25">
      <c r="A166" s="38"/>
      <c r="B166" s="39"/>
    </row>
    <row r="167" spans="1:3" x14ac:dyDescent="0.25">
      <c r="A167" s="38" t="s">
        <v>68</v>
      </c>
      <c r="B167" s="39" t="s">
        <v>93</v>
      </c>
    </row>
    <row r="168" spans="1:3" x14ac:dyDescent="0.25">
      <c r="A168" s="38" t="s">
        <v>69</v>
      </c>
      <c r="B168" s="141"/>
      <c r="C168" s="39" t="s">
        <v>79</v>
      </c>
    </row>
    <row r="169" spans="1:3" x14ac:dyDescent="0.25">
      <c r="A169" s="38"/>
      <c r="B169" s="39" t="s">
        <v>94</v>
      </c>
    </row>
    <row r="170" spans="1:3" x14ac:dyDescent="0.25">
      <c r="A170" s="38"/>
      <c r="B170" s="39" t="s">
        <v>95</v>
      </c>
    </row>
    <row r="171" spans="1:3" x14ac:dyDescent="0.25">
      <c r="A171" s="38"/>
      <c r="B171" s="40"/>
    </row>
    <row r="172" spans="1:3" x14ac:dyDescent="0.25">
      <c r="A172" s="38" t="s">
        <v>70</v>
      </c>
      <c r="B172" s="39" t="s">
        <v>96</v>
      </c>
    </row>
    <row r="173" spans="1:3" x14ac:dyDescent="0.25">
      <c r="A173" s="38" t="s">
        <v>71</v>
      </c>
      <c r="B173" s="41"/>
    </row>
    <row r="174" spans="1:3" x14ac:dyDescent="0.25">
      <c r="A174" s="38"/>
      <c r="B174" s="39"/>
    </row>
    <row r="175" spans="1:3" x14ac:dyDescent="0.25">
      <c r="A175" s="38"/>
      <c r="B175" s="39"/>
    </row>
    <row r="176" spans="1:3" x14ac:dyDescent="0.25">
      <c r="A176" s="38"/>
      <c r="B176" s="39"/>
    </row>
    <row r="177" spans="1:2" x14ac:dyDescent="0.25">
      <c r="A177" s="38"/>
      <c r="B177" s="39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11069-84B7-4214-8D82-89437185CB68}">
  <dimension ref="A1:T185"/>
  <sheetViews>
    <sheetView showZeros="0" topLeftCell="A130" zoomScale="65" zoomScaleNormal="65" workbookViewId="0">
      <selection activeCell="E150" sqref="E150"/>
    </sheetView>
  </sheetViews>
  <sheetFormatPr defaultRowHeight="15" x14ac:dyDescent="0.25"/>
  <sheetData>
    <row r="1" spans="1:20" ht="18.75" x14ac:dyDescent="0.3">
      <c r="A1" s="1" t="s">
        <v>105</v>
      </c>
    </row>
    <row r="2" spans="1:20" x14ac:dyDescent="0.25">
      <c r="L2" s="60"/>
      <c r="M2" s="60"/>
    </row>
    <row r="6" spans="1:20" ht="15.75" x14ac:dyDescent="0.25">
      <c r="A6" s="2" t="s">
        <v>75</v>
      </c>
    </row>
    <row r="7" spans="1:20" x14ac:dyDescent="0.25">
      <c r="A7" s="57" t="s">
        <v>80</v>
      </c>
    </row>
    <row r="8" spans="1:20" x14ac:dyDescent="0.25">
      <c r="A8" s="4"/>
      <c r="B8" s="5" t="s">
        <v>0</v>
      </c>
      <c r="C8" s="5" t="s">
        <v>1</v>
      </c>
      <c r="D8" s="5" t="s">
        <v>2</v>
      </c>
      <c r="E8" s="6" t="s">
        <v>3</v>
      </c>
      <c r="F8" s="5" t="s">
        <v>4</v>
      </c>
      <c r="G8" s="7" t="s">
        <v>5</v>
      </c>
      <c r="H8" s="43" t="s">
        <v>72</v>
      </c>
      <c r="I8" s="5" t="s">
        <v>6</v>
      </c>
      <c r="J8" s="5" t="s">
        <v>7</v>
      </c>
      <c r="K8" s="43" t="s">
        <v>73</v>
      </c>
      <c r="L8" s="6" t="s">
        <v>8</v>
      </c>
      <c r="M8" s="7" t="s">
        <v>9</v>
      </c>
      <c r="N8" s="5" t="s">
        <v>10</v>
      </c>
      <c r="O8" s="5" t="s">
        <v>11</v>
      </c>
      <c r="P8" s="5" t="s">
        <v>12</v>
      </c>
      <c r="Q8" s="4" t="s">
        <v>74</v>
      </c>
      <c r="S8" s="3" t="s">
        <v>14</v>
      </c>
    </row>
    <row r="9" spans="1:20" x14ac:dyDescent="0.25">
      <c r="A9" s="8" t="s">
        <v>0</v>
      </c>
      <c r="B9" s="9">
        <v>0</v>
      </c>
      <c r="C9" s="9">
        <v>0</v>
      </c>
      <c r="D9" s="9">
        <v>0</v>
      </c>
      <c r="E9" s="10">
        <v>1861.5144748939067</v>
      </c>
      <c r="F9" s="9">
        <v>0</v>
      </c>
      <c r="G9" s="11">
        <v>0</v>
      </c>
      <c r="H9" s="42">
        <v>0</v>
      </c>
      <c r="I9" s="9">
        <v>0</v>
      </c>
      <c r="J9" s="9">
        <v>0</v>
      </c>
      <c r="K9" s="42">
        <v>0</v>
      </c>
      <c r="L9" s="10">
        <v>0</v>
      </c>
      <c r="M9" s="11">
        <v>0</v>
      </c>
      <c r="N9" s="9">
        <v>0</v>
      </c>
      <c r="O9" s="9">
        <v>0</v>
      </c>
      <c r="P9" s="9">
        <v>0</v>
      </c>
      <c r="Q9" s="8">
        <v>1861.5144748939067</v>
      </c>
      <c r="S9" t="s">
        <v>0</v>
      </c>
      <c r="T9" t="s">
        <v>15</v>
      </c>
    </row>
    <row r="10" spans="1:20" x14ac:dyDescent="0.25">
      <c r="A10" s="8" t="s">
        <v>1</v>
      </c>
      <c r="B10" s="9">
        <v>0</v>
      </c>
      <c r="C10" s="9">
        <v>0</v>
      </c>
      <c r="D10" s="9">
        <v>0</v>
      </c>
      <c r="E10" s="10">
        <v>0</v>
      </c>
      <c r="F10" s="9">
        <v>2951.7913337981145</v>
      </c>
      <c r="G10" s="11">
        <v>0</v>
      </c>
      <c r="H10" s="42">
        <v>0</v>
      </c>
      <c r="I10" s="9">
        <v>0</v>
      </c>
      <c r="J10" s="9">
        <v>0</v>
      </c>
      <c r="K10" s="42">
        <v>0</v>
      </c>
      <c r="L10" s="10">
        <v>0</v>
      </c>
      <c r="M10" s="11">
        <v>0</v>
      </c>
      <c r="N10" s="9">
        <v>0</v>
      </c>
      <c r="O10" s="9">
        <v>0</v>
      </c>
      <c r="P10" s="9">
        <v>0</v>
      </c>
      <c r="Q10" s="8">
        <v>2951.7913337981145</v>
      </c>
      <c r="S10" t="s">
        <v>1</v>
      </c>
      <c r="T10" t="s">
        <v>25</v>
      </c>
    </row>
    <row r="11" spans="1:20" x14ac:dyDescent="0.25">
      <c r="A11" s="8" t="s">
        <v>2</v>
      </c>
      <c r="B11" s="9">
        <v>0</v>
      </c>
      <c r="C11" s="9">
        <v>0</v>
      </c>
      <c r="D11" s="9">
        <v>0</v>
      </c>
      <c r="E11" s="10">
        <v>0</v>
      </c>
      <c r="F11" s="9">
        <v>0</v>
      </c>
      <c r="G11" s="11">
        <v>5426.8365783389136</v>
      </c>
      <c r="H11" s="42">
        <v>0</v>
      </c>
      <c r="I11" s="9">
        <v>0</v>
      </c>
      <c r="J11" s="9">
        <v>0</v>
      </c>
      <c r="K11" s="42">
        <v>0</v>
      </c>
      <c r="L11" s="10">
        <v>0</v>
      </c>
      <c r="M11" s="11">
        <v>0</v>
      </c>
      <c r="N11" s="9">
        <v>0</v>
      </c>
      <c r="O11" s="9">
        <v>0</v>
      </c>
      <c r="P11" s="9">
        <v>0</v>
      </c>
      <c r="Q11" s="8">
        <v>5426.8365783389136</v>
      </c>
      <c r="S11" t="s">
        <v>2</v>
      </c>
      <c r="T11" t="s">
        <v>26</v>
      </c>
    </row>
    <row r="12" spans="1:20" x14ac:dyDescent="0.25">
      <c r="A12" s="12" t="s">
        <v>3</v>
      </c>
      <c r="B12" s="13">
        <v>128.41043581368717</v>
      </c>
      <c r="C12" s="13">
        <v>496.01088263277438</v>
      </c>
      <c r="D12" s="13">
        <v>55.634986769874615</v>
      </c>
      <c r="E12" s="14">
        <v>0</v>
      </c>
      <c r="F12" s="13">
        <v>0</v>
      </c>
      <c r="G12" s="15">
        <v>0</v>
      </c>
      <c r="H12" s="44">
        <v>0</v>
      </c>
      <c r="I12" s="13">
        <v>0</v>
      </c>
      <c r="J12" s="13">
        <v>0</v>
      </c>
      <c r="K12" s="44">
        <v>0</v>
      </c>
      <c r="L12" s="14">
        <v>1023.8582250078596</v>
      </c>
      <c r="M12" s="15">
        <v>414.63982669743439</v>
      </c>
      <c r="N12" s="13">
        <v>0</v>
      </c>
      <c r="O12" s="13">
        <v>3.5882828901810773</v>
      </c>
      <c r="P12" s="13">
        <v>100.73062475804775</v>
      </c>
      <c r="Q12" s="12">
        <v>2222.8732645698587</v>
      </c>
      <c r="S12" t="s">
        <v>3</v>
      </c>
      <c r="T12" t="s">
        <v>16</v>
      </c>
    </row>
    <row r="13" spans="1:20" x14ac:dyDescent="0.25">
      <c r="A13" s="8" t="s">
        <v>4</v>
      </c>
      <c r="B13" s="9">
        <v>110.42998424993168</v>
      </c>
      <c r="C13" s="9">
        <v>993.556843615356</v>
      </c>
      <c r="D13" s="9">
        <v>916.97365859710339</v>
      </c>
      <c r="E13" s="10">
        <v>0</v>
      </c>
      <c r="F13" s="9">
        <v>0</v>
      </c>
      <c r="G13" s="11">
        <v>0</v>
      </c>
      <c r="H13" s="42">
        <v>0</v>
      </c>
      <c r="I13" s="9">
        <v>0</v>
      </c>
      <c r="J13" s="9">
        <v>0</v>
      </c>
      <c r="K13" s="42">
        <v>0</v>
      </c>
      <c r="L13" s="10">
        <v>688.02683644632305</v>
      </c>
      <c r="M13" s="11">
        <v>638.80011269779561</v>
      </c>
      <c r="N13" s="9">
        <v>0</v>
      </c>
      <c r="O13" s="9">
        <v>1549.5530289837036</v>
      </c>
      <c r="P13" s="9">
        <v>276.14395614476467</v>
      </c>
      <c r="Q13" s="8">
        <v>5173.4844207349788</v>
      </c>
      <c r="S13" t="s">
        <v>4</v>
      </c>
      <c r="T13" t="s">
        <v>27</v>
      </c>
    </row>
    <row r="14" spans="1:20" x14ac:dyDescent="0.25">
      <c r="A14" s="16" t="s">
        <v>5</v>
      </c>
      <c r="B14" s="17">
        <v>28.898418760757508</v>
      </c>
      <c r="C14" s="17">
        <v>446.72667224751524</v>
      </c>
      <c r="D14" s="17">
        <v>1772.4761662008084</v>
      </c>
      <c r="E14" s="18">
        <v>0</v>
      </c>
      <c r="F14" s="17">
        <v>0</v>
      </c>
      <c r="G14" s="19">
        <v>0</v>
      </c>
      <c r="H14" s="45">
        <v>924.15060017229371</v>
      </c>
      <c r="I14" s="17">
        <v>0</v>
      </c>
      <c r="J14" s="17">
        <v>0</v>
      </c>
      <c r="K14" s="45">
        <v>0</v>
      </c>
      <c r="L14" s="18">
        <v>645.62465790687088</v>
      </c>
      <c r="M14" s="19">
        <v>1056.4179250095519</v>
      </c>
      <c r="N14" s="17">
        <v>959.0324629217879</v>
      </c>
      <c r="O14" s="17">
        <v>0</v>
      </c>
      <c r="P14" s="17">
        <v>467.63454352778359</v>
      </c>
      <c r="Q14" s="16">
        <v>6300.9614467473693</v>
      </c>
      <c r="S14" t="s">
        <v>5</v>
      </c>
      <c r="T14" t="s">
        <v>28</v>
      </c>
    </row>
    <row r="15" spans="1:20" x14ac:dyDescent="0.25">
      <c r="A15" s="4" t="s">
        <v>72</v>
      </c>
      <c r="B15" s="5">
        <v>0</v>
      </c>
      <c r="C15" s="5">
        <v>0</v>
      </c>
      <c r="D15" s="5">
        <v>0</v>
      </c>
      <c r="E15" s="6">
        <v>289.91644795031846</v>
      </c>
      <c r="F15" s="5">
        <v>634.23415222197559</v>
      </c>
      <c r="G15" s="7">
        <v>0</v>
      </c>
      <c r="H15" s="43"/>
      <c r="I15" s="5">
        <v>0</v>
      </c>
      <c r="J15" s="5">
        <v>0</v>
      </c>
      <c r="K15" s="43"/>
      <c r="L15" s="6">
        <v>0</v>
      </c>
      <c r="M15" s="7">
        <v>0</v>
      </c>
      <c r="N15" s="5">
        <v>0</v>
      </c>
      <c r="O15" s="5">
        <v>0</v>
      </c>
      <c r="P15" s="5"/>
      <c r="Q15" s="4">
        <v>924.15060017229405</v>
      </c>
      <c r="S15" t="s">
        <v>72</v>
      </c>
    </row>
    <row r="16" spans="1:20" x14ac:dyDescent="0.25">
      <c r="A16" s="8" t="s">
        <v>6</v>
      </c>
      <c r="B16" s="9">
        <v>1305.0639789904651</v>
      </c>
      <c r="C16" s="9">
        <v>627.85229798308819</v>
      </c>
      <c r="D16" s="9">
        <v>1695.2347088025194</v>
      </c>
      <c r="E16" s="10">
        <v>0</v>
      </c>
      <c r="F16" s="9">
        <v>0</v>
      </c>
      <c r="G16" s="11">
        <v>0</v>
      </c>
      <c r="H16" s="42">
        <v>0</v>
      </c>
      <c r="I16" s="9">
        <v>0</v>
      </c>
      <c r="J16" s="9">
        <v>0</v>
      </c>
      <c r="K16" s="42">
        <v>0</v>
      </c>
      <c r="L16" s="10">
        <v>0</v>
      </c>
      <c r="M16" s="11">
        <v>0</v>
      </c>
      <c r="N16" s="9">
        <v>0</v>
      </c>
      <c r="O16" s="9">
        <v>0</v>
      </c>
      <c r="P16" s="9">
        <v>4.3360473316879453</v>
      </c>
      <c r="Q16" s="8">
        <v>3635.8237637534394</v>
      </c>
      <c r="S16" t="s">
        <v>6</v>
      </c>
      <c r="T16" t="s">
        <v>17</v>
      </c>
    </row>
    <row r="17" spans="1:20" x14ac:dyDescent="0.25">
      <c r="A17" s="8" t="s">
        <v>7</v>
      </c>
      <c r="B17" s="9">
        <v>285.37492643338697</v>
      </c>
      <c r="C17" s="9">
        <v>387.64463731938065</v>
      </c>
      <c r="D17" s="9">
        <v>986.51705796860801</v>
      </c>
      <c r="E17" s="10">
        <v>0</v>
      </c>
      <c r="F17" s="9">
        <v>0</v>
      </c>
      <c r="G17" s="11">
        <v>0</v>
      </c>
      <c r="H17" s="42">
        <v>0</v>
      </c>
      <c r="I17" s="9">
        <v>0</v>
      </c>
      <c r="J17" s="9">
        <v>0</v>
      </c>
      <c r="K17" s="42">
        <v>0</v>
      </c>
      <c r="L17" s="10">
        <v>0</v>
      </c>
      <c r="M17" s="11">
        <v>0</v>
      </c>
      <c r="N17" s="9">
        <v>0</v>
      </c>
      <c r="O17" s="9">
        <v>0</v>
      </c>
      <c r="P17" s="9">
        <v>3.9429870638417932</v>
      </c>
      <c r="Q17" s="8">
        <v>1663.4796087852174</v>
      </c>
      <c r="S17" t="s">
        <v>7</v>
      </c>
      <c r="T17" t="s">
        <v>18</v>
      </c>
    </row>
    <row r="18" spans="1:20" x14ac:dyDescent="0.25">
      <c r="A18" s="4" t="s">
        <v>73</v>
      </c>
      <c r="B18" s="5">
        <v>0</v>
      </c>
      <c r="C18" s="5">
        <v>0</v>
      </c>
      <c r="D18" s="5">
        <v>0</v>
      </c>
      <c r="E18" s="6">
        <v>0</v>
      </c>
      <c r="F18" s="5">
        <v>0</v>
      </c>
      <c r="G18" s="7">
        <v>0</v>
      </c>
      <c r="H18" s="43"/>
      <c r="I18" s="5">
        <v>0</v>
      </c>
      <c r="J18" s="5">
        <v>1382.1224060397058</v>
      </c>
      <c r="K18" s="43"/>
      <c r="L18" s="6">
        <v>0</v>
      </c>
      <c r="M18" s="7">
        <v>0</v>
      </c>
      <c r="N18" s="5">
        <v>174.26500138805923</v>
      </c>
      <c r="O18" s="5">
        <v>0</v>
      </c>
      <c r="P18" s="5">
        <v>50.13661925237308</v>
      </c>
      <c r="Q18" s="4">
        <v>1606.5240266801381</v>
      </c>
      <c r="S18" t="s">
        <v>73</v>
      </c>
    </row>
    <row r="19" spans="1:20" x14ac:dyDescent="0.25">
      <c r="A19" s="12" t="s">
        <v>8</v>
      </c>
      <c r="B19" s="13">
        <v>0</v>
      </c>
      <c r="C19" s="13">
        <v>0</v>
      </c>
      <c r="D19" s="13">
        <v>0</v>
      </c>
      <c r="E19" s="14">
        <v>0</v>
      </c>
      <c r="F19" s="13">
        <v>0</v>
      </c>
      <c r="G19" s="15">
        <v>0</v>
      </c>
      <c r="H19" s="44">
        <v>0</v>
      </c>
      <c r="I19" s="13">
        <v>1969.6131520464339</v>
      </c>
      <c r="J19" s="13">
        <v>150.88573323082099</v>
      </c>
      <c r="K19" s="44">
        <v>289.87133537322012</v>
      </c>
      <c r="L19" s="14">
        <v>0</v>
      </c>
      <c r="M19" s="15">
        <v>0</v>
      </c>
      <c r="N19" s="13">
        <v>32.293864012303651</v>
      </c>
      <c r="O19" s="13">
        <v>0</v>
      </c>
      <c r="P19" s="13">
        <v>30.479964572827882</v>
      </c>
      <c r="Q19" s="12">
        <v>2473.1440492356069</v>
      </c>
      <c r="S19" t="s">
        <v>8</v>
      </c>
      <c r="T19" t="s">
        <v>19</v>
      </c>
    </row>
    <row r="20" spans="1:20" x14ac:dyDescent="0.25">
      <c r="A20" s="16" t="s">
        <v>9</v>
      </c>
      <c r="B20" s="17">
        <v>0</v>
      </c>
      <c r="C20" s="17">
        <v>0</v>
      </c>
      <c r="D20" s="17">
        <v>0</v>
      </c>
      <c r="E20" s="18">
        <v>0</v>
      </c>
      <c r="F20" s="17">
        <v>0</v>
      </c>
      <c r="G20" s="19">
        <v>0</v>
      </c>
      <c r="H20" s="45">
        <v>0</v>
      </c>
      <c r="I20" s="17">
        <v>1613.7423799980618</v>
      </c>
      <c r="J20" s="17">
        <v>16.758784015081133</v>
      </c>
      <c r="K20" s="45">
        <v>857.62523790411444</v>
      </c>
      <c r="L20" s="18">
        <v>0</v>
      </c>
      <c r="M20" s="19">
        <v>0</v>
      </c>
      <c r="N20" s="17">
        <v>42.746077728489723</v>
      </c>
      <c r="O20" s="17">
        <v>0</v>
      </c>
      <c r="P20" s="17">
        <v>42.324039518465788</v>
      </c>
      <c r="Q20" s="16">
        <v>2573.196519164213</v>
      </c>
      <c r="S20" t="s">
        <v>9</v>
      </c>
      <c r="T20" t="s">
        <v>20</v>
      </c>
    </row>
    <row r="21" spans="1:20" x14ac:dyDescent="0.25">
      <c r="A21" s="8" t="s">
        <v>10</v>
      </c>
      <c r="B21" s="9">
        <v>0</v>
      </c>
      <c r="C21" s="9">
        <v>0</v>
      </c>
      <c r="D21" s="9">
        <v>0</v>
      </c>
      <c r="E21" s="10">
        <v>11.858989408862065</v>
      </c>
      <c r="F21" s="9">
        <v>276.71431452891937</v>
      </c>
      <c r="G21" s="11">
        <v>131.41440085164811</v>
      </c>
      <c r="H21" s="42">
        <v>0</v>
      </c>
      <c r="I21" s="9">
        <v>0</v>
      </c>
      <c r="J21" s="9">
        <v>2.6865174414038329</v>
      </c>
      <c r="K21" s="42">
        <v>386.91848107571712</v>
      </c>
      <c r="L21" s="10">
        <v>39.830444363912747</v>
      </c>
      <c r="M21" s="11">
        <v>308.04808965085869</v>
      </c>
      <c r="N21" s="9">
        <v>871.01595213602468</v>
      </c>
      <c r="O21" s="9">
        <v>0</v>
      </c>
      <c r="P21" s="9">
        <v>484.09318280934781</v>
      </c>
      <c r="Q21" s="8">
        <v>2512.5803722666947</v>
      </c>
      <c r="S21" t="s">
        <v>10</v>
      </c>
      <c r="T21" t="s">
        <v>21</v>
      </c>
    </row>
    <row r="22" spans="1:20" x14ac:dyDescent="0.25">
      <c r="A22" s="8" t="s">
        <v>11</v>
      </c>
      <c r="B22" s="9">
        <v>0</v>
      </c>
      <c r="C22" s="9">
        <v>0</v>
      </c>
      <c r="D22" s="9">
        <v>0</v>
      </c>
      <c r="E22" s="10">
        <v>0</v>
      </c>
      <c r="F22" s="9">
        <v>0</v>
      </c>
      <c r="G22" s="11">
        <v>0</v>
      </c>
      <c r="H22" s="42">
        <v>0</v>
      </c>
      <c r="I22" s="9">
        <v>0</v>
      </c>
      <c r="J22" s="9">
        <v>0</v>
      </c>
      <c r="K22" s="42">
        <v>67.515249639846061</v>
      </c>
      <c r="L22" s="10">
        <v>70.051565511974886</v>
      </c>
      <c r="M22" s="11">
        <v>124.38019055398732</v>
      </c>
      <c r="N22" s="9">
        <v>405.76636048732507</v>
      </c>
      <c r="O22" s="9">
        <v>37.915599447549226</v>
      </c>
      <c r="P22" s="9">
        <v>885.42794568075124</v>
      </c>
      <c r="Q22" s="8">
        <v>1591.056911321434</v>
      </c>
      <c r="S22" t="s">
        <v>11</v>
      </c>
      <c r="T22" t="s">
        <v>22</v>
      </c>
    </row>
    <row r="23" spans="1:20" x14ac:dyDescent="0.25">
      <c r="A23" s="8" t="s">
        <v>12</v>
      </c>
      <c r="B23" s="9">
        <v>0</v>
      </c>
      <c r="C23" s="9">
        <v>0</v>
      </c>
      <c r="D23" s="9">
        <v>0</v>
      </c>
      <c r="E23" s="10">
        <v>59.583352316771304</v>
      </c>
      <c r="F23" s="9">
        <v>1310.7446201859664</v>
      </c>
      <c r="G23" s="11">
        <v>742.71046755680766</v>
      </c>
      <c r="H23" s="42"/>
      <c r="I23" s="9">
        <v>52.468231708942561</v>
      </c>
      <c r="J23" s="9">
        <v>111.02616805820585</v>
      </c>
      <c r="K23" s="42">
        <v>4.5937226872404366</v>
      </c>
      <c r="L23" s="10">
        <v>5.7523199986657509</v>
      </c>
      <c r="M23" s="11">
        <v>30.910374554585353</v>
      </c>
      <c r="N23" s="9">
        <v>27.460653592704407</v>
      </c>
      <c r="O23" s="9">
        <v>0</v>
      </c>
      <c r="P23" s="9"/>
      <c r="Q23" s="8">
        <v>2345.2499106598907</v>
      </c>
      <c r="S23" t="s">
        <v>12</v>
      </c>
      <c r="T23" t="s">
        <v>23</v>
      </c>
    </row>
    <row r="24" spans="1:20" x14ac:dyDescent="0.25">
      <c r="A24" s="4" t="s">
        <v>74</v>
      </c>
      <c r="B24" s="5">
        <v>1861.5144748939067</v>
      </c>
      <c r="C24" s="5">
        <v>2951.7913337981145</v>
      </c>
      <c r="D24" s="5">
        <v>5426.8365783389145</v>
      </c>
      <c r="E24" s="6">
        <v>2222.8732645698587</v>
      </c>
      <c r="F24" s="5">
        <v>5173.4844207349752</v>
      </c>
      <c r="G24" s="7">
        <v>6300.9614467473693</v>
      </c>
      <c r="H24" s="43">
        <v>924.15060017229371</v>
      </c>
      <c r="I24" s="5">
        <v>3635.8237637534385</v>
      </c>
      <c r="J24" s="5">
        <v>1663.4796087852174</v>
      </c>
      <c r="K24" s="43">
        <v>1606.5240266801379</v>
      </c>
      <c r="L24" s="6">
        <v>2473.1440492356073</v>
      </c>
      <c r="M24" s="7">
        <v>2573.196519164213</v>
      </c>
      <c r="N24" s="5">
        <v>2512.5803722666928</v>
      </c>
      <c r="O24" s="5">
        <v>1591.0569113214344</v>
      </c>
      <c r="P24" s="5">
        <v>2345.2499106598912</v>
      </c>
      <c r="Q24" s="4"/>
      <c r="S24" t="s">
        <v>74</v>
      </c>
      <c r="T24" t="s">
        <v>24</v>
      </c>
    </row>
    <row r="27" spans="1:20" ht="18.75" x14ac:dyDescent="0.3">
      <c r="A27" s="37" t="s">
        <v>47</v>
      </c>
    </row>
    <row r="29" spans="1:20" x14ac:dyDescent="0.25">
      <c r="A29" s="21" t="s">
        <v>31</v>
      </c>
    </row>
    <row r="30" spans="1:20" ht="15.75" thickBot="1" x14ac:dyDescent="0.3">
      <c r="A30" s="20" t="s">
        <v>81</v>
      </c>
    </row>
    <row r="31" spans="1:20" x14ac:dyDescent="0.25">
      <c r="A31" s="4"/>
      <c r="B31" s="5" t="s">
        <v>0</v>
      </c>
      <c r="C31" s="5" t="s">
        <v>1</v>
      </c>
      <c r="D31" s="5" t="s">
        <v>2</v>
      </c>
      <c r="E31" s="6" t="s">
        <v>3</v>
      </c>
      <c r="F31" s="5" t="s">
        <v>4</v>
      </c>
      <c r="G31" s="7" t="s">
        <v>5</v>
      </c>
      <c r="H31" s="5" t="s">
        <v>72</v>
      </c>
      <c r="I31" s="6" t="s">
        <v>6</v>
      </c>
      <c r="J31" s="5" t="s">
        <v>7</v>
      </c>
      <c r="K31" s="4" t="s">
        <v>73</v>
      </c>
      <c r="L31" s="5" t="s">
        <v>8</v>
      </c>
      <c r="M31" s="5" t="s">
        <v>9</v>
      </c>
      <c r="N31" s="68" t="s">
        <v>10</v>
      </c>
      <c r="O31" s="69" t="s">
        <v>11</v>
      </c>
      <c r="P31" s="70" t="s">
        <v>12</v>
      </c>
      <c r="R31" s="36" t="s">
        <v>44</v>
      </c>
    </row>
    <row r="32" spans="1:20" x14ac:dyDescent="0.25">
      <c r="A32" s="8" t="s">
        <v>0</v>
      </c>
      <c r="B32" s="9"/>
      <c r="C32" s="9"/>
      <c r="D32" s="9"/>
      <c r="E32" s="23"/>
      <c r="F32" s="9"/>
      <c r="G32" s="11"/>
      <c r="H32" s="42"/>
      <c r="I32" s="9"/>
      <c r="J32" s="9"/>
      <c r="K32" s="42"/>
      <c r="L32" s="10"/>
      <c r="M32" s="11"/>
      <c r="N32" s="71"/>
      <c r="O32" s="25"/>
      <c r="P32" s="72"/>
      <c r="R32" s="34" t="s">
        <v>42</v>
      </c>
    </row>
    <row r="33" spans="1:18" x14ac:dyDescent="0.25">
      <c r="A33" s="8" t="s">
        <v>1</v>
      </c>
      <c r="B33" s="9"/>
      <c r="C33" s="9"/>
      <c r="D33" s="9"/>
      <c r="E33" s="10"/>
      <c r="F33" s="9"/>
      <c r="G33" s="11"/>
      <c r="H33" s="42"/>
      <c r="I33" s="9"/>
      <c r="J33" s="9"/>
      <c r="K33" s="42"/>
      <c r="L33" s="10"/>
      <c r="M33" s="11"/>
      <c r="N33" s="71"/>
      <c r="O33" s="22"/>
      <c r="P33" s="73"/>
      <c r="R33" s="34" t="s">
        <v>43</v>
      </c>
    </row>
    <row r="34" spans="1:18" x14ac:dyDescent="0.25">
      <c r="A34" s="8" t="s">
        <v>2</v>
      </c>
      <c r="B34" s="9"/>
      <c r="C34" s="9"/>
      <c r="D34" s="9"/>
      <c r="E34" s="10"/>
      <c r="F34" s="9"/>
      <c r="G34" s="11"/>
      <c r="H34" s="42"/>
      <c r="I34" s="9"/>
      <c r="J34" s="9"/>
      <c r="K34" s="42"/>
      <c r="L34" s="10"/>
      <c r="M34" s="11"/>
      <c r="N34" s="71"/>
      <c r="O34" s="28"/>
      <c r="P34" s="74"/>
      <c r="R34" s="34" t="s">
        <v>45</v>
      </c>
    </row>
    <row r="35" spans="1:18" x14ac:dyDescent="0.25">
      <c r="A35" s="12" t="s">
        <v>3</v>
      </c>
      <c r="B35" s="13"/>
      <c r="C35" s="13"/>
      <c r="D35" s="13"/>
      <c r="E35" s="14"/>
      <c r="F35" s="13"/>
      <c r="G35" s="15"/>
      <c r="H35" s="44"/>
      <c r="I35" s="13"/>
      <c r="J35" s="13"/>
      <c r="K35" s="44"/>
      <c r="L35" s="26"/>
      <c r="M35" s="27"/>
      <c r="N35" s="75"/>
      <c r="O35" s="25"/>
      <c r="P35" s="72"/>
    </row>
    <row r="36" spans="1:18" x14ac:dyDescent="0.25">
      <c r="A36" s="8" t="s">
        <v>4</v>
      </c>
      <c r="B36" s="9"/>
      <c r="C36" s="9"/>
      <c r="D36" s="9"/>
      <c r="E36" s="10"/>
      <c r="F36" s="9"/>
      <c r="G36" s="11"/>
      <c r="H36" s="42"/>
      <c r="I36" s="9"/>
      <c r="J36" s="9"/>
      <c r="K36" s="42"/>
      <c r="L36" s="23"/>
      <c r="M36" s="24"/>
      <c r="N36" s="71"/>
      <c r="O36" s="22"/>
      <c r="P36" s="73"/>
    </row>
    <row r="37" spans="1:18" x14ac:dyDescent="0.25">
      <c r="A37" s="16" t="s">
        <v>5</v>
      </c>
      <c r="B37" s="17"/>
      <c r="C37" s="17"/>
      <c r="D37" s="17"/>
      <c r="E37" s="18"/>
      <c r="F37" s="17"/>
      <c r="G37" s="19"/>
      <c r="H37" s="45"/>
      <c r="I37" s="17"/>
      <c r="J37" s="17"/>
      <c r="K37" s="45"/>
      <c r="L37" s="29"/>
      <c r="M37" s="30"/>
      <c r="N37" s="76"/>
      <c r="O37" s="28"/>
      <c r="P37" s="74"/>
    </row>
    <row r="38" spans="1:18" x14ac:dyDescent="0.25">
      <c r="A38" s="4" t="s">
        <v>72</v>
      </c>
      <c r="B38" s="5"/>
      <c r="C38" s="5"/>
      <c r="D38" s="5"/>
      <c r="E38" s="84"/>
      <c r="F38" s="83"/>
      <c r="G38" s="7"/>
      <c r="H38" s="43"/>
      <c r="I38" s="5"/>
      <c r="J38" s="5"/>
      <c r="K38" s="43"/>
      <c r="L38" s="32"/>
      <c r="M38" s="33"/>
      <c r="N38" s="77"/>
      <c r="O38" s="31"/>
      <c r="P38" s="78"/>
    </row>
    <row r="39" spans="1:18" x14ac:dyDescent="0.25">
      <c r="A39" s="8" t="s">
        <v>6</v>
      </c>
      <c r="B39" s="9"/>
      <c r="C39" s="9"/>
      <c r="D39" s="9"/>
      <c r="E39" s="10"/>
      <c r="F39" s="9"/>
      <c r="G39" s="11"/>
      <c r="H39" s="42"/>
      <c r="I39" s="9"/>
      <c r="J39" s="9"/>
      <c r="K39" s="42"/>
      <c r="L39" s="23"/>
      <c r="M39" s="24"/>
      <c r="N39" s="71"/>
      <c r="O39" s="22"/>
      <c r="P39" s="73"/>
    </row>
    <row r="40" spans="1:18" x14ac:dyDescent="0.25">
      <c r="A40" s="8" t="s">
        <v>7</v>
      </c>
      <c r="B40" s="9"/>
      <c r="C40" s="9"/>
      <c r="D40" s="9"/>
      <c r="E40" s="10"/>
      <c r="F40" s="9"/>
      <c r="G40" s="11"/>
      <c r="H40" s="42"/>
      <c r="I40" s="9"/>
      <c r="J40" s="9"/>
      <c r="K40" s="42"/>
      <c r="L40" s="23"/>
      <c r="M40" s="24"/>
      <c r="N40" s="71"/>
      <c r="O40" s="22"/>
      <c r="P40" s="73"/>
    </row>
    <row r="41" spans="1:18" x14ac:dyDescent="0.25">
      <c r="A41" s="4" t="s">
        <v>73</v>
      </c>
      <c r="B41" s="5"/>
      <c r="C41" s="5"/>
      <c r="D41" s="5"/>
      <c r="E41" s="6"/>
      <c r="F41" s="5"/>
      <c r="G41" s="7"/>
      <c r="H41" s="43"/>
      <c r="I41" s="5"/>
      <c r="J41" s="5"/>
      <c r="K41" s="43"/>
      <c r="L41" s="32"/>
      <c r="M41" s="33"/>
      <c r="N41" s="77"/>
      <c r="O41" s="31"/>
      <c r="P41" s="78"/>
    </row>
    <row r="42" spans="1:18" x14ac:dyDescent="0.25">
      <c r="A42" s="8" t="s">
        <v>8</v>
      </c>
      <c r="B42" s="13"/>
      <c r="C42" s="13"/>
      <c r="D42" s="13"/>
      <c r="E42" s="14"/>
      <c r="F42" s="13"/>
      <c r="G42" s="15"/>
      <c r="H42" s="44"/>
      <c r="I42" s="13"/>
      <c r="J42" s="13"/>
      <c r="K42" s="44"/>
      <c r="L42" s="26"/>
      <c r="M42" s="27"/>
      <c r="N42" s="71"/>
      <c r="O42" s="22"/>
      <c r="P42" s="73"/>
    </row>
    <row r="43" spans="1:18" x14ac:dyDescent="0.25">
      <c r="A43" s="16" t="s">
        <v>9</v>
      </c>
      <c r="B43" s="17"/>
      <c r="C43" s="17"/>
      <c r="D43" s="17"/>
      <c r="E43" s="18"/>
      <c r="F43" s="17"/>
      <c r="G43" s="19"/>
      <c r="H43" s="45"/>
      <c r="I43" s="17"/>
      <c r="J43" s="17"/>
      <c r="K43" s="45"/>
      <c r="L43" s="29"/>
      <c r="M43" s="30"/>
      <c r="N43" s="76"/>
      <c r="O43" s="22"/>
      <c r="P43" s="73"/>
    </row>
    <row r="44" spans="1:18" x14ac:dyDescent="0.25">
      <c r="A44" s="8" t="s">
        <v>10</v>
      </c>
      <c r="B44" s="9"/>
      <c r="C44" s="9"/>
      <c r="D44" s="9"/>
      <c r="E44" s="23"/>
      <c r="F44" s="22"/>
      <c r="G44" s="24"/>
      <c r="H44" s="42"/>
      <c r="I44" s="9"/>
      <c r="J44" s="9"/>
      <c r="K44" s="42"/>
      <c r="L44" s="23"/>
      <c r="M44" s="24"/>
      <c r="N44" s="71"/>
      <c r="O44" s="25"/>
      <c r="P44" s="72"/>
    </row>
    <row r="45" spans="1:18" x14ac:dyDescent="0.25">
      <c r="A45" s="8" t="s">
        <v>11</v>
      </c>
      <c r="B45" s="9"/>
      <c r="C45" s="9"/>
      <c r="D45" s="9"/>
      <c r="E45" s="23"/>
      <c r="F45" s="22"/>
      <c r="G45" s="24"/>
      <c r="H45" s="42"/>
      <c r="I45" s="9"/>
      <c r="J45" s="9"/>
      <c r="K45" s="42"/>
      <c r="L45" s="23"/>
      <c r="M45" s="24"/>
      <c r="N45" s="71"/>
      <c r="O45" s="22"/>
      <c r="P45" s="73"/>
    </row>
    <row r="46" spans="1:18" x14ac:dyDescent="0.25">
      <c r="A46" s="8" t="s">
        <v>12</v>
      </c>
      <c r="B46" s="9"/>
      <c r="C46" s="9"/>
      <c r="D46" s="9"/>
      <c r="E46" s="23"/>
      <c r="F46" s="22"/>
      <c r="G46" s="24"/>
      <c r="H46" s="42"/>
      <c r="I46" s="9"/>
      <c r="J46" s="9"/>
      <c r="K46" s="42"/>
      <c r="L46" s="23"/>
      <c r="M46" s="24"/>
      <c r="N46" s="71"/>
      <c r="O46" s="28"/>
      <c r="P46" s="74"/>
    </row>
    <row r="47" spans="1:18" ht="15.75" thickBot="1" x14ac:dyDescent="0.3">
      <c r="A47" s="4" t="s">
        <v>13</v>
      </c>
      <c r="B47" s="5"/>
      <c r="C47" s="5"/>
      <c r="D47" s="5"/>
      <c r="E47" s="6"/>
      <c r="F47" s="5"/>
      <c r="G47" s="7"/>
      <c r="H47" s="43"/>
      <c r="I47" s="5"/>
      <c r="J47" s="5"/>
      <c r="K47" s="43"/>
      <c r="L47" s="32"/>
      <c r="M47" s="33"/>
      <c r="N47" s="79"/>
      <c r="O47" s="80"/>
      <c r="P47" s="81"/>
    </row>
    <row r="48" spans="1:18" x14ac:dyDescent="0.25">
      <c r="B48" s="56"/>
      <c r="C48" s="56"/>
      <c r="D48" s="56"/>
      <c r="E48" s="56"/>
      <c r="F48" s="56"/>
      <c r="G48" s="56"/>
      <c r="H48" s="56"/>
      <c r="I48" s="56"/>
      <c r="J48" s="56"/>
      <c r="K48" s="56"/>
      <c r="L48" s="56"/>
      <c r="M48" s="34">
        <v>1</v>
      </c>
      <c r="P48" s="35" t="s">
        <v>41</v>
      </c>
    </row>
    <row r="50" spans="1:16" x14ac:dyDescent="0.25">
      <c r="A50" s="21" t="s">
        <v>30</v>
      </c>
    </row>
    <row r="51" spans="1:16" x14ac:dyDescent="0.25">
      <c r="A51" s="20" t="s">
        <v>29</v>
      </c>
    </row>
    <row r="52" spans="1:16" x14ac:dyDescent="0.25">
      <c r="A52" s="4"/>
      <c r="B52" s="5" t="s">
        <v>0</v>
      </c>
      <c r="C52" s="5" t="s">
        <v>1</v>
      </c>
      <c r="D52" s="5" t="s">
        <v>2</v>
      </c>
      <c r="E52" s="6" t="s">
        <v>3</v>
      </c>
      <c r="F52" s="5" t="s">
        <v>4</v>
      </c>
      <c r="G52" s="7" t="s">
        <v>5</v>
      </c>
      <c r="H52" s="5" t="s">
        <v>72</v>
      </c>
      <c r="I52" s="6" t="s">
        <v>6</v>
      </c>
      <c r="J52" s="5" t="s">
        <v>7</v>
      </c>
      <c r="K52" s="4" t="s">
        <v>73</v>
      </c>
      <c r="L52" s="5" t="s">
        <v>8</v>
      </c>
      <c r="M52" s="5" t="s">
        <v>9</v>
      </c>
      <c r="N52" s="6" t="s">
        <v>10</v>
      </c>
      <c r="O52" s="46" t="s">
        <v>11</v>
      </c>
      <c r="P52" s="47" t="s">
        <v>12</v>
      </c>
    </row>
    <row r="53" spans="1:16" x14ac:dyDescent="0.25">
      <c r="A53" s="8" t="s">
        <v>0</v>
      </c>
      <c r="B53" s="22"/>
      <c r="C53" s="22"/>
      <c r="D53" s="22"/>
      <c r="E53" s="23"/>
      <c r="F53" s="22"/>
      <c r="G53" s="24"/>
      <c r="H53" s="22"/>
      <c r="I53" s="23"/>
      <c r="J53" s="22"/>
      <c r="K53" s="48"/>
      <c r="L53" s="22"/>
      <c r="M53" s="22"/>
      <c r="N53" s="23"/>
      <c r="O53" s="25"/>
      <c r="P53" s="27"/>
    </row>
    <row r="54" spans="1:16" x14ac:dyDescent="0.25">
      <c r="A54" s="8" t="s">
        <v>1</v>
      </c>
      <c r="B54" s="22"/>
      <c r="C54" s="22"/>
      <c r="D54" s="22"/>
      <c r="E54" s="23"/>
      <c r="F54" s="22"/>
      <c r="G54" s="24"/>
      <c r="H54" s="22"/>
      <c r="I54" s="23"/>
      <c r="J54" s="22"/>
      <c r="K54" s="48"/>
      <c r="L54" s="22"/>
      <c r="M54" s="22"/>
      <c r="N54" s="23"/>
      <c r="O54" s="22"/>
      <c r="P54" s="24"/>
    </row>
    <row r="55" spans="1:16" x14ac:dyDescent="0.25">
      <c r="A55" s="8" t="s">
        <v>2</v>
      </c>
      <c r="B55" s="22"/>
      <c r="C55" s="22"/>
      <c r="D55" s="22"/>
      <c r="E55" s="23"/>
      <c r="F55" s="22"/>
      <c r="G55" s="24"/>
      <c r="H55" s="22"/>
      <c r="I55" s="23"/>
      <c r="J55" s="22"/>
      <c r="K55" s="48"/>
      <c r="L55" s="22"/>
      <c r="M55" s="22"/>
      <c r="N55" s="23"/>
      <c r="O55" s="28"/>
      <c r="P55" s="30"/>
    </row>
    <row r="56" spans="1:16" x14ac:dyDescent="0.25">
      <c r="A56" s="12" t="s">
        <v>3</v>
      </c>
      <c r="B56" s="25"/>
      <c r="C56" s="25"/>
      <c r="D56" s="25"/>
      <c r="E56" s="26"/>
      <c r="F56" s="25"/>
      <c r="G56" s="27"/>
      <c r="H56" s="25"/>
      <c r="I56" s="26"/>
      <c r="J56" s="25"/>
      <c r="K56" s="51"/>
      <c r="L56" s="25"/>
      <c r="M56" s="25"/>
      <c r="N56" s="26"/>
      <c r="O56" s="25"/>
      <c r="P56" s="27"/>
    </row>
    <row r="57" spans="1:16" x14ac:dyDescent="0.25">
      <c r="A57" s="8" t="s">
        <v>4</v>
      </c>
      <c r="B57" s="22"/>
      <c r="C57" s="22"/>
      <c r="D57" s="22"/>
      <c r="E57" s="23"/>
      <c r="F57" s="22"/>
      <c r="G57" s="24"/>
      <c r="H57" s="22"/>
      <c r="I57" s="23"/>
      <c r="J57" s="22"/>
      <c r="K57" s="48"/>
      <c r="L57" s="22"/>
      <c r="M57" s="22"/>
      <c r="N57" s="23"/>
      <c r="O57" s="22"/>
      <c r="P57" s="24"/>
    </row>
    <row r="58" spans="1:16" x14ac:dyDescent="0.25">
      <c r="A58" s="16" t="s">
        <v>5</v>
      </c>
      <c r="B58" s="28"/>
      <c r="C58" s="28"/>
      <c r="D58" s="28"/>
      <c r="E58" s="29"/>
      <c r="F58" s="28"/>
      <c r="G58" s="30"/>
      <c r="H58" s="28"/>
      <c r="I58" s="29"/>
      <c r="J58" s="28"/>
      <c r="K58" s="52"/>
      <c r="L58" s="28"/>
      <c r="M58" s="28"/>
      <c r="N58" s="29"/>
      <c r="O58" s="28"/>
      <c r="P58" s="30"/>
    </row>
    <row r="59" spans="1:16" x14ac:dyDescent="0.25">
      <c r="A59" s="8" t="s">
        <v>72</v>
      </c>
      <c r="B59" s="22"/>
      <c r="C59" s="22"/>
      <c r="D59" s="22"/>
      <c r="E59" s="23"/>
      <c r="F59" s="22"/>
      <c r="G59" s="24"/>
      <c r="H59" s="22"/>
      <c r="I59" s="23"/>
      <c r="J59" s="22"/>
      <c r="K59" s="48"/>
      <c r="L59" s="22"/>
      <c r="M59" s="22"/>
      <c r="N59" s="23"/>
      <c r="O59" s="22"/>
      <c r="P59" s="24"/>
    </row>
    <row r="60" spans="1:16" x14ac:dyDescent="0.25">
      <c r="A60" s="8" t="s">
        <v>6</v>
      </c>
      <c r="B60" s="22"/>
      <c r="C60" s="22"/>
      <c r="D60" s="22"/>
      <c r="E60" s="23"/>
      <c r="F60" s="22"/>
      <c r="G60" s="24"/>
      <c r="H60" s="22"/>
      <c r="I60" s="23"/>
      <c r="J60" s="22"/>
      <c r="K60" s="48"/>
      <c r="L60" s="22"/>
      <c r="M60" s="22"/>
      <c r="N60" s="23"/>
      <c r="O60" s="49"/>
      <c r="P60" s="50"/>
    </row>
    <row r="61" spans="1:16" x14ac:dyDescent="0.25">
      <c r="A61" s="8" t="s">
        <v>7</v>
      </c>
      <c r="B61" s="22"/>
      <c r="C61" s="22"/>
      <c r="D61" s="22"/>
      <c r="E61" s="23"/>
      <c r="F61" s="22"/>
      <c r="G61" s="24"/>
      <c r="H61" s="22"/>
      <c r="I61" s="23"/>
      <c r="J61" s="22"/>
      <c r="K61" s="48"/>
      <c r="L61" s="22"/>
      <c r="M61" s="22"/>
      <c r="N61" s="23"/>
      <c r="O61" s="49"/>
      <c r="P61" s="50"/>
    </row>
    <row r="62" spans="1:16" x14ac:dyDescent="0.25">
      <c r="A62" s="4" t="s">
        <v>73</v>
      </c>
      <c r="B62" s="31"/>
      <c r="C62" s="31"/>
      <c r="D62" s="31"/>
      <c r="E62" s="32"/>
      <c r="F62" s="31"/>
      <c r="G62" s="33"/>
      <c r="H62" s="31"/>
      <c r="I62" s="32"/>
      <c r="J62" s="31"/>
      <c r="K62" s="53"/>
      <c r="L62" s="31"/>
      <c r="M62" s="31"/>
      <c r="N62" s="32"/>
      <c r="O62" s="54"/>
      <c r="P62" s="55"/>
    </row>
    <row r="63" spans="1:16" x14ac:dyDescent="0.25">
      <c r="A63" s="8" t="s">
        <v>8</v>
      </c>
      <c r="B63" s="22"/>
      <c r="C63" s="22"/>
      <c r="D63" s="22"/>
      <c r="E63" s="23"/>
      <c r="F63" s="22"/>
      <c r="G63" s="24"/>
      <c r="H63" s="22"/>
      <c r="I63" s="23"/>
      <c r="J63" s="22"/>
      <c r="K63" s="48"/>
      <c r="L63" s="22"/>
      <c r="M63" s="22"/>
      <c r="N63" s="23"/>
      <c r="O63" s="49"/>
      <c r="P63" s="50"/>
    </row>
    <row r="64" spans="1:16" x14ac:dyDescent="0.25">
      <c r="A64" s="16" t="s">
        <v>9</v>
      </c>
      <c r="B64" s="28"/>
      <c r="C64" s="28"/>
      <c r="D64" s="28"/>
      <c r="E64" s="29"/>
      <c r="F64" s="28"/>
      <c r="G64" s="30"/>
      <c r="H64" s="28"/>
      <c r="I64" s="29"/>
      <c r="J64" s="28"/>
      <c r="K64" s="52"/>
      <c r="L64" s="28"/>
      <c r="M64" s="28"/>
      <c r="N64" s="29"/>
      <c r="O64" s="49"/>
      <c r="P64" s="50"/>
    </row>
    <row r="65" spans="1:18" x14ac:dyDescent="0.25">
      <c r="A65" s="8" t="s">
        <v>10</v>
      </c>
      <c r="B65" s="22"/>
      <c r="C65" s="22"/>
      <c r="D65" s="22"/>
      <c r="E65" s="23"/>
      <c r="F65" s="22"/>
      <c r="G65" s="24"/>
      <c r="H65" s="22"/>
      <c r="I65" s="23"/>
      <c r="J65" s="22"/>
      <c r="K65" s="48"/>
      <c r="L65" s="22"/>
      <c r="M65" s="22"/>
      <c r="N65" s="23"/>
      <c r="O65" s="25"/>
      <c r="P65" s="27"/>
    </row>
    <row r="66" spans="1:18" x14ac:dyDescent="0.25">
      <c r="A66" s="8" t="s">
        <v>11</v>
      </c>
      <c r="B66" s="22"/>
      <c r="C66" s="22"/>
      <c r="D66" s="22"/>
      <c r="E66" s="23"/>
      <c r="F66" s="22"/>
      <c r="G66" s="24"/>
      <c r="H66" s="22"/>
      <c r="I66" s="23"/>
      <c r="J66" s="22"/>
      <c r="K66" s="48"/>
      <c r="L66" s="22"/>
      <c r="M66" s="22"/>
      <c r="N66" s="23"/>
      <c r="O66" s="22"/>
      <c r="P66" s="24"/>
    </row>
    <row r="67" spans="1:18" x14ac:dyDescent="0.25">
      <c r="A67" s="8" t="s">
        <v>12</v>
      </c>
      <c r="B67" s="22"/>
      <c r="C67" s="22"/>
      <c r="D67" s="22"/>
      <c r="E67" s="23"/>
      <c r="F67" s="22"/>
      <c r="G67" s="24"/>
      <c r="H67" s="22"/>
      <c r="I67" s="23"/>
      <c r="J67" s="22"/>
      <c r="K67" s="48"/>
      <c r="L67" s="22"/>
      <c r="M67" s="22"/>
      <c r="N67" s="23"/>
      <c r="O67" s="28"/>
      <c r="P67" s="30"/>
    </row>
    <row r="68" spans="1:18" x14ac:dyDescent="0.25">
      <c r="A68" s="13"/>
      <c r="B68" s="25"/>
      <c r="C68" s="25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46"/>
      <c r="P68" s="34">
        <v>1</v>
      </c>
    </row>
    <row r="70" spans="1:18" x14ac:dyDescent="0.25">
      <c r="A70" s="20" t="s">
        <v>33</v>
      </c>
    </row>
    <row r="71" spans="1:18" x14ac:dyDescent="0.25">
      <c r="A71" s="20" t="s">
        <v>32</v>
      </c>
    </row>
    <row r="72" spans="1:18" x14ac:dyDescent="0.25">
      <c r="A72" s="4"/>
      <c r="B72" s="5" t="s">
        <v>0</v>
      </c>
      <c r="C72" s="5" t="s">
        <v>1</v>
      </c>
      <c r="D72" s="5" t="s">
        <v>2</v>
      </c>
      <c r="E72" s="6" t="s">
        <v>3</v>
      </c>
      <c r="F72" s="5" t="s">
        <v>4</v>
      </c>
      <c r="G72" s="7" t="s">
        <v>5</v>
      </c>
      <c r="H72" s="5" t="s">
        <v>72</v>
      </c>
      <c r="I72" s="6" t="s">
        <v>6</v>
      </c>
      <c r="J72" s="5" t="s">
        <v>7</v>
      </c>
      <c r="K72" s="4" t="s">
        <v>73</v>
      </c>
      <c r="L72" s="5" t="s">
        <v>8</v>
      </c>
      <c r="M72" s="5" t="s">
        <v>9</v>
      </c>
      <c r="N72" s="6" t="s">
        <v>10</v>
      </c>
      <c r="O72" s="46" t="s">
        <v>11</v>
      </c>
      <c r="P72" s="47" t="s">
        <v>12</v>
      </c>
      <c r="R72" s="36" t="s">
        <v>44</v>
      </c>
    </row>
    <row r="73" spans="1:18" x14ac:dyDescent="0.25">
      <c r="A73" s="8" t="s">
        <v>0</v>
      </c>
      <c r="B73" s="22"/>
      <c r="C73" s="22"/>
      <c r="D73" s="22"/>
      <c r="E73" s="23"/>
      <c r="F73" s="22"/>
      <c r="G73" s="24"/>
      <c r="H73" s="22"/>
      <c r="I73" s="23"/>
      <c r="J73" s="22"/>
      <c r="K73" s="48"/>
      <c r="L73" s="22"/>
      <c r="M73" s="22"/>
      <c r="N73" s="23"/>
      <c r="O73" s="25"/>
      <c r="P73" s="27"/>
      <c r="R73" s="34" t="s">
        <v>38</v>
      </c>
    </row>
    <row r="74" spans="1:18" x14ac:dyDescent="0.25">
      <c r="A74" s="8" t="s">
        <v>1</v>
      </c>
      <c r="B74" s="22"/>
      <c r="C74" s="22"/>
      <c r="D74" s="22"/>
      <c r="E74" s="23"/>
      <c r="F74" s="22"/>
      <c r="G74" s="24"/>
      <c r="H74" s="22"/>
      <c r="I74" s="23"/>
      <c r="J74" s="22"/>
      <c r="K74" s="48"/>
      <c r="L74" s="22"/>
      <c r="M74" s="22"/>
      <c r="N74" s="23"/>
      <c r="O74" s="22"/>
      <c r="P74" s="24"/>
      <c r="R74" s="34" t="s">
        <v>34</v>
      </c>
    </row>
    <row r="75" spans="1:18" x14ac:dyDescent="0.25">
      <c r="A75" s="8" t="s">
        <v>2</v>
      </c>
      <c r="B75" s="22"/>
      <c r="C75" s="22"/>
      <c r="D75" s="22"/>
      <c r="E75" s="23"/>
      <c r="F75" s="22"/>
      <c r="G75" s="24"/>
      <c r="H75" s="22"/>
      <c r="I75" s="23"/>
      <c r="J75" s="22"/>
      <c r="K75" s="48"/>
      <c r="L75" s="22"/>
      <c r="M75" s="22"/>
      <c r="N75" s="23"/>
      <c r="O75" s="28"/>
      <c r="P75" s="30"/>
    </row>
    <row r="76" spans="1:18" x14ac:dyDescent="0.25">
      <c r="A76" s="12" t="s">
        <v>3</v>
      </c>
      <c r="B76" s="25"/>
      <c r="C76" s="25"/>
      <c r="D76" s="25"/>
      <c r="E76" s="26"/>
      <c r="F76" s="25"/>
      <c r="G76" s="27"/>
      <c r="H76" s="25"/>
      <c r="I76" s="26"/>
      <c r="J76" s="25"/>
      <c r="K76" s="51"/>
      <c r="L76" s="25"/>
      <c r="M76" s="25"/>
      <c r="N76" s="26"/>
      <c r="O76" s="25"/>
      <c r="P76" s="27"/>
      <c r="R76" s="34" t="s">
        <v>89</v>
      </c>
    </row>
    <row r="77" spans="1:18" x14ac:dyDescent="0.25">
      <c r="A77" s="8" t="s">
        <v>4</v>
      </c>
      <c r="B77" s="22"/>
      <c r="C77" s="22"/>
      <c r="D77" s="22"/>
      <c r="E77" s="23"/>
      <c r="F77" s="22"/>
      <c r="G77" s="24"/>
      <c r="H77" s="22"/>
      <c r="I77" s="23"/>
      <c r="J77" s="22"/>
      <c r="K77" s="48"/>
      <c r="L77" s="22"/>
      <c r="M77" s="22"/>
      <c r="N77" s="23"/>
      <c r="O77" s="22"/>
      <c r="P77" s="24"/>
      <c r="R77" s="34" t="s">
        <v>90</v>
      </c>
    </row>
    <row r="78" spans="1:18" x14ac:dyDescent="0.25">
      <c r="A78" s="16" t="s">
        <v>5</v>
      </c>
      <c r="B78" s="28"/>
      <c r="C78" s="28"/>
      <c r="D78" s="28"/>
      <c r="E78" s="29"/>
      <c r="F78" s="28"/>
      <c r="G78" s="30"/>
      <c r="H78" s="28"/>
      <c r="I78" s="29"/>
      <c r="J78" s="28"/>
      <c r="K78" s="52"/>
      <c r="L78" s="28"/>
      <c r="M78" s="28"/>
      <c r="N78" s="29"/>
      <c r="O78" s="28"/>
      <c r="P78" s="30"/>
      <c r="R78" s="34" t="s">
        <v>91</v>
      </c>
    </row>
    <row r="79" spans="1:18" x14ac:dyDescent="0.25">
      <c r="A79" s="8" t="s">
        <v>72</v>
      </c>
      <c r="B79" s="22"/>
      <c r="C79" s="22"/>
      <c r="D79" s="22"/>
      <c r="E79" s="23"/>
      <c r="F79" s="22"/>
      <c r="G79" s="24"/>
      <c r="H79" s="22"/>
      <c r="I79" s="23"/>
      <c r="J79" s="22"/>
      <c r="K79" s="48"/>
      <c r="L79" s="22"/>
      <c r="M79" s="22"/>
      <c r="N79" s="23"/>
      <c r="O79" s="22"/>
      <c r="P79" s="24"/>
      <c r="R79" s="34" t="s">
        <v>35</v>
      </c>
    </row>
    <row r="80" spans="1:18" x14ac:dyDescent="0.25">
      <c r="A80" s="8" t="s">
        <v>6</v>
      </c>
      <c r="B80" s="22"/>
      <c r="C80" s="22"/>
      <c r="D80" s="22"/>
      <c r="E80" s="23"/>
      <c r="F80" s="22"/>
      <c r="G80" s="24"/>
      <c r="H80" s="22"/>
      <c r="I80" s="23"/>
      <c r="J80" s="22"/>
      <c r="K80" s="48"/>
      <c r="L80" s="22"/>
      <c r="M80" s="22"/>
      <c r="N80" s="23"/>
      <c r="O80" s="49"/>
      <c r="P80" s="50"/>
    </row>
    <row r="81" spans="1:18" x14ac:dyDescent="0.25">
      <c r="A81" s="8" t="s">
        <v>7</v>
      </c>
      <c r="B81" s="22"/>
      <c r="C81" s="22"/>
      <c r="D81" s="22"/>
      <c r="E81" s="23"/>
      <c r="F81" s="22"/>
      <c r="G81" s="24"/>
      <c r="H81" s="22"/>
      <c r="I81" s="23"/>
      <c r="J81" s="22"/>
      <c r="K81" s="48"/>
      <c r="L81" s="22"/>
      <c r="M81" s="22"/>
      <c r="N81" s="23"/>
      <c r="O81" s="49"/>
      <c r="P81" s="50"/>
    </row>
    <row r="82" spans="1:18" x14ac:dyDescent="0.25">
      <c r="A82" s="4" t="s">
        <v>73</v>
      </c>
      <c r="B82" s="31"/>
      <c r="C82" s="31"/>
      <c r="D82" s="31"/>
      <c r="E82" s="32"/>
      <c r="F82" s="31"/>
      <c r="G82" s="33"/>
      <c r="H82" s="31"/>
      <c r="I82" s="32"/>
      <c r="J82" s="31"/>
      <c r="K82" s="53"/>
      <c r="L82" s="31"/>
      <c r="M82" s="31"/>
      <c r="N82" s="32"/>
      <c r="O82" s="54"/>
      <c r="P82" s="55"/>
    </row>
    <row r="83" spans="1:18" x14ac:dyDescent="0.25">
      <c r="A83" s="8" t="s">
        <v>8</v>
      </c>
      <c r="B83" s="22"/>
      <c r="C83" s="22"/>
      <c r="D83" s="22"/>
      <c r="E83" s="23"/>
      <c r="F83" s="22"/>
      <c r="G83" s="24"/>
      <c r="H83" s="22"/>
      <c r="I83" s="23"/>
      <c r="J83" s="22"/>
      <c r="K83" s="48"/>
      <c r="L83" s="22"/>
      <c r="M83" s="22"/>
      <c r="N83" s="23"/>
      <c r="O83" s="49"/>
      <c r="P83" s="50"/>
      <c r="R83" s="34" t="s">
        <v>39</v>
      </c>
    </row>
    <row r="84" spans="1:18" x14ac:dyDescent="0.25">
      <c r="A84" s="16" t="s">
        <v>9</v>
      </c>
      <c r="B84" s="28"/>
      <c r="C84" s="28"/>
      <c r="D84" s="28"/>
      <c r="E84" s="29"/>
      <c r="F84" s="28"/>
      <c r="G84" s="30"/>
      <c r="H84" s="28"/>
      <c r="I84" s="29"/>
      <c r="J84" s="28"/>
      <c r="K84" s="52"/>
      <c r="L84" s="28"/>
      <c r="M84" s="28"/>
      <c r="N84" s="29"/>
      <c r="O84" s="49"/>
      <c r="P84" s="50"/>
      <c r="R84" s="34" t="s">
        <v>36</v>
      </c>
    </row>
    <row r="85" spans="1:18" x14ac:dyDescent="0.25">
      <c r="A85" s="8" t="s">
        <v>10</v>
      </c>
      <c r="B85" s="22"/>
      <c r="C85" s="22"/>
      <c r="D85" s="22"/>
      <c r="E85" s="23"/>
      <c r="F85" s="22"/>
      <c r="G85" s="24"/>
      <c r="H85" s="22"/>
      <c r="I85" s="23"/>
      <c r="J85" s="22"/>
      <c r="K85" s="48"/>
      <c r="L85" s="22"/>
      <c r="M85" s="22"/>
      <c r="N85" s="23"/>
      <c r="O85" s="25"/>
      <c r="P85" s="27"/>
      <c r="R85" s="34" t="s">
        <v>37</v>
      </c>
    </row>
    <row r="86" spans="1:18" x14ac:dyDescent="0.25">
      <c r="A86" s="8" t="s">
        <v>11</v>
      </c>
      <c r="B86" s="22"/>
      <c r="C86" s="22"/>
      <c r="D86" s="22"/>
      <c r="E86" s="23"/>
      <c r="F86" s="22"/>
      <c r="G86" s="24"/>
      <c r="H86" s="22"/>
      <c r="I86" s="23"/>
      <c r="J86" s="22"/>
      <c r="K86" s="48"/>
      <c r="L86" s="22"/>
      <c r="M86" s="22"/>
      <c r="N86" s="23"/>
      <c r="O86" s="22"/>
      <c r="P86" s="24"/>
    </row>
    <row r="87" spans="1:18" x14ac:dyDescent="0.25">
      <c r="A87" s="16" t="s">
        <v>12</v>
      </c>
      <c r="B87" s="29"/>
      <c r="C87" s="28"/>
      <c r="D87" s="28"/>
      <c r="E87" s="29"/>
      <c r="F87" s="28"/>
      <c r="G87" s="30"/>
      <c r="H87" s="28"/>
      <c r="I87" s="29"/>
      <c r="J87" s="28"/>
      <c r="K87" s="52"/>
      <c r="L87" s="28"/>
      <c r="M87" s="28"/>
      <c r="N87" s="29"/>
      <c r="O87" s="28"/>
      <c r="P87" s="30"/>
    </row>
    <row r="88" spans="1:18" x14ac:dyDescent="0.25">
      <c r="G88" s="34">
        <v>-0.11787256180407255</v>
      </c>
      <c r="P88" s="34">
        <v>1</v>
      </c>
    </row>
    <row r="90" spans="1:18" x14ac:dyDescent="0.25">
      <c r="A90" s="20" t="s">
        <v>48</v>
      </c>
    </row>
    <row r="91" spans="1:18" x14ac:dyDescent="0.25">
      <c r="A91" s="20" t="s">
        <v>40</v>
      </c>
    </row>
    <row r="92" spans="1:18" x14ac:dyDescent="0.25">
      <c r="A92" s="4"/>
      <c r="B92" s="5" t="s">
        <v>0</v>
      </c>
      <c r="C92" s="5" t="s">
        <v>1</v>
      </c>
      <c r="D92" s="5" t="s">
        <v>2</v>
      </c>
      <c r="E92" s="6" t="s">
        <v>3</v>
      </c>
      <c r="F92" s="5" t="s">
        <v>4</v>
      </c>
      <c r="G92" s="7" t="s">
        <v>5</v>
      </c>
      <c r="H92" s="5" t="s">
        <v>72</v>
      </c>
      <c r="I92" s="6" t="s">
        <v>6</v>
      </c>
      <c r="J92" s="5" t="s">
        <v>7</v>
      </c>
      <c r="K92" s="4" t="s">
        <v>73</v>
      </c>
      <c r="L92" s="5" t="s">
        <v>8</v>
      </c>
      <c r="M92" s="5" t="s">
        <v>9</v>
      </c>
      <c r="N92" s="6" t="s">
        <v>10</v>
      </c>
      <c r="O92" s="46" t="s">
        <v>11</v>
      </c>
      <c r="P92" s="47" t="s">
        <v>12</v>
      </c>
    </row>
    <row r="93" spans="1:18" x14ac:dyDescent="0.25">
      <c r="A93" s="8" t="s">
        <v>0</v>
      </c>
      <c r="B93" s="22"/>
      <c r="C93" s="22"/>
      <c r="D93" s="22"/>
      <c r="E93" s="23"/>
      <c r="F93" s="22"/>
      <c r="G93" s="24"/>
      <c r="H93" s="22"/>
      <c r="I93" s="23"/>
      <c r="J93" s="22"/>
      <c r="K93" s="48"/>
      <c r="L93" s="22"/>
      <c r="M93" s="22"/>
      <c r="N93" s="23"/>
      <c r="O93" s="25"/>
      <c r="P93" s="27"/>
    </row>
    <row r="94" spans="1:18" x14ac:dyDescent="0.25">
      <c r="A94" s="8" t="s">
        <v>1</v>
      </c>
      <c r="B94" s="22"/>
      <c r="C94" s="22"/>
      <c r="D94" s="22"/>
      <c r="E94" s="23"/>
      <c r="F94" s="22"/>
      <c r="G94" s="24"/>
      <c r="H94" s="22"/>
      <c r="I94" s="23"/>
      <c r="J94" s="22"/>
      <c r="K94" s="48"/>
      <c r="L94" s="22"/>
      <c r="M94" s="22"/>
      <c r="N94" s="23"/>
      <c r="O94" s="22"/>
      <c r="P94" s="24"/>
    </row>
    <row r="95" spans="1:18" x14ac:dyDescent="0.25">
      <c r="A95" s="8" t="s">
        <v>2</v>
      </c>
      <c r="B95" s="22"/>
      <c r="C95" s="22"/>
      <c r="D95" s="22"/>
      <c r="E95" s="23"/>
      <c r="F95" s="22"/>
      <c r="G95" s="24"/>
      <c r="H95" s="22"/>
      <c r="I95" s="23"/>
      <c r="J95" s="22"/>
      <c r="K95" s="48"/>
      <c r="L95" s="22"/>
      <c r="M95" s="22"/>
      <c r="N95" s="23"/>
      <c r="O95" s="28"/>
      <c r="P95" s="30"/>
    </row>
    <row r="96" spans="1:18" x14ac:dyDescent="0.25">
      <c r="A96" s="12" t="s">
        <v>3</v>
      </c>
      <c r="B96" s="25"/>
      <c r="C96" s="25"/>
      <c r="D96" s="25"/>
      <c r="E96" s="26"/>
      <c r="F96" s="25"/>
      <c r="G96" s="27"/>
      <c r="H96" s="25"/>
      <c r="I96" s="26"/>
      <c r="J96" s="25"/>
      <c r="K96" s="51"/>
      <c r="L96" s="25"/>
      <c r="M96" s="25"/>
      <c r="N96" s="26"/>
      <c r="O96" s="25"/>
      <c r="P96" s="27"/>
      <c r="R96" s="34" t="s">
        <v>76</v>
      </c>
    </row>
    <row r="97" spans="1:16" x14ac:dyDescent="0.25">
      <c r="A97" s="8" t="s">
        <v>4</v>
      </c>
      <c r="B97" s="22"/>
      <c r="C97" s="22"/>
      <c r="D97" s="22"/>
      <c r="E97" s="23"/>
      <c r="F97" s="22"/>
      <c r="G97" s="24"/>
      <c r="H97" s="22"/>
      <c r="I97" s="23"/>
      <c r="J97" s="22"/>
      <c r="K97" s="48"/>
      <c r="L97" s="22"/>
      <c r="M97" s="22"/>
      <c r="N97" s="23"/>
      <c r="O97" s="22"/>
      <c r="P97" s="24"/>
    </row>
    <row r="98" spans="1:16" x14ac:dyDescent="0.25">
      <c r="A98" s="16" t="s">
        <v>5</v>
      </c>
      <c r="B98" s="28"/>
      <c r="C98" s="28"/>
      <c r="D98" s="28"/>
      <c r="E98" s="29"/>
      <c r="F98" s="28"/>
      <c r="G98" s="30"/>
      <c r="H98" s="28"/>
      <c r="I98" s="29"/>
      <c r="J98" s="28"/>
      <c r="K98" s="52"/>
      <c r="L98" s="28"/>
      <c r="M98" s="28"/>
      <c r="N98" s="29"/>
      <c r="O98" s="28"/>
      <c r="P98" s="30"/>
    </row>
    <row r="99" spans="1:16" x14ac:dyDescent="0.25">
      <c r="A99" s="8" t="s">
        <v>72</v>
      </c>
      <c r="B99" s="22"/>
      <c r="C99" s="22"/>
      <c r="D99" s="22"/>
      <c r="E99" s="23"/>
      <c r="F99" s="22"/>
      <c r="G99" s="24"/>
      <c r="H99" s="22"/>
      <c r="I99" s="23"/>
      <c r="J99" s="22"/>
      <c r="K99" s="48"/>
      <c r="L99" s="22"/>
      <c r="M99" s="22"/>
      <c r="N99" s="23"/>
      <c r="O99" s="22"/>
      <c r="P99" s="24"/>
    </row>
    <row r="100" spans="1:16" x14ac:dyDescent="0.25">
      <c r="A100" s="8" t="s">
        <v>6</v>
      </c>
      <c r="B100" s="22"/>
      <c r="C100" s="22"/>
      <c r="D100" s="22"/>
      <c r="E100" s="23"/>
      <c r="F100" s="22"/>
      <c r="G100" s="24"/>
      <c r="H100" s="22"/>
      <c r="I100" s="23"/>
      <c r="J100" s="22"/>
      <c r="K100" s="48"/>
      <c r="L100" s="22"/>
      <c r="M100" s="22"/>
      <c r="N100" s="23"/>
      <c r="O100" s="49"/>
      <c r="P100" s="50"/>
    </row>
    <row r="101" spans="1:16" x14ac:dyDescent="0.25">
      <c r="A101" s="8" t="s">
        <v>7</v>
      </c>
      <c r="B101" s="22"/>
      <c r="C101" s="22"/>
      <c r="D101" s="22"/>
      <c r="E101" s="23"/>
      <c r="F101" s="22"/>
      <c r="G101" s="24"/>
      <c r="H101" s="22"/>
      <c r="I101" s="23"/>
      <c r="J101" s="22"/>
      <c r="K101" s="48"/>
      <c r="L101" s="22"/>
      <c r="M101" s="22"/>
      <c r="N101" s="23"/>
      <c r="O101" s="49"/>
      <c r="P101" s="50"/>
    </row>
    <row r="102" spans="1:16" x14ac:dyDescent="0.25">
      <c r="A102" s="4" t="s">
        <v>73</v>
      </c>
      <c r="B102" s="31"/>
      <c r="C102" s="31"/>
      <c r="D102" s="31"/>
      <c r="E102" s="32"/>
      <c r="F102" s="31"/>
      <c r="G102" s="33"/>
      <c r="H102" s="31"/>
      <c r="I102" s="32"/>
      <c r="J102" s="31"/>
      <c r="K102" s="53"/>
      <c r="L102" s="31"/>
      <c r="M102" s="31"/>
      <c r="N102" s="32"/>
      <c r="O102" s="54"/>
      <c r="P102" s="55"/>
    </row>
    <row r="103" spans="1:16" x14ac:dyDescent="0.25">
      <c r="A103" s="8" t="s">
        <v>8</v>
      </c>
      <c r="B103" s="22"/>
      <c r="C103" s="22"/>
      <c r="D103" s="22"/>
      <c r="E103" s="23"/>
      <c r="F103" s="22"/>
      <c r="G103" s="24"/>
      <c r="H103" s="22"/>
      <c r="I103" s="23"/>
      <c r="J103" s="22"/>
      <c r="K103" s="48"/>
      <c r="L103" s="22"/>
      <c r="M103" s="22"/>
      <c r="N103" s="23"/>
      <c r="O103" s="49"/>
      <c r="P103" s="50"/>
    </row>
    <row r="104" spans="1:16" x14ac:dyDescent="0.25">
      <c r="A104" s="16" t="s">
        <v>9</v>
      </c>
      <c r="B104" s="28"/>
      <c r="C104" s="28"/>
      <c r="D104" s="28"/>
      <c r="E104" s="29"/>
      <c r="F104" s="28"/>
      <c r="G104" s="30"/>
      <c r="H104" s="28"/>
      <c r="I104" s="29"/>
      <c r="J104" s="28"/>
      <c r="K104" s="52"/>
      <c r="L104" s="28"/>
      <c r="M104" s="28"/>
      <c r="N104" s="29"/>
      <c r="O104" s="49"/>
      <c r="P104" s="50"/>
    </row>
    <row r="105" spans="1:16" x14ac:dyDescent="0.25">
      <c r="A105" s="8" t="s">
        <v>10</v>
      </c>
      <c r="B105" s="22"/>
      <c r="C105" s="22"/>
      <c r="D105" s="22"/>
      <c r="E105" s="23"/>
      <c r="F105" s="22"/>
      <c r="G105" s="24"/>
      <c r="H105" s="22"/>
      <c r="I105" s="23"/>
      <c r="J105" s="22"/>
      <c r="K105" s="48"/>
      <c r="L105" s="22"/>
      <c r="M105" s="22"/>
      <c r="N105" s="23"/>
      <c r="O105" s="25"/>
      <c r="P105" s="27"/>
    </row>
    <row r="106" spans="1:16" x14ac:dyDescent="0.25">
      <c r="A106" s="8" t="s">
        <v>11</v>
      </c>
      <c r="B106" s="22"/>
      <c r="C106" s="22"/>
      <c r="D106" s="22"/>
      <c r="E106" s="23"/>
      <c r="F106" s="22"/>
      <c r="G106" s="24"/>
      <c r="H106" s="22"/>
      <c r="I106" s="23"/>
      <c r="J106" s="22"/>
      <c r="K106" s="48"/>
      <c r="L106" s="22"/>
      <c r="M106" s="22"/>
      <c r="N106" s="23"/>
      <c r="O106" s="22"/>
      <c r="P106" s="24"/>
    </row>
    <row r="107" spans="1:16" x14ac:dyDescent="0.25">
      <c r="A107" s="16" t="s">
        <v>12</v>
      </c>
      <c r="B107" s="28"/>
      <c r="C107" s="28"/>
      <c r="D107" s="28"/>
      <c r="E107" s="29"/>
      <c r="F107" s="28"/>
      <c r="G107" s="30"/>
      <c r="H107" s="28"/>
      <c r="I107" s="29"/>
      <c r="J107" s="28"/>
      <c r="K107" s="52"/>
      <c r="L107" s="28"/>
      <c r="M107" s="28"/>
      <c r="N107" s="29"/>
      <c r="O107" s="28"/>
      <c r="P107" s="30"/>
    </row>
    <row r="108" spans="1:16" x14ac:dyDescent="0.25">
      <c r="M108" s="34">
        <v>0.51930771325128655</v>
      </c>
      <c r="P108" s="34">
        <v>1</v>
      </c>
    </row>
    <row r="109" spans="1:16" x14ac:dyDescent="0.25">
      <c r="K109" s="34"/>
      <c r="N109" s="34"/>
    </row>
    <row r="110" spans="1:16" ht="18.75" x14ac:dyDescent="0.3">
      <c r="A110" s="37" t="s">
        <v>50</v>
      </c>
      <c r="K110" s="34"/>
      <c r="N110" s="34"/>
    </row>
    <row r="112" spans="1:16" x14ac:dyDescent="0.25">
      <c r="A112" s="20" t="s">
        <v>46</v>
      </c>
    </row>
    <row r="113" spans="1:7" x14ac:dyDescent="0.25">
      <c r="A113" s="4"/>
      <c r="B113" s="5" t="s">
        <v>83</v>
      </c>
      <c r="C113" s="5" t="s">
        <v>84</v>
      </c>
      <c r="D113" s="5" t="s">
        <v>85</v>
      </c>
      <c r="E113" s="7" t="s">
        <v>86</v>
      </c>
      <c r="F113" s="36"/>
      <c r="G113" s="34" t="s">
        <v>98</v>
      </c>
    </row>
    <row r="114" spans="1:7" x14ac:dyDescent="0.25">
      <c r="A114" s="8" t="s">
        <v>0</v>
      </c>
      <c r="B114" s="26"/>
      <c r="C114" s="25"/>
      <c r="D114" s="25"/>
      <c r="E114" s="27"/>
      <c r="F114" s="34"/>
      <c r="G114" s="82"/>
    </row>
    <row r="115" spans="1:7" x14ac:dyDescent="0.25">
      <c r="A115" s="8" t="s">
        <v>1</v>
      </c>
      <c r="B115" s="23"/>
      <c r="C115" s="22"/>
      <c r="D115" s="22"/>
      <c r="E115" s="24"/>
      <c r="F115" s="34"/>
      <c r="G115" s="34" t="s">
        <v>112</v>
      </c>
    </row>
    <row r="116" spans="1:7" x14ac:dyDescent="0.25">
      <c r="A116" s="8" t="s">
        <v>2</v>
      </c>
      <c r="B116" s="23"/>
      <c r="C116" s="22"/>
      <c r="D116" s="22"/>
      <c r="E116" s="24"/>
      <c r="F116" s="34"/>
      <c r="G116" s="82"/>
    </row>
    <row r="117" spans="1:7" x14ac:dyDescent="0.25">
      <c r="A117" s="12" t="s">
        <v>3</v>
      </c>
      <c r="B117" s="26"/>
      <c r="C117" s="25"/>
      <c r="D117" s="25"/>
      <c r="E117" s="27"/>
      <c r="F117" s="34"/>
      <c r="G117" s="34" t="s">
        <v>99</v>
      </c>
    </row>
    <row r="118" spans="1:7" x14ac:dyDescent="0.25">
      <c r="A118" s="8" t="s">
        <v>4</v>
      </c>
      <c r="B118" s="23"/>
      <c r="C118" s="22"/>
      <c r="D118" s="22"/>
      <c r="E118" s="24"/>
      <c r="F118" s="34"/>
      <c r="G118" s="82"/>
    </row>
    <row r="119" spans="1:7" x14ac:dyDescent="0.25">
      <c r="A119" s="16" t="s">
        <v>5</v>
      </c>
      <c r="B119" s="29"/>
      <c r="C119" s="28"/>
      <c r="D119" s="28"/>
      <c r="E119" s="30"/>
      <c r="F119" s="34"/>
      <c r="G119" s="34" t="s">
        <v>104</v>
      </c>
    </row>
    <row r="120" spans="1:7" x14ac:dyDescent="0.25">
      <c r="A120" s="4" t="s">
        <v>72</v>
      </c>
      <c r="B120" s="32"/>
      <c r="C120" s="31"/>
      <c r="D120" s="31"/>
      <c r="E120" s="33"/>
      <c r="F120" s="34"/>
    </row>
    <row r="121" spans="1:7" x14ac:dyDescent="0.25">
      <c r="A121" s="8" t="s">
        <v>6</v>
      </c>
      <c r="B121" s="23"/>
      <c r="C121" s="22"/>
      <c r="D121" s="22"/>
      <c r="E121" s="24"/>
      <c r="F121" s="34"/>
    </row>
    <row r="122" spans="1:7" x14ac:dyDescent="0.25">
      <c r="A122" s="8" t="s">
        <v>7</v>
      </c>
      <c r="B122" s="23"/>
      <c r="C122" s="22"/>
      <c r="D122" s="22"/>
      <c r="E122" s="24"/>
      <c r="F122" s="34"/>
    </row>
    <row r="123" spans="1:7" x14ac:dyDescent="0.25">
      <c r="A123" s="4" t="s">
        <v>73</v>
      </c>
      <c r="B123" s="32"/>
      <c r="C123" s="31"/>
      <c r="D123" s="31"/>
      <c r="E123" s="33"/>
      <c r="F123" s="34"/>
    </row>
    <row r="124" spans="1:7" x14ac:dyDescent="0.25">
      <c r="A124" s="8" t="s">
        <v>8</v>
      </c>
      <c r="B124" s="26"/>
      <c r="C124" s="25"/>
      <c r="D124" s="25"/>
      <c r="E124" s="27"/>
    </row>
    <row r="125" spans="1:7" x14ac:dyDescent="0.25">
      <c r="A125" s="16" t="s">
        <v>9</v>
      </c>
      <c r="B125" s="29"/>
      <c r="C125" s="28"/>
      <c r="D125" s="28"/>
      <c r="E125" s="30"/>
      <c r="F125" s="34"/>
    </row>
    <row r="126" spans="1:7" x14ac:dyDescent="0.25">
      <c r="A126" s="8" t="s">
        <v>10</v>
      </c>
      <c r="B126" s="23"/>
      <c r="C126" s="22"/>
      <c r="D126" s="22"/>
      <c r="E126" s="24"/>
    </row>
    <row r="127" spans="1:7" x14ac:dyDescent="0.25">
      <c r="A127" s="8" t="s">
        <v>11</v>
      </c>
      <c r="B127" s="23"/>
      <c r="C127" s="22"/>
      <c r="D127" s="22"/>
      <c r="E127" s="24"/>
    </row>
    <row r="128" spans="1:7" x14ac:dyDescent="0.25">
      <c r="A128" s="16" t="s">
        <v>12</v>
      </c>
      <c r="B128" s="29"/>
      <c r="C128" s="28"/>
      <c r="D128" s="28"/>
      <c r="E128" s="30"/>
    </row>
    <row r="131" spans="1:7" ht="18.75" x14ac:dyDescent="0.3">
      <c r="A131" s="37" t="s">
        <v>51</v>
      </c>
    </row>
    <row r="133" spans="1:7" x14ac:dyDescent="0.25">
      <c r="A133" s="20" t="s">
        <v>77</v>
      </c>
    </row>
    <row r="134" spans="1:7" x14ac:dyDescent="0.25">
      <c r="A134" t="s">
        <v>58</v>
      </c>
    </row>
    <row r="135" spans="1:7" x14ac:dyDescent="0.25">
      <c r="A135" s="4"/>
      <c r="B135" s="5" t="s">
        <v>83</v>
      </c>
      <c r="C135" s="5" t="s">
        <v>84</v>
      </c>
      <c r="D135" s="5" t="s">
        <v>85</v>
      </c>
      <c r="E135" s="7" t="s">
        <v>86</v>
      </c>
    </row>
    <row r="136" spans="1:7" x14ac:dyDescent="0.25">
      <c r="A136" s="12" t="s">
        <v>0</v>
      </c>
      <c r="B136" s="26">
        <v>0</v>
      </c>
      <c r="C136" s="25">
        <v>0</v>
      </c>
      <c r="D136" s="25">
        <v>0</v>
      </c>
      <c r="E136" s="27">
        <v>0</v>
      </c>
      <c r="G136" s="34" t="s">
        <v>60</v>
      </c>
    </row>
    <row r="137" spans="1:7" x14ac:dyDescent="0.25">
      <c r="A137" s="8" t="s">
        <v>1</v>
      </c>
      <c r="B137" s="23">
        <v>0</v>
      </c>
      <c r="C137" s="22">
        <v>0</v>
      </c>
      <c r="D137" s="22">
        <v>0</v>
      </c>
      <c r="E137" s="24">
        <v>0</v>
      </c>
      <c r="G137" s="34"/>
    </row>
    <row r="138" spans="1:7" x14ac:dyDescent="0.25">
      <c r="A138" s="8" t="s">
        <v>2</v>
      </c>
      <c r="B138" s="23">
        <v>0</v>
      </c>
      <c r="C138" s="22">
        <v>0</v>
      </c>
      <c r="D138" s="22">
        <v>0</v>
      </c>
      <c r="E138" s="24">
        <v>0</v>
      </c>
      <c r="G138" s="34"/>
    </row>
    <row r="139" spans="1:7" x14ac:dyDescent="0.25">
      <c r="A139" s="12" t="s">
        <v>3</v>
      </c>
      <c r="B139" s="26">
        <v>0</v>
      </c>
      <c r="C139" s="25">
        <v>0</v>
      </c>
      <c r="D139" s="25">
        <v>0</v>
      </c>
      <c r="E139" s="27">
        <v>0</v>
      </c>
      <c r="G139" s="34"/>
    </row>
    <row r="140" spans="1:7" x14ac:dyDescent="0.25">
      <c r="A140" s="8" t="s">
        <v>4</v>
      </c>
      <c r="B140" s="23">
        <v>0</v>
      </c>
      <c r="C140" s="22">
        <v>0</v>
      </c>
      <c r="D140" s="22">
        <v>0</v>
      </c>
      <c r="E140" s="24">
        <v>0</v>
      </c>
      <c r="G140" s="34"/>
    </row>
    <row r="141" spans="1:7" x14ac:dyDescent="0.25">
      <c r="A141" s="16" t="s">
        <v>5</v>
      </c>
      <c r="B141" s="29">
        <v>0</v>
      </c>
      <c r="C141" s="28">
        <v>0</v>
      </c>
      <c r="D141" s="28">
        <v>0</v>
      </c>
      <c r="E141" s="30">
        <v>0</v>
      </c>
      <c r="G141" s="34"/>
    </row>
    <row r="142" spans="1:7" x14ac:dyDescent="0.25">
      <c r="A142" s="4" t="s">
        <v>72</v>
      </c>
      <c r="B142" s="32">
        <v>0</v>
      </c>
      <c r="C142" s="31">
        <v>0</v>
      </c>
      <c r="D142" s="31">
        <v>0</v>
      </c>
      <c r="E142" s="33">
        <v>0</v>
      </c>
      <c r="G142" s="34"/>
    </row>
    <row r="143" spans="1:7" x14ac:dyDescent="0.25">
      <c r="A143" s="8" t="s">
        <v>6</v>
      </c>
      <c r="B143" s="23">
        <v>0</v>
      </c>
      <c r="C143" s="22">
        <v>0</v>
      </c>
      <c r="D143" s="22">
        <v>0</v>
      </c>
      <c r="E143" s="24">
        <v>0</v>
      </c>
      <c r="G143" s="34" t="s">
        <v>61</v>
      </c>
    </row>
    <row r="144" spans="1:7" x14ac:dyDescent="0.25">
      <c r="A144" s="8" t="s">
        <v>7</v>
      </c>
      <c r="B144" s="23">
        <v>0</v>
      </c>
      <c r="C144" s="22">
        <v>0</v>
      </c>
      <c r="D144" s="22">
        <v>0</v>
      </c>
      <c r="E144" s="24">
        <v>0</v>
      </c>
      <c r="G144" s="34"/>
    </row>
    <row r="145" spans="1:7" x14ac:dyDescent="0.25">
      <c r="A145" s="4" t="s">
        <v>73</v>
      </c>
      <c r="B145" s="32">
        <v>0</v>
      </c>
      <c r="C145" s="31">
        <v>0</v>
      </c>
      <c r="D145" s="31">
        <v>0</v>
      </c>
      <c r="E145" s="33">
        <v>0</v>
      </c>
      <c r="G145" s="34"/>
    </row>
    <row r="146" spans="1:7" x14ac:dyDescent="0.25">
      <c r="A146" s="12" t="s">
        <v>8</v>
      </c>
      <c r="B146" s="26">
        <v>0</v>
      </c>
      <c r="C146" s="25">
        <v>0</v>
      </c>
      <c r="D146" s="25">
        <v>0</v>
      </c>
      <c r="E146" s="27">
        <v>0</v>
      </c>
      <c r="G146" s="34" t="s">
        <v>62</v>
      </c>
    </row>
    <row r="147" spans="1:7" x14ac:dyDescent="0.25">
      <c r="A147" s="16" t="s">
        <v>9</v>
      </c>
      <c r="B147" s="29">
        <v>0</v>
      </c>
      <c r="C147" s="28">
        <v>0</v>
      </c>
      <c r="D147" s="28">
        <v>0</v>
      </c>
      <c r="E147" s="30">
        <v>0</v>
      </c>
      <c r="G147" s="34"/>
    </row>
    <row r="148" spans="1:7" x14ac:dyDescent="0.25">
      <c r="A148" s="8" t="s">
        <v>10</v>
      </c>
      <c r="B148" s="23">
        <v>0</v>
      </c>
      <c r="C148" s="22">
        <v>0</v>
      </c>
      <c r="D148" s="22">
        <v>0</v>
      </c>
      <c r="E148" s="24">
        <v>0</v>
      </c>
      <c r="G148" s="34"/>
    </row>
    <row r="149" spans="1:7" x14ac:dyDescent="0.25">
      <c r="A149" s="8" t="s">
        <v>11</v>
      </c>
      <c r="B149" s="23">
        <v>0</v>
      </c>
      <c r="C149" s="22">
        <v>0</v>
      </c>
      <c r="D149" s="22">
        <v>0</v>
      </c>
      <c r="E149" s="24">
        <v>0</v>
      </c>
      <c r="F149" s="34"/>
      <c r="G149" s="34"/>
    </row>
    <row r="150" spans="1:7" x14ac:dyDescent="0.25">
      <c r="A150" s="16" t="s">
        <v>12</v>
      </c>
      <c r="B150" s="29">
        <v>0</v>
      </c>
      <c r="C150" s="28">
        <v>0</v>
      </c>
      <c r="D150" s="28">
        <v>0</v>
      </c>
      <c r="E150" s="30">
        <v>0</v>
      </c>
      <c r="G150" s="34"/>
    </row>
    <row r="151" spans="1:7" x14ac:dyDescent="0.25">
      <c r="G151" s="34"/>
    </row>
    <row r="154" spans="1:7" x14ac:dyDescent="0.25">
      <c r="A154" s="38" t="s">
        <v>64</v>
      </c>
      <c r="B154" s="39" t="s">
        <v>100</v>
      </c>
    </row>
    <row r="155" spans="1:7" x14ac:dyDescent="0.25">
      <c r="A155" s="38" t="s">
        <v>65</v>
      </c>
      <c r="B155" s="61" t="s">
        <v>54</v>
      </c>
      <c r="C155" s="62"/>
    </row>
    <row r="156" spans="1:7" x14ac:dyDescent="0.25">
      <c r="A156" s="38"/>
      <c r="B156" s="61" t="s">
        <v>55</v>
      </c>
      <c r="C156" s="62"/>
    </row>
    <row r="157" spans="1:7" x14ac:dyDescent="0.25">
      <c r="A157" s="38"/>
      <c r="B157" s="63" t="s">
        <v>56</v>
      </c>
      <c r="C157" s="64"/>
    </row>
    <row r="158" spans="1:7" ht="7.5" customHeight="1" x14ac:dyDescent="0.25">
      <c r="A158" s="38"/>
      <c r="B158" s="65"/>
      <c r="C158" s="66"/>
    </row>
    <row r="160" spans="1:7" x14ac:dyDescent="0.25">
      <c r="A160" s="38" t="s">
        <v>66</v>
      </c>
      <c r="B160" s="39" t="s">
        <v>102</v>
      </c>
    </row>
    <row r="161" spans="1:11" x14ac:dyDescent="0.25">
      <c r="A161" s="38" t="s">
        <v>67</v>
      </c>
      <c r="B161" s="61" t="s">
        <v>54</v>
      </c>
      <c r="C161" s="62"/>
    </row>
    <row r="162" spans="1:11" x14ac:dyDescent="0.25">
      <c r="A162" s="38"/>
      <c r="B162" s="61" t="s">
        <v>55</v>
      </c>
      <c r="C162" s="62"/>
    </row>
    <row r="163" spans="1:11" x14ac:dyDescent="0.25">
      <c r="A163" s="38"/>
      <c r="B163" s="63" t="s">
        <v>56</v>
      </c>
      <c r="C163" s="64"/>
    </row>
    <row r="164" spans="1:11" ht="8.1" customHeight="1" x14ac:dyDescent="0.25">
      <c r="A164" s="38"/>
      <c r="B164" s="65"/>
      <c r="C164" s="66"/>
    </row>
    <row r="165" spans="1:11" x14ac:dyDescent="0.25">
      <c r="A165" s="38"/>
      <c r="B165" s="67"/>
      <c r="C165" s="54"/>
      <c r="D165" s="54"/>
      <c r="E165" s="54"/>
      <c r="F165" s="54"/>
      <c r="G165" s="54"/>
      <c r="H165" s="54"/>
      <c r="I165" s="54"/>
      <c r="J165" s="54"/>
      <c r="K165" s="55"/>
    </row>
    <row r="166" spans="1:11" x14ac:dyDescent="0.25">
      <c r="A166" s="38"/>
      <c r="B166" s="39"/>
    </row>
    <row r="167" spans="1:11" x14ac:dyDescent="0.25">
      <c r="A167" s="38" t="s">
        <v>68</v>
      </c>
      <c r="B167" s="39" t="s">
        <v>87</v>
      </c>
    </row>
    <row r="168" spans="1:11" x14ac:dyDescent="0.25">
      <c r="A168" s="38" t="s">
        <v>69</v>
      </c>
      <c r="B168" s="61" t="s">
        <v>54</v>
      </c>
      <c r="C168" s="62"/>
    </row>
    <row r="169" spans="1:11" x14ac:dyDescent="0.25">
      <c r="A169" s="38"/>
      <c r="B169" s="61" t="s">
        <v>55</v>
      </c>
      <c r="C169" s="62"/>
    </row>
    <row r="170" spans="1:11" x14ac:dyDescent="0.25">
      <c r="A170" s="38"/>
      <c r="B170" s="61" t="s">
        <v>56</v>
      </c>
      <c r="C170" s="62"/>
    </row>
    <row r="171" spans="1:11" x14ac:dyDescent="0.25">
      <c r="A171" s="38"/>
      <c r="B171" s="39"/>
    </row>
    <row r="172" spans="1:11" x14ac:dyDescent="0.25">
      <c r="A172" s="38" t="s">
        <v>70</v>
      </c>
      <c r="B172" s="39" t="s">
        <v>101</v>
      </c>
    </row>
    <row r="173" spans="1:11" x14ac:dyDescent="0.25">
      <c r="A173" s="38" t="s">
        <v>71</v>
      </c>
      <c r="B173" s="61" t="s">
        <v>54</v>
      </c>
      <c r="C173" s="62"/>
    </row>
    <row r="174" spans="1:11" x14ac:dyDescent="0.25">
      <c r="A174" s="38"/>
      <c r="B174" s="61" t="s">
        <v>55</v>
      </c>
      <c r="C174" s="62"/>
    </row>
    <row r="175" spans="1:11" x14ac:dyDescent="0.25">
      <c r="A175" s="38"/>
      <c r="B175" s="61" t="s">
        <v>56</v>
      </c>
      <c r="C175" s="62"/>
    </row>
    <row r="176" spans="1:11" x14ac:dyDescent="0.25">
      <c r="A176" s="38"/>
      <c r="B176" s="39"/>
    </row>
    <row r="177" spans="1:11" x14ac:dyDescent="0.25">
      <c r="A177" s="38"/>
      <c r="B177" s="67"/>
      <c r="C177" s="54"/>
      <c r="D177" s="54"/>
      <c r="E177" s="54"/>
      <c r="F177" s="54"/>
      <c r="G177" s="54"/>
      <c r="H177" s="54"/>
      <c r="I177" s="54"/>
      <c r="J177" s="54"/>
      <c r="K177" s="55"/>
    </row>
    <row r="178" spans="1:11" x14ac:dyDescent="0.25">
      <c r="A178" s="38"/>
      <c r="B178" s="39"/>
    </row>
    <row r="179" spans="1:11" x14ac:dyDescent="0.25">
      <c r="A179" s="38"/>
      <c r="B179" s="40"/>
    </row>
    <row r="180" spans="1:11" x14ac:dyDescent="0.25">
      <c r="A180" s="38"/>
      <c r="B180" s="39"/>
    </row>
    <row r="181" spans="1:11" x14ac:dyDescent="0.25">
      <c r="A181" s="38"/>
      <c r="B181" s="41"/>
    </row>
    <row r="182" spans="1:11" x14ac:dyDescent="0.25">
      <c r="A182" s="38"/>
      <c r="B182" s="39"/>
    </row>
    <row r="183" spans="1:11" x14ac:dyDescent="0.25">
      <c r="A183" s="38"/>
      <c r="B183" s="39"/>
    </row>
    <row r="184" spans="1:11" x14ac:dyDescent="0.25">
      <c r="A184" s="38"/>
      <c r="B184" s="39"/>
    </row>
    <row r="185" spans="1:11" x14ac:dyDescent="0.25">
      <c r="A185" s="38"/>
      <c r="B185" s="3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4CC62-6AED-491C-9D1C-8AE3DBB0B2B4}">
  <dimension ref="A1:AG311"/>
  <sheetViews>
    <sheetView showZeros="0" topLeftCell="A313" zoomScale="75" zoomScaleNormal="75" workbookViewId="0">
      <selection activeCell="B186" sqref="B186"/>
    </sheetView>
  </sheetViews>
  <sheetFormatPr defaultRowHeight="15" x14ac:dyDescent="0.25"/>
  <sheetData>
    <row r="1" spans="1:33" ht="18.75" x14ac:dyDescent="0.3">
      <c r="A1" s="1" t="s">
        <v>179</v>
      </c>
    </row>
    <row r="6" spans="1:33" ht="15.75" x14ac:dyDescent="0.25">
      <c r="A6" s="2" t="s">
        <v>113</v>
      </c>
    </row>
    <row r="7" spans="1:33" x14ac:dyDescent="0.25">
      <c r="A7" t="s">
        <v>114</v>
      </c>
    </row>
    <row r="8" spans="1:33" x14ac:dyDescent="0.25">
      <c r="A8" s="14"/>
      <c r="B8" s="14" t="s">
        <v>0</v>
      </c>
      <c r="C8" s="13" t="s">
        <v>115</v>
      </c>
      <c r="D8" s="13" t="s">
        <v>116</v>
      </c>
      <c r="E8" s="13" t="s">
        <v>117</v>
      </c>
      <c r="F8" s="91" t="s">
        <v>118</v>
      </c>
      <c r="G8" s="13" t="s">
        <v>119</v>
      </c>
      <c r="H8" s="15" t="s">
        <v>120</v>
      </c>
      <c r="I8" s="13" t="s">
        <v>3</v>
      </c>
      <c r="J8" s="13" t="s">
        <v>121</v>
      </c>
      <c r="K8" s="13" t="s">
        <v>122</v>
      </c>
      <c r="L8" s="13" t="s">
        <v>123</v>
      </c>
      <c r="M8" s="13" t="s">
        <v>124</v>
      </c>
      <c r="N8" s="13" t="s">
        <v>125</v>
      </c>
      <c r="O8" s="13" t="s">
        <v>126</v>
      </c>
      <c r="P8" s="12" t="s">
        <v>72</v>
      </c>
      <c r="Q8" s="14" t="s">
        <v>6</v>
      </c>
      <c r="R8" s="15" t="s">
        <v>7</v>
      </c>
      <c r="S8" s="12" t="s">
        <v>73</v>
      </c>
      <c r="T8" s="13" t="s">
        <v>8</v>
      </c>
      <c r="U8" s="13" t="s">
        <v>9</v>
      </c>
      <c r="V8" s="14" t="s">
        <v>10</v>
      </c>
      <c r="W8" s="13" t="s">
        <v>127</v>
      </c>
      <c r="X8" s="15" t="s">
        <v>12</v>
      </c>
      <c r="Y8" s="15" t="s">
        <v>74</v>
      </c>
      <c r="AA8" s="3" t="s">
        <v>14</v>
      </c>
    </row>
    <row r="9" spans="1:33" x14ac:dyDescent="0.25">
      <c r="A9" s="14" t="s">
        <v>0</v>
      </c>
      <c r="B9" s="14">
        <v>0</v>
      </c>
      <c r="C9" s="13">
        <v>0</v>
      </c>
      <c r="D9" s="13">
        <v>0</v>
      </c>
      <c r="E9" s="13">
        <v>0</v>
      </c>
      <c r="F9" s="91">
        <v>0</v>
      </c>
      <c r="G9" s="13">
        <v>0</v>
      </c>
      <c r="H9" s="15">
        <v>0</v>
      </c>
      <c r="I9" s="13">
        <v>1861.5144748939067</v>
      </c>
      <c r="J9" s="13">
        <v>0</v>
      </c>
      <c r="K9" s="13">
        <v>0</v>
      </c>
      <c r="L9" s="13">
        <v>0</v>
      </c>
      <c r="M9" s="13">
        <v>0</v>
      </c>
      <c r="N9" s="13">
        <v>0</v>
      </c>
      <c r="O9" s="13">
        <v>0</v>
      </c>
      <c r="P9" s="12">
        <v>0</v>
      </c>
      <c r="Q9" s="14">
        <v>0</v>
      </c>
      <c r="R9" s="15">
        <v>0</v>
      </c>
      <c r="S9" s="12">
        <v>0</v>
      </c>
      <c r="T9" s="13">
        <v>0</v>
      </c>
      <c r="U9" s="13">
        <v>0</v>
      </c>
      <c r="V9" s="14">
        <v>0</v>
      </c>
      <c r="W9" s="13">
        <v>0</v>
      </c>
      <c r="X9" s="15">
        <v>0</v>
      </c>
      <c r="Y9" s="15">
        <v>1861.5144748939067</v>
      </c>
      <c r="AA9" t="s">
        <v>0</v>
      </c>
      <c r="AB9" t="s">
        <v>15</v>
      </c>
    </row>
    <row r="10" spans="1:33" x14ac:dyDescent="0.25">
      <c r="A10" s="10" t="s">
        <v>115</v>
      </c>
      <c r="B10" s="10">
        <v>0</v>
      </c>
      <c r="C10" s="9">
        <v>0</v>
      </c>
      <c r="D10" s="9">
        <v>0</v>
      </c>
      <c r="E10" s="9">
        <v>0</v>
      </c>
      <c r="F10" s="20">
        <v>0</v>
      </c>
      <c r="G10" s="9">
        <v>0</v>
      </c>
      <c r="H10" s="11">
        <v>0</v>
      </c>
      <c r="I10" s="9">
        <v>0</v>
      </c>
      <c r="J10" s="9">
        <v>176.57814555667522</v>
      </c>
      <c r="K10" s="9">
        <v>0</v>
      </c>
      <c r="L10" s="9">
        <v>0</v>
      </c>
      <c r="M10" s="9">
        <v>0</v>
      </c>
      <c r="N10" s="9">
        <v>0</v>
      </c>
      <c r="O10" s="9">
        <v>0</v>
      </c>
      <c r="P10" s="8">
        <v>0</v>
      </c>
      <c r="Q10" s="10">
        <v>0</v>
      </c>
      <c r="R10" s="11">
        <v>0</v>
      </c>
      <c r="S10" s="8">
        <v>0</v>
      </c>
      <c r="T10" s="9">
        <v>0</v>
      </c>
      <c r="U10" s="9">
        <v>0</v>
      </c>
      <c r="V10" s="10">
        <v>0</v>
      </c>
      <c r="W10" s="9">
        <v>0</v>
      </c>
      <c r="X10" s="11">
        <v>0</v>
      </c>
      <c r="Y10" s="11">
        <v>176.57814555667522</v>
      </c>
      <c r="AA10" t="s">
        <v>115</v>
      </c>
      <c r="AB10" t="s">
        <v>128</v>
      </c>
    </row>
    <row r="11" spans="1:33" x14ac:dyDescent="0.25">
      <c r="A11" s="10" t="s">
        <v>116</v>
      </c>
      <c r="B11" s="10">
        <v>0</v>
      </c>
      <c r="C11" s="9">
        <v>0</v>
      </c>
      <c r="D11" s="9">
        <v>0</v>
      </c>
      <c r="E11" s="9">
        <v>0</v>
      </c>
      <c r="F11" s="20">
        <v>0</v>
      </c>
      <c r="G11" s="9">
        <v>0</v>
      </c>
      <c r="H11" s="11">
        <v>0</v>
      </c>
      <c r="I11" s="9">
        <v>0</v>
      </c>
      <c r="J11" s="9">
        <v>0</v>
      </c>
      <c r="K11" s="9">
        <v>1127.1552575367493</v>
      </c>
      <c r="L11" s="9">
        <v>0</v>
      </c>
      <c r="M11" s="9">
        <v>0</v>
      </c>
      <c r="N11" s="9">
        <v>0</v>
      </c>
      <c r="O11" s="9">
        <v>0</v>
      </c>
      <c r="P11" s="8">
        <v>0</v>
      </c>
      <c r="Q11" s="10">
        <v>0</v>
      </c>
      <c r="R11" s="11">
        <v>0</v>
      </c>
      <c r="S11" s="8">
        <v>0</v>
      </c>
      <c r="T11" s="9">
        <v>0</v>
      </c>
      <c r="U11" s="9">
        <v>0</v>
      </c>
      <c r="V11" s="10">
        <v>0</v>
      </c>
      <c r="W11" s="9">
        <v>0</v>
      </c>
      <c r="X11" s="11">
        <v>0</v>
      </c>
      <c r="Y11" s="11">
        <v>1127.1552575367493</v>
      </c>
      <c r="AA11" t="s">
        <v>116</v>
      </c>
      <c r="AB11" t="s">
        <v>129</v>
      </c>
    </row>
    <row r="12" spans="1:33" x14ac:dyDescent="0.25">
      <c r="A12" s="10" t="s">
        <v>117</v>
      </c>
      <c r="B12" s="10">
        <v>0</v>
      </c>
      <c r="C12" s="9">
        <v>0</v>
      </c>
      <c r="D12" s="9">
        <v>0</v>
      </c>
      <c r="E12" s="9">
        <v>0</v>
      </c>
      <c r="F12" s="20">
        <v>0</v>
      </c>
      <c r="G12" s="9">
        <v>0</v>
      </c>
      <c r="H12" s="11">
        <v>0</v>
      </c>
      <c r="I12" s="9">
        <v>0</v>
      </c>
      <c r="J12" s="9">
        <v>0</v>
      </c>
      <c r="K12" s="9">
        <v>0</v>
      </c>
      <c r="L12" s="9">
        <v>1648.0579307046896</v>
      </c>
      <c r="M12" s="9">
        <v>0</v>
      </c>
      <c r="N12" s="9">
        <v>0</v>
      </c>
      <c r="O12" s="9">
        <v>0</v>
      </c>
      <c r="P12" s="8">
        <v>0</v>
      </c>
      <c r="Q12" s="10">
        <v>0</v>
      </c>
      <c r="R12" s="11">
        <v>0</v>
      </c>
      <c r="S12" s="8">
        <v>0</v>
      </c>
      <c r="T12" s="9">
        <v>0</v>
      </c>
      <c r="U12" s="9">
        <v>0</v>
      </c>
      <c r="V12" s="10">
        <v>0</v>
      </c>
      <c r="W12" s="9">
        <v>0</v>
      </c>
      <c r="X12" s="11">
        <v>0</v>
      </c>
      <c r="Y12" s="11">
        <v>1648.0579307046896</v>
      </c>
      <c r="AA12" t="s">
        <v>117</v>
      </c>
      <c r="AB12" t="s">
        <v>130</v>
      </c>
    </row>
    <row r="13" spans="1:33" x14ac:dyDescent="0.25">
      <c r="A13" s="10" t="s">
        <v>118</v>
      </c>
      <c r="B13" s="10">
        <v>0</v>
      </c>
      <c r="C13" s="9">
        <v>0</v>
      </c>
      <c r="D13" s="9">
        <v>0</v>
      </c>
      <c r="E13" s="9">
        <v>0</v>
      </c>
      <c r="F13" s="20">
        <v>0</v>
      </c>
      <c r="G13" s="9">
        <v>0</v>
      </c>
      <c r="H13" s="11">
        <v>0</v>
      </c>
      <c r="I13" s="9">
        <v>0</v>
      </c>
      <c r="J13" s="9">
        <v>0</v>
      </c>
      <c r="K13" s="9">
        <v>0</v>
      </c>
      <c r="L13" s="9">
        <v>0</v>
      </c>
      <c r="M13" s="9">
        <v>2346.1200726585162</v>
      </c>
      <c r="N13" s="9">
        <v>0</v>
      </c>
      <c r="O13" s="9">
        <v>0</v>
      </c>
      <c r="P13" s="8">
        <v>0</v>
      </c>
      <c r="Q13" s="10">
        <v>0</v>
      </c>
      <c r="R13" s="11">
        <v>0</v>
      </c>
      <c r="S13" s="8">
        <v>0</v>
      </c>
      <c r="T13" s="9">
        <v>0</v>
      </c>
      <c r="U13" s="9">
        <v>0</v>
      </c>
      <c r="V13" s="10">
        <v>0</v>
      </c>
      <c r="W13" s="9">
        <v>0</v>
      </c>
      <c r="X13" s="11">
        <v>0</v>
      </c>
      <c r="Y13" s="11">
        <v>2346.1200726585162</v>
      </c>
      <c r="AA13" t="s">
        <v>118</v>
      </c>
      <c r="AB13" t="s">
        <v>131</v>
      </c>
    </row>
    <row r="14" spans="1:33" x14ac:dyDescent="0.25">
      <c r="A14" s="10" t="s">
        <v>119</v>
      </c>
      <c r="B14" s="10">
        <v>0</v>
      </c>
      <c r="C14" s="9">
        <v>0</v>
      </c>
      <c r="D14" s="9">
        <v>0</v>
      </c>
      <c r="E14" s="9">
        <v>0</v>
      </c>
      <c r="F14" s="20">
        <v>0</v>
      </c>
      <c r="G14" s="9">
        <v>0</v>
      </c>
      <c r="H14" s="11">
        <v>0</v>
      </c>
      <c r="I14" s="9">
        <v>0</v>
      </c>
      <c r="J14" s="9">
        <v>0</v>
      </c>
      <c r="K14" s="9">
        <v>0</v>
      </c>
      <c r="L14" s="9">
        <v>0</v>
      </c>
      <c r="M14" s="9">
        <v>0</v>
      </c>
      <c r="N14" s="9">
        <v>1226.5765613096846</v>
      </c>
      <c r="O14" s="9">
        <v>0</v>
      </c>
      <c r="P14" s="8">
        <v>0</v>
      </c>
      <c r="Q14" s="10">
        <v>0</v>
      </c>
      <c r="R14" s="11">
        <v>0</v>
      </c>
      <c r="S14" s="8">
        <v>0</v>
      </c>
      <c r="T14" s="9">
        <v>0</v>
      </c>
      <c r="U14" s="9">
        <v>0</v>
      </c>
      <c r="V14" s="10">
        <v>0</v>
      </c>
      <c r="W14" s="9">
        <v>0</v>
      </c>
      <c r="X14" s="11">
        <v>0</v>
      </c>
      <c r="Y14" s="11">
        <v>1226.5765613096846</v>
      </c>
      <c r="AA14" t="s">
        <v>119</v>
      </c>
      <c r="AB14" t="s">
        <v>132</v>
      </c>
    </row>
    <row r="15" spans="1:33" x14ac:dyDescent="0.25">
      <c r="A15" s="10" t="s">
        <v>120</v>
      </c>
      <c r="B15" s="10">
        <v>0</v>
      </c>
      <c r="C15" s="9">
        <v>0</v>
      </c>
      <c r="D15" s="9">
        <v>0</v>
      </c>
      <c r="E15" s="9">
        <v>0</v>
      </c>
      <c r="F15" s="20">
        <v>0</v>
      </c>
      <c r="G15" s="9">
        <v>0</v>
      </c>
      <c r="H15" s="11">
        <v>0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9">
        <v>1854.139944370713</v>
      </c>
      <c r="P15" s="8">
        <v>0</v>
      </c>
      <c r="Q15" s="10">
        <v>0</v>
      </c>
      <c r="R15" s="11">
        <v>0</v>
      </c>
      <c r="S15" s="8">
        <v>0</v>
      </c>
      <c r="T15" s="9">
        <v>0</v>
      </c>
      <c r="U15" s="9">
        <v>0</v>
      </c>
      <c r="V15" s="10">
        <v>0</v>
      </c>
      <c r="W15" s="9">
        <v>0</v>
      </c>
      <c r="X15" s="11">
        <v>0</v>
      </c>
      <c r="Y15" s="11">
        <v>1854.139944370713</v>
      </c>
      <c r="AA15" t="s">
        <v>120</v>
      </c>
      <c r="AB15" t="s">
        <v>133</v>
      </c>
    </row>
    <row r="16" spans="1:33" x14ac:dyDescent="0.25">
      <c r="A16" s="14" t="s">
        <v>3</v>
      </c>
      <c r="B16" s="14">
        <v>128.41043581368717</v>
      </c>
      <c r="C16" s="13">
        <v>0</v>
      </c>
      <c r="D16" s="13">
        <v>182.53444302865807</v>
      </c>
      <c r="E16" s="13">
        <v>313.47643960411631</v>
      </c>
      <c r="F16" s="91">
        <v>17.245982868948534</v>
      </c>
      <c r="G16" s="13">
        <v>38.389003900926085</v>
      </c>
      <c r="H16" s="15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  <c r="N16" s="13">
        <v>0</v>
      </c>
      <c r="O16" s="13">
        <v>0</v>
      </c>
      <c r="P16" s="12">
        <v>0</v>
      </c>
      <c r="Q16" s="14">
        <v>0</v>
      </c>
      <c r="R16" s="15">
        <v>0</v>
      </c>
      <c r="S16" s="12">
        <v>0</v>
      </c>
      <c r="T16" s="13">
        <v>1023.8582250078596</v>
      </c>
      <c r="U16" s="13">
        <v>414.63982669743439</v>
      </c>
      <c r="V16" s="14">
        <v>0</v>
      </c>
      <c r="W16" s="13">
        <v>3.5882828901810773</v>
      </c>
      <c r="X16" s="15">
        <v>100.73062475804775</v>
      </c>
      <c r="Y16" s="15">
        <v>2222.8732645698587</v>
      </c>
      <c r="AA16" t="s">
        <v>3</v>
      </c>
      <c r="AB16" t="s">
        <v>16</v>
      </c>
      <c r="AG16" s="137">
        <f>X16*0.05</f>
        <v>5.0365312379023877</v>
      </c>
    </row>
    <row r="17" spans="1:33" x14ac:dyDescent="0.25">
      <c r="A17" s="10" t="s">
        <v>121</v>
      </c>
      <c r="B17" s="10">
        <v>0</v>
      </c>
      <c r="C17" s="9">
        <v>3.6148190570829648</v>
      </c>
      <c r="D17" s="9">
        <v>3.3147656047374854</v>
      </c>
      <c r="E17" s="9">
        <v>71.435067360200463</v>
      </c>
      <c r="F17" s="20">
        <v>0</v>
      </c>
      <c r="G17" s="9">
        <v>0</v>
      </c>
      <c r="H17" s="11">
        <v>0</v>
      </c>
      <c r="I17" s="9">
        <v>0</v>
      </c>
      <c r="J17" s="9">
        <v>0</v>
      </c>
      <c r="K17" s="9">
        <v>0</v>
      </c>
      <c r="L17" s="9">
        <v>0</v>
      </c>
      <c r="M17" s="9">
        <v>0</v>
      </c>
      <c r="N17" s="9">
        <v>0</v>
      </c>
      <c r="O17" s="9">
        <v>0</v>
      </c>
      <c r="P17" s="8">
        <v>0</v>
      </c>
      <c r="Q17" s="10">
        <v>0</v>
      </c>
      <c r="R17" s="11">
        <v>0</v>
      </c>
      <c r="S17" s="8">
        <v>0</v>
      </c>
      <c r="T17" s="9">
        <v>0</v>
      </c>
      <c r="U17" s="9">
        <v>0</v>
      </c>
      <c r="V17" s="10">
        <v>0</v>
      </c>
      <c r="W17" s="9">
        <v>36.525740825287649</v>
      </c>
      <c r="X17" s="11">
        <v>98.107554158582829</v>
      </c>
      <c r="Y17" s="11">
        <v>212.9979470058914</v>
      </c>
      <c r="AA17" t="s">
        <v>121</v>
      </c>
      <c r="AB17" t="s">
        <v>134</v>
      </c>
      <c r="AG17" s="137">
        <f t="shared" ref="AG17:AG22" si="0">X17*0.05</f>
        <v>4.9053777079291416</v>
      </c>
    </row>
    <row r="18" spans="1:33" x14ac:dyDescent="0.25">
      <c r="A18" s="10" t="s">
        <v>122</v>
      </c>
      <c r="B18" s="10">
        <v>110.04026984549468</v>
      </c>
      <c r="C18" s="9">
        <v>8.2547471878379657</v>
      </c>
      <c r="D18" s="9">
        <v>333.53762244032123</v>
      </c>
      <c r="E18" s="9">
        <v>295.58345514385462</v>
      </c>
      <c r="F18" s="20">
        <v>393.12860905743332</v>
      </c>
      <c r="G18" s="9">
        <v>262.86953728972622</v>
      </c>
      <c r="H18" s="11">
        <v>56.313424222535723</v>
      </c>
      <c r="I18" s="9">
        <v>0</v>
      </c>
      <c r="J18" s="9">
        <v>0</v>
      </c>
      <c r="K18" s="9">
        <v>0</v>
      </c>
      <c r="L18" s="9">
        <v>0</v>
      </c>
      <c r="M18" s="9">
        <v>0</v>
      </c>
      <c r="N18" s="9">
        <v>0</v>
      </c>
      <c r="O18" s="9">
        <v>0</v>
      </c>
      <c r="P18" s="8">
        <v>0</v>
      </c>
      <c r="Q18" s="10">
        <v>0</v>
      </c>
      <c r="R18" s="11">
        <v>0</v>
      </c>
      <c r="S18" s="8">
        <v>0</v>
      </c>
      <c r="T18" s="9">
        <v>668.15150954239857</v>
      </c>
      <c r="U18" s="9">
        <v>598.40510019172405</v>
      </c>
      <c r="V18" s="10">
        <v>0</v>
      </c>
      <c r="W18" s="9">
        <v>423.86545622205063</v>
      </c>
      <c r="X18" s="11">
        <v>156.7695974053143</v>
      </c>
      <c r="Y18" s="11">
        <v>3306.9193285486913</v>
      </c>
      <c r="AA18" t="s">
        <v>122</v>
      </c>
      <c r="AB18" t="s">
        <v>135</v>
      </c>
      <c r="AG18" s="137">
        <f t="shared" si="0"/>
        <v>7.838479870265715</v>
      </c>
    </row>
    <row r="19" spans="1:33" x14ac:dyDescent="0.25">
      <c r="A19" s="10" t="s">
        <v>123</v>
      </c>
      <c r="B19" s="10">
        <v>0.38971440443700078</v>
      </c>
      <c r="C19" s="9">
        <v>25.678735157581603</v>
      </c>
      <c r="D19" s="9">
        <v>38.164681678975406</v>
      </c>
      <c r="E19" s="9">
        <v>213.9729499847642</v>
      </c>
      <c r="F19" s="20">
        <v>41.375369612403802</v>
      </c>
      <c r="G19" s="9">
        <v>51.571978099229284</v>
      </c>
      <c r="H19" s="11">
        <v>111.71474031577517</v>
      </c>
      <c r="I19" s="9">
        <v>0</v>
      </c>
      <c r="J19" s="9">
        <v>0</v>
      </c>
      <c r="K19" s="9">
        <v>0</v>
      </c>
      <c r="L19" s="9">
        <v>0</v>
      </c>
      <c r="M19" s="9">
        <v>0</v>
      </c>
      <c r="N19" s="9">
        <v>0</v>
      </c>
      <c r="O19" s="9">
        <v>0</v>
      </c>
      <c r="P19" s="8">
        <v>0</v>
      </c>
      <c r="Q19" s="10">
        <v>0</v>
      </c>
      <c r="R19" s="11">
        <v>0</v>
      </c>
      <c r="S19" s="8">
        <v>0</v>
      </c>
      <c r="T19" s="9">
        <v>19.875326903924517</v>
      </c>
      <c r="U19" s="9">
        <v>40.395012506071623</v>
      </c>
      <c r="V19" s="10">
        <v>0</v>
      </c>
      <c r="W19" s="9">
        <v>1089.1618319363654</v>
      </c>
      <c r="X19" s="11">
        <v>21.266804580867525</v>
      </c>
      <c r="Y19" s="11">
        <v>1653.5671451803958</v>
      </c>
      <c r="AA19" t="s">
        <v>123</v>
      </c>
      <c r="AB19" t="s">
        <v>136</v>
      </c>
      <c r="AG19" s="137">
        <f t="shared" si="0"/>
        <v>1.0633402290433762</v>
      </c>
    </row>
    <row r="20" spans="1:33" x14ac:dyDescent="0.25">
      <c r="A20" s="10" t="s">
        <v>124</v>
      </c>
      <c r="B20" s="10">
        <v>21.88707507150151</v>
      </c>
      <c r="C20" s="9">
        <v>1.0572355765568096</v>
      </c>
      <c r="D20" s="9">
        <v>147.79512773334017</v>
      </c>
      <c r="E20" s="9">
        <v>119.32276788945718</v>
      </c>
      <c r="F20" s="20">
        <v>613.76611195318378</v>
      </c>
      <c r="G20" s="9">
        <v>274.98370114640181</v>
      </c>
      <c r="H20" s="11">
        <v>148.95573973248446</v>
      </c>
      <c r="I20" s="9">
        <v>0</v>
      </c>
      <c r="J20" s="9">
        <v>0</v>
      </c>
      <c r="K20" s="9">
        <v>0</v>
      </c>
      <c r="L20" s="9">
        <v>0</v>
      </c>
      <c r="M20" s="9">
        <v>0</v>
      </c>
      <c r="N20" s="9">
        <v>0</v>
      </c>
      <c r="O20" s="9">
        <v>0</v>
      </c>
      <c r="P20" s="8">
        <v>924.15060017229371</v>
      </c>
      <c r="Q20" s="10">
        <v>0</v>
      </c>
      <c r="R20" s="11">
        <v>0</v>
      </c>
      <c r="S20" s="8">
        <v>0</v>
      </c>
      <c r="T20" s="9">
        <v>136.42312257678995</v>
      </c>
      <c r="U20" s="9">
        <v>255.8197829255592</v>
      </c>
      <c r="V20" s="10">
        <v>0</v>
      </c>
      <c r="W20" s="9">
        <v>0</v>
      </c>
      <c r="X20" s="11">
        <v>264.26571626420639</v>
      </c>
      <c r="Y20" s="11">
        <v>2908.426981041775</v>
      </c>
      <c r="AA20" t="s">
        <v>124</v>
      </c>
      <c r="AB20" t="s">
        <v>137</v>
      </c>
      <c r="AG20" s="137">
        <f t="shared" si="0"/>
        <v>13.213285813210319</v>
      </c>
    </row>
    <row r="21" spans="1:33" x14ac:dyDescent="0.25">
      <c r="A21" s="10" t="s">
        <v>125</v>
      </c>
      <c r="B21" s="10">
        <v>0</v>
      </c>
      <c r="C21" s="9">
        <v>0</v>
      </c>
      <c r="D21" s="9">
        <v>0</v>
      </c>
      <c r="E21" s="9">
        <v>0</v>
      </c>
      <c r="F21" s="20">
        <v>0</v>
      </c>
      <c r="G21" s="9">
        <v>0</v>
      </c>
      <c r="H21" s="11">
        <v>0</v>
      </c>
      <c r="I21" s="9">
        <v>0</v>
      </c>
      <c r="J21" s="9">
        <v>0</v>
      </c>
      <c r="K21" s="9">
        <v>0</v>
      </c>
      <c r="L21" s="9">
        <v>0</v>
      </c>
      <c r="M21" s="9">
        <v>0</v>
      </c>
      <c r="N21" s="9">
        <v>0</v>
      </c>
      <c r="O21" s="9">
        <v>0</v>
      </c>
      <c r="P21" s="8">
        <v>0</v>
      </c>
      <c r="Q21" s="10">
        <v>0</v>
      </c>
      <c r="R21" s="11">
        <v>0</v>
      </c>
      <c r="S21" s="8">
        <v>0</v>
      </c>
      <c r="T21" s="9">
        <v>128.11983183170526</v>
      </c>
      <c r="U21" s="9">
        <v>83.293111060371103</v>
      </c>
      <c r="V21" s="10">
        <v>959.0324629217879</v>
      </c>
      <c r="W21" s="9">
        <v>0</v>
      </c>
      <c r="X21" s="11">
        <v>158.19196693637656</v>
      </c>
      <c r="Y21" s="11">
        <v>1328.637372750241</v>
      </c>
      <c r="AA21" t="s">
        <v>125</v>
      </c>
      <c r="AB21" t="s">
        <v>138</v>
      </c>
      <c r="AG21" s="137">
        <f t="shared" si="0"/>
        <v>7.9095983468188287</v>
      </c>
    </row>
    <row r="22" spans="1:33" x14ac:dyDescent="0.25">
      <c r="A22" s="18" t="s">
        <v>126</v>
      </c>
      <c r="B22" s="18">
        <v>7.0113436892559973</v>
      </c>
      <c r="C22" s="17">
        <v>6.0137407708533885</v>
      </c>
      <c r="D22" s="17">
        <v>69.58821405085115</v>
      </c>
      <c r="E22" s="17">
        <v>102.94958622645656</v>
      </c>
      <c r="F22" s="92">
        <v>363.79143716800309</v>
      </c>
      <c r="G22" s="17">
        <v>115.24209415949804</v>
      </c>
      <c r="H22" s="19">
        <v>255.73708204123724</v>
      </c>
      <c r="I22" s="17">
        <v>0</v>
      </c>
      <c r="J22" s="17">
        <v>0</v>
      </c>
      <c r="K22" s="17">
        <v>0</v>
      </c>
      <c r="L22" s="17">
        <v>0</v>
      </c>
      <c r="M22" s="17">
        <v>0</v>
      </c>
      <c r="N22" s="17">
        <v>0</v>
      </c>
      <c r="O22" s="17">
        <v>0</v>
      </c>
      <c r="P22" s="16">
        <v>0</v>
      </c>
      <c r="Q22" s="18">
        <v>0</v>
      </c>
      <c r="R22" s="19">
        <v>0</v>
      </c>
      <c r="S22" s="16">
        <v>0</v>
      </c>
      <c r="T22" s="17">
        <v>381.0817034983757</v>
      </c>
      <c r="U22" s="17">
        <v>717.30503102362161</v>
      </c>
      <c r="V22" s="18">
        <v>0</v>
      </c>
      <c r="W22" s="17">
        <v>0</v>
      </c>
      <c r="X22" s="19">
        <v>45.176860327200657</v>
      </c>
      <c r="Y22" s="19">
        <v>2063.8970929553539</v>
      </c>
      <c r="AA22" t="s">
        <v>126</v>
      </c>
      <c r="AB22" t="s">
        <v>139</v>
      </c>
      <c r="AG22" s="137">
        <f t="shared" si="0"/>
        <v>2.258843016360033</v>
      </c>
    </row>
    <row r="23" spans="1:33" x14ac:dyDescent="0.25">
      <c r="A23" s="6" t="s">
        <v>72</v>
      </c>
      <c r="B23" s="6">
        <v>0</v>
      </c>
      <c r="C23" s="5">
        <v>0</v>
      </c>
      <c r="D23" s="5">
        <v>0</v>
      </c>
      <c r="E23" s="5">
        <v>0</v>
      </c>
      <c r="F23" s="93">
        <v>0</v>
      </c>
      <c r="G23" s="5">
        <v>0</v>
      </c>
      <c r="H23" s="7">
        <v>0</v>
      </c>
      <c r="I23" s="5">
        <v>289.91644795031846</v>
      </c>
      <c r="J23" s="5">
        <v>21.328084550899572</v>
      </c>
      <c r="K23" s="5">
        <v>612.86269219906865</v>
      </c>
      <c r="L23" s="5">
        <v>4.3375472007328199E-2</v>
      </c>
      <c r="M23" s="5">
        <v>0</v>
      </c>
      <c r="N23" s="5">
        <v>0</v>
      </c>
      <c r="O23" s="5">
        <v>0</v>
      </c>
      <c r="P23" s="4"/>
      <c r="Q23" s="6">
        <v>0</v>
      </c>
      <c r="R23" s="7">
        <v>0</v>
      </c>
      <c r="S23" s="4"/>
      <c r="T23" s="5">
        <v>0</v>
      </c>
      <c r="U23" s="5">
        <v>0</v>
      </c>
      <c r="V23" s="6">
        <v>0</v>
      </c>
      <c r="W23" s="5">
        <v>0</v>
      </c>
      <c r="X23" s="7"/>
      <c r="Y23" s="7">
        <v>924.15060017229405</v>
      </c>
      <c r="AA23" t="s">
        <v>72</v>
      </c>
    </row>
    <row r="24" spans="1:33" x14ac:dyDescent="0.25">
      <c r="A24" s="10" t="s">
        <v>6</v>
      </c>
      <c r="B24" s="10">
        <v>1305.0639789904651</v>
      </c>
      <c r="C24" s="9">
        <v>63.885662620446482</v>
      </c>
      <c r="D24" s="9">
        <v>195.39720412432234</v>
      </c>
      <c r="E24" s="9">
        <v>368.56943123831934</v>
      </c>
      <c r="F24" s="20">
        <v>642.98533254579752</v>
      </c>
      <c r="G24" s="9">
        <v>437.70756207564796</v>
      </c>
      <c r="H24" s="11">
        <v>614.54181418107396</v>
      </c>
      <c r="I24" s="9">
        <v>0</v>
      </c>
      <c r="J24" s="9">
        <v>0</v>
      </c>
      <c r="K24" s="9">
        <v>0</v>
      </c>
      <c r="L24" s="9">
        <v>0</v>
      </c>
      <c r="M24" s="9">
        <v>0</v>
      </c>
      <c r="N24" s="9">
        <v>0</v>
      </c>
      <c r="O24" s="9">
        <v>0</v>
      </c>
      <c r="P24" s="8">
        <v>0</v>
      </c>
      <c r="Q24" s="10">
        <v>0</v>
      </c>
      <c r="R24" s="11">
        <v>0</v>
      </c>
      <c r="S24" s="8">
        <v>0</v>
      </c>
      <c r="T24" s="9">
        <v>0</v>
      </c>
      <c r="U24" s="9">
        <v>0</v>
      </c>
      <c r="V24" s="10">
        <v>0</v>
      </c>
      <c r="W24" s="9">
        <v>0</v>
      </c>
      <c r="X24" s="11">
        <v>4.3360473316879453</v>
      </c>
      <c r="Y24" s="11">
        <v>3635.8237637534394</v>
      </c>
      <c r="AA24" t="s">
        <v>6</v>
      </c>
      <c r="AB24" t="s">
        <v>17</v>
      </c>
    </row>
    <row r="25" spans="1:33" x14ac:dyDescent="0.25">
      <c r="A25" s="10" t="s">
        <v>7</v>
      </c>
      <c r="B25" s="10">
        <v>285.37492643338697</v>
      </c>
      <c r="C25" s="9">
        <v>68.073205186316045</v>
      </c>
      <c r="D25" s="9">
        <v>156.82319887554337</v>
      </c>
      <c r="E25" s="9">
        <v>162.74823325752124</v>
      </c>
      <c r="F25" s="20">
        <v>273.82722945274605</v>
      </c>
      <c r="G25" s="9">
        <v>45.812684638255341</v>
      </c>
      <c r="H25" s="11">
        <v>666.87714387760661</v>
      </c>
      <c r="I25" s="9">
        <v>0</v>
      </c>
      <c r="J25" s="9">
        <v>0</v>
      </c>
      <c r="K25" s="9">
        <v>0</v>
      </c>
      <c r="L25" s="9">
        <v>0</v>
      </c>
      <c r="M25" s="9">
        <v>0</v>
      </c>
      <c r="N25" s="9">
        <v>0</v>
      </c>
      <c r="O25" s="9">
        <v>0</v>
      </c>
      <c r="P25" s="8">
        <v>0</v>
      </c>
      <c r="Q25" s="10">
        <v>0</v>
      </c>
      <c r="R25" s="11">
        <v>0</v>
      </c>
      <c r="S25" s="8">
        <v>0</v>
      </c>
      <c r="T25" s="9">
        <v>0</v>
      </c>
      <c r="U25" s="9">
        <v>0</v>
      </c>
      <c r="V25" s="10">
        <v>0</v>
      </c>
      <c r="W25" s="9">
        <v>0</v>
      </c>
      <c r="X25" s="11">
        <v>3.9429870638417932</v>
      </c>
      <c r="Y25" s="11">
        <v>1663.4796087852174</v>
      </c>
      <c r="AA25" t="s">
        <v>7</v>
      </c>
      <c r="AB25" t="s">
        <v>18</v>
      </c>
    </row>
    <row r="26" spans="1:33" x14ac:dyDescent="0.25">
      <c r="A26" s="6" t="s">
        <v>73</v>
      </c>
      <c r="B26" s="6">
        <v>0</v>
      </c>
      <c r="C26" s="5">
        <v>0</v>
      </c>
      <c r="D26" s="5">
        <v>0</v>
      </c>
      <c r="E26" s="5">
        <v>0</v>
      </c>
      <c r="F26" s="93">
        <v>0</v>
      </c>
      <c r="G26" s="5">
        <v>0</v>
      </c>
      <c r="H26" s="7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4"/>
      <c r="Q26" s="6">
        <v>0</v>
      </c>
      <c r="R26" s="7">
        <v>1382.1224060397058</v>
      </c>
      <c r="S26" s="4"/>
      <c r="T26" s="5">
        <v>0</v>
      </c>
      <c r="U26" s="5">
        <v>0</v>
      </c>
      <c r="V26" s="6">
        <v>174.26500138805923</v>
      </c>
      <c r="W26" s="5">
        <v>0</v>
      </c>
      <c r="X26" s="7">
        <v>50.13661925237308</v>
      </c>
      <c r="Y26" s="7">
        <v>1606.5240266801381</v>
      </c>
      <c r="AA26" t="s">
        <v>73</v>
      </c>
    </row>
    <row r="27" spans="1:33" x14ac:dyDescent="0.25">
      <c r="A27" s="14" t="s">
        <v>8</v>
      </c>
      <c r="B27" s="14">
        <v>0</v>
      </c>
      <c r="C27" s="13">
        <v>0</v>
      </c>
      <c r="D27" s="13">
        <v>0</v>
      </c>
      <c r="E27" s="13">
        <v>0</v>
      </c>
      <c r="F27" s="91">
        <v>0</v>
      </c>
      <c r="G27" s="13">
        <v>0</v>
      </c>
      <c r="H27" s="15">
        <v>0</v>
      </c>
      <c r="I27" s="13">
        <v>0</v>
      </c>
      <c r="J27" s="13">
        <v>0</v>
      </c>
      <c r="K27" s="13">
        <v>0</v>
      </c>
      <c r="L27" s="13">
        <v>0</v>
      </c>
      <c r="M27" s="13">
        <v>0</v>
      </c>
      <c r="N27" s="13">
        <v>0</v>
      </c>
      <c r="O27" s="13">
        <v>0</v>
      </c>
      <c r="P27" s="12">
        <v>0</v>
      </c>
      <c r="Q27" s="14">
        <v>1969.6131520464339</v>
      </c>
      <c r="R27" s="15">
        <v>150.88573323082099</v>
      </c>
      <c r="S27" s="12">
        <v>289.87133537322012</v>
      </c>
      <c r="T27" s="13">
        <v>0</v>
      </c>
      <c r="U27" s="13">
        <v>0</v>
      </c>
      <c r="V27" s="14">
        <v>32.293864012303651</v>
      </c>
      <c r="W27" s="13">
        <v>0</v>
      </c>
      <c r="X27" s="15">
        <v>30.479964572827882</v>
      </c>
      <c r="Y27" s="15">
        <v>2473.1440492356069</v>
      </c>
      <c r="AA27" t="s">
        <v>8</v>
      </c>
      <c r="AB27" t="s">
        <v>19</v>
      </c>
    </row>
    <row r="28" spans="1:33" x14ac:dyDescent="0.25">
      <c r="A28" s="18" t="s">
        <v>9</v>
      </c>
      <c r="B28" s="18">
        <v>0</v>
      </c>
      <c r="C28" s="17">
        <v>0</v>
      </c>
      <c r="D28" s="17">
        <v>0</v>
      </c>
      <c r="E28" s="17">
        <v>0</v>
      </c>
      <c r="F28" s="92">
        <v>0</v>
      </c>
      <c r="G28" s="17">
        <v>0</v>
      </c>
      <c r="H28" s="19">
        <v>0</v>
      </c>
      <c r="I28" s="17">
        <v>0</v>
      </c>
      <c r="J28" s="17">
        <v>0</v>
      </c>
      <c r="K28" s="17">
        <v>0</v>
      </c>
      <c r="L28" s="17">
        <v>0</v>
      </c>
      <c r="M28" s="17">
        <v>0</v>
      </c>
      <c r="N28" s="17">
        <v>0</v>
      </c>
      <c r="O28" s="17">
        <v>0</v>
      </c>
      <c r="P28" s="16">
        <v>0</v>
      </c>
      <c r="Q28" s="18">
        <v>1613.7423799980618</v>
      </c>
      <c r="R28" s="19">
        <v>16.758784015081133</v>
      </c>
      <c r="S28" s="16">
        <v>857.62523790411444</v>
      </c>
      <c r="T28" s="17">
        <v>0</v>
      </c>
      <c r="U28" s="17">
        <v>0</v>
      </c>
      <c r="V28" s="18">
        <v>42.746077728489723</v>
      </c>
      <c r="W28" s="17">
        <v>0</v>
      </c>
      <c r="X28" s="19">
        <v>42.324039518465788</v>
      </c>
      <c r="Y28" s="19">
        <v>2573.196519164213</v>
      </c>
      <c r="AA28" t="s">
        <v>9</v>
      </c>
      <c r="AB28" t="s">
        <v>20</v>
      </c>
    </row>
    <row r="29" spans="1:33" x14ac:dyDescent="0.25">
      <c r="A29" s="10" t="s">
        <v>10</v>
      </c>
      <c r="B29" s="10">
        <v>0</v>
      </c>
      <c r="C29" s="9">
        <v>0</v>
      </c>
      <c r="D29" s="9">
        <v>0</v>
      </c>
      <c r="E29" s="9">
        <v>0</v>
      </c>
      <c r="F29" s="20">
        <v>0</v>
      </c>
      <c r="G29" s="9">
        <v>0</v>
      </c>
      <c r="H29" s="11">
        <v>0</v>
      </c>
      <c r="I29" s="9">
        <v>11.858989408862065</v>
      </c>
      <c r="J29" s="9">
        <v>0.14112661853811159</v>
      </c>
      <c r="K29" s="9">
        <v>273.69130963929018</v>
      </c>
      <c r="L29" s="9">
        <v>2.8818782710910558</v>
      </c>
      <c r="M29" s="9">
        <v>55.521717236426866</v>
      </c>
      <c r="N29" s="9">
        <v>2.2487482266600209</v>
      </c>
      <c r="O29" s="9">
        <v>73.643935388561232</v>
      </c>
      <c r="P29" s="8">
        <v>0</v>
      </c>
      <c r="Q29" s="10">
        <v>0</v>
      </c>
      <c r="R29" s="11">
        <v>2.6865174414038329</v>
      </c>
      <c r="S29" s="8">
        <v>386.91848107571712</v>
      </c>
      <c r="T29" s="9">
        <v>39.830444363912747</v>
      </c>
      <c r="U29" s="9">
        <v>308.04808965085869</v>
      </c>
      <c r="V29" s="10">
        <v>871.01595213602468</v>
      </c>
      <c r="W29" s="9">
        <v>0</v>
      </c>
      <c r="X29" s="11">
        <v>484.09318280934781</v>
      </c>
      <c r="Y29" s="11">
        <v>2512.5803722666947</v>
      </c>
      <c r="AA29" t="s">
        <v>10</v>
      </c>
      <c r="AB29" t="s">
        <v>21</v>
      </c>
    </row>
    <row r="30" spans="1:33" x14ac:dyDescent="0.25">
      <c r="A30" s="10" t="s">
        <v>127</v>
      </c>
      <c r="B30" s="10">
        <v>0</v>
      </c>
      <c r="C30" s="9">
        <v>0</v>
      </c>
      <c r="D30" s="9">
        <v>0</v>
      </c>
      <c r="E30" s="9">
        <v>0</v>
      </c>
      <c r="F30" s="20">
        <v>0</v>
      </c>
      <c r="G30" s="9">
        <v>0</v>
      </c>
      <c r="H30" s="11">
        <v>0</v>
      </c>
      <c r="I30" s="9">
        <v>0</v>
      </c>
      <c r="J30" s="9">
        <v>0</v>
      </c>
      <c r="K30" s="9">
        <v>0</v>
      </c>
      <c r="L30" s="9">
        <v>0</v>
      </c>
      <c r="M30" s="9">
        <v>0</v>
      </c>
      <c r="N30" s="9">
        <v>0</v>
      </c>
      <c r="O30" s="9">
        <v>0</v>
      </c>
      <c r="P30" s="8">
        <v>0</v>
      </c>
      <c r="Q30" s="10">
        <v>0</v>
      </c>
      <c r="R30" s="11">
        <v>0</v>
      </c>
      <c r="S30" s="8">
        <v>67.515249639846061</v>
      </c>
      <c r="T30" s="9">
        <v>70.051565511974886</v>
      </c>
      <c r="U30" s="9">
        <v>124.38019055398732</v>
      </c>
      <c r="V30" s="10">
        <v>405.76636048732507</v>
      </c>
      <c r="W30" s="9">
        <v>37.915599447549226</v>
      </c>
      <c r="X30" s="11">
        <v>885.42794568075124</v>
      </c>
      <c r="Y30" s="11">
        <v>1591.056911321434</v>
      </c>
      <c r="AA30" t="s">
        <v>11</v>
      </c>
      <c r="AB30" t="s">
        <v>22</v>
      </c>
    </row>
    <row r="31" spans="1:33" x14ac:dyDescent="0.25">
      <c r="A31" s="10" t="s">
        <v>12</v>
      </c>
      <c r="B31" s="10">
        <v>0</v>
      </c>
      <c r="C31" s="9">
        <v>0</v>
      </c>
      <c r="D31" s="9">
        <v>0</v>
      </c>
      <c r="E31" s="9">
        <v>0</v>
      </c>
      <c r="F31" s="20">
        <v>0</v>
      </c>
      <c r="G31" s="9">
        <v>0</v>
      </c>
      <c r="H31" s="11">
        <v>0</v>
      </c>
      <c r="I31" s="9">
        <v>59.583352316771304</v>
      </c>
      <c r="J31" s="9">
        <v>14.950590279778371</v>
      </c>
      <c r="K31" s="9">
        <v>1293.2100691735836</v>
      </c>
      <c r="L31" s="9">
        <v>2.5839607326042251</v>
      </c>
      <c r="M31" s="9">
        <v>506.7851911468324</v>
      </c>
      <c r="N31" s="9">
        <v>99.812063213896067</v>
      </c>
      <c r="O31" s="9">
        <v>136.11321319607922</v>
      </c>
      <c r="P31" s="8"/>
      <c r="Q31" s="10">
        <v>52.468231708942561</v>
      </c>
      <c r="R31" s="11">
        <v>111.02616805820585</v>
      </c>
      <c r="S31" s="8">
        <v>4.5937226872404366</v>
      </c>
      <c r="T31" s="9">
        <v>5.7523199986657509</v>
      </c>
      <c r="U31" s="9">
        <v>30.910374554585353</v>
      </c>
      <c r="V31" s="10">
        <v>27.460653592704407</v>
      </c>
      <c r="W31" s="9">
        <v>0</v>
      </c>
      <c r="X31" s="11"/>
      <c r="Y31" s="11">
        <v>2345.2499106598907</v>
      </c>
      <c r="AA31" t="s">
        <v>12</v>
      </c>
      <c r="AB31" t="s">
        <v>23</v>
      </c>
    </row>
    <row r="32" spans="1:33" x14ac:dyDescent="0.25">
      <c r="A32" s="6" t="s">
        <v>74</v>
      </c>
      <c r="B32" s="6">
        <v>1861.5144748939067</v>
      </c>
      <c r="C32" s="5">
        <v>176.57814555667528</v>
      </c>
      <c r="D32" s="5">
        <v>1127.1552575367493</v>
      </c>
      <c r="E32" s="5">
        <v>1648.0579307046901</v>
      </c>
      <c r="F32" s="93">
        <v>2346.1200726585162</v>
      </c>
      <c r="G32" s="5">
        <v>1226.5765613096846</v>
      </c>
      <c r="H32" s="7">
        <v>1854.1399443707132</v>
      </c>
      <c r="I32" s="5">
        <v>2222.8732645698587</v>
      </c>
      <c r="J32" s="5">
        <v>212.99794700589126</v>
      </c>
      <c r="K32" s="5">
        <v>3306.9193285486917</v>
      </c>
      <c r="L32" s="5">
        <v>1653.5671451803923</v>
      </c>
      <c r="M32" s="5">
        <v>2908.426981041775</v>
      </c>
      <c r="N32" s="5">
        <v>1328.637372750241</v>
      </c>
      <c r="O32" s="5">
        <v>2063.8970929553534</v>
      </c>
      <c r="P32" s="4">
        <v>924.15060017229371</v>
      </c>
      <c r="Q32" s="6">
        <v>3635.8237637534385</v>
      </c>
      <c r="R32" s="7">
        <v>1663.4796087852174</v>
      </c>
      <c r="S32" s="4">
        <v>1606.5240266801379</v>
      </c>
      <c r="T32" s="5">
        <v>2473.1440492356073</v>
      </c>
      <c r="U32" s="5">
        <v>2573.196519164213</v>
      </c>
      <c r="V32" s="6">
        <v>2512.5803722666928</v>
      </c>
      <c r="W32" s="6">
        <v>1591.0569113214344</v>
      </c>
      <c r="X32" s="6">
        <v>2345.2499106598912</v>
      </c>
      <c r="Y32" s="6"/>
      <c r="AA32" t="s">
        <v>74</v>
      </c>
      <c r="AB32" t="s">
        <v>24</v>
      </c>
    </row>
    <row r="33" spans="1:25" x14ac:dyDescent="0.25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</row>
    <row r="34" spans="1:25" x14ac:dyDescent="0.25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</row>
    <row r="37" spans="1:25" ht="18.75" x14ac:dyDescent="0.3">
      <c r="A37" s="37" t="s">
        <v>140</v>
      </c>
    </row>
    <row r="39" spans="1:25" x14ac:dyDescent="0.25">
      <c r="A39" s="21" t="s">
        <v>31</v>
      </c>
    </row>
    <row r="40" spans="1:25" x14ac:dyDescent="0.25">
      <c r="A40" s="20" t="s">
        <v>141</v>
      </c>
    </row>
    <row r="41" spans="1:25" x14ac:dyDescent="0.25">
      <c r="A41" s="26"/>
      <c r="B41" s="26" t="s">
        <v>0</v>
      </c>
      <c r="C41" s="25" t="s">
        <v>115</v>
      </c>
      <c r="D41" s="25" t="s">
        <v>116</v>
      </c>
      <c r="E41" s="25" t="s">
        <v>117</v>
      </c>
      <c r="F41" s="25" t="s">
        <v>118</v>
      </c>
      <c r="G41" s="25" t="s">
        <v>119</v>
      </c>
      <c r="H41" s="27" t="s">
        <v>120</v>
      </c>
      <c r="I41" s="25" t="s">
        <v>3</v>
      </c>
      <c r="J41" s="25" t="s">
        <v>121</v>
      </c>
      <c r="K41" s="25" t="s">
        <v>122</v>
      </c>
      <c r="L41" s="25" t="s">
        <v>123</v>
      </c>
      <c r="M41" s="25" t="s">
        <v>124</v>
      </c>
      <c r="N41" s="25" t="s">
        <v>125</v>
      </c>
      <c r="O41" s="25" t="s">
        <v>126</v>
      </c>
      <c r="P41" s="51" t="s">
        <v>72</v>
      </c>
      <c r="Q41" s="26" t="s">
        <v>6</v>
      </c>
      <c r="R41" s="27" t="s">
        <v>7</v>
      </c>
      <c r="S41" s="51" t="s">
        <v>73</v>
      </c>
      <c r="T41" s="25" t="s">
        <v>8</v>
      </c>
      <c r="U41" s="25" t="s">
        <v>9</v>
      </c>
      <c r="V41" s="26" t="s">
        <v>10</v>
      </c>
      <c r="W41" s="25" t="s">
        <v>11</v>
      </c>
      <c r="X41" s="27" t="s">
        <v>12</v>
      </c>
    </row>
    <row r="42" spans="1:25" x14ac:dyDescent="0.25">
      <c r="A42" s="26" t="s">
        <v>0</v>
      </c>
      <c r="B42" s="14"/>
      <c r="C42" s="13"/>
      <c r="D42" s="13"/>
      <c r="E42" s="13"/>
      <c r="F42" s="91"/>
      <c r="G42" s="13"/>
      <c r="H42" s="15"/>
      <c r="I42" s="94"/>
      <c r="J42" s="94"/>
      <c r="K42" s="94"/>
      <c r="L42" s="94"/>
      <c r="M42" s="94"/>
      <c r="N42" s="94"/>
      <c r="O42" s="94"/>
      <c r="P42" s="12"/>
      <c r="Q42" s="14"/>
      <c r="R42" s="15"/>
      <c r="S42" s="12"/>
      <c r="T42" s="13"/>
      <c r="U42" s="13"/>
      <c r="V42" s="95">
        <f t="shared" ref="V42:X57" si="1">IF(N$240=1,0,V9/V$32)</f>
        <v>0</v>
      </c>
      <c r="W42" s="96">
        <f t="shared" si="1"/>
        <v>0</v>
      </c>
      <c r="X42" s="97">
        <f t="shared" si="1"/>
        <v>0</v>
      </c>
    </row>
    <row r="43" spans="1:25" x14ac:dyDescent="0.25">
      <c r="A43" s="23" t="s">
        <v>115</v>
      </c>
      <c r="B43" s="10"/>
      <c r="C43" s="9"/>
      <c r="D43" s="9"/>
      <c r="E43" s="9"/>
      <c r="F43" s="20"/>
      <c r="G43" s="9"/>
      <c r="H43" s="11"/>
      <c r="I43" s="98"/>
      <c r="J43" s="98"/>
      <c r="K43" s="98"/>
      <c r="L43" s="98"/>
      <c r="M43" s="98"/>
      <c r="N43" s="98"/>
      <c r="O43" s="98"/>
      <c r="P43" s="8"/>
      <c r="Q43" s="10"/>
      <c r="R43" s="11"/>
      <c r="S43" s="8"/>
      <c r="T43" s="9"/>
      <c r="U43" s="9"/>
      <c r="V43" s="99">
        <f>IF(N$240=1,0,V10/V$32)</f>
        <v>0</v>
      </c>
      <c r="W43" s="100">
        <f t="shared" si="1"/>
        <v>0</v>
      </c>
      <c r="X43" s="101">
        <f t="shared" si="1"/>
        <v>0</v>
      </c>
    </row>
    <row r="44" spans="1:25" x14ac:dyDescent="0.25">
      <c r="A44" s="23" t="s">
        <v>116</v>
      </c>
      <c r="B44" s="10"/>
      <c r="C44" s="9"/>
      <c r="D44" s="9"/>
      <c r="E44" s="9"/>
      <c r="F44" s="20"/>
      <c r="G44" s="9"/>
      <c r="H44" s="11"/>
      <c r="I44" s="98"/>
      <c r="J44" s="98"/>
      <c r="K44" s="98"/>
      <c r="L44" s="98"/>
      <c r="M44" s="98"/>
      <c r="N44" s="98"/>
      <c r="O44" s="98"/>
      <c r="P44" s="8"/>
      <c r="Q44" s="10"/>
      <c r="R44" s="11"/>
      <c r="S44" s="8"/>
      <c r="T44" s="9"/>
      <c r="U44" s="9"/>
      <c r="V44" s="99">
        <f t="shared" si="1"/>
        <v>0</v>
      </c>
      <c r="W44" s="100">
        <f t="shared" si="1"/>
        <v>0</v>
      </c>
      <c r="X44" s="101">
        <f t="shared" si="1"/>
        <v>0</v>
      </c>
    </row>
    <row r="45" spans="1:25" x14ac:dyDescent="0.25">
      <c r="A45" s="23" t="s">
        <v>117</v>
      </c>
      <c r="B45" s="10"/>
      <c r="C45" s="9"/>
      <c r="D45" s="9"/>
      <c r="E45" s="9"/>
      <c r="F45" s="20"/>
      <c r="G45" s="9"/>
      <c r="H45" s="11"/>
      <c r="I45" s="98"/>
      <c r="J45" s="98"/>
      <c r="K45" s="98"/>
      <c r="L45" s="98"/>
      <c r="M45" s="98"/>
      <c r="N45" s="98"/>
      <c r="O45" s="98"/>
      <c r="P45" s="8"/>
      <c r="Q45" s="10"/>
      <c r="R45" s="11"/>
      <c r="S45" s="8"/>
      <c r="T45" s="9"/>
      <c r="U45" s="9"/>
      <c r="V45" s="99">
        <f t="shared" si="1"/>
        <v>0</v>
      </c>
      <c r="W45" s="100">
        <f t="shared" si="1"/>
        <v>0</v>
      </c>
      <c r="X45" s="101">
        <f t="shared" si="1"/>
        <v>0</v>
      </c>
    </row>
    <row r="46" spans="1:25" x14ac:dyDescent="0.25">
      <c r="A46" s="23" t="s">
        <v>118</v>
      </c>
      <c r="B46" s="10"/>
      <c r="C46" s="9"/>
      <c r="D46" s="9"/>
      <c r="E46" s="9"/>
      <c r="F46" s="20"/>
      <c r="G46" s="9"/>
      <c r="H46" s="11"/>
      <c r="I46" s="98"/>
      <c r="J46" s="98"/>
      <c r="K46" s="98"/>
      <c r="L46" s="98"/>
      <c r="M46" s="98"/>
      <c r="N46" s="98"/>
      <c r="O46" s="98"/>
      <c r="P46" s="8"/>
      <c r="Q46" s="10"/>
      <c r="R46" s="11"/>
      <c r="S46" s="8"/>
      <c r="T46" s="9"/>
      <c r="U46" s="9"/>
      <c r="V46" s="99">
        <f t="shared" si="1"/>
        <v>0</v>
      </c>
      <c r="W46" s="100">
        <f t="shared" si="1"/>
        <v>0</v>
      </c>
      <c r="X46" s="101">
        <f t="shared" si="1"/>
        <v>0</v>
      </c>
    </row>
    <row r="47" spans="1:25" x14ac:dyDescent="0.25">
      <c r="A47" s="23" t="s">
        <v>119</v>
      </c>
      <c r="B47" s="10"/>
      <c r="C47" s="9"/>
      <c r="D47" s="9"/>
      <c r="E47" s="9"/>
      <c r="F47" s="20"/>
      <c r="G47" s="9"/>
      <c r="H47" s="11"/>
      <c r="I47" s="98"/>
      <c r="J47" s="98"/>
      <c r="K47" s="98"/>
      <c r="L47" s="98"/>
      <c r="M47" s="98"/>
      <c r="N47" s="98"/>
      <c r="O47" s="98"/>
      <c r="P47" s="8"/>
      <c r="Q47" s="10"/>
      <c r="R47" s="11"/>
      <c r="S47" s="8"/>
      <c r="T47" s="9"/>
      <c r="U47" s="9"/>
      <c r="V47" s="99">
        <f t="shared" si="1"/>
        <v>0</v>
      </c>
      <c r="W47" s="100">
        <f t="shared" si="1"/>
        <v>0</v>
      </c>
      <c r="X47" s="101">
        <f t="shared" si="1"/>
        <v>0</v>
      </c>
    </row>
    <row r="48" spans="1:25" x14ac:dyDescent="0.25">
      <c r="A48" s="23" t="s">
        <v>120</v>
      </c>
      <c r="B48" s="10"/>
      <c r="C48" s="9"/>
      <c r="D48" s="9"/>
      <c r="E48" s="9"/>
      <c r="F48" s="20"/>
      <c r="G48" s="9"/>
      <c r="H48" s="11"/>
      <c r="I48" s="98"/>
      <c r="J48" s="98"/>
      <c r="K48" s="98"/>
      <c r="L48" s="98"/>
      <c r="M48" s="98"/>
      <c r="N48" s="98"/>
      <c r="O48" s="98"/>
      <c r="P48" s="8"/>
      <c r="Q48" s="10"/>
      <c r="R48" s="11"/>
      <c r="S48" s="8"/>
      <c r="T48" s="9"/>
      <c r="U48" s="9"/>
      <c r="V48" s="99">
        <f t="shared" si="1"/>
        <v>0</v>
      </c>
      <c r="W48" s="100">
        <f t="shared" si="1"/>
        <v>0</v>
      </c>
      <c r="X48" s="101">
        <f t="shared" si="1"/>
        <v>0</v>
      </c>
    </row>
    <row r="49" spans="1:24" x14ac:dyDescent="0.25">
      <c r="A49" s="26" t="s">
        <v>3</v>
      </c>
      <c r="B49" s="14"/>
      <c r="C49" s="13"/>
      <c r="D49" s="13"/>
      <c r="E49" s="13"/>
      <c r="F49" s="91"/>
      <c r="G49" s="13"/>
      <c r="H49" s="15"/>
      <c r="I49" s="94"/>
      <c r="J49" s="94"/>
      <c r="K49" s="94"/>
      <c r="L49" s="94"/>
      <c r="M49" s="94"/>
      <c r="N49" s="94"/>
      <c r="O49" s="94"/>
      <c r="P49" s="12"/>
      <c r="Q49" s="14"/>
      <c r="R49" s="15"/>
      <c r="S49" s="12"/>
      <c r="T49" s="13"/>
      <c r="U49" s="13"/>
      <c r="V49" s="95">
        <f t="shared" si="1"/>
        <v>0</v>
      </c>
      <c r="W49" s="96">
        <f t="shared" si="1"/>
        <v>0</v>
      </c>
      <c r="X49" s="97">
        <f t="shared" si="1"/>
        <v>0</v>
      </c>
    </row>
    <row r="50" spans="1:24" x14ac:dyDescent="0.25">
      <c r="A50" s="23" t="s">
        <v>121</v>
      </c>
      <c r="B50" s="10"/>
      <c r="C50" s="9"/>
      <c r="D50" s="9"/>
      <c r="E50" s="9"/>
      <c r="F50" s="20"/>
      <c r="G50" s="9"/>
      <c r="H50" s="11"/>
      <c r="I50" s="98"/>
      <c r="J50" s="98"/>
      <c r="K50" s="98"/>
      <c r="L50" s="98"/>
      <c r="M50" s="98"/>
      <c r="N50" s="98"/>
      <c r="O50" s="98"/>
      <c r="P50" s="8"/>
      <c r="Q50" s="10"/>
      <c r="R50" s="11"/>
      <c r="S50" s="8"/>
      <c r="T50" s="9"/>
      <c r="U50" s="9"/>
      <c r="V50" s="99">
        <f t="shared" si="1"/>
        <v>0</v>
      </c>
      <c r="W50" s="100">
        <f t="shared" si="1"/>
        <v>0</v>
      </c>
      <c r="X50" s="101">
        <f t="shared" si="1"/>
        <v>0</v>
      </c>
    </row>
    <row r="51" spans="1:24" x14ac:dyDescent="0.25">
      <c r="A51" s="23" t="s">
        <v>122</v>
      </c>
      <c r="B51" s="10"/>
      <c r="C51" s="9"/>
      <c r="D51" s="9"/>
      <c r="E51" s="9"/>
      <c r="F51" s="20"/>
      <c r="G51" s="9"/>
      <c r="H51" s="11"/>
      <c r="I51" s="98"/>
      <c r="J51" s="98"/>
      <c r="K51" s="98"/>
      <c r="L51" s="98"/>
      <c r="M51" s="98"/>
      <c r="N51" s="98"/>
      <c r="O51" s="98"/>
      <c r="P51" s="8"/>
      <c r="Q51" s="10"/>
      <c r="R51" s="11"/>
      <c r="S51" s="8"/>
      <c r="T51" s="9"/>
      <c r="U51" s="9"/>
      <c r="V51" s="99">
        <f t="shared" si="1"/>
        <v>0</v>
      </c>
      <c r="W51" s="100">
        <f t="shared" si="1"/>
        <v>0</v>
      </c>
      <c r="X51" s="101">
        <f t="shared" si="1"/>
        <v>0</v>
      </c>
    </row>
    <row r="52" spans="1:24" x14ac:dyDescent="0.25">
      <c r="A52" s="23" t="s">
        <v>123</v>
      </c>
      <c r="B52" s="10"/>
      <c r="C52" s="9"/>
      <c r="D52" s="9"/>
      <c r="E52" s="9"/>
      <c r="F52" s="20"/>
      <c r="G52" s="9"/>
      <c r="H52" s="11"/>
      <c r="I52" s="98"/>
      <c r="J52" s="98"/>
      <c r="K52" s="98"/>
      <c r="L52" s="98"/>
      <c r="M52" s="98"/>
      <c r="N52" s="98"/>
      <c r="O52" s="98"/>
      <c r="P52" s="8"/>
      <c r="Q52" s="10"/>
      <c r="R52" s="11"/>
      <c r="S52" s="8"/>
      <c r="T52" s="9"/>
      <c r="U52" s="9"/>
      <c r="V52" s="99">
        <f t="shared" si="1"/>
        <v>0</v>
      </c>
      <c r="W52" s="100">
        <f>IF(O$240=1,0,W19/W$32)</f>
        <v>0</v>
      </c>
      <c r="X52" s="101">
        <f t="shared" si="1"/>
        <v>0</v>
      </c>
    </row>
    <row r="53" spans="1:24" x14ac:dyDescent="0.25">
      <c r="A53" s="23" t="s">
        <v>124</v>
      </c>
      <c r="B53" s="10"/>
      <c r="C53" s="9"/>
      <c r="D53" s="9"/>
      <c r="E53" s="9"/>
      <c r="F53" s="20"/>
      <c r="G53" s="9"/>
      <c r="H53" s="11"/>
      <c r="I53" s="98"/>
      <c r="J53" s="98"/>
      <c r="K53" s="98"/>
      <c r="L53" s="98"/>
      <c r="M53" s="98"/>
      <c r="N53" s="98"/>
      <c r="O53" s="98"/>
      <c r="P53" s="8"/>
      <c r="Q53" s="10"/>
      <c r="R53" s="11"/>
      <c r="S53" s="8"/>
      <c r="T53" s="9"/>
      <c r="U53" s="9"/>
      <c r="V53" s="99">
        <f t="shared" si="1"/>
        <v>0</v>
      </c>
      <c r="W53" s="100">
        <f t="shared" si="1"/>
        <v>0</v>
      </c>
      <c r="X53" s="101">
        <f t="shared" si="1"/>
        <v>0</v>
      </c>
    </row>
    <row r="54" spans="1:24" x14ac:dyDescent="0.25">
      <c r="A54" s="23" t="s">
        <v>125</v>
      </c>
      <c r="B54" s="10"/>
      <c r="C54" s="9"/>
      <c r="D54" s="9"/>
      <c r="E54" s="9"/>
      <c r="F54" s="20"/>
      <c r="G54" s="9"/>
      <c r="H54" s="11"/>
      <c r="I54" s="98"/>
      <c r="J54" s="98"/>
      <c r="K54" s="98"/>
      <c r="L54" s="98"/>
      <c r="M54" s="98"/>
      <c r="N54" s="98"/>
      <c r="O54" s="98"/>
      <c r="P54" s="8"/>
      <c r="Q54" s="10"/>
      <c r="R54" s="11"/>
      <c r="S54" s="8"/>
      <c r="T54" s="9"/>
      <c r="U54" s="9"/>
      <c r="V54" s="99">
        <f t="shared" si="1"/>
        <v>0</v>
      </c>
      <c r="W54" s="100">
        <f t="shared" si="1"/>
        <v>0</v>
      </c>
      <c r="X54" s="101">
        <f t="shared" si="1"/>
        <v>0</v>
      </c>
    </row>
    <row r="55" spans="1:24" x14ac:dyDescent="0.25">
      <c r="A55" s="29" t="s">
        <v>126</v>
      </c>
      <c r="B55" s="18"/>
      <c r="C55" s="17"/>
      <c r="D55" s="17"/>
      <c r="E55" s="17"/>
      <c r="F55" s="92"/>
      <c r="G55" s="17"/>
      <c r="H55" s="19"/>
      <c r="I55" s="102"/>
      <c r="J55" s="102"/>
      <c r="K55" s="102"/>
      <c r="L55" s="102"/>
      <c r="M55" s="102"/>
      <c r="N55" s="102"/>
      <c r="O55" s="102"/>
      <c r="P55" s="16"/>
      <c r="Q55" s="18"/>
      <c r="R55" s="19"/>
      <c r="S55" s="16"/>
      <c r="T55" s="17"/>
      <c r="U55" s="17"/>
      <c r="V55" s="103">
        <f t="shared" si="1"/>
        <v>0</v>
      </c>
      <c r="W55" s="104">
        <f t="shared" si="1"/>
        <v>0</v>
      </c>
      <c r="X55" s="105">
        <f t="shared" si="1"/>
        <v>0</v>
      </c>
    </row>
    <row r="56" spans="1:24" x14ac:dyDescent="0.25">
      <c r="A56" s="32" t="s">
        <v>72</v>
      </c>
      <c r="B56" s="6"/>
      <c r="C56" s="5"/>
      <c r="D56" s="5"/>
      <c r="E56" s="5"/>
      <c r="F56" s="93"/>
      <c r="G56" s="5"/>
      <c r="H56" s="7"/>
      <c r="I56" s="83"/>
      <c r="J56" s="83"/>
      <c r="K56" s="83"/>
      <c r="L56" s="83"/>
      <c r="M56" s="83"/>
      <c r="N56" s="83"/>
      <c r="O56" s="83"/>
      <c r="P56" s="4"/>
      <c r="Q56" s="6"/>
      <c r="R56" s="7"/>
      <c r="S56" s="4"/>
      <c r="T56" s="5"/>
      <c r="U56" s="5"/>
      <c r="V56" s="106">
        <f t="shared" si="1"/>
        <v>0</v>
      </c>
      <c r="W56" s="107">
        <f t="shared" si="1"/>
        <v>0</v>
      </c>
      <c r="X56" s="108">
        <f t="shared" si="1"/>
        <v>0</v>
      </c>
    </row>
    <row r="57" spans="1:24" x14ac:dyDescent="0.25">
      <c r="A57" s="23" t="s">
        <v>6</v>
      </c>
      <c r="B57" s="10"/>
      <c r="C57" s="9"/>
      <c r="D57" s="9"/>
      <c r="E57" s="9"/>
      <c r="F57" s="20"/>
      <c r="G57" s="9"/>
      <c r="H57" s="11"/>
      <c r="I57" s="98"/>
      <c r="J57" s="98"/>
      <c r="K57" s="98"/>
      <c r="L57" s="98"/>
      <c r="M57" s="98"/>
      <c r="N57" s="98"/>
      <c r="O57" s="98"/>
      <c r="P57" s="8"/>
      <c r="Q57" s="10"/>
      <c r="R57" s="11"/>
      <c r="S57" s="8"/>
      <c r="T57" s="9"/>
      <c r="U57" s="9"/>
      <c r="V57" s="99">
        <f t="shared" si="1"/>
        <v>0</v>
      </c>
      <c r="W57" s="100">
        <f t="shared" si="1"/>
        <v>0</v>
      </c>
      <c r="X57" s="101">
        <f t="shared" si="1"/>
        <v>0</v>
      </c>
    </row>
    <row r="58" spans="1:24" x14ac:dyDescent="0.25">
      <c r="A58" s="23" t="s">
        <v>7</v>
      </c>
      <c r="B58" s="10"/>
      <c r="C58" s="9"/>
      <c r="D58" s="9"/>
      <c r="E58" s="9"/>
      <c r="F58" s="20"/>
      <c r="G58" s="9"/>
      <c r="H58" s="11"/>
      <c r="I58" s="98"/>
      <c r="J58" s="98"/>
      <c r="K58" s="98"/>
      <c r="L58" s="98"/>
      <c r="M58" s="98"/>
      <c r="N58" s="98"/>
      <c r="O58" s="98"/>
      <c r="P58" s="8"/>
      <c r="Q58" s="10"/>
      <c r="R58" s="11"/>
      <c r="S58" s="8"/>
      <c r="T58" s="9"/>
      <c r="U58" s="9"/>
      <c r="V58" s="99">
        <f t="shared" ref="V58:X65" si="2">IF(N$240=1,0,V25/V$32)</f>
        <v>0</v>
      </c>
      <c r="W58" s="100">
        <f t="shared" si="2"/>
        <v>0</v>
      </c>
      <c r="X58" s="101">
        <f t="shared" si="2"/>
        <v>0</v>
      </c>
    </row>
    <row r="59" spans="1:24" x14ac:dyDescent="0.25">
      <c r="A59" s="32" t="s">
        <v>73</v>
      </c>
      <c r="B59" s="6"/>
      <c r="C59" s="5"/>
      <c r="D59" s="5"/>
      <c r="E59" s="5"/>
      <c r="F59" s="93"/>
      <c r="G59" s="5"/>
      <c r="H59" s="7"/>
      <c r="I59" s="83"/>
      <c r="J59" s="83"/>
      <c r="K59" s="83"/>
      <c r="L59" s="83"/>
      <c r="M59" s="83"/>
      <c r="N59" s="83"/>
      <c r="O59" s="83"/>
      <c r="P59" s="4"/>
      <c r="Q59" s="6"/>
      <c r="R59" s="7"/>
      <c r="S59" s="4"/>
      <c r="T59" s="5"/>
      <c r="U59" s="5"/>
      <c r="V59" s="106">
        <f t="shared" si="2"/>
        <v>0</v>
      </c>
      <c r="W59" s="107">
        <f t="shared" si="2"/>
        <v>0</v>
      </c>
      <c r="X59" s="108">
        <f t="shared" si="2"/>
        <v>0</v>
      </c>
    </row>
    <row r="60" spans="1:24" x14ac:dyDescent="0.25">
      <c r="A60" s="26" t="s">
        <v>8</v>
      </c>
      <c r="B60" s="14"/>
      <c r="C60" s="13"/>
      <c r="D60" s="13"/>
      <c r="E60" s="13"/>
      <c r="F60" s="91"/>
      <c r="G60" s="13"/>
      <c r="H60" s="15"/>
      <c r="I60" s="94"/>
      <c r="J60" s="94"/>
      <c r="K60" s="94"/>
      <c r="L60" s="94"/>
      <c r="M60" s="94"/>
      <c r="N60" s="94"/>
      <c r="O60" s="94"/>
      <c r="P60" s="12"/>
      <c r="Q60" s="14"/>
      <c r="R60" s="15"/>
      <c r="S60" s="12"/>
      <c r="T60" s="13"/>
      <c r="U60" s="13"/>
      <c r="V60" s="95">
        <f t="shared" si="2"/>
        <v>0</v>
      </c>
      <c r="W60" s="96">
        <f t="shared" si="2"/>
        <v>0</v>
      </c>
      <c r="X60" s="97">
        <f t="shared" si="2"/>
        <v>0</v>
      </c>
    </row>
    <row r="61" spans="1:24" x14ac:dyDescent="0.25">
      <c r="A61" s="29" t="s">
        <v>9</v>
      </c>
      <c r="B61" s="18"/>
      <c r="C61" s="17"/>
      <c r="D61" s="17"/>
      <c r="E61" s="17"/>
      <c r="F61" s="92"/>
      <c r="G61" s="17"/>
      <c r="H61" s="19"/>
      <c r="I61" s="102"/>
      <c r="J61" s="102"/>
      <c r="K61" s="102"/>
      <c r="L61" s="102"/>
      <c r="M61" s="102"/>
      <c r="N61" s="102"/>
      <c r="O61" s="102"/>
      <c r="P61" s="16"/>
      <c r="Q61" s="18"/>
      <c r="R61" s="19"/>
      <c r="S61" s="16"/>
      <c r="T61" s="17"/>
      <c r="U61" s="17"/>
      <c r="V61" s="103">
        <f t="shared" si="2"/>
        <v>0</v>
      </c>
      <c r="W61" s="104">
        <f t="shared" si="2"/>
        <v>0</v>
      </c>
      <c r="X61" s="105">
        <f t="shared" si="2"/>
        <v>0</v>
      </c>
    </row>
    <row r="62" spans="1:24" x14ac:dyDescent="0.25">
      <c r="A62" s="23" t="s">
        <v>10</v>
      </c>
      <c r="B62" s="10"/>
      <c r="C62" s="9"/>
      <c r="D62" s="9"/>
      <c r="E62" s="9"/>
      <c r="F62" s="20"/>
      <c r="G62" s="9"/>
      <c r="H62" s="11"/>
      <c r="I62" s="98"/>
      <c r="J62" s="98"/>
      <c r="K62" s="98"/>
      <c r="L62" s="98"/>
      <c r="M62" s="98"/>
      <c r="N62" s="98"/>
      <c r="O62" s="98"/>
      <c r="P62" s="8"/>
      <c r="Q62" s="10"/>
      <c r="R62" s="11"/>
      <c r="S62" s="8"/>
      <c r="T62" s="9"/>
      <c r="U62" s="9"/>
      <c r="V62" s="99">
        <f t="shared" si="2"/>
        <v>0</v>
      </c>
      <c r="W62" s="100">
        <f t="shared" si="2"/>
        <v>0</v>
      </c>
      <c r="X62" s="101">
        <f t="shared" si="2"/>
        <v>0</v>
      </c>
    </row>
    <row r="63" spans="1:24" x14ac:dyDescent="0.25">
      <c r="A63" s="23" t="s">
        <v>11</v>
      </c>
      <c r="B63" s="10"/>
      <c r="C63" s="9"/>
      <c r="D63" s="9"/>
      <c r="E63" s="9"/>
      <c r="F63" s="20"/>
      <c r="G63" s="9"/>
      <c r="H63" s="11"/>
      <c r="I63" s="98"/>
      <c r="J63" s="98"/>
      <c r="K63" s="98"/>
      <c r="L63" s="98"/>
      <c r="M63" s="98"/>
      <c r="N63" s="98"/>
      <c r="O63" s="98"/>
      <c r="P63" s="8"/>
      <c r="Q63" s="10"/>
      <c r="R63" s="11"/>
      <c r="S63" s="8"/>
      <c r="T63" s="9"/>
      <c r="U63" s="9"/>
      <c r="V63" s="99">
        <f t="shared" si="2"/>
        <v>0</v>
      </c>
      <c r="W63" s="100">
        <f t="shared" si="2"/>
        <v>0</v>
      </c>
      <c r="X63" s="101">
        <f t="shared" si="2"/>
        <v>0</v>
      </c>
    </row>
    <row r="64" spans="1:24" x14ac:dyDescent="0.25">
      <c r="A64" s="23" t="s">
        <v>12</v>
      </c>
      <c r="B64" s="10"/>
      <c r="C64" s="9"/>
      <c r="D64" s="9"/>
      <c r="E64" s="9"/>
      <c r="F64" s="20"/>
      <c r="G64" s="9"/>
      <c r="H64" s="11"/>
      <c r="I64" s="98"/>
      <c r="J64" s="98"/>
      <c r="K64" s="98"/>
      <c r="L64" s="98"/>
      <c r="M64" s="98"/>
      <c r="N64" s="98"/>
      <c r="O64" s="98"/>
      <c r="P64" s="8"/>
      <c r="Q64" s="10"/>
      <c r="R64" s="11"/>
      <c r="S64" s="8"/>
      <c r="T64" s="9"/>
      <c r="U64" s="9"/>
      <c r="V64" s="99">
        <f t="shared" si="2"/>
        <v>0</v>
      </c>
      <c r="W64" s="100">
        <f t="shared" si="2"/>
        <v>0</v>
      </c>
      <c r="X64" s="101">
        <f t="shared" si="2"/>
        <v>0</v>
      </c>
    </row>
    <row r="65" spans="1:24" x14ac:dyDescent="0.25">
      <c r="A65" s="32" t="s">
        <v>74</v>
      </c>
      <c r="B65" s="6"/>
      <c r="C65" s="5"/>
      <c r="D65" s="5"/>
      <c r="E65" s="5"/>
      <c r="F65" s="93"/>
      <c r="G65" s="5"/>
      <c r="H65" s="7"/>
      <c r="I65" s="83"/>
      <c r="J65" s="83"/>
      <c r="K65" s="83"/>
      <c r="L65" s="83"/>
      <c r="M65" s="83"/>
      <c r="N65" s="83"/>
      <c r="O65" s="83"/>
      <c r="P65" s="4"/>
      <c r="Q65" s="6"/>
      <c r="R65" s="7"/>
      <c r="S65" s="4"/>
      <c r="T65" s="5"/>
      <c r="U65" s="5"/>
      <c r="V65" s="106">
        <f t="shared" si="2"/>
        <v>0</v>
      </c>
      <c r="W65" s="107">
        <f t="shared" si="2"/>
        <v>0</v>
      </c>
      <c r="X65" s="108">
        <f t="shared" si="2"/>
        <v>0</v>
      </c>
    </row>
    <row r="66" spans="1:24" x14ac:dyDescent="0.25">
      <c r="B66" s="56"/>
      <c r="C66" s="56"/>
      <c r="D66" s="56"/>
      <c r="E66" s="56"/>
      <c r="F66" s="56"/>
      <c r="G66" s="56"/>
      <c r="H66" s="56"/>
      <c r="I66" s="56"/>
      <c r="J66" s="56"/>
      <c r="K66" s="56"/>
      <c r="L66" s="56"/>
      <c r="M66" s="56"/>
      <c r="N66" s="56"/>
      <c r="O66" s="56"/>
      <c r="P66" s="56"/>
      <c r="Q66" s="56"/>
      <c r="R66" s="56"/>
      <c r="S66" s="56"/>
      <c r="T66" s="56"/>
      <c r="U66" s="56"/>
      <c r="V66" s="56"/>
      <c r="W66" s="56"/>
      <c r="X66" s="56"/>
    </row>
    <row r="68" spans="1:24" x14ac:dyDescent="0.25">
      <c r="A68" s="109" t="s">
        <v>142</v>
      </c>
    </row>
    <row r="69" spans="1:24" x14ac:dyDescent="0.25">
      <c r="A69" s="20" t="s">
        <v>143</v>
      </c>
    </row>
    <row r="70" spans="1:24" x14ac:dyDescent="0.25">
      <c r="A70" s="26"/>
      <c r="B70" s="26" t="s">
        <v>0</v>
      </c>
      <c r="C70" s="25" t="s">
        <v>115</v>
      </c>
      <c r="D70" s="25" t="s">
        <v>116</v>
      </c>
      <c r="E70" s="25" t="s">
        <v>117</v>
      </c>
      <c r="F70" s="25" t="s">
        <v>118</v>
      </c>
      <c r="G70" s="25" t="s">
        <v>119</v>
      </c>
      <c r="H70" s="27" t="s">
        <v>120</v>
      </c>
      <c r="I70" s="96" t="s">
        <v>3</v>
      </c>
      <c r="J70" s="96" t="s">
        <v>121</v>
      </c>
      <c r="K70" s="96" t="s">
        <v>122</v>
      </c>
      <c r="L70" s="96" t="s">
        <v>123</v>
      </c>
      <c r="M70" s="96" t="s">
        <v>124</v>
      </c>
      <c r="N70" s="96" t="s">
        <v>125</v>
      </c>
      <c r="O70" s="96" t="s">
        <v>126</v>
      </c>
      <c r="P70" s="51" t="s">
        <v>72</v>
      </c>
      <c r="Q70" s="26" t="s">
        <v>6</v>
      </c>
      <c r="R70" s="27" t="s">
        <v>7</v>
      </c>
      <c r="S70" s="51" t="s">
        <v>73</v>
      </c>
      <c r="T70" s="25" t="s">
        <v>8</v>
      </c>
      <c r="U70" s="25" t="s">
        <v>9</v>
      </c>
      <c r="V70" s="26" t="s">
        <v>10</v>
      </c>
      <c r="W70" s="25" t="s">
        <v>11</v>
      </c>
      <c r="X70" s="27" t="s">
        <v>12</v>
      </c>
    </row>
    <row r="71" spans="1:24" x14ac:dyDescent="0.25">
      <c r="A71" s="26" t="s">
        <v>0</v>
      </c>
      <c r="B71" s="14"/>
      <c r="C71" s="13"/>
      <c r="D71" s="13"/>
      <c r="E71" s="13"/>
      <c r="F71" s="91"/>
      <c r="G71" s="13"/>
      <c r="H71" s="15"/>
      <c r="I71" s="96">
        <f t="shared" ref="I71:O86" si="3">IF(N$249=1,0,I42)</f>
        <v>0</v>
      </c>
      <c r="J71" s="96">
        <f t="shared" si="3"/>
        <v>0</v>
      </c>
      <c r="K71" s="96">
        <f t="shared" si="3"/>
        <v>0</v>
      </c>
      <c r="L71" s="96">
        <f t="shared" si="3"/>
        <v>0</v>
      </c>
      <c r="M71" s="96">
        <f t="shared" si="3"/>
        <v>0</v>
      </c>
      <c r="N71" s="96">
        <f t="shared" si="3"/>
        <v>0</v>
      </c>
      <c r="O71" s="96">
        <f t="shared" si="3"/>
        <v>0</v>
      </c>
      <c r="P71" s="12"/>
      <c r="Q71" s="14"/>
      <c r="R71" s="15"/>
      <c r="S71" s="12"/>
      <c r="T71" s="13"/>
      <c r="U71" s="13"/>
      <c r="V71" s="110"/>
      <c r="W71" s="111"/>
      <c r="X71" s="112"/>
    </row>
    <row r="72" spans="1:24" x14ac:dyDescent="0.25">
      <c r="A72" s="23" t="s">
        <v>115</v>
      </c>
      <c r="B72" s="10"/>
      <c r="C72" s="9"/>
      <c r="D72" s="9"/>
      <c r="E72" s="9"/>
      <c r="F72" s="20"/>
      <c r="G72" s="9"/>
      <c r="H72" s="11"/>
      <c r="I72" s="100">
        <f t="shared" si="3"/>
        <v>0</v>
      </c>
      <c r="J72" s="100">
        <f t="shared" si="3"/>
        <v>0</v>
      </c>
      <c r="K72" s="100">
        <f t="shared" si="3"/>
        <v>0</v>
      </c>
      <c r="L72" s="100">
        <f t="shared" si="3"/>
        <v>0</v>
      </c>
      <c r="M72" s="100">
        <f t="shared" si="3"/>
        <v>0</v>
      </c>
      <c r="N72" s="100">
        <f t="shared" si="3"/>
        <v>0</v>
      </c>
      <c r="O72" s="100">
        <f t="shared" si="3"/>
        <v>0</v>
      </c>
      <c r="P72" s="8"/>
      <c r="Q72" s="10"/>
      <c r="R72" s="11"/>
      <c r="S72" s="8"/>
      <c r="T72" s="9"/>
      <c r="U72" s="9"/>
      <c r="V72" s="113"/>
      <c r="W72" s="114"/>
      <c r="X72" s="115"/>
    </row>
    <row r="73" spans="1:24" x14ac:dyDescent="0.25">
      <c r="A73" s="23" t="s">
        <v>116</v>
      </c>
      <c r="B73" s="10"/>
      <c r="C73" s="9"/>
      <c r="D73" s="9"/>
      <c r="E73" s="9"/>
      <c r="F73" s="20"/>
      <c r="G73" s="9"/>
      <c r="H73" s="11"/>
      <c r="I73" s="100">
        <f t="shared" si="3"/>
        <v>0</v>
      </c>
      <c r="J73" s="100">
        <f t="shared" si="3"/>
        <v>0</v>
      </c>
      <c r="K73" s="100">
        <f t="shared" si="3"/>
        <v>0</v>
      </c>
      <c r="L73" s="100">
        <f t="shared" si="3"/>
        <v>0</v>
      </c>
      <c r="M73" s="100">
        <f t="shared" si="3"/>
        <v>0</v>
      </c>
      <c r="N73" s="100">
        <f t="shared" si="3"/>
        <v>0</v>
      </c>
      <c r="O73" s="100">
        <f t="shared" si="3"/>
        <v>0</v>
      </c>
      <c r="P73" s="8"/>
      <c r="Q73" s="10"/>
      <c r="R73" s="11"/>
      <c r="S73" s="8"/>
      <c r="T73" s="9"/>
      <c r="U73" s="9"/>
      <c r="V73" s="113"/>
      <c r="W73" s="114"/>
      <c r="X73" s="115"/>
    </row>
    <row r="74" spans="1:24" x14ac:dyDescent="0.25">
      <c r="A74" s="23" t="s">
        <v>117</v>
      </c>
      <c r="B74" s="10"/>
      <c r="C74" s="9"/>
      <c r="D74" s="9"/>
      <c r="E74" s="9"/>
      <c r="F74" s="20"/>
      <c r="G74" s="9"/>
      <c r="H74" s="11"/>
      <c r="I74" s="100">
        <f t="shared" si="3"/>
        <v>0</v>
      </c>
      <c r="J74" s="100">
        <f>IF(O$249=1,0,J45)</f>
        <v>0</v>
      </c>
      <c r="K74" s="100">
        <f t="shared" si="3"/>
        <v>0</v>
      </c>
      <c r="L74" s="100">
        <f t="shared" si="3"/>
        <v>0</v>
      </c>
      <c r="M74" s="100">
        <f t="shared" si="3"/>
        <v>0</v>
      </c>
      <c r="N74" s="100">
        <f t="shared" si="3"/>
        <v>0</v>
      </c>
      <c r="O74" s="100">
        <f t="shared" si="3"/>
        <v>0</v>
      </c>
      <c r="P74" s="8"/>
      <c r="Q74" s="10"/>
      <c r="R74" s="11"/>
      <c r="S74" s="8"/>
      <c r="T74" s="9"/>
      <c r="U74" s="9"/>
      <c r="V74" s="113"/>
      <c r="W74" s="114"/>
      <c r="X74" s="115"/>
    </row>
    <row r="75" spans="1:24" x14ac:dyDescent="0.25">
      <c r="A75" s="23" t="s">
        <v>118</v>
      </c>
      <c r="B75" s="10"/>
      <c r="C75" s="9"/>
      <c r="D75" s="9"/>
      <c r="E75" s="9"/>
      <c r="F75" s="20"/>
      <c r="G75" s="9"/>
      <c r="H75" s="11"/>
      <c r="I75" s="100">
        <f t="shared" si="3"/>
        <v>0</v>
      </c>
      <c r="J75" s="100">
        <f t="shared" si="3"/>
        <v>0</v>
      </c>
      <c r="K75" s="100">
        <f t="shared" si="3"/>
        <v>0</v>
      </c>
      <c r="L75" s="100">
        <f t="shared" si="3"/>
        <v>0</v>
      </c>
      <c r="M75" s="100">
        <f t="shared" si="3"/>
        <v>0</v>
      </c>
      <c r="N75" s="100">
        <f t="shared" si="3"/>
        <v>0</v>
      </c>
      <c r="O75" s="100">
        <f t="shared" si="3"/>
        <v>0</v>
      </c>
      <c r="P75" s="8"/>
      <c r="Q75" s="10"/>
      <c r="R75" s="11"/>
      <c r="S75" s="8"/>
      <c r="T75" s="9"/>
      <c r="U75" s="9"/>
      <c r="V75" s="113"/>
      <c r="W75" s="114"/>
      <c r="X75" s="115"/>
    </row>
    <row r="76" spans="1:24" x14ac:dyDescent="0.25">
      <c r="A76" s="23" t="s">
        <v>119</v>
      </c>
      <c r="B76" s="10"/>
      <c r="C76" s="9"/>
      <c r="D76" s="9"/>
      <c r="E76" s="9"/>
      <c r="F76" s="20"/>
      <c r="G76" s="9"/>
      <c r="H76" s="11"/>
      <c r="I76" s="100">
        <f t="shared" si="3"/>
        <v>0</v>
      </c>
      <c r="J76" s="100">
        <f t="shared" si="3"/>
        <v>0</v>
      </c>
      <c r="K76" s="100">
        <f t="shared" si="3"/>
        <v>0</v>
      </c>
      <c r="L76" s="100">
        <f t="shared" si="3"/>
        <v>0</v>
      </c>
      <c r="M76" s="100">
        <f t="shared" si="3"/>
        <v>0</v>
      </c>
      <c r="N76" s="100">
        <f t="shared" si="3"/>
        <v>0</v>
      </c>
      <c r="O76" s="100">
        <f t="shared" si="3"/>
        <v>0</v>
      </c>
      <c r="P76" s="8"/>
      <c r="Q76" s="10"/>
      <c r="R76" s="11"/>
      <c r="S76" s="8"/>
      <c r="T76" s="9"/>
      <c r="U76" s="9"/>
      <c r="V76" s="113"/>
      <c r="W76" s="114"/>
      <c r="X76" s="115"/>
    </row>
    <row r="77" spans="1:24" x14ac:dyDescent="0.25">
      <c r="A77" s="23" t="s">
        <v>120</v>
      </c>
      <c r="B77" s="10"/>
      <c r="C77" s="9"/>
      <c r="D77" s="9"/>
      <c r="E77" s="9"/>
      <c r="F77" s="20"/>
      <c r="G77" s="9"/>
      <c r="H77" s="11"/>
      <c r="I77" s="100">
        <f t="shared" si="3"/>
        <v>0</v>
      </c>
      <c r="J77" s="100">
        <f t="shared" si="3"/>
        <v>0</v>
      </c>
      <c r="K77" s="100">
        <f t="shared" si="3"/>
        <v>0</v>
      </c>
      <c r="L77" s="100">
        <f t="shared" si="3"/>
        <v>0</v>
      </c>
      <c r="M77" s="100">
        <f t="shared" si="3"/>
        <v>0</v>
      </c>
      <c r="N77" s="100">
        <f t="shared" si="3"/>
        <v>0</v>
      </c>
      <c r="O77" s="100">
        <f t="shared" si="3"/>
        <v>0</v>
      </c>
      <c r="P77" s="8"/>
      <c r="Q77" s="10"/>
      <c r="R77" s="11"/>
      <c r="S77" s="8"/>
      <c r="T77" s="9"/>
      <c r="U77" s="9"/>
      <c r="V77" s="113"/>
      <c r="W77" s="114"/>
      <c r="X77" s="115"/>
    </row>
    <row r="78" spans="1:24" x14ac:dyDescent="0.25">
      <c r="A78" s="26" t="s">
        <v>3</v>
      </c>
      <c r="B78" s="14"/>
      <c r="C78" s="13"/>
      <c r="D78" s="13"/>
      <c r="E78" s="13"/>
      <c r="F78" s="91"/>
      <c r="G78" s="13"/>
      <c r="H78" s="15"/>
      <c r="I78" s="96">
        <f t="shared" si="3"/>
        <v>0</v>
      </c>
      <c r="J78" s="96">
        <f t="shared" si="3"/>
        <v>0</v>
      </c>
      <c r="K78" s="96">
        <f t="shared" si="3"/>
        <v>0</v>
      </c>
      <c r="L78" s="96">
        <f t="shared" si="3"/>
        <v>0</v>
      </c>
      <c r="M78" s="96">
        <f t="shared" si="3"/>
        <v>0</v>
      </c>
      <c r="N78" s="96">
        <f t="shared" si="3"/>
        <v>0</v>
      </c>
      <c r="O78" s="96">
        <f t="shared" si="3"/>
        <v>0</v>
      </c>
      <c r="P78" s="12"/>
      <c r="Q78" s="14"/>
      <c r="R78" s="15"/>
      <c r="S78" s="12"/>
      <c r="T78" s="13"/>
      <c r="U78" s="13"/>
      <c r="V78" s="110"/>
      <c r="W78" s="111"/>
      <c r="X78" s="112"/>
    </row>
    <row r="79" spans="1:24" x14ac:dyDescent="0.25">
      <c r="A79" s="23" t="s">
        <v>121</v>
      </c>
      <c r="B79" s="10"/>
      <c r="C79" s="9"/>
      <c r="D79" s="9"/>
      <c r="E79" s="9"/>
      <c r="F79" s="20"/>
      <c r="G79" s="9"/>
      <c r="H79" s="11"/>
      <c r="I79" s="100">
        <f t="shared" si="3"/>
        <v>0</v>
      </c>
      <c r="J79" s="100">
        <f t="shared" si="3"/>
        <v>0</v>
      </c>
      <c r="K79" s="100">
        <f t="shared" si="3"/>
        <v>0</v>
      </c>
      <c r="L79" s="100">
        <f t="shared" si="3"/>
        <v>0</v>
      </c>
      <c r="M79" s="100">
        <f t="shared" si="3"/>
        <v>0</v>
      </c>
      <c r="N79" s="100">
        <f t="shared" si="3"/>
        <v>0</v>
      </c>
      <c r="O79" s="100">
        <f t="shared" si="3"/>
        <v>0</v>
      </c>
      <c r="P79" s="8"/>
      <c r="Q79" s="10"/>
      <c r="R79" s="11"/>
      <c r="S79" s="8"/>
      <c r="T79" s="9"/>
      <c r="U79" s="9"/>
      <c r="V79" s="113"/>
      <c r="W79" s="114"/>
      <c r="X79" s="115"/>
    </row>
    <row r="80" spans="1:24" x14ac:dyDescent="0.25">
      <c r="A80" s="23" t="s">
        <v>122</v>
      </c>
      <c r="B80" s="10"/>
      <c r="C80" s="9"/>
      <c r="D80" s="9"/>
      <c r="E80" s="9"/>
      <c r="F80" s="20"/>
      <c r="G80" s="9"/>
      <c r="H80" s="11"/>
      <c r="I80" s="100">
        <f t="shared" si="3"/>
        <v>0</v>
      </c>
      <c r="J80" s="100">
        <f t="shared" si="3"/>
        <v>0</v>
      </c>
      <c r="K80" s="100">
        <f t="shared" si="3"/>
        <v>0</v>
      </c>
      <c r="L80" s="100">
        <f t="shared" si="3"/>
        <v>0</v>
      </c>
      <c r="M80" s="100">
        <f t="shared" si="3"/>
        <v>0</v>
      </c>
      <c r="N80" s="100">
        <f t="shared" si="3"/>
        <v>0</v>
      </c>
      <c r="O80" s="100">
        <f t="shared" si="3"/>
        <v>0</v>
      </c>
      <c r="P80" s="8"/>
      <c r="Q80" s="10"/>
      <c r="R80" s="11"/>
      <c r="S80" s="8"/>
      <c r="T80" s="9"/>
      <c r="U80" s="9"/>
      <c r="V80" s="113"/>
      <c r="W80" s="114"/>
      <c r="X80" s="115"/>
    </row>
    <row r="81" spans="1:24" x14ac:dyDescent="0.25">
      <c r="A81" s="23" t="s">
        <v>123</v>
      </c>
      <c r="B81" s="10"/>
      <c r="C81" s="9"/>
      <c r="D81" s="9"/>
      <c r="E81" s="9"/>
      <c r="F81" s="20"/>
      <c r="G81" s="9"/>
      <c r="H81" s="11"/>
      <c r="I81" s="100">
        <f t="shared" si="3"/>
        <v>0</v>
      </c>
      <c r="J81" s="100">
        <f t="shared" si="3"/>
        <v>0</v>
      </c>
      <c r="K81" s="100">
        <f t="shared" si="3"/>
        <v>0</v>
      </c>
      <c r="L81" s="100">
        <f t="shared" si="3"/>
        <v>0</v>
      </c>
      <c r="M81" s="100">
        <f t="shared" si="3"/>
        <v>0</v>
      </c>
      <c r="N81" s="100">
        <f t="shared" si="3"/>
        <v>0</v>
      </c>
      <c r="O81" s="100">
        <f t="shared" si="3"/>
        <v>0</v>
      </c>
      <c r="P81" s="8"/>
      <c r="Q81" s="10"/>
      <c r="R81" s="11"/>
      <c r="S81" s="8"/>
      <c r="T81" s="9"/>
      <c r="U81" s="9"/>
      <c r="V81" s="113"/>
      <c r="W81" s="114"/>
      <c r="X81" s="115"/>
    </row>
    <row r="82" spans="1:24" x14ac:dyDescent="0.25">
      <c r="A82" s="23" t="s">
        <v>124</v>
      </c>
      <c r="B82" s="10"/>
      <c r="C82" s="9"/>
      <c r="D82" s="9"/>
      <c r="E82" s="9"/>
      <c r="F82" s="20"/>
      <c r="G82" s="9"/>
      <c r="H82" s="11"/>
      <c r="I82" s="100">
        <f t="shared" si="3"/>
        <v>0</v>
      </c>
      <c r="J82" s="100">
        <f t="shared" si="3"/>
        <v>0</v>
      </c>
      <c r="K82" s="100">
        <f t="shared" si="3"/>
        <v>0</v>
      </c>
      <c r="L82" s="100">
        <f t="shared" si="3"/>
        <v>0</v>
      </c>
      <c r="M82" s="100">
        <f t="shared" si="3"/>
        <v>0</v>
      </c>
      <c r="N82" s="100">
        <f t="shared" si="3"/>
        <v>0</v>
      </c>
      <c r="O82" s="100">
        <f t="shared" si="3"/>
        <v>0</v>
      </c>
      <c r="P82" s="8"/>
      <c r="Q82" s="10"/>
      <c r="R82" s="11"/>
      <c r="S82" s="8"/>
      <c r="T82" s="9"/>
      <c r="U82" s="9"/>
      <c r="V82" s="113"/>
      <c r="W82" s="114"/>
      <c r="X82" s="115"/>
    </row>
    <row r="83" spans="1:24" x14ac:dyDescent="0.25">
      <c r="A83" s="23" t="s">
        <v>125</v>
      </c>
      <c r="B83" s="10"/>
      <c r="C83" s="9"/>
      <c r="D83" s="9"/>
      <c r="E83" s="9"/>
      <c r="F83" s="20"/>
      <c r="G83" s="9"/>
      <c r="H83" s="11"/>
      <c r="I83" s="100">
        <f t="shared" si="3"/>
        <v>0</v>
      </c>
      <c r="J83" s="100">
        <f t="shared" si="3"/>
        <v>0</v>
      </c>
      <c r="K83" s="100">
        <f t="shared" si="3"/>
        <v>0</v>
      </c>
      <c r="L83" s="100">
        <f t="shared" si="3"/>
        <v>0</v>
      </c>
      <c r="M83" s="100">
        <f t="shared" si="3"/>
        <v>0</v>
      </c>
      <c r="N83" s="100">
        <f t="shared" si="3"/>
        <v>0</v>
      </c>
      <c r="O83" s="100">
        <f t="shared" si="3"/>
        <v>0</v>
      </c>
      <c r="P83" s="8"/>
      <c r="Q83" s="10"/>
      <c r="R83" s="11"/>
      <c r="S83" s="8"/>
      <c r="T83" s="9"/>
      <c r="U83" s="9"/>
      <c r="V83" s="113"/>
      <c r="W83" s="114"/>
      <c r="X83" s="115"/>
    </row>
    <row r="84" spans="1:24" x14ac:dyDescent="0.25">
      <c r="A84" s="29" t="s">
        <v>126</v>
      </c>
      <c r="B84" s="18"/>
      <c r="C84" s="17"/>
      <c r="D84" s="17"/>
      <c r="E84" s="17"/>
      <c r="F84" s="92"/>
      <c r="G84" s="17"/>
      <c r="H84" s="19"/>
      <c r="I84" s="104">
        <f t="shared" si="3"/>
        <v>0</v>
      </c>
      <c r="J84" s="104">
        <f t="shared" si="3"/>
        <v>0</v>
      </c>
      <c r="K84" s="104">
        <f t="shared" si="3"/>
        <v>0</v>
      </c>
      <c r="L84" s="104">
        <f t="shared" si="3"/>
        <v>0</v>
      </c>
      <c r="M84" s="104">
        <f t="shared" si="3"/>
        <v>0</v>
      </c>
      <c r="N84" s="104">
        <f t="shared" si="3"/>
        <v>0</v>
      </c>
      <c r="O84" s="104">
        <f t="shared" si="3"/>
        <v>0</v>
      </c>
      <c r="P84" s="16"/>
      <c r="Q84" s="18"/>
      <c r="R84" s="19"/>
      <c r="S84" s="16"/>
      <c r="T84" s="17"/>
      <c r="U84" s="17"/>
      <c r="V84" s="116"/>
      <c r="W84" s="117"/>
      <c r="X84" s="118"/>
    </row>
    <row r="85" spans="1:24" x14ac:dyDescent="0.25">
      <c r="A85" s="32" t="s">
        <v>72</v>
      </c>
      <c r="B85" s="6"/>
      <c r="C85" s="5"/>
      <c r="D85" s="5"/>
      <c r="E85" s="5"/>
      <c r="F85" s="93"/>
      <c r="G85" s="5"/>
      <c r="H85" s="7"/>
      <c r="I85" s="107">
        <f t="shared" si="3"/>
        <v>0</v>
      </c>
      <c r="J85" s="107">
        <f t="shared" si="3"/>
        <v>0</v>
      </c>
      <c r="K85" s="107">
        <f t="shared" si="3"/>
        <v>0</v>
      </c>
      <c r="L85" s="107">
        <f t="shared" si="3"/>
        <v>0</v>
      </c>
      <c r="M85" s="107">
        <f t="shared" si="3"/>
        <v>0</v>
      </c>
      <c r="N85" s="107">
        <f t="shared" si="3"/>
        <v>0</v>
      </c>
      <c r="O85" s="107">
        <f t="shared" si="3"/>
        <v>0</v>
      </c>
      <c r="P85" s="4"/>
      <c r="Q85" s="6"/>
      <c r="R85" s="7"/>
      <c r="S85" s="4"/>
      <c r="T85" s="5"/>
      <c r="U85" s="5"/>
      <c r="V85" s="119"/>
      <c r="W85" s="58"/>
      <c r="X85" s="120"/>
    </row>
    <row r="86" spans="1:24" x14ac:dyDescent="0.25">
      <c r="A86" s="23" t="s">
        <v>6</v>
      </c>
      <c r="B86" s="10"/>
      <c r="C86" s="9"/>
      <c r="D86" s="9"/>
      <c r="E86" s="9"/>
      <c r="F86" s="20"/>
      <c r="G86" s="9"/>
      <c r="H86" s="11"/>
      <c r="I86" s="100">
        <f t="shared" si="3"/>
        <v>0</v>
      </c>
      <c r="J86" s="100">
        <f t="shared" si="3"/>
        <v>0</v>
      </c>
      <c r="K86" s="100">
        <f t="shared" si="3"/>
        <v>0</v>
      </c>
      <c r="L86" s="100">
        <f t="shared" si="3"/>
        <v>0</v>
      </c>
      <c r="M86" s="100">
        <f t="shared" si="3"/>
        <v>0</v>
      </c>
      <c r="N86" s="100">
        <f t="shared" si="3"/>
        <v>0</v>
      </c>
      <c r="O86" s="100">
        <f t="shared" si="3"/>
        <v>0</v>
      </c>
      <c r="P86" s="8"/>
      <c r="Q86" s="10"/>
      <c r="R86" s="11"/>
      <c r="S86" s="8"/>
      <c r="T86" s="9"/>
      <c r="U86" s="9"/>
      <c r="V86" s="113"/>
      <c r="W86" s="114"/>
      <c r="X86" s="115"/>
    </row>
    <row r="87" spans="1:24" x14ac:dyDescent="0.25">
      <c r="A87" s="23" t="s">
        <v>7</v>
      </c>
      <c r="B87" s="10"/>
      <c r="C87" s="9"/>
      <c r="D87" s="9"/>
      <c r="E87" s="9"/>
      <c r="F87" s="20"/>
      <c r="G87" s="9"/>
      <c r="H87" s="11"/>
      <c r="I87" s="100">
        <f t="shared" ref="I87:O93" si="4">IF(N$249=1,0,I58)</f>
        <v>0</v>
      </c>
      <c r="J87" s="100">
        <f t="shared" si="4"/>
        <v>0</v>
      </c>
      <c r="K87" s="100">
        <f t="shared" si="4"/>
        <v>0</v>
      </c>
      <c r="L87" s="100">
        <f t="shared" si="4"/>
        <v>0</v>
      </c>
      <c r="M87" s="100">
        <f t="shared" si="4"/>
        <v>0</v>
      </c>
      <c r="N87" s="100">
        <f t="shared" si="4"/>
        <v>0</v>
      </c>
      <c r="O87" s="100">
        <f t="shared" si="4"/>
        <v>0</v>
      </c>
      <c r="P87" s="8"/>
      <c r="Q87" s="10"/>
      <c r="R87" s="11"/>
      <c r="S87" s="8"/>
      <c r="T87" s="9"/>
      <c r="U87" s="9"/>
      <c r="V87" s="113"/>
      <c r="W87" s="114"/>
      <c r="X87" s="115"/>
    </row>
    <row r="88" spans="1:24" x14ac:dyDescent="0.25">
      <c r="A88" s="32" t="s">
        <v>73</v>
      </c>
      <c r="B88" s="6"/>
      <c r="C88" s="5"/>
      <c r="D88" s="5"/>
      <c r="E88" s="5"/>
      <c r="F88" s="93"/>
      <c r="G88" s="5"/>
      <c r="H88" s="7"/>
      <c r="I88" s="107">
        <f t="shared" si="4"/>
        <v>0</v>
      </c>
      <c r="J88" s="107">
        <f t="shared" si="4"/>
        <v>0</v>
      </c>
      <c r="K88" s="107">
        <f t="shared" si="4"/>
        <v>0</v>
      </c>
      <c r="L88" s="107">
        <f t="shared" si="4"/>
        <v>0</v>
      </c>
      <c r="M88" s="107">
        <f t="shared" si="4"/>
        <v>0</v>
      </c>
      <c r="N88" s="107">
        <f t="shared" si="4"/>
        <v>0</v>
      </c>
      <c r="O88" s="107">
        <f t="shared" si="4"/>
        <v>0</v>
      </c>
      <c r="P88" s="4"/>
      <c r="Q88" s="6"/>
      <c r="R88" s="7"/>
      <c r="S88" s="4"/>
      <c r="T88" s="5"/>
      <c r="U88" s="5"/>
      <c r="V88" s="119"/>
      <c r="W88" s="58"/>
      <c r="X88" s="120"/>
    </row>
    <row r="89" spans="1:24" x14ac:dyDescent="0.25">
      <c r="A89" s="26" t="s">
        <v>8</v>
      </c>
      <c r="B89" s="14"/>
      <c r="C89" s="13"/>
      <c r="D89" s="13"/>
      <c r="E89" s="13"/>
      <c r="F89" s="91"/>
      <c r="G89" s="13"/>
      <c r="H89" s="15"/>
      <c r="I89" s="96">
        <f t="shared" si="4"/>
        <v>0</v>
      </c>
      <c r="J89" s="96">
        <f t="shared" si="4"/>
        <v>0</v>
      </c>
      <c r="K89" s="96">
        <f t="shared" si="4"/>
        <v>0</v>
      </c>
      <c r="L89" s="96">
        <f t="shared" si="4"/>
        <v>0</v>
      </c>
      <c r="M89" s="96">
        <f t="shared" si="4"/>
        <v>0</v>
      </c>
      <c r="N89" s="96">
        <f t="shared" si="4"/>
        <v>0</v>
      </c>
      <c r="O89" s="96">
        <f t="shared" si="4"/>
        <v>0</v>
      </c>
      <c r="P89" s="12"/>
      <c r="Q89" s="14"/>
      <c r="R89" s="15"/>
      <c r="S89" s="12"/>
      <c r="T89" s="13"/>
      <c r="U89" s="13"/>
      <c r="V89" s="110"/>
      <c r="W89" s="111"/>
      <c r="X89" s="112"/>
    </row>
    <row r="90" spans="1:24" x14ac:dyDescent="0.25">
      <c r="A90" s="29" t="s">
        <v>9</v>
      </c>
      <c r="B90" s="18"/>
      <c r="C90" s="17"/>
      <c r="D90" s="17"/>
      <c r="E90" s="17"/>
      <c r="F90" s="92"/>
      <c r="G90" s="17"/>
      <c r="H90" s="19"/>
      <c r="I90" s="104">
        <f t="shared" si="4"/>
        <v>0</v>
      </c>
      <c r="J90" s="104">
        <f t="shared" si="4"/>
        <v>0</v>
      </c>
      <c r="K90" s="104">
        <f t="shared" si="4"/>
        <v>0</v>
      </c>
      <c r="L90" s="104">
        <f t="shared" si="4"/>
        <v>0</v>
      </c>
      <c r="M90" s="104">
        <f t="shared" si="4"/>
        <v>0</v>
      </c>
      <c r="N90" s="104">
        <f t="shared" si="4"/>
        <v>0</v>
      </c>
      <c r="O90" s="104">
        <f t="shared" si="4"/>
        <v>0</v>
      </c>
      <c r="P90" s="16"/>
      <c r="Q90" s="18"/>
      <c r="R90" s="19"/>
      <c r="S90" s="16"/>
      <c r="T90" s="17"/>
      <c r="U90" s="17"/>
      <c r="V90" s="116"/>
      <c r="W90" s="117"/>
      <c r="X90" s="118"/>
    </row>
    <row r="91" spans="1:24" x14ac:dyDescent="0.25">
      <c r="A91" s="23" t="s">
        <v>10</v>
      </c>
      <c r="B91" s="10"/>
      <c r="C91" s="9"/>
      <c r="D91" s="9"/>
      <c r="E91" s="9"/>
      <c r="F91" s="20"/>
      <c r="G91" s="9"/>
      <c r="H91" s="11"/>
      <c r="I91" s="100">
        <f t="shared" si="4"/>
        <v>0</v>
      </c>
      <c r="J91" s="100">
        <f t="shared" si="4"/>
        <v>0</v>
      </c>
      <c r="K91" s="100">
        <f t="shared" si="4"/>
        <v>0</v>
      </c>
      <c r="L91" s="100">
        <f t="shared" si="4"/>
        <v>0</v>
      </c>
      <c r="M91" s="100">
        <f t="shared" si="4"/>
        <v>0</v>
      </c>
      <c r="N91" s="100">
        <f t="shared" si="4"/>
        <v>0</v>
      </c>
      <c r="O91" s="100">
        <f t="shared" si="4"/>
        <v>0</v>
      </c>
      <c r="P91" s="8"/>
      <c r="Q91" s="10"/>
      <c r="R91" s="11"/>
      <c r="S91" s="8"/>
      <c r="T91" s="9"/>
      <c r="U91" s="9"/>
      <c r="V91" s="113"/>
      <c r="W91" s="114"/>
      <c r="X91" s="115"/>
    </row>
    <row r="92" spans="1:24" x14ac:dyDescent="0.25">
      <c r="A92" s="23" t="s">
        <v>11</v>
      </c>
      <c r="B92" s="10"/>
      <c r="C92" s="9"/>
      <c r="D92" s="9"/>
      <c r="E92" s="9"/>
      <c r="F92" s="20"/>
      <c r="G92" s="9"/>
      <c r="H92" s="11"/>
      <c r="I92" s="100">
        <f t="shared" si="4"/>
        <v>0</v>
      </c>
      <c r="J92" s="100">
        <f t="shared" si="4"/>
        <v>0</v>
      </c>
      <c r="K92" s="100">
        <f t="shared" si="4"/>
        <v>0</v>
      </c>
      <c r="L92" s="100">
        <f t="shared" si="4"/>
        <v>0</v>
      </c>
      <c r="M92" s="100">
        <f t="shared" si="4"/>
        <v>0</v>
      </c>
      <c r="N92" s="100">
        <f t="shared" si="4"/>
        <v>0</v>
      </c>
      <c r="O92" s="100">
        <f t="shared" si="4"/>
        <v>0</v>
      </c>
      <c r="P92" s="8"/>
      <c r="Q92" s="10"/>
      <c r="R92" s="11"/>
      <c r="S92" s="8"/>
      <c r="T92" s="9"/>
      <c r="U92" s="9"/>
      <c r="V92" s="113"/>
      <c r="W92" s="114"/>
      <c r="X92" s="115"/>
    </row>
    <row r="93" spans="1:24" x14ac:dyDescent="0.25">
      <c r="A93" s="29" t="s">
        <v>12</v>
      </c>
      <c r="B93" s="18"/>
      <c r="C93" s="17"/>
      <c r="D93" s="17"/>
      <c r="E93" s="17"/>
      <c r="F93" s="92"/>
      <c r="G93" s="17"/>
      <c r="H93" s="19"/>
      <c r="I93" s="103">
        <f t="shared" si="4"/>
        <v>0</v>
      </c>
      <c r="J93" s="104">
        <f t="shared" si="4"/>
        <v>0</v>
      </c>
      <c r="K93" s="104">
        <f t="shared" si="4"/>
        <v>0</v>
      </c>
      <c r="L93" s="104">
        <f t="shared" si="4"/>
        <v>0</v>
      </c>
      <c r="M93" s="104">
        <f t="shared" si="4"/>
        <v>0</v>
      </c>
      <c r="N93" s="104">
        <f t="shared" si="4"/>
        <v>0</v>
      </c>
      <c r="O93" s="105">
        <f t="shared" si="4"/>
        <v>0</v>
      </c>
      <c r="P93" s="16"/>
      <c r="Q93" s="18"/>
      <c r="R93" s="19"/>
      <c r="S93" s="16"/>
      <c r="T93" s="17"/>
      <c r="U93" s="17"/>
      <c r="V93" s="116"/>
      <c r="W93" s="117"/>
      <c r="X93" s="118"/>
    </row>
    <row r="96" spans="1:24" x14ac:dyDescent="0.25">
      <c r="A96" s="21" t="s">
        <v>144</v>
      </c>
    </row>
    <row r="97" spans="1:24" x14ac:dyDescent="0.25">
      <c r="A97" s="6"/>
      <c r="B97" s="32" t="s">
        <v>0</v>
      </c>
      <c r="C97" s="31" t="s">
        <v>115</v>
      </c>
      <c r="D97" s="31" t="s">
        <v>116</v>
      </c>
      <c r="E97" s="31" t="s">
        <v>117</v>
      </c>
      <c r="F97" s="31" t="s">
        <v>118</v>
      </c>
      <c r="G97" s="31" t="s">
        <v>119</v>
      </c>
      <c r="H97" s="33" t="s">
        <v>120</v>
      </c>
      <c r="I97" s="32" t="s">
        <v>3</v>
      </c>
      <c r="J97" s="31" t="s">
        <v>121</v>
      </c>
      <c r="K97" s="31" t="s">
        <v>122</v>
      </c>
      <c r="L97" s="31" t="s">
        <v>123</v>
      </c>
      <c r="M97" s="31" t="s">
        <v>124</v>
      </c>
      <c r="N97" s="31" t="s">
        <v>125</v>
      </c>
      <c r="O97" s="31" t="s">
        <v>126</v>
      </c>
      <c r="P97" s="32" t="s">
        <v>72</v>
      </c>
      <c r="Q97" s="32" t="s">
        <v>6</v>
      </c>
      <c r="R97" s="32" t="s">
        <v>7</v>
      </c>
      <c r="S97" s="53" t="s">
        <v>73</v>
      </c>
      <c r="T97" s="31" t="s">
        <v>8</v>
      </c>
      <c r="U97" s="32" t="s">
        <v>9</v>
      </c>
      <c r="V97" s="32" t="s">
        <v>10</v>
      </c>
      <c r="W97" s="32" t="s">
        <v>11</v>
      </c>
      <c r="X97" s="53" t="s">
        <v>12</v>
      </c>
    </row>
    <row r="98" spans="1:24" x14ac:dyDescent="0.25">
      <c r="A98" s="14" t="s">
        <v>0</v>
      </c>
      <c r="B98" s="26"/>
      <c r="C98" s="25"/>
      <c r="D98" s="25"/>
      <c r="E98" s="25"/>
      <c r="F98" s="25"/>
      <c r="G98" s="25"/>
      <c r="H98" s="27"/>
      <c r="I98" s="25"/>
      <c r="J98" s="25"/>
      <c r="K98" s="25"/>
      <c r="L98" s="25"/>
      <c r="M98" s="25"/>
      <c r="N98" s="25"/>
      <c r="O98" s="25"/>
      <c r="P98" s="26"/>
      <c r="Q98" s="26"/>
      <c r="R98" s="27"/>
      <c r="S98" s="27"/>
      <c r="T98" s="25"/>
      <c r="U98" s="25"/>
      <c r="V98" s="26"/>
      <c r="W98" s="25"/>
      <c r="X98" s="27"/>
    </row>
    <row r="99" spans="1:24" x14ac:dyDescent="0.25">
      <c r="A99" s="10" t="s">
        <v>115</v>
      </c>
      <c r="B99" s="23"/>
      <c r="C99" s="22"/>
      <c r="D99" s="22"/>
      <c r="E99" s="22"/>
      <c r="F99" s="22"/>
      <c r="G99" s="22"/>
      <c r="H99" s="24"/>
      <c r="I99" s="22"/>
      <c r="J99" s="22"/>
      <c r="K99" s="22"/>
      <c r="L99" s="22"/>
      <c r="M99" s="22"/>
      <c r="N99" s="22"/>
      <c r="O99" s="22"/>
      <c r="P99" s="23"/>
      <c r="Q99" s="23"/>
      <c r="R99" s="24"/>
      <c r="S99" s="24"/>
      <c r="T99" s="22"/>
      <c r="U99" s="22"/>
      <c r="V99" s="23"/>
      <c r="W99" s="22"/>
      <c r="X99" s="24"/>
    </row>
    <row r="100" spans="1:24" x14ac:dyDescent="0.25">
      <c r="A100" s="10" t="s">
        <v>116</v>
      </c>
      <c r="B100" s="23"/>
      <c r="C100" s="22"/>
      <c r="D100" s="22"/>
      <c r="E100" s="22"/>
      <c r="F100" s="22"/>
      <c r="G100" s="22"/>
      <c r="H100" s="24"/>
      <c r="I100" s="22"/>
      <c r="J100" s="22"/>
      <c r="K100" s="22"/>
      <c r="L100" s="22"/>
      <c r="M100" s="22"/>
      <c r="N100" s="22"/>
      <c r="O100" s="22"/>
      <c r="P100" s="23"/>
      <c r="Q100" s="23"/>
      <c r="R100" s="24"/>
      <c r="S100" s="24"/>
      <c r="T100" s="22"/>
      <c r="U100" s="22"/>
      <c r="V100" s="23"/>
      <c r="W100" s="22"/>
      <c r="X100" s="24"/>
    </row>
    <row r="101" spans="1:24" x14ac:dyDescent="0.25">
      <c r="A101" s="10" t="s">
        <v>117</v>
      </c>
      <c r="B101" s="23"/>
      <c r="C101" s="22"/>
      <c r="D101" s="22"/>
      <c r="E101" s="22"/>
      <c r="F101" s="22"/>
      <c r="G101" s="22"/>
      <c r="H101" s="24"/>
      <c r="I101" s="22"/>
      <c r="J101" s="22"/>
      <c r="K101" s="22"/>
      <c r="L101" s="22"/>
      <c r="M101" s="22"/>
      <c r="N101" s="22"/>
      <c r="O101" s="22"/>
      <c r="P101" s="23"/>
      <c r="Q101" s="23"/>
      <c r="R101" s="24"/>
      <c r="S101" s="24"/>
      <c r="T101" s="22"/>
      <c r="U101" s="22"/>
      <c r="V101" s="23"/>
      <c r="W101" s="22"/>
      <c r="X101" s="24"/>
    </row>
    <row r="102" spans="1:24" x14ac:dyDescent="0.25">
      <c r="A102" s="10" t="s">
        <v>118</v>
      </c>
      <c r="B102" s="23"/>
      <c r="C102" s="22"/>
      <c r="D102" s="22"/>
      <c r="E102" s="22"/>
      <c r="F102" s="22"/>
      <c r="G102" s="22"/>
      <c r="H102" s="24"/>
      <c r="I102" s="22"/>
      <c r="J102" s="22"/>
      <c r="K102" s="22"/>
      <c r="L102" s="22"/>
      <c r="M102" s="22"/>
      <c r="N102" s="22"/>
      <c r="O102" s="22"/>
      <c r="P102" s="23"/>
      <c r="Q102" s="23"/>
      <c r="R102" s="24"/>
      <c r="S102" s="24"/>
      <c r="T102" s="22"/>
      <c r="U102" s="22"/>
      <c r="V102" s="23"/>
      <c r="W102" s="22"/>
      <c r="X102" s="24"/>
    </row>
    <row r="103" spans="1:24" x14ac:dyDescent="0.25">
      <c r="A103" s="10" t="s">
        <v>119</v>
      </c>
      <c r="B103" s="23"/>
      <c r="C103" s="22"/>
      <c r="D103" s="22"/>
      <c r="E103" s="22"/>
      <c r="F103" s="22"/>
      <c r="G103" s="22"/>
      <c r="H103" s="24"/>
      <c r="I103" s="22"/>
      <c r="J103" s="22"/>
      <c r="K103" s="22"/>
      <c r="L103" s="22"/>
      <c r="M103" s="22"/>
      <c r="N103" s="22"/>
      <c r="O103" s="22"/>
      <c r="P103" s="23"/>
      <c r="Q103" s="23"/>
      <c r="R103" s="24"/>
      <c r="S103" s="24"/>
      <c r="T103" s="22"/>
      <c r="U103" s="22"/>
      <c r="V103" s="23"/>
      <c r="W103" s="22"/>
      <c r="X103" s="24"/>
    </row>
    <row r="104" spans="1:24" x14ac:dyDescent="0.25">
      <c r="A104" s="10" t="s">
        <v>120</v>
      </c>
      <c r="B104" s="23"/>
      <c r="C104" s="22"/>
      <c r="D104" s="22"/>
      <c r="E104" s="22"/>
      <c r="F104" s="22"/>
      <c r="G104" s="22"/>
      <c r="H104" s="24"/>
      <c r="I104" s="22"/>
      <c r="J104" s="22"/>
      <c r="K104" s="22"/>
      <c r="L104" s="22"/>
      <c r="M104" s="22"/>
      <c r="N104" s="22"/>
      <c r="O104" s="22"/>
      <c r="P104" s="23"/>
      <c r="Q104" s="23"/>
      <c r="R104" s="24"/>
      <c r="S104" s="24"/>
      <c r="T104" s="22"/>
      <c r="U104" s="22"/>
      <c r="V104" s="23"/>
      <c r="W104" s="22"/>
      <c r="X104" s="24"/>
    </row>
    <row r="105" spans="1:24" x14ac:dyDescent="0.25">
      <c r="A105" s="14" t="s">
        <v>3</v>
      </c>
      <c r="B105" s="26"/>
      <c r="C105" s="25"/>
      <c r="D105" s="25"/>
      <c r="E105" s="25"/>
      <c r="F105" s="25"/>
      <c r="G105" s="25"/>
      <c r="H105" s="27"/>
      <c r="I105" s="25"/>
      <c r="J105" s="25"/>
      <c r="K105" s="25"/>
      <c r="L105" s="25"/>
      <c r="M105" s="25"/>
      <c r="N105" s="25"/>
      <c r="O105" s="25"/>
      <c r="P105" s="26"/>
      <c r="Q105" s="26"/>
      <c r="R105" s="27"/>
      <c r="S105" s="27"/>
      <c r="T105" s="25"/>
      <c r="U105" s="25"/>
      <c r="V105" s="26"/>
      <c r="W105" s="25"/>
      <c r="X105" s="27"/>
    </row>
    <row r="106" spans="1:24" x14ac:dyDescent="0.25">
      <c r="A106" s="10" t="s">
        <v>121</v>
      </c>
      <c r="B106" s="23"/>
      <c r="C106" s="22"/>
      <c r="D106" s="22"/>
      <c r="E106" s="22"/>
      <c r="F106" s="22"/>
      <c r="G106" s="22"/>
      <c r="H106" s="24"/>
      <c r="I106" s="22"/>
      <c r="J106" s="22"/>
      <c r="K106" s="22"/>
      <c r="L106" s="22"/>
      <c r="M106" s="22"/>
      <c r="N106" s="22"/>
      <c r="O106" s="22"/>
      <c r="P106" s="23"/>
      <c r="Q106" s="23"/>
      <c r="R106" s="24"/>
      <c r="S106" s="24"/>
      <c r="T106" s="22"/>
      <c r="U106" s="22"/>
      <c r="V106" s="23"/>
      <c r="W106" s="22"/>
      <c r="X106" s="24"/>
    </row>
    <row r="107" spans="1:24" x14ac:dyDescent="0.25">
      <c r="A107" s="10" t="s">
        <v>122</v>
      </c>
      <c r="B107" s="23"/>
      <c r="C107" s="22"/>
      <c r="D107" s="22"/>
      <c r="E107" s="22"/>
      <c r="F107" s="22"/>
      <c r="G107" s="22"/>
      <c r="H107" s="24"/>
      <c r="I107" s="22"/>
      <c r="J107" s="22"/>
      <c r="K107" s="22"/>
      <c r="L107" s="22"/>
      <c r="M107" s="22"/>
      <c r="N107" s="22"/>
      <c r="O107" s="22"/>
      <c r="P107" s="23"/>
      <c r="Q107" s="23"/>
      <c r="R107" s="24"/>
      <c r="S107" s="24"/>
      <c r="T107" s="22"/>
      <c r="U107" s="22"/>
      <c r="V107" s="23"/>
      <c r="W107" s="22"/>
      <c r="X107" s="24"/>
    </row>
    <row r="108" spans="1:24" x14ac:dyDescent="0.25">
      <c r="A108" s="10" t="s">
        <v>123</v>
      </c>
      <c r="B108" s="23"/>
      <c r="C108" s="22"/>
      <c r="D108" s="22"/>
      <c r="E108" s="22"/>
      <c r="F108" s="22"/>
      <c r="G108" s="22"/>
      <c r="H108" s="24"/>
      <c r="I108" s="22"/>
      <c r="J108" s="22"/>
      <c r="K108" s="22"/>
      <c r="L108" s="22"/>
      <c r="M108" s="22"/>
      <c r="N108" s="22"/>
      <c r="O108" s="22"/>
      <c r="P108" s="23"/>
      <c r="Q108" s="23"/>
      <c r="R108" s="24"/>
      <c r="S108" s="24"/>
      <c r="T108" s="22"/>
      <c r="U108" s="22"/>
      <c r="V108" s="23"/>
      <c r="W108" s="22"/>
      <c r="X108" s="24"/>
    </row>
    <row r="109" spans="1:24" x14ac:dyDescent="0.25">
      <c r="A109" s="10" t="s">
        <v>124</v>
      </c>
      <c r="B109" s="23"/>
      <c r="C109" s="22"/>
      <c r="D109" s="22"/>
      <c r="E109" s="22"/>
      <c r="F109" s="22"/>
      <c r="G109" s="22"/>
      <c r="H109" s="24"/>
      <c r="I109" s="22"/>
      <c r="J109" s="22"/>
      <c r="K109" s="22"/>
      <c r="L109" s="22"/>
      <c r="M109" s="22"/>
      <c r="N109" s="22"/>
      <c r="O109" s="22"/>
      <c r="P109" s="23"/>
      <c r="Q109" s="23"/>
      <c r="R109" s="24"/>
      <c r="S109" s="24"/>
      <c r="T109" s="22"/>
      <c r="U109" s="22"/>
      <c r="V109" s="23"/>
      <c r="W109" s="22"/>
      <c r="X109" s="24"/>
    </row>
    <row r="110" spans="1:24" x14ac:dyDescent="0.25">
      <c r="A110" s="10" t="s">
        <v>125</v>
      </c>
      <c r="B110" s="23"/>
      <c r="C110" s="22"/>
      <c r="D110" s="22"/>
      <c r="E110" s="22"/>
      <c r="F110" s="22"/>
      <c r="G110" s="22"/>
      <c r="H110" s="24"/>
      <c r="I110" s="22"/>
      <c r="J110" s="22"/>
      <c r="K110" s="22"/>
      <c r="L110" s="22"/>
      <c r="M110" s="22"/>
      <c r="N110" s="22"/>
      <c r="O110" s="22"/>
      <c r="P110" s="23"/>
      <c r="Q110" s="23"/>
      <c r="R110" s="24"/>
      <c r="S110" s="24"/>
      <c r="T110" s="22"/>
      <c r="U110" s="22"/>
      <c r="V110" s="23"/>
      <c r="W110" s="22"/>
      <c r="X110" s="24"/>
    </row>
    <row r="111" spans="1:24" x14ac:dyDescent="0.25">
      <c r="A111" s="18" t="s">
        <v>126</v>
      </c>
      <c r="B111" s="29"/>
      <c r="C111" s="28"/>
      <c r="D111" s="28"/>
      <c r="E111" s="28"/>
      <c r="F111" s="28"/>
      <c r="G111" s="28"/>
      <c r="H111" s="30"/>
      <c r="I111" s="28"/>
      <c r="J111" s="28"/>
      <c r="K111" s="28"/>
      <c r="L111" s="28"/>
      <c r="M111" s="28"/>
      <c r="N111" s="28"/>
      <c r="O111" s="28"/>
      <c r="P111" s="29"/>
      <c r="Q111" s="29"/>
      <c r="R111" s="30"/>
      <c r="S111" s="30"/>
      <c r="T111" s="28"/>
      <c r="U111" s="28"/>
      <c r="V111" s="29"/>
      <c r="W111" s="28"/>
      <c r="X111" s="30"/>
    </row>
    <row r="112" spans="1:24" x14ac:dyDescent="0.25">
      <c r="A112" s="10" t="s">
        <v>72</v>
      </c>
      <c r="B112" s="23"/>
      <c r="C112" s="22"/>
      <c r="D112" s="22"/>
      <c r="E112" s="22"/>
      <c r="F112" s="22"/>
      <c r="G112" s="22"/>
      <c r="H112" s="24"/>
      <c r="I112" s="22"/>
      <c r="J112" s="22"/>
      <c r="K112" s="22"/>
      <c r="L112" s="22"/>
      <c r="M112" s="22"/>
      <c r="N112" s="22"/>
      <c r="O112" s="22"/>
      <c r="P112" s="23"/>
      <c r="Q112" s="23"/>
      <c r="R112" s="24"/>
      <c r="S112" s="24"/>
      <c r="T112" s="22"/>
      <c r="U112" s="22"/>
      <c r="V112" s="23"/>
      <c r="W112" s="22"/>
      <c r="X112" s="24"/>
    </row>
    <row r="113" spans="1:24" x14ac:dyDescent="0.25">
      <c r="A113" s="10" t="s">
        <v>6</v>
      </c>
      <c r="B113" s="23"/>
      <c r="C113" s="22"/>
      <c r="D113" s="22"/>
      <c r="E113" s="22"/>
      <c r="F113" s="22"/>
      <c r="G113" s="22"/>
      <c r="H113" s="24"/>
      <c r="I113" s="22"/>
      <c r="J113" s="22"/>
      <c r="K113" s="22"/>
      <c r="L113" s="22"/>
      <c r="M113" s="22"/>
      <c r="N113" s="22"/>
      <c r="O113" s="22"/>
      <c r="P113" s="23"/>
      <c r="Q113" s="23"/>
      <c r="R113" s="24"/>
      <c r="S113" s="24"/>
      <c r="T113" s="22"/>
      <c r="U113" s="22"/>
      <c r="V113" s="23"/>
      <c r="W113" s="22"/>
      <c r="X113" s="24"/>
    </row>
    <row r="114" spans="1:24" x14ac:dyDescent="0.25">
      <c r="A114" s="10" t="s">
        <v>7</v>
      </c>
      <c r="B114" s="23"/>
      <c r="C114" s="22"/>
      <c r="D114" s="22"/>
      <c r="E114" s="22"/>
      <c r="F114" s="22"/>
      <c r="G114" s="22"/>
      <c r="H114" s="24"/>
      <c r="I114" s="22"/>
      <c r="J114" s="22"/>
      <c r="K114" s="22"/>
      <c r="L114" s="22"/>
      <c r="M114" s="22"/>
      <c r="N114" s="22"/>
      <c r="O114" s="22"/>
      <c r="P114" s="23"/>
      <c r="Q114" s="23"/>
      <c r="R114" s="24"/>
      <c r="S114" s="24"/>
      <c r="T114" s="22"/>
      <c r="U114" s="22"/>
      <c r="V114" s="23"/>
      <c r="W114" s="22"/>
      <c r="X114" s="24"/>
    </row>
    <row r="115" spans="1:24" x14ac:dyDescent="0.25">
      <c r="A115" s="10" t="s">
        <v>73</v>
      </c>
      <c r="B115" s="23"/>
      <c r="C115" s="22"/>
      <c r="D115" s="22"/>
      <c r="E115" s="22"/>
      <c r="F115" s="22"/>
      <c r="G115" s="22"/>
      <c r="H115" s="24"/>
      <c r="I115" s="22"/>
      <c r="J115" s="22"/>
      <c r="K115" s="22"/>
      <c r="L115" s="22"/>
      <c r="M115" s="22"/>
      <c r="N115" s="22"/>
      <c r="O115" s="22"/>
      <c r="P115" s="23"/>
      <c r="Q115" s="23"/>
      <c r="R115" s="24"/>
      <c r="S115" s="24"/>
      <c r="T115" s="22"/>
      <c r="U115" s="22"/>
      <c r="V115" s="23"/>
      <c r="W115" s="22"/>
      <c r="X115" s="24"/>
    </row>
    <row r="116" spans="1:24" x14ac:dyDescent="0.25">
      <c r="A116" s="14" t="s">
        <v>8</v>
      </c>
      <c r="B116" s="26"/>
      <c r="C116" s="25"/>
      <c r="D116" s="25"/>
      <c r="E116" s="25"/>
      <c r="F116" s="25"/>
      <c r="G116" s="25"/>
      <c r="H116" s="27"/>
      <c r="I116" s="25"/>
      <c r="J116" s="25"/>
      <c r="K116" s="25"/>
      <c r="L116" s="25"/>
      <c r="M116" s="25"/>
      <c r="N116" s="25"/>
      <c r="O116" s="25"/>
      <c r="P116" s="26"/>
      <c r="Q116" s="26"/>
      <c r="R116" s="27"/>
      <c r="S116" s="27"/>
      <c r="T116" s="25"/>
      <c r="U116" s="25"/>
      <c r="V116" s="26"/>
      <c r="W116" s="25"/>
      <c r="X116" s="27"/>
    </row>
    <row r="117" spans="1:24" x14ac:dyDescent="0.25">
      <c r="A117" s="18" t="s">
        <v>9</v>
      </c>
      <c r="B117" s="29"/>
      <c r="C117" s="28"/>
      <c r="D117" s="28"/>
      <c r="E117" s="28"/>
      <c r="F117" s="28"/>
      <c r="G117" s="28"/>
      <c r="H117" s="30"/>
      <c r="I117" s="28"/>
      <c r="J117" s="28"/>
      <c r="K117" s="28"/>
      <c r="L117" s="28"/>
      <c r="M117" s="28"/>
      <c r="N117" s="28"/>
      <c r="O117" s="28"/>
      <c r="P117" s="29"/>
      <c r="Q117" s="29"/>
      <c r="R117" s="30"/>
      <c r="S117" s="30"/>
      <c r="T117" s="28"/>
      <c r="U117" s="28"/>
      <c r="V117" s="29"/>
      <c r="W117" s="28"/>
      <c r="X117" s="30"/>
    </row>
    <row r="118" spans="1:24" x14ac:dyDescent="0.25">
      <c r="A118" s="10" t="s">
        <v>10</v>
      </c>
      <c r="B118" s="23"/>
      <c r="C118" s="22"/>
      <c r="D118" s="22"/>
      <c r="E118" s="22"/>
      <c r="F118" s="22"/>
      <c r="G118" s="22"/>
      <c r="H118" s="24"/>
      <c r="I118" s="22"/>
      <c r="J118" s="22"/>
      <c r="K118" s="22"/>
      <c r="L118" s="22"/>
      <c r="M118" s="22"/>
      <c r="N118" s="22"/>
      <c r="O118" s="22"/>
      <c r="P118" s="23"/>
      <c r="Q118" s="23"/>
      <c r="R118" s="24"/>
      <c r="S118" s="24"/>
      <c r="T118" s="22"/>
      <c r="U118" s="22"/>
      <c r="V118" s="23"/>
      <c r="W118" s="22"/>
      <c r="X118" s="24"/>
    </row>
    <row r="119" spans="1:24" x14ac:dyDescent="0.25">
      <c r="A119" s="10" t="s">
        <v>11</v>
      </c>
      <c r="B119" s="23"/>
      <c r="C119" s="22"/>
      <c r="D119" s="22"/>
      <c r="E119" s="22"/>
      <c r="F119" s="22"/>
      <c r="G119" s="22"/>
      <c r="H119" s="24"/>
      <c r="I119" s="22"/>
      <c r="J119" s="22"/>
      <c r="K119" s="22"/>
      <c r="L119" s="22"/>
      <c r="M119" s="22"/>
      <c r="N119" s="22"/>
      <c r="O119" s="22"/>
      <c r="P119" s="23"/>
      <c r="Q119" s="23"/>
      <c r="R119" s="24"/>
      <c r="S119" s="24"/>
      <c r="T119" s="22"/>
      <c r="U119" s="22"/>
      <c r="V119" s="23"/>
      <c r="W119" s="22"/>
      <c r="X119" s="24"/>
    </row>
    <row r="120" spans="1:24" x14ac:dyDescent="0.25">
      <c r="A120" s="18" t="s">
        <v>12</v>
      </c>
      <c r="B120" s="29"/>
      <c r="C120" s="28"/>
      <c r="D120" s="28"/>
      <c r="E120" s="28"/>
      <c r="F120" s="28"/>
      <c r="G120" s="28"/>
      <c r="H120" s="30"/>
      <c r="I120" s="28"/>
      <c r="J120" s="28"/>
      <c r="K120" s="28"/>
      <c r="L120" s="28"/>
      <c r="M120" s="28"/>
      <c r="N120" s="28"/>
      <c r="O120" s="28"/>
      <c r="P120" s="29"/>
      <c r="Q120" s="29"/>
      <c r="R120" s="30"/>
      <c r="S120" s="30"/>
      <c r="T120" s="28"/>
      <c r="U120" s="28"/>
      <c r="V120" s="29"/>
      <c r="W120" s="28"/>
      <c r="X120" s="30"/>
    </row>
    <row r="123" spans="1:24" x14ac:dyDescent="0.25">
      <c r="A123" s="20" t="s">
        <v>145</v>
      </c>
    </row>
    <row r="124" spans="1:24" x14ac:dyDescent="0.25">
      <c r="A124" s="20" t="s">
        <v>146</v>
      </c>
    </row>
    <row r="125" spans="1:24" x14ac:dyDescent="0.25">
      <c r="A125" s="6"/>
      <c r="B125" s="32" t="s">
        <v>0</v>
      </c>
      <c r="C125" s="31" t="s">
        <v>115</v>
      </c>
      <c r="D125" s="31" t="s">
        <v>116</v>
      </c>
      <c r="E125" s="31" t="s">
        <v>117</v>
      </c>
      <c r="F125" s="31" t="s">
        <v>118</v>
      </c>
      <c r="G125" s="31" t="s">
        <v>119</v>
      </c>
      <c r="H125" s="33" t="s">
        <v>120</v>
      </c>
      <c r="I125" s="32" t="s">
        <v>3</v>
      </c>
      <c r="J125" s="31" t="s">
        <v>121</v>
      </c>
      <c r="K125" s="31" t="s">
        <v>122</v>
      </c>
      <c r="L125" s="31" t="s">
        <v>123</v>
      </c>
      <c r="M125" s="31" t="s">
        <v>124</v>
      </c>
      <c r="N125" s="31" t="s">
        <v>125</v>
      </c>
      <c r="O125" s="31" t="s">
        <v>126</v>
      </c>
      <c r="P125" s="32" t="s">
        <v>72</v>
      </c>
      <c r="Q125" s="32" t="s">
        <v>6</v>
      </c>
      <c r="R125" s="32" t="s">
        <v>7</v>
      </c>
      <c r="S125" s="53" t="s">
        <v>73</v>
      </c>
      <c r="T125" s="31" t="s">
        <v>8</v>
      </c>
      <c r="U125" s="32" t="s">
        <v>9</v>
      </c>
      <c r="V125" s="32" t="s">
        <v>10</v>
      </c>
      <c r="W125" s="32" t="s">
        <v>11</v>
      </c>
      <c r="X125" s="53" t="s">
        <v>12</v>
      </c>
    </row>
    <row r="126" spans="1:24" x14ac:dyDescent="0.25">
      <c r="A126" s="14" t="s">
        <v>0</v>
      </c>
      <c r="B126" s="26"/>
      <c r="C126" s="25"/>
      <c r="D126" s="25"/>
      <c r="E126" s="25"/>
      <c r="F126" s="25"/>
      <c r="G126" s="25"/>
      <c r="H126" s="27"/>
      <c r="I126" s="25"/>
      <c r="J126" s="25"/>
      <c r="K126" s="25"/>
      <c r="L126" s="25"/>
      <c r="M126" s="25"/>
      <c r="N126" s="25"/>
      <c r="O126" s="25"/>
      <c r="P126" s="26"/>
      <c r="Q126" s="26"/>
      <c r="R126" s="27"/>
      <c r="S126" s="27"/>
      <c r="T126" s="25"/>
      <c r="U126" s="25"/>
      <c r="V126" s="26"/>
      <c r="W126" s="25"/>
      <c r="X126" s="27"/>
    </row>
    <row r="127" spans="1:24" x14ac:dyDescent="0.25">
      <c r="A127" s="10" t="s">
        <v>115</v>
      </c>
      <c r="B127" s="23"/>
      <c r="C127" s="22"/>
      <c r="D127" s="22"/>
      <c r="E127" s="22"/>
      <c r="F127" s="22"/>
      <c r="G127" s="22"/>
      <c r="H127" s="24"/>
      <c r="I127" s="22"/>
      <c r="J127" s="22"/>
      <c r="K127" s="22"/>
      <c r="L127" s="22"/>
      <c r="M127" s="22"/>
      <c r="N127" s="22"/>
      <c r="O127" s="22"/>
      <c r="P127" s="23"/>
      <c r="Q127" s="23"/>
      <c r="R127" s="24"/>
      <c r="S127" s="24"/>
      <c r="T127" s="22"/>
      <c r="U127" s="22"/>
      <c r="V127" s="23"/>
      <c r="W127" s="22"/>
      <c r="X127" s="24"/>
    </row>
    <row r="128" spans="1:24" x14ac:dyDescent="0.25">
      <c r="A128" s="10" t="s">
        <v>116</v>
      </c>
      <c r="B128" s="23"/>
      <c r="C128" s="22"/>
      <c r="D128" s="22"/>
      <c r="E128" s="22"/>
      <c r="F128" s="22"/>
      <c r="G128" s="22"/>
      <c r="H128" s="24"/>
      <c r="I128" s="22"/>
      <c r="J128" s="22"/>
      <c r="K128" s="22"/>
      <c r="L128" s="22"/>
      <c r="M128" s="22"/>
      <c r="N128" s="22"/>
      <c r="O128" s="22"/>
      <c r="P128" s="23"/>
      <c r="Q128" s="23"/>
      <c r="R128" s="24"/>
      <c r="S128" s="24"/>
      <c r="T128" s="22"/>
      <c r="U128" s="22"/>
      <c r="V128" s="23"/>
      <c r="W128" s="22"/>
      <c r="X128" s="24"/>
    </row>
    <row r="129" spans="1:24" x14ac:dyDescent="0.25">
      <c r="A129" s="10" t="s">
        <v>117</v>
      </c>
      <c r="B129" s="23"/>
      <c r="C129" s="22"/>
      <c r="D129" s="22"/>
      <c r="E129" s="22"/>
      <c r="F129" s="22"/>
      <c r="G129" s="22"/>
      <c r="H129" s="24"/>
      <c r="I129" s="22"/>
      <c r="J129" s="22"/>
      <c r="K129" s="22"/>
      <c r="L129" s="22"/>
      <c r="M129" s="22"/>
      <c r="N129" s="22"/>
      <c r="O129" s="22"/>
      <c r="P129" s="23"/>
      <c r="Q129" s="23"/>
      <c r="R129" s="24"/>
      <c r="S129" s="24"/>
      <c r="T129" s="22"/>
      <c r="U129" s="22"/>
      <c r="V129" s="23"/>
      <c r="W129" s="22"/>
      <c r="X129" s="24"/>
    </row>
    <row r="130" spans="1:24" x14ac:dyDescent="0.25">
      <c r="A130" s="10" t="s">
        <v>118</v>
      </c>
      <c r="B130" s="23"/>
      <c r="C130" s="22"/>
      <c r="D130" s="22"/>
      <c r="E130" s="22"/>
      <c r="F130" s="22"/>
      <c r="G130" s="22"/>
      <c r="H130" s="24"/>
      <c r="I130" s="22"/>
      <c r="J130" s="22"/>
      <c r="K130" s="22"/>
      <c r="L130" s="22"/>
      <c r="M130" s="22"/>
      <c r="N130" s="22"/>
      <c r="O130" s="22"/>
      <c r="P130" s="23"/>
      <c r="Q130" s="23"/>
      <c r="R130" s="24"/>
      <c r="S130" s="24"/>
      <c r="T130" s="22"/>
      <c r="U130" s="22"/>
      <c r="V130" s="23"/>
      <c r="W130" s="22"/>
      <c r="X130" s="24"/>
    </row>
    <row r="131" spans="1:24" x14ac:dyDescent="0.25">
      <c r="A131" s="10" t="s">
        <v>119</v>
      </c>
      <c r="B131" s="23"/>
      <c r="C131" s="22"/>
      <c r="D131" s="22"/>
      <c r="E131" s="22"/>
      <c r="F131" s="22"/>
      <c r="G131" s="22"/>
      <c r="H131" s="24"/>
      <c r="I131" s="22"/>
      <c r="J131" s="22"/>
      <c r="K131" s="22"/>
      <c r="L131" s="22"/>
      <c r="M131" s="22"/>
      <c r="N131" s="22"/>
      <c r="O131" s="22"/>
      <c r="P131" s="23"/>
      <c r="Q131" s="23"/>
      <c r="R131" s="24"/>
      <c r="S131" s="24"/>
      <c r="T131" s="22"/>
      <c r="U131" s="22"/>
      <c r="V131" s="23"/>
      <c r="W131" s="22"/>
      <c r="X131" s="24"/>
    </row>
    <row r="132" spans="1:24" x14ac:dyDescent="0.25">
      <c r="A132" s="10" t="s">
        <v>120</v>
      </c>
      <c r="B132" s="23"/>
      <c r="C132" s="22"/>
      <c r="D132" s="22"/>
      <c r="E132" s="22"/>
      <c r="F132" s="22"/>
      <c r="G132" s="22"/>
      <c r="H132" s="24"/>
      <c r="I132" s="22"/>
      <c r="J132" s="22"/>
      <c r="K132" s="22"/>
      <c r="L132" s="22"/>
      <c r="M132" s="22"/>
      <c r="N132" s="22"/>
      <c r="O132" s="22"/>
      <c r="P132" s="23"/>
      <c r="Q132" s="23"/>
      <c r="R132" s="24"/>
      <c r="S132" s="24"/>
      <c r="T132" s="22"/>
      <c r="U132" s="22"/>
      <c r="V132" s="23"/>
      <c r="W132" s="22"/>
      <c r="X132" s="24"/>
    </row>
    <row r="133" spans="1:24" x14ac:dyDescent="0.25">
      <c r="A133" s="14" t="s">
        <v>3</v>
      </c>
      <c r="B133" s="26"/>
      <c r="C133" s="25"/>
      <c r="D133" s="25"/>
      <c r="E133" s="25"/>
      <c r="F133" s="25"/>
      <c r="G133" s="25"/>
      <c r="H133" s="27"/>
      <c r="I133" s="25"/>
      <c r="J133" s="25"/>
      <c r="K133" s="25"/>
      <c r="L133" s="25"/>
      <c r="M133" s="25"/>
      <c r="N133" s="25"/>
      <c r="O133" s="25"/>
      <c r="P133" s="26"/>
      <c r="Q133" s="26"/>
      <c r="R133" s="27"/>
      <c r="S133" s="27"/>
      <c r="T133" s="25"/>
      <c r="U133" s="25"/>
      <c r="V133" s="26"/>
      <c r="W133" s="25"/>
      <c r="X133" s="27"/>
    </row>
    <row r="134" spans="1:24" x14ac:dyDescent="0.25">
      <c r="A134" s="10" t="s">
        <v>121</v>
      </c>
      <c r="B134" s="23"/>
      <c r="C134" s="22"/>
      <c r="D134" s="22"/>
      <c r="E134" s="22"/>
      <c r="F134" s="22"/>
      <c r="G134" s="22"/>
      <c r="H134" s="24"/>
      <c r="I134" s="22"/>
      <c r="J134" s="22"/>
      <c r="K134" s="22"/>
      <c r="L134" s="22"/>
      <c r="M134" s="22"/>
      <c r="N134" s="22"/>
      <c r="O134" s="22"/>
      <c r="P134" s="23"/>
      <c r="Q134" s="23"/>
      <c r="R134" s="24"/>
      <c r="S134" s="24"/>
      <c r="T134" s="22"/>
      <c r="U134" s="22"/>
      <c r="V134" s="23"/>
      <c r="W134" s="22"/>
      <c r="X134" s="24"/>
    </row>
    <row r="135" spans="1:24" x14ac:dyDescent="0.25">
      <c r="A135" s="10" t="s">
        <v>122</v>
      </c>
      <c r="B135" s="23"/>
      <c r="C135" s="22"/>
      <c r="D135" s="22"/>
      <c r="E135" s="22"/>
      <c r="F135" s="22"/>
      <c r="G135" s="22"/>
      <c r="H135" s="24"/>
      <c r="I135" s="22"/>
      <c r="J135" s="22"/>
      <c r="K135" s="22"/>
      <c r="L135" s="22"/>
      <c r="M135" s="22"/>
      <c r="N135" s="22"/>
      <c r="O135" s="22"/>
      <c r="P135" s="23"/>
      <c r="Q135" s="23"/>
      <c r="R135" s="24"/>
      <c r="S135" s="24"/>
      <c r="T135" s="22"/>
      <c r="U135" s="22"/>
      <c r="V135" s="23"/>
      <c r="W135" s="22"/>
      <c r="X135" s="24"/>
    </row>
    <row r="136" spans="1:24" x14ac:dyDescent="0.25">
      <c r="A136" s="10" t="s">
        <v>123</v>
      </c>
      <c r="B136" s="23"/>
      <c r="C136" s="22"/>
      <c r="D136" s="22"/>
      <c r="E136" s="22"/>
      <c r="F136" s="22"/>
      <c r="G136" s="22"/>
      <c r="H136" s="24"/>
      <c r="I136" s="22"/>
      <c r="J136" s="22"/>
      <c r="K136" s="22"/>
      <c r="L136" s="22"/>
      <c r="M136" s="22"/>
      <c r="N136" s="22"/>
      <c r="O136" s="22"/>
      <c r="P136" s="23"/>
      <c r="Q136" s="23"/>
      <c r="R136" s="24"/>
      <c r="S136" s="24"/>
      <c r="T136" s="22"/>
      <c r="U136" s="22"/>
      <c r="V136" s="23"/>
      <c r="W136" s="22"/>
      <c r="X136" s="24"/>
    </row>
    <row r="137" spans="1:24" x14ac:dyDescent="0.25">
      <c r="A137" s="10" t="s">
        <v>124</v>
      </c>
      <c r="B137" s="23"/>
      <c r="C137" s="22"/>
      <c r="D137" s="22"/>
      <c r="E137" s="22"/>
      <c r="F137" s="22"/>
      <c r="G137" s="22"/>
      <c r="H137" s="24"/>
      <c r="I137" s="22"/>
      <c r="J137" s="22"/>
      <c r="K137" s="22"/>
      <c r="L137" s="22"/>
      <c r="M137" s="22"/>
      <c r="N137" s="22"/>
      <c r="O137" s="22"/>
      <c r="P137" s="23"/>
      <c r="Q137" s="23"/>
      <c r="R137" s="24"/>
      <c r="S137" s="24"/>
      <c r="T137" s="22"/>
      <c r="U137" s="22"/>
      <c r="V137" s="23"/>
      <c r="W137" s="22"/>
      <c r="X137" s="24"/>
    </row>
    <row r="138" spans="1:24" x14ac:dyDescent="0.25">
      <c r="A138" s="10" t="s">
        <v>125</v>
      </c>
      <c r="B138" s="23"/>
      <c r="C138" s="22"/>
      <c r="D138" s="22"/>
      <c r="E138" s="22"/>
      <c r="F138" s="22"/>
      <c r="G138" s="22"/>
      <c r="H138" s="24"/>
      <c r="I138" s="22"/>
      <c r="J138" s="22"/>
      <c r="K138" s="22"/>
      <c r="L138" s="22"/>
      <c r="M138" s="22"/>
      <c r="N138" s="22"/>
      <c r="O138" s="22"/>
      <c r="P138" s="23"/>
      <c r="Q138" s="23"/>
      <c r="R138" s="24"/>
      <c r="S138" s="24"/>
      <c r="T138" s="22"/>
      <c r="U138" s="22"/>
      <c r="V138" s="23"/>
      <c r="W138" s="22"/>
      <c r="X138" s="24"/>
    </row>
    <row r="139" spans="1:24" x14ac:dyDescent="0.25">
      <c r="A139" s="18" t="s">
        <v>126</v>
      </c>
      <c r="B139" s="29"/>
      <c r="C139" s="28"/>
      <c r="D139" s="28"/>
      <c r="E139" s="28"/>
      <c r="F139" s="28"/>
      <c r="G139" s="28"/>
      <c r="H139" s="30"/>
      <c r="I139" s="28"/>
      <c r="J139" s="28"/>
      <c r="K139" s="28"/>
      <c r="L139" s="28"/>
      <c r="M139" s="28"/>
      <c r="N139" s="28"/>
      <c r="O139" s="28"/>
      <c r="P139" s="29"/>
      <c r="Q139" s="29"/>
      <c r="R139" s="30"/>
      <c r="S139" s="30"/>
      <c r="T139" s="28"/>
      <c r="U139" s="28"/>
      <c r="V139" s="29"/>
      <c r="W139" s="28"/>
      <c r="X139" s="30"/>
    </row>
    <row r="140" spans="1:24" x14ac:dyDescent="0.25">
      <c r="A140" s="10" t="s">
        <v>72</v>
      </c>
      <c r="B140" s="23"/>
      <c r="C140" s="22"/>
      <c r="D140" s="22"/>
      <c r="E140" s="22"/>
      <c r="F140" s="22"/>
      <c r="G140" s="22"/>
      <c r="H140" s="24"/>
      <c r="I140" s="22"/>
      <c r="J140" s="22"/>
      <c r="K140" s="22"/>
      <c r="L140" s="22"/>
      <c r="M140" s="22"/>
      <c r="N140" s="22"/>
      <c r="O140" s="22"/>
      <c r="P140" s="23"/>
      <c r="Q140" s="23"/>
      <c r="R140" s="24"/>
      <c r="S140" s="24"/>
      <c r="T140" s="22"/>
      <c r="U140" s="22"/>
      <c r="V140" s="23"/>
      <c r="W140" s="22"/>
      <c r="X140" s="24"/>
    </row>
    <row r="141" spans="1:24" x14ac:dyDescent="0.25">
      <c r="A141" s="14" t="s">
        <v>6</v>
      </c>
      <c r="B141" s="26"/>
      <c r="C141" s="25"/>
      <c r="D141" s="25"/>
      <c r="E141" s="25"/>
      <c r="F141" s="25"/>
      <c r="G141" s="25"/>
      <c r="H141" s="27"/>
      <c r="I141" s="25"/>
      <c r="J141" s="25"/>
      <c r="K141" s="25"/>
      <c r="L141" s="25"/>
      <c r="M141" s="25"/>
      <c r="N141" s="25"/>
      <c r="O141" s="25"/>
      <c r="P141" s="26"/>
      <c r="Q141" s="26"/>
      <c r="R141" s="27"/>
      <c r="S141" s="27"/>
      <c r="T141" s="25"/>
      <c r="U141" s="25"/>
      <c r="V141" s="26"/>
      <c r="W141" s="25"/>
      <c r="X141" s="27"/>
    </row>
    <row r="142" spans="1:24" x14ac:dyDescent="0.25">
      <c r="A142" s="18" t="s">
        <v>7</v>
      </c>
      <c r="B142" s="29"/>
      <c r="C142" s="28"/>
      <c r="D142" s="28"/>
      <c r="E142" s="28"/>
      <c r="F142" s="28"/>
      <c r="G142" s="28"/>
      <c r="H142" s="30"/>
      <c r="I142" s="28"/>
      <c r="J142" s="28"/>
      <c r="K142" s="28"/>
      <c r="L142" s="28"/>
      <c r="M142" s="28"/>
      <c r="N142" s="28"/>
      <c r="O142" s="28"/>
      <c r="P142" s="29"/>
      <c r="Q142" s="29"/>
      <c r="R142" s="30"/>
      <c r="S142" s="30"/>
      <c r="T142" s="28"/>
      <c r="U142" s="28"/>
      <c r="V142" s="29"/>
      <c r="W142" s="28"/>
      <c r="X142" s="30"/>
    </row>
    <row r="143" spans="1:24" x14ac:dyDescent="0.25">
      <c r="A143" s="10" t="s">
        <v>73</v>
      </c>
      <c r="B143" s="23"/>
      <c r="C143" s="22"/>
      <c r="D143" s="22"/>
      <c r="E143" s="22"/>
      <c r="F143" s="22"/>
      <c r="G143" s="22"/>
      <c r="H143" s="24"/>
      <c r="I143" s="22"/>
      <c r="J143" s="22"/>
      <c r="K143" s="22"/>
      <c r="L143" s="22"/>
      <c r="M143" s="22"/>
      <c r="N143" s="22"/>
      <c r="O143" s="22"/>
      <c r="P143" s="23"/>
      <c r="Q143" s="23"/>
      <c r="R143" s="24"/>
      <c r="S143" s="24"/>
      <c r="T143" s="22"/>
      <c r="U143" s="22"/>
      <c r="V143" s="23"/>
      <c r="W143" s="22"/>
      <c r="X143" s="24"/>
    </row>
    <row r="144" spans="1:24" x14ac:dyDescent="0.25">
      <c r="A144" s="14" t="s">
        <v>8</v>
      </c>
      <c r="B144" s="26"/>
      <c r="C144" s="25"/>
      <c r="D144" s="25"/>
      <c r="E144" s="25"/>
      <c r="F144" s="25"/>
      <c r="G144" s="25"/>
      <c r="H144" s="27"/>
      <c r="I144" s="25"/>
      <c r="J144" s="25"/>
      <c r="K144" s="25"/>
      <c r="L144" s="25"/>
      <c r="M144" s="25"/>
      <c r="N144" s="25"/>
      <c r="O144" s="25"/>
      <c r="P144" s="26"/>
      <c r="Q144" s="26"/>
      <c r="R144" s="27"/>
      <c r="S144" s="27"/>
      <c r="T144" s="25"/>
      <c r="U144" s="25"/>
      <c r="V144" s="26"/>
      <c r="W144" s="25"/>
      <c r="X144" s="27"/>
    </row>
    <row r="145" spans="1:24" x14ac:dyDescent="0.25">
      <c r="A145" s="18" t="s">
        <v>9</v>
      </c>
      <c r="B145" s="29"/>
      <c r="C145" s="28"/>
      <c r="D145" s="28"/>
      <c r="E145" s="28"/>
      <c r="F145" s="28"/>
      <c r="G145" s="28"/>
      <c r="H145" s="30"/>
      <c r="I145" s="28"/>
      <c r="J145" s="28"/>
      <c r="K145" s="28"/>
      <c r="L145" s="28"/>
      <c r="M145" s="28"/>
      <c r="N145" s="28"/>
      <c r="O145" s="28"/>
      <c r="P145" s="29"/>
      <c r="Q145" s="29"/>
      <c r="R145" s="30"/>
      <c r="S145" s="30"/>
      <c r="T145" s="28"/>
      <c r="U145" s="28"/>
      <c r="V145" s="29"/>
      <c r="W145" s="28"/>
      <c r="X145" s="30"/>
    </row>
    <row r="146" spans="1:24" x14ac:dyDescent="0.25">
      <c r="A146" s="10" t="s">
        <v>10</v>
      </c>
      <c r="B146" s="23"/>
      <c r="C146" s="22"/>
      <c r="D146" s="22"/>
      <c r="E146" s="22"/>
      <c r="F146" s="22"/>
      <c r="G146" s="22"/>
      <c r="H146" s="24"/>
      <c r="I146" s="22"/>
      <c r="J146" s="22"/>
      <c r="K146" s="22"/>
      <c r="L146" s="22"/>
      <c r="M146" s="22"/>
      <c r="N146" s="22"/>
      <c r="O146" s="22"/>
      <c r="P146" s="23"/>
      <c r="Q146" s="23"/>
      <c r="R146" s="24"/>
      <c r="S146" s="24"/>
      <c r="T146" s="22"/>
      <c r="U146" s="22"/>
      <c r="V146" s="23"/>
      <c r="W146" s="22"/>
      <c r="X146" s="24"/>
    </row>
    <row r="147" spans="1:24" x14ac:dyDescent="0.25">
      <c r="A147" s="10" t="s">
        <v>11</v>
      </c>
      <c r="B147" s="23"/>
      <c r="C147" s="22"/>
      <c r="D147" s="22"/>
      <c r="E147" s="22"/>
      <c r="F147" s="22"/>
      <c r="G147" s="22"/>
      <c r="H147" s="24"/>
      <c r="I147" s="22"/>
      <c r="J147" s="22"/>
      <c r="K147" s="22"/>
      <c r="L147" s="22"/>
      <c r="M147" s="22"/>
      <c r="N147" s="22"/>
      <c r="O147" s="22"/>
      <c r="P147" s="23"/>
      <c r="Q147" s="23"/>
      <c r="R147" s="24"/>
      <c r="S147" s="24"/>
      <c r="T147" s="22"/>
      <c r="U147" s="22"/>
      <c r="V147" s="23"/>
      <c r="W147" s="22"/>
      <c r="X147" s="24"/>
    </row>
    <row r="148" spans="1:24" x14ac:dyDescent="0.25">
      <c r="A148" s="18" t="s">
        <v>12</v>
      </c>
      <c r="B148" s="29"/>
      <c r="C148" s="28"/>
      <c r="D148" s="28"/>
      <c r="E148" s="28"/>
      <c r="F148" s="28"/>
      <c r="G148" s="28"/>
      <c r="H148" s="30"/>
      <c r="I148" s="28"/>
      <c r="J148" s="28"/>
      <c r="K148" s="28"/>
      <c r="L148" s="28"/>
      <c r="M148" s="28"/>
      <c r="N148" s="28"/>
      <c r="O148" s="28"/>
      <c r="P148" s="29"/>
      <c r="Q148" s="29"/>
      <c r="R148" s="30"/>
      <c r="S148" s="30"/>
      <c r="T148" s="28"/>
      <c r="U148" s="28"/>
      <c r="V148" s="29"/>
      <c r="W148" s="28"/>
      <c r="X148" s="30"/>
    </row>
    <row r="151" spans="1:24" x14ac:dyDescent="0.25">
      <c r="A151" s="20" t="s">
        <v>147</v>
      </c>
    </row>
    <row r="152" spans="1:24" x14ac:dyDescent="0.25">
      <c r="A152" s="20" t="s">
        <v>40</v>
      </c>
    </row>
    <row r="153" spans="1:24" x14ac:dyDescent="0.25">
      <c r="A153" s="6"/>
      <c r="B153" s="32" t="s">
        <v>0</v>
      </c>
      <c r="C153" s="31" t="s">
        <v>115</v>
      </c>
      <c r="D153" s="31" t="s">
        <v>116</v>
      </c>
      <c r="E153" s="31" t="s">
        <v>117</v>
      </c>
      <c r="F153" s="31" t="s">
        <v>118</v>
      </c>
      <c r="G153" s="31" t="s">
        <v>119</v>
      </c>
      <c r="H153" s="33" t="s">
        <v>120</v>
      </c>
      <c r="I153" s="32" t="s">
        <v>3</v>
      </c>
      <c r="J153" s="31" t="s">
        <v>121</v>
      </c>
      <c r="K153" s="31" t="s">
        <v>122</v>
      </c>
      <c r="L153" s="31" t="s">
        <v>123</v>
      </c>
      <c r="M153" s="31" t="s">
        <v>124</v>
      </c>
      <c r="N153" s="31" t="s">
        <v>125</v>
      </c>
      <c r="O153" s="31" t="s">
        <v>126</v>
      </c>
      <c r="P153" s="32" t="s">
        <v>72</v>
      </c>
      <c r="Q153" s="32" t="s">
        <v>6</v>
      </c>
      <c r="R153" s="33" t="s">
        <v>7</v>
      </c>
      <c r="S153" s="53" t="s">
        <v>73</v>
      </c>
      <c r="T153" s="32" t="s">
        <v>8</v>
      </c>
      <c r="U153" s="31" t="s">
        <v>9</v>
      </c>
      <c r="V153" s="32" t="s">
        <v>10</v>
      </c>
      <c r="W153" s="31" t="s">
        <v>11</v>
      </c>
      <c r="X153" s="33" t="s">
        <v>12</v>
      </c>
    </row>
    <row r="154" spans="1:24" x14ac:dyDescent="0.25">
      <c r="A154" s="14" t="s">
        <v>0</v>
      </c>
      <c r="B154" s="26"/>
      <c r="C154" s="25"/>
      <c r="D154" s="25"/>
      <c r="E154" s="25"/>
      <c r="F154" s="25"/>
      <c r="G154" s="25"/>
      <c r="H154" s="27"/>
      <c r="I154" s="25"/>
      <c r="J154" s="25"/>
      <c r="K154" s="25"/>
      <c r="L154" s="25"/>
      <c r="M154" s="25"/>
      <c r="N154" s="25"/>
      <c r="O154" s="25"/>
      <c r="P154" s="26"/>
      <c r="Q154" s="26"/>
      <c r="R154" s="27"/>
      <c r="S154" s="27"/>
      <c r="T154" s="25"/>
      <c r="U154" s="25"/>
      <c r="V154" s="26"/>
      <c r="W154" s="25"/>
      <c r="X154" s="27"/>
    </row>
    <row r="155" spans="1:24" x14ac:dyDescent="0.25">
      <c r="A155" s="10" t="s">
        <v>115</v>
      </c>
      <c r="B155" s="23"/>
      <c r="C155" s="22"/>
      <c r="D155" s="22"/>
      <c r="E155" s="22"/>
      <c r="F155" s="22"/>
      <c r="G155" s="22"/>
      <c r="H155" s="24"/>
      <c r="I155" s="22"/>
      <c r="J155" s="22"/>
      <c r="K155" s="22"/>
      <c r="L155" s="22"/>
      <c r="M155" s="22"/>
      <c r="N155" s="22"/>
      <c r="O155" s="22"/>
      <c r="P155" s="23"/>
      <c r="Q155" s="23"/>
      <c r="R155" s="24"/>
      <c r="S155" s="24"/>
      <c r="T155" s="22"/>
      <c r="U155" s="22"/>
      <c r="V155" s="23"/>
      <c r="W155" s="22"/>
      <c r="X155" s="24"/>
    </row>
    <row r="156" spans="1:24" x14ac:dyDescent="0.25">
      <c r="A156" s="10" t="s">
        <v>116</v>
      </c>
      <c r="B156" s="23"/>
      <c r="C156" s="22"/>
      <c r="D156" s="22"/>
      <c r="E156" s="22"/>
      <c r="F156" s="22"/>
      <c r="G156" s="22"/>
      <c r="H156" s="24"/>
      <c r="I156" s="22"/>
      <c r="J156" s="22"/>
      <c r="K156" s="22"/>
      <c r="L156" s="22"/>
      <c r="M156" s="22"/>
      <c r="N156" s="22"/>
      <c r="O156" s="22"/>
      <c r="P156" s="23"/>
      <c r="Q156" s="23"/>
      <c r="R156" s="24"/>
      <c r="S156" s="24"/>
      <c r="T156" s="22"/>
      <c r="U156" s="22"/>
      <c r="V156" s="23"/>
      <c r="W156" s="22"/>
      <c r="X156" s="24"/>
    </row>
    <row r="157" spans="1:24" x14ac:dyDescent="0.25">
      <c r="A157" s="10" t="s">
        <v>117</v>
      </c>
      <c r="B157" s="23"/>
      <c r="C157" s="22"/>
      <c r="D157" s="22"/>
      <c r="E157" s="22"/>
      <c r="F157" s="22"/>
      <c r="G157" s="22"/>
      <c r="H157" s="24"/>
      <c r="I157" s="22"/>
      <c r="J157" s="22"/>
      <c r="K157" s="22"/>
      <c r="L157" s="22"/>
      <c r="M157" s="22"/>
      <c r="N157" s="22"/>
      <c r="O157" s="22"/>
      <c r="P157" s="23"/>
      <c r="Q157" s="23"/>
      <c r="R157" s="24"/>
      <c r="S157" s="24"/>
      <c r="T157" s="22"/>
      <c r="U157" s="22"/>
      <c r="V157" s="23"/>
      <c r="W157" s="22"/>
      <c r="X157" s="24"/>
    </row>
    <row r="158" spans="1:24" x14ac:dyDescent="0.25">
      <c r="A158" s="10" t="s">
        <v>118</v>
      </c>
      <c r="B158" s="23"/>
      <c r="C158" s="22"/>
      <c r="D158" s="22"/>
      <c r="E158" s="22"/>
      <c r="F158" s="22"/>
      <c r="G158" s="22"/>
      <c r="H158" s="24"/>
      <c r="I158" s="22"/>
      <c r="J158" s="22"/>
      <c r="K158" s="22"/>
      <c r="L158" s="22"/>
      <c r="M158" s="22"/>
      <c r="N158" s="22"/>
      <c r="O158" s="22"/>
      <c r="P158" s="23"/>
      <c r="Q158" s="23"/>
      <c r="R158" s="24"/>
      <c r="S158" s="24"/>
      <c r="T158" s="22"/>
      <c r="U158" s="22"/>
      <c r="V158" s="23"/>
      <c r="W158" s="22"/>
      <c r="X158" s="24"/>
    </row>
    <row r="159" spans="1:24" x14ac:dyDescent="0.25">
      <c r="A159" s="10" t="s">
        <v>119</v>
      </c>
      <c r="B159" s="23"/>
      <c r="C159" s="22"/>
      <c r="D159" s="22"/>
      <c r="E159" s="22"/>
      <c r="F159" s="22"/>
      <c r="G159" s="22"/>
      <c r="H159" s="24"/>
      <c r="I159" s="22"/>
      <c r="J159" s="22"/>
      <c r="K159" s="22"/>
      <c r="L159" s="22"/>
      <c r="M159" s="22"/>
      <c r="N159" s="22"/>
      <c r="O159" s="22"/>
      <c r="P159" s="23"/>
      <c r="Q159" s="23"/>
      <c r="R159" s="24"/>
      <c r="S159" s="24"/>
      <c r="T159" s="22"/>
      <c r="U159" s="22"/>
      <c r="V159" s="23"/>
      <c r="W159" s="22"/>
      <c r="X159" s="24"/>
    </row>
    <row r="160" spans="1:24" x14ac:dyDescent="0.25">
      <c r="A160" s="10" t="s">
        <v>120</v>
      </c>
      <c r="B160" s="23"/>
      <c r="C160" s="22"/>
      <c r="D160" s="22"/>
      <c r="E160" s="22"/>
      <c r="F160" s="22"/>
      <c r="G160" s="22"/>
      <c r="H160" s="24"/>
      <c r="I160" s="22"/>
      <c r="J160" s="22"/>
      <c r="K160" s="22"/>
      <c r="L160" s="22"/>
      <c r="M160" s="22"/>
      <c r="N160" s="22"/>
      <c r="O160" s="22"/>
      <c r="P160" s="23"/>
      <c r="Q160" s="23"/>
      <c r="R160" s="24"/>
      <c r="S160" s="24"/>
      <c r="T160" s="22"/>
      <c r="U160" s="22"/>
      <c r="V160" s="23"/>
      <c r="W160" s="22"/>
      <c r="X160" s="24"/>
    </row>
    <row r="161" spans="1:24" x14ac:dyDescent="0.25">
      <c r="A161" s="14" t="s">
        <v>3</v>
      </c>
      <c r="B161" s="26"/>
      <c r="C161" s="25"/>
      <c r="D161" s="25"/>
      <c r="E161" s="25"/>
      <c r="F161" s="25"/>
      <c r="G161" s="25"/>
      <c r="H161" s="27"/>
      <c r="I161" s="25"/>
      <c r="J161" s="25"/>
      <c r="K161" s="25"/>
      <c r="L161" s="25"/>
      <c r="M161" s="25"/>
      <c r="N161" s="25"/>
      <c r="O161" s="25"/>
      <c r="P161" s="26"/>
      <c r="Q161" s="26"/>
      <c r="R161" s="27"/>
      <c r="S161" s="27"/>
      <c r="T161" s="25"/>
      <c r="U161" s="25"/>
      <c r="V161" s="26"/>
      <c r="W161" s="25"/>
      <c r="X161" s="27"/>
    </row>
    <row r="162" spans="1:24" x14ac:dyDescent="0.25">
      <c r="A162" s="10" t="s">
        <v>121</v>
      </c>
      <c r="B162" s="23"/>
      <c r="C162" s="22"/>
      <c r="D162" s="22"/>
      <c r="E162" s="22"/>
      <c r="F162" s="22"/>
      <c r="G162" s="22"/>
      <c r="H162" s="24"/>
      <c r="I162" s="22"/>
      <c r="J162" s="22"/>
      <c r="K162" s="22"/>
      <c r="L162" s="22"/>
      <c r="M162" s="22"/>
      <c r="N162" s="22"/>
      <c r="O162" s="22"/>
      <c r="P162" s="23"/>
      <c r="Q162" s="23"/>
      <c r="R162" s="24"/>
      <c r="S162" s="24"/>
      <c r="T162" s="22"/>
      <c r="U162" s="22"/>
      <c r="V162" s="23"/>
      <c r="W162" s="22"/>
      <c r="X162" s="24"/>
    </row>
    <row r="163" spans="1:24" x14ac:dyDescent="0.25">
      <c r="A163" s="10" t="s">
        <v>122</v>
      </c>
      <c r="B163" s="23"/>
      <c r="C163" s="22"/>
      <c r="D163" s="22"/>
      <c r="E163" s="22"/>
      <c r="F163" s="22"/>
      <c r="G163" s="22"/>
      <c r="H163" s="24"/>
      <c r="I163" s="22"/>
      <c r="J163" s="22"/>
      <c r="K163" s="22"/>
      <c r="L163" s="22"/>
      <c r="M163" s="22"/>
      <c r="N163" s="22"/>
      <c r="O163" s="22"/>
      <c r="P163" s="23"/>
      <c r="Q163" s="23"/>
      <c r="R163" s="24"/>
      <c r="S163" s="24"/>
      <c r="T163" s="22"/>
      <c r="U163" s="22"/>
      <c r="V163" s="23"/>
      <c r="W163" s="22"/>
      <c r="X163" s="24"/>
    </row>
    <row r="164" spans="1:24" x14ac:dyDescent="0.25">
      <c r="A164" s="10" t="s">
        <v>123</v>
      </c>
      <c r="B164" s="23"/>
      <c r="C164" s="22"/>
      <c r="D164" s="22"/>
      <c r="E164" s="22"/>
      <c r="F164" s="22"/>
      <c r="G164" s="22"/>
      <c r="H164" s="24"/>
      <c r="I164" s="22"/>
      <c r="J164" s="22"/>
      <c r="K164" s="22"/>
      <c r="L164" s="22"/>
      <c r="M164" s="22"/>
      <c r="N164" s="22"/>
      <c r="O164" s="22"/>
      <c r="P164" s="23"/>
      <c r="Q164" s="23"/>
      <c r="R164" s="24"/>
      <c r="S164" s="24"/>
      <c r="T164" s="22"/>
      <c r="U164" s="22"/>
      <c r="V164" s="23"/>
      <c r="W164" s="22"/>
      <c r="X164" s="24"/>
    </row>
    <row r="165" spans="1:24" x14ac:dyDescent="0.25">
      <c r="A165" s="10" t="s">
        <v>124</v>
      </c>
      <c r="B165" s="23"/>
      <c r="C165" s="22"/>
      <c r="D165" s="22"/>
      <c r="E165" s="22"/>
      <c r="F165" s="22"/>
      <c r="G165" s="22"/>
      <c r="H165" s="24"/>
      <c r="I165" s="22"/>
      <c r="J165" s="22"/>
      <c r="K165" s="22"/>
      <c r="L165" s="22"/>
      <c r="M165" s="22"/>
      <c r="N165" s="22"/>
      <c r="O165" s="22"/>
      <c r="P165" s="23"/>
      <c r="Q165" s="23"/>
      <c r="R165" s="24"/>
      <c r="S165" s="24"/>
      <c r="T165" s="22"/>
      <c r="U165" s="22"/>
      <c r="V165" s="23"/>
      <c r="W165" s="22"/>
      <c r="X165" s="24"/>
    </row>
    <row r="166" spans="1:24" x14ac:dyDescent="0.25">
      <c r="A166" s="10" t="s">
        <v>125</v>
      </c>
      <c r="B166" s="23"/>
      <c r="C166" s="22"/>
      <c r="D166" s="22"/>
      <c r="E166" s="22"/>
      <c r="F166" s="22"/>
      <c r="G166" s="22"/>
      <c r="H166" s="24"/>
      <c r="I166" s="22"/>
      <c r="J166" s="22"/>
      <c r="K166" s="22"/>
      <c r="L166" s="22"/>
      <c r="M166" s="22"/>
      <c r="N166" s="22"/>
      <c r="O166" s="22"/>
      <c r="P166" s="23"/>
      <c r="Q166" s="23"/>
      <c r="R166" s="24"/>
      <c r="S166" s="24"/>
      <c r="T166" s="22"/>
      <c r="U166" s="22"/>
      <c r="V166" s="23"/>
      <c r="W166" s="22"/>
      <c r="X166" s="24"/>
    </row>
    <row r="167" spans="1:24" x14ac:dyDescent="0.25">
      <c r="A167" s="18" t="s">
        <v>126</v>
      </c>
      <c r="B167" s="29"/>
      <c r="C167" s="28"/>
      <c r="D167" s="28"/>
      <c r="E167" s="28"/>
      <c r="F167" s="28"/>
      <c r="G167" s="28"/>
      <c r="H167" s="30"/>
      <c r="I167" s="28"/>
      <c r="J167" s="28"/>
      <c r="K167" s="28"/>
      <c r="L167" s="28"/>
      <c r="M167" s="28"/>
      <c r="N167" s="28"/>
      <c r="O167" s="28"/>
      <c r="P167" s="29"/>
      <c r="Q167" s="29"/>
      <c r="R167" s="30"/>
      <c r="S167" s="30"/>
      <c r="T167" s="28"/>
      <c r="U167" s="28"/>
      <c r="V167" s="29"/>
      <c r="W167" s="28"/>
      <c r="X167" s="30"/>
    </row>
    <row r="168" spans="1:24" x14ac:dyDescent="0.25">
      <c r="A168" s="10" t="s">
        <v>72</v>
      </c>
      <c r="B168" s="23"/>
      <c r="C168" s="22"/>
      <c r="D168" s="22"/>
      <c r="E168" s="22"/>
      <c r="F168" s="22"/>
      <c r="G168" s="22"/>
      <c r="H168" s="24"/>
      <c r="I168" s="22"/>
      <c r="J168" s="22"/>
      <c r="K168" s="22"/>
      <c r="L168" s="22"/>
      <c r="M168" s="22"/>
      <c r="N168" s="22"/>
      <c r="O168" s="22"/>
      <c r="P168" s="23"/>
      <c r="Q168" s="23"/>
      <c r="R168" s="24"/>
      <c r="S168" s="24"/>
      <c r="T168" s="22"/>
      <c r="U168" s="22"/>
      <c r="V168" s="23"/>
      <c r="W168" s="22"/>
      <c r="X168" s="24"/>
    </row>
    <row r="169" spans="1:24" x14ac:dyDescent="0.25">
      <c r="A169" s="14" t="s">
        <v>6</v>
      </c>
      <c r="B169" s="26"/>
      <c r="C169" s="25"/>
      <c r="D169" s="25"/>
      <c r="E169" s="25"/>
      <c r="F169" s="25"/>
      <c r="G169" s="25"/>
      <c r="H169" s="27"/>
      <c r="I169" s="25"/>
      <c r="J169" s="25"/>
      <c r="K169" s="25"/>
      <c r="L169" s="25"/>
      <c r="M169" s="25"/>
      <c r="N169" s="25"/>
      <c r="O169" s="25"/>
      <c r="P169" s="26"/>
      <c r="Q169" s="26"/>
      <c r="R169" s="27"/>
      <c r="S169" s="27"/>
      <c r="T169" s="25"/>
      <c r="U169" s="25"/>
      <c r="V169" s="26"/>
      <c r="W169" s="25"/>
      <c r="X169" s="27"/>
    </row>
    <row r="170" spans="1:24" x14ac:dyDescent="0.25">
      <c r="A170" s="18" t="s">
        <v>7</v>
      </c>
      <c r="B170" s="29"/>
      <c r="C170" s="28"/>
      <c r="D170" s="28"/>
      <c r="E170" s="28"/>
      <c r="F170" s="28"/>
      <c r="G170" s="28"/>
      <c r="H170" s="30"/>
      <c r="I170" s="28"/>
      <c r="J170" s="28"/>
      <c r="K170" s="28"/>
      <c r="L170" s="28"/>
      <c r="M170" s="28"/>
      <c r="N170" s="28"/>
      <c r="O170" s="28"/>
      <c r="P170" s="29"/>
      <c r="Q170" s="29"/>
      <c r="R170" s="30"/>
      <c r="S170" s="30"/>
      <c r="T170" s="28"/>
      <c r="U170" s="28"/>
      <c r="V170" s="29"/>
      <c r="W170" s="28"/>
      <c r="X170" s="30"/>
    </row>
    <row r="171" spans="1:24" x14ac:dyDescent="0.25">
      <c r="A171" s="10" t="s">
        <v>73</v>
      </c>
      <c r="B171" s="23"/>
      <c r="C171" s="22"/>
      <c r="D171" s="22"/>
      <c r="E171" s="22"/>
      <c r="F171" s="22"/>
      <c r="G171" s="22"/>
      <c r="H171" s="24"/>
      <c r="I171" s="22"/>
      <c r="J171" s="22"/>
      <c r="K171" s="22"/>
      <c r="L171" s="22"/>
      <c r="M171" s="22"/>
      <c r="N171" s="22"/>
      <c r="O171" s="22"/>
      <c r="P171" s="23"/>
      <c r="Q171" s="23"/>
      <c r="R171" s="24"/>
      <c r="S171" s="24"/>
      <c r="T171" s="22"/>
      <c r="U171" s="22"/>
      <c r="V171" s="23"/>
      <c r="W171" s="22"/>
      <c r="X171" s="24"/>
    </row>
    <row r="172" spans="1:24" x14ac:dyDescent="0.25">
      <c r="A172" s="14" t="s">
        <v>8</v>
      </c>
      <c r="B172" s="26"/>
      <c r="C172" s="25"/>
      <c r="D172" s="25"/>
      <c r="E172" s="25"/>
      <c r="F172" s="25"/>
      <c r="G172" s="25"/>
      <c r="H172" s="27"/>
      <c r="I172" s="25"/>
      <c r="J172" s="25"/>
      <c r="K172" s="25"/>
      <c r="L172" s="25"/>
      <c r="M172" s="25"/>
      <c r="N172" s="25"/>
      <c r="O172" s="25"/>
      <c r="P172" s="26"/>
      <c r="Q172" s="26"/>
      <c r="R172" s="27"/>
      <c r="S172" s="27"/>
      <c r="T172" s="25"/>
      <c r="U172" s="25"/>
      <c r="V172" s="26"/>
      <c r="W172" s="25"/>
      <c r="X172" s="27"/>
    </row>
    <row r="173" spans="1:24" x14ac:dyDescent="0.25">
      <c r="A173" s="18" t="s">
        <v>9</v>
      </c>
      <c r="B173" s="29"/>
      <c r="C173" s="28"/>
      <c r="D173" s="28"/>
      <c r="E173" s="28"/>
      <c r="F173" s="28"/>
      <c r="G173" s="28"/>
      <c r="H173" s="30"/>
      <c r="I173" s="28"/>
      <c r="J173" s="28"/>
      <c r="K173" s="28"/>
      <c r="L173" s="28"/>
      <c r="M173" s="28"/>
      <c r="N173" s="28"/>
      <c r="O173" s="28"/>
      <c r="P173" s="29"/>
      <c r="Q173" s="29"/>
      <c r="R173" s="30"/>
      <c r="S173" s="30"/>
      <c r="T173" s="28"/>
      <c r="U173" s="28"/>
      <c r="V173" s="29"/>
      <c r="W173" s="28"/>
      <c r="X173" s="30"/>
    </row>
    <row r="174" spans="1:24" x14ac:dyDescent="0.25">
      <c r="A174" s="10" t="s">
        <v>10</v>
      </c>
      <c r="B174" s="23"/>
      <c r="C174" s="22"/>
      <c r="D174" s="22"/>
      <c r="E174" s="22"/>
      <c r="F174" s="22"/>
      <c r="G174" s="22"/>
      <c r="H174" s="24"/>
      <c r="I174" s="22"/>
      <c r="J174" s="22"/>
      <c r="K174" s="22"/>
      <c r="L174" s="22"/>
      <c r="M174" s="22"/>
      <c r="N174" s="22"/>
      <c r="O174" s="22"/>
      <c r="P174" s="23"/>
      <c r="Q174" s="23"/>
      <c r="R174" s="24"/>
      <c r="S174" s="24"/>
      <c r="T174" s="22"/>
      <c r="U174" s="22"/>
      <c r="V174" s="23"/>
      <c r="W174" s="22"/>
      <c r="X174" s="24"/>
    </row>
    <row r="175" spans="1:24" x14ac:dyDescent="0.25">
      <c r="A175" s="10" t="s">
        <v>11</v>
      </c>
      <c r="B175" s="23"/>
      <c r="C175" s="22"/>
      <c r="D175" s="22"/>
      <c r="E175" s="22"/>
      <c r="F175" s="22"/>
      <c r="G175" s="22"/>
      <c r="H175" s="24"/>
      <c r="I175" s="22"/>
      <c r="J175" s="22"/>
      <c r="K175" s="22"/>
      <c r="L175" s="22"/>
      <c r="M175" s="22"/>
      <c r="N175" s="22"/>
      <c r="O175" s="22"/>
      <c r="P175" s="23"/>
      <c r="Q175" s="23"/>
      <c r="R175" s="24"/>
      <c r="S175" s="24"/>
      <c r="T175" s="22"/>
      <c r="U175" s="22"/>
      <c r="V175" s="23"/>
      <c r="W175" s="22"/>
      <c r="X175" s="24"/>
    </row>
    <row r="176" spans="1:24" x14ac:dyDescent="0.25">
      <c r="A176" s="18" t="s">
        <v>12</v>
      </c>
      <c r="B176" s="29"/>
      <c r="C176" s="28"/>
      <c r="D176" s="28"/>
      <c r="E176" s="28"/>
      <c r="F176" s="28"/>
      <c r="G176" s="28"/>
      <c r="H176" s="30"/>
      <c r="I176" s="28"/>
      <c r="J176" s="28"/>
      <c r="K176" s="28"/>
      <c r="L176" s="28"/>
      <c r="M176" s="28"/>
      <c r="N176" s="28"/>
      <c r="O176" s="28"/>
      <c r="P176" s="29"/>
      <c r="Q176" s="29"/>
      <c r="R176" s="30"/>
      <c r="S176" s="30"/>
      <c r="T176" s="28"/>
      <c r="U176" s="28"/>
      <c r="V176" s="29"/>
      <c r="W176" s="28"/>
      <c r="X176" s="30"/>
    </row>
    <row r="179" spans="1:24" x14ac:dyDescent="0.25">
      <c r="A179" s="109" t="s">
        <v>148</v>
      </c>
    </row>
    <row r="180" spans="1:24" x14ac:dyDescent="0.25">
      <c r="A180" s="6"/>
      <c r="B180" s="32" t="s">
        <v>0</v>
      </c>
      <c r="C180" s="31" t="s">
        <v>115</v>
      </c>
      <c r="D180" s="31" t="s">
        <v>116</v>
      </c>
      <c r="E180" s="31" t="s">
        <v>117</v>
      </c>
      <c r="F180" s="31" t="s">
        <v>118</v>
      </c>
      <c r="G180" s="31" t="s">
        <v>119</v>
      </c>
      <c r="H180" s="33" t="s">
        <v>120</v>
      </c>
      <c r="I180" s="32" t="s">
        <v>3</v>
      </c>
      <c r="J180" s="31" t="s">
        <v>121</v>
      </c>
      <c r="K180" s="31" t="s">
        <v>122</v>
      </c>
      <c r="L180" s="31" t="s">
        <v>123</v>
      </c>
      <c r="M180" s="31" t="s">
        <v>124</v>
      </c>
      <c r="N180" s="31" t="s">
        <v>125</v>
      </c>
      <c r="O180" s="31" t="s">
        <v>126</v>
      </c>
      <c r="P180" s="32" t="s">
        <v>72</v>
      </c>
      <c r="Q180" s="32" t="s">
        <v>6</v>
      </c>
      <c r="R180" s="33" t="s">
        <v>7</v>
      </c>
      <c r="S180" s="53" t="s">
        <v>73</v>
      </c>
      <c r="T180" s="32" t="s">
        <v>8</v>
      </c>
      <c r="U180" s="31" t="s">
        <v>9</v>
      </c>
      <c r="V180" s="32" t="s">
        <v>10</v>
      </c>
      <c r="W180" s="31" t="s">
        <v>11</v>
      </c>
      <c r="X180" s="33" t="s">
        <v>12</v>
      </c>
    </row>
    <row r="181" spans="1:24" x14ac:dyDescent="0.25">
      <c r="A181" s="14" t="s">
        <v>0</v>
      </c>
      <c r="B181" s="26">
        <v>0</v>
      </c>
      <c r="C181" s="25">
        <v>0</v>
      </c>
      <c r="D181" s="25">
        <v>0</v>
      </c>
      <c r="E181" s="25">
        <v>0</v>
      </c>
      <c r="F181" s="25">
        <v>0</v>
      </c>
      <c r="G181" s="25">
        <v>0</v>
      </c>
      <c r="H181" s="27">
        <v>0</v>
      </c>
      <c r="I181" s="95">
        <f>IF(N$249=1,I42,I98)</f>
        <v>0</v>
      </c>
      <c r="J181" s="96">
        <f t="shared" ref="J181:O196" si="5">IF(O$249=1,J42,J98)</f>
        <v>0</v>
      </c>
      <c r="K181" s="96">
        <f t="shared" si="5"/>
        <v>0</v>
      </c>
      <c r="L181" s="96">
        <f t="shared" si="5"/>
        <v>0</v>
      </c>
      <c r="M181" s="96">
        <f t="shared" si="5"/>
        <v>0</v>
      </c>
      <c r="N181" s="96">
        <f t="shared" si="5"/>
        <v>0</v>
      </c>
      <c r="O181" s="97">
        <f t="shared" si="5"/>
        <v>0</v>
      </c>
      <c r="P181" s="26">
        <v>0</v>
      </c>
      <c r="Q181" s="26">
        <v>0</v>
      </c>
      <c r="R181" s="27">
        <v>0</v>
      </c>
      <c r="S181" s="27">
        <v>0</v>
      </c>
      <c r="T181" s="25">
        <v>0</v>
      </c>
      <c r="U181" s="25">
        <v>0</v>
      </c>
      <c r="V181" s="26">
        <v>0</v>
      </c>
      <c r="W181" s="25">
        <v>0</v>
      </c>
      <c r="X181" s="27">
        <v>0</v>
      </c>
    </row>
    <row r="182" spans="1:24" x14ac:dyDescent="0.25">
      <c r="A182" s="10" t="s">
        <v>115</v>
      </c>
      <c r="B182" s="23">
        <v>0</v>
      </c>
      <c r="C182" s="22">
        <v>0</v>
      </c>
      <c r="D182" s="22">
        <v>0</v>
      </c>
      <c r="E182" s="22">
        <v>0</v>
      </c>
      <c r="F182" s="22">
        <v>0</v>
      </c>
      <c r="G182" s="22">
        <v>0</v>
      </c>
      <c r="H182" s="24">
        <v>0</v>
      </c>
      <c r="I182" s="99">
        <f t="shared" ref="I182:O197" si="6">IF(N$249=1,I43,I99)</f>
        <v>0</v>
      </c>
      <c r="J182" s="100">
        <f t="shared" si="5"/>
        <v>0</v>
      </c>
      <c r="K182" s="100">
        <f t="shared" si="5"/>
        <v>0</v>
      </c>
      <c r="L182" s="100">
        <f t="shared" si="5"/>
        <v>0</v>
      </c>
      <c r="M182" s="100">
        <f t="shared" si="5"/>
        <v>0</v>
      </c>
      <c r="N182" s="100">
        <f t="shared" si="5"/>
        <v>0</v>
      </c>
      <c r="O182" s="101">
        <f t="shared" si="5"/>
        <v>0</v>
      </c>
      <c r="P182" s="23">
        <v>0</v>
      </c>
      <c r="Q182" s="23">
        <v>0</v>
      </c>
      <c r="R182" s="24">
        <v>0</v>
      </c>
      <c r="S182" s="24">
        <v>0</v>
      </c>
      <c r="T182" s="22">
        <v>0</v>
      </c>
      <c r="U182" s="22">
        <v>0</v>
      </c>
      <c r="V182" s="23">
        <v>0</v>
      </c>
      <c r="W182" s="22">
        <v>0</v>
      </c>
      <c r="X182" s="24">
        <v>0</v>
      </c>
    </row>
    <row r="183" spans="1:24" x14ac:dyDescent="0.25">
      <c r="A183" s="10" t="s">
        <v>116</v>
      </c>
      <c r="B183" s="23">
        <v>0</v>
      </c>
      <c r="C183" s="22">
        <v>0</v>
      </c>
      <c r="D183" s="22">
        <v>0</v>
      </c>
      <c r="E183" s="22">
        <v>0</v>
      </c>
      <c r="F183" s="22">
        <v>0</v>
      </c>
      <c r="G183" s="22">
        <v>0</v>
      </c>
      <c r="H183" s="24">
        <v>0</v>
      </c>
      <c r="I183" s="99">
        <f t="shared" si="6"/>
        <v>0</v>
      </c>
      <c r="J183" s="100">
        <f t="shared" si="5"/>
        <v>0</v>
      </c>
      <c r="K183" s="100">
        <f t="shared" si="5"/>
        <v>0</v>
      </c>
      <c r="L183" s="100">
        <f t="shared" si="5"/>
        <v>0</v>
      </c>
      <c r="M183" s="100">
        <f t="shared" si="5"/>
        <v>0</v>
      </c>
      <c r="N183" s="100">
        <f t="shared" si="5"/>
        <v>0</v>
      </c>
      <c r="O183" s="101">
        <f t="shared" si="5"/>
        <v>0</v>
      </c>
      <c r="P183" s="23">
        <v>0</v>
      </c>
      <c r="Q183" s="23">
        <v>0</v>
      </c>
      <c r="R183" s="24">
        <v>0</v>
      </c>
      <c r="S183" s="24">
        <v>0</v>
      </c>
      <c r="T183" s="22">
        <v>0</v>
      </c>
      <c r="U183" s="22">
        <v>0</v>
      </c>
      <c r="V183" s="23">
        <v>0</v>
      </c>
      <c r="W183" s="22">
        <v>0</v>
      </c>
      <c r="X183" s="24">
        <v>0</v>
      </c>
    </row>
    <row r="184" spans="1:24" x14ac:dyDescent="0.25">
      <c r="A184" s="10" t="s">
        <v>117</v>
      </c>
      <c r="B184" s="23">
        <v>0</v>
      </c>
      <c r="C184" s="22">
        <v>0</v>
      </c>
      <c r="D184" s="22">
        <v>0</v>
      </c>
      <c r="E184" s="22">
        <v>0</v>
      </c>
      <c r="F184" s="22">
        <v>0</v>
      </c>
      <c r="G184" s="22">
        <v>0</v>
      </c>
      <c r="H184" s="24">
        <v>0</v>
      </c>
      <c r="I184" s="99">
        <f t="shared" si="6"/>
        <v>0</v>
      </c>
      <c r="J184" s="100">
        <f t="shared" si="5"/>
        <v>0</v>
      </c>
      <c r="K184" s="100">
        <f t="shared" si="5"/>
        <v>0</v>
      </c>
      <c r="L184" s="100">
        <f t="shared" si="5"/>
        <v>0</v>
      </c>
      <c r="M184" s="100">
        <f t="shared" si="5"/>
        <v>0</v>
      </c>
      <c r="N184" s="100">
        <f t="shared" si="5"/>
        <v>0</v>
      </c>
      <c r="O184" s="101">
        <f t="shared" si="5"/>
        <v>0</v>
      </c>
      <c r="P184" s="23">
        <v>0</v>
      </c>
      <c r="Q184" s="23">
        <v>0</v>
      </c>
      <c r="R184" s="24">
        <v>0</v>
      </c>
      <c r="S184" s="24">
        <v>0</v>
      </c>
      <c r="T184" s="22">
        <v>0</v>
      </c>
      <c r="U184" s="22">
        <v>0</v>
      </c>
      <c r="V184" s="23">
        <v>0</v>
      </c>
      <c r="W184" s="22">
        <v>0</v>
      </c>
      <c r="X184" s="24">
        <v>0</v>
      </c>
    </row>
    <row r="185" spans="1:24" x14ac:dyDescent="0.25">
      <c r="A185" s="10" t="s">
        <v>118</v>
      </c>
      <c r="B185" s="23">
        <v>0</v>
      </c>
      <c r="C185" s="22">
        <v>0</v>
      </c>
      <c r="D185" s="22">
        <v>0</v>
      </c>
      <c r="E185" s="22">
        <v>0</v>
      </c>
      <c r="F185" s="22">
        <v>0</v>
      </c>
      <c r="G185" s="22">
        <v>0</v>
      </c>
      <c r="H185" s="24">
        <v>0</v>
      </c>
      <c r="I185" s="99">
        <f t="shared" si="6"/>
        <v>0</v>
      </c>
      <c r="J185" s="100">
        <f t="shared" si="5"/>
        <v>0</v>
      </c>
      <c r="K185" s="100">
        <f t="shared" si="5"/>
        <v>0</v>
      </c>
      <c r="L185" s="100">
        <f t="shared" si="5"/>
        <v>0</v>
      </c>
      <c r="M185" s="100">
        <f t="shared" si="5"/>
        <v>0</v>
      </c>
      <c r="N185" s="100">
        <f t="shared" si="5"/>
        <v>0</v>
      </c>
      <c r="O185" s="101">
        <f t="shared" si="5"/>
        <v>0</v>
      </c>
      <c r="P185" s="23">
        <v>0</v>
      </c>
      <c r="Q185" s="23">
        <v>0</v>
      </c>
      <c r="R185" s="24">
        <v>0</v>
      </c>
      <c r="S185" s="24">
        <v>0</v>
      </c>
      <c r="T185" s="22">
        <v>0</v>
      </c>
      <c r="U185" s="22">
        <v>0</v>
      </c>
      <c r="V185" s="23">
        <v>0</v>
      </c>
      <c r="W185" s="22">
        <v>0</v>
      </c>
      <c r="X185" s="24">
        <v>0</v>
      </c>
    </row>
    <row r="186" spans="1:24" x14ac:dyDescent="0.25">
      <c r="A186" s="10" t="s">
        <v>119</v>
      </c>
      <c r="B186" s="23">
        <v>0</v>
      </c>
      <c r="C186" s="22">
        <v>0</v>
      </c>
      <c r="D186" s="22">
        <v>0</v>
      </c>
      <c r="E186" s="22">
        <v>0</v>
      </c>
      <c r="F186" s="22">
        <v>0</v>
      </c>
      <c r="G186" s="22">
        <v>0</v>
      </c>
      <c r="H186" s="24">
        <v>0</v>
      </c>
      <c r="I186" s="99">
        <f t="shared" si="6"/>
        <v>0</v>
      </c>
      <c r="J186" s="100">
        <f t="shared" si="5"/>
        <v>0</v>
      </c>
      <c r="K186" s="100">
        <f t="shared" si="5"/>
        <v>0</v>
      </c>
      <c r="L186" s="100">
        <f t="shared" si="5"/>
        <v>0</v>
      </c>
      <c r="M186" s="100">
        <f t="shared" si="5"/>
        <v>0</v>
      </c>
      <c r="N186" s="100">
        <f t="shared" si="5"/>
        <v>0</v>
      </c>
      <c r="O186" s="101">
        <f t="shared" si="5"/>
        <v>0</v>
      </c>
      <c r="P186" s="23">
        <v>0</v>
      </c>
      <c r="Q186" s="23">
        <v>0</v>
      </c>
      <c r="R186" s="24">
        <v>0</v>
      </c>
      <c r="S186" s="24">
        <v>0</v>
      </c>
      <c r="T186" s="22">
        <v>0</v>
      </c>
      <c r="U186" s="22">
        <v>0</v>
      </c>
      <c r="V186" s="23">
        <v>0</v>
      </c>
      <c r="W186" s="22">
        <v>0</v>
      </c>
      <c r="X186" s="24">
        <v>0</v>
      </c>
    </row>
    <row r="187" spans="1:24" x14ac:dyDescent="0.25">
      <c r="A187" s="10" t="s">
        <v>120</v>
      </c>
      <c r="B187" s="23">
        <v>0</v>
      </c>
      <c r="C187" s="22">
        <v>0</v>
      </c>
      <c r="D187" s="22">
        <v>0</v>
      </c>
      <c r="E187" s="22">
        <v>0</v>
      </c>
      <c r="F187" s="22">
        <v>0</v>
      </c>
      <c r="G187" s="22">
        <v>0</v>
      </c>
      <c r="H187" s="24">
        <v>0</v>
      </c>
      <c r="I187" s="103">
        <f t="shared" si="6"/>
        <v>0</v>
      </c>
      <c r="J187" s="104">
        <f t="shared" si="5"/>
        <v>0</v>
      </c>
      <c r="K187" s="104">
        <f t="shared" si="5"/>
        <v>0</v>
      </c>
      <c r="L187" s="104">
        <f t="shared" si="5"/>
        <v>0</v>
      </c>
      <c r="M187" s="104">
        <f t="shared" si="5"/>
        <v>0</v>
      </c>
      <c r="N187" s="104">
        <f t="shared" si="5"/>
        <v>0</v>
      </c>
      <c r="O187" s="105">
        <f t="shared" si="5"/>
        <v>0</v>
      </c>
      <c r="P187" s="23">
        <v>0</v>
      </c>
      <c r="Q187" s="23">
        <v>0</v>
      </c>
      <c r="R187" s="24">
        <v>0</v>
      </c>
      <c r="S187" s="24">
        <v>0</v>
      </c>
      <c r="T187" s="22">
        <v>0</v>
      </c>
      <c r="U187" s="22">
        <v>0</v>
      </c>
      <c r="V187" s="23">
        <v>0</v>
      </c>
      <c r="W187" s="22">
        <v>0</v>
      </c>
      <c r="X187" s="24">
        <v>0</v>
      </c>
    </row>
    <row r="188" spans="1:24" x14ac:dyDescent="0.25">
      <c r="A188" s="14" t="s">
        <v>3</v>
      </c>
      <c r="B188" s="26">
        <v>0</v>
      </c>
      <c r="C188" s="25">
        <v>0</v>
      </c>
      <c r="D188" s="25">
        <v>0</v>
      </c>
      <c r="E188" s="25">
        <v>0</v>
      </c>
      <c r="F188" s="25">
        <v>0</v>
      </c>
      <c r="G188" s="25">
        <v>0</v>
      </c>
      <c r="H188" s="27">
        <v>0</v>
      </c>
      <c r="I188" s="95">
        <f t="shared" si="6"/>
        <v>0</v>
      </c>
      <c r="J188" s="96">
        <f t="shared" si="5"/>
        <v>0</v>
      </c>
      <c r="K188" s="96">
        <f t="shared" si="5"/>
        <v>0</v>
      </c>
      <c r="L188" s="96">
        <f t="shared" si="5"/>
        <v>0</v>
      </c>
      <c r="M188" s="96">
        <f t="shared" si="5"/>
        <v>0</v>
      </c>
      <c r="N188" s="96">
        <f t="shared" si="5"/>
        <v>0</v>
      </c>
      <c r="O188" s="97">
        <f t="shared" si="5"/>
        <v>0</v>
      </c>
      <c r="P188" s="26">
        <v>0</v>
      </c>
      <c r="Q188" s="26">
        <v>0</v>
      </c>
      <c r="R188" s="27">
        <v>0</v>
      </c>
      <c r="S188" s="27">
        <v>0</v>
      </c>
      <c r="T188" s="25">
        <v>0</v>
      </c>
      <c r="U188" s="25">
        <v>0</v>
      </c>
      <c r="V188" s="26">
        <v>0</v>
      </c>
      <c r="W188" s="25">
        <v>0</v>
      </c>
      <c r="X188" s="27">
        <v>0</v>
      </c>
    </row>
    <row r="189" spans="1:24" x14ac:dyDescent="0.25">
      <c r="A189" s="10" t="s">
        <v>121</v>
      </c>
      <c r="B189" s="23">
        <v>0</v>
      </c>
      <c r="C189" s="22">
        <v>0</v>
      </c>
      <c r="D189" s="22">
        <v>0</v>
      </c>
      <c r="E189" s="22">
        <v>0</v>
      </c>
      <c r="F189" s="22">
        <v>0</v>
      </c>
      <c r="G189" s="22">
        <v>0</v>
      </c>
      <c r="H189" s="24">
        <v>0</v>
      </c>
      <c r="I189" s="99">
        <f t="shared" si="6"/>
        <v>0</v>
      </c>
      <c r="J189" s="100">
        <f t="shared" si="5"/>
        <v>0</v>
      </c>
      <c r="K189" s="100">
        <f t="shared" si="5"/>
        <v>0</v>
      </c>
      <c r="L189" s="100">
        <f t="shared" si="5"/>
        <v>0</v>
      </c>
      <c r="M189" s="100">
        <f t="shared" si="5"/>
        <v>0</v>
      </c>
      <c r="N189" s="100">
        <f t="shared" si="5"/>
        <v>0</v>
      </c>
      <c r="O189" s="101">
        <f t="shared" si="5"/>
        <v>0</v>
      </c>
      <c r="P189" s="23">
        <v>0</v>
      </c>
      <c r="Q189" s="23">
        <v>0</v>
      </c>
      <c r="R189" s="24">
        <v>0</v>
      </c>
      <c r="S189" s="24">
        <v>0</v>
      </c>
      <c r="T189" s="22">
        <v>0</v>
      </c>
      <c r="U189" s="22">
        <v>0</v>
      </c>
      <c r="V189" s="23">
        <v>0</v>
      </c>
      <c r="W189" s="22">
        <v>0</v>
      </c>
      <c r="X189" s="24">
        <v>0</v>
      </c>
    </row>
    <row r="190" spans="1:24" x14ac:dyDescent="0.25">
      <c r="A190" s="10" t="s">
        <v>122</v>
      </c>
      <c r="B190" s="23">
        <v>0</v>
      </c>
      <c r="C190" s="22">
        <v>0</v>
      </c>
      <c r="D190" s="22">
        <v>0</v>
      </c>
      <c r="E190" s="22">
        <v>0</v>
      </c>
      <c r="F190" s="22">
        <v>0</v>
      </c>
      <c r="G190" s="22">
        <v>0</v>
      </c>
      <c r="H190" s="24">
        <v>0</v>
      </c>
      <c r="I190" s="99">
        <f t="shared" si="6"/>
        <v>0</v>
      </c>
      <c r="J190" s="100">
        <f t="shared" si="5"/>
        <v>0</v>
      </c>
      <c r="K190" s="100">
        <f t="shared" si="5"/>
        <v>0</v>
      </c>
      <c r="L190" s="100">
        <f t="shared" si="5"/>
        <v>0</v>
      </c>
      <c r="M190" s="100">
        <f t="shared" si="5"/>
        <v>0</v>
      </c>
      <c r="N190" s="100">
        <f t="shared" si="5"/>
        <v>0</v>
      </c>
      <c r="O190" s="101">
        <f t="shared" si="5"/>
        <v>0</v>
      </c>
      <c r="P190" s="23">
        <v>0</v>
      </c>
      <c r="Q190" s="23">
        <v>0</v>
      </c>
      <c r="R190" s="24">
        <v>0</v>
      </c>
      <c r="S190" s="24">
        <v>0</v>
      </c>
      <c r="T190" s="22">
        <v>0</v>
      </c>
      <c r="U190" s="22">
        <v>0</v>
      </c>
      <c r="V190" s="23">
        <v>0</v>
      </c>
      <c r="W190" s="22">
        <v>0</v>
      </c>
      <c r="X190" s="24">
        <v>0</v>
      </c>
    </row>
    <row r="191" spans="1:24" x14ac:dyDescent="0.25">
      <c r="A191" s="10" t="s">
        <v>123</v>
      </c>
      <c r="B191" s="23">
        <v>0</v>
      </c>
      <c r="C191" s="22">
        <v>0</v>
      </c>
      <c r="D191" s="22">
        <v>0</v>
      </c>
      <c r="E191" s="22">
        <v>0</v>
      </c>
      <c r="F191" s="22">
        <v>0</v>
      </c>
      <c r="G191" s="22">
        <v>0</v>
      </c>
      <c r="H191" s="24">
        <v>0</v>
      </c>
      <c r="I191" s="99">
        <f t="shared" si="6"/>
        <v>0</v>
      </c>
      <c r="J191" s="100">
        <f t="shared" si="5"/>
        <v>0</v>
      </c>
      <c r="K191" s="100">
        <f t="shared" si="5"/>
        <v>0</v>
      </c>
      <c r="L191" s="100">
        <f t="shared" si="5"/>
        <v>0</v>
      </c>
      <c r="M191" s="100">
        <f t="shared" si="5"/>
        <v>0</v>
      </c>
      <c r="N191" s="100">
        <f t="shared" si="5"/>
        <v>0</v>
      </c>
      <c r="O191" s="101">
        <f t="shared" si="5"/>
        <v>0</v>
      </c>
      <c r="P191" s="23">
        <v>0</v>
      </c>
      <c r="Q191" s="23">
        <v>0</v>
      </c>
      <c r="R191" s="24">
        <v>0</v>
      </c>
      <c r="S191" s="24">
        <v>0</v>
      </c>
      <c r="T191" s="22">
        <v>0</v>
      </c>
      <c r="U191" s="22">
        <v>0</v>
      </c>
      <c r="V191" s="23">
        <v>0</v>
      </c>
      <c r="W191" s="22">
        <v>0</v>
      </c>
      <c r="X191" s="24">
        <v>0</v>
      </c>
    </row>
    <row r="192" spans="1:24" x14ac:dyDescent="0.25">
      <c r="A192" s="10" t="s">
        <v>124</v>
      </c>
      <c r="B192" s="23">
        <v>0</v>
      </c>
      <c r="C192" s="22">
        <v>0</v>
      </c>
      <c r="D192" s="22">
        <v>0</v>
      </c>
      <c r="E192" s="22">
        <v>0</v>
      </c>
      <c r="F192" s="22">
        <v>0</v>
      </c>
      <c r="G192" s="22">
        <v>0</v>
      </c>
      <c r="H192" s="24">
        <v>0</v>
      </c>
      <c r="I192" s="99">
        <f t="shared" si="6"/>
        <v>0</v>
      </c>
      <c r="J192" s="100">
        <f t="shared" si="5"/>
        <v>0</v>
      </c>
      <c r="K192" s="100">
        <f t="shared" si="5"/>
        <v>0</v>
      </c>
      <c r="L192" s="100">
        <f t="shared" si="5"/>
        <v>0</v>
      </c>
      <c r="M192" s="100">
        <f t="shared" si="5"/>
        <v>0</v>
      </c>
      <c r="N192" s="100">
        <f t="shared" si="5"/>
        <v>0</v>
      </c>
      <c r="O192" s="101">
        <f t="shared" si="5"/>
        <v>0</v>
      </c>
      <c r="P192" s="23">
        <v>0</v>
      </c>
      <c r="Q192" s="23">
        <v>0</v>
      </c>
      <c r="R192" s="24">
        <v>0</v>
      </c>
      <c r="S192" s="24">
        <v>0</v>
      </c>
      <c r="T192" s="22">
        <v>0</v>
      </c>
      <c r="U192" s="22">
        <v>0</v>
      </c>
      <c r="V192" s="23">
        <v>0</v>
      </c>
      <c r="W192" s="22">
        <v>0</v>
      </c>
      <c r="X192" s="24">
        <v>0</v>
      </c>
    </row>
    <row r="193" spans="1:24" x14ac:dyDescent="0.25">
      <c r="A193" s="10" t="s">
        <v>125</v>
      </c>
      <c r="B193" s="23">
        <v>0</v>
      </c>
      <c r="C193" s="22">
        <v>0</v>
      </c>
      <c r="D193" s="22">
        <v>0</v>
      </c>
      <c r="E193" s="22">
        <v>0</v>
      </c>
      <c r="F193" s="22">
        <v>0</v>
      </c>
      <c r="G193" s="22">
        <v>0</v>
      </c>
      <c r="H193" s="24">
        <v>0</v>
      </c>
      <c r="I193" s="99">
        <f t="shared" si="6"/>
        <v>0</v>
      </c>
      <c r="J193" s="100">
        <f t="shared" si="5"/>
        <v>0</v>
      </c>
      <c r="K193" s="100">
        <f t="shared" si="5"/>
        <v>0</v>
      </c>
      <c r="L193" s="100">
        <f t="shared" si="5"/>
        <v>0</v>
      </c>
      <c r="M193" s="100">
        <f t="shared" si="5"/>
        <v>0</v>
      </c>
      <c r="N193" s="100">
        <f t="shared" si="5"/>
        <v>0</v>
      </c>
      <c r="O193" s="101">
        <f t="shared" si="5"/>
        <v>0</v>
      </c>
      <c r="P193" s="23">
        <v>0</v>
      </c>
      <c r="Q193" s="23">
        <v>0</v>
      </c>
      <c r="R193" s="24">
        <v>0</v>
      </c>
      <c r="S193" s="24">
        <v>0</v>
      </c>
      <c r="T193" s="22">
        <v>0</v>
      </c>
      <c r="U193" s="22">
        <v>0</v>
      </c>
      <c r="V193" s="23">
        <v>0</v>
      </c>
      <c r="W193" s="22">
        <v>0</v>
      </c>
      <c r="X193" s="24">
        <v>0</v>
      </c>
    </row>
    <row r="194" spans="1:24" x14ac:dyDescent="0.25">
      <c r="A194" s="18" t="s">
        <v>126</v>
      </c>
      <c r="B194" s="29">
        <v>0</v>
      </c>
      <c r="C194" s="28">
        <v>0</v>
      </c>
      <c r="D194" s="28">
        <v>0</v>
      </c>
      <c r="E194" s="28">
        <v>0</v>
      </c>
      <c r="F194" s="28">
        <v>0</v>
      </c>
      <c r="G194" s="28">
        <v>0</v>
      </c>
      <c r="H194" s="30">
        <v>0</v>
      </c>
      <c r="I194" s="103">
        <f t="shared" si="6"/>
        <v>0</v>
      </c>
      <c r="J194" s="104">
        <f t="shared" si="5"/>
        <v>0</v>
      </c>
      <c r="K194" s="104">
        <f t="shared" si="5"/>
        <v>0</v>
      </c>
      <c r="L194" s="104">
        <f t="shared" si="5"/>
        <v>0</v>
      </c>
      <c r="M194" s="104">
        <f t="shared" si="5"/>
        <v>0</v>
      </c>
      <c r="N194" s="104">
        <f t="shared" si="5"/>
        <v>0</v>
      </c>
      <c r="O194" s="105">
        <f t="shared" si="5"/>
        <v>0</v>
      </c>
      <c r="P194" s="29">
        <v>0</v>
      </c>
      <c r="Q194" s="29">
        <v>0</v>
      </c>
      <c r="R194" s="30">
        <v>0</v>
      </c>
      <c r="S194" s="30">
        <v>0</v>
      </c>
      <c r="T194" s="28">
        <v>0</v>
      </c>
      <c r="U194" s="28">
        <v>0</v>
      </c>
      <c r="V194" s="29">
        <v>0</v>
      </c>
      <c r="W194" s="28">
        <v>0</v>
      </c>
      <c r="X194" s="30">
        <v>0</v>
      </c>
    </row>
    <row r="195" spans="1:24" x14ac:dyDescent="0.25">
      <c r="A195" s="10" t="s">
        <v>72</v>
      </c>
      <c r="B195" s="23">
        <v>0</v>
      </c>
      <c r="C195" s="22">
        <v>0</v>
      </c>
      <c r="D195" s="22">
        <v>0</v>
      </c>
      <c r="E195" s="22">
        <v>0</v>
      </c>
      <c r="F195" s="22">
        <v>0</v>
      </c>
      <c r="G195" s="22">
        <v>0</v>
      </c>
      <c r="H195" s="24">
        <v>0</v>
      </c>
      <c r="I195" s="106">
        <f t="shared" si="6"/>
        <v>0</v>
      </c>
      <c r="J195" s="107">
        <f t="shared" si="5"/>
        <v>0</v>
      </c>
      <c r="K195" s="107">
        <f t="shared" si="5"/>
        <v>0</v>
      </c>
      <c r="L195" s="107">
        <f t="shared" si="5"/>
        <v>0</v>
      </c>
      <c r="M195" s="107">
        <f t="shared" si="5"/>
        <v>0</v>
      </c>
      <c r="N195" s="107">
        <f t="shared" si="5"/>
        <v>0</v>
      </c>
      <c r="O195" s="108">
        <f t="shared" si="5"/>
        <v>0</v>
      </c>
      <c r="P195" s="23">
        <v>0</v>
      </c>
      <c r="Q195" s="23">
        <v>0</v>
      </c>
      <c r="R195" s="24">
        <v>0</v>
      </c>
      <c r="S195" s="24">
        <v>0</v>
      </c>
      <c r="T195" s="22">
        <v>0</v>
      </c>
      <c r="U195" s="22">
        <v>0</v>
      </c>
      <c r="V195" s="23">
        <v>0</v>
      </c>
      <c r="W195" s="22">
        <v>0</v>
      </c>
      <c r="X195" s="24">
        <v>0</v>
      </c>
    </row>
    <row r="196" spans="1:24" x14ac:dyDescent="0.25">
      <c r="A196" s="14" t="s">
        <v>6</v>
      </c>
      <c r="B196" s="26">
        <v>0</v>
      </c>
      <c r="C196" s="25">
        <v>0</v>
      </c>
      <c r="D196" s="25">
        <v>0</v>
      </c>
      <c r="E196" s="25">
        <v>0</v>
      </c>
      <c r="F196" s="25">
        <v>0</v>
      </c>
      <c r="G196" s="25">
        <v>0</v>
      </c>
      <c r="H196" s="27">
        <v>0</v>
      </c>
      <c r="I196" s="95">
        <f t="shared" si="6"/>
        <v>0</v>
      </c>
      <c r="J196" s="96">
        <f t="shared" si="5"/>
        <v>0</v>
      </c>
      <c r="K196" s="96">
        <f t="shared" si="5"/>
        <v>0</v>
      </c>
      <c r="L196" s="96">
        <f t="shared" si="5"/>
        <v>0</v>
      </c>
      <c r="M196" s="96">
        <f t="shared" si="5"/>
        <v>0</v>
      </c>
      <c r="N196" s="96">
        <f t="shared" si="5"/>
        <v>0</v>
      </c>
      <c r="O196" s="97">
        <f t="shared" si="5"/>
        <v>0</v>
      </c>
      <c r="P196" s="26">
        <v>0</v>
      </c>
      <c r="Q196" s="26">
        <v>0</v>
      </c>
      <c r="R196" s="27">
        <v>0</v>
      </c>
      <c r="S196" s="27">
        <v>0</v>
      </c>
      <c r="T196" s="25">
        <v>0</v>
      </c>
      <c r="U196" s="25">
        <v>0</v>
      </c>
      <c r="V196" s="26">
        <v>0</v>
      </c>
      <c r="W196" s="25">
        <v>0</v>
      </c>
      <c r="X196" s="27">
        <v>0</v>
      </c>
    </row>
    <row r="197" spans="1:24" x14ac:dyDescent="0.25">
      <c r="A197" s="18" t="s">
        <v>7</v>
      </c>
      <c r="B197" s="29">
        <v>0</v>
      </c>
      <c r="C197" s="28">
        <v>0</v>
      </c>
      <c r="D197" s="28">
        <v>0</v>
      </c>
      <c r="E197" s="28">
        <v>0</v>
      </c>
      <c r="F197" s="28">
        <v>0</v>
      </c>
      <c r="G197" s="28">
        <v>0</v>
      </c>
      <c r="H197" s="30">
        <v>0</v>
      </c>
      <c r="I197" s="103">
        <f t="shared" si="6"/>
        <v>0</v>
      </c>
      <c r="J197" s="104">
        <f t="shared" si="6"/>
        <v>0</v>
      </c>
      <c r="K197" s="104">
        <f t="shared" si="6"/>
        <v>0</v>
      </c>
      <c r="L197" s="104">
        <f t="shared" si="6"/>
        <v>0</v>
      </c>
      <c r="M197" s="104">
        <f t="shared" si="6"/>
        <v>0</v>
      </c>
      <c r="N197" s="104">
        <f t="shared" si="6"/>
        <v>0</v>
      </c>
      <c r="O197" s="105">
        <f t="shared" si="6"/>
        <v>0</v>
      </c>
      <c r="P197" s="29">
        <v>0</v>
      </c>
      <c r="Q197" s="29">
        <v>0</v>
      </c>
      <c r="R197" s="30">
        <v>0</v>
      </c>
      <c r="S197" s="30">
        <v>0</v>
      </c>
      <c r="T197" s="28">
        <v>0</v>
      </c>
      <c r="U197" s="28">
        <v>0</v>
      </c>
      <c r="V197" s="29">
        <v>0</v>
      </c>
      <c r="W197" s="28">
        <v>0</v>
      </c>
      <c r="X197" s="30">
        <v>0</v>
      </c>
    </row>
    <row r="198" spans="1:24" x14ac:dyDescent="0.25">
      <c r="A198" s="10" t="s">
        <v>73</v>
      </c>
      <c r="B198" s="23">
        <v>0</v>
      </c>
      <c r="C198" s="22">
        <v>0</v>
      </c>
      <c r="D198" s="22">
        <v>0</v>
      </c>
      <c r="E198" s="22">
        <v>0</v>
      </c>
      <c r="F198" s="22">
        <v>0</v>
      </c>
      <c r="G198" s="22">
        <v>0</v>
      </c>
      <c r="H198" s="24">
        <v>0</v>
      </c>
      <c r="I198" s="106">
        <f t="shared" ref="I198:O203" si="7">IF(N$249=1,I59,I115)</f>
        <v>0</v>
      </c>
      <c r="J198" s="107">
        <f t="shared" si="7"/>
        <v>0</v>
      </c>
      <c r="K198" s="107">
        <f t="shared" si="7"/>
        <v>0</v>
      </c>
      <c r="L198" s="107">
        <f t="shared" si="7"/>
        <v>0</v>
      </c>
      <c r="M198" s="107">
        <f t="shared" si="7"/>
        <v>0</v>
      </c>
      <c r="N198" s="107">
        <f t="shared" si="7"/>
        <v>0</v>
      </c>
      <c r="O198" s="108">
        <f t="shared" si="7"/>
        <v>0</v>
      </c>
      <c r="P198" s="23">
        <v>0</v>
      </c>
      <c r="Q198" s="23">
        <v>0</v>
      </c>
      <c r="R198" s="24">
        <v>0</v>
      </c>
      <c r="S198" s="24">
        <v>0</v>
      </c>
      <c r="T198" s="22">
        <v>0</v>
      </c>
      <c r="U198" s="22">
        <v>0</v>
      </c>
      <c r="V198" s="23">
        <v>0</v>
      </c>
      <c r="W198" s="22">
        <v>0</v>
      </c>
      <c r="X198" s="24">
        <v>0</v>
      </c>
    </row>
    <row r="199" spans="1:24" x14ac:dyDescent="0.25">
      <c r="A199" s="14" t="s">
        <v>8</v>
      </c>
      <c r="B199" s="26">
        <v>0</v>
      </c>
      <c r="C199" s="25">
        <v>0</v>
      </c>
      <c r="D199" s="25">
        <v>0</v>
      </c>
      <c r="E199" s="25">
        <v>0</v>
      </c>
      <c r="F199" s="25">
        <v>0</v>
      </c>
      <c r="G199" s="25">
        <v>0</v>
      </c>
      <c r="H199" s="27">
        <v>0</v>
      </c>
      <c r="I199" s="95">
        <f t="shared" si="7"/>
        <v>0</v>
      </c>
      <c r="J199" s="96">
        <f t="shared" si="7"/>
        <v>0</v>
      </c>
      <c r="K199" s="96">
        <f t="shared" si="7"/>
        <v>0</v>
      </c>
      <c r="L199" s="96">
        <f t="shared" si="7"/>
        <v>0</v>
      </c>
      <c r="M199" s="96">
        <f t="shared" si="7"/>
        <v>0</v>
      </c>
      <c r="N199" s="96">
        <f t="shared" si="7"/>
        <v>0</v>
      </c>
      <c r="O199" s="97">
        <f t="shared" si="7"/>
        <v>0</v>
      </c>
      <c r="P199" s="26">
        <v>0</v>
      </c>
      <c r="Q199" s="26">
        <v>0</v>
      </c>
      <c r="R199" s="27">
        <v>0</v>
      </c>
      <c r="S199" s="27">
        <v>0</v>
      </c>
      <c r="T199" s="25">
        <v>0</v>
      </c>
      <c r="U199" s="25">
        <v>0</v>
      </c>
      <c r="V199" s="26">
        <v>0</v>
      </c>
      <c r="W199" s="25">
        <v>0</v>
      </c>
      <c r="X199" s="27">
        <v>0</v>
      </c>
    </row>
    <row r="200" spans="1:24" x14ac:dyDescent="0.25">
      <c r="A200" s="18" t="s">
        <v>9</v>
      </c>
      <c r="B200" s="29">
        <v>0</v>
      </c>
      <c r="C200" s="28">
        <v>0</v>
      </c>
      <c r="D200" s="28">
        <v>0</v>
      </c>
      <c r="E200" s="28">
        <v>0</v>
      </c>
      <c r="F200" s="28">
        <v>0</v>
      </c>
      <c r="G200" s="28">
        <v>0</v>
      </c>
      <c r="H200" s="30">
        <v>0</v>
      </c>
      <c r="I200" s="103">
        <f t="shared" si="7"/>
        <v>0</v>
      </c>
      <c r="J200" s="104">
        <f t="shared" si="7"/>
        <v>0</v>
      </c>
      <c r="K200" s="104">
        <f t="shared" si="7"/>
        <v>0</v>
      </c>
      <c r="L200" s="104">
        <f t="shared" si="7"/>
        <v>0</v>
      </c>
      <c r="M200" s="104">
        <f t="shared" si="7"/>
        <v>0</v>
      </c>
      <c r="N200" s="104">
        <f t="shared" si="7"/>
        <v>0</v>
      </c>
      <c r="O200" s="105">
        <f t="shared" si="7"/>
        <v>0</v>
      </c>
      <c r="P200" s="29">
        <v>0</v>
      </c>
      <c r="Q200" s="29">
        <v>0</v>
      </c>
      <c r="R200" s="30">
        <v>0</v>
      </c>
      <c r="S200" s="30">
        <v>0</v>
      </c>
      <c r="T200" s="28">
        <v>0</v>
      </c>
      <c r="U200" s="28">
        <v>0</v>
      </c>
      <c r="V200" s="29">
        <v>0</v>
      </c>
      <c r="W200" s="28">
        <v>0</v>
      </c>
      <c r="X200" s="30">
        <v>0</v>
      </c>
    </row>
    <row r="201" spans="1:24" x14ac:dyDescent="0.25">
      <c r="A201" s="10" t="s">
        <v>10</v>
      </c>
      <c r="B201" s="23">
        <v>0</v>
      </c>
      <c r="C201" s="22">
        <v>0</v>
      </c>
      <c r="D201" s="22">
        <v>0</v>
      </c>
      <c r="E201" s="22">
        <v>0</v>
      </c>
      <c r="F201" s="22">
        <v>0</v>
      </c>
      <c r="G201" s="22">
        <v>0</v>
      </c>
      <c r="H201" s="24">
        <v>0</v>
      </c>
      <c r="I201" s="95">
        <f t="shared" si="7"/>
        <v>0</v>
      </c>
      <c r="J201" s="96">
        <f t="shared" si="7"/>
        <v>0</v>
      </c>
      <c r="K201" s="96">
        <f t="shared" si="7"/>
        <v>0</v>
      </c>
      <c r="L201" s="96">
        <f t="shared" si="7"/>
        <v>0</v>
      </c>
      <c r="M201" s="96">
        <f t="shared" si="7"/>
        <v>0</v>
      </c>
      <c r="N201" s="96">
        <f t="shared" si="7"/>
        <v>0</v>
      </c>
      <c r="O201" s="97">
        <f t="shared" si="7"/>
        <v>0</v>
      </c>
      <c r="P201" s="23">
        <v>0</v>
      </c>
      <c r="Q201" s="23">
        <v>0</v>
      </c>
      <c r="R201" s="24">
        <v>0</v>
      </c>
      <c r="S201" s="24">
        <v>0</v>
      </c>
      <c r="T201" s="22">
        <v>0</v>
      </c>
      <c r="U201" s="22">
        <v>0</v>
      </c>
      <c r="V201" s="23">
        <v>0</v>
      </c>
      <c r="W201" s="22">
        <v>0</v>
      </c>
      <c r="X201" s="24">
        <v>0</v>
      </c>
    </row>
    <row r="202" spans="1:24" x14ac:dyDescent="0.25">
      <c r="A202" s="10" t="s">
        <v>11</v>
      </c>
      <c r="B202" s="23">
        <v>0</v>
      </c>
      <c r="C202" s="22">
        <v>0</v>
      </c>
      <c r="D202" s="22">
        <v>0</v>
      </c>
      <c r="E202" s="22">
        <v>0</v>
      </c>
      <c r="F202" s="22">
        <v>0</v>
      </c>
      <c r="G202" s="22">
        <v>0</v>
      </c>
      <c r="H202" s="24">
        <v>0</v>
      </c>
      <c r="I202" s="99">
        <f t="shared" si="7"/>
        <v>0</v>
      </c>
      <c r="J202" s="100">
        <f t="shared" si="7"/>
        <v>0</v>
      </c>
      <c r="K202" s="100">
        <f t="shared" si="7"/>
        <v>0</v>
      </c>
      <c r="L202" s="100">
        <f t="shared" si="7"/>
        <v>0</v>
      </c>
      <c r="M202" s="100">
        <f t="shared" si="7"/>
        <v>0</v>
      </c>
      <c r="N202" s="100">
        <f t="shared" si="7"/>
        <v>0</v>
      </c>
      <c r="O202" s="101">
        <f t="shared" si="7"/>
        <v>0</v>
      </c>
      <c r="P202" s="23">
        <v>0</v>
      </c>
      <c r="Q202" s="23">
        <v>0</v>
      </c>
      <c r="R202" s="24">
        <v>0</v>
      </c>
      <c r="S202" s="24">
        <v>0</v>
      </c>
      <c r="T202" s="22">
        <v>0</v>
      </c>
      <c r="U202" s="22">
        <v>0</v>
      </c>
      <c r="V202" s="23">
        <v>0</v>
      </c>
      <c r="W202" s="22">
        <v>0</v>
      </c>
      <c r="X202" s="24">
        <v>0</v>
      </c>
    </row>
    <row r="203" spans="1:24" x14ac:dyDescent="0.25">
      <c r="A203" s="18" t="s">
        <v>12</v>
      </c>
      <c r="B203" s="29">
        <v>0</v>
      </c>
      <c r="C203" s="28">
        <v>0</v>
      </c>
      <c r="D203" s="28">
        <v>0</v>
      </c>
      <c r="E203" s="28">
        <v>0</v>
      </c>
      <c r="F203" s="28">
        <v>0</v>
      </c>
      <c r="G203" s="28">
        <v>0</v>
      </c>
      <c r="H203" s="30">
        <v>0</v>
      </c>
      <c r="I203" s="103">
        <f t="shared" si="7"/>
        <v>0</v>
      </c>
      <c r="J203" s="104">
        <f t="shared" si="7"/>
        <v>0</v>
      </c>
      <c r="K203" s="104">
        <f t="shared" si="7"/>
        <v>0</v>
      </c>
      <c r="L203" s="104">
        <f t="shared" si="7"/>
        <v>0</v>
      </c>
      <c r="M203" s="104">
        <f t="shared" si="7"/>
        <v>0</v>
      </c>
      <c r="N203" s="104">
        <f t="shared" si="7"/>
        <v>0</v>
      </c>
      <c r="O203" s="105">
        <f t="shared" si="7"/>
        <v>0</v>
      </c>
      <c r="P203" s="29">
        <v>0</v>
      </c>
      <c r="Q203" s="29">
        <v>0</v>
      </c>
      <c r="R203" s="30">
        <v>0</v>
      </c>
      <c r="S203" s="30">
        <v>0</v>
      </c>
      <c r="T203" s="28">
        <v>0</v>
      </c>
      <c r="U203" s="28">
        <v>0</v>
      </c>
      <c r="V203" s="29">
        <v>0</v>
      </c>
      <c r="W203" s="28">
        <v>0</v>
      </c>
      <c r="X203" s="30">
        <v>0</v>
      </c>
    </row>
    <row r="206" spans="1:24" ht="18.75" x14ac:dyDescent="0.3">
      <c r="A206" s="37" t="s">
        <v>50</v>
      </c>
    </row>
    <row r="208" spans="1:24" x14ac:dyDescent="0.25">
      <c r="A208" s="20" t="s">
        <v>46</v>
      </c>
    </row>
    <row r="209" spans="1:19" x14ac:dyDescent="0.25">
      <c r="A209" s="14"/>
      <c r="B209" s="6" t="s">
        <v>3</v>
      </c>
      <c r="C209" s="5" t="s">
        <v>121</v>
      </c>
      <c r="D209" s="5" t="s">
        <v>122</v>
      </c>
      <c r="E209" s="5" t="s">
        <v>149</v>
      </c>
      <c r="F209" s="5" t="s">
        <v>150</v>
      </c>
      <c r="G209" s="5" t="s">
        <v>125</v>
      </c>
      <c r="H209" s="7" t="s">
        <v>126</v>
      </c>
      <c r="J209" s="36"/>
    </row>
    <row r="210" spans="1:19" x14ac:dyDescent="0.25">
      <c r="A210" s="14" t="s">
        <v>0</v>
      </c>
      <c r="B210" s="26">
        <v>0</v>
      </c>
      <c r="C210" s="25">
        <v>0</v>
      </c>
      <c r="D210" s="25">
        <v>0</v>
      </c>
      <c r="E210" s="25">
        <v>0</v>
      </c>
      <c r="F210" s="25">
        <v>0</v>
      </c>
      <c r="G210" s="25">
        <v>0</v>
      </c>
      <c r="H210" s="27">
        <v>0</v>
      </c>
      <c r="J210" s="34" t="s">
        <v>49</v>
      </c>
    </row>
    <row r="211" spans="1:19" x14ac:dyDescent="0.25">
      <c r="A211" s="10" t="s">
        <v>115</v>
      </c>
      <c r="B211" s="23">
        <v>0</v>
      </c>
      <c r="C211" s="22">
        <v>0</v>
      </c>
      <c r="D211" s="22">
        <v>0</v>
      </c>
      <c r="E211" s="22">
        <v>0</v>
      </c>
      <c r="F211" s="22">
        <v>0</v>
      </c>
      <c r="G211" s="22">
        <v>0</v>
      </c>
      <c r="H211" s="24">
        <v>0</v>
      </c>
      <c r="J211" s="34" t="s">
        <v>151</v>
      </c>
    </row>
    <row r="212" spans="1:19" x14ac:dyDescent="0.25">
      <c r="A212" s="10" t="s">
        <v>116</v>
      </c>
      <c r="B212" s="23">
        <v>0</v>
      </c>
      <c r="C212" s="22">
        <v>0</v>
      </c>
      <c r="D212" s="22">
        <v>0</v>
      </c>
      <c r="E212" s="22">
        <v>0</v>
      </c>
      <c r="F212" s="22">
        <v>0</v>
      </c>
      <c r="G212" s="22">
        <v>0</v>
      </c>
      <c r="H212" s="24">
        <v>0</v>
      </c>
      <c r="J212" s="34" t="s">
        <v>52</v>
      </c>
    </row>
    <row r="213" spans="1:19" x14ac:dyDescent="0.25">
      <c r="A213" s="10" t="s">
        <v>117</v>
      </c>
      <c r="B213" s="23">
        <v>0</v>
      </c>
      <c r="C213" s="22">
        <v>0</v>
      </c>
      <c r="D213" s="22">
        <v>0</v>
      </c>
      <c r="E213" s="22">
        <v>0</v>
      </c>
      <c r="F213" s="22">
        <v>0</v>
      </c>
      <c r="G213" s="22">
        <v>0</v>
      </c>
      <c r="H213" s="24">
        <v>0</v>
      </c>
      <c r="J213" s="34"/>
    </row>
    <row r="214" spans="1:19" x14ac:dyDescent="0.25">
      <c r="A214" s="10" t="s">
        <v>118</v>
      </c>
      <c r="B214" s="23">
        <v>0</v>
      </c>
      <c r="C214" s="22">
        <v>0</v>
      </c>
      <c r="D214" s="22">
        <v>0</v>
      </c>
      <c r="E214" s="22">
        <v>0</v>
      </c>
      <c r="F214" s="22">
        <v>0</v>
      </c>
      <c r="G214" s="22">
        <v>0</v>
      </c>
      <c r="H214" s="24">
        <v>0</v>
      </c>
      <c r="J214" s="34" t="s">
        <v>53</v>
      </c>
    </row>
    <row r="215" spans="1:19" x14ac:dyDescent="0.25">
      <c r="A215" s="10" t="s">
        <v>119</v>
      </c>
      <c r="B215" s="23">
        <v>0</v>
      </c>
      <c r="C215" s="22">
        <v>0</v>
      </c>
      <c r="D215" s="22">
        <v>0</v>
      </c>
      <c r="E215" s="22">
        <v>0</v>
      </c>
      <c r="F215" s="22">
        <v>0</v>
      </c>
      <c r="G215" s="22">
        <v>0</v>
      </c>
      <c r="H215" s="24">
        <v>0</v>
      </c>
      <c r="J215" s="34" t="s">
        <v>152</v>
      </c>
    </row>
    <row r="216" spans="1:19" x14ac:dyDescent="0.25">
      <c r="A216" s="10" t="s">
        <v>120</v>
      </c>
      <c r="B216" s="23">
        <v>0</v>
      </c>
      <c r="C216" s="22">
        <v>0</v>
      </c>
      <c r="D216" s="22">
        <v>0</v>
      </c>
      <c r="E216" s="22">
        <v>0</v>
      </c>
      <c r="F216" s="22">
        <v>0</v>
      </c>
      <c r="G216" s="22">
        <v>0</v>
      </c>
      <c r="H216" s="24">
        <v>0</v>
      </c>
      <c r="J216" s="34"/>
    </row>
    <row r="217" spans="1:19" x14ac:dyDescent="0.25">
      <c r="A217" s="14" t="s">
        <v>3</v>
      </c>
      <c r="B217" s="26">
        <v>1</v>
      </c>
      <c r="C217" s="25">
        <v>0</v>
      </c>
      <c r="D217" s="25">
        <v>0</v>
      </c>
      <c r="E217" s="25">
        <v>0</v>
      </c>
      <c r="F217" s="25">
        <v>0</v>
      </c>
      <c r="G217" s="25">
        <v>0</v>
      </c>
      <c r="H217" s="27">
        <v>0</v>
      </c>
      <c r="J217" s="34" t="s">
        <v>59</v>
      </c>
    </row>
    <row r="218" spans="1:19" x14ac:dyDescent="0.25">
      <c r="A218" s="10" t="s">
        <v>121</v>
      </c>
      <c r="B218" s="23">
        <v>0</v>
      </c>
      <c r="C218" s="22">
        <v>1</v>
      </c>
      <c r="D218" s="22">
        <v>0</v>
      </c>
      <c r="E218" s="22">
        <v>0</v>
      </c>
      <c r="F218" s="22">
        <v>0</v>
      </c>
      <c r="G218" s="22">
        <v>0</v>
      </c>
      <c r="H218" s="24">
        <v>0</v>
      </c>
      <c r="J218" s="34" t="s">
        <v>63</v>
      </c>
    </row>
    <row r="219" spans="1:19" x14ac:dyDescent="0.25">
      <c r="A219" s="10" t="s">
        <v>122</v>
      </c>
      <c r="B219" s="23">
        <v>0</v>
      </c>
      <c r="C219" s="22">
        <v>0</v>
      </c>
      <c r="D219" s="22">
        <v>1</v>
      </c>
      <c r="E219" s="22">
        <v>0</v>
      </c>
      <c r="F219" s="22">
        <v>0</v>
      </c>
      <c r="G219" s="22">
        <v>0</v>
      </c>
      <c r="H219" s="24">
        <v>0</v>
      </c>
    </row>
    <row r="220" spans="1:19" x14ac:dyDescent="0.25">
      <c r="A220" s="10" t="s">
        <v>123</v>
      </c>
      <c r="B220" s="23">
        <v>0</v>
      </c>
      <c r="C220" s="22">
        <v>0</v>
      </c>
      <c r="D220" s="22">
        <v>0</v>
      </c>
      <c r="E220" s="22">
        <v>1</v>
      </c>
      <c r="F220" s="22">
        <v>0</v>
      </c>
      <c r="G220" s="22">
        <v>0</v>
      </c>
      <c r="H220" s="24">
        <v>0</v>
      </c>
      <c r="J220" s="59" t="s">
        <v>82</v>
      </c>
    </row>
    <row r="221" spans="1:19" x14ac:dyDescent="0.25">
      <c r="A221" s="10" t="s">
        <v>124</v>
      </c>
      <c r="B221" s="23">
        <v>0</v>
      </c>
      <c r="C221" s="22">
        <v>0</v>
      </c>
      <c r="D221" s="22">
        <v>0</v>
      </c>
      <c r="E221" s="22">
        <v>0</v>
      </c>
      <c r="F221" s="22">
        <v>1</v>
      </c>
      <c r="G221" s="22">
        <v>0</v>
      </c>
      <c r="H221" s="24">
        <v>0</v>
      </c>
    </row>
    <row r="222" spans="1:19" x14ac:dyDescent="0.25">
      <c r="A222" s="10" t="s">
        <v>125</v>
      </c>
      <c r="B222" s="23">
        <v>0</v>
      </c>
      <c r="C222" s="22">
        <v>0</v>
      </c>
      <c r="D222" s="22">
        <v>0</v>
      </c>
      <c r="E222" s="22">
        <v>0</v>
      </c>
      <c r="F222" s="22">
        <v>0</v>
      </c>
      <c r="G222" s="22">
        <v>1</v>
      </c>
      <c r="H222" s="24">
        <v>0</v>
      </c>
    </row>
    <row r="223" spans="1:19" x14ac:dyDescent="0.25">
      <c r="A223" s="18" t="s">
        <v>126</v>
      </c>
      <c r="B223" s="29">
        <v>0</v>
      </c>
      <c r="C223" s="28">
        <v>0</v>
      </c>
      <c r="D223" s="28">
        <v>0</v>
      </c>
      <c r="E223" s="28">
        <v>0</v>
      </c>
      <c r="F223" s="28">
        <v>0</v>
      </c>
      <c r="G223" s="28">
        <v>0</v>
      </c>
      <c r="H223" s="30">
        <v>1</v>
      </c>
      <c r="J223" s="159" t="s">
        <v>190</v>
      </c>
      <c r="K223" s="159"/>
      <c r="L223" s="159"/>
      <c r="M223" s="159"/>
      <c r="N223" s="159"/>
      <c r="O223" s="159"/>
      <c r="P223" s="159"/>
      <c r="Q223" s="159"/>
      <c r="R223" s="159"/>
      <c r="S223" s="159"/>
    </row>
    <row r="224" spans="1:19" x14ac:dyDescent="0.25">
      <c r="A224" s="10" t="s">
        <v>72</v>
      </c>
      <c r="B224" s="23">
        <v>0</v>
      </c>
      <c r="C224" s="22">
        <v>0</v>
      </c>
      <c r="D224" s="22">
        <v>0</v>
      </c>
      <c r="E224" s="22">
        <v>0</v>
      </c>
      <c r="F224" s="22">
        <v>0</v>
      </c>
      <c r="G224" s="22">
        <v>0</v>
      </c>
      <c r="H224" s="24">
        <v>0</v>
      </c>
      <c r="J224" s="159"/>
      <c r="K224" s="159"/>
      <c r="L224" s="159"/>
      <c r="M224" s="159"/>
      <c r="N224" s="159"/>
      <c r="O224" s="159"/>
      <c r="P224" s="159"/>
      <c r="Q224" s="159"/>
      <c r="R224" s="159"/>
      <c r="S224" s="159"/>
    </row>
    <row r="225" spans="1:25" x14ac:dyDescent="0.25">
      <c r="A225" s="14" t="s">
        <v>6</v>
      </c>
      <c r="B225" s="26">
        <v>0</v>
      </c>
      <c r="C225" s="25">
        <v>0</v>
      </c>
      <c r="D225" s="25">
        <v>0</v>
      </c>
      <c r="E225" s="25">
        <v>0</v>
      </c>
      <c r="F225" s="25">
        <v>0</v>
      </c>
      <c r="G225" s="25">
        <v>0</v>
      </c>
      <c r="H225" s="27">
        <v>0</v>
      </c>
      <c r="J225" s="159"/>
      <c r="K225" s="159"/>
      <c r="L225" s="159"/>
      <c r="M225" s="159"/>
      <c r="N225" s="159"/>
      <c r="O225" s="159"/>
      <c r="P225" s="159"/>
      <c r="Q225" s="159"/>
      <c r="R225" s="159"/>
      <c r="S225" s="159"/>
    </row>
    <row r="226" spans="1:25" x14ac:dyDescent="0.25">
      <c r="A226" s="18" t="s">
        <v>7</v>
      </c>
      <c r="B226" s="29">
        <v>0</v>
      </c>
      <c r="C226" s="28">
        <v>0</v>
      </c>
      <c r="D226" s="28">
        <v>0</v>
      </c>
      <c r="E226" s="28">
        <v>0</v>
      </c>
      <c r="F226" s="28">
        <v>0</v>
      </c>
      <c r="G226" s="28">
        <v>0</v>
      </c>
      <c r="H226" s="30">
        <v>0</v>
      </c>
      <c r="J226" s="159"/>
      <c r="K226" s="159"/>
      <c r="L226" s="159"/>
      <c r="M226" s="159"/>
      <c r="N226" s="159"/>
      <c r="O226" s="159"/>
      <c r="P226" s="159"/>
      <c r="Q226" s="159"/>
      <c r="R226" s="159"/>
      <c r="S226" s="159"/>
    </row>
    <row r="227" spans="1:25" x14ac:dyDescent="0.25">
      <c r="A227" s="10" t="s">
        <v>73</v>
      </c>
      <c r="B227" s="23">
        <v>0</v>
      </c>
      <c r="C227" s="22">
        <v>0</v>
      </c>
      <c r="D227" s="22">
        <v>0</v>
      </c>
      <c r="E227" s="22">
        <v>0</v>
      </c>
      <c r="F227" s="22">
        <v>0</v>
      </c>
      <c r="G227" s="22">
        <v>0</v>
      </c>
      <c r="H227" s="24">
        <v>0</v>
      </c>
      <c r="J227" s="159"/>
      <c r="K227" s="159"/>
      <c r="L227" s="159"/>
      <c r="M227" s="159"/>
      <c r="N227" s="159"/>
      <c r="O227" s="159"/>
      <c r="P227" s="159"/>
      <c r="Q227" s="159"/>
      <c r="R227" s="159"/>
      <c r="S227" s="159"/>
    </row>
    <row r="228" spans="1:25" x14ac:dyDescent="0.25">
      <c r="A228" s="14" t="s">
        <v>8</v>
      </c>
      <c r="B228" s="26">
        <v>0</v>
      </c>
      <c r="C228" s="25">
        <v>0</v>
      </c>
      <c r="D228" s="25">
        <v>0</v>
      </c>
      <c r="E228" s="25">
        <v>0</v>
      </c>
      <c r="F228" s="25">
        <v>0</v>
      </c>
      <c r="G228" s="25">
        <v>0</v>
      </c>
      <c r="H228" s="27">
        <v>0</v>
      </c>
    </row>
    <row r="229" spans="1:25" x14ac:dyDescent="0.25">
      <c r="A229" s="18" t="s">
        <v>9</v>
      </c>
      <c r="B229" s="29">
        <v>0</v>
      </c>
      <c r="C229" s="28">
        <v>0</v>
      </c>
      <c r="D229" s="28">
        <v>0</v>
      </c>
      <c r="E229" s="28">
        <v>0</v>
      </c>
      <c r="F229" s="28">
        <v>0</v>
      </c>
      <c r="G229" s="28">
        <v>0</v>
      </c>
      <c r="H229" s="30">
        <v>0</v>
      </c>
    </row>
    <row r="230" spans="1:25" x14ac:dyDescent="0.25">
      <c r="A230" s="10" t="s">
        <v>10</v>
      </c>
      <c r="B230" s="23">
        <v>0</v>
      </c>
      <c r="C230" s="22">
        <v>0</v>
      </c>
      <c r="D230" s="22">
        <v>0</v>
      </c>
      <c r="E230" s="22">
        <v>0</v>
      </c>
      <c r="F230" s="22">
        <v>0</v>
      </c>
      <c r="G230" s="22">
        <v>0</v>
      </c>
      <c r="H230" s="24">
        <v>0</v>
      </c>
    </row>
    <row r="231" spans="1:25" x14ac:dyDescent="0.25">
      <c r="A231" s="10" t="s">
        <v>11</v>
      </c>
      <c r="B231" s="23">
        <v>0</v>
      </c>
      <c r="C231" s="22">
        <v>0</v>
      </c>
      <c r="D231" s="22">
        <v>0</v>
      </c>
      <c r="E231" s="22">
        <v>0</v>
      </c>
      <c r="F231" s="22">
        <v>0</v>
      </c>
      <c r="G231" s="22">
        <v>0</v>
      </c>
      <c r="H231" s="24">
        <v>0</v>
      </c>
    </row>
    <row r="232" spans="1:25" x14ac:dyDescent="0.25">
      <c r="A232" s="18" t="s">
        <v>12</v>
      </c>
      <c r="B232" s="29">
        <v>0</v>
      </c>
      <c r="C232" s="28">
        <v>0</v>
      </c>
      <c r="D232" s="28">
        <v>0</v>
      </c>
      <c r="E232" s="28">
        <v>0</v>
      </c>
      <c r="F232" s="28">
        <v>0</v>
      </c>
      <c r="G232" s="28">
        <v>0</v>
      </c>
      <c r="H232" s="30">
        <v>0</v>
      </c>
    </row>
    <row r="234" spans="1:25" x14ac:dyDescent="0.25">
      <c r="M234" s="121"/>
      <c r="N234" s="121"/>
      <c r="O234" s="121"/>
      <c r="P234" s="121"/>
      <c r="Q234" s="121"/>
      <c r="R234" s="121"/>
      <c r="S234" s="121"/>
      <c r="T234" s="121"/>
      <c r="U234" s="121"/>
      <c r="V234" s="121"/>
      <c r="W234" s="121"/>
      <c r="X234" s="121"/>
      <c r="Y234" s="121"/>
    </row>
    <row r="235" spans="1:25" ht="18.75" x14ac:dyDescent="0.3">
      <c r="A235" s="37" t="s">
        <v>51</v>
      </c>
      <c r="M235" s="121"/>
      <c r="N235" s="122" t="s">
        <v>153</v>
      </c>
      <c r="O235" s="121"/>
      <c r="P235" s="121"/>
      <c r="Q235" s="121"/>
      <c r="R235" s="121"/>
      <c r="S235" s="121"/>
      <c r="T235" s="121"/>
      <c r="U235" s="121"/>
      <c r="V235" s="121"/>
      <c r="W235" s="121"/>
      <c r="X235" s="121"/>
      <c r="Y235" s="121"/>
    </row>
    <row r="236" spans="1:25" x14ac:dyDescent="0.25">
      <c r="M236" s="121"/>
      <c r="N236" s="121"/>
      <c r="O236" s="121"/>
      <c r="P236" s="121"/>
      <c r="Q236" s="121"/>
      <c r="R236" s="121"/>
      <c r="S236" s="121"/>
      <c r="T236" s="121"/>
      <c r="U236" s="121"/>
      <c r="V236" s="121"/>
      <c r="W236" s="121"/>
      <c r="X236" s="121"/>
      <c r="Y236" s="121"/>
    </row>
    <row r="237" spans="1:25" x14ac:dyDescent="0.25">
      <c r="A237" s="123" t="s">
        <v>154</v>
      </c>
      <c r="M237" s="121"/>
      <c r="N237" s="124" t="s">
        <v>155</v>
      </c>
      <c r="O237" s="121"/>
      <c r="P237" s="121"/>
      <c r="Q237" s="121"/>
      <c r="R237" s="121"/>
      <c r="S237" s="121"/>
      <c r="T237" s="121"/>
      <c r="U237" s="121"/>
      <c r="V237" s="121"/>
      <c r="W237" s="121"/>
      <c r="X237" s="121"/>
      <c r="Y237" s="121"/>
    </row>
    <row r="238" spans="1:25" x14ac:dyDescent="0.25">
      <c r="A238" s="125" t="s">
        <v>156</v>
      </c>
      <c r="M238" s="121"/>
      <c r="N238" s="121" t="s">
        <v>157</v>
      </c>
      <c r="O238" s="121"/>
      <c r="P238" s="121"/>
      <c r="Q238" s="121"/>
      <c r="R238" s="121"/>
      <c r="S238" s="121"/>
      <c r="T238" s="121"/>
      <c r="U238" s="121"/>
      <c r="V238" s="121"/>
      <c r="W238" s="121"/>
      <c r="X238" s="121"/>
      <c r="Y238" s="121"/>
    </row>
    <row r="239" spans="1:25" x14ac:dyDescent="0.25">
      <c r="A239" s="14"/>
      <c r="B239" s="6" t="s">
        <v>3</v>
      </c>
      <c r="C239" s="5" t="s">
        <v>121</v>
      </c>
      <c r="D239" s="5" t="s">
        <v>122</v>
      </c>
      <c r="E239" s="5" t="s">
        <v>149</v>
      </c>
      <c r="F239" s="5" t="s">
        <v>150</v>
      </c>
      <c r="G239" s="5" t="s">
        <v>125</v>
      </c>
      <c r="H239" s="7" t="s">
        <v>126</v>
      </c>
      <c r="M239" s="121"/>
      <c r="N239" s="126" t="s">
        <v>10</v>
      </c>
      <c r="O239" s="127" t="s">
        <v>11</v>
      </c>
      <c r="P239" s="128" t="s">
        <v>12</v>
      </c>
      <c r="Q239" s="121"/>
      <c r="R239" s="121"/>
      <c r="S239" s="121"/>
      <c r="T239" s="121"/>
      <c r="U239" s="121"/>
      <c r="V239" s="121"/>
      <c r="W239" s="121"/>
      <c r="X239" s="121"/>
      <c r="Y239" s="121"/>
    </row>
    <row r="240" spans="1:25" x14ac:dyDescent="0.25">
      <c r="A240" s="14" t="s">
        <v>0</v>
      </c>
      <c r="B240" s="26"/>
      <c r="C240" s="25"/>
      <c r="D240" s="25"/>
      <c r="E240" s="25"/>
      <c r="F240" s="25"/>
      <c r="G240" s="25"/>
      <c r="H240" s="27"/>
      <c r="I240" s="34" t="s">
        <v>60</v>
      </c>
      <c r="M240" s="121"/>
      <c r="N240" s="129">
        <v>1</v>
      </c>
      <c r="O240" s="130">
        <v>1</v>
      </c>
      <c r="P240" s="131">
        <v>1</v>
      </c>
      <c r="Q240" s="121"/>
      <c r="R240" s="121"/>
      <c r="S240" s="121"/>
      <c r="T240" s="121"/>
      <c r="U240" s="121"/>
      <c r="V240" s="121"/>
      <c r="W240" s="121"/>
      <c r="X240" s="121"/>
      <c r="Y240" s="121"/>
    </row>
    <row r="241" spans="1:25" x14ac:dyDescent="0.25">
      <c r="A241" s="10" t="s">
        <v>115</v>
      </c>
      <c r="B241" s="23"/>
      <c r="C241" s="22"/>
      <c r="D241" s="22"/>
      <c r="E241" s="22"/>
      <c r="F241" s="22"/>
      <c r="G241" s="22"/>
      <c r="H241" s="24"/>
      <c r="I241" s="34"/>
      <c r="M241" s="121"/>
      <c r="N241" s="121"/>
      <c r="O241" s="121"/>
      <c r="P241" s="121"/>
      <c r="Q241" s="121"/>
      <c r="R241" s="121"/>
      <c r="S241" s="121"/>
      <c r="T241" s="121"/>
      <c r="U241" s="121"/>
      <c r="V241" s="121"/>
      <c r="W241" s="121"/>
      <c r="X241" s="121"/>
      <c r="Y241" s="121"/>
    </row>
    <row r="242" spans="1:25" x14ac:dyDescent="0.25">
      <c r="A242" s="10" t="s">
        <v>116</v>
      </c>
      <c r="B242" s="23"/>
      <c r="C242" s="22"/>
      <c r="D242" s="22"/>
      <c r="E242" s="22"/>
      <c r="F242" s="22"/>
      <c r="G242" s="22"/>
      <c r="H242" s="24"/>
      <c r="I242" s="34"/>
      <c r="M242" s="121"/>
      <c r="N242" s="132" t="s">
        <v>158</v>
      </c>
      <c r="O242" s="121"/>
      <c r="P242" s="121"/>
      <c r="Q242" s="121"/>
      <c r="R242" s="121"/>
      <c r="S242" s="121"/>
      <c r="T242" s="121"/>
      <c r="U242" s="121"/>
      <c r="V242" s="121"/>
      <c r="W242" s="121"/>
      <c r="X242" s="121"/>
      <c r="Y242" s="121"/>
    </row>
    <row r="243" spans="1:25" x14ac:dyDescent="0.25">
      <c r="A243" s="10" t="s">
        <v>117</v>
      </c>
      <c r="B243" s="23"/>
      <c r="C243" s="22"/>
      <c r="D243" s="22"/>
      <c r="E243" s="22"/>
      <c r="F243" s="22"/>
      <c r="G243" s="22"/>
      <c r="H243" s="24"/>
      <c r="I243" s="34"/>
      <c r="M243" s="121"/>
      <c r="N243" s="132" t="s">
        <v>159</v>
      </c>
      <c r="O243" s="121"/>
      <c r="P243" s="121"/>
      <c r="Q243" s="121"/>
      <c r="R243" s="121"/>
      <c r="S243" s="121"/>
      <c r="T243" s="121"/>
      <c r="U243" s="121"/>
      <c r="V243" s="121"/>
      <c r="W243" s="121"/>
      <c r="X243" s="121"/>
      <c r="Y243" s="121"/>
    </row>
    <row r="244" spans="1:25" x14ac:dyDescent="0.25">
      <c r="A244" s="10" t="s">
        <v>118</v>
      </c>
      <c r="B244" s="23"/>
      <c r="C244" s="22"/>
      <c r="D244" s="22"/>
      <c r="E244" s="22"/>
      <c r="F244" s="22"/>
      <c r="G244" s="22"/>
      <c r="H244" s="24"/>
      <c r="I244" s="34"/>
      <c r="M244" s="121"/>
      <c r="N244" s="132" t="s">
        <v>160</v>
      </c>
      <c r="O244" s="121"/>
      <c r="P244" s="121"/>
      <c r="Q244" s="121"/>
      <c r="R244" s="121"/>
      <c r="S244" s="121"/>
      <c r="T244" s="121"/>
      <c r="U244" s="121"/>
      <c r="V244" s="121"/>
      <c r="W244" s="121"/>
      <c r="X244" s="121"/>
      <c r="Y244" s="121"/>
    </row>
    <row r="245" spans="1:25" x14ac:dyDescent="0.25">
      <c r="A245" s="10" t="s">
        <v>119</v>
      </c>
      <c r="B245" s="23"/>
      <c r="C245" s="22"/>
      <c r="D245" s="22"/>
      <c r="E245" s="22"/>
      <c r="F245" s="22"/>
      <c r="G245" s="22"/>
      <c r="H245" s="24"/>
      <c r="I245" s="34"/>
      <c r="M245" s="121"/>
      <c r="N245" s="132"/>
      <c r="O245" s="121"/>
      <c r="P245" s="121"/>
      <c r="Q245" s="121"/>
      <c r="R245" s="121"/>
      <c r="S245" s="121"/>
      <c r="T245" s="121"/>
      <c r="U245" s="121"/>
      <c r="V245" s="121"/>
      <c r="W245" s="121"/>
      <c r="X245" s="121"/>
      <c r="Y245" s="121"/>
    </row>
    <row r="246" spans="1:25" x14ac:dyDescent="0.25">
      <c r="A246" s="10" t="s">
        <v>120</v>
      </c>
      <c r="B246" s="23"/>
      <c r="C246" s="22"/>
      <c r="D246" s="22"/>
      <c r="E246" s="22"/>
      <c r="F246" s="22"/>
      <c r="G246" s="22"/>
      <c r="H246" s="24"/>
      <c r="I246" s="34"/>
      <c r="M246" s="132"/>
      <c r="N246" s="124" t="s">
        <v>161</v>
      </c>
      <c r="O246" s="121"/>
      <c r="P246" s="121"/>
      <c r="Q246" s="121"/>
      <c r="R246" s="121"/>
      <c r="S246" s="121"/>
      <c r="T246" s="121"/>
      <c r="U246" s="121"/>
      <c r="V246" s="121"/>
      <c r="W246" s="121"/>
      <c r="X246" s="121"/>
      <c r="Y246" s="121"/>
    </row>
    <row r="247" spans="1:25" x14ac:dyDescent="0.25">
      <c r="A247" s="14" t="s">
        <v>3</v>
      </c>
      <c r="B247" s="26"/>
      <c r="C247" s="25"/>
      <c r="D247" s="25"/>
      <c r="E247" s="25"/>
      <c r="F247" s="25"/>
      <c r="G247" s="25"/>
      <c r="H247" s="27"/>
      <c r="I247" s="34"/>
      <c r="M247" s="121"/>
      <c r="N247" s="121" t="s">
        <v>162</v>
      </c>
      <c r="O247" s="121"/>
      <c r="P247" s="121"/>
      <c r="Q247" s="121"/>
      <c r="R247" s="121"/>
      <c r="S247" s="121"/>
      <c r="T247" s="121"/>
      <c r="U247" s="121"/>
      <c r="V247" s="121"/>
      <c r="W247" s="121"/>
      <c r="X247" s="121"/>
      <c r="Y247" s="121"/>
    </row>
    <row r="248" spans="1:25" x14ac:dyDescent="0.25">
      <c r="A248" s="10" t="s">
        <v>121</v>
      </c>
      <c r="B248" s="23"/>
      <c r="C248" s="22"/>
      <c r="D248" s="22"/>
      <c r="E248" s="22"/>
      <c r="F248" s="22"/>
      <c r="G248" s="22"/>
      <c r="H248" s="24"/>
      <c r="I248" s="34"/>
      <c r="M248" s="121"/>
      <c r="N248" s="126" t="s">
        <v>3</v>
      </c>
      <c r="O248" s="127" t="s">
        <v>121</v>
      </c>
      <c r="P248" s="127" t="s">
        <v>122</v>
      </c>
      <c r="Q248" s="127" t="s">
        <v>149</v>
      </c>
      <c r="R248" s="127" t="s">
        <v>150</v>
      </c>
      <c r="S248" s="127" t="s">
        <v>125</v>
      </c>
      <c r="T248" s="128" t="s">
        <v>126</v>
      </c>
      <c r="U248" s="121"/>
      <c r="V248" s="121"/>
      <c r="W248" s="121"/>
      <c r="X248" s="121"/>
      <c r="Y248" s="121"/>
    </row>
    <row r="249" spans="1:25" x14ac:dyDescent="0.25">
      <c r="A249" s="10" t="s">
        <v>122</v>
      </c>
      <c r="B249" s="23"/>
      <c r="C249" s="22"/>
      <c r="D249" s="22"/>
      <c r="E249" s="22"/>
      <c r="F249" s="22"/>
      <c r="G249" s="22"/>
      <c r="H249" s="24"/>
      <c r="I249" s="34"/>
      <c r="M249" s="121"/>
      <c r="N249" s="129">
        <v>0</v>
      </c>
      <c r="O249" s="130">
        <v>0</v>
      </c>
      <c r="P249" s="130">
        <v>0</v>
      </c>
      <c r="Q249" s="130">
        <v>0</v>
      </c>
      <c r="R249" s="130">
        <v>0</v>
      </c>
      <c r="S249" s="130">
        <v>0</v>
      </c>
      <c r="T249" s="131">
        <v>0</v>
      </c>
      <c r="U249" s="121"/>
      <c r="V249" s="121"/>
      <c r="W249" s="121"/>
      <c r="X249" s="121"/>
      <c r="Y249" s="121"/>
    </row>
    <row r="250" spans="1:25" x14ac:dyDescent="0.25">
      <c r="A250" s="10" t="s">
        <v>123</v>
      </c>
      <c r="B250" s="23"/>
      <c r="C250" s="22"/>
      <c r="D250" s="22"/>
      <c r="E250" s="22"/>
      <c r="F250" s="22"/>
      <c r="G250" s="22"/>
      <c r="H250" s="24"/>
      <c r="I250" s="34"/>
      <c r="M250" s="121"/>
      <c r="N250" s="121"/>
      <c r="O250" s="121"/>
      <c r="P250" s="121"/>
      <c r="Q250" s="121"/>
      <c r="R250" s="121"/>
      <c r="S250" s="121"/>
      <c r="T250" s="121"/>
      <c r="U250" s="121"/>
      <c r="V250" s="121"/>
      <c r="W250" s="121"/>
      <c r="X250" s="121"/>
      <c r="Y250" s="121"/>
    </row>
    <row r="251" spans="1:25" x14ac:dyDescent="0.25">
      <c r="A251" s="10" t="s">
        <v>124</v>
      </c>
      <c r="B251" s="23"/>
      <c r="C251" s="22"/>
      <c r="D251" s="22"/>
      <c r="E251" s="22"/>
      <c r="F251" s="22"/>
      <c r="G251" s="22"/>
      <c r="H251" s="24"/>
      <c r="I251" s="34"/>
      <c r="M251" s="121"/>
      <c r="N251" s="132" t="s">
        <v>163</v>
      </c>
      <c r="O251" s="121"/>
      <c r="P251" s="121"/>
      <c r="Q251" s="121"/>
      <c r="R251" s="121"/>
      <c r="S251" s="121"/>
      <c r="T251" s="121"/>
      <c r="U251" s="121"/>
      <c r="V251" s="121"/>
      <c r="W251" s="121"/>
      <c r="X251" s="121"/>
      <c r="Y251" s="121"/>
    </row>
    <row r="252" spans="1:25" x14ac:dyDescent="0.25">
      <c r="A252" s="10" t="s">
        <v>125</v>
      </c>
      <c r="B252" s="23"/>
      <c r="C252" s="22"/>
      <c r="D252" s="22"/>
      <c r="E252" s="22"/>
      <c r="F252" s="22"/>
      <c r="G252" s="22"/>
      <c r="H252" s="24"/>
      <c r="I252" s="34"/>
      <c r="M252" s="121"/>
      <c r="N252" s="132" t="s">
        <v>164</v>
      </c>
      <c r="O252" s="121"/>
      <c r="P252" s="121"/>
      <c r="Q252" s="121"/>
      <c r="R252" s="121"/>
      <c r="S252" s="121"/>
      <c r="T252" s="121"/>
      <c r="U252" s="121"/>
      <c r="V252" s="121"/>
      <c r="W252" s="121"/>
      <c r="X252" s="121"/>
      <c r="Y252" s="121"/>
    </row>
    <row r="253" spans="1:25" x14ac:dyDescent="0.25">
      <c r="A253" s="18" t="s">
        <v>126</v>
      </c>
      <c r="B253" s="29"/>
      <c r="C253" s="28"/>
      <c r="D253" s="28"/>
      <c r="E253" s="28"/>
      <c r="F253" s="28"/>
      <c r="G253" s="28"/>
      <c r="H253" s="30"/>
      <c r="I253" s="34"/>
      <c r="M253" s="121"/>
      <c r="N253" s="132" t="s">
        <v>165</v>
      </c>
      <c r="O253" s="121"/>
      <c r="P253" s="121"/>
      <c r="Q253" s="121"/>
      <c r="R253" s="121"/>
      <c r="S253" s="121"/>
      <c r="T253" s="121"/>
      <c r="U253" s="121"/>
      <c r="V253" s="121"/>
      <c r="W253" s="121"/>
      <c r="X253" s="121"/>
      <c r="Y253" s="121"/>
    </row>
    <row r="254" spans="1:25" x14ac:dyDescent="0.25">
      <c r="A254" s="10" t="s">
        <v>72</v>
      </c>
      <c r="B254" s="23"/>
      <c r="C254" s="22"/>
      <c r="D254" s="22"/>
      <c r="E254" s="22"/>
      <c r="F254" s="22"/>
      <c r="G254" s="22"/>
      <c r="H254" s="24"/>
      <c r="I254" s="34"/>
      <c r="M254" s="121"/>
      <c r="N254" s="132"/>
      <c r="O254" s="121"/>
      <c r="P254" s="121"/>
      <c r="Q254" s="121"/>
      <c r="R254" s="121"/>
      <c r="S254" s="121"/>
      <c r="T254" s="121"/>
      <c r="U254" s="121"/>
      <c r="V254" s="121"/>
      <c r="W254" s="121"/>
      <c r="X254" s="121"/>
      <c r="Y254" s="121"/>
    </row>
    <row r="255" spans="1:25" x14ac:dyDescent="0.25">
      <c r="A255" s="14" t="s">
        <v>6</v>
      </c>
      <c r="B255" s="26"/>
      <c r="C255" s="25"/>
      <c r="D255" s="25"/>
      <c r="E255" s="25"/>
      <c r="F255" s="25"/>
      <c r="G255" s="25"/>
      <c r="H255" s="27"/>
      <c r="I255" s="34" t="s">
        <v>61</v>
      </c>
      <c r="M255" s="121"/>
      <c r="N255" s="121"/>
      <c r="O255" s="121"/>
      <c r="P255" s="121"/>
      <c r="Q255" s="121"/>
      <c r="R255" s="121"/>
      <c r="S255" s="121"/>
      <c r="T255" s="121"/>
      <c r="U255" s="121"/>
      <c r="V255" s="121"/>
      <c r="W255" s="121"/>
      <c r="X255" s="121"/>
      <c r="Y255" s="121"/>
    </row>
    <row r="256" spans="1:25" x14ac:dyDescent="0.25">
      <c r="A256" s="18" t="s">
        <v>7</v>
      </c>
      <c r="B256" s="29"/>
      <c r="C256" s="28"/>
      <c r="D256" s="28"/>
      <c r="E256" s="28"/>
      <c r="F256" s="28"/>
      <c r="G256" s="28"/>
      <c r="H256" s="30"/>
      <c r="I256" s="34"/>
    </row>
    <row r="257" spans="1:9" x14ac:dyDescent="0.25">
      <c r="A257" s="10" t="s">
        <v>73</v>
      </c>
      <c r="B257" s="23"/>
      <c r="C257" s="22"/>
      <c r="D257" s="22"/>
      <c r="E257" s="22"/>
      <c r="F257" s="22"/>
      <c r="G257" s="22"/>
      <c r="H257" s="24"/>
      <c r="I257" s="34"/>
    </row>
    <row r="258" spans="1:9" x14ac:dyDescent="0.25">
      <c r="A258" s="14" t="s">
        <v>8</v>
      </c>
      <c r="B258" s="26"/>
      <c r="C258" s="25"/>
      <c r="D258" s="25"/>
      <c r="E258" s="25"/>
      <c r="F258" s="25"/>
      <c r="G258" s="25"/>
      <c r="H258" s="27"/>
      <c r="I258" s="34" t="s">
        <v>62</v>
      </c>
    </row>
    <row r="259" spans="1:9" x14ac:dyDescent="0.25">
      <c r="A259" s="18" t="s">
        <v>9</v>
      </c>
      <c r="B259" s="29"/>
      <c r="C259" s="28"/>
      <c r="D259" s="28"/>
      <c r="E259" s="28"/>
      <c r="F259" s="28"/>
      <c r="G259" s="28"/>
      <c r="H259" s="30"/>
    </row>
    <row r="260" spans="1:9" x14ac:dyDescent="0.25">
      <c r="A260" s="10" t="s">
        <v>10</v>
      </c>
      <c r="B260" s="23"/>
      <c r="C260" s="22"/>
      <c r="D260" s="22"/>
      <c r="E260" s="22"/>
      <c r="F260" s="22"/>
      <c r="G260" s="22"/>
      <c r="H260" s="24"/>
    </row>
    <row r="261" spans="1:9" x14ac:dyDescent="0.25">
      <c r="A261" s="10" t="s">
        <v>11</v>
      </c>
      <c r="B261" s="23"/>
      <c r="C261" s="22"/>
      <c r="D261" s="22"/>
      <c r="E261" s="22"/>
      <c r="F261" s="22"/>
      <c r="G261" s="22"/>
      <c r="H261" s="24"/>
    </row>
    <row r="262" spans="1:9" x14ac:dyDescent="0.25">
      <c r="A262" s="18" t="s">
        <v>12</v>
      </c>
      <c r="B262" s="29"/>
      <c r="C262" s="28"/>
      <c r="D262" s="28"/>
      <c r="E262" s="28"/>
      <c r="F262" s="28"/>
      <c r="G262" s="28"/>
      <c r="H262" s="30"/>
    </row>
    <row r="265" spans="1:9" x14ac:dyDescent="0.25">
      <c r="A265" s="21" t="s">
        <v>57</v>
      </c>
    </row>
    <row r="266" spans="1:9" x14ac:dyDescent="0.25">
      <c r="B266" t="s">
        <v>3</v>
      </c>
      <c r="C266" t="s">
        <v>121</v>
      </c>
      <c r="D266" t="s">
        <v>122</v>
      </c>
      <c r="E266" t="s">
        <v>149</v>
      </c>
      <c r="F266" t="s">
        <v>150</v>
      </c>
      <c r="G266" t="s">
        <v>125</v>
      </c>
      <c r="H266" t="s">
        <v>126</v>
      </c>
    </row>
    <row r="267" spans="1:9" x14ac:dyDescent="0.25">
      <c r="A267" s="4" t="s">
        <v>54</v>
      </c>
      <c r="B267" s="31"/>
      <c r="C267" s="31"/>
      <c r="D267" s="31"/>
      <c r="E267" s="31"/>
      <c r="F267" s="31"/>
      <c r="G267" s="31"/>
      <c r="H267" s="33"/>
    </row>
    <row r="268" spans="1:9" x14ac:dyDescent="0.25">
      <c r="A268" s="4" t="s">
        <v>55</v>
      </c>
      <c r="B268" s="31"/>
      <c r="C268" s="31"/>
      <c r="D268" s="31"/>
      <c r="E268" s="31"/>
      <c r="F268" s="31"/>
      <c r="G268" s="31"/>
      <c r="H268" s="33"/>
      <c r="I268" s="34"/>
    </row>
    <row r="269" spans="1:9" x14ac:dyDescent="0.25">
      <c r="A269" s="4" t="s">
        <v>56</v>
      </c>
      <c r="B269" s="31"/>
      <c r="C269" s="31"/>
      <c r="D269" s="31"/>
      <c r="E269" s="31"/>
      <c r="F269" s="31"/>
      <c r="G269" s="31"/>
      <c r="H269" s="33"/>
      <c r="I269" s="34"/>
    </row>
    <row r="272" spans="1:9" s="39" customFormat="1" x14ac:dyDescent="0.25">
      <c r="A272" s="133" t="s">
        <v>166</v>
      </c>
    </row>
    <row r="273" spans="1:9" s="39" customFormat="1" x14ac:dyDescent="0.25">
      <c r="A273" s="134" t="s">
        <v>167</v>
      </c>
      <c r="B273" s="61" t="s">
        <v>54</v>
      </c>
      <c r="C273" s="135"/>
      <c r="D273" s="135"/>
      <c r="E273" s="135"/>
      <c r="F273" s="135"/>
      <c r="G273" s="135"/>
      <c r="H273" s="135"/>
      <c r="I273" s="136"/>
    </row>
    <row r="274" spans="1:9" s="39" customFormat="1" x14ac:dyDescent="0.25">
      <c r="B274" s="61" t="s">
        <v>55</v>
      </c>
      <c r="C274" s="135"/>
      <c r="D274" s="135"/>
      <c r="E274" s="135"/>
      <c r="F274" s="135"/>
      <c r="G274" s="135"/>
      <c r="H274" s="135"/>
      <c r="I274" s="136"/>
    </row>
    <row r="275" spans="1:9" s="39" customFormat="1" x14ac:dyDescent="0.25">
      <c r="B275" s="61" t="s">
        <v>56</v>
      </c>
      <c r="C275" s="135"/>
      <c r="D275" s="135"/>
      <c r="E275" s="135"/>
      <c r="F275" s="135"/>
      <c r="G275" s="135"/>
      <c r="H275" s="135"/>
      <c r="I275" s="136"/>
    </row>
    <row r="276" spans="1:9" s="39" customFormat="1" x14ac:dyDescent="0.25"/>
    <row r="277" spans="1:9" s="39" customFormat="1" x14ac:dyDescent="0.25">
      <c r="A277" s="39" t="s">
        <v>180</v>
      </c>
    </row>
    <row r="278" spans="1:9" s="39" customFormat="1" x14ac:dyDescent="0.25">
      <c r="A278" s="134" t="s">
        <v>168</v>
      </c>
    </row>
    <row r="279" spans="1:9" s="39" customFormat="1" x14ac:dyDescent="0.25"/>
    <row r="280" spans="1:9" s="39" customFormat="1" x14ac:dyDescent="0.25">
      <c r="A280" s="39" t="s">
        <v>181</v>
      </c>
    </row>
    <row r="281" spans="1:9" s="39" customFormat="1" x14ac:dyDescent="0.25">
      <c r="A281" s="134" t="s">
        <v>169</v>
      </c>
    </row>
    <row r="282" spans="1:9" s="39" customFormat="1" x14ac:dyDescent="0.25"/>
    <row r="283" spans="1:9" s="39" customFormat="1" x14ac:dyDescent="0.25">
      <c r="A283" s="39" t="s">
        <v>170</v>
      </c>
    </row>
    <row r="284" spans="1:9" s="39" customFormat="1" x14ac:dyDescent="0.25">
      <c r="A284" s="134" t="s">
        <v>171</v>
      </c>
    </row>
    <row r="285" spans="1:9" s="39" customFormat="1" x14ac:dyDescent="0.25"/>
    <row r="286" spans="1:9" s="39" customFormat="1" x14ac:dyDescent="0.25">
      <c r="A286" s="39" t="s">
        <v>172</v>
      </c>
    </row>
    <row r="287" spans="1:9" s="39" customFormat="1" x14ac:dyDescent="0.25">
      <c r="A287" s="134"/>
    </row>
    <row r="288" spans="1:9" s="39" customFormat="1" x14ac:dyDescent="0.25"/>
    <row r="289" spans="1:9" s="39" customFormat="1" x14ac:dyDescent="0.25">
      <c r="A289" s="39" t="s">
        <v>182</v>
      </c>
    </row>
    <row r="290" spans="1:9" s="39" customFormat="1" x14ac:dyDescent="0.25">
      <c r="A290" s="134" t="s">
        <v>173</v>
      </c>
    </row>
    <row r="291" spans="1:9" s="39" customFormat="1" x14ac:dyDescent="0.25"/>
    <row r="292" spans="1:9" s="39" customFormat="1" x14ac:dyDescent="0.25">
      <c r="A292" s="39" t="s">
        <v>183</v>
      </c>
    </row>
    <row r="293" spans="1:9" s="39" customFormat="1" x14ac:dyDescent="0.25">
      <c r="A293" s="134" t="s">
        <v>174</v>
      </c>
    </row>
    <row r="294" spans="1:9" s="39" customFormat="1" x14ac:dyDescent="0.25"/>
    <row r="295" spans="1:9" s="39" customFormat="1" x14ac:dyDescent="0.25">
      <c r="A295" s="39" t="s">
        <v>184</v>
      </c>
    </row>
    <row r="296" spans="1:9" s="39" customFormat="1" x14ac:dyDescent="0.25">
      <c r="A296" s="134" t="s">
        <v>175</v>
      </c>
      <c r="B296" s="61" t="s">
        <v>54</v>
      </c>
      <c r="C296" s="135"/>
      <c r="D296" s="135"/>
      <c r="E296" s="135"/>
      <c r="F296" s="135"/>
      <c r="G296" s="135"/>
      <c r="H296" s="135"/>
      <c r="I296" s="136"/>
    </row>
    <row r="297" spans="1:9" s="39" customFormat="1" x14ac:dyDescent="0.25">
      <c r="B297" s="61" t="s">
        <v>55</v>
      </c>
      <c r="C297" s="135"/>
      <c r="D297" s="135"/>
      <c r="E297" s="135"/>
      <c r="F297" s="135"/>
      <c r="G297" s="135"/>
      <c r="H297" s="135"/>
      <c r="I297" s="136"/>
    </row>
    <row r="298" spans="1:9" s="39" customFormat="1" x14ac:dyDescent="0.25">
      <c r="B298" s="61" t="s">
        <v>56</v>
      </c>
      <c r="C298" s="135"/>
      <c r="D298" s="135"/>
      <c r="E298" s="135"/>
      <c r="F298" s="135"/>
      <c r="G298" s="135"/>
      <c r="H298" s="135"/>
      <c r="I298" s="136"/>
    </row>
    <row r="299" spans="1:9" s="39" customFormat="1" x14ac:dyDescent="0.25"/>
    <row r="300" spans="1:9" s="39" customFormat="1" x14ac:dyDescent="0.25">
      <c r="A300" s="39" t="s">
        <v>185</v>
      </c>
    </row>
    <row r="301" spans="1:9" s="39" customFormat="1" x14ac:dyDescent="0.25">
      <c r="A301" s="134" t="s">
        <v>176</v>
      </c>
      <c r="B301" s="61" t="s">
        <v>54</v>
      </c>
      <c r="C301" s="135"/>
      <c r="D301" s="135"/>
      <c r="E301" s="135"/>
      <c r="F301" s="135"/>
      <c r="G301" s="135"/>
      <c r="H301" s="135"/>
      <c r="I301" s="136"/>
    </row>
    <row r="302" spans="1:9" s="39" customFormat="1" x14ac:dyDescent="0.25">
      <c r="B302" s="61" t="s">
        <v>55</v>
      </c>
      <c r="C302" s="135"/>
      <c r="D302" s="135"/>
      <c r="E302" s="135"/>
      <c r="F302" s="135"/>
      <c r="G302" s="135"/>
      <c r="H302" s="135"/>
      <c r="I302" s="136"/>
    </row>
    <row r="303" spans="1:9" s="39" customFormat="1" x14ac:dyDescent="0.25">
      <c r="B303" s="61" t="s">
        <v>56</v>
      </c>
      <c r="C303" s="135"/>
      <c r="D303" s="135"/>
      <c r="E303" s="135"/>
      <c r="F303" s="135"/>
      <c r="G303" s="135"/>
      <c r="H303" s="135"/>
      <c r="I303" s="136"/>
    </row>
    <row r="304" spans="1:9" s="39" customFormat="1" x14ac:dyDescent="0.25"/>
    <row r="305" spans="1:9" s="39" customFormat="1" x14ac:dyDescent="0.25">
      <c r="A305" s="39" t="s">
        <v>186</v>
      </c>
    </row>
    <row r="306" spans="1:9" s="39" customFormat="1" x14ac:dyDescent="0.25">
      <c r="A306" s="134" t="s">
        <v>177</v>
      </c>
      <c r="B306" s="61" t="s">
        <v>54</v>
      </c>
      <c r="C306" s="135"/>
      <c r="D306" s="135"/>
      <c r="E306" s="135"/>
      <c r="F306" s="135"/>
      <c r="G306" s="135"/>
      <c r="H306" s="135"/>
      <c r="I306" s="136"/>
    </row>
    <row r="307" spans="1:9" s="39" customFormat="1" x14ac:dyDescent="0.25">
      <c r="B307" s="61" t="s">
        <v>55</v>
      </c>
      <c r="C307" s="135"/>
      <c r="D307" s="135"/>
      <c r="E307" s="135"/>
      <c r="F307" s="135"/>
      <c r="G307" s="135"/>
      <c r="H307" s="135"/>
      <c r="I307" s="136"/>
    </row>
    <row r="308" spans="1:9" s="39" customFormat="1" x14ac:dyDescent="0.25">
      <c r="B308" s="61" t="s">
        <v>56</v>
      </c>
      <c r="C308" s="135"/>
      <c r="D308" s="135"/>
      <c r="E308" s="135"/>
      <c r="F308" s="135"/>
      <c r="G308" s="135"/>
      <c r="H308" s="135"/>
      <c r="I308" s="136"/>
    </row>
    <row r="309" spans="1:9" s="39" customFormat="1" x14ac:dyDescent="0.25"/>
    <row r="310" spans="1:9" s="39" customFormat="1" x14ac:dyDescent="0.25">
      <c r="A310" s="133" t="s">
        <v>187</v>
      </c>
    </row>
    <row r="311" spans="1:9" x14ac:dyDescent="0.25">
      <c r="A311" s="134" t="s">
        <v>178</v>
      </c>
      <c r="B311" s="133"/>
    </row>
  </sheetData>
  <mergeCells count="1">
    <mergeCell ref="J223:S22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Instruction</vt:lpstr>
      <vt:lpstr>Task 1</vt:lpstr>
      <vt:lpstr>Task 2</vt:lpstr>
      <vt:lpstr>Task 3</vt:lpstr>
    </vt:vector>
  </TitlesOfParts>
  <Company>IFPRI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JTHURLOW</dc:creator>
  <cp:lastModifiedBy>Rafiki MURENZI</cp:lastModifiedBy>
  <dcterms:created xsi:type="dcterms:W3CDTF">2009-04-29T11:56:01Z</dcterms:created>
  <dcterms:modified xsi:type="dcterms:W3CDTF">2019-10-02T10:20:17Z</dcterms:modified>
</cp:coreProperties>
</file>