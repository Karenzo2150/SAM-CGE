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305679F7-F38E-42FC-B8F6-AD46321A0861}" xr6:coauthVersionLast="47" xr6:coauthVersionMax="47" xr10:uidLastSave="{00000000-0000-0000-0000-000000000000}"/>
  <bookViews>
    <workbookView xWindow="-96" yWindow="-96" windowWidth="23232" windowHeight="13872" tabRatio="869" activeTab="1" xr2:uid="{00000000-000D-0000-FFFF-FFFF00000000}"/>
  </bookViews>
  <sheets>
    <sheet name="Notes" sheetId="1" r:id="rId1"/>
    <sheet name="Main" sheetId="2" r:id="rId2"/>
    <sheet name="S1" sheetId="3" r:id="rId3"/>
    <sheet name="S2" sheetId="28" r:id="rId4"/>
    <sheet name="S3" sheetId="29" r:id="rId5"/>
    <sheet name="S4" sheetId="27" r:id="rId6"/>
    <sheet name="S5" sheetId="30" r:id="rId7"/>
    <sheet name="S6" sheetId="31" r:id="rId8"/>
    <sheet name="S7" sheetId="32" r:id="rId9"/>
    <sheet name="S8" sheetId="33" r:id="rId10"/>
    <sheet name="S9" sheetId="34" r:id="rId11"/>
    <sheet name="Index" sheetId="23" state="hidden" r:id="rId12"/>
    <sheet name="RepIndex" sheetId="13" state="hidden" r:id="rId13"/>
    <sheet name="Supply" sheetId="14" state="hidden" r:id="rId14"/>
    <sheet name="House" sheetId="25" state="hidden" r:id="rId15"/>
    <sheet name="Factor" sheetId="26" state="hidden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" i="34" l="1"/>
  <c r="Y1" i="33"/>
  <c r="Y1" i="32"/>
  <c r="Y1" i="31"/>
  <c r="Y1" i="30"/>
  <c r="Y1" i="27"/>
  <c r="Y1" i="29"/>
  <c r="Y1" i="28"/>
  <c r="Y1" i="3"/>
  <c r="X1" i="34"/>
  <c r="X1" i="33"/>
  <c r="X1" i="32"/>
  <c r="X1" i="31"/>
  <c r="X1" i="30"/>
  <c r="X1" i="29"/>
  <c r="X1" i="28"/>
  <c r="X1" i="27"/>
  <c r="D21" i="23"/>
  <c r="D29" i="23" s="1"/>
  <c r="D37" i="23" s="1"/>
  <c r="D45" i="23" s="1"/>
  <c r="D53" i="23" s="1"/>
  <c r="D61" i="23" s="1"/>
  <c r="D69" i="23" s="1"/>
  <c r="D77" i="23" s="1"/>
  <c r="C21" i="23"/>
  <c r="C29" i="23" s="1"/>
  <c r="C37" i="23" s="1"/>
  <c r="C45" i="23" s="1"/>
  <c r="C53" i="23" s="1"/>
  <c r="C61" i="23" s="1"/>
  <c r="C69" i="23" s="1"/>
  <c r="C77" i="23" s="1"/>
  <c r="B21" i="23"/>
  <c r="B29" i="23" s="1"/>
  <c r="B37" i="23" s="1"/>
  <c r="B45" i="23" s="1"/>
  <c r="B53" i="23" s="1"/>
  <c r="B61" i="23" s="1"/>
  <c r="B69" i="23" s="1"/>
  <c r="B77" i="23" s="1"/>
  <c r="A1" i="33" l="1"/>
  <c r="A1" i="32"/>
  <c r="A1" i="31"/>
  <c r="A1" i="30"/>
  <c r="A1" i="29"/>
  <c r="A1" i="34"/>
  <c r="A1" i="28"/>
  <c r="A1" i="27"/>
  <c r="X1" i="3"/>
  <c r="D24" i="23"/>
  <c r="D32" i="23" s="1"/>
  <c r="D40" i="23" s="1"/>
  <c r="D48" i="23" s="1"/>
  <c r="D56" i="23" s="1"/>
  <c r="D64" i="23" s="1"/>
  <c r="D72" i="23" s="1"/>
  <c r="D80" i="23" s="1"/>
  <c r="C24" i="23"/>
  <c r="C32" i="23" s="1"/>
  <c r="C40" i="23" s="1"/>
  <c r="C48" i="23" s="1"/>
  <c r="C56" i="23" s="1"/>
  <c r="C64" i="23" s="1"/>
  <c r="C72" i="23" s="1"/>
  <c r="C80" i="23" s="1"/>
  <c r="B24" i="23"/>
  <c r="B32" i="23" s="1"/>
  <c r="B40" i="23" s="1"/>
  <c r="B48" i="23" s="1"/>
  <c r="B56" i="23" s="1"/>
  <c r="B64" i="23" s="1"/>
  <c r="B72" i="23" s="1"/>
  <c r="B80" i="23" s="1"/>
  <c r="D23" i="23"/>
  <c r="D31" i="23" s="1"/>
  <c r="D39" i="23" s="1"/>
  <c r="D47" i="23" s="1"/>
  <c r="D55" i="23" s="1"/>
  <c r="D63" i="23" s="1"/>
  <c r="D71" i="23" s="1"/>
  <c r="D79" i="23" s="1"/>
  <c r="C23" i="23"/>
  <c r="C31" i="23" s="1"/>
  <c r="C39" i="23" s="1"/>
  <c r="C47" i="23" s="1"/>
  <c r="C55" i="23" s="1"/>
  <c r="C63" i="23" s="1"/>
  <c r="C71" i="23" s="1"/>
  <c r="C79" i="23" s="1"/>
  <c r="B23" i="23"/>
  <c r="B31" i="23" s="1"/>
  <c r="B39" i="23" s="1"/>
  <c r="B47" i="23" s="1"/>
  <c r="B55" i="23" s="1"/>
  <c r="B63" i="23" s="1"/>
  <c r="B71" i="23" s="1"/>
  <c r="B79" i="23" s="1"/>
  <c r="D22" i="23"/>
  <c r="D30" i="23" s="1"/>
  <c r="D38" i="23" s="1"/>
  <c r="D46" i="23" s="1"/>
  <c r="D54" i="23" s="1"/>
  <c r="D62" i="23" s="1"/>
  <c r="D70" i="23" s="1"/>
  <c r="D78" i="23" s="1"/>
  <c r="C22" i="23"/>
  <c r="C30" i="23" s="1"/>
  <c r="C38" i="23" s="1"/>
  <c r="C46" i="23" s="1"/>
  <c r="C54" i="23" s="1"/>
  <c r="C62" i="23" s="1"/>
  <c r="C70" i="23" s="1"/>
  <c r="C78" i="23" s="1"/>
  <c r="B22" i="23"/>
  <c r="B30" i="23" s="1"/>
  <c r="B38" i="23" s="1"/>
  <c r="B46" i="23" s="1"/>
  <c r="B54" i="23" s="1"/>
  <c r="B62" i="23" s="1"/>
  <c r="B70" i="23" s="1"/>
  <c r="B78" i="23" s="1"/>
  <c r="D20" i="23"/>
  <c r="D28" i="23" s="1"/>
  <c r="D36" i="23" s="1"/>
  <c r="D44" i="23" s="1"/>
  <c r="D52" i="23" s="1"/>
  <c r="D60" i="23" s="1"/>
  <c r="D68" i="23" s="1"/>
  <c r="D76" i="23" s="1"/>
  <c r="C20" i="23"/>
  <c r="C28" i="23" s="1"/>
  <c r="C36" i="23" s="1"/>
  <c r="C44" i="23" s="1"/>
  <c r="C52" i="23" s="1"/>
  <c r="C60" i="23" s="1"/>
  <c r="C68" i="23" s="1"/>
  <c r="C76" i="23" s="1"/>
  <c r="B20" i="23"/>
  <c r="B28" i="23" s="1"/>
  <c r="B36" i="23" s="1"/>
  <c r="B44" i="23" s="1"/>
  <c r="B52" i="23" s="1"/>
  <c r="B60" i="23" s="1"/>
  <c r="B68" i="23" s="1"/>
  <c r="B76" i="23" s="1"/>
  <c r="D19" i="23"/>
  <c r="D27" i="23" s="1"/>
  <c r="D35" i="23" s="1"/>
  <c r="D43" i="23" s="1"/>
  <c r="D51" i="23" s="1"/>
  <c r="D59" i="23" s="1"/>
  <c r="D67" i="23" s="1"/>
  <c r="D75" i="23" s="1"/>
  <c r="C19" i="23"/>
  <c r="C27" i="23" s="1"/>
  <c r="C35" i="23" s="1"/>
  <c r="C43" i="23" s="1"/>
  <c r="C51" i="23" s="1"/>
  <c r="C59" i="23" s="1"/>
  <c r="C67" i="23" s="1"/>
  <c r="C75" i="23" s="1"/>
  <c r="B19" i="23"/>
  <c r="B27" i="23" s="1"/>
  <c r="B35" i="23" s="1"/>
  <c r="B43" i="23" s="1"/>
  <c r="B51" i="23" s="1"/>
  <c r="B59" i="23" s="1"/>
  <c r="B67" i="23" s="1"/>
  <c r="B75" i="23" s="1"/>
  <c r="D18" i="23"/>
  <c r="D26" i="23" s="1"/>
  <c r="D34" i="23" s="1"/>
  <c r="D42" i="23" s="1"/>
  <c r="D50" i="23" s="1"/>
  <c r="D58" i="23" s="1"/>
  <c r="D66" i="23" s="1"/>
  <c r="D74" i="23" s="1"/>
  <c r="C18" i="23"/>
  <c r="C26" i="23" s="1"/>
  <c r="C34" i="23" s="1"/>
  <c r="C42" i="23" s="1"/>
  <c r="C50" i="23" s="1"/>
  <c r="C58" i="23" s="1"/>
  <c r="C66" i="23" s="1"/>
  <c r="C74" i="23" s="1"/>
  <c r="B18" i="23"/>
  <c r="B26" i="23" s="1"/>
  <c r="B34" i="23" s="1"/>
  <c r="B42" i="23" s="1"/>
  <c r="B50" i="23" s="1"/>
  <c r="B58" i="23" s="1"/>
  <c r="B66" i="23" s="1"/>
  <c r="B74" i="23" s="1"/>
  <c r="D17" i="23"/>
  <c r="D25" i="23" s="1"/>
  <c r="D33" i="23" s="1"/>
  <c r="D41" i="23" s="1"/>
  <c r="D49" i="23" s="1"/>
  <c r="D57" i="23" s="1"/>
  <c r="D65" i="23" s="1"/>
  <c r="D73" i="23" s="1"/>
  <c r="C17" i="23"/>
  <c r="C25" i="23" s="1"/>
  <c r="C33" i="23" s="1"/>
  <c r="C41" i="23" s="1"/>
  <c r="C49" i="23" s="1"/>
  <c r="C57" i="23" s="1"/>
  <c r="C65" i="23" s="1"/>
  <c r="C73" i="23" s="1"/>
  <c r="B17" i="23"/>
  <c r="B25" i="23" s="1"/>
  <c r="B33" i="23" s="1"/>
  <c r="B41" i="23" s="1"/>
  <c r="B49" i="23" s="1"/>
  <c r="B57" i="23" s="1"/>
  <c r="B65" i="23" s="1"/>
  <c r="B73" i="23" s="1"/>
  <c r="A17" i="23"/>
  <c r="A18" i="23" s="1"/>
  <c r="A10" i="23"/>
  <c r="F10" i="23" s="1"/>
  <c r="G9" i="23"/>
  <c r="F9" i="23"/>
  <c r="A19" i="23" l="1"/>
  <c r="G18" i="23"/>
  <c r="F18" i="23"/>
  <c r="A11" i="23"/>
  <c r="A25" i="23"/>
  <c r="G10" i="23"/>
  <c r="F17" i="23"/>
  <c r="G17" i="23"/>
  <c r="G25" i="23" l="1"/>
  <c r="F25" i="23"/>
  <c r="A33" i="23"/>
  <c r="A26" i="23"/>
  <c r="A12" i="23"/>
  <c r="A13" i="23" s="1"/>
  <c r="G11" i="23"/>
  <c r="F11" i="23"/>
  <c r="A20" i="23"/>
  <c r="A21" i="23" s="1"/>
  <c r="G19" i="23"/>
  <c r="F19" i="23"/>
  <c r="G21" i="23" l="1"/>
  <c r="F21" i="23"/>
  <c r="G13" i="23"/>
  <c r="F13" i="23"/>
  <c r="G20" i="23"/>
  <c r="F20" i="23"/>
  <c r="A22" i="23"/>
  <c r="A14" i="23"/>
  <c r="G12" i="23"/>
  <c r="F12" i="23"/>
  <c r="A27" i="23"/>
  <c r="G26" i="23"/>
  <c r="F26" i="23"/>
  <c r="A41" i="23"/>
  <c r="A34" i="23"/>
  <c r="G33" i="23"/>
  <c r="F33" i="23"/>
  <c r="A28" i="23" l="1"/>
  <c r="A29" i="23" s="1"/>
  <c r="G27" i="23"/>
  <c r="F27" i="23"/>
  <c r="F14" i="23"/>
  <c r="A15" i="23"/>
  <c r="G14" i="23"/>
  <c r="G34" i="23"/>
  <c r="F34" i="23"/>
  <c r="A35" i="23"/>
  <c r="A23" i="23"/>
  <c r="G22" i="23"/>
  <c r="F22" i="23"/>
  <c r="A42" i="23"/>
  <c r="G41" i="23"/>
  <c r="F41" i="23"/>
  <c r="A49" i="23"/>
  <c r="F29" i="23" l="1"/>
  <c r="G29" i="23"/>
  <c r="A50" i="23"/>
  <c r="G49" i="23"/>
  <c r="F49" i="23"/>
  <c r="A57" i="23"/>
  <c r="A43" i="23"/>
  <c r="G42" i="23"/>
  <c r="F42" i="23"/>
  <c r="A16" i="23"/>
  <c r="G15" i="23"/>
  <c r="F15" i="23"/>
  <c r="A24" i="23"/>
  <c r="G23" i="23"/>
  <c r="F23" i="23"/>
  <c r="A36" i="23"/>
  <c r="A37" i="23" s="1"/>
  <c r="G35" i="23"/>
  <c r="F35" i="23"/>
  <c r="A30" i="23"/>
  <c r="G28" i="23"/>
  <c r="F28" i="23"/>
  <c r="G37" i="23" l="1"/>
  <c r="F37" i="23"/>
  <c r="G16" i="23"/>
  <c r="F16" i="23"/>
  <c r="A38" i="23"/>
  <c r="G36" i="23"/>
  <c r="F36" i="23"/>
  <c r="G43" i="23"/>
  <c r="F43" i="23"/>
  <c r="A44" i="23"/>
  <c r="A45" i="23" s="1"/>
  <c r="G57" i="23"/>
  <c r="F57" i="23"/>
  <c r="A65" i="23"/>
  <c r="A58" i="23"/>
  <c r="G24" i="23"/>
  <c r="F24" i="23"/>
  <c r="G30" i="23"/>
  <c r="F30" i="23"/>
  <c r="A31" i="23"/>
  <c r="A51" i="23"/>
  <c r="G50" i="23"/>
  <c r="F50" i="23"/>
  <c r="G45" i="23" l="1"/>
  <c r="F45" i="23"/>
  <c r="A32" i="23"/>
  <c r="G31" i="23"/>
  <c r="F31" i="23"/>
  <c r="A46" i="23"/>
  <c r="G44" i="23"/>
  <c r="F44" i="23"/>
  <c r="A59" i="23"/>
  <c r="G58" i="23"/>
  <c r="F58" i="23"/>
  <c r="A73" i="23"/>
  <c r="A66" i="23"/>
  <c r="G65" i="23"/>
  <c r="F65" i="23"/>
  <c r="A39" i="23"/>
  <c r="G38" i="23"/>
  <c r="F38" i="23"/>
  <c r="A52" i="23"/>
  <c r="A53" i="23" s="1"/>
  <c r="G51" i="23"/>
  <c r="F51" i="23"/>
  <c r="G53" i="23" l="1"/>
  <c r="F53" i="23"/>
  <c r="A60" i="23"/>
  <c r="A61" i="23" s="1"/>
  <c r="G59" i="23"/>
  <c r="F59" i="23"/>
  <c r="G39" i="23"/>
  <c r="F39" i="23"/>
  <c r="A40" i="23"/>
  <c r="A47" i="23"/>
  <c r="G46" i="23"/>
  <c r="F46" i="23"/>
  <c r="G66" i="23"/>
  <c r="F66" i="23"/>
  <c r="A67" i="23"/>
  <c r="A74" i="23"/>
  <c r="G73" i="23"/>
  <c r="F73" i="23"/>
  <c r="G52" i="23"/>
  <c r="F52" i="23"/>
  <c r="A54" i="23"/>
  <c r="G32" i="23"/>
  <c r="F32" i="23"/>
  <c r="F61" i="23" l="1"/>
  <c r="G61" i="23"/>
  <c r="A48" i="23"/>
  <c r="G47" i="23"/>
  <c r="F47" i="23"/>
  <c r="G40" i="23"/>
  <c r="F40" i="23"/>
  <c r="A75" i="23"/>
  <c r="G74" i="23"/>
  <c r="F74" i="23"/>
  <c r="A68" i="23"/>
  <c r="A69" i="23" s="1"/>
  <c r="G67" i="23"/>
  <c r="F67" i="23"/>
  <c r="A55" i="23"/>
  <c r="G54" i="23"/>
  <c r="F54" i="23"/>
  <c r="A62" i="23"/>
  <c r="G60" i="23"/>
  <c r="F60" i="23"/>
  <c r="G69" i="23" l="1"/>
  <c r="F69" i="23"/>
  <c r="G62" i="23"/>
  <c r="F62" i="23"/>
  <c r="A63" i="23"/>
  <c r="G75" i="23"/>
  <c r="F75" i="23"/>
  <c r="A76" i="23"/>
  <c r="A77" i="23" s="1"/>
  <c r="A70" i="23"/>
  <c r="G68" i="23"/>
  <c r="F68" i="23"/>
  <c r="G48" i="23"/>
  <c r="F48" i="23"/>
  <c r="A56" i="23"/>
  <c r="G55" i="23"/>
  <c r="F55" i="23"/>
  <c r="G77" i="23" l="1"/>
  <c r="F77" i="23"/>
  <c r="A64" i="23"/>
  <c r="G63" i="23"/>
  <c r="F63" i="23"/>
  <c r="A78" i="23"/>
  <c r="G76" i="23"/>
  <c r="F76" i="23"/>
  <c r="G56" i="23"/>
  <c r="F56" i="23"/>
  <c r="A71" i="23"/>
  <c r="G70" i="23"/>
  <c r="F70" i="23"/>
  <c r="A79" i="23" l="1"/>
  <c r="G78" i="23"/>
  <c r="F78" i="23"/>
  <c r="G71" i="23"/>
  <c r="F71" i="23"/>
  <c r="A72" i="23"/>
  <c r="G64" i="23"/>
  <c r="F64" i="23"/>
  <c r="A80" i="23" l="1"/>
  <c r="G79" i="23"/>
  <c r="F79" i="23"/>
  <c r="G72" i="23"/>
  <c r="F72" i="23"/>
  <c r="G80" i="23" l="1"/>
  <c r="F80" i="23"/>
  <c r="G11" i="2" l="1" a="1"/>
  <c r="H11" i="2" s="1"/>
  <c r="G4" i="2" a="1"/>
  <c r="G4" i="2" s="1"/>
  <c r="A1" i="3" l="1"/>
  <c r="G11" i="2"/>
  <c r="N11" i="2"/>
  <c r="M11" i="2"/>
  <c r="L11" i="2"/>
  <c r="O11" i="2"/>
  <c r="K11" i="2"/>
  <c r="J11" i="2"/>
  <c r="I11" i="2"/>
  <c r="N4" i="2"/>
  <c r="I4" i="2"/>
  <c r="L4" i="2"/>
  <c r="H4" i="2"/>
  <c r="M4" i="2"/>
  <c r="K4" i="2"/>
  <c r="J4" i="2"/>
  <c r="O4" i="2"/>
  <c r="X79" i="27" l="1"/>
  <c r="X79" i="28"/>
  <c r="X77" i="33"/>
  <c r="X79" i="29"/>
  <c r="X78" i="29"/>
  <c r="X80" i="33"/>
  <c r="X77" i="29"/>
  <c r="X80" i="32"/>
  <c r="X79" i="30"/>
  <c r="X78" i="27"/>
  <c r="X79" i="33"/>
  <c r="X78" i="30"/>
  <c r="X77" i="27"/>
  <c r="X78" i="33"/>
  <c r="X79" i="34"/>
  <c r="X77" i="28"/>
  <c r="X77" i="30"/>
  <c r="X77" i="34"/>
  <c r="X77" i="31"/>
  <c r="X78" i="34"/>
  <c r="X79" i="32"/>
  <c r="X78" i="31"/>
  <c r="X80" i="27"/>
  <c r="X80" i="28"/>
  <c r="X78" i="32"/>
  <c r="X79" i="31"/>
  <c r="X80" i="34"/>
  <c r="X80" i="31"/>
  <c r="X80" i="29"/>
  <c r="X99" i="29"/>
  <c r="X87" i="30"/>
  <c r="X88" i="30"/>
  <c r="X86" i="30"/>
  <c r="X86" i="29"/>
  <c r="X83" i="32"/>
  <c r="X91" i="28"/>
  <c r="X87" i="3"/>
  <c r="X88" i="34"/>
  <c r="X84" i="33"/>
  <c r="X89" i="33"/>
  <c r="X96" i="28"/>
  <c r="X95" i="29"/>
  <c r="X98" i="27"/>
  <c r="X98" i="30"/>
  <c r="X89" i="34"/>
  <c r="X83" i="27"/>
  <c r="X83" i="30"/>
  <c r="X90" i="34"/>
  <c r="X90" i="31"/>
  <c r="X88" i="32"/>
  <c r="X91" i="34"/>
  <c r="X90" i="33"/>
  <c r="X85" i="27"/>
  <c r="X92" i="34"/>
  <c r="X89" i="29"/>
  <c r="X84" i="29"/>
  <c r="X88" i="29"/>
  <c r="X88" i="27"/>
  <c r="X92" i="3"/>
  <c r="X86" i="32"/>
  <c r="X85" i="34"/>
  <c r="X88" i="3"/>
  <c r="X91" i="31"/>
  <c r="X94" i="33"/>
  <c r="X96" i="33"/>
  <c r="X93" i="27"/>
  <c r="X98" i="28"/>
  <c r="X93" i="28"/>
  <c r="X93" i="31"/>
  <c r="X92" i="33"/>
  <c r="X92" i="31"/>
  <c r="X91" i="29"/>
  <c r="X95" i="3"/>
  <c r="X95" i="34"/>
  <c r="X86" i="33"/>
  <c r="X99" i="28"/>
  <c r="X94" i="27"/>
  <c r="X89" i="27"/>
  <c r="X93" i="33"/>
  <c r="X90" i="29"/>
  <c r="X97" i="3"/>
  <c r="X97" i="33"/>
  <c r="X96" i="32"/>
  <c r="X85" i="28"/>
  <c r="X90" i="27"/>
  <c r="X84" i="27"/>
  <c r="X94" i="30"/>
  <c r="X87" i="29"/>
  <c r="X93" i="3"/>
  <c r="X94" i="3"/>
  <c r="X99" i="32"/>
  <c r="X97" i="29"/>
  <c r="X86" i="27"/>
  <c r="X96" i="31"/>
  <c r="X93" i="29"/>
  <c r="X98" i="3"/>
  <c r="X96" i="34"/>
  <c r="X84" i="31"/>
  <c r="X95" i="30"/>
  <c r="X88" i="33"/>
  <c r="X94" i="29"/>
  <c r="X95" i="27"/>
  <c r="X91" i="27"/>
  <c r="X99" i="33"/>
  <c r="X89" i="30"/>
  <c r="X83" i="3"/>
  <c r="X97" i="34"/>
  <c r="X95" i="31"/>
  <c r="X87" i="31"/>
  <c r="X83" i="33"/>
  <c r="X95" i="28"/>
  <c r="X99" i="27"/>
  <c r="X90" i="3"/>
  <c r="X85" i="32"/>
  <c r="X96" i="30"/>
  <c r="X83" i="28"/>
  <c r="X92" i="29"/>
  <c r="X87" i="27"/>
  <c r="X87" i="32"/>
  <c r="X90" i="32"/>
  <c r="X90" i="30"/>
  <c r="X98" i="29"/>
  <c r="X99" i="3"/>
  <c r="X83" i="34"/>
  <c r="X97" i="31"/>
  <c r="X97" i="30"/>
  <c r="X96" i="27"/>
  <c r="X92" i="27"/>
  <c r="X92" i="32"/>
  <c r="X91" i="30"/>
  <c r="X83" i="29"/>
  <c r="X84" i="3"/>
  <c r="X86" i="34"/>
  <c r="X95" i="32"/>
  <c r="X89" i="31"/>
  <c r="X92" i="28"/>
  <c r="X86" i="28"/>
  <c r="X84" i="32"/>
  <c r="X89" i="3"/>
  <c r="X93" i="30"/>
  <c r="X93" i="34"/>
  <c r="X91" i="3"/>
  <c r="X85" i="31"/>
  <c r="X84" i="28"/>
  <c r="X84" i="30"/>
  <c r="X93" i="32"/>
  <c r="X85" i="33"/>
  <c r="X97" i="28"/>
  <c r="X96" i="3"/>
  <c r="X86" i="31"/>
  <c r="X94" i="31"/>
  <c r="X96" i="29"/>
  <c r="X95" i="33"/>
  <c r="X84" i="34"/>
  <c r="X88" i="31"/>
  <c r="X92" i="30"/>
  <c r="X85" i="29"/>
  <c r="X85" i="3"/>
  <c r="X94" i="34"/>
  <c r="X83" i="31"/>
  <c r="X87" i="33"/>
  <c r="X94" i="28"/>
  <c r="X87" i="28"/>
  <c r="X97" i="27"/>
  <c r="X98" i="32"/>
  <c r="X99" i="30"/>
  <c r="X90" i="28"/>
  <c r="X86" i="3"/>
  <c r="X87" i="34"/>
  <c r="X99" i="31"/>
  <c r="X97" i="32"/>
  <c r="X85" i="30"/>
  <c r="X98" i="31"/>
  <c r="X88" i="28"/>
  <c r="X89" i="32"/>
  <c r="X91" i="32"/>
  <c r="X98" i="33"/>
  <c r="X98" i="34"/>
  <c r="X89" i="28"/>
  <c r="X99" i="34"/>
  <c r="X91" i="33"/>
  <c r="X94" i="32"/>
  <c r="X78" i="28"/>
  <c r="X80" i="30"/>
  <c r="X77" i="32"/>
  <c r="X80" i="3"/>
  <c r="X78" i="3"/>
  <c r="X79" i="3"/>
  <c r="X77" i="3"/>
  <c r="A1" i="1"/>
</calcChain>
</file>

<file path=xl/sharedStrings.xml><?xml version="1.0" encoding="utf-8"?>
<sst xmlns="http://schemas.openxmlformats.org/spreadsheetml/2006/main" count="17188" uniqueCount="897">
  <si>
    <t>Country</t>
  </si>
  <si>
    <t>Rwanda</t>
  </si>
  <si>
    <t>Year</t>
  </si>
  <si>
    <t>Units</t>
  </si>
  <si>
    <t>Billions of Rwanda Francs</t>
  </si>
  <si>
    <t>Activities and commodities</t>
  </si>
  <si>
    <t>Factors</t>
  </si>
  <si>
    <t>Households</t>
  </si>
  <si>
    <t>Other accounts</t>
  </si>
  <si>
    <t>amaiz</t>
  </si>
  <si>
    <t>cmaiz</t>
  </si>
  <si>
    <t>Maize</t>
  </si>
  <si>
    <t>flab-rn</t>
  </si>
  <si>
    <t>Labor - rural uneducated</t>
  </si>
  <si>
    <t>hhd-f1</t>
  </si>
  <si>
    <t>Rural - farm q1</t>
  </si>
  <si>
    <t>trc</t>
  </si>
  <si>
    <t>Transaction costs</t>
  </si>
  <si>
    <t>asorg</t>
  </si>
  <si>
    <t>csorg</t>
  </si>
  <si>
    <t>flab-rp</t>
  </si>
  <si>
    <t>Labor - rural primary</t>
  </si>
  <si>
    <t>hhd-f2</t>
  </si>
  <si>
    <t>Rural - farm q2</t>
  </si>
  <si>
    <t>ent</t>
  </si>
  <si>
    <t>Enterprises</t>
  </si>
  <si>
    <t>arice</t>
  </si>
  <si>
    <t>crice</t>
  </si>
  <si>
    <t>flab-rs</t>
  </si>
  <si>
    <t>Labor - rural secondary</t>
  </si>
  <si>
    <t>hhd-f3</t>
  </si>
  <si>
    <t>Rural - farm q3</t>
  </si>
  <si>
    <t>gov</t>
  </si>
  <si>
    <t>Government</t>
  </si>
  <si>
    <t>awhea</t>
  </si>
  <si>
    <t>cwhea</t>
  </si>
  <si>
    <t>flab-rt</t>
  </si>
  <si>
    <t>Labor - rural tertiary</t>
  </si>
  <si>
    <t>hhd-f4</t>
  </si>
  <si>
    <t>Rural - farm q4</t>
  </si>
  <si>
    <t>atax</t>
  </si>
  <si>
    <t>aocer</t>
  </si>
  <si>
    <t>cocer</t>
  </si>
  <si>
    <t>Other cereals</t>
  </si>
  <si>
    <t>flab-un</t>
  </si>
  <si>
    <t>Labor - urban uneducated</t>
  </si>
  <si>
    <t>hhd-f5</t>
  </si>
  <si>
    <t>Rural - farm q5</t>
  </si>
  <si>
    <t>dtax</t>
  </si>
  <si>
    <t>flab-up</t>
  </si>
  <si>
    <t>Labor - urban primary</t>
  </si>
  <si>
    <t>hhd-n1</t>
  </si>
  <si>
    <t>Rural - nonfarm q1</t>
  </si>
  <si>
    <t>etax</t>
  </si>
  <si>
    <t>agnut</t>
  </si>
  <si>
    <t>cgnut</t>
  </si>
  <si>
    <t>Groundnuts</t>
  </si>
  <si>
    <t>flab-us</t>
  </si>
  <si>
    <t>Labor - urban secondary</t>
  </si>
  <si>
    <t>hhd-n2</t>
  </si>
  <si>
    <t>Rural - nonfarm q2</t>
  </si>
  <si>
    <t>ftax</t>
  </si>
  <si>
    <t>aoils</t>
  </si>
  <si>
    <t>coils</t>
  </si>
  <si>
    <t>Other oilseeds</t>
  </si>
  <si>
    <t>flab-ut</t>
  </si>
  <si>
    <t>Labor - urban tertiary</t>
  </si>
  <si>
    <t>hhd-n3</t>
  </si>
  <si>
    <t>Rural - nonfarm q3</t>
  </si>
  <si>
    <t>mtax</t>
  </si>
  <si>
    <t>acass</t>
  </si>
  <si>
    <t>ccass</t>
  </si>
  <si>
    <t>flnd</t>
  </si>
  <si>
    <t>Crop land</t>
  </si>
  <si>
    <t>hhd-n4</t>
  </si>
  <si>
    <t>Rural - nonfarm q4</t>
  </si>
  <si>
    <t>stax</t>
  </si>
  <si>
    <t>aipot</t>
  </si>
  <si>
    <t>cipot</t>
  </si>
  <si>
    <t>fcap-c</t>
  </si>
  <si>
    <t>Capital - crops</t>
  </si>
  <si>
    <t>hhd-n5</t>
  </si>
  <si>
    <t>Rural - nonfarm q5</t>
  </si>
  <si>
    <t>s-i</t>
  </si>
  <si>
    <t>Savings-investment</t>
  </si>
  <si>
    <t>aspot</t>
  </si>
  <si>
    <t>cspot</t>
  </si>
  <si>
    <t>fcap-l</t>
  </si>
  <si>
    <t>Capital - livestock</t>
  </si>
  <si>
    <t>hhd-u1</t>
  </si>
  <si>
    <t>Urban - q1</t>
  </si>
  <si>
    <t>dstk</t>
  </si>
  <si>
    <t>Change in stocks</t>
  </si>
  <si>
    <t>aroot</t>
  </si>
  <si>
    <t>croot</t>
  </si>
  <si>
    <t>fcap-m</t>
  </si>
  <si>
    <t>Capital - mining</t>
  </si>
  <si>
    <t>hhd-u2</t>
  </si>
  <si>
    <t>Urban - q2</t>
  </si>
  <si>
    <t>row</t>
  </si>
  <si>
    <t>Rest of world</t>
  </si>
  <si>
    <t>fcap-n</t>
  </si>
  <si>
    <t>Capital - non-primary</t>
  </si>
  <si>
    <t>hhd-u3</t>
  </si>
  <si>
    <t>Urban - q3</t>
  </si>
  <si>
    <t>total</t>
  </si>
  <si>
    <t>Total</t>
  </si>
  <si>
    <t>avege</t>
  </si>
  <si>
    <t>cvege</t>
  </si>
  <si>
    <t>hhd-u4</t>
  </si>
  <si>
    <t>Urban - q4</t>
  </si>
  <si>
    <t>asugr</t>
  </si>
  <si>
    <t>csugr</t>
  </si>
  <si>
    <t>hhd-u5</t>
  </si>
  <si>
    <t>Urban - q5</t>
  </si>
  <si>
    <t>atoba</t>
  </si>
  <si>
    <t>ctoba</t>
  </si>
  <si>
    <t>Tobacco</t>
  </si>
  <si>
    <t>Cotton and fibres</t>
  </si>
  <si>
    <t>afrui</t>
  </si>
  <si>
    <t>cfrui</t>
  </si>
  <si>
    <t>ateal</t>
  </si>
  <si>
    <t>cteal</t>
  </si>
  <si>
    <t>acoff</t>
  </si>
  <si>
    <t>ccoff</t>
  </si>
  <si>
    <t>Coffee</t>
  </si>
  <si>
    <t>aocrp</t>
  </si>
  <si>
    <t>cocrp</t>
  </si>
  <si>
    <t>Other crops</t>
  </si>
  <si>
    <t>acatt</t>
  </si>
  <si>
    <t>ccatt</t>
  </si>
  <si>
    <t>Cattle</t>
  </si>
  <si>
    <t>amilk</t>
  </si>
  <si>
    <t>cmilk</t>
  </si>
  <si>
    <t>apoul</t>
  </si>
  <si>
    <t>cpoul</t>
  </si>
  <si>
    <t>Poultry</t>
  </si>
  <si>
    <t>aeggs</t>
  </si>
  <si>
    <t>ceggs</t>
  </si>
  <si>
    <t>asmlr</t>
  </si>
  <si>
    <t>csmlr</t>
  </si>
  <si>
    <t>aoliv</t>
  </si>
  <si>
    <t>coliv</t>
  </si>
  <si>
    <t>Other livestock</t>
  </si>
  <si>
    <t>afore</t>
  </si>
  <si>
    <t>cfore</t>
  </si>
  <si>
    <t>Forestry</t>
  </si>
  <si>
    <t>afish</t>
  </si>
  <si>
    <t>cfish</t>
  </si>
  <si>
    <t>angas</t>
  </si>
  <si>
    <t>cngas</t>
  </si>
  <si>
    <t>aomin</t>
  </si>
  <si>
    <t>comin</t>
  </si>
  <si>
    <t>ameat</t>
  </si>
  <si>
    <t>cmeat</t>
  </si>
  <si>
    <t>afsea</t>
  </si>
  <si>
    <t>cfsea</t>
  </si>
  <si>
    <t>adair</t>
  </si>
  <si>
    <t>cdair</t>
  </si>
  <si>
    <t>afveg</t>
  </si>
  <si>
    <t>cfveg</t>
  </si>
  <si>
    <t>afoil</t>
  </si>
  <si>
    <t>cfoil</t>
  </si>
  <si>
    <t>agmll</t>
  </si>
  <si>
    <t>cgmll</t>
  </si>
  <si>
    <t>afood</t>
  </si>
  <si>
    <t>cfood</t>
  </si>
  <si>
    <t>Other foods</t>
  </si>
  <si>
    <t>afeed</t>
  </si>
  <si>
    <t>cfeed</t>
  </si>
  <si>
    <t>abeve</t>
  </si>
  <si>
    <t>cbeve</t>
  </si>
  <si>
    <t>aptob</t>
  </si>
  <si>
    <t>cptob</t>
  </si>
  <si>
    <t>atext</t>
  </si>
  <si>
    <t>ctext</t>
  </si>
  <si>
    <t>awood</t>
  </si>
  <si>
    <t>cwood</t>
  </si>
  <si>
    <t>apetr</t>
  </si>
  <si>
    <t>cpetr</t>
  </si>
  <si>
    <t>achem</t>
  </si>
  <si>
    <t>cchem</t>
  </si>
  <si>
    <t>anmet</t>
  </si>
  <si>
    <t>cnmet</t>
  </si>
  <si>
    <t>Non-metal minerals</t>
  </si>
  <si>
    <t>ametl</t>
  </si>
  <si>
    <t>cmetl</t>
  </si>
  <si>
    <t>amach</t>
  </si>
  <si>
    <t>cmach</t>
  </si>
  <si>
    <t>avehi</t>
  </si>
  <si>
    <t>cvehi</t>
  </si>
  <si>
    <t>aoman</t>
  </si>
  <si>
    <t>coman</t>
  </si>
  <si>
    <t>Other manufacturing</t>
  </si>
  <si>
    <t>aelec</t>
  </si>
  <si>
    <t>celec</t>
  </si>
  <si>
    <t>awatr</t>
  </si>
  <si>
    <t>cwatr</t>
  </si>
  <si>
    <t>acons</t>
  </si>
  <si>
    <t>ccons</t>
  </si>
  <si>
    <t>Construction</t>
  </si>
  <si>
    <t>ahotl</t>
  </si>
  <si>
    <t>chotl</t>
  </si>
  <si>
    <t>acomm</t>
  </si>
  <si>
    <t>ccomm</t>
  </si>
  <si>
    <t>Finance and insurance</t>
  </si>
  <si>
    <t>areal</t>
  </si>
  <si>
    <t>creal</t>
  </si>
  <si>
    <t>Real estate activities</t>
  </si>
  <si>
    <t>Business services</t>
  </si>
  <si>
    <t>apadm</t>
  </si>
  <si>
    <t>cpadm</t>
  </si>
  <si>
    <t>Public administration</t>
  </si>
  <si>
    <t>aeduc</t>
  </si>
  <si>
    <t>ceduc</t>
  </si>
  <si>
    <t>Education</t>
  </si>
  <si>
    <t>aheal</t>
  </si>
  <si>
    <t>cheal</t>
  </si>
  <si>
    <t>Health and social work</t>
  </si>
  <si>
    <t>aosrv</t>
  </si>
  <si>
    <t>cosrv</t>
  </si>
  <si>
    <t>Other services</t>
  </si>
  <si>
    <t>GDX index</t>
  </si>
  <si>
    <t>rdim</t>
  </si>
  <si>
    <t>cdim</t>
  </si>
  <si>
    <t>dset</t>
  </si>
  <si>
    <t>sim</t>
  </si>
  <si>
    <t>main!a5</t>
  </si>
  <si>
    <t>par</t>
  </si>
  <si>
    <t>active</t>
  </si>
  <si>
    <t>sim1</t>
  </si>
  <si>
    <t>c</t>
  </si>
  <si>
    <t>a</t>
  </si>
  <si>
    <t>f</t>
  </si>
  <si>
    <t>s</t>
  </si>
  <si>
    <t>mc</t>
  </si>
  <si>
    <t>fc</t>
  </si>
  <si>
    <t>hc</t>
  </si>
  <si>
    <t>Activate Simulations and Select Closures</t>
  </si>
  <si>
    <t>Activate simulations</t>
  </si>
  <si>
    <t>Macroeconomic closures</t>
  </si>
  <si>
    <t>Active? (0=no; 1=yes)</t>
  </si>
  <si>
    <t>sim8</t>
  </si>
  <si>
    <t>sim9</t>
  </si>
  <si>
    <t>base</t>
  </si>
  <si>
    <t>Base scenario</t>
  </si>
  <si>
    <t>Numeraire</t>
  </si>
  <si>
    <t>Government account</t>
  </si>
  <si>
    <t>Current account</t>
  </si>
  <si>
    <t>Factor market closures</t>
  </si>
  <si>
    <t>Capital</t>
  </si>
  <si>
    <t>Land</t>
  </si>
  <si>
    <t>Savings-investment closure options</t>
  </si>
  <si>
    <t>investment-driven savings -- uniform mps rate point change for selected institutions</t>
  </si>
  <si>
    <t>CPI is numeraire (and fixed) -- DPI is flexible</t>
  </si>
  <si>
    <t>investment-driven savings -- scaled mps for for selected institutions</t>
  </si>
  <si>
    <t>DPI is numeraire (and fixed) -- CPI is flexible</t>
  </si>
  <si>
    <t>investment is savings-driven</t>
  </si>
  <si>
    <t xml:space="preserve">Factor closure options </t>
  </si>
  <si>
    <t>investment is fixed absolute share - uniform mps rate point change - balanced closure</t>
  </si>
  <si>
    <t>fully employed and mobile</t>
  </si>
  <si>
    <t>investment is fixed abs share - scaled mps - balanced closure</t>
  </si>
  <si>
    <t>fully employed and activity-specific</t>
  </si>
  <si>
    <t>Current account closure options</t>
  </si>
  <si>
    <t>unemployed and mobile</t>
  </si>
  <si>
    <t>exchange rate is flexible, foreign savings are fixed</t>
  </si>
  <si>
    <t>exchange rate is fixed, foreign savings are flexible</t>
  </si>
  <si>
    <t>Government account closure options</t>
  </si>
  <si>
    <t>government savings are flexible, direct tax rate is fixed</t>
  </si>
  <si>
    <t>government savings are fixed, uniform direct tax rate point change for selected ins</t>
  </si>
  <si>
    <t>government savings are fixed, scaled direct tax rate for selected institutions</t>
  </si>
  <si>
    <t>Commodity shocks</t>
  </si>
  <si>
    <t>Activity shocks</t>
  </si>
  <si>
    <t>Factor shocks</t>
  </si>
  <si>
    <t>World prices</t>
  </si>
  <si>
    <t>Commodity taxes</t>
  </si>
  <si>
    <t>Import</t>
  </si>
  <si>
    <t>Fix cap?</t>
  </si>
  <si>
    <t>TFP</t>
  </si>
  <si>
    <t>Activity taxes</t>
  </si>
  <si>
    <t>Factor</t>
  </si>
  <si>
    <t>Wage</t>
  </si>
  <si>
    <t>Exports</t>
  </si>
  <si>
    <t>Imports</t>
  </si>
  <si>
    <t>Sales</t>
  </si>
  <si>
    <t>Domestic</t>
  </si>
  <si>
    <t>subsidy</t>
  </si>
  <si>
    <t>(1=yes)</t>
  </si>
  <si>
    <t>Activity</t>
  </si>
  <si>
    <t>taxes</t>
  </si>
  <si>
    <t>rate</t>
  </si>
  <si>
    <t>supply</t>
  </si>
  <si>
    <t>pwe</t>
  </si>
  <si>
    <t>pwm</t>
  </si>
  <si>
    <t>te</t>
  </si>
  <si>
    <t>tm</t>
  </si>
  <si>
    <t>tq</t>
  </si>
  <si>
    <t>ice</t>
  </si>
  <si>
    <t>icm</t>
  </si>
  <si>
    <t>icd</t>
  </si>
  <si>
    <t>tms</t>
  </si>
  <si>
    <t>fixcap</t>
  </si>
  <si>
    <t>alphava</t>
  </si>
  <si>
    <t>ta</t>
  </si>
  <si>
    <t>tva</t>
  </si>
  <si>
    <t>tf</t>
  </si>
  <si>
    <t>wf</t>
  </si>
  <si>
    <t>qfs</t>
  </si>
  <si>
    <t>eps</t>
  </si>
  <si>
    <t>Scalar shocks</t>
  </si>
  <si>
    <t>Exchange rate</t>
  </si>
  <si>
    <t>exr</t>
  </si>
  <si>
    <t>Investment</t>
  </si>
  <si>
    <t>iadj</t>
  </si>
  <si>
    <t>Foreign savings</t>
  </si>
  <si>
    <t>fsav</t>
  </si>
  <si>
    <t>gsav</t>
  </si>
  <si>
    <t>gadj</t>
  </si>
  <si>
    <t>mpsadj</t>
  </si>
  <si>
    <t>dmps</t>
  </si>
  <si>
    <t>tinsadj</t>
  </si>
  <si>
    <t>dtins</t>
  </si>
  <si>
    <t>dum</t>
  </si>
  <si>
    <t>Labor</t>
  </si>
  <si>
    <t>Institutional closures</t>
  </si>
  <si>
    <t>Savings</t>
  </si>
  <si>
    <t>Taxes</t>
  </si>
  <si>
    <t>mps</t>
  </si>
  <si>
    <t>tins</t>
  </si>
  <si>
    <t>Enter.</t>
  </si>
  <si>
    <t>House.</t>
  </si>
  <si>
    <t>x</t>
  </si>
  <si>
    <t>ValAd.</t>
  </si>
  <si>
    <t>Gov. savings</t>
  </si>
  <si>
    <t>Gov. spending</t>
  </si>
  <si>
    <t>Savings rates</t>
  </si>
  <si>
    <t>Direct tax rates</t>
  </si>
  <si>
    <t>Num.</t>
  </si>
  <si>
    <t>Sav-Inv.</t>
  </si>
  <si>
    <t>Gov.</t>
  </si>
  <si>
    <t>Cur. a/c</t>
  </si>
  <si>
    <t>n</t>
  </si>
  <si>
    <t>v</t>
  </si>
  <si>
    <t>w</t>
  </si>
  <si>
    <t>Type</t>
  </si>
  <si>
    <t>Name</t>
  </si>
  <si>
    <t>Location</t>
  </si>
  <si>
    <t>Row</t>
  </si>
  <si>
    <t>Column</t>
  </si>
  <si>
    <t>set</t>
  </si>
  <si>
    <t>ra</t>
  </si>
  <si>
    <t>repindex!A20</t>
  </si>
  <si>
    <t>rag</t>
  </si>
  <si>
    <t>repindex!B20</t>
  </si>
  <si>
    <t>mca</t>
  </si>
  <si>
    <t>values=nodata</t>
  </si>
  <si>
    <t>mara</t>
  </si>
  <si>
    <t>supply!A7</t>
  </si>
  <si>
    <t>RA</t>
  </si>
  <si>
    <t>RAG</t>
  </si>
  <si>
    <t>sGDP</t>
  </si>
  <si>
    <t>sAGRI</t>
  </si>
  <si>
    <t>sCROP</t>
  </si>
  <si>
    <t>smaiz</t>
  </si>
  <si>
    <t>sLIVE</t>
  </si>
  <si>
    <t>socer</t>
  </si>
  <si>
    <t>sOAGR</t>
  </si>
  <si>
    <t>sNAGR</t>
  </si>
  <si>
    <t>sroot</t>
  </si>
  <si>
    <t>sINDU</t>
  </si>
  <si>
    <t>stoba</t>
  </si>
  <si>
    <t>sMANU</t>
  </si>
  <si>
    <t>sOIND</t>
  </si>
  <si>
    <t>sfrui</t>
  </si>
  <si>
    <t>sSERV</t>
  </si>
  <si>
    <t>scoff</t>
  </si>
  <si>
    <t>socrp</t>
  </si>
  <si>
    <t>scatt</t>
  </si>
  <si>
    <t>spoul</t>
  </si>
  <si>
    <t>soliv</t>
  </si>
  <si>
    <t>sfore</t>
  </si>
  <si>
    <t>sfish</t>
  </si>
  <si>
    <t>smeat</t>
  </si>
  <si>
    <t>sgmll</t>
  </si>
  <si>
    <t>sfood</t>
  </si>
  <si>
    <t>sbeve</t>
  </si>
  <si>
    <t>stext</t>
  </si>
  <si>
    <t>swood</t>
  </si>
  <si>
    <t>schem</t>
  </si>
  <si>
    <t>smach</t>
  </si>
  <si>
    <t>soman</t>
  </si>
  <si>
    <t>selec</t>
  </si>
  <si>
    <t>scons</t>
  </si>
  <si>
    <t>spadm</t>
  </si>
  <si>
    <t>seduc</t>
  </si>
  <si>
    <t>sheal</t>
  </si>
  <si>
    <t>sosrv</t>
  </si>
  <si>
    <t>Mapping between reporting and model sets</t>
  </si>
  <si>
    <t>ssorg</t>
  </si>
  <si>
    <t>srice</t>
  </si>
  <si>
    <t>swhea</t>
  </si>
  <si>
    <t>sgnut</t>
  </si>
  <si>
    <t>soils</t>
  </si>
  <si>
    <t>scass</t>
  </si>
  <si>
    <t>sipot</t>
  </si>
  <si>
    <t>sspot</t>
  </si>
  <si>
    <t>svege</t>
  </si>
  <si>
    <t>ssugr</t>
  </si>
  <si>
    <t>steal</t>
  </si>
  <si>
    <t>smilk</t>
  </si>
  <si>
    <t>seggs</t>
  </si>
  <si>
    <t>ssmlr</t>
  </si>
  <si>
    <t>sngas</t>
  </si>
  <si>
    <t>somin</t>
  </si>
  <si>
    <t>sfsea</t>
  </si>
  <si>
    <t>sdair</t>
  </si>
  <si>
    <t>sfveg</t>
  </si>
  <si>
    <t>sfoil</t>
  </si>
  <si>
    <t>sfeed</t>
  </si>
  <si>
    <t>sptob</t>
  </si>
  <si>
    <t>spetr</t>
  </si>
  <si>
    <t>snmet</t>
  </si>
  <si>
    <t>smetl</t>
  </si>
  <si>
    <t>svehi</t>
  </si>
  <si>
    <t>swatr</t>
  </si>
  <si>
    <t>shotl</t>
  </si>
  <si>
    <t>scomm</t>
  </si>
  <si>
    <t>sreal</t>
  </si>
  <si>
    <t>sMINE</t>
  </si>
  <si>
    <t>Food crops</t>
  </si>
  <si>
    <t>Export crops</t>
  </si>
  <si>
    <t>Fishing</t>
  </si>
  <si>
    <t>Wholesale &amp; retail trade</t>
  </si>
  <si>
    <t>Information &amp; communication</t>
  </si>
  <si>
    <t>sFCRP</t>
  </si>
  <si>
    <t>sXCRP</t>
  </si>
  <si>
    <t>sFPRC</t>
  </si>
  <si>
    <t>sWDPR</t>
  </si>
  <si>
    <t>sPETC</t>
  </si>
  <si>
    <t>sMMCH</t>
  </si>
  <si>
    <t>Agriculture</t>
  </si>
  <si>
    <t>Crops</t>
  </si>
  <si>
    <t>Pulses and oilseeds</t>
  </si>
  <si>
    <t>Root crops</t>
  </si>
  <si>
    <t>Fruits, nuts and vegetables</t>
  </si>
  <si>
    <t>Matoke</t>
  </si>
  <si>
    <t>Livestock</t>
  </si>
  <si>
    <t>Other agriculture</t>
  </si>
  <si>
    <t>Non-agriculture</t>
  </si>
  <si>
    <t>Industry</t>
  </si>
  <si>
    <t>Mining</t>
  </si>
  <si>
    <t>Manufacturing</t>
  </si>
  <si>
    <t>Meat, fish and dairy</t>
  </si>
  <si>
    <t>Grain milling</t>
  </si>
  <si>
    <t>Beverages and tobacco</t>
  </si>
  <si>
    <t>Textiles and clothing</t>
  </si>
  <si>
    <t>Wood and paper</t>
  </si>
  <si>
    <t>Chemicals</t>
  </si>
  <si>
    <t>Metals and machinery</t>
  </si>
  <si>
    <t>Other industry</t>
  </si>
  <si>
    <t>Electricity and water supply</t>
  </si>
  <si>
    <t>Services</t>
  </si>
  <si>
    <t>Trade, hotels and catering</t>
  </si>
  <si>
    <t>Transportation and communication</t>
  </si>
  <si>
    <t>Business services and real estate</t>
  </si>
  <si>
    <t>sBTOB</t>
  </si>
  <si>
    <t>Food processing</t>
  </si>
  <si>
    <t>Wood &amp; paper</t>
  </si>
  <si>
    <t>Beverages &amp; tobacco</t>
  </si>
  <si>
    <t>Chemicals, rubber &amp; plastic</t>
  </si>
  <si>
    <t>Metals, machinery &amp; equipment</t>
  </si>
  <si>
    <t>Electricity, gas &amp; steam</t>
  </si>
  <si>
    <t>Transportation &amp; storage</t>
  </si>
  <si>
    <t>Finance &amp; insurance</t>
  </si>
  <si>
    <t>World</t>
  </si>
  <si>
    <t>Farm</t>
  </si>
  <si>
    <t>Nonfarm</t>
  </si>
  <si>
    <t>Urban</t>
  </si>
  <si>
    <t>h</t>
  </si>
  <si>
    <t>Household income shocks</t>
  </si>
  <si>
    <t>rem</t>
  </si>
  <si>
    <t>trn</t>
  </si>
  <si>
    <t>HA</t>
  </si>
  <si>
    <t>HAG</t>
  </si>
  <si>
    <t>hHHD</t>
  </si>
  <si>
    <t>hRUR</t>
  </si>
  <si>
    <t>hURB</t>
  </si>
  <si>
    <t>hURB-1</t>
  </si>
  <si>
    <t>hURB-2</t>
  </si>
  <si>
    <t>hURB-3</t>
  </si>
  <si>
    <t>hURB-4</t>
  </si>
  <si>
    <t>hURB-5</t>
  </si>
  <si>
    <t>hRUR-1</t>
  </si>
  <si>
    <t>hRUR-2</t>
  </si>
  <si>
    <t>hRUR-3</t>
  </si>
  <si>
    <t>hRUR-4</t>
  </si>
  <si>
    <t>hRUR-5</t>
  </si>
  <si>
    <t>hHHD-1</t>
  </si>
  <si>
    <t>hHHD-2</t>
  </si>
  <si>
    <t>hHHD-3</t>
  </si>
  <si>
    <t>hHHD-4</t>
  </si>
  <si>
    <t>hHHD-5</t>
  </si>
  <si>
    <t>C</t>
  </si>
  <si>
    <t>A</t>
  </si>
  <si>
    <t>repindex!i20</t>
  </si>
  <si>
    <t>ha</t>
  </si>
  <si>
    <t>hag</t>
  </si>
  <si>
    <t>repindex!c20</t>
  </si>
  <si>
    <t>repindex!d20</t>
  </si>
  <si>
    <t>repindex!e20</t>
  </si>
  <si>
    <t>repindex!f20</t>
  </si>
  <si>
    <t>mhha</t>
  </si>
  <si>
    <t>house!A7</t>
  </si>
  <si>
    <t>factor!A7</t>
  </si>
  <si>
    <t>fL</t>
  </si>
  <si>
    <t>fL-R</t>
  </si>
  <si>
    <t>fL-R-n</t>
  </si>
  <si>
    <t>fL-R-p</t>
  </si>
  <si>
    <t>fL-R-s</t>
  </si>
  <si>
    <t>fL-R-t</t>
  </si>
  <si>
    <t>fL-n</t>
  </si>
  <si>
    <t>fL-p</t>
  </si>
  <si>
    <t>fL-s</t>
  </si>
  <si>
    <t>fL-t</t>
  </si>
  <si>
    <t>fL-U</t>
  </si>
  <si>
    <t>fL-U-n</t>
  </si>
  <si>
    <t>fL-U-p</t>
  </si>
  <si>
    <t>fL-U-s</t>
  </si>
  <si>
    <t>fL-U-t</t>
  </si>
  <si>
    <t>fN</t>
  </si>
  <si>
    <t>fK</t>
  </si>
  <si>
    <t>fK-c</t>
  </si>
  <si>
    <t>fK-l</t>
  </si>
  <si>
    <t>fK-m</t>
  </si>
  <si>
    <t>fK-n</t>
  </si>
  <si>
    <t xml:space="preserve">   Not finished primary</t>
  </si>
  <si>
    <t xml:space="preserve">   Finished primary</t>
  </si>
  <si>
    <t xml:space="preserve">   Finished secondary</t>
  </si>
  <si>
    <t xml:space="preserve">   Finished tertiary</t>
  </si>
  <si>
    <t>Labor - National</t>
  </si>
  <si>
    <t>Labor - Rural</t>
  </si>
  <si>
    <t>Labor - Urban</t>
  </si>
  <si>
    <t>Capital - Total</t>
  </si>
  <si>
    <t xml:space="preserve">   Livestock</t>
  </si>
  <si>
    <t xml:space="preserve">   Crops, forestry, fisheries</t>
  </si>
  <si>
    <t xml:space="preserve">   Mining</t>
  </si>
  <si>
    <t xml:space="preserve">   Other non-agriculture</t>
  </si>
  <si>
    <t>LA</t>
  </si>
  <si>
    <t>LAG</t>
  </si>
  <si>
    <t>la</t>
  </si>
  <si>
    <t>lag</t>
  </si>
  <si>
    <t>mfla</t>
  </si>
  <si>
    <t xml:space="preserve">   Quintile 1</t>
  </si>
  <si>
    <t xml:space="preserve">   Quintile 2</t>
  </si>
  <si>
    <t xml:space="preserve">   Quintile 3</t>
  </si>
  <si>
    <t xml:space="preserve">   Quintile 4</t>
  </si>
  <si>
    <t xml:space="preserve">   Quintile 5</t>
  </si>
  <si>
    <t>Rural households</t>
  </si>
  <si>
    <t>All households</t>
  </si>
  <si>
    <t>Urban households</t>
  </si>
  <si>
    <t>Sorghum (A111)</t>
  </si>
  <si>
    <t>Maize (A112)</t>
  </si>
  <si>
    <t>flab</t>
  </si>
  <si>
    <t>Wheat (A113)</t>
  </si>
  <si>
    <t>Paddy &amp; husked rice (A116)</t>
  </si>
  <si>
    <t>fcap</t>
  </si>
  <si>
    <t>Other cereals (A119)</t>
  </si>
  <si>
    <t>Irish potatoes (A121)</t>
  </si>
  <si>
    <t>hhd</t>
  </si>
  <si>
    <t>Sweet potatoes (A122)</t>
  </si>
  <si>
    <t>Cassava (A123)</t>
  </si>
  <si>
    <t>Taxes - activity (production)</t>
  </si>
  <si>
    <t>Other roots &amp; tubers (A129)</t>
  </si>
  <si>
    <t>flab-kn</t>
  </si>
  <si>
    <t>Labor - Kigali uneducated</t>
  </si>
  <si>
    <t>ctax</t>
  </si>
  <si>
    <t>Taxes - customs duties (imports)</t>
  </si>
  <si>
    <t>abean</t>
  </si>
  <si>
    <t>cbean</t>
  </si>
  <si>
    <t>Dried beans (A131)</t>
  </si>
  <si>
    <t>flab-kp</t>
  </si>
  <si>
    <t>Labor - Kigali primary</t>
  </si>
  <si>
    <t>Taxes - direct (corporate, private)</t>
  </si>
  <si>
    <t>apeas</t>
  </si>
  <si>
    <t>cpeas</t>
  </si>
  <si>
    <t>Peas &amp; other legumes (A132)</t>
  </si>
  <si>
    <t>flab-ks</t>
  </si>
  <si>
    <t>Labor - Kigali secondary</t>
  </si>
  <si>
    <t>Taxes - exports</t>
  </si>
  <si>
    <t>Other vegetables (A139)</t>
  </si>
  <si>
    <t>flab-kt</t>
  </si>
  <si>
    <t>Labor - Kigali tertiary</t>
  </si>
  <si>
    <t>Taxes - factors (royalities)</t>
  </si>
  <si>
    <t>abanb</t>
  </si>
  <si>
    <t>cbanb</t>
  </si>
  <si>
    <t>Bananas for beer (A141)</t>
  </si>
  <si>
    <t>Taxes - VAT on imported products</t>
  </si>
  <si>
    <t>abanc</t>
  </si>
  <si>
    <t>cbanc</t>
  </si>
  <si>
    <t>Bananas for cooking (A142)</t>
  </si>
  <si>
    <t>Taxes - general sales</t>
  </si>
  <si>
    <t>abans</t>
  </si>
  <si>
    <t>cbans</t>
  </si>
  <si>
    <t>Bananas (sweet) (A143)</t>
  </si>
  <si>
    <t>vtax</t>
  </si>
  <si>
    <t>Taxes - VAT on domestic products</t>
  </si>
  <si>
    <t>Other fruit &amp; nuts (A149)</t>
  </si>
  <si>
    <t>hhd-k1</t>
  </si>
  <si>
    <t>Kigali - q1</t>
  </si>
  <si>
    <t>xtax</t>
  </si>
  <si>
    <t>Taxes - excise</t>
  </si>
  <si>
    <t>Ground nuts (A151)</t>
  </si>
  <si>
    <t>hhd-k2</t>
  </si>
  <si>
    <t>Kigali - q2</t>
  </si>
  <si>
    <t>asoya</t>
  </si>
  <si>
    <t>csoya</t>
  </si>
  <si>
    <t>Soya (A152)</t>
  </si>
  <si>
    <t>hhd-k3</t>
  </si>
  <si>
    <t>Kigali - q3</t>
  </si>
  <si>
    <t>Other oil seeds (A159)</t>
  </si>
  <si>
    <t>hhd-k4</t>
  </si>
  <si>
    <t>Kigali - q4</t>
  </si>
  <si>
    <t>Coffee, not roasted, not decaffeinated (A210)</t>
  </si>
  <si>
    <t>hhd-k5</t>
  </si>
  <si>
    <t>Kigali - q5</t>
  </si>
  <si>
    <t>Tea (unprocessed green leaf) (A220)</t>
  </si>
  <si>
    <t>Tobacco, raw (A291)</t>
  </si>
  <si>
    <t>Sugar cane (A292)</t>
  </si>
  <si>
    <t>apyre</t>
  </si>
  <si>
    <t>cpyre</t>
  </si>
  <si>
    <t>Pyrethrum (A293)</t>
  </si>
  <si>
    <t>Agricultural products n.e.c. (A299)</t>
  </si>
  <si>
    <t>Bovine cattle, live (A311)</t>
  </si>
  <si>
    <t>Sheep, goats, pigs,live (A312)</t>
  </si>
  <si>
    <t>Poultry, live (A313)</t>
  </si>
  <si>
    <t>Other live animals (A319)</t>
  </si>
  <si>
    <t>Raw milk (A321)</t>
  </si>
  <si>
    <t>Eggs (A322)</t>
  </si>
  <si>
    <t>ahony</t>
  </si>
  <si>
    <t>chony</t>
  </si>
  <si>
    <t>Natural honey (A323)</t>
  </si>
  <si>
    <t>ahunt</t>
  </si>
  <si>
    <t>chunt</t>
  </si>
  <si>
    <t>Other livestock &amp; hunting products (A329)</t>
  </si>
  <si>
    <t>afuel</t>
  </si>
  <si>
    <t>cfuel</t>
  </si>
  <si>
    <t>Fuel wood (A401)</t>
  </si>
  <si>
    <t>achar</t>
  </si>
  <si>
    <t>cchar</t>
  </si>
  <si>
    <t>Charcoal (A402)</t>
  </si>
  <si>
    <t>Other forestry products (A409)</t>
  </si>
  <si>
    <t>Fishery products (A500)</t>
  </si>
  <si>
    <t>Natural gas (B01)</t>
  </si>
  <si>
    <t>amore</t>
  </si>
  <si>
    <t>cmore</t>
  </si>
  <si>
    <t>Metal ores (B03)</t>
  </si>
  <si>
    <t>Quarry &amp; other mining products (B09)</t>
  </si>
  <si>
    <t>Meat and meat products (C11)</t>
  </si>
  <si>
    <t>Prepared and preserved fish (C12)</t>
  </si>
  <si>
    <t>Prepared and preserved vegetables (C13)</t>
  </si>
  <si>
    <t>Animal and vegetable oils and fats (C14)</t>
  </si>
  <si>
    <t>Dairy products (C15)</t>
  </si>
  <si>
    <t>Grain mill products (C16)</t>
  </si>
  <si>
    <t>abake</t>
  </si>
  <si>
    <t>cbake</t>
  </si>
  <si>
    <t>Bakery products (C17)</t>
  </si>
  <si>
    <t>Animal feed &amp; other by-products (C18)</t>
  </si>
  <si>
    <t>Other manufactured food products (C19)</t>
  </si>
  <si>
    <t>aalco</t>
  </si>
  <si>
    <t>calco</t>
  </si>
  <si>
    <t>Alcoholic drinks (C21)</t>
  </si>
  <si>
    <t>Soft drinks (C22)</t>
  </si>
  <si>
    <t>Tobacco products (C23)</t>
  </si>
  <si>
    <t>Textiles, clothing &amp; leather products (C30)</t>
  </si>
  <si>
    <t>Wood, paper and related products (C41)</t>
  </si>
  <si>
    <t>aprnt</t>
  </si>
  <si>
    <t>cprnt</t>
  </si>
  <si>
    <t>Printing and reproduction of recorded media (C42)</t>
  </si>
  <si>
    <t>Coke and refined petroleum products (C51)</t>
  </si>
  <si>
    <t>Chemicals and chemical products (C52)</t>
  </si>
  <si>
    <t>aphar</t>
  </si>
  <si>
    <t>cphar</t>
  </si>
  <si>
    <t>Pharmaceutical products (C53)</t>
  </si>
  <si>
    <t>aprub</t>
  </si>
  <si>
    <t>cprub</t>
  </si>
  <si>
    <t>Rubber and plastics products (C54)</t>
  </si>
  <si>
    <t>Non-metallic mineral products n.e.c. (C61)</t>
  </si>
  <si>
    <t>aceme</t>
  </si>
  <si>
    <t>cceme</t>
  </si>
  <si>
    <t>Manufacture of cement, lime and plaster (C62)</t>
  </si>
  <si>
    <t>aclay</t>
  </si>
  <si>
    <t>cclay</t>
  </si>
  <si>
    <t>Manufacture of clay building materials (C63)</t>
  </si>
  <si>
    <t>Metals &amp; metal products, except machinery and equipment (C72)</t>
  </si>
  <si>
    <t>Machinery and equipment (except transport) (C74)</t>
  </si>
  <si>
    <t>Transport equipment (C76)</t>
  </si>
  <si>
    <t>afurn</t>
  </si>
  <si>
    <t>cfurn</t>
  </si>
  <si>
    <t>Furniture (C81)</t>
  </si>
  <si>
    <t>Other manufacturing (C82)</t>
  </si>
  <si>
    <t>arepr</t>
  </si>
  <si>
    <t>crepr</t>
  </si>
  <si>
    <t>Repair and installation of machinery and equipment (C83)</t>
  </si>
  <si>
    <t>Electricity, gas, steam and air conditioning supply (D00)</t>
  </si>
  <si>
    <t>Water collection, treatment and supply: sewrage (E01)</t>
  </si>
  <si>
    <t>awast</t>
  </si>
  <si>
    <t>cwast</t>
  </si>
  <si>
    <t>Waste collection and management (E02)</t>
  </si>
  <si>
    <t>Construction (modern) (F01)</t>
  </si>
  <si>
    <t>acont</t>
  </si>
  <si>
    <t>ccont</t>
  </si>
  <si>
    <t>Construction (traditional) (F02)</t>
  </si>
  <si>
    <t>avehr</t>
  </si>
  <si>
    <t>cvehr</t>
  </si>
  <si>
    <t>Maintenance and repair of motor vehicles (G10)</t>
  </si>
  <si>
    <t>aveht</t>
  </si>
  <si>
    <t>cveht</t>
  </si>
  <si>
    <t>Wholesale and retail trade of motor vehicles and motorcycles (G21)</t>
  </si>
  <si>
    <t>atrdw</t>
  </si>
  <si>
    <t>ctrdw</t>
  </si>
  <si>
    <t>Wholesale trade, except of motor vehicles and motorcycles (G22)</t>
  </si>
  <si>
    <t>atrdr</t>
  </si>
  <si>
    <t>ctrdr</t>
  </si>
  <si>
    <t>Retail trade, except of motor vehicles and motorcycles (G23)</t>
  </si>
  <si>
    <t>atrnl</t>
  </si>
  <si>
    <t>ctrnl</t>
  </si>
  <si>
    <t>Land transport (H10)</t>
  </si>
  <si>
    <t>atrna</t>
  </si>
  <si>
    <t>ctrna</t>
  </si>
  <si>
    <t>Air transport (H20)</t>
  </si>
  <si>
    <t>atrns</t>
  </si>
  <si>
    <t>ctrns</t>
  </si>
  <si>
    <t>Services related to transport (H31)</t>
  </si>
  <si>
    <t>apost</t>
  </si>
  <si>
    <t>cpost</t>
  </si>
  <si>
    <t>Postal and courier activities (H32)</t>
  </si>
  <si>
    <t>Hotels &amp; restaurants (I00)</t>
  </si>
  <si>
    <t>apubl</t>
  </si>
  <si>
    <t>cpubl</t>
  </si>
  <si>
    <t>Publishing, video making, programming &amp; broadcasting activities (J10)</t>
  </si>
  <si>
    <t>Telecommunication (J20)</t>
  </si>
  <si>
    <t>ainfo</t>
  </si>
  <si>
    <t>cinfo</t>
  </si>
  <si>
    <t>Information technology services (J30)</t>
  </si>
  <si>
    <t>abank</t>
  </si>
  <si>
    <t>cbank</t>
  </si>
  <si>
    <t>Monetary institutions (K01)</t>
  </si>
  <si>
    <t>ainsu</t>
  </si>
  <si>
    <t>cinsu</t>
  </si>
  <si>
    <t>Insurance, reinsurance and pension funding, except compulsory social security (K02)</t>
  </si>
  <si>
    <t>aofsv</t>
  </si>
  <si>
    <t>cofsv</t>
  </si>
  <si>
    <t>Other financial services (K03)</t>
  </si>
  <si>
    <t>arent</t>
  </si>
  <si>
    <t>crent</t>
  </si>
  <si>
    <t>Rental value of dwellings (L01)</t>
  </si>
  <si>
    <t>Other real estate activities (L09)</t>
  </si>
  <si>
    <t>alegl</t>
  </si>
  <si>
    <t>clegl</t>
  </si>
  <si>
    <t>Legal, accounting management &amp; head office activities (M01)</t>
  </si>
  <si>
    <t>aenga</t>
  </si>
  <si>
    <t>cenga</t>
  </si>
  <si>
    <t>Architectural and engineering activities (M02)</t>
  </si>
  <si>
    <t>aprod</t>
  </si>
  <si>
    <t>cprod</t>
  </si>
  <si>
    <t>Other professional, scientific and technical activities (M03)</t>
  </si>
  <si>
    <t>atrvl</t>
  </si>
  <si>
    <t>ctrvl</t>
  </si>
  <si>
    <t>Travel agents and tour operators (N01)</t>
  </si>
  <si>
    <t>aobsv</t>
  </si>
  <si>
    <t>cobsv</t>
  </si>
  <si>
    <t>Other administrative and support service activities (N09)</t>
  </si>
  <si>
    <t>Public administration and defence; compulsory social security (O00)</t>
  </si>
  <si>
    <t>Education (P00)</t>
  </si>
  <si>
    <t>Human health activities (Q01)</t>
  </si>
  <si>
    <t>asocw</t>
  </si>
  <si>
    <t>csocw</t>
  </si>
  <si>
    <t>Social work activities (Q02)</t>
  </si>
  <si>
    <t>acult</t>
  </si>
  <si>
    <t>ccult</t>
  </si>
  <si>
    <t>Libraries, archives, museums and other cultural activities (R01)</t>
  </si>
  <si>
    <t>aarts</t>
  </si>
  <si>
    <t>carts</t>
  </si>
  <si>
    <t>Other arts, entertainment and recreation (R09)</t>
  </si>
  <si>
    <t>Other service activities (S00)</t>
  </si>
  <si>
    <t>adsrv</t>
  </si>
  <si>
    <t>cdsrv</t>
  </si>
  <si>
    <t>Domestic services (T00)</t>
  </si>
  <si>
    <t>atrdc</t>
  </si>
  <si>
    <t>ctrdc</t>
  </si>
  <si>
    <t>Travel debits &amp; credits (V00)</t>
  </si>
  <si>
    <t>hhd-r1</t>
  </si>
  <si>
    <t>hhd-r2</t>
  </si>
  <si>
    <t>hhd-r3</t>
  </si>
  <si>
    <t>hhd-r4</t>
  </si>
  <si>
    <t>hhd-r5</t>
  </si>
  <si>
    <t>sbean</t>
  </si>
  <si>
    <t>speas</t>
  </si>
  <si>
    <t>sbanb</t>
  </si>
  <si>
    <t>sbanc</t>
  </si>
  <si>
    <t>sbans</t>
  </si>
  <si>
    <t>ssoya</t>
  </si>
  <si>
    <t>spyre</t>
  </si>
  <si>
    <t>shony</t>
  </si>
  <si>
    <t>shunt</t>
  </si>
  <si>
    <t>sfuel</t>
  </si>
  <si>
    <t>schar</t>
  </si>
  <si>
    <t>smore</t>
  </si>
  <si>
    <t>sbake</t>
  </si>
  <si>
    <t>salco</t>
  </si>
  <si>
    <t>sprnt</t>
  </si>
  <si>
    <t>sphar</t>
  </si>
  <si>
    <t>sprub</t>
  </si>
  <si>
    <t>sceme</t>
  </si>
  <si>
    <t>sclay</t>
  </si>
  <si>
    <t>sfurn</t>
  </si>
  <si>
    <t>srepr</t>
  </si>
  <si>
    <t>swast</t>
  </si>
  <si>
    <t>scont</t>
  </si>
  <si>
    <t>svehr</t>
  </si>
  <si>
    <t>sveht</t>
  </si>
  <si>
    <t>strdw</t>
  </si>
  <si>
    <t>strdr</t>
  </si>
  <si>
    <t>strnl</t>
  </si>
  <si>
    <t>strna</t>
  </si>
  <si>
    <t>strns</t>
  </si>
  <si>
    <t>spost</t>
  </si>
  <si>
    <t>spubl</t>
  </si>
  <si>
    <t>sinfo</t>
  </si>
  <si>
    <t>sbank</t>
  </si>
  <si>
    <t>sinsu</t>
  </si>
  <si>
    <t>sofsv</t>
  </si>
  <si>
    <t>srent</t>
  </si>
  <si>
    <t>slegl</t>
  </si>
  <si>
    <t>senga</t>
  </si>
  <si>
    <t>sprod</t>
  </si>
  <si>
    <t>strvl</t>
  </si>
  <si>
    <t>sobsv</t>
  </si>
  <si>
    <t>ssocw</t>
  </si>
  <si>
    <t>scult</t>
  </si>
  <si>
    <t>sarts</t>
  </si>
  <si>
    <t>sdsrv</t>
  </si>
  <si>
    <t>strdc</t>
  </si>
  <si>
    <t>sAFORE</t>
  </si>
  <si>
    <t>sOTHM</t>
  </si>
  <si>
    <t>sMNRL</t>
  </si>
  <si>
    <t>sUTIL</t>
  </si>
  <si>
    <t>sCONS</t>
  </si>
  <si>
    <t>sTRAD</t>
  </si>
  <si>
    <t>sTRAN</t>
  </si>
  <si>
    <t>sCOMI</t>
  </si>
  <si>
    <t>sFSRV</t>
  </si>
  <si>
    <t>sREST</t>
  </si>
  <si>
    <t>sBSRV</t>
  </si>
  <si>
    <t>sOTHS</t>
  </si>
  <si>
    <t>hKIG</t>
  </si>
  <si>
    <t>hKIG-1</t>
  </si>
  <si>
    <t>hKIG-2</t>
  </si>
  <si>
    <t>hKIG-3</t>
  </si>
  <si>
    <t>hKIG-4</t>
  </si>
  <si>
    <t>hKIG-5</t>
  </si>
  <si>
    <t>Labor - Kigali</t>
  </si>
  <si>
    <t>Labor - Other urban</t>
  </si>
  <si>
    <t>fL-K</t>
  </si>
  <si>
    <t>fL-K-n</t>
  </si>
  <si>
    <t>fL-K-p</t>
  </si>
  <si>
    <t>fL-K-s</t>
  </si>
  <si>
    <t>fL-K-t</t>
  </si>
  <si>
    <t>fL-S</t>
  </si>
  <si>
    <t>fL-S-n</t>
  </si>
  <si>
    <t>fL-S-p</t>
  </si>
  <si>
    <t>fL-S-s</t>
  </si>
  <si>
    <t>fL-S-t</t>
  </si>
  <si>
    <t>Kigali households</t>
  </si>
  <si>
    <t>Other urban households</t>
  </si>
  <si>
    <t>hSML</t>
  </si>
  <si>
    <t>hSML-1</t>
  </si>
  <si>
    <t>hSML-2</t>
  </si>
  <si>
    <t>hSML-3</t>
  </si>
  <si>
    <t>hSML-4</t>
  </si>
  <si>
    <t>hSML-5</t>
  </si>
  <si>
    <t>sCSTR</t>
  </si>
  <si>
    <t>fL-O</t>
  </si>
  <si>
    <t>fL-O-n</t>
  </si>
  <si>
    <t>fL-O-p</t>
  </si>
  <si>
    <t>fL-O-t</t>
  </si>
  <si>
    <t>fL-O-s</t>
  </si>
  <si>
    <t>Food_shk</t>
  </si>
  <si>
    <t>sim5</t>
  </si>
  <si>
    <t>sim6</t>
  </si>
  <si>
    <t>sim7</t>
  </si>
  <si>
    <t>50%_incr_cchem</t>
  </si>
  <si>
    <t>Chem_wp_shk</t>
  </si>
  <si>
    <t>Incr_pmw_oil</t>
  </si>
  <si>
    <t>Fuel&amp;gas_shk</t>
  </si>
  <si>
    <t>HH shk</t>
  </si>
  <si>
    <t>50 % Incr_pwm_cereal&amp;ed.oil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</si>
</sst>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3" fontId="0" fillId="0" borderId="0" xfId="0" applyNumberFormat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2" borderId="0" xfId="0" applyFont="1" applyFill="1"/>
    <xf numFmtId="0" fontId="3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1" fillId="4" borderId="0" xfId="0" applyFont="1" applyFill="1"/>
    <xf numFmtId="0" fontId="3" fillId="4" borderId="0" xfId="0" applyFont="1" applyFill="1"/>
    <xf numFmtId="0" fontId="0" fillId="6" borderId="0" xfId="0" applyFill="1"/>
    <xf numFmtId="0" fontId="4" fillId="3" borderId="0" xfId="0" applyFont="1" applyFill="1"/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9" fillId="2" borderId="0" xfId="0" applyFont="1" applyFill="1"/>
    <xf numFmtId="0" fontId="0" fillId="0" borderId="0" xfId="0" applyAlignment="1">
      <alignment horizontal="left" indent="1"/>
    </xf>
    <xf numFmtId="0" fontId="7" fillId="0" borderId="0" xfId="0" applyFont="1" applyAlignment="1">
      <alignment horizontal="left" indent="2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indent="3"/>
    </xf>
    <xf numFmtId="0" fontId="10" fillId="0" borderId="0" xfId="0" applyFont="1" applyAlignment="1">
      <alignment horizontal="left" indent="2"/>
    </xf>
    <xf numFmtId="0" fontId="0" fillId="5" borderId="0" xfId="0" applyFill="1" applyProtection="1">
      <protection locked="0"/>
    </xf>
    <xf numFmtId="0" fontId="0" fillId="5" borderId="0" xfId="0" quotePrefix="1" applyFill="1" applyProtection="1">
      <protection locked="0"/>
    </xf>
    <xf numFmtId="164" fontId="0" fillId="5" borderId="0" xfId="0" applyNumberFormat="1" applyFill="1" applyAlignment="1" applyProtection="1">
      <alignment horizontal="right"/>
      <protection locked="0"/>
    </xf>
    <xf numFmtId="1" fontId="0" fillId="5" borderId="0" xfId="0" applyNumberFormat="1" applyFill="1" applyProtection="1">
      <protection locked="0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1" xfId="0" applyBorder="1"/>
    <xf numFmtId="0" fontId="0" fillId="5" borderId="0" xfId="0" applyFill="1" applyAlignment="1" applyProtection="1">
      <alignment horizontal="left"/>
      <protection locked="0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46"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S112"/>
  <sheetViews>
    <sheetView zoomScale="75" zoomScaleNormal="75" workbookViewId="0">
      <pane ySplit="7" topLeftCell="A14" activePane="bottomLeft" state="frozen"/>
      <selection pane="bottomLeft" activeCell="B5" sqref="B5"/>
    </sheetView>
  </sheetViews>
  <sheetFormatPr defaultColWidth="0" defaultRowHeight="14.4" zeroHeight="1" x14ac:dyDescent="0.55000000000000004"/>
  <cols>
    <col min="1" max="2" width="8.7890625" customWidth="1"/>
    <col min="3" max="3" width="25.5234375" customWidth="1"/>
    <col min="4" max="5" width="8.7890625" customWidth="1"/>
    <col min="6" max="6" width="14.5234375" customWidth="1"/>
    <col min="7" max="8" width="8.7890625" customWidth="1"/>
    <col min="9" max="9" width="14.5234375" customWidth="1"/>
    <col min="10" max="11" width="8.7890625" customWidth="1"/>
    <col min="12" max="12" width="23.47265625" customWidth="1"/>
    <col min="13" max="13" width="8.7890625" customWidth="1"/>
    <col min="14" max="19" width="0" hidden="1" customWidth="1"/>
    <col min="20" max="16384" width="8.7890625" hidden="1"/>
  </cols>
  <sheetData>
    <row r="1" spans="1:19" ht="18.3" x14ac:dyDescent="0.7">
      <c r="A1" s="6" t="str">
        <f>CONCATENATE(B4," ",B3," Standard Excel Interface Model")</f>
        <v>2017 Rwanda Standard Excel Interface Model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x14ac:dyDescent="0.55000000000000004">
      <c r="A2" s="14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9" x14ac:dyDescent="0.55000000000000004">
      <c r="A3" s="9" t="s">
        <v>0</v>
      </c>
      <c r="B3" s="30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9" x14ac:dyDescent="0.55000000000000004">
      <c r="A4" s="9" t="s">
        <v>2</v>
      </c>
      <c r="B4" s="30">
        <v>2017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9" x14ac:dyDescent="0.55000000000000004">
      <c r="A5" s="9" t="s">
        <v>3</v>
      </c>
      <c r="B5" s="23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9" x14ac:dyDescent="0.5500000000000000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9" x14ac:dyDescent="0.55000000000000004">
      <c r="A7" s="11" t="s">
        <v>5</v>
      </c>
      <c r="B7" s="11"/>
      <c r="C7" s="11"/>
      <c r="D7" s="11"/>
      <c r="E7" s="11" t="s">
        <v>6</v>
      </c>
      <c r="F7" s="11"/>
      <c r="G7" s="11"/>
      <c r="H7" s="11" t="s">
        <v>7</v>
      </c>
      <c r="I7" s="11"/>
      <c r="J7" s="11"/>
      <c r="K7" s="11" t="s">
        <v>8</v>
      </c>
      <c r="L7" s="11"/>
      <c r="M7" s="11"/>
    </row>
    <row r="8" spans="1:19" x14ac:dyDescent="0.55000000000000004">
      <c r="A8" s="8" t="s">
        <v>18</v>
      </c>
      <c r="B8" s="8" t="s">
        <v>19</v>
      </c>
      <c r="C8" s="8" t="s">
        <v>560</v>
      </c>
      <c r="D8" s="8"/>
      <c r="E8" s="8" t="s">
        <v>12</v>
      </c>
      <c r="F8" s="8" t="s">
        <v>13</v>
      </c>
      <c r="G8" s="8"/>
      <c r="H8" s="8" t="s">
        <v>14</v>
      </c>
      <c r="I8" s="8" t="s">
        <v>15</v>
      </c>
      <c r="J8" s="8"/>
      <c r="K8" s="8" t="s">
        <v>16</v>
      </c>
      <c r="L8" s="8" t="s">
        <v>17</v>
      </c>
      <c r="M8" s="8"/>
    </row>
    <row r="9" spans="1:19" x14ac:dyDescent="0.55000000000000004">
      <c r="A9" s="8" t="s">
        <v>9</v>
      </c>
      <c r="B9" s="8" t="s">
        <v>10</v>
      </c>
      <c r="C9" s="8" t="s">
        <v>561</v>
      </c>
      <c r="D9" s="8"/>
      <c r="E9" s="8" t="s">
        <v>20</v>
      </c>
      <c r="F9" s="8" t="s">
        <v>21</v>
      </c>
      <c r="G9" s="8"/>
      <c r="H9" s="8" t="s">
        <v>22</v>
      </c>
      <c r="I9" s="8" t="s">
        <v>23</v>
      </c>
      <c r="J9" s="8"/>
      <c r="K9" s="8" t="s">
        <v>562</v>
      </c>
      <c r="L9" s="8" t="s">
        <v>323</v>
      </c>
      <c r="M9" s="8"/>
      <c r="S9" s="2"/>
    </row>
    <row r="10" spans="1:19" x14ac:dyDescent="0.55000000000000004">
      <c r="A10" s="8" t="s">
        <v>34</v>
      </c>
      <c r="B10" s="8" t="s">
        <v>35</v>
      </c>
      <c r="C10" s="8" t="s">
        <v>563</v>
      </c>
      <c r="D10" s="8"/>
      <c r="E10" s="8" t="s">
        <v>28</v>
      </c>
      <c r="F10" s="8" t="s">
        <v>29</v>
      </c>
      <c r="G10" s="8"/>
      <c r="H10" s="8" t="s">
        <v>30</v>
      </c>
      <c r="I10" s="8" t="s">
        <v>31</v>
      </c>
      <c r="J10" s="8"/>
      <c r="K10" s="8" t="s">
        <v>72</v>
      </c>
      <c r="L10" s="8" t="s">
        <v>251</v>
      </c>
      <c r="M10" s="8"/>
      <c r="S10" s="2"/>
    </row>
    <row r="11" spans="1:19" x14ac:dyDescent="0.55000000000000004">
      <c r="A11" s="8" t="s">
        <v>26</v>
      </c>
      <c r="B11" s="8" t="s">
        <v>27</v>
      </c>
      <c r="C11" s="8" t="s">
        <v>564</v>
      </c>
      <c r="D11" s="8"/>
      <c r="E11" s="8" t="s">
        <v>36</v>
      </c>
      <c r="F11" s="8" t="s">
        <v>37</v>
      </c>
      <c r="G11" s="8"/>
      <c r="H11" s="8" t="s">
        <v>38</v>
      </c>
      <c r="I11" s="8" t="s">
        <v>39</v>
      </c>
      <c r="J11" s="8"/>
      <c r="K11" s="8" t="s">
        <v>565</v>
      </c>
      <c r="L11" s="8" t="s">
        <v>250</v>
      </c>
      <c r="M11" s="8"/>
      <c r="S11" s="2"/>
    </row>
    <row r="12" spans="1:19" x14ac:dyDescent="0.55000000000000004">
      <c r="A12" s="8" t="s">
        <v>41</v>
      </c>
      <c r="B12" s="8" t="s">
        <v>42</v>
      </c>
      <c r="C12" s="8" t="s">
        <v>566</v>
      </c>
      <c r="D12" s="8"/>
      <c r="E12" s="8" t="s">
        <v>44</v>
      </c>
      <c r="F12" s="8" t="s">
        <v>45</v>
      </c>
      <c r="G12" s="8"/>
      <c r="H12" s="8" t="s">
        <v>46</v>
      </c>
      <c r="I12" s="8" t="s">
        <v>47</v>
      </c>
      <c r="J12" s="8"/>
      <c r="K12" s="8" t="s">
        <v>24</v>
      </c>
      <c r="L12" s="8" t="s">
        <v>25</v>
      </c>
      <c r="M12" s="8"/>
      <c r="S12" s="2"/>
    </row>
    <row r="13" spans="1:19" x14ac:dyDescent="0.55000000000000004">
      <c r="A13" s="8" t="s">
        <v>77</v>
      </c>
      <c r="B13" s="8" t="s">
        <v>78</v>
      </c>
      <c r="C13" s="8" t="s">
        <v>567</v>
      </c>
      <c r="D13" s="8"/>
      <c r="E13" s="8" t="s">
        <v>49</v>
      </c>
      <c r="F13" s="8" t="s">
        <v>50</v>
      </c>
      <c r="G13" s="8"/>
      <c r="H13" s="8" t="s">
        <v>51</v>
      </c>
      <c r="I13" s="8" t="s">
        <v>52</v>
      </c>
      <c r="J13" s="8"/>
      <c r="K13" s="8" t="s">
        <v>568</v>
      </c>
      <c r="L13" s="8" t="s">
        <v>7</v>
      </c>
      <c r="M13" s="8"/>
      <c r="S13" s="2"/>
    </row>
    <row r="14" spans="1:19" x14ac:dyDescent="0.55000000000000004">
      <c r="A14" s="8" t="s">
        <v>85</v>
      </c>
      <c r="B14" s="8" t="s">
        <v>86</v>
      </c>
      <c r="C14" s="8" t="s">
        <v>569</v>
      </c>
      <c r="D14" s="8"/>
      <c r="E14" s="8" t="s">
        <v>57</v>
      </c>
      <c r="F14" s="8" t="s">
        <v>58</v>
      </c>
      <c r="G14" s="8"/>
      <c r="H14" s="8" t="s">
        <v>59</v>
      </c>
      <c r="I14" s="8" t="s">
        <v>60</v>
      </c>
      <c r="J14" s="8"/>
      <c r="K14" s="8" t="s">
        <v>32</v>
      </c>
      <c r="L14" s="8" t="s">
        <v>33</v>
      </c>
      <c r="M14" s="8"/>
    </row>
    <row r="15" spans="1:19" x14ac:dyDescent="0.55000000000000004">
      <c r="A15" s="8" t="s">
        <v>70</v>
      </c>
      <c r="B15" s="8" t="s">
        <v>71</v>
      </c>
      <c r="C15" s="8" t="s">
        <v>570</v>
      </c>
      <c r="D15" s="8"/>
      <c r="E15" s="8" t="s">
        <v>65</v>
      </c>
      <c r="F15" s="8" t="s">
        <v>66</v>
      </c>
      <c r="G15" s="8"/>
      <c r="H15" s="8" t="s">
        <v>67</v>
      </c>
      <c r="I15" s="8" t="s">
        <v>68</v>
      </c>
      <c r="J15" s="8"/>
      <c r="K15" s="8" t="s">
        <v>40</v>
      </c>
      <c r="L15" s="8" t="s">
        <v>571</v>
      </c>
      <c r="M15" s="8"/>
    </row>
    <row r="16" spans="1:19" x14ac:dyDescent="0.55000000000000004">
      <c r="A16" s="8" t="s">
        <v>93</v>
      </c>
      <c r="B16" s="8" t="s">
        <v>94</v>
      </c>
      <c r="C16" s="8" t="s">
        <v>572</v>
      </c>
      <c r="D16" s="8"/>
      <c r="E16" s="8" t="s">
        <v>573</v>
      </c>
      <c r="F16" s="8" t="s">
        <v>574</v>
      </c>
      <c r="G16" s="8"/>
      <c r="H16" s="8" t="s">
        <v>74</v>
      </c>
      <c r="I16" s="8" t="s">
        <v>75</v>
      </c>
      <c r="J16" s="8"/>
      <c r="K16" s="8" t="s">
        <v>575</v>
      </c>
      <c r="L16" s="8" t="s">
        <v>576</v>
      </c>
      <c r="M16" s="8"/>
    </row>
    <row r="17" spans="1:19" x14ac:dyDescent="0.55000000000000004">
      <c r="A17" s="8" t="s">
        <v>577</v>
      </c>
      <c r="B17" s="8" t="s">
        <v>578</v>
      </c>
      <c r="C17" s="8" t="s">
        <v>579</v>
      </c>
      <c r="D17" s="8"/>
      <c r="E17" s="8" t="s">
        <v>580</v>
      </c>
      <c r="F17" s="8" t="s">
        <v>581</v>
      </c>
      <c r="G17" s="8"/>
      <c r="H17" s="8" t="s">
        <v>81</v>
      </c>
      <c r="I17" s="8" t="s">
        <v>82</v>
      </c>
      <c r="J17" s="8"/>
      <c r="K17" s="8" t="s">
        <v>48</v>
      </c>
      <c r="L17" s="8" t="s">
        <v>582</v>
      </c>
      <c r="M17" s="8"/>
    </row>
    <row r="18" spans="1:19" x14ac:dyDescent="0.55000000000000004">
      <c r="A18" s="8" t="s">
        <v>583</v>
      </c>
      <c r="B18" s="8" t="s">
        <v>584</v>
      </c>
      <c r="C18" s="8" t="s">
        <v>585</v>
      </c>
      <c r="D18" s="8"/>
      <c r="E18" s="8" t="s">
        <v>586</v>
      </c>
      <c r="F18" s="8" t="s">
        <v>587</v>
      </c>
      <c r="G18" s="8"/>
      <c r="H18" s="8" t="s">
        <v>89</v>
      </c>
      <c r="I18" s="8" t="s">
        <v>90</v>
      </c>
      <c r="J18" s="8"/>
      <c r="K18" s="8" t="s">
        <v>53</v>
      </c>
      <c r="L18" s="8" t="s">
        <v>588</v>
      </c>
      <c r="M18" s="8"/>
    </row>
    <row r="19" spans="1:19" x14ac:dyDescent="0.55000000000000004">
      <c r="A19" s="8" t="s">
        <v>107</v>
      </c>
      <c r="B19" s="8" t="s">
        <v>108</v>
      </c>
      <c r="C19" s="8" t="s">
        <v>589</v>
      </c>
      <c r="D19" s="8"/>
      <c r="E19" s="8" t="s">
        <v>590</v>
      </c>
      <c r="F19" s="8" t="s">
        <v>591</v>
      </c>
      <c r="G19" s="8"/>
      <c r="H19" s="8" t="s">
        <v>97</v>
      </c>
      <c r="I19" s="8" t="s">
        <v>98</v>
      </c>
      <c r="J19" s="8"/>
      <c r="K19" s="8" t="s">
        <v>61</v>
      </c>
      <c r="L19" s="8" t="s">
        <v>592</v>
      </c>
      <c r="M19" s="8"/>
    </row>
    <row r="20" spans="1:19" x14ac:dyDescent="0.55000000000000004">
      <c r="A20" s="8" t="s">
        <v>593</v>
      </c>
      <c r="B20" s="8" t="s">
        <v>594</v>
      </c>
      <c r="C20" s="8" t="s">
        <v>595</v>
      </c>
      <c r="D20" s="8"/>
      <c r="E20" s="8" t="s">
        <v>72</v>
      </c>
      <c r="F20" s="8" t="s">
        <v>73</v>
      </c>
      <c r="G20" s="8"/>
      <c r="H20" s="8" t="s">
        <v>103</v>
      </c>
      <c r="I20" s="8" t="s">
        <v>104</v>
      </c>
      <c r="J20" s="8"/>
      <c r="K20" s="8" t="s">
        <v>69</v>
      </c>
      <c r="L20" s="8" t="s">
        <v>596</v>
      </c>
      <c r="M20" s="8"/>
    </row>
    <row r="21" spans="1:19" x14ac:dyDescent="0.55000000000000004">
      <c r="A21" s="8" t="s">
        <v>597</v>
      </c>
      <c r="B21" s="8" t="s">
        <v>598</v>
      </c>
      <c r="C21" s="8" t="s">
        <v>599</v>
      </c>
      <c r="D21" s="8"/>
      <c r="E21" s="8" t="s">
        <v>79</v>
      </c>
      <c r="F21" s="8" t="s">
        <v>80</v>
      </c>
      <c r="G21" s="8"/>
      <c r="H21" s="8" t="s">
        <v>109</v>
      </c>
      <c r="I21" s="8" t="s">
        <v>110</v>
      </c>
      <c r="J21" s="8"/>
      <c r="K21" s="8" t="s">
        <v>76</v>
      </c>
      <c r="L21" s="8" t="s">
        <v>600</v>
      </c>
      <c r="M21" s="8"/>
    </row>
    <row r="22" spans="1:19" x14ac:dyDescent="0.55000000000000004">
      <c r="A22" s="8" t="s">
        <v>601</v>
      </c>
      <c r="B22" s="8" t="s">
        <v>602</v>
      </c>
      <c r="C22" s="8" t="s">
        <v>603</v>
      </c>
      <c r="D22" s="8"/>
      <c r="E22" s="8" t="s">
        <v>87</v>
      </c>
      <c r="F22" s="8" t="s">
        <v>88</v>
      </c>
      <c r="G22" s="8"/>
      <c r="H22" s="8" t="s">
        <v>113</v>
      </c>
      <c r="I22" s="8" t="s">
        <v>114</v>
      </c>
      <c r="J22" s="8"/>
      <c r="K22" s="8" t="s">
        <v>604</v>
      </c>
      <c r="L22" s="8" t="s">
        <v>605</v>
      </c>
      <c r="M22" s="8"/>
    </row>
    <row r="23" spans="1:19" x14ac:dyDescent="0.55000000000000004">
      <c r="A23" s="8" t="s">
        <v>119</v>
      </c>
      <c r="B23" s="8" t="s">
        <v>120</v>
      </c>
      <c r="C23" s="8" t="s">
        <v>606</v>
      </c>
      <c r="D23" s="8"/>
      <c r="E23" s="8" t="s">
        <v>95</v>
      </c>
      <c r="F23" s="8" t="s">
        <v>96</v>
      </c>
      <c r="G23" s="8"/>
      <c r="H23" s="8" t="s">
        <v>607</v>
      </c>
      <c r="I23" s="8" t="s">
        <v>608</v>
      </c>
      <c r="J23" s="8"/>
      <c r="K23" s="8" t="s">
        <v>609</v>
      </c>
      <c r="L23" s="8" t="s">
        <v>610</v>
      </c>
      <c r="M23" s="8"/>
      <c r="S23" s="2"/>
    </row>
    <row r="24" spans="1:19" x14ac:dyDescent="0.55000000000000004">
      <c r="A24" s="8" t="s">
        <v>54</v>
      </c>
      <c r="B24" s="8" t="s">
        <v>55</v>
      </c>
      <c r="C24" s="8" t="s">
        <v>611</v>
      </c>
      <c r="D24" s="8"/>
      <c r="E24" s="8" t="s">
        <v>101</v>
      </c>
      <c r="F24" s="8" t="s">
        <v>102</v>
      </c>
      <c r="G24" s="8"/>
      <c r="H24" s="8" t="s">
        <v>612</v>
      </c>
      <c r="I24" s="8" t="s">
        <v>613</v>
      </c>
      <c r="J24" s="8"/>
      <c r="K24" s="8" t="s">
        <v>83</v>
      </c>
      <c r="L24" s="8" t="s">
        <v>84</v>
      </c>
      <c r="M24" s="8"/>
    </row>
    <row r="25" spans="1:19" x14ac:dyDescent="0.55000000000000004">
      <c r="A25" s="8" t="s">
        <v>614</v>
      </c>
      <c r="B25" s="8" t="s">
        <v>615</v>
      </c>
      <c r="C25" s="8" t="s">
        <v>616</v>
      </c>
      <c r="D25" s="8"/>
      <c r="E25" s="8"/>
      <c r="F25" s="8"/>
      <c r="G25" s="8"/>
      <c r="H25" s="8" t="s">
        <v>617</v>
      </c>
      <c r="I25" s="8" t="s">
        <v>618</v>
      </c>
      <c r="J25" s="8"/>
      <c r="K25" s="8" t="s">
        <v>91</v>
      </c>
      <c r="L25" s="8" t="s">
        <v>92</v>
      </c>
      <c r="M25" s="8"/>
    </row>
    <row r="26" spans="1:19" x14ac:dyDescent="0.55000000000000004">
      <c r="A26" s="8" t="s">
        <v>62</v>
      </c>
      <c r="B26" s="8" t="s">
        <v>63</v>
      </c>
      <c r="C26" s="8" t="s">
        <v>619</v>
      </c>
      <c r="D26" s="8"/>
      <c r="E26" s="8"/>
      <c r="F26" s="8"/>
      <c r="G26" s="8"/>
      <c r="H26" s="8" t="s">
        <v>620</v>
      </c>
      <c r="I26" s="8" t="s">
        <v>621</v>
      </c>
      <c r="J26" s="8"/>
      <c r="K26" s="8" t="s">
        <v>99</v>
      </c>
      <c r="L26" s="8" t="s">
        <v>100</v>
      </c>
      <c r="M26" s="8"/>
    </row>
    <row r="27" spans="1:19" x14ac:dyDescent="0.55000000000000004">
      <c r="A27" s="8" t="s">
        <v>123</v>
      </c>
      <c r="B27" s="8" t="s">
        <v>124</v>
      </c>
      <c r="C27" s="8" t="s">
        <v>622</v>
      </c>
      <c r="D27" s="8"/>
      <c r="E27" s="8"/>
      <c r="F27" s="8"/>
      <c r="G27" s="8"/>
      <c r="H27" s="8" t="s">
        <v>623</v>
      </c>
      <c r="I27" s="8" t="s">
        <v>624</v>
      </c>
      <c r="J27" s="8"/>
      <c r="K27" s="8" t="s">
        <v>105</v>
      </c>
      <c r="L27" s="8" t="s">
        <v>106</v>
      </c>
      <c r="M27" s="8"/>
    </row>
    <row r="28" spans="1:19" x14ac:dyDescent="0.55000000000000004">
      <c r="A28" s="8" t="s">
        <v>121</v>
      </c>
      <c r="B28" s="8" t="s">
        <v>122</v>
      </c>
      <c r="C28" s="8" t="s">
        <v>625</v>
      </c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9" x14ac:dyDescent="0.55000000000000004">
      <c r="A29" s="8" t="s">
        <v>115</v>
      </c>
      <c r="B29" s="8" t="s">
        <v>116</v>
      </c>
      <c r="C29" s="8" t="s">
        <v>626</v>
      </c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9" x14ac:dyDescent="0.55000000000000004">
      <c r="A30" s="8" t="s">
        <v>111</v>
      </c>
      <c r="B30" s="8" t="s">
        <v>112</v>
      </c>
      <c r="C30" s="8" t="s">
        <v>627</v>
      </c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9" x14ac:dyDescent="0.55000000000000004">
      <c r="A31" s="8" t="s">
        <v>628</v>
      </c>
      <c r="B31" s="8" t="s">
        <v>629</v>
      </c>
      <c r="C31" s="8" t="s">
        <v>630</v>
      </c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9" x14ac:dyDescent="0.55000000000000004">
      <c r="A32" s="8" t="s">
        <v>126</v>
      </c>
      <c r="B32" s="8" t="s">
        <v>127</v>
      </c>
      <c r="C32" s="8" t="s">
        <v>631</v>
      </c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55000000000000004">
      <c r="A33" s="8" t="s">
        <v>129</v>
      </c>
      <c r="B33" s="8" t="s">
        <v>130</v>
      </c>
      <c r="C33" s="8" t="s">
        <v>632</v>
      </c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55000000000000004">
      <c r="A34" s="8" t="s">
        <v>139</v>
      </c>
      <c r="B34" s="8" t="s">
        <v>140</v>
      </c>
      <c r="C34" s="8" t="s">
        <v>633</v>
      </c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55000000000000004">
      <c r="A35" s="8" t="s">
        <v>134</v>
      </c>
      <c r="B35" s="8" t="s">
        <v>135</v>
      </c>
      <c r="C35" s="8" t="s">
        <v>634</v>
      </c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x14ac:dyDescent="0.55000000000000004">
      <c r="A36" s="8" t="s">
        <v>141</v>
      </c>
      <c r="B36" s="8" t="s">
        <v>142</v>
      </c>
      <c r="C36" s="8" t="s">
        <v>635</v>
      </c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55000000000000004">
      <c r="A37" s="8" t="s">
        <v>132</v>
      </c>
      <c r="B37" s="8" t="s">
        <v>133</v>
      </c>
      <c r="C37" s="8" t="s">
        <v>636</v>
      </c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55000000000000004">
      <c r="A38" s="8" t="s">
        <v>137</v>
      </c>
      <c r="B38" s="8" t="s">
        <v>138</v>
      </c>
      <c r="C38" s="8" t="s">
        <v>637</v>
      </c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55000000000000004">
      <c r="A39" s="8" t="s">
        <v>638</v>
      </c>
      <c r="B39" s="8" t="s">
        <v>639</v>
      </c>
      <c r="C39" s="8" t="s">
        <v>640</v>
      </c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x14ac:dyDescent="0.55000000000000004">
      <c r="A40" s="8" t="s">
        <v>641</v>
      </c>
      <c r="B40" s="8" t="s">
        <v>642</v>
      </c>
      <c r="C40" s="8" t="s">
        <v>643</v>
      </c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55000000000000004">
      <c r="A41" s="8" t="s">
        <v>644</v>
      </c>
      <c r="B41" s="8" t="s">
        <v>645</v>
      </c>
      <c r="C41" s="8" t="s">
        <v>646</v>
      </c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55000000000000004">
      <c r="A42" s="8" t="s">
        <v>647</v>
      </c>
      <c r="B42" s="8" t="s">
        <v>648</v>
      </c>
      <c r="C42" s="8" t="s">
        <v>649</v>
      </c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55000000000000004">
      <c r="A43" s="8" t="s">
        <v>144</v>
      </c>
      <c r="B43" s="8" t="s">
        <v>145</v>
      </c>
      <c r="C43" s="8" t="s">
        <v>650</v>
      </c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x14ac:dyDescent="0.55000000000000004">
      <c r="A44" s="8" t="s">
        <v>147</v>
      </c>
      <c r="B44" s="8" t="s">
        <v>148</v>
      </c>
      <c r="C44" s="8" t="s">
        <v>651</v>
      </c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x14ac:dyDescent="0.55000000000000004">
      <c r="A45" s="8" t="s">
        <v>149</v>
      </c>
      <c r="B45" s="8" t="s">
        <v>150</v>
      </c>
      <c r="C45" s="8" t="s">
        <v>652</v>
      </c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x14ac:dyDescent="0.55000000000000004">
      <c r="A46" s="8" t="s">
        <v>653</v>
      </c>
      <c r="B46" s="8" t="s">
        <v>654</v>
      </c>
      <c r="C46" s="8" t="s">
        <v>655</v>
      </c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x14ac:dyDescent="0.55000000000000004">
      <c r="A47" s="8" t="s">
        <v>151</v>
      </c>
      <c r="B47" s="8" t="s">
        <v>152</v>
      </c>
      <c r="C47" s="8" t="s">
        <v>656</v>
      </c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x14ac:dyDescent="0.55000000000000004">
      <c r="A48" s="8" t="s">
        <v>153</v>
      </c>
      <c r="B48" s="8" t="s">
        <v>154</v>
      </c>
      <c r="C48" s="8" t="s">
        <v>657</v>
      </c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 x14ac:dyDescent="0.55000000000000004">
      <c r="A49" s="8" t="s">
        <v>155</v>
      </c>
      <c r="B49" s="8" t="s">
        <v>156</v>
      </c>
      <c r="C49" s="8" t="s">
        <v>658</v>
      </c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x14ac:dyDescent="0.55000000000000004">
      <c r="A50" s="8" t="s">
        <v>159</v>
      </c>
      <c r="B50" s="8" t="s">
        <v>160</v>
      </c>
      <c r="C50" s="8" t="s">
        <v>659</v>
      </c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x14ac:dyDescent="0.55000000000000004">
      <c r="A51" s="8" t="s">
        <v>161</v>
      </c>
      <c r="B51" s="8" t="s">
        <v>162</v>
      </c>
      <c r="C51" s="8" t="s">
        <v>660</v>
      </c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x14ac:dyDescent="0.55000000000000004">
      <c r="A52" s="8" t="s">
        <v>157</v>
      </c>
      <c r="B52" s="8" t="s">
        <v>158</v>
      </c>
      <c r="C52" s="8" t="s">
        <v>661</v>
      </c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x14ac:dyDescent="0.55000000000000004">
      <c r="A53" s="8" t="s">
        <v>163</v>
      </c>
      <c r="B53" s="8" t="s">
        <v>164</v>
      </c>
      <c r="C53" s="8" t="s">
        <v>662</v>
      </c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x14ac:dyDescent="0.55000000000000004">
      <c r="A54" s="8" t="s">
        <v>663</v>
      </c>
      <c r="B54" s="8" t="s">
        <v>664</v>
      </c>
      <c r="C54" s="8" t="s">
        <v>665</v>
      </c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x14ac:dyDescent="0.55000000000000004">
      <c r="A55" s="8" t="s">
        <v>168</v>
      </c>
      <c r="B55" s="8" t="s">
        <v>169</v>
      </c>
      <c r="C55" s="8" t="s">
        <v>666</v>
      </c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x14ac:dyDescent="0.55000000000000004">
      <c r="A56" s="8" t="s">
        <v>165</v>
      </c>
      <c r="B56" s="8" t="s">
        <v>166</v>
      </c>
      <c r="C56" s="8" t="s">
        <v>667</v>
      </c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x14ac:dyDescent="0.55000000000000004">
      <c r="A57" s="8" t="s">
        <v>668</v>
      </c>
      <c r="B57" s="8" t="s">
        <v>669</v>
      </c>
      <c r="C57" s="8" t="s">
        <v>670</v>
      </c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 x14ac:dyDescent="0.55000000000000004">
      <c r="A58" s="8" t="s">
        <v>170</v>
      </c>
      <c r="B58" s="8" t="s">
        <v>171</v>
      </c>
      <c r="C58" s="8" t="s">
        <v>671</v>
      </c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 x14ac:dyDescent="0.55000000000000004">
      <c r="A59" s="8" t="s">
        <v>172</v>
      </c>
      <c r="B59" s="8" t="s">
        <v>173</v>
      </c>
      <c r="C59" s="8" t="s">
        <v>672</v>
      </c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x14ac:dyDescent="0.55000000000000004">
      <c r="A60" s="8" t="s">
        <v>174</v>
      </c>
      <c r="B60" s="8" t="s">
        <v>175</v>
      </c>
      <c r="C60" s="8" t="s">
        <v>673</v>
      </c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x14ac:dyDescent="0.55000000000000004">
      <c r="A61" s="8" t="s">
        <v>176</v>
      </c>
      <c r="B61" s="8" t="s">
        <v>177</v>
      </c>
      <c r="C61" s="8" t="s">
        <v>674</v>
      </c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55000000000000004">
      <c r="A62" s="8" t="s">
        <v>675</v>
      </c>
      <c r="B62" s="8" t="s">
        <v>676</v>
      </c>
      <c r="C62" s="8" t="s">
        <v>677</v>
      </c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 x14ac:dyDescent="0.55000000000000004">
      <c r="A63" s="8" t="s">
        <v>178</v>
      </c>
      <c r="B63" s="8" t="s">
        <v>179</v>
      </c>
      <c r="C63" s="8" t="s">
        <v>678</v>
      </c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 x14ac:dyDescent="0.55000000000000004">
      <c r="A64" s="8" t="s">
        <v>180</v>
      </c>
      <c r="B64" s="8" t="s">
        <v>181</v>
      </c>
      <c r="C64" s="8" t="s">
        <v>679</v>
      </c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 x14ac:dyDescent="0.55000000000000004">
      <c r="A65" s="8" t="s">
        <v>680</v>
      </c>
      <c r="B65" s="8" t="s">
        <v>681</v>
      </c>
      <c r="C65" s="8" t="s">
        <v>682</v>
      </c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3" x14ac:dyDescent="0.55000000000000004">
      <c r="A66" s="8" t="s">
        <v>683</v>
      </c>
      <c r="B66" s="8" t="s">
        <v>684</v>
      </c>
      <c r="C66" s="8" t="s">
        <v>685</v>
      </c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3" x14ac:dyDescent="0.55000000000000004">
      <c r="A67" s="8" t="s">
        <v>182</v>
      </c>
      <c r="B67" s="8" t="s">
        <v>183</v>
      </c>
      <c r="C67" s="8" t="s">
        <v>686</v>
      </c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13" x14ac:dyDescent="0.55000000000000004">
      <c r="A68" s="8" t="s">
        <v>687</v>
      </c>
      <c r="B68" s="8" t="s">
        <v>688</v>
      </c>
      <c r="C68" s="8" t="s">
        <v>689</v>
      </c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13" x14ac:dyDescent="0.55000000000000004">
      <c r="A69" s="8" t="s">
        <v>690</v>
      </c>
      <c r="B69" s="8" t="s">
        <v>691</v>
      </c>
      <c r="C69" s="8" t="s">
        <v>692</v>
      </c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13" x14ac:dyDescent="0.55000000000000004">
      <c r="A70" s="8" t="s">
        <v>185</v>
      </c>
      <c r="B70" s="8" t="s">
        <v>186</v>
      </c>
      <c r="C70" s="8" t="s">
        <v>693</v>
      </c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13" x14ac:dyDescent="0.55000000000000004">
      <c r="A71" s="8" t="s">
        <v>187</v>
      </c>
      <c r="B71" s="8" t="s">
        <v>188</v>
      </c>
      <c r="C71" s="8" t="s">
        <v>694</v>
      </c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13" x14ac:dyDescent="0.55000000000000004">
      <c r="A72" s="8" t="s">
        <v>189</v>
      </c>
      <c r="B72" s="8" t="s">
        <v>190</v>
      </c>
      <c r="C72" s="8" t="s">
        <v>695</v>
      </c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3" x14ac:dyDescent="0.55000000000000004">
      <c r="A73" s="8" t="s">
        <v>696</v>
      </c>
      <c r="B73" s="8" t="s">
        <v>697</v>
      </c>
      <c r="C73" s="8" t="s">
        <v>698</v>
      </c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13" x14ac:dyDescent="0.55000000000000004">
      <c r="A74" s="8" t="s">
        <v>191</v>
      </c>
      <c r="B74" s="8" t="s">
        <v>192</v>
      </c>
      <c r="C74" s="8" t="s">
        <v>699</v>
      </c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3" x14ac:dyDescent="0.55000000000000004">
      <c r="A75" s="8" t="s">
        <v>700</v>
      </c>
      <c r="B75" s="8" t="s">
        <v>701</v>
      </c>
      <c r="C75" s="8" t="s">
        <v>702</v>
      </c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3" x14ac:dyDescent="0.55000000000000004">
      <c r="A76" s="8" t="s">
        <v>194</v>
      </c>
      <c r="B76" s="8" t="s">
        <v>195</v>
      </c>
      <c r="C76" s="8" t="s">
        <v>703</v>
      </c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3" x14ac:dyDescent="0.55000000000000004">
      <c r="A77" s="8" t="s">
        <v>196</v>
      </c>
      <c r="B77" s="8" t="s">
        <v>197</v>
      </c>
      <c r="C77" s="8" t="s">
        <v>704</v>
      </c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3" x14ac:dyDescent="0.55000000000000004">
      <c r="A78" s="8" t="s">
        <v>705</v>
      </c>
      <c r="B78" s="8" t="s">
        <v>706</v>
      </c>
      <c r="C78" s="8" t="s">
        <v>707</v>
      </c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3" x14ac:dyDescent="0.55000000000000004">
      <c r="A79" s="8" t="s">
        <v>198</v>
      </c>
      <c r="B79" s="8" t="s">
        <v>199</v>
      </c>
      <c r="C79" s="8" t="s">
        <v>708</v>
      </c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3" x14ac:dyDescent="0.55000000000000004">
      <c r="A80" s="8" t="s">
        <v>709</v>
      </c>
      <c r="B80" s="8" t="s">
        <v>710</v>
      </c>
      <c r="C80" s="8" t="s">
        <v>711</v>
      </c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1:13" x14ac:dyDescent="0.55000000000000004">
      <c r="A81" s="8" t="s">
        <v>712</v>
      </c>
      <c r="B81" s="8" t="s">
        <v>713</v>
      </c>
      <c r="C81" s="8" t="s">
        <v>714</v>
      </c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13" x14ac:dyDescent="0.55000000000000004">
      <c r="A82" s="8" t="s">
        <v>715</v>
      </c>
      <c r="B82" s="8" t="s">
        <v>716</v>
      </c>
      <c r="C82" s="8" t="s">
        <v>717</v>
      </c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3" x14ac:dyDescent="0.55000000000000004">
      <c r="A83" s="8" t="s">
        <v>718</v>
      </c>
      <c r="B83" s="8" t="s">
        <v>719</v>
      </c>
      <c r="C83" s="8" t="s">
        <v>720</v>
      </c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1:13" x14ac:dyDescent="0.55000000000000004">
      <c r="A84" s="8" t="s">
        <v>721</v>
      </c>
      <c r="B84" s="8" t="s">
        <v>722</v>
      </c>
      <c r="C84" s="8" t="s">
        <v>723</v>
      </c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1:13" x14ac:dyDescent="0.55000000000000004">
      <c r="A85" s="8" t="s">
        <v>724</v>
      </c>
      <c r="B85" s="8" t="s">
        <v>725</v>
      </c>
      <c r="C85" s="8" t="s">
        <v>726</v>
      </c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1:13" x14ac:dyDescent="0.55000000000000004">
      <c r="A86" s="8" t="s">
        <v>727</v>
      </c>
      <c r="B86" s="8" t="s">
        <v>728</v>
      </c>
      <c r="C86" s="8" t="s">
        <v>729</v>
      </c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13" x14ac:dyDescent="0.55000000000000004">
      <c r="A87" s="8" t="s">
        <v>730</v>
      </c>
      <c r="B87" s="8" t="s">
        <v>731</v>
      </c>
      <c r="C87" s="8" t="s">
        <v>732</v>
      </c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1:13" x14ac:dyDescent="0.55000000000000004">
      <c r="A88" s="8" t="s">
        <v>733</v>
      </c>
      <c r="B88" s="8" t="s">
        <v>734</v>
      </c>
      <c r="C88" s="8" t="s">
        <v>735</v>
      </c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x14ac:dyDescent="0.55000000000000004">
      <c r="A89" s="8" t="s">
        <v>201</v>
      </c>
      <c r="B89" s="8" t="s">
        <v>202</v>
      </c>
      <c r="C89" s="8" t="s">
        <v>736</v>
      </c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13" x14ac:dyDescent="0.55000000000000004">
      <c r="A90" s="8" t="s">
        <v>737</v>
      </c>
      <c r="B90" s="8" t="s">
        <v>738</v>
      </c>
      <c r="C90" s="8" t="s">
        <v>739</v>
      </c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3" x14ac:dyDescent="0.55000000000000004">
      <c r="A91" s="8" t="s">
        <v>203</v>
      </c>
      <c r="B91" s="8" t="s">
        <v>204</v>
      </c>
      <c r="C91" s="8" t="s">
        <v>740</v>
      </c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13" x14ac:dyDescent="0.55000000000000004">
      <c r="A92" s="8" t="s">
        <v>741</v>
      </c>
      <c r="B92" s="8" t="s">
        <v>742</v>
      </c>
      <c r="C92" s="8" t="s">
        <v>743</v>
      </c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3" x14ac:dyDescent="0.55000000000000004">
      <c r="A93" s="8" t="s">
        <v>744</v>
      </c>
      <c r="B93" s="8" t="s">
        <v>745</v>
      </c>
      <c r="C93" s="8" t="s">
        <v>746</v>
      </c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13" x14ac:dyDescent="0.55000000000000004">
      <c r="A94" s="8" t="s">
        <v>747</v>
      </c>
      <c r="B94" s="8" t="s">
        <v>748</v>
      </c>
      <c r="C94" s="8" t="s">
        <v>749</v>
      </c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13" x14ac:dyDescent="0.55000000000000004">
      <c r="A95" s="8" t="s">
        <v>750</v>
      </c>
      <c r="B95" s="8" t="s">
        <v>751</v>
      </c>
      <c r="C95" s="8" t="s">
        <v>752</v>
      </c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13" x14ac:dyDescent="0.55000000000000004">
      <c r="A96" s="8" t="s">
        <v>753</v>
      </c>
      <c r="B96" s="8" t="s">
        <v>754</v>
      </c>
      <c r="C96" s="8" t="s">
        <v>755</v>
      </c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13" x14ac:dyDescent="0.55000000000000004">
      <c r="A97" s="8" t="s">
        <v>206</v>
      </c>
      <c r="B97" s="8" t="s">
        <v>207</v>
      </c>
      <c r="C97" s="8" t="s">
        <v>756</v>
      </c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13" x14ac:dyDescent="0.55000000000000004">
      <c r="A98" s="8" t="s">
        <v>757</v>
      </c>
      <c r="B98" s="8" t="s">
        <v>758</v>
      </c>
      <c r="C98" s="8" t="s">
        <v>759</v>
      </c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1:13" x14ac:dyDescent="0.55000000000000004">
      <c r="A99" s="8" t="s">
        <v>760</v>
      </c>
      <c r="B99" s="8" t="s">
        <v>761</v>
      </c>
      <c r="C99" s="8" t="s">
        <v>762</v>
      </c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1:13" x14ac:dyDescent="0.55000000000000004">
      <c r="A100" s="8" t="s">
        <v>763</v>
      </c>
      <c r="B100" s="8" t="s">
        <v>764</v>
      </c>
      <c r="C100" s="8" t="s">
        <v>765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1:13" x14ac:dyDescent="0.55000000000000004">
      <c r="A101" s="8" t="s">
        <v>766</v>
      </c>
      <c r="B101" s="8" t="s">
        <v>767</v>
      </c>
      <c r="C101" s="8" t="s">
        <v>768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spans="1:13" x14ac:dyDescent="0.55000000000000004">
      <c r="A102" s="8" t="s">
        <v>769</v>
      </c>
      <c r="B102" s="8" t="s">
        <v>770</v>
      </c>
      <c r="C102" s="8" t="s">
        <v>771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spans="1:13" x14ac:dyDescent="0.55000000000000004">
      <c r="A103" s="8" t="s">
        <v>210</v>
      </c>
      <c r="B103" s="8" t="s">
        <v>211</v>
      </c>
      <c r="C103" s="8" t="s">
        <v>772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1:13" x14ac:dyDescent="0.55000000000000004">
      <c r="A104" s="8" t="s">
        <v>213</v>
      </c>
      <c r="B104" s="8" t="s">
        <v>214</v>
      </c>
      <c r="C104" s="8" t="s">
        <v>773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1:13" x14ac:dyDescent="0.55000000000000004">
      <c r="A105" s="8" t="s">
        <v>216</v>
      </c>
      <c r="B105" s="8" t="s">
        <v>217</v>
      </c>
      <c r="C105" s="8" t="s">
        <v>774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1:13" x14ac:dyDescent="0.55000000000000004">
      <c r="A106" s="8" t="s">
        <v>775</v>
      </c>
      <c r="B106" s="8" t="s">
        <v>776</v>
      </c>
      <c r="C106" s="8" t="s">
        <v>777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1:13" x14ac:dyDescent="0.55000000000000004">
      <c r="A107" s="8" t="s">
        <v>778</v>
      </c>
      <c r="B107" s="8" t="s">
        <v>779</v>
      </c>
      <c r="C107" s="8" t="s">
        <v>780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13" x14ac:dyDescent="0.55000000000000004">
      <c r="A108" s="8" t="s">
        <v>781</v>
      </c>
      <c r="B108" s="8" t="s">
        <v>782</v>
      </c>
      <c r="C108" s="8" t="s">
        <v>783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13" x14ac:dyDescent="0.55000000000000004">
      <c r="A109" s="8" t="s">
        <v>219</v>
      </c>
      <c r="B109" s="8" t="s">
        <v>220</v>
      </c>
      <c r="C109" s="8" t="s">
        <v>784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13" x14ac:dyDescent="0.55000000000000004">
      <c r="A110" s="8" t="s">
        <v>785</v>
      </c>
      <c r="B110" s="8" t="s">
        <v>786</v>
      </c>
      <c r="C110" s="8" t="s">
        <v>787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3" x14ac:dyDescent="0.55000000000000004">
      <c r="A111" s="8" t="s">
        <v>788</v>
      </c>
      <c r="B111" s="8" t="s">
        <v>789</v>
      </c>
      <c r="C111" s="8" t="s">
        <v>790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3" x14ac:dyDescent="0.5500000000000000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56"/>
  <sheetViews>
    <sheetView tabSelected="1" zoomScale="75" zoomScaleNormal="75" workbookViewId="0">
      <selection activeCell="N32" sqref="N32"/>
    </sheetView>
  </sheetViews>
  <sheetFormatPr defaultColWidth="0" defaultRowHeight="14.4" zeroHeight="1" x14ac:dyDescent="0.55000000000000004"/>
  <cols>
    <col min="1" max="2" width="8.7890625" customWidth="1"/>
    <col min="3" max="3" width="14.15625" customWidth="1"/>
    <col min="4" max="5" width="1" customWidth="1"/>
    <col min="6" max="6" width="23.7890625" customWidth="1"/>
    <col min="7" max="15" width="8.7890625" customWidth="1"/>
    <col min="16" max="16" width="1" customWidth="1"/>
    <col min="17" max="16384" width="8.7890625" hidden="1"/>
  </cols>
  <sheetData>
    <row r="1" spans="1:16" ht="18.3" x14ac:dyDescent="0.7">
      <c r="A1" s="6" t="s">
        <v>238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5500000000000000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55000000000000004">
      <c r="A3" s="11" t="s">
        <v>239</v>
      </c>
      <c r="B3" s="12"/>
      <c r="C3" s="12"/>
      <c r="D3" s="12"/>
      <c r="E3" s="12"/>
      <c r="F3" s="11" t="s">
        <v>240</v>
      </c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55000000000000004">
      <c r="A4" s="13" t="s">
        <v>241</v>
      </c>
      <c r="B4" s="13"/>
      <c r="C4" s="13"/>
      <c r="D4" s="13"/>
      <c r="E4" s="12"/>
      <c r="F4" s="13"/>
      <c r="G4" s="13" t="str">
        <f t="array" ref="G4:O4">TRANSPOSE(A6:A14)</f>
        <v>Chem_wp_shk</v>
      </c>
      <c r="H4" s="13" t="str">
        <v>Food_shk</v>
      </c>
      <c r="I4" s="13" t="str">
        <v>Fuel&amp;gas_shk</v>
      </c>
      <c r="J4" s="13" t="str">
        <v>HH shk</v>
      </c>
      <c r="K4" s="13" t="str">
        <v>sim5</v>
      </c>
      <c r="L4" s="13" t="str">
        <v>sim6</v>
      </c>
      <c r="M4" s="13" t="str">
        <v>sim7</v>
      </c>
      <c r="N4" s="13" t="str">
        <v>sim8</v>
      </c>
      <c r="O4" s="13" t="str">
        <v>sim9</v>
      </c>
      <c r="P4" s="13"/>
    </row>
    <row r="5" spans="1:16" x14ac:dyDescent="0.55000000000000004">
      <c r="A5" s="8" t="s">
        <v>244</v>
      </c>
      <c r="B5" s="8">
        <v>1</v>
      </c>
      <c r="C5" s="8" t="s">
        <v>245</v>
      </c>
      <c r="D5" s="8"/>
      <c r="E5" s="12"/>
      <c r="F5" s="8" t="s">
        <v>246</v>
      </c>
      <c r="G5" s="23">
        <v>2</v>
      </c>
      <c r="H5" s="23">
        <v>2</v>
      </c>
      <c r="I5" s="23">
        <v>2</v>
      </c>
      <c r="J5" s="23">
        <v>2</v>
      </c>
      <c r="K5" s="23">
        <v>2</v>
      </c>
      <c r="L5" s="23">
        <v>2</v>
      </c>
      <c r="M5" s="23">
        <v>2</v>
      </c>
      <c r="N5" s="23">
        <v>2</v>
      </c>
      <c r="O5" s="23">
        <v>2</v>
      </c>
      <c r="P5" s="8"/>
    </row>
    <row r="6" spans="1:16" x14ac:dyDescent="0.55000000000000004">
      <c r="A6" s="23" t="s">
        <v>892</v>
      </c>
      <c r="B6" s="23">
        <v>0</v>
      </c>
      <c r="C6" s="24" t="s">
        <v>891</v>
      </c>
      <c r="D6" s="8"/>
      <c r="E6" s="12"/>
      <c r="F6" s="8" t="s">
        <v>84</v>
      </c>
      <c r="G6" s="23">
        <v>3</v>
      </c>
      <c r="H6" s="23">
        <v>3</v>
      </c>
      <c r="I6" s="23">
        <v>3</v>
      </c>
      <c r="J6" s="23">
        <v>3</v>
      </c>
      <c r="K6" s="23">
        <v>3</v>
      </c>
      <c r="L6" s="23">
        <v>3</v>
      </c>
      <c r="M6" s="23">
        <v>3</v>
      </c>
      <c r="N6" s="23">
        <v>3</v>
      </c>
      <c r="O6" s="23">
        <v>3</v>
      </c>
      <c r="P6" s="8"/>
    </row>
    <row r="7" spans="1:16" x14ac:dyDescent="0.55000000000000004">
      <c r="A7" s="23" t="s">
        <v>887</v>
      </c>
      <c r="B7" s="23">
        <v>0</v>
      </c>
      <c r="C7" s="24" t="s">
        <v>896</v>
      </c>
      <c r="D7" s="8"/>
      <c r="E7" s="12"/>
      <c r="F7" s="8" t="s">
        <v>247</v>
      </c>
      <c r="G7" s="23">
        <v>1</v>
      </c>
      <c r="H7" s="23">
        <v>1</v>
      </c>
      <c r="I7" s="23">
        <v>1</v>
      </c>
      <c r="J7" s="23">
        <v>1</v>
      </c>
      <c r="K7" s="23">
        <v>1</v>
      </c>
      <c r="L7" s="23">
        <v>1</v>
      </c>
      <c r="M7" s="23">
        <v>1</v>
      </c>
      <c r="N7" s="23">
        <v>1</v>
      </c>
      <c r="O7" s="23">
        <v>1</v>
      </c>
      <c r="P7" s="8"/>
    </row>
    <row r="8" spans="1:16" x14ac:dyDescent="0.55000000000000004">
      <c r="A8" s="23" t="s">
        <v>894</v>
      </c>
      <c r="B8" s="23">
        <v>0</v>
      </c>
      <c r="C8" s="24" t="s">
        <v>893</v>
      </c>
      <c r="D8" s="8"/>
      <c r="E8" s="12"/>
      <c r="F8" s="8" t="s">
        <v>248</v>
      </c>
      <c r="G8" s="23">
        <v>1</v>
      </c>
      <c r="H8" s="23">
        <v>1</v>
      </c>
      <c r="I8" s="23">
        <v>1</v>
      </c>
      <c r="J8" s="23">
        <v>1</v>
      </c>
      <c r="K8" s="23">
        <v>1</v>
      </c>
      <c r="L8" s="23">
        <v>1</v>
      </c>
      <c r="M8" s="23">
        <v>1</v>
      </c>
      <c r="N8" s="23">
        <v>1</v>
      </c>
      <c r="O8" s="23">
        <v>1</v>
      </c>
      <c r="P8" s="8"/>
    </row>
    <row r="9" spans="1:16" x14ac:dyDescent="0.55000000000000004">
      <c r="A9" s="23" t="s">
        <v>895</v>
      </c>
      <c r="B9" s="23"/>
      <c r="C9" s="24"/>
      <c r="D9" s="8"/>
      <c r="E9" s="12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55000000000000004">
      <c r="A10" s="23" t="s">
        <v>888</v>
      </c>
      <c r="B10" s="23"/>
      <c r="C10" s="24"/>
      <c r="D10" s="8"/>
      <c r="E10" s="12"/>
      <c r="F10" s="11" t="s">
        <v>249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x14ac:dyDescent="0.55000000000000004">
      <c r="A11" s="23" t="s">
        <v>889</v>
      </c>
      <c r="B11" s="23"/>
      <c r="C11" s="23"/>
      <c r="D11" s="8"/>
      <c r="E11" s="12"/>
      <c r="F11" s="13"/>
      <c r="G11" s="13" t="str">
        <f t="array" ref="G11:O11">TRANSPOSE(A6:A14)</f>
        <v>Chem_wp_shk</v>
      </c>
      <c r="H11" s="13" t="str">
        <v>Food_shk</v>
      </c>
      <c r="I11" s="13" t="str">
        <v>Fuel&amp;gas_shk</v>
      </c>
      <c r="J11" s="13" t="str">
        <v>HH shk</v>
      </c>
      <c r="K11" s="13" t="str">
        <v>sim5</v>
      </c>
      <c r="L11" s="13" t="str">
        <v>sim6</v>
      </c>
      <c r="M11" s="13" t="str">
        <v>sim7</v>
      </c>
      <c r="N11" s="13" t="str">
        <v>sim8</v>
      </c>
      <c r="O11" s="13" t="str">
        <v>sim9</v>
      </c>
      <c r="P11" s="13"/>
    </row>
    <row r="12" spans="1:16" x14ac:dyDescent="0.55000000000000004">
      <c r="A12" s="23" t="s">
        <v>890</v>
      </c>
      <c r="B12" s="23"/>
      <c r="C12" s="23"/>
      <c r="D12" s="8"/>
      <c r="E12" s="12"/>
      <c r="F12" s="8" t="s">
        <v>13</v>
      </c>
      <c r="G12" s="23">
        <v>1</v>
      </c>
      <c r="H12" s="23">
        <v>3</v>
      </c>
      <c r="I12" s="23">
        <v>3</v>
      </c>
      <c r="J12" s="23">
        <v>1</v>
      </c>
      <c r="K12" s="23">
        <v>1</v>
      </c>
      <c r="L12" s="23">
        <v>1</v>
      </c>
      <c r="M12" s="23">
        <v>1</v>
      </c>
      <c r="N12" s="23">
        <v>1</v>
      </c>
      <c r="O12" s="23">
        <v>1</v>
      </c>
      <c r="P12" s="8"/>
    </row>
    <row r="13" spans="1:16" x14ac:dyDescent="0.55000000000000004">
      <c r="A13" s="23" t="s">
        <v>242</v>
      </c>
      <c r="B13" s="23"/>
      <c r="C13" s="23"/>
      <c r="D13" s="8"/>
      <c r="E13" s="12"/>
      <c r="F13" s="8" t="s">
        <v>21</v>
      </c>
      <c r="G13" s="23">
        <v>1</v>
      </c>
      <c r="H13" s="23">
        <v>3</v>
      </c>
      <c r="I13" s="23">
        <v>3</v>
      </c>
      <c r="J13" s="23">
        <v>1</v>
      </c>
      <c r="K13" s="23">
        <v>1</v>
      </c>
      <c r="L13" s="23">
        <v>1</v>
      </c>
      <c r="M13" s="23">
        <v>1</v>
      </c>
      <c r="N13" s="23">
        <v>1</v>
      </c>
      <c r="O13" s="23">
        <v>1</v>
      </c>
      <c r="P13" s="8"/>
    </row>
    <row r="14" spans="1:16" x14ac:dyDescent="0.55000000000000004">
      <c r="A14" s="23" t="s">
        <v>243</v>
      </c>
      <c r="B14" s="23"/>
      <c r="C14" s="23"/>
      <c r="D14" s="8"/>
      <c r="E14" s="12"/>
      <c r="F14" s="8" t="s">
        <v>29</v>
      </c>
      <c r="G14" s="23">
        <v>1</v>
      </c>
      <c r="H14" s="23">
        <v>1</v>
      </c>
      <c r="I14" s="23">
        <v>1</v>
      </c>
      <c r="J14" s="23">
        <v>3</v>
      </c>
      <c r="K14" s="23">
        <v>1</v>
      </c>
      <c r="L14" s="23">
        <v>1</v>
      </c>
      <c r="M14" s="23">
        <v>1</v>
      </c>
      <c r="N14" s="23">
        <v>1</v>
      </c>
      <c r="O14" s="23">
        <v>1</v>
      </c>
      <c r="P14" s="8"/>
    </row>
    <row r="15" spans="1:16" x14ac:dyDescent="0.55000000000000004">
      <c r="A15" s="8"/>
      <c r="B15" s="8"/>
      <c r="C15" s="8"/>
      <c r="D15" s="8"/>
      <c r="E15" s="12"/>
      <c r="F15" s="8" t="s">
        <v>37</v>
      </c>
      <c r="G15" s="23">
        <v>1</v>
      </c>
      <c r="H15" s="23">
        <v>1</v>
      </c>
      <c r="I15" s="23">
        <v>1</v>
      </c>
      <c r="J15" s="23">
        <v>3</v>
      </c>
      <c r="K15" s="23">
        <v>1</v>
      </c>
      <c r="L15" s="23">
        <v>1</v>
      </c>
      <c r="M15" s="23">
        <v>1</v>
      </c>
      <c r="N15" s="23">
        <v>1</v>
      </c>
      <c r="O15" s="23">
        <v>1</v>
      </c>
      <c r="P15" s="8"/>
    </row>
    <row r="16" spans="1:16" x14ac:dyDescent="0.55000000000000004">
      <c r="A16" s="8"/>
      <c r="B16" s="8"/>
      <c r="C16" s="8"/>
      <c r="D16" s="8"/>
      <c r="E16" s="12"/>
      <c r="F16" s="8" t="s">
        <v>45</v>
      </c>
      <c r="G16" s="23">
        <v>1</v>
      </c>
      <c r="H16" s="23">
        <v>3</v>
      </c>
      <c r="I16" s="23">
        <v>3</v>
      </c>
      <c r="J16" s="23">
        <v>1</v>
      </c>
      <c r="K16" s="23">
        <v>3</v>
      </c>
      <c r="L16" s="23">
        <v>1</v>
      </c>
      <c r="M16" s="23">
        <v>1</v>
      </c>
      <c r="N16" s="23">
        <v>1</v>
      </c>
      <c r="O16" s="23">
        <v>1</v>
      </c>
      <c r="P16" s="8"/>
    </row>
    <row r="17" spans="1:16" x14ac:dyDescent="0.55000000000000004">
      <c r="A17" s="8"/>
      <c r="B17" s="8"/>
      <c r="C17" s="8"/>
      <c r="D17" s="8"/>
      <c r="E17" s="12"/>
      <c r="F17" s="8" t="s">
        <v>50</v>
      </c>
      <c r="G17" s="23">
        <v>1</v>
      </c>
      <c r="H17" s="23">
        <v>3</v>
      </c>
      <c r="I17" s="23">
        <v>3</v>
      </c>
      <c r="J17" s="23">
        <v>1</v>
      </c>
      <c r="K17" s="23">
        <v>3</v>
      </c>
      <c r="L17" s="23">
        <v>1</v>
      </c>
      <c r="M17" s="23">
        <v>1</v>
      </c>
      <c r="N17" s="23">
        <v>1</v>
      </c>
      <c r="O17" s="23">
        <v>1</v>
      </c>
      <c r="P17" s="8"/>
    </row>
    <row r="18" spans="1:16" x14ac:dyDescent="0.55000000000000004">
      <c r="A18" s="8"/>
      <c r="B18" s="8"/>
      <c r="C18" s="8"/>
      <c r="D18" s="8"/>
      <c r="E18" s="12"/>
      <c r="F18" s="8" t="s">
        <v>58</v>
      </c>
      <c r="G18" s="23">
        <v>1</v>
      </c>
      <c r="H18" s="23">
        <v>1</v>
      </c>
      <c r="I18" s="23">
        <v>1</v>
      </c>
      <c r="J18" s="23">
        <v>3</v>
      </c>
      <c r="K18" s="23">
        <v>1</v>
      </c>
      <c r="L18" s="23">
        <v>1</v>
      </c>
      <c r="M18" s="23">
        <v>1</v>
      </c>
      <c r="N18" s="23">
        <v>1</v>
      </c>
      <c r="O18" s="23">
        <v>1</v>
      </c>
      <c r="P18" s="8"/>
    </row>
    <row r="19" spans="1:16" x14ac:dyDescent="0.55000000000000004">
      <c r="A19" s="8"/>
      <c r="B19" s="8"/>
      <c r="C19" s="8"/>
      <c r="D19" s="8"/>
      <c r="E19" s="12"/>
      <c r="F19" s="8" t="s">
        <v>66</v>
      </c>
      <c r="G19" s="23">
        <v>1</v>
      </c>
      <c r="H19" s="23">
        <v>1</v>
      </c>
      <c r="I19" s="23">
        <v>1</v>
      </c>
      <c r="J19" s="23">
        <v>3</v>
      </c>
      <c r="K19" s="23">
        <v>1</v>
      </c>
      <c r="L19" s="23">
        <v>1</v>
      </c>
      <c r="M19" s="23">
        <v>1</v>
      </c>
      <c r="N19" s="23">
        <v>1</v>
      </c>
      <c r="O19" s="23">
        <v>1</v>
      </c>
      <c r="P19" s="8"/>
    </row>
    <row r="20" spans="1:16" x14ac:dyDescent="0.55000000000000004">
      <c r="A20" s="8"/>
      <c r="B20" s="8"/>
      <c r="C20" s="8"/>
      <c r="D20" s="8"/>
      <c r="E20" s="12"/>
      <c r="F20" s="8" t="s">
        <v>574</v>
      </c>
      <c r="G20" s="23">
        <v>1</v>
      </c>
      <c r="H20" s="23">
        <v>3</v>
      </c>
      <c r="I20" s="23">
        <v>3</v>
      </c>
      <c r="J20" s="23">
        <v>1</v>
      </c>
      <c r="K20" s="23">
        <v>1</v>
      </c>
      <c r="L20" s="23">
        <v>1</v>
      </c>
      <c r="M20" s="23">
        <v>1</v>
      </c>
      <c r="N20" s="23">
        <v>1</v>
      </c>
      <c r="O20" s="23">
        <v>1</v>
      </c>
      <c r="P20" s="8"/>
    </row>
    <row r="21" spans="1:16" x14ac:dyDescent="0.55000000000000004">
      <c r="A21" s="8"/>
      <c r="B21" s="8"/>
      <c r="C21" s="8"/>
      <c r="D21" s="8"/>
      <c r="E21" s="12"/>
      <c r="F21" s="8" t="s">
        <v>581</v>
      </c>
      <c r="G21" s="23">
        <v>1</v>
      </c>
      <c r="H21" s="23">
        <v>3</v>
      </c>
      <c r="I21" s="23">
        <v>3</v>
      </c>
      <c r="J21" s="23">
        <v>1</v>
      </c>
      <c r="K21" s="23">
        <v>3</v>
      </c>
      <c r="L21" s="23">
        <v>1</v>
      </c>
      <c r="M21" s="23">
        <v>1</v>
      </c>
      <c r="N21" s="23">
        <v>1</v>
      </c>
      <c r="O21" s="23">
        <v>1</v>
      </c>
      <c r="P21" s="8"/>
    </row>
    <row r="22" spans="1:16" x14ac:dyDescent="0.55000000000000004">
      <c r="A22" s="8"/>
      <c r="B22" s="8"/>
      <c r="C22" s="8"/>
      <c r="D22" s="8"/>
      <c r="E22" s="12"/>
      <c r="F22" s="8" t="s">
        <v>587</v>
      </c>
      <c r="G22" s="23">
        <v>1</v>
      </c>
      <c r="H22" s="23">
        <v>1</v>
      </c>
      <c r="I22" s="23">
        <v>1</v>
      </c>
      <c r="J22" s="23">
        <v>3</v>
      </c>
      <c r="K22" s="23">
        <v>3</v>
      </c>
      <c r="L22" s="23">
        <v>1</v>
      </c>
      <c r="M22" s="23">
        <v>1</v>
      </c>
      <c r="N22" s="23">
        <v>1</v>
      </c>
      <c r="O22" s="23">
        <v>1</v>
      </c>
      <c r="P22" s="8"/>
    </row>
    <row r="23" spans="1:16" x14ac:dyDescent="0.55000000000000004">
      <c r="A23" s="8"/>
      <c r="B23" s="8"/>
      <c r="C23" s="8"/>
      <c r="D23" s="8"/>
      <c r="E23" s="12"/>
      <c r="F23" s="8" t="s">
        <v>591</v>
      </c>
      <c r="G23" s="23">
        <v>1</v>
      </c>
      <c r="H23" s="23">
        <v>1</v>
      </c>
      <c r="I23" s="23">
        <v>1</v>
      </c>
      <c r="J23" s="23">
        <v>3</v>
      </c>
      <c r="K23" s="23">
        <v>1</v>
      </c>
      <c r="L23" s="23">
        <v>1</v>
      </c>
      <c r="M23" s="23">
        <v>1</v>
      </c>
      <c r="N23" s="23">
        <v>1</v>
      </c>
      <c r="O23" s="23">
        <v>1</v>
      </c>
      <c r="P23" s="8"/>
    </row>
    <row r="24" spans="1:16" x14ac:dyDescent="0.55000000000000004">
      <c r="A24" s="8"/>
      <c r="B24" s="8"/>
      <c r="C24" s="8"/>
      <c r="D24" s="8"/>
      <c r="E24" s="12"/>
      <c r="F24" s="8" t="s">
        <v>73</v>
      </c>
      <c r="G24" s="23">
        <v>1</v>
      </c>
      <c r="H24" s="23">
        <v>1</v>
      </c>
      <c r="I24" s="23">
        <v>1</v>
      </c>
      <c r="J24" s="23">
        <v>1</v>
      </c>
      <c r="K24" s="23">
        <v>1</v>
      </c>
      <c r="L24" s="23">
        <v>1</v>
      </c>
      <c r="M24" s="23">
        <v>1</v>
      </c>
      <c r="N24" s="23">
        <v>1</v>
      </c>
      <c r="O24" s="23">
        <v>1</v>
      </c>
      <c r="P24" s="8"/>
    </row>
    <row r="25" spans="1:16" x14ac:dyDescent="0.55000000000000004">
      <c r="A25" s="8"/>
      <c r="B25" s="8"/>
      <c r="C25" s="8"/>
      <c r="D25" s="8"/>
      <c r="E25" s="12"/>
      <c r="F25" s="8" t="s">
        <v>80</v>
      </c>
      <c r="G25" s="23">
        <v>2</v>
      </c>
      <c r="H25" s="23">
        <v>2</v>
      </c>
      <c r="I25" s="23">
        <v>2</v>
      </c>
      <c r="J25" s="23">
        <v>2</v>
      </c>
      <c r="K25" s="23">
        <v>2</v>
      </c>
      <c r="L25" s="23">
        <v>2</v>
      </c>
      <c r="M25" s="23">
        <v>2</v>
      </c>
      <c r="N25" s="23">
        <v>2</v>
      </c>
      <c r="O25" s="23">
        <v>2</v>
      </c>
      <c r="P25" s="8"/>
    </row>
    <row r="26" spans="1:16" x14ac:dyDescent="0.55000000000000004">
      <c r="A26" s="8"/>
      <c r="B26" s="8"/>
      <c r="C26" s="8"/>
      <c r="D26" s="8"/>
      <c r="E26" s="12"/>
      <c r="F26" s="8" t="s">
        <v>88</v>
      </c>
      <c r="G26" s="23">
        <v>2</v>
      </c>
      <c r="H26" s="23">
        <v>2</v>
      </c>
      <c r="I26" s="23">
        <v>2</v>
      </c>
      <c r="J26" s="23">
        <v>2</v>
      </c>
      <c r="K26" s="23">
        <v>2</v>
      </c>
      <c r="L26" s="23">
        <v>2</v>
      </c>
      <c r="M26" s="23">
        <v>2</v>
      </c>
      <c r="N26" s="23">
        <v>2</v>
      </c>
      <c r="O26" s="23">
        <v>2</v>
      </c>
      <c r="P26" s="8"/>
    </row>
    <row r="27" spans="1:16" x14ac:dyDescent="0.55000000000000004">
      <c r="A27" s="8"/>
      <c r="B27" s="8"/>
      <c r="C27" s="8"/>
      <c r="D27" s="8"/>
      <c r="E27" s="12"/>
      <c r="F27" s="8" t="s">
        <v>96</v>
      </c>
      <c r="G27" s="23">
        <v>2</v>
      </c>
      <c r="H27" s="23">
        <v>2</v>
      </c>
      <c r="I27" s="23">
        <v>2</v>
      </c>
      <c r="J27" s="23">
        <v>2</v>
      </c>
      <c r="K27" s="23">
        <v>2</v>
      </c>
      <c r="L27" s="23">
        <v>2</v>
      </c>
      <c r="M27" s="23">
        <v>2</v>
      </c>
      <c r="N27" s="23">
        <v>2</v>
      </c>
      <c r="O27" s="23">
        <v>2</v>
      </c>
      <c r="P27" s="8"/>
    </row>
    <row r="28" spans="1:16" x14ac:dyDescent="0.55000000000000004">
      <c r="A28" s="8"/>
      <c r="B28" s="8"/>
      <c r="C28" s="8"/>
      <c r="D28" s="8"/>
      <c r="E28" s="12"/>
      <c r="F28" s="8" t="s">
        <v>102</v>
      </c>
      <c r="G28" s="23">
        <v>2</v>
      </c>
      <c r="H28" s="23">
        <v>2</v>
      </c>
      <c r="I28" s="23">
        <v>2</v>
      </c>
      <c r="J28" s="23">
        <v>2</v>
      </c>
      <c r="K28" s="23">
        <v>2</v>
      </c>
      <c r="L28" s="23">
        <v>2</v>
      </c>
      <c r="M28" s="23">
        <v>2</v>
      </c>
      <c r="N28" s="23">
        <v>2</v>
      </c>
      <c r="O28" s="23">
        <v>2</v>
      </c>
      <c r="P28" s="8"/>
    </row>
    <row r="29" spans="1:16" x14ac:dyDescent="0.55000000000000004">
      <c r="A29" s="8"/>
      <c r="B29" s="8"/>
      <c r="C29" s="8"/>
      <c r="D29" s="8"/>
      <c r="E29" s="12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3" customHeight="1" x14ac:dyDescent="0.5500000000000000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5500000000000000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55000000000000004">
      <c r="A32" s="9" t="s">
        <v>246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55000000000000004">
      <c r="A33" s="8">
        <v>1</v>
      </c>
      <c r="B33" s="8" t="s">
        <v>254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55000000000000004">
      <c r="A34" s="8">
        <v>2</v>
      </c>
      <c r="B34" s="8" t="s">
        <v>256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5500000000000000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55000000000000004">
      <c r="A36" s="9" t="s">
        <v>258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55000000000000004">
      <c r="A37" s="8">
        <v>1</v>
      </c>
      <c r="B37" s="8" t="s">
        <v>260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55000000000000004">
      <c r="A38" s="8">
        <v>2</v>
      </c>
      <c r="B38" s="8" t="s">
        <v>262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55000000000000004">
      <c r="A39" s="8">
        <v>3</v>
      </c>
      <c r="B39" s="8" t="s">
        <v>264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5500000000000000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55000000000000004">
      <c r="A41" s="9" t="s">
        <v>252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55000000000000004">
      <c r="A42" s="8">
        <v>1</v>
      </c>
      <c r="B42" s="8" t="s">
        <v>253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55000000000000004">
      <c r="A43" s="8">
        <v>2</v>
      </c>
      <c r="B43" s="8" t="s">
        <v>255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55000000000000004">
      <c r="A44" s="8">
        <v>3</v>
      </c>
      <c r="B44" s="8" t="s">
        <v>257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55000000000000004">
      <c r="A45" s="8">
        <v>4</v>
      </c>
      <c r="B45" s="8" t="s">
        <v>259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55000000000000004">
      <c r="A46" s="8">
        <v>5</v>
      </c>
      <c r="B46" s="8" t="s">
        <v>261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5500000000000000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55000000000000004">
      <c r="A48" s="9" t="s">
        <v>263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55000000000000004">
      <c r="A49" s="8">
        <v>1</v>
      </c>
      <c r="B49" s="8" t="s">
        <v>265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55000000000000004">
      <c r="A50" s="8">
        <v>2</v>
      </c>
      <c r="B50" s="8" t="s">
        <v>266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5500000000000000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55000000000000004">
      <c r="A52" s="9" t="s">
        <v>267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55000000000000004">
      <c r="A53" s="8">
        <v>1</v>
      </c>
      <c r="B53" s="8" t="s">
        <v>268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55000000000000004">
      <c r="A54" s="8">
        <v>2</v>
      </c>
      <c r="B54" s="8" t="s">
        <v>269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55000000000000004">
      <c r="A55" s="8">
        <v>3</v>
      </c>
      <c r="B55" s="8" t="s">
        <v>270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5500000000000000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</sheetData>
  <sheetProtection sheet="1" objects="1" scenarios="1"/>
  <phoneticPr fontId="11" type="noConversion"/>
  <dataValidations count="4">
    <dataValidation type="whole" allowBlank="1" showInputMessage="1" showErrorMessage="1" errorTitle="Incorrect closure choice" error="Choose 1 or 2" sqref="G5:O5 G8:O8" xr:uid="{00000000-0002-0000-0100-000000000000}">
      <formula1>1</formula1>
      <formula2>2</formula2>
    </dataValidation>
    <dataValidation type="whole" allowBlank="1" showInputMessage="1" showErrorMessage="1" errorTitle="Incorrect closure choice" error="Choose 1, 2, 3, 4 or 5" sqref="G6:O6" xr:uid="{00000000-0002-0000-0100-000001000000}">
      <formula1>1</formula1>
      <formula2>5</formula2>
    </dataValidation>
    <dataValidation type="whole" allowBlank="1" showInputMessage="1" showErrorMessage="1" errorTitle="Incorrect closure choice" error="Choose 1, 2 or 3" sqref="G7:O7 G12:O28" xr:uid="{00000000-0002-0000-0100-000002000000}">
      <formula1>1</formula1>
      <formula2>3</formula2>
    </dataValidation>
    <dataValidation type="whole" allowBlank="1" showInputMessage="1" showErrorMessage="1" errorTitle="Incorrect choice" error="Choose 0 or 1" sqref="B6:B14" xr:uid="{00000000-0002-0000-0100-000003000000}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499984740745262"/>
  </sheetPr>
  <dimension ref="A1:Z111"/>
  <sheetViews>
    <sheetView zoomScale="75" zoomScaleNormal="7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A41" sqref="A41:XFD41"/>
    </sheetView>
  </sheetViews>
  <sheetFormatPr defaultColWidth="0" defaultRowHeight="14.4" zeroHeight="1" x14ac:dyDescent="0.55000000000000004"/>
  <cols>
    <col min="1" max="9" width="8.7890625" customWidth="1"/>
    <col min="10" max="10" width="8.7890625" hidden="1" customWidth="1"/>
    <col min="11" max="13" width="1" customWidth="1"/>
    <col min="14" max="18" width="8.7890625" customWidth="1"/>
    <col min="19" max="21" width="1" customWidth="1"/>
    <col min="22" max="25" width="8.7890625" customWidth="1"/>
    <col min="26" max="26" width="3.15625" customWidth="1"/>
    <col min="27" max="16384" width="8.7890625" hidden="1"/>
  </cols>
  <sheetData>
    <row r="1" spans="1:26" ht="18.3" x14ac:dyDescent="0.7">
      <c r="A1" s="6" t="str">
        <f>"Simulation "&amp;Y1&amp;IF(X1&lt;&gt;""," : "&amp;X1,"")</f>
        <v>Simulation Chem_wp_shk : 50%_incr_cchem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7" t="str">
        <f>IF(Main!C6&lt;&gt;"",Main!C6,"")</f>
        <v>50%_incr_cchem</v>
      </c>
      <c r="Y1" s="17" t="str">
        <f>Main!A6</f>
        <v>Chem_wp_shk</v>
      </c>
      <c r="Z1" s="7"/>
    </row>
    <row r="2" spans="1:26" x14ac:dyDescent="0.5500000000000000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55000000000000004">
      <c r="A3" s="11" t="s">
        <v>271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 t="s">
        <v>272</v>
      </c>
      <c r="O3" s="11"/>
      <c r="P3" s="11"/>
      <c r="Q3" s="11"/>
      <c r="R3" s="11"/>
      <c r="S3" s="11"/>
      <c r="T3" s="11"/>
      <c r="U3" s="11"/>
      <c r="V3" s="11" t="s">
        <v>273</v>
      </c>
      <c r="W3" s="11"/>
      <c r="X3" s="11"/>
      <c r="Y3" s="11"/>
      <c r="Z3" s="11"/>
    </row>
    <row r="4" spans="1:26" x14ac:dyDescent="0.55000000000000004">
      <c r="A4" s="13"/>
      <c r="B4" s="31" t="s">
        <v>274</v>
      </c>
      <c r="C4" s="31"/>
      <c r="D4" s="31" t="s">
        <v>275</v>
      </c>
      <c r="E4" s="31"/>
      <c r="F4" s="31"/>
      <c r="G4" s="31" t="s">
        <v>17</v>
      </c>
      <c r="H4" s="31"/>
      <c r="I4" s="31"/>
      <c r="J4" s="15" t="s">
        <v>276</v>
      </c>
      <c r="K4" s="13"/>
      <c r="L4" s="10"/>
      <c r="M4" s="13"/>
      <c r="N4" s="13"/>
      <c r="O4" s="15" t="s">
        <v>277</v>
      </c>
      <c r="P4" s="15" t="s">
        <v>278</v>
      </c>
      <c r="Q4" s="31" t="s">
        <v>279</v>
      </c>
      <c r="R4" s="31"/>
      <c r="S4" s="13"/>
      <c r="T4" s="10"/>
      <c r="U4" s="13"/>
      <c r="V4" s="13"/>
      <c r="W4" s="15" t="s">
        <v>280</v>
      </c>
      <c r="X4" s="15" t="s">
        <v>281</v>
      </c>
      <c r="Y4" s="15" t="s">
        <v>280</v>
      </c>
      <c r="Z4" s="13"/>
    </row>
    <row r="5" spans="1:26" x14ac:dyDescent="0.55000000000000004">
      <c r="A5" s="13"/>
      <c r="B5" s="16" t="s">
        <v>282</v>
      </c>
      <c r="C5" s="16" t="s">
        <v>283</v>
      </c>
      <c r="D5" s="16" t="s">
        <v>282</v>
      </c>
      <c r="E5" s="16" t="s">
        <v>283</v>
      </c>
      <c r="F5" s="16" t="s">
        <v>284</v>
      </c>
      <c r="G5" s="16" t="s">
        <v>282</v>
      </c>
      <c r="H5" s="16" t="s">
        <v>283</v>
      </c>
      <c r="I5" s="16" t="s">
        <v>285</v>
      </c>
      <c r="J5" s="15" t="s">
        <v>286</v>
      </c>
      <c r="K5" s="13"/>
      <c r="L5" s="10"/>
      <c r="M5" s="13"/>
      <c r="N5" s="13"/>
      <c r="O5" s="16" t="s">
        <v>287</v>
      </c>
      <c r="P5" s="16"/>
      <c r="Q5" s="16" t="s">
        <v>288</v>
      </c>
      <c r="R5" s="16" t="s">
        <v>332</v>
      </c>
      <c r="S5" s="13"/>
      <c r="T5" s="10"/>
      <c r="U5" s="13"/>
      <c r="V5" s="13"/>
      <c r="W5" s="15" t="s">
        <v>289</v>
      </c>
      <c r="X5" s="15" t="s">
        <v>290</v>
      </c>
      <c r="Y5" s="15" t="s">
        <v>291</v>
      </c>
      <c r="Z5" s="13"/>
    </row>
    <row r="6" spans="1:26" x14ac:dyDescent="0.55000000000000004">
      <c r="A6" s="13"/>
      <c r="B6" s="16" t="s">
        <v>292</v>
      </c>
      <c r="C6" s="16" t="s">
        <v>293</v>
      </c>
      <c r="D6" s="16" t="s">
        <v>294</v>
      </c>
      <c r="E6" s="16" t="s">
        <v>295</v>
      </c>
      <c r="F6" s="16" t="s">
        <v>296</v>
      </c>
      <c r="G6" s="16" t="s">
        <v>297</v>
      </c>
      <c r="H6" s="16" t="s">
        <v>298</v>
      </c>
      <c r="I6" s="16" t="s">
        <v>299</v>
      </c>
      <c r="J6" s="16" t="s">
        <v>300</v>
      </c>
      <c r="K6" s="13"/>
      <c r="L6" s="10"/>
      <c r="M6" s="13"/>
      <c r="N6" s="13"/>
      <c r="O6" s="16" t="s">
        <v>301</v>
      </c>
      <c r="P6" s="16" t="s">
        <v>302</v>
      </c>
      <c r="Q6" s="16" t="s">
        <v>303</v>
      </c>
      <c r="R6" s="16" t="s">
        <v>304</v>
      </c>
      <c r="S6" s="13"/>
      <c r="T6" s="10"/>
      <c r="U6" s="13"/>
      <c r="V6" s="13"/>
      <c r="W6" s="16" t="s">
        <v>305</v>
      </c>
      <c r="X6" s="16" t="s">
        <v>306</v>
      </c>
      <c r="Y6" s="16" t="s">
        <v>307</v>
      </c>
      <c r="Z6" s="13"/>
    </row>
    <row r="7" spans="1:26" x14ac:dyDescent="0.55000000000000004">
      <c r="A7" s="8" t="s">
        <v>19</v>
      </c>
      <c r="B7" s="25" t="s">
        <v>308</v>
      </c>
      <c r="C7" s="25" t="s">
        <v>308</v>
      </c>
      <c r="D7" s="25" t="s">
        <v>308</v>
      </c>
      <c r="E7" s="25" t="s">
        <v>308</v>
      </c>
      <c r="F7" s="25" t="s">
        <v>308</v>
      </c>
      <c r="G7" s="25" t="s">
        <v>308</v>
      </c>
      <c r="H7" s="25" t="s">
        <v>308</v>
      </c>
      <c r="I7" s="25" t="s">
        <v>308</v>
      </c>
      <c r="J7" s="25" t="s">
        <v>308</v>
      </c>
      <c r="K7" s="8"/>
      <c r="L7" s="10"/>
      <c r="M7" s="8"/>
      <c r="N7" s="8" t="s">
        <v>18</v>
      </c>
      <c r="O7" s="26">
        <v>0</v>
      </c>
      <c r="P7" s="25" t="s">
        <v>308</v>
      </c>
      <c r="Q7" s="25" t="s">
        <v>308</v>
      </c>
      <c r="R7" s="25" t="s">
        <v>308</v>
      </c>
      <c r="S7" s="8"/>
      <c r="T7" s="10"/>
      <c r="U7" s="8"/>
      <c r="V7" s="8" t="s">
        <v>12</v>
      </c>
      <c r="W7" s="25" t="s">
        <v>308</v>
      </c>
      <c r="X7" s="25" t="s">
        <v>308</v>
      </c>
      <c r="Y7" s="25" t="s">
        <v>308</v>
      </c>
      <c r="Z7" s="8"/>
    </row>
    <row r="8" spans="1:26" x14ac:dyDescent="0.55000000000000004">
      <c r="A8" s="8" t="s">
        <v>10</v>
      </c>
      <c r="B8" s="25" t="s">
        <v>308</v>
      </c>
      <c r="C8" s="25" t="s">
        <v>308</v>
      </c>
      <c r="D8" s="25" t="s">
        <v>308</v>
      </c>
      <c r="E8" s="25" t="s">
        <v>308</v>
      </c>
      <c r="F8" s="25" t="s">
        <v>308</v>
      </c>
      <c r="G8" s="25" t="s">
        <v>308</v>
      </c>
      <c r="H8" s="25" t="s">
        <v>308</v>
      </c>
      <c r="I8" s="25" t="s">
        <v>308</v>
      </c>
      <c r="J8" s="25" t="s">
        <v>308</v>
      </c>
      <c r="K8" s="8"/>
      <c r="L8" s="10"/>
      <c r="M8" s="8"/>
      <c r="N8" s="8" t="s">
        <v>9</v>
      </c>
      <c r="O8" s="26">
        <v>0</v>
      </c>
      <c r="P8" s="25" t="s">
        <v>308</v>
      </c>
      <c r="Q8" s="25" t="s">
        <v>308</v>
      </c>
      <c r="R8" s="25" t="s">
        <v>308</v>
      </c>
      <c r="S8" s="8"/>
      <c r="T8" s="10"/>
      <c r="U8" s="8"/>
      <c r="V8" s="8" t="s">
        <v>20</v>
      </c>
      <c r="W8" s="25" t="s">
        <v>308</v>
      </c>
      <c r="X8" s="25" t="s">
        <v>308</v>
      </c>
      <c r="Y8" s="25" t="s">
        <v>308</v>
      </c>
      <c r="Z8" s="8"/>
    </row>
    <row r="9" spans="1:26" x14ac:dyDescent="0.55000000000000004">
      <c r="A9" s="8" t="s">
        <v>35</v>
      </c>
      <c r="B9" s="25" t="s">
        <v>308</v>
      </c>
      <c r="C9" s="25" t="s">
        <v>308</v>
      </c>
      <c r="D9" s="25" t="s">
        <v>308</v>
      </c>
      <c r="E9" s="25" t="s">
        <v>308</v>
      </c>
      <c r="F9" s="25" t="s">
        <v>308</v>
      </c>
      <c r="G9" s="25" t="s">
        <v>308</v>
      </c>
      <c r="H9" s="25" t="s">
        <v>308</v>
      </c>
      <c r="I9" s="25" t="s">
        <v>308</v>
      </c>
      <c r="J9" s="25" t="s">
        <v>308</v>
      </c>
      <c r="K9" s="8"/>
      <c r="L9" s="10"/>
      <c r="M9" s="8"/>
      <c r="N9" s="8" t="s">
        <v>34</v>
      </c>
      <c r="O9" s="26">
        <v>0</v>
      </c>
      <c r="P9" s="25" t="s">
        <v>308</v>
      </c>
      <c r="Q9" s="25" t="s">
        <v>308</v>
      </c>
      <c r="R9" s="25" t="s">
        <v>308</v>
      </c>
      <c r="S9" s="8"/>
      <c r="T9" s="10"/>
      <c r="U9" s="8"/>
      <c r="V9" s="8" t="s">
        <v>28</v>
      </c>
      <c r="W9" s="25" t="s">
        <v>308</v>
      </c>
      <c r="X9" s="25" t="s">
        <v>308</v>
      </c>
      <c r="Y9" s="25" t="s">
        <v>308</v>
      </c>
      <c r="Z9" s="8"/>
    </row>
    <row r="10" spans="1:26" x14ac:dyDescent="0.55000000000000004">
      <c r="A10" s="8" t="s">
        <v>27</v>
      </c>
      <c r="B10" s="25" t="s">
        <v>308</v>
      </c>
      <c r="C10" s="25" t="s">
        <v>308</v>
      </c>
      <c r="D10" s="25" t="s">
        <v>308</v>
      </c>
      <c r="E10" s="25" t="s">
        <v>308</v>
      </c>
      <c r="F10" s="25" t="s">
        <v>308</v>
      </c>
      <c r="G10" s="25" t="s">
        <v>308</v>
      </c>
      <c r="H10" s="25" t="s">
        <v>308</v>
      </c>
      <c r="I10" s="25" t="s">
        <v>308</v>
      </c>
      <c r="J10" s="25" t="s">
        <v>308</v>
      </c>
      <c r="K10" s="8"/>
      <c r="L10" s="10"/>
      <c r="M10" s="8"/>
      <c r="N10" s="8" t="s">
        <v>26</v>
      </c>
      <c r="O10" s="26">
        <v>0</v>
      </c>
      <c r="P10" s="25" t="s">
        <v>308</v>
      </c>
      <c r="Q10" s="25" t="s">
        <v>308</v>
      </c>
      <c r="R10" s="25" t="s">
        <v>308</v>
      </c>
      <c r="S10" s="8"/>
      <c r="T10" s="10"/>
      <c r="U10" s="8"/>
      <c r="V10" s="8" t="s">
        <v>36</v>
      </c>
      <c r="W10" s="25" t="s">
        <v>308</v>
      </c>
      <c r="X10" s="25" t="s">
        <v>308</v>
      </c>
      <c r="Y10" s="25" t="s">
        <v>308</v>
      </c>
      <c r="Z10" s="8"/>
    </row>
    <row r="11" spans="1:26" x14ac:dyDescent="0.55000000000000004">
      <c r="A11" s="8" t="s">
        <v>42</v>
      </c>
      <c r="B11" s="25" t="s">
        <v>308</v>
      </c>
      <c r="C11" s="25" t="s">
        <v>308</v>
      </c>
      <c r="D11" s="25" t="s">
        <v>308</v>
      </c>
      <c r="E11" s="25" t="s">
        <v>308</v>
      </c>
      <c r="F11" s="25" t="s">
        <v>308</v>
      </c>
      <c r="G11" s="25" t="s">
        <v>308</v>
      </c>
      <c r="H11" s="25" t="s">
        <v>308</v>
      </c>
      <c r="I11" s="25" t="s">
        <v>308</v>
      </c>
      <c r="J11" s="25" t="s">
        <v>308</v>
      </c>
      <c r="K11" s="8"/>
      <c r="L11" s="10"/>
      <c r="M11" s="8"/>
      <c r="N11" s="8" t="s">
        <v>41</v>
      </c>
      <c r="O11" s="26">
        <v>0</v>
      </c>
      <c r="P11" s="25" t="s">
        <v>308</v>
      </c>
      <c r="Q11" s="25" t="s">
        <v>308</v>
      </c>
      <c r="R11" s="25" t="s">
        <v>308</v>
      </c>
      <c r="S11" s="8"/>
      <c r="T11" s="10"/>
      <c r="U11" s="8"/>
      <c r="V11" s="8" t="s">
        <v>44</v>
      </c>
      <c r="W11" s="25" t="s">
        <v>308</v>
      </c>
      <c r="X11" s="25" t="s">
        <v>308</v>
      </c>
      <c r="Y11" s="25" t="s">
        <v>308</v>
      </c>
      <c r="Z11" s="8"/>
    </row>
    <row r="12" spans="1:26" x14ac:dyDescent="0.55000000000000004">
      <c r="A12" s="8" t="s">
        <v>78</v>
      </c>
      <c r="B12" s="25" t="s">
        <v>308</v>
      </c>
      <c r="C12" s="25" t="s">
        <v>308</v>
      </c>
      <c r="D12" s="25" t="s">
        <v>308</v>
      </c>
      <c r="E12" s="25" t="s">
        <v>308</v>
      </c>
      <c r="F12" s="25" t="s">
        <v>308</v>
      </c>
      <c r="G12" s="25" t="s">
        <v>308</v>
      </c>
      <c r="H12" s="25" t="s">
        <v>308</v>
      </c>
      <c r="I12" s="25" t="s">
        <v>308</v>
      </c>
      <c r="J12" s="25" t="s">
        <v>308</v>
      </c>
      <c r="K12" s="8"/>
      <c r="L12" s="10"/>
      <c r="M12" s="8"/>
      <c r="N12" s="8" t="s">
        <v>77</v>
      </c>
      <c r="O12" s="26">
        <v>0</v>
      </c>
      <c r="P12" s="25" t="s">
        <v>308</v>
      </c>
      <c r="Q12" s="25" t="s">
        <v>308</v>
      </c>
      <c r="R12" s="25" t="s">
        <v>308</v>
      </c>
      <c r="S12" s="8"/>
      <c r="T12" s="10"/>
      <c r="U12" s="8"/>
      <c r="V12" s="8" t="s">
        <v>49</v>
      </c>
      <c r="W12" s="25" t="s">
        <v>308</v>
      </c>
      <c r="X12" s="25" t="s">
        <v>308</v>
      </c>
      <c r="Y12" s="25" t="s">
        <v>308</v>
      </c>
      <c r="Z12" s="8"/>
    </row>
    <row r="13" spans="1:26" x14ac:dyDescent="0.55000000000000004">
      <c r="A13" s="8" t="s">
        <v>86</v>
      </c>
      <c r="B13" s="25" t="s">
        <v>308</v>
      </c>
      <c r="C13" s="25" t="s">
        <v>308</v>
      </c>
      <c r="D13" s="25" t="s">
        <v>308</v>
      </c>
      <c r="E13" s="25" t="s">
        <v>308</v>
      </c>
      <c r="F13" s="25" t="s">
        <v>308</v>
      </c>
      <c r="G13" s="25" t="s">
        <v>308</v>
      </c>
      <c r="H13" s="25" t="s">
        <v>308</v>
      </c>
      <c r="I13" s="25" t="s">
        <v>308</v>
      </c>
      <c r="J13" s="25" t="s">
        <v>308</v>
      </c>
      <c r="K13" s="8"/>
      <c r="L13" s="10"/>
      <c r="M13" s="8"/>
      <c r="N13" s="8" t="s">
        <v>85</v>
      </c>
      <c r="O13" s="26">
        <v>0</v>
      </c>
      <c r="P13" s="25" t="s">
        <v>308</v>
      </c>
      <c r="Q13" s="25" t="s">
        <v>308</v>
      </c>
      <c r="R13" s="25" t="s">
        <v>308</v>
      </c>
      <c r="S13" s="8"/>
      <c r="T13" s="10"/>
      <c r="U13" s="8"/>
      <c r="V13" s="8" t="s">
        <v>57</v>
      </c>
      <c r="W13" s="25" t="s">
        <v>308</v>
      </c>
      <c r="X13" s="25" t="s">
        <v>308</v>
      </c>
      <c r="Y13" s="25" t="s">
        <v>308</v>
      </c>
      <c r="Z13" s="8"/>
    </row>
    <row r="14" spans="1:26" x14ac:dyDescent="0.55000000000000004">
      <c r="A14" s="8" t="s">
        <v>71</v>
      </c>
      <c r="B14" s="25" t="s">
        <v>308</v>
      </c>
      <c r="C14" s="25" t="s">
        <v>308</v>
      </c>
      <c r="D14" s="25" t="s">
        <v>308</v>
      </c>
      <c r="E14" s="25" t="s">
        <v>308</v>
      </c>
      <c r="F14" s="25" t="s">
        <v>308</v>
      </c>
      <c r="G14" s="25" t="s">
        <v>308</v>
      </c>
      <c r="H14" s="25" t="s">
        <v>308</v>
      </c>
      <c r="I14" s="25" t="s">
        <v>308</v>
      </c>
      <c r="J14" s="25" t="s">
        <v>308</v>
      </c>
      <c r="K14" s="8"/>
      <c r="L14" s="10"/>
      <c r="M14" s="8"/>
      <c r="N14" s="8" t="s">
        <v>70</v>
      </c>
      <c r="O14" s="26">
        <v>0</v>
      </c>
      <c r="P14" s="25" t="s">
        <v>308</v>
      </c>
      <c r="Q14" s="25" t="s">
        <v>308</v>
      </c>
      <c r="R14" s="25" t="s">
        <v>308</v>
      </c>
      <c r="S14" s="8"/>
      <c r="T14" s="10"/>
      <c r="U14" s="8"/>
      <c r="V14" s="8" t="s">
        <v>65</v>
      </c>
      <c r="W14" s="25" t="s">
        <v>308</v>
      </c>
      <c r="X14" s="25" t="s">
        <v>308</v>
      </c>
      <c r="Y14" s="25" t="s">
        <v>308</v>
      </c>
      <c r="Z14" s="8"/>
    </row>
    <row r="15" spans="1:26" x14ac:dyDescent="0.55000000000000004">
      <c r="A15" s="8" t="s">
        <v>94</v>
      </c>
      <c r="B15" s="25" t="s">
        <v>308</v>
      </c>
      <c r="C15" s="25" t="s">
        <v>308</v>
      </c>
      <c r="D15" s="25" t="s">
        <v>308</v>
      </c>
      <c r="E15" s="25" t="s">
        <v>308</v>
      </c>
      <c r="F15" s="25" t="s">
        <v>308</v>
      </c>
      <c r="G15" s="25" t="s">
        <v>308</v>
      </c>
      <c r="H15" s="25" t="s">
        <v>308</v>
      </c>
      <c r="I15" s="25" t="s">
        <v>308</v>
      </c>
      <c r="J15" s="25" t="s">
        <v>308</v>
      </c>
      <c r="K15" s="8"/>
      <c r="L15" s="10"/>
      <c r="M15" s="8"/>
      <c r="N15" s="8" t="s">
        <v>93</v>
      </c>
      <c r="O15" s="26">
        <v>0</v>
      </c>
      <c r="P15" s="25" t="s">
        <v>308</v>
      </c>
      <c r="Q15" s="25" t="s">
        <v>308</v>
      </c>
      <c r="R15" s="25" t="s">
        <v>308</v>
      </c>
      <c r="S15" s="8"/>
      <c r="T15" s="10"/>
      <c r="U15" s="8"/>
      <c r="V15" s="8" t="s">
        <v>573</v>
      </c>
      <c r="W15" s="25" t="s">
        <v>308</v>
      </c>
      <c r="X15" s="25" t="s">
        <v>308</v>
      </c>
      <c r="Y15" s="25" t="s">
        <v>308</v>
      </c>
      <c r="Z15" s="8"/>
    </row>
    <row r="16" spans="1:26" x14ac:dyDescent="0.55000000000000004">
      <c r="A16" s="8" t="s">
        <v>578</v>
      </c>
      <c r="B16" s="25" t="s">
        <v>308</v>
      </c>
      <c r="C16" s="25" t="s">
        <v>308</v>
      </c>
      <c r="D16" s="25" t="s">
        <v>308</v>
      </c>
      <c r="E16" s="25" t="s">
        <v>308</v>
      </c>
      <c r="F16" s="25" t="s">
        <v>308</v>
      </c>
      <c r="G16" s="25" t="s">
        <v>308</v>
      </c>
      <c r="H16" s="25" t="s">
        <v>308</v>
      </c>
      <c r="I16" s="25" t="s">
        <v>308</v>
      </c>
      <c r="J16" s="25" t="s">
        <v>308</v>
      </c>
      <c r="K16" s="8"/>
      <c r="L16" s="10"/>
      <c r="M16" s="8"/>
      <c r="N16" s="8" t="s">
        <v>577</v>
      </c>
      <c r="O16" s="26">
        <v>0</v>
      </c>
      <c r="P16" s="25" t="s">
        <v>308</v>
      </c>
      <c r="Q16" s="25" t="s">
        <v>308</v>
      </c>
      <c r="R16" s="25" t="s">
        <v>308</v>
      </c>
      <c r="S16" s="8"/>
      <c r="T16" s="10"/>
      <c r="U16" s="8"/>
      <c r="V16" s="8" t="s">
        <v>580</v>
      </c>
      <c r="W16" s="25" t="s">
        <v>308</v>
      </c>
      <c r="X16" s="25" t="s">
        <v>308</v>
      </c>
      <c r="Y16" s="25" t="s">
        <v>308</v>
      </c>
      <c r="Z16" s="8"/>
    </row>
    <row r="17" spans="1:26" x14ac:dyDescent="0.55000000000000004">
      <c r="A17" s="8" t="s">
        <v>584</v>
      </c>
      <c r="B17" s="25" t="s">
        <v>308</v>
      </c>
      <c r="C17" s="25" t="s">
        <v>308</v>
      </c>
      <c r="D17" s="25" t="s">
        <v>308</v>
      </c>
      <c r="E17" s="25" t="s">
        <v>308</v>
      </c>
      <c r="F17" s="25" t="s">
        <v>308</v>
      </c>
      <c r="G17" s="25" t="s">
        <v>308</v>
      </c>
      <c r="H17" s="25" t="s">
        <v>308</v>
      </c>
      <c r="I17" s="25" t="s">
        <v>308</v>
      </c>
      <c r="J17" s="25" t="s">
        <v>308</v>
      </c>
      <c r="K17" s="8"/>
      <c r="L17" s="10"/>
      <c r="M17" s="8"/>
      <c r="N17" s="8" t="s">
        <v>583</v>
      </c>
      <c r="O17" s="26">
        <v>0</v>
      </c>
      <c r="P17" s="25" t="s">
        <v>308</v>
      </c>
      <c r="Q17" s="25" t="s">
        <v>308</v>
      </c>
      <c r="R17" s="25" t="s">
        <v>308</v>
      </c>
      <c r="S17" s="8"/>
      <c r="T17" s="10"/>
      <c r="U17" s="8"/>
      <c r="V17" s="8" t="s">
        <v>586</v>
      </c>
      <c r="W17" s="25" t="s">
        <v>308</v>
      </c>
      <c r="X17" s="25" t="s">
        <v>308</v>
      </c>
      <c r="Y17" s="25" t="s">
        <v>308</v>
      </c>
      <c r="Z17" s="8"/>
    </row>
    <row r="18" spans="1:26" x14ac:dyDescent="0.55000000000000004">
      <c r="A18" s="8" t="s">
        <v>108</v>
      </c>
      <c r="B18" s="25" t="s">
        <v>308</v>
      </c>
      <c r="C18" s="25" t="s">
        <v>308</v>
      </c>
      <c r="D18" s="25" t="s">
        <v>308</v>
      </c>
      <c r="E18" s="25" t="s">
        <v>308</v>
      </c>
      <c r="F18" s="25" t="s">
        <v>308</v>
      </c>
      <c r="G18" s="25" t="s">
        <v>308</v>
      </c>
      <c r="H18" s="25" t="s">
        <v>308</v>
      </c>
      <c r="I18" s="25" t="s">
        <v>308</v>
      </c>
      <c r="J18" s="25" t="s">
        <v>308</v>
      </c>
      <c r="K18" s="8"/>
      <c r="L18" s="10"/>
      <c r="M18" s="8"/>
      <c r="N18" s="8" t="s">
        <v>107</v>
      </c>
      <c r="O18" s="26">
        <v>0</v>
      </c>
      <c r="P18" s="25" t="s">
        <v>308</v>
      </c>
      <c r="Q18" s="25" t="s">
        <v>308</v>
      </c>
      <c r="R18" s="25" t="s">
        <v>308</v>
      </c>
      <c r="S18" s="8"/>
      <c r="T18" s="10"/>
      <c r="U18" s="8"/>
      <c r="V18" s="8" t="s">
        <v>590</v>
      </c>
      <c r="W18" s="25" t="s">
        <v>308</v>
      </c>
      <c r="X18" s="25" t="s">
        <v>308</v>
      </c>
      <c r="Y18" s="25" t="s">
        <v>308</v>
      </c>
      <c r="Z18" s="8"/>
    </row>
    <row r="19" spans="1:26" x14ac:dyDescent="0.55000000000000004">
      <c r="A19" s="8" t="s">
        <v>594</v>
      </c>
      <c r="B19" s="25" t="s">
        <v>308</v>
      </c>
      <c r="C19" s="25" t="s">
        <v>308</v>
      </c>
      <c r="D19" s="25" t="s">
        <v>308</v>
      </c>
      <c r="E19" s="25" t="s">
        <v>308</v>
      </c>
      <c r="F19" s="25" t="s">
        <v>308</v>
      </c>
      <c r="G19" s="25" t="s">
        <v>308</v>
      </c>
      <c r="H19" s="25" t="s">
        <v>308</v>
      </c>
      <c r="I19" s="25" t="s">
        <v>308</v>
      </c>
      <c r="J19" s="25" t="s">
        <v>308</v>
      </c>
      <c r="K19" s="8"/>
      <c r="L19" s="10"/>
      <c r="M19" s="8"/>
      <c r="N19" s="8" t="s">
        <v>593</v>
      </c>
      <c r="O19" s="26">
        <v>0</v>
      </c>
      <c r="P19" s="25" t="s">
        <v>308</v>
      </c>
      <c r="Q19" s="25" t="s">
        <v>308</v>
      </c>
      <c r="R19" s="25" t="s">
        <v>308</v>
      </c>
      <c r="S19" s="8"/>
      <c r="T19" s="10"/>
      <c r="U19" s="8"/>
      <c r="V19" s="8" t="s">
        <v>72</v>
      </c>
      <c r="W19" s="25" t="s">
        <v>308</v>
      </c>
      <c r="X19" s="25" t="s">
        <v>308</v>
      </c>
      <c r="Y19" s="25" t="s">
        <v>308</v>
      </c>
      <c r="Z19" s="8"/>
    </row>
    <row r="20" spans="1:26" x14ac:dyDescent="0.55000000000000004">
      <c r="A20" s="8" t="s">
        <v>598</v>
      </c>
      <c r="B20" s="25" t="s">
        <v>308</v>
      </c>
      <c r="C20" s="25" t="s">
        <v>308</v>
      </c>
      <c r="D20" s="25" t="s">
        <v>308</v>
      </c>
      <c r="E20" s="25" t="s">
        <v>308</v>
      </c>
      <c r="F20" s="25" t="s">
        <v>308</v>
      </c>
      <c r="G20" s="25" t="s">
        <v>308</v>
      </c>
      <c r="H20" s="25" t="s">
        <v>308</v>
      </c>
      <c r="I20" s="25" t="s">
        <v>308</v>
      </c>
      <c r="J20" s="25" t="s">
        <v>308</v>
      </c>
      <c r="K20" s="8"/>
      <c r="L20" s="10"/>
      <c r="M20" s="8"/>
      <c r="N20" s="8" t="s">
        <v>597</v>
      </c>
      <c r="O20" s="26">
        <v>0</v>
      </c>
      <c r="P20" s="25" t="s">
        <v>308</v>
      </c>
      <c r="Q20" s="25" t="s">
        <v>308</v>
      </c>
      <c r="R20" s="25" t="s">
        <v>308</v>
      </c>
      <c r="S20" s="8"/>
      <c r="T20" s="10"/>
      <c r="U20" s="8"/>
      <c r="V20" s="8" t="s">
        <v>79</v>
      </c>
      <c r="W20" s="25" t="s">
        <v>308</v>
      </c>
      <c r="X20" s="25" t="s">
        <v>308</v>
      </c>
      <c r="Y20" s="25" t="s">
        <v>308</v>
      </c>
      <c r="Z20" s="8"/>
    </row>
    <row r="21" spans="1:26" x14ac:dyDescent="0.55000000000000004">
      <c r="A21" s="8" t="s">
        <v>602</v>
      </c>
      <c r="B21" s="25" t="s">
        <v>308</v>
      </c>
      <c r="C21" s="25" t="s">
        <v>308</v>
      </c>
      <c r="D21" s="25" t="s">
        <v>308</v>
      </c>
      <c r="E21" s="25" t="s">
        <v>308</v>
      </c>
      <c r="F21" s="25" t="s">
        <v>308</v>
      </c>
      <c r="G21" s="25" t="s">
        <v>308</v>
      </c>
      <c r="H21" s="25" t="s">
        <v>308</v>
      </c>
      <c r="I21" s="25" t="s">
        <v>308</v>
      </c>
      <c r="J21" s="25" t="s">
        <v>308</v>
      </c>
      <c r="K21" s="8"/>
      <c r="L21" s="10"/>
      <c r="M21" s="8"/>
      <c r="N21" s="8" t="s">
        <v>601</v>
      </c>
      <c r="O21" s="26">
        <v>0</v>
      </c>
      <c r="P21" s="25" t="s">
        <v>308</v>
      </c>
      <c r="Q21" s="25" t="s">
        <v>308</v>
      </c>
      <c r="R21" s="25" t="s">
        <v>308</v>
      </c>
      <c r="S21" s="8"/>
      <c r="T21" s="10"/>
      <c r="U21" s="8"/>
      <c r="V21" s="8" t="s">
        <v>87</v>
      </c>
      <c r="W21" s="25" t="s">
        <v>308</v>
      </c>
      <c r="X21" s="25" t="s">
        <v>308</v>
      </c>
      <c r="Y21" s="25" t="s">
        <v>308</v>
      </c>
      <c r="Z21" s="8"/>
    </row>
    <row r="22" spans="1:26" x14ac:dyDescent="0.55000000000000004">
      <c r="A22" s="8" t="s">
        <v>120</v>
      </c>
      <c r="B22" s="25" t="s">
        <v>308</v>
      </c>
      <c r="C22" s="25" t="s">
        <v>308</v>
      </c>
      <c r="D22" s="25" t="s">
        <v>308</v>
      </c>
      <c r="E22" s="25" t="s">
        <v>308</v>
      </c>
      <c r="F22" s="25" t="s">
        <v>308</v>
      </c>
      <c r="G22" s="25" t="s">
        <v>308</v>
      </c>
      <c r="H22" s="25" t="s">
        <v>308</v>
      </c>
      <c r="I22" s="25" t="s">
        <v>308</v>
      </c>
      <c r="J22" s="25" t="s">
        <v>308</v>
      </c>
      <c r="K22" s="8"/>
      <c r="L22" s="10"/>
      <c r="M22" s="8"/>
      <c r="N22" s="8" t="s">
        <v>119</v>
      </c>
      <c r="O22" s="26">
        <v>0</v>
      </c>
      <c r="P22" s="25" t="s">
        <v>308</v>
      </c>
      <c r="Q22" s="25" t="s">
        <v>308</v>
      </c>
      <c r="R22" s="25" t="s">
        <v>308</v>
      </c>
      <c r="S22" s="8"/>
      <c r="T22" s="10"/>
      <c r="U22" s="8"/>
      <c r="V22" s="8" t="s">
        <v>95</v>
      </c>
      <c r="W22" s="25" t="s">
        <v>308</v>
      </c>
      <c r="X22" s="25" t="s">
        <v>308</v>
      </c>
      <c r="Y22" s="25" t="s">
        <v>308</v>
      </c>
      <c r="Z22" s="8"/>
    </row>
    <row r="23" spans="1:26" x14ac:dyDescent="0.55000000000000004">
      <c r="A23" s="8" t="s">
        <v>55</v>
      </c>
      <c r="B23" s="25" t="s">
        <v>308</v>
      </c>
      <c r="C23" s="25" t="s">
        <v>308</v>
      </c>
      <c r="D23" s="25" t="s">
        <v>308</v>
      </c>
      <c r="E23" s="25" t="s">
        <v>308</v>
      </c>
      <c r="F23" s="25" t="s">
        <v>308</v>
      </c>
      <c r="G23" s="25" t="s">
        <v>308</v>
      </c>
      <c r="H23" s="25" t="s">
        <v>308</v>
      </c>
      <c r="I23" s="25" t="s">
        <v>308</v>
      </c>
      <c r="J23" s="25" t="s">
        <v>308</v>
      </c>
      <c r="K23" s="8"/>
      <c r="L23" s="10"/>
      <c r="M23" s="8"/>
      <c r="N23" s="8" t="s">
        <v>54</v>
      </c>
      <c r="O23" s="26">
        <v>0</v>
      </c>
      <c r="P23" s="25" t="s">
        <v>308</v>
      </c>
      <c r="Q23" s="25" t="s">
        <v>308</v>
      </c>
      <c r="R23" s="25" t="s">
        <v>308</v>
      </c>
      <c r="S23" s="8"/>
      <c r="T23" s="10"/>
      <c r="U23" s="8"/>
      <c r="V23" s="8" t="s">
        <v>101</v>
      </c>
      <c r="W23" s="25" t="s">
        <v>308</v>
      </c>
      <c r="X23" s="25" t="s">
        <v>308</v>
      </c>
      <c r="Y23" s="25" t="s">
        <v>308</v>
      </c>
      <c r="Z23" s="8"/>
    </row>
    <row r="24" spans="1:26" x14ac:dyDescent="0.55000000000000004">
      <c r="A24" s="8" t="s">
        <v>615</v>
      </c>
      <c r="B24" s="25" t="s">
        <v>308</v>
      </c>
      <c r="C24" s="25" t="s">
        <v>308</v>
      </c>
      <c r="D24" s="25" t="s">
        <v>308</v>
      </c>
      <c r="E24" s="25" t="s">
        <v>308</v>
      </c>
      <c r="F24" s="25" t="s">
        <v>308</v>
      </c>
      <c r="G24" s="25" t="s">
        <v>308</v>
      </c>
      <c r="H24" s="25" t="s">
        <v>308</v>
      </c>
      <c r="I24" s="25" t="s">
        <v>308</v>
      </c>
      <c r="J24" s="25" t="s">
        <v>308</v>
      </c>
      <c r="K24" s="8"/>
      <c r="L24" s="10"/>
      <c r="M24" s="8"/>
      <c r="N24" s="8" t="s">
        <v>614</v>
      </c>
      <c r="O24" s="26">
        <v>0</v>
      </c>
      <c r="P24" s="25" t="s">
        <v>308</v>
      </c>
      <c r="Q24" s="25" t="s">
        <v>308</v>
      </c>
      <c r="R24" s="25" t="s">
        <v>308</v>
      </c>
      <c r="S24" s="8"/>
      <c r="T24" s="10"/>
      <c r="U24" s="8"/>
      <c r="V24" s="8"/>
      <c r="W24" s="8"/>
      <c r="X24" s="8"/>
      <c r="Y24" s="8"/>
      <c r="Z24" s="8"/>
    </row>
    <row r="25" spans="1:26" x14ac:dyDescent="0.55000000000000004">
      <c r="A25" s="8" t="s">
        <v>63</v>
      </c>
      <c r="B25" s="25" t="s">
        <v>308</v>
      </c>
      <c r="C25" s="25" t="s">
        <v>308</v>
      </c>
      <c r="D25" s="25" t="s">
        <v>308</v>
      </c>
      <c r="E25" s="25" t="s">
        <v>308</v>
      </c>
      <c r="F25" s="25" t="s">
        <v>308</v>
      </c>
      <c r="G25" s="25" t="s">
        <v>308</v>
      </c>
      <c r="H25" s="25" t="s">
        <v>308</v>
      </c>
      <c r="I25" s="25" t="s">
        <v>308</v>
      </c>
      <c r="J25" s="25" t="s">
        <v>308</v>
      </c>
      <c r="K25" s="8"/>
      <c r="L25" s="10"/>
      <c r="M25" s="8"/>
      <c r="N25" s="8" t="s">
        <v>62</v>
      </c>
      <c r="O25" s="26">
        <v>0</v>
      </c>
      <c r="P25" s="25" t="s">
        <v>308</v>
      </c>
      <c r="Q25" s="25" t="s">
        <v>308</v>
      </c>
      <c r="R25" s="25" t="s">
        <v>308</v>
      </c>
      <c r="S25" s="8"/>
      <c r="T25" s="10"/>
      <c r="U25" s="11"/>
      <c r="V25" s="11" t="s">
        <v>479</v>
      </c>
      <c r="W25" s="11"/>
      <c r="X25" s="11"/>
      <c r="Y25" s="11"/>
      <c r="Z25" s="11"/>
    </row>
    <row r="26" spans="1:26" x14ac:dyDescent="0.55000000000000004">
      <c r="A26" s="8" t="s">
        <v>124</v>
      </c>
      <c r="B26" s="25" t="s">
        <v>308</v>
      </c>
      <c r="C26" s="25" t="s">
        <v>308</v>
      </c>
      <c r="D26" s="25" t="s">
        <v>308</v>
      </c>
      <c r="E26" s="25" t="s">
        <v>308</v>
      </c>
      <c r="F26" s="25" t="s">
        <v>308</v>
      </c>
      <c r="G26" s="25" t="s">
        <v>308</v>
      </c>
      <c r="H26" s="25" t="s">
        <v>308</v>
      </c>
      <c r="I26" s="25" t="s">
        <v>308</v>
      </c>
      <c r="J26" s="25" t="s">
        <v>308</v>
      </c>
      <c r="K26" s="8"/>
      <c r="L26" s="10"/>
      <c r="M26" s="8"/>
      <c r="N26" s="8" t="s">
        <v>123</v>
      </c>
      <c r="O26" s="26">
        <v>0</v>
      </c>
      <c r="P26" s="25" t="s">
        <v>308</v>
      </c>
      <c r="Q26" s="25" t="s">
        <v>308</v>
      </c>
      <c r="R26" s="25" t="s">
        <v>308</v>
      </c>
      <c r="S26" s="8"/>
      <c r="T26" s="10"/>
      <c r="U26" s="13"/>
      <c r="V26" s="13"/>
      <c r="W26" s="13"/>
      <c r="X26" s="15" t="s">
        <v>339</v>
      </c>
      <c r="Y26" s="15" t="s">
        <v>474</v>
      </c>
      <c r="Z26" s="13"/>
    </row>
    <row r="27" spans="1:26" x14ac:dyDescent="0.55000000000000004">
      <c r="A27" s="8" t="s">
        <v>122</v>
      </c>
      <c r="B27" s="25" t="s">
        <v>308</v>
      </c>
      <c r="C27" s="25" t="s">
        <v>308</v>
      </c>
      <c r="D27" s="25" t="s">
        <v>308</v>
      </c>
      <c r="E27" s="25" t="s">
        <v>308</v>
      </c>
      <c r="F27" s="25" t="s">
        <v>308</v>
      </c>
      <c r="G27" s="25" t="s">
        <v>308</v>
      </c>
      <c r="H27" s="25" t="s">
        <v>308</v>
      </c>
      <c r="I27" s="25" t="s">
        <v>308</v>
      </c>
      <c r="J27" s="25" t="s">
        <v>308</v>
      </c>
      <c r="K27" s="8"/>
      <c r="L27" s="10"/>
      <c r="M27" s="8"/>
      <c r="N27" s="8" t="s">
        <v>121</v>
      </c>
      <c r="O27" s="26">
        <v>0</v>
      </c>
      <c r="P27" s="25" t="s">
        <v>308</v>
      </c>
      <c r="Q27" s="25" t="s">
        <v>308</v>
      </c>
      <c r="R27" s="25" t="s">
        <v>308</v>
      </c>
      <c r="S27" s="8"/>
      <c r="T27" s="10"/>
      <c r="U27" s="13"/>
      <c r="V27" s="13"/>
      <c r="W27" s="13"/>
      <c r="X27" s="16" t="s">
        <v>481</v>
      </c>
      <c r="Y27" s="16" t="s">
        <v>480</v>
      </c>
      <c r="Z27" s="13"/>
    </row>
    <row r="28" spans="1:26" x14ac:dyDescent="0.55000000000000004">
      <c r="A28" s="8" t="s">
        <v>116</v>
      </c>
      <c r="B28" s="25" t="s">
        <v>308</v>
      </c>
      <c r="C28" s="25" t="s">
        <v>308</v>
      </c>
      <c r="D28" s="25" t="s">
        <v>308</v>
      </c>
      <c r="E28" s="25" t="s">
        <v>308</v>
      </c>
      <c r="F28" s="25" t="s">
        <v>308</v>
      </c>
      <c r="G28" s="25" t="s">
        <v>308</v>
      </c>
      <c r="H28" s="25" t="s">
        <v>308</v>
      </c>
      <c r="I28" s="25" t="s">
        <v>308</v>
      </c>
      <c r="J28" s="25" t="s">
        <v>308</v>
      </c>
      <c r="K28" s="8"/>
      <c r="L28" s="10"/>
      <c r="M28" s="8"/>
      <c r="N28" s="8" t="s">
        <v>115</v>
      </c>
      <c r="O28" s="26">
        <v>0</v>
      </c>
      <c r="P28" s="25" t="s">
        <v>308</v>
      </c>
      <c r="Q28" s="25" t="s">
        <v>308</v>
      </c>
      <c r="R28" s="25" t="s">
        <v>308</v>
      </c>
      <c r="S28" s="8"/>
      <c r="T28" s="10"/>
      <c r="U28" s="8"/>
      <c r="V28" s="8" t="s">
        <v>475</v>
      </c>
      <c r="W28" s="8" t="s">
        <v>791</v>
      </c>
      <c r="X28" s="25" t="s">
        <v>308</v>
      </c>
      <c r="Y28" s="25" t="s">
        <v>308</v>
      </c>
      <c r="Z28" s="8"/>
    </row>
    <row r="29" spans="1:26" x14ac:dyDescent="0.55000000000000004">
      <c r="A29" s="8" t="s">
        <v>112</v>
      </c>
      <c r="B29" s="25" t="s">
        <v>308</v>
      </c>
      <c r="C29" s="25" t="s">
        <v>308</v>
      </c>
      <c r="D29" s="25" t="s">
        <v>308</v>
      </c>
      <c r="E29" s="25" t="s">
        <v>308</v>
      </c>
      <c r="F29" s="25" t="s">
        <v>308</v>
      </c>
      <c r="G29" s="25" t="s">
        <v>308</v>
      </c>
      <c r="H29" s="25" t="s">
        <v>308</v>
      </c>
      <c r="I29" s="25" t="s">
        <v>308</v>
      </c>
      <c r="J29" s="25" t="s">
        <v>308</v>
      </c>
      <c r="K29" s="8"/>
      <c r="L29" s="10"/>
      <c r="M29" s="8"/>
      <c r="N29" s="8" t="s">
        <v>111</v>
      </c>
      <c r="O29" s="26">
        <v>0</v>
      </c>
      <c r="P29" s="25" t="s">
        <v>308</v>
      </c>
      <c r="Q29" s="25" t="s">
        <v>308</v>
      </c>
      <c r="R29" s="25" t="s">
        <v>308</v>
      </c>
      <c r="S29" s="8"/>
      <c r="T29" s="10"/>
      <c r="U29" s="8"/>
      <c r="V29" s="8"/>
      <c r="W29" s="8" t="s">
        <v>792</v>
      </c>
      <c r="X29" s="25" t="s">
        <v>308</v>
      </c>
      <c r="Y29" s="25" t="s">
        <v>308</v>
      </c>
      <c r="Z29" s="8"/>
    </row>
    <row r="30" spans="1:26" x14ac:dyDescent="0.55000000000000004">
      <c r="A30" s="8" t="s">
        <v>629</v>
      </c>
      <c r="B30" s="25" t="s">
        <v>308</v>
      </c>
      <c r="C30" s="25" t="s">
        <v>308</v>
      </c>
      <c r="D30" s="25" t="s">
        <v>308</v>
      </c>
      <c r="E30" s="25" t="s">
        <v>308</v>
      </c>
      <c r="F30" s="25" t="s">
        <v>308</v>
      </c>
      <c r="G30" s="25" t="s">
        <v>308</v>
      </c>
      <c r="H30" s="25" t="s">
        <v>308</v>
      </c>
      <c r="I30" s="25" t="s">
        <v>308</v>
      </c>
      <c r="J30" s="25" t="s">
        <v>308</v>
      </c>
      <c r="K30" s="8"/>
      <c r="L30" s="10"/>
      <c r="M30" s="8"/>
      <c r="N30" s="8" t="s">
        <v>628</v>
      </c>
      <c r="O30" s="26">
        <v>0</v>
      </c>
      <c r="P30" s="25" t="s">
        <v>308</v>
      </c>
      <c r="Q30" s="25" t="s">
        <v>308</v>
      </c>
      <c r="R30" s="25" t="s">
        <v>308</v>
      </c>
      <c r="S30" s="8"/>
      <c r="T30" s="10"/>
      <c r="U30" s="8"/>
      <c r="V30" s="8"/>
      <c r="W30" s="8" t="s">
        <v>793</v>
      </c>
      <c r="X30" s="25" t="s">
        <v>308</v>
      </c>
      <c r="Y30" s="25" t="s">
        <v>308</v>
      </c>
      <c r="Z30" s="8"/>
    </row>
    <row r="31" spans="1:26" x14ac:dyDescent="0.55000000000000004">
      <c r="A31" s="8" t="s">
        <v>127</v>
      </c>
      <c r="B31" s="25" t="s">
        <v>308</v>
      </c>
      <c r="C31" s="25" t="s">
        <v>308</v>
      </c>
      <c r="D31" s="25" t="s">
        <v>308</v>
      </c>
      <c r="E31" s="25" t="s">
        <v>308</v>
      </c>
      <c r="F31" s="25" t="s">
        <v>308</v>
      </c>
      <c r="G31" s="25" t="s">
        <v>308</v>
      </c>
      <c r="H31" s="25" t="s">
        <v>308</v>
      </c>
      <c r="I31" s="25" t="s">
        <v>308</v>
      </c>
      <c r="J31" s="25" t="s">
        <v>308</v>
      </c>
      <c r="K31" s="8"/>
      <c r="L31" s="10"/>
      <c r="M31" s="8"/>
      <c r="N31" s="8" t="s">
        <v>126</v>
      </c>
      <c r="O31" s="26">
        <v>0</v>
      </c>
      <c r="P31" s="25" t="s">
        <v>308</v>
      </c>
      <c r="Q31" s="25" t="s">
        <v>308</v>
      </c>
      <c r="R31" s="25" t="s">
        <v>308</v>
      </c>
      <c r="S31" s="8"/>
      <c r="T31" s="10"/>
      <c r="U31" s="8"/>
      <c r="V31" s="8"/>
      <c r="W31" s="8" t="s">
        <v>794</v>
      </c>
      <c r="X31" s="25" t="s">
        <v>308</v>
      </c>
      <c r="Y31" s="25" t="s">
        <v>308</v>
      </c>
      <c r="Z31" s="8"/>
    </row>
    <row r="32" spans="1:26" x14ac:dyDescent="0.55000000000000004">
      <c r="A32" s="8" t="s">
        <v>130</v>
      </c>
      <c r="B32" s="25" t="s">
        <v>308</v>
      </c>
      <c r="C32" s="25" t="s">
        <v>308</v>
      </c>
      <c r="D32" s="25" t="s">
        <v>308</v>
      </c>
      <c r="E32" s="25" t="s">
        <v>308</v>
      </c>
      <c r="F32" s="25" t="s">
        <v>308</v>
      </c>
      <c r="G32" s="25" t="s">
        <v>308</v>
      </c>
      <c r="H32" s="25" t="s">
        <v>308</v>
      </c>
      <c r="I32" s="25" t="s">
        <v>308</v>
      </c>
      <c r="J32" s="25" t="s">
        <v>308</v>
      </c>
      <c r="K32" s="8"/>
      <c r="L32" s="10"/>
      <c r="M32" s="8"/>
      <c r="N32" s="8" t="s">
        <v>129</v>
      </c>
      <c r="O32" s="26">
        <v>0</v>
      </c>
      <c r="P32" s="25" t="s">
        <v>308</v>
      </c>
      <c r="Q32" s="25" t="s">
        <v>308</v>
      </c>
      <c r="R32" s="25" t="s">
        <v>308</v>
      </c>
      <c r="S32" s="8"/>
      <c r="T32" s="10"/>
      <c r="U32" s="8"/>
      <c r="V32" s="8"/>
      <c r="W32" s="8" t="s">
        <v>795</v>
      </c>
      <c r="X32" s="25" t="s">
        <v>308</v>
      </c>
      <c r="Y32" s="25" t="s">
        <v>308</v>
      </c>
      <c r="Z32" s="8"/>
    </row>
    <row r="33" spans="1:26" x14ac:dyDescent="0.55000000000000004">
      <c r="A33" s="8" t="s">
        <v>140</v>
      </c>
      <c r="B33" s="25" t="s">
        <v>308</v>
      </c>
      <c r="C33" s="25" t="s">
        <v>308</v>
      </c>
      <c r="D33" s="25" t="s">
        <v>308</v>
      </c>
      <c r="E33" s="25" t="s">
        <v>308</v>
      </c>
      <c r="F33" s="25" t="s">
        <v>308</v>
      </c>
      <c r="G33" s="25" t="s">
        <v>308</v>
      </c>
      <c r="H33" s="25" t="s">
        <v>308</v>
      </c>
      <c r="I33" s="25" t="s">
        <v>308</v>
      </c>
      <c r="J33" s="25" t="s">
        <v>308</v>
      </c>
      <c r="K33" s="8"/>
      <c r="L33" s="10"/>
      <c r="M33" s="8"/>
      <c r="N33" s="8" t="s">
        <v>139</v>
      </c>
      <c r="O33" s="26">
        <v>0</v>
      </c>
      <c r="P33" s="25" t="s">
        <v>308</v>
      </c>
      <c r="Q33" s="25" t="s">
        <v>308</v>
      </c>
      <c r="R33" s="25" t="s">
        <v>308</v>
      </c>
      <c r="S33" s="8"/>
      <c r="T33" s="10"/>
      <c r="U33" s="8"/>
      <c r="V33" s="8" t="s">
        <v>476</v>
      </c>
      <c r="W33" s="8" t="s">
        <v>89</v>
      </c>
      <c r="X33" s="25" t="s">
        <v>308</v>
      </c>
      <c r="Y33" s="25" t="s">
        <v>308</v>
      </c>
      <c r="Z33" s="8"/>
    </row>
    <row r="34" spans="1:26" x14ac:dyDescent="0.55000000000000004">
      <c r="A34" s="8" t="s">
        <v>135</v>
      </c>
      <c r="B34" s="25" t="s">
        <v>308</v>
      </c>
      <c r="C34" s="25" t="s">
        <v>308</v>
      </c>
      <c r="D34" s="25" t="s">
        <v>308</v>
      </c>
      <c r="E34" s="25" t="s">
        <v>308</v>
      </c>
      <c r="F34" s="25" t="s">
        <v>308</v>
      </c>
      <c r="G34" s="25" t="s">
        <v>308</v>
      </c>
      <c r="H34" s="25" t="s">
        <v>308</v>
      </c>
      <c r="I34" s="25" t="s">
        <v>308</v>
      </c>
      <c r="J34" s="25" t="s">
        <v>308</v>
      </c>
      <c r="K34" s="8"/>
      <c r="L34" s="10"/>
      <c r="M34" s="8"/>
      <c r="N34" s="8" t="s">
        <v>134</v>
      </c>
      <c r="O34" s="26">
        <v>0</v>
      </c>
      <c r="P34" s="25" t="s">
        <v>308</v>
      </c>
      <c r="Q34" s="25" t="s">
        <v>308</v>
      </c>
      <c r="R34" s="25" t="s">
        <v>308</v>
      </c>
      <c r="S34" s="8"/>
      <c r="T34" s="10"/>
      <c r="U34" s="8"/>
      <c r="V34" s="8"/>
      <c r="W34" s="8" t="s">
        <v>97</v>
      </c>
      <c r="X34" s="25" t="s">
        <v>308</v>
      </c>
      <c r="Y34" s="25" t="s">
        <v>308</v>
      </c>
      <c r="Z34" s="8"/>
    </row>
    <row r="35" spans="1:26" x14ac:dyDescent="0.55000000000000004">
      <c r="A35" s="8" t="s">
        <v>142</v>
      </c>
      <c r="B35" s="25" t="s">
        <v>308</v>
      </c>
      <c r="C35" s="25" t="s">
        <v>308</v>
      </c>
      <c r="D35" s="25" t="s">
        <v>308</v>
      </c>
      <c r="E35" s="25" t="s">
        <v>308</v>
      </c>
      <c r="F35" s="25" t="s">
        <v>308</v>
      </c>
      <c r="G35" s="25" t="s">
        <v>308</v>
      </c>
      <c r="H35" s="25" t="s">
        <v>308</v>
      </c>
      <c r="I35" s="25" t="s">
        <v>308</v>
      </c>
      <c r="J35" s="25" t="s">
        <v>308</v>
      </c>
      <c r="K35" s="8"/>
      <c r="L35" s="10"/>
      <c r="M35" s="8"/>
      <c r="N35" s="8" t="s">
        <v>141</v>
      </c>
      <c r="O35" s="26">
        <v>0</v>
      </c>
      <c r="P35" s="25" t="s">
        <v>308</v>
      </c>
      <c r="Q35" s="25" t="s">
        <v>308</v>
      </c>
      <c r="R35" s="25" t="s">
        <v>308</v>
      </c>
      <c r="S35" s="8"/>
      <c r="T35" s="10"/>
      <c r="U35" s="8"/>
      <c r="V35" s="8"/>
      <c r="W35" s="8" t="s">
        <v>103</v>
      </c>
      <c r="X35" s="25" t="s">
        <v>308</v>
      </c>
      <c r="Y35" s="25" t="s">
        <v>308</v>
      </c>
      <c r="Z35" s="8"/>
    </row>
    <row r="36" spans="1:26" x14ac:dyDescent="0.55000000000000004">
      <c r="A36" s="8" t="s">
        <v>133</v>
      </c>
      <c r="B36" s="25" t="s">
        <v>308</v>
      </c>
      <c r="C36" s="25" t="s">
        <v>308</v>
      </c>
      <c r="D36" s="25" t="s">
        <v>308</v>
      </c>
      <c r="E36" s="25" t="s">
        <v>308</v>
      </c>
      <c r="F36" s="25" t="s">
        <v>308</v>
      </c>
      <c r="G36" s="25" t="s">
        <v>308</v>
      </c>
      <c r="H36" s="25" t="s">
        <v>308</v>
      </c>
      <c r="I36" s="25" t="s">
        <v>308</v>
      </c>
      <c r="J36" s="25" t="s">
        <v>308</v>
      </c>
      <c r="K36" s="8"/>
      <c r="L36" s="10"/>
      <c r="M36" s="8"/>
      <c r="N36" s="8" t="s">
        <v>132</v>
      </c>
      <c r="O36" s="26">
        <v>0</v>
      </c>
      <c r="P36" s="25" t="s">
        <v>308</v>
      </c>
      <c r="Q36" s="25" t="s">
        <v>308</v>
      </c>
      <c r="R36" s="25" t="s">
        <v>308</v>
      </c>
      <c r="S36" s="8"/>
      <c r="T36" s="10"/>
      <c r="U36" s="8"/>
      <c r="V36" s="8"/>
      <c r="W36" s="8" t="s">
        <v>109</v>
      </c>
      <c r="X36" s="25" t="s">
        <v>308</v>
      </c>
      <c r="Y36" s="25" t="s">
        <v>308</v>
      </c>
      <c r="Z36" s="8"/>
    </row>
    <row r="37" spans="1:26" x14ac:dyDescent="0.55000000000000004">
      <c r="A37" s="8" t="s">
        <v>138</v>
      </c>
      <c r="B37" s="25" t="s">
        <v>308</v>
      </c>
      <c r="C37" s="25" t="s">
        <v>308</v>
      </c>
      <c r="D37" s="25" t="s">
        <v>308</v>
      </c>
      <c r="E37" s="25" t="s">
        <v>308</v>
      </c>
      <c r="F37" s="25" t="s">
        <v>308</v>
      </c>
      <c r="G37" s="25" t="s">
        <v>308</v>
      </c>
      <c r="H37" s="25" t="s">
        <v>308</v>
      </c>
      <c r="I37" s="25" t="s">
        <v>308</v>
      </c>
      <c r="J37" s="25" t="s">
        <v>308</v>
      </c>
      <c r="K37" s="8"/>
      <c r="L37" s="10"/>
      <c r="M37" s="8"/>
      <c r="N37" s="8" t="s">
        <v>137</v>
      </c>
      <c r="O37" s="26">
        <v>0</v>
      </c>
      <c r="P37" s="25" t="s">
        <v>308</v>
      </c>
      <c r="Q37" s="25" t="s">
        <v>308</v>
      </c>
      <c r="R37" s="25" t="s">
        <v>308</v>
      </c>
      <c r="S37" s="8"/>
      <c r="T37" s="10"/>
      <c r="U37" s="8"/>
      <c r="V37" s="8"/>
      <c r="W37" s="8" t="s">
        <v>113</v>
      </c>
      <c r="X37" s="25" t="s">
        <v>308</v>
      </c>
      <c r="Y37" s="25" t="s">
        <v>308</v>
      </c>
      <c r="Z37" s="8"/>
    </row>
    <row r="38" spans="1:26" x14ac:dyDescent="0.55000000000000004">
      <c r="A38" s="8" t="s">
        <v>639</v>
      </c>
      <c r="B38" s="25" t="s">
        <v>308</v>
      </c>
      <c r="C38" s="25" t="s">
        <v>308</v>
      </c>
      <c r="D38" s="25" t="s">
        <v>308</v>
      </c>
      <c r="E38" s="25" t="s">
        <v>308</v>
      </c>
      <c r="F38" s="25" t="s">
        <v>308</v>
      </c>
      <c r="G38" s="25" t="s">
        <v>308</v>
      </c>
      <c r="H38" s="25" t="s">
        <v>308</v>
      </c>
      <c r="I38" s="25" t="s">
        <v>308</v>
      </c>
      <c r="J38" s="25" t="s">
        <v>308</v>
      </c>
      <c r="K38" s="8"/>
      <c r="L38" s="10"/>
      <c r="M38" s="8"/>
      <c r="N38" s="8" t="s">
        <v>638</v>
      </c>
      <c r="O38" s="26">
        <v>0</v>
      </c>
      <c r="P38" s="25" t="s">
        <v>308</v>
      </c>
      <c r="Q38" s="25" t="s">
        <v>308</v>
      </c>
      <c r="R38" s="25" t="s">
        <v>308</v>
      </c>
      <c r="S38" s="8"/>
      <c r="T38" s="10"/>
      <c r="U38" s="8"/>
      <c r="V38" s="8" t="s">
        <v>477</v>
      </c>
      <c r="W38" s="8" t="s">
        <v>607</v>
      </c>
      <c r="X38" s="25" t="s">
        <v>308</v>
      </c>
      <c r="Y38" s="25" t="s">
        <v>308</v>
      </c>
      <c r="Z38" s="8"/>
    </row>
    <row r="39" spans="1:26" x14ac:dyDescent="0.55000000000000004">
      <c r="A39" s="8" t="s">
        <v>642</v>
      </c>
      <c r="B39" s="25" t="s">
        <v>308</v>
      </c>
      <c r="C39" s="25" t="s">
        <v>308</v>
      </c>
      <c r="D39" s="25" t="s">
        <v>308</v>
      </c>
      <c r="E39" s="25" t="s">
        <v>308</v>
      </c>
      <c r="F39" s="25" t="s">
        <v>308</v>
      </c>
      <c r="G39" s="25" t="s">
        <v>308</v>
      </c>
      <c r="H39" s="25" t="s">
        <v>308</v>
      </c>
      <c r="I39" s="25" t="s">
        <v>308</v>
      </c>
      <c r="J39" s="25" t="s">
        <v>308</v>
      </c>
      <c r="K39" s="8"/>
      <c r="L39" s="10"/>
      <c r="M39" s="8"/>
      <c r="N39" s="8" t="s">
        <v>641</v>
      </c>
      <c r="O39" s="26">
        <v>0</v>
      </c>
      <c r="P39" s="25" t="s">
        <v>308</v>
      </c>
      <c r="Q39" s="25" t="s">
        <v>308</v>
      </c>
      <c r="R39" s="25" t="s">
        <v>308</v>
      </c>
      <c r="S39" s="8"/>
      <c r="T39" s="10"/>
      <c r="U39" s="8"/>
      <c r="V39" s="8"/>
      <c r="W39" s="8" t="s">
        <v>612</v>
      </c>
      <c r="X39" s="25" t="s">
        <v>308</v>
      </c>
      <c r="Y39" s="25" t="s">
        <v>308</v>
      </c>
      <c r="Z39" s="8"/>
    </row>
    <row r="40" spans="1:26" x14ac:dyDescent="0.55000000000000004">
      <c r="A40" s="8" t="s">
        <v>645</v>
      </c>
      <c r="B40" s="25" t="s">
        <v>308</v>
      </c>
      <c r="C40" s="25" t="s">
        <v>308</v>
      </c>
      <c r="D40" s="25" t="s">
        <v>308</v>
      </c>
      <c r="E40" s="25" t="s">
        <v>308</v>
      </c>
      <c r="F40" s="25" t="s">
        <v>308</v>
      </c>
      <c r="G40" s="25" t="s">
        <v>308</v>
      </c>
      <c r="H40" s="25" t="s">
        <v>308</v>
      </c>
      <c r="I40" s="25" t="s">
        <v>308</v>
      </c>
      <c r="J40" s="25" t="s">
        <v>308</v>
      </c>
      <c r="K40" s="8"/>
      <c r="L40" s="10"/>
      <c r="M40" s="8"/>
      <c r="N40" s="8" t="s">
        <v>644</v>
      </c>
      <c r="O40" s="26">
        <v>0</v>
      </c>
      <c r="P40" s="25" t="s">
        <v>308</v>
      </c>
      <c r="Q40" s="25" t="s">
        <v>308</v>
      </c>
      <c r="R40" s="25" t="s">
        <v>308</v>
      </c>
      <c r="S40" s="8"/>
      <c r="T40" s="10"/>
      <c r="U40" s="8"/>
      <c r="V40" s="8"/>
      <c r="W40" s="8" t="s">
        <v>617</v>
      </c>
      <c r="X40" s="25" t="s">
        <v>308</v>
      </c>
      <c r="Y40" s="25" t="s">
        <v>308</v>
      </c>
      <c r="Z40" s="8"/>
    </row>
    <row r="41" spans="1:26" x14ac:dyDescent="0.55000000000000004">
      <c r="A41" s="8" t="s">
        <v>648</v>
      </c>
      <c r="B41" s="25" t="s">
        <v>308</v>
      </c>
      <c r="C41" s="25" t="s">
        <v>308</v>
      </c>
      <c r="D41" s="25" t="s">
        <v>308</v>
      </c>
      <c r="E41" s="25" t="s">
        <v>308</v>
      </c>
      <c r="F41" s="25" t="s">
        <v>308</v>
      </c>
      <c r="G41" s="25" t="s">
        <v>308</v>
      </c>
      <c r="H41" s="25" t="s">
        <v>308</v>
      </c>
      <c r="I41" s="25" t="s">
        <v>308</v>
      </c>
      <c r="J41" s="25" t="s">
        <v>308</v>
      </c>
      <c r="K41" s="8"/>
      <c r="L41" s="10"/>
      <c r="M41" s="8"/>
      <c r="N41" s="8" t="s">
        <v>647</v>
      </c>
      <c r="O41" s="26">
        <v>0</v>
      </c>
      <c r="P41" s="25" t="s">
        <v>308</v>
      </c>
      <c r="Q41" s="25" t="s">
        <v>308</v>
      </c>
      <c r="R41" s="25" t="s">
        <v>308</v>
      </c>
      <c r="S41" s="8"/>
      <c r="T41" s="10"/>
      <c r="U41" s="8"/>
      <c r="V41" s="8"/>
      <c r="W41" s="8" t="s">
        <v>620</v>
      </c>
      <c r="X41" s="25" t="s">
        <v>308</v>
      </c>
      <c r="Y41" s="25" t="s">
        <v>308</v>
      </c>
      <c r="Z41" s="8"/>
    </row>
    <row r="42" spans="1:26" x14ac:dyDescent="0.55000000000000004">
      <c r="A42" s="8" t="s">
        <v>145</v>
      </c>
      <c r="B42" s="25" t="s">
        <v>308</v>
      </c>
      <c r="C42" s="25" t="s">
        <v>308</v>
      </c>
      <c r="D42" s="25" t="s">
        <v>308</v>
      </c>
      <c r="E42" s="25" t="s">
        <v>308</v>
      </c>
      <c r="F42" s="25" t="s">
        <v>308</v>
      </c>
      <c r="G42" s="25" t="s">
        <v>308</v>
      </c>
      <c r="H42" s="25" t="s">
        <v>308</v>
      </c>
      <c r="I42" s="25" t="s">
        <v>308</v>
      </c>
      <c r="J42" s="25" t="s">
        <v>308</v>
      </c>
      <c r="K42" s="8"/>
      <c r="L42" s="10"/>
      <c r="M42" s="8"/>
      <c r="N42" s="8" t="s">
        <v>144</v>
      </c>
      <c r="O42" s="26">
        <v>0</v>
      </c>
      <c r="P42" s="25" t="s">
        <v>308</v>
      </c>
      <c r="Q42" s="25" t="s">
        <v>308</v>
      </c>
      <c r="R42" s="25" t="s">
        <v>308</v>
      </c>
      <c r="S42" s="8"/>
      <c r="T42" s="10"/>
      <c r="U42" s="8"/>
      <c r="V42" s="8"/>
      <c r="W42" s="8" t="s">
        <v>623</v>
      </c>
      <c r="X42" s="25" t="s">
        <v>308</v>
      </c>
      <c r="Y42" s="25" t="s">
        <v>308</v>
      </c>
      <c r="Z42" s="8"/>
    </row>
    <row r="43" spans="1:26" x14ac:dyDescent="0.55000000000000004">
      <c r="A43" s="8" t="s">
        <v>148</v>
      </c>
      <c r="B43" s="25" t="s">
        <v>308</v>
      </c>
      <c r="C43" s="25" t="s">
        <v>308</v>
      </c>
      <c r="D43" s="25" t="s">
        <v>308</v>
      </c>
      <c r="E43" s="25" t="s">
        <v>308</v>
      </c>
      <c r="F43" s="25" t="s">
        <v>308</v>
      </c>
      <c r="G43" s="25" t="s">
        <v>308</v>
      </c>
      <c r="H43" s="25" t="s">
        <v>308</v>
      </c>
      <c r="I43" s="25" t="s">
        <v>308</v>
      </c>
      <c r="J43" s="25" t="s">
        <v>308</v>
      </c>
      <c r="K43" s="8"/>
      <c r="L43" s="10"/>
      <c r="M43" s="8"/>
      <c r="N43" s="8" t="s">
        <v>147</v>
      </c>
      <c r="O43" s="26">
        <v>0</v>
      </c>
      <c r="P43" s="25" t="s">
        <v>308</v>
      </c>
      <c r="Q43" s="25" t="s">
        <v>308</v>
      </c>
      <c r="R43" s="25" t="s">
        <v>308</v>
      </c>
      <c r="S43" s="8"/>
      <c r="T43" s="10"/>
      <c r="U43" s="8"/>
      <c r="V43" s="8"/>
      <c r="W43" s="8"/>
      <c r="X43" s="8"/>
      <c r="Y43" s="8"/>
      <c r="Z43" s="8"/>
    </row>
    <row r="44" spans="1:26" x14ac:dyDescent="0.55000000000000004">
      <c r="A44" s="8" t="s">
        <v>150</v>
      </c>
      <c r="B44" s="25" t="s">
        <v>308</v>
      </c>
      <c r="C44" s="25" t="s">
        <v>308</v>
      </c>
      <c r="D44" s="25" t="s">
        <v>308</v>
      </c>
      <c r="E44" s="25" t="s">
        <v>308</v>
      </c>
      <c r="F44" s="25" t="s">
        <v>308</v>
      </c>
      <c r="G44" s="25" t="s">
        <v>308</v>
      </c>
      <c r="H44" s="25" t="s">
        <v>308</v>
      </c>
      <c r="I44" s="25" t="s">
        <v>308</v>
      </c>
      <c r="J44" s="25" t="s">
        <v>308</v>
      </c>
      <c r="K44" s="8"/>
      <c r="L44" s="10"/>
      <c r="M44" s="8"/>
      <c r="N44" s="8" t="s">
        <v>149</v>
      </c>
      <c r="O44" s="26">
        <v>0</v>
      </c>
      <c r="P44" s="25" t="s">
        <v>308</v>
      </c>
      <c r="Q44" s="25" t="s">
        <v>308</v>
      </c>
      <c r="R44" s="25" t="s">
        <v>308</v>
      </c>
      <c r="S44" s="8"/>
      <c r="T44" s="10"/>
      <c r="U44" s="10"/>
      <c r="V44" s="11" t="s">
        <v>309</v>
      </c>
      <c r="W44" s="10"/>
      <c r="X44" s="10"/>
      <c r="Y44" s="10"/>
      <c r="Z44" s="10"/>
    </row>
    <row r="45" spans="1:26" x14ac:dyDescent="0.55000000000000004">
      <c r="A45" s="8" t="s">
        <v>654</v>
      </c>
      <c r="B45" s="25" t="s">
        <v>308</v>
      </c>
      <c r="C45" s="25" t="s">
        <v>308</v>
      </c>
      <c r="D45" s="25" t="s">
        <v>308</v>
      </c>
      <c r="E45" s="25" t="s">
        <v>308</v>
      </c>
      <c r="F45" s="25" t="s">
        <v>308</v>
      </c>
      <c r="G45" s="25" t="s">
        <v>308</v>
      </c>
      <c r="H45" s="25" t="s">
        <v>308</v>
      </c>
      <c r="I45" s="25" t="s">
        <v>308</v>
      </c>
      <c r="J45" s="25" t="s">
        <v>308</v>
      </c>
      <c r="K45" s="8"/>
      <c r="L45" s="10"/>
      <c r="M45" s="8"/>
      <c r="N45" s="8" t="s">
        <v>653</v>
      </c>
      <c r="O45" s="26">
        <v>0</v>
      </c>
      <c r="P45" s="25" t="s">
        <v>308</v>
      </c>
      <c r="Q45" s="25" t="s">
        <v>308</v>
      </c>
      <c r="R45" s="25" t="s">
        <v>308</v>
      </c>
      <c r="S45" s="8"/>
      <c r="T45" s="10"/>
      <c r="U45" s="8"/>
      <c r="V45" s="8"/>
      <c r="W45" s="8"/>
      <c r="X45" s="8"/>
      <c r="Y45" s="8"/>
      <c r="Z45" s="8"/>
    </row>
    <row r="46" spans="1:26" x14ac:dyDescent="0.55000000000000004">
      <c r="A46" s="8" t="s">
        <v>152</v>
      </c>
      <c r="B46" s="25" t="s">
        <v>308</v>
      </c>
      <c r="C46" s="25" t="s">
        <v>308</v>
      </c>
      <c r="D46" s="25" t="s">
        <v>308</v>
      </c>
      <c r="E46" s="25" t="s">
        <v>308</v>
      </c>
      <c r="F46" s="25" t="s">
        <v>308</v>
      </c>
      <c r="G46" s="25" t="s">
        <v>308</v>
      </c>
      <c r="H46" s="25" t="s">
        <v>308</v>
      </c>
      <c r="I46" s="25" t="s">
        <v>308</v>
      </c>
      <c r="J46" s="25" t="s">
        <v>308</v>
      </c>
      <c r="K46" s="8"/>
      <c r="L46" s="10"/>
      <c r="M46" s="8"/>
      <c r="N46" s="8" t="s">
        <v>151</v>
      </c>
      <c r="O46" s="26">
        <v>0</v>
      </c>
      <c r="P46" s="25" t="s">
        <v>308</v>
      </c>
      <c r="Q46" s="25" t="s">
        <v>308</v>
      </c>
      <c r="R46" s="25" t="s">
        <v>308</v>
      </c>
      <c r="S46" s="8"/>
      <c r="T46" s="10"/>
      <c r="U46" s="8"/>
      <c r="V46" s="8" t="s">
        <v>310</v>
      </c>
      <c r="W46" s="8"/>
      <c r="X46" s="8" t="s">
        <v>311</v>
      </c>
      <c r="Y46" s="25" t="s">
        <v>308</v>
      </c>
      <c r="Z46" s="8"/>
    </row>
    <row r="47" spans="1:26" x14ac:dyDescent="0.55000000000000004">
      <c r="A47" s="8" t="s">
        <v>154</v>
      </c>
      <c r="B47" s="25" t="s">
        <v>308</v>
      </c>
      <c r="C47" s="25" t="s">
        <v>308</v>
      </c>
      <c r="D47" s="25" t="s">
        <v>308</v>
      </c>
      <c r="E47" s="25" t="s">
        <v>308</v>
      </c>
      <c r="F47" s="25" t="s">
        <v>308</v>
      </c>
      <c r="G47" s="25" t="s">
        <v>308</v>
      </c>
      <c r="H47" s="25" t="s">
        <v>308</v>
      </c>
      <c r="I47" s="25" t="s">
        <v>308</v>
      </c>
      <c r="J47" s="25" t="s">
        <v>308</v>
      </c>
      <c r="K47" s="8"/>
      <c r="L47" s="10"/>
      <c r="M47" s="8"/>
      <c r="N47" s="8" t="s">
        <v>153</v>
      </c>
      <c r="O47" s="26">
        <v>0</v>
      </c>
      <c r="P47" s="25" t="s">
        <v>308</v>
      </c>
      <c r="Q47" s="25" t="s">
        <v>308</v>
      </c>
      <c r="R47" s="25" t="s">
        <v>308</v>
      </c>
      <c r="S47" s="8"/>
      <c r="T47" s="10"/>
      <c r="U47" s="8"/>
      <c r="V47" s="8" t="s">
        <v>312</v>
      </c>
      <c r="W47" s="8"/>
      <c r="X47" s="8" t="s">
        <v>313</v>
      </c>
      <c r="Y47" s="25" t="s">
        <v>308</v>
      </c>
      <c r="Z47" s="8"/>
    </row>
    <row r="48" spans="1:26" x14ac:dyDescent="0.55000000000000004">
      <c r="A48" s="8" t="s">
        <v>156</v>
      </c>
      <c r="B48" s="25" t="s">
        <v>308</v>
      </c>
      <c r="C48" s="25" t="s">
        <v>308</v>
      </c>
      <c r="D48" s="25" t="s">
        <v>308</v>
      </c>
      <c r="E48" s="25" t="s">
        <v>308</v>
      </c>
      <c r="F48" s="25" t="s">
        <v>308</v>
      </c>
      <c r="G48" s="25" t="s">
        <v>308</v>
      </c>
      <c r="H48" s="25" t="s">
        <v>308</v>
      </c>
      <c r="I48" s="25" t="s">
        <v>308</v>
      </c>
      <c r="J48" s="25" t="s">
        <v>308</v>
      </c>
      <c r="K48" s="8"/>
      <c r="L48" s="10"/>
      <c r="M48" s="8"/>
      <c r="N48" s="8" t="s">
        <v>155</v>
      </c>
      <c r="O48" s="26">
        <v>0</v>
      </c>
      <c r="P48" s="25" t="s">
        <v>308</v>
      </c>
      <c r="Q48" s="25" t="s">
        <v>308</v>
      </c>
      <c r="R48" s="25" t="s">
        <v>308</v>
      </c>
      <c r="S48" s="8"/>
      <c r="T48" s="10"/>
      <c r="U48" s="8"/>
      <c r="V48" s="8" t="s">
        <v>314</v>
      </c>
      <c r="W48" s="8"/>
      <c r="X48" s="8" t="s">
        <v>315</v>
      </c>
      <c r="Y48" s="25">
        <v>-10</v>
      </c>
      <c r="Z48" s="8"/>
    </row>
    <row r="49" spans="1:26" x14ac:dyDescent="0.55000000000000004">
      <c r="A49" s="8" t="s">
        <v>160</v>
      </c>
      <c r="B49" s="25" t="s">
        <v>308</v>
      </c>
      <c r="C49" s="25" t="s">
        <v>308</v>
      </c>
      <c r="D49" s="25" t="s">
        <v>308</v>
      </c>
      <c r="E49" s="25" t="s">
        <v>308</v>
      </c>
      <c r="F49" s="25" t="s">
        <v>308</v>
      </c>
      <c r="G49" s="25" t="s">
        <v>308</v>
      </c>
      <c r="H49" s="25" t="s">
        <v>308</v>
      </c>
      <c r="I49" s="25" t="s">
        <v>308</v>
      </c>
      <c r="J49" s="25" t="s">
        <v>308</v>
      </c>
      <c r="K49" s="8"/>
      <c r="L49" s="10"/>
      <c r="M49" s="8"/>
      <c r="N49" s="8" t="s">
        <v>159</v>
      </c>
      <c r="O49" s="26">
        <v>0</v>
      </c>
      <c r="P49" s="25" t="s">
        <v>308</v>
      </c>
      <c r="Q49" s="25" t="s">
        <v>308</v>
      </c>
      <c r="R49" s="25" t="s">
        <v>308</v>
      </c>
      <c r="S49" s="8"/>
      <c r="T49" s="10"/>
      <c r="U49" s="8"/>
      <c r="V49" s="8" t="s">
        <v>333</v>
      </c>
      <c r="W49" s="8"/>
      <c r="X49" s="8" t="s">
        <v>316</v>
      </c>
      <c r="Y49" s="25" t="s">
        <v>308</v>
      </c>
      <c r="Z49" s="8"/>
    </row>
    <row r="50" spans="1:26" x14ac:dyDescent="0.55000000000000004">
      <c r="A50" s="8" t="s">
        <v>162</v>
      </c>
      <c r="B50" s="25" t="s">
        <v>308</v>
      </c>
      <c r="C50" s="25" t="s">
        <v>308</v>
      </c>
      <c r="D50" s="25" t="s">
        <v>308</v>
      </c>
      <c r="E50" s="25" t="s">
        <v>308</v>
      </c>
      <c r="F50" s="25" t="s">
        <v>308</v>
      </c>
      <c r="G50" s="25" t="s">
        <v>308</v>
      </c>
      <c r="H50" s="25" t="s">
        <v>308</v>
      </c>
      <c r="I50" s="25" t="s">
        <v>308</v>
      </c>
      <c r="J50" s="25" t="s">
        <v>308</v>
      </c>
      <c r="K50" s="8"/>
      <c r="L50" s="10"/>
      <c r="M50" s="8"/>
      <c r="N50" s="8" t="s">
        <v>161</v>
      </c>
      <c r="O50" s="26">
        <v>0</v>
      </c>
      <c r="P50" s="25" t="s">
        <v>308</v>
      </c>
      <c r="Q50" s="25" t="s">
        <v>308</v>
      </c>
      <c r="R50" s="25" t="s">
        <v>308</v>
      </c>
      <c r="S50" s="8"/>
      <c r="T50" s="10"/>
      <c r="U50" s="8"/>
      <c r="V50" s="8" t="s">
        <v>334</v>
      </c>
      <c r="W50" s="8"/>
      <c r="X50" s="8" t="s">
        <v>317</v>
      </c>
      <c r="Y50" s="25" t="s">
        <v>308</v>
      </c>
      <c r="Z50" s="8"/>
    </row>
    <row r="51" spans="1:26" x14ac:dyDescent="0.55000000000000004">
      <c r="A51" s="8" t="s">
        <v>158</v>
      </c>
      <c r="B51" s="25" t="s">
        <v>308</v>
      </c>
      <c r="C51" s="25" t="s">
        <v>308</v>
      </c>
      <c r="D51" s="25" t="s">
        <v>308</v>
      </c>
      <c r="E51" s="25" t="s">
        <v>308</v>
      </c>
      <c r="F51" s="25" t="s">
        <v>308</v>
      </c>
      <c r="G51" s="25" t="s">
        <v>308</v>
      </c>
      <c r="H51" s="25" t="s">
        <v>308</v>
      </c>
      <c r="I51" s="25" t="s">
        <v>308</v>
      </c>
      <c r="J51" s="25" t="s">
        <v>308</v>
      </c>
      <c r="K51" s="8"/>
      <c r="L51" s="10"/>
      <c r="M51" s="8"/>
      <c r="N51" s="8" t="s">
        <v>157</v>
      </c>
      <c r="O51" s="26">
        <v>0</v>
      </c>
      <c r="P51" s="25" t="s">
        <v>308</v>
      </c>
      <c r="Q51" s="25" t="s">
        <v>308</v>
      </c>
      <c r="R51" s="25" t="s">
        <v>308</v>
      </c>
      <c r="S51" s="8"/>
      <c r="T51" s="10"/>
      <c r="U51" s="8"/>
      <c r="V51" s="8" t="s">
        <v>335</v>
      </c>
      <c r="W51" s="8"/>
      <c r="X51" s="8" t="s">
        <v>318</v>
      </c>
      <c r="Y51" s="25" t="s">
        <v>308</v>
      </c>
      <c r="Z51" s="8"/>
    </row>
    <row r="52" spans="1:26" x14ac:dyDescent="0.55000000000000004">
      <c r="A52" s="8" t="s">
        <v>164</v>
      </c>
      <c r="B52" s="25" t="s">
        <v>308</v>
      </c>
      <c r="C52" s="25" t="s">
        <v>308</v>
      </c>
      <c r="D52" s="25" t="s">
        <v>308</v>
      </c>
      <c r="E52" s="25" t="s">
        <v>308</v>
      </c>
      <c r="F52" s="25" t="s">
        <v>308</v>
      </c>
      <c r="G52" s="25" t="s">
        <v>308</v>
      </c>
      <c r="H52" s="25" t="s">
        <v>308</v>
      </c>
      <c r="I52" s="25" t="s">
        <v>308</v>
      </c>
      <c r="J52" s="25" t="s">
        <v>308</v>
      </c>
      <c r="K52" s="8"/>
      <c r="L52" s="10"/>
      <c r="M52" s="8"/>
      <c r="N52" s="8" t="s">
        <v>163</v>
      </c>
      <c r="O52" s="26">
        <v>0</v>
      </c>
      <c r="P52" s="25" t="s">
        <v>308</v>
      </c>
      <c r="Q52" s="25" t="s">
        <v>308</v>
      </c>
      <c r="R52" s="25" t="s">
        <v>308</v>
      </c>
      <c r="S52" s="8"/>
      <c r="T52" s="10"/>
      <c r="U52" s="8"/>
      <c r="V52" s="8"/>
      <c r="W52" s="8"/>
      <c r="X52" s="8" t="s">
        <v>319</v>
      </c>
      <c r="Y52" s="25" t="s">
        <v>308</v>
      </c>
      <c r="Z52" s="8"/>
    </row>
    <row r="53" spans="1:26" x14ac:dyDescent="0.55000000000000004">
      <c r="A53" s="8" t="s">
        <v>664</v>
      </c>
      <c r="B53" s="25" t="s">
        <v>308</v>
      </c>
      <c r="C53" s="25" t="s">
        <v>308</v>
      </c>
      <c r="D53" s="25" t="s">
        <v>308</v>
      </c>
      <c r="E53" s="25" t="s">
        <v>308</v>
      </c>
      <c r="F53" s="25" t="s">
        <v>308</v>
      </c>
      <c r="G53" s="25" t="s">
        <v>308</v>
      </c>
      <c r="H53" s="25" t="s">
        <v>308</v>
      </c>
      <c r="I53" s="25" t="s">
        <v>308</v>
      </c>
      <c r="J53" s="25" t="s">
        <v>308</v>
      </c>
      <c r="K53" s="8"/>
      <c r="L53" s="10"/>
      <c r="M53" s="8"/>
      <c r="N53" s="8" t="s">
        <v>663</v>
      </c>
      <c r="O53" s="26">
        <v>0</v>
      </c>
      <c r="P53" s="25" t="s">
        <v>308</v>
      </c>
      <c r="Q53" s="25" t="s">
        <v>308</v>
      </c>
      <c r="R53" s="25" t="s">
        <v>308</v>
      </c>
      <c r="S53" s="8"/>
      <c r="T53" s="10"/>
      <c r="U53" s="8"/>
      <c r="V53" s="8" t="s">
        <v>336</v>
      </c>
      <c r="W53" s="8"/>
      <c r="X53" s="8" t="s">
        <v>320</v>
      </c>
      <c r="Y53" s="25" t="s">
        <v>308</v>
      </c>
      <c r="Z53" s="8"/>
    </row>
    <row r="54" spans="1:26" x14ac:dyDescent="0.55000000000000004">
      <c r="A54" s="8" t="s">
        <v>169</v>
      </c>
      <c r="B54" s="25" t="s">
        <v>308</v>
      </c>
      <c r="C54" s="25" t="s">
        <v>308</v>
      </c>
      <c r="D54" s="25" t="s">
        <v>308</v>
      </c>
      <c r="E54" s="25" t="s">
        <v>308</v>
      </c>
      <c r="F54" s="25" t="s">
        <v>308</v>
      </c>
      <c r="G54" s="25" t="s">
        <v>308</v>
      </c>
      <c r="H54" s="25" t="s">
        <v>308</v>
      </c>
      <c r="I54" s="25" t="s">
        <v>308</v>
      </c>
      <c r="J54" s="25" t="s">
        <v>308</v>
      </c>
      <c r="K54" s="8"/>
      <c r="L54" s="10"/>
      <c r="M54" s="8"/>
      <c r="N54" s="8" t="s">
        <v>168</v>
      </c>
      <c r="O54" s="26">
        <v>0</v>
      </c>
      <c r="P54" s="25" t="s">
        <v>308</v>
      </c>
      <c r="Q54" s="25" t="s">
        <v>308</v>
      </c>
      <c r="R54" s="25" t="s">
        <v>308</v>
      </c>
      <c r="S54" s="8"/>
      <c r="T54" s="10"/>
      <c r="U54" s="8"/>
      <c r="V54" s="8"/>
      <c r="W54" s="8"/>
      <c r="X54" s="8" t="s">
        <v>321</v>
      </c>
      <c r="Y54" s="25" t="s">
        <v>308</v>
      </c>
      <c r="Z54" s="8"/>
    </row>
    <row r="55" spans="1:26" x14ac:dyDescent="0.55000000000000004">
      <c r="A55" s="8" t="s">
        <v>166</v>
      </c>
      <c r="B55" s="25" t="s">
        <v>308</v>
      </c>
      <c r="C55" s="25" t="s">
        <v>308</v>
      </c>
      <c r="D55" s="25" t="s">
        <v>308</v>
      </c>
      <c r="E55" s="25" t="s">
        <v>308</v>
      </c>
      <c r="F55" s="25" t="s">
        <v>308</v>
      </c>
      <c r="G55" s="25" t="s">
        <v>308</v>
      </c>
      <c r="H55" s="25" t="s">
        <v>308</v>
      </c>
      <c r="I55" s="25" t="s">
        <v>308</v>
      </c>
      <c r="J55" s="25" t="s">
        <v>308</v>
      </c>
      <c r="K55" s="8"/>
      <c r="L55" s="10"/>
      <c r="M55" s="8"/>
      <c r="N55" s="8" t="s">
        <v>165</v>
      </c>
      <c r="O55" s="26">
        <v>0</v>
      </c>
      <c r="P55" s="25" t="s">
        <v>308</v>
      </c>
      <c r="Q55" s="25" t="s">
        <v>308</v>
      </c>
      <c r="R55" s="25" t="s">
        <v>308</v>
      </c>
      <c r="S55" s="8"/>
      <c r="T55" s="10"/>
      <c r="U55" s="8"/>
      <c r="V55" s="8"/>
      <c r="W55" s="8"/>
      <c r="X55" s="8"/>
      <c r="Y55" s="8"/>
      <c r="Z55" s="8"/>
    </row>
    <row r="56" spans="1:26" x14ac:dyDescent="0.55000000000000004">
      <c r="A56" s="8" t="s">
        <v>669</v>
      </c>
      <c r="B56" s="25" t="s">
        <v>308</v>
      </c>
      <c r="C56" s="25" t="s">
        <v>308</v>
      </c>
      <c r="D56" s="25" t="s">
        <v>308</v>
      </c>
      <c r="E56" s="25" t="s">
        <v>308</v>
      </c>
      <c r="F56" s="25" t="s">
        <v>308</v>
      </c>
      <c r="G56" s="25" t="s">
        <v>308</v>
      </c>
      <c r="H56" s="25" t="s">
        <v>308</v>
      </c>
      <c r="I56" s="25" t="s">
        <v>308</v>
      </c>
      <c r="J56" s="25" t="s">
        <v>308</v>
      </c>
      <c r="K56" s="8"/>
      <c r="L56" s="10"/>
      <c r="M56" s="8"/>
      <c r="N56" s="8" t="s">
        <v>668</v>
      </c>
      <c r="O56" s="26">
        <v>0</v>
      </c>
      <c r="P56" s="25" t="s">
        <v>308</v>
      </c>
      <c r="Q56" s="25" t="s">
        <v>308</v>
      </c>
      <c r="R56" s="25" t="s">
        <v>308</v>
      </c>
      <c r="S56" s="8"/>
      <c r="T56" s="10"/>
      <c r="U56" s="10"/>
      <c r="V56" s="11" t="s">
        <v>324</v>
      </c>
      <c r="W56" s="10"/>
      <c r="X56" s="10"/>
      <c r="Y56" s="10"/>
      <c r="Z56" s="10"/>
    </row>
    <row r="57" spans="1:26" x14ac:dyDescent="0.55000000000000004">
      <c r="A57" s="8" t="s">
        <v>171</v>
      </c>
      <c r="B57" s="25" t="s">
        <v>308</v>
      </c>
      <c r="C57" s="25" t="s">
        <v>308</v>
      </c>
      <c r="D57" s="25" t="s">
        <v>308</v>
      </c>
      <c r="E57" s="25" t="s">
        <v>308</v>
      </c>
      <c r="F57" s="25" t="s">
        <v>308</v>
      </c>
      <c r="G57" s="25" t="s">
        <v>308</v>
      </c>
      <c r="H57" s="25" t="s">
        <v>308</v>
      </c>
      <c r="I57" s="25" t="s">
        <v>308</v>
      </c>
      <c r="J57" s="25" t="s">
        <v>308</v>
      </c>
      <c r="K57" s="8"/>
      <c r="L57" s="10"/>
      <c r="M57" s="8"/>
      <c r="N57" s="8" t="s">
        <v>170</v>
      </c>
      <c r="O57" s="26">
        <v>0</v>
      </c>
      <c r="P57" s="25" t="s">
        <v>308</v>
      </c>
      <c r="Q57" s="25" t="s">
        <v>308</v>
      </c>
      <c r="R57" s="25" t="s">
        <v>308</v>
      </c>
      <c r="S57" s="8"/>
      <c r="T57" s="10"/>
      <c r="U57" s="13"/>
      <c r="V57" s="13"/>
      <c r="W57" s="13"/>
      <c r="X57" s="15" t="s">
        <v>325</v>
      </c>
      <c r="Y57" s="15" t="s">
        <v>326</v>
      </c>
      <c r="Z57" s="13"/>
    </row>
    <row r="58" spans="1:26" x14ac:dyDescent="0.55000000000000004">
      <c r="A58" s="8" t="s">
        <v>173</v>
      </c>
      <c r="B58" s="25" t="s">
        <v>308</v>
      </c>
      <c r="C58" s="25" t="s">
        <v>308</v>
      </c>
      <c r="D58" s="25" t="s">
        <v>308</v>
      </c>
      <c r="E58" s="25" t="s">
        <v>308</v>
      </c>
      <c r="F58" s="25" t="s">
        <v>308</v>
      </c>
      <c r="G58" s="25" t="s">
        <v>308</v>
      </c>
      <c r="H58" s="25" t="s">
        <v>308</v>
      </c>
      <c r="I58" s="25" t="s">
        <v>308</v>
      </c>
      <c r="J58" s="25" t="s">
        <v>308</v>
      </c>
      <c r="K58" s="8"/>
      <c r="L58" s="10"/>
      <c r="M58" s="8"/>
      <c r="N58" s="8" t="s">
        <v>172</v>
      </c>
      <c r="O58" s="26">
        <v>0</v>
      </c>
      <c r="P58" s="25" t="s">
        <v>308</v>
      </c>
      <c r="Q58" s="25" t="s">
        <v>308</v>
      </c>
      <c r="R58" s="25" t="s">
        <v>308</v>
      </c>
      <c r="S58" s="8"/>
      <c r="T58" s="10"/>
      <c r="U58" s="13"/>
      <c r="V58" s="13"/>
      <c r="W58" s="13"/>
      <c r="X58" s="16" t="s">
        <v>327</v>
      </c>
      <c r="Y58" s="16" t="s">
        <v>328</v>
      </c>
      <c r="Z58" s="13"/>
    </row>
    <row r="59" spans="1:26" x14ac:dyDescent="0.55000000000000004">
      <c r="A59" s="8" t="s">
        <v>175</v>
      </c>
      <c r="B59" s="25" t="s">
        <v>308</v>
      </c>
      <c r="C59" s="25" t="s">
        <v>308</v>
      </c>
      <c r="D59" s="25" t="s">
        <v>308</v>
      </c>
      <c r="E59" s="25" t="s">
        <v>308</v>
      </c>
      <c r="F59" s="25" t="s">
        <v>308</v>
      </c>
      <c r="G59" s="25" t="s">
        <v>308</v>
      </c>
      <c r="H59" s="25" t="s">
        <v>308</v>
      </c>
      <c r="I59" s="25" t="s">
        <v>308</v>
      </c>
      <c r="J59" s="25" t="s">
        <v>308</v>
      </c>
      <c r="K59" s="8"/>
      <c r="L59" s="10"/>
      <c r="M59" s="8"/>
      <c r="N59" s="8" t="s">
        <v>174</v>
      </c>
      <c r="O59" s="26">
        <v>0</v>
      </c>
      <c r="P59" s="25" t="s">
        <v>308</v>
      </c>
      <c r="Q59" s="25" t="s">
        <v>308</v>
      </c>
      <c r="R59" s="25" t="s">
        <v>308</v>
      </c>
      <c r="S59" s="8"/>
      <c r="T59" s="10"/>
      <c r="U59" s="8"/>
      <c r="V59" s="8" t="s">
        <v>329</v>
      </c>
      <c r="W59" s="8" t="s">
        <v>24</v>
      </c>
      <c r="X59" s="23">
        <v>1</v>
      </c>
      <c r="Y59" s="23">
        <v>1</v>
      </c>
      <c r="Z59" s="8"/>
    </row>
    <row r="60" spans="1:26" x14ac:dyDescent="0.55000000000000004">
      <c r="A60" s="8" t="s">
        <v>177</v>
      </c>
      <c r="B60" s="25" t="s">
        <v>308</v>
      </c>
      <c r="C60" s="25" t="s">
        <v>308</v>
      </c>
      <c r="D60" s="25" t="s">
        <v>308</v>
      </c>
      <c r="E60" s="25" t="s">
        <v>308</v>
      </c>
      <c r="F60" s="25" t="s">
        <v>308</v>
      </c>
      <c r="G60" s="25" t="s">
        <v>308</v>
      </c>
      <c r="H60" s="25" t="s">
        <v>308</v>
      </c>
      <c r="I60" s="25" t="s">
        <v>308</v>
      </c>
      <c r="J60" s="25" t="s">
        <v>308</v>
      </c>
      <c r="K60" s="8"/>
      <c r="L60" s="10"/>
      <c r="M60" s="8"/>
      <c r="N60" s="8" t="s">
        <v>176</v>
      </c>
      <c r="O60" s="26">
        <v>0</v>
      </c>
      <c r="P60" s="25" t="s">
        <v>308</v>
      </c>
      <c r="Q60" s="25" t="s">
        <v>308</v>
      </c>
      <c r="R60" s="25" t="s">
        <v>308</v>
      </c>
      <c r="S60" s="8"/>
      <c r="T60" s="10"/>
      <c r="U60" s="8"/>
      <c r="V60" s="8" t="s">
        <v>330</v>
      </c>
      <c r="W60" s="8" t="s">
        <v>791</v>
      </c>
      <c r="X60" s="23">
        <v>1</v>
      </c>
      <c r="Y60" s="23">
        <v>1</v>
      </c>
      <c r="Z60" s="8"/>
    </row>
    <row r="61" spans="1:26" x14ac:dyDescent="0.55000000000000004">
      <c r="A61" s="8" t="s">
        <v>676</v>
      </c>
      <c r="B61" s="25" t="s">
        <v>308</v>
      </c>
      <c r="C61" s="25" t="s">
        <v>308</v>
      </c>
      <c r="D61" s="25" t="s">
        <v>308</v>
      </c>
      <c r="E61" s="25" t="s">
        <v>308</v>
      </c>
      <c r="F61" s="25" t="s">
        <v>308</v>
      </c>
      <c r="G61" s="25" t="s">
        <v>308</v>
      </c>
      <c r="H61" s="25" t="s">
        <v>308</v>
      </c>
      <c r="I61" s="25" t="s">
        <v>308</v>
      </c>
      <c r="J61" s="25" t="s">
        <v>308</v>
      </c>
      <c r="K61" s="8"/>
      <c r="L61" s="10"/>
      <c r="M61" s="8"/>
      <c r="N61" s="8" t="s">
        <v>675</v>
      </c>
      <c r="O61" s="26">
        <v>0</v>
      </c>
      <c r="P61" s="25" t="s">
        <v>308</v>
      </c>
      <c r="Q61" s="25" t="s">
        <v>308</v>
      </c>
      <c r="R61" s="25" t="s">
        <v>308</v>
      </c>
      <c r="S61" s="8"/>
      <c r="T61" s="10"/>
      <c r="U61" s="8"/>
      <c r="V61" s="8"/>
      <c r="W61" s="8" t="s">
        <v>792</v>
      </c>
      <c r="X61" s="23">
        <v>1</v>
      </c>
      <c r="Y61" s="23">
        <v>1</v>
      </c>
      <c r="Z61" s="8"/>
    </row>
    <row r="62" spans="1:26" x14ac:dyDescent="0.55000000000000004">
      <c r="A62" s="8" t="s">
        <v>179</v>
      </c>
      <c r="B62" s="25" t="s">
        <v>308</v>
      </c>
      <c r="C62" s="25" t="s">
        <v>308</v>
      </c>
      <c r="D62" s="25" t="s">
        <v>308</v>
      </c>
      <c r="E62" s="25" t="s">
        <v>308</v>
      </c>
      <c r="F62" s="25" t="s">
        <v>308</v>
      </c>
      <c r="G62" s="25" t="s">
        <v>308</v>
      </c>
      <c r="H62" s="25" t="s">
        <v>308</v>
      </c>
      <c r="I62" s="25" t="s">
        <v>308</v>
      </c>
      <c r="J62" s="25" t="s">
        <v>308</v>
      </c>
      <c r="K62" s="8"/>
      <c r="L62" s="10"/>
      <c r="M62" s="8"/>
      <c r="N62" s="8" t="s">
        <v>178</v>
      </c>
      <c r="O62" s="26">
        <v>0</v>
      </c>
      <c r="P62" s="25" t="s">
        <v>308</v>
      </c>
      <c r="Q62" s="25" t="s">
        <v>308</v>
      </c>
      <c r="R62" s="25" t="s">
        <v>308</v>
      </c>
      <c r="S62" s="8"/>
      <c r="T62" s="10"/>
      <c r="U62" s="8"/>
      <c r="V62" s="8"/>
      <c r="W62" s="8" t="s">
        <v>793</v>
      </c>
      <c r="X62" s="23">
        <v>1</v>
      </c>
      <c r="Y62" s="23">
        <v>1</v>
      </c>
      <c r="Z62" s="8"/>
    </row>
    <row r="63" spans="1:26" x14ac:dyDescent="0.55000000000000004">
      <c r="A63" s="8" t="s">
        <v>181</v>
      </c>
      <c r="B63" s="25" t="s">
        <v>308</v>
      </c>
      <c r="C63" s="25">
        <v>50</v>
      </c>
      <c r="D63" s="25" t="s">
        <v>308</v>
      </c>
      <c r="E63" s="25" t="s">
        <v>308</v>
      </c>
      <c r="F63" s="25" t="s">
        <v>308</v>
      </c>
      <c r="G63" s="25" t="s">
        <v>308</v>
      </c>
      <c r="H63" s="25" t="s">
        <v>308</v>
      </c>
      <c r="I63" s="25" t="s">
        <v>308</v>
      </c>
      <c r="J63" s="25" t="s">
        <v>308</v>
      </c>
      <c r="K63" s="8"/>
      <c r="L63" s="10"/>
      <c r="M63" s="8"/>
      <c r="N63" s="8" t="s">
        <v>180</v>
      </c>
      <c r="O63" s="26">
        <v>0</v>
      </c>
      <c r="P63" s="25" t="s">
        <v>308</v>
      </c>
      <c r="Q63" s="25" t="s">
        <v>308</v>
      </c>
      <c r="R63" s="25" t="s">
        <v>308</v>
      </c>
      <c r="S63" s="8"/>
      <c r="T63" s="10"/>
      <c r="U63" s="8"/>
      <c r="V63" s="8"/>
      <c r="W63" s="8" t="s">
        <v>794</v>
      </c>
      <c r="X63" s="23">
        <v>1</v>
      </c>
      <c r="Y63" s="23">
        <v>1</v>
      </c>
      <c r="Z63" s="8"/>
    </row>
    <row r="64" spans="1:26" x14ac:dyDescent="0.55000000000000004">
      <c r="A64" s="8" t="s">
        <v>681</v>
      </c>
      <c r="B64" s="25" t="s">
        <v>308</v>
      </c>
      <c r="C64" s="25" t="s">
        <v>308</v>
      </c>
      <c r="D64" s="25" t="s">
        <v>308</v>
      </c>
      <c r="E64" s="25" t="s">
        <v>308</v>
      </c>
      <c r="F64" s="25" t="s">
        <v>308</v>
      </c>
      <c r="G64" s="25" t="s">
        <v>308</v>
      </c>
      <c r="H64" s="25" t="s">
        <v>308</v>
      </c>
      <c r="I64" s="25" t="s">
        <v>308</v>
      </c>
      <c r="J64" s="25" t="s">
        <v>308</v>
      </c>
      <c r="K64" s="8"/>
      <c r="L64" s="10"/>
      <c r="M64" s="8"/>
      <c r="N64" s="8" t="s">
        <v>680</v>
      </c>
      <c r="O64" s="26">
        <v>0</v>
      </c>
      <c r="P64" s="25" t="s">
        <v>308</v>
      </c>
      <c r="Q64" s="25" t="s">
        <v>308</v>
      </c>
      <c r="R64" s="25" t="s">
        <v>308</v>
      </c>
      <c r="S64" s="8"/>
      <c r="T64" s="10"/>
      <c r="U64" s="8"/>
      <c r="V64" s="8"/>
      <c r="W64" s="8" t="s">
        <v>795</v>
      </c>
      <c r="X64" s="23">
        <v>1</v>
      </c>
      <c r="Y64" s="23">
        <v>1</v>
      </c>
      <c r="Z64" s="8"/>
    </row>
    <row r="65" spans="1:26" x14ac:dyDescent="0.55000000000000004">
      <c r="A65" s="8" t="s">
        <v>684</v>
      </c>
      <c r="B65" s="25" t="s">
        <v>308</v>
      </c>
      <c r="C65" s="25" t="s">
        <v>308</v>
      </c>
      <c r="D65" s="25" t="s">
        <v>308</v>
      </c>
      <c r="E65" s="25" t="s">
        <v>308</v>
      </c>
      <c r="F65" s="25" t="s">
        <v>308</v>
      </c>
      <c r="G65" s="25" t="s">
        <v>308</v>
      </c>
      <c r="H65" s="25" t="s">
        <v>308</v>
      </c>
      <c r="I65" s="25" t="s">
        <v>308</v>
      </c>
      <c r="J65" s="25" t="s">
        <v>308</v>
      </c>
      <c r="K65" s="8"/>
      <c r="L65" s="10"/>
      <c r="M65" s="8"/>
      <c r="N65" s="8" t="s">
        <v>683</v>
      </c>
      <c r="O65" s="26">
        <v>0</v>
      </c>
      <c r="P65" s="25" t="s">
        <v>308</v>
      </c>
      <c r="Q65" s="25" t="s">
        <v>308</v>
      </c>
      <c r="R65" s="25" t="s">
        <v>308</v>
      </c>
      <c r="S65" s="8"/>
      <c r="T65" s="10"/>
      <c r="U65" s="8"/>
      <c r="V65" s="8"/>
      <c r="W65" s="8" t="s">
        <v>89</v>
      </c>
      <c r="X65" s="23">
        <v>1</v>
      </c>
      <c r="Y65" s="23">
        <v>1</v>
      </c>
      <c r="Z65" s="8"/>
    </row>
    <row r="66" spans="1:26" x14ac:dyDescent="0.55000000000000004">
      <c r="A66" s="8" t="s">
        <v>183</v>
      </c>
      <c r="B66" s="25" t="s">
        <v>308</v>
      </c>
      <c r="C66" s="25" t="s">
        <v>308</v>
      </c>
      <c r="D66" s="25" t="s">
        <v>308</v>
      </c>
      <c r="E66" s="25" t="s">
        <v>308</v>
      </c>
      <c r="F66" s="25" t="s">
        <v>308</v>
      </c>
      <c r="G66" s="25" t="s">
        <v>308</v>
      </c>
      <c r="H66" s="25" t="s">
        <v>308</v>
      </c>
      <c r="I66" s="25" t="s">
        <v>308</v>
      </c>
      <c r="J66" s="25" t="s">
        <v>308</v>
      </c>
      <c r="K66" s="8"/>
      <c r="L66" s="10"/>
      <c r="M66" s="8"/>
      <c r="N66" s="8" t="s">
        <v>182</v>
      </c>
      <c r="O66" s="26">
        <v>0</v>
      </c>
      <c r="P66" s="25" t="s">
        <v>308</v>
      </c>
      <c r="Q66" s="25" t="s">
        <v>308</v>
      </c>
      <c r="R66" s="25" t="s">
        <v>308</v>
      </c>
      <c r="S66" s="8"/>
      <c r="T66" s="10"/>
      <c r="U66" s="8"/>
      <c r="V66" s="8"/>
      <c r="W66" s="8" t="s">
        <v>97</v>
      </c>
      <c r="X66" s="23">
        <v>1</v>
      </c>
      <c r="Y66" s="23">
        <v>1</v>
      </c>
      <c r="Z66" s="8"/>
    </row>
    <row r="67" spans="1:26" x14ac:dyDescent="0.55000000000000004">
      <c r="A67" s="8" t="s">
        <v>688</v>
      </c>
      <c r="B67" s="25" t="s">
        <v>308</v>
      </c>
      <c r="C67" s="25" t="s">
        <v>308</v>
      </c>
      <c r="D67" s="25" t="s">
        <v>308</v>
      </c>
      <c r="E67" s="25" t="s">
        <v>308</v>
      </c>
      <c r="F67" s="25" t="s">
        <v>308</v>
      </c>
      <c r="G67" s="25" t="s">
        <v>308</v>
      </c>
      <c r="H67" s="25" t="s">
        <v>308</v>
      </c>
      <c r="I67" s="25" t="s">
        <v>308</v>
      </c>
      <c r="J67" s="25" t="s">
        <v>308</v>
      </c>
      <c r="K67" s="8"/>
      <c r="L67" s="10"/>
      <c r="M67" s="8"/>
      <c r="N67" s="8" t="s">
        <v>687</v>
      </c>
      <c r="O67" s="26">
        <v>0</v>
      </c>
      <c r="P67" s="25" t="s">
        <v>308</v>
      </c>
      <c r="Q67" s="25" t="s">
        <v>308</v>
      </c>
      <c r="R67" s="25" t="s">
        <v>308</v>
      </c>
      <c r="S67" s="8"/>
      <c r="T67" s="10"/>
      <c r="U67" s="8"/>
      <c r="V67" s="8"/>
      <c r="W67" s="8" t="s">
        <v>103</v>
      </c>
      <c r="X67" s="23">
        <v>1</v>
      </c>
      <c r="Y67" s="23">
        <v>1</v>
      </c>
      <c r="Z67" s="8"/>
    </row>
    <row r="68" spans="1:26" x14ac:dyDescent="0.55000000000000004">
      <c r="A68" s="8" t="s">
        <v>691</v>
      </c>
      <c r="B68" s="25" t="s">
        <v>308</v>
      </c>
      <c r="C68" s="25" t="s">
        <v>308</v>
      </c>
      <c r="D68" s="25" t="s">
        <v>308</v>
      </c>
      <c r="E68" s="25" t="s">
        <v>308</v>
      </c>
      <c r="F68" s="25" t="s">
        <v>308</v>
      </c>
      <c r="G68" s="25" t="s">
        <v>308</v>
      </c>
      <c r="H68" s="25" t="s">
        <v>308</v>
      </c>
      <c r="I68" s="25" t="s">
        <v>308</v>
      </c>
      <c r="J68" s="25" t="s">
        <v>308</v>
      </c>
      <c r="K68" s="8"/>
      <c r="L68" s="10"/>
      <c r="M68" s="8"/>
      <c r="N68" s="8" t="s">
        <v>690</v>
      </c>
      <c r="O68" s="26">
        <v>0</v>
      </c>
      <c r="P68" s="25" t="s">
        <v>308</v>
      </c>
      <c r="Q68" s="25" t="s">
        <v>308</v>
      </c>
      <c r="R68" s="25" t="s">
        <v>308</v>
      </c>
      <c r="S68" s="8"/>
      <c r="T68" s="10"/>
      <c r="U68" s="8"/>
      <c r="V68" s="8"/>
      <c r="W68" s="8" t="s">
        <v>109</v>
      </c>
      <c r="X68" s="23">
        <v>1</v>
      </c>
      <c r="Y68" s="23">
        <v>1</v>
      </c>
      <c r="Z68" s="8"/>
    </row>
    <row r="69" spans="1:26" x14ac:dyDescent="0.55000000000000004">
      <c r="A69" s="8" t="s">
        <v>186</v>
      </c>
      <c r="B69" s="25" t="s">
        <v>308</v>
      </c>
      <c r="C69" s="25" t="s">
        <v>308</v>
      </c>
      <c r="D69" s="25" t="s">
        <v>308</v>
      </c>
      <c r="E69" s="25" t="s">
        <v>308</v>
      </c>
      <c r="F69" s="25" t="s">
        <v>308</v>
      </c>
      <c r="G69" s="25" t="s">
        <v>308</v>
      </c>
      <c r="H69" s="25" t="s">
        <v>308</v>
      </c>
      <c r="I69" s="25" t="s">
        <v>308</v>
      </c>
      <c r="J69" s="25" t="s">
        <v>308</v>
      </c>
      <c r="K69" s="8"/>
      <c r="L69" s="10"/>
      <c r="M69" s="8"/>
      <c r="N69" s="8" t="s">
        <v>185</v>
      </c>
      <c r="O69" s="26">
        <v>0</v>
      </c>
      <c r="P69" s="25" t="s">
        <v>308</v>
      </c>
      <c r="Q69" s="25" t="s">
        <v>308</v>
      </c>
      <c r="R69" s="25" t="s">
        <v>308</v>
      </c>
      <c r="S69" s="8"/>
      <c r="T69" s="10"/>
      <c r="U69" s="8"/>
      <c r="V69" s="8"/>
      <c r="W69" s="8" t="s">
        <v>113</v>
      </c>
      <c r="X69" s="23">
        <v>1</v>
      </c>
      <c r="Y69" s="23">
        <v>1</v>
      </c>
      <c r="Z69" s="8"/>
    </row>
    <row r="70" spans="1:26" x14ac:dyDescent="0.55000000000000004">
      <c r="A70" s="8" t="s">
        <v>188</v>
      </c>
      <c r="B70" s="25" t="s">
        <v>308</v>
      </c>
      <c r="C70" s="25" t="s">
        <v>308</v>
      </c>
      <c r="D70" s="25" t="s">
        <v>308</v>
      </c>
      <c r="E70" s="25" t="s">
        <v>308</v>
      </c>
      <c r="F70" s="25" t="s">
        <v>308</v>
      </c>
      <c r="G70" s="25" t="s">
        <v>308</v>
      </c>
      <c r="H70" s="25" t="s">
        <v>308</v>
      </c>
      <c r="I70" s="25" t="s">
        <v>308</v>
      </c>
      <c r="J70" s="25" t="s">
        <v>308</v>
      </c>
      <c r="K70" s="8"/>
      <c r="L70" s="10"/>
      <c r="M70" s="8"/>
      <c r="N70" s="8" t="s">
        <v>187</v>
      </c>
      <c r="O70" s="26">
        <v>0</v>
      </c>
      <c r="P70" s="25" t="s">
        <v>308</v>
      </c>
      <c r="Q70" s="25" t="s">
        <v>308</v>
      </c>
      <c r="R70" s="25" t="s">
        <v>308</v>
      </c>
      <c r="S70" s="8"/>
      <c r="T70" s="10"/>
      <c r="U70" s="8"/>
      <c r="V70" s="8"/>
      <c r="W70" s="8" t="s">
        <v>607</v>
      </c>
      <c r="X70" s="23">
        <v>1</v>
      </c>
      <c r="Y70" s="23">
        <v>1</v>
      </c>
      <c r="Z70" s="8"/>
    </row>
    <row r="71" spans="1:26" x14ac:dyDescent="0.55000000000000004">
      <c r="A71" s="8" t="s">
        <v>190</v>
      </c>
      <c r="B71" s="25" t="s">
        <v>308</v>
      </c>
      <c r="C71" s="25" t="s">
        <v>308</v>
      </c>
      <c r="D71" s="25" t="s">
        <v>308</v>
      </c>
      <c r="E71" s="25" t="s">
        <v>308</v>
      </c>
      <c r="F71" s="25" t="s">
        <v>308</v>
      </c>
      <c r="G71" s="25" t="s">
        <v>308</v>
      </c>
      <c r="H71" s="25" t="s">
        <v>308</v>
      </c>
      <c r="I71" s="25" t="s">
        <v>308</v>
      </c>
      <c r="J71" s="25" t="s">
        <v>308</v>
      </c>
      <c r="K71" s="8"/>
      <c r="L71" s="10"/>
      <c r="M71" s="8"/>
      <c r="N71" s="8" t="s">
        <v>189</v>
      </c>
      <c r="O71" s="26">
        <v>0</v>
      </c>
      <c r="P71" s="25" t="s">
        <v>308</v>
      </c>
      <c r="Q71" s="25" t="s">
        <v>308</v>
      </c>
      <c r="R71" s="25" t="s">
        <v>308</v>
      </c>
      <c r="S71" s="8"/>
      <c r="T71" s="10"/>
      <c r="U71" s="8"/>
      <c r="V71" s="8"/>
      <c r="W71" s="8" t="s">
        <v>612</v>
      </c>
      <c r="X71" s="23">
        <v>1</v>
      </c>
      <c r="Y71" s="23">
        <v>1</v>
      </c>
      <c r="Z71" s="8"/>
    </row>
    <row r="72" spans="1:26" x14ac:dyDescent="0.55000000000000004">
      <c r="A72" s="8" t="s">
        <v>697</v>
      </c>
      <c r="B72" s="25" t="s">
        <v>308</v>
      </c>
      <c r="C72" s="25" t="s">
        <v>308</v>
      </c>
      <c r="D72" s="25" t="s">
        <v>308</v>
      </c>
      <c r="E72" s="25" t="s">
        <v>308</v>
      </c>
      <c r="F72" s="25" t="s">
        <v>308</v>
      </c>
      <c r="G72" s="25" t="s">
        <v>308</v>
      </c>
      <c r="H72" s="25" t="s">
        <v>308</v>
      </c>
      <c r="I72" s="25" t="s">
        <v>308</v>
      </c>
      <c r="J72" s="25" t="s">
        <v>308</v>
      </c>
      <c r="K72" s="8"/>
      <c r="L72" s="10"/>
      <c r="M72" s="8"/>
      <c r="N72" s="8" t="s">
        <v>696</v>
      </c>
      <c r="O72" s="26">
        <v>0</v>
      </c>
      <c r="P72" s="25" t="s">
        <v>308</v>
      </c>
      <c r="Q72" s="25" t="s">
        <v>308</v>
      </c>
      <c r="R72" s="25" t="s">
        <v>308</v>
      </c>
      <c r="S72" s="8"/>
      <c r="T72" s="10"/>
      <c r="U72" s="8"/>
      <c r="V72" s="8"/>
      <c r="W72" s="8" t="s">
        <v>617</v>
      </c>
      <c r="X72" s="23">
        <v>1</v>
      </c>
      <c r="Y72" s="23">
        <v>1</v>
      </c>
      <c r="Z72" s="8"/>
    </row>
    <row r="73" spans="1:26" x14ac:dyDescent="0.55000000000000004">
      <c r="A73" s="8" t="s">
        <v>192</v>
      </c>
      <c r="B73" s="25" t="s">
        <v>308</v>
      </c>
      <c r="C73" s="25" t="s">
        <v>308</v>
      </c>
      <c r="D73" s="25" t="s">
        <v>308</v>
      </c>
      <c r="E73" s="25" t="s">
        <v>308</v>
      </c>
      <c r="F73" s="25" t="s">
        <v>308</v>
      </c>
      <c r="G73" s="25" t="s">
        <v>308</v>
      </c>
      <c r="H73" s="25" t="s">
        <v>308</v>
      </c>
      <c r="I73" s="25" t="s">
        <v>308</v>
      </c>
      <c r="J73" s="25" t="s">
        <v>308</v>
      </c>
      <c r="K73" s="8"/>
      <c r="L73" s="10"/>
      <c r="M73" s="8"/>
      <c r="N73" s="8" t="s">
        <v>191</v>
      </c>
      <c r="O73" s="26">
        <v>0</v>
      </c>
      <c r="P73" s="25" t="s">
        <v>308</v>
      </c>
      <c r="Q73" s="25" t="s">
        <v>308</v>
      </c>
      <c r="R73" s="25" t="s">
        <v>308</v>
      </c>
      <c r="S73" s="8"/>
      <c r="T73" s="10"/>
      <c r="U73" s="8"/>
      <c r="V73" s="8"/>
      <c r="W73" s="8" t="s">
        <v>620</v>
      </c>
      <c r="X73" s="23">
        <v>1</v>
      </c>
      <c r="Y73" s="23">
        <v>1</v>
      </c>
      <c r="Z73" s="8"/>
    </row>
    <row r="74" spans="1:26" x14ac:dyDescent="0.55000000000000004">
      <c r="A74" s="8" t="s">
        <v>701</v>
      </c>
      <c r="B74" s="25" t="s">
        <v>308</v>
      </c>
      <c r="C74" s="25" t="s">
        <v>308</v>
      </c>
      <c r="D74" s="25" t="s">
        <v>308</v>
      </c>
      <c r="E74" s="25" t="s">
        <v>308</v>
      </c>
      <c r="F74" s="25" t="s">
        <v>308</v>
      </c>
      <c r="G74" s="25" t="s">
        <v>308</v>
      </c>
      <c r="H74" s="25" t="s">
        <v>308</v>
      </c>
      <c r="I74" s="25" t="s">
        <v>308</v>
      </c>
      <c r="J74" s="25" t="s">
        <v>308</v>
      </c>
      <c r="K74" s="8"/>
      <c r="L74" s="10"/>
      <c r="M74" s="8"/>
      <c r="N74" s="8" t="s">
        <v>700</v>
      </c>
      <c r="O74" s="26">
        <v>0</v>
      </c>
      <c r="P74" s="25" t="s">
        <v>308</v>
      </c>
      <c r="Q74" s="25" t="s">
        <v>308</v>
      </c>
      <c r="R74" s="25" t="s">
        <v>308</v>
      </c>
      <c r="S74" s="8"/>
      <c r="T74" s="10"/>
      <c r="U74" s="8"/>
      <c r="V74" s="8"/>
      <c r="W74" s="8" t="s">
        <v>623</v>
      </c>
      <c r="X74" s="23">
        <v>1</v>
      </c>
      <c r="Y74" s="23">
        <v>1</v>
      </c>
      <c r="Z74" s="8"/>
    </row>
    <row r="75" spans="1:26" x14ac:dyDescent="0.55000000000000004">
      <c r="A75" s="8" t="s">
        <v>195</v>
      </c>
      <c r="B75" s="25" t="s">
        <v>308</v>
      </c>
      <c r="C75" s="25" t="s">
        <v>308</v>
      </c>
      <c r="D75" s="25" t="s">
        <v>308</v>
      </c>
      <c r="E75" s="25" t="s">
        <v>308</v>
      </c>
      <c r="F75" s="25" t="s">
        <v>308</v>
      </c>
      <c r="G75" s="25" t="s">
        <v>308</v>
      </c>
      <c r="H75" s="25" t="s">
        <v>308</v>
      </c>
      <c r="I75" s="25" t="s">
        <v>308</v>
      </c>
      <c r="J75" s="25" t="s">
        <v>308</v>
      </c>
      <c r="K75" s="8"/>
      <c r="L75" s="10"/>
      <c r="M75" s="8"/>
      <c r="N75" s="8" t="s">
        <v>194</v>
      </c>
      <c r="O75" s="26">
        <v>0</v>
      </c>
      <c r="P75" s="25" t="s">
        <v>308</v>
      </c>
      <c r="Q75" s="25" t="s">
        <v>308</v>
      </c>
      <c r="R75" s="25" t="s">
        <v>308</v>
      </c>
      <c r="S75" s="8"/>
      <c r="T75" s="10"/>
      <c r="U75" s="8"/>
      <c r="V75" s="8"/>
      <c r="W75" s="8"/>
      <c r="X75" s="8"/>
      <c r="Y75" s="8"/>
      <c r="Z75" s="8"/>
    </row>
    <row r="76" spans="1:26" x14ac:dyDescent="0.55000000000000004">
      <c r="A76" s="8" t="s">
        <v>197</v>
      </c>
      <c r="B76" s="25" t="s">
        <v>308</v>
      </c>
      <c r="C76" s="25" t="s">
        <v>308</v>
      </c>
      <c r="D76" s="25" t="s">
        <v>308</v>
      </c>
      <c r="E76" s="25" t="s">
        <v>308</v>
      </c>
      <c r="F76" s="25" t="s">
        <v>308</v>
      </c>
      <c r="G76" s="25" t="s">
        <v>308</v>
      </c>
      <c r="H76" s="25" t="s">
        <v>308</v>
      </c>
      <c r="I76" s="25" t="s">
        <v>308</v>
      </c>
      <c r="J76" s="25" t="s">
        <v>308</v>
      </c>
      <c r="K76" s="8"/>
      <c r="L76" s="10"/>
      <c r="M76" s="8"/>
      <c r="N76" s="8" t="s">
        <v>196</v>
      </c>
      <c r="O76" s="26">
        <v>0</v>
      </c>
      <c r="P76" s="25" t="s">
        <v>308</v>
      </c>
      <c r="Q76" s="25" t="s">
        <v>308</v>
      </c>
      <c r="R76" s="25" t="s">
        <v>308</v>
      </c>
      <c r="S76" s="8"/>
      <c r="T76" s="10"/>
      <c r="U76" s="10"/>
      <c r="V76" s="11" t="s">
        <v>240</v>
      </c>
      <c r="W76" s="10"/>
      <c r="X76" s="10"/>
      <c r="Y76" s="10"/>
      <c r="Z76" s="10"/>
    </row>
    <row r="77" spans="1:26" x14ac:dyDescent="0.55000000000000004">
      <c r="A77" s="8" t="s">
        <v>706</v>
      </c>
      <c r="B77" s="25" t="s">
        <v>308</v>
      </c>
      <c r="C77" s="25" t="s">
        <v>308</v>
      </c>
      <c r="D77" s="25" t="s">
        <v>308</v>
      </c>
      <c r="E77" s="25" t="s">
        <v>308</v>
      </c>
      <c r="F77" s="25" t="s">
        <v>308</v>
      </c>
      <c r="G77" s="25" t="s">
        <v>308</v>
      </c>
      <c r="H77" s="25" t="s">
        <v>308</v>
      </c>
      <c r="I77" s="25" t="s">
        <v>308</v>
      </c>
      <c r="J77" s="25" t="s">
        <v>308</v>
      </c>
      <c r="K77" s="8"/>
      <c r="L77" s="10"/>
      <c r="M77" s="8"/>
      <c r="N77" s="8" t="s">
        <v>705</v>
      </c>
      <c r="O77" s="26">
        <v>0</v>
      </c>
      <c r="P77" s="25" t="s">
        <v>308</v>
      </c>
      <c r="Q77" s="25" t="s">
        <v>308</v>
      </c>
      <c r="R77" s="25" t="s">
        <v>308</v>
      </c>
      <c r="S77" s="8"/>
      <c r="T77" s="10"/>
      <c r="U77" s="8"/>
      <c r="V77" s="8" t="s">
        <v>337</v>
      </c>
      <c r="W77" s="8" t="s">
        <v>322</v>
      </c>
      <c r="X77" s="8">
        <f>SUMIF(Main!G4:O4,Y1,Main!G5:O5)</f>
        <v>2</v>
      </c>
      <c r="Y77" s="8"/>
      <c r="Z77" s="8"/>
    </row>
    <row r="78" spans="1:26" x14ac:dyDescent="0.55000000000000004">
      <c r="A78" s="8" t="s">
        <v>199</v>
      </c>
      <c r="B78" s="25" t="s">
        <v>308</v>
      </c>
      <c r="C78" s="25" t="s">
        <v>308</v>
      </c>
      <c r="D78" s="25" t="s">
        <v>308</v>
      </c>
      <c r="E78" s="25" t="s">
        <v>308</v>
      </c>
      <c r="F78" s="25" t="s">
        <v>308</v>
      </c>
      <c r="G78" s="25" t="s">
        <v>308</v>
      </c>
      <c r="H78" s="25" t="s">
        <v>308</v>
      </c>
      <c r="I78" s="25" t="s">
        <v>308</v>
      </c>
      <c r="J78" s="25" t="s">
        <v>308</v>
      </c>
      <c r="K78" s="8"/>
      <c r="L78" s="10"/>
      <c r="M78" s="8"/>
      <c r="N78" s="8" t="s">
        <v>198</v>
      </c>
      <c r="O78" s="26">
        <v>0</v>
      </c>
      <c r="P78" s="25" t="s">
        <v>308</v>
      </c>
      <c r="Q78" s="25" t="s">
        <v>308</v>
      </c>
      <c r="R78" s="25" t="s">
        <v>308</v>
      </c>
      <c r="S78" s="8"/>
      <c r="T78" s="10"/>
      <c r="U78" s="8"/>
      <c r="V78" s="8" t="s">
        <v>338</v>
      </c>
      <c r="W78" s="8" t="s">
        <v>83</v>
      </c>
      <c r="X78" s="8">
        <f>SUMIF(Main!G4:O4,Y1,Main!G6:O6)</f>
        <v>3</v>
      </c>
      <c r="Y78" s="8"/>
      <c r="Z78" s="8"/>
    </row>
    <row r="79" spans="1:26" x14ac:dyDescent="0.55000000000000004">
      <c r="A79" s="8" t="s">
        <v>710</v>
      </c>
      <c r="B79" s="25" t="s">
        <v>308</v>
      </c>
      <c r="C79" s="25" t="s">
        <v>308</v>
      </c>
      <c r="D79" s="25" t="s">
        <v>308</v>
      </c>
      <c r="E79" s="25" t="s">
        <v>308</v>
      </c>
      <c r="F79" s="25" t="s">
        <v>308</v>
      </c>
      <c r="G79" s="25" t="s">
        <v>308</v>
      </c>
      <c r="H79" s="25" t="s">
        <v>308</v>
      </c>
      <c r="I79" s="25" t="s">
        <v>308</v>
      </c>
      <c r="J79" s="25" t="s">
        <v>308</v>
      </c>
      <c r="K79" s="8"/>
      <c r="L79" s="10"/>
      <c r="M79" s="8"/>
      <c r="N79" s="8" t="s">
        <v>709</v>
      </c>
      <c r="O79" s="26">
        <v>0</v>
      </c>
      <c r="P79" s="25" t="s">
        <v>308</v>
      </c>
      <c r="Q79" s="25" t="s">
        <v>308</v>
      </c>
      <c r="R79" s="25" t="s">
        <v>308</v>
      </c>
      <c r="S79" s="8"/>
      <c r="T79" s="10"/>
      <c r="U79" s="8"/>
      <c r="V79" s="8" t="s">
        <v>339</v>
      </c>
      <c r="W79" s="8" t="s">
        <v>32</v>
      </c>
      <c r="X79" s="8">
        <f>SUMIF(Main!G4:O4,Y1,Main!G7:O7)</f>
        <v>1</v>
      </c>
      <c r="Y79" s="8"/>
      <c r="Z79" s="8"/>
    </row>
    <row r="80" spans="1:26" x14ac:dyDescent="0.55000000000000004">
      <c r="A80" s="8" t="s">
        <v>713</v>
      </c>
      <c r="B80" s="25" t="s">
        <v>308</v>
      </c>
      <c r="C80" s="25" t="s">
        <v>308</v>
      </c>
      <c r="D80" s="25" t="s">
        <v>308</v>
      </c>
      <c r="E80" s="25" t="s">
        <v>308</v>
      </c>
      <c r="F80" s="25" t="s">
        <v>308</v>
      </c>
      <c r="G80" s="25" t="s">
        <v>308</v>
      </c>
      <c r="H80" s="25" t="s">
        <v>308</v>
      </c>
      <c r="I80" s="25" t="s">
        <v>308</v>
      </c>
      <c r="J80" s="25" t="s">
        <v>308</v>
      </c>
      <c r="K80" s="8"/>
      <c r="L80" s="10"/>
      <c r="M80" s="8"/>
      <c r="N80" s="8" t="s">
        <v>712</v>
      </c>
      <c r="O80" s="26">
        <v>0</v>
      </c>
      <c r="P80" s="25" t="s">
        <v>308</v>
      </c>
      <c r="Q80" s="25" t="s">
        <v>308</v>
      </c>
      <c r="R80" s="25" t="s">
        <v>308</v>
      </c>
      <c r="S80" s="8"/>
      <c r="T80" s="10"/>
      <c r="U80" s="8"/>
      <c r="V80" s="8" t="s">
        <v>340</v>
      </c>
      <c r="W80" s="8" t="s">
        <v>99</v>
      </c>
      <c r="X80" s="8">
        <f>SUMIF(Main!G4:O4,Y1,Main!G8:O8)</f>
        <v>1</v>
      </c>
      <c r="Y80" s="8"/>
      <c r="Z80" s="8"/>
    </row>
    <row r="81" spans="1:26" x14ac:dyDescent="0.55000000000000004">
      <c r="A81" s="8" t="s">
        <v>716</v>
      </c>
      <c r="B81" s="25" t="s">
        <v>308</v>
      </c>
      <c r="C81" s="25" t="s">
        <v>308</v>
      </c>
      <c r="D81" s="25" t="s">
        <v>308</v>
      </c>
      <c r="E81" s="25" t="s">
        <v>308</v>
      </c>
      <c r="F81" s="25" t="s">
        <v>308</v>
      </c>
      <c r="G81" s="25" t="s">
        <v>308</v>
      </c>
      <c r="H81" s="25" t="s">
        <v>308</v>
      </c>
      <c r="I81" s="25" t="s">
        <v>308</v>
      </c>
      <c r="J81" s="25" t="s">
        <v>308</v>
      </c>
      <c r="K81" s="8"/>
      <c r="L81" s="10"/>
      <c r="M81" s="8"/>
      <c r="N81" s="8" t="s">
        <v>715</v>
      </c>
      <c r="O81" s="26">
        <v>0</v>
      </c>
      <c r="P81" s="25" t="s">
        <v>308</v>
      </c>
      <c r="Q81" s="25" t="s">
        <v>308</v>
      </c>
      <c r="R81" s="25" t="s">
        <v>308</v>
      </c>
      <c r="S81" s="8"/>
      <c r="T81" s="10"/>
      <c r="U81" s="8"/>
      <c r="V81" s="8"/>
      <c r="W81" s="8"/>
      <c r="X81" s="8"/>
      <c r="Y81" s="8"/>
      <c r="Z81" s="8"/>
    </row>
    <row r="82" spans="1:26" x14ac:dyDescent="0.55000000000000004">
      <c r="A82" s="8" t="s">
        <v>719</v>
      </c>
      <c r="B82" s="25" t="s">
        <v>308</v>
      </c>
      <c r="C82" s="25" t="s">
        <v>308</v>
      </c>
      <c r="D82" s="25" t="s">
        <v>308</v>
      </c>
      <c r="E82" s="25" t="s">
        <v>308</v>
      </c>
      <c r="F82" s="25" t="s">
        <v>308</v>
      </c>
      <c r="G82" s="25" t="s">
        <v>308</v>
      </c>
      <c r="H82" s="25" t="s">
        <v>308</v>
      </c>
      <c r="I82" s="25" t="s">
        <v>308</v>
      </c>
      <c r="J82" s="25" t="s">
        <v>308</v>
      </c>
      <c r="K82" s="8"/>
      <c r="L82" s="10"/>
      <c r="M82" s="8"/>
      <c r="N82" s="8" t="s">
        <v>718</v>
      </c>
      <c r="O82" s="26">
        <v>0</v>
      </c>
      <c r="P82" s="25" t="s">
        <v>308</v>
      </c>
      <c r="Q82" s="25" t="s">
        <v>308</v>
      </c>
      <c r="R82" s="25" t="s">
        <v>308</v>
      </c>
      <c r="S82" s="8"/>
      <c r="T82" s="10"/>
      <c r="U82" s="10"/>
      <c r="V82" s="11" t="s">
        <v>249</v>
      </c>
      <c r="W82" s="10"/>
      <c r="X82" s="10"/>
      <c r="Y82" s="10"/>
      <c r="Z82" s="10"/>
    </row>
    <row r="83" spans="1:26" x14ac:dyDescent="0.55000000000000004">
      <c r="A83" s="8" t="s">
        <v>722</v>
      </c>
      <c r="B83" s="25" t="s">
        <v>308</v>
      </c>
      <c r="C83" s="25" t="s">
        <v>308</v>
      </c>
      <c r="D83" s="25" t="s">
        <v>308</v>
      </c>
      <c r="E83" s="25" t="s">
        <v>308</v>
      </c>
      <c r="F83" s="25" t="s">
        <v>308</v>
      </c>
      <c r="G83" s="25" t="s">
        <v>308</v>
      </c>
      <c r="H83" s="25" t="s">
        <v>308</v>
      </c>
      <c r="I83" s="25" t="s">
        <v>308</v>
      </c>
      <c r="J83" s="25" t="s">
        <v>308</v>
      </c>
      <c r="K83" s="8"/>
      <c r="L83" s="10"/>
      <c r="M83" s="8"/>
      <c r="N83" s="8" t="s">
        <v>721</v>
      </c>
      <c r="O83" s="26">
        <v>0</v>
      </c>
      <c r="P83" s="25" t="s">
        <v>308</v>
      </c>
      <c r="Q83" s="25" t="s">
        <v>308</v>
      </c>
      <c r="R83" s="25" t="s">
        <v>308</v>
      </c>
      <c r="S83" s="8"/>
      <c r="T83" s="10"/>
      <c r="U83" s="8"/>
      <c r="V83" s="8" t="s">
        <v>323</v>
      </c>
      <c r="W83" s="8" t="s">
        <v>12</v>
      </c>
      <c r="X83" s="8">
        <f>SUMIF(Main!G11:O11,'S1'!Y1,Main!G12:O12)</f>
        <v>1</v>
      </c>
      <c r="Y83" s="8"/>
      <c r="Z83" s="8"/>
    </row>
    <row r="84" spans="1:26" x14ac:dyDescent="0.55000000000000004">
      <c r="A84" s="8" t="s">
        <v>725</v>
      </c>
      <c r="B84" s="25" t="s">
        <v>308</v>
      </c>
      <c r="C84" s="25" t="s">
        <v>308</v>
      </c>
      <c r="D84" s="25" t="s">
        <v>308</v>
      </c>
      <c r="E84" s="25" t="s">
        <v>308</v>
      </c>
      <c r="F84" s="25" t="s">
        <v>308</v>
      </c>
      <c r="G84" s="25" t="s">
        <v>308</v>
      </c>
      <c r="H84" s="25" t="s">
        <v>308</v>
      </c>
      <c r="I84" s="25" t="s">
        <v>308</v>
      </c>
      <c r="J84" s="25" t="s">
        <v>308</v>
      </c>
      <c r="K84" s="8"/>
      <c r="L84" s="10"/>
      <c r="M84" s="8"/>
      <c r="N84" s="8" t="s">
        <v>724</v>
      </c>
      <c r="O84" s="26">
        <v>0</v>
      </c>
      <c r="P84" s="25" t="s">
        <v>308</v>
      </c>
      <c r="Q84" s="25" t="s">
        <v>308</v>
      </c>
      <c r="R84" s="25" t="s">
        <v>308</v>
      </c>
      <c r="S84" s="8"/>
      <c r="T84" s="10"/>
      <c r="U84" s="8"/>
      <c r="V84" s="8"/>
      <c r="W84" s="8" t="s">
        <v>20</v>
      </c>
      <c r="X84" s="8">
        <f>SUMIF(Main!G11:O11,'S1'!Y1,Main!G13:O13)</f>
        <v>1</v>
      </c>
      <c r="Y84" s="8"/>
      <c r="Z84" s="8"/>
    </row>
    <row r="85" spans="1:26" x14ac:dyDescent="0.55000000000000004">
      <c r="A85" s="8" t="s">
        <v>728</v>
      </c>
      <c r="B85" s="25" t="s">
        <v>308</v>
      </c>
      <c r="C85" s="25" t="s">
        <v>308</v>
      </c>
      <c r="D85" s="25" t="s">
        <v>308</v>
      </c>
      <c r="E85" s="25" t="s">
        <v>308</v>
      </c>
      <c r="F85" s="25" t="s">
        <v>308</v>
      </c>
      <c r="G85" s="25" t="s">
        <v>308</v>
      </c>
      <c r="H85" s="25" t="s">
        <v>308</v>
      </c>
      <c r="I85" s="25" t="s">
        <v>308</v>
      </c>
      <c r="J85" s="25" t="s">
        <v>308</v>
      </c>
      <c r="K85" s="8"/>
      <c r="L85" s="10"/>
      <c r="M85" s="8"/>
      <c r="N85" s="8" t="s">
        <v>727</v>
      </c>
      <c r="O85" s="26">
        <v>0</v>
      </c>
      <c r="P85" s="25" t="s">
        <v>308</v>
      </c>
      <c r="Q85" s="25" t="s">
        <v>308</v>
      </c>
      <c r="R85" s="25" t="s">
        <v>308</v>
      </c>
      <c r="S85" s="8"/>
      <c r="T85" s="10"/>
      <c r="U85" s="8"/>
      <c r="V85" s="8"/>
      <c r="W85" s="8" t="s">
        <v>28</v>
      </c>
      <c r="X85" s="8">
        <f>SUMIF(Main!G11:O11,'S1'!Y1,Main!G14:O14)</f>
        <v>1</v>
      </c>
      <c r="Y85" s="8"/>
      <c r="Z85" s="8"/>
    </row>
    <row r="86" spans="1:26" x14ac:dyDescent="0.55000000000000004">
      <c r="A86" s="8" t="s">
        <v>731</v>
      </c>
      <c r="B86" s="25" t="s">
        <v>308</v>
      </c>
      <c r="C86" s="25" t="s">
        <v>308</v>
      </c>
      <c r="D86" s="25" t="s">
        <v>308</v>
      </c>
      <c r="E86" s="25" t="s">
        <v>308</v>
      </c>
      <c r="F86" s="25" t="s">
        <v>308</v>
      </c>
      <c r="G86" s="25" t="s">
        <v>308</v>
      </c>
      <c r="H86" s="25" t="s">
        <v>308</v>
      </c>
      <c r="I86" s="25" t="s">
        <v>308</v>
      </c>
      <c r="J86" s="25" t="s">
        <v>308</v>
      </c>
      <c r="K86" s="8"/>
      <c r="L86" s="10"/>
      <c r="M86" s="8"/>
      <c r="N86" s="8" t="s">
        <v>730</v>
      </c>
      <c r="O86" s="26">
        <v>0</v>
      </c>
      <c r="P86" s="25" t="s">
        <v>308</v>
      </c>
      <c r="Q86" s="25" t="s">
        <v>308</v>
      </c>
      <c r="R86" s="25" t="s">
        <v>308</v>
      </c>
      <c r="S86" s="8"/>
      <c r="T86" s="10"/>
      <c r="U86" s="8"/>
      <c r="V86" s="8"/>
      <c r="W86" s="8" t="s">
        <v>36</v>
      </c>
      <c r="X86" s="8">
        <f>SUMIF(Main!G11:O11,'S1'!Y1,Main!G15:O15)</f>
        <v>1</v>
      </c>
      <c r="Y86" s="8"/>
      <c r="Z86" s="8"/>
    </row>
    <row r="87" spans="1:26" x14ac:dyDescent="0.55000000000000004">
      <c r="A87" s="8" t="s">
        <v>734</v>
      </c>
      <c r="B87" s="25" t="s">
        <v>308</v>
      </c>
      <c r="C87" s="25" t="s">
        <v>308</v>
      </c>
      <c r="D87" s="25" t="s">
        <v>308</v>
      </c>
      <c r="E87" s="25" t="s">
        <v>308</v>
      </c>
      <c r="F87" s="25" t="s">
        <v>308</v>
      </c>
      <c r="G87" s="25" t="s">
        <v>308</v>
      </c>
      <c r="H87" s="25" t="s">
        <v>308</v>
      </c>
      <c r="I87" s="25" t="s">
        <v>308</v>
      </c>
      <c r="J87" s="25" t="s">
        <v>308</v>
      </c>
      <c r="K87" s="8"/>
      <c r="L87" s="10"/>
      <c r="M87" s="8"/>
      <c r="N87" s="8" t="s">
        <v>733</v>
      </c>
      <c r="O87" s="26">
        <v>0</v>
      </c>
      <c r="P87" s="25" t="s">
        <v>308</v>
      </c>
      <c r="Q87" s="25" t="s">
        <v>308</v>
      </c>
      <c r="R87" s="25" t="s">
        <v>308</v>
      </c>
      <c r="S87" s="8"/>
      <c r="T87" s="10"/>
      <c r="U87" s="8"/>
      <c r="V87" s="8"/>
      <c r="W87" s="8" t="s">
        <v>44</v>
      </c>
      <c r="X87" s="8">
        <f>SUMIF(Main!G11:O11,'S1'!Y1,Main!G16:O16)</f>
        <v>1</v>
      </c>
      <c r="Y87" s="8"/>
      <c r="Z87" s="8"/>
    </row>
    <row r="88" spans="1:26" x14ac:dyDescent="0.55000000000000004">
      <c r="A88" s="8" t="s">
        <v>202</v>
      </c>
      <c r="B88" s="25" t="s">
        <v>308</v>
      </c>
      <c r="C88" s="25" t="s">
        <v>308</v>
      </c>
      <c r="D88" s="25" t="s">
        <v>308</v>
      </c>
      <c r="E88" s="25" t="s">
        <v>308</v>
      </c>
      <c r="F88" s="25" t="s">
        <v>308</v>
      </c>
      <c r="G88" s="25" t="s">
        <v>308</v>
      </c>
      <c r="H88" s="25" t="s">
        <v>308</v>
      </c>
      <c r="I88" s="25" t="s">
        <v>308</v>
      </c>
      <c r="J88" s="25" t="s">
        <v>308</v>
      </c>
      <c r="K88" s="8"/>
      <c r="L88" s="10"/>
      <c r="M88" s="8"/>
      <c r="N88" s="8" t="s">
        <v>201</v>
      </c>
      <c r="O88" s="26">
        <v>0</v>
      </c>
      <c r="P88" s="25" t="s">
        <v>308</v>
      </c>
      <c r="Q88" s="25" t="s">
        <v>308</v>
      </c>
      <c r="R88" s="25" t="s">
        <v>308</v>
      </c>
      <c r="S88" s="8"/>
      <c r="T88" s="10"/>
      <c r="U88" s="8"/>
      <c r="V88" s="8"/>
      <c r="W88" s="8" t="s">
        <v>49</v>
      </c>
      <c r="X88" s="8">
        <f>SUMIF(Main!G11:O11,'S1'!Y1,Main!G17:O17)</f>
        <v>1</v>
      </c>
      <c r="Y88" s="8"/>
      <c r="Z88" s="8"/>
    </row>
    <row r="89" spans="1:26" x14ac:dyDescent="0.55000000000000004">
      <c r="A89" s="8" t="s">
        <v>738</v>
      </c>
      <c r="B89" s="25" t="s">
        <v>308</v>
      </c>
      <c r="C89" s="25" t="s">
        <v>308</v>
      </c>
      <c r="D89" s="25" t="s">
        <v>308</v>
      </c>
      <c r="E89" s="25" t="s">
        <v>308</v>
      </c>
      <c r="F89" s="25" t="s">
        <v>308</v>
      </c>
      <c r="G89" s="25" t="s">
        <v>308</v>
      </c>
      <c r="H89" s="25" t="s">
        <v>308</v>
      </c>
      <c r="I89" s="25" t="s">
        <v>308</v>
      </c>
      <c r="J89" s="25" t="s">
        <v>308</v>
      </c>
      <c r="K89" s="8"/>
      <c r="L89" s="10"/>
      <c r="M89" s="8"/>
      <c r="N89" s="8" t="s">
        <v>737</v>
      </c>
      <c r="O89" s="26">
        <v>0</v>
      </c>
      <c r="P89" s="25" t="s">
        <v>308</v>
      </c>
      <c r="Q89" s="25" t="s">
        <v>308</v>
      </c>
      <c r="R89" s="25" t="s">
        <v>308</v>
      </c>
      <c r="S89" s="8"/>
      <c r="T89" s="10"/>
      <c r="U89" s="8"/>
      <c r="V89" s="8"/>
      <c r="W89" s="8" t="s">
        <v>57</v>
      </c>
      <c r="X89" s="8">
        <f>SUMIF(Main!G11:O11,'S1'!Y1,Main!G18:O18)</f>
        <v>1</v>
      </c>
      <c r="Y89" s="8"/>
      <c r="Z89" s="8"/>
    </row>
    <row r="90" spans="1:26" x14ac:dyDescent="0.55000000000000004">
      <c r="A90" s="8" t="s">
        <v>204</v>
      </c>
      <c r="B90" s="25" t="s">
        <v>308</v>
      </c>
      <c r="C90" s="25" t="s">
        <v>308</v>
      </c>
      <c r="D90" s="25" t="s">
        <v>308</v>
      </c>
      <c r="E90" s="25" t="s">
        <v>308</v>
      </c>
      <c r="F90" s="25" t="s">
        <v>308</v>
      </c>
      <c r="G90" s="25" t="s">
        <v>308</v>
      </c>
      <c r="H90" s="25" t="s">
        <v>308</v>
      </c>
      <c r="I90" s="25" t="s">
        <v>308</v>
      </c>
      <c r="J90" s="25" t="s">
        <v>308</v>
      </c>
      <c r="K90" s="8"/>
      <c r="L90" s="10"/>
      <c r="M90" s="8"/>
      <c r="N90" s="8" t="s">
        <v>203</v>
      </c>
      <c r="O90" s="26">
        <v>0</v>
      </c>
      <c r="P90" s="25" t="s">
        <v>308</v>
      </c>
      <c r="Q90" s="25" t="s">
        <v>308</v>
      </c>
      <c r="R90" s="25" t="s">
        <v>308</v>
      </c>
      <c r="S90" s="8"/>
      <c r="T90" s="10"/>
      <c r="U90" s="8"/>
      <c r="V90" s="8"/>
      <c r="W90" s="8" t="s">
        <v>65</v>
      </c>
      <c r="X90" s="8">
        <f>SUMIF(Main!G11:O11,'S1'!Y1,Main!G19:O19)</f>
        <v>1</v>
      </c>
      <c r="Y90" s="8"/>
      <c r="Z90" s="8"/>
    </row>
    <row r="91" spans="1:26" x14ac:dyDescent="0.55000000000000004">
      <c r="A91" s="8" t="s">
        <v>742</v>
      </c>
      <c r="B91" s="25" t="s">
        <v>308</v>
      </c>
      <c r="C91" s="25" t="s">
        <v>308</v>
      </c>
      <c r="D91" s="25" t="s">
        <v>308</v>
      </c>
      <c r="E91" s="25" t="s">
        <v>308</v>
      </c>
      <c r="F91" s="25" t="s">
        <v>308</v>
      </c>
      <c r="G91" s="25" t="s">
        <v>308</v>
      </c>
      <c r="H91" s="25" t="s">
        <v>308</v>
      </c>
      <c r="I91" s="25" t="s">
        <v>308</v>
      </c>
      <c r="J91" s="25" t="s">
        <v>308</v>
      </c>
      <c r="K91" s="8"/>
      <c r="L91" s="10"/>
      <c r="M91" s="8"/>
      <c r="N91" s="8" t="s">
        <v>741</v>
      </c>
      <c r="O91" s="26">
        <v>0</v>
      </c>
      <c r="P91" s="25" t="s">
        <v>308</v>
      </c>
      <c r="Q91" s="25" t="s">
        <v>308</v>
      </c>
      <c r="R91" s="25" t="s">
        <v>308</v>
      </c>
      <c r="S91" s="8"/>
      <c r="T91" s="10"/>
      <c r="U91" s="8"/>
      <c r="V91" s="8"/>
      <c r="W91" s="8" t="s">
        <v>573</v>
      </c>
      <c r="X91" s="8">
        <f>SUMIF(Main!G11:O11,'S1'!Y1,Main!G20:O20)</f>
        <v>1</v>
      </c>
      <c r="Y91" s="8"/>
      <c r="Z91" s="8"/>
    </row>
    <row r="92" spans="1:26" x14ac:dyDescent="0.55000000000000004">
      <c r="A92" s="8" t="s">
        <v>745</v>
      </c>
      <c r="B92" s="25" t="s">
        <v>308</v>
      </c>
      <c r="C92" s="25" t="s">
        <v>308</v>
      </c>
      <c r="D92" s="25" t="s">
        <v>308</v>
      </c>
      <c r="E92" s="25" t="s">
        <v>308</v>
      </c>
      <c r="F92" s="25" t="s">
        <v>308</v>
      </c>
      <c r="G92" s="25" t="s">
        <v>308</v>
      </c>
      <c r="H92" s="25" t="s">
        <v>308</v>
      </c>
      <c r="I92" s="25" t="s">
        <v>308</v>
      </c>
      <c r="J92" s="25" t="s">
        <v>308</v>
      </c>
      <c r="K92" s="8"/>
      <c r="L92" s="10"/>
      <c r="M92" s="8"/>
      <c r="N92" s="8" t="s">
        <v>744</v>
      </c>
      <c r="O92" s="26">
        <v>0</v>
      </c>
      <c r="P92" s="25" t="s">
        <v>308</v>
      </c>
      <c r="Q92" s="25" t="s">
        <v>308</v>
      </c>
      <c r="R92" s="25" t="s">
        <v>308</v>
      </c>
      <c r="S92" s="8"/>
      <c r="T92" s="10"/>
      <c r="U92" s="8"/>
      <c r="V92" s="8"/>
      <c r="W92" s="8" t="s">
        <v>580</v>
      </c>
      <c r="X92" s="8">
        <f>SUMIF(Main!G11:O11,'S1'!Y1,Main!G21:O21)</f>
        <v>1</v>
      </c>
      <c r="Y92" s="8"/>
      <c r="Z92" s="8"/>
    </row>
    <row r="93" spans="1:26" x14ac:dyDescent="0.55000000000000004">
      <c r="A93" s="8" t="s">
        <v>748</v>
      </c>
      <c r="B93" s="25" t="s">
        <v>308</v>
      </c>
      <c r="C93" s="25" t="s">
        <v>308</v>
      </c>
      <c r="D93" s="25" t="s">
        <v>308</v>
      </c>
      <c r="E93" s="25" t="s">
        <v>308</v>
      </c>
      <c r="F93" s="25" t="s">
        <v>308</v>
      </c>
      <c r="G93" s="25" t="s">
        <v>308</v>
      </c>
      <c r="H93" s="25" t="s">
        <v>308</v>
      </c>
      <c r="I93" s="25" t="s">
        <v>308</v>
      </c>
      <c r="J93" s="25" t="s">
        <v>308</v>
      </c>
      <c r="K93" s="8"/>
      <c r="L93" s="10"/>
      <c r="M93" s="8"/>
      <c r="N93" s="8" t="s">
        <v>747</v>
      </c>
      <c r="O93" s="26">
        <v>0</v>
      </c>
      <c r="P93" s="25" t="s">
        <v>308</v>
      </c>
      <c r="Q93" s="25" t="s">
        <v>308</v>
      </c>
      <c r="R93" s="25" t="s">
        <v>308</v>
      </c>
      <c r="S93" s="8"/>
      <c r="T93" s="10"/>
      <c r="U93" s="8"/>
      <c r="V93" s="8"/>
      <c r="W93" s="8" t="s">
        <v>586</v>
      </c>
      <c r="X93" s="8">
        <f>SUMIF(Main!G11:O11,'S1'!Y1,Main!G22:O22)</f>
        <v>1</v>
      </c>
      <c r="Y93" s="8"/>
      <c r="Z93" s="8"/>
    </row>
    <row r="94" spans="1:26" x14ac:dyDescent="0.55000000000000004">
      <c r="A94" s="8" t="s">
        <v>751</v>
      </c>
      <c r="B94" s="25" t="s">
        <v>308</v>
      </c>
      <c r="C94" s="25" t="s">
        <v>308</v>
      </c>
      <c r="D94" s="25" t="s">
        <v>308</v>
      </c>
      <c r="E94" s="25" t="s">
        <v>308</v>
      </c>
      <c r="F94" s="25" t="s">
        <v>308</v>
      </c>
      <c r="G94" s="25" t="s">
        <v>308</v>
      </c>
      <c r="H94" s="25" t="s">
        <v>308</v>
      </c>
      <c r="I94" s="25" t="s">
        <v>308</v>
      </c>
      <c r="J94" s="25" t="s">
        <v>308</v>
      </c>
      <c r="K94" s="8"/>
      <c r="L94" s="10"/>
      <c r="M94" s="8"/>
      <c r="N94" s="8" t="s">
        <v>750</v>
      </c>
      <c r="O94" s="26">
        <v>0</v>
      </c>
      <c r="P94" s="25" t="s">
        <v>308</v>
      </c>
      <c r="Q94" s="25" t="s">
        <v>308</v>
      </c>
      <c r="R94" s="25" t="s">
        <v>308</v>
      </c>
      <c r="S94" s="8"/>
      <c r="T94" s="10"/>
      <c r="U94" s="8"/>
      <c r="V94" s="8"/>
      <c r="W94" s="8" t="s">
        <v>590</v>
      </c>
      <c r="X94" s="8">
        <f>SUMIF(Main!G11:O11,'S1'!Y1,Main!G23:O23)</f>
        <v>1</v>
      </c>
      <c r="Y94" s="8"/>
      <c r="Z94" s="8"/>
    </row>
    <row r="95" spans="1:26" x14ac:dyDescent="0.55000000000000004">
      <c r="A95" s="8" t="s">
        <v>754</v>
      </c>
      <c r="B95" s="25" t="s">
        <v>308</v>
      </c>
      <c r="C95" s="25" t="s">
        <v>308</v>
      </c>
      <c r="D95" s="25" t="s">
        <v>308</v>
      </c>
      <c r="E95" s="25" t="s">
        <v>308</v>
      </c>
      <c r="F95" s="25" t="s">
        <v>308</v>
      </c>
      <c r="G95" s="25" t="s">
        <v>308</v>
      </c>
      <c r="H95" s="25" t="s">
        <v>308</v>
      </c>
      <c r="I95" s="25" t="s">
        <v>308</v>
      </c>
      <c r="J95" s="25" t="s">
        <v>308</v>
      </c>
      <c r="K95" s="8"/>
      <c r="L95" s="10"/>
      <c r="M95" s="8"/>
      <c r="N95" s="8" t="s">
        <v>753</v>
      </c>
      <c r="O95" s="26">
        <v>0</v>
      </c>
      <c r="P95" s="25" t="s">
        <v>308</v>
      </c>
      <c r="Q95" s="25" t="s">
        <v>308</v>
      </c>
      <c r="R95" s="25" t="s">
        <v>308</v>
      </c>
      <c r="S95" s="8"/>
      <c r="T95" s="10"/>
      <c r="U95" s="8"/>
      <c r="V95" s="8" t="s">
        <v>251</v>
      </c>
      <c r="W95" s="8" t="s">
        <v>72</v>
      </c>
      <c r="X95" s="8">
        <f>SUMIF(Main!G11:O11,'S1'!Y1,Main!G24:O24)</f>
        <v>1</v>
      </c>
      <c r="Y95" s="8"/>
      <c r="Z95" s="8"/>
    </row>
    <row r="96" spans="1:26" x14ac:dyDescent="0.55000000000000004">
      <c r="A96" s="8" t="s">
        <v>207</v>
      </c>
      <c r="B96" s="25" t="s">
        <v>308</v>
      </c>
      <c r="C96" s="25" t="s">
        <v>308</v>
      </c>
      <c r="D96" s="25" t="s">
        <v>308</v>
      </c>
      <c r="E96" s="25" t="s">
        <v>308</v>
      </c>
      <c r="F96" s="25" t="s">
        <v>308</v>
      </c>
      <c r="G96" s="25" t="s">
        <v>308</v>
      </c>
      <c r="H96" s="25" t="s">
        <v>308</v>
      </c>
      <c r="I96" s="25" t="s">
        <v>308</v>
      </c>
      <c r="J96" s="25" t="s">
        <v>308</v>
      </c>
      <c r="K96" s="8"/>
      <c r="L96" s="10"/>
      <c r="M96" s="8"/>
      <c r="N96" s="8" t="s">
        <v>206</v>
      </c>
      <c r="O96" s="26">
        <v>0</v>
      </c>
      <c r="P96" s="25" t="s">
        <v>308</v>
      </c>
      <c r="Q96" s="25" t="s">
        <v>308</v>
      </c>
      <c r="R96" s="25" t="s">
        <v>308</v>
      </c>
      <c r="S96" s="8"/>
      <c r="T96" s="10"/>
      <c r="U96" s="8"/>
      <c r="V96" s="8" t="s">
        <v>250</v>
      </c>
      <c r="W96" s="8" t="s">
        <v>79</v>
      </c>
      <c r="X96" s="8">
        <f>SUMIF(Main!G11:O11,'S1'!Y1,Main!G25:O25)</f>
        <v>2</v>
      </c>
      <c r="Y96" s="8"/>
      <c r="Z96" s="8"/>
    </row>
    <row r="97" spans="1:26" x14ac:dyDescent="0.55000000000000004">
      <c r="A97" s="8" t="s">
        <v>758</v>
      </c>
      <c r="B97" s="25" t="s">
        <v>308</v>
      </c>
      <c r="C97" s="25" t="s">
        <v>308</v>
      </c>
      <c r="D97" s="25" t="s">
        <v>308</v>
      </c>
      <c r="E97" s="25" t="s">
        <v>308</v>
      </c>
      <c r="F97" s="25" t="s">
        <v>308</v>
      </c>
      <c r="G97" s="25" t="s">
        <v>308</v>
      </c>
      <c r="H97" s="25" t="s">
        <v>308</v>
      </c>
      <c r="I97" s="25" t="s">
        <v>308</v>
      </c>
      <c r="J97" s="25" t="s">
        <v>308</v>
      </c>
      <c r="K97" s="8"/>
      <c r="L97" s="10"/>
      <c r="M97" s="8"/>
      <c r="N97" s="8" t="s">
        <v>757</v>
      </c>
      <c r="O97" s="26">
        <v>0</v>
      </c>
      <c r="P97" s="25" t="s">
        <v>308</v>
      </c>
      <c r="Q97" s="25" t="s">
        <v>308</v>
      </c>
      <c r="R97" s="25" t="s">
        <v>308</v>
      </c>
      <c r="S97" s="8"/>
      <c r="T97" s="10"/>
      <c r="U97" s="8"/>
      <c r="V97" s="8"/>
      <c r="W97" s="8" t="s">
        <v>87</v>
      </c>
      <c r="X97" s="8">
        <f>SUMIF(Main!G11:O11,'S1'!Y1,Main!G26:O26)</f>
        <v>2</v>
      </c>
      <c r="Y97" s="8"/>
      <c r="Z97" s="8"/>
    </row>
    <row r="98" spans="1:26" x14ac:dyDescent="0.55000000000000004">
      <c r="A98" s="8" t="s">
        <v>761</v>
      </c>
      <c r="B98" s="25" t="s">
        <v>308</v>
      </c>
      <c r="C98" s="25" t="s">
        <v>308</v>
      </c>
      <c r="D98" s="25" t="s">
        <v>308</v>
      </c>
      <c r="E98" s="25" t="s">
        <v>308</v>
      </c>
      <c r="F98" s="25" t="s">
        <v>308</v>
      </c>
      <c r="G98" s="25" t="s">
        <v>308</v>
      </c>
      <c r="H98" s="25" t="s">
        <v>308</v>
      </c>
      <c r="I98" s="25" t="s">
        <v>308</v>
      </c>
      <c r="J98" s="25" t="s">
        <v>308</v>
      </c>
      <c r="K98" s="8"/>
      <c r="L98" s="10"/>
      <c r="M98" s="8"/>
      <c r="N98" s="8" t="s">
        <v>760</v>
      </c>
      <c r="O98" s="26">
        <v>0</v>
      </c>
      <c r="P98" s="25" t="s">
        <v>308</v>
      </c>
      <c r="Q98" s="25" t="s">
        <v>308</v>
      </c>
      <c r="R98" s="25" t="s">
        <v>308</v>
      </c>
      <c r="S98" s="8"/>
      <c r="T98" s="10"/>
      <c r="U98" s="8"/>
      <c r="V98" s="8"/>
      <c r="W98" s="8" t="s">
        <v>95</v>
      </c>
      <c r="X98" s="8">
        <f>SUMIF(Main!G11:O11,'S1'!Y1,Main!G27:O27)</f>
        <v>2</v>
      </c>
      <c r="Y98" s="8"/>
      <c r="Z98" s="8"/>
    </row>
    <row r="99" spans="1:26" x14ac:dyDescent="0.55000000000000004">
      <c r="A99" s="8" t="s">
        <v>764</v>
      </c>
      <c r="B99" s="25" t="s">
        <v>308</v>
      </c>
      <c r="C99" s="25" t="s">
        <v>308</v>
      </c>
      <c r="D99" s="25" t="s">
        <v>308</v>
      </c>
      <c r="E99" s="25" t="s">
        <v>308</v>
      </c>
      <c r="F99" s="25" t="s">
        <v>308</v>
      </c>
      <c r="G99" s="25" t="s">
        <v>308</v>
      </c>
      <c r="H99" s="25" t="s">
        <v>308</v>
      </c>
      <c r="I99" s="25" t="s">
        <v>308</v>
      </c>
      <c r="J99" s="25" t="s">
        <v>308</v>
      </c>
      <c r="K99" s="8"/>
      <c r="L99" s="10"/>
      <c r="M99" s="8"/>
      <c r="N99" s="8" t="s">
        <v>763</v>
      </c>
      <c r="O99" s="26">
        <v>0</v>
      </c>
      <c r="P99" s="25" t="s">
        <v>308</v>
      </c>
      <c r="Q99" s="25" t="s">
        <v>308</v>
      </c>
      <c r="R99" s="25" t="s">
        <v>308</v>
      </c>
      <c r="S99" s="8"/>
      <c r="T99" s="10"/>
      <c r="U99" s="8"/>
      <c r="V99" s="8"/>
      <c r="W99" s="8" t="s">
        <v>101</v>
      </c>
      <c r="X99" s="8">
        <f>SUMIF(Main!G11:O11,'S1'!Y1,Main!G28:O28)</f>
        <v>2</v>
      </c>
      <c r="Y99" s="8"/>
      <c r="Z99" s="8"/>
    </row>
    <row r="100" spans="1:26" x14ac:dyDescent="0.55000000000000004">
      <c r="A100" s="8" t="s">
        <v>767</v>
      </c>
      <c r="B100" s="25" t="s">
        <v>308</v>
      </c>
      <c r="C100" s="25" t="s">
        <v>308</v>
      </c>
      <c r="D100" s="25" t="s">
        <v>308</v>
      </c>
      <c r="E100" s="25" t="s">
        <v>308</v>
      </c>
      <c r="F100" s="25" t="s">
        <v>308</v>
      </c>
      <c r="G100" s="25" t="s">
        <v>308</v>
      </c>
      <c r="H100" s="25" t="s">
        <v>308</v>
      </c>
      <c r="I100" s="25" t="s">
        <v>308</v>
      </c>
      <c r="J100" s="25" t="s">
        <v>308</v>
      </c>
      <c r="K100" s="8"/>
      <c r="L100" s="10"/>
      <c r="M100" s="8"/>
      <c r="N100" s="8" t="s">
        <v>766</v>
      </c>
      <c r="O100" s="26">
        <v>0</v>
      </c>
      <c r="P100" s="25" t="s">
        <v>308</v>
      </c>
      <c r="Q100" s="25" t="s">
        <v>308</v>
      </c>
      <c r="R100" s="25" t="s">
        <v>308</v>
      </c>
      <c r="S100" s="8"/>
      <c r="T100" s="10"/>
      <c r="U100" s="8"/>
      <c r="V100" s="8"/>
      <c r="W100" s="8"/>
      <c r="X100" s="8"/>
      <c r="Y100" s="8"/>
      <c r="Z100" s="8"/>
    </row>
    <row r="101" spans="1:26" x14ac:dyDescent="0.55000000000000004">
      <c r="A101" s="8" t="s">
        <v>770</v>
      </c>
      <c r="B101" s="25" t="s">
        <v>308</v>
      </c>
      <c r="C101" s="25" t="s">
        <v>308</v>
      </c>
      <c r="D101" s="25" t="s">
        <v>308</v>
      </c>
      <c r="E101" s="25" t="s">
        <v>308</v>
      </c>
      <c r="F101" s="25" t="s">
        <v>308</v>
      </c>
      <c r="G101" s="25" t="s">
        <v>308</v>
      </c>
      <c r="H101" s="25" t="s">
        <v>308</v>
      </c>
      <c r="I101" s="25" t="s">
        <v>308</v>
      </c>
      <c r="J101" s="25" t="s">
        <v>308</v>
      </c>
      <c r="K101" s="8"/>
      <c r="L101" s="10"/>
      <c r="M101" s="8"/>
      <c r="N101" s="8" t="s">
        <v>769</v>
      </c>
      <c r="O101" s="26">
        <v>0</v>
      </c>
      <c r="P101" s="25" t="s">
        <v>308</v>
      </c>
      <c r="Q101" s="25" t="s">
        <v>308</v>
      </c>
      <c r="R101" s="25" t="s">
        <v>308</v>
      </c>
      <c r="S101" s="8"/>
      <c r="T101" s="10"/>
      <c r="U101" s="8"/>
      <c r="V101" s="8"/>
      <c r="W101" s="8"/>
      <c r="X101" s="8"/>
      <c r="Y101" s="8"/>
      <c r="Z101" s="8"/>
    </row>
    <row r="102" spans="1:26" x14ac:dyDescent="0.55000000000000004">
      <c r="A102" s="8" t="s">
        <v>211</v>
      </c>
      <c r="B102" s="25" t="s">
        <v>308</v>
      </c>
      <c r="C102" s="25" t="s">
        <v>308</v>
      </c>
      <c r="D102" s="25" t="s">
        <v>308</v>
      </c>
      <c r="E102" s="25" t="s">
        <v>308</v>
      </c>
      <c r="F102" s="25" t="s">
        <v>308</v>
      </c>
      <c r="G102" s="25" t="s">
        <v>308</v>
      </c>
      <c r="H102" s="25" t="s">
        <v>308</v>
      </c>
      <c r="I102" s="25" t="s">
        <v>308</v>
      </c>
      <c r="J102" s="25" t="s">
        <v>308</v>
      </c>
      <c r="K102" s="8"/>
      <c r="L102" s="10"/>
      <c r="M102" s="8"/>
      <c r="N102" s="8" t="s">
        <v>210</v>
      </c>
      <c r="O102" s="26">
        <v>0</v>
      </c>
      <c r="P102" s="25" t="s">
        <v>308</v>
      </c>
      <c r="Q102" s="25" t="s">
        <v>308</v>
      </c>
      <c r="R102" s="25" t="s">
        <v>308</v>
      </c>
      <c r="S102" s="8"/>
      <c r="T102" s="10"/>
      <c r="U102" s="8"/>
      <c r="V102" s="8"/>
      <c r="W102" s="8"/>
      <c r="X102" s="8"/>
      <c r="Y102" s="8"/>
      <c r="Z102" s="8"/>
    </row>
    <row r="103" spans="1:26" x14ac:dyDescent="0.55000000000000004">
      <c r="A103" s="8" t="s">
        <v>214</v>
      </c>
      <c r="B103" s="25" t="s">
        <v>308</v>
      </c>
      <c r="C103" s="25" t="s">
        <v>308</v>
      </c>
      <c r="D103" s="25" t="s">
        <v>308</v>
      </c>
      <c r="E103" s="25" t="s">
        <v>308</v>
      </c>
      <c r="F103" s="25" t="s">
        <v>308</v>
      </c>
      <c r="G103" s="25" t="s">
        <v>308</v>
      </c>
      <c r="H103" s="25" t="s">
        <v>308</v>
      </c>
      <c r="I103" s="25" t="s">
        <v>308</v>
      </c>
      <c r="J103" s="25" t="s">
        <v>308</v>
      </c>
      <c r="K103" s="8"/>
      <c r="L103" s="10"/>
      <c r="M103" s="8"/>
      <c r="N103" s="8" t="s">
        <v>213</v>
      </c>
      <c r="O103" s="26">
        <v>0</v>
      </c>
      <c r="P103" s="25" t="s">
        <v>308</v>
      </c>
      <c r="Q103" s="25" t="s">
        <v>308</v>
      </c>
      <c r="R103" s="25" t="s">
        <v>308</v>
      </c>
      <c r="S103" s="8"/>
      <c r="T103" s="10"/>
      <c r="U103" s="8"/>
      <c r="V103" s="8"/>
      <c r="W103" s="8"/>
      <c r="X103" s="8"/>
      <c r="Y103" s="8"/>
      <c r="Z103" s="8"/>
    </row>
    <row r="104" spans="1:26" x14ac:dyDescent="0.55000000000000004">
      <c r="A104" s="8" t="s">
        <v>217</v>
      </c>
      <c r="B104" s="25" t="s">
        <v>308</v>
      </c>
      <c r="C104" s="25" t="s">
        <v>308</v>
      </c>
      <c r="D104" s="25" t="s">
        <v>308</v>
      </c>
      <c r="E104" s="25" t="s">
        <v>308</v>
      </c>
      <c r="F104" s="25" t="s">
        <v>308</v>
      </c>
      <c r="G104" s="25" t="s">
        <v>308</v>
      </c>
      <c r="H104" s="25" t="s">
        <v>308</v>
      </c>
      <c r="I104" s="25" t="s">
        <v>308</v>
      </c>
      <c r="J104" s="25" t="s">
        <v>308</v>
      </c>
      <c r="K104" s="8"/>
      <c r="L104" s="10"/>
      <c r="M104" s="8"/>
      <c r="N104" s="8" t="s">
        <v>216</v>
      </c>
      <c r="O104" s="26">
        <v>0</v>
      </c>
      <c r="P104" s="25" t="s">
        <v>308</v>
      </c>
      <c r="Q104" s="25" t="s">
        <v>308</v>
      </c>
      <c r="R104" s="25" t="s">
        <v>308</v>
      </c>
      <c r="S104" s="8"/>
      <c r="T104" s="10"/>
      <c r="U104" s="8"/>
      <c r="V104" s="8"/>
      <c r="W104" s="8"/>
      <c r="X104" s="8"/>
      <c r="Y104" s="8"/>
      <c r="Z104" s="8"/>
    </row>
    <row r="105" spans="1:26" x14ac:dyDescent="0.55000000000000004">
      <c r="A105" s="8" t="s">
        <v>776</v>
      </c>
      <c r="B105" s="25" t="s">
        <v>308</v>
      </c>
      <c r="C105" s="25" t="s">
        <v>308</v>
      </c>
      <c r="D105" s="25" t="s">
        <v>308</v>
      </c>
      <c r="E105" s="25" t="s">
        <v>308</v>
      </c>
      <c r="F105" s="25" t="s">
        <v>308</v>
      </c>
      <c r="G105" s="25" t="s">
        <v>308</v>
      </c>
      <c r="H105" s="25" t="s">
        <v>308</v>
      </c>
      <c r="I105" s="25" t="s">
        <v>308</v>
      </c>
      <c r="J105" s="25" t="s">
        <v>308</v>
      </c>
      <c r="K105" s="8"/>
      <c r="L105" s="10"/>
      <c r="M105" s="8"/>
      <c r="N105" s="8" t="s">
        <v>775</v>
      </c>
      <c r="O105" s="26">
        <v>0</v>
      </c>
      <c r="P105" s="25" t="s">
        <v>308</v>
      </c>
      <c r="Q105" s="25" t="s">
        <v>308</v>
      </c>
      <c r="R105" s="25" t="s">
        <v>308</v>
      </c>
      <c r="S105" s="8"/>
      <c r="T105" s="10"/>
      <c r="U105" s="8"/>
      <c r="V105" s="8"/>
      <c r="W105" s="8"/>
      <c r="X105" s="8"/>
      <c r="Y105" s="8"/>
      <c r="Z105" s="8"/>
    </row>
    <row r="106" spans="1:26" x14ac:dyDescent="0.55000000000000004">
      <c r="A106" s="8" t="s">
        <v>779</v>
      </c>
      <c r="B106" s="25" t="s">
        <v>308</v>
      </c>
      <c r="C106" s="25" t="s">
        <v>308</v>
      </c>
      <c r="D106" s="25" t="s">
        <v>308</v>
      </c>
      <c r="E106" s="25" t="s">
        <v>308</v>
      </c>
      <c r="F106" s="25" t="s">
        <v>308</v>
      </c>
      <c r="G106" s="25" t="s">
        <v>308</v>
      </c>
      <c r="H106" s="25" t="s">
        <v>308</v>
      </c>
      <c r="I106" s="25" t="s">
        <v>308</v>
      </c>
      <c r="J106" s="25" t="s">
        <v>308</v>
      </c>
      <c r="K106" s="8"/>
      <c r="L106" s="10"/>
      <c r="M106" s="8"/>
      <c r="N106" s="8" t="s">
        <v>778</v>
      </c>
      <c r="O106" s="26">
        <v>0</v>
      </c>
      <c r="P106" s="25" t="s">
        <v>308</v>
      </c>
      <c r="Q106" s="25" t="s">
        <v>308</v>
      </c>
      <c r="R106" s="25" t="s">
        <v>308</v>
      </c>
      <c r="S106" s="8"/>
      <c r="T106" s="10"/>
      <c r="U106" s="8"/>
      <c r="V106" s="8"/>
      <c r="W106" s="8"/>
      <c r="X106" s="8"/>
      <c r="Y106" s="8"/>
      <c r="Z106" s="8"/>
    </row>
    <row r="107" spans="1:26" x14ac:dyDescent="0.55000000000000004">
      <c r="A107" s="8" t="s">
        <v>782</v>
      </c>
      <c r="B107" s="25" t="s">
        <v>308</v>
      </c>
      <c r="C107" s="25" t="s">
        <v>308</v>
      </c>
      <c r="D107" s="25" t="s">
        <v>308</v>
      </c>
      <c r="E107" s="25" t="s">
        <v>308</v>
      </c>
      <c r="F107" s="25" t="s">
        <v>308</v>
      </c>
      <c r="G107" s="25" t="s">
        <v>308</v>
      </c>
      <c r="H107" s="25" t="s">
        <v>308</v>
      </c>
      <c r="I107" s="25" t="s">
        <v>308</v>
      </c>
      <c r="J107" s="25" t="s">
        <v>308</v>
      </c>
      <c r="K107" s="8"/>
      <c r="L107" s="10"/>
      <c r="M107" s="8"/>
      <c r="N107" s="8" t="s">
        <v>781</v>
      </c>
      <c r="O107" s="26">
        <v>0</v>
      </c>
      <c r="P107" s="25" t="s">
        <v>308</v>
      </c>
      <c r="Q107" s="25" t="s">
        <v>308</v>
      </c>
      <c r="R107" s="25" t="s">
        <v>308</v>
      </c>
      <c r="S107" s="8"/>
      <c r="T107" s="10"/>
      <c r="U107" s="8"/>
      <c r="V107" s="8"/>
      <c r="W107" s="8"/>
      <c r="X107" s="8"/>
      <c r="Y107" s="8"/>
      <c r="Z107" s="8"/>
    </row>
    <row r="108" spans="1:26" x14ac:dyDescent="0.55000000000000004">
      <c r="A108" s="8" t="s">
        <v>220</v>
      </c>
      <c r="B108" s="25" t="s">
        <v>308</v>
      </c>
      <c r="C108" s="25" t="s">
        <v>308</v>
      </c>
      <c r="D108" s="25" t="s">
        <v>308</v>
      </c>
      <c r="E108" s="25" t="s">
        <v>308</v>
      </c>
      <c r="F108" s="25" t="s">
        <v>308</v>
      </c>
      <c r="G108" s="25" t="s">
        <v>308</v>
      </c>
      <c r="H108" s="25" t="s">
        <v>308</v>
      </c>
      <c r="I108" s="25" t="s">
        <v>308</v>
      </c>
      <c r="J108" s="25" t="s">
        <v>308</v>
      </c>
      <c r="K108" s="8"/>
      <c r="L108" s="10"/>
      <c r="M108" s="8"/>
      <c r="N108" s="8" t="s">
        <v>219</v>
      </c>
      <c r="O108" s="26">
        <v>0</v>
      </c>
      <c r="P108" s="25" t="s">
        <v>308</v>
      </c>
      <c r="Q108" s="25" t="s">
        <v>308</v>
      </c>
      <c r="R108" s="25" t="s">
        <v>308</v>
      </c>
      <c r="S108" s="8"/>
      <c r="T108" s="10"/>
      <c r="U108" s="8"/>
      <c r="V108" s="8"/>
      <c r="W108" s="8"/>
      <c r="X108" s="8"/>
      <c r="Y108" s="8"/>
      <c r="Z108" s="8"/>
    </row>
    <row r="109" spans="1:26" x14ac:dyDescent="0.55000000000000004">
      <c r="A109" s="8" t="s">
        <v>786</v>
      </c>
      <c r="B109" s="25" t="s">
        <v>308</v>
      </c>
      <c r="C109" s="25" t="s">
        <v>308</v>
      </c>
      <c r="D109" s="25" t="s">
        <v>308</v>
      </c>
      <c r="E109" s="25" t="s">
        <v>308</v>
      </c>
      <c r="F109" s="25" t="s">
        <v>308</v>
      </c>
      <c r="G109" s="25" t="s">
        <v>308</v>
      </c>
      <c r="H109" s="25" t="s">
        <v>308</v>
      </c>
      <c r="I109" s="25" t="s">
        <v>308</v>
      </c>
      <c r="J109" s="25" t="s">
        <v>308</v>
      </c>
      <c r="K109" s="8"/>
      <c r="L109" s="10"/>
      <c r="M109" s="8"/>
      <c r="N109" s="8" t="s">
        <v>785</v>
      </c>
      <c r="O109" s="26">
        <v>0</v>
      </c>
      <c r="P109" s="25" t="s">
        <v>308</v>
      </c>
      <c r="Q109" s="25" t="s">
        <v>308</v>
      </c>
      <c r="R109" s="25" t="s">
        <v>308</v>
      </c>
      <c r="S109" s="8"/>
      <c r="T109" s="10"/>
      <c r="U109" s="8"/>
      <c r="V109" s="8"/>
      <c r="W109" s="8"/>
      <c r="X109" s="8"/>
      <c r="Y109" s="8"/>
      <c r="Z109" s="8"/>
    </row>
    <row r="110" spans="1:26" x14ac:dyDescent="0.55000000000000004">
      <c r="A110" s="8" t="s">
        <v>789</v>
      </c>
      <c r="B110" s="25" t="s">
        <v>308</v>
      </c>
      <c r="C110" s="25" t="s">
        <v>308</v>
      </c>
      <c r="D110" s="25" t="s">
        <v>308</v>
      </c>
      <c r="E110" s="25" t="s">
        <v>308</v>
      </c>
      <c r="F110" s="25" t="s">
        <v>308</v>
      </c>
      <c r="G110" s="25" t="s">
        <v>308</v>
      </c>
      <c r="H110" s="25" t="s">
        <v>308</v>
      </c>
      <c r="I110" s="25" t="s">
        <v>308</v>
      </c>
      <c r="J110" s="25" t="s">
        <v>308</v>
      </c>
      <c r="K110" s="8"/>
      <c r="L110" s="10"/>
      <c r="M110" s="8"/>
      <c r="N110" s="8" t="s">
        <v>788</v>
      </c>
      <c r="O110" s="26">
        <v>0</v>
      </c>
      <c r="P110" s="25" t="s">
        <v>308</v>
      </c>
      <c r="Q110" s="25" t="s">
        <v>308</v>
      </c>
      <c r="R110" s="25" t="s">
        <v>308</v>
      </c>
      <c r="S110" s="8"/>
      <c r="T110" s="10"/>
      <c r="U110" s="8"/>
      <c r="V110" s="8"/>
      <c r="W110" s="8"/>
      <c r="X110" s="8"/>
      <c r="Y110" s="8"/>
      <c r="Z110" s="8"/>
    </row>
    <row r="111" spans="1:26" x14ac:dyDescent="0.5500000000000000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8"/>
      <c r="P111" s="8"/>
      <c r="Q111" s="8"/>
      <c r="R111" s="8"/>
      <c r="S111" s="8"/>
      <c r="T111" s="10"/>
      <c r="U111" s="8"/>
      <c r="V111" s="8"/>
      <c r="W111" s="8"/>
      <c r="X111" s="8"/>
      <c r="Y111" s="8"/>
      <c r="Z111" s="8"/>
    </row>
  </sheetData>
  <sheetProtection sheet="1" objects="1" scenarios="1"/>
  <mergeCells count="4">
    <mergeCell ref="B4:C4"/>
    <mergeCell ref="D4:F4"/>
    <mergeCell ref="G4:I4"/>
    <mergeCell ref="Q4:R4"/>
  </mergeCells>
  <conditionalFormatting sqref="O7:O110">
    <cfRule type="cellIs" dxfId="45" priority="8" operator="equal">
      <formula>0</formula>
    </cfRule>
  </conditionalFormatting>
  <conditionalFormatting sqref="P7:R110">
    <cfRule type="cellIs" dxfId="44" priority="6" operator="equal">
      <formula>"eps"</formula>
    </cfRule>
  </conditionalFormatting>
  <conditionalFormatting sqref="W7:Y23 B7:J110">
    <cfRule type="cellIs" dxfId="43" priority="10" operator="equal">
      <formula>"eps"</formula>
    </cfRule>
  </conditionalFormatting>
  <conditionalFormatting sqref="X28:Y42">
    <cfRule type="cellIs" dxfId="42" priority="1" operator="equal">
      <formula>"eps"</formula>
    </cfRule>
  </conditionalFormatting>
  <conditionalFormatting sqref="Y46:Y54">
    <cfRule type="cellIs" dxfId="41" priority="2" operator="equal">
      <formula>"eps"</formula>
    </cfRule>
  </conditionalFormatting>
  <dataValidations count="1">
    <dataValidation type="whole" allowBlank="1" showInputMessage="1" showErrorMessage="1" errorTitle="Incorrect choice" error="Choose 0 or 1" sqref="X59:Y74 O7:O110" xr:uid="{00000000-0002-0000-0200-000000000000}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499984740745262"/>
  </sheetPr>
  <dimension ref="A1:Z111"/>
  <sheetViews>
    <sheetView zoomScale="75" zoomScaleNormal="7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P16" sqref="P16"/>
    </sheetView>
  </sheetViews>
  <sheetFormatPr defaultColWidth="0" defaultRowHeight="14.4" zeroHeight="1" x14ac:dyDescent="0.55000000000000004"/>
  <cols>
    <col min="1" max="9" width="8.7890625" customWidth="1"/>
    <col min="10" max="10" width="8.7890625" hidden="1" customWidth="1"/>
    <col min="11" max="13" width="1" customWidth="1"/>
    <col min="14" max="18" width="8.7890625" customWidth="1"/>
    <col min="19" max="21" width="1" customWidth="1"/>
    <col min="22" max="25" width="8.7890625" customWidth="1"/>
    <col min="26" max="26" width="3.15625" customWidth="1"/>
    <col min="27" max="16384" width="8.7890625" hidden="1"/>
  </cols>
  <sheetData>
    <row r="1" spans="1:26" ht="18.3" x14ac:dyDescent="0.7">
      <c r="A1" s="6" t="str">
        <f>"Simulation "&amp;Y1&amp;IF(X1&lt;&gt;""," : "&amp;X1,"")</f>
        <v>Simulation Food_shk : 50%_incr_cchem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7" t="str">
        <f>IF(Main!C6&lt;&gt;"",Main!C6,"")</f>
        <v>50%_incr_cchem</v>
      </c>
      <c r="Y1" s="17" t="str">
        <f>Main!A7</f>
        <v>Food_shk</v>
      </c>
      <c r="Z1" s="7"/>
    </row>
    <row r="2" spans="1:26" x14ac:dyDescent="0.5500000000000000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55000000000000004">
      <c r="A3" s="11" t="s">
        <v>271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 t="s">
        <v>272</v>
      </c>
      <c r="O3" s="11"/>
      <c r="P3" s="11"/>
      <c r="Q3" s="11"/>
      <c r="R3" s="11"/>
      <c r="S3" s="11"/>
      <c r="T3" s="11"/>
      <c r="U3" s="11"/>
      <c r="V3" s="11" t="s">
        <v>273</v>
      </c>
      <c r="W3" s="11"/>
      <c r="X3" s="11"/>
      <c r="Y3" s="11"/>
      <c r="Z3" s="11"/>
    </row>
    <row r="4" spans="1:26" x14ac:dyDescent="0.55000000000000004">
      <c r="A4" s="13"/>
      <c r="B4" s="31" t="s">
        <v>274</v>
      </c>
      <c r="C4" s="31"/>
      <c r="D4" s="31" t="s">
        <v>275</v>
      </c>
      <c r="E4" s="31"/>
      <c r="F4" s="31"/>
      <c r="G4" s="31" t="s">
        <v>17</v>
      </c>
      <c r="H4" s="31"/>
      <c r="I4" s="31"/>
      <c r="J4" s="15" t="s">
        <v>276</v>
      </c>
      <c r="K4" s="13"/>
      <c r="L4" s="10"/>
      <c r="M4" s="13"/>
      <c r="N4" s="13"/>
      <c r="O4" s="15" t="s">
        <v>277</v>
      </c>
      <c r="P4" s="15" t="s">
        <v>278</v>
      </c>
      <c r="Q4" s="31" t="s">
        <v>279</v>
      </c>
      <c r="R4" s="31"/>
      <c r="S4" s="13"/>
      <c r="T4" s="10"/>
      <c r="U4" s="13"/>
      <c r="V4" s="13"/>
      <c r="W4" s="15" t="s">
        <v>280</v>
      </c>
      <c r="X4" s="15" t="s">
        <v>281</v>
      </c>
      <c r="Y4" s="15" t="s">
        <v>280</v>
      </c>
      <c r="Z4" s="13"/>
    </row>
    <row r="5" spans="1:26" x14ac:dyDescent="0.55000000000000004">
      <c r="A5" s="13"/>
      <c r="B5" s="16" t="s">
        <v>282</v>
      </c>
      <c r="C5" s="16" t="s">
        <v>283</v>
      </c>
      <c r="D5" s="16" t="s">
        <v>282</v>
      </c>
      <c r="E5" s="16" t="s">
        <v>283</v>
      </c>
      <c r="F5" s="16" t="s">
        <v>284</v>
      </c>
      <c r="G5" s="16" t="s">
        <v>282</v>
      </c>
      <c r="H5" s="16" t="s">
        <v>283</v>
      </c>
      <c r="I5" s="16" t="s">
        <v>285</v>
      </c>
      <c r="J5" s="15" t="s">
        <v>286</v>
      </c>
      <c r="K5" s="13"/>
      <c r="L5" s="10"/>
      <c r="M5" s="13"/>
      <c r="N5" s="13"/>
      <c r="O5" s="16" t="s">
        <v>287</v>
      </c>
      <c r="P5" s="16"/>
      <c r="Q5" s="16" t="s">
        <v>288</v>
      </c>
      <c r="R5" s="16" t="s">
        <v>332</v>
      </c>
      <c r="S5" s="13"/>
      <c r="T5" s="10"/>
      <c r="U5" s="13"/>
      <c r="V5" s="13"/>
      <c r="W5" s="15" t="s">
        <v>289</v>
      </c>
      <c r="X5" s="15" t="s">
        <v>290</v>
      </c>
      <c r="Y5" s="15" t="s">
        <v>291</v>
      </c>
      <c r="Z5" s="13"/>
    </row>
    <row r="6" spans="1:26" x14ac:dyDescent="0.55000000000000004">
      <c r="A6" s="13"/>
      <c r="B6" s="16" t="s">
        <v>292</v>
      </c>
      <c r="C6" s="16" t="s">
        <v>293</v>
      </c>
      <c r="D6" s="16" t="s">
        <v>294</v>
      </c>
      <c r="E6" s="16" t="s">
        <v>295</v>
      </c>
      <c r="F6" s="16" t="s">
        <v>296</v>
      </c>
      <c r="G6" s="16" t="s">
        <v>297</v>
      </c>
      <c r="H6" s="16" t="s">
        <v>298</v>
      </c>
      <c r="I6" s="16" t="s">
        <v>299</v>
      </c>
      <c r="J6" s="16" t="s">
        <v>300</v>
      </c>
      <c r="K6" s="13"/>
      <c r="L6" s="10"/>
      <c r="M6" s="13"/>
      <c r="N6" s="13"/>
      <c r="O6" s="16" t="s">
        <v>301</v>
      </c>
      <c r="P6" s="16" t="s">
        <v>302</v>
      </c>
      <c r="Q6" s="16" t="s">
        <v>303</v>
      </c>
      <c r="R6" s="16" t="s">
        <v>304</v>
      </c>
      <c r="S6" s="13"/>
      <c r="T6" s="10"/>
      <c r="U6" s="13"/>
      <c r="V6" s="13"/>
      <c r="W6" s="16" t="s">
        <v>305</v>
      </c>
      <c r="X6" s="16" t="s">
        <v>306</v>
      </c>
      <c r="Y6" s="16" t="s">
        <v>307</v>
      </c>
      <c r="Z6" s="13"/>
    </row>
    <row r="7" spans="1:26" x14ac:dyDescent="0.55000000000000004">
      <c r="A7" s="8" t="s">
        <v>19</v>
      </c>
      <c r="B7" s="25" t="s">
        <v>308</v>
      </c>
      <c r="C7" s="25" t="s">
        <v>308</v>
      </c>
      <c r="D7" s="25" t="s">
        <v>308</v>
      </c>
      <c r="E7" s="25" t="s">
        <v>308</v>
      </c>
      <c r="F7" s="25" t="s">
        <v>308</v>
      </c>
      <c r="G7" s="25" t="s">
        <v>308</v>
      </c>
      <c r="H7" s="25" t="s">
        <v>308</v>
      </c>
      <c r="I7" s="25" t="s">
        <v>308</v>
      </c>
      <c r="J7" s="25" t="s">
        <v>308</v>
      </c>
      <c r="K7" s="8"/>
      <c r="L7" s="10"/>
      <c r="M7" s="8"/>
      <c r="N7" s="8" t="s">
        <v>18</v>
      </c>
      <c r="O7" s="26">
        <v>0</v>
      </c>
      <c r="P7" s="25" t="s">
        <v>308</v>
      </c>
      <c r="Q7" s="25" t="s">
        <v>308</v>
      </c>
      <c r="R7" s="25" t="s">
        <v>308</v>
      </c>
      <c r="S7" s="8"/>
      <c r="T7" s="10"/>
      <c r="U7" s="8"/>
      <c r="V7" s="8" t="s">
        <v>12</v>
      </c>
      <c r="W7" s="25" t="s">
        <v>308</v>
      </c>
      <c r="X7" s="25" t="s">
        <v>308</v>
      </c>
      <c r="Y7" s="25" t="s">
        <v>308</v>
      </c>
      <c r="Z7" s="8"/>
    </row>
    <row r="8" spans="1:26" x14ac:dyDescent="0.55000000000000004">
      <c r="A8" s="8" t="s">
        <v>10</v>
      </c>
      <c r="B8" s="25" t="s">
        <v>308</v>
      </c>
      <c r="C8" s="25">
        <v>10</v>
      </c>
      <c r="D8" s="25" t="s">
        <v>308</v>
      </c>
      <c r="E8" s="25" t="s">
        <v>308</v>
      </c>
      <c r="F8" s="25" t="s">
        <v>308</v>
      </c>
      <c r="G8" s="25" t="s">
        <v>308</v>
      </c>
      <c r="H8" s="25" t="s">
        <v>308</v>
      </c>
      <c r="I8" s="25" t="s">
        <v>308</v>
      </c>
      <c r="J8" s="25" t="s">
        <v>308</v>
      </c>
      <c r="K8" s="8"/>
      <c r="L8" s="10"/>
      <c r="M8" s="8"/>
      <c r="N8" s="8" t="s">
        <v>9</v>
      </c>
      <c r="O8" s="26">
        <v>0</v>
      </c>
      <c r="P8" s="25" t="s">
        <v>308</v>
      </c>
      <c r="Q8" s="25" t="s">
        <v>308</v>
      </c>
      <c r="R8" s="25" t="s">
        <v>308</v>
      </c>
      <c r="S8" s="8"/>
      <c r="T8" s="10"/>
      <c r="U8" s="8"/>
      <c r="V8" s="8" t="s">
        <v>20</v>
      </c>
      <c r="W8" s="25" t="s">
        <v>308</v>
      </c>
      <c r="X8" s="25" t="s">
        <v>308</v>
      </c>
      <c r="Y8" s="25" t="s">
        <v>308</v>
      </c>
      <c r="Z8" s="8"/>
    </row>
    <row r="9" spans="1:26" x14ac:dyDescent="0.55000000000000004">
      <c r="A9" s="8" t="s">
        <v>35</v>
      </c>
      <c r="B9" s="25" t="s">
        <v>308</v>
      </c>
      <c r="C9" s="25">
        <v>100</v>
      </c>
      <c r="D9" s="25" t="s">
        <v>308</v>
      </c>
      <c r="E9" s="25" t="s">
        <v>308</v>
      </c>
      <c r="F9" s="25" t="s">
        <v>308</v>
      </c>
      <c r="G9" s="25" t="s">
        <v>308</v>
      </c>
      <c r="H9" s="25" t="s">
        <v>308</v>
      </c>
      <c r="I9" s="25" t="s">
        <v>308</v>
      </c>
      <c r="J9" s="25" t="s">
        <v>308</v>
      </c>
      <c r="K9" s="8"/>
      <c r="L9" s="10"/>
      <c r="M9" s="8"/>
      <c r="N9" s="8" t="s">
        <v>34</v>
      </c>
      <c r="O9" s="26">
        <v>0</v>
      </c>
      <c r="P9" s="25" t="s">
        <v>308</v>
      </c>
      <c r="Q9" s="25" t="s">
        <v>308</v>
      </c>
      <c r="R9" s="25" t="s">
        <v>308</v>
      </c>
      <c r="S9" s="8"/>
      <c r="T9" s="10"/>
      <c r="U9" s="8"/>
      <c r="V9" s="8" t="s">
        <v>28</v>
      </c>
      <c r="W9" s="25" t="s">
        <v>308</v>
      </c>
      <c r="X9" s="25" t="s">
        <v>308</v>
      </c>
      <c r="Y9" s="25" t="s">
        <v>308</v>
      </c>
      <c r="Z9" s="8"/>
    </row>
    <row r="10" spans="1:26" x14ac:dyDescent="0.55000000000000004">
      <c r="A10" s="8" t="s">
        <v>27</v>
      </c>
      <c r="B10" s="25" t="s">
        <v>308</v>
      </c>
      <c r="C10" s="25">
        <v>-13</v>
      </c>
      <c r="D10" s="25" t="s">
        <v>308</v>
      </c>
      <c r="E10" s="25" t="s">
        <v>308</v>
      </c>
      <c r="F10" s="25" t="s">
        <v>308</v>
      </c>
      <c r="G10" s="25" t="s">
        <v>308</v>
      </c>
      <c r="H10" s="25" t="s">
        <v>308</v>
      </c>
      <c r="I10" s="25" t="s">
        <v>308</v>
      </c>
      <c r="J10" s="25" t="s">
        <v>308</v>
      </c>
      <c r="K10" s="8"/>
      <c r="L10" s="10"/>
      <c r="M10" s="8"/>
      <c r="N10" s="8" t="s">
        <v>26</v>
      </c>
      <c r="O10" s="26">
        <v>0</v>
      </c>
      <c r="P10" s="25" t="s">
        <v>308</v>
      </c>
      <c r="Q10" s="25" t="s">
        <v>308</v>
      </c>
      <c r="R10" s="25" t="s">
        <v>308</v>
      </c>
      <c r="S10" s="8"/>
      <c r="T10" s="10"/>
      <c r="U10" s="8"/>
      <c r="V10" s="8" t="s">
        <v>36</v>
      </c>
      <c r="W10" s="25" t="s">
        <v>308</v>
      </c>
      <c r="X10" s="25" t="s">
        <v>308</v>
      </c>
      <c r="Y10" s="25" t="s">
        <v>308</v>
      </c>
      <c r="Z10" s="8"/>
    </row>
    <row r="11" spans="1:26" x14ac:dyDescent="0.55000000000000004">
      <c r="A11" s="8" t="s">
        <v>42</v>
      </c>
      <c r="B11" s="25" t="s">
        <v>308</v>
      </c>
      <c r="C11" s="25" t="s">
        <v>308</v>
      </c>
      <c r="D11" s="25" t="s">
        <v>308</v>
      </c>
      <c r="E11" s="25" t="s">
        <v>308</v>
      </c>
      <c r="F11" s="25" t="s">
        <v>308</v>
      </c>
      <c r="G11" s="25" t="s">
        <v>308</v>
      </c>
      <c r="H11" s="25" t="s">
        <v>308</v>
      </c>
      <c r="I11" s="25" t="s">
        <v>308</v>
      </c>
      <c r="J11" s="25" t="s">
        <v>308</v>
      </c>
      <c r="K11" s="8"/>
      <c r="L11" s="10"/>
      <c r="M11" s="8"/>
      <c r="N11" s="8" t="s">
        <v>41</v>
      </c>
      <c r="O11" s="26">
        <v>0</v>
      </c>
      <c r="P11" s="25" t="s">
        <v>308</v>
      </c>
      <c r="Q11" s="25" t="s">
        <v>308</v>
      </c>
      <c r="R11" s="25" t="s">
        <v>308</v>
      </c>
      <c r="S11" s="8"/>
      <c r="T11" s="10"/>
      <c r="U11" s="8"/>
      <c r="V11" s="8" t="s">
        <v>44</v>
      </c>
      <c r="W11" s="25" t="s">
        <v>308</v>
      </c>
      <c r="X11" s="25" t="s">
        <v>308</v>
      </c>
      <c r="Y11" s="25" t="s">
        <v>308</v>
      </c>
      <c r="Z11" s="8"/>
    </row>
    <row r="12" spans="1:26" x14ac:dyDescent="0.55000000000000004">
      <c r="A12" s="8" t="s">
        <v>78</v>
      </c>
      <c r="B12" s="25" t="s">
        <v>308</v>
      </c>
      <c r="C12" s="25" t="s">
        <v>308</v>
      </c>
      <c r="D12" s="25" t="s">
        <v>308</v>
      </c>
      <c r="E12" s="25" t="s">
        <v>308</v>
      </c>
      <c r="F12" s="25" t="s">
        <v>308</v>
      </c>
      <c r="G12" s="25" t="s">
        <v>308</v>
      </c>
      <c r="H12" s="25" t="s">
        <v>308</v>
      </c>
      <c r="I12" s="25" t="s">
        <v>308</v>
      </c>
      <c r="J12" s="25" t="s">
        <v>308</v>
      </c>
      <c r="K12" s="8"/>
      <c r="L12" s="10"/>
      <c r="M12" s="8"/>
      <c r="N12" s="8" t="s">
        <v>77</v>
      </c>
      <c r="O12" s="26">
        <v>0</v>
      </c>
      <c r="P12" s="25" t="s">
        <v>308</v>
      </c>
      <c r="Q12" s="25" t="s">
        <v>308</v>
      </c>
      <c r="R12" s="25" t="s">
        <v>308</v>
      </c>
      <c r="S12" s="8"/>
      <c r="T12" s="10"/>
      <c r="U12" s="8"/>
      <c r="V12" s="8" t="s">
        <v>49</v>
      </c>
      <c r="W12" s="25" t="s">
        <v>308</v>
      </c>
      <c r="X12" s="25" t="s">
        <v>308</v>
      </c>
      <c r="Y12" s="25" t="s">
        <v>308</v>
      </c>
      <c r="Z12" s="8"/>
    </row>
    <row r="13" spans="1:26" x14ac:dyDescent="0.55000000000000004">
      <c r="A13" s="8" t="s">
        <v>86</v>
      </c>
      <c r="B13" s="25" t="s">
        <v>308</v>
      </c>
      <c r="C13" s="25" t="s">
        <v>308</v>
      </c>
      <c r="D13" s="25" t="s">
        <v>308</v>
      </c>
      <c r="E13" s="25" t="s">
        <v>308</v>
      </c>
      <c r="F13" s="25" t="s">
        <v>308</v>
      </c>
      <c r="G13" s="25" t="s">
        <v>308</v>
      </c>
      <c r="H13" s="25" t="s">
        <v>308</v>
      </c>
      <c r="I13" s="25" t="s">
        <v>308</v>
      </c>
      <c r="J13" s="25" t="s">
        <v>308</v>
      </c>
      <c r="K13" s="8"/>
      <c r="L13" s="10"/>
      <c r="M13" s="8"/>
      <c r="N13" s="8" t="s">
        <v>85</v>
      </c>
      <c r="O13" s="26">
        <v>0</v>
      </c>
      <c r="P13" s="25" t="s">
        <v>308</v>
      </c>
      <c r="Q13" s="25" t="s">
        <v>308</v>
      </c>
      <c r="R13" s="25" t="s">
        <v>308</v>
      </c>
      <c r="S13" s="8"/>
      <c r="T13" s="10"/>
      <c r="U13" s="8"/>
      <c r="V13" s="8" t="s">
        <v>57</v>
      </c>
      <c r="W13" s="25" t="s">
        <v>308</v>
      </c>
      <c r="X13" s="25" t="s">
        <v>308</v>
      </c>
      <c r="Y13" s="25" t="s">
        <v>308</v>
      </c>
      <c r="Z13" s="8"/>
    </row>
    <row r="14" spans="1:26" x14ac:dyDescent="0.55000000000000004">
      <c r="A14" s="8" t="s">
        <v>71</v>
      </c>
      <c r="B14" s="25" t="s">
        <v>308</v>
      </c>
      <c r="C14" s="25" t="s">
        <v>308</v>
      </c>
      <c r="D14" s="25" t="s">
        <v>308</v>
      </c>
      <c r="E14" s="25" t="s">
        <v>308</v>
      </c>
      <c r="F14" s="25" t="s">
        <v>308</v>
      </c>
      <c r="G14" s="25" t="s">
        <v>308</v>
      </c>
      <c r="H14" s="25" t="s">
        <v>308</v>
      </c>
      <c r="I14" s="25" t="s">
        <v>308</v>
      </c>
      <c r="J14" s="25" t="s">
        <v>308</v>
      </c>
      <c r="K14" s="8"/>
      <c r="L14" s="10"/>
      <c r="M14" s="8"/>
      <c r="N14" s="8" t="s">
        <v>70</v>
      </c>
      <c r="O14" s="26">
        <v>0</v>
      </c>
      <c r="P14" s="25" t="s">
        <v>308</v>
      </c>
      <c r="Q14" s="25" t="s">
        <v>308</v>
      </c>
      <c r="R14" s="25" t="s">
        <v>308</v>
      </c>
      <c r="S14" s="8"/>
      <c r="T14" s="10"/>
      <c r="U14" s="8"/>
      <c r="V14" s="8" t="s">
        <v>65</v>
      </c>
      <c r="W14" s="25" t="s">
        <v>308</v>
      </c>
      <c r="X14" s="25" t="s">
        <v>308</v>
      </c>
      <c r="Y14" s="25" t="s">
        <v>308</v>
      </c>
      <c r="Z14" s="8"/>
    </row>
    <row r="15" spans="1:26" x14ac:dyDescent="0.55000000000000004">
      <c r="A15" s="8" t="s">
        <v>94</v>
      </c>
      <c r="B15" s="25" t="s">
        <v>308</v>
      </c>
      <c r="C15" s="25" t="s">
        <v>308</v>
      </c>
      <c r="D15" s="25" t="s">
        <v>308</v>
      </c>
      <c r="E15" s="25" t="s">
        <v>308</v>
      </c>
      <c r="F15" s="25" t="s">
        <v>308</v>
      </c>
      <c r="G15" s="25" t="s">
        <v>308</v>
      </c>
      <c r="H15" s="25" t="s">
        <v>308</v>
      </c>
      <c r="I15" s="25" t="s">
        <v>308</v>
      </c>
      <c r="J15" s="25" t="s">
        <v>308</v>
      </c>
      <c r="K15" s="8"/>
      <c r="L15" s="10"/>
      <c r="M15" s="8"/>
      <c r="N15" s="8" t="s">
        <v>93</v>
      </c>
      <c r="O15" s="26">
        <v>0</v>
      </c>
      <c r="P15" s="25" t="s">
        <v>308</v>
      </c>
      <c r="Q15" s="25" t="s">
        <v>308</v>
      </c>
      <c r="R15" s="25" t="s">
        <v>308</v>
      </c>
      <c r="S15" s="8"/>
      <c r="T15" s="10"/>
      <c r="U15" s="8"/>
      <c r="V15" s="8" t="s">
        <v>573</v>
      </c>
      <c r="W15" s="25" t="s">
        <v>308</v>
      </c>
      <c r="X15" s="25" t="s">
        <v>308</v>
      </c>
      <c r="Y15" s="25" t="s">
        <v>308</v>
      </c>
      <c r="Z15" s="8"/>
    </row>
    <row r="16" spans="1:26" x14ac:dyDescent="0.55000000000000004">
      <c r="A16" s="8" t="s">
        <v>578</v>
      </c>
      <c r="B16" s="25" t="s">
        <v>308</v>
      </c>
      <c r="C16" s="25" t="s">
        <v>308</v>
      </c>
      <c r="D16" s="25" t="s">
        <v>308</v>
      </c>
      <c r="E16" s="25" t="s">
        <v>308</v>
      </c>
      <c r="F16" s="25" t="s">
        <v>308</v>
      </c>
      <c r="G16" s="25" t="s">
        <v>308</v>
      </c>
      <c r="H16" s="25" t="s">
        <v>308</v>
      </c>
      <c r="I16" s="25" t="s">
        <v>308</v>
      </c>
      <c r="J16" s="25" t="s">
        <v>308</v>
      </c>
      <c r="K16" s="8"/>
      <c r="L16" s="10"/>
      <c r="M16" s="8"/>
      <c r="N16" s="8" t="s">
        <v>577</v>
      </c>
      <c r="O16" s="26">
        <v>0</v>
      </c>
      <c r="P16" s="25" t="s">
        <v>308</v>
      </c>
      <c r="Q16" s="25" t="s">
        <v>308</v>
      </c>
      <c r="R16" s="25" t="s">
        <v>308</v>
      </c>
      <c r="S16" s="8"/>
      <c r="T16" s="10"/>
      <c r="U16" s="8"/>
      <c r="V16" s="8" t="s">
        <v>580</v>
      </c>
      <c r="W16" s="25" t="s">
        <v>308</v>
      </c>
      <c r="X16" s="25" t="s">
        <v>308</v>
      </c>
      <c r="Y16" s="25" t="s">
        <v>308</v>
      </c>
      <c r="Z16" s="8"/>
    </row>
    <row r="17" spans="1:26" x14ac:dyDescent="0.55000000000000004">
      <c r="A17" s="8" t="s">
        <v>584</v>
      </c>
      <c r="B17" s="25" t="s">
        <v>308</v>
      </c>
      <c r="C17" s="25" t="s">
        <v>308</v>
      </c>
      <c r="D17" s="25" t="s">
        <v>308</v>
      </c>
      <c r="E17" s="25" t="s">
        <v>308</v>
      </c>
      <c r="F17" s="25" t="s">
        <v>308</v>
      </c>
      <c r="G17" s="25" t="s">
        <v>308</v>
      </c>
      <c r="H17" s="25" t="s">
        <v>308</v>
      </c>
      <c r="I17" s="25" t="s">
        <v>308</v>
      </c>
      <c r="J17" s="25" t="s">
        <v>308</v>
      </c>
      <c r="K17" s="8"/>
      <c r="L17" s="10"/>
      <c r="M17" s="8"/>
      <c r="N17" s="8" t="s">
        <v>583</v>
      </c>
      <c r="O17" s="26">
        <v>0</v>
      </c>
      <c r="P17" s="25" t="s">
        <v>308</v>
      </c>
      <c r="Q17" s="25" t="s">
        <v>308</v>
      </c>
      <c r="R17" s="25" t="s">
        <v>308</v>
      </c>
      <c r="S17" s="8"/>
      <c r="T17" s="10"/>
      <c r="U17" s="8"/>
      <c r="V17" s="8" t="s">
        <v>586</v>
      </c>
      <c r="W17" s="25" t="s">
        <v>308</v>
      </c>
      <c r="X17" s="25" t="s">
        <v>308</v>
      </c>
      <c r="Y17" s="25" t="s">
        <v>308</v>
      </c>
      <c r="Z17" s="8"/>
    </row>
    <row r="18" spans="1:26" x14ac:dyDescent="0.55000000000000004">
      <c r="A18" s="8" t="s">
        <v>108</v>
      </c>
      <c r="B18" s="25" t="s">
        <v>308</v>
      </c>
      <c r="C18" s="25" t="s">
        <v>308</v>
      </c>
      <c r="D18" s="25" t="s">
        <v>308</v>
      </c>
      <c r="E18" s="25" t="s">
        <v>308</v>
      </c>
      <c r="F18" s="25" t="s">
        <v>308</v>
      </c>
      <c r="G18" s="25" t="s">
        <v>308</v>
      </c>
      <c r="H18" s="25" t="s">
        <v>308</v>
      </c>
      <c r="I18" s="25" t="s">
        <v>308</v>
      </c>
      <c r="J18" s="25" t="s">
        <v>308</v>
      </c>
      <c r="K18" s="8"/>
      <c r="L18" s="10"/>
      <c r="M18" s="8"/>
      <c r="N18" s="8" t="s">
        <v>107</v>
      </c>
      <c r="O18" s="26">
        <v>0</v>
      </c>
      <c r="P18" s="25" t="s">
        <v>308</v>
      </c>
      <c r="Q18" s="25" t="s">
        <v>308</v>
      </c>
      <c r="R18" s="25" t="s">
        <v>308</v>
      </c>
      <c r="S18" s="8"/>
      <c r="T18" s="10"/>
      <c r="U18" s="8"/>
      <c r="V18" s="8" t="s">
        <v>590</v>
      </c>
      <c r="W18" s="25" t="s">
        <v>308</v>
      </c>
      <c r="X18" s="25" t="s">
        <v>308</v>
      </c>
      <c r="Y18" s="25" t="s">
        <v>308</v>
      </c>
      <c r="Z18" s="8"/>
    </row>
    <row r="19" spans="1:26" x14ac:dyDescent="0.55000000000000004">
      <c r="A19" s="8" t="s">
        <v>594</v>
      </c>
      <c r="B19" s="25" t="s">
        <v>308</v>
      </c>
      <c r="C19" s="25" t="s">
        <v>308</v>
      </c>
      <c r="D19" s="25" t="s">
        <v>308</v>
      </c>
      <c r="E19" s="25" t="s">
        <v>308</v>
      </c>
      <c r="F19" s="25" t="s">
        <v>308</v>
      </c>
      <c r="G19" s="25" t="s">
        <v>308</v>
      </c>
      <c r="H19" s="25" t="s">
        <v>308</v>
      </c>
      <c r="I19" s="25" t="s">
        <v>308</v>
      </c>
      <c r="J19" s="25" t="s">
        <v>308</v>
      </c>
      <c r="K19" s="8"/>
      <c r="L19" s="10"/>
      <c r="M19" s="8"/>
      <c r="N19" s="8" t="s">
        <v>593</v>
      </c>
      <c r="O19" s="26">
        <v>0</v>
      </c>
      <c r="P19" s="25" t="s">
        <v>308</v>
      </c>
      <c r="Q19" s="25" t="s">
        <v>308</v>
      </c>
      <c r="R19" s="25" t="s">
        <v>308</v>
      </c>
      <c r="S19" s="8"/>
      <c r="T19" s="10"/>
      <c r="U19" s="8"/>
      <c r="V19" s="8" t="s">
        <v>72</v>
      </c>
      <c r="W19" s="25" t="s">
        <v>308</v>
      </c>
      <c r="X19" s="25" t="s">
        <v>308</v>
      </c>
      <c r="Y19" s="25" t="s">
        <v>308</v>
      </c>
      <c r="Z19" s="8"/>
    </row>
    <row r="20" spans="1:26" x14ac:dyDescent="0.55000000000000004">
      <c r="A20" s="8" t="s">
        <v>598</v>
      </c>
      <c r="B20" s="25" t="s">
        <v>308</v>
      </c>
      <c r="C20" s="25" t="s">
        <v>308</v>
      </c>
      <c r="D20" s="25" t="s">
        <v>308</v>
      </c>
      <c r="E20" s="25" t="s">
        <v>308</v>
      </c>
      <c r="F20" s="25" t="s">
        <v>308</v>
      </c>
      <c r="G20" s="25" t="s">
        <v>308</v>
      </c>
      <c r="H20" s="25" t="s">
        <v>308</v>
      </c>
      <c r="I20" s="25" t="s">
        <v>308</v>
      </c>
      <c r="J20" s="25" t="s">
        <v>308</v>
      </c>
      <c r="K20" s="8"/>
      <c r="L20" s="10"/>
      <c r="M20" s="8"/>
      <c r="N20" s="8" t="s">
        <v>597</v>
      </c>
      <c r="O20" s="26">
        <v>0</v>
      </c>
      <c r="P20" s="25" t="s">
        <v>308</v>
      </c>
      <c r="Q20" s="25" t="s">
        <v>308</v>
      </c>
      <c r="R20" s="25" t="s">
        <v>308</v>
      </c>
      <c r="S20" s="8"/>
      <c r="T20" s="10"/>
      <c r="U20" s="8"/>
      <c r="V20" s="8" t="s">
        <v>79</v>
      </c>
      <c r="W20" s="25" t="s">
        <v>308</v>
      </c>
      <c r="X20" s="25" t="s">
        <v>308</v>
      </c>
      <c r="Y20" s="25" t="s">
        <v>308</v>
      </c>
      <c r="Z20" s="8"/>
    </row>
    <row r="21" spans="1:26" x14ac:dyDescent="0.55000000000000004">
      <c r="A21" s="8" t="s">
        <v>602</v>
      </c>
      <c r="B21" s="25" t="s">
        <v>308</v>
      </c>
      <c r="C21" s="25" t="s">
        <v>308</v>
      </c>
      <c r="D21" s="25" t="s">
        <v>308</v>
      </c>
      <c r="E21" s="25" t="s">
        <v>308</v>
      </c>
      <c r="F21" s="25" t="s">
        <v>308</v>
      </c>
      <c r="G21" s="25" t="s">
        <v>308</v>
      </c>
      <c r="H21" s="25" t="s">
        <v>308</v>
      </c>
      <c r="I21" s="25" t="s">
        <v>308</v>
      </c>
      <c r="J21" s="25" t="s">
        <v>308</v>
      </c>
      <c r="K21" s="8"/>
      <c r="L21" s="10"/>
      <c r="M21" s="8"/>
      <c r="N21" s="8" t="s">
        <v>601</v>
      </c>
      <c r="O21" s="26">
        <v>0</v>
      </c>
      <c r="P21" s="25" t="s">
        <v>308</v>
      </c>
      <c r="Q21" s="25" t="s">
        <v>308</v>
      </c>
      <c r="R21" s="25" t="s">
        <v>308</v>
      </c>
      <c r="S21" s="8"/>
      <c r="T21" s="10"/>
      <c r="U21" s="8"/>
      <c r="V21" s="8" t="s">
        <v>87</v>
      </c>
      <c r="W21" s="25" t="s">
        <v>308</v>
      </c>
      <c r="X21" s="25" t="s">
        <v>308</v>
      </c>
      <c r="Y21" s="25" t="s">
        <v>308</v>
      </c>
      <c r="Z21" s="8"/>
    </row>
    <row r="22" spans="1:26" x14ac:dyDescent="0.55000000000000004">
      <c r="A22" s="8" t="s">
        <v>120</v>
      </c>
      <c r="B22" s="25" t="s">
        <v>308</v>
      </c>
      <c r="C22" s="25" t="s">
        <v>308</v>
      </c>
      <c r="D22" s="25" t="s">
        <v>308</v>
      </c>
      <c r="E22" s="25" t="s">
        <v>308</v>
      </c>
      <c r="F22" s="25" t="s">
        <v>308</v>
      </c>
      <c r="G22" s="25" t="s">
        <v>308</v>
      </c>
      <c r="H22" s="25" t="s">
        <v>308</v>
      </c>
      <c r="I22" s="25" t="s">
        <v>308</v>
      </c>
      <c r="J22" s="25" t="s">
        <v>308</v>
      </c>
      <c r="K22" s="8"/>
      <c r="L22" s="10"/>
      <c r="M22" s="8"/>
      <c r="N22" s="8" t="s">
        <v>119</v>
      </c>
      <c r="O22" s="26">
        <v>0</v>
      </c>
      <c r="P22" s="25" t="s">
        <v>308</v>
      </c>
      <c r="Q22" s="25" t="s">
        <v>308</v>
      </c>
      <c r="R22" s="25" t="s">
        <v>308</v>
      </c>
      <c r="S22" s="8"/>
      <c r="T22" s="10"/>
      <c r="U22" s="8"/>
      <c r="V22" s="8" t="s">
        <v>95</v>
      </c>
      <c r="W22" s="25" t="s">
        <v>308</v>
      </c>
      <c r="X22" s="25" t="s">
        <v>308</v>
      </c>
      <c r="Y22" s="25" t="s">
        <v>308</v>
      </c>
      <c r="Z22" s="8"/>
    </row>
    <row r="23" spans="1:26" x14ac:dyDescent="0.55000000000000004">
      <c r="A23" s="8" t="s">
        <v>55</v>
      </c>
      <c r="B23" s="25" t="s">
        <v>308</v>
      </c>
      <c r="C23" s="25" t="s">
        <v>308</v>
      </c>
      <c r="D23" s="25" t="s">
        <v>308</v>
      </c>
      <c r="E23" s="25" t="s">
        <v>308</v>
      </c>
      <c r="F23" s="25" t="s">
        <v>308</v>
      </c>
      <c r="G23" s="25" t="s">
        <v>308</v>
      </c>
      <c r="H23" s="25" t="s">
        <v>308</v>
      </c>
      <c r="I23" s="25" t="s">
        <v>308</v>
      </c>
      <c r="J23" s="25" t="s">
        <v>308</v>
      </c>
      <c r="K23" s="8"/>
      <c r="L23" s="10"/>
      <c r="M23" s="8"/>
      <c r="N23" s="8" t="s">
        <v>54</v>
      </c>
      <c r="O23" s="26">
        <v>0</v>
      </c>
      <c r="P23" s="25" t="s">
        <v>308</v>
      </c>
      <c r="Q23" s="25" t="s">
        <v>308</v>
      </c>
      <c r="R23" s="25" t="s">
        <v>308</v>
      </c>
      <c r="S23" s="8"/>
      <c r="T23" s="10"/>
      <c r="U23" s="8"/>
      <c r="V23" s="8" t="s">
        <v>101</v>
      </c>
      <c r="W23" s="25" t="s">
        <v>308</v>
      </c>
      <c r="X23" s="25" t="s">
        <v>308</v>
      </c>
      <c r="Y23" s="25" t="s">
        <v>308</v>
      </c>
      <c r="Z23" s="8"/>
    </row>
    <row r="24" spans="1:26" x14ac:dyDescent="0.55000000000000004">
      <c r="A24" s="8" t="s">
        <v>615</v>
      </c>
      <c r="B24" s="25" t="s">
        <v>308</v>
      </c>
      <c r="C24" s="25" t="s">
        <v>308</v>
      </c>
      <c r="D24" s="25" t="s">
        <v>308</v>
      </c>
      <c r="E24" s="25" t="s">
        <v>308</v>
      </c>
      <c r="F24" s="25" t="s">
        <v>308</v>
      </c>
      <c r="G24" s="25" t="s">
        <v>308</v>
      </c>
      <c r="H24" s="25" t="s">
        <v>308</v>
      </c>
      <c r="I24" s="25" t="s">
        <v>308</v>
      </c>
      <c r="J24" s="25" t="s">
        <v>308</v>
      </c>
      <c r="K24" s="8"/>
      <c r="L24" s="10"/>
      <c r="M24" s="8"/>
      <c r="N24" s="8" t="s">
        <v>614</v>
      </c>
      <c r="O24" s="26">
        <v>0</v>
      </c>
      <c r="P24" s="25" t="s">
        <v>308</v>
      </c>
      <c r="Q24" s="25" t="s">
        <v>308</v>
      </c>
      <c r="R24" s="25" t="s">
        <v>308</v>
      </c>
      <c r="S24" s="8"/>
      <c r="T24" s="10"/>
      <c r="U24" s="8"/>
      <c r="V24" s="8"/>
      <c r="W24" s="8"/>
      <c r="X24" s="8"/>
      <c r="Y24" s="8"/>
      <c r="Z24" s="8"/>
    </row>
    <row r="25" spans="1:26" x14ac:dyDescent="0.55000000000000004">
      <c r="A25" s="8" t="s">
        <v>63</v>
      </c>
      <c r="B25" s="25" t="s">
        <v>308</v>
      </c>
      <c r="C25" s="25" t="s">
        <v>308</v>
      </c>
      <c r="D25" s="25" t="s">
        <v>308</v>
      </c>
      <c r="E25" s="25" t="s">
        <v>308</v>
      </c>
      <c r="F25" s="25" t="s">
        <v>308</v>
      </c>
      <c r="G25" s="25" t="s">
        <v>308</v>
      </c>
      <c r="H25" s="25" t="s">
        <v>308</v>
      </c>
      <c r="I25" s="25" t="s">
        <v>308</v>
      </c>
      <c r="J25" s="25" t="s">
        <v>308</v>
      </c>
      <c r="K25" s="8"/>
      <c r="L25" s="10"/>
      <c r="M25" s="8"/>
      <c r="N25" s="8" t="s">
        <v>62</v>
      </c>
      <c r="O25" s="26">
        <v>0</v>
      </c>
      <c r="P25" s="25" t="s">
        <v>308</v>
      </c>
      <c r="Q25" s="25" t="s">
        <v>308</v>
      </c>
      <c r="R25" s="25" t="s">
        <v>308</v>
      </c>
      <c r="S25" s="8"/>
      <c r="T25" s="10"/>
      <c r="U25" s="11"/>
      <c r="V25" s="11" t="s">
        <v>479</v>
      </c>
      <c r="W25" s="11"/>
      <c r="X25" s="11"/>
      <c r="Y25" s="11"/>
      <c r="Z25" s="11"/>
    </row>
    <row r="26" spans="1:26" x14ac:dyDescent="0.55000000000000004">
      <c r="A26" s="8" t="s">
        <v>124</v>
      </c>
      <c r="B26" s="25" t="s">
        <v>308</v>
      </c>
      <c r="C26" s="25" t="s">
        <v>308</v>
      </c>
      <c r="D26" s="25" t="s">
        <v>308</v>
      </c>
      <c r="E26" s="25" t="s">
        <v>308</v>
      </c>
      <c r="F26" s="25" t="s">
        <v>308</v>
      </c>
      <c r="G26" s="25" t="s">
        <v>308</v>
      </c>
      <c r="H26" s="25" t="s">
        <v>308</v>
      </c>
      <c r="I26" s="25" t="s">
        <v>308</v>
      </c>
      <c r="J26" s="25" t="s">
        <v>308</v>
      </c>
      <c r="K26" s="8"/>
      <c r="L26" s="10"/>
      <c r="M26" s="8"/>
      <c r="N26" s="8" t="s">
        <v>123</v>
      </c>
      <c r="O26" s="26">
        <v>0</v>
      </c>
      <c r="P26" s="25" t="s">
        <v>308</v>
      </c>
      <c r="Q26" s="25" t="s">
        <v>308</v>
      </c>
      <c r="R26" s="25" t="s">
        <v>308</v>
      </c>
      <c r="S26" s="8"/>
      <c r="T26" s="10"/>
      <c r="U26" s="13"/>
      <c r="V26" s="13"/>
      <c r="W26" s="13"/>
      <c r="X26" s="15" t="s">
        <v>339</v>
      </c>
      <c r="Y26" s="15" t="s">
        <v>474</v>
      </c>
      <c r="Z26" s="13"/>
    </row>
    <row r="27" spans="1:26" x14ac:dyDescent="0.55000000000000004">
      <c r="A27" s="8" t="s">
        <v>122</v>
      </c>
      <c r="B27" s="25" t="s">
        <v>308</v>
      </c>
      <c r="C27" s="25" t="s">
        <v>308</v>
      </c>
      <c r="D27" s="25" t="s">
        <v>308</v>
      </c>
      <c r="E27" s="25" t="s">
        <v>308</v>
      </c>
      <c r="F27" s="25" t="s">
        <v>308</v>
      </c>
      <c r="G27" s="25" t="s">
        <v>308</v>
      </c>
      <c r="H27" s="25" t="s">
        <v>308</v>
      </c>
      <c r="I27" s="25" t="s">
        <v>308</v>
      </c>
      <c r="J27" s="25" t="s">
        <v>308</v>
      </c>
      <c r="K27" s="8"/>
      <c r="L27" s="10"/>
      <c r="M27" s="8"/>
      <c r="N27" s="8" t="s">
        <v>121</v>
      </c>
      <c r="O27" s="26">
        <v>0</v>
      </c>
      <c r="P27" s="25" t="s">
        <v>308</v>
      </c>
      <c r="Q27" s="25" t="s">
        <v>308</v>
      </c>
      <c r="R27" s="25" t="s">
        <v>308</v>
      </c>
      <c r="S27" s="8"/>
      <c r="T27" s="10"/>
      <c r="U27" s="13"/>
      <c r="V27" s="13"/>
      <c r="W27" s="13"/>
      <c r="X27" s="16" t="s">
        <v>481</v>
      </c>
      <c r="Y27" s="16" t="s">
        <v>480</v>
      </c>
      <c r="Z27" s="13"/>
    </row>
    <row r="28" spans="1:26" x14ac:dyDescent="0.55000000000000004">
      <c r="A28" s="8" t="s">
        <v>116</v>
      </c>
      <c r="B28" s="25" t="s">
        <v>308</v>
      </c>
      <c r="C28" s="25" t="s">
        <v>308</v>
      </c>
      <c r="D28" s="25" t="s">
        <v>308</v>
      </c>
      <c r="E28" s="25" t="s">
        <v>308</v>
      </c>
      <c r="F28" s="25" t="s">
        <v>308</v>
      </c>
      <c r="G28" s="25" t="s">
        <v>308</v>
      </c>
      <c r="H28" s="25" t="s">
        <v>308</v>
      </c>
      <c r="I28" s="25" t="s">
        <v>308</v>
      </c>
      <c r="J28" s="25" t="s">
        <v>308</v>
      </c>
      <c r="K28" s="8"/>
      <c r="L28" s="10"/>
      <c r="M28" s="8"/>
      <c r="N28" s="8" t="s">
        <v>115</v>
      </c>
      <c r="O28" s="26">
        <v>0</v>
      </c>
      <c r="P28" s="25" t="s">
        <v>308</v>
      </c>
      <c r="Q28" s="25" t="s">
        <v>308</v>
      </c>
      <c r="R28" s="25" t="s">
        <v>308</v>
      </c>
      <c r="S28" s="8"/>
      <c r="T28" s="10"/>
      <c r="U28" s="8"/>
      <c r="V28" s="8" t="s">
        <v>475</v>
      </c>
      <c r="W28" s="8" t="s">
        <v>791</v>
      </c>
      <c r="X28" s="25" t="s">
        <v>308</v>
      </c>
      <c r="Y28" s="25" t="s">
        <v>308</v>
      </c>
      <c r="Z28" s="8"/>
    </row>
    <row r="29" spans="1:26" x14ac:dyDescent="0.55000000000000004">
      <c r="A29" s="8" t="s">
        <v>112</v>
      </c>
      <c r="B29" s="25" t="s">
        <v>308</v>
      </c>
      <c r="C29" s="25" t="s">
        <v>308</v>
      </c>
      <c r="D29" s="25" t="s">
        <v>308</v>
      </c>
      <c r="E29" s="25" t="s">
        <v>308</v>
      </c>
      <c r="F29" s="25" t="s">
        <v>308</v>
      </c>
      <c r="G29" s="25" t="s">
        <v>308</v>
      </c>
      <c r="H29" s="25" t="s">
        <v>308</v>
      </c>
      <c r="I29" s="25" t="s">
        <v>308</v>
      </c>
      <c r="J29" s="25" t="s">
        <v>308</v>
      </c>
      <c r="K29" s="8"/>
      <c r="L29" s="10"/>
      <c r="M29" s="8"/>
      <c r="N29" s="8" t="s">
        <v>111</v>
      </c>
      <c r="O29" s="26">
        <v>0</v>
      </c>
      <c r="P29" s="25" t="s">
        <v>308</v>
      </c>
      <c r="Q29" s="25" t="s">
        <v>308</v>
      </c>
      <c r="R29" s="25" t="s">
        <v>308</v>
      </c>
      <c r="S29" s="8"/>
      <c r="T29" s="10"/>
      <c r="U29" s="8"/>
      <c r="V29" s="8"/>
      <c r="W29" s="8" t="s">
        <v>792</v>
      </c>
      <c r="X29" s="25" t="s">
        <v>308</v>
      </c>
      <c r="Y29" s="25" t="s">
        <v>308</v>
      </c>
      <c r="Z29" s="8"/>
    </row>
    <row r="30" spans="1:26" x14ac:dyDescent="0.55000000000000004">
      <c r="A30" s="8" t="s">
        <v>629</v>
      </c>
      <c r="B30" s="25" t="s">
        <v>308</v>
      </c>
      <c r="C30" s="25" t="s">
        <v>308</v>
      </c>
      <c r="D30" s="25" t="s">
        <v>308</v>
      </c>
      <c r="E30" s="25" t="s">
        <v>308</v>
      </c>
      <c r="F30" s="25" t="s">
        <v>308</v>
      </c>
      <c r="G30" s="25" t="s">
        <v>308</v>
      </c>
      <c r="H30" s="25" t="s">
        <v>308</v>
      </c>
      <c r="I30" s="25" t="s">
        <v>308</v>
      </c>
      <c r="J30" s="25" t="s">
        <v>308</v>
      </c>
      <c r="K30" s="8"/>
      <c r="L30" s="10"/>
      <c r="M30" s="8"/>
      <c r="N30" s="8" t="s">
        <v>628</v>
      </c>
      <c r="O30" s="26">
        <v>0</v>
      </c>
      <c r="P30" s="25" t="s">
        <v>308</v>
      </c>
      <c r="Q30" s="25" t="s">
        <v>308</v>
      </c>
      <c r="R30" s="25" t="s">
        <v>308</v>
      </c>
      <c r="S30" s="8"/>
      <c r="T30" s="10"/>
      <c r="U30" s="8"/>
      <c r="V30" s="8"/>
      <c r="W30" s="8" t="s">
        <v>793</v>
      </c>
      <c r="X30" s="25" t="s">
        <v>308</v>
      </c>
      <c r="Y30" s="25" t="s">
        <v>308</v>
      </c>
      <c r="Z30" s="8"/>
    </row>
    <row r="31" spans="1:26" x14ac:dyDescent="0.55000000000000004">
      <c r="A31" s="8" t="s">
        <v>127</v>
      </c>
      <c r="B31" s="25" t="s">
        <v>308</v>
      </c>
      <c r="C31" s="25" t="s">
        <v>308</v>
      </c>
      <c r="D31" s="25" t="s">
        <v>308</v>
      </c>
      <c r="E31" s="25" t="s">
        <v>308</v>
      </c>
      <c r="F31" s="25" t="s">
        <v>308</v>
      </c>
      <c r="G31" s="25" t="s">
        <v>308</v>
      </c>
      <c r="H31" s="25" t="s">
        <v>308</v>
      </c>
      <c r="I31" s="25" t="s">
        <v>308</v>
      </c>
      <c r="J31" s="25" t="s">
        <v>308</v>
      </c>
      <c r="K31" s="8"/>
      <c r="L31" s="10"/>
      <c r="M31" s="8"/>
      <c r="N31" s="8" t="s">
        <v>126</v>
      </c>
      <c r="O31" s="26">
        <v>0</v>
      </c>
      <c r="P31" s="25" t="s">
        <v>308</v>
      </c>
      <c r="Q31" s="25" t="s">
        <v>308</v>
      </c>
      <c r="R31" s="25" t="s">
        <v>308</v>
      </c>
      <c r="S31" s="8"/>
      <c r="T31" s="10"/>
      <c r="U31" s="8"/>
      <c r="V31" s="8"/>
      <c r="W31" s="8" t="s">
        <v>794</v>
      </c>
      <c r="X31" s="25" t="s">
        <v>308</v>
      </c>
      <c r="Y31" s="25" t="s">
        <v>308</v>
      </c>
      <c r="Z31" s="8"/>
    </row>
    <row r="32" spans="1:26" x14ac:dyDescent="0.55000000000000004">
      <c r="A32" s="8" t="s">
        <v>130</v>
      </c>
      <c r="B32" s="25" t="s">
        <v>308</v>
      </c>
      <c r="C32" s="25" t="s">
        <v>308</v>
      </c>
      <c r="D32" s="25" t="s">
        <v>308</v>
      </c>
      <c r="E32" s="25" t="s">
        <v>308</v>
      </c>
      <c r="F32" s="25" t="s">
        <v>308</v>
      </c>
      <c r="G32" s="25" t="s">
        <v>308</v>
      </c>
      <c r="H32" s="25" t="s">
        <v>308</v>
      </c>
      <c r="I32" s="25" t="s">
        <v>308</v>
      </c>
      <c r="J32" s="25" t="s">
        <v>308</v>
      </c>
      <c r="K32" s="8"/>
      <c r="L32" s="10"/>
      <c r="M32" s="8"/>
      <c r="N32" s="8" t="s">
        <v>129</v>
      </c>
      <c r="O32" s="26">
        <v>0</v>
      </c>
      <c r="P32" s="25" t="s">
        <v>308</v>
      </c>
      <c r="Q32" s="25" t="s">
        <v>308</v>
      </c>
      <c r="R32" s="25" t="s">
        <v>308</v>
      </c>
      <c r="S32" s="8"/>
      <c r="T32" s="10"/>
      <c r="U32" s="8"/>
      <c r="V32" s="8"/>
      <c r="W32" s="8" t="s">
        <v>795</v>
      </c>
      <c r="X32" s="25" t="s">
        <v>308</v>
      </c>
      <c r="Y32" s="25" t="s">
        <v>308</v>
      </c>
      <c r="Z32" s="8"/>
    </row>
    <row r="33" spans="1:26" x14ac:dyDescent="0.55000000000000004">
      <c r="A33" s="8" t="s">
        <v>140</v>
      </c>
      <c r="B33" s="25" t="s">
        <v>308</v>
      </c>
      <c r="C33" s="25" t="s">
        <v>308</v>
      </c>
      <c r="D33" s="25" t="s">
        <v>308</v>
      </c>
      <c r="E33" s="25" t="s">
        <v>308</v>
      </c>
      <c r="F33" s="25" t="s">
        <v>308</v>
      </c>
      <c r="G33" s="25" t="s">
        <v>308</v>
      </c>
      <c r="H33" s="25" t="s">
        <v>308</v>
      </c>
      <c r="I33" s="25" t="s">
        <v>308</v>
      </c>
      <c r="J33" s="25" t="s">
        <v>308</v>
      </c>
      <c r="K33" s="8"/>
      <c r="L33" s="10"/>
      <c r="M33" s="8"/>
      <c r="N33" s="8" t="s">
        <v>139</v>
      </c>
      <c r="O33" s="26">
        <v>0</v>
      </c>
      <c r="P33" s="25" t="s">
        <v>308</v>
      </c>
      <c r="Q33" s="25" t="s">
        <v>308</v>
      </c>
      <c r="R33" s="25" t="s">
        <v>308</v>
      </c>
      <c r="S33" s="8"/>
      <c r="T33" s="10"/>
      <c r="U33" s="8"/>
      <c r="V33" s="8" t="s">
        <v>476</v>
      </c>
      <c r="W33" s="8" t="s">
        <v>89</v>
      </c>
      <c r="X33" s="25" t="s">
        <v>308</v>
      </c>
      <c r="Y33" s="25" t="s">
        <v>308</v>
      </c>
      <c r="Z33" s="8"/>
    </row>
    <row r="34" spans="1:26" x14ac:dyDescent="0.55000000000000004">
      <c r="A34" s="8" t="s">
        <v>135</v>
      </c>
      <c r="B34" s="25" t="s">
        <v>308</v>
      </c>
      <c r="C34" s="25" t="s">
        <v>308</v>
      </c>
      <c r="D34" s="25" t="s">
        <v>308</v>
      </c>
      <c r="E34" s="25" t="s">
        <v>308</v>
      </c>
      <c r="F34" s="25" t="s">
        <v>308</v>
      </c>
      <c r="G34" s="25" t="s">
        <v>308</v>
      </c>
      <c r="H34" s="25" t="s">
        <v>308</v>
      </c>
      <c r="I34" s="25" t="s">
        <v>308</v>
      </c>
      <c r="J34" s="25" t="s">
        <v>308</v>
      </c>
      <c r="K34" s="8"/>
      <c r="L34" s="10"/>
      <c r="M34" s="8"/>
      <c r="N34" s="8" t="s">
        <v>134</v>
      </c>
      <c r="O34" s="26">
        <v>0</v>
      </c>
      <c r="P34" s="25" t="s">
        <v>308</v>
      </c>
      <c r="Q34" s="25" t="s">
        <v>308</v>
      </c>
      <c r="R34" s="25" t="s">
        <v>308</v>
      </c>
      <c r="S34" s="8"/>
      <c r="T34" s="10"/>
      <c r="U34" s="8"/>
      <c r="V34" s="8"/>
      <c r="W34" s="8" t="s">
        <v>97</v>
      </c>
      <c r="X34" s="25" t="s">
        <v>308</v>
      </c>
      <c r="Y34" s="25" t="s">
        <v>308</v>
      </c>
      <c r="Z34" s="8"/>
    </row>
    <row r="35" spans="1:26" x14ac:dyDescent="0.55000000000000004">
      <c r="A35" s="8" t="s">
        <v>142</v>
      </c>
      <c r="B35" s="25" t="s">
        <v>308</v>
      </c>
      <c r="C35" s="25" t="s">
        <v>308</v>
      </c>
      <c r="D35" s="25" t="s">
        <v>308</v>
      </c>
      <c r="E35" s="25" t="s">
        <v>308</v>
      </c>
      <c r="F35" s="25" t="s">
        <v>308</v>
      </c>
      <c r="G35" s="25" t="s">
        <v>308</v>
      </c>
      <c r="H35" s="25" t="s">
        <v>308</v>
      </c>
      <c r="I35" s="25" t="s">
        <v>308</v>
      </c>
      <c r="J35" s="25" t="s">
        <v>308</v>
      </c>
      <c r="K35" s="8"/>
      <c r="L35" s="10"/>
      <c r="M35" s="8"/>
      <c r="N35" s="8" t="s">
        <v>141</v>
      </c>
      <c r="O35" s="26">
        <v>0</v>
      </c>
      <c r="P35" s="25" t="s">
        <v>308</v>
      </c>
      <c r="Q35" s="25" t="s">
        <v>308</v>
      </c>
      <c r="R35" s="25" t="s">
        <v>308</v>
      </c>
      <c r="S35" s="8"/>
      <c r="T35" s="10"/>
      <c r="U35" s="8"/>
      <c r="V35" s="8"/>
      <c r="W35" s="8" t="s">
        <v>103</v>
      </c>
      <c r="X35" s="25" t="s">
        <v>308</v>
      </c>
      <c r="Y35" s="25" t="s">
        <v>308</v>
      </c>
      <c r="Z35" s="8"/>
    </row>
    <row r="36" spans="1:26" x14ac:dyDescent="0.55000000000000004">
      <c r="A36" s="8" t="s">
        <v>133</v>
      </c>
      <c r="B36" s="25" t="s">
        <v>308</v>
      </c>
      <c r="C36" s="25" t="s">
        <v>308</v>
      </c>
      <c r="D36" s="25" t="s">
        <v>308</v>
      </c>
      <c r="E36" s="25" t="s">
        <v>308</v>
      </c>
      <c r="F36" s="25" t="s">
        <v>308</v>
      </c>
      <c r="G36" s="25" t="s">
        <v>308</v>
      </c>
      <c r="H36" s="25" t="s">
        <v>308</v>
      </c>
      <c r="I36" s="25" t="s">
        <v>308</v>
      </c>
      <c r="J36" s="25" t="s">
        <v>308</v>
      </c>
      <c r="K36" s="8"/>
      <c r="L36" s="10"/>
      <c r="M36" s="8"/>
      <c r="N36" s="8" t="s">
        <v>132</v>
      </c>
      <c r="O36" s="26">
        <v>0</v>
      </c>
      <c r="P36" s="25" t="s">
        <v>308</v>
      </c>
      <c r="Q36" s="25" t="s">
        <v>308</v>
      </c>
      <c r="R36" s="25" t="s">
        <v>308</v>
      </c>
      <c r="S36" s="8"/>
      <c r="T36" s="10"/>
      <c r="U36" s="8"/>
      <c r="V36" s="8"/>
      <c r="W36" s="8" t="s">
        <v>109</v>
      </c>
      <c r="X36" s="25" t="s">
        <v>308</v>
      </c>
      <c r="Y36" s="25" t="s">
        <v>308</v>
      </c>
      <c r="Z36" s="8"/>
    </row>
    <row r="37" spans="1:26" x14ac:dyDescent="0.55000000000000004">
      <c r="A37" s="8" t="s">
        <v>138</v>
      </c>
      <c r="B37" s="25" t="s">
        <v>308</v>
      </c>
      <c r="C37" s="25" t="s">
        <v>308</v>
      </c>
      <c r="D37" s="25" t="s">
        <v>308</v>
      </c>
      <c r="E37" s="25" t="s">
        <v>308</v>
      </c>
      <c r="F37" s="25" t="s">
        <v>308</v>
      </c>
      <c r="G37" s="25" t="s">
        <v>308</v>
      </c>
      <c r="H37" s="25" t="s">
        <v>308</v>
      </c>
      <c r="I37" s="25" t="s">
        <v>308</v>
      </c>
      <c r="J37" s="25" t="s">
        <v>308</v>
      </c>
      <c r="K37" s="8"/>
      <c r="L37" s="10"/>
      <c r="M37" s="8"/>
      <c r="N37" s="8" t="s">
        <v>137</v>
      </c>
      <c r="O37" s="26">
        <v>0</v>
      </c>
      <c r="P37" s="25" t="s">
        <v>308</v>
      </c>
      <c r="Q37" s="25" t="s">
        <v>308</v>
      </c>
      <c r="R37" s="25" t="s">
        <v>308</v>
      </c>
      <c r="S37" s="8"/>
      <c r="T37" s="10"/>
      <c r="U37" s="8"/>
      <c r="V37" s="8"/>
      <c r="W37" s="8" t="s">
        <v>113</v>
      </c>
      <c r="X37" s="25" t="s">
        <v>308</v>
      </c>
      <c r="Y37" s="25" t="s">
        <v>308</v>
      </c>
      <c r="Z37" s="8"/>
    </row>
    <row r="38" spans="1:26" x14ac:dyDescent="0.55000000000000004">
      <c r="A38" s="8" t="s">
        <v>639</v>
      </c>
      <c r="B38" s="25" t="s">
        <v>308</v>
      </c>
      <c r="C38" s="25" t="s">
        <v>308</v>
      </c>
      <c r="D38" s="25" t="s">
        <v>308</v>
      </c>
      <c r="E38" s="25" t="s">
        <v>308</v>
      </c>
      <c r="F38" s="25" t="s">
        <v>308</v>
      </c>
      <c r="G38" s="25" t="s">
        <v>308</v>
      </c>
      <c r="H38" s="25" t="s">
        <v>308</v>
      </c>
      <c r="I38" s="25" t="s">
        <v>308</v>
      </c>
      <c r="J38" s="25" t="s">
        <v>308</v>
      </c>
      <c r="K38" s="8"/>
      <c r="L38" s="10"/>
      <c r="M38" s="8"/>
      <c r="N38" s="8" t="s">
        <v>638</v>
      </c>
      <c r="O38" s="26">
        <v>0</v>
      </c>
      <c r="P38" s="25" t="s">
        <v>308</v>
      </c>
      <c r="Q38" s="25" t="s">
        <v>308</v>
      </c>
      <c r="R38" s="25" t="s">
        <v>308</v>
      </c>
      <c r="S38" s="8"/>
      <c r="T38" s="10"/>
      <c r="U38" s="8"/>
      <c r="V38" s="8" t="s">
        <v>477</v>
      </c>
      <c r="W38" s="8" t="s">
        <v>607</v>
      </c>
      <c r="X38" s="25" t="s">
        <v>308</v>
      </c>
      <c r="Y38" s="25" t="s">
        <v>308</v>
      </c>
      <c r="Z38" s="8"/>
    </row>
    <row r="39" spans="1:26" x14ac:dyDescent="0.55000000000000004">
      <c r="A39" s="8" t="s">
        <v>642</v>
      </c>
      <c r="B39" s="25" t="s">
        <v>308</v>
      </c>
      <c r="C39" s="25" t="s">
        <v>308</v>
      </c>
      <c r="D39" s="25" t="s">
        <v>308</v>
      </c>
      <c r="E39" s="25" t="s">
        <v>308</v>
      </c>
      <c r="F39" s="25" t="s">
        <v>308</v>
      </c>
      <c r="G39" s="25" t="s">
        <v>308</v>
      </c>
      <c r="H39" s="25" t="s">
        <v>308</v>
      </c>
      <c r="I39" s="25" t="s">
        <v>308</v>
      </c>
      <c r="J39" s="25" t="s">
        <v>308</v>
      </c>
      <c r="K39" s="8"/>
      <c r="L39" s="10"/>
      <c r="M39" s="8"/>
      <c r="N39" s="8" t="s">
        <v>641</v>
      </c>
      <c r="O39" s="26">
        <v>0</v>
      </c>
      <c r="P39" s="25" t="s">
        <v>308</v>
      </c>
      <c r="Q39" s="25" t="s">
        <v>308</v>
      </c>
      <c r="R39" s="25" t="s">
        <v>308</v>
      </c>
      <c r="S39" s="8"/>
      <c r="T39" s="10"/>
      <c r="U39" s="8"/>
      <c r="V39" s="8"/>
      <c r="W39" s="8" t="s">
        <v>612</v>
      </c>
      <c r="X39" s="25" t="s">
        <v>308</v>
      </c>
      <c r="Y39" s="25" t="s">
        <v>308</v>
      </c>
      <c r="Z39" s="8"/>
    </row>
    <row r="40" spans="1:26" x14ac:dyDescent="0.55000000000000004">
      <c r="A40" s="8" t="s">
        <v>645</v>
      </c>
      <c r="B40" s="25" t="s">
        <v>308</v>
      </c>
      <c r="C40" s="25" t="s">
        <v>308</v>
      </c>
      <c r="D40" s="25" t="s">
        <v>308</v>
      </c>
      <c r="E40" s="25" t="s">
        <v>308</v>
      </c>
      <c r="F40" s="25" t="s">
        <v>308</v>
      </c>
      <c r="G40" s="25" t="s">
        <v>308</v>
      </c>
      <c r="H40" s="25" t="s">
        <v>308</v>
      </c>
      <c r="I40" s="25" t="s">
        <v>308</v>
      </c>
      <c r="J40" s="25" t="s">
        <v>308</v>
      </c>
      <c r="K40" s="8"/>
      <c r="L40" s="10"/>
      <c r="M40" s="8"/>
      <c r="N40" s="8" t="s">
        <v>644</v>
      </c>
      <c r="O40" s="26">
        <v>0</v>
      </c>
      <c r="P40" s="25" t="s">
        <v>308</v>
      </c>
      <c r="Q40" s="25" t="s">
        <v>308</v>
      </c>
      <c r="R40" s="25" t="s">
        <v>308</v>
      </c>
      <c r="S40" s="8"/>
      <c r="T40" s="10"/>
      <c r="U40" s="8"/>
      <c r="V40" s="8"/>
      <c r="W40" s="8" t="s">
        <v>617</v>
      </c>
      <c r="X40" s="25" t="s">
        <v>308</v>
      </c>
      <c r="Y40" s="25" t="s">
        <v>308</v>
      </c>
      <c r="Z40" s="8"/>
    </row>
    <row r="41" spans="1:26" x14ac:dyDescent="0.55000000000000004">
      <c r="A41" s="8" t="s">
        <v>648</v>
      </c>
      <c r="B41" s="25" t="s">
        <v>308</v>
      </c>
      <c r="C41" s="25" t="s">
        <v>308</v>
      </c>
      <c r="D41" s="25" t="s">
        <v>308</v>
      </c>
      <c r="E41" s="25" t="s">
        <v>308</v>
      </c>
      <c r="F41" s="25" t="s">
        <v>308</v>
      </c>
      <c r="G41" s="25" t="s">
        <v>308</v>
      </c>
      <c r="H41" s="25" t="s">
        <v>308</v>
      </c>
      <c r="I41" s="25" t="s">
        <v>308</v>
      </c>
      <c r="J41" s="25" t="s">
        <v>308</v>
      </c>
      <c r="K41" s="8"/>
      <c r="L41" s="10"/>
      <c r="M41" s="8"/>
      <c r="N41" s="8" t="s">
        <v>647</v>
      </c>
      <c r="O41" s="26">
        <v>0</v>
      </c>
      <c r="P41" s="25" t="s">
        <v>308</v>
      </c>
      <c r="Q41" s="25" t="s">
        <v>308</v>
      </c>
      <c r="R41" s="25" t="s">
        <v>308</v>
      </c>
      <c r="S41" s="8"/>
      <c r="T41" s="10"/>
      <c r="U41" s="8"/>
      <c r="V41" s="8"/>
      <c r="W41" s="8" t="s">
        <v>620</v>
      </c>
      <c r="X41" s="25" t="s">
        <v>308</v>
      </c>
      <c r="Y41" s="25" t="s">
        <v>308</v>
      </c>
      <c r="Z41" s="8"/>
    </row>
    <row r="42" spans="1:26" x14ac:dyDescent="0.55000000000000004">
      <c r="A42" s="8" t="s">
        <v>145</v>
      </c>
      <c r="B42" s="25" t="s">
        <v>308</v>
      </c>
      <c r="C42" s="25" t="s">
        <v>308</v>
      </c>
      <c r="D42" s="25" t="s">
        <v>308</v>
      </c>
      <c r="E42" s="25" t="s">
        <v>308</v>
      </c>
      <c r="F42" s="25" t="s">
        <v>308</v>
      </c>
      <c r="G42" s="25" t="s">
        <v>308</v>
      </c>
      <c r="H42" s="25" t="s">
        <v>308</v>
      </c>
      <c r="I42" s="25" t="s">
        <v>308</v>
      </c>
      <c r="J42" s="25" t="s">
        <v>308</v>
      </c>
      <c r="K42" s="8"/>
      <c r="L42" s="10"/>
      <c r="M42" s="8"/>
      <c r="N42" s="8" t="s">
        <v>144</v>
      </c>
      <c r="O42" s="26">
        <v>0</v>
      </c>
      <c r="P42" s="25" t="s">
        <v>308</v>
      </c>
      <c r="Q42" s="25" t="s">
        <v>308</v>
      </c>
      <c r="R42" s="25" t="s">
        <v>308</v>
      </c>
      <c r="S42" s="8"/>
      <c r="T42" s="10"/>
      <c r="U42" s="8"/>
      <c r="V42" s="8"/>
      <c r="W42" s="8" t="s">
        <v>623</v>
      </c>
      <c r="X42" s="25" t="s">
        <v>308</v>
      </c>
      <c r="Y42" s="25" t="s">
        <v>308</v>
      </c>
      <c r="Z42" s="8"/>
    </row>
    <row r="43" spans="1:26" x14ac:dyDescent="0.55000000000000004">
      <c r="A43" s="8" t="s">
        <v>148</v>
      </c>
      <c r="B43" s="25" t="s">
        <v>308</v>
      </c>
      <c r="C43" s="25" t="s">
        <v>308</v>
      </c>
      <c r="D43" s="25" t="s">
        <v>308</v>
      </c>
      <c r="E43" s="25" t="s">
        <v>308</v>
      </c>
      <c r="F43" s="25" t="s">
        <v>308</v>
      </c>
      <c r="G43" s="25" t="s">
        <v>308</v>
      </c>
      <c r="H43" s="25" t="s">
        <v>308</v>
      </c>
      <c r="I43" s="25" t="s">
        <v>308</v>
      </c>
      <c r="J43" s="25" t="s">
        <v>308</v>
      </c>
      <c r="K43" s="8"/>
      <c r="L43" s="10"/>
      <c r="M43" s="8"/>
      <c r="N43" s="8" t="s">
        <v>147</v>
      </c>
      <c r="O43" s="26">
        <v>0</v>
      </c>
      <c r="P43" s="25" t="s">
        <v>308</v>
      </c>
      <c r="Q43" s="25" t="s">
        <v>308</v>
      </c>
      <c r="R43" s="25" t="s">
        <v>308</v>
      </c>
      <c r="S43" s="8"/>
      <c r="T43" s="10"/>
      <c r="U43" s="8"/>
      <c r="V43" s="8"/>
      <c r="W43" s="8"/>
      <c r="X43" s="8"/>
      <c r="Y43" s="8"/>
      <c r="Z43" s="8"/>
    </row>
    <row r="44" spans="1:26" x14ac:dyDescent="0.55000000000000004">
      <c r="A44" s="8" t="s">
        <v>150</v>
      </c>
      <c r="B44" s="25" t="s">
        <v>308</v>
      </c>
      <c r="C44" s="25" t="s">
        <v>308</v>
      </c>
      <c r="D44" s="25" t="s">
        <v>308</v>
      </c>
      <c r="E44" s="25" t="s">
        <v>308</v>
      </c>
      <c r="F44" s="25" t="s">
        <v>308</v>
      </c>
      <c r="G44" s="25" t="s">
        <v>308</v>
      </c>
      <c r="H44" s="25" t="s">
        <v>308</v>
      </c>
      <c r="I44" s="25" t="s">
        <v>308</v>
      </c>
      <c r="J44" s="25" t="s">
        <v>308</v>
      </c>
      <c r="K44" s="8"/>
      <c r="L44" s="10"/>
      <c r="M44" s="8"/>
      <c r="N44" s="8" t="s">
        <v>149</v>
      </c>
      <c r="O44" s="26">
        <v>0</v>
      </c>
      <c r="P44" s="25" t="s">
        <v>308</v>
      </c>
      <c r="Q44" s="25" t="s">
        <v>308</v>
      </c>
      <c r="R44" s="25" t="s">
        <v>308</v>
      </c>
      <c r="S44" s="8"/>
      <c r="T44" s="10"/>
      <c r="U44" s="10"/>
      <c r="V44" s="11" t="s">
        <v>309</v>
      </c>
      <c r="W44" s="10"/>
      <c r="X44" s="10"/>
      <c r="Y44" s="10"/>
      <c r="Z44" s="10"/>
    </row>
    <row r="45" spans="1:26" x14ac:dyDescent="0.55000000000000004">
      <c r="A45" s="8" t="s">
        <v>654</v>
      </c>
      <c r="B45" s="25" t="s">
        <v>308</v>
      </c>
      <c r="C45" s="25" t="s">
        <v>308</v>
      </c>
      <c r="D45" s="25" t="s">
        <v>308</v>
      </c>
      <c r="E45" s="25" t="s">
        <v>308</v>
      </c>
      <c r="F45" s="25" t="s">
        <v>308</v>
      </c>
      <c r="G45" s="25" t="s">
        <v>308</v>
      </c>
      <c r="H45" s="25" t="s">
        <v>308</v>
      </c>
      <c r="I45" s="25" t="s">
        <v>308</v>
      </c>
      <c r="J45" s="25" t="s">
        <v>308</v>
      </c>
      <c r="K45" s="8"/>
      <c r="L45" s="10"/>
      <c r="M45" s="8"/>
      <c r="N45" s="8" t="s">
        <v>653</v>
      </c>
      <c r="O45" s="26">
        <v>0</v>
      </c>
      <c r="P45" s="25" t="s">
        <v>308</v>
      </c>
      <c r="Q45" s="25" t="s">
        <v>308</v>
      </c>
      <c r="R45" s="25" t="s">
        <v>308</v>
      </c>
      <c r="S45" s="8"/>
      <c r="T45" s="10"/>
      <c r="U45" s="8"/>
      <c r="V45" s="8"/>
      <c r="W45" s="8"/>
      <c r="X45" s="8"/>
      <c r="Y45" s="8"/>
      <c r="Z45" s="8"/>
    </row>
    <row r="46" spans="1:26" x14ac:dyDescent="0.55000000000000004">
      <c r="A46" s="8" t="s">
        <v>152</v>
      </c>
      <c r="B46" s="25" t="s">
        <v>308</v>
      </c>
      <c r="C46" s="25" t="s">
        <v>308</v>
      </c>
      <c r="D46" s="25" t="s">
        <v>308</v>
      </c>
      <c r="E46" s="25" t="s">
        <v>308</v>
      </c>
      <c r="F46" s="25" t="s">
        <v>308</v>
      </c>
      <c r="G46" s="25" t="s">
        <v>308</v>
      </c>
      <c r="H46" s="25" t="s">
        <v>308</v>
      </c>
      <c r="I46" s="25" t="s">
        <v>308</v>
      </c>
      <c r="J46" s="25" t="s">
        <v>308</v>
      </c>
      <c r="K46" s="8"/>
      <c r="L46" s="10"/>
      <c r="M46" s="8"/>
      <c r="N46" s="8" t="s">
        <v>151</v>
      </c>
      <c r="O46" s="26">
        <v>0</v>
      </c>
      <c r="P46" s="25" t="s">
        <v>308</v>
      </c>
      <c r="Q46" s="25" t="s">
        <v>308</v>
      </c>
      <c r="R46" s="25" t="s">
        <v>308</v>
      </c>
      <c r="S46" s="8"/>
      <c r="T46" s="10"/>
      <c r="U46" s="8"/>
      <c r="V46" s="8" t="s">
        <v>310</v>
      </c>
      <c r="W46" s="8"/>
      <c r="X46" s="8" t="s">
        <v>311</v>
      </c>
      <c r="Y46" s="25" t="s">
        <v>308</v>
      </c>
      <c r="Z46" s="8"/>
    </row>
    <row r="47" spans="1:26" x14ac:dyDescent="0.55000000000000004">
      <c r="A47" s="8" t="s">
        <v>154</v>
      </c>
      <c r="B47" s="25" t="s">
        <v>308</v>
      </c>
      <c r="C47" s="25" t="s">
        <v>308</v>
      </c>
      <c r="D47" s="25" t="s">
        <v>308</v>
      </c>
      <c r="E47" s="25" t="s">
        <v>308</v>
      </c>
      <c r="F47" s="25" t="s">
        <v>308</v>
      </c>
      <c r="G47" s="25" t="s">
        <v>308</v>
      </c>
      <c r="H47" s="25" t="s">
        <v>308</v>
      </c>
      <c r="I47" s="25" t="s">
        <v>308</v>
      </c>
      <c r="J47" s="25" t="s">
        <v>308</v>
      </c>
      <c r="K47" s="8"/>
      <c r="L47" s="10"/>
      <c r="M47" s="8"/>
      <c r="N47" s="8" t="s">
        <v>153</v>
      </c>
      <c r="O47" s="26">
        <v>0</v>
      </c>
      <c r="P47" s="25" t="s">
        <v>308</v>
      </c>
      <c r="Q47" s="25" t="s">
        <v>308</v>
      </c>
      <c r="R47" s="25" t="s">
        <v>308</v>
      </c>
      <c r="S47" s="8"/>
      <c r="T47" s="10"/>
      <c r="U47" s="8"/>
      <c r="V47" s="8" t="s">
        <v>312</v>
      </c>
      <c r="W47" s="8"/>
      <c r="X47" s="8" t="s">
        <v>313</v>
      </c>
      <c r="Y47" s="25" t="s">
        <v>308</v>
      </c>
      <c r="Z47" s="8"/>
    </row>
    <row r="48" spans="1:26" x14ac:dyDescent="0.55000000000000004">
      <c r="A48" s="8" t="s">
        <v>156</v>
      </c>
      <c r="B48" s="25" t="s">
        <v>308</v>
      </c>
      <c r="C48" s="25" t="s">
        <v>308</v>
      </c>
      <c r="D48" s="25" t="s">
        <v>308</v>
      </c>
      <c r="E48" s="25" t="s">
        <v>308</v>
      </c>
      <c r="F48" s="25" t="s">
        <v>308</v>
      </c>
      <c r="G48" s="25" t="s">
        <v>308</v>
      </c>
      <c r="H48" s="25" t="s">
        <v>308</v>
      </c>
      <c r="I48" s="25" t="s">
        <v>308</v>
      </c>
      <c r="J48" s="25" t="s">
        <v>308</v>
      </c>
      <c r="K48" s="8"/>
      <c r="L48" s="10"/>
      <c r="M48" s="8"/>
      <c r="N48" s="8" t="s">
        <v>155</v>
      </c>
      <c r="O48" s="26">
        <v>0</v>
      </c>
      <c r="P48" s="25" t="s">
        <v>308</v>
      </c>
      <c r="Q48" s="25" t="s">
        <v>308</v>
      </c>
      <c r="R48" s="25" t="s">
        <v>308</v>
      </c>
      <c r="S48" s="8"/>
      <c r="T48" s="10"/>
      <c r="U48" s="8"/>
      <c r="V48" s="8" t="s">
        <v>314</v>
      </c>
      <c r="W48" s="8"/>
      <c r="X48" s="8" t="s">
        <v>315</v>
      </c>
      <c r="Y48" s="25" t="s">
        <v>308</v>
      </c>
      <c r="Z48" s="8"/>
    </row>
    <row r="49" spans="1:26" x14ac:dyDescent="0.55000000000000004">
      <c r="A49" s="8" t="s">
        <v>160</v>
      </c>
      <c r="B49" s="25" t="s">
        <v>308</v>
      </c>
      <c r="C49" s="25" t="s">
        <v>308</v>
      </c>
      <c r="D49" s="25" t="s">
        <v>308</v>
      </c>
      <c r="E49" s="25" t="s">
        <v>308</v>
      </c>
      <c r="F49" s="25" t="s">
        <v>308</v>
      </c>
      <c r="G49" s="25" t="s">
        <v>308</v>
      </c>
      <c r="H49" s="25" t="s">
        <v>308</v>
      </c>
      <c r="I49" s="25" t="s">
        <v>308</v>
      </c>
      <c r="J49" s="25" t="s">
        <v>308</v>
      </c>
      <c r="K49" s="8"/>
      <c r="L49" s="10"/>
      <c r="M49" s="8"/>
      <c r="N49" s="8" t="s">
        <v>159</v>
      </c>
      <c r="O49" s="26">
        <v>0</v>
      </c>
      <c r="P49" s="25" t="s">
        <v>308</v>
      </c>
      <c r="Q49" s="25" t="s">
        <v>308</v>
      </c>
      <c r="R49" s="25" t="s">
        <v>308</v>
      </c>
      <c r="S49" s="8"/>
      <c r="T49" s="10"/>
      <c r="U49" s="8"/>
      <c r="V49" s="8" t="s">
        <v>333</v>
      </c>
      <c r="W49" s="8"/>
      <c r="X49" s="8" t="s">
        <v>316</v>
      </c>
      <c r="Y49" s="25" t="s">
        <v>308</v>
      </c>
      <c r="Z49" s="8"/>
    </row>
    <row r="50" spans="1:26" x14ac:dyDescent="0.55000000000000004">
      <c r="A50" s="8" t="s">
        <v>162</v>
      </c>
      <c r="B50" s="25" t="s">
        <v>308</v>
      </c>
      <c r="C50" s="25">
        <v>56</v>
      </c>
      <c r="D50" s="25" t="s">
        <v>308</v>
      </c>
      <c r="E50" s="25" t="s">
        <v>308</v>
      </c>
      <c r="F50" s="25" t="s">
        <v>308</v>
      </c>
      <c r="G50" s="25" t="s">
        <v>308</v>
      </c>
      <c r="H50" s="25" t="s">
        <v>308</v>
      </c>
      <c r="I50" s="25" t="s">
        <v>308</v>
      </c>
      <c r="J50" s="25" t="s">
        <v>308</v>
      </c>
      <c r="K50" s="8"/>
      <c r="L50" s="10"/>
      <c r="M50" s="8"/>
      <c r="N50" s="8" t="s">
        <v>161</v>
      </c>
      <c r="O50" s="26">
        <v>0</v>
      </c>
      <c r="P50" s="25" t="s">
        <v>308</v>
      </c>
      <c r="Q50" s="25" t="s">
        <v>308</v>
      </c>
      <c r="R50" s="25" t="s">
        <v>308</v>
      </c>
      <c r="S50" s="8"/>
      <c r="T50" s="10"/>
      <c r="U50" s="8"/>
      <c r="V50" s="8" t="s">
        <v>334</v>
      </c>
      <c r="W50" s="8"/>
      <c r="X50" s="8" t="s">
        <v>317</v>
      </c>
      <c r="Y50" s="25" t="s">
        <v>308</v>
      </c>
      <c r="Z50" s="8"/>
    </row>
    <row r="51" spans="1:26" x14ac:dyDescent="0.55000000000000004">
      <c r="A51" s="8" t="s">
        <v>158</v>
      </c>
      <c r="B51" s="25" t="s">
        <v>308</v>
      </c>
      <c r="C51" s="25" t="s">
        <v>308</v>
      </c>
      <c r="D51" s="25" t="s">
        <v>308</v>
      </c>
      <c r="E51" s="25" t="s">
        <v>308</v>
      </c>
      <c r="F51" s="25" t="s">
        <v>308</v>
      </c>
      <c r="G51" s="25" t="s">
        <v>308</v>
      </c>
      <c r="H51" s="25" t="s">
        <v>308</v>
      </c>
      <c r="I51" s="25" t="s">
        <v>308</v>
      </c>
      <c r="J51" s="25" t="s">
        <v>308</v>
      </c>
      <c r="K51" s="8"/>
      <c r="L51" s="10"/>
      <c r="M51" s="8"/>
      <c r="N51" s="8" t="s">
        <v>157</v>
      </c>
      <c r="O51" s="26">
        <v>0</v>
      </c>
      <c r="P51" s="25" t="s">
        <v>308</v>
      </c>
      <c r="Q51" s="25" t="s">
        <v>308</v>
      </c>
      <c r="R51" s="25" t="s">
        <v>308</v>
      </c>
      <c r="S51" s="8"/>
      <c r="T51" s="10"/>
      <c r="U51" s="8"/>
      <c r="V51" s="8" t="s">
        <v>335</v>
      </c>
      <c r="W51" s="8"/>
      <c r="X51" s="8" t="s">
        <v>318</v>
      </c>
      <c r="Y51" s="25" t="s">
        <v>308</v>
      </c>
      <c r="Z51" s="8"/>
    </row>
    <row r="52" spans="1:26" x14ac:dyDescent="0.55000000000000004">
      <c r="A52" s="8" t="s">
        <v>164</v>
      </c>
      <c r="B52" s="25" t="s">
        <v>308</v>
      </c>
      <c r="C52" s="25" t="s">
        <v>308</v>
      </c>
      <c r="D52" s="25" t="s">
        <v>308</v>
      </c>
      <c r="E52" s="25" t="s">
        <v>308</v>
      </c>
      <c r="F52" s="25" t="s">
        <v>308</v>
      </c>
      <c r="G52" s="25" t="s">
        <v>308</v>
      </c>
      <c r="H52" s="25" t="s">
        <v>308</v>
      </c>
      <c r="I52" s="25" t="s">
        <v>308</v>
      </c>
      <c r="J52" s="25" t="s">
        <v>308</v>
      </c>
      <c r="K52" s="8"/>
      <c r="L52" s="10"/>
      <c r="M52" s="8"/>
      <c r="N52" s="8" t="s">
        <v>163</v>
      </c>
      <c r="O52" s="26">
        <v>0</v>
      </c>
      <c r="P52" s="25" t="s">
        <v>308</v>
      </c>
      <c r="Q52" s="25" t="s">
        <v>308</v>
      </c>
      <c r="R52" s="25" t="s">
        <v>308</v>
      </c>
      <c r="S52" s="8"/>
      <c r="T52" s="10"/>
      <c r="U52" s="8"/>
      <c r="V52" s="8"/>
      <c r="W52" s="8"/>
      <c r="X52" s="8" t="s">
        <v>319</v>
      </c>
      <c r="Y52" s="25" t="s">
        <v>308</v>
      </c>
      <c r="Z52" s="8"/>
    </row>
    <row r="53" spans="1:26" x14ac:dyDescent="0.55000000000000004">
      <c r="A53" s="8" t="s">
        <v>664</v>
      </c>
      <c r="B53" s="25" t="s">
        <v>308</v>
      </c>
      <c r="C53" s="25" t="s">
        <v>308</v>
      </c>
      <c r="D53" s="25" t="s">
        <v>308</v>
      </c>
      <c r="E53" s="25" t="s">
        <v>308</v>
      </c>
      <c r="F53" s="25" t="s">
        <v>308</v>
      </c>
      <c r="G53" s="25" t="s">
        <v>308</v>
      </c>
      <c r="H53" s="25" t="s">
        <v>308</v>
      </c>
      <c r="I53" s="25" t="s">
        <v>308</v>
      </c>
      <c r="J53" s="25" t="s">
        <v>308</v>
      </c>
      <c r="K53" s="8"/>
      <c r="L53" s="10"/>
      <c r="M53" s="8"/>
      <c r="N53" s="8" t="s">
        <v>663</v>
      </c>
      <c r="O53" s="26">
        <v>0</v>
      </c>
      <c r="P53" s="25" t="s">
        <v>308</v>
      </c>
      <c r="Q53" s="25" t="s">
        <v>308</v>
      </c>
      <c r="R53" s="25" t="s">
        <v>308</v>
      </c>
      <c r="S53" s="8"/>
      <c r="T53" s="10"/>
      <c r="U53" s="8"/>
      <c r="V53" s="8" t="s">
        <v>336</v>
      </c>
      <c r="W53" s="8"/>
      <c r="X53" s="8" t="s">
        <v>320</v>
      </c>
      <c r="Y53" s="25" t="s">
        <v>308</v>
      </c>
      <c r="Z53" s="8"/>
    </row>
    <row r="54" spans="1:26" x14ac:dyDescent="0.55000000000000004">
      <c r="A54" s="8" t="s">
        <v>169</v>
      </c>
      <c r="B54" s="25" t="s">
        <v>308</v>
      </c>
      <c r="C54" s="25" t="s">
        <v>308</v>
      </c>
      <c r="D54" s="25" t="s">
        <v>308</v>
      </c>
      <c r="E54" s="25" t="s">
        <v>308</v>
      </c>
      <c r="F54" s="25" t="s">
        <v>308</v>
      </c>
      <c r="G54" s="25" t="s">
        <v>308</v>
      </c>
      <c r="H54" s="25" t="s">
        <v>308</v>
      </c>
      <c r="I54" s="25" t="s">
        <v>308</v>
      </c>
      <c r="J54" s="25" t="s">
        <v>308</v>
      </c>
      <c r="K54" s="8"/>
      <c r="L54" s="10"/>
      <c r="M54" s="8"/>
      <c r="N54" s="8" t="s">
        <v>168</v>
      </c>
      <c r="O54" s="26">
        <v>0</v>
      </c>
      <c r="P54" s="25" t="s">
        <v>308</v>
      </c>
      <c r="Q54" s="25" t="s">
        <v>308</v>
      </c>
      <c r="R54" s="25" t="s">
        <v>308</v>
      </c>
      <c r="S54" s="8"/>
      <c r="T54" s="10"/>
      <c r="U54" s="8"/>
      <c r="V54" s="8"/>
      <c r="W54" s="8"/>
      <c r="X54" s="8" t="s">
        <v>321</v>
      </c>
      <c r="Y54" s="25" t="s">
        <v>308</v>
      </c>
      <c r="Z54" s="8"/>
    </row>
    <row r="55" spans="1:26" x14ac:dyDescent="0.55000000000000004">
      <c r="A55" s="8" t="s">
        <v>166</v>
      </c>
      <c r="B55" s="25" t="s">
        <v>308</v>
      </c>
      <c r="C55" s="25" t="s">
        <v>308</v>
      </c>
      <c r="D55" s="25" t="s">
        <v>308</v>
      </c>
      <c r="E55" s="25" t="s">
        <v>308</v>
      </c>
      <c r="F55" s="25" t="s">
        <v>308</v>
      </c>
      <c r="G55" s="25" t="s">
        <v>308</v>
      </c>
      <c r="H55" s="25" t="s">
        <v>308</v>
      </c>
      <c r="I55" s="25" t="s">
        <v>308</v>
      </c>
      <c r="J55" s="25" t="s">
        <v>308</v>
      </c>
      <c r="K55" s="8"/>
      <c r="L55" s="10"/>
      <c r="M55" s="8"/>
      <c r="N55" s="8" t="s">
        <v>165</v>
      </c>
      <c r="O55" s="26">
        <v>0</v>
      </c>
      <c r="P55" s="25" t="s">
        <v>308</v>
      </c>
      <c r="Q55" s="25" t="s">
        <v>308</v>
      </c>
      <c r="R55" s="25" t="s">
        <v>308</v>
      </c>
      <c r="S55" s="8"/>
      <c r="T55" s="10"/>
      <c r="U55" s="8"/>
      <c r="V55" s="8"/>
      <c r="W55" s="8"/>
      <c r="X55" s="8"/>
      <c r="Y55" s="8"/>
      <c r="Z55" s="8"/>
    </row>
    <row r="56" spans="1:26" x14ac:dyDescent="0.55000000000000004">
      <c r="A56" s="8" t="s">
        <v>669</v>
      </c>
      <c r="B56" s="25" t="s">
        <v>308</v>
      </c>
      <c r="C56" s="25" t="s">
        <v>308</v>
      </c>
      <c r="D56" s="25" t="s">
        <v>308</v>
      </c>
      <c r="E56" s="25" t="s">
        <v>308</v>
      </c>
      <c r="F56" s="25" t="s">
        <v>308</v>
      </c>
      <c r="G56" s="25" t="s">
        <v>308</v>
      </c>
      <c r="H56" s="25" t="s">
        <v>308</v>
      </c>
      <c r="I56" s="25" t="s">
        <v>308</v>
      </c>
      <c r="J56" s="25" t="s">
        <v>308</v>
      </c>
      <c r="K56" s="8"/>
      <c r="L56" s="10"/>
      <c r="M56" s="8"/>
      <c r="N56" s="8" t="s">
        <v>668</v>
      </c>
      <c r="O56" s="26">
        <v>0</v>
      </c>
      <c r="P56" s="25" t="s">
        <v>308</v>
      </c>
      <c r="Q56" s="25" t="s">
        <v>308</v>
      </c>
      <c r="R56" s="25" t="s">
        <v>308</v>
      </c>
      <c r="S56" s="8"/>
      <c r="T56" s="10"/>
      <c r="U56" s="10"/>
      <c r="V56" s="11" t="s">
        <v>324</v>
      </c>
      <c r="W56" s="10"/>
      <c r="X56" s="10"/>
      <c r="Y56" s="10"/>
      <c r="Z56" s="10"/>
    </row>
    <row r="57" spans="1:26" x14ac:dyDescent="0.55000000000000004">
      <c r="A57" s="8" t="s">
        <v>171</v>
      </c>
      <c r="B57" s="25" t="s">
        <v>308</v>
      </c>
      <c r="C57" s="25" t="s">
        <v>308</v>
      </c>
      <c r="D57" s="25" t="s">
        <v>308</v>
      </c>
      <c r="E57" s="25" t="s">
        <v>308</v>
      </c>
      <c r="F57" s="25" t="s">
        <v>308</v>
      </c>
      <c r="G57" s="25" t="s">
        <v>308</v>
      </c>
      <c r="H57" s="25" t="s">
        <v>308</v>
      </c>
      <c r="I57" s="25" t="s">
        <v>308</v>
      </c>
      <c r="J57" s="25" t="s">
        <v>308</v>
      </c>
      <c r="K57" s="8"/>
      <c r="L57" s="10"/>
      <c r="M57" s="8"/>
      <c r="N57" s="8" t="s">
        <v>170</v>
      </c>
      <c r="O57" s="26">
        <v>0</v>
      </c>
      <c r="P57" s="25" t="s">
        <v>308</v>
      </c>
      <c r="Q57" s="25" t="s">
        <v>308</v>
      </c>
      <c r="R57" s="25" t="s">
        <v>308</v>
      </c>
      <c r="S57" s="8"/>
      <c r="T57" s="10"/>
      <c r="U57" s="13"/>
      <c r="V57" s="13"/>
      <c r="W57" s="13"/>
      <c r="X57" s="15" t="s">
        <v>325</v>
      </c>
      <c r="Y57" s="15" t="s">
        <v>326</v>
      </c>
      <c r="Z57" s="13"/>
    </row>
    <row r="58" spans="1:26" x14ac:dyDescent="0.55000000000000004">
      <c r="A58" s="8" t="s">
        <v>173</v>
      </c>
      <c r="B58" s="25" t="s">
        <v>308</v>
      </c>
      <c r="C58" s="25" t="s">
        <v>308</v>
      </c>
      <c r="D58" s="25" t="s">
        <v>308</v>
      </c>
      <c r="E58" s="25" t="s">
        <v>308</v>
      </c>
      <c r="F58" s="25" t="s">
        <v>308</v>
      </c>
      <c r="G58" s="25" t="s">
        <v>308</v>
      </c>
      <c r="H58" s="25" t="s">
        <v>308</v>
      </c>
      <c r="I58" s="25" t="s">
        <v>308</v>
      </c>
      <c r="J58" s="25" t="s">
        <v>308</v>
      </c>
      <c r="K58" s="8"/>
      <c r="L58" s="10"/>
      <c r="M58" s="8"/>
      <c r="N58" s="8" t="s">
        <v>172</v>
      </c>
      <c r="O58" s="26">
        <v>0</v>
      </c>
      <c r="P58" s="25" t="s">
        <v>308</v>
      </c>
      <c r="Q58" s="25" t="s">
        <v>308</v>
      </c>
      <c r="R58" s="25" t="s">
        <v>308</v>
      </c>
      <c r="S58" s="8"/>
      <c r="T58" s="10"/>
      <c r="U58" s="13"/>
      <c r="V58" s="13"/>
      <c r="W58" s="13"/>
      <c r="X58" s="16" t="s">
        <v>327</v>
      </c>
      <c r="Y58" s="16" t="s">
        <v>328</v>
      </c>
      <c r="Z58" s="13"/>
    </row>
    <row r="59" spans="1:26" x14ac:dyDescent="0.55000000000000004">
      <c r="A59" s="8" t="s">
        <v>175</v>
      </c>
      <c r="B59" s="25" t="s">
        <v>308</v>
      </c>
      <c r="C59" s="25" t="s">
        <v>308</v>
      </c>
      <c r="D59" s="25" t="s">
        <v>308</v>
      </c>
      <c r="E59" s="25" t="s">
        <v>308</v>
      </c>
      <c r="F59" s="25" t="s">
        <v>308</v>
      </c>
      <c r="G59" s="25" t="s">
        <v>308</v>
      </c>
      <c r="H59" s="25" t="s">
        <v>308</v>
      </c>
      <c r="I59" s="25" t="s">
        <v>308</v>
      </c>
      <c r="J59" s="25" t="s">
        <v>308</v>
      </c>
      <c r="K59" s="8"/>
      <c r="L59" s="10"/>
      <c r="M59" s="8"/>
      <c r="N59" s="8" t="s">
        <v>174</v>
      </c>
      <c r="O59" s="26">
        <v>0</v>
      </c>
      <c r="P59" s="25" t="s">
        <v>308</v>
      </c>
      <c r="Q59" s="25" t="s">
        <v>308</v>
      </c>
      <c r="R59" s="25" t="s">
        <v>308</v>
      </c>
      <c r="S59" s="8"/>
      <c r="T59" s="10"/>
      <c r="U59" s="8"/>
      <c r="V59" s="8" t="s">
        <v>329</v>
      </c>
      <c r="W59" s="8" t="s">
        <v>24</v>
      </c>
      <c r="X59" s="23">
        <v>1</v>
      </c>
      <c r="Y59" s="23">
        <v>1</v>
      </c>
      <c r="Z59" s="8"/>
    </row>
    <row r="60" spans="1:26" x14ac:dyDescent="0.55000000000000004">
      <c r="A60" s="8" t="s">
        <v>177</v>
      </c>
      <c r="B60" s="25" t="s">
        <v>308</v>
      </c>
      <c r="C60" s="25" t="s">
        <v>308</v>
      </c>
      <c r="D60" s="25" t="s">
        <v>308</v>
      </c>
      <c r="E60" s="25" t="s">
        <v>308</v>
      </c>
      <c r="F60" s="25" t="s">
        <v>308</v>
      </c>
      <c r="G60" s="25" t="s">
        <v>308</v>
      </c>
      <c r="H60" s="25" t="s">
        <v>308</v>
      </c>
      <c r="I60" s="25" t="s">
        <v>308</v>
      </c>
      <c r="J60" s="25" t="s">
        <v>308</v>
      </c>
      <c r="K60" s="8"/>
      <c r="L60" s="10"/>
      <c r="M60" s="8"/>
      <c r="N60" s="8" t="s">
        <v>176</v>
      </c>
      <c r="O60" s="26">
        <v>0</v>
      </c>
      <c r="P60" s="25" t="s">
        <v>308</v>
      </c>
      <c r="Q60" s="25" t="s">
        <v>308</v>
      </c>
      <c r="R60" s="25" t="s">
        <v>308</v>
      </c>
      <c r="S60" s="8"/>
      <c r="T60" s="10"/>
      <c r="U60" s="8"/>
      <c r="V60" s="8" t="s">
        <v>330</v>
      </c>
      <c r="W60" s="8" t="s">
        <v>791</v>
      </c>
      <c r="X60" s="23">
        <v>1</v>
      </c>
      <c r="Y60" s="23">
        <v>1</v>
      </c>
      <c r="Z60" s="8"/>
    </row>
    <row r="61" spans="1:26" x14ac:dyDescent="0.55000000000000004">
      <c r="A61" s="8" t="s">
        <v>676</v>
      </c>
      <c r="B61" s="25" t="s">
        <v>308</v>
      </c>
      <c r="C61" s="25" t="s">
        <v>308</v>
      </c>
      <c r="D61" s="25" t="s">
        <v>308</v>
      </c>
      <c r="E61" s="25" t="s">
        <v>308</v>
      </c>
      <c r="F61" s="25" t="s">
        <v>308</v>
      </c>
      <c r="G61" s="25" t="s">
        <v>308</v>
      </c>
      <c r="H61" s="25" t="s">
        <v>308</v>
      </c>
      <c r="I61" s="25" t="s">
        <v>308</v>
      </c>
      <c r="J61" s="25" t="s">
        <v>308</v>
      </c>
      <c r="K61" s="8"/>
      <c r="L61" s="10"/>
      <c r="M61" s="8"/>
      <c r="N61" s="8" t="s">
        <v>675</v>
      </c>
      <c r="O61" s="26">
        <v>0</v>
      </c>
      <c r="P61" s="25" t="s">
        <v>308</v>
      </c>
      <c r="Q61" s="25" t="s">
        <v>308</v>
      </c>
      <c r="R61" s="25" t="s">
        <v>308</v>
      </c>
      <c r="S61" s="8"/>
      <c r="T61" s="10"/>
      <c r="U61" s="8"/>
      <c r="V61" s="8"/>
      <c r="W61" s="8" t="s">
        <v>792</v>
      </c>
      <c r="X61" s="23">
        <v>1</v>
      </c>
      <c r="Y61" s="23">
        <v>1</v>
      </c>
      <c r="Z61" s="8"/>
    </row>
    <row r="62" spans="1:26" x14ac:dyDescent="0.55000000000000004">
      <c r="A62" s="8" t="s">
        <v>179</v>
      </c>
      <c r="B62" s="25" t="s">
        <v>308</v>
      </c>
      <c r="C62" s="25" t="s">
        <v>308</v>
      </c>
      <c r="D62" s="25" t="s">
        <v>308</v>
      </c>
      <c r="E62" s="25" t="s">
        <v>308</v>
      </c>
      <c r="F62" s="25" t="s">
        <v>308</v>
      </c>
      <c r="G62" s="25" t="s">
        <v>308</v>
      </c>
      <c r="H62" s="25" t="s">
        <v>308</v>
      </c>
      <c r="I62" s="25" t="s">
        <v>308</v>
      </c>
      <c r="J62" s="25" t="s">
        <v>308</v>
      </c>
      <c r="K62" s="8"/>
      <c r="L62" s="10"/>
      <c r="M62" s="8"/>
      <c r="N62" s="8" t="s">
        <v>178</v>
      </c>
      <c r="O62" s="26">
        <v>0</v>
      </c>
      <c r="P62" s="25" t="s">
        <v>308</v>
      </c>
      <c r="Q62" s="25" t="s">
        <v>308</v>
      </c>
      <c r="R62" s="25" t="s">
        <v>308</v>
      </c>
      <c r="S62" s="8"/>
      <c r="T62" s="10"/>
      <c r="U62" s="8"/>
      <c r="V62" s="8"/>
      <c r="W62" s="8" t="s">
        <v>793</v>
      </c>
      <c r="X62" s="23">
        <v>1</v>
      </c>
      <c r="Y62" s="23">
        <v>1</v>
      </c>
      <c r="Z62" s="8"/>
    </row>
    <row r="63" spans="1:26" x14ac:dyDescent="0.55000000000000004">
      <c r="A63" s="8" t="s">
        <v>181</v>
      </c>
      <c r="B63" s="25" t="s">
        <v>308</v>
      </c>
      <c r="C63" s="25" t="s">
        <v>308</v>
      </c>
      <c r="D63" s="25" t="s">
        <v>308</v>
      </c>
      <c r="E63" s="25" t="s">
        <v>308</v>
      </c>
      <c r="F63" s="25" t="s">
        <v>308</v>
      </c>
      <c r="G63" s="25" t="s">
        <v>308</v>
      </c>
      <c r="H63" s="25" t="s">
        <v>308</v>
      </c>
      <c r="I63" s="25" t="s">
        <v>308</v>
      </c>
      <c r="J63" s="25" t="s">
        <v>308</v>
      </c>
      <c r="K63" s="8"/>
      <c r="L63" s="10"/>
      <c r="M63" s="8"/>
      <c r="N63" s="8" t="s">
        <v>180</v>
      </c>
      <c r="O63" s="26">
        <v>0</v>
      </c>
      <c r="P63" s="25" t="s">
        <v>308</v>
      </c>
      <c r="Q63" s="25" t="s">
        <v>308</v>
      </c>
      <c r="R63" s="25" t="s">
        <v>308</v>
      </c>
      <c r="S63" s="8"/>
      <c r="T63" s="10"/>
      <c r="U63" s="8"/>
      <c r="V63" s="8"/>
      <c r="W63" s="8" t="s">
        <v>794</v>
      </c>
      <c r="X63" s="23">
        <v>1</v>
      </c>
      <c r="Y63" s="23">
        <v>1</v>
      </c>
      <c r="Z63" s="8"/>
    </row>
    <row r="64" spans="1:26" x14ac:dyDescent="0.55000000000000004">
      <c r="A64" s="8" t="s">
        <v>681</v>
      </c>
      <c r="B64" s="25" t="s">
        <v>308</v>
      </c>
      <c r="C64" s="25" t="s">
        <v>308</v>
      </c>
      <c r="D64" s="25" t="s">
        <v>308</v>
      </c>
      <c r="E64" s="25" t="s">
        <v>308</v>
      </c>
      <c r="F64" s="25" t="s">
        <v>308</v>
      </c>
      <c r="G64" s="25" t="s">
        <v>308</v>
      </c>
      <c r="H64" s="25" t="s">
        <v>308</v>
      </c>
      <c r="I64" s="25" t="s">
        <v>308</v>
      </c>
      <c r="J64" s="25" t="s">
        <v>308</v>
      </c>
      <c r="K64" s="8"/>
      <c r="L64" s="10"/>
      <c r="M64" s="8"/>
      <c r="N64" s="8" t="s">
        <v>680</v>
      </c>
      <c r="O64" s="26">
        <v>0</v>
      </c>
      <c r="P64" s="25" t="s">
        <v>308</v>
      </c>
      <c r="Q64" s="25" t="s">
        <v>308</v>
      </c>
      <c r="R64" s="25" t="s">
        <v>308</v>
      </c>
      <c r="S64" s="8"/>
      <c r="T64" s="10"/>
      <c r="U64" s="8"/>
      <c r="V64" s="8"/>
      <c r="W64" s="8" t="s">
        <v>795</v>
      </c>
      <c r="X64" s="23">
        <v>1</v>
      </c>
      <c r="Y64" s="23">
        <v>1</v>
      </c>
      <c r="Z64" s="8"/>
    </row>
    <row r="65" spans="1:26" x14ac:dyDescent="0.55000000000000004">
      <c r="A65" s="8" t="s">
        <v>684</v>
      </c>
      <c r="B65" s="25" t="s">
        <v>308</v>
      </c>
      <c r="C65" s="25" t="s">
        <v>308</v>
      </c>
      <c r="D65" s="25" t="s">
        <v>308</v>
      </c>
      <c r="E65" s="25" t="s">
        <v>308</v>
      </c>
      <c r="F65" s="25" t="s">
        <v>308</v>
      </c>
      <c r="G65" s="25" t="s">
        <v>308</v>
      </c>
      <c r="H65" s="25" t="s">
        <v>308</v>
      </c>
      <c r="I65" s="25" t="s">
        <v>308</v>
      </c>
      <c r="J65" s="25" t="s">
        <v>308</v>
      </c>
      <c r="K65" s="8"/>
      <c r="L65" s="10"/>
      <c r="M65" s="8"/>
      <c r="N65" s="8" t="s">
        <v>683</v>
      </c>
      <c r="O65" s="26">
        <v>0</v>
      </c>
      <c r="P65" s="25" t="s">
        <v>308</v>
      </c>
      <c r="Q65" s="25" t="s">
        <v>308</v>
      </c>
      <c r="R65" s="25" t="s">
        <v>308</v>
      </c>
      <c r="S65" s="8"/>
      <c r="T65" s="10"/>
      <c r="U65" s="8"/>
      <c r="V65" s="8"/>
      <c r="W65" s="8" t="s">
        <v>89</v>
      </c>
      <c r="X65" s="23">
        <v>1</v>
      </c>
      <c r="Y65" s="23">
        <v>1</v>
      </c>
      <c r="Z65" s="8"/>
    </row>
    <row r="66" spans="1:26" x14ac:dyDescent="0.55000000000000004">
      <c r="A66" s="8" t="s">
        <v>183</v>
      </c>
      <c r="B66" s="25" t="s">
        <v>308</v>
      </c>
      <c r="C66" s="25" t="s">
        <v>308</v>
      </c>
      <c r="D66" s="25" t="s">
        <v>308</v>
      </c>
      <c r="E66" s="25" t="s">
        <v>308</v>
      </c>
      <c r="F66" s="25" t="s">
        <v>308</v>
      </c>
      <c r="G66" s="25" t="s">
        <v>308</v>
      </c>
      <c r="H66" s="25" t="s">
        <v>308</v>
      </c>
      <c r="I66" s="25" t="s">
        <v>308</v>
      </c>
      <c r="J66" s="25" t="s">
        <v>308</v>
      </c>
      <c r="K66" s="8"/>
      <c r="L66" s="10"/>
      <c r="M66" s="8"/>
      <c r="N66" s="8" t="s">
        <v>182</v>
      </c>
      <c r="O66" s="26">
        <v>0</v>
      </c>
      <c r="P66" s="25" t="s">
        <v>308</v>
      </c>
      <c r="Q66" s="25" t="s">
        <v>308</v>
      </c>
      <c r="R66" s="25" t="s">
        <v>308</v>
      </c>
      <c r="S66" s="8"/>
      <c r="T66" s="10"/>
      <c r="U66" s="8"/>
      <c r="V66" s="8"/>
      <c r="W66" s="8" t="s">
        <v>97</v>
      </c>
      <c r="X66" s="23">
        <v>1</v>
      </c>
      <c r="Y66" s="23">
        <v>1</v>
      </c>
      <c r="Z66" s="8"/>
    </row>
    <row r="67" spans="1:26" x14ac:dyDescent="0.55000000000000004">
      <c r="A67" s="8" t="s">
        <v>688</v>
      </c>
      <c r="B67" s="25" t="s">
        <v>308</v>
      </c>
      <c r="C67" s="25" t="s">
        <v>308</v>
      </c>
      <c r="D67" s="25" t="s">
        <v>308</v>
      </c>
      <c r="E67" s="25" t="s">
        <v>308</v>
      </c>
      <c r="F67" s="25" t="s">
        <v>308</v>
      </c>
      <c r="G67" s="25" t="s">
        <v>308</v>
      </c>
      <c r="H67" s="25" t="s">
        <v>308</v>
      </c>
      <c r="I67" s="25" t="s">
        <v>308</v>
      </c>
      <c r="J67" s="25" t="s">
        <v>308</v>
      </c>
      <c r="K67" s="8"/>
      <c r="L67" s="10"/>
      <c r="M67" s="8"/>
      <c r="N67" s="8" t="s">
        <v>687</v>
      </c>
      <c r="O67" s="26">
        <v>0</v>
      </c>
      <c r="P67" s="25" t="s">
        <v>308</v>
      </c>
      <c r="Q67" s="25" t="s">
        <v>308</v>
      </c>
      <c r="R67" s="25" t="s">
        <v>308</v>
      </c>
      <c r="S67" s="8"/>
      <c r="T67" s="10"/>
      <c r="U67" s="8"/>
      <c r="V67" s="8"/>
      <c r="W67" s="8" t="s">
        <v>103</v>
      </c>
      <c r="X67" s="23">
        <v>1</v>
      </c>
      <c r="Y67" s="23">
        <v>1</v>
      </c>
      <c r="Z67" s="8"/>
    </row>
    <row r="68" spans="1:26" x14ac:dyDescent="0.55000000000000004">
      <c r="A68" s="8" t="s">
        <v>691</v>
      </c>
      <c r="B68" s="25" t="s">
        <v>308</v>
      </c>
      <c r="C68" s="25" t="s">
        <v>308</v>
      </c>
      <c r="D68" s="25" t="s">
        <v>308</v>
      </c>
      <c r="E68" s="25" t="s">
        <v>308</v>
      </c>
      <c r="F68" s="25" t="s">
        <v>308</v>
      </c>
      <c r="G68" s="25" t="s">
        <v>308</v>
      </c>
      <c r="H68" s="25" t="s">
        <v>308</v>
      </c>
      <c r="I68" s="25" t="s">
        <v>308</v>
      </c>
      <c r="J68" s="25" t="s">
        <v>308</v>
      </c>
      <c r="K68" s="8"/>
      <c r="L68" s="10"/>
      <c r="M68" s="8"/>
      <c r="N68" s="8" t="s">
        <v>690</v>
      </c>
      <c r="O68" s="26">
        <v>0</v>
      </c>
      <c r="P68" s="25" t="s">
        <v>308</v>
      </c>
      <c r="Q68" s="25" t="s">
        <v>308</v>
      </c>
      <c r="R68" s="25" t="s">
        <v>308</v>
      </c>
      <c r="S68" s="8"/>
      <c r="T68" s="10"/>
      <c r="U68" s="8"/>
      <c r="V68" s="8"/>
      <c r="W68" s="8" t="s">
        <v>109</v>
      </c>
      <c r="X68" s="23">
        <v>1</v>
      </c>
      <c r="Y68" s="23">
        <v>1</v>
      </c>
      <c r="Z68" s="8"/>
    </row>
    <row r="69" spans="1:26" x14ac:dyDescent="0.55000000000000004">
      <c r="A69" s="8" t="s">
        <v>186</v>
      </c>
      <c r="B69" s="25" t="s">
        <v>308</v>
      </c>
      <c r="C69" s="25" t="s">
        <v>308</v>
      </c>
      <c r="D69" s="25" t="s">
        <v>308</v>
      </c>
      <c r="E69" s="25" t="s">
        <v>308</v>
      </c>
      <c r="F69" s="25" t="s">
        <v>308</v>
      </c>
      <c r="G69" s="25" t="s">
        <v>308</v>
      </c>
      <c r="H69" s="25" t="s">
        <v>308</v>
      </c>
      <c r="I69" s="25" t="s">
        <v>308</v>
      </c>
      <c r="J69" s="25" t="s">
        <v>308</v>
      </c>
      <c r="K69" s="8"/>
      <c r="L69" s="10"/>
      <c r="M69" s="8"/>
      <c r="N69" s="8" t="s">
        <v>185</v>
      </c>
      <c r="O69" s="26">
        <v>0</v>
      </c>
      <c r="P69" s="25" t="s">
        <v>308</v>
      </c>
      <c r="Q69" s="25" t="s">
        <v>308</v>
      </c>
      <c r="R69" s="25" t="s">
        <v>308</v>
      </c>
      <c r="S69" s="8"/>
      <c r="T69" s="10"/>
      <c r="U69" s="8"/>
      <c r="V69" s="8"/>
      <c r="W69" s="8" t="s">
        <v>113</v>
      </c>
      <c r="X69" s="23">
        <v>1</v>
      </c>
      <c r="Y69" s="23">
        <v>1</v>
      </c>
      <c r="Z69" s="8"/>
    </row>
    <row r="70" spans="1:26" x14ac:dyDescent="0.55000000000000004">
      <c r="A70" s="8" t="s">
        <v>188</v>
      </c>
      <c r="B70" s="25" t="s">
        <v>308</v>
      </c>
      <c r="C70" s="25" t="s">
        <v>308</v>
      </c>
      <c r="D70" s="25" t="s">
        <v>308</v>
      </c>
      <c r="E70" s="25" t="s">
        <v>308</v>
      </c>
      <c r="F70" s="25" t="s">
        <v>308</v>
      </c>
      <c r="G70" s="25" t="s">
        <v>308</v>
      </c>
      <c r="H70" s="25" t="s">
        <v>308</v>
      </c>
      <c r="I70" s="25" t="s">
        <v>308</v>
      </c>
      <c r="J70" s="25" t="s">
        <v>308</v>
      </c>
      <c r="K70" s="8"/>
      <c r="L70" s="10"/>
      <c r="M70" s="8"/>
      <c r="N70" s="8" t="s">
        <v>187</v>
      </c>
      <c r="O70" s="26">
        <v>0</v>
      </c>
      <c r="P70" s="25" t="s">
        <v>308</v>
      </c>
      <c r="Q70" s="25" t="s">
        <v>308</v>
      </c>
      <c r="R70" s="25" t="s">
        <v>308</v>
      </c>
      <c r="S70" s="8"/>
      <c r="T70" s="10"/>
      <c r="U70" s="8"/>
      <c r="V70" s="8"/>
      <c r="W70" s="8" t="s">
        <v>607</v>
      </c>
      <c r="X70" s="23">
        <v>1</v>
      </c>
      <c r="Y70" s="23">
        <v>1</v>
      </c>
      <c r="Z70" s="8"/>
    </row>
    <row r="71" spans="1:26" x14ac:dyDescent="0.55000000000000004">
      <c r="A71" s="8" t="s">
        <v>190</v>
      </c>
      <c r="B71" s="25" t="s">
        <v>308</v>
      </c>
      <c r="C71" s="25" t="s">
        <v>308</v>
      </c>
      <c r="D71" s="25" t="s">
        <v>308</v>
      </c>
      <c r="E71" s="25" t="s">
        <v>308</v>
      </c>
      <c r="F71" s="25" t="s">
        <v>308</v>
      </c>
      <c r="G71" s="25" t="s">
        <v>308</v>
      </c>
      <c r="H71" s="25" t="s">
        <v>308</v>
      </c>
      <c r="I71" s="25" t="s">
        <v>308</v>
      </c>
      <c r="J71" s="25" t="s">
        <v>308</v>
      </c>
      <c r="K71" s="8"/>
      <c r="L71" s="10"/>
      <c r="M71" s="8"/>
      <c r="N71" s="8" t="s">
        <v>189</v>
      </c>
      <c r="O71" s="26">
        <v>0</v>
      </c>
      <c r="P71" s="25" t="s">
        <v>308</v>
      </c>
      <c r="Q71" s="25" t="s">
        <v>308</v>
      </c>
      <c r="R71" s="25" t="s">
        <v>308</v>
      </c>
      <c r="S71" s="8"/>
      <c r="T71" s="10"/>
      <c r="U71" s="8"/>
      <c r="V71" s="8"/>
      <c r="W71" s="8" t="s">
        <v>612</v>
      </c>
      <c r="X71" s="23">
        <v>1</v>
      </c>
      <c r="Y71" s="23">
        <v>1</v>
      </c>
      <c r="Z71" s="8"/>
    </row>
    <row r="72" spans="1:26" x14ac:dyDescent="0.55000000000000004">
      <c r="A72" s="8" t="s">
        <v>697</v>
      </c>
      <c r="B72" s="25" t="s">
        <v>308</v>
      </c>
      <c r="C72" s="25" t="s">
        <v>308</v>
      </c>
      <c r="D72" s="25" t="s">
        <v>308</v>
      </c>
      <c r="E72" s="25" t="s">
        <v>308</v>
      </c>
      <c r="F72" s="25" t="s">
        <v>308</v>
      </c>
      <c r="G72" s="25" t="s">
        <v>308</v>
      </c>
      <c r="H72" s="25" t="s">
        <v>308</v>
      </c>
      <c r="I72" s="25" t="s">
        <v>308</v>
      </c>
      <c r="J72" s="25" t="s">
        <v>308</v>
      </c>
      <c r="K72" s="8"/>
      <c r="L72" s="10"/>
      <c r="M72" s="8"/>
      <c r="N72" s="8" t="s">
        <v>696</v>
      </c>
      <c r="O72" s="26">
        <v>0</v>
      </c>
      <c r="P72" s="25" t="s">
        <v>308</v>
      </c>
      <c r="Q72" s="25" t="s">
        <v>308</v>
      </c>
      <c r="R72" s="25" t="s">
        <v>308</v>
      </c>
      <c r="S72" s="8"/>
      <c r="T72" s="10"/>
      <c r="U72" s="8"/>
      <c r="V72" s="8"/>
      <c r="W72" s="8" t="s">
        <v>617</v>
      </c>
      <c r="X72" s="23">
        <v>1</v>
      </c>
      <c r="Y72" s="23">
        <v>1</v>
      </c>
      <c r="Z72" s="8"/>
    </row>
    <row r="73" spans="1:26" x14ac:dyDescent="0.55000000000000004">
      <c r="A73" s="8" t="s">
        <v>192</v>
      </c>
      <c r="B73" s="25" t="s">
        <v>308</v>
      </c>
      <c r="C73" s="25" t="s">
        <v>308</v>
      </c>
      <c r="D73" s="25" t="s">
        <v>308</v>
      </c>
      <c r="E73" s="25" t="s">
        <v>308</v>
      </c>
      <c r="F73" s="25" t="s">
        <v>308</v>
      </c>
      <c r="G73" s="25" t="s">
        <v>308</v>
      </c>
      <c r="H73" s="25" t="s">
        <v>308</v>
      </c>
      <c r="I73" s="25" t="s">
        <v>308</v>
      </c>
      <c r="J73" s="25" t="s">
        <v>308</v>
      </c>
      <c r="K73" s="8"/>
      <c r="L73" s="10"/>
      <c r="M73" s="8"/>
      <c r="N73" s="8" t="s">
        <v>191</v>
      </c>
      <c r="O73" s="26">
        <v>0</v>
      </c>
      <c r="P73" s="25" t="s">
        <v>308</v>
      </c>
      <c r="Q73" s="25" t="s">
        <v>308</v>
      </c>
      <c r="R73" s="25" t="s">
        <v>308</v>
      </c>
      <c r="S73" s="8"/>
      <c r="T73" s="10"/>
      <c r="U73" s="8"/>
      <c r="V73" s="8"/>
      <c r="W73" s="8" t="s">
        <v>620</v>
      </c>
      <c r="X73" s="23">
        <v>1</v>
      </c>
      <c r="Y73" s="23">
        <v>1</v>
      </c>
      <c r="Z73" s="8"/>
    </row>
    <row r="74" spans="1:26" x14ac:dyDescent="0.55000000000000004">
      <c r="A74" s="8" t="s">
        <v>701</v>
      </c>
      <c r="B74" s="25" t="s">
        <v>308</v>
      </c>
      <c r="C74" s="25" t="s">
        <v>308</v>
      </c>
      <c r="D74" s="25" t="s">
        <v>308</v>
      </c>
      <c r="E74" s="25" t="s">
        <v>308</v>
      </c>
      <c r="F74" s="25" t="s">
        <v>308</v>
      </c>
      <c r="G74" s="25" t="s">
        <v>308</v>
      </c>
      <c r="H74" s="25" t="s">
        <v>308</v>
      </c>
      <c r="I74" s="25" t="s">
        <v>308</v>
      </c>
      <c r="J74" s="25" t="s">
        <v>308</v>
      </c>
      <c r="K74" s="8"/>
      <c r="L74" s="10"/>
      <c r="M74" s="8"/>
      <c r="N74" s="8" t="s">
        <v>700</v>
      </c>
      <c r="O74" s="26">
        <v>0</v>
      </c>
      <c r="P74" s="25" t="s">
        <v>308</v>
      </c>
      <c r="Q74" s="25" t="s">
        <v>308</v>
      </c>
      <c r="R74" s="25" t="s">
        <v>308</v>
      </c>
      <c r="S74" s="8"/>
      <c r="T74" s="10"/>
      <c r="U74" s="8"/>
      <c r="V74" s="8"/>
      <c r="W74" s="8" t="s">
        <v>623</v>
      </c>
      <c r="X74" s="23">
        <v>1</v>
      </c>
      <c r="Y74" s="23">
        <v>1</v>
      </c>
      <c r="Z74" s="8"/>
    </row>
    <row r="75" spans="1:26" x14ac:dyDescent="0.55000000000000004">
      <c r="A75" s="8" t="s">
        <v>195</v>
      </c>
      <c r="B75" s="25" t="s">
        <v>308</v>
      </c>
      <c r="C75" s="25" t="s">
        <v>308</v>
      </c>
      <c r="D75" s="25" t="s">
        <v>308</v>
      </c>
      <c r="E75" s="25" t="s">
        <v>308</v>
      </c>
      <c r="F75" s="25" t="s">
        <v>308</v>
      </c>
      <c r="G75" s="25" t="s">
        <v>308</v>
      </c>
      <c r="H75" s="25" t="s">
        <v>308</v>
      </c>
      <c r="I75" s="25" t="s">
        <v>308</v>
      </c>
      <c r="J75" s="25" t="s">
        <v>308</v>
      </c>
      <c r="K75" s="8"/>
      <c r="L75" s="10"/>
      <c r="M75" s="8"/>
      <c r="N75" s="8" t="s">
        <v>194</v>
      </c>
      <c r="O75" s="26">
        <v>0</v>
      </c>
      <c r="P75" s="25" t="s">
        <v>308</v>
      </c>
      <c r="Q75" s="25" t="s">
        <v>308</v>
      </c>
      <c r="R75" s="25" t="s">
        <v>308</v>
      </c>
      <c r="S75" s="8"/>
      <c r="T75" s="10"/>
      <c r="U75" s="8"/>
      <c r="V75" s="8"/>
      <c r="W75" s="8"/>
      <c r="X75" s="8"/>
      <c r="Y75" s="8"/>
      <c r="Z75" s="8"/>
    </row>
    <row r="76" spans="1:26" x14ac:dyDescent="0.55000000000000004">
      <c r="A76" s="8" t="s">
        <v>197</v>
      </c>
      <c r="B76" s="25" t="s">
        <v>308</v>
      </c>
      <c r="C76" s="25" t="s">
        <v>308</v>
      </c>
      <c r="D76" s="25" t="s">
        <v>308</v>
      </c>
      <c r="E76" s="25" t="s">
        <v>308</v>
      </c>
      <c r="F76" s="25" t="s">
        <v>308</v>
      </c>
      <c r="G76" s="25" t="s">
        <v>308</v>
      </c>
      <c r="H76" s="25" t="s">
        <v>308</v>
      </c>
      <c r="I76" s="25" t="s">
        <v>308</v>
      </c>
      <c r="J76" s="25" t="s">
        <v>308</v>
      </c>
      <c r="K76" s="8"/>
      <c r="L76" s="10"/>
      <c r="M76" s="8"/>
      <c r="N76" s="8" t="s">
        <v>196</v>
      </c>
      <c r="O76" s="26">
        <v>0</v>
      </c>
      <c r="P76" s="25" t="s">
        <v>308</v>
      </c>
      <c r="Q76" s="25" t="s">
        <v>308</v>
      </c>
      <c r="R76" s="25" t="s">
        <v>308</v>
      </c>
      <c r="S76" s="8"/>
      <c r="T76" s="10"/>
      <c r="U76" s="10"/>
      <c r="V76" s="11" t="s">
        <v>240</v>
      </c>
      <c r="W76" s="10"/>
      <c r="X76" s="10"/>
      <c r="Y76" s="10"/>
      <c r="Z76" s="10"/>
    </row>
    <row r="77" spans="1:26" x14ac:dyDescent="0.55000000000000004">
      <c r="A77" s="8" t="s">
        <v>706</v>
      </c>
      <c r="B77" s="25" t="s">
        <v>308</v>
      </c>
      <c r="C77" s="25" t="s">
        <v>308</v>
      </c>
      <c r="D77" s="25" t="s">
        <v>308</v>
      </c>
      <c r="E77" s="25" t="s">
        <v>308</v>
      </c>
      <c r="F77" s="25" t="s">
        <v>308</v>
      </c>
      <c r="G77" s="25" t="s">
        <v>308</v>
      </c>
      <c r="H77" s="25" t="s">
        <v>308</v>
      </c>
      <c r="I77" s="25" t="s">
        <v>308</v>
      </c>
      <c r="J77" s="25" t="s">
        <v>308</v>
      </c>
      <c r="K77" s="8"/>
      <c r="L77" s="10"/>
      <c r="M77" s="8"/>
      <c r="N77" s="8" t="s">
        <v>705</v>
      </c>
      <c r="O77" s="26">
        <v>0</v>
      </c>
      <c r="P77" s="25" t="s">
        <v>308</v>
      </c>
      <c r="Q77" s="25" t="s">
        <v>308</v>
      </c>
      <c r="R77" s="25" t="s">
        <v>308</v>
      </c>
      <c r="S77" s="8"/>
      <c r="T77" s="10"/>
      <c r="U77" s="8"/>
      <c r="V77" s="8" t="s">
        <v>337</v>
      </c>
      <c r="W77" s="8" t="s">
        <v>322</v>
      </c>
      <c r="X77" s="8">
        <f>SUMIF(Main!G4:O4,Y1,Main!G5:O5)</f>
        <v>2</v>
      </c>
      <c r="Y77" s="8"/>
      <c r="Z77" s="8"/>
    </row>
    <row r="78" spans="1:26" x14ac:dyDescent="0.55000000000000004">
      <c r="A78" s="8" t="s">
        <v>199</v>
      </c>
      <c r="B78" s="25" t="s">
        <v>308</v>
      </c>
      <c r="C78" s="25" t="s">
        <v>308</v>
      </c>
      <c r="D78" s="25" t="s">
        <v>308</v>
      </c>
      <c r="E78" s="25" t="s">
        <v>308</v>
      </c>
      <c r="F78" s="25" t="s">
        <v>308</v>
      </c>
      <c r="G78" s="25" t="s">
        <v>308</v>
      </c>
      <c r="H78" s="25" t="s">
        <v>308</v>
      </c>
      <c r="I78" s="25" t="s">
        <v>308</v>
      </c>
      <c r="J78" s="25" t="s">
        <v>308</v>
      </c>
      <c r="K78" s="8"/>
      <c r="L78" s="10"/>
      <c r="M78" s="8"/>
      <c r="N78" s="8" t="s">
        <v>198</v>
      </c>
      <c r="O78" s="26">
        <v>0</v>
      </c>
      <c r="P78" s="25" t="s">
        <v>308</v>
      </c>
      <c r="Q78" s="25" t="s">
        <v>308</v>
      </c>
      <c r="R78" s="25" t="s">
        <v>308</v>
      </c>
      <c r="S78" s="8"/>
      <c r="T78" s="10"/>
      <c r="U78" s="8"/>
      <c r="V78" s="8" t="s">
        <v>338</v>
      </c>
      <c r="W78" s="8" t="s">
        <v>83</v>
      </c>
      <c r="X78" s="8">
        <f>SUMIF(Main!G4:O4,Y1,Main!G6:O6)</f>
        <v>3</v>
      </c>
      <c r="Y78" s="8"/>
      <c r="Z78" s="8"/>
    </row>
    <row r="79" spans="1:26" x14ac:dyDescent="0.55000000000000004">
      <c r="A79" s="8" t="s">
        <v>710</v>
      </c>
      <c r="B79" s="25" t="s">
        <v>308</v>
      </c>
      <c r="C79" s="25" t="s">
        <v>308</v>
      </c>
      <c r="D79" s="25" t="s">
        <v>308</v>
      </c>
      <c r="E79" s="25" t="s">
        <v>308</v>
      </c>
      <c r="F79" s="25" t="s">
        <v>308</v>
      </c>
      <c r="G79" s="25" t="s">
        <v>308</v>
      </c>
      <c r="H79" s="25" t="s">
        <v>308</v>
      </c>
      <c r="I79" s="25" t="s">
        <v>308</v>
      </c>
      <c r="J79" s="25" t="s">
        <v>308</v>
      </c>
      <c r="K79" s="8"/>
      <c r="L79" s="10"/>
      <c r="M79" s="8"/>
      <c r="N79" s="8" t="s">
        <v>709</v>
      </c>
      <c r="O79" s="26">
        <v>0</v>
      </c>
      <c r="P79" s="25" t="s">
        <v>308</v>
      </c>
      <c r="Q79" s="25" t="s">
        <v>308</v>
      </c>
      <c r="R79" s="25" t="s">
        <v>308</v>
      </c>
      <c r="S79" s="8"/>
      <c r="T79" s="10"/>
      <c r="U79" s="8"/>
      <c r="V79" s="8" t="s">
        <v>339</v>
      </c>
      <c r="W79" s="8" t="s">
        <v>32</v>
      </c>
      <c r="X79" s="8">
        <f>SUMIF(Main!G4:O4,Y1,Main!G7:O7)</f>
        <v>1</v>
      </c>
      <c r="Y79" s="8"/>
      <c r="Z79" s="8"/>
    </row>
    <row r="80" spans="1:26" x14ac:dyDescent="0.55000000000000004">
      <c r="A80" s="8" t="s">
        <v>713</v>
      </c>
      <c r="B80" s="25" t="s">
        <v>308</v>
      </c>
      <c r="C80" s="25" t="s">
        <v>308</v>
      </c>
      <c r="D80" s="25" t="s">
        <v>308</v>
      </c>
      <c r="E80" s="25" t="s">
        <v>308</v>
      </c>
      <c r="F80" s="25" t="s">
        <v>308</v>
      </c>
      <c r="G80" s="25" t="s">
        <v>308</v>
      </c>
      <c r="H80" s="25" t="s">
        <v>308</v>
      </c>
      <c r="I80" s="25" t="s">
        <v>308</v>
      </c>
      <c r="J80" s="25" t="s">
        <v>308</v>
      </c>
      <c r="K80" s="8"/>
      <c r="L80" s="10"/>
      <c r="M80" s="8"/>
      <c r="N80" s="8" t="s">
        <v>712</v>
      </c>
      <c r="O80" s="26">
        <v>0</v>
      </c>
      <c r="P80" s="25" t="s">
        <v>308</v>
      </c>
      <c r="Q80" s="25" t="s">
        <v>308</v>
      </c>
      <c r="R80" s="25" t="s">
        <v>308</v>
      </c>
      <c r="S80" s="8"/>
      <c r="T80" s="10"/>
      <c r="U80" s="8"/>
      <c r="V80" s="8" t="s">
        <v>340</v>
      </c>
      <c r="W80" s="8" t="s">
        <v>99</v>
      </c>
      <c r="X80" s="8">
        <f>SUMIF(Main!G4:O4,Y1,Main!G8:O8)</f>
        <v>1</v>
      </c>
      <c r="Y80" s="8"/>
      <c r="Z80" s="8"/>
    </row>
    <row r="81" spans="1:26" x14ac:dyDescent="0.55000000000000004">
      <c r="A81" s="8" t="s">
        <v>716</v>
      </c>
      <c r="B81" s="25" t="s">
        <v>308</v>
      </c>
      <c r="C81" s="25" t="s">
        <v>308</v>
      </c>
      <c r="D81" s="25" t="s">
        <v>308</v>
      </c>
      <c r="E81" s="25" t="s">
        <v>308</v>
      </c>
      <c r="F81" s="25" t="s">
        <v>308</v>
      </c>
      <c r="G81" s="25" t="s">
        <v>308</v>
      </c>
      <c r="H81" s="25" t="s">
        <v>308</v>
      </c>
      <c r="I81" s="25" t="s">
        <v>308</v>
      </c>
      <c r="J81" s="25" t="s">
        <v>308</v>
      </c>
      <c r="K81" s="8"/>
      <c r="L81" s="10"/>
      <c r="M81" s="8"/>
      <c r="N81" s="8" t="s">
        <v>715</v>
      </c>
      <c r="O81" s="26">
        <v>0</v>
      </c>
      <c r="P81" s="25" t="s">
        <v>308</v>
      </c>
      <c r="Q81" s="25" t="s">
        <v>308</v>
      </c>
      <c r="R81" s="25" t="s">
        <v>308</v>
      </c>
      <c r="S81" s="8"/>
      <c r="T81" s="10"/>
      <c r="U81" s="8"/>
      <c r="V81" s="8"/>
      <c r="W81" s="8"/>
      <c r="X81" s="8"/>
      <c r="Y81" s="8"/>
      <c r="Z81" s="8"/>
    </row>
    <row r="82" spans="1:26" x14ac:dyDescent="0.55000000000000004">
      <c r="A82" s="8" t="s">
        <v>719</v>
      </c>
      <c r="B82" s="25" t="s">
        <v>308</v>
      </c>
      <c r="C82" s="25" t="s">
        <v>308</v>
      </c>
      <c r="D82" s="25" t="s">
        <v>308</v>
      </c>
      <c r="E82" s="25" t="s">
        <v>308</v>
      </c>
      <c r="F82" s="25" t="s">
        <v>308</v>
      </c>
      <c r="G82" s="25" t="s">
        <v>308</v>
      </c>
      <c r="H82" s="25" t="s">
        <v>308</v>
      </c>
      <c r="I82" s="25" t="s">
        <v>308</v>
      </c>
      <c r="J82" s="25" t="s">
        <v>308</v>
      </c>
      <c r="K82" s="8"/>
      <c r="L82" s="10"/>
      <c r="M82" s="8"/>
      <c r="N82" s="8" t="s">
        <v>718</v>
      </c>
      <c r="O82" s="26">
        <v>0</v>
      </c>
      <c r="P82" s="25" t="s">
        <v>308</v>
      </c>
      <c r="Q82" s="25" t="s">
        <v>308</v>
      </c>
      <c r="R82" s="25" t="s">
        <v>308</v>
      </c>
      <c r="S82" s="8"/>
      <c r="T82" s="10"/>
      <c r="U82" s="10"/>
      <c r="V82" s="11" t="s">
        <v>249</v>
      </c>
      <c r="W82" s="10"/>
      <c r="X82" s="10"/>
      <c r="Y82" s="10"/>
      <c r="Z82" s="10"/>
    </row>
    <row r="83" spans="1:26" x14ac:dyDescent="0.55000000000000004">
      <c r="A83" s="8" t="s">
        <v>722</v>
      </c>
      <c r="B83" s="25" t="s">
        <v>308</v>
      </c>
      <c r="C83" s="25" t="s">
        <v>308</v>
      </c>
      <c r="D83" s="25" t="s">
        <v>308</v>
      </c>
      <c r="E83" s="25" t="s">
        <v>308</v>
      </c>
      <c r="F83" s="25" t="s">
        <v>308</v>
      </c>
      <c r="G83" s="25" t="s">
        <v>308</v>
      </c>
      <c r="H83" s="25" t="s">
        <v>308</v>
      </c>
      <c r="I83" s="25" t="s">
        <v>308</v>
      </c>
      <c r="J83" s="25" t="s">
        <v>308</v>
      </c>
      <c r="K83" s="8"/>
      <c r="L83" s="10"/>
      <c r="M83" s="8"/>
      <c r="N83" s="8" t="s">
        <v>721</v>
      </c>
      <c r="O83" s="26">
        <v>0</v>
      </c>
      <c r="P83" s="25" t="s">
        <v>308</v>
      </c>
      <c r="Q83" s="25" t="s">
        <v>308</v>
      </c>
      <c r="R83" s="25" t="s">
        <v>308</v>
      </c>
      <c r="S83" s="8"/>
      <c r="T83" s="10"/>
      <c r="U83" s="8"/>
      <c r="V83" s="8" t="s">
        <v>323</v>
      </c>
      <c r="W83" s="8" t="s">
        <v>12</v>
      </c>
      <c r="X83" s="8">
        <f>SUMIF(Main!G11:O11,'S2'!Y1,Main!G12:O12)</f>
        <v>3</v>
      </c>
      <c r="Y83" s="8"/>
      <c r="Z83" s="8"/>
    </row>
    <row r="84" spans="1:26" x14ac:dyDescent="0.55000000000000004">
      <c r="A84" s="8" t="s">
        <v>725</v>
      </c>
      <c r="B84" s="25" t="s">
        <v>308</v>
      </c>
      <c r="C84" s="25" t="s">
        <v>308</v>
      </c>
      <c r="D84" s="25" t="s">
        <v>308</v>
      </c>
      <c r="E84" s="25" t="s">
        <v>308</v>
      </c>
      <c r="F84" s="25" t="s">
        <v>308</v>
      </c>
      <c r="G84" s="25" t="s">
        <v>308</v>
      </c>
      <c r="H84" s="25" t="s">
        <v>308</v>
      </c>
      <c r="I84" s="25" t="s">
        <v>308</v>
      </c>
      <c r="J84" s="25" t="s">
        <v>308</v>
      </c>
      <c r="K84" s="8"/>
      <c r="L84" s="10"/>
      <c r="M84" s="8"/>
      <c r="N84" s="8" t="s">
        <v>724</v>
      </c>
      <c r="O84" s="26">
        <v>0</v>
      </c>
      <c r="P84" s="25" t="s">
        <v>308</v>
      </c>
      <c r="Q84" s="25" t="s">
        <v>308</v>
      </c>
      <c r="R84" s="25" t="s">
        <v>308</v>
      </c>
      <c r="S84" s="8"/>
      <c r="T84" s="10"/>
      <c r="U84" s="8"/>
      <c r="V84" s="8"/>
      <c r="W84" s="8" t="s">
        <v>20</v>
      </c>
      <c r="X84" s="8">
        <f>SUMIF(Main!G11:O11,'S2'!Y1,Main!G13:O13)</f>
        <v>3</v>
      </c>
      <c r="Y84" s="8"/>
      <c r="Z84" s="8"/>
    </row>
    <row r="85" spans="1:26" x14ac:dyDescent="0.55000000000000004">
      <c r="A85" s="8" t="s">
        <v>728</v>
      </c>
      <c r="B85" s="25" t="s">
        <v>308</v>
      </c>
      <c r="C85" s="25" t="s">
        <v>308</v>
      </c>
      <c r="D85" s="25" t="s">
        <v>308</v>
      </c>
      <c r="E85" s="25" t="s">
        <v>308</v>
      </c>
      <c r="F85" s="25" t="s">
        <v>308</v>
      </c>
      <c r="G85" s="25" t="s">
        <v>308</v>
      </c>
      <c r="H85" s="25" t="s">
        <v>308</v>
      </c>
      <c r="I85" s="25" t="s">
        <v>308</v>
      </c>
      <c r="J85" s="25" t="s">
        <v>308</v>
      </c>
      <c r="K85" s="8"/>
      <c r="L85" s="10"/>
      <c r="M85" s="8"/>
      <c r="N85" s="8" t="s">
        <v>727</v>
      </c>
      <c r="O85" s="26">
        <v>0</v>
      </c>
      <c r="P85" s="25" t="s">
        <v>308</v>
      </c>
      <c r="Q85" s="25" t="s">
        <v>308</v>
      </c>
      <c r="R85" s="25" t="s">
        <v>308</v>
      </c>
      <c r="S85" s="8"/>
      <c r="T85" s="10"/>
      <c r="U85" s="8"/>
      <c r="V85" s="8"/>
      <c r="W85" s="8" t="s">
        <v>28</v>
      </c>
      <c r="X85" s="8">
        <f>SUMIF(Main!G11:O11,'S2'!Y1,Main!G14:O14)</f>
        <v>1</v>
      </c>
      <c r="Y85" s="8"/>
      <c r="Z85" s="8"/>
    </row>
    <row r="86" spans="1:26" x14ac:dyDescent="0.55000000000000004">
      <c r="A86" s="8" t="s">
        <v>731</v>
      </c>
      <c r="B86" s="25" t="s">
        <v>308</v>
      </c>
      <c r="C86" s="25" t="s">
        <v>308</v>
      </c>
      <c r="D86" s="25" t="s">
        <v>308</v>
      </c>
      <c r="E86" s="25" t="s">
        <v>308</v>
      </c>
      <c r="F86" s="25" t="s">
        <v>308</v>
      </c>
      <c r="G86" s="25" t="s">
        <v>308</v>
      </c>
      <c r="H86" s="25" t="s">
        <v>308</v>
      </c>
      <c r="I86" s="25" t="s">
        <v>308</v>
      </c>
      <c r="J86" s="25" t="s">
        <v>308</v>
      </c>
      <c r="K86" s="8"/>
      <c r="L86" s="10"/>
      <c r="M86" s="8"/>
      <c r="N86" s="8" t="s">
        <v>730</v>
      </c>
      <c r="O86" s="26">
        <v>0</v>
      </c>
      <c r="P86" s="25" t="s">
        <v>308</v>
      </c>
      <c r="Q86" s="25" t="s">
        <v>308</v>
      </c>
      <c r="R86" s="25" t="s">
        <v>308</v>
      </c>
      <c r="S86" s="8"/>
      <c r="T86" s="10"/>
      <c r="U86" s="8"/>
      <c r="V86" s="8"/>
      <c r="W86" s="8" t="s">
        <v>36</v>
      </c>
      <c r="X86" s="8">
        <f>SUMIF(Main!G11:O11,'S2'!Y1,Main!G15:O15)</f>
        <v>1</v>
      </c>
      <c r="Y86" s="8"/>
      <c r="Z86" s="8"/>
    </row>
    <row r="87" spans="1:26" x14ac:dyDescent="0.55000000000000004">
      <c r="A87" s="8" t="s">
        <v>734</v>
      </c>
      <c r="B87" s="25" t="s">
        <v>308</v>
      </c>
      <c r="C87" s="25" t="s">
        <v>308</v>
      </c>
      <c r="D87" s="25" t="s">
        <v>308</v>
      </c>
      <c r="E87" s="25" t="s">
        <v>308</v>
      </c>
      <c r="F87" s="25" t="s">
        <v>308</v>
      </c>
      <c r="G87" s="25" t="s">
        <v>308</v>
      </c>
      <c r="H87" s="25" t="s">
        <v>308</v>
      </c>
      <c r="I87" s="25" t="s">
        <v>308</v>
      </c>
      <c r="J87" s="25" t="s">
        <v>308</v>
      </c>
      <c r="K87" s="8"/>
      <c r="L87" s="10"/>
      <c r="M87" s="8"/>
      <c r="N87" s="8" t="s">
        <v>733</v>
      </c>
      <c r="O87" s="26">
        <v>0</v>
      </c>
      <c r="P87" s="25" t="s">
        <v>308</v>
      </c>
      <c r="Q87" s="25" t="s">
        <v>308</v>
      </c>
      <c r="R87" s="25" t="s">
        <v>308</v>
      </c>
      <c r="S87" s="8"/>
      <c r="T87" s="10"/>
      <c r="U87" s="8"/>
      <c r="V87" s="8"/>
      <c r="W87" s="8" t="s">
        <v>44</v>
      </c>
      <c r="X87" s="8">
        <f>SUMIF(Main!G11:O11,'S2'!Y1,Main!G16:O16)</f>
        <v>3</v>
      </c>
      <c r="Y87" s="8"/>
      <c r="Z87" s="8"/>
    </row>
    <row r="88" spans="1:26" x14ac:dyDescent="0.55000000000000004">
      <c r="A88" s="8" t="s">
        <v>202</v>
      </c>
      <c r="B88" s="25" t="s">
        <v>308</v>
      </c>
      <c r="C88" s="25" t="s">
        <v>308</v>
      </c>
      <c r="D88" s="25" t="s">
        <v>308</v>
      </c>
      <c r="E88" s="25" t="s">
        <v>308</v>
      </c>
      <c r="F88" s="25" t="s">
        <v>308</v>
      </c>
      <c r="G88" s="25" t="s">
        <v>308</v>
      </c>
      <c r="H88" s="25" t="s">
        <v>308</v>
      </c>
      <c r="I88" s="25" t="s">
        <v>308</v>
      </c>
      <c r="J88" s="25" t="s">
        <v>308</v>
      </c>
      <c r="K88" s="8"/>
      <c r="L88" s="10"/>
      <c r="M88" s="8"/>
      <c r="N88" s="8" t="s">
        <v>201</v>
      </c>
      <c r="O88" s="26">
        <v>0</v>
      </c>
      <c r="P88" s="25" t="s">
        <v>308</v>
      </c>
      <c r="Q88" s="25" t="s">
        <v>308</v>
      </c>
      <c r="R88" s="25" t="s">
        <v>308</v>
      </c>
      <c r="S88" s="8"/>
      <c r="T88" s="10"/>
      <c r="U88" s="8"/>
      <c r="V88" s="8"/>
      <c r="W88" s="8" t="s">
        <v>49</v>
      </c>
      <c r="X88" s="8">
        <f>SUMIF(Main!G11:O11,'S2'!Y1,Main!G17:O17)</f>
        <v>3</v>
      </c>
      <c r="Y88" s="8"/>
      <c r="Z88" s="8"/>
    </row>
    <row r="89" spans="1:26" x14ac:dyDescent="0.55000000000000004">
      <c r="A89" s="8" t="s">
        <v>738</v>
      </c>
      <c r="B89" s="25" t="s">
        <v>308</v>
      </c>
      <c r="C89" s="25" t="s">
        <v>308</v>
      </c>
      <c r="D89" s="25" t="s">
        <v>308</v>
      </c>
      <c r="E89" s="25" t="s">
        <v>308</v>
      </c>
      <c r="F89" s="25" t="s">
        <v>308</v>
      </c>
      <c r="G89" s="25" t="s">
        <v>308</v>
      </c>
      <c r="H89" s="25" t="s">
        <v>308</v>
      </c>
      <c r="I89" s="25" t="s">
        <v>308</v>
      </c>
      <c r="J89" s="25" t="s">
        <v>308</v>
      </c>
      <c r="K89" s="8"/>
      <c r="L89" s="10"/>
      <c r="M89" s="8"/>
      <c r="N89" s="8" t="s">
        <v>737</v>
      </c>
      <c r="O89" s="26">
        <v>0</v>
      </c>
      <c r="P89" s="25" t="s">
        <v>308</v>
      </c>
      <c r="Q89" s="25" t="s">
        <v>308</v>
      </c>
      <c r="R89" s="25" t="s">
        <v>308</v>
      </c>
      <c r="S89" s="8"/>
      <c r="T89" s="10"/>
      <c r="U89" s="8"/>
      <c r="V89" s="8"/>
      <c r="W89" s="8" t="s">
        <v>57</v>
      </c>
      <c r="X89" s="8">
        <f>SUMIF(Main!G11:O11,'S2'!Y1,Main!G18:O18)</f>
        <v>1</v>
      </c>
      <c r="Y89" s="8"/>
      <c r="Z89" s="8"/>
    </row>
    <row r="90" spans="1:26" x14ac:dyDescent="0.55000000000000004">
      <c r="A90" s="8" t="s">
        <v>204</v>
      </c>
      <c r="B90" s="25" t="s">
        <v>308</v>
      </c>
      <c r="C90" s="25" t="s">
        <v>308</v>
      </c>
      <c r="D90" s="25" t="s">
        <v>308</v>
      </c>
      <c r="E90" s="25" t="s">
        <v>308</v>
      </c>
      <c r="F90" s="25" t="s">
        <v>308</v>
      </c>
      <c r="G90" s="25" t="s">
        <v>308</v>
      </c>
      <c r="H90" s="25" t="s">
        <v>308</v>
      </c>
      <c r="I90" s="25" t="s">
        <v>308</v>
      </c>
      <c r="J90" s="25" t="s">
        <v>308</v>
      </c>
      <c r="K90" s="8"/>
      <c r="L90" s="10"/>
      <c r="M90" s="8"/>
      <c r="N90" s="8" t="s">
        <v>203</v>
      </c>
      <c r="O90" s="26">
        <v>0</v>
      </c>
      <c r="P90" s="25" t="s">
        <v>308</v>
      </c>
      <c r="Q90" s="25" t="s">
        <v>308</v>
      </c>
      <c r="R90" s="25" t="s">
        <v>308</v>
      </c>
      <c r="S90" s="8"/>
      <c r="T90" s="10"/>
      <c r="U90" s="8"/>
      <c r="V90" s="8"/>
      <c r="W90" s="8" t="s">
        <v>65</v>
      </c>
      <c r="X90" s="8">
        <f>SUMIF(Main!G11:O11,'S2'!Y1,Main!G19:O19)</f>
        <v>1</v>
      </c>
      <c r="Y90" s="8"/>
      <c r="Z90" s="8"/>
    </row>
    <row r="91" spans="1:26" x14ac:dyDescent="0.55000000000000004">
      <c r="A91" s="8" t="s">
        <v>742</v>
      </c>
      <c r="B91" s="25" t="s">
        <v>308</v>
      </c>
      <c r="C91" s="25" t="s">
        <v>308</v>
      </c>
      <c r="D91" s="25" t="s">
        <v>308</v>
      </c>
      <c r="E91" s="25" t="s">
        <v>308</v>
      </c>
      <c r="F91" s="25" t="s">
        <v>308</v>
      </c>
      <c r="G91" s="25" t="s">
        <v>308</v>
      </c>
      <c r="H91" s="25" t="s">
        <v>308</v>
      </c>
      <c r="I91" s="25" t="s">
        <v>308</v>
      </c>
      <c r="J91" s="25" t="s">
        <v>308</v>
      </c>
      <c r="K91" s="8"/>
      <c r="L91" s="10"/>
      <c r="M91" s="8"/>
      <c r="N91" s="8" t="s">
        <v>741</v>
      </c>
      <c r="O91" s="26">
        <v>0</v>
      </c>
      <c r="P91" s="25" t="s">
        <v>308</v>
      </c>
      <c r="Q91" s="25" t="s">
        <v>308</v>
      </c>
      <c r="R91" s="25" t="s">
        <v>308</v>
      </c>
      <c r="S91" s="8"/>
      <c r="T91" s="10"/>
      <c r="U91" s="8"/>
      <c r="V91" s="8"/>
      <c r="W91" s="8" t="s">
        <v>573</v>
      </c>
      <c r="X91" s="8">
        <f>SUMIF(Main!G11:O11,'S2'!Y1,Main!G20:O20)</f>
        <v>3</v>
      </c>
      <c r="Y91" s="8"/>
      <c r="Z91" s="8"/>
    </row>
    <row r="92" spans="1:26" x14ac:dyDescent="0.55000000000000004">
      <c r="A92" s="8" t="s">
        <v>745</v>
      </c>
      <c r="B92" s="25" t="s">
        <v>308</v>
      </c>
      <c r="C92" s="25" t="s">
        <v>308</v>
      </c>
      <c r="D92" s="25" t="s">
        <v>308</v>
      </c>
      <c r="E92" s="25" t="s">
        <v>308</v>
      </c>
      <c r="F92" s="25" t="s">
        <v>308</v>
      </c>
      <c r="G92" s="25" t="s">
        <v>308</v>
      </c>
      <c r="H92" s="25" t="s">
        <v>308</v>
      </c>
      <c r="I92" s="25" t="s">
        <v>308</v>
      </c>
      <c r="J92" s="25" t="s">
        <v>308</v>
      </c>
      <c r="K92" s="8"/>
      <c r="L92" s="10"/>
      <c r="M92" s="8"/>
      <c r="N92" s="8" t="s">
        <v>744</v>
      </c>
      <c r="O92" s="26">
        <v>0</v>
      </c>
      <c r="P92" s="25" t="s">
        <v>308</v>
      </c>
      <c r="Q92" s="25" t="s">
        <v>308</v>
      </c>
      <c r="R92" s="25" t="s">
        <v>308</v>
      </c>
      <c r="S92" s="8"/>
      <c r="T92" s="10"/>
      <c r="U92" s="8"/>
      <c r="V92" s="8"/>
      <c r="W92" s="8" t="s">
        <v>580</v>
      </c>
      <c r="X92" s="8">
        <f>SUMIF(Main!G11:O11,'S2'!Y1,Main!G21:O21)</f>
        <v>3</v>
      </c>
      <c r="Y92" s="8"/>
      <c r="Z92" s="8"/>
    </row>
    <row r="93" spans="1:26" x14ac:dyDescent="0.55000000000000004">
      <c r="A93" s="8" t="s">
        <v>748</v>
      </c>
      <c r="B93" s="25" t="s">
        <v>308</v>
      </c>
      <c r="C93" s="25" t="s">
        <v>308</v>
      </c>
      <c r="D93" s="25" t="s">
        <v>308</v>
      </c>
      <c r="E93" s="25" t="s">
        <v>308</v>
      </c>
      <c r="F93" s="25" t="s">
        <v>308</v>
      </c>
      <c r="G93" s="25" t="s">
        <v>308</v>
      </c>
      <c r="H93" s="25" t="s">
        <v>308</v>
      </c>
      <c r="I93" s="25" t="s">
        <v>308</v>
      </c>
      <c r="J93" s="25" t="s">
        <v>308</v>
      </c>
      <c r="K93" s="8"/>
      <c r="L93" s="10"/>
      <c r="M93" s="8"/>
      <c r="N93" s="8" t="s">
        <v>747</v>
      </c>
      <c r="O93" s="26">
        <v>0</v>
      </c>
      <c r="P93" s="25" t="s">
        <v>308</v>
      </c>
      <c r="Q93" s="25" t="s">
        <v>308</v>
      </c>
      <c r="R93" s="25" t="s">
        <v>308</v>
      </c>
      <c r="S93" s="8"/>
      <c r="T93" s="10"/>
      <c r="U93" s="8"/>
      <c r="V93" s="8"/>
      <c r="W93" s="8" t="s">
        <v>586</v>
      </c>
      <c r="X93" s="8">
        <f>SUMIF(Main!G11:O11,'S2'!Y1,Main!G22:O22)</f>
        <v>1</v>
      </c>
      <c r="Y93" s="8"/>
      <c r="Z93" s="8"/>
    </row>
    <row r="94" spans="1:26" x14ac:dyDescent="0.55000000000000004">
      <c r="A94" s="8" t="s">
        <v>751</v>
      </c>
      <c r="B94" s="25" t="s">
        <v>308</v>
      </c>
      <c r="C94" s="25" t="s">
        <v>308</v>
      </c>
      <c r="D94" s="25" t="s">
        <v>308</v>
      </c>
      <c r="E94" s="25" t="s">
        <v>308</v>
      </c>
      <c r="F94" s="25" t="s">
        <v>308</v>
      </c>
      <c r="G94" s="25" t="s">
        <v>308</v>
      </c>
      <c r="H94" s="25" t="s">
        <v>308</v>
      </c>
      <c r="I94" s="25" t="s">
        <v>308</v>
      </c>
      <c r="J94" s="25" t="s">
        <v>308</v>
      </c>
      <c r="K94" s="8"/>
      <c r="L94" s="10"/>
      <c r="M94" s="8"/>
      <c r="N94" s="8" t="s">
        <v>750</v>
      </c>
      <c r="O94" s="26">
        <v>0</v>
      </c>
      <c r="P94" s="25" t="s">
        <v>308</v>
      </c>
      <c r="Q94" s="25" t="s">
        <v>308</v>
      </c>
      <c r="R94" s="25" t="s">
        <v>308</v>
      </c>
      <c r="S94" s="8"/>
      <c r="T94" s="10"/>
      <c r="U94" s="8"/>
      <c r="V94" s="8"/>
      <c r="W94" s="8" t="s">
        <v>590</v>
      </c>
      <c r="X94" s="8">
        <f>SUMIF(Main!G11:O11,'S2'!Y1,Main!G23:O23)</f>
        <v>1</v>
      </c>
      <c r="Y94" s="8"/>
      <c r="Z94" s="8"/>
    </row>
    <row r="95" spans="1:26" x14ac:dyDescent="0.55000000000000004">
      <c r="A95" s="8" t="s">
        <v>754</v>
      </c>
      <c r="B95" s="25" t="s">
        <v>308</v>
      </c>
      <c r="C95" s="25" t="s">
        <v>308</v>
      </c>
      <c r="D95" s="25" t="s">
        <v>308</v>
      </c>
      <c r="E95" s="25" t="s">
        <v>308</v>
      </c>
      <c r="F95" s="25" t="s">
        <v>308</v>
      </c>
      <c r="G95" s="25" t="s">
        <v>308</v>
      </c>
      <c r="H95" s="25" t="s">
        <v>308</v>
      </c>
      <c r="I95" s="25" t="s">
        <v>308</v>
      </c>
      <c r="J95" s="25" t="s">
        <v>308</v>
      </c>
      <c r="K95" s="8"/>
      <c r="L95" s="10"/>
      <c r="M95" s="8"/>
      <c r="N95" s="8" t="s">
        <v>753</v>
      </c>
      <c r="O95" s="26">
        <v>0</v>
      </c>
      <c r="P95" s="25" t="s">
        <v>308</v>
      </c>
      <c r="Q95" s="25" t="s">
        <v>308</v>
      </c>
      <c r="R95" s="25" t="s">
        <v>308</v>
      </c>
      <c r="S95" s="8"/>
      <c r="T95" s="10"/>
      <c r="U95" s="8"/>
      <c r="V95" s="8" t="s">
        <v>251</v>
      </c>
      <c r="W95" s="8" t="s">
        <v>72</v>
      </c>
      <c r="X95" s="8">
        <f>SUMIF(Main!G11:O11,'S2'!Y1,Main!G24:O24)</f>
        <v>1</v>
      </c>
      <c r="Y95" s="8"/>
      <c r="Z95" s="8"/>
    </row>
    <row r="96" spans="1:26" x14ac:dyDescent="0.55000000000000004">
      <c r="A96" s="8" t="s">
        <v>207</v>
      </c>
      <c r="B96" s="25" t="s">
        <v>308</v>
      </c>
      <c r="C96" s="25" t="s">
        <v>308</v>
      </c>
      <c r="D96" s="25" t="s">
        <v>308</v>
      </c>
      <c r="E96" s="25" t="s">
        <v>308</v>
      </c>
      <c r="F96" s="25" t="s">
        <v>308</v>
      </c>
      <c r="G96" s="25" t="s">
        <v>308</v>
      </c>
      <c r="H96" s="25" t="s">
        <v>308</v>
      </c>
      <c r="I96" s="25" t="s">
        <v>308</v>
      </c>
      <c r="J96" s="25" t="s">
        <v>308</v>
      </c>
      <c r="K96" s="8"/>
      <c r="L96" s="10"/>
      <c r="M96" s="8"/>
      <c r="N96" s="8" t="s">
        <v>206</v>
      </c>
      <c r="O96" s="26">
        <v>0</v>
      </c>
      <c r="P96" s="25" t="s">
        <v>308</v>
      </c>
      <c r="Q96" s="25" t="s">
        <v>308</v>
      </c>
      <c r="R96" s="25" t="s">
        <v>308</v>
      </c>
      <c r="S96" s="8"/>
      <c r="T96" s="10"/>
      <c r="U96" s="8"/>
      <c r="V96" s="8" t="s">
        <v>250</v>
      </c>
      <c r="W96" s="8" t="s">
        <v>79</v>
      </c>
      <c r="X96" s="8">
        <f>SUMIF(Main!G11:O11,'S2'!Y1,Main!G25:O25)</f>
        <v>2</v>
      </c>
      <c r="Y96" s="8"/>
      <c r="Z96" s="8"/>
    </row>
    <row r="97" spans="1:26" x14ac:dyDescent="0.55000000000000004">
      <c r="A97" s="8" t="s">
        <v>758</v>
      </c>
      <c r="B97" s="25" t="s">
        <v>308</v>
      </c>
      <c r="C97" s="25" t="s">
        <v>308</v>
      </c>
      <c r="D97" s="25" t="s">
        <v>308</v>
      </c>
      <c r="E97" s="25" t="s">
        <v>308</v>
      </c>
      <c r="F97" s="25" t="s">
        <v>308</v>
      </c>
      <c r="G97" s="25" t="s">
        <v>308</v>
      </c>
      <c r="H97" s="25" t="s">
        <v>308</v>
      </c>
      <c r="I97" s="25" t="s">
        <v>308</v>
      </c>
      <c r="J97" s="25" t="s">
        <v>308</v>
      </c>
      <c r="K97" s="8"/>
      <c r="L97" s="10"/>
      <c r="M97" s="8"/>
      <c r="N97" s="8" t="s">
        <v>757</v>
      </c>
      <c r="O97" s="26">
        <v>0</v>
      </c>
      <c r="P97" s="25" t="s">
        <v>308</v>
      </c>
      <c r="Q97" s="25" t="s">
        <v>308</v>
      </c>
      <c r="R97" s="25" t="s">
        <v>308</v>
      </c>
      <c r="S97" s="8"/>
      <c r="T97" s="10"/>
      <c r="U97" s="8"/>
      <c r="V97" s="8"/>
      <c r="W97" s="8" t="s">
        <v>87</v>
      </c>
      <c r="X97" s="8">
        <f>SUMIF(Main!G11:O11,'S2'!Y1,Main!G26:O26)</f>
        <v>2</v>
      </c>
      <c r="Y97" s="8"/>
      <c r="Z97" s="8"/>
    </row>
    <row r="98" spans="1:26" x14ac:dyDescent="0.55000000000000004">
      <c r="A98" s="8" t="s">
        <v>761</v>
      </c>
      <c r="B98" s="25" t="s">
        <v>308</v>
      </c>
      <c r="C98" s="25" t="s">
        <v>308</v>
      </c>
      <c r="D98" s="25" t="s">
        <v>308</v>
      </c>
      <c r="E98" s="25" t="s">
        <v>308</v>
      </c>
      <c r="F98" s="25" t="s">
        <v>308</v>
      </c>
      <c r="G98" s="25" t="s">
        <v>308</v>
      </c>
      <c r="H98" s="25" t="s">
        <v>308</v>
      </c>
      <c r="I98" s="25" t="s">
        <v>308</v>
      </c>
      <c r="J98" s="25" t="s">
        <v>308</v>
      </c>
      <c r="K98" s="8"/>
      <c r="L98" s="10"/>
      <c r="M98" s="8"/>
      <c r="N98" s="8" t="s">
        <v>760</v>
      </c>
      <c r="O98" s="26">
        <v>0</v>
      </c>
      <c r="P98" s="25" t="s">
        <v>308</v>
      </c>
      <c r="Q98" s="25" t="s">
        <v>308</v>
      </c>
      <c r="R98" s="25" t="s">
        <v>308</v>
      </c>
      <c r="S98" s="8"/>
      <c r="T98" s="10"/>
      <c r="U98" s="8"/>
      <c r="V98" s="8"/>
      <c r="W98" s="8" t="s">
        <v>95</v>
      </c>
      <c r="X98" s="8">
        <f>SUMIF(Main!G11:O11,'S2'!Y1,Main!G27:O27)</f>
        <v>2</v>
      </c>
      <c r="Y98" s="8"/>
      <c r="Z98" s="8"/>
    </row>
    <row r="99" spans="1:26" x14ac:dyDescent="0.55000000000000004">
      <c r="A99" s="8" t="s">
        <v>764</v>
      </c>
      <c r="B99" s="25" t="s">
        <v>308</v>
      </c>
      <c r="C99" s="25" t="s">
        <v>308</v>
      </c>
      <c r="D99" s="25" t="s">
        <v>308</v>
      </c>
      <c r="E99" s="25" t="s">
        <v>308</v>
      </c>
      <c r="F99" s="25" t="s">
        <v>308</v>
      </c>
      <c r="G99" s="25" t="s">
        <v>308</v>
      </c>
      <c r="H99" s="25" t="s">
        <v>308</v>
      </c>
      <c r="I99" s="25" t="s">
        <v>308</v>
      </c>
      <c r="J99" s="25" t="s">
        <v>308</v>
      </c>
      <c r="K99" s="8"/>
      <c r="L99" s="10"/>
      <c r="M99" s="8"/>
      <c r="N99" s="8" t="s">
        <v>763</v>
      </c>
      <c r="O99" s="26">
        <v>0</v>
      </c>
      <c r="P99" s="25" t="s">
        <v>308</v>
      </c>
      <c r="Q99" s="25" t="s">
        <v>308</v>
      </c>
      <c r="R99" s="25" t="s">
        <v>308</v>
      </c>
      <c r="S99" s="8"/>
      <c r="T99" s="10"/>
      <c r="U99" s="8"/>
      <c r="V99" s="8"/>
      <c r="W99" s="8" t="s">
        <v>101</v>
      </c>
      <c r="X99" s="8">
        <f>SUMIF(Main!G11:O11,'S2'!Y1,Main!G28:O28)</f>
        <v>2</v>
      </c>
      <c r="Y99" s="8"/>
      <c r="Z99" s="8"/>
    </row>
    <row r="100" spans="1:26" x14ac:dyDescent="0.55000000000000004">
      <c r="A100" s="8" t="s">
        <v>767</v>
      </c>
      <c r="B100" s="25" t="s">
        <v>308</v>
      </c>
      <c r="C100" s="25" t="s">
        <v>308</v>
      </c>
      <c r="D100" s="25" t="s">
        <v>308</v>
      </c>
      <c r="E100" s="25" t="s">
        <v>308</v>
      </c>
      <c r="F100" s="25" t="s">
        <v>308</v>
      </c>
      <c r="G100" s="25" t="s">
        <v>308</v>
      </c>
      <c r="H100" s="25" t="s">
        <v>308</v>
      </c>
      <c r="I100" s="25" t="s">
        <v>308</v>
      </c>
      <c r="J100" s="25" t="s">
        <v>308</v>
      </c>
      <c r="K100" s="8"/>
      <c r="L100" s="10"/>
      <c r="M100" s="8"/>
      <c r="N100" s="8" t="s">
        <v>766</v>
      </c>
      <c r="O100" s="26">
        <v>0</v>
      </c>
      <c r="P100" s="25" t="s">
        <v>308</v>
      </c>
      <c r="Q100" s="25" t="s">
        <v>308</v>
      </c>
      <c r="R100" s="25" t="s">
        <v>308</v>
      </c>
      <c r="S100" s="8"/>
      <c r="T100" s="10"/>
      <c r="U100" s="8"/>
      <c r="V100" s="8"/>
      <c r="W100" s="8"/>
      <c r="X100" s="8"/>
      <c r="Y100" s="8"/>
      <c r="Z100" s="8"/>
    </row>
    <row r="101" spans="1:26" x14ac:dyDescent="0.55000000000000004">
      <c r="A101" s="8" t="s">
        <v>770</v>
      </c>
      <c r="B101" s="25" t="s">
        <v>308</v>
      </c>
      <c r="C101" s="25" t="s">
        <v>308</v>
      </c>
      <c r="D101" s="25" t="s">
        <v>308</v>
      </c>
      <c r="E101" s="25" t="s">
        <v>308</v>
      </c>
      <c r="F101" s="25" t="s">
        <v>308</v>
      </c>
      <c r="G101" s="25" t="s">
        <v>308</v>
      </c>
      <c r="H101" s="25" t="s">
        <v>308</v>
      </c>
      <c r="I101" s="25" t="s">
        <v>308</v>
      </c>
      <c r="J101" s="25" t="s">
        <v>308</v>
      </c>
      <c r="K101" s="8"/>
      <c r="L101" s="10"/>
      <c r="M101" s="8"/>
      <c r="N101" s="8" t="s">
        <v>769</v>
      </c>
      <c r="O101" s="26">
        <v>0</v>
      </c>
      <c r="P101" s="25" t="s">
        <v>308</v>
      </c>
      <c r="Q101" s="25" t="s">
        <v>308</v>
      </c>
      <c r="R101" s="25" t="s">
        <v>308</v>
      </c>
      <c r="S101" s="8"/>
      <c r="T101" s="10"/>
      <c r="U101" s="8"/>
      <c r="V101" s="8"/>
      <c r="W101" s="8"/>
      <c r="X101" s="8"/>
      <c r="Y101" s="8"/>
      <c r="Z101" s="8"/>
    </row>
    <row r="102" spans="1:26" x14ac:dyDescent="0.55000000000000004">
      <c r="A102" s="8" t="s">
        <v>211</v>
      </c>
      <c r="B102" s="25" t="s">
        <v>308</v>
      </c>
      <c r="C102" s="25" t="s">
        <v>308</v>
      </c>
      <c r="D102" s="25" t="s">
        <v>308</v>
      </c>
      <c r="E102" s="25" t="s">
        <v>308</v>
      </c>
      <c r="F102" s="25" t="s">
        <v>308</v>
      </c>
      <c r="G102" s="25" t="s">
        <v>308</v>
      </c>
      <c r="H102" s="25" t="s">
        <v>308</v>
      </c>
      <c r="I102" s="25" t="s">
        <v>308</v>
      </c>
      <c r="J102" s="25" t="s">
        <v>308</v>
      </c>
      <c r="K102" s="8"/>
      <c r="L102" s="10"/>
      <c r="M102" s="8"/>
      <c r="N102" s="8" t="s">
        <v>210</v>
      </c>
      <c r="O102" s="26">
        <v>0</v>
      </c>
      <c r="P102" s="25" t="s">
        <v>308</v>
      </c>
      <c r="Q102" s="25" t="s">
        <v>308</v>
      </c>
      <c r="R102" s="25" t="s">
        <v>308</v>
      </c>
      <c r="S102" s="8"/>
      <c r="T102" s="10"/>
      <c r="U102" s="8"/>
      <c r="V102" s="8"/>
      <c r="W102" s="8"/>
      <c r="X102" s="8"/>
      <c r="Y102" s="8"/>
      <c r="Z102" s="8"/>
    </row>
    <row r="103" spans="1:26" x14ac:dyDescent="0.55000000000000004">
      <c r="A103" s="8" t="s">
        <v>214</v>
      </c>
      <c r="B103" s="25" t="s">
        <v>308</v>
      </c>
      <c r="C103" s="25" t="s">
        <v>308</v>
      </c>
      <c r="D103" s="25" t="s">
        <v>308</v>
      </c>
      <c r="E103" s="25" t="s">
        <v>308</v>
      </c>
      <c r="F103" s="25" t="s">
        <v>308</v>
      </c>
      <c r="G103" s="25" t="s">
        <v>308</v>
      </c>
      <c r="H103" s="25" t="s">
        <v>308</v>
      </c>
      <c r="I103" s="25" t="s">
        <v>308</v>
      </c>
      <c r="J103" s="25" t="s">
        <v>308</v>
      </c>
      <c r="K103" s="8"/>
      <c r="L103" s="10"/>
      <c r="M103" s="8"/>
      <c r="N103" s="8" t="s">
        <v>213</v>
      </c>
      <c r="O103" s="26">
        <v>0</v>
      </c>
      <c r="P103" s="25" t="s">
        <v>308</v>
      </c>
      <c r="Q103" s="25" t="s">
        <v>308</v>
      </c>
      <c r="R103" s="25" t="s">
        <v>308</v>
      </c>
      <c r="S103" s="8"/>
      <c r="T103" s="10"/>
      <c r="U103" s="8"/>
      <c r="V103" s="8"/>
      <c r="W103" s="8"/>
      <c r="X103" s="8"/>
      <c r="Y103" s="8"/>
      <c r="Z103" s="8"/>
    </row>
    <row r="104" spans="1:26" x14ac:dyDescent="0.55000000000000004">
      <c r="A104" s="8" t="s">
        <v>217</v>
      </c>
      <c r="B104" s="25" t="s">
        <v>308</v>
      </c>
      <c r="C104" s="25" t="s">
        <v>308</v>
      </c>
      <c r="D104" s="25" t="s">
        <v>308</v>
      </c>
      <c r="E104" s="25" t="s">
        <v>308</v>
      </c>
      <c r="F104" s="25" t="s">
        <v>308</v>
      </c>
      <c r="G104" s="25" t="s">
        <v>308</v>
      </c>
      <c r="H104" s="25" t="s">
        <v>308</v>
      </c>
      <c r="I104" s="25" t="s">
        <v>308</v>
      </c>
      <c r="J104" s="25" t="s">
        <v>308</v>
      </c>
      <c r="K104" s="8"/>
      <c r="L104" s="10"/>
      <c r="M104" s="8"/>
      <c r="N104" s="8" t="s">
        <v>216</v>
      </c>
      <c r="O104" s="26">
        <v>0</v>
      </c>
      <c r="P104" s="25" t="s">
        <v>308</v>
      </c>
      <c r="Q104" s="25" t="s">
        <v>308</v>
      </c>
      <c r="R104" s="25" t="s">
        <v>308</v>
      </c>
      <c r="S104" s="8"/>
      <c r="T104" s="10"/>
      <c r="U104" s="8"/>
      <c r="V104" s="8"/>
      <c r="W104" s="8"/>
      <c r="X104" s="8"/>
      <c r="Y104" s="8"/>
      <c r="Z104" s="8"/>
    </row>
    <row r="105" spans="1:26" x14ac:dyDescent="0.55000000000000004">
      <c r="A105" s="8" t="s">
        <v>776</v>
      </c>
      <c r="B105" s="25" t="s">
        <v>308</v>
      </c>
      <c r="C105" s="25" t="s">
        <v>308</v>
      </c>
      <c r="D105" s="25" t="s">
        <v>308</v>
      </c>
      <c r="E105" s="25" t="s">
        <v>308</v>
      </c>
      <c r="F105" s="25" t="s">
        <v>308</v>
      </c>
      <c r="G105" s="25" t="s">
        <v>308</v>
      </c>
      <c r="H105" s="25" t="s">
        <v>308</v>
      </c>
      <c r="I105" s="25" t="s">
        <v>308</v>
      </c>
      <c r="J105" s="25" t="s">
        <v>308</v>
      </c>
      <c r="K105" s="8"/>
      <c r="L105" s="10"/>
      <c r="M105" s="8"/>
      <c r="N105" s="8" t="s">
        <v>775</v>
      </c>
      <c r="O105" s="26">
        <v>0</v>
      </c>
      <c r="P105" s="25" t="s">
        <v>308</v>
      </c>
      <c r="Q105" s="25" t="s">
        <v>308</v>
      </c>
      <c r="R105" s="25" t="s">
        <v>308</v>
      </c>
      <c r="S105" s="8"/>
      <c r="T105" s="10"/>
      <c r="U105" s="8"/>
      <c r="V105" s="8"/>
      <c r="W105" s="8"/>
      <c r="X105" s="8"/>
      <c r="Y105" s="8"/>
      <c r="Z105" s="8"/>
    </row>
    <row r="106" spans="1:26" x14ac:dyDescent="0.55000000000000004">
      <c r="A106" s="8" t="s">
        <v>779</v>
      </c>
      <c r="B106" s="25" t="s">
        <v>308</v>
      </c>
      <c r="C106" s="25" t="s">
        <v>308</v>
      </c>
      <c r="D106" s="25" t="s">
        <v>308</v>
      </c>
      <c r="E106" s="25" t="s">
        <v>308</v>
      </c>
      <c r="F106" s="25" t="s">
        <v>308</v>
      </c>
      <c r="G106" s="25" t="s">
        <v>308</v>
      </c>
      <c r="H106" s="25" t="s">
        <v>308</v>
      </c>
      <c r="I106" s="25" t="s">
        <v>308</v>
      </c>
      <c r="J106" s="25" t="s">
        <v>308</v>
      </c>
      <c r="K106" s="8"/>
      <c r="L106" s="10"/>
      <c r="M106" s="8"/>
      <c r="N106" s="8" t="s">
        <v>778</v>
      </c>
      <c r="O106" s="26">
        <v>0</v>
      </c>
      <c r="P106" s="25" t="s">
        <v>308</v>
      </c>
      <c r="Q106" s="25" t="s">
        <v>308</v>
      </c>
      <c r="R106" s="25" t="s">
        <v>308</v>
      </c>
      <c r="S106" s="8"/>
      <c r="T106" s="10"/>
      <c r="U106" s="8"/>
      <c r="V106" s="8"/>
      <c r="W106" s="8"/>
      <c r="X106" s="8"/>
      <c r="Y106" s="8"/>
      <c r="Z106" s="8"/>
    </row>
    <row r="107" spans="1:26" x14ac:dyDescent="0.55000000000000004">
      <c r="A107" s="8" t="s">
        <v>782</v>
      </c>
      <c r="B107" s="25" t="s">
        <v>308</v>
      </c>
      <c r="C107" s="25" t="s">
        <v>308</v>
      </c>
      <c r="D107" s="25" t="s">
        <v>308</v>
      </c>
      <c r="E107" s="25" t="s">
        <v>308</v>
      </c>
      <c r="F107" s="25" t="s">
        <v>308</v>
      </c>
      <c r="G107" s="25" t="s">
        <v>308</v>
      </c>
      <c r="H107" s="25" t="s">
        <v>308</v>
      </c>
      <c r="I107" s="25" t="s">
        <v>308</v>
      </c>
      <c r="J107" s="25" t="s">
        <v>308</v>
      </c>
      <c r="K107" s="8"/>
      <c r="L107" s="10"/>
      <c r="M107" s="8"/>
      <c r="N107" s="8" t="s">
        <v>781</v>
      </c>
      <c r="O107" s="26">
        <v>0</v>
      </c>
      <c r="P107" s="25" t="s">
        <v>308</v>
      </c>
      <c r="Q107" s="25" t="s">
        <v>308</v>
      </c>
      <c r="R107" s="25" t="s">
        <v>308</v>
      </c>
      <c r="S107" s="8"/>
      <c r="T107" s="10"/>
      <c r="U107" s="8"/>
      <c r="V107" s="8"/>
      <c r="W107" s="8"/>
      <c r="X107" s="8"/>
      <c r="Y107" s="8"/>
      <c r="Z107" s="8"/>
    </row>
    <row r="108" spans="1:26" x14ac:dyDescent="0.55000000000000004">
      <c r="A108" s="8" t="s">
        <v>220</v>
      </c>
      <c r="B108" s="25" t="s">
        <v>308</v>
      </c>
      <c r="C108" s="25" t="s">
        <v>308</v>
      </c>
      <c r="D108" s="25" t="s">
        <v>308</v>
      </c>
      <c r="E108" s="25" t="s">
        <v>308</v>
      </c>
      <c r="F108" s="25" t="s">
        <v>308</v>
      </c>
      <c r="G108" s="25" t="s">
        <v>308</v>
      </c>
      <c r="H108" s="25" t="s">
        <v>308</v>
      </c>
      <c r="I108" s="25" t="s">
        <v>308</v>
      </c>
      <c r="J108" s="25" t="s">
        <v>308</v>
      </c>
      <c r="K108" s="8"/>
      <c r="L108" s="10"/>
      <c r="M108" s="8"/>
      <c r="N108" s="8" t="s">
        <v>219</v>
      </c>
      <c r="O108" s="26">
        <v>0</v>
      </c>
      <c r="P108" s="25" t="s">
        <v>308</v>
      </c>
      <c r="Q108" s="25" t="s">
        <v>308</v>
      </c>
      <c r="R108" s="25" t="s">
        <v>308</v>
      </c>
      <c r="S108" s="8"/>
      <c r="T108" s="10"/>
      <c r="U108" s="8"/>
      <c r="V108" s="8"/>
      <c r="W108" s="8"/>
      <c r="X108" s="8"/>
      <c r="Y108" s="8"/>
      <c r="Z108" s="8"/>
    </row>
    <row r="109" spans="1:26" x14ac:dyDescent="0.55000000000000004">
      <c r="A109" s="8" t="s">
        <v>786</v>
      </c>
      <c r="B109" s="25" t="s">
        <v>308</v>
      </c>
      <c r="C109" s="25" t="s">
        <v>308</v>
      </c>
      <c r="D109" s="25" t="s">
        <v>308</v>
      </c>
      <c r="E109" s="25" t="s">
        <v>308</v>
      </c>
      <c r="F109" s="25" t="s">
        <v>308</v>
      </c>
      <c r="G109" s="25" t="s">
        <v>308</v>
      </c>
      <c r="H109" s="25" t="s">
        <v>308</v>
      </c>
      <c r="I109" s="25" t="s">
        <v>308</v>
      </c>
      <c r="J109" s="25" t="s">
        <v>308</v>
      </c>
      <c r="K109" s="8"/>
      <c r="L109" s="10"/>
      <c r="M109" s="8"/>
      <c r="N109" s="8" t="s">
        <v>785</v>
      </c>
      <c r="O109" s="26">
        <v>0</v>
      </c>
      <c r="P109" s="25" t="s">
        <v>308</v>
      </c>
      <c r="Q109" s="25" t="s">
        <v>308</v>
      </c>
      <c r="R109" s="25" t="s">
        <v>308</v>
      </c>
      <c r="S109" s="8"/>
      <c r="T109" s="10"/>
      <c r="U109" s="8"/>
      <c r="V109" s="8"/>
      <c r="W109" s="8"/>
      <c r="X109" s="8"/>
      <c r="Y109" s="8"/>
      <c r="Z109" s="8"/>
    </row>
    <row r="110" spans="1:26" x14ac:dyDescent="0.55000000000000004">
      <c r="A110" s="8" t="s">
        <v>789</v>
      </c>
      <c r="B110" s="25" t="s">
        <v>308</v>
      </c>
      <c r="C110" s="25" t="s">
        <v>308</v>
      </c>
      <c r="D110" s="25" t="s">
        <v>308</v>
      </c>
      <c r="E110" s="25" t="s">
        <v>308</v>
      </c>
      <c r="F110" s="25" t="s">
        <v>308</v>
      </c>
      <c r="G110" s="25" t="s">
        <v>308</v>
      </c>
      <c r="H110" s="25" t="s">
        <v>308</v>
      </c>
      <c r="I110" s="25" t="s">
        <v>308</v>
      </c>
      <c r="J110" s="25" t="s">
        <v>308</v>
      </c>
      <c r="K110" s="8"/>
      <c r="L110" s="10"/>
      <c r="M110" s="8"/>
      <c r="N110" s="8" t="s">
        <v>788</v>
      </c>
      <c r="O110" s="26">
        <v>0</v>
      </c>
      <c r="P110" s="25" t="s">
        <v>308</v>
      </c>
      <c r="Q110" s="25" t="s">
        <v>308</v>
      </c>
      <c r="R110" s="25" t="s">
        <v>308</v>
      </c>
      <c r="S110" s="8"/>
      <c r="T110" s="10"/>
      <c r="U110" s="8"/>
      <c r="V110" s="8"/>
      <c r="W110" s="8"/>
      <c r="X110" s="8"/>
      <c r="Y110" s="8"/>
      <c r="Z110" s="8"/>
    </row>
    <row r="111" spans="1:26" x14ac:dyDescent="0.5500000000000000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8"/>
      <c r="P111" s="8"/>
      <c r="Q111" s="8"/>
      <c r="R111" s="8"/>
      <c r="S111" s="8"/>
      <c r="T111" s="10"/>
      <c r="U111" s="8"/>
      <c r="V111" s="8"/>
      <c r="W111" s="8"/>
      <c r="X111" s="8"/>
      <c r="Y111" s="8"/>
      <c r="Z111" s="8"/>
    </row>
  </sheetData>
  <sheetProtection sheet="1" objects="1" scenarios="1"/>
  <mergeCells count="4">
    <mergeCell ref="B4:C4"/>
    <mergeCell ref="D4:F4"/>
    <mergeCell ref="G4:I4"/>
    <mergeCell ref="Q4:R4"/>
  </mergeCells>
  <conditionalFormatting sqref="B7:J110">
    <cfRule type="cellIs" dxfId="40" priority="1" operator="equal">
      <formula>"eps"</formula>
    </cfRule>
  </conditionalFormatting>
  <conditionalFormatting sqref="O7:O110">
    <cfRule type="cellIs" dxfId="39" priority="5" operator="equal">
      <formula>0</formula>
    </cfRule>
  </conditionalFormatting>
  <conditionalFormatting sqref="P7:R110">
    <cfRule type="cellIs" dxfId="38" priority="4" operator="equal">
      <formula>"eps"</formula>
    </cfRule>
  </conditionalFormatting>
  <conditionalFormatting sqref="W7:Y23">
    <cfRule type="cellIs" dxfId="37" priority="6" operator="equal">
      <formula>"eps"</formula>
    </cfRule>
  </conditionalFormatting>
  <conditionalFormatting sqref="X28:Y42">
    <cfRule type="cellIs" dxfId="36" priority="2" operator="equal">
      <formula>"eps"</formula>
    </cfRule>
  </conditionalFormatting>
  <conditionalFormatting sqref="Y46:Y54">
    <cfRule type="cellIs" dxfId="35" priority="3" operator="equal">
      <formula>"eps"</formula>
    </cfRule>
  </conditionalFormatting>
  <dataValidations count="1">
    <dataValidation type="whole" allowBlank="1" showInputMessage="1" showErrorMessage="1" errorTitle="Incorrect choice" error="Choose 0 or 1" sqref="X59:Y74 O7:O110" xr:uid="{00000000-0002-0000-0300-000000000000}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A1:Z111"/>
  <sheetViews>
    <sheetView zoomScale="75" zoomScaleNormal="75" workbookViewId="0">
      <pane xSplit="1" ySplit="6" topLeftCell="B52" activePane="bottomRight" state="frozen"/>
      <selection activeCell="B7" sqref="B7"/>
      <selection pane="topRight" activeCell="B7" sqref="B7"/>
      <selection pane="bottomLeft" activeCell="B7" sqref="B7"/>
      <selection pane="bottomRight" activeCell="C60" sqref="C60"/>
    </sheetView>
  </sheetViews>
  <sheetFormatPr defaultColWidth="0" defaultRowHeight="14.4" zeroHeight="1" x14ac:dyDescent="0.55000000000000004"/>
  <cols>
    <col min="1" max="9" width="8.7890625" customWidth="1"/>
    <col min="10" max="10" width="8.7890625" hidden="1" customWidth="1"/>
    <col min="11" max="13" width="1" customWidth="1"/>
    <col min="14" max="18" width="8.7890625" customWidth="1"/>
    <col min="19" max="21" width="1" customWidth="1"/>
    <col min="22" max="25" width="8.7890625" customWidth="1"/>
    <col min="26" max="26" width="3.15625" customWidth="1"/>
    <col min="27" max="16384" width="8.7890625" hidden="1"/>
  </cols>
  <sheetData>
    <row r="1" spans="1:26" ht="18.3" x14ac:dyDescent="0.7">
      <c r="A1" s="6" t="str">
        <f>"Simulation "&amp;Y1&amp;IF(X1&lt;&gt;""," : "&amp;X1,"")</f>
        <v>Simulation Fuel&amp;gas_shk : 50%_incr_cchem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7" t="str">
        <f>IF(Main!C6&lt;&gt;"",Main!C6,"")</f>
        <v>50%_incr_cchem</v>
      </c>
      <c r="Y1" s="17" t="str">
        <f>Main!A8</f>
        <v>Fuel&amp;gas_shk</v>
      </c>
      <c r="Z1" s="7"/>
    </row>
    <row r="2" spans="1:26" x14ac:dyDescent="0.5500000000000000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55000000000000004">
      <c r="A3" s="11" t="s">
        <v>271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 t="s">
        <v>272</v>
      </c>
      <c r="O3" s="11"/>
      <c r="P3" s="11"/>
      <c r="Q3" s="11"/>
      <c r="R3" s="11"/>
      <c r="S3" s="11"/>
      <c r="T3" s="11"/>
      <c r="U3" s="11"/>
      <c r="V3" s="11" t="s">
        <v>273</v>
      </c>
      <c r="W3" s="11"/>
      <c r="X3" s="11"/>
      <c r="Y3" s="11"/>
      <c r="Z3" s="11"/>
    </row>
    <row r="4" spans="1:26" x14ac:dyDescent="0.55000000000000004">
      <c r="A4" s="13"/>
      <c r="B4" s="31" t="s">
        <v>274</v>
      </c>
      <c r="C4" s="31"/>
      <c r="D4" s="31" t="s">
        <v>275</v>
      </c>
      <c r="E4" s="31"/>
      <c r="F4" s="31"/>
      <c r="G4" s="31" t="s">
        <v>17</v>
      </c>
      <c r="H4" s="31"/>
      <c r="I4" s="31"/>
      <c r="J4" s="15" t="s">
        <v>276</v>
      </c>
      <c r="K4" s="13"/>
      <c r="L4" s="10"/>
      <c r="M4" s="13"/>
      <c r="N4" s="13"/>
      <c r="O4" s="15" t="s">
        <v>277</v>
      </c>
      <c r="P4" s="15" t="s">
        <v>278</v>
      </c>
      <c r="Q4" s="31" t="s">
        <v>279</v>
      </c>
      <c r="R4" s="31"/>
      <c r="S4" s="13"/>
      <c r="T4" s="10"/>
      <c r="U4" s="13"/>
      <c r="V4" s="13"/>
      <c r="W4" s="15" t="s">
        <v>280</v>
      </c>
      <c r="X4" s="15" t="s">
        <v>281</v>
      </c>
      <c r="Y4" s="15" t="s">
        <v>280</v>
      </c>
      <c r="Z4" s="13"/>
    </row>
    <row r="5" spans="1:26" x14ac:dyDescent="0.55000000000000004">
      <c r="A5" s="13"/>
      <c r="B5" s="16" t="s">
        <v>282</v>
      </c>
      <c r="C5" s="16" t="s">
        <v>283</v>
      </c>
      <c r="D5" s="16" t="s">
        <v>282</v>
      </c>
      <c r="E5" s="16" t="s">
        <v>283</v>
      </c>
      <c r="F5" s="16" t="s">
        <v>284</v>
      </c>
      <c r="G5" s="16" t="s">
        <v>282</v>
      </c>
      <c r="H5" s="16" t="s">
        <v>283</v>
      </c>
      <c r="I5" s="16" t="s">
        <v>285</v>
      </c>
      <c r="J5" s="15" t="s">
        <v>286</v>
      </c>
      <c r="K5" s="13"/>
      <c r="L5" s="10"/>
      <c r="M5" s="13"/>
      <c r="N5" s="13"/>
      <c r="O5" s="16" t="s">
        <v>287</v>
      </c>
      <c r="P5" s="16"/>
      <c r="Q5" s="16" t="s">
        <v>288</v>
      </c>
      <c r="R5" s="16" t="s">
        <v>332</v>
      </c>
      <c r="S5" s="13"/>
      <c r="T5" s="10"/>
      <c r="U5" s="13"/>
      <c r="V5" s="13"/>
      <c r="W5" s="15" t="s">
        <v>289</v>
      </c>
      <c r="X5" s="15" t="s">
        <v>290</v>
      </c>
      <c r="Y5" s="15" t="s">
        <v>291</v>
      </c>
      <c r="Z5" s="13"/>
    </row>
    <row r="6" spans="1:26" x14ac:dyDescent="0.55000000000000004">
      <c r="A6" s="13"/>
      <c r="B6" s="16" t="s">
        <v>292</v>
      </c>
      <c r="C6" s="16" t="s">
        <v>293</v>
      </c>
      <c r="D6" s="16" t="s">
        <v>294</v>
      </c>
      <c r="E6" s="16" t="s">
        <v>295</v>
      </c>
      <c r="F6" s="16" t="s">
        <v>296</v>
      </c>
      <c r="G6" s="16" t="s">
        <v>297</v>
      </c>
      <c r="H6" s="16" t="s">
        <v>298</v>
      </c>
      <c r="I6" s="16" t="s">
        <v>299</v>
      </c>
      <c r="J6" s="16" t="s">
        <v>300</v>
      </c>
      <c r="K6" s="13"/>
      <c r="L6" s="10"/>
      <c r="M6" s="13"/>
      <c r="N6" s="13"/>
      <c r="O6" s="16" t="s">
        <v>301</v>
      </c>
      <c r="P6" s="16" t="s">
        <v>302</v>
      </c>
      <c r="Q6" s="16" t="s">
        <v>303</v>
      </c>
      <c r="R6" s="16" t="s">
        <v>304</v>
      </c>
      <c r="S6" s="13"/>
      <c r="T6" s="10"/>
      <c r="U6" s="13"/>
      <c r="V6" s="13"/>
      <c r="W6" s="16" t="s">
        <v>305</v>
      </c>
      <c r="X6" s="16" t="s">
        <v>306</v>
      </c>
      <c r="Y6" s="16" t="s">
        <v>307</v>
      </c>
      <c r="Z6" s="13"/>
    </row>
    <row r="7" spans="1:26" x14ac:dyDescent="0.55000000000000004">
      <c r="A7" s="8" t="s">
        <v>19</v>
      </c>
      <c r="B7" s="25" t="s">
        <v>308</v>
      </c>
      <c r="C7" s="25" t="s">
        <v>308</v>
      </c>
      <c r="D7" s="25" t="s">
        <v>308</v>
      </c>
      <c r="E7" s="25" t="s">
        <v>308</v>
      </c>
      <c r="F7" s="25" t="s">
        <v>308</v>
      </c>
      <c r="G7" s="25" t="s">
        <v>308</v>
      </c>
      <c r="H7" s="25" t="s">
        <v>308</v>
      </c>
      <c r="I7" s="25" t="s">
        <v>308</v>
      </c>
      <c r="J7" s="25" t="s">
        <v>308</v>
      </c>
      <c r="K7" s="8"/>
      <c r="L7" s="10"/>
      <c r="M7" s="8"/>
      <c r="N7" s="8" t="s">
        <v>18</v>
      </c>
      <c r="O7" s="26">
        <v>0</v>
      </c>
      <c r="P7" s="25" t="s">
        <v>308</v>
      </c>
      <c r="Q7" s="25" t="s">
        <v>308</v>
      </c>
      <c r="R7" s="25" t="s">
        <v>308</v>
      </c>
      <c r="S7" s="8"/>
      <c r="T7" s="10"/>
      <c r="U7" s="8"/>
      <c r="V7" s="8" t="s">
        <v>12</v>
      </c>
      <c r="W7" s="25" t="s">
        <v>308</v>
      </c>
      <c r="X7" s="25" t="s">
        <v>308</v>
      </c>
      <c r="Y7" s="25" t="s">
        <v>308</v>
      </c>
      <c r="Z7" s="8"/>
    </row>
    <row r="8" spans="1:26" x14ac:dyDescent="0.55000000000000004">
      <c r="A8" s="8" t="s">
        <v>10</v>
      </c>
      <c r="B8" s="25" t="s">
        <v>308</v>
      </c>
      <c r="C8" s="25" t="s">
        <v>308</v>
      </c>
      <c r="D8" s="25" t="s">
        <v>308</v>
      </c>
      <c r="E8" s="25" t="s">
        <v>308</v>
      </c>
      <c r="F8" s="25" t="s">
        <v>308</v>
      </c>
      <c r="G8" s="25" t="s">
        <v>308</v>
      </c>
      <c r="H8" s="25" t="s">
        <v>308</v>
      </c>
      <c r="I8" s="25" t="s">
        <v>308</v>
      </c>
      <c r="J8" s="25" t="s">
        <v>308</v>
      </c>
      <c r="K8" s="8"/>
      <c r="L8" s="10"/>
      <c r="M8" s="8"/>
      <c r="N8" s="8" t="s">
        <v>9</v>
      </c>
      <c r="O8" s="26">
        <v>0</v>
      </c>
      <c r="P8" s="25" t="s">
        <v>308</v>
      </c>
      <c r="Q8" s="25" t="s">
        <v>308</v>
      </c>
      <c r="R8" s="25" t="s">
        <v>308</v>
      </c>
      <c r="S8" s="8"/>
      <c r="T8" s="10"/>
      <c r="U8" s="8"/>
      <c r="V8" s="8" t="s">
        <v>20</v>
      </c>
      <c r="W8" s="25" t="s">
        <v>308</v>
      </c>
      <c r="X8" s="25" t="s">
        <v>308</v>
      </c>
      <c r="Y8" s="25" t="s">
        <v>308</v>
      </c>
      <c r="Z8" s="8"/>
    </row>
    <row r="9" spans="1:26" x14ac:dyDescent="0.55000000000000004">
      <c r="A9" s="8" t="s">
        <v>35</v>
      </c>
      <c r="B9" s="25" t="s">
        <v>308</v>
      </c>
      <c r="C9" s="25" t="s">
        <v>308</v>
      </c>
      <c r="D9" s="25" t="s">
        <v>308</v>
      </c>
      <c r="E9" s="25" t="s">
        <v>308</v>
      </c>
      <c r="F9" s="25" t="s">
        <v>308</v>
      </c>
      <c r="G9" s="25" t="s">
        <v>308</v>
      </c>
      <c r="H9" s="25" t="s">
        <v>308</v>
      </c>
      <c r="I9" s="25" t="s">
        <v>308</v>
      </c>
      <c r="J9" s="25" t="s">
        <v>308</v>
      </c>
      <c r="K9" s="8"/>
      <c r="L9" s="10"/>
      <c r="M9" s="8"/>
      <c r="N9" s="8" t="s">
        <v>34</v>
      </c>
      <c r="O9" s="26">
        <v>0</v>
      </c>
      <c r="P9" s="25" t="s">
        <v>308</v>
      </c>
      <c r="Q9" s="25" t="s">
        <v>308</v>
      </c>
      <c r="R9" s="25" t="s">
        <v>308</v>
      </c>
      <c r="S9" s="8"/>
      <c r="T9" s="10"/>
      <c r="U9" s="8"/>
      <c r="V9" s="8" t="s">
        <v>28</v>
      </c>
      <c r="W9" s="25" t="s">
        <v>308</v>
      </c>
      <c r="X9" s="25" t="s">
        <v>308</v>
      </c>
      <c r="Y9" s="25" t="s">
        <v>308</v>
      </c>
      <c r="Z9" s="8"/>
    </row>
    <row r="10" spans="1:26" x14ac:dyDescent="0.55000000000000004">
      <c r="A10" s="8" t="s">
        <v>27</v>
      </c>
      <c r="B10" s="25" t="s">
        <v>308</v>
      </c>
      <c r="C10" s="25" t="s">
        <v>308</v>
      </c>
      <c r="D10" s="25" t="s">
        <v>308</v>
      </c>
      <c r="E10" s="25" t="s">
        <v>308</v>
      </c>
      <c r="F10" s="25" t="s">
        <v>308</v>
      </c>
      <c r="G10" s="25" t="s">
        <v>308</v>
      </c>
      <c r="H10" s="25" t="s">
        <v>308</v>
      </c>
      <c r="I10" s="25" t="s">
        <v>308</v>
      </c>
      <c r="J10" s="25" t="s">
        <v>308</v>
      </c>
      <c r="K10" s="8"/>
      <c r="L10" s="10"/>
      <c r="M10" s="8"/>
      <c r="N10" s="8" t="s">
        <v>26</v>
      </c>
      <c r="O10" s="26">
        <v>0</v>
      </c>
      <c r="P10" s="25" t="s">
        <v>308</v>
      </c>
      <c r="Q10" s="25" t="s">
        <v>308</v>
      </c>
      <c r="R10" s="25" t="s">
        <v>308</v>
      </c>
      <c r="S10" s="8"/>
      <c r="T10" s="10"/>
      <c r="U10" s="8"/>
      <c r="V10" s="8" t="s">
        <v>36</v>
      </c>
      <c r="W10" s="25" t="s">
        <v>308</v>
      </c>
      <c r="X10" s="25" t="s">
        <v>308</v>
      </c>
      <c r="Y10" s="25" t="s">
        <v>308</v>
      </c>
      <c r="Z10" s="8"/>
    </row>
    <row r="11" spans="1:26" x14ac:dyDescent="0.55000000000000004">
      <c r="A11" s="8" t="s">
        <v>42</v>
      </c>
      <c r="B11" s="25" t="s">
        <v>308</v>
      </c>
      <c r="C11" s="25" t="s">
        <v>308</v>
      </c>
      <c r="D11" s="25" t="s">
        <v>308</v>
      </c>
      <c r="E11" s="25" t="s">
        <v>308</v>
      </c>
      <c r="F11" s="25" t="s">
        <v>308</v>
      </c>
      <c r="G11" s="25" t="s">
        <v>308</v>
      </c>
      <c r="H11" s="25" t="s">
        <v>308</v>
      </c>
      <c r="I11" s="25" t="s">
        <v>308</v>
      </c>
      <c r="J11" s="25" t="s">
        <v>308</v>
      </c>
      <c r="K11" s="8"/>
      <c r="L11" s="10"/>
      <c r="M11" s="8"/>
      <c r="N11" s="8" t="s">
        <v>41</v>
      </c>
      <c r="O11" s="26">
        <v>0</v>
      </c>
      <c r="P11" s="25" t="s">
        <v>308</v>
      </c>
      <c r="Q11" s="25" t="s">
        <v>308</v>
      </c>
      <c r="R11" s="25" t="s">
        <v>308</v>
      </c>
      <c r="S11" s="8"/>
      <c r="T11" s="10"/>
      <c r="U11" s="8"/>
      <c r="V11" s="8" t="s">
        <v>44</v>
      </c>
      <c r="W11" s="25" t="s">
        <v>308</v>
      </c>
      <c r="X11" s="25" t="s">
        <v>308</v>
      </c>
      <c r="Y11" s="25" t="s">
        <v>308</v>
      </c>
      <c r="Z11" s="8"/>
    </row>
    <row r="12" spans="1:26" x14ac:dyDescent="0.55000000000000004">
      <c r="A12" s="8" t="s">
        <v>78</v>
      </c>
      <c r="B12" s="25" t="s">
        <v>308</v>
      </c>
      <c r="C12" s="25" t="s">
        <v>308</v>
      </c>
      <c r="D12" s="25" t="s">
        <v>308</v>
      </c>
      <c r="E12" s="25" t="s">
        <v>308</v>
      </c>
      <c r="F12" s="25" t="s">
        <v>308</v>
      </c>
      <c r="G12" s="25" t="s">
        <v>308</v>
      </c>
      <c r="H12" s="25" t="s">
        <v>308</v>
      </c>
      <c r="I12" s="25" t="s">
        <v>308</v>
      </c>
      <c r="J12" s="25" t="s">
        <v>308</v>
      </c>
      <c r="K12" s="8"/>
      <c r="L12" s="10"/>
      <c r="M12" s="8"/>
      <c r="N12" s="8" t="s">
        <v>77</v>
      </c>
      <c r="O12" s="26">
        <v>0</v>
      </c>
      <c r="P12" s="25" t="s">
        <v>308</v>
      </c>
      <c r="Q12" s="25" t="s">
        <v>308</v>
      </c>
      <c r="R12" s="25" t="s">
        <v>308</v>
      </c>
      <c r="S12" s="8"/>
      <c r="T12" s="10"/>
      <c r="U12" s="8"/>
      <c r="V12" s="8" t="s">
        <v>49</v>
      </c>
      <c r="W12" s="25" t="s">
        <v>308</v>
      </c>
      <c r="X12" s="25" t="s">
        <v>308</v>
      </c>
      <c r="Y12" s="25" t="s">
        <v>308</v>
      </c>
      <c r="Z12" s="8"/>
    </row>
    <row r="13" spans="1:26" x14ac:dyDescent="0.55000000000000004">
      <c r="A13" s="8" t="s">
        <v>86</v>
      </c>
      <c r="B13" s="25" t="s">
        <v>308</v>
      </c>
      <c r="C13" s="25" t="s">
        <v>308</v>
      </c>
      <c r="D13" s="25" t="s">
        <v>308</v>
      </c>
      <c r="E13" s="25" t="s">
        <v>308</v>
      </c>
      <c r="F13" s="25" t="s">
        <v>308</v>
      </c>
      <c r="G13" s="25" t="s">
        <v>308</v>
      </c>
      <c r="H13" s="25" t="s">
        <v>308</v>
      </c>
      <c r="I13" s="25" t="s">
        <v>308</v>
      </c>
      <c r="J13" s="25" t="s">
        <v>308</v>
      </c>
      <c r="K13" s="8"/>
      <c r="L13" s="10"/>
      <c r="M13" s="8"/>
      <c r="N13" s="8" t="s">
        <v>85</v>
      </c>
      <c r="O13" s="26">
        <v>0</v>
      </c>
      <c r="P13" s="25" t="s">
        <v>308</v>
      </c>
      <c r="Q13" s="25" t="s">
        <v>308</v>
      </c>
      <c r="R13" s="25" t="s">
        <v>308</v>
      </c>
      <c r="S13" s="8"/>
      <c r="T13" s="10"/>
      <c r="U13" s="8"/>
      <c r="V13" s="8" t="s">
        <v>57</v>
      </c>
      <c r="W13" s="25" t="s">
        <v>308</v>
      </c>
      <c r="X13" s="25" t="s">
        <v>308</v>
      </c>
      <c r="Y13" s="25" t="s">
        <v>308</v>
      </c>
      <c r="Z13" s="8"/>
    </row>
    <row r="14" spans="1:26" x14ac:dyDescent="0.55000000000000004">
      <c r="A14" s="8" t="s">
        <v>71</v>
      </c>
      <c r="B14" s="25" t="s">
        <v>308</v>
      </c>
      <c r="C14" s="25" t="s">
        <v>308</v>
      </c>
      <c r="D14" s="25" t="s">
        <v>308</v>
      </c>
      <c r="E14" s="25" t="s">
        <v>308</v>
      </c>
      <c r="F14" s="25" t="s">
        <v>308</v>
      </c>
      <c r="G14" s="25" t="s">
        <v>308</v>
      </c>
      <c r="H14" s="25" t="s">
        <v>308</v>
      </c>
      <c r="I14" s="25" t="s">
        <v>308</v>
      </c>
      <c r="J14" s="25" t="s">
        <v>308</v>
      </c>
      <c r="K14" s="8"/>
      <c r="L14" s="10"/>
      <c r="M14" s="8"/>
      <c r="N14" s="8" t="s">
        <v>70</v>
      </c>
      <c r="O14" s="26">
        <v>0</v>
      </c>
      <c r="P14" s="25" t="s">
        <v>308</v>
      </c>
      <c r="Q14" s="25" t="s">
        <v>308</v>
      </c>
      <c r="R14" s="25" t="s">
        <v>308</v>
      </c>
      <c r="S14" s="8"/>
      <c r="T14" s="10"/>
      <c r="U14" s="8"/>
      <c r="V14" s="8" t="s">
        <v>65</v>
      </c>
      <c r="W14" s="25" t="s">
        <v>308</v>
      </c>
      <c r="X14" s="25" t="s">
        <v>308</v>
      </c>
      <c r="Y14" s="25" t="s">
        <v>308</v>
      </c>
      <c r="Z14" s="8"/>
    </row>
    <row r="15" spans="1:26" x14ac:dyDescent="0.55000000000000004">
      <c r="A15" s="8" t="s">
        <v>94</v>
      </c>
      <c r="B15" s="25" t="s">
        <v>308</v>
      </c>
      <c r="C15" s="25" t="s">
        <v>308</v>
      </c>
      <c r="D15" s="25" t="s">
        <v>308</v>
      </c>
      <c r="E15" s="25" t="s">
        <v>308</v>
      </c>
      <c r="F15" s="25" t="s">
        <v>308</v>
      </c>
      <c r="G15" s="25" t="s">
        <v>308</v>
      </c>
      <c r="H15" s="25" t="s">
        <v>308</v>
      </c>
      <c r="I15" s="25" t="s">
        <v>308</v>
      </c>
      <c r="J15" s="25" t="s">
        <v>308</v>
      </c>
      <c r="K15" s="8"/>
      <c r="L15" s="10"/>
      <c r="M15" s="8"/>
      <c r="N15" s="8" t="s">
        <v>93</v>
      </c>
      <c r="O15" s="26">
        <v>0</v>
      </c>
      <c r="P15" s="25" t="s">
        <v>308</v>
      </c>
      <c r="Q15" s="25" t="s">
        <v>308</v>
      </c>
      <c r="R15" s="25" t="s">
        <v>308</v>
      </c>
      <c r="S15" s="8"/>
      <c r="T15" s="10"/>
      <c r="U15" s="8"/>
      <c r="V15" s="8" t="s">
        <v>573</v>
      </c>
      <c r="W15" s="25" t="s">
        <v>308</v>
      </c>
      <c r="X15" s="25" t="s">
        <v>308</v>
      </c>
      <c r="Y15" s="25" t="s">
        <v>308</v>
      </c>
      <c r="Z15" s="8"/>
    </row>
    <row r="16" spans="1:26" x14ac:dyDescent="0.55000000000000004">
      <c r="A16" s="8" t="s">
        <v>578</v>
      </c>
      <c r="B16" s="25" t="s">
        <v>308</v>
      </c>
      <c r="C16" s="25" t="s">
        <v>308</v>
      </c>
      <c r="D16" s="25" t="s">
        <v>308</v>
      </c>
      <c r="E16" s="25" t="s">
        <v>308</v>
      </c>
      <c r="F16" s="25" t="s">
        <v>308</v>
      </c>
      <c r="G16" s="25" t="s">
        <v>308</v>
      </c>
      <c r="H16" s="25" t="s">
        <v>308</v>
      </c>
      <c r="I16" s="25" t="s">
        <v>308</v>
      </c>
      <c r="J16" s="25" t="s">
        <v>308</v>
      </c>
      <c r="K16" s="8"/>
      <c r="L16" s="10"/>
      <c r="M16" s="8"/>
      <c r="N16" s="8" t="s">
        <v>577</v>
      </c>
      <c r="O16" s="26">
        <v>0</v>
      </c>
      <c r="P16" s="25" t="s">
        <v>308</v>
      </c>
      <c r="Q16" s="25" t="s">
        <v>308</v>
      </c>
      <c r="R16" s="25" t="s">
        <v>308</v>
      </c>
      <c r="S16" s="8"/>
      <c r="T16" s="10"/>
      <c r="U16" s="8"/>
      <c r="V16" s="8" t="s">
        <v>580</v>
      </c>
      <c r="W16" s="25" t="s">
        <v>308</v>
      </c>
      <c r="X16" s="25" t="s">
        <v>308</v>
      </c>
      <c r="Y16" s="25" t="s">
        <v>308</v>
      </c>
      <c r="Z16" s="8"/>
    </row>
    <row r="17" spans="1:26" x14ac:dyDescent="0.55000000000000004">
      <c r="A17" s="8" t="s">
        <v>584</v>
      </c>
      <c r="B17" s="25" t="s">
        <v>308</v>
      </c>
      <c r="C17" s="25" t="s">
        <v>308</v>
      </c>
      <c r="D17" s="25" t="s">
        <v>308</v>
      </c>
      <c r="E17" s="25" t="s">
        <v>308</v>
      </c>
      <c r="F17" s="25" t="s">
        <v>308</v>
      </c>
      <c r="G17" s="25" t="s">
        <v>308</v>
      </c>
      <c r="H17" s="25" t="s">
        <v>308</v>
      </c>
      <c r="I17" s="25" t="s">
        <v>308</v>
      </c>
      <c r="J17" s="25" t="s">
        <v>308</v>
      </c>
      <c r="K17" s="8"/>
      <c r="L17" s="10"/>
      <c r="M17" s="8"/>
      <c r="N17" s="8" t="s">
        <v>583</v>
      </c>
      <c r="O17" s="26">
        <v>0</v>
      </c>
      <c r="P17" s="25" t="s">
        <v>308</v>
      </c>
      <c r="Q17" s="25" t="s">
        <v>308</v>
      </c>
      <c r="R17" s="25" t="s">
        <v>308</v>
      </c>
      <c r="S17" s="8"/>
      <c r="T17" s="10"/>
      <c r="U17" s="8"/>
      <c r="V17" s="8" t="s">
        <v>586</v>
      </c>
      <c r="W17" s="25" t="s">
        <v>308</v>
      </c>
      <c r="X17" s="25" t="s">
        <v>308</v>
      </c>
      <c r="Y17" s="25" t="s">
        <v>308</v>
      </c>
      <c r="Z17" s="8"/>
    </row>
    <row r="18" spans="1:26" x14ac:dyDescent="0.55000000000000004">
      <c r="A18" s="8" t="s">
        <v>108</v>
      </c>
      <c r="B18" s="25" t="s">
        <v>308</v>
      </c>
      <c r="C18" s="25" t="s">
        <v>308</v>
      </c>
      <c r="D18" s="25" t="s">
        <v>308</v>
      </c>
      <c r="E18" s="25" t="s">
        <v>308</v>
      </c>
      <c r="F18" s="25" t="s">
        <v>308</v>
      </c>
      <c r="G18" s="25" t="s">
        <v>308</v>
      </c>
      <c r="H18" s="25" t="s">
        <v>308</v>
      </c>
      <c r="I18" s="25" t="s">
        <v>308</v>
      </c>
      <c r="J18" s="25" t="s">
        <v>308</v>
      </c>
      <c r="K18" s="8"/>
      <c r="L18" s="10"/>
      <c r="M18" s="8"/>
      <c r="N18" s="8" t="s">
        <v>107</v>
      </c>
      <c r="O18" s="26">
        <v>0</v>
      </c>
      <c r="P18" s="25" t="s">
        <v>308</v>
      </c>
      <c r="Q18" s="25" t="s">
        <v>308</v>
      </c>
      <c r="R18" s="25" t="s">
        <v>308</v>
      </c>
      <c r="S18" s="8"/>
      <c r="T18" s="10"/>
      <c r="U18" s="8"/>
      <c r="V18" s="8" t="s">
        <v>590</v>
      </c>
      <c r="W18" s="25" t="s">
        <v>308</v>
      </c>
      <c r="X18" s="25" t="s">
        <v>308</v>
      </c>
      <c r="Y18" s="25" t="s">
        <v>308</v>
      </c>
      <c r="Z18" s="8"/>
    </row>
    <row r="19" spans="1:26" x14ac:dyDescent="0.55000000000000004">
      <c r="A19" s="8" t="s">
        <v>594</v>
      </c>
      <c r="B19" s="25" t="s">
        <v>308</v>
      </c>
      <c r="C19" s="25" t="s">
        <v>308</v>
      </c>
      <c r="D19" s="25" t="s">
        <v>308</v>
      </c>
      <c r="E19" s="25" t="s">
        <v>308</v>
      </c>
      <c r="F19" s="25" t="s">
        <v>308</v>
      </c>
      <c r="G19" s="25" t="s">
        <v>308</v>
      </c>
      <c r="H19" s="25" t="s">
        <v>308</v>
      </c>
      <c r="I19" s="25" t="s">
        <v>308</v>
      </c>
      <c r="J19" s="25" t="s">
        <v>308</v>
      </c>
      <c r="K19" s="8"/>
      <c r="L19" s="10"/>
      <c r="M19" s="8"/>
      <c r="N19" s="8" t="s">
        <v>593</v>
      </c>
      <c r="O19" s="26">
        <v>0</v>
      </c>
      <c r="P19" s="25" t="s">
        <v>308</v>
      </c>
      <c r="Q19" s="25" t="s">
        <v>308</v>
      </c>
      <c r="R19" s="25" t="s">
        <v>308</v>
      </c>
      <c r="S19" s="8"/>
      <c r="T19" s="10"/>
      <c r="U19" s="8"/>
      <c r="V19" s="8" t="s">
        <v>72</v>
      </c>
      <c r="W19" s="25" t="s">
        <v>308</v>
      </c>
      <c r="X19" s="25" t="s">
        <v>308</v>
      </c>
      <c r="Y19" s="25" t="s">
        <v>308</v>
      </c>
      <c r="Z19" s="8"/>
    </row>
    <row r="20" spans="1:26" x14ac:dyDescent="0.55000000000000004">
      <c r="A20" s="8" t="s">
        <v>598</v>
      </c>
      <c r="B20" s="25" t="s">
        <v>308</v>
      </c>
      <c r="C20" s="25" t="s">
        <v>308</v>
      </c>
      <c r="D20" s="25" t="s">
        <v>308</v>
      </c>
      <c r="E20" s="25" t="s">
        <v>308</v>
      </c>
      <c r="F20" s="25" t="s">
        <v>308</v>
      </c>
      <c r="G20" s="25" t="s">
        <v>308</v>
      </c>
      <c r="H20" s="25" t="s">
        <v>308</v>
      </c>
      <c r="I20" s="25" t="s">
        <v>308</v>
      </c>
      <c r="J20" s="25" t="s">
        <v>308</v>
      </c>
      <c r="K20" s="8"/>
      <c r="L20" s="10"/>
      <c r="M20" s="8"/>
      <c r="N20" s="8" t="s">
        <v>597</v>
      </c>
      <c r="O20" s="26">
        <v>0</v>
      </c>
      <c r="P20" s="25" t="s">
        <v>308</v>
      </c>
      <c r="Q20" s="25" t="s">
        <v>308</v>
      </c>
      <c r="R20" s="25" t="s">
        <v>308</v>
      </c>
      <c r="S20" s="8"/>
      <c r="T20" s="10"/>
      <c r="U20" s="8"/>
      <c r="V20" s="8" t="s">
        <v>79</v>
      </c>
      <c r="W20" s="25" t="s">
        <v>308</v>
      </c>
      <c r="X20" s="25" t="s">
        <v>308</v>
      </c>
      <c r="Y20" s="25" t="s">
        <v>308</v>
      </c>
      <c r="Z20" s="8"/>
    </row>
    <row r="21" spans="1:26" x14ac:dyDescent="0.55000000000000004">
      <c r="A21" s="8" t="s">
        <v>602</v>
      </c>
      <c r="B21" s="25" t="s">
        <v>308</v>
      </c>
      <c r="C21" s="25" t="s">
        <v>308</v>
      </c>
      <c r="D21" s="25" t="s">
        <v>308</v>
      </c>
      <c r="E21" s="25" t="s">
        <v>308</v>
      </c>
      <c r="F21" s="25" t="s">
        <v>308</v>
      </c>
      <c r="G21" s="25" t="s">
        <v>308</v>
      </c>
      <c r="H21" s="25" t="s">
        <v>308</v>
      </c>
      <c r="I21" s="25" t="s">
        <v>308</v>
      </c>
      <c r="J21" s="25" t="s">
        <v>308</v>
      </c>
      <c r="K21" s="8"/>
      <c r="L21" s="10"/>
      <c r="M21" s="8"/>
      <c r="N21" s="8" t="s">
        <v>601</v>
      </c>
      <c r="O21" s="26">
        <v>0</v>
      </c>
      <c r="P21" s="25" t="s">
        <v>308</v>
      </c>
      <c r="Q21" s="25" t="s">
        <v>308</v>
      </c>
      <c r="R21" s="25" t="s">
        <v>308</v>
      </c>
      <c r="S21" s="8"/>
      <c r="T21" s="10"/>
      <c r="U21" s="8"/>
      <c r="V21" s="8" t="s">
        <v>87</v>
      </c>
      <c r="W21" s="25" t="s">
        <v>308</v>
      </c>
      <c r="X21" s="25" t="s">
        <v>308</v>
      </c>
      <c r="Y21" s="25" t="s">
        <v>308</v>
      </c>
      <c r="Z21" s="8"/>
    </row>
    <row r="22" spans="1:26" x14ac:dyDescent="0.55000000000000004">
      <c r="A22" s="8" t="s">
        <v>120</v>
      </c>
      <c r="B22" s="25" t="s">
        <v>308</v>
      </c>
      <c r="C22" s="25" t="s">
        <v>308</v>
      </c>
      <c r="D22" s="25" t="s">
        <v>308</v>
      </c>
      <c r="E22" s="25" t="s">
        <v>308</v>
      </c>
      <c r="F22" s="25" t="s">
        <v>308</v>
      </c>
      <c r="G22" s="25" t="s">
        <v>308</v>
      </c>
      <c r="H22" s="25" t="s">
        <v>308</v>
      </c>
      <c r="I22" s="25" t="s">
        <v>308</v>
      </c>
      <c r="J22" s="25" t="s">
        <v>308</v>
      </c>
      <c r="K22" s="8"/>
      <c r="L22" s="10"/>
      <c r="M22" s="8"/>
      <c r="N22" s="8" t="s">
        <v>119</v>
      </c>
      <c r="O22" s="26">
        <v>0</v>
      </c>
      <c r="P22" s="25" t="s">
        <v>308</v>
      </c>
      <c r="Q22" s="25" t="s">
        <v>308</v>
      </c>
      <c r="R22" s="25" t="s">
        <v>308</v>
      </c>
      <c r="S22" s="8"/>
      <c r="T22" s="10"/>
      <c r="U22" s="8"/>
      <c r="V22" s="8" t="s">
        <v>95</v>
      </c>
      <c r="W22" s="25" t="s">
        <v>308</v>
      </c>
      <c r="X22" s="25" t="s">
        <v>308</v>
      </c>
      <c r="Y22" s="25" t="s">
        <v>308</v>
      </c>
      <c r="Z22" s="8"/>
    </row>
    <row r="23" spans="1:26" x14ac:dyDescent="0.55000000000000004">
      <c r="A23" s="8" t="s">
        <v>55</v>
      </c>
      <c r="B23" s="25" t="s">
        <v>308</v>
      </c>
      <c r="C23" s="25" t="s">
        <v>308</v>
      </c>
      <c r="D23" s="25" t="s">
        <v>308</v>
      </c>
      <c r="E23" s="25" t="s">
        <v>308</v>
      </c>
      <c r="F23" s="25" t="s">
        <v>308</v>
      </c>
      <c r="G23" s="25" t="s">
        <v>308</v>
      </c>
      <c r="H23" s="25" t="s">
        <v>308</v>
      </c>
      <c r="I23" s="25" t="s">
        <v>308</v>
      </c>
      <c r="J23" s="25" t="s">
        <v>308</v>
      </c>
      <c r="K23" s="8"/>
      <c r="L23" s="10"/>
      <c r="M23" s="8"/>
      <c r="N23" s="8" t="s">
        <v>54</v>
      </c>
      <c r="O23" s="26">
        <v>0</v>
      </c>
      <c r="P23" s="25" t="s">
        <v>308</v>
      </c>
      <c r="Q23" s="25" t="s">
        <v>308</v>
      </c>
      <c r="R23" s="25" t="s">
        <v>308</v>
      </c>
      <c r="S23" s="8"/>
      <c r="T23" s="10"/>
      <c r="U23" s="8"/>
      <c r="V23" s="8" t="s">
        <v>101</v>
      </c>
      <c r="W23" s="25" t="s">
        <v>308</v>
      </c>
      <c r="X23" s="25" t="s">
        <v>308</v>
      </c>
      <c r="Y23" s="25" t="s">
        <v>308</v>
      </c>
      <c r="Z23" s="8"/>
    </row>
    <row r="24" spans="1:26" x14ac:dyDescent="0.55000000000000004">
      <c r="A24" s="8" t="s">
        <v>615</v>
      </c>
      <c r="B24" s="25" t="s">
        <v>308</v>
      </c>
      <c r="C24" s="25" t="s">
        <v>308</v>
      </c>
      <c r="D24" s="25" t="s">
        <v>308</v>
      </c>
      <c r="E24" s="25" t="s">
        <v>308</v>
      </c>
      <c r="F24" s="25" t="s">
        <v>308</v>
      </c>
      <c r="G24" s="25" t="s">
        <v>308</v>
      </c>
      <c r="H24" s="25" t="s">
        <v>308</v>
      </c>
      <c r="I24" s="25" t="s">
        <v>308</v>
      </c>
      <c r="J24" s="25" t="s">
        <v>308</v>
      </c>
      <c r="K24" s="8"/>
      <c r="L24" s="10"/>
      <c r="M24" s="8"/>
      <c r="N24" s="8" t="s">
        <v>614</v>
      </c>
      <c r="O24" s="26">
        <v>0</v>
      </c>
      <c r="P24" s="25" t="s">
        <v>308</v>
      </c>
      <c r="Q24" s="25" t="s">
        <v>308</v>
      </c>
      <c r="R24" s="25" t="s">
        <v>308</v>
      </c>
      <c r="S24" s="8"/>
      <c r="T24" s="10"/>
      <c r="U24" s="8"/>
      <c r="V24" s="8"/>
      <c r="W24" s="8"/>
      <c r="X24" s="8"/>
      <c r="Y24" s="8"/>
      <c r="Z24" s="8"/>
    </row>
    <row r="25" spans="1:26" x14ac:dyDescent="0.55000000000000004">
      <c r="A25" s="8" t="s">
        <v>63</v>
      </c>
      <c r="B25" s="25" t="s">
        <v>308</v>
      </c>
      <c r="C25" s="25" t="s">
        <v>308</v>
      </c>
      <c r="D25" s="25" t="s">
        <v>308</v>
      </c>
      <c r="E25" s="25" t="s">
        <v>308</v>
      </c>
      <c r="F25" s="25" t="s">
        <v>308</v>
      </c>
      <c r="G25" s="25" t="s">
        <v>308</v>
      </c>
      <c r="H25" s="25" t="s">
        <v>308</v>
      </c>
      <c r="I25" s="25" t="s">
        <v>308</v>
      </c>
      <c r="J25" s="25" t="s">
        <v>308</v>
      </c>
      <c r="K25" s="8"/>
      <c r="L25" s="10"/>
      <c r="M25" s="8"/>
      <c r="N25" s="8" t="s">
        <v>62</v>
      </c>
      <c r="O25" s="26">
        <v>0</v>
      </c>
      <c r="P25" s="25" t="s">
        <v>308</v>
      </c>
      <c r="Q25" s="25" t="s">
        <v>308</v>
      </c>
      <c r="R25" s="25" t="s">
        <v>308</v>
      </c>
      <c r="S25" s="8"/>
      <c r="T25" s="10"/>
      <c r="U25" s="11"/>
      <c r="V25" s="11" t="s">
        <v>479</v>
      </c>
      <c r="W25" s="11"/>
      <c r="X25" s="11"/>
      <c r="Y25" s="11"/>
      <c r="Z25" s="11"/>
    </row>
    <row r="26" spans="1:26" x14ac:dyDescent="0.55000000000000004">
      <c r="A26" s="8" t="s">
        <v>124</v>
      </c>
      <c r="B26" s="25" t="s">
        <v>308</v>
      </c>
      <c r="C26" s="25" t="s">
        <v>308</v>
      </c>
      <c r="D26" s="25" t="s">
        <v>308</v>
      </c>
      <c r="E26" s="25" t="s">
        <v>308</v>
      </c>
      <c r="F26" s="25" t="s">
        <v>308</v>
      </c>
      <c r="G26" s="25" t="s">
        <v>308</v>
      </c>
      <c r="H26" s="25" t="s">
        <v>308</v>
      </c>
      <c r="I26" s="25" t="s">
        <v>308</v>
      </c>
      <c r="J26" s="25" t="s">
        <v>308</v>
      </c>
      <c r="K26" s="8"/>
      <c r="L26" s="10"/>
      <c r="M26" s="8"/>
      <c r="N26" s="8" t="s">
        <v>123</v>
      </c>
      <c r="O26" s="26">
        <v>0</v>
      </c>
      <c r="P26" s="25" t="s">
        <v>308</v>
      </c>
      <c r="Q26" s="25" t="s">
        <v>308</v>
      </c>
      <c r="R26" s="25" t="s">
        <v>308</v>
      </c>
      <c r="S26" s="8"/>
      <c r="T26" s="10"/>
      <c r="U26" s="13"/>
      <c r="V26" s="13"/>
      <c r="W26" s="13"/>
      <c r="X26" s="15" t="s">
        <v>339</v>
      </c>
      <c r="Y26" s="15" t="s">
        <v>474</v>
      </c>
      <c r="Z26" s="13"/>
    </row>
    <row r="27" spans="1:26" x14ac:dyDescent="0.55000000000000004">
      <c r="A27" s="8" t="s">
        <v>122</v>
      </c>
      <c r="B27" s="25" t="s">
        <v>308</v>
      </c>
      <c r="C27" s="25" t="s">
        <v>308</v>
      </c>
      <c r="D27" s="25" t="s">
        <v>308</v>
      </c>
      <c r="E27" s="25" t="s">
        <v>308</v>
      </c>
      <c r="F27" s="25" t="s">
        <v>308</v>
      </c>
      <c r="G27" s="25" t="s">
        <v>308</v>
      </c>
      <c r="H27" s="25" t="s">
        <v>308</v>
      </c>
      <c r="I27" s="25" t="s">
        <v>308</v>
      </c>
      <c r="J27" s="25" t="s">
        <v>308</v>
      </c>
      <c r="K27" s="8"/>
      <c r="L27" s="10"/>
      <c r="M27" s="8"/>
      <c r="N27" s="8" t="s">
        <v>121</v>
      </c>
      <c r="O27" s="26">
        <v>0</v>
      </c>
      <c r="P27" s="25" t="s">
        <v>308</v>
      </c>
      <c r="Q27" s="25" t="s">
        <v>308</v>
      </c>
      <c r="R27" s="25" t="s">
        <v>308</v>
      </c>
      <c r="S27" s="8"/>
      <c r="T27" s="10"/>
      <c r="U27" s="13"/>
      <c r="V27" s="13"/>
      <c r="W27" s="13"/>
      <c r="X27" s="16" t="s">
        <v>481</v>
      </c>
      <c r="Y27" s="16" t="s">
        <v>480</v>
      </c>
      <c r="Z27" s="13"/>
    </row>
    <row r="28" spans="1:26" x14ac:dyDescent="0.55000000000000004">
      <c r="A28" s="8" t="s">
        <v>116</v>
      </c>
      <c r="B28" s="25" t="s">
        <v>308</v>
      </c>
      <c r="C28" s="25" t="s">
        <v>308</v>
      </c>
      <c r="D28" s="25" t="s">
        <v>308</v>
      </c>
      <c r="E28" s="25" t="s">
        <v>308</v>
      </c>
      <c r="F28" s="25" t="s">
        <v>308</v>
      </c>
      <c r="G28" s="25" t="s">
        <v>308</v>
      </c>
      <c r="H28" s="25" t="s">
        <v>308</v>
      </c>
      <c r="I28" s="25" t="s">
        <v>308</v>
      </c>
      <c r="J28" s="25" t="s">
        <v>308</v>
      </c>
      <c r="K28" s="8"/>
      <c r="L28" s="10"/>
      <c r="M28" s="8"/>
      <c r="N28" s="8" t="s">
        <v>115</v>
      </c>
      <c r="O28" s="26">
        <v>0</v>
      </c>
      <c r="P28" s="25" t="s">
        <v>308</v>
      </c>
      <c r="Q28" s="25" t="s">
        <v>308</v>
      </c>
      <c r="R28" s="25" t="s">
        <v>308</v>
      </c>
      <c r="S28" s="8"/>
      <c r="T28" s="10"/>
      <c r="U28" s="8"/>
      <c r="V28" s="8" t="s">
        <v>475</v>
      </c>
      <c r="W28" s="8" t="s">
        <v>791</v>
      </c>
      <c r="X28" s="25" t="s">
        <v>308</v>
      </c>
      <c r="Y28" s="25" t="s">
        <v>308</v>
      </c>
      <c r="Z28" s="8"/>
    </row>
    <row r="29" spans="1:26" x14ac:dyDescent="0.55000000000000004">
      <c r="A29" s="8" t="s">
        <v>112</v>
      </c>
      <c r="B29" s="25" t="s">
        <v>308</v>
      </c>
      <c r="C29" s="25" t="s">
        <v>308</v>
      </c>
      <c r="D29" s="25" t="s">
        <v>308</v>
      </c>
      <c r="E29" s="25" t="s">
        <v>308</v>
      </c>
      <c r="F29" s="25" t="s">
        <v>308</v>
      </c>
      <c r="G29" s="25" t="s">
        <v>308</v>
      </c>
      <c r="H29" s="25" t="s">
        <v>308</v>
      </c>
      <c r="I29" s="25" t="s">
        <v>308</v>
      </c>
      <c r="J29" s="25" t="s">
        <v>308</v>
      </c>
      <c r="K29" s="8"/>
      <c r="L29" s="10"/>
      <c r="M29" s="8"/>
      <c r="N29" s="8" t="s">
        <v>111</v>
      </c>
      <c r="O29" s="26">
        <v>0</v>
      </c>
      <c r="P29" s="25" t="s">
        <v>308</v>
      </c>
      <c r="Q29" s="25" t="s">
        <v>308</v>
      </c>
      <c r="R29" s="25" t="s">
        <v>308</v>
      </c>
      <c r="S29" s="8"/>
      <c r="T29" s="10"/>
      <c r="U29" s="8"/>
      <c r="V29" s="8"/>
      <c r="W29" s="8" t="s">
        <v>792</v>
      </c>
      <c r="X29" s="25" t="s">
        <v>308</v>
      </c>
      <c r="Y29" s="25" t="s">
        <v>308</v>
      </c>
      <c r="Z29" s="8"/>
    </row>
    <row r="30" spans="1:26" x14ac:dyDescent="0.55000000000000004">
      <c r="A30" s="8" t="s">
        <v>629</v>
      </c>
      <c r="B30" s="25" t="s">
        <v>308</v>
      </c>
      <c r="C30" s="25" t="s">
        <v>308</v>
      </c>
      <c r="D30" s="25" t="s">
        <v>308</v>
      </c>
      <c r="E30" s="25" t="s">
        <v>308</v>
      </c>
      <c r="F30" s="25" t="s">
        <v>308</v>
      </c>
      <c r="G30" s="25" t="s">
        <v>308</v>
      </c>
      <c r="H30" s="25" t="s">
        <v>308</v>
      </c>
      <c r="I30" s="25" t="s">
        <v>308</v>
      </c>
      <c r="J30" s="25" t="s">
        <v>308</v>
      </c>
      <c r="K30" s="8"/>
      <c r="L30" s="10"/>
      <c r="M30" s="8"/>
      <c r="N30" s="8" t="s">
        <v>628</v>
      </c>
      <c r="O30" s="26">
        <v>0</v>
      </c>
      <c r="P30" s="25" t="s">
        <v>308</v>
      </c>
      <c r="Q30" s="25" t="s">
        <v>308</v>
      </c>
      <c r="R30" s="25" t="s">
        <v>308</v>
      </c>
      <c r="S30" s="8"/>
      <c r="T30" s="10"/>
      <c r="U30" s="8"/>
      <c r="V30" s="8"/>
      <c r="W30" s="8" t="s">
        <v>793</v>
      </c>
      <c r="X30" s="25" t="s">
        <v>308</v>
      </c>
      <c r="Y30" s="25" t="s">
        <v>308</v>
      </c>
      <c r="Z30" s="8"/>
    </row>
    <row r="31" spans="1:26" x14ac:dyDescent="0.55000000000000004">
      <c r="A31" s="8" t="s">
        <v>127</v>
      </c>
      <c r="B31" s="25" t="s">
        <v>308</v>
      </c>
      <c r="C31" s="25" t="s">
        <v>308</v>
      </c>
      <c r="D31" s="25" t="s">
        <v>308</v>
      </c>
      <c r="E31" s="25" t="s">
        <v>308</v>
      </c>
      <c r="F31" s="25" t="s">
        <v>308</v>
      </c>
      <c r="G31" s="25" t="s">
        <v>308</v>
      </c>
      <c r="H31" s="25" t="s">
        <v>308</v>
      </c>
      <c r="I31" s="25" t="s">
        <v>308</v>
      </c>
      <c r="J31" s="25" t="s">
        <v>308</v>
      </c>
      <c r="K31" s="8"/>
      <c r="L31" s="10"/>
      <c r="M31" s="8"/>
      <c r="N31" s="8" t="s">
        <v>126</v>
      </c>
      <c r="O31" s="26">
        <v>0</v>
      </c>
      <c r="P31" s="25" t="s">
        <v>308</v>
      </c>
      <c r="Q31" s="25" t="s">
        <v>308</v>
      </c>
      <c r="R31" s="25" t="s">
        <v>308</v>
      </c>
      <c r="S31" s="8"/>
      <c r="T31" s="10"/>
      <c r="U31" s="8"/>
      <c r="V31" s="8"/>
      <c r="W31" s="8" t="s">
        <v>794</v>
      </c>
      <c r="X31" s="25" t="s">
        <v>308</v>
      </c>
      <c r="Y31" s="25" t="s">
        <v>308</v>
      </c>
      <c r="Z31" s="8"/>
    </row>
    <row r="32" spans="1:26" x14ac:dyDescent="0.55000000000000004">
      <c r="A32" s="8" t="s">
        <v>130</v>
      </c>
      <c r="B32" s="25" t="s">
        <v>308</v>
      </c>
      <c r="C32" s="25" t="s">
        <v>308</v>
      </c>
      <c r="D32" s="25" t="s">
        <v>308</v>
      </c>
      <c r="E32" s="25" t="s">
        <v>308</v>
      </c>
      <c r="F32" s="25" t="s">
        <v>308</v>
      </c>
      <c r="G32" s="25" t="s">
        <v>308</v>
      </c>
      <c r="H32" s="25" t="s">
        <v>308</v>
      </c>
      <c r="I32" s="25" t="s">
        <v>308</v>
      </c>
      <c r="J32" s="25" t="s">
        <v>308</v>
      </c>
      <c r="K32" s="8"/>
      <c r="L32" s="10"/>
      <c r="M32" s="8"/>
      <c r="N32" s="8" t="s">
        <v>129</v>
      </c>
      <c r="O32" s="26">
        <v>0</v>
      </c>
      <c r="P32" s="25" t="s">
        <v>308</v>
      </c>
      <c r="Q32" s="25" t="s">
        <v>308</v>
      </c>
      <c r="R32" s="25" t="s">
        <v>308</v>
      </c>
      <c r="S32" s="8"/>
      <c r="T32" s="10"/>
      <c r="U32" s="8"/>
      <c r="V32" s="8"/>
      <c r="W32" s="8" t="s">
        <v>795</v>
      </c>
      <c r="X32" s="25" t="s">
        <v>308</v>
      </c>
      <c r="Y32" s="25" t="s">
        <v>308</v>
      </c>
      <c r="Z32" s="8"/>
    </row>
    <row r="33" spans="1:26" x14ac:dyDescent="0.55000000000000004">
      <c r="A33" s="8" t="s">
        <v>140</v>
      </c>
      <c r="B33" s="25" t="s">
        <v>308</v>
      </c>
      <c r="C33" s="25" t="s">
        <v>308</v>
      </c>
      <c r="D33" s="25" t="s">
        <v>308</v>
      </c>
      <c r="E33" s="25" t="s">
        <v>308</v>
      </c>
      <c r="F33" s="25" t="s">
        <v>308</v>
      </c>
      <c r="G33" s="25" t="s">
        <v>308</v>
      </c>
      <c r="H33" s="25" t="s">
        <v>308</v>
      </c>
      <c r="I33" s="25" t="s">
        <v>308</v>
      </c>
      <c r="J33" s="25" t="s">
        <v>308</v>
      </c>
      <c r="K33" s="8"/>
      <c r="L33" s="10"/>
      <c r="M33" s="8"/>
      <c r="N33" s="8" t="s">
        <v>139</v>
      </c>
      <c r="O33" s="26">
        <v>0</v>
      </c>
      <c r="P33" s="25" t="s">
        <v>308</v>
      </c>
      <c r="Q33" s="25" t="s">
        <v>308</v>
      </c>
      <c r="R33" s="25" t="s">
        <v>308</v>
      </c>
      <c r="S33" s="8"/>
      <c r="T33" s="10"/>
      <c r="U33" s="8"/>
      <c r="V33" s="8" t="s">
        <v>476</v>
      </c>
      <c r="W33" s="8" t="s">
        <v>89</v>
      </c>
      <c r="X33" s="25" t="s">
        <v>308</v>
      </c>
      <c r="Y33" s="25" t="s">
        <v>308</v>
      </c>
      <c r="Z33" s="8"/>
    </row>
    <row r="34" spans="1:26" x14ac:dyDescent="0.55000000000000004">
      <c r="A34" s="8" t="s">
        <v>135</v>
      </c>
      <c r="B34" s="25" t="s">
        <v>308</v>
      </c>
      <c r="C34" s="25" t="s">
        <v>308</v>
      </c>
      <c r="D34" s="25" t="s">
        <v>308</v>
      </c>
      <c r="E34" s="25" t="s">
        <v>308</v>
      </c>
      <c r="F34" s="25" t="s">
        <v>308</v>
      </c>
      <c r="G34" s="25" t="s">
        <v>308</v>
      </c>
      <c r="H34" s="25" t="s">
        <v>308</v>
      </c>
      <c r="I34" s="25" t="s">
        <v>308</v>
      </c>
      <c r="J34" s="25" t="s">
        <v>308</v>
      </c>
      <c r="K34" s="8"/>
      <c r="L34" s="10"/>
      <c r="M34" s="8"/>
      <c r="N34" s="8" t="s">
        <v>134</v>
      </c>
      <c r="O34" s="26">
        <v>0</v>
      </c>
      <c r="P34" s="25" t="s">
        <v>308</v>
      </c>
      <c r="Q34" s="25" t="s">
        <v>308</v>
      </c>
      <c r="R34" s="25" t="s">
        <v>308</v>
      </c>
      <c r="S34" s="8"/>
      <c r="T34" s="10"/>
      <c r="U34" s="8"/>
      <c r="V34" s="8"/>
      <c r="W34" s="8" t="s">
        <v>97</v>
      </c>
      <c r="X34" s="25" t="s">
        <v>308</v>
      </c>
      <c r="Y34" s="25" t="s">
        <v>308</v>
      </c>
      <c r="Z34" s="8"/>
    </row>
    <row r="35" spans="1:26" x14ac:dyDescent="0.55000000000000004">
      <c r="A35" s="8" t="s">
        <v>142</v>
      </c>
      <c r="B35" s="25" t="s">
        <v>308</v>
      </c>
      <c r="C35" s="25" t="s">
        <v>308</v>
      </c>
      <c r="D35" s="25" t="s">
        <v>308</v>
      </c>
      <c r="E35" s="25" t="s">
        <v>308</v>
      </c>
      <c r="F35" s="25" t="s">
        <v>308</v>
      </c>
      <c r="G35" s="25" t="s">
        <v>308</v>
      </c>
      <c r="H35" s="25" t="s">
        <v>308</v>
      </c>
      <c r="I35" s="25" t="s">
        <v>308</v>
      </c>
      <c r="J35" s="25" t="s">
        <v>308</v>
      </c>
      <c r="K35" s="8"/>
      <c r="L35" s="10"/>
      <c r="M35" s="8"/>
      <c r="N35" s="8" t="s">
        <v>141</v>
      </c>
      <c r="O35" s="26">
        <v>0</v>
      </c>
      <c r="P35" s="25" t="s">
        <v>308</v>
      </c>
      <c r="Q35" s="25" t="s">
        <v>308</v>
      </c>
      <c r="R35" s="25" t="s">
        <v>308</v>
      </c>
      <c r="S35" s="8"/>
      <c r="T35" s="10"/>
      <c r="U35" s="8"/>
      <c r="V35" s="8"/>
      <c r="W35" s="8" t="s">
        <v>103</v>
      </c>
      <c r="X35" s="25" t="s">
        <v>308</v>
      </c>
      <c r="Y35" s="25" t="s">
        <v>308</v>
      </c>
      <c r="Z35" s="8"/>
    </row>
    <row r="36" spans="1:26" x14ac:dyDescent="0.55000000000000004">
      <c r="A36" s="8" t="s">
        <v>133</v>
      </c>
      <c r="B36" s="25" t="s">
        <v>308</v>
      </c>
      <c r="C36" s="25" t="s">
        <v>308</v>
      </c>
      <c r="D36" s="25" t="s">
        <v>308</v>
      </c>
      <c r="E36" s="25" t="s">
        <v>308</v>
      </c>
      <c r="F36" s="25" t="s">
        <v>308</v>
      </c>
      <c r="G36" s="25" t="s">
        <v>308</v>
      </c>
      <c r="H36" s="25" t="s">
        <v>308</v>
      </c>
      <c r="I36" s="25" t="s">
        <v>308</v>
      </c>
      <c r="J36" s="25" t="s">
        <v>308</v>
      </c>
      <c r="K36" s="8"/>
      <c r="L36" s="10"/>
      <c r="M36" s="8"/>
      <c r="N36" s="8" t="s">
        <v>132</v>
      </c>
      <c r="O36" s="26">
        <v>0</v>
      </c>
      <c r="P36" s="25" t="s">
        <v>308</v>
      </c>
      <c r="Q36" s="25" t="s">
        <v>308</v>
      </c>
      <c r="R36" s="25" t="s">
        <v>308</v>
      </c>
      <c r="S36" s="8"/>
      <c r="T36" s="10"/>
      <c r="U36" s="8"/>
      <c r="V36" s="8"/>
      <c r="W36" s="8" t="s">
        <v>109</v>
      </c>
      <c r="X36" s="25" t="s">
        <v>308</v>
      </c>
      <c r="Y36" s="25" t="s">
        <v>308</v>
      </c>
      <c r="Z36" s="8"/>
    </row>
    <row r="37" spans="1:26" x14ac:dyDescent="0.55000000000000004">
      <c r="A37" s="8" t="s">
        <v>138</v>
      </c>
      <c r="B37" s="25" t="s">
        <v>308</v>
      </c>
      <c r="C37" s="25" t="s">
        <v>308</v>
      </c>
      <c r="D37" s="25" t="s">
        <v>308</v>
      </c>
      <c r="E37" s="25" t="s">
        <v>308</v>
      </c>
      <c r="F37" s="25" t="s">
        <v>308</v>
      </c>
      <c r="G37" s="25" t="s">
        <v>308</v>
      </c>
      <c r="H37" s="25" t="s">
        <v>308</v>
      </c>
      <c r="I37" s="25" t="s">
        <v>308</v>
      </c>
      <c r="J37" s="25" t="s">
        <v>308</v>
      </c>
      <c r="K37" s="8"/>
      <c r="L37" s="10"/>
      <c r="M37" s="8"/>
      <c r="N37" s="8" t="s">
        <v>137</v>
      </c>
      <c r="O37" s="26">
        <v>0</v>
      </c>
      <c r="P37" s="25" t="s">
        <v>308</v>
      </c>
      <c r="Q37" s="25" t="s">
        <v>308</v>
      </c>
      <c r="R37" s="25" t="s">
        <v>308</v>
      </c>
      <c r="S37" s="8"/>
      <c r="T37" s="10"/>
      <c r="U37" s="8"/>
      <c r="V37" s="8"/>
      <c r="W37" s="8" t="s">
        <v>113</v>
      </c>
      <c r="X37" s="25" t="s">
        <v>308</v>
      </c>
      <c r="Y37" s="25" t="s">
        <v>308</v>
      </c>
      <c r="Z37" s="8"/>
    </row>
    <row r="38" spans="1:26" x14ac:dyDescent="0.55000000000000004">
      <c r="A38" s="8" t="s">
        <v>639</v>
      </c>
      <c r="B38" s="25" t="s">
        <v>308</v>
      </c>
      <c r="C38" s="25" t="s">
        <v>308</v>
      </c>
      <c r="D38" s="25" t="s">
        <v>308</v>
      </c>
      <c r="E38" s="25" t="s">
        <v>308</v>
      </c>
      <c r="F38" s="25" t="s">
        <v>308</v>
      </c>
      <c r="G38" s="25" t="s">
        <v>308</v>
      </c>
      <c r="H38" s="25" t="s">
        <v>308</v>
      </c>
      <c r="I38" s="25" t="s">
        <v>308</v>
      </c>
      <c r="J38" s="25" t="s">
        <v>308</v>
      </c>
      <c r="K38" s="8"/>
      <c r="L38" s="10"/>
      <c r="M38" s="8"/>
      <c r="N38" s="8" t="s">
        <v>638</v>
      </c>
      <c r="O38" s="26">
        <v>0</v>
      </c>
      <c r="P38" s="25" t="s">
        <v>308</v>
      </c>
      <c r="Q38" s="25" t="s">
        <v>308</v>
      </c>
      <c r="R38" s="25" t="s">
        <v>308</v>
      </c>
      <c r="S38" s="8"/>
      <c r="T38" s="10"/>
      <c r="U38" s="8"/>
      <c r="V38" s="8" t="s">
        <v>477</v>
      </c>
      <c r="W38" s="8" t="s">
        <v>607</v>
      </c>
      <c r="X38" s="25" t="s">
        <v>308</v>
      </c>
      <c r="Y38" s="25" t="s">
        <v>308</v>
      </c>
      <c r="Z38" s="8"/>
    </row>
    <row r="39" spans="1:26" x14ac:dyDescent="0.55000000000000004">
      <c r="A39" s="8" t="s">
        <v>642</v>
      </c>
      <c r="B39" s="25" t="s">
        <v>308</v>
      </c>
      <c r="C39" s="25" t="s">
        <v>308</v>
      </c>
      <c r="D39" s="25" t="s">
        <v>308</v>
      </c>
      <c r="E39" s="25" t="s">
        <v>308</v>
      </c>
      <c r="F39" s="25" t="s">
        <v>308</v>
      </c>
      <c r="G39" s="25" t="s">
        <v>308</v>
      </c>
      <c r="H39" s="25" t="s">
        <v>308</v>
      </c>
      <c r="I39" s="25" t="s">
        <v>308</v>
      </c>
      <c r="J39" s="25" t="s">
        <v>308</v>
      </c>
      <c r="K39" s="8"/>
      <c r="L39" s="10"/>
      <c r="M39" s="8"/>
      <c r="N39" s="8" t="s">
        <v>641</v>
      </c>
      <c r="O39" s="26">
        <v>0</v>
      </c>
      <c r="P39" s="25" t="s">
        <v>308</v>
      </c>
      <c r="Q39" s="25" t="s">
        <v>308</v>
      </c>
      <c r="R39" s="25" t="s">
        <v>308</v>
      </c>
      <c r="S39" s="8"/>
      <c r="T39" s="10"/>
      <c r="U39" s="8"/>
      <c r="V39" s="8"/>
      <c r="W39" s="8" t="s">
        <v>612</v>
      </c>
      <c r="X39" s="25" t="s">
        <v>308</v>
      </c>
      <c r="Y39" s="25" t="s">
        <v>308</v>
      </c>
      <c r="Z39" s="8"/>
    </row>
    <row r="40" spans="1:26" x14ac:dyDescent="0.55000000000000004">
      <c r="A40" s="8" t="s">
        <v>645</v>
      </c>
      <c r="B40" s="25" t="s">
        <v>308</v>
      </c>
      <c r="C40" s="25" t="s">
        <v>308</v>
      </c>
      <c r="D40" s="25" t="s">
        <v>308</v>
      </c>
      <c r="E40" s="25" t="s">
        <v>308</v>
      </c>
      <c r="F40" s="25" t="s">
        <v>308</v>
      </c>
      <c r="G40" s="25" t="s">
        <v>308</v>
      </c>
      <c r="H40" s="25" t="s">
        <v>308</v>
      </c>
      <c r="I40" s="25" t="s">
        <v>308</v>
      </c>
      <c r="J40" s="25" t="s">
        <v>308</v>
      </c>
      <c r="K40" s="8"/>
      <c r="L40" s="10"/>
      <c r="M40" s="8"/>
      <c r="N40" s="8" t="s">
        <v>644</v>
      </c>
      <c r="O40" s="26">
        <v>0</v>
      </c>
      <c r="P40" s="25" t="s">
        <v>308</v>
      </c>
      <c r="Q40" s="25" t="s">
        <v>308</v>
      </c>
      <c r="R40" s="25" t="s">
        <v>308</v>
      </c>
      <c r="S40" s="8"/>
      <c r="T40" s="10"/>
      <c r="U40" s="8"/>
      <c r="V40" s="8"/>
      <c r="W40" s="8" t="s">
        <v>617</v>
      </c>
      <c r="X40" s="25" t="s">
        <v>308</v>
      </c>
      <c r="Y40" s="25" t="s">
        <v>308</v>
      </c>
      <c r="Z40" s="8"/>
    </row>
    <row r="41" spans="1:26" x14ac:dyDescent="0.55000000000000004">
      <c r="A41" s="8" t="s">
        <v>648</v>
      </c>
      <c r="B41" s="25" t="s">
        <v>308</v>
      </c>
      <c r="C41" s="25" t="s">
        <v>308</v>
      </c>
      <c r="D41" s="25" t="s">
        <v>308</v>
      </c>
      <c r="E41" s="25" t="s">
        <v>308</v>
      </c>
      <c r="F41" s="25" t="s">
        <v>308</v>
      </c>
      <c r="G41" s="25" t="s">
        <v>308</v>
      </c>
      <c r="H41" s="25" t="s">
        <v>308</v>
      </c>
      <c r="I41" s="25" t="s">
        <v>308</v>
      </c>
      <c r="J41" s="25" t="s">
        <v>308</v>
      </c>
      <c r="K41" s="8"/>
      <c r="L41" s="10"/>
      <c r="M41" s="8"/>
      <c r="N41" s="8" t="s">
        <v>647</v>
      </c>
      <c r="O41" s="26">
        <v>0</v>
      </c>
      <c r="P41" s="25" t="s">
        <v>308</v>
      </c>
      <c r="Q41" s="25" t="s">
        <v>308</v>
      </c>
      <c r="R41" s="25" t="s">
        <v>308</v>
      </c>
      <c r="S41" s="8"/>
      <c r="T41" s="10"/>
      <c r="U41" s="8"/>
      <c r="V41" s="8"/>
      <c r="W41" s="8" t="s">
        <v>620</v>
      </c>
      <c r="X41" s="25" t="s">
        <v>308</v>
      </c>
      <c r="Y41" s="25" t="s">
        <v>308</v>
      </c>
      <c r="Z41" s="8"/>
    </row>
    <row r="42" spans="1:26" x14ac:dyDescent="0.55000000000000004">
      <c r="A42" s="8" t="s">
        <v>145</v>
      </c>
      <c r="B42" s="25" t="s">
        <v>308</v>
      </c>
      <c r="C42" s="25" t="s">
        <v>308</v>
      </c>
      <c r="D42" s="25" t="s">
        <v>308</v>
      </c>
      <c r="E42" s="25" t="s">
        <v>308</v>
      </c>
      <c r="F42" s="25" t="s">
        <v>308</v>
      </c>
      <c r="G42" s="25" t="s">
        <v>308</v>
      </c>
      <c r="H42" s="25" t="s">
        <v>308</v>
      </c>
      <c r="I42" s="25" t="s">
        <v>308</v>
      </c>
      <c r="J42" s="25" t="s">
        <v>308</v>
      </c>
      <c r="K42" s="8"/>
      <c r="L42" s="10"/>
      <c r="M42" s="8"/>
      <c r="N42" s="8" t="s">
        <v>144</v>
      </c>
      <c r="O42" s="26">
        <v>0</v>
      </c>
      <c r="P42" s="25" t="s">
        <v>308</v>
      </c>
      <c r="Q42" s="25" t="s">
        <v>308</v>
      </c>
      <c r="R42" s="25" t="s">
        <v>308</v>
      </c>
      <c r="S42" s="8"/>
      <c r="T42" s="10"/>
      <c r="U42" s="8"/>
      <c r="V42" s="8"/>
      <c r="W42" s="8" t="s">
        <v>623</v>
      </c>
      <c r="X42" s="25" t="s">
        <v>308</v>
      </c>
      <c r="Y42" s="25" t="s">
        <v>308</v>
      </c>
      <c r="Z42" s="8"/>
    </row>
    <row r="43" spans="1:26" x14ac:dyDescent="0.55000000000000004">
      <c r="A43" s="8" t="s">
        <v>148</v>
      </c>
      <c r="B43" s="25" t="s">
        <v>308</v>
      </c>
      <c r="C43" s="25" t="s">
        <v>308</v>
      </c>
      <c r="D43" s="25" t="s">
        <v>308</v>
      </c>
      <c r="E43" s="25" t="s">
        <v>308</v>
      </c>
      <c r="F43" s="25" t="s">
        <v>308</v>
      </c>
      <c r="G43" s="25" t="s">
        <v>308</v>
      </c>
      <c r="H43" s="25" t="s">
        <v>308</v>
      </c>
      <c r="I43" s="25" t="s">
        <v>308</v>
      </c>
      <c r="J43" s="25" t="s">
        <v>308</v>
      </c>
      <c r="K43" s="8"/>
      <c r="L43" s="10"/>
      <c r="M43" s="8"/>
      <c r="N43" s="8" t="s">
        <v>147</v>
      </c>
      <c r="O43" s="26">
        <v>0</v>
      </c>
      <c r="P43" s="25" t="s">
        <v>308</v>
      </c>
      <c r="Q43" s="25" t="s">
        <v>308</v>
      </c>
      <c r="R43" s="25" t="s">
        <v>308</v>
      </c>
      <c r="S43" s="8"/>
      <c r="T43" s="10"/>
      <c r="U43" s="8"/>
      <c r="V43" s="8"/>
      <c r="W43" s="8"/>
      <c r="X43" s="8"/>
      <c r="Y43" s="8"/>
      <c r="Z43" s="8"/>
    </row>
    <row r="44" spans="1:26" x14ac:dyDescent="0.55000000000000004">
      <c r="A44" s="8" t="s">
        <v>150</v>
      </c>
      <c r="B44" s="25" t="s">
        <v>308</v>
      </c>
      <c r="C44" s="25">
        <v>34</v>
      </c>
      <c r="D44" s="25" t="s">
        <v>308</v>
      </c>
      <c r="E44" s="25" t="s">
        <v>308</v>
      </c>
      <c r="F44" s="25" t="s">
        <v>308</v>
      </c>
      <c r="G44" s="25" t="s">
        <v>308</v>
      </c>
      <c r="H44" s="25" t="s">
        <v>308</v>
      </c>
      <c r="I44" s="25" t="s">
        <v>308</v>
      </c>
      <c r="J44" s="25" t="s">
        <v>308</v>
      </c>
      <c r="K44" s="8"/>
      <c r="L44" s="10"/>
      <c r="M44" s="8"/>
      <c r="N44" s="8" t="s">
        <v>149</v>
      </c>
      <c r="O44" s="26">
        <v>0</v>
      </c>
      <c r="P44" s="25" t="s">
        <v>308</v>
      </c>
      <c r="Q44" s="25" t="s">
        <v>308</v>
      </c>
      <c r="R44" s="25" t="s">
        <v>308</v>
      </c>
      <c r="S44" s="8"/>
      <c r="T44" s="10"/>
      <c r="U44" s="10"/>
      <c r="V44" s="11" t="s">
        <v>309</v>
      </c>
      <c r="W44" s="10"/>
      <c r="X44" s="10"/>
      <c r="Y44" s="10"/>
      <c r="Z44" s="10"/>
    </row>
    <row r="45" spans="1:26" x14ac:dyDescent="0.55000000000000004">
      <c r="A45" s="8" t="s">
        <v>654</v>
      </c>
      <c r="B45" s="25" t="s">
        <v>308</v>
      </c>
      <c r="C45" s="25" t="s">
        <v>308</v>
      </c>
      <c r="D45" s="25" t="s">
        <v>308</v>
      </c>
      <c r="E45" s="25" t="s">
        <v>308</v>
      </c>
      <c r="F45" s="25" t="s">
        <v>308</v>
      </c>
      <c r="G45" s="25" t="s">
        <v>308</v>
      </c>
      <c r="H45" s="25" t="s">
        <v>308</v>
      </c>
      <c r="I45" s="25" t="s">
        <v>308</v>
      </c>
      <c r="J45" s="25" t="s">
        <v>308</v>
      </c>
      <c r="K45" s="8"/>
      <c r="L45" s="10"/>
      <c r="M45" s="8"/>
      <c r="N45" s="8" t="s">
        <v>653</v>
      </c>
      <c r="O45" s="26">
        <v>0</v>
      </c>
      <c r="P45" s="25" t="s">
        <v>308</v>
      </c>
      <c r="Q45" s="25" t="s">
        <v>308</v>
      </c>
      <c r="R45" s="25" t="s">
        <v>308</v>
      </c>
      <c r="S45" s="8"/>
      <c r="T45" s="10"/>
      <c r="U45" s="8"/>
      <c r="V45" s="8"/>
      <c r="W45" s="8"/>
      <c r="X45" s="8"/>
      <c r="Y45" s="8"/>
      <c r="Z45" s="8"/>
    </row>
    <row r="46" spans="1:26" x14ac:dyDescent="0.55000000000000004">
      <c r="A46" s="8" t="s">
        <v>152</v>
      </c>
      <c r="B46" s="25" t="s">
        <v>308</v>
      </c>
      <c r="C46" s="25" t="s">
        <v>308</v>
      </c>
      <c r="D46" s="25" t="s">
        <v>308</v>
      </c>
      <c r="E46" s="25" t="s">
        <v>308</v>
      </c>
      <c r="F46" s="25" t="s">
        <v>308</v>
      </c>
      <c r="G46" s="25" t="s">
        <v>308</v>
      </c>
      <c r="H46" s="25" t="s">
        <v>308</v>
      </c>
      <c r="I46" s="25" t="s">
        <v>308</v>
      </c>
      <c r="J46" s="25" t="s">
        <v>308</v>
      </c>
      <c r="K46" s="8"/>
      <c r="L46" s="10"/>
      <c r="M46" s="8"/>
      <c r="N46" s="8" t="s">
        <v>151</v>
      </c>
      <c r="O46" s="26">
        <v>0</v>
      </c>
      <c r="P46" s="25" t="s">
        <v>308</v>
      </c>
      <c r="Q46" s="25" t="s">
        <v>308</v>
      </c>
      <c r="R46" s="25" t="s">
        <v>308</v>
      </c>
      <c r="S46" s="8"/>
      <c r="T46" s="10"/>
      <c r="U46" s="8"/>
      <c r="V46" s="8" t="s">
        <v>310</v>
      </c>
      <c r="W46" s="8"/>
      <c r="X46" s="8" t="s">
        <v>311</v>
      </c>
      <c r="Y46" s="25" t="s">
        <v>308</v>
      </c>
      <c r="Z46" s="8"/>
    </row>
    <row r="47" spans="1:26" x14ac:dyDescent="0.55000000000000004">
      <c r="A47" s="8" t="s">
        <v>154</v>
      </c>
      <c r="B47" s="25" t="s">
        <v>308</v>
      </c>
      <c r="C47" s="25" t="s">
        <v>308</v>
      </c>
      <c r="D47" s="25" t="s">
        <v>308</v>
      </c>
      <c r="E47" s="25" t="s">
        <v>308</v>
      </c>
      <c r="F47" s="25" t="s">
        <v>308</v>
      </c>
      <c r="G47" s="25" t="s">
        <v>308</v>
      </c>
      <c r="H47" s="25" t="s">
        <v>308</v>
      </c>
      <c r="I47" s="25" t="s">
        <v>308</v>
      </c>
      <c r="J47" s="25" t="s">
        <v>308</v>
      </c>
      <c r="K47" s="8"/>
      <c r="L47" s="10"/>
      <c r="M47" s="8"/>
      <c r="N47" s="8" t="s">
        <v>153</v>
      </c>
      <c r="O47" s="26">
        <v>0</v>
      </c>
      <c r="P47" s="25" t="s">
        <v>308</v>
      </c>
      <c r="Q47" s="25" t="s">
        <v>308</v>
      </c>
      <c r="R47" s="25" t="s">
        <v>308</v>
      </c>
      <c r="S47" s="8"/>
      <c r="T47" s="10"/>
      <c r="U47" s="8"/>
      <c r="V47" s="8" t="s">
        <v>312</v>
      </c>
      <c r="W47" s="8"/>
      <c r="X47" s="8" t="s">
        <v>313</v>
      </c>
      <c r="Y47" s="25" t="s">
        <v>308</v>
      </c>
      <c r="Z47" s="8"/>
    </row>
    <row r="48" spans="1:26" x14ac:dyDescent="0.55000000000000004">
      <c r="A48" s="8" t="s">
        <v>156</v>
      </c>
      <c r="B48" s="25" t="s">
        <v>308</v>
      </c>
      <c r="C48" s="25" t="s">
        <v>308</v>
      </c>
      <c r="D48" s="25" t="s">
        <v>308</v>
      </c>
      <c r="E48" s="25" t="s">
        <v>308</v>
      </c>
      <c r="F48" s="25" t="s">
        <v>308</v>
      </c>
      <c r="G48" s="25" t="s">
        <v>308</v>
      </c>
      <c r="H48" s="25" t="s">
        <v>308</v>
      </c>
      <c r="I48" s="25" t="s">
        <v>308</v>
      </c>
      <c r="J48" s="25" t="s">
        <v>308</v>
      </c>
      <c r="K48" s="8"/>
      <c r="L48" s="10"/>
      <c r="M48" s="8"/>
      <c r="N48" s="8" t="s">
        <v>155</v>
      </c>
      <c r="O48" s="26">
        <v>0</v>
      </c>
      <c r="P48" s="25" t="s">
        <v>308</v>
      </c>
      <c r="Q48" s="25" t="s">
        <v>308</v>
      </c>
      <c r="R48" s="25" t="s">
        <v>308</v>
      </c>
      <c r="S48" s="8"/>
      <c r="T48" s="10"/>
      <c r="U48" s="8"/>
      <c r="V48" s="8" t="s">
        <v>314</v>
      </c>
      <c r="W48" s="8"/>
      <c r="X48" s="8" t="s">
        <v>315</v>
      </c>
      <c r="Y48" s="25" t="s">
        <v>308</v>
      </c>
      <c r="Z48" s="8"/>
    </row>
    <row r="49" spans="1:26" x14ac:dyDescent="0.55000000000000004">
      <c r="A49" s="8" t="s">
        <v>160</v>
      </c>
      <c r="B49" s="25" t="s">
        <v>308</v>
      </c>
      <c r="C49" s="25" t="s">
        <v>308</v>
      </c>
      <c r="D49" s="25" t="s">
        <v>308</v>
      </c>
      <c r="E49" s="25" t="s">
        <v>308</v>
      </c>
      <c r="F49" s="25" t="s">
        <v>308</v>
      </c>
      <c r="G49" s="25" t="s">
        <v>308</v>
      </c>
      <c r="H49" s="25" t="s">
        <v>308</v>
      </c>
      <c r="I49" s="25" t="s">
        <v>308</v>
      </c>
      <c r="J49" s="25" t="s">
        <v>308</v>
      </c>
      <c r="K49" s="8"/>
      <c r="L49" s="10"/>
      <c r="M49" s="8"/>
      <c r="N49" s="8" t="s">
        <v>159</v>
      </c>
      <c r="O49" s="26">
        <v>0</v>
      </c>
      <c r="P49" s="25" t="s">
        <v>308</v>
      </c>
      <c r="Q49" s="25" t="s">
        <v>308</v>
      </c>
      <c r="R49" s="25" t="s">
        <v>308</v>
      </c>
      <c r="S49" s="8"/>
      <c r="T49" s="10"/>
      <c r="U49" s="8"/>
      <c r="V49" s="8" t="s">
        <v>333</v>
      </c>
      <c r="W49" s="8"/>
      <c r="X49" s="8" t="s">
        <v>316</v>
      </c>
      <c r="Y49" s="25" t="s">
        <v>308</v>
      </c>
      <c r="Z49" s="8"/>
    </row>
    <row r="50" spans="1:26" x14ac:dyDescent="0.55000000000000004">
      <c r="A50" s="8" t="s">
        <v>162</v>
      </c>
      <c r="B50" s="25" t="s">
        <v>308</v>
      </c>
      <c r="C50" s="25" t="s">
        <v>308</v>
      </c>
      <c r="D50" s="25" t="s">
        <v>308</v>
      </c>
      <c r="E50" s="25" t="s">
        <v>308</v>
      </c>
      <c r="F50" s="25" t="s">
        <v>308</v>
      </c>
      <c r="G50" s="25" t="s">
        <v>308</v>
      </c>
      <c r="H50" s="25" t="s">
        <v>308</v>
      </c>
      <c r="I50" s="25" t="s">
        <v>308</v>
      </c>
      <c r="J50" s="25" t="s">
        <v>308</v>
      </c>
      <c r="K50" s="8"/>
      <c r="L50" s="10"/>
      <c r="M50" s="8"/>
      <c r="N50" s="8" t="s">
        <v>161</v>
      </c>
      <c r="O50" s="26">
        <v>0</v>
      </c>
      <c r="P50" s="25" t="s">
        <v>308</v>
      </c>
      <c r="Q50" s="25" t="s">
        <v>308</v>
      </c>
      <c r="R50" s="25" t="s">
        <v>308</v>
      </c>
      <c r="S50" s="8"/>
      <c r="T50" s="10"/>
      <c r="U50" s="8"/>
      <c r="V50" s="8" t="s">
        <v>334</v>
      </c>
      <c r="W50" s="8"/>
      <c r="X50" s="8" t="s">
        <v>317</v>
      </c>
      <c r="Y50" s="25" t="s">
        <v>308</v>
      </c>
      <c r="Z50" s="8"/>
    </row>
    <row r="51" spans="1:26" x14ac:dyDescent="0.55000000000000004">
      <c r="A51" s="8" t="s">
        <v>158</v>
      </c>
      <c r="B51" s="25" t="s">
        <v>308</v>
      </c>
      <c r="C51" s="25" t="s">
        <v>308</v>
      </c>
      <c r="D51" s="25" t="s">
        <v>308</v>
      </c>
      <c r="E51" s="25" t="s">
        <v>308</v>
      </c>
      <c r="F51" s="25" t="s">
        <v>308</v>
      </c>
      <c r="G51" s="25" t="s">
        <v>308</v>
      </c>
      <c r="H51" s="25" t="s">
        <v>308</v>
      </c>
      <c r="I51" s="25" t="s">
        <v>308</v>
      </c>
      <c r="J51" s="25" t="s">
        <v>308</v>
      </c>
      <c r="K51" s="8"/>
      <c r="L51" s="10"/>
      <c r="M51" s="8"/>
      <c r="N51" s="8" t="s">
        <v>157</v>
      </c>
      <c r="O51" s="26">
        <v>0</v>
      </c>
      <c r="P51" s="25" t="s">
        <v>308</v>
      </c>
      <c r="Q51" s="25" t="s">
        <v>308</v>
      </c>
      <c r="R51" s="25" t="s">
        <v>308</v>
      </c>
      <c r="S51" s="8"/>
      <c r="T51" s="10"/>
      <c r="U51" s="8"/>
      <c r="V51" s="8" t="s">
        <v>335</v>
      </c>
      <c r="W51" s="8"/>
      <c r="X51" s="8" t="s">
        <v>318</v>
      </c>
      <c r="Y51" s="25" t="s">
        <v>308</v>
      </c>
      <c r="Z51" s="8"/>
    </row>
    <row r="52" spans="1:26" x14ac:dyDescent="0.55000000000000004">
      <c r="A52" s="8" t="s">
        <v>164</v>
      </c>
      <c r="B52" s="25" t="s">
        <v>308</v>
      </c>
      <c r="C52" s="25" t="s">
        <v>308</v>
      </c>
      <c r="D52" s="25" t="s">
        <v>308</v>
      </c>
      <c r="E52" s="25" t="s">
        <v>308</v>
      </c>
      <c r="F52" s="25" t="s">
        <v>308</v>
      </c>
      <c r="G52" s="25" t="s">
        <v>308</v>
      </c>
      <c r="H52" s="25" t="s">
        <v>308</v>
      </c>
      <c r="I52" s="25" t="s">
        <v>308</v>
      </c>
      <c r="J52" s="25" t="s">
        <v>308</v>
      </c>
      <c r="K52" s="8"/>
      <c r="L52" s="10"/>
      <c r="M52" s="8"/>
      <c r="N52" s="8" t="s">
        <v>163</v>
      </c>
      <c r="O52" s="26">
        <v>0</v>
      </c>
      <c r="P52" s="25" t="s">
        <v>308</v>
      </c>
      <c r="Q52" s="25" t="s">
        <v>308</v>
      </c>
      <c r="R52" s="25" t="s">
        <v>308</v>
      </c>
      <c r="S52" s="8"/>
      <c r="T52" s="10"/>
      <c r="U52" s="8"/>
      <c r="V52" s="8"/>
      <c r="W52" s="8"/>
      <c r="X52" s="8" t="s">
        <v>319</v>
      </c>
      <c r="Y52" s="25" t="s">
        <v>308</v>
      </c>
      <c r="Z52" s="8"/>
    </row>
    <row r="53" spans="1:26" x14ac:dyDescent="0.55000000000000004">
      <c r="A53" s="8" t="s">
        <v>664</v>
      </c>
      <c r="B53" s="25" t="s">
        <v>308</v>
      </c>
      <c r="C53" s="25" t="s">
        <v>308</v>
      </c>
      <c r="D53" s="25" t="s">
        <v>308</v>
      </c>
      <c r="E53" s="25" t="s">
        <v>308</v>
      </c>
      <c r="F53" s="25" t="s">
        <v>308</v>
      </c>
      <c r="G53" s="25" t="s">
        <v>308</v>
      </c>
      <c r="H53" s="25" t="s">
        <v>308</v>
      </c>
      <c r="I53" s="25" t="s">
        <v>308</v>
      </c>
      <c r="J53" s="25" t="s">
        <v>308</v>
      </c>
      <c r="K53" s="8"/>
      <c r="L53" s="10"/>
      <c r="M53" s="8"/>
      <c r="N53" s="8" t="s">
        <v>663</v>
      </c>
      <c r="O53" s="26">
        <v>0</v>
      </c>
      <c r="P53" s="25" t="s">
        <v>308</v>
      </c>
      <c r="Q53" s="25" t="s">
        <v>308</v>
      </c>
      <c r="R53" s="25" t="s">
        <v>308</v>
      </c>
      <c r="S53" s="8"/>
      <c r="T53" s="10"/>
      <c r="U53" s="8"/>
      <c r="V53" s="8" t="s">
        <v>336</v>
      </c>
      <c r="W53" s="8"/>
      <c r="X53" s="8" t="s">
        <v>320</v>
      </c>
      <c r="Y53" s="25" t="s">
        <v>308</v>
      </c>
      <c r="Z53" s="8"/>
    </row>
    <row r="54" spans="1:26" x14ac:dyDescent="0.55000000000000004">
      <c r="A54" s="8" t="s">
        <v>169</v>
      </c>
      <c r="B54" s="25" t="s">
        <v>308</v>
      </c>
      <c r="C54" s="25" t="s">
        <v>308</v>
      </c>
      <c r="D54" s="25" t="s">
        <v>308</v>
      </c>
      <c r="E54" s="25" t="s">
        <v>308</v>
      </c>
      <c r="F54" s="25" t="s">
        <v>308</v>
      </c>
      <c r="G54" s="25" t="s">
        <v>308</v>
      </c>
      <c r="H54" s="25" t="s">
        <v>308</v>
      </c>
      <c r="I54" s="25" t="s">
        <v>308</v>
      </c>
      <c r="J54" s="25" t="s">
        <v>308</v>
      </c>
      <c r="K54" s="8"/>
      <c r="L54" s="10"/>
      <c r="M54" s="8"/>
      <c r="N54" s="8" t="s">
        <v>168</v>
      </c>
      <c r="O54" s="26">
        <v>0</v>
      </c>
      <c r="P54" s="25" t="s">
        <v>308</v>
      </c>
      <c r="Q54" s="25" t="s">
        <v>308</v>
      </c>
      <c r="R54" s="25" t="s">
        <v>308</v>
      </c>
      <c r="S54" s="8"/>
      <c r="T54" s="10"/>
      <c r="U54" s="8"/>
      <c r="V54" s="8"/>
      <c r="W54" s="8"/>
      <c r="X54" s="8" t="s">
        <v>321</v>
      </c>
      <c r="Y54" s="25" t="s">
        <v>308</v>
      </c>
      <c r="Z54" s="8"/>
    </row>
    <row r="55" spans="1:26" x14ac:dyDescent="0.55000000000000004">
      <c r="A55" s="8" t="s">
        <v>166</v>
      </c>
      <c r="B55" s="25" t="s">
        <v>308</v>
      </c>
      <c r="C55" s="25" t="s">
        <v>308</v>
      </c>
      <c r="D55" s="25" t="s">
        <v>308</v>
      </c>
      <c r="E55" s="25" t="s">
        <v>308</v>
      </c>
      <c r="F55" s="25" t="s">
        <v>308</v>
      </c>
      <c r="G55" s="25" t="s">
        <v>308</v>
      </c>
      <c r="H55" s="25" t="s">
        <v>308</v>
      </c>
      <c r="I55" s="25" t="s">
        <v>308</v>
      </c>
      <c r="J55" s="25" t="s">
        <v>308</v>
      </c>
      <c r="K55" s="8"/>
      <c r="L55" s="10"/>
      <c r="M55" s="8"/>
      <c r="N55" s="8" t="s">
        <v>165</v>
      </c>
      <c r="O55" s="26">
        <v>0</v>
      </c>
      <c r="P55" s="25" t="s">
        <v>308</v>
      </c>
      <c r="Q55" s="25" t="s">
        <v>308</v>
      </c>
      <c r="R55" s="25" t="s">
        <v>308</v>
      </c>
      <c r="S55" s="8"/>
      <c r="T55" s="10"/>
      <c r="U55" s="8"/>
      <c r="V55" s="8"/>
      <c r="W55" s="8"/>
      <c r="X55" s="8"/>
      <c r="Y55" s="8"/>
      <c r="Z55" s="8"/>
    </row>
    <row r="56" spans="1:26" x14ac:dyDescent="0.55000000000000004">
      <c r="A56" s="8" t="s">
        <v>669</v>
      </c>
      <c r="B56" s="25" t="s">
        <v>308</v>
      </c>
      <c r="C56" s="25" t="s">
        <v>308</v>
      </c>
      <c r="D56" s="25" t="s">
        <v>308</v>
      </c>
      <c r="E56" s="25" t="s">
        <v>308</v>
      </c>
      <c r="F56" s="25" t="s">
        <v>308</v>
      </c>
      <c r="G56" s="25" t="s">
        <v>308</v>
      </c>
      <c r="H56" s="25" t="s">
        <v>308</v>
      </c>
      <c r="I56" s="25" t="s">
        <v>308</v>
      </c>
      <c r="J56" s="25" t="s">
        <v>308</v>
      </c>
      <c r="K56" s="8"/>
      <c r="L56" s="10"/>
      <c r="M56" s="8"/>
      <c r="N56" s="8" t="s">
        <v>668</v>
      </c>
      <c r="O56" s="26">
        <v>0</v>
      </c>
      <c r="P56" s="25" t="s">
        <v>308</v>
      </c>
      <c r="Q56" s="25" t="s">
        <v>308</v>
      </c>
      <c r="R56" s="25" t="s">
        <v>308</v>
      </c>
      <c r="S56" s="8"/>
      <c r="T56" s="10"/>
      <c r="U56" s="10"/>
      <c r="V56" s="11" t="s">
        <v>324</v>
      </c>
      <c r="W56" s="10"/>
      <c r="X56" s="10"/>
      <c r="Y56" s="10"/>
      <c r="Z56" s="10"/>
    </row>
    <row r="57" spans="1:26" x14ac:dyDescent="0.55000000000000004">
      <c r="A57" s="8" t="s">
        <v>171</v>
      </c>
      <c r="B57" s="25" t="s">
        <v>308</v>
      </c>
      <c r="C57" s="25" t="s">
        <v>308</v>
      </c>
      <c r="D57" s="25" t="s">
        <v>308</v>
      </c>
      <c r="E57" s="25" t="s">
        <v>308</v>
      </c>
      <c r="F57" s="25" t="s">
        <v>308</v>
      </c>
      <c r="G57" s="25" t="s">
        <v>308</v>
      </c>
      <c r="H57" s="25" t="s">
        <v>308</v>
      </c>
      <c r="I57" s="25" t="s">
        <v>308</v>
      </c>
      <c r="J57" s="25" t="s">
        <v>308</v>
      </c>
      <c r="K57" s="8"/>
      <c r="L57" s="10"/>
      <c r="M57" s="8"/>
      <c r="N57" s="8" t="s">
        <v>170</v>
      </c>
      <c r="O57" s="26">
        <v>0</v>
      </c>
      <c r="P57" s="25" t="s">
        <v>308</v>
      </c>
      <c r="Q57" s="25" t="s">
        <v>308</v>
      </c>
      <c r="R57" s="25" t="s">
        <v>308</v>
      </c>
      <c r="S57" s="8"/>
      <c r="T57" s="10"/>
      <c r="U57" s="13"/>
      <c r="V57" s="13"/>
      <c r="W57" s="13"/>
      <c r="X57" s="15" t="s">
        <v>325</v>
      </c>
      <c r="Y57" s="15" t="s">
        <v>326</v>
      </c>
      <c r="Z57" s="13"/>
    </row>
    <row r="58" spans="1:26" x14ac:dyDescent="0.55000000000000004">
      <c r="A58" s="8" t="s">
        <v>173</v>
      </c>
      <c r="B58" s="25" t="s">
        <v>308</v>
      </c>
      <c r="C58" s="25" t="s">
        <v>308</v>
      </c>
      <c r="D58" s="25" t="s">
        <v>308</v>
      </c>
      <c r="E58" s="25" t="s">
        <v>308</v>
      </c>
      <c r="F58" s="25" t="s">
        <v>308</v>
      </c>
      <c r="G58" s="25" t="s">
        <v>308</v>
      </c>
      <c r="H58" s="25" t="s">
        <v>308</v>
      </c>
      <c r="I58" s="25" t="s">
        <v>308</v>
      </c>
      <c r="J58" s="25" t="s">
        <v>308</v>
      </c>
      <c r="K58" s="8"/>
      <c r="L58" s="10"/>
      <c r="M58" s="8"/>
      <c r="N58" s="8" t="s">
        <v>172</v>
      </c>
      <c r="O58" s="26">
        <v>0</v>
      </c>
      <c r="P58" s="25" t="s">
        <v>308</v>
      </c>
      <c r="Q58" s="25" t="s">
        <v>308</v>
      </c>
      <c r="R58" s="25" t="s">
        <v>308</v>
      </c>
      <c r="S58" s="8"/>
      <c r="T58" s="10"/>
      <c r="U58" s="13"/>
      <c r="V58" s="13"/>
      <c r="W58" s="13"/>
      <c r="X58" s="16" t="s">
        <v>327</v>
      </c>
      <c r="Y58" s="16" t="s">
        <v>328</v>
      </c>
      <c r="Z58" s="13"/>
    </row>
    <row r="59" spans="1:26" x14ac:dyDescent="0.55000000000000004">
      <c r="A59" s="8" t="s">
        <v>175</v>
      </c>
      <c r="B59" s="25" t="s">
        <v>308</v>
      </c>
      <c r="C59" s="25" t="s">
        <v>308</v>
      </c>
      <c r="D59" s="25" t="s">
        <v>308</v>
      </c>
      <c r="E59" s="25" t="s">
        <v>308</v>
      </c>
      <c r="F59" s="25" t="s">
        <v>308</v>
      </c>
      <c r="G59" s="25" t="s">
        <v>308</v>
      </c>
      <c r="H59" s="25" t="s">
        <v>308</v>
      </c>
      <c r="I59" s="25" t="s">
        <v>308</v>
      </c>
      <c r="J59" s="25" t="s">
        <v>308</v>
      </c>
      <c r="K59" s="8"/>
      <c r="L59" s="10"/>
      <c r="M59" s="8"/>
      <c r="N59" s="8" t="s">
        <v>174</v>
      </c>
      <c r="O59" s="26">
        <v>0</v>
      </c>
      <c r="P59" s="25" t="s">
        <v>308</v>
      </c>
      <c r="Q59" s="25" t="s">
        <v>308</v>
      </c>
      <c r="R59" s="25" t="s">
        <v>308</v>
      </c>
      <c r="S59" s="8"/>
      <c r="T59" s="10"/>
      <c r="U59" s="8"/>
      <c r="V59" s="8" t="s">
        <v>329</v>
      </c>
      <c r="W59" s="8" t="s">
        <v>24</v>
      </c>
      <c r="X59" s="23">
        <v>1</v>
      </c>
      <c r="Y59" s="23">
        <v>1</v>
      </c>
      <c r="Z59" s="8"/>
    </row>
    <row r="60" spans="1:26" x14ac:dyDescent="0.55000000000000004">
      <c r="A60" s="8" t="s">
        <v>177</v>
      </c>
      <c r="B60" s="25" t="s">
        <v>308</v>
      </c>
      <c r="C60" s="25" t="s">
        <v>308</v>
      </c>
      <c r="D60" s="25" t="s">
        <v>308</v>
      </c>
      <c r="E60" s="25" t="s">
        <v>308</v>
      </c>
      <c r="F60" s="25" t="s">
        <v>308</v>
      </c>
      <c r="G60" s="25" t="s">
        <v>308</v>
      </c>
      <c r="H60" s="25" t="s">
        <v>308</v>
      </c>
      <c r="I60" s="25" t="s">
        <v>308</v>
      </c>
      <c r="J60" s="25" t="s">
        <v>308</v>
      </c>
      <c r="K60" s="8"/>
      <c r="L60" s="10"/>
      <c r="M60" s="8"/>
      <c r="N60" s="8" t="s">
        <v>176</v>
      </c>
      <c r="O60" s="26">
        <v>0</v>
      </c>
      <c r="P60" s="25" t="s">
        <v>308</v>
      </c>
      <c r="Q60" s="25" t="s">
        <v>308</v>
      </c>
      <c r="R60" s="25" t="s">
        <v>308</v>
      </c>
      <c r="S60" s="8"/>
      <c r="T60" s="10"/>
      <c r="U60" s="8"/>
      <c r="V60" s="8" t="s">
        <v>330</v>
      </c>
      <c r="W60" s="8" t="s">
        <v>791</v>
      </c>
      <c r="X60" s="23">
        <v>1</v>
      </c>
      <c r="Y60" s="23">
        <v>1</v>
      </c>
      <c r="Z60" s="8"/>
    </row>
    <row r="61" spans="1:26" x14ac:dyDescent="0.55000000000000004">
      <c r="A61" s="8" t="s">
        <v>676</v>
      </c>
      <c r="B61" s="25" t="s">
        <v>308</v>
      </c>
      <c r="C61" s="25" t="s">
        <v>308</v>
      </c>
      <c r="D61" s="25" t="s">
        <v>308</v>
      </c>
      <c r="E61" s="25" t="s">
        <v>308</v>
      </c>
      <c r="F61" s="25" t="s">
        <v>308</v>
      </c>
      <c r="G61" s="25" t="s">
        <v>308</v>
      </c>
      <c r="H61" s="25" t="s">
        <v>308</v>
      </c>
      <c r="I61" s="25" t="s">
        <v>308</v>
      </c>
      <c r="J61" s="25" t="s">
        <v>308</v>
      </c>
      <c r="K61" s="8"/>
      <c r="L61" s="10"/>
      <c r="M61" s="8"/>
      <c r="N61" s="8" t="s">
        <v>675</v>
      </c>
      <c r="O61" s="26">
        <v>0</v>
      </c>
      <c r="P61" s="25" t="s">
        <v>308</v>
      </c>
      <c r="Q61" s="25" t="s">
        <v>308</v>
      </c>
      <c r="R61" s="25" t="s">
        <v>308</v>
      </c>
      <c r="S61" s="8"/>
      <c r="T61" s="10"/>
      <c r="U61" s="8"/>
      <c r="V61" s="8"/>
      <c r="W61" s="8" t="s">
        <v>792</v>
      </c>
      <c r="X61" s="23">
        <v>1</v>
      </c>
      <c r="Y61" s="23">
        <v>1</v>
      </c>
      <c r="Z61" s="8"/>
    </row>
    <row r="62" spans="1:26" x14ac:dyDescent="0.55000000000000004">
      <c r="A62" s="8" t="s">
        <v>179</v>
      </c>
      <c r="B62" s="25" t="s">
        <v>308</v>
      </c>
      <c r="C62" s="25">
        <v>88</v>
      </c>
      <c r="D62" s="25" t="s">
        <v>308</v>
      </c>
      <c r="E62" s="25" t="s">
        <v>308</v>
      </c>
      <c r="F62" s="25" t="s">
        <v>308</v>
      </c>
      <c r="G62" s="25" t="s">
        <v>308</v>
      </c>
      <c r="H62" s="25" t="s">
        <v>308</v>
      </c>
      <c r="I62" s="25" t="s">
        <v>308</v>
      </c>
      <c r="J62" s="25" t="s">
        <v>308</v>
      </c>
      <c r="K62" s="8"/>
      <c r="L62" s="10"/>
      <c r="M62" s="8"/>
      <c r="N62" s="8" t="s">
        <v>178</v>
      </c>
      <c r="O62" s="26">
        <v>0</v>
      </c>
      <c r="P62" s="25" t="s">
        <v>308</v>
      </c>
      <c r="Q62" s="25" t="s">
        <v>308</v>
      </c>
      <c r="R62" s="25" t="s">
        <v>308</v>
      </c>
      <c r="S62" s="8"/>
      <c r="T62" s="10"/>
      <c r="U62" s="8"/>
      <c r="V62" s="8"/>
      <c r="W62" s="8" t="s">
        <v>793</v>
      </c>
      <c r="X62" s="23">
        <v>1</v>
      </c>
      <c r="Y62" s="23">
        <v>1</v>
      </c>
      <c r="Z62" s="8"/>
    </row>
    <row r="63" spans="1:26" x14ac:dyDescent="0.55000000000000004">
      <c r="A63" s="8" t="s">
        <v>181</v>
      </c>
      <c r="B63" s="25" t="s">
        <v>308</v>
      </c>
      <c r="C63" s="25" t="s">
        <v>308</v>
      </c>
      <c r="D63" s="25" t="s">
        <v>308</v>
      </c>
      <c r="E63" s="25" t="s">
        <v>308</v>
      </c>
      <c r="F63" s="25" t="s">
        <v>308</v>
      </c>
      <c r="G63" s="25" t="s">
        <v>308</v>
      </c>
      <c r="H63" s="25" t="s">
        <v>308</v>
      </c>
      <c r="I63" s="25" t="s">
        <v>308</v>
      </c>
      <c r="J63" s="25" t="s">
        <v>308</v>
      </c>
      <c r="K63" s="8"/>
      <c r="L63" s="10"/>
      <c r="M63" s="8"/>
      <c r="N63" s="8" t="s">
        <v>180</v>
      </c>
      <c r="O63" s="26">
        <v>0</v>
      </c>
      <c r="P63" s="25" t="s">
        <v>308</v>
      </c>
      <c r="Q63" s="25" t="s">
        <v>308</v>
      </c>
      <c r="R63" s="25" t="s">
        <v>308</v>
      </c>
      <c r="S63" s="8"/>
      <c r="T63" s="10"/>
      <c r="U63" s="8"/>
      <c r="V63" s="8"/>
      <c r="W63" s="8" t="s">
        <v>794</v>
      </c>
      <c r="X63" s="23">
        <v>1</v>
      </c>
      <c r="Y63" s="23">
        <v>1</v>
      </c>
      <c r="Z63" s="8"/>
    </row>
    <row r="64" spans="1:26" x14ac:dyDescent="0.55000000000000004">
      <c r="A64" s="8" t="s">
        <v>681</v>
      </c>
      <c r="B64" s="25" t="s">
        <v>308</v>
      </c>
      <c r="C64" s="25" t="s">
        <v>308</v>
      </c>
      <c r="D64" s="25" t="s">
        <v>308</v>
      </c>
      <c r="E64" s="25" t="s">
        <v>308</v>
      </c>
      <c r="F64" s="25" t="s">
        <v>308</v>
      </c>
      <c r="G64" s="25" t="s">
        <v>308</v>
      </c>
      <c r="H64" s="25" t="s">
        <v>308</v>
      </c>
      <c r="I64" s="25" t="s">
        <v>308</v>
      </c>
      <c r="J64" s="25" t="s">
        <v>308</v>
      </c>
      <c r="K64" s="8"/>
      <c r="L64" s="10"/>
      <c r="M64" s="8"/>
      <c r="N64" s="8" t="s">
        <v>680</v>
      </c>
      <c r="O64" s="26">
        <v>0</v>
      </c>
      <c r="P64" s="25" t="s">
        <v>308</v>
      </c>
      <c r="Q64" s="25" t="s">
        <v>308</v>
      </c>
      <c r="R64" s="25" t="s">
        <v>308</v>
      </c>
      <c r="S64" s="8"/>
      <c r="T64" s="10"/>
      <c r="U64" s="8"/>
      <c r="V64" s="8"/>
      <c r="W64" s="8" t="s">
        <v>795</v>
      </c>
      <c r="X64" s="23">
        <v>1</v>
      </c>
      <c r="Y64" s="23">
        <v>1</v>
      </c>
      <c r="Z64" s="8"/>
    </row>
    <row r="65" spans="1:26" x14ac:dyDescent="0.55000000000000004">
      <c r="A65" s="8" t="s">
        <v>684</v>
      </c>
      <c r="B65" s="25" t="s">
        <v>308</v>
      </c>
      <c r="C65" s="25" t="s">
        <v>308</v>
      </c>
      <c r="D65" s="25" t="s">
        <v>308</v>
      </c>
      <c r="E65" s="25" t="s">
        <v>308</v>
      </c>
      <c r="F65" s="25" t="s">
        <v>308</v>
      </c>
      <c r="G65" s="25" t="s">
        <v>308</v>
      </c>
      <c r="H65" s="25" t="s">
        <v>308</v>
      </c>
      <c r="I65" s="25" t="s">
        <v>308</v>
      </c>
      <c r="J65" s="25" t="s">
        <v>308</v>
      </c>
      <c r="K65" s="8"/>
      <c r="L65" s="10"/>
      <c r="M65" s="8"/>
      <c r="N65" s="8" t="s">
        <v>683</v>
      </c>
      <c r="O65" s="26">
        <v>0</v>
      </c>
      <c r="P65" s="25" t="s">
        <v>308</v>
      </c>
      <c r="Q65" s="25" t="s">
        <v>308</v>
      </c>
      <c r="R65" s="25" t="s">
        <v>308</v>
      </c>
      <c r="S65" s="8"/>
      <c r="T65" s="10"/>
      <c r="U65" s="8"/>
      <c r="V65" s="8"/>
      <c r="W65" s="8" t="s">
        <v>89</v>
      </c>
      <c r="X65" s="23">
        <v>1</v>
      </c>
      <c r="Y65" s="23">
        <v>1</v>
      </c>
      <c r="Z65" s="8"/>
    </row>
    <row r="66" spans="1:26" x14ac:dyDescent="0.55000000000000004">
      <c r="A66" s="8" t="s">
        <v>183</v>
      </c>
      <c r="B66" s="25" t="s">
        <v>308</v>
      </c>
      <c r="C66" s="25" t="s">
        <v>308</v>
      </c>
      <c r="D66" s="25" t="s">
        <v>308</v>
      </c>
      <c r="E66" s="25" t="s">
        <v>308</v>
      </c>
      <c r="F66" s="25" t="s">
        <v>308</v>
      </c>
      <c r="G66" s="25" t="s">
        <v>308</v>
      </c>
      <c r="H66" s="25" t="s">
        <v>308</v>
      </c>
      <c r="I66" s="25" t="s">
        <v>308</v>
      </c>
      <c r="J66" s="25" t="s">
        <v>308</v>
      </c>
      <c r="K66" s="8"/>
      <c r="L66" s="10"/>
      <c r="M66" s="8"/>
      <c r="N66" s="8" t="s">
        <v>182</v>
      </c>
      <c r="O66" s="26">
        <v>0</v>
      </c>
      <c r="P66" s="25" t="s">
        <v>308</v>
      </c>
      <c r="Q66" s="25" t="s">
        <v>308</v>
      </c>
      <c r="R66" s="25" t="s">
        <v>308</v>
      </c>
      <c r="S66" s="8"/>
      <c r="T66" s="10"/>
      <c r="U66" s="8"/>
      <c r="V66" s="8"/>
      <c r="W66" s="8" t="s">
        <v>97</v>
      </c>
      <c r="X66" s="23">
        <v>1</v>
      </c>
      <c r="Y66" s="23">
        <v>1</v>
      </c>
      <c r="Z66" s="8"/>
    </row>
    <row r="67" spans="1:26" x14ac:dyDescent="0.55000000000000004">
      <c r="A67" s="8" t="s">
        <v>688</v>
      </c>
      <c r="B67" s="25" t="s">
        <v>308</v>
      </c>
      <c r="C67" s="25" t="s">
        <v>308</v>
      </c>
      <c r="D67" s="25" t="s">
        <v>308</v>
      </c>
      <c r="E67" s="25" t="s">
        <v>308</v>
      </c>
      <c r="F67" s="25" t="s">
        <v>308</v>
      </c>
      <c r="G67" s="25" t="s">
        <v>308</v>
      </c>
      <c r="H67" s="25" t="s">
        <v>308</v>
      </c>
      <c r="I67" s="25" t="s">
        <v>308</v>
      </c>
      <c r="J67" s="25" t="s">
        <v>308</v>
      </c>
      <c r="K67" s="8"/>
      <c r="L67" s="10"/>
      <c r="M67" s="8"/>
      <c r="N67" s="8" t="s">
        <v>687</v>
      </c>
      <c r="O67" s="26">
        <v>0</v>
      </c>
      <c r="P67" s="25" t="s">
        <v>308</v>
      </c>
      <c r="Q67" s="25" t="s">
        <v>308</v>
      </c>
      <c r="R67" s="25" t="s">
        <v>308</v>
      </c>
      <c r="S67" s="8"/>
      <c r="T67" s="10"/>
      <c r="U67" s="8"/>
      <c r="V67" s="8"/>
      <c r="W67" s="8" t="s">
        <v>103</v>
      </c>
      <c r="X67" s="23">
        <v>1</v>
      </c>
      <c r="Y67" s="23">
        <v>1</v>
      </c>
      <c r="Z67" s="8"/>
    </row>
    <row r="68" spans="1:26" x14ac:dyDescent="0.55000000000000004">
      <c r="A68" s="8" t="s">
        <v>691</v>
      </c>
      <c r="B68" s="25" t="s">
        <v>308</v>
      </c>
      <c r="C68" s="25" t="s">
        <v>308</v>
      </c>
      <c r="D68" s="25" t="s">
        <v>308</v>
      </c>
      <c r="E68" s="25" t="s">
        <v>308</v>
      </c>
      <c r="F68" s="25" t="s">
        <v>308</v>
      </c>
      <c r="G68" s="25" t="s">
        <v>308</v>
      </c>
      <c r="H68" s="25" t="s">
        <v>308</v>
      </c>
      <c r="I68" s="25" t="s">
        <v>308</v>
      </c>
      <c r="J68" s="25" t="s">
        <v>308</v>
      </c>
      <c r="K68" s="8"/>
      <c r="L68" s="10"/>
      <c r="M68" s="8"/>
      <c r="N68" s="8" t="s">
        <v>690</v>
      </c>
      <c r="O68" s="26">
        <v>0</v>
      </c>
      <c r="P68" s="25" t="s">
        <v>308</v>
      </c>
      <c r="Q68" s="25" t="s">
        <v>308</v>
      </c>
      <c r="R68" s="25" t="s">
        <v>308</v>
      </c>
      <c r="S68" s="8"/>
      <c r="T68" s="10"/>
      <c r="U68" s="8"/>
      <c r="V68" s="8"/>
      <c r="W68" s="8" t="s">
        <v>109</v>
      </c>
      <c r="X68" s="23">
        <v>1</v>
      </c>
      <c r="Y68" s="23">
        <v>1</v>
      </c>
      <c r="Z68" s="8"/>
    </row>
    <row r="69" spans="1:26" x14ac:dyDescent="0.55000000000000004">
      <c r="A69" s="8" t="s">
        <v>186</v>
      </c>
      <c r="B69" s="25" t="s">
        <v>308</v>
      </c>
      <c r="C69" s="25" t="s">
        <v>308</v>
      </c>
      <c r="D69" s="25" t="s">
        <v>308</v>
      </c>
      <c r="E69" s="25" t="s">
        <v>308</v>
      </c>
      <c r="F69" s="25" t="s">
        <v>308</v>
      </c>
      <c r="G69" s="25" t="s">
        <v>308</v>
      </c>
      <c r="H69" s="25" t="s">
        <v>308</v>
      </c>
      <c r="I69" s="25" t="s">
        <v>308</v>
      </c>
      <c r="J69" s="25" t="s">
        <v>308</v>
      </c>
      <c r="K69" s="8"/>
      <c r="L69" s="10"/>
      <c r="M69" s="8"/>
      <c r="N69" s="8" t="s">
        <v>185</v>
      </c>
      <c r="O69" s="26">
        <v>0</v>
      </c>
      <c r="P69" s="25" t="s">
        <v>308</v>
      </c>
      <c r="Q69" s="25" t="s">
        <v>308</v>
      </c>
      <c r="R69" s="25" t="s">
        <v>308</v>
      </c>
      <c r="S69" s="8"/>
      <c r="T69" s="10"/>
      <c r="U69" s="8"/>
      <c r="V69" s="8"/>
      <c r="W69" s="8" t="s">
        <v>113</v>
      </c>
      <c r="X69" s="23">
        <v>1</v>
      </c>
      <c r="Y69" s="23">
        <v>1</v>
      </c>
      <c r="Z69" s="8"/>
    </row>
    <row r="70" spans="1:26" x14ac:dyDescent="0.55000000000000004">
      <c r="A70" s="8" t="s">
        <v>188</v>
      </c>
      <c r="B70" s="25" t="s">
        <v>308</v>
      </c>
      <c r="C70" s="25" t="s">
        <v>308</v>
      </c>
      <c r="D70" s="25" t="s">
        <v>308</v>
      </c>
      <c r="E70" s="25" t="s">
        <v>308</v>
      </c>
      <c r="F70" s="25" t="s">
        <v>308</v>
      </c>
      <c r="G70" s="25" t="s">
        <v>308</v>
      </c>
      <c r="H70" s="25" t="s">
        <v>308</v>
      </c>
      <c r="I70" s="25" t="s">
        <v>308</v>
      </c>
      <c r="J70" s="25" t="s">
        <v>308</v>
      </c>
      <c r="K70" s="8"/>
      <c r="L70" s="10"/>
      <c r="M70" s="8"/>
      <c r="N70" s="8" t="s">
        <v>187</v>
      </c>
      <c r="O70" s="26">
        <v>0</v>
      </c>
      <c r="P70" s="25" t="s">
        <v>308</v>
      </c>
      <c r="Q70" s="25" t="s">
        <v>308</v>
      </c>
      <c r="R70" s="25" t="s">
        <v>308</v>
      </c>
      <c r="S70" s="8"/>
      <c r="T70" s="10"/>
      <c r="U70" s="8"/>
      <c r="V70" s="8"/>
      <c r="W70" s="8" t="s">
        <v>607</v>
      </c>
      <c r="X70" s="23">
        <v>1</v>
      </c>
      <c r="Y70" s="23">
        <v>1</v>
      </c>
      <c r="Z70" s="8"/>
    </row>
    <row r="71" spans="1:26" x14ac:dyDescent="0.55000000000000004">
      <c r="A71" s="8" t="s">
        <v>190</v>
      </c>
      <c r="B71" s="25" t="s">
        <v>308</v>
      </c>
      <c r="C71" s="25" t="s">
        <v>308</v>
      </c>
      <c r="D71" s="25" t="s">
        <v>308</v>
      </c>
      <c r="E71" s="25" t="s">
        <v>308</v>
      </c>
      <c r="F71" s="25" t="s">
        <v>308</v>
      </c>
      <c r="G71" s="25" t="s">
        <v>308</v>
      </c>
      <c r="H71" s="25" t="s">
        <v>308</v>
      </c>
      <c r="I71" s="25" t="s">
        <v>308</v>
      </c>
      <c r="J71" s="25" t="s">
        <v>308</v>
      </c>
      <c r="K71" s="8"/>
      <c r="L71" s="10"/>
      <c r="M71" s="8"/>
      <c r="N71" s="8" t="s">
        <v>189</v>
      </c>
      <c r="O71" s="26">
        <v>0</v>
      </c>
      <c r="P71" s="25" t="s">
        <v>308</v>
      </c>
      <c r="Q71" s="25" t="s">
        <v>308</v>
      </c>
      <c r="R71" s="25" t="s">
        <v>308</v>
      </c>
      <c r="S71" s="8"/>
      <c r="T71" s="10"/>
      <c r="U71" s="8"/>
      <c r="V71" s="8"/>
      <c r="W71" s="8" t="s">
        <v>612</v>
      </c>
      <c r="X71" s="23">
        <v>1</v>
      </c>
      <c r="Y71" s="23">
        <v>1</v>
      </c>
      <c r="Z71" s="8"/>
    </row>
    <row r="72" spans="1:26" x14ac:dyDescent="0.55000000000000004">
      <c r="A72" s="8" t="s">
        <v>697</v>
      </c>
      <c r="B72" s="25" t="s">
        <v>308</v>
      </c>
      <c r="C72" s="25" t="s">
        <v>308</v>
      </c>
      <c r="D72" s="25" t="s">
        <v>308</v>
      </c>
      <c r="E72" s="25" t="s">
        <v>308</v>
      </c>
      <c r="F72" s="25" t="s">
        <v>308</v>
      </c>
      <c r="G72" s="25" t="s">
        <v>308</v>
      </c>
      <c r="H72" s="25" t="s">
        <v>308</v>
      </c>
      <c r="I72" s="25" t="s">
        <v>308</v>
      </c>
      <c r="J72" s="25" t="s">
        <v>308</v>
      </c>
      <c r="K72" s="8"/>
      <c r="L72" s="10"/>
      <c r="M72" s="8"/>
      <c r="N72" s="8" t="s">
        <v>696</v>
      </c>
      <c r="O72" s="26">
        <v>0</v>
      </c>
      <c r="P72" s="25" t="s">
        <v>308</v>
      </c>
      <c r="Q72" s="25" t="s">
        <v>308</v>
      </c>
      <c r="R72" s="25" t="s">
        <v>308</v>
      </c>
      <c r="S72" s="8"/>
      <c r="T72" s="10"/>
      <c r="U72" s="8"/>
      <c r="V72" s="8"/>
      <c r="W72" s="8" t="s">
        <v>617</v>
      </c>
      <c r="X72" s="23">
        <v>1</v>
      </c>
      <c r="Y72" s="23">
        <v>1</v>
      </c>
      <c r="Z72" s="8"/>
    </row>
    <row r="73" spans="1:26" x14ac:dyDescent="0.55000000000000004">
      <c r="A73" s="8" t="s">
        <v>192</v>
      </c>
      <c r="B73" s="25" t="s">
        <v>308</v>
      </c>
      <c r="C73" s="25" t="s">
        <v>308</v>
      </c>
      <c r="D73" s="25" t="s">
        <v>308</v>
      </c>
      <c r="E73" s="25" t="s">
        <v>308</v>
      </c>
      <c r="F73" s="25" t="s">
        <v>308</v>
      </c>
      <c r="G73" s="25" t="s">
        <v>308</v>
      </c>
      <c r="H73" s="25" t="s">
        <v>308</v>
      </c>
      <c r="I73" s="25" t="s">
        <v>308</v>
      </c>
      <c r="J73" s="25" t="s">
        <v>308</v>
      </c>
      <c r="K73" s="8"/>
      <c r="L73" s="10"/>
      <c r="M73" s="8"/>
      <c r="N73" s="8" t="s">
        <v>191</v>
      </c>
      <c r="O73" s="26">
        <v>0</v>
      </c>
      <c r="P73" s="25" t="s">
        <v>308</v>
      </c>
      <c r="Q73" s="25" t="s">
        <v>308</v>
      </c>
      <c r="R73" s="25" t="s">
        <v>308</v>
      </c>
      <c r="S73" s="8"/>
      <c r="T73" s="10"/>
      <c r="U73" s="8"/>
      <c r="V73" s="8"/>
      <c r="W73" s="8" t="s">
        <v>620</v>
      </c>
      <c r="X73" s="23">
        <v>1</v>
      </c>
      <c r="Y73" s="23">
        <v>1</v>
      </c>
      <c r="Z73" s="8"/>
    </row>
    <row r="74" spans="1:26" x14ac:dyDescent="0.55000000000000004">
      <c r="A74" s="8" t="s">
        <v>701</v>
      </c>
      <c r="B74" s="25" t="s">
        <v>308</v>
      </c>
      <c r="C74" s="25" t="s">
        <v>308</v>
      </c>
      <c r="D74" s="25" t="s">
        <v>308</v>
      </c>
      <c r="E74" s="25" t="s">
        <v>308</v>
      </c>
      <c r="F74" s="25" t="s">
        <v>308</v>
      </c>
      <c r="G74" s="25" t="s">
        <v>308</v>
      </c>
      <c r="H74" s="25" t="s">
        <v>308</v>
      </c>
      <c r="I74" s="25" t="s">
        <v>308</v>
      </c>
      <c r="J74" s="25" t="s">
        <v>308</v>
      </c>
      <c r="K74" s="8"/>
      <c r="L74" s="10"/>
      <c r="M74" s="8"/>
      <c r="N74" s="8" t="s">
        <v>700</v>
      </c>
      <c r="O74" s="26">
        <v>0</v>
      </c>
      <c r="P74" s="25" t="s">
        <v>308</v>
      </c>
      <c r="Q74" s="25" t="s">
        <v>308</v>
      </c>
      <c r="R74" s="25" t="s">
        <v>308</v>
      </c>
      <c r="S74" s="8"/>
      <c r="T74" s="10"/>
      <c r="U74" s="8"/>
      <c r="V74" s="8"/>
      <c r="W74" s="8" t="s">
        <v>623</v>
      </c>
      <c r="X74" s="23">
        <v>1</v>
      </c>
      <c r="Y74" s="23">
        <v>1</v>
      </c>
      <c r="Z74" s="8"/>
    </row>
    <row r="75" spans="1:26" x14ac:dyDescent="0.55000000000000004">
      <c r="A75" s="8" t="s">
        <v>195</v>
      </c>
      <c r="B75" s="25" t="s">
        <v>308</v>
      </c>
      <c r="C75" s="25" t="s">
        <v>308</v>
      </c>
      <c r="D75" s="25" t="s">
        <v>308</v>
      </c>
      <c r="E75" s="25" t="s">
        <v>308</v>
      </c>
      <c r="F75" s="25" t="s">
        <v>308</v>
      </c>
      <c r="G75" s="25" t="s">
        <v>308</v>
      </c>
      <c r="H75" s="25" t="s">
        <v>308</v>
      </c>
      <c r="I75" s="25" t="s">
        <v>308</v>
      </c>
      <c r="J75" s="25" t="s">
        <v>308</v>
      </c>
      <c r="K75" s="8"/>
      <c r="L75" s="10"/>
      <c r="M75" s="8"/>
      <c r="N75" s="8" t="s">
        <v>194</v>
      </c>
      <c r="O75" s="26">
        <v>0</v>
      </c>
      <c r="P75" s="25" t="s">
        <v>308</v>
      </c>
      <c r="Q75" s="25" t="s">
        <v>308</v>
      </c>
      <c r="R75" s="25" t="s">
        <v>308</v>
      </c>
      <c r="S75" s="8"/>
      <c r="T75" s="10"/>
      <c r="U75" s="8"/>
      <c r="V75" s="8"/>
      <c r="W75" s="8"/>
      <c r="X75" s="8"/>
      <c r="Y75" s="8"/>
      <c r="Z75" s="8"/>
    </row>
    <row r="76" spans="1:26" x14ac:dyDescent="0.55000000000000004">
      <c r="A76" s="8" t="s">
        <v>197</v>
      </c>
      <c r="B76" s="25" t="s">
        <v>308</v>
      </c>
      <c r="C76" s="25" t="s">
        <v>308</v>
      </c>
      <c r="D76" s="25" t="s">
        <v>308</v>
      </c>
      <c r="E76" s="25" t="s">
        <v>308</v>
      </c>
      <c r="F76" s="25" t="s">
        <v>308</v>
      </c>
      <c r="G76" s="25" t="s">
        <v>308</v>
      </c>
      <c r="H76" s="25" t="s">
        <v>308</v>
      </c>
      <c r="I76" s="25" t="s">
        <v>308</v>
      </c>
      <c r="J76" s="25" t="s">
        <v>308</v>
      </c>
      <c r="K76" s="8"/>
      <c r="L76" s="10"/>
      <c r="M76" s="8"/>
      <c r="N76" s="8" t="s">
        <v>196</v>
      </c>
      <c r="O76" s="26">
        <v>0</v>
      </c>
      <c r="P76" s="25" t="s">
        <v>308</v>
      </c>
      <c r="Q76" s="25" t="s">
        <v>308</v>
      </c>
      <c r="R76" s="25" t="s">
        <v>308</v>
      </c>
      <c r="S76" s="8"/>
      <c r="T76" s="10"/>
      <c r="U76" s="10"/>
      <c r="V76" s="11" t="s">
        <v>240</v>
      </c>
      <c r="W76" s="10"/>
      <c r="X76" s="10"/>
      <c r="Y76" s="10"/>
      <c r="Z76" s="10"/>
    </row>
    <row r="77" spans="1:26" x14ac:dyDescent="0.55000000000000004">
      <c r="A77" s="8" t="s">
        <v>706</v>
      </c>
      <c r="B77" s="25" t="s">
        <v>308</v>
      </c>
      <c r="C77" s="25" t="s">
        <v>308</v>
      </c>
      <c r="D77" s="25" t="s">
        <v>308</v>
      </c>
      <c r="E77" s="25" t="s">
        <v>308</v>
      </c>
      <c r="F77" s="25" t="s">
        <v>308</v>
      </c>
      <c r="G77" s="25" t="s">
        <v>308</v>
      </c>
      <c r="H77" s="25" t="s">
        <v>308</v>
      </c>
      <c r="I77" s="25" t="s">
        <v>308</v>
      </c>
      <c r="J77" s="25" t="s">
        <v>308</v>
      </c>
      <c r="K77" s="8"/>
      <c r="L77" s="10"/>
      <c r="M77" s="8"/>
      <c r="N77" s="8" t="s">
        <v>705</v>
      </c>
      <c r="O77" s="26">
        <v>0</v>
      </c>
      <c r="P77" s="25" t="s">
        <v>308</v>
      </c>
      <c r="Q77" s="25" t="s">
        <v>308</v>
      </c>
      <c r="R77" s="25" t="s">
        <v>308</v>
      </c>
      <c r="S77" s="8"/>
      <c r="T77" s="10"/>
      <c r="U77" s="8"/>
      <c r="V77" s="8" t="s">
        <v>337</v>
      </c>
      <c r="W77" s="8" t="s">
        <v>322</v>
      </c>
      <c r="X77" s="8">
        <f>SUMIF(Main!G4:O4,Y1,Main!G5:O5)</f>
        <v>2</v>
      </c>
      <c r="Y77" s="8"/>
      <c r="Z77" s="8"/>
    </row>
    <row r="78" spans="1:26" x14ac:dyDescent="0.55000000000000004">
      <c r="A78" s="8" t="s">
        <v>199</v>
      </c>
      <c r="B78" s="25" t="s">
        <v>308</v>
      </c>
      <c r="C78" s="25" t="s">
        <v>308</v>
      </c>
      <c r="D78" s="25" t="s">
        <v>308</v>
      </c>
      <c r="E78" s="25" t="s">
        <v>308</v>
      </c>
      <c r="F78" s="25" t="s">
        <v>308</v>
      </c>
      <c r="G78" s="25" t="s">
        <v>308</v>
      </c>
      <c r="H78" s="25" t="s">
        <v>308</v>
      </c>
      <c r="I78" s="25" t="s">
        <v>308</v>
      </c>
      <c r="J78" s="25" t="s">
        <v>308</v>
      </c>
      <c r="K78" s="8"/>
      <c r="L78" s="10"/>
      <c r="M78" s="8"/>
      <c r="N78" s="8" t="s">
        <v>198</v>
      </c>
      <c r="O78" s="26">
        <v>0</v>
      </c>
      <c r="P78" s="25" t="s">
        <v>308</v>
      </c>
      <c r="Q78" s="25" t="s">
        <v>308</v>
      </c>
      <c r="R78" s="25" t="s">
        <v>308</v>
      </c>
      <c r="S78" s="8"/>
      <c r="T78" s="10"/>
      <c r="U78" s="8"/>
      <c r="V78" s="8" t="s">
        <v>338</v>
      </c>
      <c r="W78" s="8" t="s">
        <v>83</v>
      </c>
      <c r="X78" s="8">
        <f>SUMIF(Main!G4:O4,Y1,Main!G6:O6)</f>
        <v>3</v>
      </c>
      <c r="Y78" s="8"/>
      <c r="Z78" s="8"/>
    </row>
    <row r="79" spans="1:26" x14ac:dyDescent="0.55000000000000004">
      <c r="A79" s="8" t="s">
        <v>710</v>
      </c>
      <c r="B79" s="25" t="s">
        <v>308</v>
      </c>
      <c r="C79" s="25" t="s">
        <v>308</v>
      </c>
      <c r="D79" s="25" t="s">
        <v>308</v>
      </c>
      <c r="E79" s="25" t="s">
        <v>308</v>
      </c>
      <c r="F79" s="25" t="s">
        <v>308</v>
      </c>
      <c r="G79" s="25" t="s">
        <v>308</v>
      </c>
      <c r="H79" s="25" t="s">
        <v>308</v>
      </c>
      <c r="I79" s="25" t="s">
        <v>308</v>
      </c>
      <c r="J79" s="25" t="s">
        <v>308</v>
      </c>
      <c r="K79" s="8"/>
      <c r="L79" s="10"/>
      <c r="M79" s="8"/>
      <c r="N79" s="8" t="s">
        <v>709</v>
      </c>
      <c r="O79" s="26">
        <v>0</v>
      </c>
      <c r="P79" s="25" t="s">
        <v>308</v>
      </c>
      <c r="Q79" s="25" t="s">
        <v>308</v>
      </c>
      <c r="R79" s="25" t="s">
        <v>308</v>
      </c>
      <c r="S79" s="8"/>
      <c r="T79" s="10"/>
      <c r="U79" s="8"/>
      <c r="V79" s="8" t="s">
        <v>339</v>
      </c>
      <c r="W79" s="8" t="s">
        <v>32</v>
      </c>
      <c r="X79" s="8">
        <f>SUMIF(Main!G4:O4,Y1,Main!G7:O7)</f>
        <v>1</v>
      </c>
      <c r="Y79" s="8"/>
      <c r="Z79" s="8"/>
    </row>
    <row r="80" spans="1:26" x14ac:dyDescent="0.55000000000000004">
      <c r="A80" s="8" t="s">
        <v>713</v>
      </c>
      <c r="B80" s="25" t="s">
        <v>308</v>
      </c>
      <c r="C80" s="25" t="s">
        <v>308</v>
      </c>
      <c r="D80" s="25" t="s">
        <v>308</v>
      </c>
      <c r="E80" s="25" t="s">
        <v>308</v>
      </c>
      <c r="F80" s="25" t="s">
        <v>308</v>
      </c>
      <c r="G80" s="25" t="s">
        <v>308</v>
      </c>
      <c r="H80" s="25" t="s">
        <v>308</v>
      </c>
      <c r="I80" s="25" t="s">
        <v>308</v>
      </c>
      <c r="J80" s="25" t="s">
        <v>308</v>
      </c>
      <c r="K80" s="8"/>
      <c r="L80" s="10"/>
      <c r="M80" s="8"/>
      <c r="N80" s="8" t="s">
        <v>712</v>
      </c>
      <c r="O80" s="26">
        <v>0</v>
      </c>
      <c r="P80" s="25" t="s">
        <v>308</v>
      </c>
      <c r="Q80" s="25" t="s">
        <v>308</v>
      </c>
      <c r="R80" s="25" t="s">
        <v>308</v>
      </c>
      <c r="S80" s="8"/>
      <c r="T80" s="10"/>
      <c r="U80" s="8"/>
      <c r="V80" s="8" t="s">
        <v>340</v>
      </c>
      <c r="W80" s="8" t="s">
        <v>99</v>
      </c>
      <c r="X80" s="8">
        <f>SUMIF(Main!G4:O4,Y1,Main!G8:O8)</f>
        <v>1</v>
      </c>
      <c r="Y80" s="8"/>
      <c r="Z80" s="8"/>
    </row>
    <row r="81" spans="1:26" x14ac:dyDescent="0.55000000000000004">
      <c r="A81" s="8" t="s">
        <v>716</v>
      </c>
      <c r="B81" s="25" t="s">
        <v>308</v>
      </c>
      <c r="C81" s="25" t="s">
        <v>308</v>
      </c>
      <c r="D81" s="25" t="s">
        <v>308</v>
      </c>
      <c r="E81" s="25" t="s">
        <v>308</v>
      </c>
      <c r="F81" s="25" t="s">
        <v>308</v>
      </c>
      <c r="G81" s="25" t="s">
        <v>308</v>
      </c>
      <c r="H81" s="25" t="s">
        <v>308</v>
      </c>
      <c r="I81" s="25" t="s">
        <v>308</v>
      </c>
      <c r="J81" s="25" t="s">
        <v>308</v>
      </c>
      <c r="K81" s="8"/>
      <c r="L81" s="10"/>
      <c r="M81" s="8"/>
      <c r="N81" s="8" t="s">
        <v>715</v>
      </c>
      <c r="O81" s="26">
        <v>0</v>
      </c>
      <c r="P81" s="25" t="s">
        <v>308</v>
      </c>
      <c r="Q81" s="25" t="s">
        <v>308</v>
      </c>
      <c r="R81" s="25" t="s">
        <v>308</v>
      </c>
      <c r="S81" s="8"/>
      <c r="T81" s="10"/>
      <c r="U81" s="8"/>
      <c r="V81" s="8"/>
      <c r="W81" s="8"/>
      <c r="X81" s="8"/>
      <c r="Y81" s="8"/>
      <c r="Z81" s="8"/>
    </row>
    <row r="82" spans="1:26" x14ac:dyDescent="0.55000000000000004">
      <c r="A82" s="8" t="s">
        <v>719</v>
      </c>
      <c r="B82" s="25" t="s">
        <v>308</v>
      </c>
      <c r="C82" s="25" t="s">
        <v>308</v>
      </c>
      <c r="D82" s="25" t="s">
        <v>308</v>
      </c>
      <c r="E82" s="25" t="s">
        <v>308</v>
      </c>
      <c r="F82" s="25" t="s">
        <v>308</v>
      </c>
      <c r="G82" s="25" t="s">
        <v>308</v>
      </c>
      <c r="H82" s="25" t="s">
        <v>308</v>
      </c>
      <c r="I82" s="25" t="s">
        <v>308</v>
      </c>
      <c r="J82" s="25" t="s">
        <v>308</v>
      </c>
      <c r="K82" s="8"/>
      <c r="L82" s="10"/>
      <c r="M82" s="8"/>
      <c r="N82" s="8" t="s">
        <v>718</v>
      </c>
      <c r="O82" s="26">
        <v>0</v>
      </c>
      <c r="P82" s="25" t="s">
        <v>308</v>
      </c>
      <c r="Q82" s="25" t="s">
        <v>308</v>
      </c>
      <c r="R82" s="25" t="s">
        <v>308</v>
      </c>
      <c r="S82" s="8"/>
      <c r="T82" s="10"/>
      <c r="U82" s="10"/>
      <c r="V82" s="11" t="s">
        <v>249</v>
      </c>
      <c r="W82" s="10"/>
      <c r="X82" s="10"/>
      <c r="Y82" s="10"/>
      <c r="Z82" s="10"/>
    </row>
    <row r="83" spans="1:26" x14ac:dyDescent="0.55000000000000004">
      <c r="A83" s="8" t="s">
        <v>722</v>
      </c>
      <c r="B83" s="25" t="s">
        <v>308</v>
      </c>
      <c r="C83" s="25" t="s">
        <v>308</v>
      </c>
      <c r="D83" s="25" t="s">
        <v>308</v>
      </c>
      <c r="E83" s="25" t="s">
        <v>308</v>
      </c>
      <c r="F83" s="25" t="s">
        <v>308</v>
      </c>
      <c r="G83" s="25" t="s">
        <v>308</v>
      </c>
      <c r="H83" s="25" t="s">
        <v>308</v>
      </c>
      <c r="I83" s="25" t="s">
        <v>308</v>
      </c>
      <c r="J83" s="25" t="s">
        <v>308</v>
      </c>
      <c r="K83" s="8"/>
      <c r="L83" s="10"/>
      <c r="M83" s="8"/>
      <c r="N83" s="8" t="s">
        <v>721</v>
      </c>
      <c r="O83" s="26">
        <v>0</v>
      </c>
      <c r="P83" s="25" t="s">
        <v>308</v>
      </c>
      <c r="Q83" s="25" t="s">
        <v>308</v>
      </c>
      <c r="R83" s="25" t="s">
        <v>308</v>
      </c>
      <c r="S83" s="8"/>
      <c r="T83" s="10"/>
      <c r="U83" s="8"/>
      <c r="V83" s="8" t="s">
        <v>323</v>
      </c>
      <c r="W83" s="8" t="s">
        <v>12</v>
      </c>
      <c r="X83" s="8">
        <f>SUMIF(Main!G11:O11,'S3'!Y1,Main!G12:O12)</f>
        <v>3</v>
      </c>
      <c r="Y83" s="8"/>
      <c r="Z83" s="8"/>
    </row>
    <row r="84" spans="1:26" x14ac:dyDescent="0.55000000000000004">
      <c r="A84" s="8" t="s">
        <v>725</v>
      </c>
      <c r="B84" s="25" t="s">
        <v>308</v>
      </c>
      <c r="C84" s="25" t="s">
        <v>308</v>
      </c>
      <c r="D84" s="25" t="s">
        <v>308</v>
      </c>
      <c r="E84" s="25" t="s">
        <v>308</v>
      </c>
      <c r="F84" s="25" t="s">
        <v>308</v>
      </c>
      <c r="G84" s="25" t="s">
        <v>308</v>
      </c>
      <c r="H84" s="25" t="s">
        <v>308</v>
      </c>
      <c r="I84" s="25" t="s">
        <v>308</v>
      </c>
      <c r="J84" s="25" t="s">
        <v>308</v>
      </c>
      <c r="K84" s="8"/>
      <c r="L84" s="10"/>
      <c r="M84" s="8"/>
      <c r="N84" s="8" t="s">
        <v>724</v>
      </c>
      <c r="O84" s="26">
        <v>0</v>
      </c>
      <c r="P84" s="25" t="s">
        <v>308</v>
      </c>
      <c r="Q84" s="25" t="s">
        <v>308</v>
      </c>
      <c r="R84" s="25" t="s">
        <v>308</v>
      </c>
      <c r="S84" s="8"/>
      <c r="T84" s="10"/>
      <c r="U84" s="8"/>
      <c r="V84" s="8"/>
      <c r="W84" s="8" t="s">
        <v>20</v>
      </c>
      <c r="X84" s="8">
        <f>SUMIF(Main!G11:O11,'S3'!Y1,Main!G13:O13)</f>
        <v>3</v>
      </c>
      <c r="Y84" s="8"/>
      <c r="Z84" s="8"/>
    </row>
    <row r="85" spans="1:26" x14ac:dyDescent="0.55000000000000004">
      <c r="A85" s="8" t="s">
        <v>728</v>
      </c>
      <c r="B85" s="25" t="s">
        <v>308</v>
      </c>
      <c r="C85" s="25" t="s">
        <v>308</v>
      </c>
      <c r="D85" s="25" t="s">
        <v>308</v>
      </c>
      <c r="E85" s="25" t="s">
        <v>308</v>
      </c>
      <c r="F85" s="25" t="s">
        <v>308</v>
      </c>
      <c r="G85" s="25" t="s">
        <v>308</v>
      </c>
      <c r="H85" s="25" t="s">
        <v>308</v>
      </c>
      <c r="I85" s="25" t="s">
        <v>308</v>
      </c>
      <c r="J85" s="25" t="s">
        <v>308</v>
      </c>
      <c r="K85" s="8"/>
      <c r="L85" s="10"/>
      <c r="M85" s="8"/>
      <c r="N85" s="8" t="s">
        <v>727</v>
      </c>
      <c r="O85" s="26">
        <v>0</v>
      </c>
      <c r="P85" s="25" t="s">
        <v>308</v>
      </c>
      <c r="Q85" s="25" t="s">
        <v>308</v>
      </c>
      <c r="R85" s="25" t="s">
        <v>308</v>
      </c>
      <c r="S85" s="8"/>
      <c r="T85" s="10"/>
      <c r="U85" s="8"/>
      <c r="V85" s="8"/>
      <c r="W85" s="8" t="s">
        <v>28</v>
      </c>
      <c r="X85" s="8">
        <f>SUMIF(Main!G11:O11,'S3'!Y1,Main!G14:O14)</f>
        <v>1</v>
      </c>
      <c r="Y85" s="8"/>
      <c r="Z85" s="8"/>
    </row>
    <row r="86" spans="1:26" x14ac:dyDescent="0.55000000000000004">
      <c r="A86" s="8" t="s">
        <v>731</v>
      </c>
      <c r="B86" s="25" t="s">
        <v>308</v>
      </c>
      <c r="C86" s="25" t="s">
        <v>308</v>
      </c>
      <c r="D86" s="25" t="s">
        <v>308</v>
      </c>
      <c r="E86" s="25" t="s">
        <v>308</v>
      </c>
      <c r="F86" s="25" t="s">
        <v>308</v>
      </c>
      <c r="G86" s="25" t="s">
        <v>308</v>
      </c>
      <c r="H86" s="25" t="s">
        <v>308</v>
      </c>
      <c r="I86" s="25" t="s">
        <v>308</v>
      </c>
      <c r="J86" s="25" t="s">
        <v>308</v>
      </c>
      <c r="K86" s="8"/>
      <c r="L86" s="10"/>
      <c r="M86" s="8"/>
      <c r="N86" s="8" t="s">
        <v>730</v>
      </c>
      <c r="O86" s="26">
        <v>0</v>
      </c>
      <c r="P86" s="25" t="s">
        <v>308</v>
      </c>
      <c r="Q86" s="25" t="s">
        <v>308</v>
      </c>
      <c r="R86" s="25" t="s">
        <v>308</v>
      </c>
      <c r="S86" s="8"/>
      <c r="T86" s="10"/>
      <c r="U86" s="8"/>
      <c r="V86" s="8"/>
      <c r="W86" s="8" t="s">
        <v>36</v>
      </c>
      <c r="X86" s="8">
        <f>SUMIF(Main!G11:O11,'S3'!Y1,Main!G15:O15)</f>
        <v>1</v>
      </c>
      <c r="Y86" s="8"/>
      <c r="Z86" s="8"/>
    </row>
    <row r="87" spans="1:26" x14ac:dyDescent="0.55000000000000004">
      <c r="A87" s="8" t="s">
        <v>734</v>
      </c>
      <c r="B87" s="25" t="s">
        <v>308</v>
      </c>
      <c r="C87" s="25" t="s">
        <v>308</v>
      </c>
      <c r="D87" s="25" t="s">
        <v>308</v>
      </c>
      <c r="E87" s="25" t="s">
        <v>308</v>
      </c>
      <c r="F87" s="25" t="s">
        <v>308</v>
      </c>
      <c r="G87" s="25" t="s">
        <v>308</v>
      </c>
      <c r="H87" s="25" t="s">
        <v>308</v>
      </c>
      <c r="I87" s="25" t="s">
        <v>308</v>
      </c>
      <c r="J87" s="25" t="s">
        <v>308</v>
      </c>
      <c r="K87" s="8"/>
      <c r="L87" s="10"/>
      <c r="M87" s="8"/>
      <c r="N87" s="8" t="s">
        <v>733</v>
      </c>
      <c r="O87" s="26">
        <v>0</v>
      </c>
      <c r="P87" s="25" t="s">
        <v>308</v>
      </c>
      <c r="Q87" s="25" t="s">
        <v>308</v>
      </c>
      <c r="R87" s="25" t="s">
        <v>308</v>
      </c>
      <c r="S87" s="8"/>
      <c r="T87" s="10"/>
      <c r="U87" s="8"/>
      <c r="V87" s="8"/>
      <c r="W87" s="8" t="s">
        <v>44</v>
      </c>
      <c r="X87" s="8">
        <f>SUMIF(Main!G11:O11,'S3'!Y1,Main!G16:O16)</f>
        <v>3</v>
      </c>
      <c r="Y87" s="8"/>
      <c r="Z87" s="8"/>
    </row>
    <row r="88" spans="1:26" x14ac:dyDescent="0.55000000000000004">
      <c r="A88" s="8" t="s">
        <v>202</v>
      </c>
      <c r="B88" s="25" t="s">
        <v>308</v>
      </c>
      <c r="C88" s="25" t="s">
        <v>308</v>
      </c>
      <c r="D88" s="25" t="s">
        <v>308</v>
      </c>
      <c r="E88" s="25" t="s">
        <v>308</v>
      </c>
      <c r="F88" s="25" t="s">
        <v>308</v>
      </c>
      <c r="G88" s="25" t="s">
        <v>308</v>
      </c>
      <c r="H88" s="25" t="s">
        <v>308</v>
      </c>
      <c r="I88" s="25" t="s">
        <v>308</v>
      </c>
      <c r="J88" s="25" t="s">
        <v>308</v>
      </c>
      <c r="K88" s="8"/>
      <c r="L88" s="10"/>
      <c r="M88" s="8"/>
      <c r="N88" s="8" t="s">
        <v>201</v>
      </c>
      <c r="O88" s="26">
        <v>0</v>
      </c>
      <c r="P88" s="25" t="s">
        <v>308</v>
      </c>
      <c r="Q88" s="25" t="s">
        <v>308</v>
      </c>
      <c r="R88" s="25" t="s">
        <v>308</v>
      </c>
      <c r="S88" s="8"/>
      <c r="T88" s="10"/>
      <c r="U88" s="8"/>
      <c r="V88" s="8"/>
      <c r="W88" s="8" t="s">
        <v>49</v>
      </c>
      <c r="X88" s="8">
        <f>SUMIF(Main!G11:O11,'S3'!Y1,Main!G17:O17)</f>
        <v>3</v>
      </c>
      <c r="Y88" s="8"/>
      <c r="Z88" s="8"/>
    </row>
    <row r="89" spans="1:26" x14ac:dyDescent="0.55000000000000004">
      <c r="A89" s="8" t="s">
        <v>738</v>
      </c>
      <c r="B89" s="25" t="s">
        <v>308</v>
      </c>
      <c r="C89" s="25" t="s">
        <v>308</v>
      </c>
      <c r="D89" s="25" t="s">
        <v>308</v>
      </c>
      <c r="E89" s="25" t="s">
        <v>308</v>
      </c>
      <c r="F89" s="25" t="s">
        <v>308</v>
      </c>
      <c r="G89" s="25" t="s">
        <v>308</v>
      </c>
      <c r="H89" s="25" t="s">
        <v>308</v>
      </c>
      <c r="I89" s="25" t="s">
        <v>308</v>
      </c>
      <c r="J89" s="25" t="s">
        <v>308</v>
      </c>
      <c r="K89" s="8"/>
      <c r="L89" s="10"/>
      <c r="M89" s="8"/>
      <c r="N89" s="8" t="s">
        <v>737</v>
      </c>
      <c r="O89" s="26">
        <v>0</v>
      </c>
      <c r="P89" s="25" t="s">
        <v>308</v>
      </c>
      <c r="Q89" s="25" t="s">
        <v>308</v>
      </c>
      <c r="R89" s="25" t="s">
        <v>308</v>
      </c>
      <c r="S89" s="8"/>
      <c r="T89" s="10"/>
      <c r="U89" s="8"/>
      <c r="V89" s="8"/>
      <c r="W89" s="8" t="s">
        <v>57</v>
      </c>
      <c r="X89" s="8">
        <f>SUMIF(Main!G11:O11,'S3'!Y1,Main!G18:O18)</f>
        <v>1</v>
      </c>
      <c r="Y89" s="8"/>
      <c r="Z89" s="8"/>
    </row>
    <row r="90" spans="1:26" x14ac:dyDescent="0.55000000000000004">
      <c r="A90" s="8" t="s">
        <v>204</v>
      </c>
      <c r="B90" s="25" t="s">
        <v>308</v>
      </c>
      <c r="C90" s="25" t="s">
        <v>308</v>
      </c>
      <c r="D90" s="25" t="s">
        <v>308</v>
      </c>
      <c r="E90" s="25" t="s">
        <v>308</v>
      </c>
      <c r="F90" s="25" t="s">
        <v>308</v>
      </c>
      <c r="G90" s="25" t="s">
        <v>308</v>
      </c>
      <c r="H90" s="25" t="s">
        <v>308</v>
      </c>
      <c r="I90" s="25" t="s">
        <v>308</v>
      </c>
      <c r="J90" s="25" t="s">
        <v>308</v>
      </c>
      <c r="K90" s="8"/>
      <c r="L90" s="10"/>
      <c r="M90" s="8"/>
      <c r="N90" s="8" t="s">
        <v>203</v>
      </c>
      <c r="O90" s="26">
        <v>0</v>
      </c>
      <c r="P90" s="25" t="s">
        <v>308</v>
      </c>
      <c r="Q90" s="25" t="s">
        <v>308</v>
      </c>
      <c r="R90" s="25" t="s">
        <v>308</v>
      </c>
      <c r="S90" s="8"/>
      <c r="T90" s="10"/>
      <c r="U90" s="8"/>
      <c r="V90" s="8"/>
      <c r="W90" s="8" t="s">
        <v>65</v>
      </c>
      <c r="X90" s="8">
        <f>SUMIF(Main!G11:O11,'S3'!Y1,Main!G19:O19)</f>
        <v>1</v>
      </c>
      <c r="Y90" s="8"/>
      <c r="Z90" s="8"/>
    </row>
    <row r="91" spans="1:26" x14ac:dyDescent="0.55000000000000004">
      <c r="A91" s="8" t="s">
        <v>742</v>
      </c>
      <c r="B91" s="25" t="s">
        <v>308</v>
      </c>
      <c r="C91" s="25" t="s">
        <v>308</v>
      </c>
      <c r="D91" s="25" t="s">
        <v>308</v>
      </c>
      <c r="E91" s="25" t="s">
        <v>308</v>
      </c>
      <c r="F91" s="25" t="s">
        <v>308</v>
      </c>
      <c r="G91" s="25" t="s">
        <v>308</v>
      </c>
      <c r="H91" s="25" t="s">
        <v>308</v>
      </c>
      <c r="I91" s="25" t="s">
        <v>308</v>
      </c>
      <c r="J91" s="25" t="s">
        <v>308</v>
      </c>
      <c r="K91" s="8"/>
      <c r="L91" s="10"/>
      <c r="M91" s="8"/>
      <c r="N91" s="8" t="s">
        <v>741</v>
      </c>
      <c r="O91" s="26">
        <v>0</v>
      </c>
      <c r="P91" s="25" t="s">
        <v>308</v>
      </c>
      <c r="Q91" s="25" t="s">
        <v>308</v>
      </c>
      <c r="R91" s="25" t="s">
        <v>308</v>
      </c>
      <c r="S91" s="8"/>
      <c r="T91" s="10"/>
      <c r="U91" s="8"/>
      <c r="V91" s="8"/>
      <c r="W91" s="8" t="s">
        <v>573</v>
      </c>
      <c r="X91" s="8">
        <f>SUMIF(Main!G11:O11,'S3'!Y1,Main!G20:O20)</f>
        <v>3</v>
      </c>
      <c r="Y91" s="8"/>
      <c r="Z91" s="8"/>
    </row>
    <row r="92" spans="1:26" x14ac:dyDescent="0.55000000000000004">
      <c r="A92" s="8" t="s">
        <v>745</v>
      </c>
      <c r="B92" s="25" t="s">
        <v>308</v>
      </c>
      <c r="C92" s="25" t="s">
        <v>308</v>
      </c>
      <c r="D92" s="25" t="s">
        <v>308</v>
      </c>
      <c r="E92" s="25" t="s">
        <v>308</v>
      </c>
      <c r="F92" s="25" t="s">
        <v>308</v>
      </c>
      <c r="G92" s="25" t="s">
        <v>308</v>
      </c>
      <c r="H92" s="25" t="s">
        <v>308</v>
      </c>
      <c r="I92" s="25" t="s">
        <v>308</v>
      </c>
      <c r="J92" s="25" t="s">
        <v>308</v>
      </c>
      <c r="K92" s="8"/>
      <c r="L92" s="10"/>
      <c r="M92" s="8"/>
      <c r="N92" s="8" t="s">
        <v>744</v>
      </c>
      <c r="O92" s="26">
        <v>0</v>
      </c>
      <c r="P92" s="25" t="s">
        <v>308</v>
      </c>
      <c r="Q92" s="25" t="s">
        <v>308</v>
      </c>
      <c r="R92" s="25" t="s">
        <v>308</v>
      </c>
      <c r="S92" s="8"/>
      <c r="T92" s="10"/>
      <c r="U92" s="8"/>
      <c r="V92" s="8"/>
      <c r="W92" s="8" t="s">
        <v>580</v>
      </c>
      <c r="X92" s="8">
        <f>SUMIF(Main!G11:O11,'S3'!Y1,Main!G21:O21)</f>
        <v>3</v>
      </c>
      <c r="Y92" s="8"/>
      <c r="Z92" s="8"/>
    </row>
    <row r="93" spans="1:26" x14ac:dyDescent="0.55000000000000004">
      <c r="A93" s="8" t="s">
        <v>748</v>
      </c>
      <c r="B93" s="25" t="s">
        <v>308</v>
      </c>
      <c r="C93" s="25" t="s">
        <v>308</v>
      </c>
      <c r="D93" s="25" t="s">
        <v>308</v>
      </c>
      <c r="E93" s="25" t="s">
        <v>308</v>
      </c>
      <c r="F93" s="25" t="s">
        <v>308</v>
      </c>
      <c r="G93" s="25" t="s">
        <v>308</v>
      </c>
      <c r="H93" s="25" t="s">
        <v>308</v>
      </c>
      <c r="I93" s="25" t="s">
        <v>308</v>
      </c>
      <c r="J93" s="25" t="s">
        <v>308</v>
      </c>
      <c r="K93" s="8"/>
      <c r="L93" s="10"/>
      <c r="M93" s="8"/>
      <c r="N93" s="8" t="s">
        <v>747</v>
      </c>
      <c r="O93" s="26">
        <v>0</v>
      </c>
      <c r="P93" s="25" t="s">
        <v>308</v>
      </c>
      <c r="Q93" s="25" t="s">
        <v>308</v>
      </c>
      <c r="R93" s="25" t="s">
        <v>308</v>
      </c>
      <c r="S93" s="8"/>
      <c r="T93" s="10"/>
      <c r="U93" s="8"/>
      <c r="V93" s="8"/>
      <c r="W93" s="8" t="s">
        <v>586</v>
      </c>
      <c r="X93" s="8">
        <f>SUMIF(Main!G11:O11,'S3'!Y1,Main!G22:O22)</f>
        <v>1</v>
      </c>
      <c r="Y93" s="8"/>
      <c r="Z93" s="8"/>
    </row>
    <row r="94" spans="1:26" x14ac:dyDescent="0.55000000000000004">
      <c r="A94" s="8" t="s">
        <v>751</v>
      </c>
      <c r="B94" s="25" t="s">
        <v>308</v>
      </c>
      <c r="C94" s="25" t="s">
        <v>308</v>
      </c>
      <c r="D94" s="25" t="s">
        <v>308</v>
      </c>
      <c r="E94" s="25" t="s">
        <v>308</v>
      </c>
      <c r="F94" s="25" t="s">
        <v>308</v>
      </c>
      <c r="G94" s="25" t="s">
        <v>308</v>
      </c>
      <c r="H94" s="25" t="s">
        <v>308</v>
      </c>
      <c r="I94" s="25" t="s">
        <v>308</v>
      </c>
      <c r="J94" s="25" t="s">
        <v>308</v>
      </c>
      <c r="K94" s="8"/>
      <c r="L94" s="10"/>
      <c r="M94" s="8"/>
      <c r="N94" s="8" t="s">
        <v>750</v>
      </c>
      <c r="O94" s="26">
        <v>0</v>
      </c>
      <c r="P94" s="25" t="s">
        <v>308</v>
      </c>
      <c r="Q94" s="25" t="s">
        <v>308</v>
      </c>
      <c r="R94" s="25" t="s">
        <v>308</v>
      </c>
      <c r="S94" s="8"/>
      <c r="T94" s="10"/>
      <c r="U94" s="8"/>
      <c r="V94" s="8"/>
      <c r="W94" s="8" t="s">
        <v>590</v>
      </c>
      <c r="X94" s="8">
        <f>SUMIF(Main!G11:O11,'S3'!Y1,Main!G23:O23)</f>
        <v>1</v>
      </c>
      <c r="Y94" s="8"/>
      <c r="Z94" s="8"/>
    </row>
    <row r="95" spans="1:26" x14ac:dyDescent="0.55000000000000004">
      <c r="A95" s="8" t="s">
        <v>754</v>
      </c>
      <c r="B95" s="25" t="s">
        <v>308</v>
      </c>
      <c r="C95" s="25" t="s">
        <v>308</v>
      </c>
      <c r="D95" s="25" t="s">
        <v>308</v>
      </c>
      <c r="E95" s="25" t="s">
        <v>308</v>
      </c>
      <c r="F95" s="25" t="s">
        <v>308</v>
      </c>
      <c r="G95" s="25" t="s">
        <v>308</v>
      </c>
      <c r="H95" s="25" t="s">
        <v>308</v>
      </c>
      <c r="I95" s="25" t="s">
        <v>308</v>
      </c>
      <c r="J95" s="25" t="s">
        <v>308</v>
      </c>
      <c r="K95" s="8"/>
      <c r="L95" s="10"/>
      <c r="M95" s="8"/>
      <c r="N95" s="8" t="s">
        <v>753</v>
      </c>
      <c r="O95" s="26">
        <v>0</v>
      </c>
      <c r="P95" s="25" t="s">
        <v>308</v>
      </c>
      <c r="Q95" s="25" t="s">
        <v>308</v>
      </c>
      <c r="R95" s="25" t="s">
        <v>308</v>
      </c>
      <c r="S95" s="8"/>
      <c r="T95" s="10"/>
      <c r="U95" s="8"/>
      <c r="V95" s="8" t="s">
        <v>251</v>
      </c>
      <c r="W95" s="8" t="s">
        <v>72</v>
      </c>
      <c r="X95" s="8">
        <f>SUMIF(Main!G11:O11,'S3'!Y1,Main!G24:O24)</f>
        <v>1</v>
      </c>
      <c r="Y95" s="8"/>
      <c r="Z95" s="8"/>
    </row>
    <row r="96" spans="1:26" x14ac:dyDescent="0.55000000000000004">
      <c r="A96" s="8" t="s">
        <v>207</v>
      </c>
      <c r="B96" s="25" t="s">
        <v>308</v>
      </c>
      <c r="C96" s="25" t="s">
        <v>308</v>
      </c>
      <c r="D96" s="25" t="s">
        <v>308</v>
      </c>
      <c r="E96" s="25" t="s">
        <v>308</v>
      </c>
      <c r="F96" s="25" t="s">
        <v>308</v>
      </c>
      <c r="G96" s="25" t="s">
        <v>308</v>
      </c>
      <c r="H96" s="25" t="s">
        <v>308</v>
      </c>
      <c r="I96" s="25" t="s">
        <v>308</v>
      </c>
      <c r="J96" s="25" t="s">
        <v>308</v>
      </c>
      <c r="K96" s="8"/>
      <c r="L96" s="10"/>
      <c r="M96" s="8"/>
      <c r="N96" s="8" t="s">
        <v>206</v>
      </c>
      <c r="O96" s="26">
        <v>0</v>
      </c>
      <c r="P96" s="25" t="s">
        <v>308</v>
      </c>
      <c r="Q96" s="25" t="s">
        <v>308</v>
      </c>
      <c r="R96" s="25" t="s">
        <v>308</v>
      </c>
      <c r="S96" s="8"/>
      <c r="T96" s="10"/>
      <c r="U96" s="8"/>
      <c r="V96" s="8" t="s">
        <v>250</v>
      </c>
      <c r="W96" s="8" t="s">
        <v>79</v>
      </c>
      <c r="X96" s="8">
        <f>SUMIF(Main!G11:O11,'S3'!Y1,Main!G25:O25)</f>
        <v>2</v>
      </c>
      <c r="Y96" s="8"/>
      <c r="Z96" s="8"/>
    </row>
    <row r="97" spans="1:26" x14ac:dyDescent="0.55000000000000004">
      <c r="A97" s="8" t="s">
        <v>758</v>
      </c>
      <c r="B97" s="25" t="s">
        <v>308</v>
      </c>
      <c r="C97" s="25" t="s">
        <v>308</v>
      </c>
      <c r="D97" s="25" t="s">
        <v>308</v>
      </c>
      <c r="E97" s="25" t="s">
        <v>308</v>
      </c>
      <c r="F97" s="25" t="s">
        <v>308</v>
      </c>
      <c r="G97" s="25" t="s">
        <v>308</v>
      </c>
      <c r="H97" s="25" t="s">
        <v>308</v>
      </c>
      <c r="I97" s="25" t="s">
        <v>308</v>
      </c>
      <c r="J97" s="25" t="s">
        <v>308</v>
      </c>
      <c r="K97" s="8"/>
      <c r="L97" s="10"/>
      <c r="M97" s="8"/>
      <c r="N97" s="8" t="s">
        <v>757</v>
      </c>
      <c r="O97" s="26">
        <v>0</v>
      </c>
      <c r="P97" s="25" t="s">
        <v>308</v>
      </c>
      <c r="Q97" s="25" t="s">
        <v>308</v>
      </c>
      <c r="R97" s="25" t="s">
        <v>308</v>
      </c>
      <c r="S97" s="8"/>
      <c r="T97" s="10"/>
      <c r="U97" s="8"/>
      <c r="V97" s="8"/>
      <c r="W97" s="8" t="s">
        <v>87</v>
      </c>
      <c r="X97" s="8">
        <f>SUMIF(Main!G11:O11,'S3'!Y1,Main!G26:O26)</f>
        <v>2</v>
      </c>
      <c r="Y97" s="8"/>
      <c r="Z97" s="8"/>
    </row>
    <row r="98" spans="1:26" x14ac:dyDescent="0.55000000000000004">
      <c r="A98" s="8" t="s">
        <v>761</v>
      </c>
      <c r="B98" s="25" t="s">
        <v>308</v>
      </c>
      <c r="C98" s="25" t="s">
        <v>308</v>
      </c>
      <c r="D98" s="25" t="s">
        <v>308</v>
      </c>
      <c r="E98" s="25" t="s">
        <v>308</v>
      </c>
      <c r="F98" s="25" t="s">
        <v>308</v>
      </c>
      <c r="G98" s="25" t="s">
        <v>308</v>
      </c>
      <c r="H98" s="25" t="s">
        <v>308</v>
      </c>
      <c r="I98" s="25" t="s">
        <v>308</v>
      </c>
      <c r="J98" s="25" t="s">
        <v>308</v>
      </c>
      <c r="K98" s="8"/>
      <c r="L98" s="10"/>
      <c r="M98" s="8"/>
      <c r="N98" s="8" t="s">
        <v>760</v>
      </c>
      <c r="O98" s="26">
        <v>0</v>
      </c>
      <c r="P98" s="25" t="s">
        <v>308</v>
      </c>
      <c r="Q98" s="25" t="s">
        <v>308</v>
      </c>
      <c r="R98" s="25" t="s">
        <v>308</v>
      </c>
      <c r="S98" s="8"/>
      <c r="T98" s="10"/>
      <c r="U98" s="8"/>
      <c r="V98" s="8"/>
      <c r="W98" s="8" t="s">
        <v>95</v>
      </c>
      <c r="X98" s="8">
        <f>SUMIF(Main!G11:O11,'S3'!Y1,Main!G27:O27)</f>
        <v>2</v>
      </c>
      <c r="Y98" s="8"/>
      <c r="Z98" s="8"/>
    </row>
    <row r="99" spans="1:26" x14ac:dyDescent="0.55000000000000004">
      <c r="A99" s="8" t="s">
        <v>764</v>
      </c>
      <c r="B99" s="25" t="s">
        <v>308</v>
      </c>
      <c r="C99" s="25" t="s">
        <v>308</v>
      </c>
      <c r="D99" s="25" t="s">
        <v>308</v>
      </c>
      <c r="E99" s="25" t="s">
        <v>308</v>
      </c>
      <c r="F99" s="25" t="s">
        <v>308</v>
      </c>
      <c r="G99" s="25" t="s">
        <v>308</v>
      </c>
      <c r="H99" s="25" t="s">
        <v>308</v>
      </c>
      <c r="I99" s="25" t="s">
        <v>308</v>
      </c>
      <c r="J99" s="25" t="s">
        <v>308</v>
      </c>
      <c r="K99" s="8"/>
      <c r="L99" s="10"/>
      <c r="M99" s="8"/>
      <c r="N99" s="8" t="s">
        <v>763</v>
      </c>
      <c r="O99" s="26">
        <v>0</v>
      </c>
      <c r="P99" s="25" t="s">
        <v>308</v>
      </c>
      <c r="Q99" s="25" t="s">
        <v>308</v>
      </c>
      <c r="R99" s="25" t="s">
        <v>308</v>
      </c>
      <c r="S99" s="8"/>
      <c r="T99" s="10"/>
      <c r="U99" s="8"/>
      <c r="V99" s="8"/>
      <c r="W99" s="8" t="s">
        <v>101</v>
      </c>
      <c r="X99" s="8">
        <f>SUMIF(Main!G11:O11,'S3'!Y1,Main!G28:O28)</f>
        <v>2</v>
      </c>
      <c r="Y99" s="8"/>
      <c r="Z99" s="8"/>
    </row>
    <row r="100" spans="1:26" x14ac:dyDescent="0.55000000000000004">
      <c r="A100" s="8" t="s">
        <v>767</v>
      </c>
      <c r="B100" s="25" t="s">
        <v>308</v>
      </c>
      <c r="C100" s="25" t="s">
        <v>308</v>
      </c>
      <c r="D100" s="25" t="s">
        <v>308</v>
      </c>
      <c r="E100" s="25" t="s">
        <v>308</v>
      </c>
      <c r="F100" s="25" t="s">
        <v>308</v>
      </c>
      <c r="G100" s="25" t="s">
        <v>308</v>
      </c>
      <c r="H100" s="25" t="s">
        <v>308</v>
      </c>
      <c r="I100" s="25" t="s">
        <v>308</v>
      </c>
      <c r="J100" s="25" t="s">
        <v>308</v>
      </c>
      <c r="K100" s="8"/>
      <c r="L100" s="10"/>
      <c r="M100" s="8"/>
      <c r="N100" s="8" t="s">
        <v>766</v>
      </c>
      <c r="O100" s="26">
        <v>0</v>
      </c>
      <c r="P100" s="25" t="s">
        <v>308</v>
      </c>
      <c r="Q100" s="25" t="s">
        <v>308</v>
      </c>
      <c r="R100" s="25" t="s">
        <v>308</v>
      </c>
      <c r="S100" s="8"/>
      <c r="T100" s="10"/>
      <c r="U100" s="8"/>
      <c r="V100" s="8"/>
      <c r="W100" s="8"/>
      <c r="X100" s="8"/>
      <c r="Y100" s="8"/>
      <c r="Z100" s="8"/>
    </row>
    <row r="101" spans="1:26" x14ac:dyDescent="0.55000000000000004">
      <c r="A101" s="8" t="s">
        <v>770</v>
      </c>
      <c r="B101" s="25" t="s">
        <v>308</v>
      </c>
      <c r="C101" s="25" t="s">
        <v>308</v>
      </c>
      <c r="D101" s="25" t="s">
        <v>308</v>
      </c>
      <c r="E101" s="25" t="s">
        <v>308</v>
      </c>
      <c r="F101" s="25" t="s">
        <v>308</v>
      </c>
      <c r="G101" s="25" t="s">
        <v>308</v>
      </c>
      <c r="H101" s="25" t="s">
        <v>308</v>
      </c>
      <c r="I101" s="25" t="s">
        <v>308</v>
      </c>
      <c r="J101" s="25" t="s">
        <v>308</v>
      </c>
      <c r="K101" s="8"/>
      <c r="L101" s="10"/>
      <c r="M101" s="8"/>
      <c r="N101" s="8" t="s">
        <v>769</v>
      </c>
      <c r="O101" s="26">
        <v>0</v>
      </c>
      <c r="P101" s="25" t="s">
        <v>308</v>
      </c>
      <c r="Q101" s="25" t="s">
        <v>308</v>
      </c>
      <c r="R101" s="25" t="s">
        <v>308</v>
      </c>
      <c r="S101" s="8"/>
      <c r="T101" s="10"/>
      <c r="U101" s="8"/>
      <c r="V101" s="8"/>
      <c r="W101" s="8"/>
      <c r="X101" s="8"/>
      <c r="Y101" s="8"/>
      <c r="Z101" s="8"/>
    </row>
    <row r="102" spans="1:26" x14ac:dyDescent="0.55000000000000004">
      <c r="A102" s="8" t="s">
        <v>211</v>
      </c>
      <c r="B102" s="25" t="s">
        <v>308</v>
      </c>
      <c r="C102" s="25" t="s">
        <v>308</v>
      </c>
      <c r="D102" s="25" t="s">
        <v>308</v>
      </c>
      <c r="E102" s="25" t="s">
        <v>308</v>
      </c>
      <c r="F102" s="25" t="s">
        <v>308</v>
      </c>
      <c r="G102" s="25" t="s">
        <v>308</v>
      </c>
      <c r="H102" s="25" t="s">
        <v>308</v>
      </c>
      <c r="I102" s="25" t="s">
        <v>308</v>
      </c>
      <c r="J102" s="25" t="s">
        <v>308</v>
      </c>
      <c r="K102" s="8"/>
      <c r="L102" s="10"/>
      <c r="M102" s="8"/>
      <c r="N102" s="8" t="s">
        <v>210</v>
      </c>
      <c r="O102" s="26">
        <v>0</v>
      </c>
      <c r="P102" s="25" t="s">
        <v>308</v>
      </c>
      <c r="Q102" s="25" t="s">
        <v>308</v>
      </c>
      <c r="R102" s="25" t="s">
        <v>308</v>
      </c>
      <c r="S102" s="8"/>
      <c r="T102" s="10"/>
      <c r="U102" s="8"/>
      <c r="V102" s="8"/>
      <c r="W102" s="8"/>
      <c r="X102" s="8"/>
      <c r="Y102" s="8"/>
      <c r="Z102" s="8"/>
    </row>
    <row r="103" spans="1:26" x14ac:dyDescent="0.55000000000000004">
      <c r="A103" s="8" t="s">
        <v>214</v>
      </c>
      <c r="B103" s="25" t="s">
        <v>308</v>
      </c>
      <c r="C103" s="25" t="s">
        <v>308</v>
      </c>
      <c r="D103" s="25" t="s">
        <v>308</v>
      </c>
      <c r="E103" s="25" t="s">
        <v>308</v>
      </c>
      <c r="F103" s="25" t="s">
        <v>308</v>
      </c>
      <c r="G103" s="25" t="s">
        <v>308</v>
      </c>
      <c r="H103" s="25" t="s">
        <v>308</v>
      </c>
      <c r="I103" s="25" t="s">
        <v>308</v>
      </c>
      <c r="J103" s="25" t="s">
        <v>308</v>
      </c>
      <c r="K103" s="8"/>
      <c r="L103" s="10"/>
      <c r="M103" s="8"/>
      <c r="N103" s="8" t="s">
        <v>213</v>
      </c>
      <c r="O103" s="26">
        <v>0</v>
      </c>
      <c r="P103" s="25" t="s">
        <v>308</v>
      </c>
      <c r="Q103" s="25" t="s">
        <v>308</v>
      </c>
      <c r="R103" s="25" t="s">
        <v>308</v>
      </c>
      <c r="S103" s="8"/>
      <c r="T103" s="10"/>
      <c r="U103" s="8"/>
      <c r="V103" s="8"/>
      <c r="W103" s="8"/>
      <c r="X103" s="8"/>
      <c r="Y103" s="8"/>
      <c r="Z103" s="8"/>
    </row>
    <row r="104" spans="1:26" x14ac:dyDescent="0.55000000000000004">
      <c r="A104" s="8" t="s">
        <v>217</v>
      </c>
      <c r="B104" s="25" t="s">
        <v>308</v>
      </c>
      <c r="C104" s="25" t="s">
        <v>308</v>
      </c>
      <c r="D104" s="25" t="s">
        <v>308</v>
      </c>
      <c r="E104" s="25" t="s">
        <v>308</v>
      </c>
      <c r="F104" s="25" t="s">
        <v>308</v>
      </c>
      <c r="G104" s="25" t="s">
        <v>308</v>
      </c>
      <c r="H104" s="25" t="s">
        <v>308</v>
      </c>
      <c r="I104" s="25" t="s">
        <v>308</v>
      </c>
      <c r="J104" s="25" t="s">
        <v>308</v>
      </c>
      <c r="K104" s="8"/>
      <c r="L104" s="10"/>
      <c r="M104" s="8"/>
      <c r="N104" s="8" t="s">
        <v>216</v>
      </c>
      <c r="O104" s="26">
        <v>0</v>
      </c>
      <c r="P104" s="25" t="s">
        <v>308</v>
      </c>
      <c r="Q104" s="25" t="s">
        <v>308</v>
      </c>
      <c r="R104" s="25" t="s">
        <v>308</v>
      </c>
      <c r="S104" s="8"/>
      <c r="T104" s="10"/>
      <c r="U104" s="8"/>
      <c r="V104" s="8"/>
      <c r="W104" s="8"/>
      <c r="X104" s="8"/>
      <c r="Y104" s="8"/>
      <c r="Z104" s="8"/>
    </row>
    <row r="105" spans="1:26" x14ac:dyDescent="0.55000000000000004">
      <c r="A105" s="8" t="s">
        <v>776</v>
      </c>
      <c r="B105" s="25" t="s">
        <v>308</v>
      </c>
      <c r="C105" s="25" t="s">
        <v>308</v>
      </c>
      <c r="D105" s="25" t="s">
        <v>308</v>
      </c>
      <c r="E105" s="25" t="s">
        <v>308</v>
      </c>
      <c r="F105" s="25" t="s">
        <v>308</v>
      </c>
      <c r="G105" s="25" t="s">
        <v>308</v>
      </c>
      <c r="H105" s="25" t="s">
        <v>308</v>
      </c>
      <c r="I105" s="25" t="s">
        <v>308</v>
      </c>
      <c r="J105" s="25" t="s">
        <v>308</v>
      </c>
      <c r="K105" s="8"/>
      <c r="L105" s="10"/>
      <c r="M105" s="8"/>
      <c r="N105" s="8" t="s">
        <v>775</v>
      </c>
      <c r="O105" s="26">
        <v>0</v>
      </c>
      <c r="P105" s="25" t="s">
        <v>308</v>
      </c>
      <c r="Q105" s="25" t="s">
        <v>308</v>
      </c>
      <c r="R105" s="25" t="s">
        <v>308</v>
      </c>
      <c r="S105" s="8"/>
      <c r="T105" s="10"/>
      <c r="U105" s="8"/>
      <c r="V105" s="8"/>
      <c r="W105" s="8"/>
      <c r="X105" s="8"/>
      <c r="Y105" s="8"/>
      <c r="Z105" s="8"/>
    </row>
    <row r="106" spans="1:26" x14ac:dyDescent="0.55000000000000004">
      <c r="A106" s="8" t="s">
        <v>779</v>
      </c>
      <c r="B106" s="25" t="s">
        <v>308</v>
      </c>
      <c r="C106" s="25" t="s">
        <v>308</v>
      </c>
      <c r="D106" s="25" t="s">
        <v>308</v>
      </c>
      <c r="E106" s="25" t="s">
        <v>308</v>
      </c>
      <c r="F106" s="25" t="s">
        <v>308</v>
      </c>
      <c r="G106" s="25" t="s">
        <v>308</v>
      </c>
      <c r="H106" s="25" t="s">
        <v>308</v>
      </c>
      <c r="I106" s="25" t="s">
        <v>308</v>
      </c>
      <c r="J106" s="25" t="s">
        <v>308</v>
      </c>
      <c r="K106" s="8"/>
      <c r="L106" s="10"/>
      <c r="M106" s="8"/>
      <c r="N106" s="8" t="s">
        <v>778</v>
      </c>
      <c r="O106" s="26">
        <v>0</v>
      </c>
      <c r="P106" s="25" t="s">
        <v>308</v>
      </c>
      <c r="Q106" s="25" t="s">
        <v>308</v>
      </c>
      <c r="R106" s="25" t="s">
        <v>308</v>
      </c>
      <c r="S106" s="8"/>
      <c r="T106" s="10"/>
      <c r="U106" s="8"/>
      <c r="V106" s="8"/>
      <c r="W106" s="8"/>
      <c r="X106" s="8"/>
      <c r="Y106" s="8"/>
      <c r="Z106" s="8"/>
    </row>
    <row r="107" spans="1:26" x14ac:dyDescent="0.55000000000000004">
      <c r="A107" s="8" t="s">
        <v>782</v>
      </c>
      <c r="B107" s="25" t="s">
        <v>308</v>
      </c>
      <c r="C107" s="25" t="s">
        <v>308</v>
      </c>
      <c r="D107" s="25" t="s">
        <v>308</v>
      </c>
      <c r="E107" s="25" t="s">
        <v>308</v>
      </c>
      <c r="F107" s="25" t="s">
        <v>308</v>
      </c>
      <c r="G107" s="25" t="s">
        <v>308</v>
      </c>
      <c r="H107" s="25" t="s">
        <v>308</v>
      </c>
      <c r="I107" s="25" t="s">
        <v>308</v>
      </c>
      <c r="J107" s="25" t="s">
        <v>308</v>
      </c>
      <c r="K107" s="8"/>
      <c r="L107" s="10"/>
      <c r="M107" s="8"/>
      <c r="N107" s="8" t="s">
        <v>781</v>
      </c>
      <c r="O107" s="26">
        <v>0</v>
      </c>
      <c r="P107" s="25" t="s">
        <v>308</v>
      </c>
      <c r="Q107" s="25" t="s">
        <v>308</v>
      </c>
      <c r="R107" s="25" t="s">
        <v>308</v>
      </c>
      <c r="S107" s="8"/>
      <c r="T107" s="10"/>
      <c r="U107" s="8"/>
      <c r="V107" s="8"/>
      <c r="W107" s="8"/>
      <c r="X107" s="8"/>
      <c r="Y107" s="8"/>
      <c r="Z107" s="8"/>
    </row>
    <row r="108" spans="1:26" x14ac:dyDescent="0.55000000000000004">
      <c r="A108" s="8" t="s">
        <v>220</v>
      </c>
      <c r="B108" s="25" t="s">
        <v>308</v>
      </c>
      <c r="C108" s="25" t="s">
        <v>308</v>
      </c>
      <c r="D108" s="25" t="s">
        <v>308</v>
      </c>
      <c r="E108" s="25" t="s">
        <v>308</v>
      </c>
      <c r="F108" s="25" t="s">
        <v>308</v>
      </c>
      <c r="G108" s="25" t="s">
        <v>308</v>
      </c>
      <c r="H108" s="25" t="s">
        <v>308</v>
      </c>
      <c r="I108" s="25" t="s">
        <v>308</v>
      </c>
      <c r="J108" s="25" t="s">
        <v>308</v>
      </c>
      <c r="K108" s="8"/>
      <c r="L108" s="10"/>
      <c r="M108" s="8"/>
      <c r="N108" s="8" t="s">
        <v>219</v>
      </c>
      <c r="O108" s="26">
        <v>0</v>
      </c>
      <c r="P108" s="25" t="s">
        <v>308</v>
      </c>
      <c r="Q108" s="25" t="s">
        <v>308</v>
      </c>
      <c r="R108" s="25" t="s">
        <v>308</v>
      </c>
      <c r="S108" s="8"/>
      <c r="T108" s="10"/>
      <c r="U108" s="8"/>
      <c r="V108" s="8"/>
      <c r="W108" s="8"/>
      <c r="X108" s="8"/>
      <c r="Y108" s="8"/>
      <c r="Z108" s="8"/>
    </row>
    <row r="109" spans="1:26" x14ac:dyDescent="0.55000000000000004">
      <c r="A109" s="8" t="s">
        <v>786</v>
      </c>
      <c r="B109" s="25" t="s">
        <v>308</v>
      </c>
      <c r="C109" s="25" t="s">
        <v>308</v>
      </c>
      <c r="D109" s="25" t="s">
        <v>308</v>
      </c>
      <c r="E109" s="25" t="s">
        <v>308</v>
      </c>
      <c r="F109" s="25" t="s">
        <v>308</v>
      </c>
      <c r="G109" s="25" t="s">
        <v>308</v>
      </c>
      <c r="H109" s="25" t="s">
        <v>308</v>
      </c>
      <c r="I109" s="25" t="s">
        <v>308</v>
      </c>
      <c r="J109" s="25" t="s">
        <v>308</v>
      </c>
      <c r="K109" s="8"/>
      <c r="L109" s="10"/>
      <c r="M109" s="8"/>
      <c r="N109" s="8" t="s">
        <v>785</v>
      </c>
      <c r="O109" s="26">
        <v>0</v>
      </c>
      <c r="P109" s="25" t="s">
        <v>308</v>
      </c>
      <c r="Q109" s="25" t="s">
        <v>308</v>
      </c>
      <c r="R109" s="25" t="s">
        <v>308</v>
      </c>
      <c r="S109" s="8"/>
      <c r="T109" s="10"/>
      <c r="U109" s="8"/>
      <c r="V109" s="8"/>
      <c r="W109" s="8"/>
      <c r="X109" s="8"/>
      <c r="Y109" s="8"/>
      <c r="Z109" s="8"/>
    </row>
    <row r="110" spans="1:26" x14ac:dyDescent="0.55000000000000004">
      <c r="A110" s="8" t="s">
        <v>789</v>
      </c>
      <c r="B110" s="25" t="s">
        <v>308</v>
      </c>
      <c r="C110" s="25" t="s">
        <v>308</v>
      </c>
      <c r="D110" s="25" t="s">
        <v>308</v>
      </c>
      <c r="E110" s="25" t="s">
        <v>308</v>
      </c>
      <c r="F110" s="25" t="s">
        <v>308</v>
      </c>
      <c r="G110" s="25" t="s">
        <v>308</v>
      </c>
      <c r="H110" s="25" t="s">
        <v>308</v>
      </c>
      <c r="I110" s="25" t="s">
        <v>308</v>
      </c>
      <c r="J110" s="25" t="s">
        <v>308</v>
      </c>
      <c r="K110" s="8"/>
      <c r="L110" s="10"/>
      <c r="M110" s="8"/>
      <c r="N110" s="8" t="s">
        <v>788</v>
      </c>
      <c r="O110" s="26">
        <v>0</v>
      </c>
      <c r="P110" s="25" t="s">
        <v>308</v>
      </c>
      <c r="Q110" s="25" t="s">
        <v>308</v>
      </c>
      <c r="R110" s="25" t="s">
        <v>308</v>
      </c>
      <c r="S110" s="8"/>
      <c r="T110" s="10"/>
      <c r="U110" s="8"/>
      <c r="V110" s="8"/>
      <c r="W110" s="8"/>
      <c r="X110" s="8"/>
      <c r="Y110" s="8"/>
      <c r="Z110" s="8"/>
    </row>
    <row r="111" spans="1:26" x14ac:dyDescent="0.5500000000000000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8"/>
      <c r="P111" s="8"/>
      <c r="Q111" s="8"/>
      <c r="R111" s="8"/>
      <c r="S111" s="8"/>
      <c r="T111" s="10"/>
      <c r="U111" s="8"/>
      <c r="V111" s="8"/>
      <c r="W111" s="8"/>
      <c r="X111" s="8"/>
      <c r="Y111" s="8"/>
      <c r="Z111" s="8"/>
    </row>
  </sheetData>
  <sheetProtection sheet="1" objects="1" scenarios="1"/>
  <mergeCells count="4">
    <mergeCell ref="B4:C4"/>
    <mergeCell ref="D4:F4"/>
    <mergeCell ref="G4:I4"/>
    <mergeCell ref="Q4:R4"/>
  </mergeCells>
  <conditionalFormatting sqref="O7:O110">
    <cfRule type="cellIs" dxfId="34" priority="4" operator="equal">
      <formula>0</formula>
    </cfRule>
  </conditionalFormatting>
  <conditionalFormatting sqref="P7:R110">
    <cfRule type="cellIs" dxfId="33" priority="3" operator="equal">
      <formula>"eps"</formula>
    </cfRule>
  </conditionalFormatting>
  <conditionalFormatting sqref="W7:Y23 B7:J110">
    <cfRule type="cellIs" dxfId="32" priority="5" operator="equal">
      <formula>"eps"</formula>
    </cfRule>
  </conditionalFormatting>
  <conditionalFormatting sqref="X28:Y42">
    <cfRule type="cellIs" dxfId="31" priority="1" operator="equal">
      <formula>"eps"</formula>
    </cfRule>
  </conditionalFormatting>
  <conditionalFormatting sqref="Y46:Y54">
    <cfRule type="cellIs" dxfId="30" priority="2" operator="equal">
      <formula>"eps"</formula>
    </cfRule>
  </conditionalFormatting>
  <dataValidations count="1">
    <dataValidation type="whole" allowBlank="1" showInputMessage="1" showErrorMessage="1" errorTitle="Incorrect choice" error="Choose 0 or 1" sqref="X59:Y74 O7:O110" xr:uid="{00000000-0002-0000-0400-000000000000}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499984740745262"/>
  </sheetPr>
  <dimension ref="A1:Z111"/>
  <sheetViews>
    <sheetView zoomScale="75" zoomScaleNormal="75" workbookViewId="0">
      <pane xSplit="1" ySplit="6" topLeftCell="B78" activePane="bottomRight" state="frozen"/>
      <selection activeCell="B7" sqref="B7"/>
      <selection pane="topRight" activeCell="B7" sqref="B7"/>
      <selection pane="bottomLeft" activeCell="B7" sqref="B7"/>
      <selection pane="bottomRight" activeCell="B50" sqref="B50:C50"/>
    </sheetView>
  </sheetViews>
  <sheetFormatPr defaultColWidth="0" defaultRowHeight="14.4" zeroHeight="1" x14ac:dyDescent="0.55000000000000004"/>
  <cols>
    <col min="1" max="9" width="8.7890625" customWidth="1"/>
    <col min="10" max="10" width="8.7890625" hidden="1" customWidth="1"/>
    <col min="11" max="13" width="1" customWidth="1"/>
    <col min="14" max="18" width="8.7890625" customWidth="1"/>
    <col min="19" max="21" width="1" customWidth="1"/>
    <col min="22" max="25" width="8.7890625" customWidth="1"/>
    <col min="26" max="26" width="3.15625" customWidth="1"/>
    <col min="27" max="16384" width="8.7890625" hidden="1"/>
  </cols>
  <sheetData>
    <row r="1" spans="1:26" ht="18.3" x14ac:dyDescent="0.7">
      <c r="A1" s="6" t="str">
        <f>"Simulation "&amp;Y1&amp;IF(X1&lt;&gt;""," : "&amp;X1,"")</f>
        <v>Simulation HH shk : 50%_incr_cchem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7" t="str">
        <f>IF(Main!C6&lt;&gt;"",Main!C6,"")</f>
        <v>50%_incr_cchem</v>
      </c>
      <c r="Y1" s="17" t="str">
        <f>Main!A9</f>
        <v>HH shk</v>
      </c>
      <c r="Z1" s="7"/>
    </row>
    <row r="2" spans="1:26" x14ac:dyDescent="0.5500000000000000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55000000000000004">
      <c r="A3" s="11" t="s">
        <v>271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 t="s">
        <v>272</v>
      </c>
      <c r="O3" s="11"/>
      <c r="P3" s="11"/>
      <c r="Q3" s="11"/>
      <c r="R3" s="11"/>
      <c r="S3" s="11"/>
      <c r="T3" s="11"/>
      <c r="U3" s="11"/>
      <c r="V3" s="11" t="s">
        <v>273</v>
      </c>
      <c r="W3" s="11"/>
      <c r="X3" s="11"/>
      <c r="Y3" s="11"/>
      <c r="Z3" s="11"/>
    </row>
    <row r="4" spans="1:26" x14ac:dyDescent="0.55000000000000004">
      <c r="A4" s="13"/>
      <c r="B4" s="31" t="s">
        <v>274</v>
      </c>
      <c r="C4" s="31"/>
      <c r="D4" s="31" t="s">
        <v>275</v>
      </c>
      <c r="E4" s="31"/>
      <c r="F4" s="31"/>
      <c r="G4" s="31" t="s">
        <v>17</v>
      </c>
      <c r="H4" s="31"/>
      <c r="I4" s="31"/>
      <c r="J4" s="15" t="s">
        <v>276</v>
      </c>
      <c r="K4" s="13"/>
      <c r="L4" s="10"/>
      <c r="M4" s="13"/>
      <c r="N4" s="13"/>
      <c r="O4" s="15" t="s">
        <v>277</v>
      </c>
      <c r="P4" s="15" t="s">
        <v>278</v>
      </c>
      <c r="Q4" s="31" t="s">
        <v>279</v>
      </c>
      <c r="R4" s="31"/>
      <c r="S4" s="13"/>
      <c r="T4" s="10"/>
      <c r="U4" s="13"/>
      <c r="V4" s="13"/>
      <c r="W4" s="15" t="s">
        <v>280</v>
      </c>
      <c r="X4" s="15" t="s">
        <v>281</v>
      </c>
      <c r="Y4" s="15" t="s">
        <v>280</v>
      </c>
      <c r="Z4" s="13"/>
    </row>
    <row r="5" spans="1:26" x14ac:dyDescent="0.55000000000000004">
      <c r="A5" s="13"/>
      <c r="B5" s="16" t="s">
        <v>282</v>
      </c>
      <c r="C5" s="16" t="s">
        <v>283</v>
      </c>
      <c r="D5" s="16" t="s">
        <v>282</v>
      </c>
      <c r="E5" s="16" t="s">
        <v>283</v>
      </c>
      <c r="F5" s="16" t="s">
        <v>284</v>
      </c>
      <c r="G5" s="16" t="s">
        <v>282</v>
      </c>
      <c r="H5" s="16" t="s">
        <v>283</v>
      </c>
      <c r="I5" s="16" t="s">
        <v>285</v>
      </c>
      <c r="J5" s="15" t="s">
        <v>286</v>
      </c>
      <c r="K5" s="13"/>
      <c r="L5" s="10"/>
      <c r="M5" s="13"/>
      <c r="N5" s="13"/>
      <c r="O5" s="16" t="s">
        <v>287</v>
      </c>
      <c r="P5" s="16"/>
      <c r="Q5" s="16" t="s">
        <v>288</v>
      </c>
      <c r="R5" s="16" t="s">
        <v>332</v>
      </c>
      <c r="S5" s="13"/>
      <c r="T5" s="10"/>
      <c r="U5" s="13"/>
      <c r="V5" s="13"/>
      <c r="W5" s="15" t="s">
        <v>289</v>
      </c>
      <c r="X5" s="15" t="s">
        <v>290</v>
      </c>
      <c r="Y5" s="15" t="s">
        <v>291</v>
      </c>
      <c r="Z5" s="13"/>
    </row>
    <row r="6" spans="1:26" x14ac:dyDescent="0.55000000000000004">
      <c r="A6" s="13"/>
      <c r="B6" s="16" t="s">
        <v>292</v>
      </c>
      <c r="C6" s="16" t="s">
        <v>293</v>
      </c>
      <c r="D6" s="16" t="s">
        <v>294</v>
      </c>
      <c r="E6" s="16" t="s">
        <v>295</v>
      </c>
      <c r="F6" s="16" t="s">
        <v>296</v>
      </c>
      <c r="G6" s="16" t="s">
        <v>297</v>
      </c>
      <c r="H6" s="16" t="s">
        <v>298</v>
      </c>
      <c r="I6" s="16" t="s">
        <v>299</v>
      </c>
      <c r="J6" s="16" t="s">
        <v>300</v>
      </c>
      <c r="K6" s="13"/>
      <c r="L6" s="10"/>
      <c r="M6" s="13"/>
      <c r="N6" s="13"/>
      <c r="O6" s="16" t="s">
        <v>301</v>
      </c>
      <c r="P6" s="16" t="s">
        <v>302</v>
      </c>
      <c r="Q6" s="16" t="s">
        <v>303</v>
      </c>
      <c r="R6" s="16" t="s">
        <v>304</v>
      </c>
      <c r="S6" s="13"/>
      <c r="T6" s="10"/>
      <c r="U6" s="13"/>
      <c r="V6" s="13"/>
      <c r="W6" s="16" t="s">
        <v>305</v>
      </c>
      <c r="X6" s="16" t="s">
        <v>306</v>
      </c>
      <c r="Y6" s="16" t="s">
        <v>307</v>
      </c>
      <c r="Z6" s="13"/>
    </row>
    <row r="7" spans="1:26" x14ac:dyDescent="0.55000000000000004">
      <c r="A7" s="8" t="s">
        <v>19</v>
      </c>
      <c r="B7" s="25" t="s">
        <v>308</v>
      </c>
      <c r="C7" s="25" t="s">
        <v>308</v>
      </c>
      <c r="D7" s="25" t="s">
        <v>308</v>
      </c>
      <c r="E7" s="25" t="s">
        <v>308</v>
      </c>
      <c r="F7" s="25" t="s">
        <v>308</v>
      </c>
      <c r="G7" s="25" t="s">
        <v>308</v>
      </c>
      <c r="H7" s="25" t="s">
        <v>308</v>
      </c>
      <c r="I7" s="25" t="s">
        <v>308</v>
      </c>
      <c r="J7" s="25" t="s">
        <v>308</v>
      </c>
      <c r="K7" s="8"/>
      <c r="L7" s="10"/>
      <c r="M7" s="8"/>
      <c r="N7" s="8" t="s">
        <v>18</v>
      </c>
      <c r="O7" s="26">
        <v>0</v>
      </c>
      <c r="P7" s="25" t="s">
        <v>308</v>
      </c>
      <c r="Q7" s="25" t="s">
        <v>308</v>
      </c>
      <c r="R7" s="25" t="s">
        <v>308</v>
      </c>
      <c r="S7" s="8"/>
      <c r="T7" s="10"/>
      <c r="U7" s="8"/>
      <c r="V7" s="8" t="s">
        <v>12</v>
      </c>
      <c r="W7" s="25" t="s">
        <v>308</v>
      </c>
      <c r="X7" s="25" t="s">
        <v>308</v>
      </c>
      <c r="Y7" s="25" t="s">
        <v>308</v>
      </c>
      <c r="Z7" s="8"/>
    </row>
    <row r="8" spans="1:26" x14ac:dyDescent="0.55000000000000004">
      <c r="A8" s="8" t="s">
        <v>10</v>
      </c>
      <c r="B8" s="25" t="s">
        <v>308</v>
      </c>
      <c r="C8" s="25">
        <v>11</v>
      </c>
      <c r="D8" s="25" t="s">
        <v>308</v>
      </c>
      <c r="E8" s="25" t="s">
        <v>308</v>
      </c>
      <c r="F8" s="25" t="s">
        <v>308</v>
      </c>
      <c r="G8" s="25" t="s">
        <v>308</v>
      </c>
      <c r="H8" s="25" t="s">
        <v>308</v>
      </c>
      <c r="I8" s="25" t="s">
        <v>308</v>
      </c>
      <c r="J8" s="25" t="s">
        <v>308</v>
      </c>
      <c r="K8" s="8"/>
      <c r="L8" s="10"/>
      <c r="M8" s="8"/>
      <c r="N8" s="8" t="s">
        <v>9</v>
      </c>
      <c r="O8" s="26">
        <v>0</v>
      </c>
      <c r="P8" s="25" t="s">
        <v>308</v>
      </c>
      <c r="Q8" s="25" t="s">
        <v>308</v>
      </c>
      <c r="R8" s="25" t="s">
        <v>308</v>
      </c>
      <c r="S8" s="8"/>
      <c r="T8" s="10"/>
      <c r="U8" s="8"/>
      <c r="V8" s="8" t="s">
        <v>20</v>
      </c>
      <c r="W8" s="25" t="s">
        <v>308</v>
      </c>
      <c r="X8" s="25" t="s">
        <v>308</v>
      </c>
      <c r="Y8" s="25" t="s">
        <v>308</v>
      </c>
      <c r="Z8" s="8"/>
    </row>
    <row r="9" spans="1:26" x14ac:dyDescent="0.55000000000000004">
      <c r="A9" s="8" t="s">
        <v>35</v>
      </c>
      <c r="B9" s="25" t="s">
        <v>308</v>
      </c>
      <c r="C9" s="25">
        <v>100</v>
      </c>
      <c r="D9" s="25" t="s">
        <v>308</v>
      </c>
      <c r="E9" s="25" t="s">
        <v>308</v>
      </c>
      <c r="F9" s="25" t="s">
        <v>308</v>
      </c>
      <c r="G9" s="25" t="s">
        <v>308</v>
      </c>
      <c r="H9" s="25" t="s">
        <v>308</v>
      </c>
      <c r="I9" s="25" t="s">
        <v>308</v>
      </c>
      <c r="J9" s="25" t="s">
        <v>308</v>
      </c>
      <c r="K9" s="8"/>
      <c r="L9" s="10"/>
      <c r="M9" s="8"/>
      <c r="N9" s="8" t="s">
        <v>34</v>
      </c>
      <c r="O9" s="26">
        <v>0</v>
      </c>
      <c r="P9" s="25" t="s">
        <v>308</v>
      </c>
      <c r="Q9" s="25" t="s">
        <v>308</v>
      </c>
      <c r="R9" s="25" t="s">
        <v>308</v>
      </c>
      <c r="S9" s="8"/>
      <c r="T9" s="10"/>
      <c r="U9" s="8"/>
      <c r="V9" s="8" t="s">
        <v>28</v>
      </c>
      <c r="W9" s="25" t="s">
        <v>308</v>
      </c>
      <c r="X9" s="25" t="s">
        <v>308</v>
      </c>
      <c r="Y9" s="25" t="s">
        <v>308</v>
      </c>
      <c r="Z9" s="8"/>
    </row>
    <row r="10" spans="1:26" x14ac:dyDescent="0.55000000000000004">
      <c r="A10" s="8" t="s">
        <v>27</v>
      </c>
      <c r="B10" s="25" t="s">
        <v>308</v>
      </c>
      <c r="C10" s="25">
        <v>-13</v>
      </c>
      <c r="D10" s="25" t="s">
        <v>308</v>
      </c>
      <c r="E10" s="25" t="s">
        <v>308</v>
      </c>
      <c r="F10" s="25" t="s">
        <v>308</v>
      </c>
      <c r="G10" s="25" t="s">
        <v>308</v>
      </c>
      <c r="H10" s="25" t="s">
        <v>308</v>
      </c>
      <c r="I10" s="25" t="s">
        <v>308</v>
      </c>
      <c r="J10" s="25" t="s">
        <v>308</v>
      </c>
      <c r="K10" s="8"/>
      <c r="L10" s="10"/>
      <c r="M10" s="8"/>
      <c r="N10" s="8" t="s">
        <v>26</v>
      </c>
      <c r="O10" s="26">
        <v>0</v>
      </c>
      <c r="P10" s="25" t="s">
        <v>308</v>
      </c>
      <c r="Q10" s="25" t="s">
        <v>308</v>
      </c>
      <c r="R10" s="25" t="s">
        <v>308</v>
      </c>
      <c r="S10" s="8"/>
      <c r="T10" s="10"/>
      <c r="U10" s="8"/>
      <c r="V10" s="8" t="s">
        <v>36</v>
      </c>
      <c r="W10" s="25" t="s">
        <v>308</v>
      </c>
      <c r="X10" s="25" t="s">
        <v>308</v>
      </c>
      <c r="Y10" s="25" t="s">
        <v>308</v>
      </c>
      <c r="Z10" s="8"/>
    </row>
    <row r="11" spans="1:26" x14ac:dyDescent="0.55000000000000004">
      <c r="A11" s="8" t="s">
        <v>42</v>
      </c>
      <c r="B11" s="25" t="s">
        <v>308</v>
      </c>
      <c r="C11" s="25" t="s">
        <v>308</v>
      </c>
      <c r="D11" s="25" t="s">
        <v>308</v>
      </c>
      <c r="E11" s="25" t="s">
        <v>308</v>
      </c>
      <c r="F11" s="25" t="s">
        <v>308</v>
      </c>
      <c r="G11" s="25" t="s">
        <v>308</v>
      </c>
      <c r="H11" s="25" t="s">
        <v>308</v>
      </c>
      <c r="I11" s="25" t="s">
        <v>308</v>
      </c>
      <c r="J11" s="25" t="s">
        <v>308</v>
      </c>
      <c r="K11" s="8"/>
      <c r="L11" s="10"/>
      <c r="M11" s="8"/>
      <c r="N11" s="8" t="s">
        <v>41</v>
      </c>
      <c r="O11" s="26">
        <v>0</v>
      </c>
      <c r="P11" s="25" t="s">
        <v>308</v>
      </c>
      <c r="Q11" s="25" t="s">
        <v>308</v>
      </c>
      <c r="R11" s="25" t="s">
        <v>308</v>
      </c>
      <c r="S11" s="8"/>
      <c r="T11" s="10"/>
      <c r="U11" s="8"/>
      <c r="V11" s="8" t="s">
        <v>44</v>
      </c>
      <c r="W11" s="25" t="s">
        <v>308</v>
      </c>
      <c r="X11" s="25" t="s">
        <v>308</v>
      </c>
      <c r="Y11" s="25" t="s">
        <v>308</v>
      </c>
      <c r="Z11" s="8"/>
    </row>
    <row r="12" spans="1:26" x14ac:dyDescent="0.55000000000000004">
      <c r="A12" s="8" t="s">
        <v>78</v>
      </c>
      <c r="B12" s="25" t="s">
        <v>308</v>
      </c>
      <c r="C12" s="25" t="s">
        <v>308</v>
      </c>
      <c r="D12" s="25" t="s">
        <v>308</v>
      </c>
      <c r="E12" s="25" t="s">
        <v>308</v>
      </c>
      <c r="F12" s="25" t="s">
        <v>308</v>
      </c>
      <c r="G12" s="25" t="s">
        <v>308</v>
      </c>
      <c r="H12" s="25" t="s">
        <v>308</v>
      </c>
      <c r="I12" s="25" t="s">
        <v>308</v>
      </c>
      <c r="J12" s="25" t="s">
        <v>308</v>
      </c>
      <c r="K12" s="8"/>
      <c r="L12" s="10"/>
      <c r="M12" s="8"/>
      <c r="N12" s="8" t="s">
        <v>77</v>
      </c>
      <c r="O12" s="26">
        <v>0</v>
      </c>
      <c r="P12" s="25" t="s">
        <v>308</v>
      </c>
      <c r="Q12" s="25" t="s">
        <v>308</v>
      </c>
      <c r="R12" s="25" t="s">
        <v>308</v>
      </c>
      <c r="S12" s="8"/>
      <c r="T12" s="10"/>
      <c r="U12" s="8"/>
      <c r="V12" s="8" t="s">
        <v>49</v>
      </c>
      <c r="W12" s="25" t="s">
        <v>308</v>
      </c>
      <c r="X12" s="25" t="s">
        <v>308</v>
      </c>
      <c r="Y12" s="25" t="s">
        <v>308</v>
      </c>
      <c r="Z12" s="8"/>
    </row>
    <row r="13" spans="1:26" x14ac:dyDescent="0.55000000000000004">
      <c r="A13" s="8" t="s">
        <v>86</v>
      </c>
      <c r="B13" s="25" t="s">
        <v>308</v>
      </c>
      <c r="C13" s="25" t="s">
        <v>308</v>
      </c>
      <c r="D13" s="25" t="s">
        <v>308</v>
      </c>
      <c r="E13" s="25" t="s">
        <v>308</v>
      </c>
      <c r="F13" s="25" t="s">
        <v>308</v>
      </c>
      <c r="G13" s="25" t="s">
        <v>308</v>
      </c>
      <c r="H13" s="25" t="s">
        <v>308</v>
      </c>
      <c r="I13" s="25" t="s">
        <v>308</v>
      </c>
      <c r="J13" s="25" t="s">
        <v>308</v>
      </c>
      <c r="K13" s="8"/>
      <c r="L13" s="10"/>
      <c r="M13" s="8"/>
      <c r="N13" s="8" t="s">
        <v>85</v>
      </c>
      <c r="O13" s="26">
        <v>0</v>
      </c>
      <c r="P13" s="25" t="s">
        <v>308</v>
      </c>
      <c r="Q13" s="25" t="s">
        <v>308</v>
      </c>
      <c r="R13" s="25" t="s">
        <v>308</v>
      </c>
      <c r="S13" s="8"/>
      <c r="T13" s="10"/>
      <c r="U13" s="8"/>
      <c r="V13" s="8" t="s">
        <v>57</v>
      </c>
      <c r="W13" s="25" t="s">
        <v>308</v>
      </c>
      <c r="X13" s="25" t="s">
        <v>308</v>
      </c>
      <c r="Y13" s="25" t="s">
        <v>308</v>
      </c>
      <c r="Z13" s="8"/>
    </row>
    <row r="14" spans="1:26" x14ac:dyDescent="0.55000000000000004">
      <c r="A14" s="8" t="s">
        <v>71</v>
      </c>
      <c r="B14" s="25" t="s">
        <v>308</v>
      </c>
      <c r="C14" s="25" t="s">
        <v>308</v>
      </c>
      <c r="D14" s="25" t="s">
        <v>308</v>
      </c>
      <c r="E14" s="25" t="s">
        <v>308</v>
      </c>
      <c r="F14" s="25" t="s">
        <v>308</v>
      </c>
      <c r="G14" s="25" t="s">
        <v>308</v>
      </c>
      <c r="H14" s="25" t="s">
        <v>308</v>
      </c>
      <c r="I14" s="25" t="s">
        <v>308</v>
      </c>
      <c r="J14" s="25" t="s">
        <v>308</v>
      </c>
      <c r="K14" s="8"/>
      <c r="L14" s="10"/>
      <c r="M14" s="8"/>
      <c r="N14" s="8" t="s">
        <v>70</v>
      </c>
      <c r="O14" s="26">
        <v>0</v>
      </c>
      <c r="P14" s="25" t="s">
        <v>308</v>
      </c>
      <c r="Q14" s="25" t="s">
        <v>308</v>
      </c>
      <c r="R14" s="25" t="s">
        <v>308</v>
      </c>
      <c r="S14" s="8"/>
      <c r="T14" s="10"/>
      <c r="U14" s="8"/>
      <c r="V14" s="8" t="s">
        <v>65</v>
      </c>
      <c r="W14" s="25" t="s">
        <v>308</v>
      </c>
      <c r="X14" s="25" t="s">
        <v>308</v>
      </c>
      <c r="Y14" s="25" t="s">
        <v>308</v>
      </c>
      <c r="Z14" s="8"/>
    </row>
    <row r="15" spans="1:26" x14ac:dyDescent="0.55000000000000004">
      <c r="A15" s="8" t="s">
        <v>94</v>
      </c>
      <c r="B15" s="25" t="s">
        <v>308</v>
      </c>
      <c r="C15" s="25" t="s">
        <v>308</v>
      </c>
      <c r="D15" s="25" t="s">
        <v>308</v>
      </c>
      <c r="E15" s="25" t="s">
        <v>308</v>
      </c>
      <c r="F15" s="25" t="s">
        <v>308</v>
      </c>
      <c r="G15" s="25" t="s">
        <v>308</v>
      </c>
      <c r="H15" s="25" t="s">
        <v>308</v>
      </c>
      <c r="I15" s="25" t="s">
        <v>308</v>
      </c>
      <c r="J15" s="25" t="s">
        <v>308</v>
      </c>
      <c r="K15" s="8"/>
      <c r="L15" s="10"/>
      <c r="M15" s="8"/>
      <c r="N15" s="8" t="s">
        <v>93</v>
      </c>
      <c r="O15" s="26">
        <v>0</v>
      </c>
      <c r="P15" s="25" t="s">
        <v>308</v>
      </c>
      <c r="Q15" s="25" t="s">
        <v>308</v>
      </c>
      <c r="R15" s="25" t="s">
        <v>308</v>
      </c>
      <c r="S15" s="8"/>
      <c r="T15" s="10"/>
      <c r="U15" s="8"/>
      <c r="V15" s="8" t="s">
        <v>573</v>
      </c>
      <c r="W15" s="25" t="s">
        <v>308</v>
      </c>
      <c r="X15" s="25" t="s">
        <v>308</v>
      </c>
      <c r="Y15" s="25" t="s">
        <v>308</v>
      </c>
      <c r="Z15" s="8"/>
    </row>
    <row r="16" spans="1:26" x14ac:dyDescent="0.55000000000000004">
      <c r="A16" s="8" t="s">
        <v>578</v>
      </c>
      <c r="B16" s="25" t="s">
        <v>308</v>
      </c>
      <c r="C16" s="25" t="s">
        <v>308</v>
      </c>
      <c r="D16" s="25" t="s">
        <v>308</v>
      </c>
      <c r="E16" s="25" t="s">
        <v>308</v>
      </c>
      <c r="F16" s="25" t="s">
        <v>308</v>
      </c>
      <c r="G16" s="25" t="s">
        <v>308</v>
      </c>
      <c r="H16" s="25" t="s">
        <v>308</v>
      </c>
      <c r="I16" s="25" t="s">
        <v>308</v>
      </c>
      <c r="J16" s="25" t="s">
        <v>308</v>
      </c>
      <c r="K16" s="8"/>
      <c r="L16" s="10"/>
      <c r="M16" s="8"/>
      <c r="N16" s="8" t="s">
        <v>577</v>
      </c>
      <c r="O16" s="26">
        <v>0</v>
      </c>
      <c r="P16" s="25" t="s">
        <v>308</v>
      </c>
      <c r="Q16" s="25" t="s">
        <v>308</v>
      </c>
      <c r="R16" s="25" t="s">
        <v>308</v>
      </c>
      <c r="S16" s="8"/>
      <c r="T16" s="10"/>
      <c r="U16" s="8"/>
      <c r="V16" s="8" t="s">
        <v>580</v>
      </c>
      <c r="W16" s="25" t="s">
        <v>308</v>
      </c>
      <c r="X16" s="25" t="s">
        <v>308</v>
      </c>
      <c r="Y16" s="25" t="s">
        <v>308</v>
      </c>
      <c r="Z16" s="8"/>
    </row>
    <row r="17" spans="1:26" x14ac:dyDescent="0.55000000000000004">
      <c r="A17" s="8" t="s">
        <v>584</v>
      </c>
      <c r="B17" s="25" t="s">
        <v>308</v>
      </c>
      <c r="C17" s="25" t="s">
        <v>308</v>
      </c>
      <c r="D17" s="25" t="s">
        <v>308</v>
      </c>
      <c r="E17" s="25" t="s">
        <v>308</v>
      </c>
      <c r="F17" s="25" t="s">
        <v>308</v>
      </c>
      <c r="G17" s="25" t="s">
        <v>308</v>
      </c>
      <c r="H17" s="25" t="s">
        <v>308</v>
      </c>
      <c r="I17" s="25" t="s">
        <v>308</v>
      </c>
      <c r="J17" s="25" t="s">
        <v>308</v>
      </c>
      <c r="K17" s="8"/>
      <c r="L17" s="10"/>
      <c r="M17" s="8"/>
      <c r="N17" s="8" t="s">
        <v>583</v>
      </c>
      <c r="O17" s="26">
        <v>0</v>
      </c>
      <c r="P17" s="25" t="s">
        <v>308</v>
      </c>
      <c r="Q17" s="25" t="s">
        <v>308</v>
      </c>
      <c r="R17" s="25" t="s">
        <v>308</v>
      </c>
      <c r="S17" s="8"/>
      <c r="T17" s="10"/>
      <c r="U17" s="8"/>
      <c r="V17" s="8" t="s">
        <v>586</v>
      </c>
      <c r="W17" s="25" t="s">
        <v>308</v>
      </c>
      <c r="X17" s="25" t="s">
        <v>308</v>
      </c>
      <c r="Y17" s="25" t="s">
        <v>308</v>
      </c>
      <c r="Z17" s="8"/>
    </row>
    <row r="18" spans="1:26" x14ac:dyDescent="0.55000000000000004">
      <c r="A18" s="8" t="s">
        <v>108</v>
      </c>
      <c r="B18" s="25" t="s">
        <v>308</v>
      </c>
      <c r="C18" s="25" t="s">
        <v>308</v>
      </c>
      <c r="D18" s="25" t="s">
        <v>308</v>
      </c>
      <c r="E18" s="25" t="s">
        <v>308</v>
      </c>
      <c r="F18" s="25" t="s">
        <v>308</v>
      </c>
      <c r="G18" s="25" t="s">
        <v>308</v>
      </c>
      <c r="H18" s="25" t="s">
        <v>308</v>
      </c>
      <c r="I18" s="25" t="s">
        <v>308</v>
      </c>
      <c r="J18" s="25" t="s">
        <v>308</v>
      </c>
      <c r="K18" s="8"/>
      <c r="L18" s="10"/>
      <c r="M18" s="8"/>
      <c r="N18" s="8" t="s">
        <v>107</v>
      </c>
      <c r="O18" s="26">
        <v>0</v>
      </c>
      <c r="P18" s="25" t="s">
        <v>308</v>
      </c>
      <c r="Q18" s="25" t="s">
        <v>308</v>
      </c>
      <c r="R18" s="25" t="s">
        <v>308</v>
      </c>
      <c r="S18" s="8"/>
      <c r="T18" s="10"/>
      <c r="U18" s="8"/>
      <c r="V18" s="8" t="s">
        <v>590</v>
      </c>
      <c r="W18" s="25" t="s">
        <v>308</v>
      </c>
      <c r="X18" s="25" t="s">
        <v>308</v>
      </c>
      <c r="Y18" s="25" t="s">
        <v>308</v>
      </c>
      <c r="Z18" s="8"/>
    </row>
    <row r="19" spans="1:26" x14ac:dyDescent="0.55000000000000004">
      <c r="A19" s="8" t="s">
        <v>594</v>
      </c>
      <c r="B19" s="25" t="s">
        <v>308</v>
      </c>
      <c r="C19" s="25" t="s">
        <v>308</v>
      </c>
      <c r="D19" s="25" t="s">
        <v>308</v>
      </c>
      <c r="E19" s="25" t="s">
        <v>308</v>
      </c>
      <c r="F19" s="25" t="s">
        <v>308</v>
      </c>
      <c r="G19" s="25" t="s">
        <v>308</v>
      </c>
      <c r="H19" s="25" t="s">
        <v>308</v>
      </c>
      <c r="I19" s="25" t="s">
        <v>308</v>
      </c>
      <c r="J19" s="25" t="s">
        <v>308</v>
      </c>
      <c r="K19" s="8"/>
      <c r="L19" s="10"/>
      <c r="M19" s="8"/>
      <c r="N19" s="8" t="s">
        <v>593</v>
      </c>
      <c r="O19" s="26">
        <v>0</v>
      </c>
      <c r="P19" s="25" t="s">
        <v>308</v>
      </c>
      <c r="Q19" s="25" t="s">
        <v>308</v>
      </c>
      <c r="R19" s="25" t="s">
        <v>308</v>
      </c>
      <c r="S19" s="8"/>
      <c r="T19" s="10"/>
      <c r="U19" s="8"/>
      <c r="V19" s="8" t="s">
        <v>72</v>
      </c>
      <c r="W19" s="25" t="s">
        <v>308</v>
      </c>
      <c r="X19" s="25" t="s">
        <v>308</v>
      </c>
      <c r="Y19" s="25" t="s">
        <v>308</v>
      </c>
      <c r="Z19" s="8"/>
    </row>
    <row r="20" spans="1:26" x14ac:dyDescent="0.55000000000000004">
      <c r="A20" s="8" t="s">
        <v>598</v>
      </c>
      <c r="B20" s="25" t="s">
        <v>308</v>
      </c>
      <c r="C20" s="25" t="s">
        <v>308</v>
      </c>
      <c r="D20" s="25" t="s">
        <v>308</v>
      </c>
      <c r="E20" s="25" t="s">
        <v>308</v>
      </c>
      <c r="F20" s="25" t="s">
        <v>308</v>
      </c>
      <c r="G20" s="25" t="s">
        <v>308</v>
      </c>
      <c r="H20" s="25" t="s">
        <v>308</v>
      </c>
      <c r="I20" s="25" t="s">
        <v>308</v>
      </c>
      <c r="J20" s="25" t="s">
        <v>308</v>
      </c>
      <c r="K20" s="8"/>
      <c r="L20" s="10"/>
      <c r="M20" s="8"/>
      <c r="N20" s="8" t="s">
        <v>597</v>
      </c>
      <c r="O20" s="26">
        <v>0</v>
      </c>
      <c r="P20" s="25" t="s">
        <v>308</v>
      </c>
      <c r="Q20" s="25" t="s">
        <v>308</v>
      </c>
      <c r="R20" s="25" t="s">
        <v>308</v>
      </c>
      <c r="S20" s="8"/>
      <c r="T20" s="10"/>
      <c r="U20" s="8"/>
      <c r="V20" s="8" t="s">
        <v>79</v>
      </c>
      <c r="W20" s="25" t="s">
        <v>308</v>
      </c>
      <c r="X20" s="25" t="s">
        <v>308</v>
      </c>
      <c r="Y20" s="25" t="s">
        <v>308</v>
      </c>
      <c r="Z20" s="8"/>
    </row>
    <row r="21" spans="1:26" x14ac:dyDescent="0.55000000000000004">
      <c r="A21" s="8" t="s">
        <v>602</v>
      </c>
      <c r="B21" s="25" t="s">
        <v>308</v>
      </c>
      <c r="C21" s="25" t="s">
        <v>308</v>
      </c>
      <c r="D21" s="25" t="s">
        <v>308</v>
      </c>
      <c r="E21" s="25" t="s">
        <v>308</v>
      </c>
      <c r="F21" s="25" t="s">
        <v>308</v>
      </c>
      <c r="G21" s="25" t="s">
        <v>308</v>
      </c>
      <c r="H21" s="25" t="s">
        <v>308</v>
      </c>
      <c r="I21" s="25" t="s">
        <v>308</v>
      </c>
      <c r="J21" s="25" t="s">
        <v>308</v>
      </c>
      <c r="K21" s="8"/>
      <c r="L21" s="10"/>
      <c r="M21" s="8"/>
      <c r="N21" s="8" t="s">
        <v>601</v>
      </c>
      <c r="O21" s="26">
        <v>0</v>
      </c>
      <c r="P21" s="25" t="s">
        <v>308</v>
      </c>
      <c r="Q21" s="25" t="s">
        <v>308</v>
      </c>
      <c r="R21" s="25" t="s">
        <v>308</v>
      </c>
      <c r="S21" s="8"/>
      <c r="T21" s="10"/>
      <c r="U21" s="8"/>
      <c r="V21" s="8" t="s">
        <v>87</v>
      </c>
      <c r="W21" s="25" t="s">
        <v>308</v>
      </c>
      <c r="X21" s="25" t="s">
        <v>308</v>
      </c>
      <c r="Y21" s="25" t="s">
        <v>308</v>
      </c>
      <c r="Z21" s="8"/>
    </row>
    <row r="22" spans="1:26" x14ac:dyDescent="0.55000000000000004">
      <c r="A22" s="8" t="s">
        <v>120</v>
      </c>
      <c r="B22" s="25" t="s">
        <v>308</v>
      </c>
      <c r="C22" s="25" t="s">
        <v>308</v>
      </c>
      <c r="D22" s="25" t="s">
        <v>308</v>
      </c>
      <c r="E22" s="25" t="s">
        <v>308</v>
      </c>
      <c r="F22" s="25" t="s">
        <v>308</v>
      </c>
      <c r="G22" s="25" t="s">
        <v>308</v>
      </c>
      <c r="H22" s="25" t="s">
        <v>308</v>
      </c>
      <c r="I22" s="25" t="s">
        <v>308</v>
      </c>
      <c r="J22" s="25" t="s">
        <v>308</v>
      </c>
      <c r="K22" s="8"/>
      <c r="L22" s="10"/>
      <c r="M22" s="8"/>
      <c r="N22" s="8" t="s">
        <v>119</v>
      </c>
      <c r="O22" s="26">
        <v>0</v>
      </c>
      <c r="P22" s="25" t="s">
        <v>308</v>
      </c>
      <c r="Q22" s="25" t="s">
        <v>308</v>
      </c>
      <c r="R22" s="25" t="s">
        <v>308</v>
      </c>
      <c r="S22" s="8"/>
      <c r="T22" s="10"/>
      <c r="U22" s="8"/>
      <c r="V22" s="8" t="s">
        <v>95</v>
      </c>
      <c r="W22" s="25" t="s">
        <v>308</v>
      </c>
      <c r="X22" s="25" t="s">
        <v>308</v>
      </c>
      <c r="Y22" s="25" t="s">
        <v>308</v>
      </c>
      <c r="Z22" s="8"/>
    </row>
    <row r="23" spans="1:26" x14ac:dyDescent="0.55000000000000004">
      <c r="A23" s="8" t="s">
        <v>55</v>
      </c>
      <c r="B23" s="25" t="s">
        <v>308</v>
      </c>
      <c r="C23" s="25" t="s">
        <v>308</v>
      </c>
      <c r="D23" s="25" t="s">
        <v>308</v>
      </c>
      <c r="E23" s="25" t="s">
        <v>308</v>
      </c>
      <c r="F23" s="25" t="s">
        <v>308</v>
      </c>
      <c r="G23" s="25" t="s">
        <v>308</v>
      </c>
      <c r="H23" s="25" t="s">
        <v>308</v>
      </c>
      <c r="I23" s="25" t="s">
        <v>308</v>
      </c>
      <c r="J23" s="25" t="s">
        <v>308</v>
      </c>
      <c r="K23" s="8"/>
      <c r="L23" s="10"/>
      <c r="M23" s="8"/>
      <c r="N23" s="8" t="s">
        <v>54</v>
      </c>
      <c r="O23" s="26">
        <v>0</v>
      </c>
      <c r="P23" s="25" t="s">
        <v>308</v>
      </c>
      <c r="Q23" s="25" t="s">
        <v>308</v>
      </c>
      <c r="R23" s="25" t="s">
        <v>308</v>
      </c>
      <c r="S23" s="8"/>
      <c r="T23" s="10"/>
      <c r="U23" s="8"/>
      <c r="V23" s="8" t="s">
        <v>101</v>
      </c>
      <c r="W23" s="25" t="s">
        <v>308</v>
      </c>
      <c r="X23" s="25" t="s">
        <v>308</v>
      </c>
      <c r="Y23" s="25" t="s">
        <v>308</v>
      </c>
      <c r="Z23" s="8"/>
    </row>
    <row r="24" spans="1:26" x14ac:dyDescent="0.55000000000000004">
      <c r="A24" s="8" t="s">
        <v>615</v>
      </c>
      <c r="B24" s="25" t="s">
        <v>308</v>
      </c>
      <c r="C24" s="25" t="s">
        <v>308</v>
      </c>
      <c r="D24" s="25" t="s">
        <v>308</v>
      </c>
      <c r="E24" s="25" t="s">
        <v>308</v>
      </c>
      <c r="F24" s="25" t="s">
        <v>308</v>
      </c>
      <c r="G24" s="25" t="s">
        <v>308</v>
      </c>
      <c r="H24" s="25" t="s">
        <v>308</v>
      </c>
      <c r="I24" s="25" t="s">
        <v>308</v>
      </c>
      <c r="J24" s="25" t="s">
        <v>308</v>
      </c>
      <c r="K24" s="8"/>
      <c r="L24" s="10"/>
      <c r="M24" s="8"/>
      <c r="N24" s="8" t="s">
        <v>614</v>
      </c>
      <c r="O24" s="26">
        <v>0</v>
      </c>
      <c r="P24" s="25" t="s">
        <v>308</v>
      </c>
      <c r="Q24" s="25" t="s">
        <v>308</v>
      </c>
      <c r="R24" s="25" t="s">
        <v>308</v>
      </c>
      <c r="S24" s="8"/>
      <c r="T24" s="10"/>
      <c r="U24" s="8"/>
      <c r="V24" s="8"/>
      <c r="W24" s="8"/>
      <c r="X24" s="8"/>
      <c r="Y24" s="8"/>
      <c r="Z24" s="8"/>
    </row>
    <row r="25" spans="1:26" x14ac:dyDescent="0.55000000000000004">
      <c r="A25" s="8" t="s">
        <v>63</v>
      </c>
      <c r="B25" s="25" t="s">
        <v>308</v>
      </c>
      <c r="C25" s="25" t="s">
        <v>308</v>
      </c>
      <c r="D25" s="25" t="s">
        <v>308</v>
      </c>
      <c r="E25" s="25" t="s">
        <v>308</v>
      </c>
      <c r="F25" s="25" t="s">
        <v>308</v>
      </c>
      <c r="G25" s="25" t="s">
        <v>308</v>
      </c>
      <c r="H25" s="25" t="s">
        <v>308</v>
      </c>
      <c r="I25" s="25" t="s">
        <v>308</v>
      </c>
      <c r="J25" s="25" t="s">
        <v>308</v>
      </c>
      <c r="K25" s="8"/>
      <c r="L25" s="10"/>
      <c r="M25" s="8"/>
      <c r="N25" s="8" t="s">
        <v>62</v>
      </c>
      <c r="O25" s="26">
        <v>0</v>
      </c>
      <c r="P25" s="25" t="s">
        <v>308</v>
      </c>
      <c r="Q25" s="25" t="s">
        <v>308</v>
      </c>
      <c r="R25" s="25" t="s">
        <v>308</v>
      </c>
      <c r="S25" s="8"/>
      <c r="T25" s="10"/>
      <c r="U25" s="11"/>
      <c r="V25" s="11" t="s">
        <v>479</v>
      </c>
      <c r="W25" s="11"/>
      <c r="X25" s="11"/>
      <c r="Y25" s="11"/>
      <c r="Z25" s="11"/>
    </row>
    <row r="26" spans="1:26" x14ac:dyDescent="0.55000000000000004">
      <c r="A26" s="8" t="s">
        <v>124</v>
      </c>
      <c r="B26" s="25" t="s">
        <v>308</v>
      </c>
      <c r="C26" s="25" t="s">
        <v>308</v>
      </c>
      <c r="D26" s="25" t="s">
        <v>308</v>
      </c>
      <c r="E26" s="25" t="s">
        <v>308</v>
      </c>
      <c r="F26" s="25" t="s">
        <v>308</v>
      </c>
      <c r="G26" s="25" t="s">
        <v>308</v>
      </c>
      <c r="H26" s="25" t="s">
        <v>308</v>
      </c>
      <c r="I26" s="25" t="s">
        <v>308</v>
      </c>
      <c r="J26" s="25" t="s">
        <v>308</v>
      </c>
      <c r="K26" s="8"/>
      <c r="L26" s="10"/>
      <c r="M26" s="8"/>
      <c r="N26" s="8" t="s">
        <v>123</v>
      </c>
      <c r="O26" s="26">
        <v>0</v>
      </c>
      <c r="P26" s="25" t="s">
        <v>308</v>
      </c>
      <c r="Q26" s="25" t="s">
        <v>308</v>
      </c>
      <c r="R26" s="25" t="s">
        <v>308</v>
      </c>
      <c r="S26" s="8"/>
      <c r="T26" s="10"/>
      <c r="U26" s="13"/>
      <c r="V26" s="13"/>
      <c r="W26" s="13"/>
      <c r="X26" s="15" t="s">
        <v>339</v>
      </c>
      <c r="Y26" s="15" t="s">
        <v>474</v>
      </c>
      <c r="Z26" s="13"/>
    </row>
    <row r="27" spans="1:26" x14ac:dyDescent="0.55000000000000004">
      <c r="A27" s="8" t="s">
        <v>122</v>
      </c>
      <c r="B27" s="25" t="s">
        <v>308</v>
      </c>
      <c r="C27" s="25" t="s">
        <v>308</v>
      </c>
      <c r="D27" s="25" t="s">
        <v>308</v>
      </c>
      <c r="E27" s="25" t="s">
        <v>308</v>
      </c>
      <c r="F27" s="25" t="s">
        <v>308</v>
      </c>
      <c r="G27" s="25" t="s">
        <v>308</v>
      </c>
      <c r="H27" s="25" t="s">
        <v>308</v>
      </c>
      <c r="I27" s="25" t="s">
        <v>308</v>
      </c>
      <c r="J27" s="25" t="s">
        <v>308</v>
      </c>
      <c r="K27" s="8"/>
      <c r="L27" s="10"/>
      <c r="M27" s="8"/>
      <c r="N27" s="8" t="s">
        <v>121</v>
      </c>
      <c r="O27" s="26">
        <v>0</v>
      </c>
      <c r="P27" s="25" t="s">
        <v>308</v>
      </c>
      <c r="Q27" s="25" t="s">
        <v>308</v>
      </c>
      <c r="R27" s="25" t="s">
        <v>308</v>
      </c>
      <c r="S27" s="8"/>
      <c r="T27" s="10"/>
      <c r="U27" s="13"/>
      <c r="V27" s="13"/>
      <c r="W27" s="13"/>
      <c r="X27" s="16" t="s">
        <v>481</v>
      </c>
      <c r="Y27" s="16" t="s">
        <v>480</v>
      </c>
      <c r="Z27" s="13"/>
    </row>
    <row r="28" spans="1:26" x14ac:dyDescent="0.55000000000000004">
      <c r="A28" s="8" t="s">
        <v>116</v>
      </c>
      <c r="B28" s="25" t="s">
        <v>308</v>
      </c>
      <c r="C28" s="25" t="s">
        <v>308</v>
      </c>
      <c r="D28" s="25" t="s">
        <v>308</v>
      </c>
      <c r="E28" s="25" t="s">
        <v>308</v>
      </c>
      <c r="F28" s="25" t="s">
        <v>308</v>
      </c>
      <c r="G28" s="25" t="s">
        <v>308</v>
      </c>
      <c r="H28" s="25" t="s">
        <v>308</v>
      </c>
      <c r="I28" s="25" t="s">
        <v>308</v>
      </c>
      <c r="J28" s="25" t="s">
        <v>308</v>
      </c>
      <c r="K28" s="8"/>
      <c r="L28" s="10"/>
      <c r="M28" s="8"/>
      <c r="N28" s="8" t="s">
        <v>115</v>
      </c>
      <c r="O28" s="26">
        <v>0</v>
      </c>
      <c r="P28" s="25" t="s">
        <v>308</v>
      </c>
      <c r="Q28" s="25" t="s">
        <v>308</v>
      </c>
      <c r="R28" s="25" t="s">
        <v>308</v>
      </c>
      <c r="S28" s="8"/>
      <c r="T28" s="10"/>
      <c r="U28" s="8"/>
      <c r="V28" s="8" t="s">
        <v>475</v>
      </c>
      <c r="W28" s="8" t="s">
        <v>791</v>
      </c>
      <c r="X28" s="25" t="s">
        <v>308</v>
      </c>
      <c r="Y28" s="25" t="s">
        <v>308</v>
      </c>
      <c r="Z28" s="8"/>
    </row>
    <row r="29" spans="1:26" x14ac:dyDescent="0.55000000000000004">
      <c r="A29" s="8" t="s">
        <v>112</v>
      </c>
      <c r="B29" s="25" t="s">
        <v>308</v>
      </c>
      <c r="C29" s="25" t="s">
        <v>308</v>
      </c>
      <c r="D29" s="25" t="s">
        <v>308</v>
      </c>
      <c r="E29" s="25" t="s">
        <v>308</v>
      </c>
      <c r="F29" s="25" t="s">
        <v>308</v>
      </c>
      <c r="G29" s="25" t="s">
        <v>308</v>
      </c>
      <c r="H29" s="25" t="s">
        <v>308</v>
      </c>
      <c r="I29" s="25" t="s">
        <v>308</v>
      </c>
      <c r="J29" s="25" t="s">
        <v>308</v>
      </c>
      <c r="K29" s="8"/>
      <c r="L29" s="10"/>
      <c r="M29" s="8"/>
      <c r="N29" s="8" t="s">
        <v>111</v>
      </c>
      <c r="O29" s="26">
        <v>0</v>
      </c>
      <c r="P29" s="25" t="s">
        <v>308</v>
      </c>
      <c r="Q29" s="25" t="s">
        <v>308</v>
      </c>
      <c r="R29" s="25" t="s">
        <v>308</v>
      </c>
      <c r="S29" s="8"/>
      <c r="T29" s="10"/>
      <c r="U29" s="8"/>
      <c r="V29" s="8"/>
      <c r="W29" s="8" t="s">
        <v>792</v>
      </c>
      <c r="X29" s="25" t="s">
        <v>308</v>
      </c>
      <c r="Y29" s="25" t="s">
        <v>308</v>
      </c>
      <c r="Z29" s="8"/>
    </row>
    <row r="30" spans="1:26" x14ac:dyDescent="0.55000000000000004">
      <c r="A30" s="8" t="s">
        <v>629</v>
      </c>
      <c r="B30" s="25" t="s">
        <v>308</v>
      </c>
      <c r="C30" s="25" t="s">
        <v>308</v>
      </c>
      <c r="D30" s="25" t="s">
        <v>308</v>
      </c>
      <c r="E30" s="25" t="s">
        <v>308</v>
      </c>
      <c r="F30" s="25" t="s">
        <v>308</v>
      </c>
      <c r="G30" s="25" t="s">
        <v>308</v>
      </c>
      <c r="H30" s="25" t="s">
        <v>308</v>
      </c>
      <c r="I30" s="25" t="s">
        <v>308</v>
      </c>
      <c r="J30" s="25" t="s">
        <v>308</v>
      </c>
      <c r="K30" s="8"/>
      <c r="L30" s="10"/>
      <c r="M30" s="8"/>
      <c r="N30" s="8" t="s">
        <v>628</v>
      </c>
      <c r="O30" s="26">
        <v>0</v>
      </c>
      <c r="P30" s="25" t="s">
        <v>308</v>
      </c>
      <c r="Q30" s="25" t="s">
        <v>308</v>
      </c>
      <c r="R30" s="25" t="s">
        <v>308</v>
      </c>
      <c r="S30" s="8"/>
      <c r="T30" s="10"/>
      <c r="U30" s="8"/>
      <c r="V30" s="8"/>
      <c r="W30" s="8" t="s">
        <v>793</v>
      </c>
      <c r="X30" s="25" t="s">
        <v>308</v>
      </c>
      <c r="Y30" s="25" t="s">
        <v>308</v>
      </c>
      <c r="Z30" s="8"/>
    </row>
    <row r="31" spans="1:26" x14ac:dyDescent="0.55000000000000004">
      <c r="A31" s="8" t="s">
        <v>127</v>
      </c>
      <c r="B31" s="25" t="s">
        <v>308</v>
      </c>
      <c r="C31" s="25" t="s">
        <v>308</v>
      </c>
      <c r="D31" s="25" t="s">
        <v>308</v>
      </c>
      <c r="E31" s="25" t="s">
        <v>308</v>
      </c>
      <c r="F31" s="25" t="s">
        <v>308</v>
      </c>
      <c r="G31" s="25" t="s">
        <v>308</v>
      </c>
      <c r="H31" s="25" t="s">
        <v>308</v>
      </c>
      <c r="I31" s="25" t="s">
        <v>308</v>
      </c>
      <c r="J31" s="25" t="s">
        <v>308</v>
      </c>
      <c r="K31" s="8"/>
      <c r="L31" s="10"/>
      <c r="M31" s="8"/>
      <c r="N31" s="8" t="s">
        <v>126</v>
      </c>
      <c r="O31" s="26">
        <v>0</v>
      </c>
      <c r="P31" s="25" t="s">
        <v>308</v>
      </c>
      <c r="Q31" s="25" t="s">
        <v>308</v>
      </c>
      <c r="R31" s="25" t="s">
        <v>308</v>
      </c>
      <c r="S31" s="8"/>
      <c r="T31" s="10"/>
      <c r="U31" s="8"/>
      <c r="V31" s="8"/>
      <c r="W31" s="8" t="s">
        <v>794</v>
      </c>
      <c r="X31" s="25" t="s">
        <v>308</v>
      </c>
      <c r="Y31" s="25" t="s">
        <v>308</v>
      </c>
      <c r="Z31" s="8"/>
    </row>
    <row r="32" spans="1:26" x14ac:dyDescent="0.55000000000000004">
      <c r="A32" s="8" t="s">
        <v>130</v>
      </c>
      <c r="B32" s="25" t="s">
        <v>308</v>
      </c>
      <c r="C32" s="25" t="s">
        <v>308</v>
      </c>
      <c r="D32" s="25" t="s">
        <v>308</v>
      </c>
      <c r="E32" s="25" t="s">
        <v>308</v>
      </c>
      <c r="F32" s="25" t="s">
        <v>308</v>
      </c>
      <c r="G32" s="25" t="s">
        <v>308</v>
      </c>
      <c r="H32" s="25" t="s">
        <v>308</v>
      </c>
      <c r="I32" s="25" t="s">
        <v>308</v>
      </c>
      <c r="J32" s="25" t="s">
        <v>308</v>
      </c>
      <c r="K32" s="8"/>
      <c r="L32" s="10"/>
      <c r="M32" s="8"/>
      <c r="N32" s="8" t="s">
        <v>129</v>
      </c>
      <c r="O32" s="26">
        <v>0</v>
      </c>
      <c r="P32" s="25" t="s">
        <v>308</v>
      </c>
      <c r="Q32" s="25" t="s">
        <v>308</v>
      </c>
      <c r="R32" s="25" t="s">
        <v>308</v>
      </c>
      <c r="S32" s="8"/>
      <c r="T32" s="10"/>
      <c r="U32" s="8"/>
      <c r="V32" s="8"/>
      <c r="W32" s="8" t="s">
        <v>795</v>
      </c>
      <c r="X32" s="25" t="s">
        <v>308</v>
      </c>
      <c r="Y32" s="25" t="s">
        <v>308</v>
      </c>
      <c r="Z32" s="8"/>
    </row>
    <row r="33" spans="1:26" x14ac:dyDescent="0.55000000000000004">
      <c r="A33" s="8" t="s">
        <v>140</v>
      </c>
      <c r="B33" s="25" t="s">
        <v>308</v>
      </c>
      <c r="C33" s="25" t="s">
        <v>308</v>
      </c>
      <c r="D33" s="25" t="s">
        <v>308</v>
      </c>
      <c r="E33" s="25" t="s">
        <v>308</v>
      </c>
      <c r="F33" s="25" t="s">
        <v>308</v>
      </c>
      <c r="G33" s="25" t="s">
        <v>308</v>
      </c>
      <c r="H33" s="25" t="s">
        <v>308</v>
      </c>
      <c r="I33" s="25" t="s">
        <v>308</v>
      </c>
      <c r="J33" s="25" t="s">
        <v>308</v>
      </c>
      <c r="K33" s="8"/>
      <c r="L33" s="10"/>
      <c r="M33" s="8"/>
      <c r="N33" s="8" t="s">
        <v>139</v>
      </c>
      <c r="O33" s="26">
        <v>0</v>
      </c>
      <c r="P33" s="25" t="s">
        <v>308</v>
      </c>
      <c r="Q33" s="25" t="s">
        <v>308</v>
      </c>
      <c r="R33" s="25" t="s">
        <v>308</v>
      </c>
      <c r="S33" s="8"/>
      <c r="T33" s="10"/>
      <c r="U33" s="8"/>
      <c r="V33" s="8" t="s">
        <v>476</v>
      </c>
      <c r="W33" s="8" t="s">
        <v>89</v>
      </c>
      <c r="X33" s="25" t="s">
        <v>308</v>
      </c>
      <c r="Y33" s="25" t="s">
        <v>308</v>
      </c>
      <c r="Z33" s="8"/>
    </row>
    <row r="34" spans="1:26" x14ac:dyDescent="0.55000000000000004">
      <c r="A34" s="8" t="s">
        <v>135</v>
      </c>
      <c r="B34" s="25" t="s">
        <v>308</v>
      </c>
      <c r="C34" s="25" t="s">
        <v>308</v>
      </c>
      <c r="D34" s="25" t="s">
        <v>308</v>
      </c>
      <c r="E34" s="25" t="s">
        <v>308</v>
      </c>
      <c r="F34" s="25" t="s">
        <v>308</v>
      </c>
      <c r="G34" s="25" t="s">
        <v>308</v>
      </c>
      <c r="H34" s="25" t="s">
        <v>308</v>
      </c>
      <c r="I34" s="25" t="s">
        <v>308</v>
      </c>
      <c r="J34" s="25" t="s">
        <v>308</v>
      </c>
      <c r="K34" s="8"/>
      <c r="L34" s="10"/>
      <c r="M34" s="8"/>
      <c r="N34" s="8" t="s">
        <v>134</v>
      </c>
      <c r="O34" s="26">
        <v>0</v>
      </c>
      <c r="P34" s="25" t="s">
        <v>308</v>
      </c>
      <c r="Q34" s="25" t="s">
        <v>308</v>
      </c>
      <c r="R34" s="25" t="s">
        <v>308</v>
      </c>
      <c r="S34" s="8"/>
      <c r="T34" s="10"/>
      <c r="U34" s="8"/>
      <c r="V34" s="8"/>
      <c r="W34" s="8" t="s">
        <v>97</v>
      </c>
      <c r="X34" s="25" t="s">
        <v>308</v>
      </c>
      <c r="Y34" s="25" t="s">
        <v>308</v>
      </c>
      <c r="Z34" s="8"/>
    </row>
    <row r="35" spans="1:26" x14ac:dyDescent="0.55000000000000004">
      <c r="A35" s="8" t="s">
        <v>142</v>
      </c>
      <c r="B35" s="25" t="s">
        <v>308</v>
      </c>
      <c r="C35" s="25" t="s">
        <v>308</v>
      </c>
      <c r="D35" s="25" t="s">
        <v>308</v>
      </c>
      <c r="E35" s="25" t="s">
        <v>308</v>
      </c>
      <c r="F35" s="25" t="s">
        <v>308</v>
      </c>
      <c r="G35" s="25" t="s">
        <v>308</v>
      </c>
      <c r="H35" s="25" t="s">
        <v>308</v>
      </c>
      <c r="I35" s="25" t="s">
        <v>308</v>
      </c>
      <c r="J35" s="25" t="s">
        <v>308</v>
      </c>
      <c r="K35" s="8"/>
      <c r="L35" s="10"/>
      <c r="M35" s="8"/>
      <c r="N35" s="8" t="s">
        <v>141</v>
      </c>
      <c r="O35" s="26">
        <v>0</v>
      </c>
      <c r="P35" s="25" t="s">
        <v>308</v>
      </c>
      <c r="Q35" s="25" t="s">
        <v>308</v>
      </c>
      <c r="R35" s="25" t="s">
        <v>308</v>
      </c>
      <c r="S35" s="8"/>
      <c r="T35" s="10"/>
      <c r="U35" s="8"/>
      <c r="V35" s="8"/>
      <c r="W35" s="8" t="s">
        <v>103</v>
      </c>
      <c r="X35" s="25" t="s">
        <v>308</v>
      </c>
      <c r="Y35" s="25" t="s">
        <v>308</v>
      </c>
      <c r="Z35" s="8"/>
    </row>
    <row r="36" spans="1:26" x14ac:dyDescent="0.55000000000000004">
      <c r="A36" s="8" t="s">
        <v>133</v>
      </c>
      <c r="B36" s="25" t="s">
        <v>308</v>
      </c>
      <c r="C36" s="25" t="s">
        <v>308</v>
      </c>
      <c r="D36" s="25" t="s">
        <v>308</v>
      </c>
      <c r="E36" s="25" t="s">
        <v>308</v>
      </c>
      <c r="F36" s="25" t="s">
        <v>308</v>
      </c>
      <c r="G36" s="25" t="s">
        <v>308</v>
      </c>
      <c r="H36" s="25" t="s">
        <v>308</v>
      </c>
      <c r="I36" s="25" t="s">
        <v>308</v>
      </c>
      <c r="J36" s="25" t="s">
        <v>308</v>
      </c>
      <c r="K36" s="8"/>
      <c r="L36" s="10"/>
      <c r="M36" s="8"/>
      <c r="N36" s="8" t="s">
        <v>132</v>
      </c>
      <c r="O36" s="26">
        <v>0</v>
      </c>
      <c r="P36" s="25" t="s">
        <v>308</v>
      </c>
      <c r="Q36" s="25" t="s">
        <v>308</v>
      </c>
      <c r="R36" s="25" t="s">
        <v>308</v>
      </c>
      <c r="S36" s="8"/>
      <c r="T36" s="10"/>
      <c r="U36" s="8"/>
      <c r="V36" s="8"/>
      <c r="W36" s="8" t="s">
        <v>109</v>
      </c>
      <c r="X36" s="25" t="s">
        <v>308</v>
      </c>
      <c r="Y36" s="25" t="s">
        <v>308</v>
      </c>
      <c r="Z36" s="8"/>
    </row>
    <row r="37" spans="1:26" x14ac:dyDescent="0.55000000000000004">
      <c r="A37" s="8" t="s">
        <v>138</v>
      </c>
      <c r="B37" s="25" t="s">
        <v>308</v>
      </c>
      <c r="C37" s="25" t="s">
        <v>308</v>
      </c>
      <c r="D37" s="25" t="s">
        <v>308</v>
      </c>
      <c r="E37" s="25" t="s">
        <v>308</v>
      </c>
      <c r="F37" s="25" t="s">
        <v>308</v>
      </c>
      <c r="G37" s="25" t="s">
        <v>308</v>
      </c>
      <c r="H37" s="25" t="s">
        <v>308</v>
      </c>
      <c r="I37" s="25" t="s">
        <v>308</v>
      </c>
      <c r="J37" s="25" t="s">
        <v>308</v>
      </c>
      <c r="K37" s="8"/>
      <c r="L37" s="10"/>
      <c r="M37" s="8"/>
      <c r="N37" s="8" t="s">
        <v>137</v>
      </c>
      <c r="O37" s="26">
        <v>0</v>
      </c>
      <c r="P37" s="25" t="s">
        <v>308</v>
      </c>
      <c r="Q37" s="25" t="s">
        <v>308</v>
      </c>
      <c r="R37" s="25" t="s">
        <v>308</v>
      </c>
      <c r="S37" s="8"/>
      <c r="T37" s="10"/>
      <c r="U37" s="8"/>
      <c r="V37" s="8"/>
      <c r="W37" s="8" t="s">
        <v>113</v>
      </c>
      <c r="X37" s="25" t="s">
        <v>308</v>
      </c>
      <c r="Y37" s="25" t="s">
        <v>308</v>
      </c>
      <c r="Z37" s="8"/>
    </row>
    <row r="38" spans="1:26" x14ac:dyDescent="0.55000000000000004">
      <c r="A38" s="8" t="s">
        <v>639</v>
      </c>
      <c r="B38" s="25" t="s">
        <v>308</v>
      </c>
      <c r="C38" s="25" t="s">
        <v>308</v>
      </c>
      <c r="D38" s="25" t="s">
        <v>308</v>
      </c>
      <c r="E38" s="25" t="s">
        <v>308</v>
      </c>
      <c r="F38" s="25" t="s">
        <v>308</v>
      </c>
      <c r="G38" s="25" t="s">
        <v>308</v>
      </c>
      <c r="H38" s="25" t="s">
        <v>308</v>
      </c>
      <c r="I38" s="25" t="s">
        <v>308</v>
      </c>
      <c r="J38" s="25" t="s">
        <v>308</v>
      </c>
      <c r="K38" s="8"/>
      <c r="L38" s="10"/>
      <c r="M38" s="8"/>
      <c r="N38" s="8" t="s">
        <v>638</v>
      </c>
      <c r="O38" s="26">
        <v>0</v>
      </c>
      <c r="P38" s="25" t="s">
        <v>308</v>
      </c>
      <c r="Q38" s="25" t="s">
        <v>308</v>
      </c>
      <c r="R38" s="25" t="s">
        <v>308</v>
      </c>
      <c r="S38" s="8"/>
      <c r="T38" s="10"/>
      <c r="U38" s="8"/>
      <c r="V38" s="8" t="s">
        <v>477</v>
      </c>
      <c r="W38" s="8" t="s">
        <v>607</v>
      </c>
      <c r="X38" s="25" t="s">
        <v>308</v>
      </c>
      <c r="Y38" s="25" t="s">
        <v>308</v>
      </c>
      <c r="Z38" s="8"/>
    </row>
    <row r="39" spans="1:26" x14ac:dyDescent="0.55000000000000004">
      <c r="A39" s="8" t="s">
        <v>642</v>
      </c>
      <c r="B39" s="25" t="s">
        <v>308</v>
      </c>
      <c r="C39" s="25" t="s">
        <v>308</v>
      </c>
      <c r="D39" s="25" t="s">
        <v>308</v>
      </c>
      <c r="E39" s="25" t="s">
        <v>308</v>
      </c>
      <c r="F39" s="25" t="s">
        <v>308</v>
      </c>
      <c r="G39" s="25" t="s">
        <v>308</v>
      </c>
      <c r="H39" s="25" t="s">
        <v>308</v>
      </c>
      <c r="I39" s="25" t="s">
        <v>308</v>
      </c>
      <c r="J39" s="25" t="s">
        <v>308</v>
      </c>
      <c r="K39" s="8"/>
      <c r="L39" s="10"/>
      <c r="M39" s="8"/>
      <c r="N39" s="8" t="s">
        <v>641</v>
      </c>
      <c r="O39" s="26">
        <v>0</v>
      </c>
      <c r="P39" s="25" t="s">
        <v>308</v>
      </c>
      <c r="Q39" s="25" t="s">
        <v>308</v>
      </c>
      <c r="R39" s="25" t="s">
        <v>308</v>
      </c>
      <c r="S39" s="8"/>
      <c r="T39" s="10"/>
      <c r="U39" s="8"/>
      <c r="V39" s="8"/>
      <c r="W39" s="8" t="s">
        <v>612</v>
      </c>
      <c r="X39" s="25" t="s">
        <v>308</v>
      </c>
      <c r="Y39" s="25" t="s">
        <v>308</v>
      </c>
      <c r="Z39" s="8"/>
    </row>
    <row r="40" spans="1:26" x14ac:dyDescent="0.55000000000000004">
      <c r="A40" s="8" t="s">
        <v>645</v>
      </c>
      <c r="B40" s="25" t="s">
        <v>308</v>
      </c>
      <c r="C40" s="25" t="s">
        <v>308</v>
      </c>
      <c r="D40" s="25" t="s">
        <v>308</v>
      </c>
      <c r="E40" s="25" t="s">
        <v>308</v>
      </c>
      <c r="F40" s="25" t="s">
        <v>308</v>
      </c>
      <c r="G40" s="25" t="s">
        <v>308</v>
      </c>
      <c r="H40" s="25" t="s">
        <v>308</v>
      </c>
      <c r="I40" s="25" t="s">
        <v>308</v>
      </c>
      <c r="J40" s="25" t="s">
        <v>308</v>
      </c>
      <c r="K40" s="8"/>
      <c r="L40" s="10"/>
      <c r="M40" s="8"/>
      <c r="N40" s="8" t="s">
        <v>644</v>
      </c>
      <c r="O40" s="26">
        <v>0</v>
      </c>
      <c r="P40" s="25" t="s">
        <v>308</v>
      </c>
      <c r="Q40" s="25" t="s">
        <v>308</v>
      </c>
      <c r="R40" s="25" t="s">
        <v>308</v>
      </c>
      <c r="S40" s="8"/>
      <c r="T40" s="10"/>
      <c r="U40" s="8"/>
      <c r="V40" s="8"/>
      <c r="W40" s="8" t="s">
        <v>617</v>
      </c>
      <c r="X40" s="25" t="s">
        <v>308</v>
      </c>
      <c r="Y40" s="25" t="s">
        <v>308</v>
      </c>
      <c r="Z40" s="8"/>
    </row>
    <row r="41" spans="1:26" x14ac:dyDescent="0.55000000000000004">
      <c r="A41" s="8" t="s">
        <v>648</v>
      </c>
      <c r="B41" s="25" t="s">
        <v>308</v>
      </c>
      <c r="C41" s="25" t="s">
        <v>308</v>
      </c>
      <c r="D41" s="25" t="s">
        <v>308</v>
      </c>
      <c r="E41" s="25" t="s">
        <v>308</v>
      </c>
      <c r="F41" s="25" t="s">
        <v>308</v>
      </c>
      <c r="G41" s="25" t="s">
        <v>308</v>
      </c>
      <c r="H41" s="25" t="s">
        <v>308</v>
      </c>
      <c r="I41" s="25" t="s">
        <v>308</v>
      </c>
      <c r="J41" s="25" t="s">
        <v>308</v>
      </c>
      <c r="K41" s="8"/>
      <c r="L41" s="10"/>
      <c r="M41" s="8"/>
      <c r="N41" s="8" t="s">
        <v>647</v>
      </c>
      <c r="O41" s="26">
        <v>0</v>
      </c>
      <c r="P41" s="25" t="s">
        <v>308</v>
      </c>
      <c r="Q41" s="25" t="s">
        <v>308</v>
      </c>
      <c r="R41" s="25" t="s">
        <v>308</v>
      </c>
      <c r="S41" s="8"/>
      <c r="T41" s="10"/>
      <c r="U41" s="8"/>
      <c r="V41" s="8"/>
      <c r="W41" s="8" t="s">
        <v>620</v>
      </c>
      <c r="X41" s="25" t="s">
        <v>308</v>
      </c>
      <c r="Y41" s="25" t="s">
        <v>308</v>
      </c>
      <c r="Z41" s="8"/>
    </row>
    <row r="42" spans="1:26" x14ac:dyDescent="0.55000000000000004">
      <c r="A42" s="8" t="s">
        <v>145</v>
      </c>
      <c r="B42" s="25" t="s">
        <v>308</v>
      </c>
      <c r="C42" s="25" t="s">
        <v>308</v>
      </c>
      <c r="D42" s="25" t="s">
        <v>308</v>
      </c>
      <c r="E42" s="25" t="s">
        <v>308</v>
      </c>
      <c r="F42" s="25" t="s">
        <v>308</v>
      </c>
      <c r="G42" s="25" t="s">
        <v>308</v>
      </c>
      <c r="H42" s="25" t="s">
        <v>308</v>
      </c>
      <c r="I42" s="25" t="s">
        <v>308</v>
      </c>
      <c r="J42" s="25" t="s">
        <v>308</v>
      </c>
      <c r="K42" s="8"/>
      <c r="L42" s="10"/>
      <c r="M42" s="8"/>
      <c r="N42" s="8" t="s">
        <v>144</v>
      </c>
      <c r="O42" s="26">
        <v>0</v>
      </c>
      <c r="P42" s="25" t="s">
        <v>308</v>
      </c>
      <c r="Q42" s="25" t="s">
        <v>308</v>
      </c>
      <c r="R42" s="25" t="s">
        <v>308</v>
      </c>
      <c r="S42" s="8"/>
      <c r="T42" s="10"/>
      <c r="U42" s="8"/>
      <c r="V42" s="8"/>
      <c r="W42" s="8" t="s">
        <v>623</v>
      </c>
      <c r="X42" s="25" t="s">
        <v>308</v>
      </c>
      <c r="Y42" s="25" t="s">
        <v>308</v>
      </c>
      <c r="Z42" s="8"/>
    </row>
    <row r="43" spans="1:26" x14ac:dyDescent="0.55000000000000004">
      <c r="A43" s="8" t="s">
        <v>148</v>
      </c>
      <c r="B43" s="25" t="s">
        <v>308</v>
      </c>
      <c r="C43" s="25" t="s">
        <v>308</v>
      </c>
      <c r="D43" s="25" t="s">
        <v>308</v>
      </c>
      <c r="E43" s="25" t="s">
        <v>308</v>
      </c>
      <c r="F43" s="25" t="s">
        <v>308</v>
      </c>
      <c r="G43" s="25" t="s">
        <v>308</v>
      </c>
      <c r="H43" s="25" t="s">
        <v>308</v>
      </c>
      <c r="I43" s="25" t="s">
        <v>308</v>
      </c>
      <c r="J43" s="25" t="s">
        <v>308</v>
      </c>
      <c r="K43" s="8"/>
      <c r="L43" s="10"/>
      <c r="M43" s="8"/>
      <c r="N43" s="8" t="s">
        <v>147</v>
      </c>
      <c r="O43" s="26">
        <v>0</v>
      </c>
      <c r="P43" s="25" t="s">
        <v>308</v>
      </c>
      <c r="Q43" s="25" t="s">
        <v>308</v>
      </c>
      <c r="R43" s="25" t="s">
        <v>308</v>
      </c>
      <c r="S43" s="8"/>
      <c r="T43" s="10"/>
      <c r="U43" s="8"/>
      <c r="V43" s="8"/>
      <c r="W43" s="8"/>
      <c r="X43" s="8"/>
      <c r="Y43" s="8"/>
      <c r="Z43" s="8"/>
    </row>
    <row r="44" spans="1:26" x14ac:dyDescent="0.55000000000000004">
      <c r="A44" s="8" t="s">
        <v>150</v>
      </c>
      <c r="B44" s="25" t="s">
        <v>308</v>
      </c>
      <c r="C44" s="25" t="s">
        <v>308</v>
      </c>
      <c r="D44" s="25" t="s">
        <v>308</v>
      </c>
      <c r="E44" s="25" t="s">
        <v>308</v>
      </c>
      <c r="F44" s="25" t="s">
        <v>308</v>
      </c>
      <c r="G44" s="25" t="s">
        <v>308</v>
      </c>
      <c r="H44" s="25" t="s">
        <v>308</v>
      </c>
      <c r="I44" s="25" t="s">
        <v>308</v>
      </c>
      <c r="J44" s="25" t="s">
        <v>308</v>
      </c>
      <c r="K44" s="8"/>
      <c r="L44" s="10"/>
      <c r="M44" s="8"/>
      <c r="N44" s="8" t="s">
        <v>149</v>
      </c>
      <c r="O44" s="26">
        <v>0</v>
      </c>
      <c r="P44" s="25" t="s">
        <v>308</v>
      </c>
      <c r="Q44" s="25" t="s">
        <v>308</v>
      </c>
      <c r="R44" s="25" t="s">
        <v>308</v>
      </c>
      <c r="S44" s="8"/>
      <c r="T44" s="10"/>
      <c r="U44" s="10"/>
      <c r="V44" s="11" t="s">
        <v>309</v>
      </c>
      <c r="W44" s="10"/>
      <c r="X44" s="10"/>
      <c r="Y44" s="10"/>
      <c r="Z44" s="10"/>
    </row>
    <row r="45" spans="1:26" x14ac:dyDescent="0.55000000000000004">
      <c r="A45" s="8" t="s">
        <v>654</v>
      </c>
      <c r="B45" s="25" t="s">
        <v>308</v>
      </c>
      <c r="C45" s="25" t="s">
        <v>308</v>
      </c>
      <c r="D45" s="25" t="s">
        <v>308</v>
      </c>
      <c r="E45" s="25" t="s">
        <v>308</v>
      </c>
      <c r="F45" s="25" t="s">
        <v>308</v>
      </c>
      <c r="G45" s="25" t="s">
        <v>308</v>
      </c>
      <c r="H45" s="25" t="s">
        <v>308</v>
      </c>
      <c r="I45" s="25" t="s">
        <v>308</v>
      </c>
      <c r="J45" s="25" t="s">
        <v>308</v>
      </c>
      <c r="K45" s="8"/>
      <c r="L45" s="10"/>
      <c r="M45" s="8"/>
      <c r="N45" s="8" t="s">
        <v>653</v>
      </c>
      <c r="O45" s="26">
        <v>0</v>
      </c>
      <c r="P45" s="25" t="s">
        <v>308</v>
      </c>
      <c r="Q45" s="25" t="s">
        <v>308</v>
      </c>
      <c r="R45" s="25" t="s">
        <v>308</v>
      </c>
      <c r="S45" s="8"/>
      <c r="T45" s="10"/>
      <c r="U45" s="8"/>
      <c r="V45" s="8"/>
      <c r="W45" s="8"/>
      <c r="X45" s="8"/>
      <c r="Y45" s="8"/>
      <c r="Z45" s="8"/>
    </row>
    <row r="46" spans="1:26" x14ac:dyDescent="0.55000000000000004">
      <c r="A46" s="8" t="s">
        <v>152</v>
      </c>
      <c r="B46" s="25" t="s">
        <v>308</v>
      </c>
      <c r="C46" s="25" t="s">
        <v>308</v>
      </c>
      <c r="D46" s="25" t="s">
        <v>308</v>
      </c>
      <c r="E46" s="25" t="s">
        <v>308</v>
      </c>
      <c r="F46" s="25" t="s">
        <v>308</v>
      </c>
      <c r="G46" s="25" t="s">
        <v>308</v>
      </c>
      <c r="H46" s="25" t="s">
        <v>308</v>
      </c>
      <c r="I46" s="25" t="s">
        <v>308</v>
      </c>
      <c r="J46" s="25" t="s">
        <v>308</v>
      </c>
      <c r="K46" s="8"/>
      <c r="L46" s="10"/>
      <c r="M46" s="8"/>
      <c r="N46" s="8" t="s">
        <v>151</v>
      </c>
      <c r="O46" s="26">
        <v>0</v>
      </c>
      <c r="P46" s="25" t="s">
        <v>308</v>
      </c>
      <c r="Q46" s="25" t="s">
        <v>308</v>
      </c>
      <c r="R46" s="25" t="s">
        <v>308</v>
      </c>
      <c r="S46" s="8"/>
      <c r="T46" s="10"/>
      <c r="U46" s="8"/>
      <c r="V46" s="8" t="s">
        <v>310</v>
      </c>
      <c r="W46" s="8"/>
      <c r="X46" s="8" t="s">
        <v>311</v>
      </c>
      <c r="Y46" s="25" t="s">
        <v>308</v>
      </c>
      <c r="Z46" s="8"/>
    </row>
    <row r="47" spans="1:26" x14ac:dyDescent="0.55000000000000004">
      <c r="A47" s="8" t="s">
        <v>154</v>
      </c>
      <c r="B47" s="25" t="s">
        <v>308</v>
      </c>
      <c r="C47" s="25" t="s">
        <v>308</v>
      </c>
      <c r="D47" s="25" t="s">
        <v>308</v>
      </c>
      <c r="E47" s="25" t="s">
        <v>308</v>
      </c>
      <c r="F47" s="25" t="s">
        <v>308</v>
      </c>
      <c r="G47" s="25" t="s">
        <v>308</v>
      </c>
      <c r="H47" s="25" t="s">
        <v>308</v>
      </c>
      <c r="I47" s="25" t="s">
        <v>308</v>
      </c>
      <c r="J47" s="25" t="s">
        <v>308</v>
      </c>
      <c r="K47" s="8"/>
      <c r="L47" s="10"/>
      <c r="M47" s="8"/>
      <c r="N47" s="8" t="s">
        <v>153</v>
      </c>
      <c r="O47" s="26">
        <v>0</v>
      </c>
      <c r="P47" s="25" t="s">
        <v>308</v>
      </c>
      <c r="Q47" s="25" t="s">
        <v>308</v>
      </c>
      <c r="R47" s="25" t="s">
        <v>308</v>
      </c>
      <c r="S47" s="8"/>
      <c r="T47" s="10"/>
      <c r="U47" s="8"/>
      <c r="V47" s="8" t="s">
        <v>312</v>
      </c>
      <c r="W47" s="8"/>
      <c r="X47" s="8" t="s">
        <v>313</v>
      </c>
      <c r="Y47" s="25" t="s">
        <v>308</v>
      </c>
      <c r="Z47" s="8"/>
    </row>
    <row r="48" spans="1:26" x14ac:dyDescent="0.55000000000000004">
      <c r="A48" s="8" t="s">
        <v>156</v>
      </c>
      <c r="B48" s="25" t="s">
        <v>308</v>
      </c>
      <c r="C48" s="25" t="s">
        <v>308</v>
      </c>
      <c r="D48" s="25" t="s">
        <v>308</v>
      </c>
      <c r="E48" s="25" t="s">
        <v>308</v>
      </c>
      <c r="F48" s="25" t="s">
        <v>308</v>
      </c>
      <c r="G48" s="25" t="s">
        <v>308</v>
      </c>
      <c r="H48" s="25" t="s">
        <v>308</v>
      </c>
      <c r="I48" s="25" t="s">
        <v>308</v>
      </c>
      <c r="J48" s="25" t="s">
        <v>308</v>
      </c>
      <c r="K48" s="8"/>
      <c r="L48" s="10"/>
      <c r="M48" s="8"/>
      <c r="N48" s="8" t="s">
        <v>155</v>
      </c>
      <c r="O48" s="26">
        <v>0</v>
      </c>
      <c r="P48" s="25" t="s">
        <v>308</v>
      </c>
      <c r="Q48" s="25" t="s">
        <v>308</v>
      </c>
      <c r="R48" s="25" t="s">
        <v>308</v>
      </c>
      <c r="S48" s="8"/>
      <c r="T48" s="10"/>
      <c r="U48" s="8"/>
      <c r="V48" s="8" t="s">
        <v>314</v>
      </c>
      <c r="W48" s="8"/>
      <c r="X48" s="8" t="s">
        <v>315</v>
      </c>
      <c r="Y48" s="25" t="s">
        <v>308</v>
      </c>
      <c r="Z48" s="8"/>
    </row>
    <row r="49" spans="1:26" x14ac:dyDescent="0.55000000000000004">
      <c r="A49" s="8" t="s">
        <v>160</v>
      </c>
      <c r="B49" s="25" t="s">
        <v>308</v>
      </c>
      <c r="C49" s="25" t="s">
        <v>308</v>
      </c>
      <c r="D49" s="25" t="s">
        <v>308</v>
      </c>
      <c r="E49" s="25" t="s">
        <v>308</v>
      </c>
      <c r="F49" s="25" t="s">
        <v>308</v>
      </c>
      <c r="G49" s="25" t="s">
        <v>308</v>
      </c>
      <c r="H49" s="25" t="s">
        <v>308</v>
      </c>
      <c r="I49" s="25" t="s">
        <v>308</v>
      </c>
      <c r="J49" s="25" t="s">
        <v>308</v>
      </c>
      <c r="K49" s="8"/>
      <c r="L49" s="10"/>
      <c r="M49" s="8"/>
      <c r="N49" s="8" t="s">
        <v>159</v>
      </c>
      <c r="O49" s="26">
        <v>0</v>
      </c>
      <c r="P49" s="25" t="s">
        <v>308</v>
      </c>
      <c r="Q49" s="25" t="s">
        <v>308</v>
      </c>
      <c r="R49" s="25" t="s">
        <v>308</v>
      </c>
      <c r="S49" s="8"/>
      <c r="T49" s="10"/>
      <c r="U49" s="8"/>
      <c r="V49" s="8" t="s">
        <v>333</v>
      </c>
      <c r="W49" s="8"/>
      <c r="X49" s="8" t="s">
        <v>316</v>
      </c>
      <c r="Y49" s="25" t="s">
        <v>308</v>
      </c>
      <c r="Z49" s="8"/>
    </row>
    <row r="50" spans="1:26" x14ac:dyDescent="0.55000000000000004">
      <c r="A50" s="8" t="s">
        <v>162</v>
      </c>
      <c r="B50" s="25" t="s">
        <v>308</v>
      </c>
      <c r="C50" s="25" t="s">
        <v>308</v>
      </c>
      <c r="D50" s="25" t="s">
        <v>308</v>
      </c>
      <c r="E50" s="25" t="s">
        <v>308</v>
      </c>
      <c r="F50" s="25" t="s">
        <v>308</v>
      </c>
      <c r="G50" s="25" t="s">
        <v>308</v>
      </c>
      <c r="H50" s="25" t="s">
        <v>308</v>
      </c>
      <c r="I50" s="25" t="s">
        <v>308</v>
      </c>
      <c r="J50" s="25" t="s">
        <v>308</v>
      </c>
      <c r="K50" s="8"/>
      <c r="L50" s="10"/>
      <c r="M50" s="8"/>
      <c r="N50" s="8" t="s">
        <v>161</v>
      </c>
      <c r="O50" s="26">
        <v>0</v>
      </c>
      <c r="P50" s="25" t="s">
        <v>308</v>
      </c>
      <c r="Q50" s="25" t="s">
        <v>308</v>
      </c>
      <c r="R50" s="25" t="s">
        <v>308</v>
      </c>
      <c r="S50" s="8"/>
      <c r="T50" s="10"/>
      <c r="U50" s="8"/>
      <c r="V50" s="8" t="s">
        <v>334</v>
      </c>
      <c r="W50" s="8"/>
      <c r="X50" s="8" t="s">
        <v>317</v>
      </c>
      <c r="Y50" s="25" t="s">
        <v>308</v>
      </c>
      <c r="Z50" s="8"/>
    </row>
    <row r="51" spans="1:26" x14ac:dyDescent="0.55000000000000004">
      <c r="A51" s="8" t="s">
        <v>158</v>
      </c>
      <c r="B51" s="25" t="s">
        <v>308</v>
      </c>
      <c r="C51" s="25" t="s">
        <v>308</v>
      </c>
      <c r="D51" s="25" t="s">
        <v>308</v>
      </c>
      <c r="E51" s="25" t="s">
        <v>308</v>
      </c>
      <c r="F51" s="25" t="s">
        <v>308</v>
      </c>
      <c r="G51" s="25" t="s">
        <v>308</v>
      </c>
      <c r="H51" s="25" t="s">
        <v>308</v>
      </c>
      <c r="I51" s="25" t="s">
        <v>308</v>
      </c>
      <c r="J51" s="25" t="s">
        <v>308</v>
      </c>
      <c r="K51" s="8"/>
      <c r="L51" s="10"/>
      <c r="M51" s="8"/>
      <c r="N51" s="8" t="s">
        <v>157</v>
      </c>
      <c r="O51" s="26">
        <v>0</v>
      </c>
      <c r="P51" s="25" t="s">
        <v>308</v>
      </c>
      <c r="Q51" s="25" t="s">
        <v>308</v>
      </c>
      <c r="R51" s="25" t="s">
        <v>308</v>
      </c>
      <c r="S51" s="8"/>
      <c r="T51" s="10"/>
      <c r="U51" s="8"/>
      <c r="V51" s="8" t="s">
        <v>335</v>
      </c>
      <c r="W51" s="8"/>
      <c r="X51" s="8" t="s">
        <v>318</v>
      </c>
      <c r="Y51" s="25" t="s">
        <v>308</v>
      </c>
      <c r="Z51" s="8"/>
    </row>
    <row r="52" spans="1:26" x14ac:dyDescent="0.55000000000000004">
      <c r="A52" s="8" t="s">
        <v>164</v>
      </c>
      <c r="B52" s="25" t="s">
        <v>308</v>
      </c>
      <c r="C52" s="25" t="s">
        <v>308</v>
      </c>
      <c r="D52" s="25" t="s">
        <v>308</v>
      </c>
      <c r="E52" s="25" t="s">
        <v>308</v>
      </c>
      <c r="F52" s="25" t="s">
        <v>308</v>
      </c>
      <c r="G52" s="25" t="s">
        <v>308</v>
      </c>
      <c r="H52" s="25" t="s">
        <v>308</v>
      </c>
      <c r="I52" s="25" t="s">
        <v>308</v>
      </c>
      <c r="J52" s="25" t="s">
        <v>308</v>
      </c>
      <c r="K52" s="8"/>
      <c r="L52" s="10"/>
      <c r="M52" s="8"/>
      <c r="N52" s="8" t="s">
        <v>163</v>
      </c>
      <c r="O52" s="26">
        <v>0</v>
      </c>
      <c r="P52" s="25" t="s">
        <v>308</v>
      </c>
      <c r="Q52" s="25" t="s">
        <v>308</v>
      </c>
      <c r="R52" s="25" t="s">
        <v>308</v>
      </c>
      <c r="S52" s="8"/>
      <c r="T52" s="10"/>
      <c r="U52" s="8"/>
      <c r="V52" s="8"/>
      <c r="W52" s="8"/>
      <c r="X52" s="8" t="s">
        <v>319</v>
      </c>
      <c r="Y52" s="25" t="s">
        <v>308</v>
      </c>
      <c r="Z52" s="8"/>
    </row>
    <row r="53" spans="1:26" x14ac:dyDescent="0.55000000000000004">
      <c r="A53" s="8" t="s">
        <v>664</v>
      </c>
      <c r="B53" s="25" t="s">
        <v>308</v>
      </c>
      <c r="C53" s="25" t="s">
        <v>308</v>
      </c>
      <c r="D53" s="25" t="s">
        <v>308</v>
      </c>
      <c r="E53" s="25" t="s">
        <v>308</v>
      </c>
      <c r="F53" s="25" t="s">
        <v>308</v>
      </c>
      <c r="G53" s="25" t="s">
        <v>308</v>
      </c>
      <c r="H53" s="25" t="s">
        <v>308</v>
      </c>
      <c r="I53" s="25" t="s">
        <v>308</v>
      </c>
      <c r="J53" s="25" t="s">
        <v>308</v>
      </c>
      <c r="K53" s="8"/>
      <c r="L53" s="10"/>
      <c r="M53" s="8"/>
      <c r="N53" s="8" t="s">
        <v>663</v>
      </c>
      <c r="O53" s="26">
        <v>0</v>
      </c>
      <c r="P53" s="25" t="s">
        <v>308</v>
      </c>
      <c r="Q53" s="25" t="s">
        <v>308</v>
      </c>
      <c r="R53" s="25" t="s">
        <v>308</v>
      </c>
      <c r="S53" s="8"/>
      <c r="T53" s="10"/>
      <c r="U53" s="8"/>
      <c r="V53" s="8" t="s">
        <v>336</v>
      </c>
      <c r="W53" s="8"/>
      <c r="X53" s="8" t="s">
        <v>320</v>
      </c>
      <c r="Y53" s="25" t="s">
        <v>308</v>
      </c>
      <c r="Z53" s="8"/>
    </row>
    <row r="54" spans="1:26" x14ac:dyDescent="0.55000000000000004">
      <c r="A54" s="8" t="s">
        <v>169</v>
      </c>
      <c r="B54" s="25" t="s">
        <v>308</v>
      </c>
      <c r="C54" s="25" t="s">
        <v>308</v>
      </c>
      <c r="D54" s="25" t="s">
        <v>308</v>
      </c>
      <c r="E54" s="25" t="s">
        <v>308</v>
      </c>
      <c r="F54" s="25" t="s">
        <v>308</v>
      </c>
      <c r="G54" s="25" t="s">
        <v>308</v>
      </c>
      <c r="H54" s="25" t="s">
        <v>308</v>
      </c>
      <c r="I54" s="25" t="s">
        <v>308</v>
      </c>
      <c r="J54" s="25" t="s">
        <v>308</v>
      </c>
      <c r="K54" s="8"/>
      <c r="L54" s="10"/>
      <c r="M54" s="8"/>
      <c r="N54" s="8" t="s">
        <v>168</v>
      </c>
      <c r="O54" s="26">
        <v>0</v>
      </c>
      <c r="P54" s="25" t="s">
        <v>308</v>
      </c>
      <c r="Q54" s="25" t="s">
        <v>308</v>
      </c>
      <c r="R54" s="25" t="s">
        <v>308</v>
      </c>
      <c r="S54" s="8"/>
      <c r="T54" s="10"/>
      <c r="U54" s="8"/>
      <c r="V54" s="8"/>
      <c r="W54" s="8"/>
      <c r="X54" s="8" t="s">
        <v>321</v>
      </c>
      <c r="Y54" s="25" t="s">
        <v>308</v>
      </c>
      <c r="Z54" s="8"/>
    </row>
    <row r="55" spans="1:26" x14ac:dyDescent="0.55000000000000004">
      <c r="A55" s="8" t="s">
        <v>166</v>
      </c>
      <c r="B55" s="25" t="s">
        <v>308</v>
      </c>
      <c r="C55" s="25" t="s">
        <v>308</v>
      </c>
      <c r="D55" s="25" t="s">
        <v>308</v>
      </c>
      <c r="E55" s="25" t="s">
        <v>308</v>
      </c>
      <c r="F55" s="25" t="s">
        <v>308</v>
      </c>
      <c r="G55" s="25" t="s">
        <v>308</v>
      </c>
      <c r="H55" s="25" t="s">
        <v>308</v>
      </c>
      <c r="I55" s="25" t="s">
        <v>308</v>
      </c>
      <c r="J55" s="25" t="s">
        <v>308</v>
      </c>
      <c r="K55" s="8"/>
      <c r="L55" s="10"/>
      <c r="M55" s="8"/>
      <c r="N55" s="8" t="s">
        <v>165</v>
      </c>
      <c r="O55" s="26">
        <v>0</v>
      </c>
      <c r="P55" s="25" t="s">
        <v>308</v>
      </c>
      <c r="Q55" s="25" t="s">
        <v>308</v>
      </c>
      <c r="R55" s="25" t="s">
        <v>308</v>
      </c>
      <c r="S55" s="8"/>
      <c r="T55" s="10"/>
      <c r="U55" s="8"/>
      <c r="V55" s="8"/>
      <c r="W55" s="8"/>
      <c r="X55" s="8"/>
      <c r="Y55" s="8"/>
      <c r="Z55" s="8"/>
    </row>
    <row r="56" spans="1:26" x14ac:dyDescent="0.55000000000000004">
      <c r="A56" s="8" t="s">
        <v>669</v>
      </c>
      <c r="B56" s="25" t="s">
        <v>308</v>
      </c>
      <c r="C56" s="25" t="s">
        <v>308</v>
      </c>
      <c r="D56" s="25" t="s">
        <v>308</v>
      </c>
      <c r="E56" s="25" t="s">
        <v>308</v>
      </c>
      <c r="F56" s="25" t="s">
        <v>308</v>
      </c>
      <c r="G56" s="25" t="s">
        <v>308</v>
      </c>
      <c r="H56" s="25" t="s">
        <v>308</v>
      </c>
      <c r="I56" s="25" t="s">
        <v>308</v>
      </c>
      <c r="J56" s="25" t="s">
        <v>308</v>
      </c>
      <c r="K56" s="8"/>
      <c r="L56" s="10"/>
      <c r="M56" s="8"/>
      <c r="N56" s="8" t="s">
        <v>668</v>
      </c>
      <c r="O56" s="26">
        <v>0</v>
      </c>
      <c r="P56" s="25" t="s">
        <v>308</v>
      </c>
      <c r="Q56" s="25" t="s">
        <v>308</v>
      </c>
      <c r="R56" s="25" t="s">
        <v>308</v>
      </c>
      <c r="S56" s="8"/>
      <c r="T56" s="10"/>
      <c r="U56" s="10"/>
      <c r="V56" s="11" t="s">
        <v>324</v>
      </c>
      <c r="W56" s="10"/>
      <c r="X56" s="10"/>
      <c r="Y56" s="10"/>
      <c r="Z56" s="10"/>
    </row>
    <row r="57" spans="1:26" x14ac:dyDescent="0.55000000000000004">
      <c r="A57" s="8" t="s">
        <v>171</v>
      </c>
      <c r="B57" s="25" t="s">
        <v>308</v>
      </c>
      <c r="C57" s="25" t="s">
        <v>308</v>
      </c>
      <c r="D57" s="25" t="s">
        <v>308</v>
      </c>
      <c r="E57" s="25" t="s">
        <v>308</v>
      </c>
      <c r="F57" s="25" t="s">
        <v>308</v>
      </c>
      <c r="G57" s="25" t="s">
        <v>308</v>
      </c>
      <c r="H57" s="25" t="s">
        <v>308</v>
      </c>
      <c r="I57" s="25" t="s">
        <v>308</v>
      </c>
      <c r="J57" s="25" t="s">
        <v>308</v>
      </c>
      <c r="K57" s="8"/>
      <c r="L57" s="10"/>
      <c r="M57" s="8"/>
      <c r="N57" s="8" t="s">
        <v>170</v>
      </c>
      <c r="O57" s="26">
        <v>0</v>
      </c>
      <c r="P57" s="25" t="s">
        <v>308</v>
      </c>
      <c r="Q57" s="25" t="s">
        <v>308</v>
      </c>
      <c r="R57" s="25" t="s">
        <v>308</v>
      </c>
      <c r="S57" s="8"/>
      <c r="T57" s="10"/>
      <c r="U57" s="13"/>
      <c r="V57" s="13"/>
      <c r="W57" s="13"/>
      <c r="X57" s="15" t="s">
        <v>325</v>
      </c>
      <c r="Y57" s="15" t="s">
        <v>326</v>
      </c>
      <c r="Z57" s="13"/>
    </row>
    <row r="58" spans="1:26" x14ac:dyDescent="0.55000000000000004">
      <c r="A58" s="8" t="s">
        <v>173</v>
      </c>
      <c r="B58" s="25" t="s">
        <v>308</v>
      </c>
      <c r="C58" s="25" t="s">
        <v>308</v>
      </c>
      <c r="D58" s="25" t="s">
        <v>308</v>
      </c>
      <c r="E58" s="25" t="s">
        <v>308</v>
      </c>
      <c r="F58" s="25" t="s">
        <v>308</v>
      </c>
      <c r="G58" s="25" t="s">
        <v>308</v>
      </c>
      <c r="H58" s="25" t="s">
        <v>308</v>
      </c>
      <c r="I58" s="25" t="s">
        <v>308</v>
      </c>
      <c r="J58" s="25" t="s">
        <v>308</v>
      </c>
      <c r="K58" s="8"/>
      <c r="L58" s="10"/>
      <c r="M58" s="8"/>
      <c r="N58" s="8" t="s">
        <v>172</v>
      </c>
      <c r="O58" s="26">
        <v>0</v>
      </c>
      <c r="P58" s="25" t="s">
        <v>308</v>
      </c>
      <c r="Q58" s="25" t="s">
        <v>308</v>
      </c>
      <c r="R58" s="25" t="s">
        <v>308</v>
      </c>
      <c r="S58" s="8"/>
      <c r="T58" s="10"/>
      <c r="U58" s="13"/>
      <c r="V58" s="13"/>
      <c r="W58" s="13"/>
      <c r="X58" s="16" t="s">
        <v>327</v>
      </c>
      <c r="Y58" s="16" t="s">
        <v>328</v>
      </c>
      <c r="Z58" s="13"/>
    </row>
    <row r="59" spans="1:26" x14ac:dyDescent="0.55000000000000004">
      <c r="A59" s="8" t="s">
        <v>175</v>
      </c>
      <c r="B59" s="25" t="s">
        <v>308</v>
      </c>
      <c r="C59" s="25" t="s">
        <v>308</v>
      </c>
      <c r="D59" s="25" t="s">
        <v>308</v>
      </c>
      <c r="E59" s="25" t="s">
        <v>308</v>
      </c>
      <c r="F59" s="25" t="s">
        <v>308</v>
      </c>
      <c r="G59" s="25" t="s">
        <v>308</v>
      </c>
      <c r="H59" s="25" t="s">
        <v>308</v>
      </c>
      <c r="I59" s="25" t="s">
        <v>308</v>
      </c>
      <c r="J59" s="25" t="s">
        <v>308</v>
      </c>
      <c r="K59" s="8"/>
      <c r="L59" s="10"/>
      <c r="M59" s="8"/>
      <c r="N59" s="8" t="s">
        <v>174</v>
      </c>
      <c r="O59" s="26">
        <v>0</v>
      </c>
      <c r="P59" s="25" t="s">
        <v>308</v>
      </c>
      <c r="Q59" s="25" t="s">
        <v>308</v>
      </c>
      <c r="R59" s="25" t="s">
        <v>308</v>
      </c>
      <c r="S59" s="8"/>
      <c r="T59" s="10"/>
      <c r="U59" s="8"/>
      <c r="V59" s="8" t="s">
        <v>329</v>
      </c>
      <c r="W59" s="8" t="s">
        <v>24</v>
      </c>
      <c r="X59" s="23">
        <v>1</v>
      </c>
      <c r="Y59" s="23">
        <v>1</v>
      </c>
      <c r="Z59" s="8"/>
    </row>
    <row r="60" spans="1:26" x14ac:dyDescent="0.55000000000000004">
      <c r="A60" s="8" t="s">
        <v>177</v>
      </c>
      <c r="B60" s="25" t="s">
        <v>308</v>
      </c>
      <c r="C60" s="25" t="s">
        <v>308</v>
      </c>
      <c r="D60" s="25" t="s">
        <v>308</v>
      </c>
      <c r="E60" s="25" t="s">
        <v>308</v>
      </c>
      <c r="F60" s="25" t="s">
        <v>308</v>
      </c>
      <c r="G60" s="25" t="s">
        <v>308</v>
      </c>
      <c r="H60" s="25" t="s">
        <v>308</v>
      </c>
      <c r="I60" s="25" t="s">
        <v>308</v>
      </c>
      <c r="J60" s="25" t="s">
        <v>308</v>
      </c>
      <c r="K60" s="8"/>
      <c r="L60" s="10"/>
      <c r="M60" s="8"/>
      <c r="N60" s="8" t="s">
        <v>176</v>
      </c>
      <c r="O60" s="26">
        <v>0</v>
      </c>
      <c r="P60" s="25" t="s">
        <v>308</v>
      </c>
      <c r="Q60" s="25" t="s">
        <v>308</v>
      </c>
      <c r="R60" s="25" t="s">
        <v>308</v>
      </c>
      <c r="S60" s="8"/>
      <c r="T60" s="10"/>
      <c r="U60" s="8"/>
      <c r="V60" s="8" t="s">
        <v>330</v>
      </c>
      <c r="W60" s="8" t="s">
        <v>791</v>
      </c>
      <c r="X60" s="23">
        <v>1</v>
      </c>
      <c r="Y60" s="23">
        <v>1</v>
      </c>
      <c r="Z60" s="8"/>
    </row>
    <row r="61" spans="1:26" x14ac:dyDescent="0.55000000000000004">
      <c r="A61" s="8" t="s">
        <v>676</v>
      </c>
      <c r="B61" s="25" t="s">
        <v>308</v>
      </c>
      <c r="C61" s="25" t="s">
        <v>308</v>
      </c>
      <c r="D61" s="25" t="s">
        <v>308</v>
      </c>
      <c r="E61" s="25" t="s">
        <v>308</v>
      </c>
      <c r="F61" s="25" t="s">
        <v>308</v>
      </c>
      <c r="G61" s="25" t="s">
        <v>308</v>
      </c>
      <c r="H61" s="25" t="s">
        <v>308</v>
      </c>
      <c r="I61" s="25" t="s">
        <v>308</v>
      </c>
      <c r="J61" s="25" t="s">
        <v>308</v>
      </c>
      <c r="K61" s="8"/>
      <c r="L61" s="10"/>
      <c r="M61" s="8"/>
      <c r="N61" s="8" t="s">
        <v>675</v>
      </c>
      <c r="O61" s="26">
        <v>0</v>
      </c>
      <c r="P61" s="25" t="s">
        <v>308</v>
      </c>
      <c r="Q61" s="25" t="s">
        <v>308</v>
      </c>
      <c r="R61" s="25" t="s">
        <v>308</v>
      </c>
      <c r="S61" s="8"/>
      <c r="T61" s="10"/>
      <c r="U61" s="8"/>
      <c r="V61" s="8"/>
      <c r="W61" s="8" t="s">
        <v>792</v>
      </c>
      <c r="X61" s="23">
        <v>1</v>
      </c>
      <c r="Y61" s="23">
        <v>1</v>
      </c>
      <c r="Z61" s="8"/>
    </row>
    <row r="62" spans="1:26" x14ac:dyDescent="0.55000000000000004">
      <c r="A62" s="8" t="s">
        <v>179</v>
      </c>
      <c r="B62" s="25" t="s">
        <v>308</v>
      </c>
      <c r="C62" s="25" t="s">
        <v>308</v>
      </c>
      <c r="D62" s="25" t="s">
        <v>308</v>
      </c>
      <c r="E62" s="25" t="s">
        <v>308</v>
      </c>
      <c r="F62" s="25" t="s">
        <v>308</v>
      </c>
      <c r="G62" s="25" t="s">
        <v>308</v>
      </c>
      <c r="H62" s="25" t="s">
        <v>308</v>
      </c>
      <c r="I62" s="25" t="s">
        <v>308</v>
      </c>
      <c r="J62" s="25" t="s">
        <v>308</v>
      </c>
      <c r="K62" s="8"/>
      <c r="L62" s="10"/>
      <c r="M62" s="8"/>
      <c r="N62" s="8" t="s">
        <v>178</v>
      </c>
      <c r="O62" s="26">
        <v>0</v>
      </c>
      <c r="P62" s="25" t="s">
        <v>308</v>
      </c>
      <c r="Q62" s="25" t="s">
        <v>308</v>
      </c>
      <c r="R62" s="25" t="s">
        <v>308</v>
      </c>
      <c r="S62" s="8"/>
      <c r="T62" s="10"/>
      <c r="U62" s="8"/>
      <c r="V62" s="8"/>
      <c r="W62" s="8" t="s">
        <v>793</v>
      </c>
      <c r="X62" s="23">
        <v>1</v>
      </c>
      <c r="Y62" s="23">
        <v>1</v>
      </c>
      <c r="Z62" s="8"/>
    </row>
    <row r="63" spans="1:26" x14ac:dyDescent="0.55000000000000004">
      <c r="A63" s="8" t="s">
        <v>181</v>
      </c>
      <c r="B63" s="25" t="s">
        <v>308</v>
      </c>
      <c r="C63" s="25" t="s">
        <v>308</v>
      </c>
      <c r="D63" s="25" t="s">
        <v>308</v>
      </c>
      <c r="E63" s="25" t="s">
        <v>308</v>
      </c>
      <c r="F63" s="25" t="s">
        <v>308</v>
      </c>
      <c r="G63" s="25" t="s">
        <v>308</v>
      </c>
      <c r="H63" s="25" t="s">
        <v>308</v>
      </c>
      <c r="I63" s="25" t="s">
        <v>308</v>
      </c>
      <c r="J63" s="25" t="s">
        <v>308</v>
      </c>
      <c r="K63" s="8"/>
      <c r="L63" s="10"/>
      <c r="M63" s="8"/>
      <c r="N63" s="8" t="s">
        <v>180</v>
      </c>
      <c r="O63" s="26">
        <v>0</v>
      </c>
      <c r="P63" s="25" t="s">
        <v>308</v>
      </c>
      <c r="Q63" s="25" t="s">
        <v>308</v>
      </c>
      <c r="R63" s="25" t="s">
        <v>308</v>
      </c>
      <c r="S63" s="8"/>
      <c r="T63" s="10"/>
      <c r="U63" s="8"/>
      <c r="V63" s="8"/>
      <c r="W63" s="8" t="s">
        <v>794</v>
      </c>
      <c r="X63" s="23">
        <v>1</v>
      </c>
      <c r="Y63" s="23">
        <v>1</v>
      </c>
      <c r="Z63" s="8"/>
    </row>
    <row r="64" spans="1:26" x14ac:dyDescent="0.55000000000000004">
      <c r="A64" s="8" t="s">
        <v>681</v>
      </c>
      <c r="B64" s="25" t="s">
        <v>308</v>
      </c>
      <c r="C64" s="25" t="s">
        <v>308</v>
      </c>
      <c r="D64" s="25" t="s">
        <v>308</v>
      </c>
      <c r="E64" s="25" t="s">
        <v>308</v>
      </c>
      <c r="F64" s="25" t="s">
        <v>308</v>
      </c>
      <c r="G64" s="25" t="s">
        <v>308</v>
      </c>
      <c r="H64" s="25" t="s">
        <v>308</v>
      </c>
      <c r="I64" s="25" t="s">
        <v>308</v>
      </c>
      <c r="J64" s="25" t="s">
        <v>308</v>
      </c>
      <c r="K64" s="8"/>
      <c r="L64" s="10"/>
      <c r="M64" s="8"/>
      <c r="N64" s="8" t="s">
        <v>680</v>
      </c>
      <c r="O64" s="26">
        <v>0</v>
      </c>
      <c r="P64" s="25" t="s">
        <v>308</v>
      </c>
      <c r="Q64" s="25" t="s">
        <v>308</v>
      </c>
      <c r="R64" s="25" t="s">
        <v>308</v>
      </c>
      <c r="S64" s="8"/>
      <c r="T64" s="10"/>
      <c r="U64" s="8"/>
      <c r="V64" s="8"/>
      <c r="W64" s="8" t="s">
        <v>795</v>
      </c>
      <c r="X64" s="23">
        <v>1</v>
      </c>
      <c r="Y64" s="23">
        <v>1</v>
      </c>
      <c r="Z64" s="8"/>
    </row>
    <row r="65" spans="1:26" x14ac:dyDescent="0.55000000000000004">
      <c r="A65" s="8" t="s">
        <v>684</v>
      </c>
      <c r="B65" s="25" t="s">
        <v>308</v>
      </c>
      <c r="C65" s="25" t="s">
        <v>308</v>
      </c>
      <c r="D65" s="25" t="s">
        <v>308</v>
      </c>
      <c r="E65" s="25" t="s">
        <v>308</v>
      </c>
      <c r="F65" s="25" t="s">
        <v>308</v>
      </c>
      <c r="G65" s="25" t="s">
        <v>308</v>
      </c>
      <c r="H65" s="25" t="s">
        <v>308</v>
      </c>
      <c r="I65" s="25" t="s">
        <v>308</v>
      </c>
      <c r="J65" s="25" t="s">
        <v>308</v>
      </c>
      <c r="K65" s="8"/>
      <c r="L65" s="10"/>
      <c r="M65" s="8"/>
      <c r="N65" s="8" t="s">
        <v>683</v>
      </c>
      <c r="O65" s="26">
        <v>0</v>
      </c>
      <c r="P65" s="25" t="s">
        <v>308</v>
      </c>
      <c r="Q65" s="25" t="s">
        <v>308</v>
      </c>
      <c r="R65" s="25" t="s">
        <v>308</v>
      </c>
      <c r="S65" s="8"/>
      <c r="T65" s="10"/>
      <c r="U65" s="8"/>
      <c r="V65" s="8"/>
      <c r="W65" s="8" t="s">
        <v>89</v>
      </c>
      <c r="X65" s="23">
        <v>1</v>
      </c>
      <c r="Y65" s="23">
        <v>1</v>
      </c>
      <c r="Z65" s="8"/>
    </row>
    <row r="66" spans="1:26" x14ac:dyDescent="0.55000000000000004">
      <c r="A66" s="8" t="s">
        <v>183</v>
      </c>
      <c r="B66" s="25" t="s">
        <v>308</v>
      </c>
      <c r="C66" s="25" t="s">
        <v>308</v>
      </c>
      <c r="D66" s="25" t="s">
        <v>308</v>
      </c>
      <c r="E66" s="25" t="s">
        <v>308</v>
      </c>
      <c r="F66" s="25" t="s">
        <v>308</v>
      </c>
      <c r="G66" s="25" t="s">
        <v>308</v>
      </c>
      <c r="H66" s="25" t="s">
        <v>308</v>
      </c>
      <c r="I66" s="25" t="s">
        <v>308</v>
      </c>
      <c r="J66" s="25" t="s">
        <v>308</v>
      </c>
      <c r="K66" s="8"/>
      <c r="L66" s="10"/>
      <c r="M66" s="8"/>
      <c r="N66" s="8" t="s">
        <v>182</v>
      </c>
      <c r="O66" s="26">
        <v>0</v>
      </c>
      <c r="P66" s="25" t="s">
        <v>308</v>
      </c>
      <c r="Q66" s="25" t="s">
        <v>308</v>
      </c>
      <c r="R66" s="25" t="s">
        <v>308</v>
      </c>
      <c r="S66" s="8"/>
      <c r="T66" s="10"/>
      <c r="U66" s="8"/>
      <c r="V66" s="8"/>
      <c r="W66" s="8" t="s">
        <v>97</v>
      </c>
      <c r="X66" s="23">
        <v>1</v>
      </c>
      <c r="Y66" s="23">
        <v>1</v>
      </c>
      <c r="Z66" s="8"/>
    </row>
    <row r="67" spans="1:26" x14ac:dyDescent="0.55000000000000004">
      <c r="A67" s="8" t="s">
        <v>688</v>
      </c>
      <c r="B67" s="25" t="s">
        <v>308</v>
      </c>
      <c r="C67" s="25" t="s">
        <v>308</v>
      </c>
      <c r="D67" s="25" t="s">
        <v>308</v>
      </c>
      <c r="E67" s="25" t="s">
        <v>308</v>
      </c>
      <c r="F67" s="25" t="s">
        <v>308</v>
      </c>
      <c r="G67" s="25" t="s">
        <v>308</v>
      </c>
      <c r="H67" s="25" t="s">
        <v>308</v>
      </c>
      <c r="I67" s="25" t="s">
        <v>308</v>
      </c>
      <c r="J67" s="25" t="s">
        <v>308</v>
      </c>
      <c r="K67" s="8"/>
      <c r="L67" s="10"/>
      <c r="M67" s="8"/>
      <c r="N67" s="8" t="s">
        <v>687</v>
      </c>
      <c r="O67" s="26">
        <v>0</v>
      </c>
      <c r="P67" s="25" t="s">
        <v>308</v>
      </c>
      <c r="Q67" s="25" t="s">
        <v>308</v>
      </c>
      <c r="R67" s="25" t="s">
        <v>308</v>
      </c>
      <c r="S67" s="8"/>
      <c r="T67" s="10"/>
      <c r="U67" s="8"/>
      <c r="V67" s="8"/>
      <c r="W67" s="8" t="s">
        <v>103</v>
      </c>
      <c r="X67" s="23">
        <v>1</v>
      </c>
      <c r="Y67" s="23">
        <v>1</v>
      </c>
      <c r="Z67" s="8"/>
    </row>
    <row r="68" spans="1:26" x14ac:dyDescent="0.55000000000000004">
      <c r="A68" s="8" t="s">
        <v>691</v>
      </c>
      <c r="B68" s="25" t="s">
        <v>308</v>
      </c>
      <c r="C68" s="25" t="s">
        <v>308</v>
      </c>
      <c r="D68" s="25" t="s">
        <v>308</v>
      </c>
      <c r="E68" s="25" t="s">
        <v>308</v>
      </c>
      <c r="F68" s="25" t="s">
        <v>308</v>
      </c>
      <c r="G68" s="25" t="s">
        <v>308</v>
      </c>
      <c r="H68" s="25" t="s">
        <v>308</v>
      </c>
      <c r="I68" s="25" t="s">
        <v>308</v>
      </c>
      <c r="J68" s="25" t="s">
        <v>308</v>
      </c>
      <c r="K68" s="8"/>
      <c r="L68" s="10"/>
      <c r="M68" s="8"/>
      <c r="N68" s="8" t="s">
        <v>690</v>
      </c>
      <c r="O68" s="26">
        <v>0</v>
      </c>
      <c r="P68" s="25" t="s">
        <v>308</v>
      </c>
      <c r="Q68" s="25" t="s">
        <v>308</v>
      </c>
      <c r="R68" s="25" t="s">
        <v>308</v>
      </c>
      <c r="S68" s="8"/>
      <c r="T68" s="10"/>
      <c r="U68" s="8"/>
      <c r="V68" s="8"/>
      <c r="W68" s="8" t="s">
        <v>109</v>
      </c>
      <c r="X68" s="23">
        <v>1</v>
      </c>
      <c r="Y68" s="23">
        <v>1</v>
      </c>
      <c r="Z68" s="8"/>
    </row>
    <row r="69" spans="1:26" x14ac:dyDescent="0.55000000000000004">
      <c r="A69" s="8" t="s">
        <v>186</v>
      </c>
      <c r="B69" s="25" t="s">
        <v>308</v>
      </c>
      <c r="C69" s="25" t="s">
        <v>308</v>
      </c>
      <c r="D69" s="25" t="s">
        <v>308</v>
      </c>
      <c r="E69" s="25" t="s">
        <v>308</v>
      </c>
      <c r="F69" s="25" t="s">
        <v>308</v>
      </c>
      <c r="G69" s="25" t="s">
        <v>308</v>
      </c>
      <c r="H69" s="25" t="s">
        <v>308</v>
      </c>
      <c r="I69" s="25" t="s">
        <v>308</v>
      </c>
      <c r="J69" s="25" t="s">
        <v>308</v>
      </c>
      <c r="K69" s="8"/>
      <c r="L69" s="10"/>
      <c r="M69" s="8"/>
      <c r="N69" s="8" t="s">
        <v>185</v>
      </c>
      <c r="O69" s="26">
        <v>0</v>
      </c>
      <c r="P69" s="25" t="s">
        <v>308</v>
      </c>
      <c r="Q69" s="25" t="s">
        <v>308</v>
      </c>
      <c r="R69" s="25" t="s">
        <v>308</v>
      </c>
      <c r="S69" s="8"/>
      <c r="T69" s="10"/>
      <c r="U69" s="8"/>
      <c r="V69" s="8"/>
      <c r="W69" s="8" t="s">
        <v>113</v>
      </c>
      <c r="X69" s="23">
        <v>1</v>
      </c>
      <c r="Y69" s="23">
        <v>1</v>
      </c>
      <c r="Z69" s="8"/>
    </row>
    <row r="70" spans="1:26" x14ac:dyDescent="0.55000000000000004">
      <c r="A70" s="8" t="s">
        <v>188</v>
      </c>
      <c r="B70" s="25" t="s">
        <v>308</v>
      </c>
      <c r="C70" s="25" t="s">
        <v>308</v>
      </c>
      <c r="D70" s="25" t="s">
        <v>308</v>
      </c>
      <c r="E70" s="25" t="s">
        <v>308</v>
      </c>
      <c r="F70" s="25" t="s">
        <v>308</v>
      </c>
      <c r="G70" s="25" t="s">
        <v>308</v>
      </c>
      <c r="H70" s="25" t="s">
        <v>308</v>
      </c>
      <c r="I70" s="25" t="s">
        <v>308</v>
      </c>
      <c r="J70" s="25" t="s">
        <v>308</v>
      </c>
      <c r="K70" s="8"/>
      <c r="L70" s="10"/>
      <c r="M70" s="8"/>
      <c r="N70" s="8" t="s">
        <v>187</v>
      </c>
      <c r="O70" s="26">
        <v>0</v>
      </c>
      <c r="P70" s="25" t="s">
        <v>308</v>
      </c>
      <c r="Q70" s="25" t="s">
        <v>308</v>
      </c>
      <c r="R70" s="25" t="s">
        <v>308</v>
      </c>
      <c r="S70" s="8"/>
      <c r="T70" s="10"/>
      <c r="U70" s="8"/>
      <c r="V70" s="8"/>
      <c r="W70" s="8" t="s">
        <v>607</v>
      </c>
      <c r="X70" s="23">
        <v>1</v>
      </c>
      <c r="Y70" s="23">
        <v>1</v>
      </c>
      <c r="Z70" s="8"/>
    </row>
    <row r="71" spans="1:26" x14ac:dyDescent="0.55000000000000004">
      <c r="A71" s="8" t="s">
        <v>190</v>
      </c>
      <c r="B71" s="25" t="s">
        <v>308</v>
      </c>
      <c r="C71" s="25" t="s">
        <v>308</v>
      </c>
      <c r="D71" s="25" t="s">
        <v>308</v>
      </c>
      <c r="E71" s="25" t="s">
        <v>308</v>
      </c>
      <c r="F71" s="25" t="s">
        <v>308</v>
      </c>
      <c r="G71" s="25" t="s">
        <v>308</v>
      </c>
      <c r="H71" s="25" t="s">
        <v>308</v>
      </c>
      <c r="I71" s="25" t="s">
        <v>308</v>
      </c>
      <c r="J71" s="25" t="s">
        <v>308</v>
      </c>
      <c r="K71" s="8"/>
      <c r="L71" s="10"/>
      <c r="M71" s="8"/>
      <c r="N71" s="8" t="s">
        <v>189</v>
      </c>
      <c r="O71" s="26">
        <v>0</v>
      </c>
      <c r="P71" s="25" t="s">
        <v>308</v>
      </c>
      <c r="Q71" s="25" t="s">
        <v>308</v>
      </c>
      <c r="R71" s="25" t="s">
        <v>308</v>
      </c>
      <c r="S71" s="8"/>
      <c r="T71" s="10"/>
      <c r="U71" s="8"/>
      <c r="V71" s="8"/>
      <c r="W71" s="8" t="s">
        <v>612</v>
      </c>
      <c r="X71" s="23">
        <v>1</v>
      </c>
      <c r="Y71" s="23">
        <v>1</v>
      </c>
      <c r="Z71" s="8"/>
    </row>
    <row r="72" spans="1:26" x14ac:dyDescent="0.55000000000000004">
      <c r="A72" s="8" t="s">
        <v>697</v>
      </c>
      <c r="B72" s="25" t="s">
        <v>308</v>
      </c>
      <c r="C72" s="25" t="s">
        <v>308</v>
      </c>
      <c r="D72" s="25" t="s">
        <v>308</v>
      </c>
      <c r="E72" s="25" t="s">
        <v>308</v>
      </c>
      <c r="F72" s="25" t="s">
        <v>308</v>
      </c>
      <c r="G72" s="25" t="s">
        <v>308</v>
      </c>
      <c r="H72" s="25" t="s">
        <v>308</v>
      </c>
      <c r="I72" s="25" t="s">
        <v>308</v>
      </c>
      <c r="J72" s="25" t="s">
        <v>308</v>
      </c>
      <c r="K72" s="8"/>
      <c r="L72" s="10"/>
      <c r="M72" s="8"/>
      <c r="N72" s="8" t="s">
        <v>696</v>
      </c>
      <c r="O72" s="26">
        <v>0</v>
      </c>
      <c r="P72" s="25" t="s">
        <v>308</v>
      </c>
      <c r="Q72" s="25" t="s">
        <v>308</v>
      </c>
      <c r="R72" s="25" t="s">
        <v>308</v>
      </c>
      <c r="S72" s="8"/>
      <c r="T72" s="10"/>
      <c r="U72" s="8"/>
      <c r="V72" s="8"/>
      <c r="W72" s="8" t="s">
        <v>617</v>
      </c>
      <c r="X72" s="23">
        <v>1</v>
      </c>
      <c r="Y72" s="23">
        <v>1</v>
      </c>
      <c r="Z72" s="8"/>
    </row>
    <row r="73" spans="1:26" x14ac:dyDescent="0.55000000000000004">
      <c r="A73" s="8" t="s">
        <v>192</v>
      </c>
      <c r="B73" s="25" t="s">
        <v>308</v>
      </c>
      <c r="C73" s="25" t="s">
        <v>308</v>
      </c>
      <c r="D73" s="25" t="s">
        <v>308</v>
      </c>
      <c r="E73" s="25" t="s">
        <v>308</v>
      </c>
      <c r="F73" s="25" t="s">
        <v>308</v>
      </c>
      <c r="G73" s="25" t="s">
        <v>308</v>
      </c>
      <c r="H73" s="25" t="s">
        <v>308</v>
      </c>
      <c r="I73" s="25" t="s">
        <v>308</v>
      </c>
      <c r="J73" s="25" t="s">
        <v>308</v>
      </c>
      <c r="K73" s="8"/>
      <c r="L73" s="10"/>
      <c r="M73" s="8"/>
      <c r="N73" s="8" t="s">
        <v>191</v>
      </c>
      <c r="O73" s="26">
        <v>0</v>
      </c>
      <c r="P73" s="25" t="s">
        <v>308</v>
      </c>
      <c r="Q73" s="25" t="s">
        <v>308</v>
      </c>
      <c r="R73" s="25" t="s">
        <v>308</v>
      </c>
      <c r="S73" s="8"/>
      <c r="T73" s="10"/>
      <c r="U73" s="8"/>
      <c r="V73" s="8"/>
      <c r="W73" s="8" t="s">
        <v>620</v>
      </c>
      <c r="X73" s="23">
        <v>1</v>
      </c>
      <c r="Y73" s="23">
        <v>1</v>
      </c>
      <c r="Z73" s="8"/>
    </row>
    <row r="74" spans="1:26" x14ac:dyDescent="0.55000000000000004">
      <c r="A74" s="8" t="s">
        <v>701</v>
      </c>
      <c r="B74" s="25" t="s">
        <v>308</v>
      </c>
      <c r="C74" s="25" t="s">
        <v>308</v>
      </c>
      <c r="D74" s="25" t="s">
        <v>308</v>
      </c>
      <c r="E74" s="25" t="s">
        <v>308</v>
      </c>
      <c r="F74" s="25" t="s">
        <v>308</v>
      </c>
      <c r="G74" s="25" t="s">
        <v>308</v>
      </c>
      <c r="H74" s="25" t="s">
        <v>308</v>
      </c>
      <c r="I74" s="25" t="s">
        <v>308</v>
      </c>
      <c r="J74" s="25" t="s">
        <v>308</v>
      </c>
      <c r="K74" s="8"/>
      <c r="L74" s="10"/>
      <c r="M74" s="8"/>
      <c r="N74" s="8" t="s">
        <v>700</v>
      </c>
      <c r="O74" s="26">
        <v>0</v>
      </c>
      <c r="P74" s="25" t="s">
        <v>308</v>
      </c>
      <c r="Q74" s="25" t="s">
        <v>308</v>
      </c>
      <c r="R74" s="25" t="s">
        <v>308</v>
      </c>
      <c r="S74" s="8"/>
      <c r="T74" s="10"/>
      <c r="U74" s="8"/>
      <c r="V74" s="8"/>
      <c r="W74" s="8" t="s">
        <v>623</v>
      </c>
      <c r="X74" s="23">
        <v>1</v>
      </c>
      <c r="Y74" s="23">
        <v>1</v>
      </c>
      <c r="Z74" s="8"/>
    </row>
    <row r="75" spans="1:26" x14ac:dyDescent="0.55000000000000004">
      <c r="A75" s="8" t="s">
        <v>195</v>
      </c>
      <c r="B75" s="25" t="s">
        <v>308</v>
      </c>
      <c r="C75" s="25" t="s">
        <v>308</v>
      </c>
      <c r="D75" s="25" t="s">
        <v>308</v>
      </c>
      <c r="E75" s="25" t="s">
        <v>308</v>
      </c>
      <c r="F75" s="25" t="s">
        <v>308</v>
      </c>
      <c r="G75" s="25" t="s">
        <v>308</v>
      </c>
      <c r="H75" s="25" t="s">
        <v>308</v>
      </c>
      <c r="I75" s="25" t="s">
        <v>308</v>
      </c>
      <c r="J75" s="25" t="s">
        <v>308</v>
      </c>
      <c r="K75" s="8"/>
      <c r="L75" s="10"/>
      <c r="M75" s="8"/>
      <c r="N75" s="8" t="s">
        <v>194</v>
      </c>
      <c r="O75" s="26">
        <v>0</v>
      </c>
      <c r="P75" s="25" t="s">
        <v>308</v>
      </c>
      <c r="Q75" s="25" t="s">
        <v>308</v>
      </c>
      <c r="R75" s="25" t="s">
        <v>308</v>
      </c>
      <c r="S75" s="8"/>
      <c r="T75" s="10"/>
      <c r="U75" s="8"/>
      <c r="V75" s="8"/>
      <c r="W75" s="8"/>
      <c r="X75" s="8"/>
      <c r="Y75" s="8"/>
      <c r="Z75" s="8"/>
    </row>
    <row r="76" spans="1:26" x14ac:dyDescent="0.55000000000000004">
      <c r="A76" s="8" t="s">
        <v>197</v>
      </c>
      <c r="B76" s="25" t="s">
        <v>308</v>
      </c>
      <c r="C76" s="25" t="s">
        <v>308</v>
      </c>
      <c r="D76" s="25" t="s">
        <v>308</v>
      </c>
      <c r="E76" s="25" t="s">
        <v>308</v>
      </c>
      <c r="F76" s="25" t="s">
        <v>308</v>
      </c>
      <c r="G76" s="25" t="s">
        <v>308</v>
      </c>
      <c r="H76" s="25" t="s">
        <v>308</v>
      </c>
      <c r="I76" s="25" t="s">
        <v>308</v>
      </c>
      <c r="J76" s="25" t="s">
        <v>308</v>
      </c>
      <c r="K76" s="8"/>
      <c r="L76" s="10"/>
      <c r="M76" s="8"/>
      <c r="N76" s="8" t="s">
        <v>196</v>
      </c>
      <c r="O76" s="26">
        <v>0</v>
      </c>
      <c r="P76" s="25" t="s">
        <v>308</v>
      </c>
      <c r="Q76" s="25" t="s">
        <v>308</v>
      </c>
      <c r="R76" s="25" t="s">
        <v>308</v>
      </c>
      <c r="S76" s="8"/>
      <c r="T76" s="10"/>
      <c r="U76" s="10"/>
      <c r="V76" s="11" t="s">
        <v>240</v>
      </c>
      <c r="W76" s="10"/>
      <c r="X76" s="10"/>
      <c r="Y76" s="10"/>
      <c r="Z76" s="10"/>
    </row>
    <row r="77" spans="1:26" x14ac:dyDescent="0.55000000000000004">
      <c r="A77" s="8" t="s">
        <v>706</v>
      </c>
      <c r="B77" s="25" t="s">
        <v>308</v>
      </c>
      <c r="C77" s="25" t="s">
        <v>308</v>
      </c>
      <c r="D77" s="25" t="s">
        <v>308</v>
      </c>
      <c r="E77" s="25" t="s">
        <v>308</v>
      </c>
      <c r="F77" s="25" t="s">
        <v>308</v>
      </c>
      <c r="G77" s="25" t="s">
        <v>308</v>
      </c>
      <c r="H77" s="25" t="s">
        <v>308</v>
      </c>
      <c r="I77" s="25" t="s">
        <v>308</v>
      </c>
      <c r="J77" s="25" t="s">
        <v>308</v>
      </c>
      <c r="K77" s="8"/>
      <c r="L77" s="10"/>
      <c r="M77" s="8"/>
      <c r="N77" s="8" t="s">
        <v>705</v>
      </c>
      <c r="O77" s="26">
        <v>0</v>
      </c>
      <c r="P77" s="25" t="s">
        <v>308</v>
      </c>
      <c r="Q77" s="25" t="s">
        <v>308</v>
      </c>
      <c r="R77" s="25" t="s">
        <v>308</v>
      </c>
      <c r="S77" s="8"/>
      <c r="T77" s="10"/>
      <c r="U77" s="8"/>
      <c r="V77" s="8" t="s">
        <v>337</v>
      </c>
      <c r="W77" s="8" t="s">
        <v>322</v>
      </c>
      <c r="X77" s="8">
        <f>SUMIF(Main!G4:O4,Y1,Main!G5:O5)</f>
        <v>2</v>
      </c>
      <c r="Y77" s="8"/>
      <c r="Z77" s="8"/>
    </row>
    <row r="78" spans="1:26" x14ac:dyDescent="0.55000000000000004">
      <c r="A78" s="8" t="s">
        <v>199</v>
      </c>
      <c r="B78" s="25" t="s">
        <v>308</v>
      </c>
      <c r="C78" s="25" t="s">
        <v>308</v>
      </c>
      <c r="D78" s="25" t="s">
        <v>308</v>
      </c>
      <c r="E78" s="25" t="s">
        <v>308</v>
      </c>
      <c r="F78" s="25" t="s">
        <v>308</v>
      </c>
      <c r="G78" s="25" t="s">
        <v>308</v>
      </c>
      <c r="H78" s="25" t="s">
        <v>308</v>
      </c>
      <c r="I78" s="25" t="s">
        <v>308</v>
      </c>
      <c r="J78" s="25" t="s">
        <v>308</v>
      </c>
      <c r="K78" s="8"/>
      <c r="L78" s="10"/>
      <c r="M78" s="8"/>
      <c r="N78" s="8" t="s">
        <v>198</v>
      </c>
      <c r="O78" s="26">
        <v>0</v>
      </c>
      <c r="P78" s="25" t="s">
        <v>308</v>
      </c>
      <c r="Q78" s="25" t="s">
        <v>308</v>
      </c>
      <c r="R78" s="25" t="s">
        <v>308</v>
      </c>
      <c r="S78" s="8"/>
      <c r="T78" s="10"/>
      <c r="U78" s="8"/>
      <c r="V78" s="8" t="s">
        <v>338</v>
      </c>
      <c r="W78" s="8" t="s">
        <v>83</v>
      </c>
      <c r="X78" s="8">
        <f>SUMIF(Main!G4:O4,Y1,Main!G6:O6)</f>
        <v>3</v>
      </c>
      <c r="Y78" s="8"/>
      <c r="Z78" s="8"/>
    </row>
    <row r="79" spans="1:26" x14ac:dyDescent="0.55000000000000004">
      <c r="A79" s="8" t="s">
        <v>710</v>
      </c>
      <c r="B79" s="25" t="s">
        <v>308</v>
      </c>
      <c r="C79" s="25" t="s">
        <v>308</v>
      </c>
      <c r="D79" s="25" t="s">
        <v>308</v>
      </c>
      <c r="E79" s="25" t="s">
        <v>308</v>
      </c>
      <c r="F79" s="25" t="s">
        <v>308</v>
      </c>
      <c r="G79" s="25" t="s">
        <v>308</v>
      </c>
      <c r="H79" s="25" t="s">
        <v>308</v>
      </c>
      <c r="I79" s="25" t="s">
        <v>308</v>
      </c>
      <c r="J79" s="25" t="s">
        <v>308</v>
      </c>
      <c r="K79" s="8"/>
      <c r="L79" s="10"/>
      <c r="M79" s="8"/>
      <c r="N79" s="8" t="s">
        <v>709</v>
      </c>
      <c r="O79" s="26">
        <v>0</v>
      </c>
      <c r="P79" s="25" t="s">
        <v>308</v>
      </c>
      <c r="Q79" s="25" t="s">
        <v>308</v>
      </c>
      <c r="R79" s="25" t="s">
        <v>308</v>
      </c>
      <c r="S79" s="8"/>
      <c r="T79" s="10"/>
      <c r="U79" s="8"/>
      <c r="V79" s="8" t="s">
        <v>339</v>
      </c>
      <c r="W79" s="8" t="s">
        <v>32</v>
      </c>
      <c r="X79" s="8">
        <f>SUMIF(Main!G4:O4,Y1,Main!G7:O7)</f>
        <v>1</v>
      </c>
      <c r="Y79" s="8"/>
      <c r="Z79" s="8"/>
    </row>
    <row r="80" spans="1:26" x14ac:dyDescent="0.55000000000000004">
      <c r="A80" s="8" t="s">
        <v>713</v>
      </c>
      <c r="B80" s="25" t="s">
        <v>308</v>
      </c>
      <c r="C80" s="25" t="s">
        <v>308</v>
      </c>
      <c r="D80" s="25" t="s">
        <v>308</v>
      </c>
      <c r="E80" s="25" t="s">
        <v>308</v>
      </c>
      <c r="F80" s="25" t="s">
        <v>308</v>
      </c>
      <c r="G80" s="25" t="s">
        <v>308</v>
      </c>
      <c r="H80" s="25" t="s">
        <v>308</v>
      </c>
      <c r="I80" s="25" t="s">
        <v>308</v>
      </c>
      <c r="J80" s="25" t="s">
        <v>308</v>
      </c>
      <c r="K80" s="8"/>
      <c r="L80" s="10"/>
      <c r="M80" s="8"/>
      <c r="N80" s="8" t="s">
        <v>712</v>
      </c>
      <c r="O80" s="26">
        <v>0</v>
      </c>
      <c r="P80" s="25" t="s">
        <v>308</v>
      </c>
      <c r="Q80" s="25" t="s">
        <v>308</v>
      </c>
      <c r="R80" s="25" t="s">
        <v>308</v>
      </c>
      <c r="S80" s="8"/>
      <c r="T80" s="10"/>
      <c r="U80" s="8"/>
      <c r="V80" s="8" t="s">
        <v>340</v>
      </c>
      <c r="W80" s="8" t="s">
        <v>99</v>
      </c>
      <c r="X80" s="8">
        <f>SUMIF(Main!G4:O4,Y1,Main!G8:O8)</f>
        <v>1</v>
      </c>
      <c r="Y80" s="8"/>
      <c r="Z80" s="8"/>
    </row>
    <row r="81" spans="1:26" x14ac:dyDescent="0.55000000000000004">
      <c r="A81" s="8" t="s">
        <v>716</v>
      </c>
      <c r="B81" s="25" t="s">
        <v>308</v>
      </c>
      <c r="C81" s="25" t="s">
        <v>308</v>
      </c>
      <c r="D81" s="25" t="s">
        <v>308</v>
      </c>
      <c r="E81" s="25" t="s">
        <v>308</v>
      </c>
      <c r="F81" s="25" t="s">
        <v>308</v>
      </c>
      <c r="G81" s="25" t="s">
        <v>308</v>
      </c>
      <c r="H81" s="25" t="s">
        <v>308</v>
      </c>
      <c r="I81" s="25" t="s">
        <v>308</v>
      </c>
      <c r="J81" s="25" t="s">
        <v>308</v>
      </c>
      <c r="K81" s="8"/>
      <c r="L81" s="10"/>
      <c r="M81" s="8"/>
      <c r="N81" s="8" t="s">
        <v>715</v>
      </c>
      <c r="O81" s="26">
        <v>0</v>
      </c>
      <c r="P81" s="25" t="s">
        <v>308</v>
      </c>
      <c r="Q81" s="25" t="s">
        <v>308</v>
      </c>
      <c r="R81" s="25" t="s">
        <v>308</v>
      </c>
      <c r="S81" s="8"/>
      <c r="T81" s="10"/>
      <c r="U81" s="8"/>
      <c r="V81" s="8"/>
      <c r="W81" s="8"/>
      <c r="X81" s="8"/>
      <c r="Y81" s="8"/>
      <c r="Z81" s="8"/>
    </row>
    <row r="82" spans="1:26" x14ac:dyDescent="0.55000000000000004">
      <c r="A82" s="8" t="s">
        <v>719</v>
      </c>
      <c r="B82" s="25" t="s">
        <v>308</v>
      </c>
      <c r="C82" s="25" t="s">
        <v>308</v>
      </c>
      <c r="D82" s="25" t="s">
        <v>308</v>
      </c>
      <c r="E82" s="25" t="s">
        <v>308</v>
      </c>
      <c r="F82" s="25" t="s">
        <v>308</v>
      </c>
      <c r="G82" s="25" t="s">
        <v>308</v>
      </c>
      <c r="H82" s="25" t="s">
        <v>308</v>
      </c>
      <c r="I82" s="25" t="s">
        <v>308</v>
      </c>
      <c r="J82" s="25" t="s">
        <v>308</v>
      </c>
      <c r="K82" s="8"/>
      <c r="L82" s="10"/>
      <c r="M82" s="8"/>
      <c r="N82" s="8" t="s">
        <v>718</v>
      </c>
      <c r="O82" s="26">
        <v>0</v>
      </c>
      <c r="P82" s="25" t="s">
        <v>308</v>
      </c>
      <c r="Q82" s="25" t="s">
        <v>308</v>
      </c>
      <c r="R82" s="25" t="s">
        <v>308</v>
      </c>
      <c r="S82" s="8"/>
      <c r="T82" s="10"/>
      <c r="U82" s="10"/>
      <c r="V82" s="11" t="s">
        <v>249</v>
      </c>
      <c r="W82" s="10"/>
      <c r="X82" s="10"/>
      <c r="Y82" s="10"/>
      <c r="Z82" s="10"/>
    </row>
    <row r="83" spans="1:26" x14ac:dyDescent="0.55000000000000004">
      <c r="A83" s="8" t="s">
        <v>722</v>
      </c>
      <c r="B83" s="25" t="s">
        <v>308</v>
      </c>
      <c r="C83" s="25" t="s">
        <v>308</v>
      </c>
      <c r="D83" s="25" t="s">
        <v>308</v>
      </c>
      <c r="E83" s="25" t="s">
        <v>308</v>
      </c>
      <c r="F83" s="25" t="s">
        <v>308</v>
      </c>
      <c r="G83" s="25" t="s">
        <v>308</v>
      </c>
      <c r="H83" s="25" t="s">
        <v>308</v>
      </c>
      <c r="I83" s="25" t="s">
        <v>308</v>
      </c>
      <c r="J83" s="25" t="s">
        <v>308</v>
      </c>
      <c r="K83" s="8"/>
      <c r="L83" s="10"/>
      <c r="M83" s="8"/>
      <c r="N83" s="8" t="s">
        <v>721</v>
      </c>
      <c r="O83" s="26">
        <v>0</v>
      </c>
      <c r="P83" s="25" t="s">
        <v>308</v>
      </c>
      <c r="Q83" s="25" t="s">
        <v>308</v>
      </c>
      <c r="R83" s="25" t="s">
        <v>308</v>
      </c>
      <c r="S83" s="8"/>
      <c r="T83" s="10"/>
      <c r="U83" s="8"/>
      <c r="V83" s="8" t="s">
        <v>323</v>
      </c>
      <c r="W83" s="8" t="s">
        <v>12</v>
      </c>
      <c r="X83" s="8">
        <f>SUMIF(Main!G11:O11,'S4'!Y1,Main!G12:O12)</f>
        <v>1</v>
      </c>
      <c r="Y83" s="8"/>
      <c r="Z83" s="8"/>
    </row>
    <row r="84" spans="1:26" x14ac:dyDescent="0.55000000000000004">
      <c r="A84" s="8" t="s">
        <v>725</v>
      </c>
      <c r="B84" s="25" t="s">
        <v>308</v>
      </c>
      <c r="C84" s="25" t="s">
        <v>308</v>
      </c>
      <c r="D84" s="25" t="s">
        <v>308</v>
      </c>
      <c r="E84" s="25" t="s">
        <v>308</v>
      </c>
      <c r="F84" s="25" t="s">
        <v>308</v>
      </c>
      <c r="G84" s="25" t="s">
        <v>308</v>
      </c>
      <c r="H84" s="25" t="s">
        <v>308</v>
      </c>
      <c r="I84" s="25" t="s">
        <v>308</v>
      </c>
      <c r="J84" s="25" t="s">
        <v>308</v>
      </c>
      <c r="K84" s="8"/>
      <c r="L84" s="10"/>
      <c r="M84" s="8"/>
      <c r="N84" s="8" t="s">
        <v>724</v>
      </c>
      <c r="O84" s="26">
        <v>0</v>
      </c>
      <c r="P84" s="25" t="s">
        <v>308</v>
      </c>
      <c r="Q84" s="25" t="s">
        <v>308</v>
      </c>
      <c r="R84" s="25" t="s">
        <v>308</v>
      </c>
      <c r="S84" s="8"/>
      <c r="T84" s="10"/>
      <c r="U84" s="8"/>
      <c r="V84" s="8"/>
      <c r="W84" s="8" t="s">
        <v>20</v>
      </c>
      <c r="X84" s="8">
        <f>SUMIF(Main!G11:O11,'S4'!Y1,Main!G13:O13)</f>
        <v>1</v>
      </c>
      <c r="Y84" s="8"/>
      <c r="Z84" s="8"/>
    </row>
    <row r="85" spans="1:26" x14ac:dyDescent="0.55000000000000004">
      <c r="A85" s="8" t="s">
        <v>728</v>
      </c>
      <c r="B85" s="25" t="s">
        <v>308</v>
      </c>
      <c r="C85" s="25" t="s">
        <v>308</v>
      </c>
      <c r="D85" s="25" t="s">
        <v>308</v>
      </c>
      <c r="E85" s="25" t="s">
        <v>308</v>
      </c>
      <c r="F85" s="25" t="s">
        <v>308</v>
      </c>
      <c r="G85" s="25" t="s">
        <v>308</v>
      </c>
      <c r="H85" s="25" t="s">
        <v>308</v>
      </c>
      <c r="I85" s="25" t="s">
        <v>308</v>
      </c>
      <c r="J85" s="25" t="s">
        <v>308</v>
      </c>
      <c r="K85" s="8"/>
      <c r="L85" s="10"/>
      <c r="M85" s="8"/>
      <c r="N85" s="8" t="s">
        <v>727</v>
      </c>
      <c r="O85" s="26">
        <v>0</v>
      </c>
      <c r="P85" s="25" t="s">
        <v>308</v>
      </c>
      <c r="Q85" s="25" t="s">
        <v>308</v>
      </c>
      <c r="R85" s="25" t="s">
        <v>308</v>
      </c>
      <c r="S85" s="8"/>
      <c r="T85" s="10"/>
      <c r="U85" s="8"/>
      <c r="V85" s="8"/>
      <c r="W85" s="8" t="s">
        <v>28</v>
      </c>
      <c r="X85" s="8">
        <f>SUMIF(Main!G11:O11,'S4'!Y1,Main!G14:O14)</f>
        <v>3</v>
      </c>
      <c r="Y85" s="8"/>
      <c r="Z85" s="8"/>
    </row>
    <row r="86" spans="1:26" x14ac:dyDescent="0.55000000000000004">
      <c r="A86" s="8" t="s">
        <v>731</v>
      </c>
      <c r="B86" s="25" t="s">
        <v>308</v>
      </c>
      <c r="C86" s="25" t="s">
        <v>308</v>
      </c>
      <c r="D86" s="25" t="s">
        <v>308</v>
      </c>
      <c r="E86" s="25" t="s">
        <v>308</v>
      </c>
      <c r="F86" s="25" t="s">
        <v>308</v>
      </c>
      <c r="G86" s="25" t="s">
        <v>308</v>
      </c>
      <c r="H86" s="25" t="s">
        <v>308</v>
      </c>
      <c r="I86" s="25" t="s">
        <v>308</v>
      </c>
      <c r="J86" s="25" t="s">
        <v>308</v>
      </c>
      <c r="K86" s="8"/>
      <c r="L86" s="10"/>
      <c r="M86" s="8"/>
      <c r="N86" s="8" t="s">
        <v>730</v>
      </c>
      <c r="O86" s="26">
        <v>0</v>
      </c>
      <c r="P86" s="25" t="s">
        <v>308</v>
      </c>
      <c r="Q86" s="25" t="s">
        <v>308</v>
      </c>
      <c r="R86" s="25" t="s">
        <v>308</v>
      </c>
      <c r="S86" s="8"/>
      <c r="T86" s="10"/>
      <c r="U86" s="8"/>
      <c r="V86" s="8"/>
      <c r="W86" s="8" t="s">
        <v>36</v>
      </c>
      <c r="X86" s="8">
        <f>SUMIF(Main!G11:O11,'S4'!Y1,Main!G15:O15)</f>
        <v>3</v>
      </c>
      <c r="Y86" s="8"/>
      <c r="Z86" s="8"/>
    </row>
    <row r="87" spans="1:26" x14ac:dyDescent="0.55000000000000004">
      <c r="A87" s="8" t="s">
        <v>734</v>
      </c>
      <c r="B87" s="25" t="s">
        <v>308</v>
      </c>
      <c r="C87" s="25" t="s">
        <v>308</v>
      </c>
      <c r="D87" s="25" t="s">
        <v>308</v>
      </c>
      <c r="E87" s="25" t="s">
        <v>308</v>
      </c>
      <c r="F87" s="25" t="s">
        <v>308</v>
      </c>
      <c r="G87" s="25" t="s">
        <v>308</v>
      </c>
      <c r="H87" s="25" t="s">
        <v>308</v>
      </c>
      <c r="I87" s="25" t="s">
        <v>308</v>
      </c>
      <c r="J87" s="25" t="s">
        <v>308</v>
      </c>
      <c r="K87" s="8"/>
      <c r="L87" s="10"/>
      <c r="M87" s="8"/>
      <c r="N87" s="8" t="s">
        <v>733</v>
      </c>
      <c r="O87" s="26">
        <v>0</v>
      </c>
      <c r="P87" s="25" t="s">
        <v>308</v>
      </c>
      <c r="Q87" s="25" t="s">
        <v>308</v>
      </c>
      <c r="R87" s="25" t="s">
        <v>308</v>
      </c>
      <c r="S87" s="8"/>
      <c r="T87" s="10"/>
      <c r="U87" s="8"/>
      <c r="V87" s="8"/>
      <c r="W87" s="8" t="s">
        <v>44</v>
      </c>
      <c r="X87" s="8">
        <f>SUMIF(Main!G11:O11,'S4'!Y1,Main!G16:O16)</f>
        <v>1</v>
      </c>
      <c r="Y87" s="8"/>
      <c r="Z87" s="8"/>
    </row>
    <row r="88" spans="1:26" x14ac:dyDescent="0.55000000000000004">
      <c r="A88" s="8" t="s">
        <v>202</v>
      </c>
      <c r="B88" s="25" t="s">
        <v>308</v>
      </c>
      <c r="C88" s="25" t="s">
        <v>308</v>
      </c>
      <c r="D88" s="25" t="s">
        <v>308</v>
      </c>
      <c r="E88" s="25" t="s">
        <v>308</v>
      </c>
      <c r="F88" s="25" t="s">
        <v>308</v>
      </c>
      <c r="G88" s="25" t="s">
        <v>308</v>
      </c>
      <c r="H88" s="25" t="s">
        <v>308</v>
      </c>
      <c r="I88" s="25" t="s">
        <v>308</v>
      </c>
      <c r="J88" s="25" t="s">
        <v>308</v>
      </c>
      <c r="K88" s="8"/>
      <c r="L88" s="10"/>
      <c r="M88" s="8"/>
      <c r="N88" s="8" t="s">
        <v>201</v>
      </c>
      <c r="O88" s="26">
        <v>0</v>
      </c>
      <c r="P88" s="25" t="s">
        <v>308</v>
      </c>
      <c r="Q88" s="25" t="s">
        <v>308</v>
      </c>
      <c r="R88" s="25" t="s">
        <v>308</v>
      </c>
      <c r="S88" s="8"/>
      <c r="T88" s="10"/>
      <c r="U88" s="8"/>
      <c r="V88" s="8"/>
      <c r="W88" s="8" t="s">
        <v>49</v>
      </c>
      <c r="X88" s="8">
        <f>SUMIF(Main!G11:O11,'S4'!Y1,Main!G17:O17)</f>
        <v>1</v>
      </c>
      <c r="Y88" s="8"/>
      <c r="Z88" s="8"/>
    </row>
    <row r="89" spans="1:26" x14ac:dyDescent="0.55000000000000004">
      <c r="A89" s="8" t="s">
        <v>738</v>
      </c>
      <c r="B89" s="25" t="s">
        <v>308</v>
      </c>
      <c r="C89" s="25" t="s">
        <v>308</v>
      </c>
      <c r="D89" s="25" t="s">
        <v>308</v>
      </c>
      <c r="E89" s="25" t="s">
        <v>308</v>
      </c>
      <c r="F89" s="25" t="s">
        <v>308</v>
      </c>
      <c r="G89" s="25" t="s">
        <v>308</v>
      </c>
      <c r="H89" s="25" t="s">
        <v>308</v>
      </c>
      <c r="I89" s="25" t="s">
        <v>308</v>
      </c>
      <c r="J89" s="25" t="s">
        <v>308</v>
      </c>
      <c r="K89" s="8"/>
      <c r="L89" s="10"/>
      <c r="M89" s="8"/>
      <c r="N89" s="8" t="s">
        <v>737</v>
      </c>
      <c r="O89" s="26">
        <v>0</v>
      </c>
      <c r="P89" s="25" t="s">
        <v>308</v>
      </c>
      <c r="Q89" s="25" t="s">
        <v>308</v>
      </c>
      <c r="R89" s="25" t="s">
        <v>308</v>
      </c>
      <c r="S89" s="8"/>
      <c r="T89" s="10"/>
      <c r="U89" s="8"/>
      <c r="V89" s="8"/>
      <c r="W89" s="8" t="s">
        <v>57</v>
      </c>
      <c r="X89" s="8">
        <f>SUMIF(Main!G11:O11,'S4'!Y1,Main!G18:O18)</f>
        <v>3</v>
      </c>
      <c r="Y89" s="8"/>
      <c r="Z89" s="8"/>
    </row>
    <row r="90" spans="1:26" x14ac:dyDescent="0.55000000000000004">
      <c r="A90" s="8" t="s">
        <v>204</v>
      </c>
      <c r="B90" s="25" t="s">
        <v>308</v>
      </c>
      <c r="C90" s="25" t="s">
        <v>308</v>
      </c>
      <c r="D90" s="25" t="s">
        <v>308</v>
      </c>
      <c r="E90" s="25" t="s">
        <v>308</v>
      </c>
      <c r="F90" s="25" t="s">
        <v>308</v>
      </c>
      <c r="G90" s="25" t="s">
        <v>308</v>
      </c>
      <c r="H90" s="25" t="s">
        <v>308</v>
      </c>
      <c r="I90" s="25" t="s">
        <v>308</v>
      </c>
      <c r="J90" s="25" t="s">
        <v>308</v>
      </c>
      <c r="K90" s="8"/>
      <c r="L90" s="10"/>
      <c r="M90" s="8"/>
      <c r="N90" s="8" t="s">
        <v>203</v>
      </c>
      <c r="O90" s="26">
        <v>0</v>
      </c>
      <c r="P90" s="25" t="s">
        <v>308</v>
      </c>
      <c r="Q90" s="25" t="s">
        <v>308</v>
      </c>
      <c r="R90" s="25" t="s">
        <v>308</v>
      </c>
      <c r="S90" s="8"/>
      <c r="T90" s="10"/>
      <c r="U90" s="8"/>
      <c r="V90" s="8"/>
      <c r="W90" s="8" t="s">
        <v>65</v>
      </c>
      <c r="X90" s="8">
        <f>SUMIF(Main!G11:O11,'S4'!Y1,Main!G19:O19)</f>
        <v>3</v>
      </c>
      <c r="Y90" s="8"/>
      <c r="Z90" s="8"/>
    </row>
    <row r="91" spans="1:26" x14ac:dyDescent="0.55000000000000004">
      <c r="A91" s="8" t="s">
        <v>742</v>
      </c>
      <c r="B91" s="25" t="s">
        <v>308</v>
      </c>
      <c r="C91" s="25" t="s">
        <v>308</v>
      </c>
      <c r="D91" s="25" t="s">
        <v>308</v>
      </c>
      <c r="E91" s="25" t="s">
        <v>308</v>
      </c>
      <c r="F91" s="25" t="s">
        <v>308</v>
      </c>
      <c r="G91" s="25" t="s">
        <v>308</v>
      </c>
      <c r="H91" s="25" t="s">
        <v>308</v>
      </c>
      <c r="I91" s="25" t="s">
        <v>308</v>
      </c>
      <c r="J91" s="25" t="s">
        <v>308</v>
      </c>
      <c r="K91" s="8"/>
      <c r="L91" s="10"/>
      <c r="M91" s="8"/>
      <c r="N91" s="8" t="s">
        <v>741</v>
      </c>
      <c r="O91" s="26">
        <v>0</v>
      </c>
      <c r="P91" s="25" t="s">
        <v>308</v>
      </c>
      <c r="Q91" s="25" t="s">
        <v>308</v>
      </c>
      <c r="R91" s="25" t="s">
        <v>308</v>
      </c>
      <c r="S91" s="8"/>
      <c r="T91" s="10"/>
      <c r="U91" s="8"/>
      <c r="V91" s="8"/>
      <c r="W91" s="8" t="s">
        <v>573</v>
      </c>
      <c r="X91" s="8">
        <f>SUMIF(Main!G11:O11,'S4'!Y1,Main!G20:O20)</f>
        <v>1</v>
      </c>
      <c r="Y91" s="8"/>
      <c r="Z91" s="8"/>
    </row>
    <row r="92" spans="1:26" x14ac:dyDescent="0.55000000000000004">
      <c r="A92" s="8" t="s">
        <v>745</v>
      </c>
      <c r="B92" s="25" t="s">
        <v>308</v>
      </c>
      <c r="C92" s="25" t="s">
        <v>308</v>
      </c>
      <c r="D92" s="25" t="s">
        <v>308</v>
      </c>
      <c r="E92" s="25" t="s">
        <v>308</v>
      </c>
      <c r="F92" s="25" t="s">
        <v>308</v>
      </c>
      <c r="G92" s="25" t="s">
        <v>308</v>
      </c>
      <c r="H92" s="25" t="s">
        <v>308</v>
      </c>
      <c r="I92" s="25" t="s">
        <v>308</v>
      </c>
      <c r="J92" s="25" t="s">
        <v>308</v>
      </c>
      <c r="K92" s="8"/>
      <c r="L92" s="10"/>
      <c r="M92" s="8"/>
      <c r="N92" s="8" t="s">
        <v>744</v>
      </c>
      <c r="O92" s="26">
        <v>0</v>
      </c>
      <c r="P92" s="25" t="s">
        <v>308</v>
      </c>
      <c r="Q92" s="25" t="s">
        <v>308</v>
      </c>
      <c r="R92" s="25" t="s">
        <v>308</v>
      </c>
      <c r="S92" s="8"/>
      <c r="T92" s="10"/>
      <c r="U92" s="8"/>
      <c r="V92" s="8"/>
      <c r="W92" s="8" t="s">
        <v>580</v>
      </c>
      <c r="X92" s="8">
        <f>SUMIF(Main!G11:O11,'S4'!Y1,Main!G21:O21)</f>
        <v>1</v>
      </c>
      <c r="Y92" s="8"/>
      <c r="Z92" s="8"/>
    </row>
    <row r="93" spans="1:26" x14ac:dyDescent="0.55000000000000004">
      <c r="A93" s="8" t="s">
        <v>748</v>
      </c>
      <c r="B93" s="25" t="s">
        <v>308</v>
      </c>
      <c r="C93" s="25" t="s">
        <v>308</v>
      </c>
      <c r="D93" s="25" t="s">
        <v>308</v>
      </c>
      <c r="E93" s="25" t="s">
        <v>308</v>
      </c>
      <c r="F93" s="25" t="s">
        <v>308</v>
      </c>
      <c r="G93" s="25" t="s">
        <v>308</v>
      </c>
      <c r="H93" s="25" t="s">
        <v>308</v>
      </c>
      <c r="I93" s="25" t="s">
        <v>308</v>
      </c>
      <c r="J93" s="25" t="s">
        <v>308</v>
      </c>
      <c r="K93" s="8"/>
      <c r="L93" s="10"/>
      <c r="M93" s="8"/>
      <c r="N93" s="8" t="s">
        <v>747</v>
      </c>
      <c r="O93" s="26">
        <v>0</v>
      </c>
      <c r="P93" s="25" t="s">
        <v>308</v>
      </c>
      <c r="Q93" s="25" t="s">
        <v>308</v>
      </c>
      <c r="R93" s="25" t="s">
        <v>308</v>
      </c>
      <c r="S93" s="8"/>
      <c r="T93" s="10"/>
      <c r="U93" s="8"/>
      <c r="V93" s="8"/>
      <c r="W93" s="8" t="s">
        <v>586</v>
      </c>
      <c r="X93" s="8">
        <f>SUMIF(Main!G11:O11,'S4'!Y1,Main!G22:O22)</f>
        <v>3</v>
      </c>
      <c r="Y93" s="8"/>
      <c r="Z93" s="8"/>
    </row>
    <row r="94" spans="1:26" x14ac:dyDescent="0.55000000000000004">
      <c r="A94" s="8" t="s">
        <v>751</v>
      </c>
      <c r="B94" s="25" t="s">
        <v>308</v>
      </c>
      <c r="C94" s="25" t="s">
        <v>308</v>
      </c>
      <c r="D94" s="25" t="s">
        <v>308</v>
      </c>
      <c r="E94" s="25" t="s">
        <v>308</v>
      </c>
      <c r="F94" s="25" t="s">
        <v>308</v>
      </c>
      <c r="G94" s="25" t="s">
        <v>308</v>
      </c>
      <c r="H94" s="25" t="s">
        <v>308</v>
      </c>
      <c r="I94" s="25" t="s">
        <v>308</v>
      </c>
      <c r="J94" s="25" t="s">
        <v>308</v>
      </c>
      <c r="K94" s="8"/>
      <c r="L94" s="10"/>
      <c r="M94" s="8"/>
      <c r="N94" s="8" t="s">
        <v>750</v>
      </c>
      <c r="O94" s="26">
        <v>0</v>
      </c>
      <c r="P94" s="25" t="s">
        <v>308</v>
      </c>
      <c r="Q94" s="25" t="s">
        <v>308</v>
      </c>
      <c r="R94" s="25" t="s">
        <v>308</v>
      </c>
      <c r="S94" s="8"/>
      <c r="T94" s="10"/>
      <c r="U94" s="8"/>
      <c r="V94" s="8"/>
      <c r="W94" s="8" t="s">
        <v>590</v>
      </c>
      <c r="X94" s="8">
        <f>SUMIF(Main!G11:O11,'S4'!Y1,Main!G23:O23)</f>
        <v>3</v>
      </c>
      <c r="Y94" s="8"/>
      <c r="Z94" s="8"/>
    </row>
    <row r="95" spans="1:26" x14ac:dyDescent="0.55000000000000004">
      <c r="A95" s="8" t="s">
        <v>754</v>
      </c>
      <c r="B95" s="25" t="s">
        <v>308</v>
      </c>
      <c r="C95" s="25" t="s">
        <v>308</v>
      </c>
      <c r="D95" s="25" t="s">
        <v>308</v>
      </c>
      <c r="E95" s="25" t="s">
        <v>308</v>
      </c>
      <c r="F95" s="25" t="s">
        <v>308</v>
      </c>
      <c r="G95" s="25" t="s">
        <v>308</v>
      </c>
      <c r="H95" s="25" t="s">
        <v>308</v>
      </c>
      <c r="I95" s="25" t="s">
        <v>308</v>
      </c>
      <c r="J95" s="25" t="s">
        <v>308</v>
      </c>
      <c r="K95" s="8"/>
      <c r="L95" s="10"/>
      <c r="M95" s="8"/>
      <c r="N95" s="8" t="s">
        <v>753</v>
      </c>
      <c r="O95" s="26">
        <v>0</v>
      </c>
      <c r="P95" s="25" t="s">
        <v>308</v>
      </c>
      <c r="Q95" s="25" t="s">
        <v>308</v>
      </c>
      <c r="R95" s="25" t="s">
        <v>308</v>
      </c>
      <c r="S95" s="8"/>
      <c r="T95" s="10"/>
      <c r="U95" s="8"/>
      <c r="V95" s="8" t="s">
        <v>251</v>
      </c>
      <c r="W95" s="8" t="s">
        <v>72</v>
      </c>
      <c r="X95" s="8">
        <f>SUMIF(Main!G11:O11,'S4'!Y1,Main!G24:O24)</f>
        <v>1</v>
      </c>
      <c r="Y95" s="8"/>
      <c r="Z95" s="8"/>
    </row>
    <row r="96" spans="1:26" x14ac:dyDescent="0.55000000000000004">
      <c r="A96" s="8" t="s">
        <v>207</v>
      </c>
      <c r="B96" s="25" t="s">
        <v>308</v>
      </c>
      <c r="C96" s="25" t="s">
        <v>308</v>
      </c>
      <c r="D96" s="25" t="s">
        <v>308</v>
      </c>
      <c r="E96" s="25" t="s">
        <v>308</v>
      </c>
      <c r="F96" s="25" t="s">
        <v>308</v>
      </c>
      <c r="G96" s="25" t="s">
        <v>308</v>
      </c>
      <c r="H96" s="25" t="s">
        <v>308</v>
      </c>
      <c r="I96" s="25" t="s">
        <v>308</v>
      </c>
      <c r="J96" s="25" t="s">
        <v>308</v>
      </c>
      <c r="K96" s="8"/>
      <c r="L96" s="10"/>
      <c r="M96" s="8"/>
      <c r="N96" s="8" t="s">
        <v>206</v>
      </c>
      <c r="O96" s="26">
        <v>0</v>
      </c>
      <c r="P96" s="25" t="s">
        <v>308</v>
      </c>
      <c r="Q96" s="25" t="s">
        <v>308</v>
      </c>
      <c r="R96" s="25" t="s">
        <v>308</v>
      </c>
      <c r="S96" s="8"/>
      <c r="T96" s="10"/>
      <c r="U96" s="8"/>
      <c r="V96" s="8" t="s">
        <v>250</v>
      </c>
      <c r="W96" s="8" t="s">
        <v>79</v>
      </c>
      <c r="X96" s="8">
        <f>SUMIF(Main!G11:O11,'S4'!Y1,Main!G25:O25)</f>
        <v>2</v>
      </c>
      <c r="Y96" s="8"/>
      <c r="Z96" s="8"/>
    </row>
    <row r="97" spans="1:26" x14ac:dyDescent="0.55000000000000004">
      <c r="A97" s="8" t="s">
        <v>758</v>
      </c>
      <c r="B97" s="25" t="s">
        <v>308</v>
      </c>
      <c r="C97" s="25" t="s">
        <v>308</v>
      </c>
      <c r="D97" s="25" t="s">
        <v>308</v>
      </c>
      <c r="E97" s="25" t="s">
        <v>308</v>
      </c>
      <c r="F97" s="25" t="s">
        <v>308</v>
      </c>
      <c r="G97" s="25" t="s">
        <v>308</v>
      </c>
      <c r="H97" s="25" t="s">
        <v>308</v>
      </c>
      <c r="I97" s="25" t="s">
        <v>308</v>
      </c>
      <c r="J97" s="25" t="s">
        <v>308</v>
      </c>
      <c r="K97" s="8"/>
      <c r="L97" s="10"/>
      <c r="M97" s="8"/>
      <c r="N97" s="8" t="s">
        <v>757</v>
      </c>
      <c r="O97" s="26">
        <v>0</v>
      </c>
      <c r="P97" s="25" t="s">
        <v>308</v>
      </c>
      <c r="Q97" s="25" t="s">
        <v>308</v>
      </c>
      <c r="R97" s="25" t="s">
        <v>308</v>
      </c>
      <c r="S97" s="8"/>
      <c r="T97" s="10"/>
      <c r="U97" s="8"/>
      <c r="V97" s="8"/>
      <c r="W97" s="8" t="s">
        <v>87</v>
      </c>
      <c r="X97" s="8">
        <f>SUMIF(Main!G11:O11,'S4'!Y1,Main!G26:O26)</f>
        <v>2</v>
      </c>
      <c r="Y97" s="8"/>
      <c r="Z97" s="8"/>
    </row>
    <row r="98" spans="1:26" x14ac:dyDescent="0.55000000000000004">
      <c r="A98" s="8" t="s">
        <v>761</v>
      </c>
      <c r="B98" s="25" t="s">
        <v>308</v>
      </c>
      <c r="C98" s="25" t="s">
        <v>308</v>
      </c>
      <c r="D98" s="25" t="s">
        <v>308</v>
      </c>
      <c r="E98" s="25" t="s">
        <v>308</v>
      </c>
      <c r="F98" s="25" t="s">
        <v>308</v>
      </c>
      <c r="G98" s="25" t="s">
        <v>308</v>
      </c>
      <c r="H98" s="25" t="s">
        <v>308</v>
      </c>
      <c r="I98" s="25" t="s">
        <v>308</v>
      </c>
      <c r="J98" s="25" t="s">
        <v>308</v>
      </c>
      <c r="K98" s="8"/>
      <c r="L98" s="10"/>
      <c r="M98" s="8"/>
      <c r="N98" s="8" t="s">
        <v>760</v>
      </c>
      <c r="O98" s="26">
        <v>0</v>
      </c>
      <c r="P98" s="25" t="s">
        <v>308</v>
      </c>
      <c r="Q98" s="25" t="s">
        <v>308</v>
      </c>
      <c r="R98" s="25" t="s">
        <v>308</v>
      </c>
      <c r="S98" s="8"/>
      <c r="T98" s="10"/>
      <c r="U98" s="8"/>
      <c r="V98" s="8"/>
      <c r="W98" s="8" t="s">
        <v>95</v>
      </c>
      <c r="X98" s="8">
        <f>SUMIF(Main!G11:O11,'S4'!Y1,Main!G27:O27)</f>
        <v>2</v>
      </c>
      <c r="Y98" s="8"/>
      <c r="Z98" s="8"/>
    </row>
    <row r="99" spans="1:26" x14ac:dyDescent="0.55000000000000004">
      <c r="A99" s="8" t="s">
        <v>764</v>
      </c>
      <c r="B99" s="25" t="s">
        <v>308</v>
      </c>
      <c r="C99" s="25" t="s">
        <v>308</v>
      </c>
      <c r="D99" s="25" t="s">
        <v>308</v>
      </c>
      <c r="E99" s="25" t="s">
        <v>308</v>
      </c>
      <c r="F99" s="25" t="s">
        <v>308</v>
      </c>
      <c r="G99" s="25" t="s">
        <v>308</v>
      </c>
      <c r="H99" s="25" t="s">
        <v>308</v>
      </c>
      <c r="I99" s="25" t="s">
        <v>308</v>
      </c>
      <c r="J99" s="25" t="s">
        <v>308</v>
      </c>
      <c r="K99" s="8"/>
      <c r="L99" s="10"/>
      <c r="M99" s="8"/>
      <c r="N99" s="8" t="s">
        <v>763</v>
      </c>
      <c r="O99" s="26">
        <v>0</v>
      </c>
      <c r="P99" s="25" t="s">
        <v>308</v>
      </c>
      <c r="Q99" s="25" t="s">
        <v>308</v>
      </c>
      <c r="R99" s="25" t="s">
        <v>308</v>
      </c>
      <c r="S99" s="8"/>
      <c r="T99" s="10"/>
      <c r="U99" s="8"/>
      <c r="V99" s="8"/>
      <c r="W99" s="8" t="s">
        <v>101</v>
      </c>
      <c r="X99" s="8">
        <f>SUMIF(Main!G11:O11,'S4'!Y1,Main!G28:O28)</f>
        <v>2</v>
      </c>
      <c r="Y99" s="8"/>
      <c r="Z99" s="8"/>
    </row>
    <row r="100" spans="1:26" x14ac:dyDescent="0.55000000000000004">
      <c r="A100" s="8" t="s">
        <v>767</v>
      </c>
      <c r="B100" s="25" t="s">
        <v>308</v>
      </c>
      <c r="C100" s="25" t="s">
        <v>308</v>
      </c>
      <c r="D100" s="25" t="s">
        <v>308</v>
      </c>
      <c r="E100" s="25" t="s">
        <v>308</v>
      </c>
      <c r="F100" s="25" t="s">
        <v>308</v>
      </c>
      <c r="G100" s="25" t="s">
        <v>308</v>
      </c>
      <c r="H100" s="25" t="s">
        <v>308</v>
      </c>
      <c r="I100" s="25" t="s">
        <v>308</v>
      </c>
      <c r="J100" s="25" t="s">
        <v>308</v>
      </c>
      <c r="K100" s="8"/>
      <c r="L100" s="10"/>
      <c r="M100" s="8"/>
      <c r="N100" s="8" t="s">
        <v>766</v>
      </c>
      <c r="O100" s="26">
        <v>0</v>
      </c>
      <c r="P100" s="25" t="s">
        <v>308</v>
      </c>
      <c r="Q100" s="25" t="s">
        <v>308</v>
      </c>
      <c r="R100" s="25" t="s">
        <v>308</v>
      </c>
      <c r="S100" s="8"/>
      <c r="T100" s="10"/>
      <c r="U100" s="8"/>
      <c r="V100" s="8"/>
      <c r="W100" s="8"/>
      <c r="X100" s="8"/>
      <c r="Y100" s="8"/>
      <c r="Z100" s="8"/>
    </row>
    <row r="101" spans="1:26" x14ac:dyDescent="0.55000000000000004">
      <c r="A101" s="8" t="s">
        <v>770</v>
      </c>
      <c r="B101" s="25" t="s">
        <v>308</v>
      </c>
      <c r="C101" s="25" t="s">
        <v>308</v>
      </c>
      <c r="D101" s="25" t="s">
        <v>308</v>
      </c>
      <c r="E101" s="25" t="s">
        <v>308</v>
      </c>
      <c r="F101" s="25" t="s">
        <v>308</v>
      </c>
      <c r="G101" s="25" t="s">
        <v>308</v>
      </c>
      <c r="H101" s="25" t="s">
        <v>308</v>
      </c>
      <c r="I101" s="25" t="s">
        <v>308</v>
      </c>
      <c r="J101" s="25" t="s">
        <v>308</v>
      </c>
      <c r="K101" s="8"/>
      <c r="L101" s="10"/>
      <c r="M101" s="8"/>
      <c r="N101" s="8" t="s">
        <v>769</v>
      </c>
      <c r="O101" s="26">
        <v>0</v>
      </c>
      <c r="P101" s="25" t="s">
        <v>308</v>
      </c>
      <c r="Q101" s="25" t="s">
        <v>308</v>
      </c>
      <c r="R101" s="25" t="s">
        <v>308</v>
      </c>
      <c r="S101" s="8"/>
      <c r="T101" s="10"/>
      <c r="U101" s="8"/>
      <c r="V101" s="8"/>
      <c r="W101" s="8"/>
      <c r="X101" s="8"/>
      <c r="Y101" s="8"/>
      <c r="Z101" s="8"/>
    </row>
    <row r="102" spans="1:26" x14ac:dyDescent="0.55000000000000004">
      <c r="A102" s="8" t="s">
        <v>211</v>
      </c>
      <c r="B102" s="25" t="s">
        <v>308</v>
      </c>
      <c r="C102" s="25" t="s">
        <v>308</v>
      </c>
      <c r="D102" s="25" t="s">
        <v>308</v>
      </c>
      <c r="E102" s="25" t="s">
        <v>308</v>
      </c>
      <c r="F102" s="25" t="s">
        <v>308</v>
      </c>
      <c r="G102" s="25" t="s">
        <v>308</v>
      </c>
      <c r="H102" s="25" t="s">
        <v>308</v>
      </c>
      <c r="I102" s="25" t="s">
        <v>308</v>
      </c>
      <c r="J102" s="25" t="s">
        <v>308</v>
      </c>
      <c r="K102" s="8"/>
      <c r="L102" s="10"/>
      <c r="M102" s="8"/>
      <c r="N102" s="8" t="s">
        <v>210</v>
      </c>
      <c r="O102" s="26">
        <v>0</v>
      </c>
      <c r="P102" s="25" t="s">
        <v>308</v>
      </c>
      <c r="Q102" s="25" t="s">
        <v>308</v>
      </c>
      <c r="R102" s="25" t="s">
        <v>308</v>
      </c>
      <c r="S102" s="8"/>
      <c r="T102" s="10"/>
      <c r="U102" s="8"/>
      <c r="V102" s="8"/>
      <c r="W102" s="8"/>
      <c r="X102" s="8"/>
      <c r="Y102" s="8"/>
      <c r="Z102" s="8"/>
    </row>
    <row r="103" spans="1:26" x14ac:dyDescent="0.55000000000000004">
      <c r="A103" s="8" t="s">
        <v>214</v>
      </c>
      <c r="B103" s="25" t="s">
        <v>308</v>
      </c>
      <c r="C103" s="25" t="s">
        <v>308</v>
      </c>
      <c r="D103" s="25" t="s">
        <v>308</v>
      </c>
      <c r="E103" s="25" t="s">
        <v>308</v>
      </c>
      <c r="F103" s="25" t="s">
        <v>308</v>
      </c>
      <c r="G103" s="25" t="s">
        <v>308</v>
      </c>
      <c r="H103" s="25" t="s">
        <v>308</v>
      </c>
      <c r="I103" s="25" t="s">
        <v>308</v>
      </c>
      <c r="J103" s="25" t="s">
        <v>308</v>
      </c>
      <c r="K103" s="8"/>
      <c r="L103" s="10"/>
      <c r="M103" s="8"/>
      <c r="N103" s="8" t="s">
        <v>213</v>
      </c>
      <c r="O103" s="26">
        <v>0</v>
      </c>
      <c r="P103" s="25" t="s">
        <v>308</v>
      </c>
      <c r="Q103" s="25" t="s">
        <v>308</v>
      </c>
      <c r="R103" s="25" t="s">
        <v>308</v>
      </c>
      <c r="S103" s="8"/>
      <c r="T103" s="10"/>
      <c r="U103" s="8"/>
      <c r="V103" s="8"/>
      <c r="W103" s="8"/>
      <c r="X103" s="8"/>
      <c r="Y103" s="8"/>
      <c r="Z103" s="8"/>
    </row>
    <row r="104" spans="1:26" x14ac:dyDescent="0.55000000000000004">
      <c r="A104" s="8" t="s">
        <v>217</v>
      </c>
      <c r="B104" s="25" t="s">
        <v>308</v>
      </c>
      <c r="C104" s="25" t="s">
        <v>308</v>
      </c>
      <c r="D104" s="25" t="s">
        <v>308</v>
      </c>
      <c r="E104" s="25" t="s">
        <v>308</v>
      </c>
      <c r="F104" s="25" t="s">
        <v>308</v>
      </c>
      <c r="G104" s="25" t="s">
        <v>308</v>
      </c>
      <c r="H104" s="25" t="s">
        <v>308</v>
      </c>
      <c r="I104" s="25" t="s">
        <v>308</v>
      </c>
      <c r="J104" s="25" t="s">
        <v>308</v>
      </c>
      <c r="K104" s="8"/>
      <c r="L104" s="10"/>
      <c r="M104" s="8"/>
      <c r="N104" s="8" t="s">
        <v>216</v>
      </c>
      <c r="O104" s="26">
        <v>0</v>
      </c>
      <c r="P104" s="25" t="s">
        <v>308</v>
      </c>
      <c r="Q104" s="25" t="s">
        <v>308</v>
      </c>
      <c r="R104" s="25" t="s">
        <v>308</v>
      </c>
      <c r="S104" s="8"/>
      <c r="T104" s="10"/>
      <c r="U104" s="8"/>
      <c r="V104" s="8"/>
      <c r="W104" s="8"/>
      <c r="X104" s="8"/>
      <c r="Y104" s="8"/>
      <c r="Z104" s="8"/>
    </row>
    <row r="105" spans="1:26" x14ac:dyDescent="0.55000000000000004">
      <c r="A105" s="8" t="s">
        <v>776</v>
      </c>
      <c r="B105" s="25" t="s">
        <v>308</v>
      </c>
      <c r="C105" s="25" t="s">
        <v>308</v>
      </c>
      <c r="D105" s="25" t="s">
        <v>308</v>
      </c>
      <c r="E105" s="25" t="s">
        <v>308</v>
      </c>
      <c r="F105" s="25" t="s">
        <v>308</v>
      </c>
      <c r="G105" s="25" t="s">
        <v>308</v>
      </c>
      <c r="H105" s="25" t="s">
        <v>308</v>
      </c>
      <c r="I105" s="25" t="s">
        <v>308</v>
      </c>
      <c r="J105" s="25" t="s">
        <v>308</v>
      </c>
      <c r="K105" s="8"/>
      <c r="L105" s="10"/>
      <c r="M105" s="8"/>
      <c r="N105" s="8" t="s">
        <v>775</v>
      </c>
      <c r="O105" s="26">
        <v>0</v>
      </c>
      <c r="P105" s="25" t="s">
        <v>308</v>
      </c>
      <c r="Q105" s="25" t="s">
        <v>308</v>
      </c>
      <c r="R105" s="25" t="s">
        <v>308</v>
      </c>
      <c r="S105" s="8"/>
      <c r="T105" s="10"/>
      <c r="U105" s="8"/>
      <c r="V105" s="8"/>
      <c r="W105" s="8"/>
      <c r="X105" s="8"/>
      <c r="Y105" s="8"/>
      <c r="Z105" s="8"/>
    </row>
    <row r="106" spans="1:26" x14ac:dyDescent="0.55000000000000004">
      <c r="A106" s="8" t="s">
        <v>779</v>
      </c>
      <c r="B106" s="25" t="s">
        <v>308</v>
      </c>
      <c r="C106" s="25" t="s">
        <v>308</v>
      </c>
      <c r="D106" s="25" t="s">
        <v>308</v>
      </c>
      <c r="E106" s="25" t="s">
        <v>308</v>
      </c>
      <c r="F106" s="25" t="s">
        <v>308</v>
      </c>
      <c r="G106" s="25" t="s">
        <v>308</v>
      </c>
      <c r="H106" s="25" t="s">
        <v>308</v>
      </c>
      <c r="I106" s="25" t="s">
        <v>308</v>
      </c>
      <c r="J106" s="25" t="s">
        <v>308</v>
      </c>
      <c r="K106" s="8"/>
      <c r="L106" s="10"/>
      <c r="M106" s="8"/>
      <c r="N106" s="8" t="s">
        <v>778</v>
      </c>
      <c r="O106" s="26">
        <v>0</v>
      </c>
      <c r="P106" s="25" t="s">
        <v>308</v>
      </c>
      <c r="Q106" s="25" t="s">
        <v>308</v>
      </c>
      <c r="R106" s="25" t="s">
        <v>308</v>
      </c>
      <c r="S106" s="8"/>
      <c r="T106" s="10"/>
      <c r="U106" s="8"/>
      <c r="V106" s="8"/>
      <c r="W106" s="8"/>
      <c r="X106" s="8"/>
      <c r="Y106" s="8"/>
      <c r="Z106" s="8"/>
    </row>
    <row r="107" spans="1:26" x14ac:dyDescent="0.55000000000000004">
      <c r="A107" s="8" t="s">
        <v>782</v>
      </c>
      <c r="B107" s="25" t="s">
        <v>308</v>
      </c>
      <c r="C107" s="25" t="s">
        <v>308</v>
      </c>
      <c r="D107" s="25" t="s">
        <v>308</v>
      </c>
      <c r="E107" s="25" t="s">
        <v>308</v>
      </c>
      <c r="F107" s="25" t="s">
        <v>308</v>
      </c>
      <c r="G107" s="25" t="s">
        <v>308</v>
      </c>
      <c r="H107" s="25" t="s">
        <v>308</v>
      </c>
      <c r="I107" s="25" t="s">
        <v>308</v>
      </c>
      <c r="J107" s="25" t="s">
        <v>308</v>
      </c>
      <c r="K107" s="8"/>
      <c r="L107" s="10"/>
      <c r="M107" s="8"/>
      <c r="N107" s="8" t="s">
        <v>781</v>
      </c>
      <c r="O107" s="26">
        <v>0</v>
      </c>
      <c r="P107" s="25" t="s">
        <v>308</v>
      </c>
      <c r="Q107" s="25" t="s">
        <v>308</v>
      </c>
      <c r="R107" s="25" t="s">
        <v>308</v>
      </c>
      <c r="S107" s="8"/>
      <c r="T107" s="10"/>
      <c r="U107" s="8"/>
      <c r="V107" s="8"/>
      <c r="W107" s="8"/>
      <c r="X107" s="8"/>
      <c r="Y107" s="8"/>
      <c r="Z107" s="8"/>
    </row>
    <row r="108" spans="1:26" x14ac:dyDescent="0.55000000000000004">
      <c r="A108" s="8" t="s">
        <v>220</v>
      </c>
      <c r="B108" s="25" t="s">
        <v>308</v>
      </c>
      <c r="C108" s="25" t="s">
        <v>308</v>
      </c>
      <c r="D108" s="25" t="s">
        <v>308</v>
      </c>
      <c r="E108" s="25" t="s">
        <v>308</v>
      </c>
      <c r="F108" s="25" t="s">
        <v>308</v>
      </c>
      <c r="G108" s="25" t="s">
        <v>308</v>
      </c>
      <c r="H108" s="25" t="s">
        <v>308</v>
      </c>
      <c r="I108" s="25" t="s">
        <v>308</v>
      </c>
      <c r="J108" s="25" t="s">
        <v>308</v>
      </c>
      <c r="K108" s="8"/>
      <c r="L108" s="10"/>
      <c r="M108" s="8"/>
      <c r="N108" s="8" t="s">
        <v>219</v>
      </c>
      <c r="O108" s="26">
        <v>0</v>
      </c>
      <c r="P108" s="25" t="s">
        <v>308</v>
      </c>
      <c r="Q108" s="25" t="s">
        <v>308</v>
      </c>
      <c r="R108" s="25" t="s">
        <v>308</v>
      </c>
      <c r="S108" s="8"/>
      <c r="T108" s="10"/>
      <c r="U108" s="8"/>
      <c r="V108" s="8"/>
      <c r="W108" s="8"/>
      <c r="X108" s="8"/>
      <c r="Y108" s="8"/>
      <c r="Z108" s="8"/>
    </row>
    <row r="109" spans="1:26" x14ac:dyDescent="0.55000000000000004">
      <c r="A109" s="8" t="s">
        <v>786</v>
      </c>
      <c r="B109" s="25" t="s">
        <v>308</v>
      </c>
      <c r="C109" s="25" t="s">
        <v>308</v>
      </c>
      <c r="D109" s="25" t="s">
        <v>308</v>
      </c>
      <c r="E109" s="25" t="s">
        <v>308</v>
      </c>
      <c r="F109" s="25" t="s">
        <v>308</v>
      </c>
      <c r="G109" s="25" t="s">
        <v>308</v>
      </c>
      <c r="H109" s="25" t="s">
        <v>308</v>
      </c>
      <c r="I109" s="25" t="s">
        <v>308</v>
      </c>
      <c r="J109" s="25" t="s">
        <v>308</v>
      </c>
      <c r="K109" s="8"/>
      <c r="L109" s="10"/>
      <c r="M109" s="8"/>
      <c r="N109" s="8" t="s">
        <v>785</v>
      </c>
      <c r="O109" s="26">
        <v>0</v>
      </c>
      <c r="P109" s="25" t="s">
        <v>308</v>
      </c>
      <c r="Q109" s="25" t="s">
        <v>308</v>
      </c>
      <c r="R109" s="25" t="s">
        <v>308</v>
      </c>
      <c r="S109" s="8"/>
      <c r="T109" s="10"/>
      <c r="U109" s="8"/>
      <c r="V109" s="8"/>
      <c r="W109" s="8"/>
      <c r="X109" s="8"/>
      <c r="Y109" s="8"/>
      <c r="Z109" s="8"/>
    </row>
    <row r="110" spans="1:26" x14ac:dyDescent="0.55000000000000004">
      <c r="A110" s="8" t="s">
        <v>789</v>
      </c>
      <c r="B110" s="25" t="s">
        <v>308</v>
      </c>
      <c r="C110" s="25" t="s">
        <v>308</v>
      </c>
      <c r="D110" s="25" t="s">
        <v>308</v>
      </c>
      <c r="E110" s="25" t="s">
        <v>308</v>
      </c>
      <c r="F110" s="25" t="s">
        <v>308</v>
      </c>
      <c r="G110" s="25" t="s">
        <v>308</v>
      </c>
      <c r="H110" s="25" t="s">
        <v>308</v>
      </c>
      <c r="I110" s="25" t="s">
        <v>308</v>
      </c>
      <c r="J110" s="25" t="s">
        <v>308</v>
      </c>
      <c r="K110" s="8"/>
      <c r="L110" s="10"/>
      <c r="M110" s="8"/>
      <c r="N110" s="8" t="s">
        <v>788</v>
      </c>
      <c r="O110" s="26">
        <v>0</v>
      </c>
      <c r="P110" s="25" t="s">
        <v>308</v>
      </c>
      <c r="Q110" s="25" t="s">
        <v>308</v>
      </c>
      <c r="R110" s="25" t="s">
        <v>308</v>
      </c>
      <c r="S110" s="8"/>
      <c r="T110" s="10"/>
      <c r="U110" s="8"/>
      <c r="V110" s="8"/>
      <c r="W110" s="8"/>
      <c r="X110" s="8"/>
      <c r="Y110" s="8"/>
      <c r="Z110" s="8"/>
    </row>
    <row r="111" spans="1:26" x14ac:dyDescent="0.5500000000000000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8"/>
      <c r="P111" s="8"/>
      <c r="Q111" s="8"/>
      <c r="R111" s="8"/>
      <c r="S111" s="8"/>
      <c r="T111" s="10"/>
      <c r="U111" s="8"/>
      <c r="V111" s="8"/>
      <c r="W111" s="8"/>
      <c r="X111" s="8"/>
      <c r="Y111" s="8"/>
      <c r="Z111" s="8"/>
    </row>
  </sheetData>
  <sheetProtection sheet="1" objects="1" scenarios="1"/>
  <mergeCells count="4">
    <mergeCell ref="B4:C4"/>
    <mergeCell ref="D4:F4"/>
    <mergeCell ref="G4:I4"/>
    <mergeCell ref="Q4:R4"/>
  </mergeCells>
  <conditionalFormatting sqref="O7:O110">
    <cfRule type="cellIs" dxfId="29" priority="4" operator="equal">
      <formula>0</formula>
    </cfRule>
  </conditionalFormatting>
  <conditionalFormatting sqref="P7:R110">
    <cfRule type="cellIs" dxfId="28" priority="3" operator="equal">
      <formula>"eps"</formula>
    </cfRule>
  </conditionalFormatting>
  <conditionalFormatting sqref="W7:Y23 B7:J110">
    <cfRule type="cellIs" dxfId="27" priority="5" operator="equal">
      <formula>"eps"</formula>
    </cfRule>
  </conditionalFormatting>
  <conditionalFormatting sqref="X28:Y42">
    <cfRule type="cellIs" dxfId="26" priority="1" operator="equal">
      <formula>"eps"</formula>
    </cfRule>
  </conditionalFormatting>
  <conditionalFormatting sqref="Y46:Y54">
    <cfRule type="cellIs" dxfId="25" priority="2" operator="equal">
      <formula>"eps"</formula>
    </cfRule>
  </conditionalFormatting>
  <dataValidations count="1">
    <dataValidation type="whole" allowBlank="1" showInputMessage="1" showErrorMessage="1" errorTitle="Incorrect choice" error="Choose 0 or 1" sqref="X59:Y74 O7:O110" xr:uid="{00000000-0002-0000-0500-000000000000}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Z111"/>
  <sheetViews>
    <sheetView zoomScale="75" zoomScaleNormal="7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C49" sqref="C49:C51"/>
    </sheetView>
  </sheetViews>
  <sheetFormatPr defaultColWidth="0" defaultRowHeight="14.4" zeroHeight="1" x14ac:dyDescent="0.55000000000000004"/>
  <cols>
    <col min="1" max="9" width="8.7890625" customWidth="1"/>
    <col min="10" max="10" width="8.7890625" hidden="1" customWidth="1"/>
    <col min="11" max="13" width="1" customWidth="1"/>
    <col min="14" max="18" width="8.7890625" customWidth="1"/>
    <col min="19" max="21" width="1" customWidth="1"/>
    <col min="22" max="25" width="8.7890625" customWidth="1"/>
    <col min="26" max="26" width="3.15625" customWidth="1"/>
    <col min="27" max="16384" width="8.7890625" hidden="1"/>
  </cols>
  <sheetData>
    <row r="1" spans="1:26" ht="18.3" x14ac:dyDescent="0.7">
      <c r="A1" s="6" t="str">
        <f>"Simulation "&amp;Y1&amp;IF(X1&lt;&gt;""," : "&amp;X1,"")</f>
        <v>Simulation sim5 : 50%_incr_cchem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7" t="str">
        <f>IF(Main!C6&lt;&gt;"",Main!C6,"")</f>
        <v>50%_incr_cchem</v>
      </c>
      <c r="Y1" s="17" t="str">
        <f>Main!A10</f>
        <v>sim5</v>
      </c>
      <c r="Z1" s="7"/>
    </row>
    <row r="2" spans="1:26" x14ac:dyDescent="0.5500000000000000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55000000000000004">
      <c r="A3" s="11" t="s">
        <v>271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 t="s">
        <v>272</v>
      </c>
      <c r="O3" s="11"/>
      <c r="P3" s="11"/>
      <c r="Q3" s="11"/>
      <c r="R3" s="11"/>
      <c r="S3" s="11"/>
      <c r="T3" s="11"/>
      <c r="U3" s="11"/>
      <c r="V3" s="11" t="s">
        <v>273</v>
      </c>
      <c r="W3" s="11"/>
      <c r="X3" s="11"/>
      <c r="Y3" s="11"/>
      <c r="Z3" s="11"/>
    </row>
    <row r="4" spans="1:26" x14ac:dyDescent="0.55000000000000004">
      <c r="A4" s="13"/>
      <c r="B4" s="31" t="s">
        <v>274</v>
      </c>
      <c r="C4" s="31"/>
      <c r="D4" s="31" t="s">
        <v>275</v>
      </c>
      <c r="E4" s="31"/>
      <c r="F4" s="31"/>
      <c r="G4" s="31" t="s">
        <v>17</v>
      </c>
      <c r="H4" s="31"/>
      <c r="I4" s="31"/>
      <c r="J4" s="15" t="s">
        <v>276</v>
      </c>
      <c r="K4" s="13"/>
      <c r="L4" s="10"/>
      <c r="M4" s="13"/>
      <c r="N4" s="13"/>
      <c r="O4" s="15" t="s">
        <v>277</v>
      </c>
      <c r="P4" s="15" t="s">
        <v>278</v>
      </c>
      <c r="Q4" s="31" t="s">
        <v>279</v>
      </c>
      <c r="R4" s="31"/>
      <c r="S4" s="13"/>
      <c r="T4" s="10"/>
      <c r="U4" s="13"/>
      <c r="V4" s="13"/>
      <c r="W4" s="15" t="s">
        <v>280</v>
      </c>
      <c r="X4" s="15" t="s">
        <v>281</v>
      </c>
      <c r="Y4" s="15" t="s">
        <v>280</v>
      </c>
      <c r="Z4" s="13"/>
    </row>
    <row r="5" spans="1:26" x14ac:dyDescent="0.55000000000000004">
      <c r="A5" s="13"/>
      <c r="B5" s="16" t="s">
        <v>282</v>
      </c>
      <c r="C5" s="16" t="s">
        <v>283</v>
      </c>
      <c r="D5" s="16" t="s">
        <v>282</v>
      </c>
      <c r="E5" s="16" t="s">
        <v>283</v>
      </c>
      <c r="F5" s="16" t="s">
        <v>284</v>
      </c>
      <c r="G5" s="16" t="s">
        <v>282</v>
      </c>
      <c r="H5" s="16" t="s">
        <v>283</v>
      </c>
      <c r="I5" s="16" t="s">
        <v>285</v>
      </c>
      <c r="J5" s="15" t="s">
        <v>286</v>
      </c>
      <c r="K5" s="13"/>
      <c r="L5" s="10"/>
      <c r="M5" s="13"/>
      <c r="N5" s="13"/>
      <c r="O5" s="16" t="s">
        <v>287</v>
      </c>
      <c r="P5" s="16"/>
      <c r="Q5" s="16" t="s">
        <v>288</v>
      </c>
      <c r="R5" s="16" t="s">
        <v>332</v>
      </c>
      <c r="S5" s="13"/>
      <c r="T5" s="10"/>
      <c r="U5" s="13"/>
      <c r="V5" s="13"/>
      <c r="W5" s="15" t="s">
        <v>289</v>
      </c>
      <c r="X5" s="15" t="s">
        <v>290</v>
      </c>
      <c r="Y5" s="15" t="s">
        <v>291</v>
      </c>
      <c r="Z5" s="13"/>
    </row>
    <row r="6" spans="1:26" x14ac:dyDescent="0.55000000000000004">
      <c r="A6" s="13"/>
      <c r="B6" s="16" t="s">
        <v>292</v>
      </c>
      <c r="C6" s="16" t="s">
        <v>293</v>
      </c>
      <c r="D6" s="16" t="s">
        <v>294</v>
      </c>
      <c r="E6" s="16" t="s">
        <v>295</v>
      </c>
      <c r="F6" s="16" t="s">
        <v>296</v>
      </c>
      <c r="G6" s="16" t="s">
        <v>297</v>
      </c>
      <c r="H6" s="16" t="s">
        <v>298</v>
      </c>
      <c r="I6" s="16" t="s">
        <v>299</v>
      </c>
      <c r="J6" s="16" t="s">
        <v>300</v>
      </c>
      <c r="K6" s="13"/>
      <c r="L6" s="10"/>
      <c r="M6" s="13"/>
      <c r="N6" s="13"/>
      <c r="O6" s="16" t="s">
        <v>301</v>
      </c>
      <c r="P6" s="16" t="s">
        <v>302</v>
      </c>
      <c r="Q6" s="16" t="s">
        <v>303</v>
      </c>
      <c r="R6" s="16" t="s">
        <v>304</v>
      </c>
      <c r="S6" s="13"/>
      <c r="T6" s="10"/>
      <c r="U6" s="13"/>
      <c r="V6" s="13"/>
      <c r="W6" s="16" t="s">
        <v>305</v>
      </c>
      <c r="X6" s="16" t="s">
        <v>306</v>
      </c>
      <c r="Y6" s="16" t="s">
        <v>307</v>
      </c>
      <c r="Z6" s="13"/>
    </row>
    <row r="7" spans="1:26" x14ac:dyDescent="0.55000000000000004">
      <c r="A7" s="8" t="s">
        <v>19</v>
      </c>
      <c r="B7" s="25" t="s">
        <v>308</v>
      </c>
      <c r="C7" s="25" t="s">
        <v>308</v>
      </c>
      <c r="D7" s="25" t="s">
        <v>308</v>
      </c>
      <c r="E7" s="25" t="s">
        <v>308</v>
      </c>
      <c r="F7" s="25" t="s">
        <v>308</v>
      </c>
      <c r="G7" s="25" t="s">
        <v>308</v>
      </c>
      <c r="H7" s="25" t="s">
        <v>308</v>
      </c>
      <c r="I7" s="25" t="s">
        <v>308</v>
      </c>
      <c r="J7" s="25" t="s">
        <v>308</v>
      </c>
      <c r="K7" s="8"/>
      <c r="L7" s="10"/>
      <c r="M7" s="8"/>
      <c r="N7" s="8" t="s">
        <v>18</v>
      </c>
      <c r="O7" s="26">
        <v>0</v>
      </c>
      <c r="P7" s="25" t="s">
        <v>308</v>
      </c>
      <c r="Q7" s="25" t="s">
        <v>308</v>
      </c>
      <c r="R7" s="25" t="s">
        <v>308</v>
      </c>
      <c r="S7" s="8"/>
      <c r="T7" s="10"/>
      <c r="U7" s="8"/>
      <c r="V7" s="8" t="s">
        <v>12</v>
      </c>
      <c r="W7" s="25" t="s">
        <v>308</v>
      </c>
      <c r="X7" s="25" t="s">
        <v>308</v>
      </c>
      <c r="Y7" s="25" t="s">
        <v>308</v>
      </c>
      <c r="Z7" s="8"/>
    </row>
    <row r="8" spans="1:26" x14ac:dyDescent="0.55000000000000004">
      <c r="A8" s="8" t="s">
        <v>10</v>
      </c>
      <c r="B8" s="25" t="s">
        <v>308</v>
      </c>
      <c r="C8" s="25" t="s">
        <v>308</v>
      </c>
      <c r="D8" s="25" t="s">
        <v>308</v>
      </c>
      <c r="E8" s="25" t="s">
        <v>308</v>
      </c>
      <c r="F8" s="25" t="s">
        <v>308</v>
      </c>
      <c r="G8" s="25" t="s">
        <v>308</v>
      </c>
      <c r="H8" s="25" t="s">
        <v>308</v>
      </c>
      <c r="I8" s="25" t="s">
        <v>308</v>
      </c>
      <c r="J8" s="25" t="s">
        <v>308</v>
      </c>
      <c r="K8" s="8"/>
      <c r="L8" s="10"/>
      <c r="M8" s="8"/>
      <c r="N8" s="8" t="s">
        <v>9</v>
      </c>
      <c r="O8" s="26">
        <v>0</v>
      </c>
      <c r="P8" s="25" t="s">
        <v>308</v>
      </c>
      <c r="Q8" s="25" t="s">
        <v>308</v>
      </c>
      <c r="R8" s="25" t="s">
        <v>308</v>
      </c>
      <c r="S8" s="8"/>
      <c r="T8" s="10"/>
      <c r="U8" s="8"/>
      <c r="V8" s="8" t="s">
        <v>20</v>
      </c>
      <c r="W8" s="25" t="s">
        <v>308</v>
      </c>
      <c r="X8" s="25" t="s">
        <v>308</v>
      </c>
      <c r="Y8" s="25" t="s">
        <v>308</v>
      </c>
      <c r="Z8" s="8"/>
    </row>
    <row r="9" spans="1:26" x14ac:dyDescent="0.55000000000000004">
      <c r="A9" s="8" t="s">
        <v>35</v>
      </c>
      <c r="B9" s="25" t="s">
        <v>308</v>
      </c>
      <c r="C9" s="25" t="s">
        <v>308</v>
      </c>
      <c r="D9" s="25" t="s">
        <v>308</v>
      </c>
      <c r="E9" s="25" t="s">
        <v>308</v>
      </c>
      <c r="F9" s="25" t="s">
        <v>308</v>
      </c>
      <c r="G9" s="25" t="s">
        <v>308</v>
      </c>
      <c r="H9" s="25" t="s">
        <v>308</v>
      </c>
      <c r="I9" s="25" t="s">
        <v>308</v>
      </c>
      <c r="J9" s="25" t="s">
        <v>308</v>
      </c>
      <c r="K9" s="8"/>
      <c r="L9" s="10"/>
      <c r="M9" s="8"/>
      <c r="N9" s="8" t="s">
        <v>34</v>
      </c>
      <c r="O9" s="26">
        <v>0</v>
      </c>
      <c r="P9" s="25" t="s">
        <v>308</v>
      </c>
      <c r="Q9" s="25" t="s">
        <v>308</v>
      </c>
      <c r="R9" s="25" t="s">
        <v>308</v>
      </c>
      <c r="S9" s="8"/>
      <c r="T9" s="10"/>
      <c r="U9" s="8"/>
      <c r="V9" s="8" t="s">
        <v>28</v>
      </c>
      <c r="W9" s="25" t="s">
        <v>308</v>
      </c>
      <c r="X9" s="25" t="s">
        <v>308</v>
      </c>
      <c r="Y9" s="25" t="s">
        <v>308</v>
      </c>
      <c r="Z9" s="8"/>
    </row>
    <row r="10" spans="1:26" x14ac:dyDescent="0.55000000000000004">
      <c r="A10" s="8" t="s">
        <v>27</v>
      </c>
      <c r="B10" s="25" t="s">
        <v>308</v>
      </c>
      <c r="C10" s="25" t="s">
        <v>308</v>
      </c>
      <c r="D10" s="25" t="s">
        <v>308</v>
      </c>
      <c r="E10" s="25" t="s">
        <v>308</v>
      </c>
      <c r="F10" s="25" t="s">
        <v>308</v>
      </c>
      <c r="G10" s="25" t="s">
        <v>308</v>
      </c>
      <c r="H10" s="25" t="s">
        <v>308</v>
      </c>
      <c r="I10" s="25" t="s">
        <v>308</v>
      </c>
      <c r="J10" s="25" t="s">
        <v>308</v>
      </c>
      <c r="K10" s="8"/>
      <c r="L10" s="10"/>
      <c r="M10" s="8"/>
      <c r="N10" s="8" t="s">
        <v>26</v>
      </c>
      <c r="O10" s="26">
        <v>0</v>
      </c>
      <c r="P10" s="25" t="s">
        <v>308</v>
      </c>
      <c r="Q10" s="25" t="s">
        <v>308</v>
      </c>
      <c r="R10" s="25" t="s">
        <v>308</v>
      </c>
      <c r="S10" s="8"/>
      <c r="T10" s="10"/>
      <c r="U10" s="8"/>
      <c r="V10" s="8" t="s">
        <v>36</v>
      </c>
      <c r="W10" s="25" t="s">
        <v>308</v>
      </c>
      <c r="X10" s="25" t="s">
        <v>308</v>
      </c>
      <c r="Y10" s="25" t="s">
        <v>308</v>
      </c>
      <c r="Z10" s="8"/>
    </row>
    <row r="11" spans="1:26" x14ac:dyDescent="0.55000000000000004">
      <c r="A11" s="8" t="s">
        <v>42</v>
      </c>
      <c r="B11" s="25" t="s">
        <v>308</v>
      </c>
      <c r="C11" s="25" t="s">
        <v>308</v>
      </c>
      <c r="D11" s="25" t="s">
        <v>308</v>
      </c>
      <c r="E11" s="25" t="s">
        <v>308</v>
      </c>
      <c r="F11" s="25" t="s">
        <v>308</v>
      </c>
      <c r="G11" s="25" t="s">
        <v>308</v>
      </c>
      <c r="H11" s="25" t="s">
        <v>308</v>
      </c>
      <c r="I11" s="25" t="s">
        <v>308</v>
      </c>
      <c r="J11" s="25" t="s">
        <v>308</v>
      </c>
      <c r="K11" s="8"/>
      <c r="L11" s="10"/>
      <c r="M11" s="8"/>
      <c r="N11" s="8" t="s">
        <v>41</v>
      </c>
      <c r="O11" s="26">
        <v>0</v>
      </c>
      <c r="P11" s="25" t="s">
        <v>308</v>
      </c>
      <c r="Q11" s="25" t="s">
        <v>308</v>
      </c>
      <c r="R11" s="25" t="s">
        <v>308</v>
      </c>
      <c r="S11" s="8"/>
      <c r="T11" s="10"/>
      <c r="U11" s="8"/>
      <c r="V11" s="8" t="s">
        <v>44</v>
      </c>
      <c r="W11" s="25" t="s">
        <v>308</v>
      </c>
      <c r="X11" s="25" t="s">
        <v>308</v>
      </c>
      <c r="Y11" s="25" t="s">
        <v>308</v>
      </c>
      <c r="Z11" s="8"/>
    </row>
    <row r="12" spans="1:26" x14ac:dyDescent="0.55000000000000004">
      <c r="A12" s="8" t="s">
        <v>78</v>
      </c>
      <c r="B12" s="25" t="s">
        <v>308</v>
      </c>
      <c r="C12" s="25" t="s">
        <v>308</v>
      </c>
      <c r="D12" s="25" t="s">
        <v>308</v>
      </c>
      <c r="E12" s="25" t="s">
        <v>308</v>
      </c>
      <c r="F12" s="25" t="s">
        <v>308</v>
      </c>
      <c r="G12" s="25" t="s">
        <v>308</v>
      </c>
      <c r="H12" s="25" t="s">
        <v>308</v>
      </c>
      <c r="I12" s="25" t="s">
        <v>308</v>
      </c>
      <c r="J12" s="25" t="s">
        <v>308</v>
      </c>
      <c r="K12" s="8"/>
      <c r="L12" s="10"/>
      <c r="M12" s="8"/>
      <c r="N12" s="8" t="s">
        <v>77</v>
      </c>
      <c r="O12" s="26">
        <v>0</v>
      </c>
      <c r="P12" s="25" t="s">
        <v>308</v>
      </c>
      <c r="Q12" s="25" t="s">
        <v>308</v>
      </c>
      <c r="R12" s="25" t="s">
        <v>308</v>
      </c>
      <c r="S12" s="8"/>
      <c r="T12" s="10"/>
      <c r="U12" s="8"/>
      <c r="V12" s="8" t="s">
        <v>49</v>
      </c>
      <c r="W12" s="25" t="s">
        <v>308</v>
      </c>
      <c r="X12" s="25" t="s">
        <v>308</v>
      </c>
      <c r="Y12" s="25" t="s">
        <v>308</v>
      </c>
      <c r="Z12" s="8"/>
    </row>
    <row r="13" spans="1:26" x14ac:dyDescent="0.55000000000000004">
      <c r="A13" s="8" t="s">
        <v>86</v>
      </c>
      <c r="B13" s="25" t="s">
        <v>308</v>
      </c>
      <c r="C13" s="25" t="s">
        <v>308</v>
      </c>
      <c r="D13" s="25" t="s">
        <v>308</v>
      </c>
      <c r="E13" s="25" t="s">
        <v>308</v>
      </c>
      <c r="F13" s="25" t="s">
        <v>308</v>
      </c>
      <c r="G13" s="25" t="s">
        <v>308</v>
      </c>
      <c r="H13" s="25" t="s">
        <v>308</v>
      </c>
      <c r="I13" s="25" t="s">
        <v>308</v>
      </c>
      <c r="J13" s="25" t="s">
        <v>308</v>
      </c>
      <c r="K13" s="8"/>
      <c r="L13" s="10"/>
      <c r="M13" s="8"/>
      <c r="N13" s="8" t="s">
        <v>85</v>
      </c>
      <c r="O13" s="26">
        <v>0</v>
      </c>
      <c r="P13" s="25" t="s">
        <v>308</v>
      </c>
      <c r="Q13" s="25" t="s">
        <v>308</v>
      </c>
      <c r="R13" s="25" t="s">
        <v>308</v>
      </c>
      <c r="S13" s="8"/>
      <c r="T13" s="10"/>
      <c r="U13" s="8"/>
      <c r="V13" s="8" t="s">
        <v>57</v>
      </c>
      <c r="W13" s="25" t="s">
        <v>308</v>
      </c>
      <c r="X13" s="25" t="s">
        <v>308</v>
      </c>
      <c r="Y13" s="25" t="s">
        <v>308</v>
      </c>
      <c r="Z13" s="8"/>
    </row>
    <row r="14" spans="1:26" x14ac:dyDescent="0.55000000000000004">
      <c r="A14" s="8" t="s">
        <v>71</v>
      </c>
      <c r="B14" s="25" t="s">
        <v>308</v>
      </c>
      <c r="C14" s="25" t="s">
        <v>308</v>
      </c>
      <c r="D14" s="25" t="s">
        <v>308</v>
      </c>
      <c r="E14" s="25" t="s">
        <v>308</v>
      </c>
      <c r="F14" s="25" t="s">
        <v>308</v>
      </c>
      <c r="G14" s="25" t="s">
        <v>308</v>
      </c>
      <c r="H14" s="25" t="s">
        <v>308</v>
      </c>
      <c r="I14" s="25" t="s">
        <v>308</v>
      </c>
      <c r="J14" s="25" t="s">
        <v>308</v>
      </c>
      <c r="K14" s="8"/>
      <c r="L14" s="10"/>
      <c r="M14" s="8"/>
      <c r="N14" s="8" t="s">
        <v>70</v>
      </c>
      <c r="O14" s="26">
        <v>0</v>
      </c>
      <c r="P14" s="25" t="s">
        <v>308</v>
      </c>
      <c r="Q14" s="25" t="s">
        <v>308</v>
      </c>
      <c r="R14" s="25" t="s">
        <v>308</v>
      </c>
      <c r="S14" s="8"/>
      <c r="T14" s="10"/>
      <c r="U14" s="8"/>
      <c r="V14" s="8" t="s">
        <v>65</v>
      </c>
      <c r="W14" s="25" t="s">
        <v>308</v>
      </c>
      <c r="X14" s="25" t="s">
        <v>308</v>
      </c>
      <c r="Y14" s="25" t="s">
        <v>308</v>
      </c>
      <c r="Z14" s="8"/>
    </row>
    <row r="15" spans="1:26" x14ac:dyDescent="0.55000000000000004">
      <c r="A15" s="8" t="s">
        <v>94</v>
      </c>
      <c r="B15" s="25" t="s">
        <v>308</v>
      </c>
      <c r="C15" s="25" t="s">
        <v>308</v>
      </c>
      <c r="D15" s="25" t="s">
        <v>308</v>
      </c>
      <c r="E15" s="25" t="s">
        <v>308</v>
      </c>
      <c r="F15" s="25" t="s">
        <v>308</v>
      </c>
      <c r="G15" s="25" t="s">
        <v>308</v>
      </c>
      <c r="H15" s="25" t="s">
        <v>308</v>
      </c>
      <c r="I15" s="25" t="s">
        <v>308</v>
      </c>
      <c r="J15" s="25" t="s">
        <v>308</v>
      </c>
      <c r="K15" s="8"/>
      <c r="L15" s="10"/>
      <c r="M15" s="8"/>
      <c r="N15" s="8" t="s">
        <v>93</v>
      </c>
      <c r="O15" s="26">
        <v>0</v>
      </c>
      <c r="P15" s="25" t="s">
        <v>308</v>
      </c>
      <c r="Q15" s="25" t="s">
        <v>308</v>
      </c>
      <c r="R15" s="25" t="s">
        <v>308</v>
      </c>
      <c r="S15" s="8"/>
      <c r="T15" s="10"/>
      <c r="U15" s="8"/>
      <c r="V15" s="8" t="s">
        <v>573</v>
      </c>
      <c r="W15" s="25" t="s">
        <v>308</v>
      </c>
      <c r="X15" s="25" t="s">
        <v>308</v>
      </c>
      <c r="Y15" s="25" t="s">
        <v>308</v>
      </c>
      <c r="Z15" s="8"/>
    </row>
    <row r="16" spans="1:26" x14ac:dyDescent="0.55000000000000004">
      <c r="A16" s="8" t="s">
        <v>578</v>
      </c>
      <c r="B16" s="25" t="s">
        <v>308</v>
      </c>
      <c r="C16" s="25" t="s">
        <v>308</v>
      </c>
      <c r="D16" s="25" t="s">
        <v>308</v>
      </c>
      <c r="E16" s="25" t="s">
        <v>308</v>
      </c>
      <c r="F16" s="25" t="s">
        <v>308</v>
      </c>
      <c r="G16" s="25" t="s">
        <v>308</v>
      </c>
      <c r="H16" s="25" t="s">
        <v>308</v>
      </c>
      <c r="I16" s="25" t="s">
        <v>308</v>
      </c>
      <c r="J16" s="25" t="s">
        <v>308</v>
      </c>
      <c r="K16" s="8"/>
      <c r="L16" s="10"/>
      <c r="M16" s="8"/>
      <c r="N16" s="8" t="s">
        <v>577</v>
      </c>
      <c r="O16" s="26">
        <v>0</v>
      </c>
      <c r="P16" s="25" t="s">
        <v>308</v>
      </c>
      <c r="Q16" s="25" t="s">
        <v>308</v>
      </c>
      <c r="R16" s="25" t="s">
        <v>308</v>
      </c>
      <c r="S16" s="8"/>
      <c r="T16" s="10"/>
      <c r="U16" s="8"/>
      <c r="V16" s="8" t="s">
        <v>580</v>
      </c>
      <c r="W16" s="25" t="s">
        <v>308</v>
      </c>
      <c r="X16" s="25" t="s">
        <v>308</v>
      </c>
      <c r="Y16" s="25" t="s">
        <v>308</v>
      </c>
      <c r="Z16" s="8"/>
    </row>
    <row r="17" spans="1:26" x14ac:dyDescent="0.55000000000000004">
      <c r="A17" s="8" t="s">
        <v>584</v>
      </c>
      <c r="B17" s="25" t="s">
        <v>308</v>
      </c>
      <c r="C17" s="25" t="s">
        <v>308</v>
      </c>
      <c r="D17" s="25" t="s">
        <v>308</v>
      </c>
      <c r="E17" s="25" t="s">
        <v>308</v>
      </c>
      <c r="F17" s="25" t="s">
        <v>308</v>
      </c>
      <c r="G17" s="25" t="s">
        <v>308</v>
      </c>
      <c r="H17" s="25" t="s">
        <v>308</v>
      </c>
      <c r="I17" s="25" t="s">
        <v>308</v>
      </c>
      <c r="J17" s="25" t="s">
        <v>308</v>
      </c>
      <c r="K17" s="8"/>
      <c r="L17" s="10"/>
      <c r="M17" s="8"/>
      <c r="N17" s="8" t="s">
        <v>583</v>
      </c>
      <c r="O17" s="26">
        <v>0</v>
      </c>
      <c r="P17" s="25" t="s">
        <v>308</v>
      </c>
      <c r="Q17" s="25" t="s">
        <v>308</v>
      </c>
      <c r="R17" s="25" t="s">
        <v>308</v>
      </c>
      <c r="S17" s="8"/>
      <c r="T17" s="10"/>
      <c r="U17" s="8"/>
      <c r="V17" s="8" t="s">
        <v>586</v>
      </c>
      <c r="W17" s="25" t="s">
        <v>308</v>
      </c>
      <c r="X17" s="25" t="s">
        <v>308</v>
      </c>
      <c r="Y17" s="25" t="s">
        <v>308</v>
      </c>
      <c r="Z17" s="8"/>
    </row>
    <row r="18" spans="1:26" x14ac:dyDescent="0.55000000000000004">
      <c r="A18" s="8" t="s">
        <v>108</v>
      </c>
      <c r="B18" s="25" t="s">
        <v>308</v>
      </c>
      <c r="C18" s="25" t="s">
        <v>308</v>
      </c>
      <c r="D18" s="25" t="s">
        <v>308</v>
      </c>
      <c r="E18" s="25" t="s">
        <v>308</v>
      </c>
      <c r="F18" s="25" t="s">
        <v>308</v>
      </c>
      <c r="G18" s="25" t="s">
        <v>308</v>
      </c>
      <c r="H18" s="25" t="s">
        <v>308</v>
      </c>
      <c r="I18" s="25" t="s">
        <v>308</v>
      </c>
      <c r="J18" s="25" t="s">
        <v>308</v>
      </c>
      <c r="K18" s="8"/>
      <c r="L18" s="10"/>
      <c r="M18" s="8"/>
      <c r="N18" s="8" t="s">
        <v>107</v>
      </c>
      <c r="O18" s="26">
        <v>0</v>
      </c>
      <c r="P18" s="25" t="s">
        <v>308</v>
      </c>
      <c r="Q18" s="25" t="s">
        <v>308</v>
      </c>
      <c r="R18" s="25" t="s">
        <v>308</v>
      </c>
      <c r="S18" s="8"/>
      <c r="T18" s="10"/>
      <c r="U18" s="8"/>
      <c r="V18" s="8" t="s">
        <v>590</v>
      </c>
      <c r="W18" s="25" t="s">
        <v>308</v>
      </c>
      <c r="X18" s="25" t="s">
        <v>308</v>
      </c>
      <c r="Y18" s="25" t="s">
        <v>308</v>
      </c>
      <c r="Z18" s="8"/>
    </row>
    <row r="19" spans="1:26" x14ac:dyDescent="0.55000000000000004">
      <c r="A19" s="8" t="s">
        <v>594</v>
      </c>
      <c r="B19" s="25" t="s">
        <v>308</v>
      </c>
      <c r="C19" s="25" t="s">
        <v>308</v>
      </c>
      <c r="D19" s="25" t="s">
        <v>308</v>
      </c>
      <c r="E19" s="25" t="s">
        <v>308</v>
      </c>
      <c r="F19" s="25" t="s">
        <v>308</v>
      </c>
      <c r="G19" s="25" t="s">
        <v>308</v>
      </c>
      <c r="H19" s="25" t="s">
        <v>308</v>
      </c>
      <c r="I19" s="25" t="s">
        <v>308</v>
      </c>
      <c r="J19" s="25" t="s">
        <v>308</v>
      </c>
      <c r="K19" s="8"/>
      <c r="L19" s="10"/>
      <c r="M19" s="8"/>
      <c r="N19" s="8" t="s">
        <v>593</v>
      </c>
      <c r="O19" s="26">
        <v>0</v>
      </c>
      <c r="P19" s="25" t="s">
        <v>308</v>
      </c>
      <c r="Q19" s="25" t="s">
        <v>308</v>
      </c>
      <c r="R19" s="25" t="s">
        <v>308</v>
      </c>
      <c r="S19" s="8"/>
      <c r="T19" s="10"/>
      <c r="U19" s="8"/>
      <c r="V19" s="8" t="s">
        <v>72</v>
      </c>
      <c r="W19" s="25" t="s">
        <v>308</v>
      </c>
      <c r="X19" s="25" t="s">
        <v>308</v>
      </c>
      <c r="Y19" s="25" t="s">
        <v>308</v>
      </c>
      <c r="Z19" s="8"/>
    </row>
    <row r="20" spans="1:26" x14ac:dyDescent="0.55000000000000004">
      <c r="A20" s="8" t="s">
        <v>598</v>
      </c>
      <c r="B20" s="25" t="s">
        <v>308</v>
      </c>
      <c r="C20" s="25" t="s">
        <v>308</v>
      </c>
      <c r="D20" s="25" t="s">
        <v>308</v>
      </c>
      <c r="E20" s="25" t="s">
        <v>308</v>
      </c>
      <c r="F20" s="25" t="s">
        <v>308</v>
      </c>
      <c r="G20" s="25" t="s">
        <v>308</v>
      </c>
      <c r="H20" s="25" t="s">
        <v>308</v>
      </c>
      <c r="I20" s="25" t="s">
        <v>308</v>
      </c>
      <c r="J20" s="25" t="s">
        <v>308</v>
      </c>
      <c r="K20" s="8"/>
      <c r="L20" s="10"/>
      <c r="M20" s="8"/>
      <c r="N20" s="8" t="s">
        <v>597</v>
      </c>
      <c r="O20" s="26">
        <v>0</v>
      </c>
      <c r="P20" s="25" t="s">
        <v>308</v>
      </c>
      <c r="Q20" s="25" t="s">
        <v>308</v>
      </c>
      <c r="R20" s="25" t="s">
        <v>308</v>
      </c>
      <c r="S20" s="8"/>
      <c r="T20" s="10"/>
      <c r="U20" s="8"/>
      <c r="V20" s="8" t="s">
        <v>79</v>
      </c>
      <c r="W20" s="25" t="s">
        <v>308</v>
      </c>
      <c r="X20" s="25" t="s">
        <v>308</v>
      </c>
      <c r="Y20" s="25" t="s">
        <v>308</v>
      </c>
      <c r="Z20" s="8"/>
    </row>
    <row r="21" spans="1:26" x14ac:dyDescent="0.55000000000000004">
      <c r="A21" s="8" t="s">
        <v>602</v>
      </c>
      <c r="B21" s="25" t="s">
        <v>308</v>
      </c>
      <c r="C21" s="25" t="s">
        <v>308</v>
      </c>
      <c r="D21" s="25" t="s">
        <v>308</v>
      </c>
      <c r="E21" s="25" t="s">
        <v>308</v>
      </c>
      <c r="F21" s="25" t="s">
        <v>308</v>
      </c>
      <c r="G21" s="25" t="s">
        <v>308</v>
      </c>
      <c r="H21" s="25" t="s">
        <v>308</v>
      </c>
      <c r="I21" s="25" t="s">
        <v>308</v>
      </c>
      <c r="J21" s="25" t="s">
        <v>308</v>
      </c>
      <c r="K21" s="8"/>
      <c r="L21" s="10"/>
      <c r="M21" s="8"/>
      <c r="N21" s="8" t="s">
        <v>601</v>
      </c>
      <c r="O21" s="26">
        <v>0</v>
      </c>
      <c r="P21" s="25" t="s">
        <v>308</v>
      </c>
      <c r="Q21" s="25" t="s">
        <v>308</v>
      </c>
      <c r="R21" s="25" t="s">
        <v>308</v>
      </c>
      <c r="S21" s="8"/>
      <c r="T21" s="10"/>
      <c r="U21" s="8"/>
      <c r="V21" s="8" t="s">
        <v>87</v>
      </c>
      <c r="W21" s="25" t="s">
        <v>308</v>
      </c>
      <c r="X21" s="25" t="s">
        <v>308</v>
      </c>
      <c r="Y21" s="25" t="s">
        <v>308</v>
      </c>
      <c r="Z21" s="8"/>
    </row>
    <row r="22" spans="1:26" x14ac:dyDescent="0.55000000000000004">
      <c r="A22" s="8" t="s">
        <v>120</v>
      </c>
      <c r="B22" s="25" t="s">
        <v>308</v>
      </c>
      <c r="C22" s="25" t="s">
        <v>308</v>
      </c>
      <c r="D22" s="25" t="s">
        <v>308</v>
      </c>
      <c r="E22" s="25" t="s">
        <v>308</v>
      </c>
      <c r="F22" s="25" t="s">
        <v>308</v>
      </c>
      <c r="G22" s="25" t="s">
        <v>308</v>
      </c>
      <c r="H22" s="25" t="s">
        <v>308</v>
      </c>
      <c r="I22" s="25" t="s">
        <v>308</v>
      </c>
      <c r="J22" s="25" t="s">
        <v>308</v>
      </c>
      <c r="K22" s="8"/>
      <c r="L22" s="10"/>
      <c r="M22" s="8"/>
      <c r="N22" s="8" t="s">
        <v>119</v>
      </c>
      <c r="O22" s="26">
        <v>0</v>
      </c>
      <c r="P22" s="25" t="s">
        <v>308</v>
      </c>
      <c r="Q22" s="25" t="s">
        <v>308</v>
      </c>
      <c r="R22" s="25" t="s">
        <v>308</v>
      </c>
      <c r="S22" s="8"/>
      <c r="T22" s="10"/>
      <c r="U22" s="8"/>
      <c r="V22" s="8" t="s">
        <v>95</v>
      </c>
      <c r="W22" s="25" t="s">
        <v>308</v>
      </c>
      <c r="X22" s="25" t="s">
        <v>308</v>
      </c>
      <c r="Y22" s="25" t="s">
        <v>308</v>
      </c>
      <c r="Z22" s="8"/>
    </row>
    <row r="23" spans="1:26" x14ac:dyDescent="0.55000000000000004">
      <c r="A23" s="8" t="s">
        <v>55</v>
      </c>
      <c r="B23" s="25" t="s">
        <v>308</v>
      </c>
      <c r="C23" s="25" t="s">
        <v>308</v>
      </c>
      <c r="D23" s="25" t="s">
        <v>308</v>
      </c>
      <c r="E23" s="25" t="s">
        <v>308</v>
      </c>
      <c r="F23" s="25" t="s">
        <v>308</v>
      </c>
      <c r="G23" s="25" t="s">
        <v>308</v>
      </c>
      <c r="H23" s="25" t="s">
        <v>308</v>
      </c>
      <c r="I23" s="25" t="s">
        <v>308</v>
      </c>
      <c r="J23" s="25" t="s">
        <v>308</v>
      </c>
      <c r="K23" s="8"/>
      <c r="L23" s="10"/>
      <c r="M23" s="8"/>
      <c r="N23" s="8" t="s">
        <v>54</v>
      </c>
      <c r="O23" s="26">
        <v>0</v>
      </c>
      <c r="P23" s="25" t="s">
        <v>308</v>
      </c>
      <c r="Q23" s="25" t="s">
        <v>308</v>
      </c>
      <c r="R23" s="25" t="s">
        <v>308</v>
      </c>
      <c r="S23" s="8"/>
      <c r="T23" s="10"/>
      <c r="U23" s="8"/>
      <c r="V23" s="8" t="s">
        <v>101</v>
      </c>
      <c r="W23" s="25" t="s">
        <v>308</v>
      </c>
      <c r="X23" s="25" t="s">
        <v>308</v>
      </c>
      <c r="Y23" s="25" t="s">
        <v>308</v>
      </c>
      <c r="Z23" s="8"/>
    </row>
    <row r="24" spans="1:26" x14ac:dyDescent="0.55000000000000004">
      <c r="A24" s="8" t="s">
        <v>615</v>
      </c>
      <c r="B24" s="25" t="s">
        <v>308</v>
      </c>
      <c r="C24" s="25" t="s">
        <v>308</v>
      </c>
      <c r="D24" s="25" t="s">
        <v>308</v>
      </c>
      <c r="E24" s="25" t="s">
        <v>308</v>
      </c>
      <c r="F24" s="25" t="s">
        <v>308</v>
      </c>
      <c r="G24" s="25" t="s">
        <v>308</v>
      </c>
      <c r="H24" s="25" t="s">
        <v>308</v>
      </c>
      <c r="I24" s="25" t="s">
        <v>308</v>
      </c>
      <c r="J24" s="25" t="s">
        <v>308</v>
      </c>
      <c r="K24" s="8"/>
      <c r="L24" s="10"/>
      <c r="M24" s="8"/>
      <c r="N24" s="8" t="s">
        <v>614</v>
      </c>
      <c r="O24" s="26">
        <v>0</v>
      </c>
      <c r="P24" s="25" t="s">
        <v>308</v>
      </c>
      <c r="Q24" s="25" t="s">
        <v>308</v>
      </c>
      <c r="R24" s="25" t="s">
        <v>308</v>
      </c>
      <c r="S24" s="8"/>
      <c r="T24" s="10"/>
      <c r="U24" s="8"/>
      <c r="V24" s="8"/>
      <c r="W24" s="8"/>
      <c r="X24" s="8"/>
      <c r="Y24" s="8"/>
      <c r="Z24" s="8"/>
    </row>
    <row r="25" spans="1:26" x14ac:dyDescent="0.55000000000000004">
      <c r="A25" s="8" t="s">
        <v>63</v>
      </c>
      <c r="B25" s="25" t="s">
        <v>308</v>
      </c>
      <c r="C25" s="25" t="s">
        <v>308</v>
      </c>
      <c r="D25" s="25" t="s">
        <v>308</v>
      </c>
      <c r="E25" s="25" t="s">
        <v>308</v>
      </c>
      <c r="F25" s="25" t="s">
        <v>308</v>
      </c>
      <c r="G25" s="25" t="s">
        <v>308</v>
      </c>
      <c r="H25" s="25" t="s">
        <v>308</v>
      </c>
      <c r="I25" s="25" t="s">
        <v>308</v>
      </c>
      <c r="J25" s="25" t="s">
        <v>308</v>
      </c>
      <c r="K25" s="8"/>
      <c r="L25" s="10"/>
      <c r="M25" s="8"/>
      <c r="N25" s="8" t="s">
        <v>62</v>
      </c>
      <c r="O25" s="26">
        <v>0</v>
      </c>
      <c r="P25" s="25" t="s">
        <v>308</v>
      </c>
      <c r="Q25" s="25" t="s">
        <v>308</v>
      </c>
      <c r="R25" s="25" t="s">
        <v>308</v>
      </c>
      <c r="S25" s="8"/>
      <c r="T25" s="10"/>
      <c r="U25" s="11"/>
      <c r="V25" s="11" t="s">
        <v>479</v>
      </c>
      <c r="W25" s="11"/>
      <c r="X25" s="11"/>
      <c r="Y25" s="11"/>
      <c r="Z25" s="11"/>
    </row>
    <row r="26" spans="1:26" x14ac:dyDescent="0.55000000000000004">
      <c r="A26" s="8" t="s">
        <v>124</v>
      </c>
      <c r="B26" s="25" t="s">
        <v>308</v>
      </c>
      <c r="C26" s="25" t="s">
        <v>308</v>
      </c>
      <c r="D26" s="25" t="s">
        <v>308</v>
      </c>
      <c r="E26" s="25" t="s">
        <v>308</v>
      </c>
      <c r="F26" s="25" t="s">
        <v>308</v>
      </c>
      <c r="G26" s="25" t="s">
        <v>308</v>
      </c>
      <c r="H26" s="25" t="s">
        <v>308</v>
      </c>
      <c r="I26" s="25" t="s">
        <v>308</v>
      </c>
      <c r="J26" s="25" t="s">
        <v>308</v>
      </c>
      <c r="K26" s="8"/>
      <c r="L26" s="10"/>
      <c r="M26" s="8"/>
      <c r="N26" s="8" t="s">
        <v>123</v>
      </c>
      <c r="O26" s="26">
        <v>0</v>
      </c>
      <c r="P26" s="25" t="s">
        <v>308</v>
      </c>
      <c r="Q26" s="25" t="s">
        <v>308</v>
      </c>
      <c r="R26" s="25" t="s">
        <v>308</v>
      </c>
      <c r="S26" s="8"/>
      <c r="T26" s="10"/>
      <c r="U26" s="13"/>
      <c r="V26" s="13"/>
      <c r="W26" s="13"/>
      <c r="X26" s="15" t="s">
        <v>339</v>
      </c>
      <c r="Y26" s="15" t="s">
        <v>474</v>
      </c>
      <c r="Z26" s="13"/>
    </row>
    <row r="27" spans="1:26" x14ac:dyDescent="0.55000000000000004">
      <c r="A27" s="8" t="s">
        <v>122</v>
      </c>
      <c r="B27" s="25" t="s">
        <v>308</v>
      </c>
      <c r="C27" s="25" t="s">
        <v>308</v>
      </c>
      <c r="D27" s="25" t="s">
        <v>308</v>
      </c>
      <c r="E27" s="25" t="s">
        <v>308</v>
      </c>
      <c r="F27" s="25" t="s">
        <v>308</v>
      </c>
      <c r="G27" s="25" t="s">
        <v>308</v>
      </c>
      <c r="H27" s="25" t="s">
        <v>308</v>
      </c>
      <c r="I27" s="25" t="s">
        <v>308</v>
      </c>
      <c r="J27" s="25" t="s">
        <v>308</v>
      </c>
      <c r="K27" s="8"/>
      <c r="L27" s="10"/>
      <c r="M27" s="8"/>
      <c r="N27" s="8" t="s">
        <v>121</v>
      </c>
      <c r="O27" s="26">
        <v>0</v>
      </c>
      <c r="P27" s="25" t="s">
        <v>308</v>
      </c>
      <c r="Q27" s="25" t="s">
        <v>308</v>
      </c>
      <c r="R27" s="25" t="s">
        <v>308</v>
      </c>
      <c r="S27" s="8"/>
      <c r="T27" s="10"/>
      <c r="U27" s="13"/>
      <c r="V27" s="13"/>
      <c r="W27" s="13"/>
      <c r="X27" s="16" t="s">
        <v>481</v>
      </c>
      <c r="Y27" s="16" t="s">
        <v>480</v>
      </c>
      <c r="Z27" s="13"/>
    </row>
    <row r="28" spans="1:26" x14ac:dyDescent="0.55000000000000004">
      <c r="A28" s="8" t="s">
        <v>116</v>
      </c>
      <c r="B28" s="25" t="s">
        <v>308</v>
      </c>
      <c r="C28" s="25" t="s">
        <v>308</v>
      </c>
      <c r="D28" s="25" t="s">
        <v>308</v>
      </c>
      <c r="E28" s="25" t="s">
        <v>308</v>
      </c>
      <c r="F28" s="25" t="s">
        <v>308</v>
      </c>
      <c r="G28" s="25" t="s">
        <v>308</v>
      </c>
      <c r="H28" s="25" t="s">
        <v>308</v>
      </c>
      <c r="I28" s="25" t="s">
        <v>308</v>
      </c>
      <c r="J28" s="25" t="s">
        <v>308</v>
      </c>
      <c r="K28" s="8"/>
      <c r="L28" s="10"/>
      <c r="M28" s="8"/>
      <c r="N28" s="8" t="s">
        <v>115</v>
      </c>
      <c r="O28" s="26">
        <v>0</v>
      </c>
      <c r="P28" s="25" t="s">
        <v>308</v>
      </c>
      <c r="Q28" s="25" t="s">
        <v>308</v>
      </c>
      <c r="R28" s="25" t="s">
        <v>308</v>
      </c>
      <c r="S28" s="8"/>
      <c r="T28" s="10"/>
      <c r="U28" s="8"/>
      <c r="V28" s="8" t="s">
        <v>475</v>
      </c>
      <c r="W28" s="8" t="s">
        <v>791</v>
      </c>
      <c r="X28" s="25" t="s">
        <v>308</v>
      </c>
      <c r="Y28" s="25" t="s">
        <v>308</v>
      </c>
      <c r="Z28" s="8"/>
    </row>
    <row r="29" spans="1:26" x14ac:dyDescent="0.55000000000000004">
      <c r="A29" s="8" t="s">
        <v>112</v>
      </c>
      <c r="B29" s="25" t="s">
        <v>308</v>
      </c>
      <c r="C29" s="25" t="s">
        <v>308</v>
      </c>
      <c r="D29" s="25" t="s">
        <v>308</v>
      </c>
      <c r="E29" s="25" t="s">
        <v>308</v>
      </c>
      <c r="F29" s="25" t="s">
        <v>308</v>
      </c>
      <c r="G29" s="25" t="s">
        <v>308</v>
      </c>
      <c r="H29" s="25" t="s">
        <v>308</v>
      </c>
      <c r="I29" s="25" t="s">
        <v>308</v>
      </c>
      <c r="J29" s="25" t="s">
        <v>308</v>
      </c>
      <c r="K29" s="8"/>
      <c r="L29" s="10"/>
      <c r="M29" s="8"/>
      <c r="N29" s="8" t="s">
        <v>111</v>
      </c>
      <c r="O29" s="26">
        <v>0</v>
      </c>
      <c r="P29" s="25" t="s">
        <v>308</v>
      </c>
      <c r="Q29" s="25" t="s">
        <v>308</v>
      </c>
      <c r="R29" s="25" t="s">
        <v>308</v>
      </c>
      <c r="S29" s="8"/>
      <c r="T29" s="10"/>
      <c r="U29" s="8"/>
      <c r="V29" s="8"/>
      <c r="W29" s="8" t="s">
        <v>792</v>
      </c>
      <c r="X29" s="25" t="s">
        <v>308</v>
      </c>
      <c r="Y29" s="25" t="s">
        <v>308</v>
      </c>
      <c r="Z29" s="8"/>
    </row>
    <row r="30" spans="1:26" x14ac:dyDescent="0.55000000000000004">
      <c r="A30" s="8" t="s">
        <v>629</v>
      </c>
      <c r="B30" s="25" t="s">
        <v>308</v>
      </c>
      <c r="C30" s="25" t="s">
        <v>308</v>
      </c>
      <c r="D30" s="25" t="s">
        <v>308</v>
      </c>
      <c r="E30" s="25" t="s">
        <v>308</v>
      </c>
      <c r="F30" s="25" t="s">
        <v>308</v>
      </c>
      <c r="G30" s="25" t="s">
        <v>308</v>
      </c>
      <c r="H30" s="25" t="s">
        <v>308</v>
      </c>
      <c r="I30" s="25" t="s">
        <v>308</v>
      </c>
      <c r="J30" s="25" t="s">
        <v>308</v>
      </c>
      <c r="K30" s="8"/>
      <c r="L30" s="10"/>
      <c r="M30" s="8"/>
      <c r="N30" s="8" t="s">
        <v>628</v>
      </c>
      <c r="O30" s="26">
        <v>0</v>
      </c>
      <c r="P30" s="25" t="s">
        <v>308</v>
      </c>
      <c r="Q30" s="25" t="s">
        <v>308</v>
      </c>
      <c r="R30" s="25" t="s">
        <v>308</v>
      </c>
      <c r="S30" s="8"/>
      <c r="T30" s="10"/>
      <c r="U30" s="8"/>
      <c r="V30" s="8"/>
      <c r="W30" s="8" t="s">
        <v>793</v>
      </c>
      <c r="X30" s="25" t="s">
        <v>308</v>
      </c>
      <c r="Y30" s="25" t="s">
        <v>308</v>
      </c>
      <c r="Z30" s="8"/>
    </row>
    <row r="31" spans="1:26" x14ac:dyDescent="0.55000000000000004">
      <c r="A31" s="8" t="s">
        <v>127</v>
      </c>
      <c r="B31" s="25" t="s">
        <v>308</v>
      </c>
      <c r="C31" s="25" t="s">
        <v>308</v>
      </c>
      <c r="D31" s="25" t="s">
        <v>308</v>
      </c>
      <c r="E31" s="25" t="s">
        <v>308</v>
      </c>
      <c r="F31" s="25" t="s">
        <v>308</v>
      </c>
      <c r="G31" s="25" t="s">
        <v>308</v>
      </c>
      <c r="H31" s="25" t="s">
        <v>308</v>
      </c>
      <c r="I31" s="25" t="s">
        <v>308</v>
      </c>
      <c r="J31" s="25" t="s">
        <v>308</v>
      </c>
      <c r="K31" s="8"/>
      <c r="L31" s="10"/>
      <c r="M31" s="8"/>
      <c r="N31" s="8" t="s">
        <v>126</v>
      </c>
      <c r="O31" s="26">
        <v>0</v>
      </c>
      <c r="P31" s="25" t="s">
        <v>308</v>
      </c>
      <c r="Q31" s="25" t="s">
        <v>308</v>
      </c>
      <c r="R31" s="25" t="s">
        <v>308</v>
      </c>
      <c r="S31" s="8"/>
      <c r="T31" s="10"/>
      <c r="U31" s="8"/>
      <c r="V31" s="8"/>
      <c r="W31" s="8" t="s">
        <v>794</v>
      </c>
      <c r="X31" s="25" t="s">
        <v>308</v>
      </c>
      <c r="Y31" s="25" t="s">
        <v>308</v>
      </c>
      <c r="Z31" s="8"/>
    </row>
    <row r="32" spans="1:26" x14ac:dyDescent="0.55000000000000004">
      <c r="A32" s="8" t="s">
        <v>130</v>
      </c>
      <c r="B32" s="25" t="s">
        <v>308</v>
      </c>
      <c r="C32" s="25" t="s">
        <v>308</v>
      </c>
      <c r="D32" s="25" t="s">
        <v>308</v>
      </c>
      <c r="E32" s="25" t="s">
        <v>308</v>
      </c>
      <c r="F32" s="25" t="s">
        <v>308</v>
      </c>
      <c r="G32" s="25" t="s">
        <v>308</v>
      </c>
      <c r="H32" s="25" t="s">
        <v>308</v>
      </c>
      <c r="I32" s="25" t="s">
        <v>308</v>
      </c>
      <c r="J32" s="25" t="s">
        <v>308</v>
      </c>
      <c r="K32" s="8"/>
      <c r="L32" s="10"/>
      <c r="M32" s="8"/>
      <c r="N32" s="8" t="s">
        <v>129</v>
      </c>
      <c r="O32" s="26">
        <v>0</v>
      </c>
      <c r="P32" s="25" t="s">
        <v>308</v>
      </c>
      <c r="Q32" s="25" t="s">
        <v>308</v>
      </c>
      <c r="R32" s="25" t="s">
        <v>308</v>
      </c>
      <c r="S32" s="8"/>
      <c r="T32" s="10"/>
      <c r="U32" s="8"/>
      <c r="V32" s="8"/>
      <c r="W32" s="8" t="s">
        <v>795</v>
      </c>
      <c r="X32" s="25" t="s">
        <v>308</v>
      </c>
      <c r="Y32" s="25" t="s">
        <v>308</v>
      </c>
      <c r="Z32" s="8"/>
    </row>
    <row r="33" spans="1:26" x14ac:dyDescent="0.55000000000000004">
      <c r="A33" s="8" t="s">
        <v>140</v>
      </c>
      <c r="B33" s="25" t="s">
        <v>308</v>
      </c>
      <c r="C33" s="25" t="s">
        <v>308</v>
      </c>
      <c r="D33" s="25" t="s">
        <v>308</v>
      </c>
      <c r="E33" s="25" t="s">
        <v>308</v>
      </c>
      <c r="F33" s="25" t="s">
        <v>308</v>
      </c>
      <c r="G33" s="25" t="s">
        <v>308</v>
      </c>
      <c r="H33" s="25" t="s">
        <v>308</v>
      </c>
      <c r="I33" s="25" t="s">
        <v>308</v>
      </c>
      <c r="J33" s="25" t="s">
        <v>308</v>
      </c>
      <c r="K33" s="8"/>
      <c r="L33" s="10"/>
      <c r="M33" s="8"/>
      <c r="N33" s="8" t="s">
        <v>139</v>
      </c>
      <c r="O33" s="26">
        <v>0</v>
      </c>
      <c r="P33" s="25" t="s">
        <v>308</v>
      </c>
      <c r="Q33" s="25" t="s">
        <v>308</v>
      </c>
      <c r="R33" s="25" t="s">
        <v>308</v>
      </c>
      <c r="S33" s="8"/>
      <c r="T33" s="10"/>
      <c r="U33" s="8"/>
      <c r="V33" s="8" t="s">
        <v>476</v>
      </c>
      <c r="W33" s="8" t="s">
        <v>89</v>
      </c>
      <c r="X33" s="25" t="s">
        <v>308</v>
      </c>
      <c r="Y33" s="25" t="s">
        <v>308</v>
      </c>
      <c r="Z33" s="8"/>
    </row>
    <row r="34" spans="1:26" x14ac:dyDescent="0.55000000000000004">
      <c r="A34" s="8" t="s">
        <v>135</v>
      </c>
      <c r="B34" s="25" t="s">
        <v>308</v>
      </c>
      <c r="C34" s="25" t="s">
        <v>308</v>
      </c>
      <c r="D34" s="25" t="s">
        <v>308</v>
      </c>
      <c r="E34" s="25" t="s">
        <v>308</v>
      </c>
      <c r="F34" s="25" t="s">
        <v>308</v>
      </c>
      <c r="G34" s="25" t="s">
        <v>308</v>
      </c>
      <c r="H34" s="25" t="s">
        <v>308</v>
      </c>
      <c r="I34" s="25" t="s">
        <v>308</v>
      </c>
      <c r="J34" s="25" t="s">
        <v>308</v>
      </c>
      <c r="K34" s="8"/>
      <c r="L34" s="10"/>
      <c r="M34" s="8"/>
      <c r="N34" s="8" t="s">
        <v>134</v>
      </c>
      <c r="O34" s="26">
        <v>0</v>
      </c>
      <c r="P34" s="25" t="s">
        <v>308</v>
      </c>
      <c r="Q34" s="25" t="s">
        <v>308</v>
      </c>
      <c r="R34" s="25" t="s">
        <v>308</v>
      </c>
      <c r="S34" s="8"/>
      <c r="T34" s="10"/>
      <c r="U34" s="8"/>
      <c r="V34" s="8"/>
      <c r="W34" s="8" t="s">
        <v>97</v>
      </c>
      <c r="X34" s="25" t="s">
        <v>308</v>
      </c>
      <c r="Y34" s="25" t="s">
        <v>308</v>
      </c>
      <c r="Z34" s="8"/>
    </row>
    <row r="35" spans="1:26" x14ac:dyDescent="0.55000000000000004">
      <c r="A35" s="8" t="s">
        <v>142</v>
      </c>
      <c r="B35" s="25" t="s">
        <v>308</v>
      </c>
      <c r="C35" s="25" t="s">
        <v>308</v>
      </c>
      <c r="D35" s="25" t="s">
        <v>308</v>
      </c>
      <c r="E35" s="25" t="s">
        <v>308</v>
      </c>
      <c r="F35" s="25" t="s">
        <v>308</v>
      </c>
      <c r="G35" s="25" t="s">
        <v>308</v>
      </c>
      <c r="H35" s="25" t="s">
        <v>308</v>
      </c>
      <c r="I35" s="25" t="s">
        <v>308</v>
      </c>
      <c r="J35" s="25" t="s">
        <v>308</v>
      </c>
      <c r="K35" s="8"/>
      <c r="L35" s="10"/>
      <c r="M35" s="8"/>
      <c r="N35" s="8" t="s">
        <v>141</v>
      </c>
      <c r="O35" s="26">
        <v>0</v>
      </c>
      <c r="P35" s="25" t="s">
        <v>308</v>
      </c>
      <c r="Q35" s="25" t="s">
        <v>308</v>
      </c>
      <c r="R35" s="25" t="s">
        <v>308</v>
      </c>
      <c r="S35" s="8"/>
      <c r="T35" s="10"/>
      <c r="U35" s="8"/>
      <c r="V35" s="8"/>
      <c r="W35" s="8" t="s">
        <v>103</v>
      </c>
      <c r="X35" s="25" t="s">
        <v>308</v>
      </c>
      <c r="Y35" s="25" t="s">
        <v>308</v>
      </c>
      <c r="Z35" s="8"/>
    </row>
    <row r="36" spans="1:26" x14ac:dyDescent="0.55000000000000004">
      <c r="A36" s="8" t="s">
        <v>133</v>
      </c>
      <c r="B36" s="25" t="s">
        <v>308</v>
      </c>
      <c r="C36" s="25" t="s">
        <v>308</v>
      </c>
      <c r="D36" s="25" t="s">
        <v>308</v>
      </c>
      <c r="E36" s="25" t="s">
        <v>308</v>
      </c>
      <c r="F36" s="25" t="s">
        <v>308</v>
      </c>
      <c r="G36" s="25" t="s">
        <v>308</v>
      </c>
      <c r="H36" s="25" t="s">
        <v>308</v>
      </c>
      <c r="I36" s="25" t="s">
        <v>308</v>
      </c>
      <c r="J36" s="25" t="s">
        <v>308</v>
      </c>
      <c r="K36" s="8"/>
      <c r="L36" s="10"/>
      <c r="M36" s="8"/>
      <c r="N36" s="8" t="s">
        <v>132</v>
      </c>
      <c r="O36" s="26">
        <v>0</v>
      </c>
      <c r="P36" s="25" t="s">
        <v>308</v>
      </c>
      <c r="Q36" s="25" t="s">
        <v>308</v>
      </c>
      <c r="R36" s="25" t="s">
        <v>308</v>
      </c>
      <c r="S36" s="8"/>
      <c r="T36" s="10"/>
      <c r="U36" s="8"/>
      <c r="V36" s="8"/>
      <c r="W36" s="8" t="s">
        <v>109</v>
      </c>
      <c r="X36" s="25" t="s">
        <v>308</v>
      </c>
      <c r="Y36" s="25" t="s">
        <v>308</v>
      </c>
      <c r="Z36" s="8"/>
    </row>
    <row r="37" spans="1:26" x14ac:dyDescent="0.55000000000000004">
      <c r="A37" s="8" t="s">
        <v>138</v>
      </c>
      <c r="B37" s="25" t="s">
        <v>308</v>
      </c>
      <c r="C37" s="25" t="s">
        <v>308</v>
      </c>
      <c r="D37" s="25" t="s">
        <v>308</v>
      </c>
      <c r="E37" s="25" t="s">
        <v>308</v>
      </c>
      <c r="F37" s="25" t="s">
        <v>308</v>
      </c>
      <c r="G37" s="25" t="s">
        <v>308</v>
      </c>
      <c r="H37" s="25" t="s">
        <v>308</v>
      </c>
      <c r="I37" s="25" t="s">
        <v>308</v>
      </c>
      <c r="J37" s="25" t="s">
        <v>308</v>
      </c>
      <c r="K37" s="8"/>
      <c r="L37" s="10"/>
      <c r="M37" s="8"/>
      <c r="N37" s="8" t="s">
        <v>137</v>
      </c>
      <c r="O37" s="26">
        <v>0</v>
      </c>
      <c r="P37" s="25" t="s">
        <v>308</v>
      </c>
      <c r="Q37" s="25" t="s">
        <v>308</v>
      </c>
      <c r="R37" s="25" t="s">
        <v>308</v>
      </c>
      <c r="S37" s="8"/>
      <c r="T37" s="10"/>
      <c r="U37" s="8"/>
      <c r="V37" s="8"/>
      <c r="W37" s="8" t="s">
        <v>113</v>
      </c>
      <c r="X37" s="25" t="s">
        <v>308</v>
      </c>
      <c r="Y37" s="25" t="s">
        <v>308</v>
      </c>
      <c r="Z37" s="8"/>
    </row>
    <row r="38" spans="1:26" x14ac:dyDescent="0.55000000000000004">
      <c r="A38" s="8" t="s">
        <v>639</v>
      </c>
      <c r="B38" s="25" t="s">
        <v>308</v>
      </c>
      <c r="C38" s="25" t="s">
        <v>308</v>
      </c>
      <c r="D38" s="25" t="s">
        <v>308</v>
      </c>
      <c r="E38" s="25" t="s">
        <v>308</v>
      </c>
      <c r="F38" s="25" t="s">
        <v>308</v>
      </c>
      <c r="G38" s="25" t="s">
        <v>308</v>
      </c>
      <c r="H38" s="25" t="s">
        <v>308</v>
      </c>
      <c r="I38" s="25" t="s">
        <v>308</v>
      </c>
      <c r="J38" s="25" t="s">
        <v>308</v>
      </c>
      <c r="K38" s="8"/>
      <c r="L38" s="10"/>
      <c r="M38" s="8"/>
      <c r="N38" s="8" t="s">
        <v>638</v>
      </c>
      <c r="O38" s="26">
        <v>0</v>
      </c>
      <c r="P38" s="25" t="s">
        <v>308</v>
      </c>
      <c r="Q38" s="25" t="s">
        <v>308</v>
      </c>
      <c r="R38" s="25" t="s">
        <v>308</v>
      </c>
      <c r="S38" s="8"/>
      <c r="T38" s="10"/>
      <c r="U38" s="8"/>
      <c r="V38" s="8" t="s">
        <v>477</v>
      </c>
      <c r="W38" s="8" t="s">
        <v>607</v>
      </c>
      <c r="X38" s="25" t="s">
        <v>308</v>
      </c>
      <c r="Y38" s="25" t="s">
        <v>308</v>
      </c>
      <c r="Z38" s="8"/>
    </row>
    <row r="39" spans="1:26" x14ac:dyDescent="0.55000000000000004">
      <c r="A39" s="8" t="s">
        <v>642</v>
      </c>
      <c r="B39" s="25" t="s">
        <v>308</v>
      </c>
      <c r="C39" s="25" t="s">
        <v>308</v>
      </c>
      <c r="D39" s="25" t="s">
        <v>308</v>
      </c>
      <c r="E39" s="25" t="s">
        <v>308</v>
      </c>
      <c r="F39" s="25" t="s">
        <v>308</v>
      </c>
      <c r="G39" s="25" t="s">
        <v>308</v>
      </c>
      <c r="H39" s="25" t="s">
        <v>308</v>
      </c>
      <c r="I39" s="25" t="s">
        <v>308</v>
      </c>
      <c r="J39" s="25" t="s">
        <v>308</v>
      </c>
      <c r="K39" s="8"/>
      <c r="L39" s="10"/>
      <c r="M39" s="8"/>
      <c r="N39" s="8" t="s">
        <v>641</v>
      </c>
      <c r="O39" s="26">
        <v>0</v>
      </c>
      <c r="P39" s="25" t="s">
        <v>308</v>
      </c>
      <c r="Q39" s="25" t="s">
        <v>308</v>
      </c>
      <c r="R39" s="25" t="s">
        <v>308</v>
      </c>
      <c r="S39" s="8"/>
      <c r="T39" s="10"/>
      <c r="U39" s="8"/>
      <c r="V39" s="8"/>
      <c r="W39" s="8" t="s">
        <v>612</v>
      </c>
      <c r="X39" s="25" t="s">
        <v>308</v>
      </c>
      <c r="Y39" s="25" t="s">
        <v>308</v>
      </c>
      <c r="Z39" s="8"/>
    </row>
    <row r="40" spans="1:26" x14ac:dyDescent="0.55000000000000004">
      <c r="A40" s="8" t="s">
        <v>645</v>
      </c>
      <c r="B40" s="25" t="s">
        <v>308</v>
      </c>
      <c r="C40" s="25" t="s">
        <v>308</v>
      </c>
      <c r="D40" s="25" t="s">
        <v>308</v>
      </c>
      <c r="E40" s="25" t="s">
        <v>308</v>
      </c>
      <c r="F40" s="25" t="s">
        <v>308</v>
      </c>
      <c r="G40" s="25" t="s">
        <v>308</v>
      </c>
      <c r="H40" s="25" t="s">
        <v>308</v>
      </c>
      <c r="I40" s="25" t="s">
        <v>308</v>
      </c>
      <c r="J40" s="25" t="s">
        <v>308</v>
      </c>
      <c r="K40" s="8"/>
      <c r="L40" s="10"/>
      <c r="M40" s="8"/>
      <c r="N40" s="8" t="s">
        <v>644</v>
      </c>
      <c r="O40" s="26">
        <v>0</v>
      </c>
      <c r="P40" s="25" t="s">
        <v>308</v>
      </c>
      <c r="Q40" s="25" t="s">
        <v>308</v>
      </c>
      <c r="R40" s="25" t="s">
        <v>308</v>
      </c>
      <c r="S40" s="8"/>
      <c r="T40" s="10"/>
      <c r="U40" s="8"/>
      <c r="V40" s="8"/>
      <c r="W40" s="8" t="s">
        <v>617</v>
      </c>
      <c r="X40" s="25" t="s">
        <v>308</v>
      </c>
      <c r="Y40" s="25" t="s">
        <v>308</v>
      </c>
      <c r="Z40" s="8"/>
    </row>
    <row r="41" spans="1:26" x14ac:dyDescent="0.55000000000000004">
      <c r="A41" s="8" t="s">
        <v>648</v>
      </c>
      <c r="B41" s="25" t="s">
        <v>308</v>
      </c>
      <c r="C41" s="25" t="s">
        <v>308</v>
      </c>
      <c r="D41" s="25" t="s">
        <v>308</v>
      </c>
      <c r="E41" s="25" t="s">
        <v>308</v>
      </c>
      <c r="F41" s="25" t="s">
        <v>308</v>
      </c>
      <c r="G41" s="25" t="s">
        <v>308</v>
      </c>
      <c r="H41" s="25" t="s">
        <v>308</v>
      </c>
      <c r="I41" s="25" t="s">
        <v>308</v>
      </c>
      <c r="J41" s="25" t="s">
        <v>308</v>
      </c>
      <c r="K41" s="8"/>
      <c r="L41" s="10"/>
      <c r="M41" s="8"/>
      <c r="N41" s="8" t="s">
        <v>647</v>
      </c>
      <c r="O41" s="26">
        <v>0</v>
      </c>
      <c r="P41" s="25" t="s">
        <v>308</v>
      </c>
      <c r="Q41" s="25" t="s">
        <v>308</v>
      </c>
      <c r="R41" s="25" t="s">
        <v>308</v>
      </c>
      <c r="S41" s="8"/>
      <c r="T41" s="10"/>
      <c r="U41" s="8"/>
      <c r="V41" s="8"/>
      <c r="W41" s="8" t="s">
        <v>620</v>
      </c>
      <c r="X41" s="25" t="s">
        <v>308</v>
      </c>
      <c r="Y41" s="25" t="s">
        <v>308</v>
      </c>
      <c r="Z41" s="8"/>
    </row>
    <row r="42" spans="1:26" x14ac:dyDescent="0.55000000000000004">
      <c r="A42" s="8" t="s">
        <v>145</v>
      </c>
      <c r="B42" s="25" t="s">
        <v>308</v>
      </c>
      <c r="C42" s="25" t="s">
        <v>308</v>
      </c>
      <c r="D42" s="25" t="s">
        <v>308</v>
      </c>
      <c r="E42" s="25" t="s">
        <v>308</v>
      </c>
      <c r="F42" s="25" t="s">
        <v>308</v>
      </c>
      <c r="G42" s="25" t="s">
        <v>308</v>
      </c>
      <c r="H42" s="25" t="s">
        <v>308</v>
      </c>
      <c r="I42" s="25" t="s">
        <v>308</v>
      </c>
      <c r="J42" s="25" t="s">
        <v>308</v>
      </c>
      <c r="K42" s="8"/>
      <c r="L42" s="10"/>
      <c r="M42" s="8"/>
      <c r="N42" s="8" t="s">
        <v>144</v>
      </c>
      <c r="O42" s="26">
        <v>0</v>
      </c>
      <c r="P42" s="25" t="s">
        <v>308</v>
      </c>
      <c r="Q42" s="25" t="s">
        <v>308</v>
      </c>
      <c r="R42" s="25" t="s">
        <v>308</v>
      </c>
      <c r="S42" s="8"/>
      <c r="T42" s="10"/>
      <c r="U42" s="8"/>
      <c r="V42" s="8"/>
      <c r="W42" s="8" t="s">
        <v>623</v>
      </c>
      <c r="X42" s="25" t="s">
        <v>308</v>
      </c>
      <c r="Y42" s="25" t="s">
        <v>308</v>
      </c>
      <c r="Z42" s="8"/>
    </row>
    <row r="43" spans="1:26" x14ac:dyDescent="0.55000000000000004">
      <c r="A43" s="8" t="s">
        <v>148</v>
      </c>
      <c r="B43" s="25" t="s">
        <v>308</v>
      </c>
      <c r="C43" s="25" t="s">
        <v>308</v>
      </c>
      <c r="D43" s="25" t="s">
        <v>308</v>
      </c>
      <c r="E43" s="25" t="s">
        <v>308</v>
      </c>
      <c r="F43" s="25" t="s">
        <v>308</v>
      </c>
      <c r="G43" s="25" t="s">
        <v>308</v>
      </c>
      <c r="H43" s="25" t="s">
        <v>308</v>
      </c>
      <c r="I43" s="25" t="s">
        <v>308</v>
      </c>
      <c r="J43" s="25" t="s">
        <v>308</v>
      </c>
      <c r="K43" s="8"/>
      <c r="L43" s="10"/>
      <c r="M43" s="8"/>
      <c r="N43" s="8" t="s">
        <v>147</v>
      </c>
      <c r="O43" s="26">
        <v>0</v>
      </c>
      <c r="P43" s="25" t="s">
        <v>308</v>
      </c>
      <c r="Q43" s="25" t="s">
        <v>308</v>
      </c>
      <c r="R43" s="25" t="s">
        <v>308</v>
      </c>
      <c r="S43" s="8"/>
      <c r="T43" s="10"/>
      <c r="U43" s="8"/>
      <c r="V43" s="8"/>
      <c r="W43" s="8"/>
      <c r="X43" s="8"/>
      <c r="Y43" s="8"/>
      <c r="Z43" s="8"/>
    </row>
    <row r="44" spans="1:26" x14ac:dyDescent="0.55000000000000004">
      <c r="A44" s="8" t="s">
        <v>150</v>
      </c>
      <c r="B44" s="25" t="s">
        <v>308</v>
      </c>
      <c r="C44" s="25" t="s">
        <v>308</v>
      </c>
      <c r="D44" s="25" t="s">
        <v>308</v>
      </c>
      <c r="E44" s="25" t="s">
        <v>308</v>
      </c>
      <c r="F44" s="25" t="s">
        <v>308</v>
      </c>
      <c r="G44" s="25" t="s">
        <v>308</v>
      </c>
      <c r="H44" s="25" t="s">
        <v>308</v>
      </c>
      <c r="I44" s="25" t="s">
        <v>308</v>
      </c>
      <c r="J44" s="25" t="s">
        <v>308</v>
      </c>
      <c r="K44" s="8"/>
      <c r="L44" s="10"/>
      <c r="M44" s="8"/>
      <c r="N44" s="8" t="s">
        <v>149</v>
      </c>
      <c r="O44" s="26">
        <v>0</v>
      </c>
      <c r="P44" s="25" t="s">
        <v>308</v>
      </c>
      <c r="Q44" s="25" t="s">
        <v>308</v>
      </c>
      <c r="R44" s="25" t="s">
        <v>308</v>
      </c>
      <c r="S44" s="8"/>
      <c r="T44" s="10"/>
      <c r="U44" s="10"/>
      <c r="V44" s="11" t="s">
        <v>309</v>
      </c>
      <c r="W44" s="10"/>
      <c r="X44" s="10"/>
      <c r="Y44" s="10"/>
      <c r="Z44" s="10"/>
    </row>
    <row r="45" spans="1:26" x14ac:dyDescent="0.55000000000000004">
      <c r="A45" s="8" t="s">
        <v>654</v>
      </c>
      <c r="B45" s="25" t="s">
        <v>308</v>
      </c>
      <c r="C45" s="25" t="s">
        <v>308</v>
      </c>
      <c r="D45" s="25" t="s">
        <v>308</v>
      </c>
      <c r="E45" s="25" t="s">
        <v>308</v>
      </c>
      <c r="F45" s="25" t="s">
        <v>308</v>
      </c>
      <c r="G45" s="25" t="s">
        <v>308</v>
      </c>
      <c r="H45" s="25" t="s">
        <v>308</v>
      </c>
      <c r="I45" s="25" t="s">
        <v>308</v>
      </c>
      <c r="J45" s="25" t="s">
        <v>308</v>
      </c>
      <c r="K45" s="8"/>
      <c r="L45" s="10"/>
      <c r="M45" s="8"/>
      <c r="N45" s="8" t="s">
        <v>653</v>
      </c>
      <c r="O45" s="26">
        <v>0</v>
      </c>
      <c r="P45" s="25" t="s">
        <v>308</v>
      </c>
      <c r="Q45" s="25" t="s">
        <v>308</v>
      </c>
      <c r="R45" s="25" t="s">
        <v>308</v>
      </c>
      <c r="S45" s="8"/>
      <c r="T45" s="10"/>
      <c r="U45" s="8"/>
      <c r="V45" s="8"/>
      <c r="W45" s="8"/>
      <c r="X45" s="8"/>
      <c r="Y45" s="8"/>
      <c r="Z45" s="8"/>
    </row>
    <row r="46" spans="1:26" x14ac:dyDescent="0.55000000000000004">
      <c r="A46" s="8" t="s">
        <v>152</v>
      </c>
      <c r="B46" s="25" t="s">
        <v>308</v>
      </c>
      <c r="C46" s="25" t="s">
        <v>308</v>
      </c>
      <c r="D46" s="25" t="s">
        <v>308</v>
      </c>
      <c r="E46" s="25" t="s">
        <v>308</v>
      </c>
      <c r="F46" s="25" t="s">
        <v>308</v>
      </c>
      <c r="G46" s="25" t="s">
        <v>308</v>
      </c>
      <c r="H46" s="25" t="s">
        <v>308</v>
      </c>
      <c r="I46" s="25" t="s">
        <v>308</v>
      </c>
      <c r="J46" s="25" t="s">
        <v>308</v>
      </c>
      <c r="K46" s="8"/>
      <c r="L46" s="10"/>
      <c r="M46" s="8"/>
      <c r="N46" s="8" t="s">
        <v>151</v>
      </c>
      <c r="O46" s="26">
        <v>0</v>
      </c>
      <c r="P46" s="25" t="s">
        <v>308</v>
      </c>
      <c r="Q46" s="25" t="s">
        <v>308</v>
      </c>
      <c r="R46" s="25" t="s">
        <v>308</v>
      </c>
      <c r="S46" s="8"/>
      <c r="T46" s="10"/>
      <c r="U46" s="8"/>
      <c r="V46" s="8" t="s">
        <v>310</v>
      </c>
      <c r="W46" s="8"/>
      <c r="X46" s="8" t="s">
        <v>311</v>
      </c>
      <c r="Y46" s="25" t="s">
        <v>308</v>
      </c>
      <c r="Z46" s="8"/>
    </row>
    <row r="47" spans="1:26" x14ac:dyDescent="0.55000000000000004">
      <c r="A47" s="8" t="s">
        <v>154</v>
      </c>
      <c r="B47" s="25" t="s">
        <v>308</v>
      </c>
      <c r="C47" s="25" t="s">
        <v>308</v>
      </c>
      <c r="D47" s="25" t="s">
        <v>308</v>
      </c>
      <c r="E47" s="25" t="s">
        <v>308</v>
      </c>
      <c r="F47" s="25" t="s">
        <v>308</v>
      </c>
      <c r="G47" s="25" t="s">
        <v>308</v>
      </c>
      <c r="H47" s="25" t="s">
        <v>308</v>
      </c>
      <c r="I47" s="25" t="s">
        <v>308</v>
      </c>
      <c r="J47" s="25" t="s">
        <v>308</v>
      </c>
      <c r="K47" s="8"/>
      <c r="L47" s="10"/>
      <c r="M47" s="8"/>
      <c r="N47" s="8" t="s">
        <v>153</v>
      </c>
      <c r="O47" s="26">
        <v>0</v>
      </c>
      <c r="P47" s="25" t="s">
        <v>308</v>
      </c>
      <c r="Q47" s="25" t="s">
        <v>308</v>
      </c>
      <c r="R47" s="25" t="s">
        <v>308</v>
      </c>
      <c r="S47" s="8"/>
      <c r="T47" s="10"/>
      <c r="U47" s="8"/>
      <c r="V47" s="8" t="s">
        <v>312</v>
      </c>
      <c r="W47" s="8"/>
      <c r="X47" s="8" t="s">
        <v>313</v>
      </c>
      <c r="Y47" s="25" t="s">
        <v>308</v>
      </c>
      <c r="Z47" s="8"/>
    </row>
    <row r="48" spans="1:26" x14ac:dyDescent="0.55000000000000004">
      <c r="A48" s="8" t="s">
        <v>156</v>
      </c>
      <c r="B48" s="25" t="s">
        <v>308</v>
      </c>
      <c r="C48" s="25" t="s">
        <v>308</v>
      </c>
      <c r="D48" s="25" t="s">
        <v>308</v>
      </c>
      <c r="E48" s="25" t="s">
        <v>308</v>
      </c>
      <c r="F48" s="25" t="s">
        <v>308</v>
      </c>
      <c r="G48" s="25" t="s">
        <v>308</v>
      </c>
      <c r="H48" s="25" t="s">
        <v>308</v>
      </c>
      <c r="I48" s="25" t="s">
        <v>308</v>
      </c>
      <c r="J48" s="25" t="s">
        <v>308</v>
      </c>
      <c r="K48" s="8"/>
      <c r="L48" s="10"/>
      <c r="M48" s="8"/>
      <c r="N48" s="8" t="s">
        <v>155</v>
      </c>
      <c r="O48" s="26">
        <v>0</v>
      </c>
      <c r="P48" s="25" t="s">
        <v>308</v>
      </c>
      <c r="Q48" s="25" t="s">
        <v>308</v>
      </c>
      <c r="R48" s="25" t="s">
        <v>308</v>
      </c>
      <c r="S48" s="8"/>
      <c r="T48" s="10"/>
      <c r="U48" s="8"/>
      <c r="V48" s="8" t="s">
        <v>314</v>
      </c>
      <c r="W48" s="8"/>
      <c r="X48" s="8" t="s">
        <v>315</v>
      </c>
      <c r="Y48" s="25" t="s">
        <v>308</v>
      </c>
      <c r="Z48" s="8"/>
    </row>
    <row r="49" spans="1:26" x14ac:dyDescent="0.55000000000000004">
      <c r="A49" s="8" t="s">
        <v>160</v>
      </c>
      <c r="B49" s="25" t="s">
        <v>308</v>
      </c>
      <c r="C49" s="25" t="s">
        <v>308</v>
      </c>
      <c r="D49" s="25" t="s">
        <v>308</v>
      </c>
      <c r="E49" s="25" t="s">
        <v>308</v>
      </c>
      <c r="F49" s="25" t="s">
        <v>308</v>
      </c>
      <c r="G49" s="25" t="s">
        <v>308</v>
      </c>
      <c r="H49" s="25" t="s">
        <v>308</v>
      </c>
      <c r="I49" s="25" t="s">
        <v>308</v>
      </c>
      <c r="J49" s="25" t="s">
        <v>308</v>
      </c>
      <c r="K49" s="8"/>
      <c r="L49" s="10"/>
      <c r="M49" s="8"/>
      <c r="N49" s="8" t="s">
        <v>159</v>
      </c>
      <c r="O49" s="26">
        <v>0</v>
      </c>
      <c r="P49" s="25" t="s">
        <v>308</v>
      </c>
      <c r="Q49" s="25" t="s">
        <v>308</v>
      </c>
      <c r="R49" s="25" t="s">
        <v>308</v>
      </c>
      <c r="S49" s="8"/>
      <c r="T49" s="10"/>
      <c r="U49" s="8"/>
      <c r="V49" s="8" t="s">
        <v>333</v>
      </c>
      <c r="W49" s="8"/>
      <c r="X49" s="8" t="s">
        <v>316</v>
      </c>
      <c r="Y49" s="25" t="s">
        <v>308</v>
      </c>
      <c r="Z49" s="8"/>
    </row>
    <row r="50" spans="1:26" x14ac:dyDescent="0.55000000000000004">
      <c r="A50" s="8" t="s">
        <v>162</v>
      </c>
      <c r="B50" s="25" t="s">
        <v>308</v>
      </c>
      <c r="C50" s="25" t="s">
        <v>308</v>
      </c>
      <c r="D50" s="25" t="s">
        <v>308</v>
      </c>
      <c r="E50" s="25" t="s">
        <v>308</v>
      </c>
      <c r="F50" s="25" t="s">
        <v>308</v>
      </c>
      <c r="G50" s="25" t="s">
        <v>308</v>
      </c>
      <c r="H50" s="25" t="s">
        <v>308</v>
      </c>
      <c r="I50" s="25" t="s">
        <v>308</v>
      </c>
      <c r="J50" s="25" t="s">
        <v>308</v>
      </c>
      <c r="K50" s="8"/>
      <c r="L50" s="10"/>
      <c r="M50" s="8"/>
      <c r="N50" s="8" t="s">
        <v>161</v>
      </c>
      <c r="O50" s="26">
        <v>0</v>
      </c>
      <c r="P50" s="25" t="s">
        <v>308</v>
      </c>
      <c r="Q50" s="25" t="s">
        <v>308</v>
      </c>
      <c r="R50" s="25" t="s">
        <v>308</v>
      </c>
      <c r="S50" s="8"/>
      <c r="T50" s="10"/>
      <c r="U50" s="8"/>
      <c r="V50" s="8" t="s">
        <v>334</v>
      </c>
      <c r="W50" s="8"/>
      <c r="X50" s="8" t="s">
        <v>317</v>
      </c>
      <c r="Y50" s="25" t="s">
        <v>308</v>
      </c>
      <c r="Z50" s="8"/>
    </row>
    <row r="51" spans="1:26" x14ac:dyDescent="0.55000000000000004">
      <c r="A51" s="8" t="s">
        <v>158</v>
      </c>
      <c r="B51" s="25" t="s">
        <v>308</v>
      </c>
      <c r="C51" s="25" t="s">
        <v>308</v>
      </c>
      <c r="D51" s="25" t="s">
        <v>308</v>
      </c>
      <c r="E51" s="25" t="s">
        <v>308</v>
      </c>
      <c r="F51" s="25" t="s">
        <v>308</v>
      </c>
      <c r="G51" s="25" t="s">
        <v>308</v>
      </c>
      <c r="H51" s="25" t="s">
        <v>308</v>
      </c>
      <c r="I51" s="25" t="s">
        <v>308</v>
      </c>
      <c r="J51" s="25" t="s">
        <v>308</v>
      </c>
      <c r="K51" s="8"/>
      <c r="L51" s="10"/>
      <c r="M51" s="8"/>
      <c r="N51" s="8" t="s">
        <v>157</v>
      </c>
      <c r="O51" s="26">
        <v>0</v>
      </c>
      <c r="P51" s="25" t="s">
        <v>308</v>
      </c>
      <c r="Q51" s="25" t="s">
        <v>308</v>
      </c>
      <c r="R51" s="25" t="s">
        <v>308</v>
      </c>
      <c r="S51" s="8"/>
      <c r="T51" s="10"/>
      <c r="U51" s="8"/>
      <c r="V51" s="8" t="s">
        <v>335</v>
      </c>
      <c r="W51" s="8"/>
      <c r="X51" s="8" t="s">
        <v>318</v>
      </c>
      <c r="Y51" s="25" t="s">
        <v>308</v>
      </c>
      <c r="Z51" s="8"/>
    </row>
    <row r="52" spans="1:26" x14ac:dyDescent="0.55000000000000004">
      <c r="A52" s="8" t="s">
        <v>164</v>
      </c>
      <c r="B52" s="25" t="s">
        <v>308</v>
      </c>
      <c r="C52" s="25" t="s">
        <v>308</v>
      </c>
      <c r="D52" s="25" t="s">
        <v>308</v>
      </c>
      <c r="E52" s="25" t="s">
        <v>308</v>
      </c>
      <c r="F52" s="25" t="s">
        <v>308</v>
      </c>
      <c r="G52" s="25" t="s">
        <v>308</v>
      </c>
      <c r="H52" s="25" t="s">
        <v>308</v>
      </c>
      <c r="I52" s="25" t="s">
        <v>308</v>
      </c>
      <c r="J52" s="25" t="s">
        <v>308</v>
      </c>
      <c r="K52" s="8"/>
      <c r="L52" s="10"/>
      <c r="M52" s="8"/>
      <c r="N52" s="8" t="s">
        <v>163</v>
      </c>
      <c r="O52" s="26">
        <v>0</v>
      </c>
      <c r="P52" s="25" t="s">
        <v>308</v>
      </c>
      <c r="Q52" s="25" t="s">
        <v>308</v>
      </c>
      <c r="R52" s="25" t="s">
        <v>308</v>
      </c>
      <c r="S52" s="8"/>
      <c r="T52" s="10"/>
      <c r="U52" s="8"/>
      <c r="V52" s="8"/>
      <c r="W52" s="8"/>
      <c r="X52" s="8" t="s">
        <v>319</v>
      </c>
      <c r="Y52" s="25" t="s">
        <v>308</v>
      </c>
      <c r="Z52" s="8"/>
    </row>
    <row r="53" spans="1:26" x14ac:dyDescent="0.55000000000000004">
      <c r="A53" s="8" t="s">
        <v>664</v>
      </c>
      <c r="B53" s="25" t="s">
        <v>308</v>
      </c>
      <c r="C53" s="25" t="s">
        <v>308</v>
      </c>
      <c r="D53" s="25" t="s">
        <v>308</v>
      </c>
      <c r="E53" s="25" t="s">
        <v>308</v>
      </c>
      <c r="F53" s="25" t="s">
        <v>308</v>
      </c>
      <c r="G53" s="25" t="s">
        <v>308</v>
      </c>
      <c r="H53" s="25" t="s">
        <v>308</v>
      </c>
      <c r="I53" s="25" t="s">
        <v>308</v>
      </c>
      <c r="J53" s="25" t="s">
        <v>308</v>
      </c>
      <c r="K53" s="8"/>
      <c r="L53" s="10"/>
      <c r="M53" s="8"/>
      <c r="N53" s="8" t="s">
        <v>663</v>
      </c>
      <c r="O53" s="26">
        <v>0</v>
      </c>
      <c r="P53" s="25" t="s">
        <v>308</v>
      </c>
      <c r="Q53" s="25" t="s">
        <v>308</v>
      </c>
      <c r="R53" s="25" t="s">
        <v>308</v>
      </c>
      <c r="S53" s="8"/>
      <c r="T53" s="10"/>
      <c r="U53" s="8"/>
      <c r="V53" s="8" t="s">
        <v>336</v>
      </c>
      <c r="W53" s="8"/>
      <c r="X53" s="8" t="s">
        <v>320</v>
      </c>
      <c r="Y53" s="25" t="s">
        <v>308</v>
      </c>
      <c r="Z53" s="8"/>
    </row>
    <row r="54" spans="1:26" x14ac:dyDescent="0.55000000000000004">
      <c r="A54" s="8" t="s">
        <v>169</v>
      </c>
      <c r="B54" s="25" t="s">
        <v>308</v>
      </c>
      <c r="C54" s="25" t="s">
        <v>308</v>
      </c>
      <c r="D54" s="25" t="s">
        <v>308</v>
      </c>
      <c r="E54" s="25" t="s">
        <v>308</v>
      </c>
      <c r="F54" s="25" t="s">
        <v>308</v>
      </c>
      <c r="G54" s="25" t="s">
        <v>308</v>
      </c>
      <c r="H54" s="25" t="s">
        <v>308</v>
      </c>
      <c r="I54" s="25" t="s">
        <v>308</v>
      </c>
      <c r="J54" s="25" t="s">
        <v>308</v>
      </c>
      <c r="K54" s="8"/>
      <c r="L54" s="10"/>
      <c r="M54" s="8"/>
      <c r="N54" s="8" t="s">
        <v>168</v>
      </c>
      <c r="O54" s="26">
        <v>0</v>
      </c>
      <c r="P54" s="25" t="s">
        <v>308</v>
      </c>
      <c r="Q54" s="25" t="s">
        <v>308</v>
      </c>
      <c r="R54" s="25" t="s">
        <v>308</v>
      </c>
      <c r="S54" s="8"/>
      <c r="T54" s="10"/>
      <c r="U54" s="8"/>
      <c r="V54" s="8"/>
      <c r="W54" s="8"/>
      <c r="X54" s="8" t="s">
        <v>321</v>
      </c>
      <c r="Y54" s="25" t="s">
        <v>308</v>
      </c>
      <c r="Z54" s="8"/>
    </row>
    <row r="55" spans="1:26" x14ac:dyDescent="0.55000000000000004">
      <c r="A55" s="8" t="s">
        <v>166</v>
      </c>
      <c r="B55" s="25" t="s">
        <v>308</v>
      </c>
      <c r="C55" s="25" t="s">
        <v>308</v>
      </c>
      <c r="D55" s="25" t="s">
        <v>308</v>
      </c>
      <c r="E55" s="25" t="s">
        <v>308</v>
      </c>
      <c r="F55" s="25" t="s">
        <v>308</v>
      </c>
      <c r="G55" s="25" t="s">
        <v>308</v>
      </c>
      <c r="H55" s="25" t="s">
        <v>308</v>
      </c>
      <c r="I55" s="25" t="s">
        <v>308</v>
      </c>
      <c r="J55" s="25" t="s">
        <v>308</v>
      </c>
      <c r="K55" s="8"/>
      <c r="L55" s="10"/>
      <c r="M55" s="8"/>
      <c r="N55" s="8" t="s">
        <v>165</v>
      </c>
      <c r="O55" s="26">
        <v>0</v>
      </c>
      <c r="P55" s="25" t="s">
        <v>308</v>
      </c>
      <c r="Q55" s="25" t="s">
        <v>308</v>
      </c>
      <c r="R55" s="25" t="s">
        <v>308</v>
      </c>
      <c r="S55" s="8"/>
      <c r="T55" s="10"/>
      <c r="U55" s="8"/>
      <c r="V55" s="8"/>
      <c r="W55" s="8"/>
      <c r="X55" s="8"/>
      <c r="Y55" s="8"/>
      <c r="Z55" s="8"/>
    </row>
    <row r="56" spans="1:26" x14ac:dyDescent="0.55000000000000004">
      <c r="A56" s="8" t="s">
        <v>669</v>
      </c>
      <c r="B56" s="25" t="s">
        <v>308</v>
      </c>
      <c r="C56" s="25" t="s">
        <v>308</v>
      </c>
      <c r="D56" s="25" t="s">
        <v>308</v>
      </c>
      <c r="E56" s="25" t="s">
        <v>308</v>
      </c>
      <c r="F56" s="25" t="s">
        <v>308</v>
      </c>
      <c r="G56" s="25" t="s">
        <v>308</v>
      </c>
      <c r="H56" s="25" t="s">
        <v>308</v>
      </c>
      <c r="I56" s="25" t="s">
        <v>308</v>
      </c>
      <c r="J56" s="25" t="s">
        <v>308</v>
      </c>
      <c r="K56" s="8"/>
      <c r="L56" s="10"/>
      <c r="M56" s="8"/>
      <c r="N56" s="8" t="s">
        <v>668</v>
      </c>
      <c r="O56" s="26">
        <v>0</v>
      </c>
      <c r="P56" s="25" t="s">
        <v>308</v>
      </c>
      <c r="Q56" s="25" t="s">
        <v>308</v>
      </c>
      <c r="R56" s="25" t="s">
        <v>308</v>
      </c>
      <c r="S56" s="8"/>
      <c r="T56" s="10"/>
      <c r="U56" s="10"/>
      <c r="V56" s="11" t="s">
        <v>324</v>
      </c>
      <c r="W56" s="10"/>
      <c r="X56" s="10"/>
      <c r="Y56" s="10"/>
      <c r="Z56" s="10"/>
    </row>
    <row r="57" spans="1:26" x14ac:dyDescent="0.55000000000000004">
      <c r="A57" s="8" t="s">
        <v>171</v>
      </c>
      <c r="B57" s="25" t="s">
        <v>308</v>
      </c>
      <c r="C57" s="25" t="s">
        <v>308</v>
      </c>
      <c r="D57" s="25" t="s">
        <v>308</v>
      </c>
      <c r="E57" s="25" t="s">
        <v>308</v>
      </c>
      <c r="F57" s="25" t="s">
        <v>308</v>
      </c>
      <c r="G57" s="25" t="s">
        <v>308</v>
      </c>
      <c r="H57" s="25" t="s">
        <v>308</v>
      </c>
      <c r="I57" s="25" t="s">
        <v>308</v>
      </c>
      <c r="J57" s="25" t="s">
        <v>308</v>
      </c>
      <c r="K57" s="8"/>
      <c r="L57" s="10"/>
      <c r="M57" s="8"/>
      <c r="N57" s="8" t="s">
        <v>170</v>
      </c>
      <c r="O57" s="26">
        <v>0</v>
      </c>
      <c r="P57" s="25" t="s">
        <v>308</v>
      </c>
      <c r="Q57" s="25" t="s">
        <v>308</v>
      </c>
      <c r="R57" s="25" t="s">
        <v>308</v>
      </c>
      <c r="S57" s="8"/>
      <c r="T57" s="10"/>
      <c r="U57" s="13"/>
      <c r="V57" s="13"/>
      <c r="W57" s="13"/>
      <c r="X57" s="15" t="s">
        <v>325</v>
      </c>
      <c r="Y57" s="15" t="s">
        <v>326</v>
      </c>
      <c r="Z57" s="13"/>
    </row>
    <row r="58" spans="1:26" x14ac:dyDescent="0.55000000000000004">
      <c r="A58" s="8" t="s">
        <v>173</v>
      </c>
      <c r="B58" s="25" t="s">
        <v>308</v>
      </c>
      <c r="C58" s="25" t="s">
        <v>308</v>
      </c>
      <c r="D58" s="25" t="s">
        <v>308</v>
      </c>
      <c r="E58" s="25" t="s">
        <v>308</v>
      </c>
      <c r="F58" s="25" t="s">
        <v>308</v>
      </c>
      <c r="G58" s="25" t="s">
        <v>308</v>
      </c>
      <c r="H58" s="25" t="s">
        <v>308</v>
      </c>
      <c r="I58" s="25" t="s">
        <v>308</v>
      </c>
      <c r="J58" s="25" t="s">
        <v>308</v>
      </c>
      <c r="K58" s="8"/>
      <c r="L58" s="10"/>
      <c r="M58" s="8"/>
      <c r="N58" s="8" t="s">
        <v>172</v>
      </c>
      <c r="O58" s="26">
        <v>0</v>
      </c>
      <c r="P58" s="25" t="s">
        <v>308</v>
      </c>
      <c r="Q58" s="25" t="s">
        <v>308</v>
      </c>
      <c r="R58" s="25" t="s">
        <v>308</v>
      </c>
      <c r="S58" s="8"/>
      <c r="T58" s="10"/>
      <c r="U58" s="13"/>
      <c r="V58" s="13"/>
      <c r="W58" s="13"/>
      <c r="X58" s="16" t="s">
        <v>327</v>
      </c>
      <c r="Y58" s="16" t="s">
        <v>328</v>
      </c>
      <c r="Z58" s="13"/>
    </row>
    <row r="59" spans="1:26" x14ac:dyDescent="0.55000000000000004">
      <c r="A59" s="8" t="s">
        <v>175</v>
      </c>
      <c r="B59" s="25" t="s">
        <v>308</v>
      </c>
      <c r="C59" s="25" t="s">
        <v>308</v>
      </c>
      <c r="D59" s="25" t="s">
        <v>308</v>
      </c>
      <c r="E59" s="25" t="s">
        <v>308</v>
      </c>
      <c r="F59" s="25" t="s">
        <v>308</v>
      </c>
      <c r="G59" s="25" t="s">
        <v>308</v>
      </c>
      <c r="H59" s="25" t="s">
        <v>308</v>
      </c>
      <c r="I59" s="25" t="s">
        <v>308</v>
      </c>
      <c r="J59" s="25" t="s">
        <v>308</v>
      </c>
      <c r="K59" s="8"/>
      <c r="L59" s="10"/>
      <c r="M59" s="8"/>
      <c r="N59" s="8" t="s">
        <v>174</v>
      </c>
      <c r="O59" s="26">
        <v>0</v>
      </c>
      <c r="P59" s="25" t="s">
        <v>308</v>
      </c>
      <c r="Q59" s="25" t="s">
        <v>308</v>
      </c>
      <c r="R59" s="25" t="s">
        <v>308</v>
      </c>
      <c r="S59" s="8"/>
      <c r="T59" s="10"/>
      <c r="U59" s="8"/>
      <c r="V59" s="8" t="s">
        <v>329</v>
      </c>
      <c r="W59" s="8" t="s">
        <v>24</v>
      </c>
      <c r="X59" s="23">
        <v>1</v>
      </c>
      <c r="Y59" s="23">
        <v>1</v>
      </c>
      <c r="Z59" s="8"/>
    </row>
    <row r="60" spans="1:26" x14ac:dyDescent="0.55000000000000004">
      <c r="A60" s="8" t="s">
        <v>177</v>
      </c>
      <c r="B60" s="25" t="s">
        <v>308</v>
      </c>
      <c r="C60" s="25" t="s">
        <v>308</v>
      </c>
      <c r="D60" s="25" t="s">
        <v>308</v>
      </c>
      <c r="E60" s="25" t="s">
        <v>308</v>
      </c>
      <c r="F60" s="25" t="s">
        <v>308</v>
      </c>
      <c r="G60" s="25" t="s">
        <v>308</v>
      </c>
      <c r="H60" s="25" t="s">
        <v>308</v>
      </c>
      <c r="I60" s="25" t="s">
        <v>308</v>
      </c>
      <c r="J60" s="25" t="s">
        <v>308</v>
      </c>
      <c r="K60" s="8"/>
      <c r="L60" s="10"/>
      <c r="M60" s="8"/>
      <c r="N60" s="8" t="s">
        <v>176</v>
      </c>
      <c r="O60" s="26">
        <v>0</v>
      </c>
      <c r="P60" s="25" t="s">
        <v>308</v>
      </c>
      <c r="Q60" s="25" t="s">
        <v>308</v>
      </c>
      <c r="R60" s="25" t="s">
        <v>308</v>
      </c>
      <c r="S60" s="8"/>
      <c r="T60" s="10"/>
      <c r="U60" s="8"/>
      <c r="V60" s="8" t="s">
        <v>330</v>
      </c>
      <c r="W60" s="8" t="s">
        <v>791</v>
      </c>
      <c r="X60" s="23">
        <v>1</v>
      </c>
      <c r="Y60" s="23">
        <v>1</v>
      </c>
      <c r="Z60" s="8"/>
    </row>
    <row r="61" spans="1:26" x14ac:dyDescent="0.55000000000000004">
      <c r="A61" s="8" t="s">
        <v>676</v>
      </c>
      <c r="B61" s="25" t="s">
        <v>308</v>
      </c>
      <c r="C61" s="25" t="s">
        <v>308</v>
      </c>
      <c r="D61" s="25" t="s">
        <v>308</v>
      </c>
      <c r="E61" s="25" t="s">
        <v>308</v>
      </c>
      <c r="F61" s="25" t="s">
        <v>308</v>
      </c>
      <c r="G61" s="25" t="s">
        <v>308</v>
      </c>
      <c r="H61" s="25" t="s">
        <v>308</v>
      </c>
      <c r="I61" s="25" t="s">
        <v>308</v>
      </c>
      <c r="J61" s="25" t="s">
        <v>308</v>
      </c>
      <c r="K61" s="8"/>
      <c r="L61" s="10"/>
      <c r="M61" s="8"/>
      <c r="N61" s="8" t="s">
        <v>675</v>
      </c>
      <c r="O61" s="26">
        <v>0</v>
      </c>
      <c r="P61" s="25" t="s">
        <v>308</v>
      </c>
      <c r="Q61" s="25" t="s">
        <v>308</v>
      </c>
      <c r="R61" s="25" t="s">
        <v>308</v>
      </c>
      <c r="S61" s="8"/>
      <c r="T61" s="10"/>
      <c r="U61" s="8"/>
      <c r="V61" s="8"/>
      <c r="W61" s="8" t="s">
        <v>792</v>
      </c>
      <c r="X61" s="23">
        <v>1</v>
      </c>
      <c r="Y61" s="23">
        <v>1</v>
      </c>
      <c r="Z61" s="8"/>
    </row>
    <row r="62" spans="1:26" x14ac:dyDescent="0.55000000000000004">
      <c r="A62" s="8" t="s">
        <v>179</v>
      </c>
      <c r="B62" s="25" t="s">
        <v>308</v>
      </c>
      <c r="C62" s="25" t="s">
        <v>308</v>
      </c>
      <c r="D62" s="25" t="s">
        <v>308</v>
      </c>
      <c r="E62" s="25" t="s">
        <v>308</v>
      </c>
      <c r="F62" s="25" t="s">
        <v>308</v>
      </c>
      <c r="G62" s="25" t="s">
        <v>308</v>
      </c>
      <c r="H62" s="25" t="s">
        <v>308</v>
      </c>
      <c r="I62" s="25" t="s">
        <v>308</v>
      </c>
      <c r="J62" s="25" t="s">
        <v>308</v>
      </c>
      <c r="K62" s="8"/>
      <c r="L62" s="10"/>
      <c r="M62" s="8"/>
      <c r="N62" s="8" t="s">
        <v>178</v>
      </c>
      <c r="O62" s="26">
        <v>0</v>
      </c>
      <c r="P62" s="25" t="s">
        <v>308</v>
      </c>
      <c r="Q62" s="25" t="s">
        <v>308</v>
      </c>
      <c r="R62" s="25" t="s">
        <v>308</v>
      </c>
      <c r="S62" s="8"/>
      <c r="T62" s="10"/>
      <c r="U62" s="8"/>
      <c r="V62" s="8"/>
      <c r="W62" s="8" t="s">
        <v>793</v>
      </c>
      <c r="X62" s="23">
        <v>1</v>
      </c>
      <c r="Y62" s="23">
        <v>1</v>
      </c>
      <c r="Z62" s="8"/>
    </row>
    <row r="63" spans="1:26" x14ac:dyDescent="0.55000000000000004">
      <c r="A63" s="8" t="s">
        <v>181</v>
      </c>
      <c r="B63" s="25" t="s">
        <v>308</v>
      </c>
      <c r="C63" s="25" t="s">
        <v>308</v>
      </c>
      <c r="D63" s="25" t="s">
        <v>308</v>
      </c>
      <c r="E63" s="25" t="s">
        <v>308</v>
      </c>
      <c r="F63" s="25" t="s">
        <v>308</v>
      </c>
      <c r="G63" s="25" t="s">
        <v>308</v>
      </c>
      <c r="H63" s="25" t="s">
        <v>308</v>
      </c>
      <c r="I63" s="25" t="s">
        <v>308</v>
      </c>
      <c r="J63" s="25" t="s">
        <v>308</v>
      </c>
      <c r="K63" s="8"/>
      <c r="L63" s="10"/>
      <c r="M63" s="8"/>
      <c r="N63" s="8" t="s">
        <v>180</v>
      </c>
      <c r="O63" s="26">
        <v>0</v>
      </c>
      <c r="P63" s="25" t="s">
        <v>308</v>
      </c>
      <c r="Q63" s="25" t="s">
        <v>308</v>
      </c>
      <c r="R63" s="25" t="s">
        <v>308</v>
      </c>
      <c r="S63" s="8"/>
      <c r="T63" s="10"/>
      <c r="U63" s="8"/>
      <c r="V63" s="8"/>
      <c r="W63" s="8" t="s">
        <v>794</v>
      </c>
      <c r="X63" s="23">
        <v>1</v>
      </c>
      <c r="Y63" s="23">
        <v>1</v>
      </c>
      <c r="Z63" s="8"/>
    </row>
    <row r="64" spans="1:26" x14ac:dyDescent="0.55000000000000004">
      <c r="A64" s="8" t="s">
        <v>681</v>
      </c>
      <c r="B64" s="25" t="s">
        <v>308</v>
      </c>
      <c r="C64" s="25" t="s">
        <v>308</v>
      </c>
      <c r="D64" s="25" t="s">
        <v>308</v>
      </c>
      <c r="E64" s="25" t="s">
        <v>308</v>
      </c>
      <c r="F64" s="25" t="s">
        <v>308</v>
      </c>
      <c r="G64" s="25" t="s">
        <v>308</v>
      </c>
      <c r="H64" s="25" t="s">
        <v>308</v>
      </c>
      <c r="I64" s="25" t="s">
        <v>308</v>
      </c>
      <c r="J64" s="25" t="s">
        <v>308</v>
      </c>
      <c r="K64" s="8"/>
      <c r="L64" s="10"/>
      <c r="M64" s="8"/>
      <c r="N64" s="8" t="s">
        <v>680</v>
      </c>
      <c r="O64" s="26">
        <v>0</v>
      </c>
      <c r="P64" s="25" t="s">
        <v>308</v>
      </c>
      <c r="Q64" s="25" t="s">
        <v>308</v>
      </c>
      <c r="R64" s="25" t="s">
        <v>308</v>
      </c>
      <c r="S64" s="8"/>
      <c r="T64" s="10"/>
      <c r="U64" s="8"/>
      <c r="V64" s="8"/>
      <c r="W64" s="8" t="s">
        <v>795</v>
      </c>
      <c r="X64" s="23">
        <v>1</v>
      </c>
      <c r="Y64" s="23">
        <v>1</v>
      </c>
      <c r="Z64" s="8"/>
    </row>
    <row r="65" spans="1:26" x14ac:dyDescent="0.55000000000000004">
      <c r="A65" s="8" t="s">
        <v>684</v>
      </c>
      <c r="B65" s="25" t="s">
        <v>308</v>
      </c>
      <c r="C65" s="25" t="s">
        <v>308</v>
      </c>
      <c r="D65" s="25" t="s">
        <v>308</v>
      </c>
      <c r="E65" s="25" t="s">
        <v>308</v>
      </c>
      <c r="F65" s="25" t="s">
        <v>308</v>
      </c>
      <c r="G65" s="25" t="s">
        <v>308</v>
      </c>
      <c r="H65" s="25" t="s">
        <v>308</v>
      </c>
      <c r="I65" s="25" t="s">
        <v>308</v>
      </c>
      <c r="J65" s="25" t="s">
        <v>308</v>
      </c>
      <c r="K65" s="8"/>
      <c r="L65" s="10"/>
      <c r="M65" s="8"/>
      <c r="N65" s="8" t="s">
        <v>683</v>
      </c>
      <c r="O65" s="26">
        <v>0</v>
      </c>
      <c r="P65" s="25" t="s">
        <v>308</v>
      </c>
      <c r="Q65" s="25" t="s">
        <v>308</v>
      </c>
      <c r="R65" s="25" t="s">
        <v>308</v>
      </c>
      <c r="S65" s="8"/>
      <c r="T65" s="10"/>
      <c r="U65" s="8"/>
      <c r="V65" s="8"/>
      <c r="W65" s="8" t="s">
        <v>89</v>
      </c>
      <c r="X65" s="23">
        <v>1</v>
      </c>
      <c r="Y65" s="23">
        <v>1</v>
      </c>
      <c r="Z65" s="8"/>
    </row>
    <row r="66" spans="1:26" x14ac:dyDescent="0.55000000000000004">
      <c r="A66" s="8" t="s">
        <v>183</v>
      </c>
      <c r="B66" s="25" t="s">
        <v>308</v>
      </c>
      <c r="C66" s="25" t="s">
        <v>308</v>
      </c>
      <c r="D66" s="25" t="s">
        <v>308</v>
      </c>
      <c r="E66" s="25" t="s">
        <v>308</v>
      </c>
      <c r="F66" s="25" t="s">
        <v>308</v>
      </c>
      <c r="G66" s="25" t="s">
        <v>308</v>
      </c>
      <c r="H66" s="25" t="s">
        <v>308</v>
      </c>
      <c r="I66" s="25" t="s">
        <v>308</v>
      </c>
      <c r="J66" s="25" t="s">
        <v>308</v>
      </c>
      <c r="K66" s="8"/>
      <c r="L66" s="10"/>
      <c r="M66" s="8"/>
      <c r="N66" s="8" t="s">
        <v>182</v>
      </c>
      <c r="O66" s="26">
        <v>0</v>
      </c>
      <c r="P66" s="25" t="s">
        <v>308</v>
      </c>
      <c r="Q66" s="25" t="s">
        <v>308</v>
      </c>
      <c r="R66" s="25" t="s">
        <v>308</v>
      </c>
      <c r="S66" s="8"/>
      <c r="T66" s="10"/>
      <c r="U66" s="8"/>
      <c r="V66" s="8"/>
      <c r="W66" s="8" t="s">
        <v>97</v>
      </c>
      <c r="X66" s="23">
        <v>1</v>
      </c>
      <c r="Y66" s="23">
        <v>1</v>
      </c>
      <c r="Z66" s="8"/>
    </row>
    <row r="67" spans="1:26" x14ac:dyDescent="0.55000000000000004">
      <c r="A67" s="8" t="s">
        <v>688</v>
      </c>
      <c r="B67" s="25" t="s">
        <v>308</v>
      </c>
      <c r="C67" s="25" t="s">
        <v>308</v>
      </c>
      <c r="D67" s="25" t="s">
        <v>308</v>
      </c>
      <c r="E67" s="25" t="s">
        <v>308</v>
      </c>
      <c r="F67" s="25" t="s">
        <v>308</v>
      </c>
      <c r="G67" s="25" t="s">
        <v>308</v>
      </c>
      <c r="H67" s="25" t="s">
        <v>308</v>
      </c>
      <c r="I67" s="25" t="s">
        <v>308</v>
      </c>
      <c r="J67" s="25" t="s">
        <v>308</v>
      </c>
      <c r="K67" s="8"/>
      <c r="L67" s="10"/>
      <c r="M67" s="8"/>
      <c r="N67" s="8" t="s">
        <v>687</v>
      </c>
      <c r="O67" s="26">
        <v>0</v>
      </c>
      <c r="P67" s="25" t="s">
        <v>308</v>
      </c>
      <c r="Q67" s="25" t="s">
        <v>308</v>
      </c>
      <c r="R67" s="25" t="s">
        <v>308</v>
      </c>
      <c r="S67" s="8"/>
      <c r="T67" s="10"/>
      <c r="U67" s="8"/>
      <c r="V67" s="8"/>
      <c r="W67" s="8" t="s">
        <v>103</v>
      </c>
      <c r="X67" s="23">
        <v>1</v>
      </c>
      <c r="Y67" s="23">
        <v>1</v>
      </c>
      <c r="Z67" s="8"/>
    </row>
    <row r="68" spans="1:26" x14ac:dyDescent="0.55000000000000004">
      <c r="A68" s="8" t="s">
        <v>691</v>
      </c>
      <c r="B68" s="25" t="s">
        <v>308</v>
      </c>
      <c r="C68" s="25" t="s">
        <v>308</v>
      </c>
      <c r="D68" s="25" t="s">
        <v>308</v>
      </c>
      <c r="E68" s="25" t="s">
        <v>308</v>
      </c>
      <c r="F68" s="25" t="s">
        <v>308</v>
      </c>
      <c r="G68" s="25" t="s">
        <v>308</v>
      </c>
      <c r="H68" s="25" t="s">
        <v>308</v>
      </c>
      <c r="I68" s="25" t="s">
        <v>308</v>
      </c>
      <c r="J68" s="25" t="s">
        <v>308</v>
      </c>
      <c r="K68" s="8"/>
      <c r="L68" s="10"/>
      <c r="M68" s="8"/>
      <c r="N68" s="8" t="s">
        <v>690</v>
      </c>
      <c r="O68" s="26">
        <v>0</v>
      </c>
      <c r="P68" s="25" t="s">
        <v>308</v>
      </c>
      <c r="Q68" s="25" t="s">
        <v>308</v>
      </c>
      <c r="R68" s="25" t="s">
        <v>308</v>
      </c>
      <c r="S68" s="8"/>
      <c r="T68" s="10"/>
      <c r="U68" s="8"/>
      <c r="V68" s="8"/>
      <c r="W68" s="8" t="s">
        <v>109</v>
      </c>
      <c r="X68" s="23">
        <v>1</v>
      </c>
      <c r="Y68" s="23">
        <v>1</v>
      </c>
      <c r="Z68" s="8"/>
    </row>
    <row r="69" spans="1:26" x14ac:dyDescent="0.55000000000000004">
      <c r="A69" s="8" t="s">
        <v>186</v>
      </c>
      <c r="B69" s="25" t="s">
        <v>308</v>
      </c>
      <c r="C69" s="25" t="s">
        <v>308</v>
      </c>
      <c r="D69" s="25" t="s">
        <v>308</v>
      </c>
      <c r="E69" s="25" t="s">
        <v>308</v>
      </c>
      <c r="F69" s="25" t="s">
        <v>308</v>
      </c>
      <c r="G69" s="25" t="s">
        <v>308</v>
      </c>
      <c r="H69" s="25" t="s">
        <v>308</v>
      </c>
      <c r="I69" s="25" t="s">
        <v>308</v>
      </c>
      <c r="J69" s="25" t="s">
        <v>308</v>
      </c>
      <c r="K69" s="8"/>
      <c r="L69" s="10"/>
      <c r="M69" s="8"/>
      <c r="N69" s="8" t="s">
        <v>185</v>
      </c>
      <c r="O69" s="26">
        <v>0</v>
      </c>
      <c r="P69" s="25" t="s">
        <v>308</v>
      </c>
      <c r="Q69" s="25" t="s">
        <v>308</v>
      </c>
      <c r="R69" s="25" t="s">
        <v>308</v>
      </c>
      <c r="S69" s="8"/>
      <c r="T69" s="10"/>
      <c r="U69" s="8"/>
      <c r="V69" s="8"/>
      <c r="W69" s="8" t="s">
        <v>113</v>
      </c>
      <c r="X69" s="23">
        <v>1</v>
      </c>
      <c r="Y69" s="23">
        <v>1</v>
      </c>
      <c r="Z69" s="8"/>
    </row>
    <row r="70" spans="1:26" x14ac:dyDescent="0.55000000000000004">
      <c r="A70" s="8" t="s">
        <v>188</v>
      </c>
      <c r="B70" s="25" t="s">
        <v>308</v>
      </c>
      <c r="C70" s="25" t="s">
        <v>308</v>
      </c>
      <c r="D70" s="25" t="s">
        <v>308</v>
      </c>
      <c r="E70" s="25" t="s">
        <v>308</v>
      </c>
      <c r="F70" s="25" t="s">
        <v>308</v>
      </c>
      <c r="G70" s="25" t="s">
        <v>308</v>
      </c>
      <c r="H70" s="25" t="s">
        <v>308</v>
      </c>
      <c r="I70" s="25" t="s">
        <v>308</v>
      </c>
      <c r="J70" s="25" t="s">
        <v>308</v>
      </c>
      <c r="K70" s="8"/>
      <c r="L70" s="10"/>
      <c r="M70" s="8"/>
      <c r="N70" s="8" t="s">
        <v>187</v>
      </c>
      <c r="O70" s="26">
        <v>0</v>
      </c>
      <c r="P70" s="25" t="s">
        <v>308</v>
      </c>
      <c r="Q70" s="25" t="s">
        <v>308</v>
      </c>
      <c r="R70" s="25" t="s">
        <v>308</v>
      </c>
      <c r="S70" s="8"/>
      <c r="T70" s="10"/>
      <c r="U70" s="8"/>
      <c r="V70" s="8"/>
      <c r="W70" s="8" t="s">
        <v>607</v>
      </c>
      <c r="X70" s="23">
        <v>1</v>
      </c>
      <c r="Y70" s="23">
        <v>1</v>
      </c>
      <c r="Z70" s="8"/>
    </row>
    <row r="71" spans="1:26" x14ac:dyDescent="0.55000000000000004">
      <c r="A71" s="8" t="s">
        <v>190</v>
      </c>
      <c r="B71" s="25" t="s">
        <v>308</v>
      </c>
      <c r="C71" s="25" t="s">
        <v>308</v>
      </c>
      <c r="D71" s="25" t="s">
        <v>308</v>
      </c>
      <c r="E71" s="25" t="s">
        <v>308</v>
      </c>
      <c r="F71" s="25" t="s">
        <v>308</v>
      </c>
      <c r="G71" s="25" t="s">
        <v>308</v>
      </c>
      <c r="H71" s="25" t="s">
        <v>308</v>
      </c>
      <c r="I71" s="25" t="s">
        <v>308</v>
      </c>
      <c r="J71" s="25" t="s">
        <v>308</v>
      </c>
      <c r="K71" s="8"/>
      <c r="L71" s="10"/>
      <c r="M71" s="8"/>
      <c r="N71" s="8" t="s">
        <v>189</v>
      </c>
      <c r="O71" s="26">
        <v>0</v>
      </c>
      <c r="P71" s="25" t="s">
        <v>308</v>
      </c>
      <c r="Q71" s="25" t="s">
        <v>308</v>
      </c>
      <c r="R71" s="25" t="s">
        <v>308</v>
      </c>
      <c r="S71" s="8"/>
      <c r="T71" s="10"/>
      <c r="U71" s="8"/>
      <c r="V71" s="8"/>
      <c r="W71" s="8" t="s">
        <v>612</v>
      </c>
      <c r="X71" s="23">
        <v>1</v>
      </c>
      <c r="Y71" s="23">
        <v>1</v>
      </c>
      <c r="Z71" s="8"/>
    </row>
    <row r="72" spans="1:26" x14ac:dyDescent="0.55000000000000004">
      <c r="A72" s="8" t="s">
        <v>697</v>
      </c>
      <c r="B72" s="25" t="s">
        <v>308</v>
      </c>
      <c r="C72" s="25" t="s">
        <v>308</v>
      </c>
      <c r="D72" s="25" t="s">
        <v>308</v>
      </c>
      <c r="E72" s="25" t="s">
        <v>308</v>
      </c>
      <c r="F72" s="25" t="s">
        <v>308</v>
      </c>
      <c r="G72" s="25" t="s">
        <v>308</v>
      </c>
      <c r="H72" s="25" t="s">
        <v>308</v>
      </c>
      <c r="I72" s="25" t="s">
        <v>308</v>
      </c>
      <c r="J72" s="25" t="s">
        <v>308</v>
      </c>
      <c r="K72" s="8"/>
      <c r="L72" s="10"/>
      <c r="M72" s="8"/>
      <c r="N72" s="8" t="s">
        <v>696</v>
      </c>
      <c r="O72" s="26">
        <v>0</v>
      </c>
      <c r="P72" s="25" t="s">
        <v>308</v>
      </c>
      <c r="Q72" s="25" t="s">
        <v>308</v>
      </c>
      <c r="R72" s="25" t="s">
        <v>308</v>
      </c>
      <c r="S72" s="8"/>
      <c r="T72" s="10"/>
      <c r="U72" s="8"/>
      <c r="V72" s="8"/>
      <c r="W72" s="8" t="s">
        <v>617</v>
      </c>
      <c r="X72" s="23">
        <v>1</v>
      </c>
      <c r="Y72" s="23">
        <v>1</v>
      </c>
      <c r="Z72" s="8"/>
    </row>
    <row r="73" spans="1:26" x14ac:dyDescent="0.55000000000000004">
      <c r="A73" s="8" t="s">
        <v>192</v>
      </c>
      <c r="B73" s="25" t="s">
        <v>308</v>
      </c>
      <c r="C73" s="25" t="s">
        <v>308</v>
      </c>
      <c r="D73" s="25" t="s">
        <v>308</v>
      </c>
      <c r="E73" s="25" t="s">
        <v>308</v>
      </c>
      <c r="F73" s="25" t="s">
        <v>308</v>
      </c>
      <c r="G73" s="25" t="s">
        <v>308</v>
      </c>
      <c r="H73" s="25" t="s">
        <v>308</v>
      </c>
      <c r="I73" s="25" t="s">
        <v>308</v>
      </c>
      <c r="J73" s="25" t="s">
        <v>308</v>
      </c>
      <c r="K73" s="8"/>
      <c r="L73" s="10"/>
      <c r="M73" s="8"/>
      <c r="N73" s="8" t="s">
        <v>191</v>
      </c>
      <c r="O73" s="26">
        <v>0</v>
      </c>
      <c r="P73" s="25" t="s">
        <v>308</v>
      </c>
      <c r="Q73" s="25" t="s">
        <v>308</v>
      </c>
      <c r="R73" s="25" t="s">
        <v>308</v>
      </c>
      <c r="S73" s="8"/>
      <c r="T73" s="10"/>
      <c r="U73" s="8"/>
      <c r="V73" s="8"/>
      <c r="W73" s="8" t="s">
        <v>620</v>
      </c>
      <c r="X73" s="23">
        <v>1</v>
      </c>
      <c r="Y73" s="23">
        <v>1</v>
      </c>
      <c r="Z73" s="8"/>
    </row>
    <row r="74" spans="1:26" x14ac:dyDescent="0.55000000000000004">
      <c r="A74" s="8" t="s">
        <v>701</v>
      </c>
      <c r="B74" s="25" t="s">
        <v>308</v>
      </c>
      <c r="C74" s="25" t="s">
        <v>308</v>
      </c>
      <c r="D74" s="25" t="s">
        <v>308</v>
      </c>
      <c r="E74" s="25" t="s">
        <v>308</v>
      </c>
      <c r="F74" s="25" t="s">
        <v>308</v>
      </c>
      <c r="G74" s="25" t="s">
        <v>308</v>
      </c>
      <c r="H74" s="25" t="s">
        <v>308</v>
      </c>
      <c r="I74" s="25" t="s">
        <v>308</v>
      </c>
      <c r="J74" s="25" t="s">
        <v>308</v>
      </c>
      <c r="K74" s="8"/>
      <c r="L74" s="10"/>
      <c r="M74" s="8"/>
      <c r="N74" s="8" t="s">
        <v>700</v>
      </c>
      <c r="O74" s="26">
        <v>0</v>
      </c>
      <c r="P74" s="25" t="s">
        <v>308</v>
      </c>
      <c r="Q74" s="25" t="s">
        <v>308</v>
      </c>
      <c r="R74" s="25" t="s">
        <v>308</v>
      </c>
      <c r="S74" s="8"/>
      <c r="T74" s="10"/>
      <c r="U74" s="8"/>
      <c r="V74" s="8"/>
      <c r="W74" s="8" t="s">
        <v>623</v>
      </c>
      <c r="X74" s="23">
        <v>1</v>
      </c>
      <c r="Y74" s="23">
        <v>1</v>
      </c>
      <c r="Z74" s="8"/>
    </row>
    <row r="75" spans="1:26" x14ac:dyDescent="0.55000000000000004">
      <c r="A75" s="8" t="s">
        <v>195</v>
      </c>
      <c r="B75" s="25" t="s">
        <v>308</v>
      </c>
      <c r="C75" s="25" t="s">
        <v>308</v>
      </c>
      <c r="D75" s="25" t="s">
        <v>308</v>
      </c>
      <c r="E75" s="25" t="s">
        <v>308</v>
      </c>
      <c r="F75" s="25" t="s">
        <v>308</v>
      </c>
      <c r="G75" s="25" t="s">
        <v>308</v>
      </c>
      <c r="H75" s="25" t="s">
        <v>308</v>
      </c>
      <c r="I75" s="25" t="s">
        <v>308</v>
      </c>
      <c r="J75" s="25" t="s">
        <v>308</v>
      </c>
      <c r="K75" s="8"/>
      <c r="L75" s="10"/>
      <c r="M75" s="8"/>
      <c r="N75" s="8" t="s">
        <v>194</v>
      </c>
      <c r="O75" s="26">
        <v>0</v>
      </c>
      <c r="P75" s="25" t="s">
        <v>308</v>
      </c>
      <c r="Q75" s="25" t="s">
        <v>308</v>
      </c>
      <c r="R75" s="25" t="s">
        <v>308</v>
      </c>
      <c r="S75" s="8"/>
      <c r="T75" s="10"/>
      <c r="U75" s="8"/>
      <c r="V75" s="8"/>
      <c r="W75" s="8"/>
      <c r="X75" s="8"/>
      <c r="Y75" s="8"/>
      <c r="Z75" s="8"/>
    </row>
    <row r="76" spans="1:26" x14ac:dyDescent="0.55000000000000004">
      <c r="A76" s="8" t="s">
        <v>197</v>
      </c>
      <c r="B76" s="25" t="s">
        <v>308</v>
      </c>
      <c r="C76" s="25" t="s">
        <v>308</v>
      </c>
      <c r="D76" s="25" t="s">
        <v>308</v>
      </c>
      <c r="E76" s="25" t="s">
        <v>308</v>
      </c>
      <c r="F76" s="25" t="s">
        <v>308</v>
      </c>
      <c r="G76" s="25" t="s">
        <v>308</v>
      </c>
      <c r="H76" s="25" t="s">
        <v>308</v>
      </c>
      <c r="I76" s="25" t="s">
        <v>308</v>
      </c>
      <c r="J76" s="25" t="s">
        <v>308</v>
      </c>
      <c r="K76" s="8"/>
      <c r="L76" s="10"/>
      <c r="M76" s="8"/>
      <c r="N76" s="8" t="s">
        <v>196</v>
      </c>
      <c r="O76" s="26">
        <v>0</v>
      </c>
      <c r="P76" s="25" t="s">
        <v>308</v>
      </c>
      <c r="Q76" s="25" t="s">
        <v>308</v>
      </c>
      <c r="R76" s="25" t="s">
        <v>308</v>
      </c>
      <c r="S76" s="8"/>
      <c r="T76" s="10"/>
      <c r="U76" s="10"/>
      <c r="V76" s="11" t="s">
        <v>240</v>
      </c>
      <c r="W76" s="10"/>
      <c r="X76" s="10"/>
      <c r="Y76" s="10"/>
      <c r="Z76" s="10"/>
    </row>
    <row r="77" spans="1:26" x14ac:dyDescent="0.55000000000000004">
      <c r="A77" s="8" t="s">
        <v>706</v>
      </c>
      <c r="B77" s="25" t="s">
        <v>308</v>
      </c>
      <c r="C77" s="25" t="s">
        <v>308</v>
      </c>
      <c r="D77" s="25" t="s">
        <v>308</v>
      </c>
      <c r="E77" s="25" t="s">
        <v>308</v>
      </c>
      <c r="F77" s="25" t="s">
        <v>308</v>
      </c>
      <c r="G77" s="25" t="s">
        <v>308</v>
      </c>
      <c r="H77" s="25" t="s">
        <v>308</v>
      </c>
      <c r="I77" s="25" t="s">
        <v>308</v>
      </c>
      <c r="J77" s="25" t="s">
        <v>308</v>
      </c>
      <c r="K77" s="8"/>
      <c r="L77" s="10"/>
      <c r="M77" s="8"/>
      <c r="N77" s="8" t="s">
        <v>705</v>
      </c>
      <c r="O77" s="26">
        <v>0</v>
      </c>
      <c r="P77" s="25" t="s">
        <v>308</v>
      </c>
      <c r="Q77" s="25" t="s">
        <v>308</v>
      </c>
      <c r="R77" s="25" t="s">
        <v>308</v>
      </c>
      <c r="S77" s="8"/>
      <c r="T77" s="10"/>
      <c r="U77" s="8"/>
      <c r="V77" s="8" t="s">
        <v>337</v>
      </c>
      <c r="W77" s="8" t="s">
        <v>322</v>
      </c>
      <c r="X77" s="8">
        <f>SUMIF(Main!G4:O4,Y1,Main!G5:O5)</f>
        <v>2</v>
      </c>
      <c r="Y77" s="8"/>
      <c r="Z77" s="8"/>
    </row>
    <row r="78" spans="1:26" x14ac:dyDescent="0.55000000000000004">
      <c r="A78" s="8" t="s">
        <v>199</v>
      </c>
      <c r="B78" s="25" t="s">
        <v>308</v>
      </c>
      <c r="C78" s="25" t="s">
        <v>308</v>
      </c>
      <c r="D78" s="25" t="s">
        <v>308</v>
      </c>
      <c r="E78" s="25" t="s">
        <v>308</v>
      </c>
      <c r="F78" s="25" t="s">
        <v>308</v>
      </c>
      <c r="G78" s="25" t="s">
        <v>308</v>
      </c>
      <c r="H78" s="25" t="s">
        <v>308</v>
      </c>
      <c r="I78" s="25" t="s">
        <v>308</v>
      </c>
      <c r="J78" s="25" t="s">
        <v>308</v>
      </c>
      <c r="K78" s="8"/>
      <c r="L78" s="10"/>
      <c r="M78" s="8"/>
      <c r="N78" s="8" t="s">
        <v>198</v>
      </c>
      <c r="O78" s="26">
        <v>0</v>
      </c>
      <c r="P78" s="25" t="s">
        <v>308</v>
      </c>
      <c r="Q78" s="25" t="s">
        <v>308</v>
      </c>
      <c r="R78" s="25" t="s">
        <v>308</v>
      </c>
      <c r="S78" s="8"/>
      <c r="T78" s="10"/>
      <c r="U78" s="8"/>
      <c r="V78" s="8" t="s">
        <v>338</v>
      </c>
      <c r="W78" s="8" t="s">
        <v>83</v>
      </c>
      <c r="X78" s="8">
        <f>SUMIF(Main!G4:O4,Y1,Main!G6:O6)</f>
        <v>3</v>
      </c>
      <c r="Y78" s="8"/>
      <c r="Z78" s="8"/>
    </row>
    <row r="79" spans="1:26" x14ac:dyDescent="0.55000000000000004">
      <c r="A79" s="8" t="s">
        <v>710</v>
      </c>
      <c r="B79" s="25" t="s">
        <v>308</v>
      </c>
      <c r="C79" s="25" t="s">
        <v>308</v>
      </c>
      <c r="D79" s="25" t="s">
        <v>308</v>
      </c>
      <c r="E79" s="25" t="s">
        <v>308</v>
      </c>
      <c r="F79" s="25" t="s">
        <v>308</v>
      </c>
      <c r="G79" s="25" t="s">
        <v>308</v>
      </c>
      <c r="H79" s="25" t="s">
        <v>308</v>
      </c>
      <c r="I79" s="25" t="s">
        <v>308</v>
      </c>
      <c r="J79" s="25" t="s">
        <v>308</v>
      </c>
      <c r="K79" s="8"/>
      <c r="L79" s="10"/>
      <c r="M79" s="8"/>
      <c r="N79" s="8" t="s">
        <v>709</v>
      </c>
      <c r="O79" s="26">
        <v>0</v>
      </c>
      <c r="P79" s="25" t="s">
        <v>308</v>
      </c>
      <c r="Q79" s="25" t="s">
        <v>308</v>
      </c>
      <c r="R79" s="25" t="s">
        <v>308</v>
      </c>
      <c r="S79" s="8"/>
      <c r="T79" s="10"/>
      <c r="U79" s="8"/>
      <c r="V79" s="8" t="s">
        <v>339</v>
      </c>
      <c r="W79" s="8" t="s">
        <v>32</v>
      </c>
      <c r="X79" s="8">
        <f>SUMIF(Main!G4:O4,Y1,Main!G7:O7)</f>
        <v>1</v>
      </c>
      <c r="Y79" s="8"/>
      <c r="Z79" s="8"/>
    </row>
    <row r="80" spans="1:26" x14ac:dyDescent="0.55000000000000004">
      <c r="A80" s="8" t="s">
        <v>713</v>
      </c>
      <c r="B80" s="25" t="s">
        <v>308</v>
      </c>
      <c r="C80" s="25" t="s">
        <v>308</v>
      </c>
      <c r="D80" s="25" t="s">
        <v>308</v>
      </c>
      <c r="E80" s="25" t="s">
        <v>308</v>
      </c>
      <c r="F80" s="25" t="s">
        <v>308</v>
      </c>
      <c r="G80" s="25" t="s">
        <v>308</v>
      </c>
      <c r="H80" s="25" t="s">
        <v>308</v>
      </c>
      <c r="I80" s="25" t="s">
        <v>308</v>
      </c>
      <c r="J80" s="25" t="s">
        <v>308</v>
      </c>
      <c r="K80" s="8"/>
      <c r="L80" s="10"/>
      <c r="M80" s="8"/>
      <c r="N80" s="8" t="s">
        <v>712</v>
      </c>
      <c r="O80" s="26">
        <v>0</v>
      </c>
      <c r="P80" s="25" t="s">
        <v>308</v>
      </c>
      <c r="Q80" s="25" t="s">
        <v>308</v>
      </c>
      <c r="R80" s="25" t="s">
        <v>308</v>
      </c>
      <c r="S80" s="8"/>
      <c r="T80" s="10"/>
      <c r="U80" s="8"/>
      <c r="V80" s="8" t="s">
        <v>340</v>
      </c>
      <c r="W80" s="8" t="s">
        <v>99</v>
      </c>
      <c r="X80" s="8">
        <f>SUMIF(Main!G4:O4,Y1,Main!G8:O8)</f>
        <v>1</v>
      </c>
      <c r="Y80" s="8"/>
      <c r="Z80" s="8"/>
    </row>
    <row r="81" spans="1:26" x14ac:dyDescent="0.55000000000000004">
      <c r="A81" s="8" t="s">
        <v>716</v>
      </c>
      <c r="B81" s="25" t="s">
        <v>308</v>
      </c>
      <c r="C81" s="25" t="s">
        <v>308</v>
      </c>
      <c r="D81" s="25" t="s">
        <v>308</v>
      </c>
      <c r="E81" s="25" t="s">
        <v>308</v>
      </c>
      <c r="F81" s="25" t="s">
        <v>308</v>
      </c>
      <c r="G81" s="25" t="s">
        <v>308</v>
      </c>
      <c r="H81" s="25" t="s">
        <v>308</v>
      </c>
      <c r="I81" s="25" t="s">
        <v>308</v>
      </c>
      <c r="J81" s="25" t="s">
        <v>308</v>
      </c>
      <c r="K81" s="8"/>
      <c r="L81" s="10"/>
      <c r="M81" s="8"/>
      <c r="N81" s="8" t="s">
        <v>715</v>
      </c>
      <c r="O81" s="26">
        <v>0</v>
      </c>
      <c r="P81" s="25" t="s">
        <v>308</v>
      </c>
      <c r="Q81" s="25" t="s">
        <v>308</v>
      </c>
      <c r="R81" s="25" t="s">
        <v>308</v>
      </c>
      <c r="S81" s="8"/>
      <c r="T81" s="10"/>
      <c r="U81" s="8"/>
      <c r="V81" s="8"/>
      <c r="W81" s="8"/>
      <c r="X81" s="8"/>
      <c r="Y81" s="8"/>
      <c r="Z81" s="8"/>
    </row>
    <row r="82" spans="1:26" x14ac:dyDescent="0.55000000000000004">
      <c r="A82" s="8" t="s">
        <v>719</v>
      </c>
      <c r="B82" s="25" t="s">
        <v>308</v>
      </c>
      <c r="C82" s="25" t="s">
        <v>308</v>
      </c>
      <c r="D82" s="25" t="s">
        <v>308</v>
      </c>
      <c r="E82" s="25" t="s">
        <v>308</v>
      </c>
      <c r="F82" s="25" t="s">
        <v>308</v>
      </c>
      <c r="G82" s="25" t="s">
        <v>308</v>
      </c>
      <c r="H82" s="25" t="s">
        <v>308</v>
      </c>
      <c r="I82" s="25" t="s">
        <v>308</v>
      </c>
      <c r="J82" s="25" t="s">
        <v>308</v>
      </c>
      <c r="K82" s="8"/>
      <c r="L82" s="10"/>
      <c r="M82" s="8"/>
      <c r="N82" s="8" t="s">
        <v>718</v>
      </c>
      <c r="O82" s="26">
        <v>0</v>
      </c>
      <c r="P82" s="25" t="s">
        <v>308</v>
      </c>
      <c r="Q82" s="25" t="s">
        <v>308</v>
      </c>
      <c r="R82" s="25" t="s">
        <v>308</v>
      </c>
      <c r="S82" s="8"/>
      <c r="T82" s="10"/>
      <c r="U82" s="10"/>
      <c r="V82" s="11" t="s">
        <v>249</v>
      </c>
      <c r="W82" s="10"/>
      <c r="X82" s="10"/>
      <c r="Y82" s="10"/>
      <c r="Z82" s="10"/>
    </row>
    <row r="83" spans="1:26" x14ac:dyDescent="0.55000000000000004">
      <c r="A83" s="8" t="s">
        <v>722</v>
      </c>
      <c r="B83" s="25" t="s">
        <v>308</v>
      </c>
      <c r="C83" s="25" t="s">
        <v>308</v>
      </c>
      <c r="D83" s="25" t="s">
        <v>308</v>
      </c>
      <c r="E83" s="25" t="s">
        <v>308</v>
      </c>
      <c r="F83" s="25" t="s">
        <v>308</v>
      </c>
      <c r="G83" s="25" t="s">
        <v>308</v>
      </c>
      <c r="H83" s="25" t="s">
        <v>308</v>
      </c>
      <c r="I83" s="25" t="s">
        <v>308</v>
      </c>
      <c r="J83" s="25" t="s">
        <v>308</v>
      </c>
      <c r="K83" s="8"/>
      <c r="L83" s="10"/>
      <c r="M83" s="8"/>
      <c r="N83" s="8" t="s">
        <v>721</v>
      </c>
      <c r="O83" s="26">
        <v>0</v>
      </c>
      <c r="P83" s="25" t="s">
        <v>308</v>
      </c>
      <c r="Q83" s="25" t="s">
        <v>308</v>
      </c>
      <c r="R83" s="25" t="s">
        <v>308</v>
      </c>
      <c r="S83" s="8"/>
      <c r="T83" s="10"/>
      <c r="U83" s="8"/>
      <c r="V83" s="8" t="s">
        <v>323</v>
      </c>
      <c r="W83" s="8" t="s">
        <v>12</v>
      </c>
      <c r="X83" s="8">
        <f>SUMIF(Main!G11:O11,'S5'!Y1,Main!G12:O12)</f>
        <v>1</v>
      </c>
      <c r="Y83" s="8"/>
      <c r="Z83" s="8"/>
    </row>
    <row r="84" spans="1:26" x14ac:dyDescent="0.55000000000000004">
      <c r="A84" s="8" t="s">
        <v>725</v>
      </c>
      <c r="B84" s="25" t="s">
        <v>308</v>
      </c>
      <c r="C84" s="25" t="s">
        <v>308</v>
      </c>
      <c r="D84" s="25" t="s">
        <v>308</v>
      </c>
      <c r="E84" s="25" t="s">
        <v>308</v>
      </c>
      <c r="F84" s="25" t="s">
        <v>308</v>
      </c>
      <c r="G84" s="25" t="s">
        <v>308</v>
      </c>
      <c r="H84" s="25" t="s">
        <v>308</v>
      </c>
      <c r="I84" s="25" t="s">
        <v>308</v>
      </c>
      <c r="J84" s="25" t="s">
        <v>308</v>
      </c>
      <c r="K84" s="8"/>
      <c r="L84" s="10"/>
      <c r="M84" s="8"/>
      <c r="N84" s="8" t="s">
        <v>724</v>
      </c>
      <c r="O84" s="26">
        <v>0</v>
      </c>
      <c r="P84" s="25" t="s">
        <v>308</v>
      </c>
      <c r="Q84" s="25" t="s">
        <v>308</v>
      </c>
      <c r="R84" s="25" t="s">
        <v>308</v>
      </c>
      <c r="S84" s="8"/>
      <c r="T84" s="10"/>
      <c r="U84" s="8"/>
      <c r="V84" s="8"/>
      <c r="W84" s="8" t="s">
        <v>20</v>
      </c>
      <c r="X84" s="8">
        <f>SUMIF(Main!G11:O11,'S5'!Y1,Main!G13:O13)</f>
        <v>1</v>
      </c>
      <c r="Y84" s="8"/>
      <c r="Z84" s="8"/>
    </row>
    <row r="85" spans="1:26" x14ac:dyDescent="0.55000000000000004">
      <c r="A85" s="8" t="s">
        <v>728</v>
      </c>
      <c r="B85" s="25" t="s">
        <v>308</v>
      </c>
      <c r="C85" s="25" t="s">
        <v>308</v>
      </c>
      <c r="D85" s="25" t="s">
        <v>308</v>
      </c>
      <c r="E85" s="25" t="s">
        <v>308</v>
      </c>
      <c r="F85" s="25" t="s">
        <v>308</v>
      </c>
      <c r="G85" s="25" t="s">
        <v>308</v>
      </c>
      <c r="H85" s="25" t="s">
        <v>308</v>
      </c>
      <c r="I85" s="25" t="s">
        <v>308</v>
      </c>
      <c r="J85" s="25" t="s">
        <v>308</v>
      </c>
      <c r="K85" s="8"/>
      <c r="L85" s="10"/>
      <c r="M85" s="8"/>
      <c r="N85" s="8" t="s">
        <v>727</v>
      </c>
      <c r="O85" s="26">
        <v>0</v>
      </c>
      <c r="P85" s="25" t="s">
        <v>308</v>
      </c>
      <c r="Q85" s="25" t="s">
        <v>308</v>
      </c>
      <c r="R85" s="25" t="s">
        <v>308</v>
      </c>
      <c r="S85" s="8"/>
      <c r="T85" s="10"/>
      <c r="U85" s="8"/>
      <c r="V85" s="8"/>
      <c r="W85" s="8" t="s">
        <v>28</v>
      </c>
      <c r="X85" s="8">
        <f>SUMIF(Main!G11:O11,'S5'!Y1,Main!G14:O14)</f>
        <v>1</v>
      </c>
      <c r="Y85" s="8"/>
      <c r="Z85" s="8"/>
    </row>
    <row r="86" spans="1:26" x14ac:dyDescent="0.55000000000000004">
      <c r="A86" s="8" t="s">
        <v>731</v>
      </c>
      <c r="B86" s="25" t="s">
        <v>308</v>
      </c>
      <c r="C86" s="25" t="s">
        <v>308</v>
      </c>
      <c r="D86" s="25" t="s">
        <v>308</v>
      </c>
      <c r="E86" s="25" t="s">
        <v>308</v>
      </c>
      <c r="F86" s="25" t="s">
        <v>308</v>
      </c>
      <c r="G86" s="25" t="s">
        <v>308</v>
      </c>
      <c r="H86" s="25" t="s">
        <v>308</v>
      </c>
      <c r="I86" s="25" t="s">
        <v>308</v>
      </c>
      <c r="J86" s="25" t="s">
        <v>308</v>
      </c>
      <c r="K86" s="8"/>
      <c r="L86" s="10"/>
      <c r="M86" s="8"/>
      <c r="N86" s="8" t="s">
        <v>730</v>
      </c>
      <c r="O86" s="26">
        <v>0</v>
      </c>
      <c r="P86" s="25" t="s">
        <v>308</v>
      </c>
      <c r="Q86" s="25" t="s">
        <v>308</v>
      </c>
      <c r="R86" s="25" t="s">
        <v>308</v>
      </c>
      <c r="S86" s="8"/>
      <c r="T86" s="10"/>
      <c r="U86" s="8"/>
      <c r="V86" s="8"/>
      <c r="W86" s="8" t="s">
        <v>36</v>
      </c>
      <c r="X86" s="8">
        <f>SUMIF(Main!G11:O11,'S5'!Y1,Main!G15:O15)</f>
        <v>1</v>
      </c>
      <c r="Y86" s="8"/>
      <c r="Z86" s="8"/>
    </row>
    <row r="87" spans="1:26" x14ac:dyDescent="0.55000000000000004">
      <c r="A87" s="8" t="s">
        <v>734</v>
      </c>
      <c r="B87" s="25" t="s">
        <v>308</v>
      </c>
      <c r="C87" s="25" t="s">
        <v>308</v>
      </c>
      <c r="D87" s="25" t="s">
        <v>308</v>
      </c>
      <c r="E87" s="25" t="s">
        <v>308</v>
      </c>
      <c r="F87" s="25" t="s">
        <v>308</v>
      </c>
      <c r="G87" s="25" t="s">
        <v>308</v>
      </c>
      <c r="H87" s="25" t="s">
        <v>308</v>
      </c>
      <c r="I87" s="25" t="s">
        <v>308</v>
      </c>
      <c r="J87" s="25" t="s">
        <v>308</v>
      </c>
      <c r="K87" s="8"/>
      <c r="L87" s="10"/>
      <c r="M87" s="8"/>
      <c r="N87" s="8" t="s">
        <v>733</v>
      </c>
      <c r="O87" s="26">
        <v>0</v>
      </c>
      <c r="P87" s="25" t="s">
        <v>308</v>
      </c>
      <c r="Q87" s="25" t="s">
        <v>308</v>
      </c>
      <c r="R87" s="25" t="s">
        <v>308</v>
      </c>
      <c r="S87" s="8"/>
      <c r="T87" s="10"/>
      <c r="U87" s="8"/>
      <c r="V87" s="8"/>
      <c r="W87" s="8" t="s">
        <v>44</v>
      </c>
      <c r="X87" s="8">
        <f>SUMIF(Main!G11:O11,'S5'!Y1,Main!G16:O16)</f>
        <v>3</v>
      </c>
      <c r="Y87" s="8"/>
      <c r="Z87" s="8"/>
    </row>
    <row r="88" spans="1:26" x14ac:dyDescent="0.55000000000000004">
      <c r="A88" s="8" t="s">
        <v>202</v>
      </c>
      <c r="B88" s="25" t="s">
        <v>308</v>
      </c>
      <c r="C88" s="25" t="s">
        <v>308</v>
      </c>
      <c r="D88" s="25" t="s">
        <v>308</v>
      </c>
      <c r="E88" s="25" t="s">
        <v>308</v>
      </c>
      <c r="F88" s="25" t="s">
        <v>308</v>
      </c>
      <c r="G88" s="25" t="s">
        <v>308</v>
      </c>
      <c r="H88" s="25" t="s">
        <v>308</v>
      </c>
      <c r="I88" s="25" t="s">
        <v>308</v>
      </c>
      <c r="J88" s="25" t="s">
        <v>308</v>
      </c>
      <c r="K88" s="8"/>
      <c r="L88" s="10"/>
      <c r="M88" s="8"/>
      <c r="N88" s="8" t="s">
        <v>201</v>
      </c>
      <c r="O88" s="26">
        <v>0</v>
      </c>
      <c r="P88" s="25" t="s">
        <v>308</v>
      </c>
      <c r="Q88" s="25" t="s">
        <v>308</v>
      </c>
      <c r="R88" s="25" t="s">
        <v>308</v>
      </c>
      <c r="S88" s="8"/>
      <c r="T88" s="10"/>
      <c r="U88" s="8"/>
      <c r="V88" s="8"/>
      <c r="W88" s="8" t="s">
        <v>49</v>
      </c>
      <c r="X88" s="8">
        <f>SUMIF(Main!G11:O11,'S5'!Y1,Main!G17:O17)</f>
        <v>3</v>
      </c>
      <c r="Y88" s="8"/>
      <c r="Z88" s="8"/>
    </row>
    <row r="89" spans="1:26" x14ac:dyDescent="0.55000000000000004">
      <c r="A89" s="8" t="s">
        <v>738</v>
      </c>
      <c r="B89" s="25" t="s">
        <v>308</v>
      </c>
      <c r="C89" s="25" t="s">
        <v>308</v>
      </c>
      <c r="D89" s="25" t="s">
        <v>308</v>
      </c>
      <c r="E89" s="25" t="s">
        <v>308</v>
      </c>
      <c r="F89" s="25" t="s">
        <v>308</v>
      </c>
      <c r="G89" s="25" t="s">
        <v>308</v>
      </c>
      <c r="H89" s="25" t="s">
        <v>308</v>
      </c>
      <c r="I89" s="25" t="s">
        <v>308</v>
      </c>
      <c r="J89" s="25" t="s">
        <v>308</v>
      </c>
      <c r="K89" s="8"/>
      <c r="L89" s="10"/>
      <c r="M89" s="8"/>
      <c r="N89" s="8" t="s">
        <v>737</v>
      </c>
      <c r="O89" s="26">
        <v>0</v>
      </c>
      <c r="P89" s="25" t="s">
        <v>308</v>
      </c>
      <c r="Q89" s="25" t="s">
        <v>308</v>
      </c>
      <c r="R89" s="25" t="s">
        <v>308</v>
      </c>
      <c r="S89" s="8"/>
      <c r="T89" s="10"/>
      <c r="U89" s="8"/>
      <c r="V89" s="8"/>
      <c r="W89" s="8" t="s">
        <v>57</v>
      </c>
      <c r="X89" s="8">
        <f>SUMIF(Main!G11:O11,'S5'!Y1,Main!G18:O18)</f>
        <v>1</v>
      </c>
      <c r="Y89" s="8"/>
      <c r="Z89" s="8"/>
    </row>
    <row r="90" spans="1:26" x14ac:dyDescent="0.55000000000000004">
      <c r="A90" s="8" t="s">
        <v>204</v>
      </c>
      <c r="B90" s="25" t="s">
        <v>308</v>
      </c>
      <c r="C90" s="25" t="s">
        <v>308</v>
      </c>
      <c r="D90" s="25" t="s">
        <v>308</v>
      </c>
      <c r="E90" s="25" t="s">
        <v>308</v>
      </c>
      <c r="F90" s="25" t="s">
        <v>308</v>
      </c>
      <c r="G90" s="25" t="s">
        <v>308</v>
      </c>
      <c r="H90" s="25" t="s">
        <v>308</v>
      </c>
      <c r="I90" s="25" t="s">
        <v>308</v>
      </c>
      <c r="J90" s="25" t="s">
        <v>308</v>
      </c>
      <c r="K90" s="8"/>
      <c r="L90" s="10"/>
      <c r="M90" s="8"/>
      <c r="N90" s="8" t="s">
        <v>203</v>
      </c>
      <c r="O90" s="26">
        <v>0</v>
      </c>
      <c r="P90" s="25" t="s">
        <v>308</v>
      </c>
      <c r="Q90" s="25" t="s">
        <v>308</v>
      </c>
      <c r="R90" s="25" t="s">
        <v>308</v>
      </c>
      <c r="S90" s="8"/>
      <c r="T90" s="10"/>
      <c r="U90" s="8"/>
      <c r="V90" s="8"/>
      <c r="W90" s="8" t="s">
        <v>65</v>
      </c>
      <c r="X90" s="8">
        <f>SUMIF(Main!G11:O11,'S5'!Y1,Main!G19:O19)</f>
        <v>1</v>
      </c>
      <c r="Y90" s="8"/>
      <c r="Z90" s="8"/>
    </row>
    <row r="91" spans="1:26" x14ac:dyDescent="0.55000000000000004">
      <c r="A91" s="8" t="s">
        <v>742</v>
      </c>
      <c r="B91" s="25" t="s">
        <v>308</v>
      </c>
      <c r="C91" s="25" t="s">
        <v>308</v>
      </c>
      <c r="D91" s="25" t="s">
        <v>308</v>
      </c>
      <c r="E91" s="25" t="s">
        <v>308</v>
      </c>
      <c r="F91" s="25" t="s">
        <v>308</v>
      </c>
      <c r="G91" s="25" t="s">
        <v>308</v>
      </c>
      <c r="H91" s="25" t="s">
        <v>308</v>
      </c>
      <c r="I91" s="25" t="s">
        <v>308</v>
      </c>
      <c r="J91" s="25" t="s">
        <v>308</v>
      </c>
      <c r="K91" s="8"/>
      <c r="L91" s="10"/>
      <c r="M91" s="8"/>
      <c r="N91" s="8" t="s">
        <v>741</v>
      </c>
      <c r="O91" s="26">
        <v>0</v>
      </c>
      <c r="P91" s="25" t="s">
        <v>308</v>
      </c>
      <c r="Q91" s="25" t="s">
        <v>308</v>
      </c>
      <c r="R91" s="25" t="s">
        <v>308</v>
      </c>
      <c r="S91" s="8"/>
      <c r="T91" s="10"/>
      <c r="U91" s="8"/>
      <c r="V91" s="8"/>
      <c r="W91" s="8" t="s">
        <v>573</v>
      </c>
      <c r="X91" s="8">
        <f>SUMIF(Main!G11:O11,'S5'!Y1,Main!G20:O20)</f>
        <v>1</v>
      </c>
      <c r="Y91" s="8"/>
      <c r="Z91" s="8"/>
    </row>
    <row r="92" spans="1:26" x14ac:dyDescent="0.55000000000000004">
      <c r="A92" s="8" t="s">
        <v>745</v>
      </c>
      <c r="B92" s="25" t="s">
        <v>308</v>
      </c>
      <c r="C92" s="25" t="s">
        <v>308</v>
      </c>
      <c r="D92" s="25" t="s">
        <v>308</v>
      </c>
      <c r="E92" s="25" t="s">
        <v>308</v>
      </c>
      <c r="F92" s="25" t="s">
        <v>308</v>
      </c>
      <c r="G92" s="25" t="s">
        <v>308</v>
      </c>
      <c r="H92" s="25" t="s">
        <v>308</v>
      </c>
      <c r="I92" s="25" t="s">
        <v>308</v>
      </c>
      <c r="J92" s="25" t="s">
        <v>308</v>
      </c>
      <c r="K92" s="8"/>
      <c r="L92" s="10"/>
      <c r="M92" s="8"/>
      <c r="N92" s="8" t="s">
        <v>744</v>
      </c>
      <c r="O92" s="26">
        <v>0</v>
      </c>
      <c r="P92" s="25" t="s">
        <v>308</v>
      </c>
      <c r="Q92" s="25" t="s">
        <v>308</v>
      </c>
      <c r="R92" s="25" t="s">
        <v>308</v>
      </c>
      <c r="S92" s="8"/>
      <c r="T92" s="10"/>
      <c r="U92" s="8"/>
      <c r="V92" s="8"/>
      <c r="W92" s="8" t="s">
        <v>580</v>
      </c>
      <c r="X92" s="8">
        <f>SUMIF(Main!G11:O11,'S5'!Y1,Main!G21:O21)</f>
        <v>3</v>
      </c>
      <c r="Y92" s="8"/>
      <c r="Z92" s="8"/>
    </row>
    <row r="93" spans="1:26" x14ac:dyDescent="0.55000000000000004">
      <c r="A93" s="8" t="s">
        <v>748</v>
      </c>
      <c r="B93" s="25" t="s">
        <v>308</v>
      </c>
      <c r="C93" s="25" t="s">
        <v>308</v>
      </c>
      <c r="D93" s="25" t="s">
        <v>308</v>
      </c>
      <c r="E93" s="25" t="s">
        <v>308</v>
      </c>
      <c r="F93" s="25" t="s">
        <v>308</v>
      </c>
      <c r="G93" s="25" t="s">
        <v>308</v>
      </c>
      <c r="H93" s="25" t="s">
        <v>308</v>
      </c>
      <c r="I93" s="25" t="s">
        <v>308</v>
      </c>
      <c r="J93" s="25" t="s">
        <v>308</v>
      </c>
      <c r="K93" s="8"/>
      <c r="L93" s="10"/>
      <c r="M93" s="8"/>
      <c r="N93" s="8" t="s">
        <v>747</v>
      </c>
      <c r="O93" s="26">
        <v>0</v>
      </c>
      <c r="P93" s="25" t="s">
        <v>308</v>
      </c>
      <c r="Q93" s="25" t="s">
        <v>308</v>
      </c>
      <c r="R93" s="25" t="s">
        <v>308</v>
      </c>
      <c r="S93" s="8"/>
      <c r="T93" s="10"/>
      <c r="U93" s="8"/>
      <c r="V93" s="8"/>
      <c r="W93" s="8" t="s">
        <v>586</v>
      </c>
      <c r="X93" s="8">
        <f>SUMIF(Main!G11:O11,'S5'!Y1,Main!G22:O22)</f>
        <v>3</v>
      </c>
      <c r="Y93" s="8"/>
      <c r="Z93" s="8"/>
    </row>
    <row r="94" spans="1:26" x14ac:dyDescent="0.55000000000000004">
      <c r="A94" s="8" t="s">
        <v>751</v>
      </c>
      <c r="B94" s="25" t="s">
        <v>308</v>
      </c>
      <c r="C94" s="25" t="s">
        <v>308</v>
      </c>
      <c r="D94" s="25" t="s">
        <v>308</v>
      </c>
      <c r="E94" s="25" t="s">
        <v>308</v>
      </c>
      <c r="F94" s="25" t="s">
        <v>308</v>
      </c>
      <c r="G94" s="25" t="s">
        <v>308</v>
      </c>
      <c r="H94" s="25" t="s">
        <v>308</v>
      </c>
      <c r="I94" s="25" t="s">
        <v>308</v>
      </c>
      <c r="J94" s="25" t="s">
        <v>308</v>
      </c>
      <c r="K94" s="8"/>
      <c r="L94" s="10"/>
      <c r="M94" s="8"/>
      <c r="N94" s="8" t="s">
        <v>750</v>
      </c>
      <c r="O94" s="26">
        <v>0</v>
      </c>
      <c r="P94" s="25" t="s">
        <v>308</v>
      </c>
      <c r="Q94" s="25" t="s">
        <v>308</v>
      </c>
      <c r="R94" s="25" t="s">
        <v>308</v>
      </c>
      <c r="S94" s="8"/>
      <c r="T94" s="10"/>
      <c r="U94" s="8"/>
      <c r="V94" s="8"/>
      <c r="W94" s="8" t="s">
        <v>590</v>
      </c>
      <c r="X94" s="8">
        <f>SUMIF(Main!G11:O11,'S5'!Y1,Main!G23:O23)</f>
        <v>1</v>
      </c>
      <c r="Y94" s="8"/>
      <c r="Z94" s="8"/>
    </row>
    <row r="95" spans="1:26" x14ac:dyDescent="0.55000000000000004">
      <c r="A95" s="8" t="s">
        <v>754</v>
      </c>
      <c r="B95" s="25" t="s">
        <v>308</v>
      </c>
      <c r="C95" s="25" t="s">
        <v>308</v>
      </c>
      <c r="D95" s="25" t="s">
        <v>308</v>
      </c>
      <c r="E95" s="25" t="s">
        <v>308</v>
      </c>
      <c r="F95" s="25" t="s">
        <v>308</v>
      </c>
      <c r="G95" s="25" t="s">
        <v>308</v>
      </c>
      <c r="H95" s="25" t="s">
        <v>308</v>
      </c>
      <c r="I95" s="25" t="s">
        <v>308</v>
      </c>
      <c r="J95" s="25" t="s">
        <v>308</v>
      </c>
      <c r="K95" s="8"/>
      <c r="L95" s="10"/>
      <c r="M95" s="8"/>
      <c r="N95" s="8" t="s">
        <v>753</v>
      </c>
      <c r="O95" s="26">
        <v>0</v>
      </c>
      <c r="P95" s="25" t="s">
        <v>308</v>
      </c>
      <c r="Q95" s="25" t="s">
        <v>308</v>
      </c>
      <c r="R95" s="25" t="s">
        <v>308</v>
      </c>
      <c r="S95" s="8"/>
      <c r="T95" s="10"/>
      <c r="U95" s="8"/>
      <c r="V95" s="8" t="s">
        <v>251</v>
      </c>
      <c r="W95" s="8" t="s">
        <v>72</v>
      </c>
      <c r="X95" s="8">
        <f>SUMIF(Main!G11:O11,'S5'!Y1,Main!G24:O24)</f>
        <v>1</v>
      </c>
      <c r="Y95" s="8"/>
      <c r="Z95" s="8"/>
    </row>
    <row r="96" spans="1:26" x14ac:dyDescent="0.55000000000000004">
      <c r="A96" s="8" t="s">
        <v>207</v>
      </c>
      <c r="B96" s="25" t="s">
        <v>308</v>
      </c>
      <c r="C96" s="25" t="s">
        <v>308</v>
      </c>
      <c r="D96" s="25" t="s">
        <v>308</v>
      </c>
      <c r="E96" s="25" t="s">
        <v>308</v>
      </c>
      <c r="F96" s="25" t="s">
        <v>308</v>
      </c>
      <c r="G96" s="25" t="s">
        <v>308</v>
      </c>
      <c r="H96" s="25" t="s">
        <v>308</v>
      </c>
      <c r="I96" s="25" t="s">
        <v>308</v>
      </c>
      <c r="J96" s="25" t="s">
        <v>308</v>
      </c>
      <c r="K96" s="8"/>
      <c r="L96" s="10"/>
      <c r="M96" s="8"/>
      <c r="N96" s="8" t="s">
        <v>206</v>
      </c>
      <c r="O96" s="26">
        <v>0</v>
      </c>
      <c r="P96" s="25" t="s">
        <v>308</v>
      </c>
      <c r="Q96" s="25" t="s">
        <v>308</v>
      </c>
      <c r="R96" s="25" t="s">
        <v>308</v>
      </c>
      <c r="S96" s="8"/>
      <c r="T96" s="10"/>
      <c r="U96" s="8"/>
      <c r="V96" s="8" t="s">
        <v>250</v>
      </c>
      <c r="W96" s="8" t="s">
        <v>79</v>
      </c>
      <c r="X96" s="8">
        <f>SUMIF(Main!G11:O11,'S5'!Y1,Main!G25:O25)</f>
        <v>2</v>
      </c>
      <c r="Y96" s="8"/>
      <c r="Z96" s="8"/>
    </row>
    <row r="97" spans="1:26" x14ac:dyDescent="0.55000000000000004">
      <c r="A97" s="8" t="s">
        <v>758</v>
      </c>
      <c r="B97" s="25" t="s">
        <v>308</v>
      </c>
      <c r="C97" s="25" t="s">
        <v>308</v>
      </c>
      <c r="D97" s="25" t="s">
        <v>308</v>
      </c>
      <c r="E97" s="25" t="s">
        <v>308</v>
      </c>
      <c r="F97" s="25" t="s">
        <v>308</v>
      </c>
      <c r="G97" s="25" t="s">
        <v>308</v>
      </c>
      <c r="H97" s="25" t="s">
        <v>308</v>
      </c>
      <c r="I97" s="25" t="s">
        <v>308</v>
      </c>
      <c r="J97" s="25" t="s">
        <v>308</v>
      </c>
      <c r="K97" s="8"/>
      <c r="L97" s="10"/>
      <c r="M97" s="8"/>
      <c r="N97" s="8" t="s">
        <v>757</v>
      </c>
      <c r="O97" s="26">
        <v>0</v>
      </c>
      <c r="P97" s="25" t="s">
        <v>308</v>
      </c>
      <c r="Q97" s="25" t="s">
        <v>308</v>
      </c>
      <c r="R97" s="25" t="s">
        <v>308</v>
      </c>
      <c r="S97" s="8"/>
      <c r="T97" s="10"/>
      <c r="U97" s="8"/>
      <c r="V97" s="8"/>
      <c r="W97" s="8" t="s">
        <v>87</v>
      </c>
      <c r="X97" s="8">
        <f>SUMIF(Main!G11:O11,'S5'!Y1,Main!G26:O26)</f>
        <v>2</v>
      </c>
      <c r="Y97" s="8"/>
      <c r="Z97" s="8"/>
    </row>
    <row r="98" spans="1:26" x14ac:dyDescent="0.55000000000000004">
      <c r="A98" s="8" t="s">
        <v>761</v>
      </c>
      <c r="B98" s="25" t="s">
        <v>308</v>
      </c>
      <c r="C98" s="25" t="s">
        <v>308</v>
      </c>
      <c r="D98" s="25" t="s">
        <v>308</v>
      </c>
      <c r="E98" s="25" t="s">
        <v>308</v>
      </c>
      <c r="F98" s="25" t="s">
        <v>308</v>
      </c>
      <c r="G98" s="25" t="s">
        <v>308</v>
      </c>
      <c r="H98" s="25" t="s">
        <v>308</v>
      </c>
      <c r="I98" s="25" t="s">
        <v>308</v>
      </c>
      <c r="J98" s="25" t="s">
        <v>308</v>
      </c>
      <c r="K98" s="8"/>
      <c r="L98" s="10"/>
      <c r="M98" s="8"/>
      <c r="N98" s="8" t="s">
        <v>760</v>
      </c>
      <c r="O98" s="26">
        <v>0</v>
      </c>
      <c r="P98" s="25" t="s">
        <v>308</v>
      </c>
      <c r="Q98" s="25" t="s">
        <v>308</v>
      </c>
      <c r="R98" s="25" t="s">
        <v>308</v>
      </c>
      <c r="S98" s="8"/>
      <c r="T98" s="10"/>
      <c r="U98" s="8"/>
      <c r="V98" s="8"/>
      <c r="W98" s="8" t="s">
        <v>95</v>
      </c>
      <c r="X98" s="8">
        <f>SUMIF(Main!G11:O11,'S5'!Y1,Main!G27:O27)</f>
        <v>2</v>
      </c>
      <c r="Y98" s="8"/>
      <c r="Z98" s="8"/>
    </row>
    <row r="99" spans="1:26" x14ac:dyDescent="0.55000000000000004">
      <c r="A99" s="8" t="s">
        <v>764</v>
      </c>
      <c r="B99" s="25" t="s">
        <v>308</v>
      </c>
      <c r="C99" s="25" t="s">
        <v>308</v>
      </c>
      <c r="D99" s="25" t="s">
        <v>308</v>
      </c>
      <c r="E99" s="25" t="s">
        <v>308</v>
      </c>
      <c r="F99" s="25" t="s">
        <v>308</v>
      </c>
      <c r="G99" s="25" t="s">
        <v>308</v>
      </c>
      <c r="H99" s="25" t="s">
        <v>308</v>
      </c>
      <c r="I99" s="25" t="s">
        <v>308</v>
      </c>
      <c r="J99" s="25" t="s">
        <v>308</v>
      </c>
      <c r="K99" s="8"/>
      <c r="L99" s="10"/>
      <c r="M99" s="8"/>
      <c r="N99" s="8" t="s">
        <v>763</v>
      </c>
      <c r="O99" s="26">
        <v>0</v>
      </c>
      <c r="P99" s="25" t="s">
        <v>308</v>
      </c>
      <c r="Q99" s="25" t="s">
        <v>308</v>
      </c>
      <c r="R99" s="25" t="s">
        <v>308</v>
      </c>
      <c r="S99" s="8"/>
      <c r="T99" s="10"/>
      <c r="U99" s="8"/>
      <c r="V99" s="8"/>
      <c r="W99" s="8" t="s">
        <v>101</v>
      </c>
      <c r="X99" s="8">
        <f>SUMIF(Main!G11:O11,'S5'!Y1,Main!G28:O28)</f>
        <v>2</v>
      </c>
      <c r="Y99" s="8"/>
      <c r="Z99" s="8"/>
    </row>
    <row r="100" spans="1:26" x14ac:dyDescent="0.55000000000000004">
      <c r="A100" s="8" t="s">
        <v>767</v>
      </c>
      <c r="B100" s="25" t="s">
        <v>308</v>
      </c>
      <c r="C100" s="25" t="s">
        <v>308</v>
      </c>
      <c r="D100" s="25" t="s">
        <v>308</v>
      </c>
      <c r="E100" s="25" t="s">
        <v>308</v>
      </c>
      <c r="F100" s="25" t="s">
        <v>308</v>
      </c>
      <c r="G100" s="25" t="s">
        <v>308</v>
      </c>
      <c r="H100" s="25" t="s">
        <v>308</v>
      </c>
      <c r="I100" s="25" t="s">
        <v>308</v>
      </c>
      <c r="J100" s="25" t="s">
        <v>308</v>
      </c>
      <c r="K100" s="8"/>
      <c r="L100" s="10"/>
      <c r="M100" s="8"/>
      <c r="N100" s="8" t="s">
        <v>766</v>
      </c>
      <c r="O100" s="26">
        <v>0</v>
      </c>
      <c r="P100" s="25" t="s">
        <v>308</v>
      </c>
      <c r="Q100" s="25" t="s">
        <v>308</v>
      </c>
      <c r="R100" s="25" t="s">
        <v>308</v>
      </c>
      <c r="S100" s="8"/>
      <c r="T100" s="10"/>
      <c r="U100" s="8"/>
      <c r="V100" s="8"/>
      <c r="W100" s="8"/>
      <c r="X100" s="8"/>
      <c r="Y100" s="8"/>
      <c r="Z100" s="8"/>
    </row>
    <row r="101" spans="1:26" x14ac:dyDescent="0.55000000000000004">
      <c r="A101" s="8" t="s">
        <v>770</v>
      </c>
      <c r="B101" s="25" t="s">
        <v>308</v>
      </c>
      <c r="C101" s="25" t="s">
        <v>308</v>
      </c>
      <c r="D101" s="25" t="s">
        <v>308</v>
      </c>
      <c r="E101" s="25" t="s">
        <v>308</v>
      </c>
      <c r="F101" s="25" t="s">
        <v>308</v>
      </c>
      <c r="G101" s="25" t="s">
        <v>308</v>
      </c>
      <c r="H101" s="25" t="s">
        <v>308</v>
      </c>
      <c r="I101" s="25" t="s">
        <v>308</v>
      </c>
      <c r="J101" s="25" t="s">
        <v>308</v>
      </c>
      <c r="K101" s="8"/>
      <c r="L101" s="10"/>
      <c r="M101" s="8"/>
      <c r="N101" s="8" t="s">
        <v>769</v>
      </c>
      <c r="O101" s="26">
        <v>0</v>
      </c>
      <c r="P101" s="25" t="s">
        <v>308</v>
      </c>
      <c r="Q101" s="25" t="s">
        <v>308</v>
      </c>
      <c r="R101" s="25" t="s">
        <v>308</v>
      </c>
      <c r="S101" s="8"/>
      <c r="T101" s="10"/>
      <c r="U101" s="8"/>
      <c r="V101" s="8"/>
      <c r="W101" s="8"/>
      <c r="X101" s="8"/>
      <c r="Y101" s="8"/>
      <c r="Z101" s="8"/>
    </row>
    <row r="102" spans="1:26" x14ac:dyDescent="0.55000000000000004">
      <c r="A102" s="8" t="s">
        <v>211</v>
      </c>
      <c r="B102" s="25" t="s">
        <v>308</v>
      </c>
      <c r="C102" s="25" t="s">
        <v>308</v>
      </c>
      <c r="D102" s="25" t="s">
        <v>308</v>
      </c>
      <c r="E102" s="25" t="s">
        <v>308</v>
      </c>
      <c r="F102" s="25" t="s">
        <v>308</v>
      </c>
      <c r="G102" s="25" t="s">
        <v>308</v>
      </c>
      <c r="H102" s="25" t="s">
        <v>308</v>
      </c>
      <c r="I102" s="25" t="s">
        <v>308</v>
      </c>
      <c r="J102" s="25" t="s">
        <v>308</v>
      </c>
      <c r="K102" s="8"/>
      <c r="L102" s="10"/>
      <c r="M102" s="8"/>
      <c r="N102" s="8" t="s">
        <v>210</v>
      </c>
      <c r="O102" s="26">
        <v>0</v>
      </c>
      <c r="P102" s="25" t="s">
        <v>308</v>
      </c>
      <c r="Q102" s="25" t="s">
        <v>308</v>
      </c>
      <c r="R102" s="25" t="s">
        <v>308</v>
      </c>
      <c r="S102" s="8"/>
      <c r="T102" s="10"/>
      <c r="U102" s="8"/>
      <c r="V102" s="8"/>
      <c r="W102" s="8"/>
      <c r="X102" s="8"/>
      <c r="Y102" s="8"/>
      <c r="Z102" s="8"/>
    </row>
    <row r="103" spans="1:26" x14ac:dyDescent="0.55000000000000004">
      <c r="A103" s="8" t="s">
        <v>214</v>
      </c>
      <c r="B103" s="25" t="s">
        <v>308</v>
      </c>
      <c r="C103" s="25" t="s">
        <v>308</v>
      </c>
      <c r="D103" s="25" t="s">
        <v>308</v>
      </c>
      <c r="E103" s="25" t="s">
        <v>308</v>
      </c>
      <c r="F103" s="25" t="s">
        <v>308</v>
      </c>
      <c r="G103" s="25" t="s">
        <v>308</v>
      </c>
      <c r="H103" s="25" t="s">
        <v>308</v>
      </c>
      <c r="I103" s="25" t="s">
        <v>308</v>
      </c>
      <c r="J103" s="25" t="s">
        <v>308</v>
      </c>
      <c r="K103" s="8"/>
      <c r="L103" s="10"/>
      <c r="M103" s="8"/>
      <c r="N103" s="8" t="s">
        <v>213</v>
      </c>
      <c r="O103" s="26">
        <v>0</v>
      </c>
      <c r="P103" s="25" t="s">
        <v>308</v>
      </c>
      <c r="Q103" s="25" t="s">
        <v>308</v>
      </c>
      <c r="R103" s="25" t="s">
        <v>308</v>
      </c>
      <c r="S103" s="8"/>
      <c r="T103" s="10"/>
      <c r="U103" s="8"/>
      <c r="V103" s="8"/>
      <c r="W103" s="8"/>
      <c r="X103" s="8"/>
      <c r="Y103" s="8"/>
      <c r="Z103" s="8"/>
    </row>
    <row r="104" spans="1:26" x14ac:dyDescent="0.55000000000000004">
      <c r="A104" s="8" t="s">
        <v>217</v>
      </c>
      <c r="B104" s="25" t="s">
        <v>308</v>
      </c>
      <c r="C104" s="25" t="s">
        <v>308</v>
      </c>
      <c r="D104" s="25" t="s">
        <v>308</v>
      </c>
      <c r="E104" s="25" t="s">
        <v>308</v>
      </c>
      <c r="F104" s="25" t="s">
        <v>308</v>
      </c>
      <c r="G104" s="25" t="s">
        <v>308</v>
      </c>
      <c r="H104" s="25" t="s">
        <v>308</v>
      </c>
      <c r="I104" s="25" t="s">
        <v>308</v>
      </c>
      <c r="J104" s="25" t="s">
        <v>308</v>
      </c>
      <c r="K104" s="8"/>
      <c r="L104" s="10"/>
      <c r="M104" s="8"/>
      <c r="N104" s="8" t="s">
        <v>216</v>
      </c>
      <c r="O104" s="26">
        <v>0</v>
      </c>
      <c r="P104" s="25" t="s">
        <v>308</v>
      </c>
      <c r="Q104" s="25" t="s">
        <v>308</v>
      </c>
      <c r="R104" s="25" t="s">
        <v>308</v>
      </c>
      <c r="S104" s="8"/>
      <c r="T104" s="10"/>
      <c r="U104" s="8"/>
      <c r="V104" s="8"/>
      <c r="W104" s="8"/>
      <c r="X104" s="8"/>
      <c r="Y104" s="8"/>
      <c r="Z104" s="8"/>
    </row>
    <row r="105" spans="1:26" x14ac:dyDescent="0.55000000000000004">
      <c r="A105" s="8" t="s">
        <v>776</v>
      </c>
      <c r="B105" s="25" t="s">
        <v>308</v>
      </c>
      <c r="C105" s="25" t="s">
        <v>308</v>
      </c>
      <c r="D105" s="25" t="s">
        <v>308</v>
      </c>
      <c r="E105" s="25" t="s">
        <v>308</v>
      </c>
      <c r="F105" s="25" t="s">
        <v>308</v>
      </c>
      <c r="G105" s="25" t="s">
        <v>308</v>
      </c>
      <c r="H105" s="25" t="s">
        <v>308</v>
      </c>
      <c r="I105" s="25" t="s">
        <v>308</v>
      </c>
      <c r="J105" s="25" t="s">
        <v>308</v>
      </c>
      <c r="K105" s="8"/>
      <c r="L105" s="10"/>
      <c r="M105" s="8"/>
      <c r="N105" s="8" t="s">
        <v>775</v>
      </c>
      <c r="O105" s="26">
        <v>0</v>
      </c>
      <c r="P105" s="25" t="s">
        <v>308</v>
      </c>
      <c r="Q105" s="25" t="s">
        <v>308</v>
      </c>
      <c r="R105" s="25" t="s">
        <v>308</v>
      </c>
      <c r="S105" s="8"/>
      <c r="T105" s="10"/>
      <c r="U105" s="8"/>
      <c r="V105" s="8"/>
      <c r="W105" s="8"/>
      <c r="X105" s="8"/>
      <c r="Y105" s="8"/>
      <c r="Z105" s="8"/>
    </row>
    <row r="106" spans="1:26" x14ac:dyDescent="0.55000000000000004">
      <c r="A106" s="8" t="s">
        <v>779</v>
      </c>
      <c r="B106" s="25" t="s">
        <v>308</v>
      </c>
      <c r="C106" s="25" t="s">
        <v>308</v>
      </c>
      <c r="D106" s="25" t="s">
        <v>308</v>
      </c>
      <c r="E106" s="25" t="s">
        <v>308</v>
      </c>
      <c r="F106" s="25" t="s">
        <v>308</v>
      </c>
      <c r="G106" s="25" t="s">
        <v>308</v>
      </c>
      <c r="H106" s="25" t="s">
        <v>308</v>
      </c>
      <c r="I106" s="25" t="s">
        <v>308</v>
      </c>
      <c r="J106" s="25" t="s">
        <v>308</v>
      </c>
      <c r="K106" s="8"/>
      <c r="L106" s="10"/>
      <c r="M106" s="8"/>
      <c r="N106" s="8" t="s">
        <v>778</v>
      </c>
      <c r="O106" s="26">
        <v>0</v>
      </c>
      <c r="P106" s="25" t="s">
        <v>308</v>
      </c>
      <c r="Q106" s="25" t="s">
        <v>308</v>
      </c>
      <c r="R106" s="25" t="s">
        <v>308</v>
      </c>
      <c r="S106" s="8"/>
      <c r="T106" s="10"/>
      <c r="U106" s="8"/>
      <c r="V106" s="8"/>
      <c r="W106" s="8"/>
      <c r="X106" s="8"/>
      <c r="Y106" s="8"/>
      <c r="Z106" s="8"/>
    </row>
    <row r="107" spans="1:26" x14ac:dyDescent="0.55000000000000004">
      <c r="A107" s="8" t="s">
        <v>782</v>
      </c>
      <c r="B107" s="25" t="s">
        <v>308</v>
      </c>
      <c r="C107" s="25" t="s">
        <v>308</v>
      </c>
      <c r="D107" s="25" t="s">
        <v>308</v>
      </c>
      <c r="E107" s="25" t="s">
        <v>308</v>
      </c>
      <c r="F107" s="25" t="s">
        <v>308</v>
      </c>
      <c r="G107" s="25" t="s">
        <v>308</v>
      </c>
      <c r="H107" s="25" t="s">
        <v>308</v>
      </c>
      <c r="I107" s="25" t="s">
        <v>308</v>
      </c>
      <c r="J107" s="25" t="s">
        <v>308</v>
      </c>
      <c r="K107" s="8"/>
      <c r="L107" s="10"/>
      <c r="M107" s="8"/>
      <c r="N107" s="8" t="s">
        <v>781</v>
      </c>
      <c r="O107" s="26">
        <v>0</v>
      </c>
      <c r="P107" s="25" t="s">
        <v>308</v>
      </c>
      <c r="Q107" s="25" t="s">
        <v>308</v>
      </c>
      <c r="R107" s="25" t="s">
        <v>308</v>
      </c>
      <c r="S107" s="8"/>
      <c r="T107" s="10"/>
      <c r="U107" s="8"/>
      <c r="V107" s="8"/>
      <c r="W107" s="8"/>
      <c r="X107" s="8"/>
      <c r="Y107" s="8"/>
      <c r="Z107" s="8"/>
    </row>
    <row r="108" spans="1:26" x14ac:dyDescent="0.55000000000000004">
      <c r="A108" s="8" t="s">
        <v>220</v>
      </c>
      <c r="B108" s="25" t="s">
        <v>308</v>
      </c>
      <c r="C108" s="25" t="s">
        <v>308</v>
      </c>
      <c r="D108" s="25" t="s">
        <v>308</v>
      </c>
      <c r="E108" s="25" t="s">
        <v>308</v>
      </c>
      <c r="F108" s="25" t="s">
        <v>308</v>
      </c>
      <c r="G108" s="25" t="s">
        <v>308</v>
      </c>
      <c r="H108" s="25" t="s">
        <v>308</v>
      </c>
      <c r="I108" s="25" t="s">
        <v>308</v>
      </c>
      <c r="J108" s="25" t="s">
        <v>308</v>
      </c>
      <c r="K108" s="8"/>
      <c r="L108" s="10"/>
      <c r="M108" s="8"/>
      <c r="N108" s="8" t="s">
        <v>219</v>
      </c>
      <c r="O108" s="26">
        <v>0</v>
      </c>
      <c r="P108" s="25" t="s">
        <v>308</v>
      </c>
      <c r="Q108" s="25" t="s">
        <v>308</v>
      </c>
      <c r="R108" s="25" t="s">
        <v>308</v>
      </c>
      <c r="S108" s="8"/>
      <c r="T108" s="10"/>
      <c r="U108" s="8"/>
      <c r="V108" s="8"/>
      <c r="W108" s="8"/>
      <c r="X108" s="8"/>
      <c r="Y108" s="8"/>
      <c r="Z108" s="8"/>
    </row>
    <row r="109" spans="1:26" x14ac:dyDescent="0.55000000000000004">
      <c r="A109" s="8" t="s">
        <v>786</v>
      </c>
      <c r="B109" s="25" t="s">
        <v>308</v>
      </c>
      <c r="C109" s="25" t="s">
        <v>308</v>
      </c>
      <c r="D109" s="25" t="s">
        <v>308</v>
      </c>
      <c r="E109" s="25" t="s">
        <v>308</v>
      </c>
      <c r="F109" s="25" t="s">
        <v>308</v>
      </c>
      <c r="G109" s="25" t="s">
        <v>308</v>
      </c>
      <c r="H109" s="25" t="s">
        <v>308</v>
      </c>
      <c r="I109" s="25" t="s">
        <v>308</v>
      </c>
      <c r="J109" s="25" t="s">
        <v>308</v>
      </c>
      <c r="K109" s="8"/>
      <c r="L109" s="10"/>
      <c r="M109" s="8"/>
      <c r="N109" s="8" t="s">
        <v>785</v>
      </c>
      <c r="O109" s="26">
        <v>0</v>
      </c>
      <c r="P109" s="25" t="s">
        <v>308</v>
      </c>
      <c r="Q109" s="25" t="s">
        <v>308</v>
      </c>
      <c r="R109" s="25" t="s">
        <v>308</v>
      </c>
      <c r="S109" s="8"/>
      <c r="T109" s="10"/>
      <c r="U109" s="8"/>
      <c r="V109" s="8"/>
      <c r="W109" s="8"/>
      <c r="X109" s="8"/>
      <c r="Y109" s="8"/>
      <c r="Z109" s="8"/>
    </row>
    <row r="110" spans="1:26" x14ac:dyDescent="0.55000000000000004">
      <c r="A110" s="8" t="s">
        <v>789</v>
      </c>
      <c r="B110" s="25" t="s">
        <v>308</v>
      </c>
      <c r="C110" s="25" t="s">
        <v>308</v>
      </c>
      <c r="D110" s="25" t="s">
        <v>308</v>
      </c>
      <c r="E110" s="25" t="s">
        <v>308</v>
      </c>
      <c r="F110" s="25" t="s">
        <v>308</v>
      </c>
      <c r="G110" s="25" t="s">
        <v>308</v>
      </c>
      <c r="H110" s="25" t="s">
        <v>308</v>
      </c>
      <c r="I110" s="25" t="s">
        <v>308</v>
      </c>
      <c r="J110" s="25" t="s">
        <v>308</v>
      </c>
      <c r="K110" s="8"/>
      <c r="L110" s="10"/>
      <c r="M110" s="8"/>
      <c r="N110" s="8" t="s">
        <v>788</v>
      </c>
      <c r="O110" s="26">
        <v>0</v>
      </c>
      <c r="P110" s="25" t="s">
        <v>308</v>
      </c>
      <c r="Q110" s="25" t="s">
        <v>308</v>
      </c>
      <c r="R110" s="25" t="s">
        <v>308</v>
      </c>
      <c r="S110" s="8"/>
      <c r="T110" s="10"/>
      <c r="U110" s="8"/>
      <c r="V110" s="8"/>
      <c r="W110" s="8"/>
      <c r="X110" s="8"/>
      <c r="Y110" s="8"/>
      <c r="Z110" s="8"/>
    </row>
    <row r="111" spans="1:26" x14ac:dyDescent="0.5500000000000000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8"/>
      <c r="P111" s="8"/>
      <c r="Q111" s="8"/>
      <c r="R111" s="8"/>
      <c r="S111" s="8"/>
      <c r="T111" s="10"/>
      <c r="U111" s="8"/>
      <c r="V111" s="8"/>
      <c r="W111" s="8"/>
      <c r="X111" s="8"/>
      <c r="Y111" s="8"/>
      <c r="Z111" s="8"/>
    </row>
  </sheetData>
  <sheetProtection sheet="1" objects="1" scenarios="1"/>
  <mergeCells count="4">
    <mergeCell ref="B4:C4"/>
    <mergeCell ref="D4:F4"/>
    <mergeCell ref="G4:I4"/>
    <mergeCell ref="Q4:R4"/>
  </mergeCells>
  <conditionalFormatting sqref="O7:O110">
    <cfRule type="cellIs" dxfId="24" priority="4" operator="equal">
      <formula>0</formula>
    </cfRule>
  </conditionalFormatting>
  <conditionalFormatting sqref="P7:R110">
    <cfRule type="cellIs" dxfId="23" priority="3" operator="equal">
      <formula>"eps"</formula>
    </cfRule>
  </conditionalFormatting>
  <conditionalFormatting sqref="W7:Y23 B7:J110">
    <cfRule type="cellIs" dxfId="22" priority="5" operator="equal">
      <formula>"eps"</formula>
    </cfRule>
  </conditionalFormatting>
  <conditionalFormatting sqref="X28:Y42">
    <cfRule type="cellIs" dxfId="21" priority="1" operator="equal">
      <formula>"eps"</formula>
    </cfRule>
  </conditionalFormatting>
  <conditionalFormatting sqref="Y46:Y54">
    <cfRule type="cellIs" dxfId="20" priority="2" operator="equal">
      <formula>"eps"</formula>
    </cfRule>
  </conditionalFormatting>
  <dataValidations count="1">
    <dataValidation type="whole" allowBlank="1" showInputMessage="1" showErrorMessage="1" errorTitle="Incorrect choice" error="Choose 0 or 1" sqref="X59:Y74 O7:O110" xr:uid="{00000000-0002-0000-0600-000000000000}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499984740745262"/>
  </sheetPr>
  <dimension ref="A1:Z111"/>
  <sheetViews>
    <sheetView zoomScale="75" zoomScaleNormal="75" workbookViewId="0">
      <pane xSplit="1" ySplit="6" topLeftCell="B43" activePane="bottomRight" state="frozen"/>
      <selection activeCell="B7" sqref="B7"/>
      <selection pane="topRight" activeCell="B7" sqref="B7"/>
      <selection pane="bottomLeft" activeCell="B7" sqref="B7"/>
      <selection pane="bottomRight" activeCell="C43" sqref="C43:C45"/>
    </sheetView>
  </sheetViews>
  <sheetFormatPr defaultColWidth="0" defaultRowHeight="14.4" zeroHeight="1" x14ac:dyDescent="0.55000000000000004"/>
  <cols>
    <col min="1" max="9" width="8.7890625" customWidth="1"/>
    <col min="10" max="10" width="8.7890625" hidden="1" customWidth="1"/>
    <col min="11" max="13" width="1" customWidth="1"/>
    <col min="14" max="18" width="8.7890625" customWidth="1"/>
    <col min="19" max="21" width="1" customWidth="1"/>
    <col min="22" max="25" width="8.7890625" customWidth="1"/>
    <col min="26" max="26" width="3.15625" customWidth="1"/>
    <col min="27" max="16384" width="8.7890625" hidden="1"/>
  </cols>
  <sheetData>
    <row r="1" spans="1:26" ht="18.3" x14ac:dyDescent="0.7">
      <c r="A1" s="6" t="str">
        <f>"Simulation "&amp;Y1&amp;IF(X1&lt;&gt;""," : "&amp;X1,"")</f>
        <v>Simulation sim6 : 50%_incr_cchem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7" t="str">
        <f>IF(Main!C6&lt;&gt;"",Main!C6,"")</f>
        <v>50%_incr_cchem</v>
      </c>
      <c r="Y1" s="17" t="str">
        <f>Main!A11</f>
        <v>sim6</v>
      </c>
      <c r="Z1" s="7"/>
    </row>
    <row r="2" spans="1:26" x14ac:dyDescent="0.5500000000000000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55000000000000004">
      <c r="A3" s="11" t="s">
        <v>271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 t="s">
        <v>272</v>
      </c>
      <c r="O3" s="11"/>
      <c r="P3" s="11"/>
      <c r="Q3" s="11"/>
      <c r="R3" s="11"/>
      <c r="S3" s="11"/>
      <c r="T3" s="11"/>
      <c r="U3" s="11"/>
      <c r="V3" s="11" t="s">
        <v>273</v>
      </c>
      <c r="W3" s="11"/>
      <c r="X3" s="11"/>
      <c r="Y3" s="11"/>
      <c r="Z3" s="11"/>
    </row>
    <row r="4" spans="1:26" x14ac:dyDescent="0.55000000000000004">
      <c r="A4" s="13"/>
      <c r="B4" s="31" t="s">
        <v>274</v>
      </c>
      <c r="C4" s="31"/>
      <c r="D4" s="31" t="s">
        <v>275</v>
      </c>
      <c r="E4" s="31"/>
      <c r="F4" s="31"/>
      <c r="G4" s="31" t="s">
        <v>17</v>
      </c>
      <c r="H4" s="31"/>
      <c r="I4" s="31"/>
      <c r="J4" s="15" t="s">
        <v>276</v>
      </c>
      <c r="K4" s="13"/>
      <c r="L4" s="10"/>
      <c r="M4" s="13"/>
      <c r="N4" s="13"/>
      <c r="O4" s="15" t="s">
        <v>277</v>
      </c>
      <c r="P4" s="15" t="s">
        <v>278</v>
      </c>
      <c r="Q4" s="31" t="s">
        <v>279</v>
      </c>
      <c r="R4" s="31"/>
      <c r="S4" s="13"/>
      <c r="T4" s="10"/>
      <c r="U4" s="13"/>
      <c r="V4" s="13"/>
      <c r="W4" s="15" t="s">
        <v>280</v>
      </c>
      <c r="X4" s="15" t="s">
        <v>281</v>
      </c>
      <c r="Y4" s="15" t="s">
        <v>280</v>
      </c>
      <c r="Z4" s="13"/>
    </row>
    <row r="5" spans="1:26" x14ac:dyDescent="0.55000000000000004">
      <c r="A5" s="13"/>
      <c r="B5" s="16" t="s">
        <v>282</v>
      </c>
      <c r="C5" s="16" t="s">
        <v>283</v>
      </c>
      <c r="D5" s="16" t="s">
        <v>282</v>
      </c>
      <c r="E5" s="16" t="s">
        <v>283</v>
      </c>
      <c r="F5" s="16" t="s">
        <v>284</v>
      </c>
      <c r="G5" s="16" t="s">
        <v>282</v>
      </c>
      <c r="H5" s="16" t="s">
        <v>283</v>
      </c>
      <c r="I5" s="16" t="s">
        <v>285</v>
      </c>
      <c r="J5" s="15" t="s">
        <v>286</v>
      </c>
      <c r="K5" s="13"/>
      <c r="L5" s="10"/>
      <c r="M5" s="13"/>
      <c r="N5" s="13"/>
      <c r="O5" s="16" t="s">
        <v>287</v>
      </c>
      <c r="P5" s="16"/>
      <c r="Q5" s="16" t="s">
        <v>288</v>
      </c>
      <c r="R5" s="16" t="s">
        <v>332</v>
      </c>
      <c r="S5" s="13"/>
      <c r="T5" s="10"/>
      <c r="U5" s="13"/>
      <c r="V5" s="13"/>
      <c r="W5" s="15" t="s">
        <v>289</v>
      </c>
      <c r="X5" s="15" t="s">
        <v>290</v>
      </c>
      <c r="Y5" s="15" t="s">
        <v>291</v>
      </c>
      <c r="Z5" s="13"/>
    </row>
    <row r="6" spans="1:26" x14ac:dyDescent="0.55000000000000004">
      <c r="A6" s="13"/>
      <c r="B6" s="16" t="s">
        <v>292</v>
      </c>
      <c r="C6" s="16" t="s">
        <v>293</v>
      </c>
      <c r="D6" s="16" t="s">
        <v>294</v>
      </c>
      <c r="E6" s="16" t="s">
        <v>295</v>
      </c>
      <c r="F6" s="16" t="s">
        <v>296</v>
      </c>
      <c r="G6" s="16" t="s">
        <v>297</v>
      </c>
      <c r="H6" s="16" t="s">
        <v>298</v>
      </c>
      <c r="I6" s="16" t="s">
        <v>299</v>
      </c>
      <c r="J6" s="16" t="s">
        <v>300</v>
      </c>
      <c r="K6" s="13"/>
      <c r="L6" s="10"/>
      <c r="M6" s="13"/>
      <c r="N6" s="13"/>
      <c r="O6" s="16" t="s">
        <v>301</v>
      </c>
      <c r="P6" s="16" t="s">
        <v>302</v>
      </c>
      <c r="Q6" s="16" t="s">
        <v>303</v>
      </c>
      <c r="R6" s="16" t="s">
        <v>304</v>
      </c>
      <c r="S6" s="13"/>
      <c r="T6" s="10"/>
      <c r="U6" s="13"/>
      <c r="V6" s="13"/>
      <c r="W6" s="16" t="s">
        <v>305</v>
      </c>
      <c r="X6" s="16" t="s">
        <v>306</v>
      </c>
      <c r="Y6" s="16" t="s">
        <v>307</v>
      </c>
      <c r="Z6" s="13"/>
    </row>
    <row r="7" spans="1:26" x14ac:dyDescent="0.55000000000000004">
      <c r="A7" s="8" t="s">
        <v>19</v>
      </c>
      <c r="B7" s="25" t="s">
        <v>308</v>
      </c>
      <c r="C7" s="25" t="s">
        <v>308</v>
      </c>
      <c r="D7" s="25" t="s">
        <v>308</v>
      </c>
      <c r="E7" s="25" t="s">
        <v>308</v>
      </c>
      <c r="F7" s="25" t="s">
        <v>308</v>
      </c>
      <c r="G7" s="25" t="s">
        <v>308</v>
      </c>
      <c r="H7" s="25" t="s">
        <v>308</v>
      </c>
      <c r="I7" s="25" t="s">
        <v>308</v>
      </c>
      <c r="J7" s="25" t="s">
        <v>308</v>
      </c>
      <c r="K7" s="8"/>
      <c r="L7" s="10"/>
      <c r="M7" s="8"/>
      <c r="N7" s="8" t="s">
        <v>18</v>
      </c>
      <c r="O7" s="26">
        <v>0</v>
      </c>
      <c r="P7" s="25" t="s">
        <v>308</v>
      </c>
      <c r="Q7" s="25" t="s">
        <v>308</v>
      </c>
      <c r="R7" s="25" t="s">
        <v>308</v>
      </c>
      <c r="S7" s="8"/>
      <c r="T7" s="10"/>
      <c r="U7" s="8"/>
      <c r="V7" s="8" t="s">
        <v>12</v>
      </c>
      <c r="W7" s="25" t="s">
        <v>308</v>
      </c>
      <c r="X7" s="25" t="s">
        <v>308</v>
      </c>
      <c r="Y7" s="25" t="s">
        <v>308</v>
      </c>
      <c r="Z7" s="8"/>
    </row>
    <row r="8" spans="1:26" x14ac:dyDescent="0.55000000000000004">
      <c r="A8" s="8" t="s">
        <v>10</v>
      </c>
      <c r="B8" s="25" t="s">
        <v>308</v>
      </c>
      <c r="C8" s="25" t="s">
        <v>308</v>
      </c>
      <c r="D8" s="25" t="s">
        <v>308</v>
      </c>
      <c r="E8" s="25" t="s">
        <v>308</v>
      </c>
      <c r="F8" s="25" t="s">
        <v>308</v>
      </c>
      <c r="G8" s="25" t="s">
        <v>308</v>
      </c>
      <c r="H8" s="25" t="s">
        <v>308</v>
      </c>
      <c r="I8" s="25" t="s">
        <v>308</v>
      </c>
      <c r="J8" s="25" t="s">
        <v>308</v>
      </c>
      <c r="K8" s="8"/>
      <c r="L8" s="10"/>
      <c r="M8" s="8"/>
      <c r="N8" s="8" t="s">
        <v>9</v>
      </c>
      <c r="O8" s="26">
        <v>0</v>
      </c>
      <c r="P8" s="25" t="s">
        <v>308</v>
      </c>
      <c r="Q8" s="25" t="s">
        <v>308</v>
      </c>
      <c r="R8" s="25" t="s">
        <v>308</v>
      </c>
      <c r="S8" s="8"/>
      <c r="T8" s="10"/>
      <c r="U8" s="8"/>
      <c r="V8" s="8" t="s">
        <v>20</v>
      </c>
      <c r="W8" s="25" t="s">
        <v>308</v>
      </c>
      <c r="X8" s="25" t="s">
        <v>308</v>
      </c>
      <c r="Y8" s="25" t="s">
        <v>308</v>
      </c>
      <c r="Z8" s="8"/>
    </row>
    <row r="9" spans="1:26" x14ac:dyDescent="0.55000000000000004">
      <c r="A9" s="8" t="s">
        <v>35</v>
      </c>
      <c r="B9" s="25" t="s">
        <v>308</v>
      </c>
      <c r="C9" s="25" t="s">
        <v>308</v>
      </c>
      <c r="D9" s="25" t="s">
        <v>308</v>
      </c>
      <c r="E9" s="25" t="s">
        <v>308</v>
      </c>
      <c r="F9" s="25" t="s">
        <v>308</v>
      </c>
      <c r="G9" s="25" t="s">
        <v>308</v>
      </c>
      <c r="H9" s="25" t="s">
        <v>308</v>
      </c>
      <c r="I9" s="25" t="s">
        <v>308</v>
      </c>
      <c r="J9" s="25" t="s">
        <v>308</v>
      </c>
      <c r="K9" s="8"/>
      <c r="L9" s="10"/>
      <c r="M9" s="8"/>
      <c r="N9" s="8" t="s">
        <v>34</v>
      </c>
      <c r="O9" s="26">
        <v>0</v>
      </c>
      <c r="P9" s="25" t="s">
        <v>308</v>
      </c>
      <c r="Q9" s="25" t="s">
        <v>308</v>
      </c>
      <c r="R9" s="25" t="s">
        <v>308</v>
      </c>
      <c r="S9" s="8"/>
      <c r="T9" s="10"/>
      <c r="U9" s="8"/>
      <c r="V9" s="8" t="s">
        <v>28</v>
      </c>
      <c r="W9" s="25" t="s">
        <v>308</v>
      </c>
      <c r="X9" s="25" t="s">
        <v>308</v>
      </c>
      <c r="Y9" s="25" t="s">
        <v>308</v>
      </c>
      <c r="Z9" s="8"/>
    </row>
    <row r="10" spans="1:26" x14ac:dyDescent="0.55000000000000004">
      <c r="A10" s="8" t="s">
        <v>27</v>
      </c>
      <c r="B10" s="25" t="s">
        <v>308</v>
      </c>
      <c r="C10" s="25" t="s">
        <v>308</v>
      </c>
      <c r="D10" s="25" t="s">
        <v>308</v>
      </c>
      <c r="E10" s="25" t="s">
        <v>308</v>
      </c>
      <c r="F10" s="25" t="s">
        <v>308</v>
      </c>
      <c r="G10" s="25" t="s">
        <v>308</v>
      </c>
      <c r="H10" s="25" t="s">
        <v>308</v>
      </c>
      <c r="I10" s="25" t="s">
        <v>308</v>
      </c>
      <c r="J10" s="25" t="s">
        <v>308</v>
      </c>
      <c r="K10" s="8"/>
      <c r="L10" s="10"/>
      <c r="M10" s="8"/>
      <c r="N10" s="8" t="s">
        <v>26</v>
      </c>
      <c r="O10" s="26">
        <v>0</v>
      </c>
      <c r="P10" s="25" t="s">
        <v>308</v>
      </c>
      <c r="Q10" s="25" t="s">
        <v>308</v>
      </c>
      <c r="R10" s="25" t="s">
        <v>308</v>
      </c>
      <c r="S10" s="8"/>
      <c r="T10" s="10"/>
      <c r="U10" s="8"/>
      <c r="V10" s="8" t="s">
        <v>36</v>
      </c>
      <c r="W10" s="25" t="s">
        <v>308</v>
      </c>
      <c r="X10" s="25" t="s">
        <v>308</v>
      </c>
      <c r="Y10" s="25" t="s">
        <v>308</v>
      </c>
      <c r="Z10" s="8"/>
    </row>
    <row r="11" spans="1:26" x14ac:dyDescent="0.55000000000000004">
      <c r="A11" s="8" t="s">
        <v>42</v>
      </c>
      <c r="B11" s="25" t="s">
        <v>308</v>
      </c>
      <c r="C11" s="25" t="s">
        <v>308</v>
      </c>
      <c r="D11" s="25" t="s">
        <v>308</v>
      </c>
      <c r="E11" s="25" t="s">
        <v>308</v>
      </c>
      <c r="F11" s="25" t="s">
        <v>308</v>
      </c>
      <c r="G11" s="25" t="s">
        <v>308</v>
      </c>
      <c r="H11" s="25" t="s">
        <v>308</v>
      </c>
      <c r="I11" s="25" t="s">
        <v>308</v>
      </c>
      <c r="J11" s="25" t="s">
        <v>308</v>
      </c>
      <c r="K11" s="8"/>
      <c r="L11" s="10"/>
      <c r="M11" s="8"/>
      <c r="N11" s="8" t="s">
        <v>41</v>
      </c>
      <c r="O11" s="26">
        <v>0</v>
      </c>
      <c r="P11" s="25" t="s">
        <v>308</v>
      </c>
      <c r="Q11" s="25" t="s">
        <v>308</v>
      </c>
      <c r="R11" s="25" t="s">
        <v>308</v>
      </c>
      <c r="S11" s="8"/>
      <c r="T11" s="10"/>
      <c r="U11" s="8"/>
      <c r="V11" s="8" t="s">
        <v>44</v>
      </c>
      <c r="W11" s="25" t="s">
        <v>308</v>
      </c>
      <c r="X11" s="25" t="s">
        <v>308</v>
      </c>
      <c r="Y11" s="25" t="s">
        <v>308</v>
      </c>
      <c r="Z11" s="8"/>
    </row>
    <row r="12" spans="1:26" x14ac:dyDescent="0.55000000000000004">
      <c r="A12" s="8" t="s">
        <v>78</v>
      </c>
      <c r="B12" s="25" t="s">
        <v>308</v>
      </c>
      <c r="C12" s="25" t="s">
        <v>308</v>
      </c>
      <c r="D12" s="25" t="s">
        <v>308</v>
      </c>
      <c r="E12" s="25" t="s">
        <v>308</v>
      </c>
      <c r="F12" s="25" t="s">
        <v>308</v>
      </c>
      <c r="G12" s="25" t="s">
        <v>308</v>
      </c>
      <c r="H12" s="25" t="s">
        <v>308</v>
      </c>
      <c r="I12" s="25" t="s">
        <v>308</v>
      </c>
      <c r="J12" s="25" t="s">
        <v>308</v>
      </c>
      <c r="K12" s="8"/>
      <c r="L12" s="10"/>
      <c r="M12" s="8"/>
      <c r="N12" s="8" t="s">
        <v>77</v>
      </c>
      <c r="O12" s="26">
        <v>0</v>
      </c>
      <c r="P12" s="25" t="s">
        <v>308</v>
      </c>
      <c r="Q12" s="25" t="s">
        <v>308</v>
      </c>
      <c r="R12" s="25" t="s">
        <v>308</v>
      </c>
      <c r="S12" s="8"/>
      <c r="T12" s="10"/>
      <c r="U12" s="8"/>
      <c r="V12" s="8" t="s">
        <v>49</v>
      </c>
      <c r="W12" s="25" t="s">
        <v>308</v>
      </c>
      <c r="X12" s="25" t="s">
        <v>308</v>
      </c>
      <c r="Y12" s="25" t="s">
        <v>308</v>
      </c>
      <c r="Z12" s="8"/>
    </row>
    <row r="13" spans="1:26" x14ac:dyDescent="0.55000000000000004">
      <c r="A13" s="8" t="s">
        <v>86</v>
      </c>
      <c r="B13" s="25" t="s">
        <v>308</v>
      </c>
      <c r="C13" s="25" t="s">
        <v>308</v>
      </c>
      <c r="D13" s="25" t="s">
        <v>308</v>
      </c>
      <c r="E13" s="25" t="s">
        <v>308</v>
      </c>
      <c r="F13" s="25" t="s">
        <v>308</v>
      </c>
      <c r="G13" s="25" t="s">
        <v>308</v>
      </c>
      <c r="H13" s="25" t="s">
        <v>308</v>
      </c>
      <c r="I13" s="25" t="s">
        <v>308</v>
      </c>
      <c r="J13" s="25" t="s">
        <v>308</v>
      </c>
      <c r="K13" s="8"/>
      <c r="L13" s="10"/>
      <c r="M13" s="8"/>
      <c r="N13" s="8" t="s">
        <v>85</v>
      </c>
      <c r="O13" s="26">
        <v>0</v>
      </c>
      <c r="P13" s="25" t="s">
        <v>308</v>
      </c>
      <c r="Q13" s="25" t="s">
        <v>308</v>
      </c>
      <c r="R13" s="25" t="s">
        <v>308</v>
      </c>
      <c r="S13" s="8"/>
      <c r="T13" s="10"/>
      <c r="U13" s="8"/>
      <c r="V13" s="8" t="s">
        <v>57</v>
      </c>
      <c r="W13" s="25" t="s">
        <v>308</v>
      </c>
      <c r="X13" s="25" t="s">
        <v>308</v>
      </c>
      <c r="Y13" s="25" t="s">
        <v>308</v>
      </c>
      <c r="Z13" s="8"/>
    </row>
    <row r="14" spans="1:26" x14ac:dyDescent="0.55000000000000004">
      <c r="A14" s="8" t="s">
        <v>71</v>
      </c>
      <c r="B14" s="25" t="s">
        <v>308</v>
      </c>
      <c r="C14" s="25" t="s">
        <v>308</v>
      </c>
      <c r="D14" s="25" t="s">
        <v>308</v>
      </c>
      <c r="E14" s="25" t="s">
        <v>308</v>
      </c>
      <c r="F14" s="25" t="s">
        <v>308</v>
      </c>
      <c r="G14" s="25" t="s">
        <v>308</v>
      </c>
      <c r="H14" s="25" t="s">
        <v>308</v>
      </c>
      <c r="I14" s="25" t="s">
        <v>308</v>
      </c>
      <c r="J14" s="25" t="s">
        <v>308</v>
      </c>
      <c r="K14" s="8"/>
      <c r="L14" s="10"/>
      <c r="M14" s="8"/>
      <c r="N14" s="8" t="s">
        <v>70</v>
      </c>
      <c r="O14" s="26">
        <v>0</v>
      </c>
      <c r="P14" s="25" t="s">
        <v>308</v>
      </c>
      <c r="Q14" s="25" t="s">
        <v>308</v>
      </c>
      <c r="R14" s="25" t="s">
        <v>308</v>
      </c>
      <c r="S14" s="8"/>
      <c r="T14" s="10"/>
      <c r="U14" s="8"/>
      <c r="V14" s="8" t="s">
        <v>65</v>
      </c>
      <c r="W14" s="25" t="s">
        <v>308</v>
      </c>
      <c r="X14" s="25" t="s">
        <v>308</v>
      </c>
      <c r="Y14" s="25" t="s">
        <v>308</v>
      </c>
      <c r="Z14" s="8"/>
    </row>
    <row r="15" spans="1:26" x14ac:dyDescent="0.55000000000000004">
      <c r="A15" s="8" t="s">
        <v>94</v>
      </c>
      <c r="B15" s="25" t="s">
        <v>308</v>
      </c>
      <c r="C15" s="25" t="s">
        <v>308</v>
      </c>
      <c r="D15" s="25" t="s">
        <v>308</v>
      </c>
      <c r="E15" s="25" t="s">
        <v>308</v>
      </c>
      <c r="F15" s="25" t="s">
        <v>308</v>
      </c>
      <c r="G15" s="25" t="s">
        <v>308</v>
      </c>
      <c r="H15" s="25" t="s">
        <v>308</v>
      </c>
      <c r="I15" s="25" t="s">
        <v>308</v>
      </c>
      <c r="J15" s="25" t="s">
        <v>308</v>
      </c>
      <c r="K15" s="8"/>
      <c r="L15" s="10"/>
      <c r="M15" s="8"/>
      <c r="N15" s="8" t="s">
        <v>93</v>
      </c>
      <c r="O15" s="26">
        <v>0</v>
      </c>
      <c r="P15" s="25" t="s">
        <v>308</v>
      </c>
      <c r="Q15" s="25" t="s">
        <v>308</v>
      </c>
      <c r="R15" s="25" t="s">
        <v>308</v>
      </c>
      <c r="S15" s="8"/>
      <c r="T15" s="10"/>
      <c r="U15" s="8"/>
      <c r="V15" s="8" t="s">
        <v>573</v>
      </c>
      <c r="W15" s="25" t="s">
        <v>308</v>
      </c>
      <c r="X15" s="25" t="s">
        <v>308</v>
      </c>
      <c r="Y15" s="25" t="s">
        <v>308</v>
      </c>
      <c r="Z15" s="8"/>
    </row>
    <row r="16" spans="1:26" x14ac:dyDescent="0.55000000000000004">
      <c r="A16" s="8" t="s">
        <v>578</v>
      </c>
      <c r="B16" s="25" t="s">
        <v>308</v>
      </c>
      <c r="C16" s="25" t="s">
        <v>308</v>
      </c>
      <c r="D16" s="25" t="s">
        <v>308</v>
      </c>
      <c r="E16" s="25" t="s">
        <v>308</v>
      </c>
      <c r="F16" s="25" t="s">
        <v>308</v>
      </c>
      <c r="G16" s="25" t="s">
        <v>308</v>
      </c>
      <c r="H16" s="25" t="s">
        <v>308</v>
      </c>
      <c r="I16" s="25" t="s">
        <v>308</v>
      </c>
      <c r="J16" s="25" t="s">
        <v>308</v>
      </c>
      <c r="K16" s="8"/>
      <c r="L16" s="10"/>
      <c r="M16" s="8"/>
      <c r="N16" s="8" t="s">
        <v>577</v>
      </c>
      <c r="O16" s="26">
        <v>0</v>
      </c>
      <c r="P16" s="25" t="s">
        <v>308</v>
      </c>
      <c r="Q16" s="25" t="s">
        <v>308</v>
      </c>
      <c r="R16" s="25" t="s">
        <v>308</v>
      </c>
      <c r="S16" s="8"/>
      <c r="T16" s="10"/>
      <c r="U16" s="8"/>
      <c r="V16" s="8" t="s">
        <v>580</v>
      </c>
      <c r="W16" s="25" t="s">
        <v>308</v>
      </c>
      <c r="X16" s="25" t="s">
        <v>308</v>
      </c>
      <c r="Y16" s="25" t="s">
        <v>308</v>
      </c>
      <c r="Z16" s="8"/>
    </row>
    <row r="17" spans="1:26" x14ac:dyDescent="0.55000000000000004">
      <c r="A17" s="8" t="s">
        <v>584</v>
      </c>
      <c r="B17" s="25" t="s">
        <v>308</v>
      </c>
      <c r="C17" s="25" t="s">
        <v>308</v>
      </c>
      <c r="D17" s="25" t="s">
        <v>308</v>
      </c>
      <c r="E17" s="25" t="s">
        <v>308</v>
      </c>
      <c r="F17" s="25" t="s">
        <v>308</v>
      </c>
      <c r="G17" s="25" t="s">
        <v>308</v>
      </c>
      <c r="H17" s="25" t="s">
        <v>308</v>
      </c>
      <c r="I17" s="25" t="s">
        <v>308</v>
      </c>
      <c r="J17" s="25" t="s">
        <v>308</v>
      </c>
      <c r="K17" s="8"/>
      <c r="L17" s="10"/>
      <c r="M17" s="8"/>
      <c r="N17" s="8" t="s">
        <v>583</v>
      </c>
      <c r="O17" s="26">
        <v>0</v>
      </c>
      <c r="P17" s="25" t="s">
        <v>308</v>
      </c>
      <c r="Q17" s="25" t="s">
        <v>308</v>
      </c>
      <c r="R17" s="25" t="s">
        <v>308</v>
      </c>
      <c r="S17" s="8"/>
      <c r="T17" s="10"/>
      <c r="U17" s="8"/>
      <c r="V17" s="8" t="s">
        <v>586</v>
      </c>
      <c r="W17" s="25" t="s">
        <v>308</v>
      </c>
      <c r="X17" s="25" t="s">
        <v>308</v>
      </c>
      <c r="Y17" s="25" t="s">
        <v>308</v>
      </c>
      <c r="Z17" s="8"/>
    </row>
    <row r="18" spans="1:26" x14ac:dyDescent="0.55000000000000004">
      <c r="A18" s="8" t="s">
        <v>108</v>
      </c>
      <c r="B18" s="25" t="s">
        <v>308</v>
      </c>
      <c r="C18" s="25" t="s">
        <v>308</v>
      </c>
      <c r="D18" s="25" t="s">
        <v>308</v>
      </c>
      <c r="E18" s="25" t="s">
        <v>308</v>
      </c>
      <c r="F18" s="25" t="s">
        <v>308</v>
      </c>
      <c r="G18" s="25" t="s">
        <v>308</v>
      </c>
      <c r="H18" s="25" t="s">
        <v>308</v>
      </c>
      <c r="I18" s="25" t="s">
        <v>308</v>
      </c>
      <c r="J18" s="25" t="s">
        <v>308</v>
      </c>
      <c r="K18" s="8"/>
      <c r="L18" s="10"/>
      <c r="M18" s="8"/>
      <c r="N18" s="8" t="s">
        <v>107</v>
      </c>
      <c r="O18" s="26">
        <v>0</v>
      </c>
      <c r="P18" s="25" t="s">
        <v>308</v>
      </c>
      <c r="Q18" s="25" t="s">
        <v>308</v>
      </c>
      <c r="R18" s="25" t="s">
        <v>308</v>
      </c>
      <c r="S18" s="8"/>
      <c r="T18" s="10"/>
      <c r="U18" s="8"/>
      <c r="V18" s="8" t="s">
        <v>590</v>
      </c>
      <c r="W18" s="25" t="s">
        <v>308</v>
      </c>
      <c r="X18" s="25" t="s">
        <v>308</v>
      </c>
      <c r="Y18" s="25" t="s">
        <v>308</v>
      </c>
      <c r="Z18" s="8"/>
    </row>
    <row r="19" spans="1:26" x14ac:dyDescent="0.55000000000000004">
      <c r="A19" s="8" t="s">
        <v>594</v>
      </c>
      <c r="B19" s="25" t="s">
        <v>308</v>
      </c>
      <c r="C19" s="25" t="s">
        <v>308</v>
      </c>
      <c r="D19" s="25" t="s">
        <v>308</v>
      </c>
      <c r="E19" s="25" t="s">
        <v>308</v>
      </c>
      <c r="F19" s="25" t="s">
        <v>308</v>
      </c>
      <c r="G19" s="25" t="s">
        <v>308</v>
      </c>
      <c r="H19" s="25" t="s">
        <v>308</v>
      </c>
      <c r="I19" s="25" t="s">
        <v>308</v>
      </c>
      <c r="J19" s="25" t="s">
        <v>308</v>
      </c>
      <c r="K19" s="8"/>
      <c r="L19" s="10"/>
      <c r="M19" s="8"/>
      <c r="N19" s="8" t="s">
        <v>593</v>
      </c>
      <c r="O19" s="26">
        <v>0</v>
      </c>
      <c r="P19" s="25" t="s">
        <v>308</v>
      </c>
      <c r="Q19" s="25" t="s">
        <v>308</v>
      </c>
      <c r="R19" s="25" t="s">
        <v>308</v>
      </c>
      <c r="S19" s="8"/>
      <c r="T19" s="10"/>
      <c r="U19" s="8"/>
      <c r="V19" s="8" t="s">
        <v>72</v>
      </c>
      <c r="W19" s="25" t="s">
        <v>308</v>
      </c>
      <c r="X19" s="25" t="s">
        <v>308</v>
      </c>
      <c r="Y19" s="25" t="s">
        <v>308</v>
      </c>
      <c r="Z19" s="8"/>
    </row>
    <row r="20" spans="1:26" x14ac:dyDescent="0.55000000000000004">
      <c r="A20" s="8" t="s">
        <v>598</v>
      </c>
      <c r="B20" s="25" t="s">
        <v>308</v>
      </c>
      <c r="C20" s="25" t="s">
        <v>308</v>
      </c>
      <c r="D20" s="25" t="s">
        <v>308</v>
      </c>
      <c r="E20" s="25" t="s">
        <v>308</v>
      </c>
      <c r="F20" s="25" t="s">
        <v>308</v>
      </c>
      <c r="G20" s="25" t="s">
        <v>308</v>
      </c>
      <c r="H20" s="25" t="s">
        <v>308</v>
      </c>
      <c r="I20" s="25" t="s">
        <v>308</v>
      </c>
      <c r="J20" s="25" t="s">
        <v>308</v>
      </c>
      <c r="K20" s="8"/>
      <c r="L20" s="10"/>
      <c r="M20" s="8"/>
      <c r="N20" s="8" t="s">
        <v>597</v>
      </c>
      <c r="O20" s="26">
        <v>0</v>
      </c>
      <c r="P20" s="25" t="s">
        <v>308</v>
      </c>
      <c r="Q20" s="25" t="s">
        <v>308</v>
      </c>
      <c r="R20" s="25" t="s">
        <v>308</v>
      </c>
      <c r="S20" s="8"/>
      <c r="T20" s="10"/>
      <c r="U20" s="8"/>
      <c r="V20" s="8" t="s">
        <v>79</v>
      </c>
      <c r="W20" s="25" t="s">
        <v>308</v>
      </c>
      <c r="X20" s="25" t="s">
        <v>308</v>
      </c>
      <c r="Y20" s="25" t="s">
        <v>308</v>
      </c>
      <c r="Z20" s="8"/>
    </row>
    <row r="21" spans="1:26" x14ac:dyDescent="0.55000000000000004">
      <c r="A21" s="8" t="s">
        <v>602</v>
      </c>
      <c r="B21" s="25" t="s">
        <v>308</v>
      </c>
      <c r="C21" s="25" t="s">
        <v>308</v>
      </c>
      <c r="D21" s="25" t="s">
        <v>308</v>
      </c>
      <c r="E21" s="25" t="s">
        <v>308</v>
      </c>
      <c r="F21" s="25" t="s">
        <v>308</v>
      </c>
      <c r="G21" s="25" t="s">
        <v>308</v>
      </c>
      <c r="H21" s="25" t="s">
        <v>308</v>
      </c>
      <c r="I21" s="25" t="s">
        <v>308</v>
      </c>
      <c r="J21" s="25" t="s">
        <v>308</v>
      </c>
      <c r="K21" s="8"/>
      <c r="L21" s="10"/>
      <c r="M21" s="8"/>
      <c r="N21" s="8" t="s">
        <v>601</v>
      </c>
      <c r="O21" s="26">
        <v>0</v>
      </c>
      <c r="P21" s="25" t="s">
        <v>308</v>
      </c>
      <c r="Q21" s="25" t="s">
        <v>308</v>
      </c>
      <c r="R21" s="25" t="s">
        <v>308</v>
      </c>
      <c r="S21" s="8"/>
      <c r="T21" s="10"/>
      <c r="U21" s="8"/>
      <c r="V21" s="8" t="s">
        <v>87</v>
      </c>
      <c r="W21" s="25" t="s">
        <v>308</v>
      </c>
      <c r="X21" s="25" t="s">
        <v>308</v>
      </c>
      <c r="Y21" s="25" t="s">
        <v>308</v>
      </c>
      <c r="Z21" s="8"/>
    </row>
    <row r="22" spans="1:26" x14ac:dyDescent="0.55000000000000004">
      <c r="A22" s="8" t="s">
        <v>120</v>
      </c>
      <c r="B22" s="25" t="s">
        <v>308</v>
      </c>
      <c r="C22" s="25" t="s">
        <v>308</v>
      </c>
      <c r="D22" s="25" t="s">
        <v>308</v>
      </c>
      <c r="E22" s="25" t="s">
        <v>308</v>
      </c>
      <c r="F22" s="25" t="s">
        <v>308</v>
      </c>
      <c r="G22" s="25" t="s">
        <v>308</v>
      </c>
      <c r="H22" s="25" t="s">
        <v>308</v>
      </c>
      <c r="I22" s="25" t="s">
        <v>308</v>
      </c>
      <c r="J22" s="25" t="s">
        <v>308</v>
      </c>
      <c r="K22" s="8"/>
      <c r="L22" s="10"/>
      <c r="M22" s="8"/>
      <c r="N22" s="8" t="s">
        <v>119</v>
      </c>
      <c r="O22" s="26">
        <v>0</v>
      </c>
      <c r="P22" s="25" t="s">
        <v>308</v>
      </c>
      <c r="Q22" s="25" t="s">
        <v>308</v>
      </c>
      <c r="R22" s="25" t="s">
        <v>308</v>
      </c>
      <c r="S22" s="8"/>
      <c r="T22" s="10"/>
      <c r="U22" s="8"/>
      <c r="V22" s="8" t="s">
        <v>95</v>
      </c>
      <c r="W22" s="25" t="s">
        <v>308</v>
      </c>
      <c r="X22" s="25" t="s">
        <v>308</v>
      </c>
      <c r="Y22" s="25" t="s">
        <v>308</v>
      </c>
      <c r="Z22" s="8"/>
    </row>
    <row r="23" spans="1:26" x14ac:dyDescent="0.55000000000000004">
      <c r="A23" s="8" t="s">
        <v>55</v>
      </c>
      <c r="B23" s="25" t="s">
        <v>308</v>
      </c>
      <c r="C23" s="25" t="s">
        <v>308</v>
      </c>
      <c r="D23" s="25" t="s">
        <v>308</v>
      </c>
      <c r="E23" s="25" t="s">
        <v>308</v>
      </c>
      <c r="F23" s="25" t="s">
        <v>308</v>
      </c>
      <c r="G23" s="25" t="s">
        <v>308</v>
      </c>
      <c r="H23" s="25" t="s">
        <v>308</v>
      </c>
      <c r="I23" s="25" t="s">
        <v>308</v>
      </c>
      <c r="J23" s="25" t="s">
        <v>308</v>
      </c>
      <c r="K23" s="8"/>
      <c r="L23" s="10"/>
      <c r="M23" s="8"/>
      <c r="N23" s="8" t="s">
        <v>54</v>
      </c>
      <c r="O23" s="26">
        <v>0</v>
      </c>
      <c r="P23" s="25" t="s">
        <v>308</v>
      </c>
      <c r="Q23" s="25" t="s">
        <v>308</v>
      </c>
      <c r="R23" s="25" t="s">
        <v>308</v>
      </c>
      <c r="S23" s="8"/>
      <c r="T23" s="10"/>
      <c r="U23" s="8"/>
      <c r="V23" s="8" t="s">
        <v>101</v>
      </c>
      <c r="W23" s="25" t="s">
        <v>308</v>
      </c>
      <c r="X23" s="25" t="s">
        <v>308</v>
      </c>
      <c r="Y23" s="25" t="s">
        <v>308</v>
      </c>
      <c r="Z23" s="8"/>
    </row>
    <row r="24" spans="1:26" x14ac:dyDescent="0.55000000000000004">
      <c r="A24" s="8" t="s">
        <v>615</v>
      </c>
      <c r="B24" s="25" t="s">
        <v>308</v>
      </c>
      <c r="C24" s="25" t="s">
        <v>308</v>
      </c>
      <c r="D24" s="25" t="s">
        <v>308</v>
      </c>
      <c r="E24" s="25" t="s">
        <v>308</v>
      </c>
      <c r="F24" s="25" t="s">
        <v>308</v>
      </c>
      <c r="G24" s="25" t="s">
        <v>308</v>
      </c>
      <c r="H24" s="25" t="s">
        <v>308</v>
      </c>
      <c r="I24" s="25" t="s">
        <v>308</v>
      </c>
      <c r="J24" s="25" t="s">
        <v>308</v>
      </c>
      <c r="K24" s="8"/>
      <c r="L24" s="10"/>
      <c r="M24" s="8"/>
      <c r="N24" s="8" t="s">
        <v>614</v>
      </c>
      <c r="O24" s="26">
        <v>0</v>
      </c>
      <c r="P24" s="25" t="s">
        <v>308</v>
      </c>
      <c r="Q24" s="25" t="s">
        <v>308</v>
      </c>
      <c r="R24" s="25" t="s">
        <v>308</v>
      </c>
      <c r="S24" s="8"/>
      <c r="T24" s="10"/>
      <c r="U24" s="8"/>
      <c r="V24" s="8"/>
      <c r="W24" s="8"/>
      <c r="X24" s="8"/>
      <c r="Y24" s="8"/>
      <c r="Z24" s="8"/>
    </row>
    <row r="25" spans="1:26" x14ac:dyDescent="0.55000000000000004">
      <c r="A25" s="8" t="s">
        <v>63</v>
      </c>
      <c r="B25" s="25" t="s">
        <v>308</v>
      </c>
      <c r="C25" s="25" t="s">
        <v>308</v>
      </c>
      <c r="D25" s="25" t="s">
        <v>308</v>
      </c>
      <c r="E25" s="25" t="s">
        <v>308</v>
      </c>
      <c r="F25" s="25" t="s">
        <v>308</v>
      </c>
      <c r="G25" s="25" t="s">
        <v>308</v>
      </c>
      <c r="H25" s="25" t="s">
        <v>308</v>
      </c>
      <c r="I25" s="25" t="s">
        <v>308</v>
      </c>
      <c r="J25" s="25" t="s">
        <v>308</v>
      </c>
      <c r="K25" s="8"/>
      <c r="L25" s="10"/>
      <c r="M25" s="8"/>
      <c r="N25" s="8" t="s">
        <v>62</v>
      </c>
      <c r="O25" s="26">
        <v>0</v>
      </c>
      <c r="P25" s="25" t="s">
        <v>308</v>
      </c>
      <c r="Q25" s="25" t="s">
        <v>308</v>
      </c>
      <c r="R25" s="25" t="s">
        <v>308</v>
      </c>
      <c r="S25" s="8"/>
      <c r="T25" s="10"/>
      <c r="U25" s="11"/>
      <c r="V25" s="11" t="s">
        <v>479</v>
      </c>
      <c r="W25" s="11"/>
      <c r="X25" s="11"/>
      <c r="Y25" s="11"/>
      <c r="Z25" s="11"/>
    </row>
    <row r="26" spans="1:26" x14ac:dyDescent="0.55000000000000004">
      <c r="A26" s="8" t="s">
        <v>124</v>
      </c>
      <c r="B26" s="25" t="s">
        <v>308</v>
      </c>
      <c r="C26" s="25" t="s">
        <v>308</v>
      </c>
      <c r="D26" s="25" t="s">
        <v>308</v>
      </c>
      <c r="E26" s="25" t="s">
        <v>308</v>
      </c>
      <c r="F26" s="25" t="s">
        <v>308</v>
      </c>
      <c r="G26" s="25" t="s">
        <v>308</v>
      </c>
      <c r="H26" s="25" t="s">
        <v>308</v>
      </c>
      <c r="I26" s="25" t="s">
        <v>308</v>
      </c>
      <c r="J26" s="25" t="s">
        <v>308</v>
      </c>
      <c r="K26" s="8"/>
      <c r="L26" s="10"/>
      <c r="M26" s="8"/>
      <c r="N26" s="8" t="s">
        <v>123</v>
      </c>
      <c r="O26" s="26">
        <v>0</v>
      </c>
      <c r="P26" s="25" t="s">
        <v>308</v>
      </c>
      <c r="Q26" s="25" t="s">
        <v>308</v>
      </c>
      <c r="R26" s="25" t="s">
        <v>308</v>
      </c>
      <c r="S26" s="8"/>
      <c r="T26" s="10"/>
      <c r="U26" s="13"/>
      <c r="V26" s="13"/>
      <c r="W26" s="13"/>
      <c r="X26" s="15" t="s">
        <v>339</v>
      </c>
      <c r="Y26" s="15" t="s">
        <v>474</v>
      </c>
      <c r="Z26" s="13"/>
    </row>
    <row r="27" spans="1:26" x14ac:dyDescent="0.55000000000000004">
      <c r="A27" s="8" t="s">
        <v>122</v>
      </c>
      <c r="B27" s="25" t="s">
        <v>308</v>
      </c>
      <c r="C27" s="25" t="s">
        <v>308</v>
      </c>
      <c r="D27" s="25" t="s">
        <v>308</v>
      </c>
      <c r="E27" s="25" t="s">
        <v>308</v>
      </c>
      <c r="F27" s="25" t="s">
        <v>308</v>
      </c>
      <c r="G27" s="25" t="s">
        <v>308</v>
      </c>
      <c r="H27" s="25" t="s">
        <v>308</v>
      </c>
      <c r="I27" s="25" t="s">
        <v>308</v>
      </c>
      <c r="J27" s="25" t="s">
        <v>308</v>
      </c>
      <c r="K27" s="8"/>
      <c r="L27" s="10"/>
      <c r="M27" s="8"/>
      <c r="N27" s="8" t="s">
        <v>121</v>
      </c>
      <c r="O27" s="26">
        <v>0</v>
      </c>
      <c r="P27" s="25" t="s">
        <v>308</v>
      </c>
      <c r="Q27" s="25" t="s">
        <v>308</v>
      </c>
      <c r="R27" s="25" t="s">
        <v>308</v>
      </c>
      <c r="S27" s="8"/>
      <c r="T27" s="10"/>
      <c r="U27" s="13"/>
      <c r="V27" s="13"/>
      <c r="W27" s="13"/>
      <c r="X27" s="16" t="s">
        <v>481</v>
      </c>
      <c r="Y27" s="16" t="s">
        <v>480</v>
      </c>
      <c r="Z27" s="13"/>
    </row>
    <row r="28" spans="1:26" x14ac:dyDescent="0.55000000000000004">
      <c r="A28" s="8" t="s">
        <v>116</v>
      </c>
      <c r="B28" s="25" t="s">
        <v>308</v>
      </c>
      <c r="C28" s="25" t="s">
        <v>308</v>
      </c>
      <c r="D28" s="25" t="s">
        <v>308</v>
      </c>
      <c r="E28" s="25" t="s">
        <v>308</v>
      </c>
      <c r="F28" s="25" t="s">
        <v>308</v>
      </c>
      <c r="G28" s="25" t="s">
        <v>308</v>
      </c>
      <c r="H28" s="25" t="s">
        <v>308</v>
      </c>
      <c r="I28" s="25" t="s">
        <v>308</v>
      </c>
      <c r="J28" s="25" t="s">
        <v>308</v>
      </c>
      <c r="K28" s="8"/>
      <c r="L28" s="10"/>
      <c r="M28" s="8"/>
      <c r="N28" s="8" t="s">
        <v>115</v>
      </c>
      <c r="O28" s="26">
        <v>0</v>
      </c>
      <c r="P28" s="25" t="s">
        <v>308</v>
      </c>
      <c r="Q28" s="25" t="s">
        <v>308</v>
      </c>
      <c r="R28" s="25" t="s">
        <v>308</v>
      </c>
      <c r="S28" s="8"/>
      <c r="T28" s="10"/>
      <c r="U28" s="8"/>
      <c r="V28" s="8" t="s">
        <v>475</v>
      </c>
      <c r="W28" s="8" t="s">
        <v>791</v>
      </c>
      <c r="X28" s="25" t="s">
        <v>308</v>
      </c>
      <c r="Y28" s="25" t="s">
        <v>308</v>
      </c>
      <c r="Z28" s="8"/>
    </row>
    <row r="29" spans="1:26" x14ac:dyDescent="0.55000000000000004">
      <c r="A29" s="8" t="s">
        <v>112</v>
      </c>
      <c r="B29" s="25" t="s">
        <v>308</v>
      </c>
      <c r="C29" s="25" t="s">
        <v>308</v>
      </c>
      <c r="D29" s="25" t="s">
        <v>308</v>
      </c>
      <c r="E29" s="25" t="s">
        <v>308</v>
      </c>
      <c r="F29" s="25" t="s">
        <v>308</v>
      </c>
      <c r="G29" s="25" t="s">
        <v>308</v>
      </c>
      <c r="H29" s="25" t="s">
        <v>308</v>
      </c>
      <c r="I29" s="25" t="s">
        <v>308</v>
      </c>
      <c r="J29" s="25" t="s">
        <v>308</v>
      </c>
      <c r="K29" s="8"/>
      <c r="L29" s="10"/>
      <c r="M29" s="8"/>
      <c r="N29" s="8" t="s">
        <v>111</v>
      </c>
      <c r="O29" s="26">
        <v>0</v>
      </c>
      <c r="P29" s="25" t="s">
        <v>308</v>
      </c>
      <c r="Q29" s="25" t="s">
        <v>308</v>
      </c>
      <c r="R29" s="25" t="s">
        <v>308</v>
      </c>
      <c r="S29" s="8"/>
      <c r="T29" s="10"/>
      <c r="U29" s="8"/>
      <c r="V29" s="8"/>
      <c r="W29" s="8" t="s">
        <v>792</v>
      </c>
      <c r="X29" s="25" t="s">
        <v>308</v>
      </c>
      <c r="Y29" s="25" t="s">
        <v>308</v>
      </c>
      <c r="Z29" s="8"/>
    </row>
    <row r="30" spans="1:26" x14ac:dyDescent="0.55000000000000004">
      <c r="A30" s="8" t="s">
        <v>629</v>
      </c>
      <c r="B30" s="25" t="s">
        <v>308</v>
      </c>
      <c r="C30" s="25" t="s">
        <v>308</v>
      </c>
      <c r="D30" s="25" t="s">
        <v>308</v>
      </c>
      <c r="E30" s="25" t="s">
        <v>308</v>
      </c>
      <c r="F30" s="25" t="s">
        <v>308</v>
      </c>
      <c r="G30" s="25" t="s">
        <v>308</v>
      </c>
      <c r="H30" s="25" t="s">
        <v>308</v>
      </c>
      <c r="I30" s="25" t="s">
        <v>308</v>
      </c>
      <c r="J30" s="25" t="s">
        <v>308</v>
      </c>
      <c r="K30" s="8"/>
      <c r="L30" s="10"/>
      <c r="M30" s="8"/>
      <c r="N30" s="8" t="s">
        <v>628</v>
      </c>
      <c r="O30" s="26">
        <v>0</v>
      </c>
      <c r="P30" s="25" t="s">
        <v>308</v>
      </c>
      <c r="Q30" s="25" t="s">
        <v>308</v>
      </c>
      <c r="R30" s="25" t="s">
        <v>308</v>
      </c>
      <c r="S30" s="8"/>
      <c r="T30" s="10"/>
      <c r="U30" s="8"/>
      <c r="V30" s="8"/>
      <c r="W30" s="8" t="s">
        <v>793</v>
      </c>
      <c r="X30" s="25" t="s">
        <v>308</v>
      </c>
      <c r="Y30" s="25" t="s">
        <v>308</v>
      </c>
      <c r="Z30" s="8"/>
    </row>
    <row r="31" spans="1:26" x14ac:dyDescent="0.55000000000000004">
      <c r="A31" s="8" t="s">
        <v>127</v>
      </c>
      <c r="B31" s="25" t="s">
        <v>308</v>
      </c>
      <c r="C31" s="25" t="s">
        <v>308</v>
      </c>
      <c r="D31" s="25" t="s">
        <v>308</v>
      </c>
      <c r="E31" s="25" t="s">
        <v>308</v>
      </c>
      <c r="F31" s="25" t="s">
        <v>308</v>
      </c>
      <c r="G31" s="25" t="s">
        <v>308</v>
      </c>
      <c r="H31" s="25" t="s">
        <v>308</v>
      </c>
      <c r="I31" s="25" t="s">
        <v>308</v>
      </c>
      <c r="J31" s="25" t="s">
        <v>308</v>
      </c>
      <c r="K31" s="8"/>
      <c r="L31" s="10"/>
      <c r="M31" s="8"/>
      <c r="N31" s="8" t="s">
        <v>126</v>
      </c>
      <c r="O31" s="26">
        <v>0</v>
      </c>
      <c r="P31" s="25" t="s">
        <v>308</v>
      </c>
      <c r="Q31" s="25" t="s">
        <v>308</v>
      </c>
      <c r="R31" s="25" t="s">
        <v>308</v>
      </c>
      <c r="S31" s="8"/>
      <c r="T31" s="10"/>
      <c r="U31" s="8"/>
      <c r="V31" s="8"/>
      <c r="W31" s="8" t="s">
        <v>794</v>
      </c>
      <c r="X31" s="25" t="s">
        <v>308</v>
      </c>
      <c r="Y31" s="25" t="s">
        <v>308</v>
      </c>
      <c r="Z31" s="8"/>
    </row>
    <row r="32" spans="1:26" x14ac:dyDescent="0.55000000000000004">
      <c r="A32" s="8" t="s">
        <v>130</v>
      </c>
      <c r="B32" s="25" t="s">
        <v>308</v>
      </c>
      <c r="C32" s="25" t="s">
        <v>308</v>
      </c>
      <c r="D32" s="25" t="s">
        <v>308</v>
      </c>
      <c r="E32" s="25" t="s">
        <v>308</v>
      </c>
      <c r="F32" s="25" t="s">
        <v>308</v>
      </c>
      <c r="G32" s="25" t="s">
        <v>308</v>
      </c>
      <c r="H32" s="25" t="s">
        <v>308</v>
      </c>
      <c r="I32" s="25" t="s">
        <v>308</v>
      </c>
      <c r="J32" s="25" t="s">
        <v>308</v>
      </c>
      <c r="K32" s="8"/>
      <c r="L32" s="10"/>
      <c r="M32" s="8"/>
      <c r="N32" s="8" t="s">
        <v>129</v>
      </c>
      <c r="O32" s="26">
        <v>0</v>
      </c>
      <c r="P32" s="25" t="s">
        <v>308</v>
      </c>
      <c r="Q32" s="25" t="s">
        <v>308</v>
      </c>
      <c r="R32" s="25" t="s">
        <v>308</v>
      </c>
      <c r="S32" s="8"/>
      <c r="T32" s="10"/>
      <c r="U32" s="8"/>
      <c r="V32" s="8"/>
      <c r="W32" s="8" t="s">
        <v>795</v>
      </c>
      <c r="X32" s="25" t="s">
        <v>308</v>
      </c>
      <c r="Y32" s="25" t="s">
        <v>308</v>
      </c>
      <c r="Z32" s="8"/>
    </row>
    <row r="33" spans="1:26" x14ac:dyDescent="0.55000000000000004">
      <c r="A33" s="8" t="s">
        <v>140</v>
      </c>
      <c r="B33" s="25" t="s">
        <v>308</v>
      </c>
      <c r="C33" s="25" t="s">
        <v>308</v>
      </c>
      <c r="D33" s="25" t="s">
        <v>308</v>
      </c>
      <c r="E33" s="25" t="s">
        <v>308</v>
      </c>
      <c r="F33" s="25" t="s">
        <v>308</v>
      </c>
      <c r="G33" s="25" t="s">
        <v>308</v>
      </c>
      <c r="H33" s="25" t="s">
        <v>308</v>
      </c>
      <c r="I33" s="25" t="s">
        <v>308</v>
      </c>
      <c r="J33" s="25" t="s">
        <v>308</v>
      </c>
      <c r="K33" s="8"/>
      <c r="L33" s="10"/>
      <c r="M33" s="8"/>
      <c r="N33" s="8" t="s">
        <v>139</v>
      </c>
      <c r="O33" s="26">
        <v>0</v>
      </c>
      <c r="P33" s="25" t="s">
        <v>308</v>
      </c>
      <c r="Q33" s="25" t="s">
        <v>308</v>
      </c>
      <c r="R33" s="25" t="s">
        <v>308</v>
      </c>
      <c r="S33" s="8"/>
      <c r="T33" s="10"/>
      <c r="U33" s="8"/>
      <c r="V33" s="8" t="s">
        <v>476</v>
      </c>
      <c r="W33" s="8" t="s">
        <v>89</v>
      </c>
      <c r="X33" s="25" t="s">
        <v>308</v>
      </c>
      <c r="Y33" s="25" t="s">
        <v>308</v>
      </c>
      <c r="Z33" s="8"/>
    </row>
    <row r="34" spans="1:26" x14ac:dyDescent="0.55000000000000004">
      <c r="A34" s="8" t="s">
        <v>135</v>
      </c>
      <c r="B34" s="25" t="s">
        <v>308</v>
      </c>
      <c r="C34" s="25" t="s">
        <v>308</v>
      </c>
      <c r="D34" s="25" t="s">
        <v>308</v>
      </c>
      <c r="E34" s="25" t="s">
        <v>308</v>
      </c>
      <c r="F34" s="25" t="s">
        <v>308</v>
      </c>
      <c r="G34" s="25" t="s">
        <v>308</v>
      </c>
      <c r="H34" s="25" t="s">
        <v>308</v>
      </c>
      <c r="I34" s="25" t="s">
        <v>308</v>
      </c>
      <c r="J34" s="25" t="s">
        <v>308</v>
      </c>
      <c r="K34" s="8"/>
      <c r="L34" s="10"/>
      <c r="M34" s="8"/>
      <c r="N34" s="8" t="s">
        <v>134</v>
      </c>
      <c r="O34" s="26">
        <v>0</v>
      </c>
      <c r="P34" s="25" t="s">
        <v>308</v>
      </c>
      <c r="Q34" s="25" t="s">
        <v>308</v>
      </c>
      <c r="R34" s="25" t="s">
        <v>308</v>
      </c>
      <c r="S34" s="8"/>
      <c r="T34" s="10"/>
      <c r="U34" s="8"/>
      <c r="V34" s="8"/>
      <c r="W34" s="8" t="s">
        <v>97</v>
      </c>
      <c r="X34" s="25" t="s">
        <v>308</v>
      </c>
      <c r="Y34" s="25" t="s">
        <v>308</v>
      </c>
      <c r="Z34" s="8"/>
    </row>
    <row r="35" spans="1:26" x14ac:dyDescent="0.55000000000000004">
      <c r="A35" s="8" t="s">
        <v>142</v>
      </c>
      <c r="B35" s="25" t="s">
        <v>308</v>
      </c>
      <c r="C35" s="25" t="s">
        <v>308</v>
      </c>
      <c r="D35" s="25" t="s">
        <v>308</v>
      </c>
      <c r="E35" s="25" t="s">
        <v>308</v>
      </c>
      <c r="F35" s="25" t="s">
        <v>308</v>
      </c>
      <c r="G35" s="25" t="s">
        <v>308</v>
      </c>
      <c r="H35" s="25" t="s">
        <v>308</v>
      </c>
      <c r="I35" s="25" t="s">
        <v>308</v>
      </c>
      <c r="J35" s="25" t="s">
        <v>308</v>
      </c>
      <c r="K35" s="8"/>
      <c r="L35" s="10"/>
      <c r="M35" s="8"/>
      <c r="N35" s="8" t="s">
        <v>141</v>
      </c>
      <c r="O35" s="26">
        <v>0</v>
      </c>
      <c r="P35" s="25" t="s">
        <v>308</v>
      </c>
      <c r="Q35" s="25" t="s">
        <v>308</v>
      </c>
      <c r="R35" s="25" t="s">
        <v>308</v>
      </c>
      <c r="S35" s="8"/>
      <c r="T35" s="10"/>
      <c r="U35" s="8"/>
      <c r="V35" s="8"/>
      <c r="W35" s="8" t="s">
        <v>103</v>
      </c>
      <c r="X35" s="25" t="s">
        <v>308</v>
      </c>
      <c r="Y35" s="25" t="s">
        <v>308</v>
      </c>
      <c r="Z35" s="8"/>
    </row>
    <row r="36" spans="1:26" x14ac:dyDescent="0.55000000000000004">
      <c r="A36" s="8" t="s">
        <v>133</v>
      </c>
      <c r="B36" s="25" t="s">
        <v>308</v>
      </c>
      <c r="C36" s="25" t="s">
        <v>308</v>
      </c>
      <c r="D36" s="25" t="s">
        <v>308</v>
      </c>
      <c r="E36" s="25" t="s">
        <v>308</v>
      </c>
      <c r="F36" s="25" t="s">
        <v>308</v>
      </c>
      <c r="G36" s="25" t="s">
        <v>308</v>
      </c>
      <c r="H36" s="25" t="s">
        <v>308</v>
      </c>
      <c r="I36" s="25" t="s">
        <v>308</v>
      </c>
      <c r="J36" s="25" t="s">
        <v>308</v>
      </c>
      <c r="K36" s="8"/>
      <c r="L36" s="10"/>
      <c r="M36" s="8"/>
      <c r="N36" s="8" t="s">
        <v>132</v>
      </c>
      <c r="O36" s="26">
        <v>0</v>
      </c>
      <c r="P36" s="25" t="s">
        <v>308</v>
      </c>
      <c r="Q36" s="25" t="s">
        <v>308</v>
      </c>
      <c r="R36" s="25" t="s">
        <v>308</v>
      </c>
      <c r="S36" s="8"/>
      <c r="T36" s="10"/>
      <c r="U36" s="8"/>
      <c r="V36" s="8"/>
      <c r="W36" s="8" t="s">
        <v>109</v>
      </c>
      <c r="X36" s="25" t="s">
        <v>308</v>
      </c>
      <c r="Y36" s="25" t="s">
        <v>308</v>
      </c>
      <c r="Z36" s="8"/>
    </row>
    <row r="37" spans="1:26" x14ac:dyDescent="0.55000000000000004">
      <c r="A37" s="8" t="s">
        <v>138</v>
      </c>
      <c r="B37" s="25" t="s">
        <v>308</v>
      </c>
      <c r="C37" s="25" t="s">
        <v>308</v>
      </c>
      <c r="D37" s="25" t="s">
        <v>308</v>
      </c>
      <c r="E37" s="25" t="s">
        <v>308</v>
      </c>
      <c r="F37" s="25" t="s">
        <v>308</v>
      </c>
      <c r="G37" s="25" t="s">
        <v>308</v>
      </c>
      <c r="H37" s="25" t="s">
        <v>308</v>
      </c>
      <c r="I37" s="25" t="s">
        <v>308</v>
      </c>
      <c r="J37" s="25" t="s">
        <v>308</v>
      </c>
      <c r="K37" s="8"/>
      <c r="L37" s="10"/>
      <c r="M37" s="8"/>
      <c r="N37" s="8" t="s">
        <v>137</v>
      </c>
      <c r="O37" s="26">
        <v>0</v>
      </c>
      <c r="P37" s="25" t="s">
        <v>308</v>
      </c>
      <c r="Q37" s="25" t="s">
        <v>308</v>
      </c>
      <c r="R37" s="25" t="s">
        <v>308</v>
      </c>
      <c r="S37" s="8"/>
      <c r="T37" s="10"/>
      <c r="U37" s="8"/>
      <c r="V37" s="8"/>
      <c r="W37" s="8" t="s">
        <v>113</v>
      </c>
      <c r="X37" s="25" t="s">
        <v>308</v>
      </c>
      <c r="Y37" s="25" t="s">
        <v>308</v>
      </c>
      <c r="Z37" s="8"/>
    </row>
    <row r="38" spans="1:26" x14ac:dyDescent="0.55000000000000004">
      <c r="A38" s="8" t="s">
        <v>639</v>
      </c>
      <c r="B38" s="25" t="s">
        <v>308</v>
      </c>
      <c r="C38" s="25" t="s">
        <v>308</v>
      </c>
      <c r="D38" s="25" t="s">
        <v>308</v>
      </c>
      <c r="E38" s="25" t="s">
        <v>308</v>
      </c>
      <c r="F38" s="25" t="s">
        <v>308</v>
      </c>
      <c r="G38" s="25" t="s">
        <v>308</v>
      </c>
      <c r="H38" s="25" t="s">
        <v>308</v>
      </c>
      <c r="I38" s="25" t="s">
        <v>308</v>
      </c>
      <c r="J38" s="25" t="s">
        <v>308</v>
      </c>
      <c r="K38" s="8"/>
      <c r="L38" s="10"/>
      <c r="M38" s="8"/>
      <c r="N38" s="8" t="s">
        <v>638</v>
      </c>
      <c r="O38" s="26">
        <v>0</v>
      </c>
      <c r="P38" s="25" t="s">
        <v>308</v>
      </c>
      <c r="Q38" s="25" t="s">
        <v>308</v>
      </c>
      <c r="R38" s="25" t="s">
        <v>308</v>
      </c>
      <c r="S38" s="8"/>
      <c r="T38" s="10"/>
      <c r="U38" s="8"/>
      <c r="V38" s="8" t="s">
        <v>477</v>
      </c>
      <c r="W38" s="8" t="s">
        <v>607</v>
      </c>
      <c r="X38" s="25" t="s">
        <v>308</v>
      </c>
      <c r="Y38" s="25" t="s">
        <v>308</v>
      </c>
      <c r="Z38" s="8"/>
    </row>
    <row r="39" spans="1:26" x14ac:dyDescent="0.55000000000000004">
      <c r="A39" s="8" t="s">
        <v>642</v>
      </c>
      <c r="B39" s="25" t="s">
        <v>308</v>
      </c>
      <c r="C39" s="25" t="s">
        <v>308</v>
      </c>
      <c r="D39" s="25" t="s">
        <v>308</v>
      </c>
      <c r="E39" s="25" t="s">
        <v>308</v>
      </c>
      <c r="F39" s="25" t="s">
        <v>308</v>
      </c>
      <c r="G39" s="25" t="s">
        <v>308</v>
      </c>
      <c r="H39" s="25" t="s">
        <v>308</v>
      </c>
      <c r="I39" s="25" t="s">
        <v>308</v>
      </c>
      <c r="J39" s="25" t="s">
        <v>308</v>
      </c>
      <c r="K39" s="8"/>
      <c r="L39" s="10"/>
      <c r="M39" s="8"/>
      <c r="N39" s="8" t="s">
        <v>641</v>
      </c>
      <c r="O39" s="26">
        <v>0</v>
      </c>
      <c r="P39" s="25" t="s">
        <v>308</v>
      </c>
      <c r="Q39" s="25" t="s">
        <v>308</v>
      </c>
      <c r="R39" s="25" t="s">
        <v>308</v>
      </c>
      <c r="S39" s="8"/>
      <c r="T39" s="10"/>
      <c r="U39" s="8"/>
      <c r="V39" s="8"/>
      <c r="W39" s="8" t="s">
        <v>612</v>
      </c>
      <c r="X39" s="25" t="s">
        <v>308</v>
      </c>
      <c r="Y39" s="25" t="s">
        <v>308</v>
      </c>
      <c r="Z39" s="8"/>
    </row>
    <row r="40" spans="1:26" x14ac:dyDescent="0.55000000000000004">
      <c r="A40" s="8" t="s">
        <v>645</v>
      </c>
      <c r="B40" s="25" t="s">
        <v>308</v>
      </c>
      <c r="C40" s="25" t="s">
        <v>308</v>
      </c>
      <c r="D40" s="25" t="s">
        <v>308</v>
      </c>
      <c r="E40" s="25" t="s">
        <v>308</v>
      </c>
      <c r="F40" s="25" t="s">
        <v>308</v>
      </c>
      <c r="G40" s="25" t="s">
        <v>308</v>
      </c>
      <c r="H40" s="25" t="s">
        <v>308</v>
      </c>
      <c r="I40" s="25" t="s">
        <v>308</v>
      </c>
      <c r="J40" s="25" t="s">
        <v>308</v>
      </c>
      <c r="K40" s="8"/>
      <c r="L40" s="10"/>
      <c r="M40" s="8"/>
      <c r="N40" s="8" t="s">
        <v>644</v>
      </c>
      <c r="O40" s="26">
        <v>0</v>
      </c>
      <c r="P40" s="25" t="s">
        <v>308</v>
      </c>
      <c r="Q40" s="25" t="s">
        <v>308</v>
      </c>
      <c r="R40" s="25" t="s">
        <v>308</v>
      </c>
      <c r="S40" s="8"/>
      <c r="T40" s="10"/>
      <c r="U40" s="8"/>
      <c r="V40" s="8"/>
      <c r="W40" s="8" t="s">
        <v>617</v>
      </c>
      <c r="X40" s="25" t="s">
        <v>308</v>
      </c>
      <c r="Y40" s="25" t="s">
        <v>308</v>
      </c>
      <c r="Z40" s="8"/>
    </row>
    <row r="41" spans="1:26" x14ac:dyDescent="0.55000000000000004">
      <c r="A41" s="8" t="s">
        <v>648</v>
      </c>
      <c r="B41" s="25" t="s">
        <v>308</v>
      </c>
      <c r="C41" s="25" t="s">
        <v>308</v>
      </c>
      <c r="D41" s="25" t="s">
        <v>308</v>
      </c>
      <c r="E41" s="25" t="s">
        <v>308</v>
      </c>
      <c r="F41" s="25" t="s">
        <v>308</v>
      </c>
      <c r="G41" s="25" t="s">
        <v>308</v>
      </c>
      <c r="H41" s="25" t="s">
        <v>308</v>
      </c>
      <c r="I41" s="25" t="s">
        <v>308</v>
      </c>
      <c r="J41" s="25" t="s">
        <v>308</v>
      </c>
      <c r="K41" s="8"/>
      <c r="L41" s="10"/>
      <c r="M41" s="8"/>
      <c r="N41" s="8" t="s">
        <v>647</v>
      </c>
      <c r="O41" s="26">
        <v>0</v>
      </c>
      <c r="P41" s="25" t="s">
        <v>308</v>
      </c>
      <c r="Q41" s="25" t="s">
        <v>308</v>
      </c>
      <c r="R41" s="25" t="s">
        <v>308</v>
      </c>
      <c r="S41" s="8"/>
      <c r="T41" s="10"/>
      <c r="U41" s="8"/>
      <c r="V41" s="8"/>
      <c r="W41" s="8" t="s">
        <v>620</v>
      </c>
      <c r="X41" s="25" t="s">
        <v>308</v>
      </c>
      <c r="Y41" s="25" t="s">
        <v>308</v>
      </c>
      <c r="Z41" s="8"/>
    </row>
    <row r="42" spans="1:26" x14ac:dyDescent="0.55000000000000004">
      <c r="A42" s="8" t="s">
        <v>145</v>
      </c>
      <c r="B42" s="25" t="s">
        <v>308</v>
      </c>
      <c r="C42" s="25" t="s">
        <v>308</v>
      </c>
      <c r="D42" s="25" t="s">
        <v>308</v>
      </c>
      <c r="E42" s="25" t="s">
        <v>308</v>
      </c>
      <c r="F42" s="25" t="s">
        <v>308</v>
      </c>
      <c r="G42" s="25" t="s">
        <v>308</v>
      </c>
      <c r="H42" s="25" t="s">
        <v>308</v>
      </c>
      <c r="I42" s="25" t="s">
        <v>308</v>
      </c>
      <c r="J42" s="25" t="s">
        <v>308</v>
      </c>
      <c r="K42" s="8"/>
      <c r="L42" s="10"/>
      <c r="M42" s="8"/>
      <c r="N42" s="8" t="s">
        <v>144</v>
      </c>
      <c r="O42" s="26">
        <v>0</v>
      </c>
      <c r="P42" s="25" t="s">
        <v>308</v>
      </c>
      <c r="Q42" s="25" t="s">
        <v>308</v>
      </c>
      <c r="R42" s="25" t="s">
        <v>308</v>
      </c>
      <c r="S42" s="8"/>
      <c r="T42" s="10"/>
      <c r="U42" s="8"/>
      <c r="V42" s="8"/>
      <c r="W42" s="8" t="s">
        <v>623</v>
      </c>
      <c r="X42" s="25" t="s">
        <v>308</v>
      </c>
      <c r="Y42" s="25" t="s">
        <v>308</v>
      </c>
      <c r="Z42" s="8"/>
    </row>
    <row r="43" spans="1:26" x14ac:dyDescent="0.55000000000000004">
      <c r="A43" s="8" t="s">
        <v>148</v>
      </c>
      <c r="B43" s="25" t="s">
        <v>308</v>
      </c>
      <c r="C43" s="25" t="s">
        <v>308</v>
      </c>
      <c r="D43" s="25" t="s">
        <v>308</v>
      </c>
      <c r="E43" s="25" t="s">
        <v>308</v>
      </c>
      <c r="F43" s="25" t="s">
        <v>308</v>
      </c>
      <c r="G43" s="25" t="s">
        <v>308</v>
      </c>
      <c r="H43" s="25" t="s">
        <v>308</v>
      </c>
      <c r="I43" s="25" t="s">
        <v>308</v>
      </c>
      <c r="J43" s="25" t="s">
        <v>308</v>
      </c>
      <c r="K43" s="8"/>
      <c r="L43" s="10"/>
      <c r="M43" s="8"/>
      <c r="N43" s="8" t="s">
        <v>147</v>
      </c>
      <c r="O43" s="26">
        <v>0</v>
      </c>
      <c r="P43" s="25" t="s">
        <v>308</v>
      </c>
      <c r="Q43" s="25" t="s">
        <v>308</v>
      </c>
      <c r="R43" s="25" t="s">
        <v>308</v>
      </c>
      <c r="S43" s="8"/>
      <c r="T43" s="10"/>
      <c r="U43" s="8"/>
      <c r="V43" s="8"/>
      <c r="W43" s="8"/>
      <c r="X43" s="8"/>
      <c r="Y43" s="8"/>
      <c r="Z43" s="8"/>
    </row>
    <row r="44" spans="1:26" x14ac:dyDescent="0.55000000000000004">
      <c r="A44" s="8" t="s">
        <v>150</v>
      </c>
      <c r="B44" s="25" t="s">
        <v>308</v>
      </c>
      <c r="C44" s="25" t="s">
        <v>308</v>
      </c>
      <c r="D44" s="25" t="s">
        <v>308</v>
      </c>
      <c r="E44" s="25" t="s">
        <v>308</v>
      </c>
      <c r="F44" s="25" t="s">
        <v>308</v>
      </c>
      <c r="G44" s="25" t="s">
        <v>308</v>
      </c>
      <c r="H44" s="25" t="s">
        <v>308</v>
      </c>
      <c r="I44" s="25" t="s">
        <v>308</v>
      </c>
      <c r="J44" s="25" t="s">
        <v>308</v>
      </c>
      <c r="K44" s="8"/>
      <c r="L44" s="10"/>
      <c r="M44" s="8"/>
      <c r="N44" s="8" t="s">
        <v>149</v>
      </c>
      <c r="O44" s="26">
        <v>0</v>
      </c>
      <c r="P44" s="25" t="s">
        <v>308</v>
      </c>
      <c r="Q44" s="25" t="s">
        <v>308</v>
      </c>
      <c r="R44" s="25" t="s">
        <v>308</v>
      </c>
      <c r="S44" s="8"/>
      <c r="T44" s="10"/>
      <c r="U44" s="10"/>
      <c r="V44" s="11" t="s">
        <v>309</v>
      </c>
      <c r="W44" s="10"/>
      <c r="X44" s="10"/>
      <c r="Y44" s="10"/>
      <c r="Z44" s="10"/>
    </row>
    <row r="45" spans="1:26" x14ac:dyDescent="0.55000000000000004">
      <c r="A45" s="8" t="s">
        <v>654</v>
      </c>
      <c r="B45" s="25" t="s">
        <v>308</v>
      </c>
      <c r="C45" s="25" t="s">
        <v>308</v>
      </c>
      <c r="D45" s="25" t="s">
        <v>308</v>
      </c>
      <c r="E45" s="25" t="s">
        <v>308</v>
      </c>
      <c r="F45" s="25" t="s">
        <v>308</v>
      </c>
      <c r="G45" s="25" t="s">
        <v>308</v>
      </c>
      <c r="H45" s="25" t="s">
        <v>308</v>
      </c>
      <c r="I45" s="25" t="s">
        <v>308</v>
      </c>
      <c r="J45" s="25" t="s">
        <v>308</v>
      </c>
      <c r="K45" s="8"/>
      <c r="L45" s="10"/>
      <c r="M45" s="8"/>
      <c r="N45" s="8" t="s">
        <v>653</v>
      </c>
      <c r="O45" s="26">
        <v>0</v>
      </c>
      <c r="P45" s="25" t="s">
        <v>308</v>
      </c>
      <c r="Q45" s="25" t="s">
        <v>308</v>
      </c>
      <c r="R45" s="25" t="s">
        <v>308</v>
      </c>
      <c r="S45" s="8"/>
      <c r="T45" s="10"/>
      <c r="U45" s="8"/>
      <c r="V45" s="8"/>
      <c r="W45" s="8"/>
      <c r="X45" s="8"/>
      <c r="Y45" s="8"/>
      <c r="Z45" s="8"/>
    </row>
    <row r="46" spans="1:26" x14ac:dyDescent="0.55000000000000004">
      <c r="A46" s="8" t="s">
        <v>152</v>
      </c>
      <c r="B46" s="25" t="s">
        <v>308</v>
      </c>
      <c r="C46" s="25" t="s">
        <v>308</v>
      </c>
      <c r="D46" s="25" t="s">
        <v>308</v>
      </c>
      <c r="E46" s="25" t="s">
        <v>308</v>
      </c>
      <c r="F46" s="25" t="s">
        <v>308</v>
      </c>
      <c r="G46" s="25" t="s">
        <v>308</v>
      </c>
      <c r="H46" s="25" t="s">
        <v>308</v>
      </c>
      <c r="I46" s="25" t="s">
        <v>308</v>
      </c>
      <c r="J46" s="25" t="s">
        <v>308</v>
      </c>
      <c r="K46" s="8"/>
      <c r="L46" s="10"/>
      <c r="M46" s="8"/>
      <c r="N46" s="8" t="s">
        <v>151</v>
      </c>
      <c r="O46" s="26">
        <v>0</v>
      </c>
      <c r="P46" s="25" t="s">
        <v>308</v>
      </c>
      <c r="Q46" s="25" t="s">
        <v>308</v>
      </c>
      <c r="R46" s="25" t="s">
        <v>308</v>
      </c>
      <c r="S46" s="8"/>
      <c r="T46" s="10"/>
      <c r="U46" s="8"/>
      <c r="V46" s="8" t="s">
        <v>310</v>
      </c>
      <c r="W46" s="8"/>
      <c r="X46" s="8" t="s">
        <v>311</v>
      </c>
      <c r="Y46" s="25" t="s">
        <v>308</v>
      </c>
      <c r="Z46" s="8"/>
    </row>
    <row r="47" spans="1:26" x14ac:dyDescent="0.55000000000000004">
      <c r="A47" s="8" t="s">
        <v>154</v>
      </c>
      <c r="B47" s="25" t="s">
        <v>308</v>
      </c>
      <c r="C47" s="25" t="s">
        <v>308</v>
      </c>
      <c r="D47" s="25" t="s">
        <v>308</v>
      </c>
      <c r="E47" s="25" t="s">
        <v>308</v>
      </c>
      <c r="F47" s="25" t="s">
        <v>308</v>
      </c>
      <c r="G47" s="25" t="s">
        <v>308</v>
      </c>
      <c r="H47" s="25" t="s">
        <v>308</v>
      </c>
      <c r="I47" s="25" t="s">
        <v>308</v>
      </c>
      <c r="J47" s="25" t="s">
        <v>308</v>
      </c>
      <c r="K47" s="8"/>
      <c r="L47" s="10"/>
      <c r="M47" s="8"/>
      <c r="N47" s="8" t="s">
        <v>153</v>
      </c>
      <c r="O47" s="26">
        <v>0</v>
      </c>
      <c r="P47" s="25" t="s">
        <v>308</v>
      </c>
      <c r="Q47" s="25" t="s">
        <v>308</v>
      </c>
      <c r="R47" s="25" t="s">
        <v>308</v>
      </c>
      <c r="S47" s="8"/>
      <c r="T47" s="10"/>
      <c r="U47" s="8"/>
      <c r="V47" s="8" t="s">
        <v>312</v>
      </c>
      <c r="W47" s="8"/>
      <c r="X47" s="8" t="s">
        <v>313</v>
      </c>
      <c r="Y47" s="25" t="s">
        <v>308</v>
      </c>
      <c r="Z47" s="8"/>
    </row>
    <row r="48" spans="1:26" x14ac:dyDescent="0.55000000000000004">
      <c r="A48" s="8" t="s">
        <v>156</v>
      </c>
      <c r="B48" s="25" t="s">
        <v>308</v>
      </c>
      <c r="C48" s="25" t="s">
        <v>308</v>
      </c>
      <c r="D48" s="25" t="s">
        <v>308</v>
      </c>
      <c r="E48" s="25" t="s">
        <v>308</v>
      </c>
      <c r="F48" s="25" t="s">
        <v>308</v>
      </c>
      <c r="G48" s="25" t="s">
        <v>308</v>
      </c>
      <c r="H48" s="25" t="s">
        <v>308</v>
      </c>
      <c r="I48" s="25" t="s">
        <v>308</v>
      </c>
      <c r="J48" s="25" t="s">
        <v>308</v>
      </c>
      <c r="K48" s="8"/>
      <c r="L48" s="10"/>
      <c r="M48" s="8"/>
      <c r="N48" s="8" t="s">
        <v>155</v>
      </c>
      <c r="O48" s="26">
        <v>0</v>
      </c>
      <c r="P48" s="25" t="s">
        <v>308</v>
      </c>
      <c r="Q48" s="25" t="s">
        <v>308</v>
      </c>
      <c r="R48" s="25" t="s">
        <v>308</v>
      </c>
      <c r="S48" s="8"/>
      <c r="T48" s="10"/>
      <c r="U48" s="8"/>
      <c r="V48" s="8" t="s">
        <v>314</v>
      </c>
      <c r="W48" s="8"/>
      <c r="X48" s="8" t="s">
        <v>315</v>
      </c>
      <c r="Y48" s="25" t="s">
        <v>308</v>
      </c>
      <c r="Z48" s="8"/>
    </row>
    <row r="49" spans="1:26" x14ac:dyDescent="0.55000000000000004">
      <c r="A49" s="8" t="s">
        <v>160</v>
      </c>
      <c r="B49" s="25" t="s">
        <v>308</v>
      </c>
      <c r="C49" s="25" t="s">
        <v>308</v>
      </c>
      <c r="D49" s="25" t="s">
        <v>308</v>
      </c>
      <c r="E49" s="25" t="s">
        <v>308</v>
      </c>
      <c r="F49" s="25" t="s">
        <v>308</v>
      </c>
      <c r="G49" s="25" t="s">
        <v>308</v>
      </c>
      <c r="H49" s="25" t="s">
        <v>308</v>
      </c>
      <c r="I49" s="25" t="s">
        <v>308</v>
      </c>
      <c r="J49" s="25" t="s">
        <v>308</v>
      </c>
      <c r="K49" s="8"/>
      <c r="L49" s="10"/>
      <c r="M49" s="8"/>
      <c r="N49" s="8" t="s">
        <v>159</v>
      </c>
      <c r="O49" s="26">
        <v>0</v>
      </c>
      <c r="P49" s="25" t="s">
        <v>308</v>
      </c>
      <c r="Q49" s="25" t="s">
        <v>308</v>
      </c>
      <c r="R49" s="25" t="s">
        <v>308</v>
      </c>
      <c r="S49" s="8"/>
      <c r="T49" s="10"/>
      <c r="U49" s="8"/>
      <c r="V49" s="8" t="s">
        <v>333</v>
      </c>
      <c r="W49" s="8"/>
      <c r="X49" s="8" t="s">
        <v>316</v>
      </c>
      <c r="Y49" s="25" t="s">
        <v>308</v>
      </c>
      <c r="Z49" s="8"/>
    </row>
    <row r="50" spans="1:26" x14ac:dyDescent="0.55000000000000004">
      <c r="A50" s="8" t="s">
        <v>162</v>
      </c>
      <c r="B50" s="25" t="s">
        <v>308</v>
      </c>
      <c r="C50" s="25" t="s">
        <v>308</v>
      </c>
      <c r="D50" s="25" t="s">
        <v>308</v>
      </c>
      <c r="E50" s="25" t="s">
        <v>308</v>
      </c>
      <c r="F50" s="25" t="s">
        <v>308</v>
      </c>
      <c r="G50" s="25" t="s">
        <v>308</v>
      </c>
      <c r="H50" s="25" t="s">
        <v>308</v>
      </c>
      <c r="I50" s="25" t="s">
        <v>308</v>
      </c>
      <c r="J50" s="25" t="s">
        <v>308</v>
      </c>
      <c r="K50" s="8"/>
      <c r="L50" s="10"/>
      <c r="M50" s="8"/>
      <c r="N50" s="8" t="s">
        <v>161</v>
      </c>
      <c r="O50" s="26">
        <v>0</v>
      </c>
      <c r="P50" s="25" t="s">
        <v>308</v>
      </c>
      <c r="Q50" s="25" t="s">
        <v>308</v>
      </c>
      <c r="R50" s="25" t="s">
        <v>308</v>
      </c>
      <c r="S50" s="8"/>
      <c r="T50" s="10"/>
      <c r="U50" s="8"/>
      <c r="V50" s="8" t="s">
        <v>334</v>
      </c>
      <c r="W50" s="8"/>
      <c r="X50" s="8" t="s">
        <v>317</v>
      </c>
      <c r="Y50" s="25" t="s">
        <v>308</v>
      </c>
      <c r="Z50" s="8"/>
    </row>
    <row r="51" spans="1:26" x14ac:dyDescent="0.55000000000000004">
      <c r="A51" s="8" t="s">
        <v>158</v>
      </c>
      <c r="B51" s="25" t="s">
        <v>308</v>
      </c>
      <c r="C51" s="25" t="s">
        <v>308</v>
      </c>
      <c r="D51" s="25" t="s">
        <v>308</v>
      </c>
      <c r="E51" s="25" t="s">
        <v>308</v>
      </c>
      <c r="F51" s="25" t="s">
        <v>308</v>
      </c>
      <c r="G51" s="25" t="s">
        <v>308</v>
      </c>
      <c r="H51" s="25" t="s">
        <v>308</v>
      </c>
      <c r="I51" s="25" t="s">
        <v>308</v>
      </c>
      <c r="J51" s="25" t="s">
        <v>308</v>
      </c>
      <c r="K51" s="8"/>
      <c r="L51" s="10"/>
      <c r="M51" s="8"/>
      <c r="N51" s="8" t="s">
        <v>157</v>
      </c>
      <c r="O51" s="26">
        <v>0</v>
      </c>
      <c r="P51" s="25" t="s">
        <v>308</v>
      </c>
      <c r="Q51" s="25" t="s">
        <v>308</v>
      </c>
      <c r="R51" s="25" t="s">
        <v>308</v>
      </c>
      <c r="S51" s="8"/>
      <c r="T51" s="10"/>
      <c r="U51" s="8"/>
      <c r="V51" s="8" t="s">
        <v>335</v>
      </c>
      <c r="W51" s="8"/>
      <c r="X51" s="8" t="s">
        <v>318</v>
      </c>
      <c r="Y51" s="25" t="s">
        <v>308</v>
      </c>
      <c r="Z51" s="8"/>
    </row>
    <row r="52" spans="1:26" x14ac:dyDescent="0.55000000000000004">
      <c r="A52" s="8" t="s">
        <v>164</v>
      </c>
      <c r="B52" s="25" t="s">
        <v>308</v>
      </c>
      <c r="C52" s="25" t="s">
        <v>308</v>
      </c>
      <c r="D52" s="25" t="s">
        <v>308</v>
      </c>
      <c r="E52" s="25" t="s">
        <v>308</v>
      </c>
      <c r="F52" s="25" t="s">
        <v>308</v>
      </c>
      <c r="G52" s="25" t="s">
        <v>308</v>
      </c>
      <c r="H52" s="25" t="s">
        <v>308</v>
      </c>
      <c r="I52" s="25" t="s">
        <v>308</v>
      </c>
      <c r="J52" s="25" t="s">
        <v>308</v>
      </c>
      <c r="K52" s="8"/>
      <c r="L52" s="10"/>
      <c r="M52" s="8"/>
      <c r="N52" s="8" t="s">
        <v>163</v>
      </c>
      <c r="O52" s="26">
        <v>0</v>
      </c>
      <c r="P52" s="25" t="s">
        <v>308</v>
      </c>
      <c r="Q52" s="25" t="s">
        <v>308</v>
      </c>
      <c r="R52" s="25" t="s">
        <v>308</v>
      </c>
      <c r="S52" s="8"/>
      <c r="T52" s="10"/>
      <c r="U52" s="8"/>
      <c r="V52" s="8"/>
      <c r="W52" s="8"/>
      <c r="X52" s="8" t="s">
        <v>319</v>
      </c>
      <c r="Y52" s="25" t="s">
        <v>308</v>
      </c>
      <c r="Z52" s="8"/>
    </row>
    <row r="53" spans="1:26" x14ac:dyDescent="0.55000000000000004">
      <c r="A53" s="8" t="s">
        <v>664</v>
      </c>
      <c r="B53" s="25" t="s">
        <v>308</v>
      </c>
      <c r="C53" s="25" t="s">
        <v>308</v>
      </c>
      <c r="D53" s="25" t="s">
        <v>308</v>
      </c>
      <c r="E53" s="25" t="s">
        <v>308</v>
      </c>
      <c r="F53" s="25" t="s">
        <v>308</v>
      </c>
      <c r="G53" s="25" t="s">
        <v>308</v>
      </c>
      <c r="H53" s="25" t="s">
        <v>308</v>
      </c>
      <c r="I53" s="25" t="s">
        <v>308</v>
      </c>
      <c r="J53" s="25" t="s">
        <v>308</v>
      </c>
      <c r="K53" s="8"/>
      <c r="L53" s="10"/>
      <c r="M53" s="8"/>
      <c r="N53" s="8" t="s">
        <v>663</v>
      </c>
      <c r="O53" s="26">
        <v>0</v>
      </c>
      <c r="P53" s="25" t="s">
        <v>308</v>
      </c>
      <c r="Q53" s="25" t="s">
        <v>308</v>
      </c>
      <c r="R53" s="25" t="s">
        <v>308</v>
      </c>
      <c r="S53" s="8"/>
      <c r="T53" s="10"/>
      <c r="U53" s="8"/>
      <c r="V53" s="8" t="s">
        <v>336</v>
      </c>
      <c r="W53" s="8"/>
      <c r="X53" s="8" t="s">
        <v>320</v>
      </c>
      <c r="Y53" s="25" t="s">
        <v>308</v>
      </c>
      <c r="Z53" s="8"/>
    </row>
    <row r="54" spans="1:26" x14ac:dyDescent="0.55000000000000004">
      <c r="A54" s="8" t="s">
        <v>169</v>
      </c>
      <c r="B54" s="25" t="s">
        <v>308</v>
      </c>
      <c r="C54" s="25" t="s">
        <v>308</v>
      </c>
      <c r="D54" s="25" t="s">
        <v>308</v>
      </c>
      <c r="E54" s="25" t="s">
        <v>308</v>
      </c>
      <c r="F54" s="25" t="s">
        <v>308</v>
      </c>
      <c r="G54" s="25" t="s">
        <v>308</v>
      </c>
      <c r="H54" s="25" t="s">
        <v>308</v>
      </c>
      <c r="I54" s="25" t="s">
        <v>308</v>
      </c>
      <c r="J54" s="25" t="s">
        <v>308</v>
      </c>
      <c r="K54" s="8"/>
      <c r="L54" s="10"/>
      <c r="M54" s="8"/>
      <c r="N54" s="8" t="s">
        <v>168</v>
      </c>
      <c r="O54" s="26">
        <v>0</v>
      </c>
      <c r="P54" s="25" t="s">
        <v>308</v>
      </c>
      <c r="Q54" s="25" t="s">
        <v>308</v>
      </c>
      <c r="R54" s="25" t="s">
        <v>308</v>
      </c>
      <c r="S54" s="8"/>
      <c r="T54" s="10"/>
      <c r="U54" s="8"/>
      <c r="V54" s="8"/>
      <c r="W54" s="8"/>
      <c r="X54" s="8" t="s">
        <v>321</v>
      </c>
      <c r="Y54" s="25" t="s">
        <v>308</v>
      </c>
      <c r="Z54" s="8"/>
    </row>
    <row r="55" spans="1:26" x14ac:dyDescent="0.55000000000000004">
      <c r="A55" s="8" t="s">
        <v>166</v>
      </c>
      <c r="B55" s="25" t="s">
        <v>308</v>
      </c>
      <c r="C55" s="25" t="s">
        <v>308</v>
      </c>
      <c r="D55" s="25" t="s">
        <v>308</v>
      </c>
      <c r="E55" s="25" t="s">
        <v>308</v>
      </c>
      <c r="F55" s="25" t="s">
        <v>308</v>
      </c>
      <c r="G55" s="25" t="s">
        <v>308</v>
      </c>
      <c r="H55" s="25" t="s">
        <v>308</v>
      </c>
      <c r="I55" s="25" t="s">
        <v>308</v>
      </c>
      <c r="J55" s="25" t="s">
        <v>308</v>
      </c>
      <c r="K55" s="8"/>
      <c r="L55" s="10"/>
      <c r="M55" s="8"/>
      <c r="N55" s="8" t="s">
        <v>165</v>
      </c>
      <c r="O55" s="26">
        <v>0</v>
      </c>
      <c r="P55" s="25" t="s">
        <v>308</v>
      </c>
      <c r="Q55" s="25" t="s">
        <v>308</v>
      </c>
      <c r="R55" s="25" t="s">
        <v>308</v>
      </c>
      <c r="S55" s="8"/>
      <c r="T55" s="10"/>
      <c r="U55" s="8"/>
      <c r="V55" s="8"/>
      <c r="W55" s="8"/>
      <c r="X55" s="8"/>
      <c r="Y55" s="8"/>
      <c r="Z55" s="8"/>
    </row>
    <row r="56" spans="1:26" x14ac:dyDescent="0.55000000000000004">
      <c r="A56" s="8" t="s">
        <v>669</v>
      </c>
      <c r="B56" s="25" t="s">
        <v>308</v>
      </c>
      <c r="C56" s="25" t="s">
        <v>308</v>
      </c>
      <c r="D56" s="25" t="s">
        <v>308</v>
      </c>
      <c r="E56" s="25" t="s">
        <v>308</v>
      </c>
      <c r="F56" s="25" t="s">
        <v>308</v>
      </c>
      <c r="G56" s="25" t="s">
        <v>308</v>
      </c>
      <c r="H56" s="25" t="s">
        <v>308</v>
      </c>
      <c r="I56" s="25" t="s">
        <v>308</v>
      </c>
      <c r="J56" s="25" t="s">
        <v>308</v>
      </c>
      <c r="K56" s="8"/>
      <c r="L56" s="10"/>
      <c r="M56" s="8"/>
      <c r="N56" s="8" t="s">
        <v>668</v>
      </c>
      <c r="O56" s="26">
        <v>0</v>
      </c>
      <c r="P56" s="25" t="s">
        <v>308</v>
      </c>
      <c r="Q56" s="25" t="s">
        <v>308</v>
      </c>
      <c r="R56" s="25" t="s">
        <v>308</v>
      </c>
      <c r="S56" s="8"/>
      <c r="T56" s="10"/>
      <c r="U56" s="10"/>
      <c r="V56" s="11" t="s">
        <v>324</v>
      </c>
      <c r="W56" s="10"/>
      <c r="X56" s="10"/>
      <c r="Y56" s="10"/>
      <c r="Z56" s="10"/>
    </row>
    <row r="57" spans="1:26" x14ac:dyDescent="0.55000000000000004">
      <c r="A57" s="8" t="s">
        <v>171</v>
      </c>
      <c r="B57" s="25" t="s">
        <v>308</v>
      </c>
      <c r="C57" s="25" t="s">
        <v>308</v>
      </c>
      <c r="D57" s="25" t="s">
        <v>308</v>
      </c>
      <c r="E57" s="25" t="s">
        <v>308</v>
      </c>
      <c r="F57" s="25" t="s">
        <v>308</v>
      </c>
      <c r="G57" s="25" t="s">
        <v>308</v>
      </c>
      <c r="H57" s="25" t="s">
        <v>308</v>
      </c>
      <c r="I57" s="25" t="s">
        <v>308</v>
      </c>
      <c r="J57" s="25" t="s">
        <v>308</v>
      </c>
      <c r="K57" s="8"/>
      <c r="L57" s="10"/>
      <c r="M57" s="8"/>
      <c r="N57" s="8" t="s">
        <v>170</v>
      </c>
      <c r="O57" s="26">
        <v>0</v>
      </c>
      <c r="P57" s="25" t="s">
        <v>308</v>
      </c>
      <c r="Q57" s="25" t="s">
        <v>308</v>
      </c>
      <c r="R57" s="25" t="s">
        <v>308</v>
      </c>
      <c r="S57" s="8"/>
      <c r="T57" s="10"/>
      <c r="U57" s="13"/>
      <c r="V57" s="13"/>
      <c r="W57" s="13"/>
      <c r="X57" s="15" t="s">
        <v>325</v>
      </c>
      <c r="Y57" s="15" t="s">
        <v>326</v>
      </c>
      <c r="Z57" s="13"/>
    </row>
    <row r="58" spans="1:26" x14ac:dyDescent="0.55000000000000004">
      <c r="A58" s="8" t="s">
        <v>173</v>
      </c>
      <c r="B58" s="25" t="s">
        <v>308</v>
      </c>
      <c r="C58" s="25" t="s">
        <v>308</v>
      </c>
      <c r="D58" s="25" t="s">
        <v>308</v>
      </c>
      <c r="E58" s="25" t="s">
        <v>308</v>
      </c>
      <c r="F58" s="25" t="s">
        <v>308</v>
      </c>
      <c r="G58" s="25" t="s">
        <v>308</v>
      </c>
      <c r="H58" s="25" t="s">
        <v>308</v>
      </c>
      <c r="I58" s="25" t="s">
        <v>308</v>
      </c>
      <c r="J58" s="25" t="s">
        <v>308</v>
      </c>
      <c r="K58" s="8"/>
      <c r="L58" s="10"/>
      <c r="M58" s="8"/>
      <c r="N58" s="8" t="s">
        <v>172</v>
      </c>
      <c r="O58" s="26">
        <v>0</v>
      </c>
      <c r="P58" s="25" t="s">
        <v>308</v>
      </c>
      <c r="Q58" s="25" t="s">
        <v>308</v>
      </c>
      <c r="R58" s="25" t="s">
        <v>308</v>
      </c>
      <c r="S58" s="8"/>
      <c r="T58" s="10"/>
      <c r="U58" s="13"/>
      <c r="V58" s="13"/>
      <c r="W58" s="13"/>
      <c r="X58" s="16" t="s">
        <v>327</v>
      </c>
      <c r="Y58" s="16" t="s">
        <v>328</v>
      </c>
      <c r="Z58" s="13"/>
    </row>
    <row r="59" spans="1:26" x14ac:dyDescent="0.55000000000000004">
      <c r="A59" s="8" t="s">
        <v>175</v>
      </c>
      <c r="B59" s="25" t="s">
        <v>308</v>
      </c>
      <c r="C59" s="25" t="s">
        <v>308</v>
      </c>
      <c r="D59" s="25" t="s">
        <v>308</v>
      </c>
      <c r="E59" s="25" t="s">
        <v>308</v>
      </c>
      <c r="F59" s="25" t="s">
        <v>308</v>
      </c>
      <c r="G59" s="25" t="s">
        <v>308</v>
      </c>
      <c r="H59" s="25" t="s">
        <v>308</v>
      </c>
      <c r="I59" s="25" t="s">
        <v>308</v>
      </c>
      <c r="J59" s="25" t="s">
        <v>308</v>
      </c>
      <c r="K59" s="8"/>
      <c r="L59" s="10"/>
      <c r="M59" s="8"/>
      <c r="N59" s="8" t="s">
        <v>174</v>
      </c>
      <c r="O59" s="26">
        <v>0</v>
      </c>
      <c r="P59" s="25" t="s">
        <v>308</v>
      </c>
      <c r="Q59" s="25" t="s">
        <v>308</v>
      </c>
      <c r="R59" s="25" t="s">
        <v>308</v>
      </c>
      <c r="S59" s="8"/>
      <c r="T59" s="10"/>
      <c r="U59" s="8"/>
      <c r="V59" s="8" t="s">
        <v>329</v>
      </c>
      <c r="W59" s="8" t="s">
        <v>24</v>
      </c>
      <c r="X59" s="23">
        <v>1</v>
      </c>
      <c r="Y59" s="23">
        <v>1</v>
      </c>
      <c r="Z59" s="8"/>
    </row>
    <row r="60" spans="1:26" x14ac:dyDescent="0.55000000000000004">
      <c r="A60" s="8" t="s">
        <v>177</v>
      </c>
      <c r="B60" s="25" t="s">
        <v>308</v>
      </c>
      <c r="C60" s="25" t="s">
        <v>308</v>
      </c>
      <c r="D60" s="25" t="s">
        <v>308</v>
      </c>
      <c r="E60" s="25" t="s">
        <v>308</v>
      </c>
      <c r="F60" s="25" t="s">
        <v>308</v>
      </c>
      <c r="G60" s="25" t="s">
        <v>308</v>
      </c>
      <c r="H60" s="25" t="s">
        <v>308</v>
      </c>
      <c r="I60" s="25" t="s">
        <v>308</v>
      </c>
      <c r="J60" s="25" t="s">
        <v>308</v>
      </c>
      <c r="K60" s="8"/>
      <c r="L60" s="10"/>
      <c r="M60" s="8"/>
      <c r="N60" s="8" t="s">
        <v>176</v>
      </c>
      <c r="O60" s="26">
        <v>0</v>
      </c>
      <c r="P60" s="25" t="s">
        <v>308</v>
      </c>
      <c r="Q60" s="25" t="s">
        <v>308</v>
      </c>
      <c r="R60" s="25" t="s">
        <v>308</v>
      </c>
      <c r="S60" s="8"/>
      <c r="T60" s="10"/>
      <c r="U60" s="8"/>
      <c r="V60" s="8" t="s">
        <v>330</v>
      </c>
      <c r="W60" s="8" t="s">
        <v>791</v>
      </c>
      <c r="X60" s="23">
        <v>1</v>
      </c>
      <c r="Y60" s="23">
        <v>1</v>
      </c>
      <c r="Z60" s="8"/>
    </row>
    <row r="61" spans="1:26" x14ac:dyDescent="0.55000000000000004">
      <c r="A61" s="8" t="s">
        <v>676</v>
      </c>
      <c r="B61" s="25" t="s">
        <v>308</v>
      </c>
      <c r="C61" s="25" t="s">
        <v>308</v>
      </c>
      <c r="D61" s="25" t="s">
        <v>308</v>
      </c>
      <c r="E61" s="25" t="s">
        <v>308</v>
      </c>
      <c r="F61" s="25" t="s">
        <v>308</v>
      </c>
      <c r="G61" s="25" t="s">
        <v>308</v>
      </c>
      <c r="H61" s="25" t="s">
        <v>308</v>
      </c>
      <c r="I61" s="25" t="s">
        <v>308</v>
      </c>
      <c r="J61" s="25" t="s">
        <v>308</v>
      </c>
      <c r="K61" s="8"/>
      <c r="L61" s="10"/>
      <c r="M61" s="8"/>
      <c r="N61" s="8" t="s">
        <v>675</v>
      </c>
      <c r="O61" s="26">
        <v>0</v>
      </c>
      <c r="P61" s="25" t="s">
        <v>308</v>
      </c>
      <c r="Q61" s="25" t="s">
        <v>308</v>
      </c>
      <c r="R61" s="25" t="s">
        <v>308</v>
      </c>
      <c r="S61" s="8"/>
      <c r="T61" s="10"/>
      <c r="U61" s="8"/>
      <c r="V61" s="8"/>
      <c r="W61" s="8" t="s">
        <v>792</v>
      </c>
      <c r="X61" s="23">
        <v>1</v>
      </c>
      <c r="Y61" s="23">
        <v>1</v>
      </c>
      <c r="Z61" s="8"/>
    </row>
    <row r="62" spans="1:26" x14ac:dyDescent="0.55000000000000004">
      <c r="A62" s="8" t="s">
        <v>179</v>
      </c>
      <c r="B62" s="25" t="s">
        <v>308</v>
      </c>
      <c r="C62" s="25" t="s">
        <v>308</v>
      </c>
      <c r="D62" s="25" t="s">
        <v>308</v>
      </c>
      <c r="E62" s="25" t="s">
        <v>308</v>
      </c>
      <c r="F62" s="25" t="s">
        <v>308</v>
      </c>
      <c r="G62" s="25" t="s">
        <v>308</v>
      </c>
      <c r="H62" s="25" t="s">
        <v>308</v>
      </c>
      <c r="I62" s="25" t="s">
        <v>308</v>
      </c>
      <c r="J62" s="25" t="s">
        <v>308</v>
      </c>
      <c r="K62" s="8"/>
      <c r="L62" s="10"/>
      <c r="M62" s="8"/>
      <c r="N62" s="8" t="s">
        <v>178</v>
      </c>
      <c r="O62" s="26">
        <v>0</v>
      </c>
      <c r="P62" s="25" t="s">
        <v>308</v>
      </c>
      <c r="Q62" s="25" t="s">
        <v>308</v>
      </c>
      <c r="R62" s="25" t="s">
        <v>308</v>
      </c>
      <c r="S62" s="8"/>
      <c r="T62" s="10"/>
      <c r="U62" s="8"/>
      <c r="V62" s="8"/>
      <c r="W62" s="8" t="s">
        <v>793</v>
      </c>
      <c r="X62" s="23">
        <v>1</v>
      </c>
      <c r="Y62" s="23">
        <v>1</v>
      </c>
      <c r="Z62" s="8"/>
    </row>
    <row r="63" spans="1:26" x14ac:dyDescent="0.55000000000000004">
      <c r="A63" s="8" t="s">
        <v>181</v>
      </c>
      <c r="B63" s="25" t="s">
        <v>308</v>
      </c>
      <c r="C63" s="25" t="s">
        <v>308</v>
      </c>
      <c r="D63" s="25" t="s">
        <v>308</v>
      </c>
      <c r="E63" s="25" t="s">
        <v>308</v>
      </c>
      <c r="F63" s="25" t="s">
        <v>308</v>
      </c>
      <c r="G63" s="25" t="s">
        <v>308</v>
      </c>
      <c r="H63" s="25" t="s">
        <v>308</v>
      </c>
      <c r="I63" s="25" t="s">
        <v>308</v>
      </c>
      <c r="J63" s="25" t="s">
        <v>308</v>
      </c>
      <c r="K63" s="8"/>
      <c r="L63" s="10"/>
      <c r="M63" s="8"/>
      <c r="N63" s="8" t="s">
        <v>180</v>
      </c>
      <c r="O63" s="26">
        <v>0</v>
      </c>
      <c r="P63" s="25" t="s">
        <v>308</v>
      </c>
      <c r="Q63" s="25" t="s">
        <v>308</v>
      </c>
      <c r="R63" s="25" t="s">
        <v>308</v>
      </c>
      <c r="S63" s="8"/>
      <c r="T63" s="10"/>
      <c r="U63" s="8"/>
      <c r="V63" s="8"/>
      <c r="W63" s="8" t="s">
        <v>794</v>
      </c>
      <c r="X63" s="23">
        <v>1</v>
      </c>
      <c r="Y63" s="23">
        <v>1</v>
      </c>
      <c r="Z63" s="8"/>
    </row>
    <row r="64" spans="1:26" x14ac:dyDescent="0.55000000000000004">
      <c r="A64" s="8" t="s">
        <v>681</v>
      </c>
      <c r="B64" s="25" t="s">
        <v>308</v>
      </c>
      <c r="C64" s="25" t="s">
        <v>308</v>
      </c>
      <c r="D64" s="25" t="s">
        <v>308</v>
      </c>
      <c r="E64" s="25" t="s">
        <v>308</v>
      </c>
      <c r="F64" s="25" t="s">
        <v>308</v>
      </c>
      <c r="G64" s="25" t="s">
        <v>308</v>
      </c>
      <c r="H64" s="25" t="s">
        <v>308</v>
      </c>
      <c r="I64" s="25" t="s">
        <v>308</v>
      </c>
      <c r="J64" s="25" t="s">
        <v>308</v>
      </c>
      <c r="K64" s="8"/>
      <c r="L64" s="10"/>
      <c r="M64" s="8"/>
      <c r="N64" s="8" t="s">
        <v>680</v>
      </c>
      <c r="O64" s="26">
        <v>0</v>
      </c>
      <c r="P64" s="25" t="s">
        <v>308</v>
      </c>
      <c r="Q64" s="25" t="s">
        <v>308</v>
      </c>
      <c r="R64" s="25" t="s">
        <v>308</v>
      </c>
      <c r="S64" s="8"/>
      <c r="T64" s="10"/>
      <c r="U64" s="8"/>
      <c r="V64" s="8"/>
      <c r="W64" s="8" t="s">
        <v>795</v>
      </c>
      <c r="X64" s="23">
        <v>1</v>
      </c>
      <c r="Y64" s="23">
        <v>1</v>
      </c>
      <c r="Z64" s="8"/>
    </row>
    <row r="65" spans="1:26" x14ac:dyDescent="0.55000000000000004">
      <c r="A65" s="8" t="s">
        <v>684</v>
      </c>
      <c r="B65" s="25" t="s">
        <v>308</v>
      </c>
      <c r="C65" s="25" t="s">
        <v>308</v>
      </c>
      <c r="D65" s="25" t="s">
        <v>308</v>
      </c>
      <c r="E65" s="25" t="s">
        <v>308</v>
      </c>
      <c r="F65" s="25" t="s">
        <v>308</v>
      </c>
      <c r="G65" s="25" t="s">
        <v>308</v>
      </c>
      <c r="H65" s="25" t="s">
        <v>308</v>
      </c>
      <c r="I65" s="25" t="s">
        <v>308</v>
      </c>
      <c r="J65" s="25" t="s">
        <v>308</v>
      </c>
      <c r="K65" s="8"/>
      <c r="L65" s="10"/>
      <c r="M65" s="8"/>
      <c r="N65" s="8" t="s">
        <v>683</v>
      </c>
      <c r="O65" s="26">
        <v>0</v>
      </c>
      <c r="P65" s="25" t="s">
        <v>308</v>
      </c>
      <c r="Q65" s="25" t="s">
        <v>308</v>
      </c>
      <c r="R65" s="25" t="s">
        <v>308</v>
      </c>
      <c r="S65" s="8"/>
      <c r="T65" s="10"/>
      <c r="U65" s="8"/>
      <c r="V65" s="8"/>
      <c r="W65" s="8" t="s">
        <v>89</v>
      </c>
      <c r="X65" s="23">
        <v>1</v>
      </c>
      <c r="Y65" s="23">
        <v>1</v>
      </c>
      <c r="Z65" s="8"/>
    </row>
    <row r="66" spans="1:26" x14ac:dyDescent="0.55000000000000004">
      <c r="A66" s="8" t="s">
        <v>183</v>
      </c>
      <c r="B66" s="25" t="s">
        <v>308</v>
      </c>
      <c r="C66" s="25" t="s">
        <v>308</v>
      </c>
      <c r="D66" s="25" t="s">
        <v>308</v>
      </c>
      <c r="E66" s="25" t="s">
        <v>308</v>
      </c>
      <c r="F66" s="25" t="s">
        <v>308</v>
      </c>
      <c r="G66" s="25" t="s">
        <v>308</v>
      </c>
      <c r="H66" s="25" t="s">
        <v>308</v>
      </c>
      <c r="I66" s="25" t="s">
        <v>308</v>
      </c>
      <c r="J66" s="25" t="s">
        <v>308</v>
      </c>
      <c r="K66" s="8"/>
      <c r="L66" s="10"/>
      <c r="M66" s="8"/>
      <c r="N66" s="8" t="s">
        <v>182</v>
      </c>
      <c r="O66" s="26">
        <v>0</v>
      </c>
      <c r="P66" s="25" t="s">
        <v>308</v>
      </c>
      <c r="Q66" s="25" t="s">
        <v>308</v>
      </c>
      <c r="R66" s="25" t="s">
        <v>308</v>
      </c>
      <c r="S66" s="8"/>
      <c r="T66" s="10"/>
      <c r="U66" s="8"/>
      <c r="V66" s="8"/>
      <c r="W66" s="8" t="s">
        <v>97</v>
      </c>
      <c r="X66" s="23">
        <v>1</v>
      </c>
      <c r="Y66" s="23">
        <v>1</v>
      </c>
      <c r="Z66" s="8"/>
    </row>
    <row r="67" spans="1:26" x14ac:dyDescent="0.55000000000000004">
      <c r="A67" s="8" t="s">
        <v>688</v>
      </c>
      <c r="B67" s="25" t="s">
        <v>308</v>
      </c>
      <c r="C67" s="25" t="s">
        <v>308</v>
      </c>
      <c r="D67" s="25" t="s">
        <v>308</v>
      </c>
      <c r="E67" s="25" t="s">
        <v>308</v>
      </c>
      <c r="F67" s="25" t="s">
        <v>308</v>
      </c>
      <c r="G67" s="25" t="s">
        <v>308</v>
      </c>
      <c r="H67" s="25" t="s">
        <v>308</v>
      </c>
      <c r="I67" s="25" t="s">
        <v>308</v>
      </c>
      <c r="J67" s="25" t="s">
        <v>308</v>
      </c>
      <c r="K67" s="8"/>
      <c r="L67" s="10"/>
      <c r="M67" s="8"/>
      <c r="N67" s="8" t="s">
        <v>687</v>
      </c>
      <c r="O67" s="26">
        <v>0</v>
      </c>
      <c r="P67" s="25" t="s">
        <v>308</v>
      </c>
      <c r="Q67" s="25" t="s">
        <v>308</v>
      </c>
      <c r="R67" s="25" t="s">
        <v>308</v>
      </c>
      <c r="S67" s="8"/>
      <c r="T67" s="10"/>
      <c r="U67" s="8"/>
      <c r="V67" s="8"/>
      <c r="W67" s="8" t="s">
        <v>103</v>
      </c>
      <c r="X67" s="23">
        <v>1</v>
      </c>
      <c r="Y67" s="23">
        <v>1</v>
      </c>
      <c r="Z67" s="8"/>
    </row>
    <row r="68" spans="1:26" x14ac:dyDescent="0.55000000000000004">
      <c r="A68" s="8" t="s">
        <v>691</v>
      </c>
      <c r="B68" s="25" t="s">
        <v>308</v>
      </c>
      <c r="C68" s="25" t="s">
        <v>308</v>
      </c>
      <c r="D68" s="25" t="s">
        <v>308</v>
      </c>
      <c r="E68" s="25" t="s">
        <v>308</v>
      </c>
      <c r="F68" s="25" t="s">
        <v>308</v>
      </c>
      <c r="G68" s="25" t="s">
        <v>308</v>
      </c>
      <c r="H68" s="25" t="s">
        <v>308</v>
      </c>
      <c r="I68" s="25" t="s">
        <v>308</v>
      </c>
      <c r="J68" s="25" t="s">
        <v>308</v>
      </c>
      <c r="K68" s="8"/>
      <c r="L68" s="10"/>
      <c r="M68" s="8"/>
      <c r="N68" s="8" t="s">
        <v>690</v>
      </c>
      <c r="O68" s="26">
        <v>0</v>
      </c>
      <c r="P68" s="25" t="s">
        <v>308</v>
      </c>
      <c r="Q68" s="25" t="s">
        <v>308</v>
      </c>
      <c r="R68" s="25" t="s">
        <v>308</v>
      </c>
      <c r="S68" s="8"/>
      <c r="T68" s="10"/>
      <c r="U68" s="8"/>
      <c r="V68" s="8"/>
      <c r="W68" s="8" t="s">
        <v>109</v>
      </c>
      <c r="X68" s="23">
        <v>1</v>
      </c>
      <c r="Y68" s="23">
        <v>1</v>
      </c>
      <c r="Z68" s="8"/>
    </row>
    <row r="69" spans="1:26" x14ac:dyDescent="0.55000000000000004">
      <c r="A69" s="8" t="s">
        <v>186</v>
      </c>
      <c r="B69" s="25" t="s">
        <v>308</v>
      </c>
      <c r="C69" s="25" t="s">
        <v>308</v>
      </c>
      <c r="D69" s="25" t="s">
        <v>308</v>
      </c>
      <c r="E69" s="25" t="s">
        <v>308</v>
      </c>
      <c r="F69" s="25" t="s">
        <v>308</v>
      </c>
      <c r="G69" s="25" t="s">
        <v>308</v>
      </c>
      <c r="H69" s="25" t="s">
        <v>308</v>
      </c>
      <c r="I69" s="25" t="s">
        <v>308</v>
      </c>
      <c r="J69" s="25" t="s">
        <v>308</v>
      </c>
      <c r="K69" s="8"/>
      <c r="L69" s="10"/>
      <c r="M69" s="8"/>
      <c r="N69" s="8" t="s">
        <v>185</v>
      </c>
      <c r="O69" s="26">
        <v>0</v>
      </c>
      <c r="P69" s="25" t="s">
        <v>308</v>
      </c>
      <c r="Q69" s="25" t="s">
        <v>308</v>
      </c>
      <c r="R69" s="25" t="s">
        <v>308</v>
      </c>
      <c r="S69" s="8"/>
      <c r="T69" s="10"/>
      <c r="U69" s="8"/>
      <c r="V69" s="8"/>
      <c r="W69" s="8" t="s">
        <v>113</v>
      </c>
      <c r="X69" s="23">
        <v>1</v>
      </c>
      <c r="Y69" s="23">
        <v>1</v>
      </c>
      <c r="Z69" s="8"/>
    </row>
    <row r="70" spans="1:26" x14ac:dyDescent="0.55000000000000004">
      <c r="A70" s="8" t="s">
        <v>188</v>
      </c>
      <c r="B70" s="25" t="s">
        <v>308</v>
      </c>
      <c r="C70" s="25" t="s">
        <v>308</v>
      </c>
      <c r="D70" s="25" t="s">
        <v>308</v>
      </c>
      <c r="E70" s="25" t="s">
        <v>308</v>
      </c>
      <c r="F70" s="25" t="s">
        <v>308</v>
      </c>
      <c r="G70" s="25" t="s">
        <v>308</v>
      </c>
      <c r="H70" s="25" t="s">
        <v>308</v>
      </c>
      <c r="I70" s="25" t="s">
        <v>308</v>
      </c>
      <c r="J70" s="25" t="s">
        <v>308</v>
      </c>
      <c r="K70" s="8"/>
      <c r="L70" s="10"/>
      <c r="M70" s="8"/>
      <c r="N70" s="8" t="s">
        <v>187</v>
      </c>
      <c r="O70" s="26">
        <v>0</v>
      </c>
      <c r="P70" s="25" t="s">
        <v>308</v>
      </c>
      <c r="Q70" s="25" t="s">
        <v>308</v>
      </c>
      <c r="R70" s="25" t="s">
        <v>308</v>
      </c>
      <c r="S70" s="8"/>
      <c r="T70" s="10"/>
      <c r="U70" s="8"/>
      <c r="V70" s="8"/>
      <c r="W70" s="8" t="s">
        <v>607</v>
      </c>
      <c r="X70" s="23">
        <v>1</v>
      </c>
      <c r="Y70" s="23">
        <v>1</v>
      </c>
      <c r="Z70" s="8"/>
    </row>
    <row r="71" spans="1:26" x14ac:dyDescent="0.55000000000000004">
      <c r="A71" s="8" t="s">
        <v>190</v>
      </c>
      <c r="B71" s="25" t="s">
        <v>308</v>
      </c>
      <c r="C71" s="25" t="s">
        <v>308</v>
      </c>
      <c r="D71" s="25" t="s">
        <v>308</v>
      </c>
      <c r="E71" s="25" t="s">
        <v>308</v>
      </c>
      <c r="F71" s="25" t="s">
        <v>308</v>
      </c>
      <c r="G71" s="25" t="s">
        <v>308</v>
      </c>
      <c r="H71" s="25" t="s">
        <v>308</v>
      </c>
      <c r="I71" s="25" t="s">
        <v>308</v>
      </c>
      <c r="J71" s="25" t="s">
        <v>308</v>
      </c>
      <c r="K71" s="8"/>
      <c r="L71" s="10"/>
      <c r="M71" s="8"/>
      <c r="N71" s="8" t="s">
        <v>189</v>
      </c>
      <c r="O71" s="26">
        <v>0</v>
      </c>
      <c r="P71" s="25" t="s">
        <v>308</v>
      </c>
      <c r="Q71" s="25" t="s">
        <v>308</v>
      </c>
      <c r="R71" s="25" t="s">
        <v>308</v>
      </c>
      <c r="S71" s="8"/>
      <c r="T71" s="10"/>
      <c r="U71" s="8"/>
      <c r="V71" s="8"/>
      <c r="W71" s="8" t="s">
        <v>612</v>
      </c>
      <c r="X71" s="23">
        <v>1</v>
      </c>
      <c r="Y71" s="23">
        <v>1</v>
      </c>
      <c r="Z71" s="8"/>
    </row>
    <row r="72" spans="1:26" x14ac:dyDescent="0.55000000000000004">
      <c r="A72" s="8" t="s">
        <v>697</v>
      </c>
      <c r="B72" s="25" t="s">
        <v>308</v>
      </c>
      <c r="C72" s="25" t="s">
        <v>308</v>
      </c>
      <c r="D72" s="25" t="s">
        <v>308</v>
      </c>
      <c r="E72" s="25" t="s">
        <v>308</v>
      </c>
      <c r="F72" s="25" t="s">
        <v>308</v>
      </c>
      <c r="G72" s="25" t="s">
        <v>308</v>
      </c>
      <c r="H72" s="25" t="s">
        <v>308</v>
      </c>
      <c r="I72" s="25" t="s">
        <v>308</v>
      </c>
      <c r="J72" s="25" t="s">
        <v>308</v>
      </c>
      <c r="K72" s="8"/>
      <c r="L72" s="10"/>
      <c r="M72" s="8"/>
      <c r="N72" s="8" t="s">
        <v>696</v>
      </c>
      <c r="O72" s="26">
        <v>0</v>
      </c>
      <c r="P72" s="25" t="s">
        <v>308</v>
      </c>
      <c r="Q72" s="25" t="s">
        <v>308</v>
      </c>
      <c r="R72" s="25" t="s">
        <v>308</v>
      </c>
      <c r="S72" s="8"/>
      <c r="T72" s="10"/>
      <c r="U72" s="8"/>
      <c r="V72" s="8"/>
      <c r="W72" s="8" t="s">
        <v>617</v>
      </c>
      <c r="X72" s="23">
        <v>1</v>
      </c>
      <c r="Y72" s="23">
        <v>1</v>
      </c>
      <c r="Z72" s="8"/>
    </row>
    <row r="73" spans="1:26" x14ac:dyDescent="0.55000000000000004">
      <c r="A73" s="8" t="s">
        <v>192</v>
      </c>
      <c r="B73" s="25" t="s">
        <v>308</v>
      </c>
      <c r="C73" s="25" t="s">
        <v>308</v>
      </c>
      <c r="D73" s="25" t="s">
        <v>308</v>
      </c>
      <c r="E73" s="25" t="s">
        <v>308</v>
      </c>
      <c r="F73" s="25" t="s">
        <v>308</v>
      </c>
      <c r="G73" s="25" t="s">
        <v>308</v>
      </c>
      <c r="H73" s="25" t="s">
        <v>308</v>
      </c>
      <c r="I73" s="25" t="s">
        <v>308</v>
      </c>
      <c r="J73" s="25" t="s">
        <v>308</v>
      </c>
      <c r="K73" s="8"/>
      <c r="L73" s="10"/>
      <c r="M73" s="8"/>
      <c r="N73" s="8" t="s">
        <v>191</v>
      </c>
      <c r="O73" s="26">
        <v>0</v>
      </c>
      <c r="P73" s="25" t="s">
        <v>308</v>
      </c>
      <c r="Q73" s="25" t="s">
        <v>308</v>
      </c>
      <c r="R73" s="25" t="s">
        <v>308</v>
      </c>
      <c r="S73" s="8"/>
      <c r="T73" s="10"/>
      <c r="U73" s="8"/>
      <c r="V73" s="8"/>
      <c r="W73" s="8" t="s">
        <v>620</v>
      </c>
      <c r="X73" s="23">
        <v>1</v>
      </c>
      <c r="Y73" s="23">
        <v>1</v>
      </c>
      <c r="Z73" s="8"/>
    </row>
    <row r="74" spans="1:26" x14ac:dyDescent="0.55000000000000004">
      <c r="A74" s="8" t="s">
        <v>701</v>
      </c>
      <c r="B74" s="25" t="s">
        <v>308</v>
      </c>
      <c r="C74" s="25" t="s">
        <v>308</v>
      </c>
      <c r="D74" s="25" t="s">
        <v>308</v>
      </c>
      <c r="E74" s="25" t="s">
        <v>308</v>
      </c>
      <c r="F74" s="25" t="s">
        <v>308</v>
      </c>
      <c r="G74" s="25" t="s">
        <v>308</v>
      </c>
      <c r="H74" s="25" t="s">
        <v>308</v>
      </c>
      <c r="I74" s="25" t="s">
        <v>308</v>
      </c>
      <c r="J74" s="25" t="s">
        <v>308</v>
      </c>
      <c r="K74" s="8"/>
      <c r="L74" s="10"/>
      <c r="M74" s="8"/>
      <c r="N74" s="8" t="s">
        <v>700</v>
      </c>
      <c r="O74" s="26">
        <v>0</v>
      </c>
      <c r="P74" s="25" t="s">
        <v>308</v>
      </c>
      <c r="Q74" s="25" t="s">
        <v>308</v>
      </c>
      <c r="R74" s="25" t="s">
        <v>308</v>
      </c>
      <c r="S74" s="8"/>
      <c r="T74" s="10"/>
      <c r="U74" s="8"/>
      <c r="V74" s="8"/>
      <c r="W74" s="8" t="s">
        <v>623</v>
      </c>
      <c r="X74" s="23">
        <v>1</v>
      </c>
      <c r="Y74" s="23">
        <v>1</v>
      </c>
      <c r="Z74" s="8"/>
    </row>
    <row r="75" spans="1:26" x14ac:dyDescent="0.55000000000000004">
      <c r="A75" s="8" t="s">
        <v>195</v>
      </c>
      <c r="B75" s="25" t="s">
        <v>308</v>
      </c>
      <c r="C75" s="25" t="s">
        <v>308</v>
      </c>
      <c r="D75" s="25" t="s">
        <v>308</v>
      </c>
      <c r="E75" s="25" t="s">
        <v>308</v>
      </c>
      <c r="F75" s="25" t="s">
        <v>308</v>
      </c>
      <c r="G75" s="25" t="s">
        <v>308</v>
      </c>
      <c r="H75" s="25" t="s">
        <v>308</v>
      </c>
      <c r="I75" s="25" t="s">
        <v>308</v>
      </c>
      <c r="J75" s="25" t="s">
        <v>308</v>
      </c>
      <c r="K75" s="8"/>
      <c r="L75" s="10"/>
      <c r="M75" s="8"/>
      <c r="N75" s="8" t="s">
        <v>194</v>
      </c>
      <c r="O75" s="26">
        <v>0</v>
      </c>
      <c r="P75" s="25" t="s">
        <v>308</v>
      </c>
      <c r="Q75" s="25" t="s">
        <v>308</v>
      </c>
      <c r="R75" s="25" t="s">
        <v>308</v>
      </c>
      <c r="S75" s="8"/>
      <c r="T75" s="10"/>
      <c r="U75" s="8"/>
      <c r="V75" s="8"/>
      <c r="W75" s="8"/>
      <c r="X75" s="8"/>
      <c r="Y75" s="8"/>
      <c r="Z75" s="8"/>
    </row>
    <row r="76" spans="1:26" x14ac:dyDescent="0.55000000000000004">
      <c r="A76" s="8" t="s">
        <v>197</v>
      </c>
      <c r="B76" s="25" t="s">
        <v>308</v>
      </c>
      <c r="C76" s="25" t="s">
        <v>308</v>
      </c>
      <c r="D76" s="25" t="s">
        <v>308</v>
      </c>
      <c r="E76" s="25" t="s">
        <v>308</v>
      </c>
      <c r="F76" s="25" t="s">
        <v>308</v>
      </c>
      <c r="G76" s="25" t="s">
        <v>308</v>
      </c>
      <c r="H76" s="25" t="s">
        <v>308</v>
      </c>
      <c r="I76" s="25" t="s">
        <v>308</v>
      </c>
      <c r="J76" s="25" t="s">
        <v>308</v>
      </c>
      <c r="K76" s="8"/>
      <c r="L76" s="10"/>
      <c r="M76" s="8"/>
      <c r="N76" s="8" t="s">
        <v>196</v>
      </c>
      <c r="O76" s="26">
        <v>0</v>
      </c>
      <c r="P76" s="25" t="s">
        <v>308</v>
      </c>
      <c r="Q76" s="25" t="s">
        <v>308</v>
      </c>
      <c r="R76" s="25" t="s">
        <v>308</v>
      </c>
      <c r="S76" s="8"/>
      <c r="T76" s="10"/>
      <c r="U76" s="10"/>
      <c r="V76" s="11" t="s">
        <v>240</v>
      </c>
      <c r="W76" s="10"/>
      <c r="X76" s="10"/>
      <c r="Y76" s="10"/>
      <c r="Z76" s="10"/>
    </row>
    <row r="77" spans="1:26" x14ac:dyDescent="0.55000000000000004">
      <c r="A77" s="8" t="s">
        <v>706</v>
      </c>
      <c r="B77" s="25" t="s">
        <v>308</v>
      </c>
      <c r="C77" s="25" t="s">
        <v>308</v>
      </c>
      <c r="D77" s="25" t="s">
        <v>308</v>
      </c>
      <c r="E77" s="25" t="s">
        <v>308</v>
      </c>
      <c r="F77" s="25" t="s">
        <v>308</v>
      </c>
      <c r="G77" s="25" t="s">
        <v>308</v>
      </c>
      <c r="H77" s="25" t="s">
        <v>308</v>
      </c>
      <c r="I77" s="25" t="s">
        <v>308</v>
      </c>
      <c r="J77" s="25" t="s">
        <v>308</v>
      </c>
      <c r="K77" s="8"/>
      <c r="L77" s="10"/>
      <c r="M77" s="8"/>
      <c r="N77" s="8" t="s">
        <v>705</v>
      </c>
      <c r="O77" s="26">
        <v>0</v>
      </c>
      <c r="P77" s="25" t="s">
        <v>308</v>
      </c>
      <c r="Q77" s="25" t="s">
        <v>308</v>
      </c>
      <c r="R77" s="25" t="s">
        <v>308</v>
      </c>
      <c r="S77" s="8"/>
      <c r="T77" s="10"/>
      <c r="U77" s="8"/>
      <c r="V77" s="8" t="s">
        <v>337</v>
      </c>
      <c r="W77" s="8" t="s">
        <v>322</v>
      </c>
      <c r="X77" s="8">
        <f>SUMIF(Main!G4:O4,Y1,Main!G5:O5)</f>
        <v>2</v>
      </c>
      <c r="Y77" s="8"/>
      <c r="Z77" s="8"/>
    </row>
    <row r="78" spans="1:26" x14ac:dyDescent="0.55000000000000004">
      <c r="A78" s="8" t="s">
        <v>199</v>
      </c>
      <c r="B78" s="25" t="s">
        <v>308</v>
      </c>
      <c r="C78" s="25" t="s">
        <v>308</v>
      </c>
      <c r="D78" s="25" t="s">
        <v>308</v>
      </c>
      <c r="E78" s="25" t="s">
        <v>308</v>
      </c>
      <c r="F78" s="25" t="s">
        <v>308</v>
      </c>
      <c r="G78" s="25" t="s">
        <v>308</v>
      </c>
      <c r="H78" s="25" t="s">
        <v>308</v>
      </c>
      <c r="I78" s="25" t="s">
        <v>308</v>
      </c>
      <c r="J78" s="25" t="s">
        <v>308</v>
      </c>
      <c r="K78" s="8"/>
      <c r="L78" s="10"/>
      <c r="M78" s="8"/>
      <c r="N78" s="8" t="s">
        <v>198</v>
      </c>
      <c r="O78" s="26">
        <v>0</v>
      </c>
      <c r="P78" s="25" t="s">
        <v>308</v>
      </c>
      <c r="Q78" s="25" t="s">
        <v>308</v>
      </c>
      <c r="R78" s="25" t="s">
        <v>308</v>
      </c>
      <c r="S78" s="8"/>
      <c r="T78" s="10"/>
      <c r="U78" s="8"/>
      <c r="V78" s="8" t="s">
        <v>338</v>
      </c>
      <c r="W78" s="8" t="s">
        <v>83</v>
      </c>
      <c r="X78" s="8">
        <f>SUMIF(Main!G4:O4,Y1,Main!G6:O6)</f>
        <v>3</v>
      </c>
      <c r="Y78" s="8"/>
      <c r="Z78" s="8"/>
    </row>
    <row r="79" spans="1:26" x14ac:dyDescent="0.55000000000000004">
      <c r="A79" s="8" t="s">
        <v>710</v>
      </c>
      <c r="B79" s="25" t="s">
        <v>308</v>
      </c>
      <c r="C79" s="25" t="s">
        <v>308</v>
      </c>
      <c r="D79" s="25" t="s">
        <v>308</v>
      </c>
      <c r="E79" s="25" t="s">
        <v>308</v>
      </c>
      <c r="F79" s="25" t="s">
        <v>308</v>
      </c>
      <c r="G79" s="25" t="s">
        <v>308</v>
      </c>
      <c r="H79" s="25" t="s">
        <v>308</v>
      </c>
      <c r="I79" s="25" t="s">
        <v>308</v>
      </c>
      <c r="J79" s="25" t="s">
        <v>308</v>
      </c>
      <c r="K79" s="8"/>
      <c r="L79" s="10"/>
      <c r="M79" s="8"/>
      <c r="N79" s="8" t="s">
        <v>709</v>
      </c>
      <c r="O79" s="26">
        <v>0</v>
      </c>
      <c r="P79" s="25" t="s">
        <v>308</v>
      </c>
      <c r="Q79" s="25" t="s">
        <v>308</v>
      </c>
      <c r="R79" s="25" t="s">
        <v>308</v>
      </c>
      <c r="S79" s="8"/>
      <c r="T79" s="10"/>
      <c r="U79" s="8"/>
      <c r="V79" s="8" t="s">
        <v>339</v>
      </c>
      <c r="W79" s="8" t="s">
        <v>32</v>
      </c>
      <c r="X79" s="8">
        <f>SUMIF(Main!G4:O4,Y1,Main!G7:O7)</f>
        <v>1</v>
      </c>
      <c r="Y79" s="8"/>
      <c r="Z79" s="8"/>
    </row>
    <row r="80" spans="1:26" x14ac:dyDescent="0.55000000000000004">
      <c r="A80" s="8" t="s">
        <v>713</v>
      </c>
      <c r="B80" s="25" t="s">
        <v>308</v>
      </c>
      <c r="C80" s="25" t="s">
        <v>308</v>
      </c>
      <c r="D80" s="25" t="s">
        <v>308</v>
      </c>
      <c r="E80" s="25" t="s">
        <v>308</v>
      </c>
      <c r="F80" s="25" t="s">
        <v>308</v>
      </c>
      <c r="G80" s="25" t="s">
        <v>308</v>
      </c>
      <c r="H80" s="25" t="s">
        <v>308</v>
      </c>
      <c r="I80" s="25" t="s">
        <v>308</v>
      </c>
      <c r="J80" s="25" t="s">
        <v>308</v>
      </c>
      <c r="K80" s="8"/>
      <c r="L80" s="10"/>
      <c r="M80" s="8"/>
      <c r="N80" s="8" t="s">
        <v>712</v>
      </c>
      <c r="O80" s="26">
        <v>0</v>
      </c>
      <c r="P80" s="25" t="s">
        <v>308</v>
      </c>
      <c r="Q80" s="25" t="s">
        <v>308</v>
      </c>
      <c r="R80" s="25" t="s">
        <v>308</v>
      </c>
      <c r="S80" s="8"/>
      <c r="T80" s="10"/>
      <c r="U80" s="8"/>
      <c r="V80" s="8" t="s">
        <v>340</v>
      </c>
      <c r="W80" s="8" t="s">
        <v>99</v>
      </c>
      <c r="X80" s="8">
        <f>SUMIF(Main!G4:O4,Y1,Main!G8:O8)</f>
        <v>1</v>
      </c>
      <c r="Y80" s="8"/>
      <c r="Z80" s="8"/>
    </row>
    <row r="81" spans="1:26" x14ac:dyDescent="0.55000000000000004">
      <c r="A81" s="8" t="s">
        <v>716</v>
      </c>
      <c r="B81" s="25" t="s">
        <v>308</v>
      </c>
      <c r="C81" s="25" t="s">
        <v>308</v>
      </c>
      <c r="D81" s="25" t="s">
        <v>308</v>
      </c>
      <c r="E81" s="25" t="s">
        <v>308</v>
      </c>
      <c r="F81" s="25" t="s">
        <v>308</v>
      </c>
      <c r="G81" s="25" t="s">
        <v>308</v>
      </c>
      <c r="H81" s="25" t="s">
        <v>308</v>
      </c>
      <c r="I81" s="25" t="s">
        <v>308</v>
      </c>
      <c r="J81" s="25" t="s">
        <v>308</v>
      </c>
      <c r="K81" s="8"/>
      <c r="L81" s="10"/>
      <c r="M81" s="8"/>
      <c r="N81" s="8" t="s">
        <v>715</v>
      </c>
      <c r="O81" s="26">
        <v>0</v>
      </c>
      <c r="P81" s="25" t="s">
        <v>308</v>
      </c>
      <c r="Q81" s="25" t="s">
        <v>308</v>
      </c>
      <c r="R81" s="25" t="s">
        <v>308</v>
      </c>
      <c r="S81" s="8"/>
      <c r="T81" s="10"/>
      <c r="U81" s="8"/>
      <c r="V81" s="8"/>
      <c r="W81" s="8"/>
      <c r="X81" s="8"/>
      <c r="Y81" s="8"/>
      <c r="Z81" s="8"/>
    </row>
    <row r="82" spans="1:26" x14ac:dyDescent="0.55000000000000004">
      <c r="A82" s="8" t="s">
        <v>719</v>
      </c>
      <c r="B82" s="25" t="s">
        <v>308</v>
      </c>
      <c r="C82" s="25" t="s">
        <v>308</v>
      </c>
      <c r="D82" s="25" t="s">
        <v>308</v>
      </c>
      <c r="E82" s="25" t="s">
        <v>308</v>
      </c>
      <c r="F82" s="25" t="s">
        <v>308</v>
      </c>
      <c r="G82" s="25" t="s">
        <v>308</v>
      </c>
      <c r="H82" s="25" t="s">
        <v>308</v>
      </c>
      <c r="I82" s="25" t="s">
        <v>308</v>
      </c>
      <c r="J82" s="25" t="s">
        <v>308</v>
      </c>
      <c r="K82" s="8"/>
      <c r="L82" s="10"/>
      <c r="M82" s="8"/>
      <c r="N82" s="8" t="s">
        <v>718</v>
      </c>
      <c r="O82" s="26">
        <v>0</v>
      </c>
      <c r="P82" s="25" t="s">
        <v>308</v>
      </c>
      <c r="Q82" s="25" t="s">
        <v>308</v>
      </c>
      <c r="R82" s="25" t="s">
        <v>308</v>
      </c>
      <c r="S82" s="8"/>
      <c r="T82" s="10"/>
      <c r="U82" s="10"/>
      <c r="V82" s="11" t="s">
        <v>249</v>
      </c>
      <c r="W82" s="10"/>
      <c r="X82" s="10"/>
      <c r="Y82" s="10"/>
      <c r="Z82" s="10"/>
    </row>
    <row r="83" spans="1:26" x14ac:dyDescent="0.55000000000000004">
      <c r="A83" s="8" t="s">
        <v>722</v>
      </c>
      <c r="B83" s="25" t="s">
        <v>308</v>
      </c>
      <c r="C83" s="25" t="s">
        <v>308</v>
      </c>
      <c r="D83" s="25" t="s">
        <v>308</v>
      </c>
      <c r="E83" s="25" t="s">
        <v>308</v>
      </c>
      <c r="F83" s="25" t="s">
        <v>308</v>
      </c>
      <c r="G83" s="25" t="s">
        <v>308</v>
      </c>
      <c r="H83" s="25" t="s">
        <v>308</v>
      </c>
      <c r="I83" s="25" t="s">
        <v>308</v>
      </c>
      <c r="J83" s="25" t="s">
        <v>308</v>
      </c>
      <c r="K83" s="8"/>
      <c r="L83" s="10"/>
      <c r="M83" s="8"/>
      <c r="N83" s="8" t="s">
        <v>721</v>
      </c>
      <c r="O83" s="26">
        <v>0</v>
      </c>
      <c r="P83" s="25" t="s">
        <v>308</v>
      </c>
      <c r="Q83" s="25" t="s">
        <v>308</v>
      </c>
      <c r="R83" s="25" t="s">
        <v>308</v>
      </c>
      <c r="S83" s="8"/>
      <c r="T83" s="10"/>
      <c r="U83" s="8"/>
      <c r="V83" s="8" t="s">
        <v>323</v>
      </c>
      <c r="W83" s="8" t="s">
        <v>12</v>
      </c>
      <c r="X83" s="8">
        <f>SUMIF(Main!G11:O11,'S6'!Y1,Main!G12:O12)</f>
        <v>1</v>
      </c>
      <c r="Y83" s="8"/>
      <c r="Z83" s="8"/>
    </row>
    <row r="84" spans="1:26" x14ac:dyDescent="0.55000000000000004">
      <c r="A84" s="8" t="s">
        <v>725</v>
      </c>
      <c r="B84" s="25" t="s">
        <v>308</v>
      </c>
      <c r="C84" s="25" t="s">
        <v>308</v>
      </c>
      <c r="D84" s="25" t="s">
        <v>308</v>
      </c>
      <c r="E84" s="25" t="s">
        <v>308</v>
      </c>
      <c r="F84" s="25" t="s">
        <v>308</v>
      </c>
      <c r="G84" s="25" t="s">
        <v>308</v>
      </c>
      <c r="H84" s="25" t="s">
        <v>308</v>
      </c>
      <c r="I84" s="25" t="s">
        <v>308</v>
      </c>
      <c r="J84" s="25" t="s">
        <v>308</v>
      </c>
      <c r="K84" s="8"/>
      <c r="L84" s="10"/>
      <c r="M84" s="8"/>
      <c r="N84" s="8" t="s">
        <v>724</v>
      </c>
      <c r="O84" s="26">
        <v>0</v>
      </c>
      <c r="P84" s="25" t="s">
        <v>308</v>
      </c>
      <c r="Q84" s="25" t="s">
        <v>308</v>
      </c>
      <c r="R84" s="25" t="s">
        <v>308</v>
      </c>
      <c r="S84" s="8"/>
      <c r="T84" s="10"/>
      <c r="U84" s="8"/>
      <c r="V84" s="8"/>
      <c r="W84" s="8" t="s">
        <v>20</v>
      </c>
      <c r="X84" s="8">
        <f>SUMIF(Main!G11:O11,'S6'!Y1,Main!G13:O13)</f>
        <v>1</v>
      </c>
      <c r="Y84" s="8"/>
      <c r="Z84" s="8"/>
    </row>
    <row r="85" spans="1:26" x14ac:dyDescent="0.55000000000000004">
      <c r="A85" s="8" t="s">
        <v>728</v>
      </c>
      <c r="B85" s="25" t="s">
        <v>308</v>
      </c>
      <c r="C85" s="25" t="s">
        <v>308</v>
      </c>
      <c r="D85" s="25" t="s">
        <v>308</v>
      </c>
      <c r="E85" s="25" t="s">
        <v>308</v>
      </c>
      <c r="F85" s="25" t="s">
        <v>308</v>
      </c>
      <c r="G85" s="25" t="s">
        <v>308</v>
      </c>
      <c r="H85" s="25" t="s">
        <v>308</v>
      </c>
      <c r="I85" s="25" t="s">
        <v>308</v>
      </c>
      <c r="J85" s="25" t="s">
        <v>308</v>
      </c>
      <c r="K85" s="8"/>
      <c r="L85" s="10"/>
      <c r="M85" s="8"/>
      <c r="N85" s="8" t="s">
        <v>727</v>
      </c>
      <c r="O85" s="26">
        <v>0</v>
      </c>
      <c r="P85" s="25" t="s">
        <v>308</v>
      </c>
      <c r="Q85" s="25" t="s">
        <v>308</v>
      </c>
      <c r="R85" s="25" t="s">
        <v>308</v>
      </c>
      <c r="S85" s="8"/>
      <c r="T85" s="10"/>
      <c r="U85" s="8"/>
      <c r="V85" s="8"/>
      <c r="W85" s="8" t="s">
        <v>28</v>
      </c>
      <c r="X85" s="8">
        <f>SUMIF(Main!G11:O11,'S6'!Y1,Main!G14:O14)</f>
        <v>1</v>
      </c>
      <c r="Y85" s="8"/>
      <c r="Z85" s="8"/>
    </row>
    <row r="86" spans="1:26" x14ac:dyDescent="0.55000000000000004">
      <c r="A86" s="8" t="s">
        <v>731</v>
      </c>
      <c r="B86" s="25" t="s">
        <v>308</v>
      </c>
      <c r="C86" s="25" t="s">
        <v>308</v>
      </c>
      <c r="D86" s="25" t="s">
        <v>308</v>
      </c>
      <c r="E86" s="25" t="s">
        <v>308</v>
      </c>
      <c r="F86" s="25" t="s">
        <v>308</v>
      </c>
      <c r="G86" s="25" t="s">
        <v>308</v>
      </c>
      <c r="H86" s="25" t="s">
        <v>308</v>
      </c>
      <c r="I86" s="25" t="s">
        <v>308</v>
      </c>
      <c r="J86" s="25" t="s">
        <v>308</v>
      </c>
      <c r="K86" s="8"/>
      <c r="L86" s="10"/>
      <c r="M86" s="8"/>
      <c r="N86" s="8" t="s">
        <v>730</v>
      </c>
      <c r="O86" s="26">
        <v>0</v>
      </c>
      <c r="P86" s="25" t="s">
        <v>308</v>
      </c>
      <c r="Q86" s="25" t="s">
        <v>308</v>
      </c>
      <c r="R86" s="25" t="s">
        <v>308</v>
      </c>
      <c r="S86" s="8"/>
      <c r="T86" s="10"/>
      <c r="U86" s="8"/>
      <c r="V86" s="8"/>
      <c r="W86" s="8" t="s">
        <v>36</v>
      </c>
      <c r="X86" s="8">
        <f>SUMIF(Main!G11:O11,'S6'!Y1,Main!G15:O15)</f>
        <v>1</v>
      </c>
      <c r="Y86" s="8"/>
      <c r="Z86" s="8"/>
    </row>
    <row r="87" spans="1:26" x14ac:dyDescent="0.55000000000000004">
      <c r="A87" s="8" t="s">
        <v>734</v>
      </c>
      <c r="B87" s="25" t="s">
        <v>308</v>
      </c>
      <c r="C87" s="25" t="s">
        <v>308</v>
      </c>
      <c r="D87" s="25" t="s">
        <v>308</v>
      </c>
      <c r="E87" s="25" t="s">
        <v>308</v>
      </c>
      <c r="F87" s="25" t="s">
        <v>308</v>
      </c>
      <c r="G87" s="25" t="s">
        <v>308</v>
      </c>
      <c r="H87" s="25" t="s">
        <v>308</v>
      </c>
      <c r="I87" s="25" t="s">
        <v>308</v>
      </c>
      <c r="J87" s="25" t="s">
        <v>308</v>
      </c>
      <c r="K87" s="8"/>
      <c r="L87" s="10"/>
      <c r="M87" s="8"/>
      <c r="N87" s="8" t="s">
        <v>733</v>
      </c>
      <c r="O87" s="26">
        <v>0</v>
      </c>
      <c r="P87" s="25" t="s">
        <v>308</v>
      </c>
      <c r="Q87" s="25" t="s">
        <v>308</v>
      </c>
      <c r="R87" s="25" t="s">
        <v>308</v>
      </c>
      <c r="S87" s="8"/>
      <c r="T87" s="10"/>
      <c r="U87" s="8"/>
      <c r="V87" s="8"/>
      <c r="W87" s="8" t="s">
        <v>44</v>
      </c>
      <c r="X87" s="8">
        <f>SUMIF(Main!G11:O11,'S6'!Y1,Main!G16:O16)</f>
        <v>1</v>
      </c>
      <c r="Y87" s="8"/>
      <c r="Z87" s="8"/>
    </row>
    <row r="88" spans="1:26" x14ac:dyDescent="0.55000000000000004">
      <c r="A88" s="8" t="s">
        <v>202</v>
      </c>
      <c r="B88" s="25" t="s">
        <v>308</v>
      </c>
      <c r="C88" s="25" t="s">
        <v>308</v>
      </c>
      <c r="D88" s="25" t="s">
        <v>308</v>
      </c>
      <c r="E88" s="25" t="s">
        <v>308</v>
      </c>
      <c r="F88" s="25" t="s">
        <v>308</v>
      </c>
      <c r="G88" s="25" t="s">
        <v>308</v>
      </c>
      <c r="H88" s="25" t="s">
        <v>308</v>
      </c>
      <c r="I88" s="25" t="s">
        <v>308</v>
      </c>
      <c r="J88" s="25" t="s">
        <v>308</v>
      </c>
      <c r="K88" s="8"/>
      <c r="L88" s="10"/>
      <c r="M88" s="8"/>
      <c r="N88" s="8" t="s">
        <v>201</v>
      </c>
      <c r="O88" s="26">
        <v>0</v>
      </c>
      <c r="P88" s="25" t="s">
        <v>308</v>
      </c>
      <c r="Q88" s="25" t="s">
        <v>308</v>
      </c>
      <c r="R88" s="25" t="s">
        <v>308</v>
      </c>
      <c r="S88" s="8"/>
      <c r="T88" s="10"/>
      <c r="U88" s="8"/>
      <c r="V88" s="8"/>
      <c r="W88" s="8" t="s">
        <v>49</v>
      </c>
      <c r="X88" s="8">
        <f>SUMIF(Main!G11:O11,'S6'!Y1,Main!G17:O17)</f>
        <v>1</v>
      </c>
      <c r="Y88" s="8"/>
      <c r="Z88" s="8"/>
    </row>
    <row r="89" spans="1:26" x14ac:dyDescent="0.55000000000000004">
      <c r="A89" s="8" t="s">
        <v>738</v>
      </c>
      <c r="B89" s="25" t="s">
        <v>308</v>
      </c>
      <c r="C89" s="25" t="s">
        <v>308</v>
      </c>
      <c r="D89" s="25" t="s">
        <v>308</v>
      </c>
      <c r="E89" s="25" t="s">
        <v>308</v>
      </c>
      <c r="F89" s="25" t="s">
        <v>308</v>
      </c>
      <c r="G89" s="25" t="s">
        <v>308</v>
      </c>
      <c r="H89" s="25" t="s">
        <v>308</v>
      </c>
      <c r="I89" s="25" t="s">
        <v>308</v>
      </c>
      <c r="J89" s="25" t="s">
        <v>308</v>
      </c>
      <c r="K89" s="8"/>
      <c r="L89" s="10"/>
      <c r="M89" s="8"/>
      <c r="N89" s="8" t="s">
        <v>737</v>
      </c>
      <c r="O89" s="26">
        <v>0</v>
      </c>
      <c r="P89" s="25" t="s">
        <v>308</v>
      </c>
      <c r="Q89" s="25" t="s">
        <v>308</v>
      </c>
      <c r="R89" s="25" t="s">
        <v>308</v>
      </c>
      <c r="S89" s="8"/>
      <c r="T89" s="10"/>
      <c r="U89" s="8"/>
      <c r="V89" s="8"/>
      <c r="W89" s="8" t="s">
        <v>57</v>
      </c>
      <c r="X89" s="8">
        <f>SUMIF(Main!G11:O11,'S6'!Y1,Main!G18:O18)</f>
        <v>1</v>
      </c>
      <c r="Y89" s="8"/>
      <c r="Z89" s="8"/>
    </row>
    <row r="90" spans="1:26" x14ac:dyDescent="0.55000000000000004">
      <c r="A90" s="8" t="s">
        <v>204</v>
      </c>
      <c r="B90" s="25" t="s">
        <v>308</v>
      </c>
      <c r="C90" s="25" t="s">
        <v>308</v>
      </c>
      <c r="D90" s="25" t="s">
        <v>308</v>
      </c>
      <c r="E90" s="25" t="s">
        <v>308</v>
      </c>
      <c r="F90" s="25" t="s">
        <v>308</v>
      </c>
      <c r="G90" s="25" t="s">
        <v>308</v>
      </c>
      <c r="H90" s="25" t="s">
        <v>308</v>
      </c>
      <c r="I90" s="25" t="s">
        <v>308</v>
      </c>
      <c r="J90" s="25" t="s">
        <v>308</v>
      </c>
      <c r="K90" s="8"/>
      <c r="L90" s="10"/>
      <c r="M90" s="8"/>
      <c r="N90" s="8" t="s">
        <v>203</v>
      </c>
      <c r="O90" s="26">
        <v>0</v>
      </c>
      <c r="P90" s="25" t="s">
        <v>308</v>
      </c>
      <c r="Q90" s="25" t="s">
        <v>308</v>
      </c>
      <c r="R90" s="25" t="s">
        <v>308</v>
      </c>
      <c r="S90" s="8"/>
      <c r="T90" s="10"/>
      <c r="U90" s="8"/>
      <c r="V90" s="8"/>
      <c r="W90" s="8" t="s">
        <v>65</v>
      </c>
      <c r="X90" s="8">
        <f>SUMIF(Main!G11:O11,'S6'!Y1,Main!G19:O19)</f>
        <v>1</v>
      </c>
      <c r="Y90" s="8"/>
      <c r="Z90" s="8"/>
    </row>
    <row r="91" spans="1:26" x14ac:dyDescent="0.55000000000000004">
      <c r="A91" s="8" t="s">
        <v>742</v>
      </c>
      <c r="B91" s="25" t="s">
        <v>308</v>
      </c>
      <c r="C91" s="25" t="s">
        <v>308</v>
      </c>
      <c r="D91" s="25" t="s">
        <v>308</v>
      </c>
      <c r="E91" s="25" t="s">
        <v>308</v>
      </c>
      <c r="F91" s="25" t="s">
        <v>308</v>
      </c>
      <c r="G91" s="25" t="s">
        <v>308</v>
      </c>
      <c r="H91" s="25" t="s">
        <v>308</v>
      </c>
      <c r="I91" s="25" t="s">
        <v>308</v>
      </c>
      <c r="J91" s="25" t="s">
        <v>308</v>
      </c>
      <c r="K91" s="8"/>
      <c r="L91" s="10"/>
      <c r="M91" s="8"/>
      <c r="N91" s="8" t="s">
        <v>741</v>
      </c>
      <c r="O91" s="26">
        <v>0</v>
      </c>
      <c r="P91" s="25" t="s">
        <v>308</v>
      </c>
      <c r="Q91" s="25" t="s">
        <v>308</v>
      </c>
      <c r="R91" s="25" t="s">
        <v>308</v>
      </c>
      <c r="S91" s="8"/>
      <c r="T91" s="10"/>
      <c r="U91" s="8"/>
      <c r="V91" s="8"/>
      <c r="W91" s="8" t="s">
        <v>573</v>
      </c>
      <c r="X91" s="8">
        <f>SUMIF(Main!G11:O11,'S6'!Y1,Main!G20:O20)</f>
        <v>1</v>
      </c>
      <c r="Y91" s="8"/>
      <c r="Z91" s="8"/>
    </row>
    <row r="92" spans="1:26" x14ac:dyDescent="0.55000000000000004">
      <c r="A92" s="8" t="s">
        <v>745</v>
      </c>
      <c r="B92" s="25" t="s">
        <v>308</v>
      </c>
      <c r="C92" s="25" t="s">
        <v>308</v>
      </c>
      <c r="D92" s="25" t="s">
        <v>308</v>
      </c>
      <c r="E92" s="25" t="s">
        <v>308</v>
      </c>
      <c r="F92" s="25" t="s">
        <v>308</v>
      </c>
      <c r="G92" s="25" t="s">
        <v>308</v>
      </c>
      <c r="H92" s="25" t="s">
        <v>308</v>
      </c>
      <c r="I92" s="25" t="s">
        <v>308</v>
      </c>
      <c r="J92" s="25" t="s">
        <v>308</v>
      </c>
      <c r="K92" s="8"/>
      <c r="L92" s="10"/>
      <c r="M92" s="8"/>
      <c r="N92" s="8" t="s">
        <v>744</v>
      </c>
      <c r="O92" s="26">
        <v>0</v>
      </c>
      <c r="P92" s="25" t="s">
        <v>308</v>
      </c>
      <c r="Q92" s="25" t="s">
        <v>308</v>
      </c>
      <c r="R92" s="25" t="s">
        <v>308</v>
      </c>
      <c r="S92" s="8"/>
      <c r="T92" s="10"/>
      <c r="U92" s="8"/>
      <c r="V92" s="8"/>
      <c r="W92" s="8" t="s">
        <v>580</v>
      </c>
      <c r="X92" s="8">
        <f>SUMIF(Main!G11:O11,'S6'!Y1,Main!G21:O21)</f>
        <v>1</v>
      </c>
      <c r="Y92" s="8"/>
      <c r="Z92" s="8"/>
    </row>
    <row r="93" spans="1:26" x14ac:dyDescent="0.55000000000000004">
      <c r="A93" s="8" t="s">
        <v>748</v>
      </c>
      <c r="B93" s="25" t="s">
        <v>308</v>
      </c>
      <c r="C93" s="25" t="s">
        <v>308</v>
      </c>
      <c r="D93" s="25" t="s">
        <v>308</v>
      </c>
      <c r="E93" s="25" t="s">
        <v>308</v>
      </c>
      <c r="F93" s="25" t="s">
        <v>308</v>
      </c>
      <c r="G93" s="25" t="s">
        <v>308</v>
      </c>
      <c r="H93" s="25" t="s">
        <v>308</v>
      </c>
      <c r="I93" s="25" t="s">
        <v>308</v>
      </c>
      <c r="J93" s="25" t="s">
        <v>308</v>
      </c>
      <c r="K93" s="8"/>
      <c r="L93" s="10"/>
      <c r="M93" s="8"/>
      <c r="N93" s="8" t="s">
        <v>747</v>
      </c>
      <c r="O93" s="26">
        <v>0</v>
      </c>
      <c r="P93" s="25" t="s">
        <v>308</v>
      </c>
      <c r="Q93" s="25" t="s">
        <v>308</v>
      </c>
      <c r="R93" s="25" t="s">
        <v>308</v>
      </c>
      <c r="S93" s="8"/>
      <c r="T93" s="10"/>
      <c r="U93" s="8"/>
      <c r="V93" s="8"/>
      <c r="W93" s="8" t="s">
        <v>586</v>
      </c>
      <c r="X93" s="8">
        <f>SUMIF(Main!G11:O11,'S6'!Y1,Main!G22:O22)</f>
        <v>1</v>
      </c>
      <c r="Y93" s="8"/>
      <c r="Z93" s="8"/>
    </row>
    <row r="94" spans="1:26" x14ac:dyDescent="0.55000000000000004">
      <c r="A94" s="8" t="s">
        <v>751</v>
      </c>
      <c r="B94" s="25" t="s">
        <v>308</v>
      </c>
      <c r="C94" s="25" t="s">
        <v>308</v>
      </c>
      <c r="D94" s="25" t="s">
        <v>308</v>
      </c>
      <c r="E94" s="25" t="s">
        <v>308</v>
      </c>
      <c r="F94" s="25" t="s">
        <v>308</v>
      </c>
      <c r="G94" s="25" t="s">
        <v>308</v>
      </c>
      <c r="H94" s="25" t="s">
        <v>308</v>
      </c>
      <c r="I94" s="25" t="s">
        <v>308</v>
      </c>
      <c r="J94" s="25" t="s">
        <v>308</v>
      </c>
      <c r="K94" s="8"/>
      <c r="L94" s="10"/>
      <c r="M94" s="8"/>
      <c r="N94" s="8" t="s">
        <v>750</v>
      </c>
      <c r="O94" s="26">
        <v>0</v>
      </c>
      <c r="P94" s="25" t="s">
        <v>308</v>
      </c>
      <c r="Q94" s="25" t="s">
        <v>308</v>
      </c>
      <c r="R94" s="25" t="s">
        <v>308</v>
      </c>
      <c r="S94" s="8"/>
      <c r="T94" s="10"/>
      <c r="U94" s="8"/>
      <c r="V94" s="8"/>
      <c r="W94" s="8" t="s">
        <v>590</v>
      </c>
      <c r="X94" s="8">
        <f>SUMIF(Main!G11:O11,'S6'!Y1,Main!G23:O23)</f>
        <v>1</v>
      </c>
      <c r="Y94" s="8"/>
      <c r="Z94" s="8"/>
    </row>
    <row r="95" spans="1:26" x14ac:dyDescent="0.55000000000000004">
      <c r="A95" s="8" t="s">
        <v>754</v>
      </c>
      <c r="B95" s="25" t="s">
        <v>308</v>
      </c>
      <c r="C95" s="25" t="s">
        <v>308</v>
      </c>
      <c r="D95" s="25" t="s">
        <v>308</v>
      </c>
      <c r="E95" s="25" t="s">
        <v>308</v>
      </c>
      <c r="F95" s="25" t="s">
        <v>308</v>
      </c>
      <c r="G95" s="25" t="s">
        <v>308</v>
      </c>
      <c r="H95" s="25" t="s">
        <v>308</v>
      </c>
      <c r="I95" s="25" t="s">
        <v>308</v>
      </c>
      <c r="J95" s="25" t="s">
        <v>308</v>
      </c>
      <c r="K95" s="8"/>
      <c r="L95" s="10"/>
      <c r="M95" s="8"/>
      <c r="N95" s="8" t="s">
        <v>753</v>
      </c>
      <c r="O95" s="26">
        <v>0</v>
      </c>
      <c r="P95" s="25" t="s">
        <v>308</v>
      </c>
      <c r="Q95" s="25" t="s">
        <v>308</v>
      </c>
      <c r="R95" s="25" t="s">
        <v>308</v>
      </c>
      <c r="S95" s="8"/>
      <c r="T95" s="10"/>
      <c r="U95" s="8"/>
      <c r="V95" s="8" t="s">
        <v>251</v>
      </c>
      <c r="W95" s="8" t="s">
        <v>72</v>
      </c>
      <c r="X95" s="8">
        <f>SUMIF(Main!G11:O11,'S6'!Y1,Main!G24:O24)</f>
        <v>1</v>
      </c>
      <c r="Y95" s="8"/>
      <c r="Z95" s="8"/>
    </row>
    <row r="96" spans="1:26" x14ac:dyDescent="0.55000000000000004">
      <c r="A96" s="8" t="s">
        <v>207</v>
      </c>
      <c r="B96" s="25" t="s">
        <v>308</v>
      </c>
      <c r="C96" s="25" t="s">
        <v>308</v>
      </c>
      <c r="D96" s="25" t="s">
        <v>308</v>
      </c>
      <c r="E96" s="25" t="s">
        <v>308</v>
      </c>
      <c r="F96" s="25" t="s">
        <v>308</v>
      </c>
      <c r="G96" s="25" t="s">
        <v>308</v>
      </c>
      <c r="H96" s="25" t="s">
        <v>308</v>
      </c>
      <c r="I96" s="25" t="s">
        <v>308</v>
      </c>
      <c r="J96" s="25" t="s">
        <v>308</v>
      </c>
      <c r="K96" s="8"/>
      <c r="L96" s="10"/>
      <c r="M96" s="8"/>
      <c r="N96" s="8" t="s">
        <v>206</v>
      </c>
      <c r="O96" s="26">
        <v>0</v>
      </c>
      <c r="P96" s="25" t="s">
        <v>308</v>
      </c>
      <c r="Q96" s="25" t="s">
        <v>308</v>
      </c>
      <c r="R96" s="25" t="s">
        <v>308</v>
      </c>
      <c r="S96" s="8"/>
      <c r="T96" s="10"/>
      <c r="U96" s="8"/>
      <c r="V96" s="8" t="s">
        <v>250</v>
      </c>
      <c r="W96" s="8" t="s">
        <v>79</v>
      </c>
      <c r="X96" s="8">
        <f>SUMIF(Main!G11:O11,'S6'!Y1,Main!G25:O25)</f>
        <v>2</v>
      </c>
      <c r="Y96" s="8"/>
      <c r="Z96" s="8"/>
    </row>
    <row r="97" spans="1:26" x14ac:dyDescent="0.55000000000000004">
      <c r="A97" s="8" t="s">
        <v>758</v>
      </c>
      <c r="B97" s="25" t="s">
        <v>308</v>
      </c>
      <c r="C97" s="25" t="s">
        <v>308</v>
      </c>
      <c r="D97" s="25" t="s">
        <v>308</v>
      </c>
      <c r="E97" s="25" t="s">
        <v>308</v>
      </c>
      <c r="F97" s="25" t="s">
        <v>308</v>
      </c>
      <c r="G97" s="25" t="s">
        <v>308</v>
      </c>
      <c r="H97" s="25" t="s">
        <v>308</v>
      </c>
      <c r="I97" s="25" t="s">
        <v>308</v>
      </c>
      <c r="J97" s="25" t="s">
        <v>308</v>
      </c>
      <c r="K97" s="8"/>
      <c r="L97" s="10"/>
      <c r="M97" s="8"/>
      <c r="N97" s="8" t="s">
        <v>757</v>
      </c>
      <c r="O97" s="26">
        <v>0</v>
      </c>
      <c r="P97" s="25" t="s">
        <v>308</v>
      </c>
      <c r="Q97" s="25" t="s">
        <v>308</v>
      </c>
      <c r="R97" s="25" t="s">
        <v>308</v>
      </c>
      <c r="S97" s="8"/>
      <c r="T97" s="10"/>
      <c r="U97" s="8"/>
      <c r="V97" s="8"/>
      <c r="W97" s="8" t="s">
        <v>87</v>
      </c>
      <c r="X97" s="8">
        <f>SUMIF(Main!G11:O11,'S6'!Y1,Main!G26:O26)</f>
        <v>2</v>
      </c>
      <c r="Y97" s="8"/>
      <c r="Z97" s="8"/>
    </row>
    <row r="98" spans="1:26" x14ac:dyDescent="0.55000000000000004">
      <c r="A98" s="8" t="s">
        <v>761</v>
      </c>
      <c r="B98" s="25" t="s">
        <v>308</v>
      </c>
      <c r="C98" s="25" t="s">
        <v>308</v>
      </c>
      <c r="D98" s="25" t="s">
        <v>308</v>
      </c>
      <c r="E98" s="25" t="s">
        <v>308</v>
      </c>
      <c r="F98" s="25" t="s">
        <v>308</v>
      </c>
      <c r="G98" s="25" t="s">
        <v>308</v>
      </c>
      <c r="H98" s="25" t="s">
        <v>308</v>
      </c>
      <c r="I98" s="25" t="s">
        <v>308</v>
      </c>
      <c r="J98" s="25" t="s">
        <v>308</v>
      </c>
      <c r="K98" s="8"/>
      <c r="L98" s="10"/>
      <c r="M98" s="8"/>
      <c r="N98" s="8" t="s">
        <v>760</v>
      </c>
      <c r="O98" s="26">
        <v>0</v>
      </c>
      <c r="P98" s="25" t="s">
        <v>308</v>
      </c>
      <c r="Q98" s="25" t="s">
        <v>308</v>
      </c>
      <c r="R98" s="25" t="s">
        <v>308</v>
      </c>
      <c r="S98" s="8"/>
      <c r="T98" s="10"/>
      <c r="U98" s="8"/>
      <c r="V98" s="8"/>
      <c r="W98" s="8" t="s">
        <v>95</v>
      </c>
      <c r="X98" s="8">
        <f>SUMIF(Main!G11:O11,'S6'!Y1,Main!G27:O27)</f>
        <v>2</v>
      </c>
      <c r="Y98" s="8"/>
      <c r="Z98" s="8"/>
    </row>
    <row r="99" spans="1:26" x14ac:dyDescent="0.55000000000000004">
      <c r="A99" s="8" t="s">
        <v>764</v>
      </c>
      <c r="B99" s="25" t="s">
        <v>308</v>
      </c>
      <c r="C99" s="25" t="s">
        <v>308</v>
      </c>
      <c r="D99" s="25" t="s">
        <v>308</v>
      </c>
      <c r="E99" s="25" t="s">
        <v>308</v>
      </c>
      <c r="F99" s="25" t="s">
        <v>308</v>
      </c>
      <c r="G99" s="25" t="s">
        <v>308</v>
      </c>
      <c r="H99" s="25" t="s">
        <v>308</v>
      </c>
      <c r="I99" s="25" t="s">
        <v>308</v>
      </c>
      <c r="J99" s="25" t="s">
        <v>308</v>
      </c>
      <c r="K99" s="8"/>
      <c r="L99" s="10"/>
      <c r="M99" s="8"/>
      <c r="N99" s="8" t="s">
        <v>763</v>
      </c>
      <c r="O99" s="26">
        <v>0</v>
      </c>
      <c r="P99" s="25" t="s">
        <v>308</v>
      </c>
      <c r="Q99" s="25" t="s">
        <v>308</v>
      </c>
      <c r="R99" s="25" t="s">
        <v>308</v>
      </c>
      <c r="S99" s="8"/>
      <c r="T99" s="10"/>
      <c r="U99" s="8"/>
      <c r="V99" s="8"/>
      <c r="W99" s="8" t="s">
        <v>101</v>
      </c>
      <c r="X99" s="8">
        <f>SUMIF(Main!G11:O11,'S6'!Y1,Main!G28:O28)</f>
        <v>2</v>
      </c>
      <c r="Y99" s="8"/>
      <c r="Z99" s="8"/>
    </row>
    <row r="100" spans="1:26" x14ac:dyDescent="0.55000000000000004">
      <c r="A100" s="8" t="s">
        <v>767</v>
      </c>
      <c r="B100" s="25" t="s">
        <v>308</v>
      </c>
      <c r="C100" s="25" t="s">
        <v>308</v>
      </c>
      <c r="D100" s="25" t="s">
        <v>308</v>
      </c>
      <c r="E100" s="25" t="s">
        <v>308</v>
      </c>
      <c r="F100" s="25" t="s">
        <v>308</v>
      </c>
      <c r="G100" s="25" t="s">
        <v>308</v>
      </c>
      <c r="H100" s="25" t="s">
        <v>308</v>
      </c>
      <c r="I100" s="25" t="s">
        <v>308</v>
      </c>
      <c r="J100" s="25" t="s">
        <v>308</v>
      </c>
      <c r="K100" s="8"/>
      <c r="L100" s="10"/>
      <c r="M100" s="8"/>
      <c r="N100" s="8" t="s">
        <v>766</v>
      </c>
      <c r="O100" s="26">
        <v>0</v>
      </c>
      <c r="P100" s="25" t="s">
        <v>308</v>
      </c>
      <c r="Q100" s="25" t="s">
        <v>308</v>
      </c>
      <c r="R100" s="25" t="s">
        <v>308</v>
      </c>
      <c r="S100" s="8"/>
      <c r="T100" s="10"/>
      <c r="U100" s="8"/>
      <c r="V100" s="8"/>
      <c r="W100" s="8"/>
      <c r="X100" s="8"/>
      <c r="Y100" s="8"/>
      <c r="Z100" s="8"/>
    </row>
    <row r="101" spans="1:26" x14ac:dyDescent="0.55000000000000004">
      <c r="A101" s="8" t="s">
        <v>770</v>
      </c>
      <c r="B101" s="25" t="s">
        <v>308</v>
      </c>
      <c r="C101" s="25" t="s">
        <v>308</v>
      </c>
      <c r="D101" s="25" t="s">
        <v>308</v>
      </c>
      <c r="E101" s="25" t="s">
        <v>308</v>
      </c>
      <c r="F101" s="25" t="s">
        <v>308</v>
      </c>
      <c r="G101" s="25" t="s">
        <v>308</v>
      </c>
      <c r="H101" s="25" t="s">
        <v>308</v>
      </c>
      <c r="I101" s="25" t="s">
        <v>308</v>
      </c>
      <c r="J101" s="25" t="s">
        <v>308</v>
      </c>
      <c r="K101" s="8"/>
      <c r="L101" s="10"/>
      <c r="M101" s="8"/>
      <c r="N101" s="8" t="s">
        <v>769</v>
      </c>
      <c r="O101" s="26">
        <v>0</v>
      </c>
      <c r="P101" s="25" t="s">
        <v>308</v>
      </c>
      <c r="Q101" s="25" t="s">
        <v>308</v>
      </c>
      <c r="R101" s="25" t="s">
        <v>308</v>
      </c>
      <c r="S101" s="8"/>
      <c r="T101" s="10"/>
      <c r="U101" s="8"/>
      <c r="V101" s="8"/>
      <c r="W101" s="8"/>
      <c r="X101" s="8"/>
      <c r="Y101" s="8"/>
      <c r="Z101" s="8"/>
    </row>
    <row r="102" spans="1:26" x14ac:dyDescent="0.55000000000000004">
      <c r="A102" s="8" t="s">
        <v>211</v>
      </c>
      <c r="B102" s="25" t="s">
        <v>308</v>
      </c>
      <c r="C102" s="25" t="s">
        <v>308</v>
      </c>
      <c r="D102" s="25" t="s">
        <v>308</v>
      </c>
      <c r="E102" s="25" t="s">
        <v>308</v>
      </c>
      <c r="F102" s="25" t="s">
        <v>308</v>
      </c>
      <c r="G102" s="25" t="s">
        <v>308</v>
      </c>
      <c r="H102" s="25" t="s">
        <v>308</v>
      </c>
      <c r="I102" s="25" t="s">
        <v>308</v>
      </c>
      <c r="J102" s="25" t="s">
        <v>308</v>
      </c>
      <c r="K102" s="8"/>
      <c r="L102" s="10"/>
      <c r="M102" s="8"/>
      <c r="N102" s="8" t="s">
        <v>210</v>
      </c>
      <c r="O102" s="26">
        <v>0</v>
      </c>
      <c r="P102" s="25" t="s">
        <v>308</v>
      </c>
      <c r="Q102" s="25" t="s">
        <v>308</v>
      </c>
      <c r="R102" s="25" t="s">
        <v>308</v>
      </c>
      <c r="S102" s="8"/>
      <c r="T102" s="10"/>
      <c r="U102" s="8"/>
      <c r="V102" s="8"/>
      <c r="W102" s="8"/>
      <c r="X102" s="8"/>
      <c r="Y102" s="8"/>
      <c r="Z102" s="8"/>
    </row>
    <row r="103" spans="1:26" x14ac:dyDescent="0.55000000000000004">
      <c r="A103" s="8" t="s">
        <v>214</v>
      </c>
      <c r="B103" s="25" t="s">
        <v>308</v>
      </c>
      <c r="C103" s="25" t="s">
        <v>308</v>
      </c>
      <c r="D103" s="25" t="s">
        <v>308</v>
      </c>
      <c r="E103" s="25" t="s">
        <v>308</v>
      </c>
      <c r="F103" s="25" t="s">
        <v>308</v>
      </c>
      <c r="G103" s="25" t="s">
        <v>308</v>
      </c>
      <c r="H103" s="25" t="s">
        <v>308</v>
      </c>
      <c r="I103" s="25" t="s">
        <v>308</v>
      </c>
      <c r="J103" s="25" t="s">
        <v>308</v>
      </c>
      <c r="K103" s="8"/>
      <c r="L103" s="10"/>
      <c r="M103" s="8"/>
      <c r="N103" s="8" t="s">
        <v>213</v>
      </c>
      <c r="O103" s="26">
        <v>0</v>
      </c>
      <c r="P103" s="25" t="s">
        <v>308</v>
      </c>
      <c r="Q103" s="25" t="s">
        <v>308</v>
      </c>
      <c r="R103" s="25" t="s">
        <v>308</v>
      </c>
      <c r="S103" s="8"/>
      <c r="T103" s="10"/>
      <c r="U103" s="8"/>
      <c r="V103" s="8"/>
      <c r="W103" s="8"/>
      <c r="X103" s="8"/>
      <c r="Y103" s="8"/>
      <c r="Z103" s="8"/>
    </row>
    <row r="104" spans="1:26" x14ac:dyDescent="0.55000000000000004">
      <c r="A104" s="8" t="s">
        <v>217</v>
      </c>
      <c r="B104" s="25" t="s">
        <v>308</v>
      </c>
      <c r="C104" s="25" t="s">
        <v>308</v>
      </c>
      <c r="D104" s="25" t="s">
        <v>308</v>
      </c>
      <c r="E104" s="25" t="s">
        <v>308</v>
      </c>
      <c r="F104" s="25" t="s">
        <v>308</v>
      </c>
      <c r="G104" s="25" t="s">
        <v>308</v>
      </c>
      <c r="H104" s="25" t="s">
        <v>308</v>
      </c>
      <c r="I104" s="25" t="s">
        <v>308</v>
      </c>
      <c r="J104" s="25" t="s">
        <v>308</v>
      </c>
      <c r="K104" s="8"/>
      <c r="L104" s="10"/>
      <c r="M104" s="8"/>
      <c r="N104" s="8" t="s">
        <v>216</v>
      </c>
      <c r="O104" s="26">
        <v>0</v>
      </c>
      <c r="P104" s="25" t="s">
        <v>308</v>
      </c>
      <c r="Q104" s="25" t="s">
        <v>308</v>
      </c>
      <c r="R104" s="25" t="s">
        <v>308</v>
      </c>
      <c r="S104" s="8"/>
      <c r="T104" s="10"/>
      <c r="U104" s="8"/>
      <c r="V104" s="8"/>
      <c r="W104" s="8"/>
      <c r="X104" s="8"/>
      <c r="Y104" s="8"/>
      <c r="Z104" s="8"/>
    </row>
    <row r="105" spans="1:26" x14ac:dyDescent="0.55000000000000004">
      <c r="A105" s="8" t="s">
        <v>776</v>
      </c>
      <c r="B105" s="25" t="s">
        <v>308</v>
      </c>
      <c r="C105" s="25" t="s">
        <v>308</v>
      </c>
      <c r="D105" s="25" t="s">
        <v>308</v>
      </c>
      <c r="E105" s="25" t="s">
        <v>308</v>
      </c>
      <c r="F105" s="25" t="s">
        <v>308</v>
      </c>
      <c r="G105" s="25" t="s">
        <v>308</v>
      </c>
      <c r="H105" s="25" t="s">
        <v>308</v>
      </c>
      <c r="I105" s="25" t="s">
        <v>308</v>
      </c>
      <c r="J105" s="25" t="s">
        <v>308</v>
      </c>
      <c r="K105" s="8"/>
      <c r="L105" s="10"/>
      <c r="M105" s="8"/>
      <c r="N105" s="8" t="s">
        <v>775</v>
      </c>
      <c r="O105" s="26">
        <v>0</v>
      </c>
      <c r="P105" s="25" t="s">
        <v>308</v>
      </c>
      <c r="Q105" s="25" t="s">
        <v>308</v>
      </c>
      <c r="R105" s="25" t="s">
        <v>308</v>
      </c>
      <c r="S105" s="8"/>
      <c r="T105" s="10"/>
      <c r="U105" s="8"/>
      <c r="V105" s="8"/>
      <c r="W105" s="8"/>
      <c r="X105" s="8"/>
      <c r="Y105" s="8"/>
      <c r="Z105" s="8"/>
    </row>
    <row r="106" spans="1:26" x14ac:dyDescent="0.55000000000000004">
      <c r="A106" s="8" t="s">
        <v>779</v>
      </c>
      <c r="B106" s="25" t="s">
        <v>308</v>
      </c>
      <c r="C106" s="25" t="s">
        <v>308</v>
      </c>
      <c r="D106" s="25" t="s">
        <v>308</v>
      </c>
      <c r="E106" s="25" t="s">
        <v>308</v>
      </c>
      <c r="F106" s="25" t="s">
        <v>308</v>
      </c>
      <c r="G106" s="25" t="s">
        <v>308</v>
      </c>
      <c r="H106" s="25" t="s">
        <v>308</v>
      </c>
      <c r="I106" s="25" t="s">
        <v>308</v>
      </c>
      <c r="J106" s="25" t="s">
        <v>308</v>
      </c>
      <c r="K106" s="8"/>
      <c r="L106" s="10"/>
      <c r="M106" s="8"/>
      <c r="N106" s="8" t="s">
        <v>778</v>
      </c>
      <c r="O106" s="26">
        <v>0</v>
      </c>
      <c r="P106" s="25" t="s">
        <v>308</v>
      </c>
      <c r="Q106" s="25" t="s">
        <v>308</v>
      </c>
      <c r="R106" s="25" t="s">
        <v>308</v>
      </c>
      <c r="S106" s="8"/>
      <c r="T106" s="10"/>
      <c r="U106" s="8"/>
      <c r="V106" s="8"/>
      <c r="W106" s="8"/>
      <c r="X106" s="8"/>
      <c r="Y106" s="8"/>
      <c r="Z106" s="8"/>
    </row>
    <row r="107" spans="1:26" x14ac:dyDescent="0.55000000000000004">
      <c r="A107" s="8" t="s">
        <v>782</v>
      </c>
      <c r="B107" s="25" t="s">
        <v>308</v>
      </c>
      <c r="C107" s="25" t="s">
        <v>308</v>
      </c>
      <c r="D107" s="25" t="s">
        <v>308</v>
      </c>
      <c r="E107" s="25" t="s">
        <v>308</v>
      </c>
      <c r="F107" s="25" t="s">
        <v>308</v>
      </c>
      <c r="G107" s="25" t="s">
        <v>308</v>
      </c>
      <c r="H107" s="25" t="s">
        <v>308</v>
      </c>
      <c r="I107" s="25" t="s">
        <v>308</v>
      </c>
      <c r="J107" s="25" t="s">
        <v>308</v>
      </c>
      <c r="K107" s="8"/>
      <c r="L107" s="10"/>
      <c r="M107" s="8"/>
      <c r="N107" s="8" t="s">
        <v>781</v>
      </c>
      <c r="O107" s="26">
        <v>0</v>
      </c>
      <c r="P107" s="25" t="s">
        <v>308</v>
      </c>
      <c r="Q107" s="25" t="s">
        <v>308</v>
      </c>
      <c r="R107" s="25" t="s">
        <v>308</v>
      </c>
      <c r="S107" s="8"/>
      <c r="T107" s="10"/>
      <c r="U107" s="8"/>
      <c r="V107" s="8"/>
      <c r="W107" s="8"/>
      <c r="X107" s="8"/>
      <c r="Y107" s="8"/>
      <c r="Z107" s="8"/>
    </row>
    <row r="108" spans="1:26" x14ac:dyDescent="0.55000000000000004">
      <c r="A108" s="8" t="s">
        <v>220</v>
      </c>
      <c r="B108" s="25" t="s">
        <v>308</v>
      </c>
      <c r="C108" s="25" t="s">
        <v>308</v>
      </c>
      <c r="D108" s="25" t="s">
        <v>308</v>
      </c>
      <c r="E108" s="25" t="s">
        <v>308</v>
      </c>
      <c r="F108" s="25" t="s">
        <v>308</v>
      </c>
      <c r="G108" s="25" t="s">
        <v>308</v>
      </c>
      <c r="H108" s="25" t="s">
        <v>308</v>
      </c>
      <c r="I108" s="25" t="s">
        <v>308</v>
      </c>
      <c r="J108" s="25" t="s">
        <v>308</v>
      </c>
      <c r="K108" s="8"/>
      <c r="L108" s="10"/>
      <c r="M108" s="8"/>
      <c r="N108" s="8" t="s">
        <v>219</v>
      </c>
      <c r="O108" s="26">
        <v>0</v>
      </c>
      <c r="P108" s="25" t="s">
        <v>308</v>
      </c>
      <c r="Q108" s="25" t="s">
        <v>308</v>
      </c>
      <c r="R108" s="25" t="s">
        <v>308</v>
      </c>
      <c r="S108" s="8"/>
      <c r="T108" s="10"/>
      <c r="U108" s="8"/>
      <c r="V108" s="8"/>
      <c r="W108" s="8"/>
      <c r="X108" s="8"/>
      <c r="Y108" s="8"/>
      <c r="Z108" s="8"/>
    </row>
    <row r="109" spans="1:26" x14ac:dyDescent="0.55000000000000004">
      <c r="A109" s="8" t="s">
        <v>786</v>
      </c>
      <c r="B109" s="25" t="s">
        <v>308</v>
      </c>
      <c r="C109" s="25" t="s">
        <v>308</v>
      </c>
      <c r="D109" s="25" t="s">
        <v>308</v>
      </c>
      <c r="E109" s="25" t="s">
        <v>308</v>
      </c>
      <c r="F109" s="25" t="s">
        <v>308</v>
      </c>
      <c r="G109" s="25" t="s">
        <v>308</v>
      </c>
      <c r="H109" s="25" t="s">
        <v>308</v>
      </c>
      <c r="I109" s="25" t="s">
        <v>308</v>
      </c>
      <c r="J109" s="25" t="s">
        <v>308</v>
      </c>
      <c r="K109" s="8"/>
      <c r="L109" s="10"/>
      <c r="M109" s="8"/>
      <c r="N109" s="8" t="s">
        <v>785</v>
      </c>
      <c r="O109" s="26">
        <v>0</v>
      </c>
      <c r="P109" s="25" t="s">
        <v>308</v>
      </c>
      <c r="Q109" s="25" t="s">
        <v>308</v>
      </c>
      <c r="R109" s="25" t="s">
        <v>308</v>
      </c>
      <c r="S109" s="8"/>
      <c r="T109" s="10"/>
      <c r="U109" s="8"/>
      <c r="V109" s="8"/>
      <c r="W109" s="8"/>
      <c r="X109" s="8"/>
      <c r="Y109" s="8"/>
      <c r="Z109" s="8"/>
    </row>
    <row r="110" spans="1:26" x14ac:dyDescent="0.55000000000000004">
      <c r="A110" s="8" t="s">
        <v>789</v>
      </c>
      <c r="B110" s="25" t="s">
        <v>308</v>
      </c>
      <c r="C110" s="25" t="s">
        <v>308</v>
      </c>
      <c r="D110" s="25" t="s">
        <v>308</v>
      </c>
      <c r="E110" s="25" t="s">
        <v>308</v>
      </c>
      <c r="F110" s="25" t="s">
        <v>308</v>
      </c>
      <c r="G110" s="25" t="s">
        <v>308</v>
      </c>
      <c r="H110" s="25" t="s">
        <v>308</v>
      </c>
      <c r="I110" s="25" t="s">
        <v>308</v>
      </c>
      <c r="J110" s="25" t="s">
        <v>308</v>
      </c>
      <c r="K110" s="8"/>
      <c r="L110" s="10"/>
      <c r="M110" s="8"/>
      <c r="N110" s="8" t="s">
        <v>788</v>
      </c>
      <c r="O110" s="26">
        <v>0</v>
      </c>
      <c r="P110" s="25" t="s">
        <v>308</v>
      </c>
      <c r="Q110" s="25" t="s">
        <v>308</v>
      </c>
      <c r="R110" s="25" t="s">
        <v>308</v>
      </c>
      <c r="S110" s="8"/>
      <c r="T110" s="10"/>
      <c r="U110" s="8"/>
      <c r="V110" s="8"/>
      <c r="W110" s="8"/>
      <c r="X110" s="8"/>
      <c r="Y110" s="8"/>
      <c r="Z110" s="8"/>
    </row>
    <row r="111" spans="1:26" x14ac:dyDescent="0.5500000000000000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8"/>
      <c r="P111" s="8"/>
      <c r="Q111" s="8"/>
      <c r="R111" s="8"/>
      <c r="S111" s="8"/>
      <c r="T111" s="10"/>
      <c r="U111" s="8"/>
      <c r="V111" s="8"/>
      <c r="W111" s="8"/>
      <c r="X111" s="8"/>
      <c r="Y111" s="8"/>
      <c r="Z111" s="8"/>
    </row>
  </sheetData>
  <sheetProtection sheet="1" objects="1" scenarios="1"/>
  <mergeCells count="4">
    <mergeCell ref="B4:C4"/>
    <mergeCell ref="D4:F4"/>
    <mergeCell ref="G4:I4"/>
    <mergeCell ref="Q4:R4"/>
  </mergeCells>
  <conditionalFormatting sqref="O7:O110">
    <cfRule type="cellIs" dxfId="19" priority="4" operator="equal">
      <formula>0</formula>
    </cfRule>
  </conditionalFormatting>
  <conditionalFormatting sqref="P7:R110">
    <cfRule type="cellIs" dxfId="18" priority="3" operator="equal">
      <formula>"eps"</formula>
    </cfRule>
  </conditionalFormatting>
  <conditionalFormatting sqref="W7:Y23 B7:J110">
    <cfRule type="cellIs" dxfId="17" priority="5" operator="equal">
      <formula>"eps"</formula>
    </cfRule>
  </conditionalFormatting>
  <conditionalFormatting sqref="X28:Y42">
    <cfRule type="cellIs" dxfId="16" priority="1" operator="equal">
      <formula>"eps"</formula>
    </cfRule>
  </conditionalFormatting>
  <conditionalFormatting sqref="Y46:Y54">
    <cfRule type="cellIs" dxfId="15" priority="2" operator="equal">
      <formula>"eps"</formula>
    </cfRule>
  </conditionalFormatting>
  <dataValidations count="1">
    <dataValidation type="whole" allowBlank="1" showInputMessage="1" showErrorMessage="1" errorTitle="Incorrect choice" error="Choose 0 or 1" sqref="X59:Y74 O7:O110" xr:uid="{00000000-0002-0000-0700-000000000000}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499984740745262"/>
  </sheetPr>
  <dimension ref="A1:Z111"/>
  <sheetViews>
    <sheetView zoomScale="75" zoomScaleNormal="7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D57" sqref="D57"/>
    </sheetView>
  </sheetViews>
  <sheetFormatPr defaultColWidth="0" defaultRowHeight="14.4" zeroHeight="1" x14ac:dyDescent="0.55000000000000004"/>
  <cols>
    <col min="1" max="9" width="8.7890625" customWidth="1"/>
    <col min="10" max="10" width="8.7890625" hidden="1" customWidth="1"/>
    <col min="11" max="13" width="1" customWidth="1"/>
    <col min="14" max="18" width="8.7890625" customWidth="1"/>
    <col min="19" max="21" width="1" customWidth="1"/>
    <col min="22" max="25" width="8.7890625" customWidth="1"/>
    <col min="26" max="26" width="3.15625" customWidth="1"/>
    <col min="27" max="16384" width="8.7890625" hidden="1"/>
  </cols>
  <sheetData>
    <row r="1" spans="1:26" ht="18.3" x14ac:dyDescent="0.7">
      <c r="A1" s="6" t="str">
        <f>"Simulation "&amp;Y1&amp;IF(X1&lt;&gt;""," : "&amp;X1,"")</f>
        <v>Simulation sim7 : 50%_incr_cchem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7" t="str">
        <f>IF(Main!C6&lt;&gt;"",Main!C6,"")</f>
        <v>50%_incr_cchem</v>
      </c>
      <c r="Y1" s="17" t="str">
        <f>Main!A12</f>
        <v>sim7</v>
      </c>
      <c r="Z1" s="7"/>
    </row>
    <row r="2" spans="1:26" x14ac:dyDescent="0.5500000000000000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55000000000000004">
      <c r="A3" s="11" t="s">
        <v>271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 t="s">
        <v>272</v>
      </c>
      <c r="O3" s="11"/>
      <c r="P3" s="11"/>
      <c r="Q3" s="11"/>
      <c r="R3" s="11"/>
      <c r="S3" s="11"/>
      <c r="T3" s="11"/>
      <c r="U3" s="11"/>
      <c r="V3" s="11" t="s">
        <v>273</v>
      </c>
      <c r="W3" s="11"/>
      <c r="X3" s="11"/>
      <c r="Y3" s="11"/>
      <c r="Z3" s="11"/>
    </row>
    <row r="4" spans="1:26" x14ac:dyDescent="0.55000000000000004">
      <c r="A4" s="13"/>
      <c r="B4" s="31" t="s">
        <v>274</v>
      </c>
      <c r="C4" s="31"/>
      <c r="D4" s="31" t="s">
        <v>275</v>
      </c>
      <c r="E4" s="31"/>
      <c r="F4" s="31"/>
      <c r="G4" s="31" t="s">
        <v>17</v>
      </c>
      <c r="H4" s="31"/>
      <c r="I4" s="31"/>
      <c r="J4" s="15" t="s">
        <v>276</v>
      </c>
      <c r="K4" s="13"/>
      <c r="L4" s="10"/>
      <c r="M4" s="13"/>
      <c r="N4" s="13"/>
      <c r="O4" s="15" t="s">
        <v>277</v>
      </c>
      <c r="P4" s="15" t="s">
        <v>278</v>
      </c>
      <c r="Q4" s="31" t="s">
        <v>279</v>
      </c>
      <c r="R4" s="31"/>
      <c r="S4" s="13"/>
      <c r="T4" s="10"/>
      <c r="U4" s="13"/>
      <c r="V4" s="13"/>
      <c r="W4" s="15" t="s">
        <v>280</v>
      </c>
      <c r="X4" s="15" t="s">
        <v>281</v>
      </c>
      <c r="Y4" s="15" t="s">
        <v>280</v>
      </c>
      <c r="Z4" s="13"/>
    </row>
    <row r="5" spans="1:26" x14ac:dyDescent="0.55000000000000004">
      <c r="A5" s="13"/>
      <c r="B5" s="16" t="s">
        <v>282</v>
      </c>
      <c r="C5" s="16" t="s">
        <v>283</v>
      </c>
      <c r="D5" s="16" t="s">
        <v>282</v>
      </c>
      <c r="E5" s="16" t="s">
        <v>283</v>
      </c>
      <c r="F5" s="16" t="s">
        <v>284</v>
      </c>
      <c r="G5" s="16" t="s">
        <v>282</v>
      </c>
      <c r="H5" s="16" t="s">
        <v>283</v>
      </c>
      <c r="I5" s="16" t="s">
        <v>285</v>
      </c>
      <c r="J5" s="15" t="s">
        <v>286</v>
      </c>
      <c r="K5" s="13"/>
      <c r="L5" s="10"/>
      <c r="M5" s="13"/>
      <c r="N5" s="13"/>
      <c r="O5" s="16" t="s">
        <v>287</v>
      </c>
      <c r="P5" s="16"/>
      <c r="Q5" s="16" t="s">
        <v>288</v>
      </c>
      <c r="R5" s="16" t="s">
        <v>332</v>
      </c>
      <c r="S5" s="13"/>
      <c r="T5" s="10"/>
      <c r="U5" s="13"/>
      <c r="V5" s="13"/>
      <c r="W5" s="15" t="s">
        <v>289</v>
      </c>
      <c r="X5" s="15" t="s">
        <v>290</v>
      </c>
      <c r="Y5" s="15" t="s">
        <v>291</v>
      </c>
      <c r="Z5" s="13"/>
    </row>
    <row r="6" spans="1:26" x14ac:dyDescent="0.55000000000000004">
      <c r="A6" s="13"/>
      <c r="B6" s="16" t="s">
        <v>292</v>
      </c>
      <c r="C6" s="16" t="s">
        <v>293</v>
      </c>
      <c r="D6" s="16" t="s">
        <v>294</v>
      </c>
      <c r="E6" s="16" t="s">
        <v>295</v>
      </c>
      <c r="F6" s="16" t="s">
        <v>296</v>
      </c>
      <c r="G6" s="16" t="s">
        <v>297</v>
      </c>
      <c r="H6" s="16" t="s">
        <v>298</v>
      </c>
      <c r="I6" s="16" t="s">
        <v>299</v>
      </c>
      <c r="J6" s="16" t="s">
        <v>300</v>
      </c>
      <c r="K6" s="13"/>
      <c r="L6" s="10"/>
      <c r="M6" s="13"/>
      <c r="N6" s="13"/>
      <c r="O6" s="16" t="s">
        <v>301</v>
      </c>
      <c r="P6" s="16" t="s">
        <v>302</v>
      </c>
      <c r="Q6" s="16" t="s">
        <v>303</v>
      </c>
      <c r="R6" s="16" t="s">
        <v>304</v>
      </c>
      <c r="S6" s="13"/>
      <c r="T6" s="10"/>
      <c r="U6" s="13"/>
      <c r="V6" s="13"/>
      <c r="W6" s="16" t="s">
        <v>305</v>
      </c>
      <c r="X6" s="16" t="s">
        <v>306</v>
      </c>
      <c r="Y6" s="16" t="s">
        <v>307</v>
      </c>
      <c r="Z6" s="13"/>
    </row>
    <row r="7" spans="1:26" x14ac:dyDescent="0.55000000000000004">
      <c r="A7" s="8" t="s">
        <v>19</v>
      </c>
      <c r="B7" s="25" t="s">
        <v>308</v>
      </c>
      <c r="C7" s="25" t="s">
        <v>308</v>
      </c>
      <c r="D7" s="25" t="s">
        <v>308</v>
      </c>
      <c r="E7" s="25" t="s">
        <v>308</v>
      </c>
      <c r="F7" s="25" t="s">
        <v>308</v>
      </c>
      <c r="G7" s="25" t="s">
        <v>308</v>
      </c>
      <c r="H7" s="25" t="s">
        <v>308</v>
      </c>
      <c r="I7" s="25" t="s">
        <v>308</v>
      </c>
      <c r="J7" s="25" t="s">
        <v>308</v>
      </c>
      <c r="K7" s="8"/>
      <c r="L7" s="10"/>
      <c r="M7" s="8"/>
      <c r="N7" s="8" t="s">
        <v>18</v>
      </c>
      <c r="O7" s="26">
        <v>0</v>
      </c>
      <c r="P7" s="25" t="s">
        <v>308</v>
      </c>
      <c r="Q7" s="25" t="s">
        <v>308</v>
      </c>
      <c r="R7" s="25" t="s">
        <v>308</v>
      </c>
      <c r="S7" s="8"/>
      <c r="T7" s="10"/>
      <c r="U7" s="8"/>
      <c r="V7" s="8" t="s">
        <v>12</v>
      </c>
      <c r="W7" s="25" t="s">
        <v>308</v>
      </c>
      <c r="X7" s="25" t="s">
        <v>308</v>
      </c>
      <c r="Y7" s="25" t="s">
        <v>308</v>
      </c>
      <c r="Z7" s="8"/>
    </row>
    <row r="8" spans="1:26" x14ac:dyDescent="0.55000000000000004">
      <c r="A8" s="8" t="s">
        <v>10</v>
      </c>
      <c r="B8" s="25" t="s">
        <v>308</v>
      </c>
      <c r="C8" s="25" t="s">
        <v>308</v>
      </c>
      <c r="D8" s="25" t="s">
        <v>308</v>
      </c>
      <c r="E8" s="25" t="s">
        <v>308</v>
      </c>
      <c r="F8" s="25" t="s">
        <v>308</v>
      </c>
      <c r="G8" s="25" t="s">
        <v>308</v>
      </c>
      <c r="H8" s="25" t="s">
        <v>308</v>
      </c>
      <c r="I8" s="25" t="s">
        <v>308</v>
      </c>
      <c r="J8" s="25" t="s">
        <v>308</v>
      </c>
      <c r="K8" s="8"/>
      <c r="L8" s="10"/>
      <c r="M8" s="8"/>
      <c r="N8" s="8" t="s">
        <v>9</v>
      </c>
      <c r="O8" s="26">
        <v>0</v>
      </c>
      <c r="P8" s="25" t="s">
        <v>308</v>
      </c>
      <c r="Q8" s="25" t="s">
        <v>308</v>
      </c>
      <c r="R8" s="25" t="s">
        <v>308</v>
      </c>
      <c r="S8" s="8"/>
      <c r="T8" s="10"/>
      <c r="U8" s="8"/>
      <c r="V8" s="8" t="s">
        <v>20</v>
      </c>
      <c r="W8" s="25" t="s">
        <v>308</v>
      </c>
      <c r="X8" s="25" t="s">
        <v>308</v>
      </c>
      <c r="Y8" s="25" t="s">
        <v>308</v>
      </c>
      <c r="Z8" s="8"/>
    </row>
    <row r="9" spans="1:26" x14ac:dyDescent="0.55000000000000004">
      <c r="A9" s="8" t="s">
        <v>35</v>
      </c>
      <c r="B9" s="25" t="s">
        <v>308</v>
      </c>
      <c r="C9" s="25" t="s">
        <v>308</v>
      </c>
      <c r="D9" s="25" t="s">
        <v>308</v>
      </c>
      <c r="E9" s="25" t="s">
        <v>308</v>
      </c>
      <c r="F9" s="25" t="s">
        <v>308</v>
      </c>
      <c r="G9" s="25" t="s">
        <v>308</v>
      </c>
      <c r="H9" s="25" t="s">
        <v>308</v>
      </c>
      <c r="I9" s="25" t="s">
        <v>308</v>
      </c>
      <c r="J9" s="25" t="s">
        <v>308</v>
      </c>
      <c r="K9" s="8"/>
      <c r="L9" s="10"/>
      <c r="M9" s="8"/>
      <c r="N9" s="8" t="s">
        <v>34</v>
      </c>
      <c r="O9" s="26">
        <v>0</v>
      </c>
      <c r="P9" s="25" t="s">
        <v>308</v>
      </c>
      <c r="Q9" s="25" t="s">
        <v>308</v>
      </c>
      <c r="R9" s="25" t="s">
        <v>308</v>
      </c>
      <c r="S9" s="8"/>
      <c r="T9" s="10"/>
      <c r="U9" s="8"/>
      <c r="V9" s="8" t="s">
        <v>28</v>
      </c>
      <c r="W9" s="25" t="s">
        <v>308</v>
      </c>
      <c r="X9" s="25" t="s">
        <v>308</v>
      </c>
      <c r="Y9" s="25" t="s">
        <v>308</v>
      </c>
      <c r="Z9" s="8"/>
    </row>
    <row r="10" spans="1:26" x14ac:dyDescent="0.55000000000000004">
      <c r="A10" s="8" t="s">
        <v>27</v>
      </c>
      <c r="B10" s="25" t="s">
        <v>308</v>
      </c>
      <c r="C10" s="25" t="s">
        <v>308</v>
      </c>
      <c r="D10" s="25" t="s">
        <v>308</v>
      </c>
      <c r="E10" s="25" t="s">
        <v>308</v>
      </c>
      <c r="F10" s="25" t="s">
        <v>308</v>
      </c>
      <c r="G10" s="25" t="s">
        <v>308</v>
      </c>
      <c r="H10" s="25" t="s">
        <v>308</v>
      </c>
      <c r="I10" s="25" t="s">
        <v>308</v>
      </c>
      <c r="J10" s="25" t="s">
        <v>308</v>
      </c>
      <c r="K10" s="8"/>
      <c r="L10" s="10"/>
      <c r="M10" s="8"/>
      <c r="N10" s="8" t="s">
        <v>26</v>
      </c>
      <c r="O10" s="26">
        <v>0</v>
      </c>
      <c r="P10" s="25" t="s">
        <v>308</v>
      </c>
      <c r="Q10" s="25" t="s">
        <v>308</v>
      </c>
      <c r="R10" s="25" t="s">
        <v>308</v>
      </c>
      <c r="S10" s="8"/>
      <c r="T10" s="10"/>
      <c r="U10" s="8"/>
      <c r="V10" s="8" t="s">
        <v>36</v>
      </c>
      <c r="W10" s="25" t="s">
        <v>308</v>
      </c>
      <c r="X10" s="25" t="s">
        <v>308</v>
      </c>
      <c r="Y10" s="25" t="s">
        <v>308</v>
      </c>
      <c r="Z10" s="8"/>
    </row>
    <row r="11" spans="1:26" x14ac:dyDescent="0.55000000000000004">
      <c r="A11" s="8" t="s">
        <v>42</v>
      </c>
      <c r="B11" s="25" t="s">
        <v>308</v>
      </c>
      <c r="C11" s="25" t="s">
        <v>308</v>
      </c>
      <c r="D11" s="25" t="s">
        <v>308</v>
      </c>
      <c r="E11" s="25" t="s">
        <v>308</v>
      </c>
      <c r="F11" s="25" t="s">
        <v>308</v>
      </c>
      <c r="G11" s="25" t="s">
        <v>308</v>
      </c>
      <c r="H11" s="25" t="s">
        <v>308</v>
      </c>
      <c r="I11" s="25" t="s">
        <v>308</v>
      </c>
      <c r="J11" s="25" t="s">
        <v>308</v>
      </c>
      <c r="K11" s="8"/>
      <c r="L11" s="10"/>
      <c r="M11" s="8"/>
      <c r="N11" s="8" t="s">
        <v>41</v>
      </c>
      <c r="O11" s="26">
        <v>0</v>
      </c>
      <c r="P11" s="25" t="s">
        <v>308</v>
      </c>
      <c r="Q11" s="25" t="s">
        <v>308</v>
      </c>
      <c r="R11" s="25" t="s">
        <v>308</v>
      </c>
      <c r="S11" s="8"/>
      <c r="T11" s="10"/>
      <c r="U11" s="8"/>
      <c r="V11" s="8" t="s">
        <v>44</v>
      </c>
      <c r="W11" s="25" t="s">
        <v>308</v>
      </c>
      <c r="X11" s="25" t="s">
        <v>308</v>
      </c>
      <c r="Y11" s="25" t="s">
        <v>308</v>
      </c>
      <c r="Z11" s="8"/>
    </row>
    <row r="12" spans="1:26" x14ac:dyDescent="0.55000000000000004">
      <c r="A12" s="8" t="s">
        <v>78</v>
      </c>
      <c r="B12" s="25" t="s">
        <v>308</v>
      </c>
      <c r="C12" s="25" t="s">
        <v>308</v>
      </c>
      <c r="D12" s="25" t="s">
        <v>308</v>
      </c>
      <c r="E12" s="25" t="s">
        <v>308</v>
      </c>
      <c r="F12" s="25" t="s">
        <v>308</v>
      </c>
      <c r="G12" s="25" t="s">
        <v>308</v>
      </c>
      <c r="H12" s="25" t="s">
        <v>308</v>
      </c>
      <c r="I12" s="25" t="s">
        <v>308</v>
      </c>
      <c r="J12" s="25" t="s">
        <v>308</v>
      </c>
      <c r="K12" s="8"/>
      <c r="L12" s="10"/>
      <c r="M12" s="8"/>
      <c r="N12" s="8" t="s">
        <v>77</v>
      </c>
      <c r="O12" s="26">
        <v>0</v>
      </c>
      <c r="P12" s="25" t="s">
        <v>308</v>
      </c>
      <c r="Q12" s="25" t="s">
        <v>308</v>
      </c>
      <c r="R12" s="25" t="s">
        <v>308</v>
      </c>
      <c r="S12" s="8"/>
      <c r="T12" s="10"/>
      <c r="U12" s="8"/>
      <c r="V12" s="8" t="s">
        <v>49</v>
      </c>
      <c r="W12" s="25" t="s">
        <v>308</v>
      </c>
      <c r="X12" s="25" t="s">
        <v>308</v>
      </c>
      <c r="Y12" s="25" t="s">
        <v>308</v>
      </c>
      <c r="Z12" s="8"/>
    </row>
    <row r="13" spans="1:26" x14ac:dyDescent="0.55000000000000004">
      <c r="A13" s="8" t="s">
        <v>86</v>
      </c>
      <c r="B13" s="25" t="s">
        <v>308</v>
      </c>
      <c r="C13" s="25" t="s">
        <v>308</v>
      </c>
      <c r="D13" s="25" t="s">
        <v>308</v>
      </c>
      <c r="E13" s="25" t="s">
        <v>308</v>
      </c>
      <c r="F13" s="25" t="s">
        <v>308</v>
      </c>
      <c r="G13" s="25" t="s">
        <v>308</v>
      </c>
      <c r="H13" s="25" t="s">
        <v>308</v>
      </c>
      <c r="I13" s="25" t="s">
        <v>308</v>
      </c>
      <c r="J13" s="25" t="s">
        <v>308</v>
      </c>
      <c r="K13" s="8"/>
      <c r="L13" s="10"/>
      <c r="M13" s="8"/>
      <c r="N13" s="8" t="s">
        <v>85</v>
      </c>
      <c r="O13" s="26">
        <v>0</v>
      </c>
      <c r="P13" s="25" t="s">
        <v>308</v>
      </c>
      <c r="Q13" s="25" t="s">
        <v>308</v>
      </c>
      <c r="R13" s="25" t="s">
        <v>308</v>
      </c>
      <c r="S13" s="8"/>
      <c r="T13" s="10"/>
      <c r="U13" s="8"/>
      <c r="V13" s="8" t="s">
        <v>57</v>
      </c>
      <c r="W13" s="25" t="s">
        <v>308</v>
      </c>
      <c r="X13" s="25" t="s">
        <v>308</v>
      </c>
      <c r="Y13" s="25" t="s">
        <v>308</v>
      </c>
      <c r="Z13" s="8"/>
    </row>
    <row r="14" spans="1:26" x14ac:dyDescent="0.55000000000000004">
      <c r="A14" s="8" t="s">
        <v>71</v>
      </c>
      <c r="B14" s="25" t="s">
        <v>308</v>
      </c>
      <c r="C14" s="25" t="s">
        <v>308</v>
      </c>
      <c r="D14" s="25" t="s">
        <v>308</v>
      </c>
      <c r="E14" s="25" t="s">
        <v>308</v>
      </c>
      <c r="F14" s="25" t="s">
        <v>308</v>
      </c>
      <c r="G14" s="25" t="s">
        <v>308</v>
      </c>
      <c r="H14" s="25" t="s">
        <v>308</v>
      </c>
      <c r="I14" s="25" t="s">
        <v>308</v>
      </c>
      <c r="J14" s="25" t="s">
        <v>308</v>
      </c>
      <c r="K14" s="8"/>
      <c r="L14" s="10"/>
      <c r="M14" s="8"/>
      <c r="N14" s="8" t="s">
        <v>70</v>
      </c>
      <c r="O14" s="26">
        <v>0</v>
      </c>
      <c r="P14" s="25" t="s">
        <v>308</v>
      </c>
      <c r="Q14" s="25" t="s">
        <v>308</v>
      </c>
      <c r="R14" s="25" t="s">
        <v>308</v>
      </c>
      <c r="S14" s="8"/>
      <c r="T14" s="10"/>
      <c r="U14" s="8"/>
      <c r="V14" s="8" t="s">
        <v>65</v>
      </c>
      <c r="W14" s="25" t="s">
        <v>308</v>
      </c>
      <c r="X14" s="25" t="s">
        <v>308</v>
      </c>
      <c r="Y14" s="25" t="s">
        <v>308</v>
      </c>
      <c r="Z14" s="8"/>
    </row>
    <row r="15" spans="1:26" x14ac:dyDescent="0.55000000000000004">
      <c r="A15" s="8" t="s">
        <v>94</v>
      </c>
      <c r="B15" s="25" t="s">
        <v>308</v>
      </c>
      <c r="C15" s="25" t="s">
        <v>308</v>
      </c>
      <c r="D15" s="25" t="s">
        <v>308</v>
      </c>
      <c r="E15" s="25" t="s">
        <v>308</v>
      </c>
      <c r="F15" s="25" t="s">
        <v>308</v>
      </c>
      <c r="G15" s="25" t="s">
        <v>308</v>
      </c>
      <c r="H15" s="25" t="s">
        <v>308</v>
      </c>
      <c r="I15" s="25" t="s">
        <v>308</v>
      </c>
      <c r="J15" s="25" t="s">
        <v>308</v>
      </c>
      <c r="K15" s="8"/>
      <c r="L15" s="10"/>
      <c r="M15" s="8"/>
      <c r="N15" s="8" t="s">
        <v>93</v>
      </c>
      <c r="O15" s="26">
        <v>0</v>
      </c>
      <c r="P15" s="25" t="s">
        <v>308</v>
      </c>
      <c r="Q15" s="25" t="s">
        <v>308</v>
      </c>
      <c r="R15" s="25" t="s">
        <v>308</v>
      </c>
      <c r="S15" s="8"/>
      <c r="T15" s="10"/>
      <c r="U15" s="8"/>
      <c r="V15" s="8" t="s">
        <v>573</v>
      </c>
      <c r="W15" s="25" t="s">
        <v>308</v>
      </c>
      <c r="X15" s="25" t="s">
        <v>308</v>
      </c>
      <c r="Y15" s="25" t="s">
        <v>308</v>
      </c>
      <c r="Z15" s="8"/>
    </row>
    <row r="16" spans="1:26" x14ac:dyDescent="0.55000000000000004">
      <c r="A16" s="8" t="s">
        <v>578</v>
      </c>
      <c r="B16" s="25" t="s">
        <v>308</v>
      </c>
      <c r="C16" s="25" t="s">
        <v>308</v>
      </c>
      <c r="D16" s="25" t="s">
        <v>308</v>
      </c>
      <c r="E16" s="25" t="s">
        <v>308</v>
      </c>
      <c r="F16" s="25" t="s">
        <v>308</v>
      </c>
      <c r="G16" s="25" t="s">
        <v>308</v>
      </c>
      <c r="H16" s="25" t="s">
        <v>308</v>
      </c>
      <c r="I16" s="25" t="s">
        <v>308</v>
      </c>
      <c r="J16" s="25" t="s">
        <v>308</v>
      </c>
      <c r="K16" s="8"/>
      <c r="L16" s="10"/>
      <c r="M16" s="8"/>
      <c r="N16" s="8" t="s">
        <v>577</v>
      </c>
      <c r="O16" s="26">
        <v>0</v>
      </c>
      <c r="P16" s="25" t="s">
        <v>308</v>
      </c>
      <c r="Q16" s="25" t="s">
        <v>308</v>
      </c>
      <c r="R16" s="25" t="s">
        <v>308</v>
      </c>
      <c r="S16" s="8"/>
      <c r="T16" s="10"/>
      <c r="U16" s="8"/>
      <c r="V16" s="8" t="s">
        <v>580</v>
      </c>
      <c r="W16" s="25" t="s">
        <v>308</v>
      </c>
      <c r="X16" s="25" t="s">
        <v>308</v>
      </c>
      <c r="Y16" s="25" t="s">
        <v>308</v>
      </c>
      <c r="Z16" s="8"/>
    </row>
    <row r="17" spans="1:26" x14ac:dyDescent="0.55000000000000004">
      <c r="A17" s="8" t="s">
        <v>584</v>
      </c>
      <c r="B17" s="25" t="s">
        <v>308</v>
      </c>
      <c r="C17" s="25" t="s">
        <v>308</v>
      </c>
      <c r="D17" s="25" t="s">
        <v>308</v>
      </c>
      <c r="E17" s="25" t="s">
        <v>308</v>
      </c>
      <c r="F17" s="25" t="s">
        <v>308</v>
      </c>
      <c r="G17" s="25" t="s">
        <v>308</v>
      </c>
      <c r="H17" s="25" t="s">
        <v>308</v>
      </c>
      <c r="I17" s="25" t="s">
        <v>308</v>
      </c>
      <c r="J17" s="25" t="s">
        <v>308</v>
      </c>
      <c r="K17" s="8"/>
      <c r="L17" s="10"/>
      <c r="M17" s="8"/>
      <c r="N17" s="8" t="s">
        <v>583</v>
      </c>
      <c r="O17" s="26">
        <v>0</v>
      </c>
      <c r="P17" s="25" t="s">
        <v>308</v>
      </c>
      <c r="Q17" s="25" t="s">
        <v>308</v>
      </c>
      <c r="R17" s="25" t="s">
        <v>308</v>
      </c>
      <c r="S17" s="8"/>
      <c r="T17" s="10"/>
      <c r="U17" s="8"/>
      <c r="V17" s="8" t="s">
        <v>586</v>
      </c>
      <c r="W17" s="25" t="s">
        <v>308</v>
      </c>
      <c r="X17" s="25" t="s">
        <v>308</v>
      </c>
      <c r="Y17" s="25" t="s">
        <v>308</v>
      </c>
      <c r="Z17" s="8"/>
    </row>
    <row r="18" spans="1:26" x14ac:dyDescent="0.55000000000000004">
      <c r="A18" s="8" t="s">
        <v>108</v>
      </c>
      <c r="B18" s="25" t="s">
        <v>308</v>
      </c>
      <c r="C18" s="25" t="s">
        <v>308</v>
      </c>
      <c r="D18" s="25" t="s">
        <v>308</v>
      </c>
      <c r="E18" s="25" t="s">
        <v>308</v>
      </c>
      <c r="F18" s="25" t="s">
        <v>308</v>
      </c>
      <c r="G18" s="25" t="s">
        <v>308</v>
      </c>
      <c r="H18" s="25" t="s">
        <v>308</v>
      </c>
      <c r="I18" s="25" t="s">
        <v>308</v>
      </c>
      <c r="J18" s="25" t="s">
        <v>308</v>
      </c>
      <c r="K18" s="8"/>
      <c r="L18" s="10"/>
      <c r="M18" s="8"/>
      <c r="N18" s="8" t="s">
        <v>107</v>
      </c>
      <c r="O18" s="26">
        <v>0</v>
      </c>
      <c r="P18" s="25" t="s">
        <v>308</v>
      </c>
      <c r="Q18" s="25" t="s">
        <v>308</v>
      </c>
      <c r="R18" s="25" t="s">
        <v>308</v>
      </c>
      <c r="S18" s="8"/>
      <c r="T18" s="10"/>
      <c r="U18" s="8"/>
      <c r="V18" s="8" t="s">
        <v>590</v>
      </c>
      <c r="W18" s="25" t="s">
        <v>308</v>
      </c>
      <c r="X18" s="25" t="s">
        <v>308</v>
      </c>
      <c r="Y18" s="25" t="s">
        <v>308</v>
      </c>
      <c r="Z18" s="8"/>
    </row>
    <row r="19" spans="1:26" x14ac:dyDescent="0.55000000000000004">
      <c r="A19" s="8" t="s">
        <v>594</v>
      </c>
      <c r="B19" s="25" t="s">
        <v>308</v>
      </c>
      <c r="C19" s="25" t="s">
        <v>308</v>
      </c>
      <c r="D19" s="25" t="s">
        <v>308</v>
      </c>
      <c r="E19" s="25" t="s">
        <v>308</v>
      </c>
      <c r="F19" s="25" t="s">
        <v>308</v>
      </c>
      <c r="G19" s="25" t="s">
        <v>308</v>
      </c>
      <c r="H19" s="25" t="s">
        <v>308</v>
      </c>
      <c r="I19" s="25" t="s">
        <v>308</v>
      </c>
      <c r="J19" s="25" t="s">
        <v>308</v>
      </c>
      <c r="K19" s="8"/>
      <c r="L19" s="10"/>
      <c r="M19" s="8"/>
      <c r="N19" s="8" t="s">
        <v>593</v>
      </c>
      <c r="O19" s="26">
        <v>0</v>
      </c>
      <c r="P19" s="25" t="s">
        <v>308</v>
      </c>
      <c r="Q19" s="25" t="s">
        <v>308</v>
      </c>
      <c r="R19" s="25" t="s">
        <v>308</v>
      </c>
      <c r="S19" s="8"/>
      <c r="T19" s="10"/>
      <c r="U19" s="8"/>
      <c r="V19" s="8" t="s">
        <v>72</v>
      </c>
      <c r="W19" s="25" t="s">
        <v>308</v>
      </c>
      <c r="X19" s="25" t="s">
        <v>308</v>
      </c>
      <c r="Y19" s="25" t="s">
        <v>308</v>
      </c>
      <c r="Z19" s="8"/>
    </row>
    <row r="20" spans="1:26" x14ac:dyDescent="0.55000000000000004">
      <c r="A20" s="8" t="s">
        <v>598</v>
      </c>
      <c r="B20" s="25" t="s">
        <v>308</v>
      </c>
      <c r="C20" s="25" t="s">
        <v>308</v>
      </c>
      <c r="D20" s="25" t="s">
        <v>308</v>
      </c>
      <c r="E20" s="25" t="s">
        <v>308</v>
      </c>
      <c r="F20" s="25" t="s">
        <v>308</v>
      </c>
      <c r="G20" s="25" t="s">
        <v>308</v>
      </c>
      <c r="H20" s="25" t="s">
        <v>308</v>
      </c>
      <c r="I20" s="25" t="s">
        <v>308</v>
      </c>
      <c r="J20" s="25" t="s">
        <v>308</v>
      </c>
      <c r="K20" s="8"/>
      <c r="L20" s="10"/>
      <c r="M20" s="8"/>
      <c r="N20" s="8" t="s">
        <v>597</v>
      </c>
      <c r="O20" s="26">
        <v>0</v>
      </c>
      <c r="P20" s="25" t="s">
        <v>308</v>
      </c>
      <c r="Q20" s="25" t="s">
        <v>308</v>
      </c>
      <c r="R20" s="25" t="s">
        <v>308</v>
      </c>
      <c r="S20" s="8"/>
      <c r="T20" s="10"/>
      <c r="U20" s="8"/>
      <c r="V20" s="8" t="s">
        <v>79</v>
      </c>
      <c r="W20" s="25" t="s">
        <v>308</v>
      </c>
      <c r="X20" s="25" t="s">
        <v>308</v>
      </c>
      <c r="Y20" s="25" t="s">
        <v>308</v>
      </c>
      <c r="Z20" s="8"/>
    </row>
    <row r="21" spans="1:26" x14ac:dyDescent="0.55000000000000004">
      <c r="A21" s="8" t="s">
        <v>602</v>
      </c>
      <c r="B21" s="25" t="s">
        <v>308</v>
      </c>
      <c r="C21" s="25" t="s">
        <v>308</v>
      </c>
      <c r="D21" s="25" t="s">
        <v>308</v>
      </c>
      <c r="E21" s="25" t="s">
        <v>308</v>
      </c>
      <c r="F21" s="25" t="s">
        <v>308</v>
      </c>
      <c r="G21" s="25" t="s">
        <v>308</v>
      </c>
      <c r="H21" s="25" t="s">
        <v>308</v>
      </c>
      <c r="I21" s="25" t="s">
        <v>308</v>
      </c>
      <c r="J21" s="25" t="s">
        <v>308</v>
      </c>
      <c r="K21" s="8"/>
      <c r="L21" s="10"/>
      <c r="M21" s="8"/>
      <c r="N21" s="8" t="s">
        <v>601</v>
      </c>
      <c r="O21" s="26">
        <v>0</v>
      </c>
      <c r="P21" s="25" t="s">
        <v>308</v>
      </c>
      <c r="Q21" s="25" t="s">
        <v>308</v>
      </c>
      <c r="R21" s="25" t="s">
        <v>308</v>
      </c>
      <c r="S21" s="8"/>
      <c r="T21" s="10"/>
      <c r="U21" s="8"/>
      <c r="V21" s="8" t="s">
        <v>87</v>
      </c>
      <c r="W21" s="25" t="s">
        <v>308</v>
      </c>
      <c r="X21" s="25" t="s">
        <v>308</v>
      </c>
      <c r="Y21" s="25" t="s">
        <v>308</v>
      </c>
      <c r="Z21" s="8"/>
    </row>
    <row r="22" spans="1:26" x14ac:dyDescent="0.55000000000000004">
      <c r="A22" s="8" t="s">
        <v>120</v>
      </c>
      <c r="B22" s="25" t="s">
        <v>308</v>
      </c>
      <c r="C22" s="25" t="s">
        <v>308</v>
      </c>
      <c r="D22" s="25" t="s">
        <v>308</v>
      </c>
      <c r="E22" s="25" t="s">
        <v>308</v>
      </c>
      <c r="F22" s="25" t="s">
        <v>308</v>
      </c>
      <c r="G22" s="25" t="s">
        <v>308</v>
      </c>
      <c r="H22" s="25" t="s">
        <v>308</v>
      </c>
      <c r="I22" s="25" t="s">
        <v>308</v>
      </c>
      <c r="J22" s="25" t="s">
        <v>308</v>
      </c>
      <c r="K22" s="8"/>
      <c r="L22" s="10"/>
      <c r="M22" s="8"/>
      <c r="N22" s="8" t="s">
        <v>119</v>
      </c>
      <c r="O22" s="26">
        <v>0</v>
      </c>
      <c r="P22" s="25" t="s">
        <v>308</v>
      </c>
      <c r="Q22" s="25" t="s">
        <v>308</v>
      </c>
      <c r="R22" s="25" t="s">
        <v>308</v>
      </c>
      <c r="S22" s="8"/>
      <c r="T22" s="10"/>
      <c r="U22" s="8"/>
      <c r="V22" s="8" t="s">
        <v>95</v>
      </c>
      <c r="W22" s="25" t="s">
        <v>308</v>
      </c>
      <c r="X22" s="25" t="s">
        <v>308</v>
      </c>
      <c r="Y22" s="25" t="s">
        <v>308</v>
      </c>
      <c r="Z22" s="8"/>
    </row>
    <row r="23" spans="1:26" x14ac:dyDescent="0.55000000000000004">
      <c r="A23" s="8" t="s">
        <v>55</v>
      </c>
      <c r="B23" s="25" t="s">
        <v>308</v>
      </c>
      <c r="C23" s="25" t="s">
        <v>308</v>
      </c>
      <c r="D23" s="25" t="s">
        <v>308</v>
      </c>
      <c r="E23" s="25" t="s">
        <v>308</v>
      </c>
      <c r="F23" s="25" t="s">
        <v>308</v>
      </c>
      <c r="G23" s="25" t="s">
        <v>308</v>
      </c>
      <c r="H23" s="25" t="s">
        <v>308</v>
      </c>
      <c r="I23" s="25" t="s">
        <v>308</v>
      </c>
      <c r="J23" s="25" t="s">
        <v>308</v>
      </c>
      <c r="K23" s="8"/>
      <c r="L23" s="10"/>
      <c r="M23" s="8"/>
      <c r="N23" s="8" t="s">
        <v>54</v>
      </c>
      <c r="O23" s="26">
        <v>0</v>
      </c>
      <c r="P23" s="25" t="s">
        <v>308</v>
      </c>
      <c r="Q23" s="25" t="s">
        <v>308</v>
      </c>
      <c r="R23" s="25" t="s">
        <v>308</v>
      </c>
      <c r="S23" s="8"/>
      <c r="T23" s="10"/>
      <c r="U23" s="8"/>
      <c r="V23" s="8" t="s">
        <v>101</v>
      </c>
      <c r="W23" s="25" t="s">
        <v>308</v>
      </c>
      <c r="X23" s="25" t="s">
        <v>308</v>
      </c>
      <c r="Y23" s="25" t="s">
        <v>308</v>
      </c>
      <c r="Z23" s="8"/>
    </row>
    <row r="24" spans="1:26" x14ac:dyDescent="0.55000000000000004">
      <c r="A24" s="8" t="s">
        <v>615</v>
      </c>
      <c r="B24" s="25" t="s">
        <v>308</v>
      </c>
      <c r="C24" s="25" t="s">
        <v>308</v>
      </c>
      <c r="D24" s="25" t="s">
        <v>308</v>
      </c>
      <c r="E24" s="25" t="s">
        <v>308</v>
      </c>
      <c r="F24" s="25" t="s">
        <v>308</v>
      </c>
      <c r="G24" s="25" t="s">
        <v>308</v>
      </c>
      <c r="H24" s="25" t="s">
        <v>308</v>
      </c>
      <c r="I24" s="25" t="s">
        <v>308</v>
      </c>
      <c r="J24" s="25" t="s">
        <v>308</v>
      </c>
      <c r="K24" s="8"/>
      <c r="L24" s="10"/>
      <c r="M24" s="8"/>
      <c r="N24" s="8" t="s">
        <v>614</v>
      </c>
      <c r="O24" s="26">
        <v>0</v>
      </c>
      <c r="P24" s="25" t="s">
        <v>308</v>
      </c>
      <c r="Q24" s="25" t="s">
        <v>308</v>
      </c>
      <c r="R24" s="25" t="s">
        <v>308</v>
      </c>
      <c r="S24" s="8"/>
      <c r="T24" s="10"/>
      <c r="U24" s="8"/>
      <c r="V24" s="8"/>
      <c r="W24" s="8"/>
      <c r="X24" s="8"/>
      <c r="Y24" s="8"/>
      <c r="Z24" s="8"/>
    </row>
    <row r="25" spans="1:26" x14ac:dyDescent="0.55000000000000004">
      <c r="A25" s="8" t="s">
        <v>63</v>
      </c>
      <c r="B25" s="25" t="s">
        <v>308</v>
      </c>
      <c r="C25" s="25" t="s">
        <v>308</v>
      </c>
      <c r="D25" s="25" t="s">
        <v>308</v>
      </c>
      <c r="E25" s="25" t="s">
        <v>308</v>
      </c>
      <c r="F25" s="25" t="s">
        <v>308</v>
      </c>
      <c r="G25" s="25" t="s">
        <v>308</v>
      </c>
      <c r="H25" s="25" t="s">
        <v>308</v>
      </c>
      <c r="I25" s="25" t="s">
        <v>308</v>
      </c>
      <c r="J25" s="25" t="s">
        <v>308</v>
      </c>
      <c r="K25" s="8"/>
      <c r="L25" s="10"/>
      <c r="M25" s="8"/>
      <c r="N25" s="8" t="s">
        <v>62</v>
      </c>
      <c r="O25" s="26">
        <v>0</v>
      </c>
      <c r="P25" s="25" t="s">
        <v>308</v>
      </c>
      <c r="Q25" s="25" t="s">
        <v>308</v>
      </c>
      <c r="R25" s="25" t="s">
        <v>308</v>
      </c>
      <c r="S25" s="8"/>
      <c r="T25" s="10"/>
      <c r="U25" s="11"/>
      <c r="V25" s="11" t="s">
        <v>479</v>
      </c>
      <c r="W25" s="11"/>
      <c r="X25" s="11"/>
      <c r="Y25" s="11"/>
      <c r="Z25" s="11"/>
    </row>
    <row r="26" spans="1:26" x14ac:dyDescent="0.55000000000000004">
      <c r="A26" s="8" t="s">
        <v>124</v>
      </c>
      <c r="B26" s="25" t="s">
        <v>308</v>
      </c>
      <c r="C26" s="25" t="s">
        <v>308</v>
      </c>
      <c r="D26" s="25" t="s">
        <v>308</v>
      </c>
      <c r="E26" s="25" t="s">
        <v>308</v>
      </c>
      <c r="F26" s="25" t="s">
        <v>308</v>
      </c>
      <c r="G26" s="25" t="s">
        <v>308</v>
      </c>
      <c r="H26" s="25" t="s">
        <v>308</v>
      </c>
      <c r="I26" s="25" t="s">
        <v>308</v>
      </c>
      <c r="J26" s="25" t="s">
        <v>308</v>
      </c>
      <c r="K26" s="8"/>
      <c r="L26" s="10"/>
      <c r="M26" s="8"/>
      <c r="N26" s="8" t="s">
        <v>123</v>
      </c>
      <c r="O26" s="26">
        <v>0</v>
      </c>
      <c r="P26" s="25" t="s">
        <v>308</v>
      </c>
      <c r="Q26" s="25" t="s">
        <v>308</v>
      </c>
      <c r="R26" s="25" t="s">
        <v>308</v>
      </c>
      <c r="S26" s="8"/>
      <c r="T26" s="10"/>
      <c r="U26" s="13"/>
      <c r="V26" s="13"/>
      <c r="W26" s="13"/>
      <c r="X26" s="15" t="s">
        <v>339</v>
      </c>
      <c r="Y26" s="15" t="s">
        <v>474</v>
      </c>
      <c r="Z26" s="13"/>
    </row>
    <row r="27" spans="1:26" x14ac:dyDescent="0.55000000000000004">
      <c r="A27" s="8" t="s">
        <v>122</v>
      </c>
      <c r="B27" s="25" t="s">
        <v>308</v>
      </c>
      <c r="C27" s="25" t="s">
        <v>308</v>
      </c>
      <c r="D27" s="25" t="s">
        <v>308</v>
      </c>
      <c r="E27" s="25" t="s">
        <v>308</v>
      </c>
      <c r="F27" s="25" t="s">
        <v>308</v>
      </c>
      <c r="G27" s="25" t="s">
        <v>308</v>
      </c>
      <c r="H27" s="25" t="s">
        <v>308</v>
      </c>
      <c r="I27" s="25" t="s">
        <v>308</v>
      </c>
      <c r="J27" s="25" t="s">
        <v>308</v>
      </c>
      <c r="K27" s="8"/>
      <c r="L27" s="10"/>
      <c r="M27" s="8"/>
      <c r="N27" s="8" t="s">
        <v>121</v>
      </c>
      <c r="O27" s="26">
        <v>0</v>
      </c>
      <c r="P27" s="25" t="s">
        <v>308</v>
      </c>
      <c r="Q27" s="25" t="s">
        <v>308</v>
      </c>
      <c r="R27" s="25" t="s">
        <v>308</v>
      </c>
      <c r="S27" s="8"/>
      <c r="T27" s="10"/>
      <c r="U27" s="13"/>
      <c r="V27" s="13"/>
      <c r="W27" s="13"/>
      <c r="X27" s="16" t="s">
        <v>481</v>
      </c>
      <c r="Y27" s="16" t="s">
        <v>480</v>
      </c>
      <c r="Z27" s="13"/>
    </row>
    <row r="28" spans="1:26" x14ac:dyDescent="0.55000000000000004">
      <c r="A28" s="8" t="s">
        <v>116</v>
      </c>
      <c r="B28" s="25" t="s">
        <v>308</v>
      </c>
      <c r="C28" s="25" t="s">
        <v>308</v>
      </c>
      <c r="D28" s="25" t="s">
        <v>308</v>
      </c>
      <c r="E28" s="25" t="s">
        <v>308</v>
      </c>
      <c r="F28" s="25" t="s">
        <v>308</v>
      </c>
      <c r="G28" s="25" t="s">
        <v>308</v>
      </c>
      <c r="H28" s="25" t="s">
        <v>308</v>
      </c>
      <c r="I28" s="25" t="s">
        <v>308</v>
      </c>
      <c r="J28" s="25" t="s">
        <v>308</v>
      </c>
      <c r="K28" s="8"/>
      <c r="L28" s="10"/>
      <c r="M28" s="8"/>
      <c r="N28" s="8" t="s">
        <v>115</v>
      </c>
      <c r="O28" s="26">
        <v>0</v>
      </c>
      <c r="P28" s="25" t="s">
        <v>308</v>
      </c>
      <c r="Q28" s="25" t="s">
        <v>308</v>
      </c>
      <c r="R28" s="25" t="s">
        <v>308</v>
      </c>
      <c r="S28" s="8"/>
      <c r="T28" s="10"/>
      <c r="U28" s="8"/>
      <c r="V28" s="8" t="s">
        <v>475</v>
      </c>
      <c r="W28" s="8" t="s">
        <v>791</v>
      </c>
      <c r="X28" s="25" t="s">
        <v>308</v>
      </c>
      <c r="Y28" s="25" t="s">
        <v>308</v>
      </c>
      <c r="Z28" s="8"/>
    </row>
    <row r="29" spans="1:26" x14ac:dyDescent="0.55000000000000004">
      <c r="A29" s="8" t="s">
        <v>112</v>
      </c>
      <c r="B29" s="25" t="s">
        <v>308</v>
      </c>
      <c r="C29" s="25" t="s">
        <v>308</v>
      </c>
      <c r="D29" s="25" t="s">
        <v>308</v>
      </c>
      <c r="E29" s="25" t="s">
        <v>308</v>
      </c>
      <c r="F29" s="25" t="s">
        <v>308</v>
      </c>
      <c r="G29" s="25" t="s">
        <v>308</v>
      </c>
      <c r="H29" s="25" t="s">
        <v>308</v>
      </c>
      <c r="I29" s="25" t="s">
        <v>308</v>
      </c>
      <c r="J29" s="25" t="s">
        <v>308</v>
      </c>
      <c r="K29" s="8"/>
      <c r="L29" s="10"/>
      <c r="M29" s="8"/>
      <c r="N29" s="8" t="s">
        <v>111</v>
      </c>
      <c r="O29" s="26">
        <v>0</v>
      </c>
      <c r="P29" s="25" t="s">
        <v>308</v>
      </c>
      <c r="Q29" s="25" t="s">
        <v>308</v>
      </c>
      <c r="R29" s="25" t="s">
        <v>308</v>
      </c>
      <c r="S29" s="8"/>
      <c r="T29" s="10"/>
      <c r="U29" s="8"/>
      <c r="V29" s="8"/>
      <c r="W29" s="8" t="s">
        <v>792</v>
      </c>
      <c r="X29" s="25" t="s">
        <v>308</v>
      </c>
      <c r="Y29" s="25" t="s">
        <v>308</v>
      </c>
      <c r="Z29" s="8"/>
    </row>
    <row r="30" spans="1:26" x14ac:dyDescent="0.55000000000000004">
      <c r="A30" s="8" t="s">
        <v>629</v>
      </c>
      <c r="B30" s="25" t="s">
        <v>308</v>
      </c>
      <c r="C30" s="25" t="s">
        <v>308</v>
      </c>
      <c r="D30" s="25" t="s">
        <v>308</v>
      </c>
      <c r="E30" s="25" t="s">
        <v>308</v>
      </c>
      <c r="F30" s="25" t="s">
        <v>308</v>
      </c>
      <c r="G30" s="25" t="s">
        <v>308</v>
      </c>
      <c r="H30" s="25" t="s">
        <v>308</v>
      </c>
      <c r="I30" s="25" t="s">
        <v>308</v>
      </c>
      <c r="J30" s="25" t="s">
        <v>308</v>
      </c>
      <c r="K30" s="8"/>
      <c r="L30" s="10"/>
      <c r="M30" s="8"/>
      <c r="N30" s="8" t="s">
        <v>628</v>
      </c>
      <c r="O30" s="26">
        <v>0</v>
      </c>
      <c r="P30" s="25" t="s">
        <v>308</v>
      </c>
      <c r="Q30" s="25" t="s">
        <v>308</v>
      </c>
      <c r="R30" s="25" t="s">
        <v>308</v>
      </c>
      <c r="S30" s="8"/>
      <c r="T30" s="10"/>
      <c r="U30" s="8"/>
      <c r="V30" s="8"/>
      <c r="W30" s="8" t="s">
        <v>793</v>
      </c>
      <c r="X30" s="25" t="s">
        <v>308</v>
      </c>
      <c r="Y30" s="25" t="s">
        <v>308</v>
      </c>
      <c r="Z30" s="8"/>
    </row>
    <row r="31" spans="1:26" x14ac:dyDescent="0.55000000000000004">
      <c r="A31" s="8" t="s">
        <v>127</v>
      </c>
      <c r="B31" s="25" t="s">
        <v>308</v>
      </c>
      <c r="C31" s="25" t="s">
        <v>308</v>
      </c>
      <c r="D31" s="25" t="s">
        <v>308</v>
      </c>
      <c r="E31" s="25" t="s">
        <v>308</v>
      </c>
      <c r="F31" s="25" t="s">
        <v>308</v>
      </c>
      <c r="G31" s="25" t="s">
        <v>308</v>
      </c>
      <c r="H31" s="25" t="s">
        <v>308</v>
      </c>
      <c r="I31" s="25" t="s">
        <v>308</v>
      </c>
      <c r="J31" s="25" t="s">
        <v>308</v>
      </c>
      <c r="K31" s="8"/>
      <c r="L31" s="10"/>
      <c r="M31" s="8"/>
      <c r="N31" s="8" t="s">
        <v>126</v>
      </c>
      <c r="O31" s="26">
        <v>0</v>
      </c>
      <c r="P31" s="25" t="s">
        <v>308</v>
      </c>
      <c r="Q31" s="25" t="s">
        <v>308</v>
      </c>
      <c r="R31" s="25" t="s">
        <v>308</v>
      </c>
      <c r="S31" s="8"/>
      <c r="T31" s="10"/>
      <c r="U31" s="8"/>
      <c r="V31" s="8"/>
      <c r="W31" s="8" t="s">
        <v>794</v>
      </c>
      <c r="X31" s="25" t="s">
        <v>308</v>
      </c>
      <c r="Y31" s="25" t="s">
        <v>308</v>
      </c>
      <c r="Z31" s="8"/>
    </row>
    <row r="32" spans="1:26" x14ac:dyDescent="0.55000000000000004">
      <c r="A32" s="8" t="s">
        <v>130</v>
      </c>
      <c r="B32" s="25" t="s">
        <v>308</v>
      </c>
      <c r="C32" s="25" t="s">
        <v>308</v>
      </c>
      <c r="D32" s="25" t="s">
        <v>308</v>
      </c>
      <c r="E32" s="25" t="s">
        <v>308</v>
      </c>
      <c r="F32" s="25" t="s">
        <v>308</v>
      </c>
      <c r="G32" s="25" t="s">
        <v>308</v>
      </c>
      <c r="H32" s="25" t="s">
        <v>308</v>
      </c>
      <c r="I32" s="25" t="s">
        <v>308</v>
      </c>
      <c r="J32" s="25" t="s">
        <v>308</v>
      </c>
      <c r="K32" s="8"/>
      <c r="L32" s="10"/>
      <c r="M32" s="8"/>
      <c r="N32" s="8" t="s">
        <v>129</v>
      </c>
      <c r="O32" s="26">
        <v>0</v>
      </c>
      <c r="P32" s="25" t="s">
        <v>308</v>
      </c>
      <c r="Q32" s="25" t="s">
        <v>308</v>
      </c>
      <c r="R32" s="25" t="s">
        <v>308</v>
      </c>
      <c r="S32" s="8"/>
      <c r="T32" s="10"/>
      <c r="U32" s="8"/>
      <c r="V32" s="8"/>
      <c r="W32" s="8" t="s">
        <v>795</v>
      </c>
      <c r="X32" s="25" t="s">
        <v>308</v>
      </c>
      <c r="Y32" s="25" t="s">
        <v>308</v>
      </c>
      <c r="Z32" s="8"/>
    </row>
    <row r="33" spans="1:26" x14ac:dyDescent="0.55000000000000004">
      <c r="A33" s="8" t="s">
        <v>140</v>
      </c>
      <c r="B33" s="25" t="s">
        <v>308</v>
      </c>
      <c r="C33" s="25" t="s">
        <v>308</v>
      </c>
      <c r="D33" s="25" t="s">
        <v>308</v>
      </c>
      <c r="E33" s="25" t="s">
        <v>308</v>
      </c>
      <c r="F33" s="25" t="s">
        <v>308</v>
      </c>
      <c r="G33" s="25" t="s">
        <v>308</v>
      </c>
      <c r="H33" s="25" t="s">
        <v>308</v>
      </c>
      <c r="I33" s="25" t="s">
        <v>308</v>
      </c>
      <c r="J33" s="25" t="s">
        <v>308</v>
      </c>
      <c r="K33" s="8"/>
      <c r="L33" s="10"/>
      <c r="M33" s="8"/>
      <c r="N33" s="8" t="s">
        <v>139</v>
      </c>
      <c r="O33" s="26">
        <v>0</v>
      </c>
      <c r="P33" s="25" t="s">
        <v>308</v>
      </c>
      <c r="Q33" s="25" t="s">
        <v>308</v>
      </c>
      <c r="R33" s="25" t="s">
        <v>308</v>
      </c>
      <c r="S33" s="8"/>
      <c r="T33" s="10"/>
      <c r="U33" s="8"/>
      <c r="V33" s="8" t="s">
        <v>476</v>
      </c>
      <c r="W33" s="8" t="s">
        <v>89</v>
      </c>
      <c r="X33" s="25" t="s">
        <v>308</v>
      </c>
      <c r="Y33" s="25" t="s">
        <v>308</v>
      </c>
      <c r="Z33" s="8"/>
    </row>
    <row r="34" spans="1:26" x14ac:dyDescent="0.55000000000000004">
      <c r="A34" s="8" t="s">
        <v>135</v>
      </c>
      <c r="B34" s="25" t="s">
        <v>308</v>
      </c>
      <c r="C34" s="25" t="s">
        <v>308</v>
      </c>
      <c r="D34" s="25" t="s">
        <v>308</v>
      </c>
      <c r="E34" s="25" t="s">
        <v>308</v>
      </c>
      <c r="F34" s="25" t="s">
        <v>308</v>
      </c>
      <c r="G34" s="25" t="s">
        <v>308</v>
      </c>
      <c r="H34" s="25" t="s">
        <v>308</v>
      </c>
      <c r="I34" s="25" t="s">
        <v>308</v>
      </c>
      <c r="J34" s="25" t="s">
        <v>308</v>
      </c>
      <c r="K34" s="8"/>
      <c r="L34" s="10"/>
      <c r="M34" s="8"/>
      <c r="N34" s="8" t="s">
        <v>134</v>
      </c>
      <c r="O34" s="26">
        <v>0</v>
      </c>
      <c r="P34" s="25" t="s">
        <v>308</v>
      </c>
      <c r="Q34" s="25" t="s">
        <v>308</v>
      </c>
      <c r="R34" s="25" t="s">
        <v>308</v>
      </c>
      <c r="S34" s="8"/>
      <c r="T34" s="10"/>
      <c r="U34" s="8"/>
      <c r="V34" s="8"/>
      <c r="W34" s="8" t="s">
        <v>97</v>
      </c>
      <c r="X34" s="25" t="s">
        <v>308</v>
      </c>
      <c r="Y34" s="25" t="s">
        <v>308</v>
      </c>
      <c r="Z34" s="8"/>
    </row>
    <row r="35" spans="1:26" x14ac:dyDescent="0.55000000000000004">
      <c r="A35" s="8" t="s">
        <v>142</v>
      </c>
      <c r="B35" s="25" t="s">
        <v>308</v>
      </c>
      <c r="C35" s="25" t="s">
        <v>308</v>
      </c>
      <c r="D35" s="25" t="s">
        <v>308</v>
      </c>
      <c r="E35" s="25" t="s">
        <v>308</v>
      </c>
      <c r="F35" s="25" t="s">
        <v>308</v>
      </c>
      <c r="G35" s="25" t="s">
        <v>308</v>
      </c>
      <c r="H35" s="25" t="s">
        <v>308</v>
      </c>
      <c r="I35" s="25" t="s">
        <v>308</v>
      </c>
      <c r="J35" s="25" t="s">
        <v>308</v>
      </c>
      <c r="K35" s="8"/>
      <c r="L35" s="10"/>
      <c r="M35" s="8"/>
      <c r="N35" s="8" t="s">
        <v>141</v>
      </c>
      <c r="O35" s="26">
        <v>0</v>
      </c>
      <c r="P35" s="25" t="s">
        <v>308</v>
      </c>
      <c r="Q35" s="25" t="s">
        <v>308</v>
      </c>
      <c r="R35" s="25" t="s">
        <v>308</v>
      </c>
      <c r="S35" s="8"/>
      <c r="T35" s="10"/>
      <c r="U35" s="8"/>
      <c r="V35" s="8"/>
      <c r="W35" s="8" t="s">
        <v>103</v>
      </c>
      <c r="X35" s="25" t="s">
        <v>308</v>
      </c>
      <c r="Y35" s="25" t="s">
        <v>308</v>
      </c>
      <c r="Z35" s="8"/>
    </row>
    <row r="36" spans="1:26" x14ac:dyDescent="0.55000000000000004">
      <c r="A36" s="8" t="s">
        <v>133</v>
      </c>
      <c r="B36" s="25" t="s">
        <v>308</v>
      </c>
      <c r="C36" s="25" t="s">
        <v>308</v>
      </c>
      <c r="D36" s="25" t="s">
        <v>308</v>
      </c>
      <c r="E36" s="25" t="s">
        <v>308</v>
      </c>
      <c r="F36" s="25" t="s">
        <v>308</v>
      </c>
      <c r="G36" s="25" t="s">
        <v>308</v>
      </c>
      <c r="H36" s="25" t="s">
        <v>308</v>
      </c>
      <c r="I36" s="25" t="s">
        <v>308</v>
      </c>
      <c r="J36" s="25" t="s">
        <v>308</v>
      </c>
      <c r="K36" s="8"/>
      <c r="L36" s="10"/>
      <c r="M36" s="8"/>
      <c r="N36" s="8" t="s">
        <v>132</v>
      </c>
      <c r="O36" s="26">
        <v>0</v>
      </c>
      <c r="P36" s="25" t="s">
        <v>308</v>
      </c>
      <c r="Q36" s="25" t="s">
        <v>308</v>
      </c>
      <c r="R36" s="25" t="s">
        <v>308</v>
      </c>
      <c r="S36" s="8"/>
      <c r="T36" s="10"/>
      <c r="U36" s="8"/>
      <c r="V36" s="8"/>
      <c r="W36" s="8" t="s">
        <v>109</v>
      </c>
      <c r="X36" s="25" t="s">
        <v>308</v>
      </c>
      <c r="Y36" s="25" t="s">
        <v>308</v>
      </c>
      <c r="Z36" s="8"/>
    </row>
    <row r="37" spans="1:26" x14ac:dyDescent="0.55000000000000004">
      <c r="A37" s="8" t="s">
        <v>138</v>
      </c>
      <c r="B37" s="25" t="s">
        <v>308</v>
      </c>
      <c r="C37" s="25" t="s">
        <v>308</v>
      </c>
      <c r="D37" s="25" t="s">
        <v>308</v>
      </c>
      <c r="E37" s="25" t="s">
        <v>308</v>
      </c>
      <c r="F37" s="25" t="s">
        <v>308</v>
      </c>
      <c r="G37" s="25" t="s">
        <v>308</v>
      </c>
      <c r="H37" s="25" t="s">
        <v>308</v>
      </c>
      <c r="I37" s="25" t="s">
        <v>308</v>
      </c>
      <c r="J37" s="25" t="s">
        <v>308</v>
      </c>
      <c r="K37" s="8"/>
      <c r="L37" s="10"/>
      <c r="M37" s="8"/>
      <c r="N37" s="8" t="s">
        <v>137</v>
      </c>
      <c r="O37" s="26">
        <v>0</v>
      </c>
      <c r="P37" s="25" t="s">
        <v>308</v>
      </c>
      <c r="Q37" s="25" t="s">
        <v>308</v>
      </c>
      <c r="R37" s="25" t="s">
        <v>308</v>
      </c>
      <c r="S37" s="8"/>
      <c r="T37" s="10"/>
      <c r="U37" s="8"/>
      <c r="V37" s="8"/>
      <c r="W37" s="8" t="s">
        <v>113</v>
      </c>
      <c r="X37" s="25" t="s">
        <v>308</v>
      </c>
      <c r="Y37" s="25" t="s">
        <v>308</v>
      </c>
      <c r="Z37" s="8"/>
    </row>
    <row r="38" spans="1:26" x14ac:dyDescent="0.55000000000000004">
      <c r="A38" s="8" t="s">
        <v>639</v>
      </c>
      <c r="B38" s="25" t="s">
        <v>308</v>
      </c>
      <c r="C38" s="25" t="s">
        <v>308</v>
      </c>
      <c r="D38" s="25" t="s">
        <v>308</v>
      </c>
      <c r="E38" s="25" t="s">
        <v>308</v>
      </c>
      <c r="F38" s="25" t="s">
        <v>308</v>
      </c>
      <c r="G38" s="25" t="s">
        <v>308</v>
      </c>
      <c r="H38" s="25" t="s">
        <v>308</v>
      </c>
      <c r="I38" s="25" t="s">
        <v>308</v>
      </c>
      <c r="J38" s="25" t="s">
        <v>308</v>
      </c>
      <c r="K38" s="8"/>
      <c r="L38" s="10"/>
      <c r="M38" s="8"/>
      <c r="N38" s="8" t="s">
        <v>638</v>
      </c>
      <c r="O38" s="26">
        <v>0</v>
      </c>
      <c r="P38" s="25" t="s">
        <v>308</v>
      </c>
      <c r="Q38" s="25" t="s">
        <v>308</v>
      </c>
      <c r="R38" s="25" t="s">
        <v>308</v>
      </c>
      <c r="S38" s="8"/>
      <c r="T38" s="10"/>
      <c r="U38" s="8"/>
      <c r="V38" s="8" t="s">
        <v>477</v>
      </c>
      <c r="W38" s="8" t="s">
        <v>607</v>
      </c>
      <c r="X38" s="25" t="s">
        <v>308</v>
      </c>
      <c r="Y38" s="25" t="s">
        <v>308</v>
      </c>
      <c r="Z38" s="8"/>
    </row>
    <row r="39" spans="1:26" x14ac:dyDescent="0.55000000000000004">
      <c r="A39" s="8" t="s">
        <v>642</v>
      </c>
      <c r="B39" s="25" t="s">
        <v>308</v>
      </c>
      <c r="C39" s="25" t="s">
        <v>308</v>
      </c>
      <c r="D39" s="25" t="s">
        <v>308</v>
      </c>
      <c r="E39" s="25" t="s">
        <v>308</v>
      </c>
      <c r="F39" s="25" t="s">
        <v>308</v>
      </c>
      <c r="G39" s="25" t="s">
        <v>308</v>
      </c>
      <c r="H39" s="25" t="s">
        <v>308</v>
      </c>
      <c r="I39" s="25" t="s">
        <v>308</v>
      </c>
      <c r="J39" s="25" t="s">
        <v>308</v>
      </c>
      <c r="K39" s="8"/>
      <c r="L39" s="10"/>
      <c r="M39" s="8"/>
      <c r="N39" s="8" t="s">
        <v>641</v>
      </c>
      <c r="O39" s="26">
        <v>0</v>
      </c>
      <c r="P39" s="25" t="s">
        <v>308</v>
      </c>
      <c r="Q39" s="25" t="s">
        <v>308</v>
      </c>
      <c r="R39" s="25" t="s">
        <v>308</v>
      </c>
      <c r="S39" s="8"/>
      <c r="T39" s="10"/>
      <c r="U39" s="8"/>
      <c r="V39" s="8"/>
      <c r="W39" s="8" t="s">
        <v>612</v>
      </c>
      <c r="X39" s="25" t="s">
        <v>308</v>
      </c>
      <c r="Y39" s="25" t="s">
        <v>308</v>
      </c>
      <c r="Z39" s="8"/>
    </row>
    <row r="40" spans="1:26" x14ac:dyDescent="0.55000000000000004">
      <c r="A40" s="8" t="s">
        <v>645</v>
      </c>
      <c r="B40" s="25" t="s">
        <v>308</v>
      </c>
      <c r="C40" s="25" t="s">
        <v>308</v>
      </c>
      <c r="D40" s="25" t="s">
        <v>308</v>
      </c>
      <c r="E40" s="25" t="s">
        <v>308</v>
      </c>
      <c r="F40" s="25" t="s">
        <v>308</v>
      </c>
      <c r="G40" s="25" t="s">
        <v>308</v>
      </c>
      <c r="H40" s="25" t="s">
        <v>308</v>
      </c>
      <c r="I40" s="25" t="s">
        <v>308</v>
      </c>
      <c r="J40" s="25" t="s">
        <v>308</v>
      </c>
      <c r="K40" s="8"/>
      <c r="L40" s="10"/>
      <c r="M40" s="8"/>
      <c r="N40" s="8" t="s">
        <v>644</v>
      </c>
      <c r="O40" s="26">
        <v>0</v>
      </c>
      <c r="P40" s="25" t="s">
        <v>308</v>
      </c>
      <c r="Q40" s="25" t="s">
        <v>308</v>
      </c>
      <c r="R40" s="25" t="s">
        <v>308</v>
      </c>
      <c r="S40" s="8"/>
      <c r="T40" s="10"/>
      <c r="U40" s="8"/>
      <c r="V40" s="8"/>
      <c r="W40" s="8" t="s">
        <v>617</v>
      </c>
      <c r="X40" s="25" t="s">
        <v>308</v>
      </c>
      <c r="Y40" s="25" t="s">
        <v>308</v>
      </c>
      <c r="Z40" s="8"/>
    </row>
    <row r="41" spans="1:26" x14ac:dyDescent="0.55000000000000004">
      <c r="A41" s="8" t="s">
        <v>648</v>
      </c>
      <c r="B41" s="25" t="s">
        <v>308</v>
      </c>
      <c r="C41" s="25" t="s">
        <v>308</v>
      </c>
      <c r="D41" s="25" t="s">
        <v>308</v>
      </c>
      <c r="E41" s="25" t="s">
        <v>308</v>
      </c>
      <c r="F41" s="25" t="s">
        <v>308</v>
      </c>
      <c r="G41" s="25" t="s">
        <v>308</v>
      </c>
      <c r="H41" s="25" t="s">
        <v>308</v>
      </c>
      <c r="I41" s="25" t="s">
        <v>308</v>
      </c>
      <c r="J41" s="25" t="s">
        <v>308</v>
      </c>
      <c r="K41" s="8"/>
      <c r="L41" s="10"/>
      <c r="M41" s="8"/>
      <c r="N41" s="8" t="s">
        <v>647</v>
      </c>
      <c r="O41" s="26">
        <v>0</v>
      </c>
      <c r="P41" s="25" t="s">
        <v>308</v>
      </c>
      <c r="Q41" s="25" t="s">
        <v>308</v>
      </c>
      <c r="R41" s="25" t="s">
        <v>308</v>
      </c>
      <c r="S41" s="8"/>
      <c r="T41" s="10"/>
      <c r="U41" s="8"/>
      <c r="V41" s="8"/>
      <c r="W41" s="8" t="s">
        <v>620</v>
      </c>
      <c r="X41" s="25" t="s">
        <v>308</v>
      </c>
      <c r="Y41" s="25" t="s">
        <v>308</v>
      </c>
      <c r="Z41" s="8"/>
    </row>
    <row r="42" spans="1:26" x14ac:dyDescent="0.55000000000000004">
      <c r="A42" s="8" t="s">
        <v>145</v>
      </c>
      <c r="B42" s="25" t="s">
        <v>308</v>
      </c>
      <c r="C42" s="25" t="s">
        <v>308</v>
      </c>
      <c r="D42" s="25" t="s">
        <v>308</v>
      </c>
      <c r="E42" s="25" t="s">
        <v>308</v>
      </c>
      <c r="F42" s="25" t="s">
        <v>308</v>
      </c>
      <c r="G42" s="25" t="s">
        <v>308</v>
      </c>
      <c r="H42" s="25" t="s">
        <v>308</v>
      </c>
      <c r="I42" s="25" t="s">
        <v>308</v>
      </c>
      <c r="J42" s="25" t="s">
        <v>308</v>
      </c>
      <c r="K42" s="8"/>
      <c r="L42" s="10"/>
      <c r="M42" s="8"/>
      <c r="N42" s="8" t="s">
        <v>144</v>
      </c>
      <c r="O42" s="26">
        <v>0</v>
      </c>
      <c r="P42" s="25" t="s">
        <v>308</v>
      </c>
      <c r="Q42" s="25" t="s">
        <v>308</v>
      </c>
      <c r="R42" s="25" t="s">
        <v>308</v>
      </c>
      <c r="S42" s="8"/>
      <c r="T42" s="10"/>
      <c r="U42" s="8"/>
      <c r="V42" s="8"/>
      <c r="W42" s="8" t="s">
        <v>623</v>
      </c>
      <c r="X42" s="25" t="s">
        <v>308</v>
      </c>
      <c r="Y42" s="25" t="s">
        <v>308</v>
      </c>
      <c r="Z42" s="8"/>
    </row>
    <row r="43" spans="1:26" x14ac:dyDescent="0.55000000000000004">
      <c r="A43" s="8" t="s">
        <v>148</v>
      </c>
      <c r="B43" s="25" t="s">
        <v>308</v>
      </c>
      <c r="C43" s="25" t="s">
        <v>308</v>
      </c>
      <c r="D43" s="25" t="s">
        <v>308</v>
      </c>
      <c r="E43" s="25" t="s">
        <v>308</v>
      </c>
      <c r="F43" s="25" t="s">
        <v>308</v>
      </c>
      <c r="G43" s="25" t="s">
        <v>308</v>
      </c>
      <c r="H43" s="25" t="s">
        <v>308</v>
      </c>
      <c r="I43" s="25" t="s">
        <v>308</v>
      </c>
      <c r="J43" s="25" t="s">
        <v>308</v>
      </c>
      <c r="K43" s="8"/>
      <c r="L43" s="10"/>
      <c r="M43" s="8"/>
      <c r="N43" s="8" t="s">
        <v>147</v>
      </c>
      <c r="O43" s="26">
        <v>0</v>
      </c>
      <c r="P43" s="25" t="s">
        <v>308</v>
      </c>
      <c r="Q43" s="25" t="s">
        <v>308</v>
      </c>
      <c r="R43" s="25" t="s">
        <v>308</v>
      </c>
      <c r="S43" s="8"/>
      <c r="T43" s="10"/>
      <c r="U43" s="8"/>
      <c r="V43" s="8"/>
      <c r="W43" s="8"/>
      <c r="X43" s="8"/>
      <c r="Y43" s="8"/>
      <c r="Z43" s="8"/>
    </row>
    <row r="44" spans="1:26" x14ac:dyDescent="0.55000000000000004">
      <c r="A44" s="8" t="s">
        <v>150</v>
      </c>
      <c r="B44" s="25" t="s">
        <v>308</v>
      </c>
      <c r="C44" s="25" t="s">
        <v>308</v>
      </c>
      <c r="D44" s="25" t="s">
        <v>308</v>
      </c>
      <c r="E44" s="25" t="s">
        <v>308</v>
      </c>
      <c r="F44" s="25" t="s">
        <v>308</v>
      </c>
      <c r="G44" s="25" t="s">
        <v>308</v>
      </c>
      <c r="H44" s="25" t="s">
        <v>308</v>
      </c>
      <c r="I44" s="25" t="s">
        <v>308</v>
      </c>
      <c r="J44" s="25" t="s">
        <v>308</v>
      </c>
      <c r="K44" s="8"/>
      <c r="L44" s="10"/>
      <c r="M44" s="8"/>
      <c r="N44" s="8" t="s">
        <v>149</v>
      </c>
      <c r="O44" s="26">
        <v>0</v>
      </c>
      <c r="P44" s="25" t="s">
        <v>308</v>
      </c>
      <c r="Q44" s="25" t="s">
        <v>308</v>
      </c>
      <c r="R44" s="25" t="s">
        <v>308</v>
      </c>
      <c r="S44" s="8"/>
      <c r="T44" s="10"/>
      <c r="U44" s="10"/>
      <c r="V44" s="11" t="s">
        <v>309</v>
      </c>
      <c r="W44" s="10"/>
      <c r="X44" s="10"/>
      <c r="Y44" s="10"/>
      <c r="Z44" s="10"/>
    </row>
    <row r="45" spans="1:26" x14ac:dyDescent="0.55000000000000004">
      <c r="A45" s="8" t="s">
        <v>654</v>
      </c>
      <c r="B45" s="25" t="s">
        <v>308</v>
      </c>
      <c r="C45" s="25" t="s">
        <v>308</v>
      </c>
      <c r="D45" s="25" t="s">
        <v>308</v>
      </c>
      <c r="E45" s="25" t="s">
        <v>308</v>
      </c>
      <c r="F45" s="25" t="s">
        <v>308</v>
      </c>
      <c r="G45" s="25" t="s">
        <v>308</v>
      </c>
      <c r="H45" s="25" t="s">
        <v>308</v>
      </c>
      <c r="I45" s="25" t="s">
        <v>308</v>
      </c>
      <c r="J45" s="25" t="s">
        <v>308</v>
      </c>
      <c r="K45" s="8"/>
      <c r="L45" s="10"/>
      <c r="M45" s="8"/>
      <c r="N45" s="8" t="s">
        <v>653</v>
      </c>
      <c r="O45" s="26">
        <v>0</v>
      </c>
      <c r="P45" s="25" t="s">
        <v>308</v>
      </c>
      <c r="Q45" s="25" t="s">
        <v>308</v>
      </c>
      <c r="R45" s="25" t="s">
        <v>308</v>
      </c>
      <c r="S45" s="8"/>
      <c r="T45" s="10"/>
      <c r="U45" s="8"/>
      <c r="V45" s="8"/>
      <c r="W45" s="8"/>
      <c r="X45" s="8"/>
      <c r="Y45" s="8"/>
      <c r="Z45" s="8"/>
    </row>
    <row r="46" spans="1:26" x14ac:dyDescent="0.55000000000000004">
      <c r="A46" s="8" t="s">
        <v>152</v>
      </c>
      <c r="B46" s="25" t="s">
        <v>308</v>
      </c>
      <c r="C46" s="25" t="s">
        <v>308</v>
      </c>
      <c r="D46" s="25" t="s">
        <v>308</v>
      </c>
      <c r="E46" s="25" t="s">
        <v>308</v>
      </c>
      <c r="F46" s="25" t="s">
        <v>308</v>
      </c>
      <c r="G46" s="25" t="s">
        <v>308</v>
      </c>
      <c r="H46" s="25" t="s">
        <v>308</v>
      </c>
      <c r="I46" s="25" t="s">
        <v>308</v>
      </c>
      <c r="J46" s="25" t="s">
        <v>308</v>
      </c>
      <c r="K46" s="8"/>
      <c r="L46" s="10"/>
      <c r="M46" s="8"/>
      <c r="N46" s="8" t="s">
        <v>151</v>
      </c>
      <c r="O46" s="26">
        <v>0</v>
      </c>
      <c r="P46" s="25" t="s">
        <v>308</v>
      </c>
      <c r="Q46" s="25" t="s">
        <v>308</v>
      </c>
      <c r="R46" s="25" t="s">
        <v>308</v>
      </c>
      <c r="S46" s="8"/>
      <c r="T46" s="10"/>
      <c r="U46" s="8"/>
      <c r="V46" s="8" t="s">
        <v>310</v>
      </c>
      <c r="W46" s="8"/>
      <c r="X46" s="8" t="s">
        <v>311</v>
      </c>
      <c r="Y46" s="25" t="s">
        <v>308</v>
      </c>
      <c r="Z46" s="8"/>
    </row>
    <row r="47" spans="1:26" x14ac:dyDescent="0.55000000000000004">
      <c r="A47" s="8" t="s">
        <v>154</v>
      </c>
      <c r="B47" s="25" t="s">
        <v>308</v>
      </c>
      <c r="C47" s="25" t="s">
        <v>308</v>
      </c>
      <c r="D47" s="25" t="s">
        <v>308</v>
      </c>
      <c r="E47" s="25" t="s">
        <v>308</v>
      </c>
      <c r="F47" s="25" t="s">
        <v>308</v>
      </c>
      <c r="G47" s="25" t="s">
        <v>308</v>
      </c>
      <c r="H47" s="25" t="s">
        <v>308</v>
      </c>
      <c r="I47" s="25" t="s">
        <v>308</v>
      </c>
      <c r="J47" s="25" t="s">
        <v>308</v>
      </c>
      <c r="K47" s="8"/>
      <c r="L47" s="10"/>
      <c r="M47" s="8"/>
      <c r="N47" s="8" t="s">
        <v>153</v>
      </c>
      <c r="O47" s="26">
        <v>0</v>
      </c>
      <c r="P47" s="25" t="s">
        <v>308</v>
      </c>
      <c r="Q47" s="25" t="s">
        <v>308</v>
      </c>
      <c r="R47" s="25" t="s">
        <v>308</v>
      </c>
      <c r="S47" s="8"/>
      <c r="T47" s="10"/>
      <c r="U47" s="8"/>
      <c r="V47" s="8" t="s">
        <v>312</v>
      </c>
      <c r="W47" s="8"/>
      <c r="X47" s="8" t="s">
        <v>313</v>
      </c>
      <c r="Y47" s="25" t="s">
        <v>308</v>
      </c>
      <c r="Z47" s="8"/>
    </row>
    <row r="48" spans="1:26" x14ac:dyDescent="0.55000000000000004">
      <c r="A48" s="8" t="s">
        <v>156</v>
      </c>
      <c r="B48" s="25" t="s">
        <v>308</v>
      </c>
      <c r="C48" s="25" t="s">
        <v>308</v>
      </c>
      <c r="D48" s="25" t="s">
        <v>308</v>
      </c>
      <c r="E48" s="25" t="s">
        <v>308</v>
      </c>
      <c r="F48" s="25" t="s">
        <v>308</v>
      </c>
      <c r="G48" s="25" t="s">
        <v>308</v>
      </c>
      <c r="H48" s="25" t="s">
        <v>308</v>
      </c>
      <c r="I48" s="25" t="s">
        <v>308</v>
      </c>
      <c r="J48" s="25" t="s">
        <v>308</v>
      </c>
      <c r="K48" s="8"/>
      <c r="L48" s="10"/>
      <c r="M48" s="8"/>
      <c r="N48" s="8" t="s">
        <v>155</v>
      </c>
      <c r="O48" s="26">
        <v>0</v>
      </c>
      <c r="P48" s="25" t="s">
        <v>308</v>
      </c>
      <c r="Q48" s="25" t="s">
        <v>308</v>
      </c>
      <c r="R48" s="25" t="s">
        <v>308</v>
      </c>
      <c r="S48" s="8"/>
      <c r="T48" s="10"/>
      <c r="U48" s="8"/>
      <c r="V48" s="8" t="s">
        <v>314</v>
      </c>
      <c r="W48" s="8"/>
      <c r="X48" s="8" t="s">
        <v>315</v>
      </c>
      <c r="Y48" s="25" t="s">
        <v>308</v>
      </c>
      <c r="Z48" s="8"/>
    </row>
    <row r="49" spans="1:26" x14ac:dyDescent="0.55000000000000004">
      <c r="A49" s="8" t="s">
        <v>160</v>
      </c>
      <c r="B49" s="25" t="s">
        <v>308</v>
      </c>
      <c r="C49" s="25" t="s">
        <v>308</v>
      </c>
      <c r="D49" s="25" t="s">
        <v>308</v>
      </c>
      <c r="E49" s="25" t="s">
        <v>308</v>
      </c>
      <c r="F49" s="25" t="s">
        <v>308</v>
      </c>
      <c r="G49" s="25" t="s">
        <v>308</v>
      </c>
      <c r="H49" s="25" t="s">
        <v>308</v>
      </c>
      <c r="I49" s="25" t="s">
        <v>308</v>
      </c>
      <c r="J49" s="25" t="s">
        <v>308</v>
      </c>
      <c r="K49" s="8"/>
      <c r="L49" s="10"/>
      <c r="M49" s="8"/>
      <c r="N49" s="8" t="s">
        <v>159</v>
      </c>
      <c r="O49" s="26">
        <v>0</v>
      </c>
      <c r="P49" s="25" t="s">
        <v>308</v>
      </c>
      <c r="Q49" s="25" t="s">
        <v>308</v>
      </c>
      <c r="R49" s="25" t="s">
        <v>308</v>
      </c>
      <c r="S49" s="8"/>
      <c r="T49" s="10"/>
      <c r="U49" s="8"/>
      <c r="V49" s="8" t="s">
        <v>333</v>
      </c>
      <c r="W49" s="8"/>
      <c r="X49" s="8" t="s">
        <v>316</v>
      </c>
      <c r="Y49" s="25" t="s">
        <v>308</v>
      </c>
      <c r="Z49" s="8"/>
    </row>
    <row r="50" spans="1:26" x14ac:dyDescent="0.55000000000000004">
      <c r="A50" s="8" t="s">
        <v>162</v>
      </c>
      <c r="B50" s="25" t="s">
        <v>308</v>
      </c>
      <c r="C50" s="25" t="s">
        <v>308</v>
      </c>
      <c r="D50" s="25" t="s">
        <v>308</v>
      </c>
      <c r="E50" s="25" t="s">
        <v>308</v>
      </c>
      <c r="F50" s="25" t="s">
        <v>308</v>
      </c>
      <c r="G50" s="25" t="s">
        <v>308</v>
      </c>
      <c r="H50" s="25" t="s">
        <v>308</v>
      </c>
      <c r="I50" s="25" t="s">
        <v>308</v>
      </c>
      <c r="J50" s="25" t="s">
        <v>308</v>
      </c>
      <c r="K50" s="8"/>
      <c r="L50" s="10"/>
      <c r="M50" s="8"/>
      <c r="N50" s="8" t="s">
        <v>161</v>
      </c>
      <c r="O50" s="26">
        <v>0</v>
      </c>
      <c r="P50" s="25" t="s">
        <v>308</v>
      </c>
      <c r="Q50" s="25" t="s">
        <v>308</v>
      </c>
      <c r="R50" s="25" t="s">
        <v>308</v>
      </c>
      <c r="S50" s="8"/>
      <c r="T50" s="10"/>
      <c r="U50" s="8"/>
      <c r="V50" s="8" t="s">
        <v>334</v>
      </c>
      <c r="W50" s="8"/>
      <c r="X50" s="8" t="s">
        <v>317</v>
      </c>
      <c r="Y50" s="25" t="s">
        <v>308</v>
      </c>
      <c r="Z50" s="8"/>
    </row>
    <row r="51" spans="1:26" x14ac:dyDescent="0.55000000000000004">
      <c r="A51" s="8" t="s">
        <v>158</v>
      </c>
      <c r="B51" s="25" t="s">
        <v>308</v>
      </c>
      <c r="C51" s="25" t="s">
        <v>308</v>
      </c>
      <c r="D51" s="25" t="s">
        <v>308</v>
      </c>
      <c r="E51" s="25" t="s">
        <v>308</v>
      </c>
      <c r="F51" s="25" t="s">
        <v>308</v>
      </c>
      <c r="G51" s="25" t="s">
        <v>308</v>
      </c>
      <c r="H51" s="25" t="s">
        <v>308</v>
      </c>
      <c r="I51" s="25" t="s">
        <v>308</v>
      </c>
      <c r="J51" s="25" t="s">
        <v>308</v>
      </c>
      <c r="K51" s="8"/>
      <c r="L51" s="10"/>
      <c r="M51" s="8"/>
      <c r="N51" s="8" t="s">
        <v>157</v>
      </c>
      <c r="O51" s="26">
        <v>0</v>
      </c>
      <c r="P51" s="25" t="s">
        <v>308</v>
      </c>
      <c r="Q51" s="25" t="s">
        <v>308</v>
      </c>
      <c r="R51" s="25" t="s">
        <v>308</v>
      </c>
      <c r="S51" s="8"/>
      <c r="T51" s="10"/>
      <c r="U51" s="8"/>
      <c r="V51" s="8" t="s">
        <v>335</v>
      </c>
      <c r="W51" s="8"/>
      <c r="X51" s="8" t="s">
        <v>318</v>
      </c>
      <c r="Y51" s="25" t="s">
        <v>308</v>
      </c>
      <c r="Z51" s="8"/>
    </row>
    <row r="52" spans="1:26" x14ac:dyDescent="0.55000000000000004">
      <c r="A52" s="8" t="s">
        <v>164</v>
      </c>
      <c r="B52" s="25" t="s">
        <v>308</v>
      </c>
      <c r="C52" s="25" t="s">
        <v>308</v>
      </c>
      <c r="D52" s="25" t="s">
        <v>308</v>
      </c>
      <c r="E52" s="25" t="s">
        <v>308</v>
      </c>
      <c r="F52" s="25" t="s">
        <v>308</v>
      </c>
      <c r="G52" s="25" t="s">
        <v>308</v>
      </c>
      <c r="H52" s="25" t="s">
        <v>308</v>
      </c>
      <c r="I52" s="25" t="s">
        <v>308</v>
      </c>
      <c r="J52" s="25" t="s">
        <v>308</v>
      </c>
      <c r="K52" s="8"/>
      <c r="L52" s="10"/>
      <c r="M52" s="8"/>
      <c r="N52" s="8" t="s">
        <v>163</v>
      </c>
      <c r="O52" s="26">
        <v>0</v>
      </c>
      <c r="P52" s="25" t="s">
        <v>308</v>
      </c>
      <c r="Q52" s="25" t="s">
        <v>308</v>
      </c>
      <c r="R52" s="25" t="s">
        <v>308</v>
      </c>
      <c r="S52" s="8"/>
      <c r="T52" s="10"/>
      <c r="U52" s="8"/>
      <c r="V52" s="8"/>
      <c r="W52" s="8"/>
      <c r="X52" s="8" t="s">
        <v>319</v>
      </c>
      <c r="Y52" s="25" t="s">
        <v>308</v>
      </c>
      <c r="Z52" s="8"/>
    </row>
    <row r="53" spans="1:26" x14ac:dyDescent="0.55000000000000004">
      <c r="A53" s="8" t="s">
        <v>664</v>
      </c>
      <c r="B53" s="25" t="s">
        <v>308</v>
      </c>
      <c r="C53" s="25" t="s">
        <v>308</v>
      </c>
      <c r="D53" s="25" t="s">
        <v>308</v>
      </c>
      <c r="E53" s="25" t="s">
        <v>308</v>
      </c>
      <c r="F53" s="25" t="s">
        <v>308</v>
      </c>
      <c r="G53" s="25" t="s">
        <v>308</v>
      </c>
      <c r="H53" s="25" t="s">
        <v>308</v>
      </c>
      <c r="I53" s="25" t="s">
        <v>308</v>
      </c>
      <c r="J53" s="25" t="s">
        <v>308</v>
      </c>
      <c r="K53" s="8"/>
      <c r="L53" s="10"/>
      <c r="M53" s="8"/>
      <c r="N53" s="8" t="s">
        <v>663</v>
      </c>
      <c r="O53" s="26">
        <v>0</v>
      </c>
      <c r="P53" s="25" t="s">
        <v>308</v>
      </c>
      <c r="Q53" s="25" t="s">
        <v>308</v>
      </c>
      <c r="R53" s="25" t="s">
        <v>308</v>
      </c>
      <c r="S53" s="8"/>
      <c r="T53" s="10"/>
      <c r="U53" s="8"/>
      <c r="V53" s="8" t="s">
        <v>336</v>
      </c>
      <c r="W53" s="8"/>
      <c r="X53" s="8" t="s">
        <v>320</v>
      </c>
      <c r="Y53" s="25" t="s">
        <v>308</v>
      </c>
      <c r="Z53" s="8"/>
    </row>
    <row r="54" spans="1:26" x14ac:dyDescent="0.55000000000000004">
      <c r="A54" s="8" t="s">
        <v>169</v>
      </c>
      <c r="B54" s="25" t="s">
        <v>308</v>
      </c>
      <c r="C54" s="25" t="s">
        <v>308</v>
      </c>
      <c r="D54" s="25" t="s">
        <v>308</v>
      </c>
      <c r="E54" s="25" t="s">
        <v>308</v>
      </c>
      <c r="F54" s="25" t="s">
        <v>308</v>
      </c>
      <c r="G54" s="25" t="s">
        <v>308</v>
      </c>
      <c r="H54" s="25" t="s">
        <v>308</v>
      </c>
      <c r="I54" s="25" t="s">
        <v>308</v>
      </c>
      <c r="J54" s="25" t="s">
        <v>308</v>
      </c>
      <c r="K54" s="8"/>
      <c r="L54" s="10"/>
      <c r="M54" s="8"/>
      <c r="N54" s="8" t="s">
        <v>168</v>
      </c>
      <c r="O54" s="26">
        <v>0</v>
      </c>
      <c r="P54" s="25" t="s">
        <v>308</v>
      </c>
      <c r="Q54" s="25" t="s">
        <v>308</v>
      </c>
      <c r="R54" s="25" t="s">
        <v>308</v>
      </c>
      <c r="S54" s="8"/>
      <c r="T54" s="10"/>
      <c r="U54" s="8"/>
      <c r="V54" s="8"/>
      <c r="W54" s="8"/>
      <c r="X54" s="8" t="s">
        <v>321</v>
      </c>
      <c r="Y54" s="25" t="s">
        <v>308</v>
      </c>
      <c r="Z54" s="8"/>
    </row>
    <row r="55" spans="1:26" x14ac:dyDescent="0.55000000000000004">
      <c r="A55" s="8" t="s">
        <v>166</v>
      </c>
      <c r="B55" s="25" t="s">
        <v>308</v>
      </c>
      <c r="C55" s="25" t="s">
        <v>308</v>
      </c>
      <c r="D55" s="25" t="s">
        <v>308</v>
      </c>
      <c r="E55" s="25" t="s">
        <v>308</v>
      </c>
      <c r="F55" s="25" t="s">
        <v>308</v>
      </c>
      <c r="G55" s="25" t="s">
        <v>308</v>
      </c>
      <c r="H55" s="25" t="s">
        <v>308</v>
      </c>
      <c r="I55" s="25" t="s">
        <v>308</v>
      </c>
      <c r="J55" s="25" t="s">
        <v>308</v>
      </c>
      <c r="K55" s="8"/>
      <c r="L55" s="10"/>
      <c r="M55" s="8"/>
      <c r="N55" s="8" t="s">
        <v>165</v>
      </c>
      <c r="O55" s="26">
        <v>0</v>
      </c>
      <c r="P55" s="25" t="s">
        <v>308</v>
      </c>
      <c r="Q55" s="25" t="s">
        <v>308</v>
      </c>
      <c r="R55" s="25" t="s">
        <v>308</v>
      </c>
      <c r="S55" s="8"/>
      <c r="T55" s="10"/>
      <c r="U55" s="8"/>
      <c r="V55" s="8"/>
      <c r="W55" s="8"/>
      <c r="X55" s="8"/>
      <c r="Y55" s="8"/>
      <c r="Z55" s="8"/>
    </row>
    <row r="56" spans="1:26" x14ac:dyDescent="0.55000000000000004">
      <c r="A56" s="8" t="s">
        <v>669</v>
      </c>
      <c r="B56" s="25" t="s">
        <v>308</v>
      </c>
      <c r="C56" s="25" t="s">
        <v>308</v>
      </c>
      <c r="D56" s="25" t="s">
        <v>308</v>
      </c>
      <c r="E56" s="25" t="s">
        <v>308</v>
      </c>
      <c r="F56" s="25" t="s">
        <v>308</v>
      </c>
      <c r="G56" s="25" t="s">
        <v>308</v>
      </c>
      <c r="H56" s="25" t="s">
        <v>308</v>
      </c>
      <c r="I56" s="25" t="s">
        <v>308</v>
      </c>
      <c r="J56" s="25" t="s">
        <v>308</v>
      </c>
      <c r="K56" s="8"/>
      <c r="L56" s="10"/>
      <c r="M56" s="8"/>
      <c r="N56" s="8" t="s">
        <v>668</v>
      </c>
      <c r="O56" s="26">
        <v>0</v>
      </c>
      <c r="P56" s="25" t="s">
        <v>308</v>
      </c>
      <c r="Q56" s="25" t="s">
        <v>308</v>
      </c>
      <c r="R56" s="25" t="s">
        <v>308</v>
      </c>
      <c r="S56" s="8"/>
      <c r="T56" s="10"/>
      <c r="U56" s="10"/>
      <c r="V56" s="11" t="s">
        <v>324</v>
      </c>
      <c r="W56" s="10"/>
      <c r="X56" s="10"/>
      <c r="Y56" s="10"/>
      <c r="Z56" s="10"/>
    </row>
    <row r="57" spans="1:26" x14ac:dyDescent="0.55000000000000004">
      <c r="A57" s="8" t="s">
        <v>171</v>
      </c>
      <c r="B57" s="25" t="s">
        <v>308</v>
      </c>
      <c r="C57" s="25" t="s">
        <v>308</v>
      </c>
      <c r="D57" s="25" t="s">
        <v>308</v>
      </c>
      <c r="E57" s="25" t="s">
        <v>308</v>
      </c>
      <c r="F57" s="25" t="s">
        <v>308</v>
      </c>
      <c r="G57" s="25" t="s">
        <v>308</v>
      </c>
      <c r="H57" s="25" t="s">
        <v>308</v>
      </c>
      <c r="I57" s="25" t="s">
        <v>308</v>
      </c>
      <c r="J57" s="25" t="s">
        <v>308</v>
      </c>
      <c r="K57" s="8"/>
      <c r="L57" s="10"/>
      <c r="M57" s="8"/>
      <c r="N57" s="8" t="s">
        <v>170</v>
      </c>
      <c r="O57" s="26">
        <v>0</v>
      </c>
      <c r="P57" s="25" t="s">
        <v>308</v>
      </c>
      <c r="Q57" s="25" t="s">
        <v>308</v>
      </c>
      <c r="R57" s="25" t="s">
        <v>308</v>
      </c>
      <c r="S57" s="8"/>
      <c r="T57" s="10"/>
      <c r="U57" s="13"/>
      <c r="V57" s="13"/>
      <c r="W57" s="13"/>
      <c r="X57" s="15" t="s">
        <v>325</v>
      </c>
      <c r="Y57" s="15" t="s">
        <v>326</v>
      </c>
      <c r="Z57" s="13"/>
    </row>
    <row r="58" spans="1:26" x14ac:dyDescent="0.55000000000000004">
      <c r="A58" s="8" t="s">
        <v>173</v>
      </c>
      <c r="B58" s="25" t="s">
        <v>308</v>
      </c>
      <c r="C58" s="25" t="s">
        <v>308</v>
      </c>
      <c r="D58" s="25" t="s">
        <v>308</v>
      </c>
      <c r="E58" s="25" t="s">
        <v>308</v>
      </c>
      <c r="F58" s="25" t="s">
        <v>308</v>
      </c>
      <c r="G58" s="25" t="s">
        <v>308</v>
      </c>
      <c r="H58" s="25" t="s">
        <v>308</v>
      </c>
      <c r="I58" s="25" t="s">
        <v>308</v>
      </c>
      <c r="J58" s="25" t="s">
        <v>308</v>
      </c>
      <c r="K58" s="8"/>
      <c r="L58" s="10"/>
      <c r="M58" s="8"/>
      <c r="N58" s="8" t="s">
        <v>172</v>
      </c>
      <c r="O58" s="26">
        <v>0</v>
      </c>
      <c r="P58" s="25" t="s">
        <v>308</v>
      </c>
      <c r="Q58" s="25" t="s">
        <v>308</v>
      </c>
      <c r="R58" s="25" t="s">
        <v>308</v>
      </c>
      <c r="S58" s="8"/>
      <c r="T58" s="10"/>
      <c r="U58" s="13"/>
      <c r="V58" s="13"/>
      <c r="W58" s="13"/>
      <c r="X58" s="16" t="s">
        <v>327</v>
      </c>
      <c r="Y58" s="16" t="s">
        <v>328</v>
      </c>
      <c r="Z58" s="13"/>
    </row>
    <row r="59" spans="1:26" x14ac:dyDescent="0.55000000000000004">
      <c r="A59" s="8" t="s">
        <v>175</v>
      </c>
      <c r="B59" s="25" t="s">
        <v>308</v>
      </c>
      <c r="C59" s="25" t="s">
        <v>308</v>
      </c>
      <c r="D59" s="25" t="s">
        <v>308</v>
      </c>
      <c r="E59" s="25" t="s">
        <v>308</v>
      </c>
      <c r="F59" s="25" t="s">
        <v>308</v>
      </c>
      <c r="G59" s="25" t="s">
        <v>308</v>
      </c>
      <c r="H59" s="25" t="s">
        <v>308</v>
      </c>
      <c r="I59" s="25" t="s">
        <v>308</v>
      </c>
      <c r="J59" s="25" t="s">
        <v>308</v>
      </c>
      <c r="K59" s="8"/>
      <c r="L59" s="10"/>
      <c r="M59" s="8"/>
      <c r="N59" s="8" t="s">
        <v>174</v>
      </c>
      <c r="O59" s="26">
        <v>0</v>
      </c>
      <c r="P59" s="25" t="s">
        <v>308</v>
      </c>
      <c r="Q59" s="25" t="s">
        <v>308</v>
      </c>
      <c r="R59" s="25" t="s">
        <v>308</v>
      </c>
      <c r="S59" s="8"/>
      <c r="T59" s="10"/>
      <c r="U59" s="8"/>
      <c r="V59" s="8" t="s">
        <v>329</v>
      </c>
      <c r="W59" s="8" t="s">
        <v>24</v>
      </c>
      <c r="X59" s="23">
        <v>1</v>
      </c>
      <c r="Y59" s="23">
        <v>1</v>
      </c>
      <c r="Z59" s="8"/>
    </row>
    <row r="60" spans="1:26" x14ac:dyDescent="0.55000000000000004">
      <c r="A60" s="8" t="s">
        <v>177</v>
      </c>
      <c r="B60" s="25" t="s">
        <v>308</v>
      </c>
      <c r="C60" s="25" t="s">
        <v>308</v>
      </c>
      <c r="D60" s="25" t="s">
        <v>308</v>
      </c>
      <c r="E60" s="25" t="s">
        <v>308</v>
      </c>
      <c r="F60" s="25" t="s">
        <v>308</v>
      </c>
      <c r="G60" s="25" t="s">
        <v>308</v>
      </c>
      <c r="H60" s="25" t="s">
        <v>308</v>
      </c>
      <c r="I60" s="25" t="s">
        <v>308</v>
      </c>
      <c r="J60" s="25" t="s">
        <v>308</v>
      </c>
      <c r="K60" s="8"/>
      <c r="L60" s="10"/>
      <c r="M60" s="8"/>
      <c r="N60" s="8" t="s">
        <v>176</v>
      </c>
      <c r="O60" s="26">
        <v>0</v>
      </c>
      <c r="P60" s="25" t="s">
        <v>308</v>
      </c>
      <c r="Q60" s="25" t="s">
        <v>308</v>
      </c>
      <c r="R60" s="25" t="s">
        <v>308</v>
      </c>
      <c r="S60" s="8"/>
      <c r="T60" s="10"/>
      <c r="U60" s="8"/>
      <c r="V60" s="8" t="s">
        <v>330</v>
      </c>
      <c r="W60" s="8" t="s">
        <v>791</v>
      </c>
      <c r="X60" s="23">
        <v>1</v>
      </c>
      <c r="Y60" s="23">
        <v>1</v>
      </c>
      <c r="Z60" s="8"/>
    </row>
    <row r="61" spans="1:26" x14ac:dyDescent="0.55000000000000004">
      <c r="A61" s="8" t="s">
        <v>676</v>
      </c>
      <c r="B61" s="25" t="s">
        <v>308</v>
      </c>
      <c r="C61" s="25" t="s">
        <v>308</v>
      </c>
      <c r="D61" s="25" t="s">
        <v>308</v>
      </c>
      <c r="E61" s="25" t="s">
        <v>308</v>
      </c>
      <c r="F61" s="25" t="s">
        <v>308</v>
      </c>
      <c r="G61" s="25" t="s">
        <v>308</v>
      </c>
      <c r="H61" s="25" t="s">
        <v>308</v>
      </c>
      <c r="I61" s="25" t="s">
        <v>308</v>
      </c>
      <c r="J61" s="25" t="s">
        <v>308</v>
      </c>
      <c r="K61" s="8"/>
      <c r="L61" s="10"/>
      <c r="M61" s="8"/>
      <c r="N61" s="8" t="s">
        <v>675</v>
      </c>
      <c r="O61" s="26">
        <v>0</v>
      </c>
      <c r="P61" s="25" t="s">
        <v>308</v>
      </c>
      <c r="Q61" s="25" t="s">
        <v>308</v>
      </c>
      <c r="R61" s="25" t="s">
        <v>308</v>
      </c>
      <c r="S61" s="8"/>
      <c r="T61" s="10"/>
      <c r="U61" s="8"/>
      <c r="V61" s="8"/>
      <c r="W61" s="8" t="s">
        <v>792</v>
      </c>
      <c r="X61" s="23">
        <v>1</v>
      </c>
      <c r="Y61" s="23">
        <v>1</v>
      </c>
      <c r="Z61" s="8"/>
    </row>
    <row r="62" spans="1:26" x14ac:dyDescent="0.55000000000000004">
      <c r="A62" s="8" t="s">
        <v>179</v>
      </c>
      <c r="B62" s="25" t="s">
        <v>308</v>
      </c>
      <c r="C62" s="25" t="s">
        <v>308</v>
      </c>
      <c r="D62" s="25" t="s">
        <v>308</v>
      </c>
      <c r="E62" s="25" t="s">
        <v>308</v>
      </c>
      <c r="F62" s="25" t="s">
        <v>308</v>
      </c>
      <c r="G62" s="25" t="s">
        <v>308</v>
      </c>
      <c r="H62" s="25" t="s">
        <v>308</v>
      </c>
      <c r="I62" s="25" t="s">
        <v>308</v>
      </c>
      <c r="J62" s="25" t="s">
        <v>308</v>
      </c>
      <c r="K62" s="8"/>
      <c r="L62" s="10"/>
      <c r="M62" s="8"/>
      <c r="N62" s="8" t="s">
        <v>178</v>
      </c>
      <c r="O62" s="26">
        <v>0</v>
      </c>
      <c r="P62" s="25" t="s">
        <v>308</v>
      </c>
      <c r="Q62" s="25" t="s">
        <v>308</v>
      </c>
      <c r="R62" s="25" t="s">
        <v>308</v>
      </c>
      <c r="S62" s="8"/>
      <c r="T62" s="10"/>
      <c r="U62" s="8"/>
      <c r="V62" s="8"/>
      <c r="W62" s="8" t="s">
        <v>793</v>
      </c>
      <c r="X62" s="23">
        <v>1</v>
      </c>
      <c r="Y62" s="23">
        <v>1</v>
      </c>
      <c r="Z62" s="8"/>
    </row>
    <row r="63" spans="1:26" x14ac:dyDescent="0.55000000000000004">
      <c r="A63" s="8" t="s">
        <v>181</v>
      </c>
      <c r="B63" s="25" t="s">
        <v>308</v>
      </c>
      <c r="C63" s="25" t="s">
        <v>308</v>
      </c>
      <c r="D63" s="25" t="s">
        <v>308</v>
      </c>
      <c r="E63" s="25" t="s">
        <v>308</v>
      </c>
      <c r="F63" s="25" t="s">
        <v>308</v>
      </c>
      <c r="G63" s="25" t="s">
        <v>308</v>
      </c>
      <c r="H63" s="25" t="s">
        <v>308</v>
      </c>
      <c r="I63" s="25" t="s">
        <v>308</v>
      </c>
      <c r="J63" s="25" t="s">
        <v>308</v>
      </c>
      <c r="K63" s="8"/>
      <c r="L63" s="10"/>
      <c r="M63" s="8"/>
      <c r="N63" s="8" t="s">
        <v>180</v>
      </c>
      <c r="O63" s="26">
        <v>0</v>
      </c>
      <c r="P63" s="25" t="s">
        <v>308</v>
      </c>
      <c r="Q63" s="25" t="s">
        <v>308</v>
      </c>
      <c r="R63" s="25" t="s">
        <v>308</v>
      </c>
      <c r="S63" s="8"/>
      <c r="T63" s="10"/>
      <c r="U63" s="8"/>
      <c r="V63" s="8"/>
      <c r="W63" s="8" t="s">
        <v>794</v>
      </c>
      <c r="X63" s="23">
        <v>1</v>
      </c>
      <c r="Y63" s="23">
        <v>1</v>
      </c>
      <c r="Z63" s="8"/>
    </row>
    <row r="64" spans="1:26" x14ac:dyDescent="0.55000000000000004">
      <c r="A64" s="8" t="s">
        <v>681</v>
      </c>
      <c r="B64" s="25" t="s">
        <v>308</v>
      </c>
      <c r="C64" s="25" t="s">
        <v>308</v>
      </c>
      <c r="D64" s="25" t="s">
        <v>308</v>
      </c>
      <c r="E64" s="25" t="s">
        <v>308</v>
      </c>
      <c r="F64" s="25" t="s">
        <v>308</v>
      </c>
      <c r="G64" s="25" t="s">
        <v>308</v>
      </c>
      <c r="H64" s="25" t="s">
        <v>308</v>
      </c>
      <c r="I64" s="25" t="s">
        <v>308</v>
      </c>
      <c r="J64" s="25" t="s">
        <v>308</v>
      </c>
      <c r="K64" s="8"/>
      <c r="L64" s="10"/>
      <c r="M64" s="8"/>
      <c r="N64" s="8" t="s">
        <v>680</v>
      </c>
      <c r="O64" s="26">
        <v>0</v>
      </c>
      <c r="P64" s="25" t="s">
        <v>308</v>
      </c>
      <c r="Q64" s="25" t="s">
        <v>308</v>
      </c>
      <c r="R64" s="25" t="s">
        <v>308</v>
      </c>
      <c r="S64" s="8"/>
      <c r="T64" s="10"/>
      <c r="U64" s="8"/>
      <c r="V64" s="8"/>
      <c r="W64" s="8" t="s">
        <v>795</v>
      </c>
      <c r="X64" s="23">
        <v>1</v>
      </c>
      <c r="Y64" s="23">
        <v>1</v>
      </c>
      <c r="Z64" s="8"/>
    </row>
    <row r="65" spans="1:26" x14ac:dyDescent="0.55000000000000004">
      <c r="A65" s="8" t="s">
        <v>684</v>
      </c>
      <c r="B65" s="25" t="s">
        <v>308</v>
      </c>
      <c r="C65" s="25" t="s">
        <v>308</v>
      </c>
      <c r="D65" s="25" t="s">
        <v>308</v>
      </c>
      <c r="E65" s="25" t="s">
        <v>308</v>
      </c>
      <c r="F65" s="25" t="s">
        <v>308</v>
      </c>
      <c r="G65" s="25" t="s">
        <v>308</v>
      </c>
      <c r="H65" s="25" t="s">
        <v>308</v>
      </c>
      <c r="I65" s="25" t="s">
        <v>308</v>
      </c>
      <c r="J65" s="25" t="s">
        <v>308</v>
      </c>
      <c r="K65" s="8"/>
      <c r="L65" s="10"/>
      <c r="M65" s="8"/>
      <c r="N65" s="8" t="s">
        <v>683</v>
      </c>
      <c r="O65" s="26">
        <v>0</v>
      </c>
      <c r="P65" s="25" t="s">
        <v>308</v>
      </c>
      <c r="Q65" s="25" t="s">
        <v>308</v>
      </c>
      <c r="R65" s="25" t="s">
        <v>308</v>
      </c>
      <c r="S65" s="8"/>
      <c r="T65" s="10"/>
      <c r="U65" s="8"/>
      <c r="V65" s="8"/>
      <c r="W65" s="8" t="s">
        <v>89</v>
      </c>
      <c r="X65" s="23">
        <v>1</v>
      </c>
      <c r="Y65" s="23">
        <v>1</v>
      </c>
      <c r="Z65" s="8"/>
    </row>
    <row r="66" spans="1:26" x14ac:dyDescent="0.55000000000000004">
      <c r="A66" s="8" t="s">
        <v>183</v>
      </c>
      <c r="B66" s="25" t="s">
        <v>308</v>
      </c>
      <c r="C66" s="25" t="s">
        <v>308</v>
      </c>
      <c r="D66" s="25" t="s">
        <v>308</v>
      </c>
      <c r="E66" s="25" t="s">
        <v>308</v>
      </c>
      <c r="F66" s="25" t="s">
        <v>308</v>
      </c>
      <c r="G66" s="25" t="s">
        <v>308</v>
      </c>
      <c r="H66" s="25" t="s">
        <v>308</v>
      </c>
      <c r="I66" s="25" t="s">
        <v>308</v>
      </c>
      <c r="J66" s="25" t="s">
        <v>308</v>
      </c>
      <c r="K66" s="8"/>
      <c r="L66" s="10"/>
      <c r="M66" s="8"/>
      <c r="N66" s="8" t="s">
        <v>182</v>
      </c>
      <c r="O66" s="26">
        <v>0</v>
      </c>
      <c r="P66" s="25" t="s">
        <v>308</v>
      </c>
      <c r="Q66" s="25" t="s">
        <v>308</v>
      </c>
      <c r="R66" s="25" t="s">
        <v>308</v>
      </c>
      <c r="S66" s="8"/>
      <c r="T66" s="10"/>
      <c r="U66" s="8"/>
      <c r="V66" s="8"/>
      <c r="W66" s="8" t="s">
        <v>97</v>
      </c>
      <c r="X66" s="23">
        <v>1</v>
      </c>
      <c r="Y66" s="23">
        <v>1</v>
      </c>
      <c r="Z66" s="8"/>
    </row>
    <row r="67" spans="1:26" x14ac:dyDescent="0.55000000000000004">
      <c r="A67" s="8" t="s">
        <v>688</v>
      </c>
      <c r="B67" s="25" t="s">
        <v>308</v>
      </c>
      <c r="C67" s="25" t="s">
        <v>308</v>
      </c>
      <c r="D67" s="25" t="s">
        <v>308</v>
      </c>
      <c r="E67" s="25" t="s">
        <v>308</v>
      </c>
      <c r="F67" s="25" t="s">
        <v>308</v>
      </c>
      <c r="G67" s="25" t="s">
        <v>308</v>
      </c>
      <c r="H67" s="25" t="s">
        <v>308</v>
      </c>
      <c r="I67" s="25" t="s">
        <v>308</v>
      </c>
      <c r="J67" s="25" t="s">
        <v>308</v>
      </c>
      <c r="K67" s="8"/>
      <c r="L67" s="10"/>
      <c r="M67" s="8"/>
      <c r="N67" s="8" t="s">
        <v>687</v>
      </c>
      <c r="O67" s="26">
        <v>0</v>
      </c>
      <c r="P67" s="25" t="s">
        <v>308</v>
      </c>
      <c r="Q67" s="25" t="s">
        <v>308</v>
      </c>
      <c r="R67" s="25" t="s">
        <v>308</v>
      </c>
      <c r="S67" s="8"/>
      <c r="T67" s="10"/>
      <c r="U67" s="8"/>
      <c r="V67" s="8"/>
      <c r="W67" s="8" t="s">
        <v>103</v>
      </c>
      <c r="X67" s="23">
        <v>1</v>
      </c>
      <c r="Y67" s="23">
        <v>1</v>
      </c>
      <c r="Z67" s="8"/>
    </row>
    <row r="68" spans="1:26" x14ac:dyDescent="0.55000000000000004">
      <c r="A68" s="8" t="s">
        <v>691</v>
      </c>
      <c r="B68" s="25" t="s">
        <v>308</v>
      </c>
      <c r="C68" s="25" t="s">
        <v>308</v>
      </c>
      <c r="D68" s="25" t="s">
        <v>308</v>
      </c>
      <c r="E68" s="25" t="s">
        <v>308</v>
      </c>
      <c r="F68" s="25" t="s">
        <v>308</v>
      </c>
      <c r="G68" s="25" t="s">
        <v>308</v>
      </c>
      <c r="H68" s="25" t="s">
        <v>308</v>
      </c>
      <c r="I68" s="25" t="s">
        <v>308</v>
      </c>
      <c r="J68" s="25" t="s">
        <v>308</v>
      </c>
      <c r="K68" s="8"/>
      <c r="L68" s="10"/>
      <c r="M68" s="8"/>
      <c r="N68" s="8" t="s">
        <v>690</v>
      </c>
      <c r="O68" s="26">
        <v>0</v>
      </c>
      <c r="P68" s="25" t="s">
        <v>308</v>
      </c>
      <c r="Q68" s="25" t="s">
        <v>308</v>
      </c>
      <c r="R68" s="25" t="s">
        <v>308</v>
      </c>
      <c r="S68" s="8"/>
      <c r="T68" s="10"/>
      <c r="U68" s="8"/>
      <c r="V68" s="8"/>
      <c r="W68" s="8" t="s">
        <v>109</v>
      </c>
      <c r="X68" s="23">
        <v>1</v>
      </c>
      <c r="Y68" s="23">
        <v>1</v>
      </c>
      <c r="Z68" s="8"/>
    </row>
    <row r="69" spans="1:26" x14ac:dyDescent="0.55000000000000004">
      <c r="A69" s="8" t="s">
        <v>186</v>
      </c>
      <c r="B69" s="25" t="s">
        <v>308</v>
      </c>
      <c r="C69" s="25" t="s">
        <v>308</v>
      </c>
      <c r="D69" s="25" t="s">
        <v>308</v>
      </c>
      <c r="E69" s="25" t="s">
        <v>308</v>
      </c>
      <c r="F69" s="25" t="s">
        <v>308</v>
      </c>
      <c r="G69" s="25" t="s">
        <v>308</v>
      </c>
      <c r="H69" s="25" t="s">
        <v>308</v>
      </c>
      <c r="I69" s="25" t="s">
        <v>308</v>
      </c>
      <c r="J69" s="25" t="s">
        <v>308</v>
      </c>
      <c r="K69" s="8"/>
      <c r="L69" s="10"/>
      <c r="M69" s="8"/>
      <c r="N69" s="8" t="s">
        <v>185</v>
      </c>
      <c r="O69" s="26">
        <v>0</v>
      </c>
      <c r="P69" s="25" t="s">
        <v>308</v>
      </c>
      <c r="Q69" s="25" t="s">
        <v>308</v>
      </c>
      <c r="R69" s="25" t="s">
        <v>308</v>
      </c>
      <c r="S69" s="8"/>
      <c r="T69" s="10"/>
      <c r="U69" s="8"/>
      <c r="V69" s="8"/>
      <c r="W69" s="8" t="s">
        <v>113</v>
      </c>
      <c r="X69" s="23">
        <v>1</v>
      </c>
      <c r="Y69" s="23">
        <v>1</v>
      </c>
      <c r="Z69" s="8"/>
    </row>
    <row r="70" spans="1:26" x14ac:dyDescent="0.55000000000000004">
      <c r="A70" s="8" t="s">
        <v>188</v>
      </c>
      <c r="B70" s="25" t="s">
        <v>308</v>
      </c>
      <c r="C70" s="25" t="s">
        <v>308</v>
      </c>
      <c r="D70" s="25" t="s">
        <v>308</v>
      </c>
      <c r="E70" s="25" t="s">
        <v>308</v>
      </c>
      <c r="F70" s="25" t="s">
        <v>308</v>
      </c>
      <c r="G70" s="25" t="s">
        <v>308</v>
      </c>
      <c r="H70" s="25" t="s">
        <v>308</v>
      </c>
      <c r="I70" s="25" t="s">
        <v>308</v>
      </c>
      <c r="J70" s="25" t="s">
        <v>308</v>
      </c>
      <c r="K70" s="8"/>
      <c r="L70" s="10"/>
      <c r="M70" s="8"/>
      <c r="N70" s="8" t="s">
        <v>187</v>
      </c>
      <c r="O70" s="26">
        <v>0</v>
      </c>
      <c r="P70" s="25" t="s">
        <v>308</v>
      </c>
      <c r="Q70" s="25" t="s">
        <v>308</v>
      </c>
      <c r="R70" s="25" t="s">
        <v>308</v>
      </c>
      <c r="S70" s="8"/>
      <c r="T70" s="10"/>
      <c r="U70" s="8"/>
      <c r="V70" s="8"/>
      <c r="W70" s="8" t="s">
        <v>607</v>
      </c>
      <c r="X70" s="23">
        <v>1</v>
      </c>
      <c r="Y70" s="23">
        <v>1</v>
      </c>
      <c r="Z70" s="8"/>
    </row>
    <row r="71" spans="1:26" x14ac:dyDescent="0.55000000000000004">
      <c r="A71" s="8" t="s">
        <v>190</v>
      </c>
      <c r="B71" s="25" t="s">
        <v>308</v>
      </c>
      <c r="C71" s="25" t="s">
        <v>308</v>
      </c>
      <c r="D71" s="25" t="s">
        <v>308</v>
      </c>
      <c r="E71" s="25" t="s">
        <v>308</v>
      </c>
      <c r="F71" s="25" t="s">
        <v>308</v>
      </c>
      <c r="G71" s="25" t="s">
        <v>308</v>
      </c>
      <c r="H71" s="25" t="s">
        <v>308</v>
      </c>
      <c r="I71" s="25" t="s">
        <v>308</v>
      </c>
      <c r="J71" s="25" t="s">
        <v>308</v>
      </c>
      <c r="K71" s="8"/>
      <c r="L71" s="10"/>
      <c r="M71" s="8"/>
      <c r="N71" s="8" t="s">
        <v>189</v>
      </c>
      <c r="O71" s="26">
        <v>0</v>
      </c>
      <c r="P71" s="25" t="s">
        <v>308</v>
      </c>
      <c r="Q71" s="25" t="s">
        <v>308</v>
      </c>
      <c r="R71" s="25" t="s">
        <v>308</v>
      </c>
      <c r="S71" s="8"/>
      <c r="T71" s="10"/>
      <c r="U71" s="8"/>
      <c r="V71" s="8"/>
      <c r="W71" s="8" t="s">
        <v>612</v>
      </c>
      <c r="X71" s="23">
        <v>1</v>
      </c>
      <c r="Y71" s="23">
        <v>1</v>
      </c>
      <c r="Z71" s="8"/>
    </row>
    <row r="72" spans="1:26" x14ac:dyDescent="0.55000000000000004">
      <c r="A72" s="8" t="s">
        <v>697</v>
      </c>
      <c r="B72" s="25" t="s">
        <v>308</v>
      </c>
      <c r="C72" s="25" t="s">
        <v>308</v>
      </c>
      <c r="D72" s="25" t="s">
        <v>308</v>
      </c>
      <c r="E72" s="25" t="s">
        <v>308</v>
      </c>
      <c r="F72" s="25" t="s">
        <v>308</v>
      </c>
      <c r="G72" s="25" t="s">
        <v>308</v>
      </c>
      <c r="H72" s="25" t="s">
        <v>308</v>
      </c>
      <c r="I72" s="25" t="s">
        <v>308</v>
      </c>
      <c r="J72" s="25" t="s">
        <v>308</v>
      </c>
      <c r="K72" s="8"/>
      <c r="L72" s="10"/>
      <c r="M72" s="8"/>
      <c r="N72" s="8" t="s">
        <v>696</v>
      </c>
      <c r="O72" s="26">
        <v>0</v>
      </c>
      <c r="P72" s="25" t="s">
        <v>308</v>
      </c>
      <c r="Q72" s="25" t="s">
        <v>308</v>
      </c>
      <c r="R72" s="25" t="s">
        <v>308</v>
      </c>
      <c r="S72" s="8"/>
      <c r="T72" s="10"/>
      <c r="U72" s="8"/>
      <c r="V72" s="8"/>
      <c r="W72" s="8" t="s">
        <v>617</v>
      </c>
      <c r="X72" s="23">
        <v>1</v>
      </c>
      <c r="Y72" s="23">
        <v>1</v>
      </c>
      <c r="Z72" s="8"/>
    </row>
    <row r="73" spans="1:26" x14ac:dyDescent="0.55000000000000004">
      <c r="A73" s="8" t="s">
        <v>192</v>
      </c>
      <c r="B73" s="25" t="s">
        <v>308</v>
      </c>
      <c r="C73" s="25" t="s">
        <v>308</v>
      </c>
      <c r="D73" s="25" t="s">
        <v>308</v>
      </c>
      <c r="E73" s="25" t="s">
        <v>308</v>
      </c>
      <c r="F73" s="25" t="s">
        <v>308</v>
      </c>
      <c r="G73" s="25" t="s">
        <v>308</v>
      </c>
      <c r="H73" s="25" t="s">
        <v>308</v>
      </c>
      <c r="I73" s="25" t="s">
        <v>308</v>
      </c>
      <c r="J73" s="25" t="s">
        <v>308</v>
      </c>
      <c r="K73" s="8"/>
      <c r="L73" s="10"/>
      <c r="M73" s="8"/>
      <c r="N73" s="8" t="s">
        <v>191</v>
      </c>
      <c r="O73" s="26">
        <v>0</v>
      </c>
      <c r="P73" s="25" t="s">
        <v>308</v>
      </c>
      <c r="Q73" s="25" t="s">
        <v>308</v>
      </c>
      <c r="R73" s="25" t="s">
        <v>308</v>
      </c>
      <c r="S73" s="8"/>
      <c r="T73" s="10"/>
      <c r="U73" s="8"/>
      <c r="V73" s="8"/>
      <c r="W73" s="8" t="s">
        <v>620</v>
      </c>
      <c r="X73" s="23">
        <v>1</v>
      </c>
      <c r="Y73" s="23">
        <v>1</v>
      </c>
      <c r="Z73" s="8"/>
    </row>
    <row r="74" spans="1:26" x14ac:dyDescent="0.55000000000000004">
      <c r="A74" s="8" t="s">
        <v>701</v>
      </c>
      <c r="B74" s="25" t="s">
        <v>308</v>
      </c>
      <c r="C74" s="25" t="s">
        <v>308</v>
      </c>
      <c r="D74" s="25" t="s">
        <v>308</v>
      </c>
      <c r="E74" s="25" t="s">
        <v>308</v>
      </c>
      <c r="F74" s="25" t="s">
        <v>308</v>
      </c>
      <c r="G74" s="25" t="s">
        <v>308</v>
      </c>
      <c r="H74" s="25" t="s">
        <v>308</v>
      </c>
      <c r="I74" s="25" t="s">
        <v>308</v>
      </c>
      <c r="J74" s="25" t="s">
        <v>308</v>
      </c>
      <c r="K74" s="8"/>
      <c r="L74" s="10"/>
      <c r="M74" s="8"/>
      <c r="N74" s="8" t="s">
        <v>700</v>
      </c>
      <c r="O74" s="26">
        <v>0</v>
      </c>
      <c r="P74" s="25" t="s">
        <v>308</v>
      </c>
      <c r="Q74" s="25" t="s">
        <v>308</v>
      </c>
      <c r="R74" s="25" t="s">
        <v>308</v>
      </c>
      <c r="S74" s="8"/>
      <c r="T74" s="10"/>
      <c r="U74" s="8"/>
      <c r="V74" s="8"/>
      <c r="W74" s="8" t="s">
        <v>623</v>
      </c>
      <c r="X74" s="23">
        <v>1</v>
      </c>
      <c r="Y74" s="23">
        <v>1</v>
      </c>
      <c r="Z74" s="8"/>
    </row>
    <row r="75" spans="1:26" x14ac:dyDescent="0.55000000000000004">
      <c r="A75" s="8" t="s">
        <v>195</v>
      </c>
      <c r="B75" s="25" t="s">
        <v>308</v>
      </c>
      <c r="C75" s="25" t="s">
        <v>308</v>
      </c>
      <c r="D75" s="25" t="s">
        <v>308</v>
      </c>
      <c r="E75" s="25" t="s">
        <v>308</v>
      </c>
      <c r="F75" s="25" t="s">
        <v>308</v>
      </c>
      <c r="G75" s="25" t="s">
        <v>308</v>
      </c>
      <c r="H75" s="25" t="s">
        <v>308</v>
      </c>
      <c r="I75" s="25" t="s">
        <v>308</v>
      </c>
      <c r="J75" s="25" t="s">
        <v>308</v>
      </c>
      <c r="K75" s="8"/>
      <c r="L75" s="10"/>
      <c r="M75" s="8"/>
      <c r="N75" s="8" t="s">
        <v>194</v>
      </c>
      <c r="O75" s="26">
        <v>0</v>
      </c>
      <c r="P75" s="25" t="s">
        <v>308</v>
      </c>
      <c r="Q75" s="25" t="s">
        <v>308</v>
      </c>
      <c r="R75" s="25" t="s">
        <v>308</v>
      </c>
      <c r="S75" s="8"/>
      <c r="T75" s="10"/>
      <c r="U75" s="8"/>
      <c r="V75" s="8"/>
      <c r="W75" s="8"/>
      <c r="X75" s="8"/>
      <c r="Y75" s="8"/>
      <c r="Z75" s="8"/>
    </row>
    <row r="76" spans="1:26" x14ac:dyDescent="0.55000000000000004">
      <c r="A76" s="8" t="s">
        <v>197</v>
      </c>
      <c r="B76" s="25" t="s">
        <v>308</v>
      </c>
      <c r="C76" s="25" t="s">
        <v>308</v>
      </c>
      <c r="D76" s="25" t="s">
        <v>308</v>
      </c>
      <c r="E76" s="25" t="s">
        <v>308</v>
      </c>
      <c r="F76" s="25" t="s">
        <v>308</v>
      </c>
      <c r="G76" s="25" t="s">
        <v>308</v>
      </c>
      <c r="H76" s="25" t="s">
        <v>308</v>
      </c>
      <c r="I76" s="25" t="s">
        <v>308</v>
      </c>
      <c r="J76" s="25" t="s">
        <v>308</v>
      </c>
      <c r="K76" s="8"/>
      <c r="L76" s="10"/>
      <c r="M76" s="8"/>
      <c r="N76" s="8" t="s">
        <v>196</v>
      </c>
      <c r="O76" s="26">
        <v>0</v>
      </c>
      <c r="P76" s="25" t="s">
        <v>308</v>
      </c>
      <c r="Q76" s="25" t="s">
        <v>308</v>
      </c>
      <c r="R76" s="25" t="s">
        <v>308</v>
      </c>
      <c r="S76" s="8"/>
      <c r="T76" s="10"/>
      <c r="U76" s="10"/>
      <c r="V76" s="11" t="s">
        <v>240</v>
      </c>
      <c r="W76" s="10"/>
      <c r="X76" s="10"/>
      <c r="Y76" s="10"/>
      <c r="Z76" s="10"/>
    </row>
    <row r="77" spans="1:26" x14ac:dyDescent="0.55000000000000004">
      <c r="A77" s="8" t="s">
        <v>706</v>
      </c>
      <c r="B77" s="25" t="s">
        <v>308</v>
      </c>
      <c r="C77" s="25" t="s">
        <v>308</v>
      </c>
      <c r="D77" s="25" t="s">
        <v>308</v>
      </c>
      <c r="E77" s="25" t="s">
        <v>308</v>
      </c>
      <c r="F77" s="25" t="s">
        <v>308</v>
      </c>
      <c r="G77" s="25" t="s">
        <v>308</v>
      </c>
      <c r="H77" s="25" t="s">
        <v>308</v>
      </c>
      <c r="I77" s="25" t="s">
        <v>308</v>
      </c>
      <c r="J77" s="25" t="s">
        <v>308</v>
      </c>
      <c r="K77" s="8"/>
      <c r="L77" s="10"/>
      <c r="M77" s="8"/>
      <c r="N77" s="8" t="s">
        <v>705</v>
      </c>
      <c r="O77" s="26">
        <v>0</v>
      </c>
      <c r="P77" s="25" t="s">
        <v>308</v>
      </c>
      <c r="Q77" s="25" t="s">
        <v>308</v>
      </c>
      <c r="R77" s="25" t="s">
        <v>308</v>
      </c>
      <c r="S77" s="8"/>
      <c r="T77" s="10"/>
      <c r="U77" s="8"/>
      <c r="V77" s="8" t="s">
        <v>337</v>
      </c>
      <c r="W77" s="8" t="s">
        <v>322</v>
      </c>
      <c r="X77" s="8">
        <f>SUMIF(Main!G4:O4,Y1,Main!G5:O5)</f>
        <v>2</v>
      </c>
      <c r="Y77" s="8"/>
      <c r="Z77" s="8"/>
    </row>
    <row r="78" spans="1:26" x14ac:dyDescent="0.55000000000000004">
      <c r="A78" s="8" t="s">
        <v>199</v>
      </c>
      <c r="B78" s="25" t="s">
        <v>308</v>
      </c>
      <c r="C78" s="25" t="s">
        <v>308</v>
      </c>
      <c r="D78" s="25" t="s">
        <v>308</v>
      </c>
      <c r="E78" s="25" t="s">
        <v>308</v>
      </c>
      <c r="F78" s="25" t="s">
        <v>308</v>
      </c>
      <c r="G78" s="25" t="s">
        <v>308</v>
      </c>
      <c r="H78" s="25" t="s">
        <v>308</v>
      </c>
      <c r="I78" s="25" t="s">
        <v>308</v>
      </c>
      <c r="J78" s="25" t="s">
        <v>308</v>
      </c>
      <c r="K78" s="8"/>
      <c r="L78" s="10"/>
      <c r="M78" s="8"/>
      <c r="N78" s="8" t="s">
        <v>198</v>
      </c>
      <c r="O78" s="26">
        <v>0</v>
      </c>
      <c r="P78" s="25" t="s">
        <v>308</v>
      </c>
      <c r="Q78" s="25" t="s">
        <v>308</v>
      </c>
      <c r="R78" s="25" t="s">
        <v>308</v>
      </c>
      <c r="S78" s="8"/>
      <c r="T78" s="10"/>
      <c r="U78" s="8"/>
      <c r="V78" s="8" t="s">
        <v>338</v>
      </c>
      <c r="W78" s="8" t="s">
        <v>83</v>
      </c>
      <c r="X78" s="8">
        <f>SUMIF(Main!G4:O4,Y1,Main!G6:O6)</f>
        <v>3</v>
      </c>
      <c r="Y78" s="8"/>
      <c r="Z78" s="8"/>
    </row>
    <row r="79" spans="1:26" x14ac:dyDescent="0.55000000000000004">
      <c r="A79" s="8" t="s">
        <v>710</v>
      </c>
      <c r="B79" s="25" t="s">
        <v>308</v>
      </c>
      <c r="C79" s="25" t="s">
        <v>308</v>
      </c>
      <c r="D79" s="25" t="s">
        <v>308</v>
      </c>
      <c r="E79" s="25" t="s">
        <v>308</v>
      </c>
      <c r="F79" s="25" t="s">
        <v>308</v>
      </c>
      <c r="G79" s="25" t="s">
        <v>308</v>
      </c>
      <c r="H79" s="25" t="s">
        <v>308</v>
      </c>
      <c r="I79" s="25" t="s">
        <v>308</v>
      </c>
      <c r="J79" s="25" t="s">
        <v>308</v>
      </c>
      <c r="K79" s="8"/>
      <c r="L79" s="10"/>
      <c r="M79" s="8"/>
      <c r="N79" s="8" t="s">
        <v>709</v>
      </c>
      <c r="O79" s="26">
        <v>0</v>
      </c>
      <c r="P79" s="25" t="s">
        <v>308</v>
      </c>
      <c r="Q79" s="25" t="s">
        <v>308</v>
      </c>
      <c r="R79" s="25" t="s">
        <v>308</v>
      </c>
      <c r="S79" s="8"/>
      <c r="T79" s="10"/>
      <c r="U79" s="8"/>
      <c r="V79" s="8" t="s">
        <v>339</v>
      </c>
      <c r="W79" s="8" t="s">
        <v>32</v>
      </c>
      <c r="X79" s="8">
        <f>SUMIF(Main!G4:O4,Y1,Main!G7:O7)</f>
        <v>1</v>
      </c>
      <c r="Y79" s="8"/>
      <c r="Z79" s="8"/>
    </row>
    <row r="80" spans="1:26" x14ac:dyDescent="0.55000000000000004">
      <c r="A80" s="8" t="s">
        <v>713</v>
      </c>
      <c r="B80" s="25" t="s">
        <v>308</v>
      </c>
      <c r="C80" s="25" t="s">
        <v>308</v>
      </c>
      <c r="D80" s="25" t="s">
        <v>308</v>
      </c>
      <c r="E80" s="25" t="s">
        <v>308</v>
      </c>
      <c r="F80" s="25" t="s">
        <v>308</v>
      </c>
      <c r="G80" s="25" t="s">
        <v>308</v>
      </c>
      <c r="H80" s="25" t="s">
        <v>308</v>
      </c>
      <c r="I80" s="25" t="s">
        <v>308</v>
      </c>
      <c r="J80" s="25" t="s">
        <v>308</v>
      </c>
      <c r="K80" s="8"/>
      <c r="L80" s="10"/>
      <c r="M80" s="8"/>
      <c r="N80" s="8" t="s">
        <v>712</v>
      </c>
      <c r="O80" s="26">
        <v>0</v>
      </c>
      <c r="P80" s="25" t="s">
        <v>308</v>
      </c>
      <c r="Q80" s="25" t="s">
        <v>308</v>
      </c>
      <c r="R80" s="25" t="s">
        <v>308</v>
      </c>
      <c r="S80" s="8"/>
      <c r="T80" s="10"/>
      <c r="U80" s="8"/>
      <c r="V80" s="8" t="s">
        <v>340</v>
      </c>
      <c r="W80" s="8" t="s">
        <v>99</v>
      </c>
      <c r="X80" s="8">
        <f>SUMIF(Main!G4:O4,Y1,Main!G8:O8)</f>
        <v>1</v>
      </c>
      <c r="Y80" s="8"/>
      <c r="Z80" s="8"/>
    </row>
    <row r="81" spans="1:26" x14ac:dyDescent="0.55000000000000004">
      <c r="A81" s="8" t="s">
        <v>716</v>
      </c>
      <c r="B81" s="25" t="s">
        <v>308</v>
      </c>
      <c r="C81" s="25" t="s">
        <v>308</v>
      </c>
      <c r="D81" s="25" t="s">
        <v>308</v>
      </c>
      <c r="E81" s="25" t="s">
        <v>308</v>
      </c>
      <c r="F81" s="25" t="s">
        <v>308</v>
      </c>
      <c r="G81" s="25" t="s">
        <v>308</v>
      </c>
      <c r="H81" s="25" t="s">
        <v>308</v>
      </c>
      <c r="I81" s="25" t="s">
        <v>308</v>
      </c>
      <c r="J81" s="25" t="s">
        <v>308</v>
      </c>
      <c r="K81" s="8"/>
      <c r="L81" s="10"/>
      <c r="M81" s="8"/>
      <c r="N81" s="8" t="s">
        <v>715</v>
      </c>
      <c r="O81" s="26">
        <v>0</v>
      </c>
      <c r="P81" s="25" t="s">
        <v>308</v>
      </c>
      <c r="Q81" s="25" t="s">
        <v>308</v>
      </c>
      <c r="R81" s="25" t="s">
        <v>308</v>
      </c>
      <c r="S81" s="8"/>
      <c r="T81" s="10"/>
      <c r="U81" s="8"/>
      <c r="V81" s="8"/>
      <c r="W81" s="8"/>
      <c r="X81" s="8"/>
      <c r="Y81" s="8"/>
      <c r="Z81" s="8"/>
    </row>
    <row r="82" spans="1:26" x14ac:dyDescent="0.55000000000000004">
      <c r="A82" s="8" t="s">
        <v>719</v>
      </c>
      <c r="B82" s="25" t="s">
        <v>308</v>
      </c>
      <c r="C82" s="25" t="s">
        <v>308</v>
      </c>
      <c r="D82" s="25" t="s">
        <v>308</v>
      </c>
      <c r="E82" s="25" t="s">
        <v>308</v>
      </c>
      <c r="F82" s="25" t="s">
        <v>308</v>
      </c>
      <c r="G82" s="25" t="s">
        <v>308</v>
      </c>
      <c r="H82" s="25" t="s">
        <v>308</v>
      </c>
      <c r="I82" s="25" t="s">
        <v>308</v>
      </c>
      <c r="J82" s="25" t="s">
        <v>308</v>
      </c>
      <c r="K82" s="8"/>
      <c r="L82" s="10"/>
      <c r="M82" s="8"/>
      <c r="N82" s="8" t="s">
        <v>718</v>
      </c>
      <c r="O82" s="26">
        <v>0</v>
      </c>
      <c r="P82" s="25" t="s">
        <v>308</v>
      </c>
      <c r="Q82" s="25" t="s">
        <v>308</v>
      </c>
      <c r="R82" s="25" t="s">
        <v>308</v>
      </c>
      <c r="S82" s="8"/>
      <c r="T82" s="10"/>
      <c r="U82" s="10"/>
      <c r="V82" s="11" t="s">
        <v>249</v>
      </c>
      <c r="W82" s="10"/>
      <c r="X82" s="10"/>
      <c r="Y82" s="10"/>
      <c r="Z82" s="10"/>
    </row>
    <row r="83" spans="1:26" x14ac:dyDescent="0.55000000000000004">
      <c r="A83" s="8" t="s">
        <v>722</v>
      </c>
      <c r="B83" s="25" t="s">
        <v>308</v>
      </c>
      <c r="C83" s="25" t="s">
        <v>308</v>
      </c>
      <c r="D83" s="25" t="s">
        <v>308</v>
      </c>
      <c r="E83" s="25" t="s">
        <v>308</v>
      </c>
      <c r="F83" s="25" t="s">
        <v>308</v>
      </c>
      <c r="G83" s="25" t="s">
        <v>308</v>
      </c>
      <c r="H83" s="25" t="s">
        <v>308</v>
      </c>
      <c r="I83" s="25" t="s">
        <v>308</v>
      </c>
      <c r="J83" s="25" t="s">
        <v>308</v>
      </c>
      <c r="K83" s="8"/>
      <c r="L83" s="10"/>
      <c r="M83" s="8"/>
      <c r="N83" s="8" t="s">
        <v>721</v>
      </c>
      <c r="O83" s="26">
        <v>0</v>
      </c>
      <c r="P83" s="25" t="s">
        <v>308</v>
      </c>
      <c r="Q83" s="25" t="s">
        <v>308</v>
      </c>
      <c r="R83" s="25" t="s">
        <v>308</v>
      </c>
      <c r="S83" s="8"/>
      <c r="T83" s="10"/>
      <c r="U83" s="8"/>
      <c r="V83" s="8" t="s">
        <v>323</v>
      </c>
      <c r="W83" s="8" t="s">
        <v>12</v>
      </c>
      <c r="X83" s="8">
        <f>SUMIF(Main!G11:O11,'S7'!Y1,Main!G12:O12)</f>
        <v>1</v>
      </c>
      <c r="Y83" s="8"/>
      <c r="Z83" s="8"/>
    </row>
    <row r="84" spans="1:26" x14ac:dyDescent="0.55000000000000004">
      <c r="A84" s="8" t="s">
        <v>725</v>
      </c>
      <c r="B84" s="25" t="s">
        <v>308</v>
      </c>
      <c r="C84" s="25" t="s">
        <v>308</v>
      </c>
      <c r="D84" s="25" t="s">
        <v>308</v>
      </c>
      <c r="E84" s="25" t="s">
        <v>308</v>
      </c>
      <c r="F84" s="25" t="s">
        <v>308</v>
      </c>
      <c r="G84" s="25" t="s">
        <v>308</v>
      </c>
      <c r="H84" s="25" t="s">
        <v>308</v>
      </c>
      <c r="I84" s="25" t="s">
        <v>308</v>
      </c>
      <c r="J84" s="25" t="s">
        <v>308</v>
      </c>
      <c r="K84" s="8"/>
      <c r="L84" s="10"/>
      <c r="M84" s="8"/>
      <c r="N84" s="8" t="s">
        <v>724</v>
      </c>
      <c r="O84" s="26">
        <v>0</v>
      </c>
      <c r="P84" s="25" t="s">
        <v>308</v>
      </c>
      <c r="Q84" s="25" t="s">
        <v>308</v>
      </c>
      <c r="R84" s="25" t="s">
        <v>308</v>
      </c>
      <c r="S84" s="8"/>
      <c r="T84" s="10"/>
      <c r="U84" s="8"/>
      <c r="V84" s="8"/>
      <c r="W84" s="8" t="s">
        <v>20</v>
      </c>
      <c r="X84" s="8">
        <f>SUMIF(Main!G11:O11,'S7'!Y1,Main!G13:O13)</f>
        <v>1</v>
      </c>
      <c r="Y84" s="8"/>
      <c r="Z84" s="8"/>
    </row>
    <row r="85" spans="1:26" x14ac:dyDescent="0.55000000000000004">
      <c r="A85" s="8" t="s">
        <v>728</v>
      </c>
      <c r="B85" s="25" t="s">
        <v>308</v>
      </c>
      <c r="C85" s="25" t="s">
        <v>308</v>
      </c>
      <c r="D85" s="25" t="s">
        <v>308</v>
      </c>
      <c r="E85" s="25" t="s">
        <v>308</v>
      </c>
      <c r="F85" s="25" t="s">
        <v>308</v>
      </c>
      <c r="G85" s="25" t="s">
        <v>308</v>
      </c>
      <c r="H85" s="25" t="s">
        <v>308</v>
      </c>
      <c r="I85" s="25" t="s">
        <v>308</v>
      </c>
      <c r="J85" s="25" t="s">
        <v>308</v>
      </c>
      <c r="K85" s="8"/>
      <c r="L85" s="10"/>
      <c r="M85" s="8"/>
      <c r="N85" s="8" t="s">
        <v>727</v>
      </c>
      <c r="O85" s="26">
        <v>0</v>
      </c>
      <c r="P85" s="25" t="s">
        <v>308</v>
      </c>
      <c r="Q85" s="25" t="s">
        <v>308</v>
      </c>
      <c r="R85" s="25" t="s">
        <v>308</v>
      </c>
      <c r="S85" s="8"/>
      <c r="T85" s="10"/>
      <c r="U85" s="8"/>
      <c r="V85" s="8"/>
      <c r="W85" s="8" t="s">
        <v>28</v>
      </c>
      <c r="X85" s="8">
        <f>SUMIF(Main!G11:O11,'S7'!Y1,Main!G14:O14)</f>
        <v>1</v>
      </c>
      <c r="Y85" s="8"/>
      <c r="Z85" s="8"/>
    </row>
    <row r="86" spans="1:26" x14ac:dyDescent="0.55000000000000004">
      <c r="A86" s="8" t="s">
        <v>731</v>
      </c>
      <c r="B86" s="25" t="s">
        <v>308</v>
      </c>
      <c r="C86" s="25" t="s">
        <v>308</v>
      </c>
      <c r="D86" s="25" t="s">
        <v>308</v>
      </c>
      <c r="E86" s="25" t="s">
        <v>308</v>
      </c>
      <c r="F86" s="25" t="s">
        <v>308</v>
      </c>
      <c r="G86" s="25" t="s">
        <v>308</v>
      </c>
      <c r="H86" s="25" t="s">
        <v>308</v>
      </c>
      <c r="I86" s="25" t="s">
        <v>308</v>
      </c>
      <c r="J86" s="25" t="s">
        <v>308</v>
      </c>
      <c r="K86" s="8"/>
      <c r="L86" s="10"/>
      <c r="M86" s="8"/>
      <c r="N86" s="8" t="s">
        <v>730</v>
      </c>
      <c r="O86" s="26">
        <v>0</v>
      </c>
      <c r="P86" s="25" t="s">
        <v>308</v>
      </c>
      <c r="Q86" s="25" t="s">
        <v>308</v>
      </c>
      <c r="R86" s="25" t="s">
        <v>308</v>
      </c>
      <c r="S86" s="8"/>
      <c r="T86" s="10"/>
      <c r="U86" s="8"/>
      <c r="V86" s="8"/>
      <c r="W86" s="8" t="s">
        <v>36</v>
      </c>
      <c r="X86" s="8">
        <f>SUMIF(Main!G11:O11,'S7'!Y1,Main!G15:O15)</f>
        <v>1</v>
      </c>
      <c r="Y86" s="8"/>
      <c r="Z86" s="8"/>
    </row>
    <row r="87" spans="1:26" x14ac:dyDescent="0.55000000000000004">
      <c r="A87" s="8" t="s">
        <v>734</v>
      </c>
      <c r="B87" s="25" t="s">
        <v>308</v>
      </c>
      <c r="C87" s="25" t="s">
        <v>308</v>
      </c>
      <c r="D87" s="25" t="s">
        <v>308</v>
      </c>
      <c r="E87" s="25" t="s">
        <v>308</v>
      </c>
      <c r="F87" s="25" t="s">
        <v>308</v>
      </c>
      <c r="G87" s="25" t="s">
        <v>308</v>
      </c>
      <c r="H87" s="25" t="s">
        <v>308</v>
      </c>
      <c r="I87" s="25" t="s">
        <v>308</v>
      </c>
      <c r="J87" s="25" t="s">
        <v>308</v>
      </c>
      <c r="K87" s="8"/>
      <c r="L87" s="10"/>
      <c r="M87" s="8"/>
      <c r="N87" s="8" t="s">
        <v>733</v>
      </c>
      <c r="O87" s="26">
        <v>0</v>
      </c>
      <c r="P87" s="25" t="s">
        <v>308</v>
      </c>
      <c r="Q87" s="25" t="s">
        <v>308</v>
      </c>
      <c r="R87" s="25" t="s">
        <v>308</v>
      </c>
      <c r="S87" s="8"/>
      <c r="T87" s="10"/>
      <c r="U87" s="8"/>
      <c r="V87" s="8"/>
      <c r="W87" s="8" t="s">
        <v>44</v>
      </c>
      <c r="X87" s="8">
        <f>SUMIF(Main!G11:O11,'S7'!Y1,Main!G16:O16)</f>
        <v>1</v>
      </c>
      <c r="Y87" s="8"/>
      <c r="Z87" s="8"/>
    </row>
    <row r="88" spans="1:26" x14ac:dyDescent="0.55000000000000004">
      <c r="A88" s="8" t="s">
        <v>202</v>
      </c>
      <c r="B88" s="25" t="s">
        <v>308</v>
      </c>
      <c r="C88" s="25" t="s">
        <v>308</v>
      </c>
      <c r="D88" s="25" t="s">
        <v>308</v>
      </c>
      <c r="E88" s="25" t="s">
        <v>308</v>
      </c>
      <c r="F88" s="25" t="s">
        <v>308</v>
      </c>
      <c r="G88" s="25" t="s">
        <v>308</v>
      </c>
      <c r="H88" s="25" t="s">
        <v>308</v>
      </c>
      <c r="I88" s="25" t="s">
        <v>308</v>
      </c>
      <c r="J88" s="25" t="s">
        <v>308</v>
      </c>
      <c r="K88" s="8"/>
      <c r="L88" s="10"/>
      <c r="M88" s="8"/>
      <c r="N88" s="8" t="s">
        <v>201</v>
      </c>
      <c r="O88" s="26">
        <v>0</v>
      </c>
      <c r="P88" s="25" t="s">
        <v>308</v>
      </c>
      <c r="Q88" s="25" t="s">
        <v>308</v>
      </c>
      <c r="R88" s="25" t="s">
        <v>308</v>
      </c>
      <c r="S88" s="8"/>
      <c r="T88" s="10"/>
      <c r="U88" s="8"/>
      <c r="V88" s="8"/>
      <c r="W88" s="8" t="s">
        <v>49</v>
      </c>
      <c r="X88" s="8">
        <f>SUMIF(Main!G11:O11,'S7'!Y1,Main!G17:O17)</f>
        <v>1</v>
      </c>
      <c r="Y88" s="8"/>
      <c r="Z88" s="8"/>
    </row>
    <row r="89" spans="1:26" x14ac:dyDescent="0.55000000000000004">
      <c r="A89" s="8" t="s">
        <v>738</v>
      </c>
      <c r="B89" s="25" t="s">
        <v>308</v>
      </c>
      <c r="C89" s="25" t="s">
        <v>308</v>
      </c>
      <c r="D89" s="25" t="s">
        <v>308</v>
      </c>
      <c r="E89" s="25" t="s">
        <v>308</v>
      </c>
      <c r="F89" s="25" t="s">
        <v>308</v>
      </c>
      <c r="G89" s="25" t="s">
        <v>308</v>
      </c>
      <c r="H89" s="25" t="s">
        <v>308</v>
      </c>
      <c r="I89" s="25" t="s">
        <v>308</v>
      </c>
      <c r="J89" s="25" t="s">
        <v>308</v>
      </c>
      <c r="K89" s="8"/>
      <c r="L89" s="10"/>
      <c r="M89" s="8"/>
      <c r="N89" s="8" t="s">
        <v>737</v>
      </c>
      <c r="O89" s="26">
        <v>0</v>
      </c>
      <c r="P89" s="25" t="s">
        <v>308</v>
      </c>
      <c r="Q89" s="25" t="s">
        <v>308</v>
      </c>
      <c r="R89" s="25" t="s">
        <v>308</v>
      </c>
      <c r="S89" s="8"/>
      <c r="T89" s="10"/>
      <c r="U89" s="8"/>
      <c r="V89" s="8"/>
      <c r="W89" s="8" t="s">
        <v>57</v>
      </c>
      <c r="X89" s="8">
        <f>SUMIF(Main!G11:O11,'S7'!Y1,Main!G18:O18)</f>
        <v>1</v>
      </c>
      <c r="Y89" s="8"/>
      <c r="Z89" s="8"/>
    </row>
    <row r="90" spans="1:26" x14ac:dyDescent="0.55000000000000004">
      <c r="A90" s="8" t="s">
        <v>204</v>
      </c>
      <c r="B90" s="25" t="s">
        <v>308</v>
      </c>
      <c r="C90" s="25" t="s">
        <v>308</v>
      </c>
      <c r="D90" s="25" t="s">
        <v>308</v>
      </c>
      <c r="E90" s="25" t="s">
        <v>308</v>
      </c>
      <c r="F90" s="25" t="s">
        <v>308</v>
      </c>
      <c r="G90" s="25" t="s">
        <v>308</v>
      </c>
      <c r="H90" s="25" t="s">
        <v>308</v>
      </c>
      <c r="I90" s="25" t="s">
        <v>308</v>
      </c>
      <c r="J90" s="25" t="s">
        <v>308</v>
      </c>
      <c r="K90" s="8"/>
      <c r="L90" s="10"/>
      <c r="M90" s="8"/>
      <c r="N90" s="8" t="s">
        <v>203</v>
      </c>
      <c r="O90" s="26">
        <v>0</v>
      </c>
      <c r="P90" s="25" t="s">
        <v>308</v>
      </c>
      <c r="Q90" s="25" t="s">
        <v>308</v>
      </c>
      <c r="R90" s="25" t="s">
        <v>308</v>
      </c>
      <c r="S90" s="8"/>
      <c r="T90" s="10"/>
      <c r="U90" s="8"/>
      <c r="V90" s="8"/>
      <c r="W90" s="8" t="s">
        <v>65</v>
      </c>
      <c r="X90" s="8">
        <f>SUMIF(Main!G11:O11,'S7'!Y1,Main!G19:O19)</f>
        <v>1</v>
      </c>
      <c r="Y90" s="8"/>
      <c r="Z90" s="8"/>
    </row>
    <row r="91" spans="1:26" x14ac:dyDescent="0.55000000000000004">
      <c r="A91" s="8" t="s">
        <v>742</v>
      </c>
      <c r="B91" s="25" t="s">
        <v>308</v>
      </c>
      <c r="C91" s="25" t="s">
        <v>308</v>
      </c>
      <c r="D91" s="25" t="s">
        <v>308</v>
      </c>
      <c r="E91" s="25" t="s">
        <v>308</v>
      </c>
      <c r="F91" s="25" t="s">
        <v>308</v>
      </c>
      <c r="G91" s="25" t="s">
        <v>308</v>
      </c>
      <c r="H91" s="25" t="s">
        <v>308</v>
      </c>
      <c r="I91" s="25" t="s">
        <v>308</v>
      </c>
      <c r="J91" s="25" t="s">
        <v>308</v>
      </c>
      <c r="K91" s="8"/>
      <c r="L91" s="10"/>
      <c r="M91" s="8"/>
      <c r="N91" s="8" t="s">
        <v>741</v>
      </c>
      <c r="O91" s="26">
        <v>0</v>
      </c>
      <c r="P91" s="25" t="s">
        <v>308</v>
      </c>
      <c r="Q91" s="25" t="s">
        <v>308</v>
      </c>
      <c r="R91" s="25" t="s">
        <v>308</v>
      </c>
      <c r="S91" s="8"/>
      <c r="T91" s="10"/>
      <c r="U91" s="8"/>
      <c r="V91" s="8"/>
      <c r="W91" s="8" t="s">
        <v>573</v>
      </c>
      <c r="X91" s="8">
        <f>SUMIF(Main!G11:O11,'S7'!Y1,Main!G20:O20)</f>
        <v>1</v>
      </c>
      <c r="Y91" s="8"/>
      <c r="Z91" s="8"/>
    </row>
    <row r="92" spans="1:26" x14ac:dyDescent="0.55000000000000004">
      <c r="A92" s="8" t="s">
        <v>745</v>
      </c>
      <c r="B92" s="25" t="s">
        <v>308</v>
      </c>
      <c r="C92" s="25" t="s">
        <v>308</v>
      </c>
      <c r="D92" s="25" t="s">
        <v>308</v>
      </c>
      <c r="E92" s="25" t="s">
        <v>308</v>
      </c>
      <c r="F92" s="25" t="s">
        <v>308</v>
      </c>
      <c r="G92" s="25" t="s">
        <v>308</v>
      </c>
      <c r="H92" s="25" t="s">
        <v>308</v>
      </c>
      <c r="I92" s="25" t="s">
        <v>308</v>
      </c>
      <c r="J92" s="25" t="s">
        <v>308</v>
      </c>
      <c r="K92" s="8"/>
      <c r="L92" s="10"/>
      <c r="M92" s="8"/>
      <c r="N92" s="8" t="s">
        <v>744</v>
      </c>
      <c r="O92" s="26">
        <v>0</v>
      </c>
      <c r="P92" s="25" t="s">
        <v>308</v>
      </c>
      <c r="Q92" s="25" t="s">
        <v>308</v>
      </c>
      <c r="R92" s="25" t="s">
        <v>308</v>
      </c>
      <c r="S92" s="8"/>
      <c r="T92" s="10"/>
      <c r="U92" s="8"/>
      <c r="V92" s="8"/>
      <c r="W92" s="8" t="s">
        <v>580</v>
      </c>
      <c r="X92" s="8">
        <f>SUMIF(Main!G11:O11,'S7'!Y1,Main!G21:O21)</f>
        <v>1</v>
      </c>
      <c r="Y92" s="8"/>
      <c r="Z92" s="8"/>
    </row>
    <row r="93" spans="1:26" x14ac:dyDescent="0.55000000000000004">
      <c r="A93" s="8" t="s">
        <v>748</v>
      </c>
      <c r="B93" s="25" t="s">
        <v>308</v>
      </c>
      <c r="C93" s="25" t="s">
        <v>308</v>
      </c>
      <c r="D93" s="25" t="s">
        <v>308</v>
      </c>
      <c r="E93" s="25" t="s">
        <v>308</v>
      </c>
      <c r="F93" s="25" t="s">
        <v>308</v>
      </c>
      <c r="G93" s="25" t="s">
        <v>308</v>
      </c>
      <c r="H93" s="25" t="s">
        <v>308</v>
      </c>
      <c r="I93" s="25" t="s">
        <v>308</v>
      </c>
      <c r="J93" s="25" t="s">
        <v>308</v>
      </c>
      <c r="K93" s="8"/>
      <c r="L93" s="10"/>
      <c r="M93" s="8"/>
      <c r="N93" s="8" t="s">
        <v>747</v>
      </c>
      <c r="O93" s="26">
        <v>0</v>
      </c>
      <c r="P93" s="25" t="s">
        <v>308</v>
      </c>
      <c r="Q93" s="25" t="s">
        <v>308</v>
      </c>
      <c r="R93" s="25" t="s">
        <v>308</v>
      </c>
      <c r="S93" s="8"/>
      <c r="T93" s="10"/>
      <c r="U93" s="8"/>
      <c r="V93" s="8"/>
      <c r="W93" s="8" t="s">
        <v>586</v>
      </c>
      <c r="X93" s="8">
        <f>SUMIF(Main!G11:O11,'S7'!Y1,Main!G22:O22)</f>
        <v>1</v>
      </c>
      <c r="Y93" s="8"/>
      <c r="Z93" s="8"/>
    </row>
    <row r="94" spans="1:26" x14ac:dyDescent="0.55000000000000004">
      <c r="A94" s="8" t="s">
        <v>751</v>
      </c>
      <c r="B94" s="25" t="s">
        <v>308</v>
      </c>
      <c r="C94" s="25" t="s">
        <v>308</v>
      </c>
      <c r="D94" s="25" t="s">
        <v>308</v>
      </c>
      <c r="E94" s="25" t="s">
        <v>308</v>
      </c>
      <c r="F94" s="25" t="s">
        <v>308</v>
      </c>
      <c r="G94" s="25" t="s">
        <v>308</v>
      </c>
      <c r="H94" s="25" t="s">
        <v>308</v>
      </c>
      <c r="I94" s="25" t="s">
        <v>308</v>
      </c>
      <c r="J94" s="25" t="s">
        <v>308</v>
      </c>
      <c r="K94" s="8"/>
      <c r="L94" s="10"/>
      <c r="M94" s="8"/>
      <c r="N94" s="8" t="s">
        <v>750</v>
      </c>
      <c r="O94" s="26">
        <v>0</v>
      </c>
      <c r="P94" s="25" t="s">
        <v>308</v>
      </c>
      <c r="Q94" s="25" t="s">
        <v>308</v>
      </c>
      <c r="R94" s="25" t="s">
        <v>308</v>
      </c>
      <c r="S94" s="8"/>
      <c r="T94" s="10"/>
      <c r="U94" s="8"/>
      <c r="V94" s="8"/>
      <c r="W94" s="8" t="s">
        <v>590</v>
      </c>
      <c r="X94" s="8">
        <f>SUMIF(Main!G11:O11,'S7'!Y1,Main!G23:O23)</f>
        <v>1</v>
      </c>
      <c r="Y94" s="8"/>
      <c r="Z94" s="8"/>
    </row>
    <row r="95" spans="1:26" x14ac:dyDescent="0.55000000000000004">
      <c r="A95" s="8" t="s">
        <v>754</v>
      </c>
      <c r="B95" s="25" t="s">
        <v>308</v>
      </c>
      <c r="C95" s="25" t="s">
        <v>308</v>
      </c>
      <c r="D95" s="25" t="s">
        <v>308</v>
      </c>
      <c r="E95" s="25" t="s">
        <v>308</v>
      </c>
      <c r="F95" s="25" t="s">
        <v>308</v>
      </c>
      <c r="G95" s="25" t="s">
        <v>308</v>
      </c>
      <c r="H95" s="25" t="s">
        <v>308</v>
      </c>
      <c r="I95" s="25" t="s">
        <v>308</v>
      </c>
      <c r="J95" s="25" t="s">
        <v>308</v>
      </c>
      <c r="K95" s="8"/>
      <c r="L95" s="10"/>
      <c r="M95" s="8"/>
      <c r="N95" s="8" t="s">
        <v>753</v>
      </c>
      <c r="O95" s="26">
        <v>0</v>
      </c>
      <c r="P95" s="25" t="s">
        <v>308</v>
      </c>
      <c r="Q95" s="25" t="s">
        <v>308</v>
      </c>
      <c r="R95" s="25" t="s">
        <v>308</v>
      </c>
      <c r="S95" s="8"/>
      <c r="T95" s="10"/>
      <c r="U95" s="8"/>
      <c r="V95" s="8" t="s">
        <v>251</v>
      </c>
      <c r="W95" s="8" t="s">
        <v>72</v>
      </c>
      <c r="X95" s="8">
        <f>SUMIF(Main!G11:O11,'S7'!Y1,Main!G24:O24)</f>
        <v>1</v>
      </c>
      <c r="Y95" s="8"/>
      <c r="Z95" s="8"/>
    </row>
    <row r="96" spans="1:26" x14ac:dyDescent="0.55000000000000004">
      <c r="A96" s="8" t="s">
        <v>207</v>
      </c>
      <c r="B96" s="25" t="s">
        <v>308</v>
      </c>
      <c r="C96" s="25" t="s">
        <v>308</v>
      </c>
      <c r="D96" s="25" t="s">
        <v>308</v>
      </c>
      <c r="E96" s="25" t="s">
        <v>308</v>
      </c>
      <c r="F96" s="25" t="s">
        <v>308</v>
      </c>
      <c r="G96" s="25" t="s">
        <v>308</v>
      </c>
      <c r="H96" s="25" t="s">
        <v>308</v>
      </c>
      <c r="I96" s="25" t="s">
        <v>308</v>
      </c>
      <c r="J96" s="25" t="s">
        <v>308</v>
      </c>
      <c r="K96" s="8"/>
      <c r="L96" s="10"/>
      <c r="M96" s="8"/>
      <c r="N96" s="8" t="s">
        <v>206</v>
      </c>
      <c r="O96" s="26">
        <v>0</v>
      </c>
      <c r="P96" s="25" t="s">
        <v>308</v>
      </c>
      <c r="Q96" s="25" t="s">
        <v>308</v>
      </c>
      <c r="R96" s="25" t="s">
        <v>308</v>
      </c>
      <c r="S96" s="8"/>
      <c r="T96" s="10"/>
      <c r="U96" s="8"/>
      <c r="V96" s="8" t="s">
        <v>250</v>
      </c>
      <c r="W96" s="8" t="s">
        <v>79</v>
      </c>
      <c r="X96" s="8">
        <f>SUMIF(Main!G11:O11,'S7'!Y1,Main!G25:O25)</f>
        <v>2</v>
      </c>
      <c r="Y96" s="8"/>
      <c r="Z96" s="8"/>
    </row>
    <row r="97" spans="1:26" x14ac:dyDescent="0.55000000000000004">
      <c r="A97" s="8" t="s">
        <v>758</v>
      </c>
      <c r="B97" s="25" t="s">
        <v>308</v>
      </c>
      <c r="C97" s="25" t="s">
        <v>308</v>
      </c>
      <c r="D97" s="25" t="s">
        <v>308</v>
      </c>
      <c r="E97" s="25" t="s">
        <v>308</v>
      </c>
      <c r="F97" s="25" t="s">
        <v>308</v>
      </c>
      <c r="G97" s="25" t="s">
        <v>308</v>
      </c>
      <c r="H97" s="25" t="s">
        <v>308</v>
      </c>
      <c r="I97" s="25" t="s">
        <v>308</v>
      </c>
      <c r="J97" s="25" t="s">
        <v>308</v>
      </c>
      <c r="K97" s="8"/>
      <c r="L97" s="10"/>
      <c r="M97" s="8"/>
      <c r="N97" s="8" t="s">
        <v>757</v>
      </c>
      <c r="O97" s="26">
        <v>0</v>
      </c>
      <c r="P97" s="25" t="s">
        <v>308</v>
      </c>
      <c r="Q97" s="25" t="s">
        <v>308</v>
      </c>
      <c r="R97" s="25" t="s">
        <v>308</v>
      </c>
      <c r="S97" s="8"/>
      <c r="T97" s="10"/>
      <c r="U97" s="8"/>
      <c r="V97" s="8"/>
      <c r="W97" s="8" t="s">
        <v>87</v>
      </c>
      <c r="X97" s="8">
        <f>SUMIF(Main!G11:O11,'S7'!Y1,Main!G26:O26)</f>
        <v>2</v>
      </c>
      <c r="Y97" s="8"/>
      <c r="Z97" s="8"/>
    </row>
    <row r="98" spans="1:26" x14ac:dyDescent="0.55000000000000004">
      <c r="A98" s="8" t="s">
        <v>761</v>
      </c>
      <c r="B98" s="25" t="s">
        <v>308</v>
      </c>
      <c r="C98" s="25" t="s">
        <v>308</v>
      </c>
      <c r="D98" s="25" t="s">
        <v>308</v>
      </c>
      <c r="E98" s="25" t="s">
        <v>308</v>
      </c>
      <c r="F98" s="25" t="s">
        <v>308</v>
      </c>
      <c r="G98" s="25" t="s">
        <v>308</v>
      </c>
      <c r="H98" s="25" t="s">
        <v>308</v>
      </c>
      <c r="I98" s="25" t="s">
        <v>308</v>
      </c>
      <c r="J98" s="25" t="s">
        <v>308</v>
      </c>
      <c r="K98" s="8"/>
      <c r="L98" s="10"/>
      <c r="M98" s="8"/>
      <c r="N98" s="8" t="s">
        <v>760</v>
      </c>
      <c r="O98" s="26">
        <v>0</v>
      </c>
      <c r="P98" s="25" t="s">
        <v>308</v>
      </c>
      <c r="Q98" s="25" t="s">
        <v>308</v>
      </c>
      <c r="R98" s="25" t="s">
        <v>308</v>
      </c>
      <c r="S98" s="8"/>
      <c r="T98" s="10"/>
      <c r="U98" s="8"/>
      <c r="V98" s="8"/>
      <c r="W98" s="8" t="s">
        <v>95</v>
      </c>
      <c r="X98" s="8">
        <f>SUMIF(Main!G11:O11,'S7'!Y1,Main!G27:O27)</f>
        <v>2</v>
      </c>
      <c r="Y98" s="8"/>
      <c r="Z98" s="8"/>
    </row>
    <row r="99" spans="1:26" x14ac:dyDescent="0.55000000000000004">
      <c r="A99" s="8" t="s">
        <v>764</v>
      </c>
      <c r="B99" s="25" t="s">
        <v>308</v>
      </c>
      <c r="C99" s="25" t="s">
        <v>308</v>
      </c>
      <c r="D99" s="25" t="s">
        <v>308</v>
      </c>
      <c r="E99" s="25" t="s">
        <v>308</v>
      </c>
      <c r="F99" s="25" t="s">
        <v>308</v>
      </c>
      <c r="G99" s="25" t="s">
        <v>308</v>
      </c>
      <c r="H99" s="25" t="s">
        <v>308</v>
      </c>
      <c r="I99" s="25" t="s">
        <v>308</v>
      </c>
      <c r="J99" s="25" t="s">
        <v>308</v>
      </c>
      <c r="K99" s="8"/>
      <c r="L99" s="10"/>
      <c r="M99" s="8"/>
      <c r="N99" s="8" t="s">
        <v>763</v>
      </c>
      <c r="O99" s="26">
        <v>0</v>
      </c>
      <c r="P99" s="25" t="s">
        <v>308</v>
      </c>
      <c r="Q99" s="25" t="s">
        <v>308</v>
      </c>
      <c r="R99" s="25" t="s">
        <v>308</v>
      </c>
      <c r="S99" s="8"/>
      <c r="T99" s="10"/>
      <c r="U99" s="8"/>
      <c r="V99" s="8"/>
      <c r="W99" s="8" t="s">
        <v>101</v>
      </c>
      <c r="X99" s="8">
        <f>SUMIF(Main!G11:O11,'S7'!Y1,Main!G28:O28)</f>
        <v>2</v>
      </c>
      <c r="Y99" s="8"/>
      <c r="Z99" s="8"/>
    </row>
    <row r="100" spans="1:26" x14ac:dyDescent="0.55000000000000004">
      <c r="A100" s="8" t="s">
        <v>767</v>
      </c>
      <c r="B100" s="25" t="s">
        <v>308</v>
      </c>
      <c r="C100" s="25" t="s">
        <v>308</v>
      </c>
      <c r="D100" s="25" t="s">
        <v>308</v>
      </c>
      <c r="E100" s="25" t="s">
        <v>308</v>
      </c>
      <c r="F100" s="25" t="s">
        <v>308</v>
      </c>
      <c r="G100" s="25" t="s">
        <v>308</v>
      </c>
      <c r="H100" s="25" t="s">
        <v>308</v>
      </c>
      <c r="I100" s="25" t="s">
        <v>308</v>
      </c>
      <c r="J100" s="25" t="s">
        <v>308</v>
      </c>
      <c r="K100" s="8"/>
      <c r="L100" s="10"/>
      <c r="M100" s="8"/>
      <c r="N100" s="8" t="s">
        <v>766</v>
      </c>
      <c r="O100" s="26">
        <v>0</v>
      </c>
      <c r="P100" s="25" t="s">
        <v>308</v>
      </c>
      <c r="Q100" s="25" t="s">
        <v>308</v>
      </c>
      <c r="R100" s="25" t="s">
        <v>308</v>
      </c>
      <c r="S100" s="8"/>
      <c r="T100" s="10"/>
      <c r="U100" s="8"/>
      <c r="V100" s="8"/>
      <c r="W100" s="8"/>
      <c r="X100" s="8"/>
      <c r="Y100" s="8"/>
      <c r="Z100" s="8"/>
    </row>
    <row r="101" spans="1:26" x14ac:dyDescent="0.55000000000000004">
      <c r="A101" s="8" t="s">
        <v>770</v>
      </c>
      <c r="B101" s="25" t="s">
        <v>308</v>
      </c>
      <c r="C101" s="25" t="s">
        <v>308</v>
      </c>
      <c r="D101" s="25" t="s">
        <v>308</v>
      </c>
      <c r="E101" s="25" t="s">
        <v>308</v>
      </c>
      <c r="F101" s="25" t="s">
        <v>308</v>
      </c>
      <c r="G101" s="25" t="s">
        <v>308</v>
      </c>
      <c r="H101" s="25" t="s">
        <v>308</v>
      </c>
      <c r="I101" s="25" t="s">
        <v>308</v>
      </c>
      <c r="J101" s="25" t="s">
        <v>308</v>
      </c>
      <c r="K101" s="8"/>
      <c r="L101" s="10"/>
      <c r="M101" s="8"/>
      <c r="N101" s="8" t="s">
        <v>769</v>
      </c>
      <c r="O101" s="26">
        <v>0</v>
      </c>
      <c r="P101" s="25" t="s">
        <v>308</v>
      </c>
      <c r="Q101" s="25" t="s">
        <v>308</v>
      </c>
      <c r="R101" s="25" t="s">
        <v>308</v>
      </c>
      <c r="S101" s="8"/>
      <c r="T101" s="10"/>
      <c r="U101" s="8"/>
      <c r="V101" s="8"/>
      <c r="W101" s="8"/>
      <c r="X101" s="8"/>
      <c r="Y101" s="8"/>
      <c r="Z101" s="8"/>
    </row>
    <row r="102" spans="1:26" x14ac:dyDescent="0.55000000000000004">
      <c r="A102" s="8" t="s">
        <v>211</v>
      </c>
      <c r="B102" s="25" t="s">
        <v>308</v>
      </c>
      <c r="C102" s="25" t="s">
        <v>308</v>
      </c>
      <c r="D102" s="25" t="s">
        <v>308</v>
      </c>
      <c r="E102" s="25" t="s">
        <v>308</v>
      </c>
      <c r="F102" s="25" t="s">
        <v>308</v>
      </c>
      <c r="G102" s="25" t="s">
        <v>308</v>
      </c>
      <c r="H102" s="25" t="s">
        <v>308</v>
      </c>
      <c r="I102" s="25" t="s">
        <v>308</v>
      </c>
      <c r="J102" s="25" t="s">
        <v>308</v>
      </c>
      <c r="K102" s="8"/>
      <c r="L102" s="10"/>
      <c r="M102" s="8"/>
      <c r="N102" s="8" t="s">
        <v>210</v>
      </c>
      <c r="O102" s="26">
        <v>0</v>
      </c>
      <c r="P102" s="25" t="s">
        <v>308</v>
      </c>
      <c r="Q102" s="25" t="s">
        <v>308</v>
      </c>
      <c r="R102" s="25" t="s">
        <v>308</v>
      </c>
      <c r="S102" s="8"/>
      <c r="T102" s="10"/>
      <c r="U102" s="8"/>
      <c r="V102" s="8"/>
      <c r="W102" s="8"/>
      <c r="X102" s="8"/>
      <c r="Y102" s="8"/>
      <c r="Z102" s="8"/>
    </row>
    <row r="103" spans="1:26" x14ac:dyDescent="0.55000000000000004">
      <c r="A103" s="8" t="s">
        <v>214</v>
      </c>
      <c r="B103" s="25" t="s">
        <v>308</v>
      </c>
      <c r="C103" s="25" t="s">
        <v>308</v>
      </c>
      <c r="D103" s="25" t="s">
        <v>308</v>
      </c>
      <c r="E103" s="25" t="s">
        <v>308</v>
      </c>
      <c r="F103" s="25" t="s">
        <v>308</v>
      </c>
      <c r="G103" s="25" t="s">
        <v>308</v>
      </c>
      <c r="H103" s="25" t="s">
        <v>308</v>
      </c>
      <c r="I103" s="25" t="s">
        <v>308</v>
      </c>
      <c r="J103" s="25" t="s">
        <v>308</v>
      </c>
      <c r="K103" s="8"/>
      <c r="L103" s="10"/>
      <c r="M103" s="8"/>
      <c r="N103" s="8" t="s">
        <v>213</v>
      </c>
      <c r="O103" s="26">
        <v>0</v>
      </c>
      <c r="P103" s="25" t="s">
        <v>308</v>
      </c>
      <c r="Q103" s="25" t="s">
        <v>308</v>
      </c>
      <c r="R103" s="25" t="s">
        <v>308</v>
      </c>
      <c r="S103" s="8"/>
      <c r="T103" s="10"/>
      <c r="U103" s="8"/>
      <c r="V103" s="8"/>
      <c r="W103" s="8"/>
      <c r="X103" s="8"/>
      <c r="Y103" s="8"/>
      <c r="Z103" s="8"/>
    </row>
    <row r="104" spans="1:26" x14ac:dyDescent="0.55000000000000004">
      <c r="A104" s="8" t="s">
        <v>217</v>
      </c>
      <c r="B104" s="25" t="s">
        <v>308</v>
      </c>
      <c r="C104" s="25" t="s">
        <v>308</v>
      </c>
      <c r="D104" s="25" t="s">
        <v>308</v>
      </c>
      <c r="E104" s="25" t="s">
        <v>308</v>
      </c>
      <c r="F104" s="25" t="s">
        <v>308</v>
      </c>
      <c r="G104" s="25" t="s">
        <v>308</v>
      </c>
      <c r="H104" s="25" t="s">
        <v>308</v>
      </c>
      <c r="I104" s="25" t="s">
        <v>308</v>
      </c>
      <c r="J104" s="25" t="s">
        <v>308</v>
      </c>
      <c r="K104" s="8"/>
      <c r="L104" s="10"/>
      <c r="M104" s="8"/>
      <c r="N104" s="8" t="s">
        <v>216</v>
      </c>
      <c r="O104" s="26">
        <v>0</v>
      </c>
      <c r="P104" s="25" t="s">
        <v>308</v>
      </c>
      <c r="Q104" s="25" t="s">
        <v>308</v>
      </c>
      <c r="R104" s="25" t="s">
        <v>308</v>
      </c>
      <c r="S104" s="8"/>
      <c r="T104" s="10"/>
      <c r="U104" s="8"/>
      <c r="V104" s="8"/>
      <c r="W104" s="8"/>
      <c r="X104" s="8"/>
      <c r="Y104" s="8"/>
      <c r="Z104" s="8"/>
    </row>
    <row r="105" spans="1:26" x14ac:dyDescent="0.55000000000000004">
      <c r="A105" s="8" t="s">
        <v>776</v>
      </c>
      <c r="B105" s="25" t="s">
        <v>308</v>
      </c>
      <c r="C105" s="25" t="s">
        <v>308</v>
      </c>
      <c r="D105" s="25" t="s">
        <v>308</v>
      </c>
      <c r="E105" s="25" t="s">
        <v>308</v>
      </c>
      <c r="F105" s="25" t="s">
        <v>308</v>
      </c>
      <c r="G105" s="25" t="s">
        <v>308</v>
      </c>
      <c r="H105" s="25" t="s">
        <v>308</v>
      </c>
      <c r="I105" s="25" t="s">
        <v>308</v>
      </c>
      <c r="J105" s="25" t="s">
        <v>308</v>
      </c>
      <c r="K105" s="8"/>
      <c r="L105" s="10"/>
      <c r="M105" s="8"/>
      <c r="N105" s="8" t="s">
        <v>775</v>
      </c>
      <c r="O105" s="26">
        <v>0</v>
      </c>
      <c r="P105" s="25" t="s">
        <v>308</v>
      </c>
      <c r="Q105" s="25" t="s">
        <v>308</v>
      </c>
      <c r="R105" s="25" t="s">
        <v>308</v>
      </c>
      <c r="S105" s="8"/>
      <c r="T105" s="10"/>
      <c r="U105" s="8"/>
      <c r="V105" s="8"/>
      <c r="W105" s="8"/>
      <c r="X105" s="8"/>
      <c r="Y105" s="8"/>
      <c r="Z105" s="8"/>
    </row>
    <row r="106" spans="1:26" x14ac:dyDescent="0.55000000000000004">
      <c r="A106" s="8" t="s">
        <v>779</v>
      </c>
      <c r="B106" s="25" t="s">
        <v>308</v>
      </c>
      <c r="C106" s="25" t="s">
        <v>308</v>
      </c>
      <c r="D106" s="25" t="s">
        <v>308</v>
      </c>
      <c r="E106" s="25" t="s">
        <v>308</v>
      </c>
      <c r="F106" s="25" t="s">
        <v>308</v>
      </c>
      <c r="G106" s="25" t="s">
        <v>308</v>
      </c>
      <c r="H106" s="25" t="s">
        <v>308</v>
      </c>
      <c r="I106" s="25" t="s">
        <v>308</v>
      </c>
      <c r="J106" s="25" t="s">
        <v>308</v>
      </c>
      <c r="K106" s="8"/>
      <c r="L106" s="10"/>
      <c r="M106" s="8"/>
      <c r="N106" s="8" t="s">
        <v>778</v>
      </c>
      <c r="O106" s="26">
        <v>0</v>
      </c>
      <c r="P106" s="25" t="s">
        <v>308</v>
      </c>
      <c r="Q106" s="25" t="s">
        <v>308</v>
      </c>
      <c r="R106" s="25" t="s">
        <v>308</v>
      </c>
      <c r="S106" s="8"/>
      <c r="T106" s="10"/>
      <c r="U106" s="8"/>
      <c r="V106" s="8"/>
      <c r="W106" s="8"/>
      <c r="X106" s="8"/>
      <c r="Y106" s="8"/>
      <c r="Z106" s="8"/>
    </row>
    <row r="107" spans="1:26" x14ac:dyDescent="0.55000000000000004">
      <c r="A107" s="8" t="s">
        <v>782</v>
      </c>
      <c r="B107" s="25" t="s">
        <v>308</v>
      </c>
      <c r="C107" s="25" t="s">
        <v>308</v>
      </c>
      <c r="D107" s="25" t="s">
        <v>308</v>
      </c>
      <c r="E107" s="25" t="s">
        <v>308</v>
      </c>
      <c r="F107" s="25" t="s">
        <v>308</v>
      </c>
      <c r="G107" s="25" t="s">
        <v>308</v>
      </c>
      <c r="H107" s="25" t="s">
        <v>308</v>
      </c>
      <c r="I107" s="25" t="s">
        <v>308</v>
      </c>
      <c r="J107" s="25" t="s">
        <v>308</v>
      </c>
      <c r="K107" s="8"/>
      <c r="L107" s="10"/>
      <c r="M107" s="8"/>
      <c r="N107" s="8" t="s">
        <v>781</v>
      </c>
      <c r="O107" s="26">
        <v>0</v>
      </c>
      <c r="P107" s="25" t="s">
        <v>308</v>
      </c>
      <c r="Q107" s="25" t="s">
        <v>308</v>
      </c>
      <c r="R107" s="25" t="s">
        <v>308</v>
      </c>
      <c r="S107" s="8"/>
      <c r="T107" s="10"/>
      <c r="U107" s="8"/>
      <c r="V107" s="8"/>
      <c r="W107" s="8"/>
      <c r="X107" s="8"/>
      <c r="Y107" s="8"/>
      <c r="Z107" s="8"/>
    </row>
    <row r="108" spans="1:26" x14ac:dyDescent="0.55000000000000004">
      <c r="A108" s="8" t="s">
        <v>220</v>
      </c>
      <c r="B108" s="25" t="s">
        <v>308</v>
      </c>
      <c r="C108" s="25" t="s">
        <v>308</v>
      </c>
      <c r="D108" s="25" t="s">
        <v>308</v>
      </c>
      <c r="E108" s="25" t="s">
        <v>308</v>
      </c>
      <c r="F108" s="25" t="s">
        <v>308</v>
      </c>
      <c r="G108" s="25" t="s">
        <v>308</v>
      </c>
      <c r="H108" s="25" t="s">
        <v>308</v>
      </c>
      <c r="I108" s="25" t="s">
        <v>308</v>
      </c>
      <c r="J108" s="25" t="s">
        <v>308</v>
      </c>
      <c r="K108" s="8"/>
      <c r="L108" s="10"/>
      <c r="M108" s="8"/>
      <c r="N108" s="8" t="s">
        <v>219</v>
      </c>
      <c r="O108" s="26">
        <v>0</v>
      </c>
      <c r="P108" s="25" t="s">
        <v>308</v>
      </c>
      <c r="Q108" s="25" t="s">
        <v>308</v>
      </c>
      <c r="R108" s="25" t="s">
        <v>308</v>
      </c>
      <c r="S108" s="8"/>
      <c r="T108" s="10"/>
      <c r="U108" s="8"/>
      <c r="V108" s="8"/>
      <c r="W108" s="8"/>
      <c r="X108" s="8"/>
      <c r="Y108" s="8"/>
      <c r="Z108" s="8"/>
    </row>
    <row r="109" spans="1:26" x14ac:dyDescent="0.55000000000000004">
      <c r="A109" s="8" t="s">
        <v>786</v>
      </c>
      <c r="B109" s="25" t="s">
        <v>308</v>
      </c>
      <c r="C109" s="25" t="s">
        <v>308</v>
      </c>
      <c r="D109" s="25" t="s">
        <v>308</v>
      </c>
      <c r="E109" s="25" t="s">
        <v>308</v>
      </c>
      <c r="F109" s="25" t="s">
        <v>308</v>
      </c>
      <c r="G109" s="25" t="s">
        <v>308</v>
      </c>
      <c r="H109" s="25" t="s">
        <v>308</v>
      </c>
      <c r="I109" s="25" t="s">
        <v>308</v>
      </c>
      <c r="J109" s="25" t="s">
        <v>308</v>
      </c>
      <c r="K109" s="8"/>
      <c r="L109" s="10"/>
      <c r="M109" s="8"/>
      <c r="N109" s="8" t="s">
        <v>785</v>
      </c>
      <c r="O109" s="26">
        <v>0</v>
      </c>
      <c r="P109" s="25" t="s">
        <v>308</v>
      </c>
      <c r="Q109" s="25" t="s">
        <v>308</v>
      </c>
      <c r="R109" s="25" t="s">
        <v>308</v>
      </c>
      <c r="S109" s="8"/>
      <c r="T109" s="10"/>
      <c r="U109" s="8"/>
      <c r="V109" s="8"/>
      <c r="W109" s="8"/>
      <c r="X109" s="8"/>
      <c r="Y109" s="8"/>
      <c r="Z109" s="8"/>
    </row>
    <row r="110" spans="1:26" x14ac:dyDescent="0.55000000000000004">
      <c r="A110" s="8" t="s">
        <v>789</v>
      </c>
      <c r="B110" s="25" t="s">
        <v>308</v>
      </c>
      <c r="C110" s="25" t="s">
        <v>308</v>
      </c>
      <c r="D110" s="25" t="s">
        <v>308</v>
      </c>
      <c r="E110" s="25" t="s">
        <v>308</v>
      </c>
      <c r="F110" s="25" t="s">
        <v>308</v>
      </c>
      <c r="G110" s="25" t="s">
        <v>308</v>
      </c>
      <c r="H110" s="25" t="s">
        <v>308</v>
      </c>
      <c r="I110" s="25" t="s">
        <v>308</v>
      </c>
      <c r="J110" s="25" t="s">
        <v>308</v>
      </c>
      <c r="K110" s="8"/>
      <c r="L110" s="10"/>
      <c r="M110" s="8"/>
      <c r="N110" s="8" t="s">
        <v>788</v>
      </c>
      <c r="O110" s="26">
        <v>0</v>
      </c>
      <c r="P110" s="25" t="s">
        <v>308</v>
      </c>
      <c r="Q110" s="25" t="s">
        <v>308</v>
      </c>
      <c r="R110" s="25" t="s">
        <v>308</v>
      </c>
      <c r="S110" s="8"/>
      <c r="T110" s="10"/>
      <c r="U110" s="8"/>
      <c r="V110" s="8"/>
      <c r="W110" s="8"/>
      <c r="X110" s="8"/>
      <c r="Y110" s="8"/>
      <c r="Z110" s="8"/>
    </row>
    <row r="111" spans="1:26" x14ac:dyDescent="0.5500000000000000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8"/>
      <c r="P111" s="8"/>
      <c r="Q111" s="8"/>
      <c r="R111" s="8"/>
      <c r="S111" s="8"/>
      <c r="T111" s="10"/>
      <c r="U111" s="8"/>
      <c r="V111" s="8"/>
      <c r="W111" s="8"/>
      <c r="X111" s="8"/>
      <c r="Y111" s="8"/>
      <c r="Z111" s="8"/>
    </row>
  </sheetData>
  <sheetProtection sheet="1" objects="1" scenarios="1"/>
  <mergeCells count="4">
    <mergeCell ref="B4:C4"/>
    <mergeCell ref="D4:F4"/>
    <mergeCell ref="G4:I4"/>
    <mergeCell ref="Q4:R4"/>
  </mergeCells>
  <conditionalFormatting sqref="O7:O110">
    <cfRule type="cellIs" dxfId="14" priority="4" operator="equal">
      <formula>0</formula>
    </cfRule>
  </conditionalFormatting>
  <conditionalFormatting sqref="P7:R110">
    <cfRule type="cellIs" dxfId="13" priority="3" operator="equal">
      <formula>"eps"</formula>
    </cfRule>
  </conditionalFormatting>
  <conditionalFormatting sqref="W7:Y23 B7:J110">
    <cfRule type="cellIs" dxfId="12" priority="5" operator="equal">
      <formula>"eps"</formula>
    </cfRule>
  </conditionalFormatting>
  <conditionalFormatting sqref="X28:Y42">
    <cfRule type="cellIs" dxfId="11" priority="1" operator="equal">
      <formula>"eps"</formula>
    </cfRule>
  </conditionalFormatting>
  <conditionalFormatting sqref="Y46:Y54">
    <cfRule type="cellIs" dxfId="10" priority="2" operator="equal">
      <formula>"eps"</formula>
    </cfRule>
  </conditionalFormatting>
  <dataValidations count="1">
    <dataValidation type="whole" allowBlank="1" showInputMessage="1" showErrorMessage="1" errorTitle="Incorrect choice" error="Choose 0 or 1" sqref="X59:Y74 O7:O110" xr:uid="{00000000-0002-0000-0800-000000000000}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499984740745262"/>
  </sheetPr>
  <dimension ref="A1:Z111"/>
  <sheetViews>
    <sheetView zoomScale="75" zoomScaleNormal="7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0" defaultRowHeight="14.4" zeroHeight="1" x14ac:dyDescent="0.55000000000000004"/>
  <cols>
    <col min="1" max="9" width="8.7890625" customWidth="1"/>
    <col min="10" max="10" width="8.7890625" hidden="1" customWidth="1"/>
    <col min="11" max="13" width="1" customWidth="1"/>
    <col min="14" max="18" width="8.7890625" customWidth="1"/>
    <col min="19" max="21" width="1" customWidth="1"/>
    <col min="22" max="25" width="8.7890625" customWidth="1"/>
    <col min="26" max="26" width="3.15625" customWidth="1"/>
    <col min="27" max="16384" width="8.7890625" hidden="1"/>
  </cols>
  <sheetData>
    <row r="1" spans="1:26" ht="18.3" x14ac:dyDescent="0.7">
      <c r="A1" s="6" t="str">
        <f>"Simulation "&amp;Y1&amp;IF(X1&lt;&gt;""," : "&amp;X1,"")</f>
        <v>Simulation sim8 : 50%_incr_cchem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7" t="str">
        <f>IF(Main!C6&lt;&gt;"",Main!C6,"")</f>
        <v>50%_incr_cchem</v>
      </c>
      <c r="Y1" s="17" t="str">
        <f>Main!A13</f>
        <v>sim8</v>
      </c>
      <c r="Z1" s="7"/>
    </row>
    <row r="2" spans="1:26" x14ac:dyDescent="0.5500000000000000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55000000000000004">
      <c r="A3" s="11" t="s">
        <v>271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 t="s">
        <v>272</v>
      </c>
      <c r="O3" s="11"/>
      <c r="P3" s="11"/>
      <c r="Q3" s="11"/>
      <c r="R3" s="11"/>
      <c r="S3" s="11"/>
      <c r="T3" s="11"/>
      <c r="U3" s="11"/>
      <c r="V3" s="11" t="s">
        <v>273</v>
      </c>
      <c r="W3" s="11"/>
      <c r="X3" s="11"/>
      <c r="Y3" s="11"/>
      <c r="Z3" s="11"/>
    </row>
    <row r="4" spans="1:26" x14ac:dyDescent="0.55000000000000004">
      <c r="A4" s="13"/>
      <c r="B4" s="31" t="s">
        <v>274</v>
      </c>
      <c r="C4" s="31"/>
      <c r="D4" s="31" t="s">
        <v>275</v>
      </c>
      <c r="E4" s="31"/>
      <c r="F4" s="31"/>
      <c r="G4" s="31" t="s">
        <v>17</v>
      </c>
      <c r="H4" s="31"/>
      <c r="I4" s="31"/>
      <c r="J4" s="15" t="s">
        <v>276</v>
      </c>
      <c r="K4" s="13"/>
      <c r="L4" s="10"/>
      <c r="M4" s="13"/>
      <c r="N4" s="13"/>
      <c r="O4" s="15" t="s">
        <v>277</v>
      </c>
      <c r="P4" s="15" t="s">
        <v>278</v>
      </c>
      <c r="Q4" s="31" t="s">
        <v>279</v>
      </c>
      <c r="R4" s="31"/>
      <c r="S4" s="13"/>
      <c r="T4" s="10"/>
      <c r="U4" s="13"/>
      <c r="V4" s="13"/>
      <c r="W4" s="15" t="s">
        <v>280</v>
      </c>
      <c r="X4" s="15" t="s">
        <v>281</v>
      </c>
      <c r="Y4" s="15" t="s">
        <v>280</v>
      </c>
      <c r="Z4" s="13"/>
    </row>
    <row r="5" spans="1:26" x14ac:dyDescent="0.55000000000000004">
      <c r="A5" s="13"/>
      <c r="B5" s="16" t="s">
        <v>282</v>
      </c>
      <c r="C5" s="16" t="s">
        <v>283</v>
      </c>
      <c r="D5" s="16" t="s">
        <v>282</v>
      </c>
      <c r="E5" s="16" t="s">
        <v>283</v>
      </c>
      <c r="F5" s="16" t="s">
        <v>284</v>
      </c>
      <c r="G5" s="16" t="s">
        <v>282</v>
      </c>
      <c r="H5" s="16" t="s">
        <v>283</v>
      </c>
      <c r="I5" s="16" t="s">
        <v>285</v>
      </c>
      <c r="J5" s="15" t="s">
        <v>286</v>
      </c>
      <c r="K5" s="13"/>
      <c r="L5" s="10"/>
      <c r="M5" s="13"/>
      <c r="N5" s="13"/>
      <c r="O5" s="16" t="s">
        <v>287</v>
      </c>
      <c r="P5" s="16"/>
      <c r="Q5" s="16" t="s">
        <v>288</v>
      </c>
      <c r="R5" s="16" t="s">
        <v>332</v>
      </c>
      <c r="S5" s="13"/>
      <c r="T5" s="10"/>
      <c r="U5" s="13"/>
      <c r="V5" s="13"/>
      <c r="W5" s="15" t="s">
        <v>289</v>
      </c>
      <c r="X5" s="15" t="s">
        <v>290</v>
      </c>
      <c r="Y5" s="15" t="s">
        <v>291</v>
      </c>
      <c r="Z5" s="13"/>
    </row>
    <row r="6" spans="1:26" x14ac:dyDescent="0.55000000000000004">
      <c r="A6" s="13"/>
      <c r="B6" s="16" t="s">
        <v>292</v>
      </c>
      <c r="C6" s="16" t="s">
        <v>293</v>
      </c>
      <c r="D6" s="16" t="s">
        <v>294</v>
      </c>
      <c r="E6" s="16" t="s">
        <v>295</v>
      </c>
      <c r="F6" s="16" t="s">
        <v>296</v>
      </c>
      <c r="G6" s="16" t="s">
        <v>297</v>
      </c>
      <c r="H6" s="16" t="s">
        <v>298</v>
      </c>
      <c r="I6" s="16" t="s">
        <v>299</v>
      </c>
      <c r="J6" s="16" t="s">
        <v>300</v>
      </c>
      <c r="K6" s="13"/>
      <c r="L6" s="10"/>
      <c r="M6" s="13"/>
      <c r="N6" s="13"/>
      <c r="O6" s="16" t="s">
        <v>301</v>
      </c>
      <c r="P6" s="16" t="s">
        <v>302</v>
      </c>
      <c r="Q6" s="16" t="s">
        <v>303</v>
      </c>
      <c r="R6" s="16" t="s">
        <v>304</v>
      </c>
      <c r="S6" s="13"/>
      <c r="T6" s="10"/>
      <c r="U6" s="13"/>
      <c r="V6" s="13"/>
      <c r="W6" s="16" t="s">
        <v>305</v>
      </c>
      <c r="X6" s="16" t="s">
        <v>306</v>
      </c>
      <c r="Y6" s="16" t="s">
        <v>307</v>
      </c>
      <c r="Z6" s="13"/>
    </row>
    <row r="7" spans="1:26" x14ac:dyDescent="0.55000000000000004">
      <c r="A7" s="8" t="s">
        <v>19</v>
      </c>
      <c r="B7" s="25" t="s">
        <v>308</v>
      </c>
      <c r="C7" s="25" t="s">
        <v>308</v>
      </c>
      <c r="D7" s="25" t="s">
        <v>308</v>
      </c>
      <c r="E7" s="25" t="s">
        <v>308</v>
      </c>
      <c r="F7" s="25" t="s">
        <v>308</v>
      </c>
      <c r="G7" s="25" t="s">
        <v>308</v>
      </c>
      <c r="H7" s="25" t="s">
        <v>308</v>
      </c>
      <c r="I7" s="25" t="s">
        <v>308</v>
      </c>
      <c r="J7" s="25" t="s">
        <v>308</v>
      </c>
      <c r="K7" s="8"/>
      <c r="L7" s="10"/>
      <c r="M7" s="8"/>
      <c r="N7" s="8" t="s">
        <v>18</v>
      </c>
      <c r="O7" s="26">
        <v>0</v>
      </c>
      <c r="P7" s="25" t="s">
        <v>308</v>
      </c>
      <c r="Q7" s="25" t="s">
        <v>308</v>
      </c>
      <c r="R7" s="25" t="s">
        <v>308</v>
      </c>
      <c r="S7" s="8"/>
      <c r="T7" s="10"/>
      <c r="U7" s="8"/>
      <c r="V7" s="8" t="s">
        <v>12</v>
      </c>
      <c r="W7" s="25" t="s">
        <v>308</v>
      </c>
      <c r="X7" s="25" t="s">
        <v>308</v>
      </c>
      <c r="Y7" s="25" t="s">
        <v>308</v>
      </c>
      <c r="Z7" s="8"/>
    </row>
    <row r="8" spans="1:26" x14ac:dyDescent="0.55000000000000004">
      <c r="A8" s="8" t="s">
        <v>10</v>
      </c>
      <c r="B8" s="25" t="s">
        <v>308</v>
      </c>
      <c r="C8" s="25" t="s">
        <v>308</v>
      </c>
      <c r="D8" s="25" t="s">
        <v>308</v>
      </c>
      <c r="E8" s="25" t="s">
        <v>308</v>
      </c>
      <c r="F8" s="25" t="s">
        <v>308</v>
      </c>
      <c r="G8" s="25" t="s">
        <v>308</v>
      </c>
      <c r="H8" s="25" t="s">
        <v>308</v>
      </c>
      <c r="I8" s="25" t="s">
        <v>308</v>
      </c>
      <c r="J8" s="25" t="s">
        <v>308</v>
      </c>
      <c r="K8" s="8"/>
      <c r="L8" s="10"/>
      <c r="M8" s="8"/>
      <c r="N8" s="8" t="s">
        <v>9</v>
      </c>
      <c r="O8" s="26">
        <v>0</v>
      </c>
      <c r="P8" s="25" t="s">
        <v>308</v>
      </c>
      <c r="Q8" s="25" t="s">
        <v>308</v>
      </c>
      <c r="R8" s="25" t="s">
        <v>308</v>
      </c>
      <c r="S8" s="8"/>
      <c r="T8" s="10"/>
      <c r="U8" s="8"/>
      <c r="V8" s="8" t="s">
        <v>20</v>
      </c>
      <c r="W8" s="25" t="s">
        <v>308</v>
      </c>
      <c r="X8" s="25" t="s">
        <v>308</v>
      </c>
      <c r="Y8" s="25" t="s">
        <v>308</v>
      </c>
      <c r="Z8" s="8"/>
    </row>
    <row r="9" spans="1:26" x14ac:dyDescent="0.55000000000000004">
      <c r="A9" s="8" t="s">
        <v>35</v>
      </c>
      <c r="B9" s="25" t="s">
        <v>308</v>
      </c>
      <c r="C9" s="25" t="s">
        <v>308</v>
      </c>
      <c r="D9" s="25" t="s">
        <v>308</v>
      </c>
      <c r="E9" s="25" t="s">
        <v>308</v>
      </c>
      <c r="F9" s="25" t="s">
        <v>308</v>
      </c>
      <c r="G9" s="25" t="s">
        <v>308</v>
      </c>
      <c r="H9" s="25" t="s">
        <v>308</v>
      </c>
      <c r="I9" s="25" t="s">
        <v>308</v>
      </c>
      <c r="J9" s="25" t="s">
        <v>308</v>
      </c>
      <c r="K9" s="8"/>
      <c r="L9" s="10"/>
      <c r="M9" s="8"/>
      <c r="N9" s="8" t="s">
        <v>34</v>
      </c>
      <c r="O9" s="26">
        <v>0</v>
      </c>
      <c r="P9" s="25" t="s">
        <v>308</v>
      </c>
      <c r="Q9" s="25" t="s">
        <v>308</v>
      </c>
      <c r="R9" s="25" t="s">
        <v>308</v>
      </c>
      <c r="S9" s="8"/>
      <c r="T9" s="10"/>
      <c r="U9" s="8"/>
      <c r="V9" s="8" t="s">
        <v>28</v>
      </c>
      <c r="W9" s="25" t="s">
        <v>308</v>
      </c>
      <c r="X9" s="25" t="s">
        <v>308</v>
      </c>
      <c r="Y9" s="25" t="s">
        <v>308</v>
      </c>
      <c r="Z9" s="8"/>
    </row>
    <row r="10" spans="1:26" x14ac:dyDescent="0.55000000000000004">
      <c r="A10" s="8" t="s">
        <v>27</v>
      </c>
      <c r="B10" s="25" t="s">
        <v>308</v>
      </c>
      <c r="C10" s="25" t="s">
        <v>308</v>
      </c>
      <c r="D10" s="25" t="s">
        <v>308</v>
      </c>
      <c r="E10" s="25" t="s">
        <v>308</v>
      </c>
      <c r="F10" s="25" t="s">
        <v>308</v>
      </c>
      <c r="G10" s="25" t="s">
        <v>308</v>
      </c>
      <c r="H10" s="25" t="s">
        <v>308</v>
      </c>
      <c r="I10" s="25" t="s">
        <v>308</v>
      </c>
      <c r="J10" s="25" t="s">
        <v>308</v>
      </c>
      <c r="K10" s="8"/>
      <c r="L10" s="10"/>
      <c r="M10" s="8"/>
      <c r="N10" s="8" t="s">
        <v>26</v>
      </c>
      <c r="O10" s="26">
        <v>0</v>
      </c>
      <c r="P10" s="25" t="s">
        <v>308</v>
      </c>
      <c r="Q10" s="25" t="s">
        <v>308</v>
      </c>
      <c r="R10" s="25" t="s">
        <v>308</v>
      </c>
      <c r="S10" s="8"/>
      <c r="T10" s="10"/>
      <c r="U10" s="8"/>
      <c r="V10" s="8" t="s">
        <v>36</v>
      </c>
      <c r="W10" s="25" t="s">
        <v>308</v>
      </c>
      <c r="X10" s="25" t="s">
        <v>308</v>
      </c>
      <c r="Y10" s="25" t="s">
        <v>308</v>
      </c>
      <c r="Z10" s="8"/>
    </row>
    <row r="11" spans="1:26" x14ac:dyDescent="0.55000000000000004">
      <c r="A11" s="8" t="s">
        <v>42</v>
      </c>
      <c r="B11" s="25" t="s">
        <v>308</v>
      </c>
      <c r="C11" s="25" t="s">
        <v>308</v>
      </c>
      <c r="D11" s="25" t="s">
        <v>308</v>
      </c>
      <c r="E11" s="25" t="s">
        <v>308</v>
      </c>
      <c r="F11" s="25" t="s">
        <v>308</v>
      </c>
      <c r="G11" s="25" t="s">
        <v>308</v>
      </c>
      <c r="H11" s="25" t="s">
        <v>308</v>
      </c>
      <c r="I11" s="25" t="s">
        <v>308</v>
      </c>
      <c r="J11" s="25" t="s">
        <v>308</v>
      </c>
      <c r="K11" s="8"/>
      <c r="L11" s="10"/>
      <c r="M11" s="8"/>
      <c r="N11" s="8" t="s">
        <v>41</v>
      </c>
      <c r="O11" s="26">
        <v>0</v>
      </c>
      <c r="P11" s="25" t="s">
        <v>308</v>
      </c>
      <c r="Q11" s="25" t="s">
        <v>308</v>
      </c>
      <c r="R11" s="25" t="s">
        <v>308</v>
      </c>
      <c r="S11" s="8"/>
      <c r="T11" s="10"/>
      <c r="U11" s="8"/>
      <c r="V11" s="8" t="s">
        <v>44</v>
      </c>
      <c r="W11" s="25" t="s">
        <v>308</v>
      </c>
      <c r="X11" s="25" t="s">
        <v>308</v>
      </c>
      <c r="Y11" s="25" t="s">
        <v>308</v>
      </c>
      <c r="Z11" s="8"/>
    </row>
    <row r="12" spans="1:26" x14ac:dyDescent="0.55000000000000004">
      <c r="A12" s="8" t="s">
        <v>78</v>
      </c>
      <c r="B12" s="25" t="s">
        <v>308</v>
      </c>
      <c r="C12" s="25" t="s">
        <v>308</v>
      </c>
      <c r="D12" s="25" t="s">
        <v>308</v>
      </c>
      <c r="E12" s="25" t="s">
        <v>308</v>
      </c>
      <c r="F12" s="25" t="s">
        <v>308</v>
      </c>
      <c r="G12" s="25" t="s">
        <v>308</v>
      </c>
      <c r="H12" s="25" t="s">
        <v>308</v>
      </c>
      <c r="I12" s="25" t="s">
        <v>308</v>
      </c>
      <c r="J12" s="25" t="s">
        <v>308</v>
      </c>
      <c r="K12" s="8"/>
      <c r="L12" s="10"/>
      <c r="M12" s="8"/>
      <c r="N12" s="8" t="s">
        <v>77</v>
      </c>
      <c r="O12" s="26">
        <v>0</v>
      </c>
      <c r="P12" s="25" t="s">
        <v>308</v>
      </c>
      <c r="Q12" s="25" t="s">
        <v>308</v>
      </c>
      <c r="R12" s="25" t="s">
        <v>308</v>
      </c>
      <c r="S12" s="8"/>
      <c r="T12" s="10"/>
      <c r="U12" s="8"/>
      <c r="V12" s="8" t="s">
        <v>49</v>
      </c>
      <c r="W12" s="25" t="s">
        <v>308</v>
      </c>
      <c r="X12" s="25" t="s">
        <v>308</v>
      </c>
      <c r="Y12" s="25" t="s">
        <v>308</v>
      </c>
      <c r="Z12" s="8"/>
    </row>
    <row r="13" spans="1:26" x14ac:dyDescent="0.55000000000000004">
      <c r="A13" s="8" t="s">
        <v>86</v>
      </c>
      <c r="B13" s="25" t="s">
        <v>308</v>
      </c>
      <c r="C13" s="25" t="s">
        <v>308</v>
      </c>
      <c r="D13" s="25" t="s">
        <v>308</v>
      </c>
      <c r="E13" s="25" t="s">
        <v>308</v>
      </c>
      <c r="F13" s="25" t="s">
        <v>308</v>
      </c>
      <c r="G13" s="25" t="s">
        <v>308</v>
      </c>
      <c r="H13" s="25" t="s">
        <v>308</v>
      </c>
      <c r="I13" s="25" t="s">
        <v>308</v>
      </c>
      <c r="J13" s="25" t="s">
        <v>308</v>
      </c>
      <c r="K13" s="8"/>
      <c r="L13" s="10"/>
      <c r="M13" s="8"/>
      <c r="N13" s="8" t="s">
        <v>85</v>
      </c>
      <c r="O13" s="26">
        <v>0</v>
      </c>
      <c r="P13" s="25" t="s">
        <v>308</v>
      </c>
      <c r="Q13" s="25" t="s">
        <v>308</v>
      </c>
      <c r="R13" s="25" t="s">
        <v>308</v>
      </c>
      <c r="S13" s="8"/>
      <c r="T13" s="10"/>
      <c r="U13" s="8"/>
      <c r="V13" s="8" t="s">
        <v>57</v>
      </c>
      <c r="W13" s="25" t="s">
        <v>308</v>
      </c>
      <c r="X13" s="25" t="s">
        <v>308</v>
      </c>
      <c r="Y13" s="25" t="s">
        <v>308</v>
      </c>
      <c r="Z13" s="8"/>
    </row>
    <row r="14" spans="1:26" x14ac:dyDescent="0.55000000000000004">
      <c r="A14" s="8" t="s">
        <v>71</v>
      </c>
      <c r="B14" s="25" t="s">
        <v>308</v>
      </c>
      <c r="C14" s="25" t="s">
        <v>308</v>
      </c>
      <c r="D14" s="25" t="s">
        <v>308</v>
      </c>
      <c r="E14" s="25" t="s">
        <v>308</v>
      </c>
      <c r="F14" s="25" t="s">
        <v>308</v>
      </c>
      <c r="G14" s="25" t="s">
        <v>308</v>
      </c>
      <c r="H14" s="25" t="s">
        <v>308</v>
      </c>
      <c r="I14" s="25" t="s">
        <v>308</v>
      </c>
      <c r="J14" s="25" t="s">
        <v>308</v>
      </c>
      <c r="K14" s="8"/>
      <c r="L14" s="10"/>
      <c r="M14" s="8"/>
      <c r="N14" s="8" t="s">
        <v>70</v>
      </c>
      <c r="O14" s="26">
        <v>0</v>
      </c>
      <c r="P14" s="25" t="s">
        <v>308</v>
      </c>
      <c r="Q14" s="25" t="s">
        <v>308</v>
      </c>
      <c r="R14" s="25" t="s">
        <v>308</v>
      </c>
      <c r="S14" s="8"/>
      <c r="T14" s="10"/>
      <c r="U14" s="8"/>
      <c r="V14" s="8" t="s">
        <v>65</v>
      </c>
      <c r="W14" s="25" t="s">
        <v>308</v>
      </c>
      <c r="X14" s="25" t="s">
        <v>308</v>
      </c>
      <c r="Y14" s="25" t="s">
        <v>308</v>
      </c>
      <c r="Z14" s="8"/>
    </row>
    <row r="15" spans="1:26" x14ac:dyDescent="0.55000000000000004">
      <c r="A15" s="8" t="s">
        <v>94</v>
      </c>
      <c r="B15" s="25" t="s">
        <v>308</v>
      </c>
      <c r="C15" s="25" t="s">
        <v>308</v>
      </c>
      <c r="D15" s="25" t="s">
        <v>308</v>
      </c>
      <c r="E15" s="25" t="s">
        <v>308</v>
      </c>
      <c r="F15" s="25" t="s">
        <v>308</v>
      </c>
      <c r="G15" s="25" t="s">
        <v>308</v>
      </c>
      <c r="H15" s="25" t="s">
        <v>308</v>
      </c>
      <c r="I15" s="25" t="s">
        <v>308</v>
      </c>
      <c r="J15" s="25" t="s">
        <v>308</v>
      </c>
      <c r="K15" s="8"/>
      <c r="L15" s="10"/>
      <c r="M15" s="8"/>
      <c r="N15" s="8" t="s">
        <v>93</v>
      </c>
      <c r="O15" s="26">
        <v>0</v>
      </c>
      <c r="P15" s="25" t="s">
        <v>308</v>
      </c>
      <c r="Q15" s="25" t="s">
        <v>308</v>
      </c>
      <c r="R15" s="25" t="s">
        <v>308</v>
      </c>
      <c r="S15" s="8"/>
      <c r="T15" s="10"/>
      <c r="U15" s="8"/>
      <c r="V15" s="8" t="s">
        <v>573</v>
      </c>
      <c r="W15" s="25" t="s">
        <v>308</v>
      </c>
      <c r="X15" s="25" t="s">
        <v>308</v>
      </c>
      <c r="Y15" s="25" t="s">
        <v>308</v>
      </c>
      <c r="Z15" s="8"/>
    </row>
    <row r="16" spans="1:26" x14ac:dyDescent="0.55000000000000004">
      <c r="A16" s="8" t="s">
        <v>578</v>
      </c>
      <c r="B16" s="25" t="s">
        <v>308</v>
      </c>
      <c r="C16" s="25" t="s">
        <v>308</v>
      </c>
      <c r="D16" s="25" t="s">
        <v>308</v>
      </c>
      <c r="E16" s="25" t="s">
        <v>308</v>
      </c>
      <c r="F16" s="25" t="s">
        <v>308</v>
      </c>
      <c r="G16" s="25" t="s">
        <v>308</v>
      </c>
      <c r="H16" s="25" t="s">
        <v>308</v>
      </c>
      <c r="I16" s="25" t="s">
        <v>308</v>
      </c>
      <c r="J16" s="25" t="s">
        <v>308</v>
      </c>
      <c r="K16" s="8"/>
      <c r="L16" s="10"/>
      <c r="M16" s="8"/>
      <c r="N16" s="8" t="s">
        <v>577</v>
      </c>
      <c r="O16" s="26">
        <v>0</v>
      </c>
      <c r="P16" s="25" t="s">
        <v>308</v>
      </c>
      <c r="Q16" s="25" t="s">
        <v>308</v>
      </c>
      <c r="R16" s="25" t="s">
        <v>308</v>
      </c>
      <c r="S16" s="8"/>
      <c r="T16" s="10"/>
      <c r="U16" s="8"/>
      <c r="V16" s="8" t="s">
        <v>580</v>
      </c>
      <c r="W16" s="25" t="s">
        <v>308</v>
      </c>
      <c r="X16" s="25" t="s">
        <v>308</v>
      </c>
      <c r="Y16" s="25" t="s">
        <v>308</v>
      </c>
      <c r="Z16" s="8"/>
    </row>
    <row r="17" spans="1:26" x14ac:dyDescent="0.55000000000000004">
      <c r="A17" s="8" t="s">
        <v>584</v>
      </c>
      <c r="B17" s="25" t="s">
        <v>308</v>
      </c>
      <c r="C17" s="25" t="s">
        <v>308</v>
      </c>
      <c r="D17" s="25" t="s">
        <v>308</v>
      </c>
      <c r="E17" s="25" t="s">
        <v>308</v>
      </c>
      <c r="F17" s="25" t="s">
        <v>308</v>
      </c>
      <c r="G17" s="25" t="s">
        <v>308</v>
      </c>
      <c r="H17" s="25" t="s">
        <v>308</v>
      </c>
      <c r="I17" s="25" t="s">
        <v>308</v>
      </c>
      <c r="J17" s="25" t="s">
        <v>308</v>
      </c>
      <c r="K17" s="8"/>
      <c r="L17" s="10"/>
      <c r="M17" s="8"/>
      <c r="N17" s="8" t="s">
        <v>583</v>
      </c>
      <c r="O17" s="26">
        <v>0</v>
      </c>
      <c r="P17" s="25" t="s">
        <v>308</v>
      </c>
      <c r="Q17" s="25" t="s">
        <v>308</v>
      </c>
      <c r="R17" s="25" t="s">
        <v>308</v>
      </c>
      <c r="S17" s="8"/>
      <c r="T17" s="10"/>
      <c r="U17" s="8"/>
      <c r="V17" s="8" t="s">
        <v>586</v>
      </c>
      <c r="W17" s="25" t="s">
        <v>308</v>
      </c>
      <c r="X17" s="25" t="s">
        <v>308</v>
      </c>
      <c r="Y17" s="25" t="s">
        <v>308</v>
      </c>
      <c r="Z17" s="8"/>
    </row>
    <row r="18" spans="1:26" x14ac:dyDescent="0.55000000000000004">
      <c r="A18" s="8" t="s">
        <v>108</v>
      </c>
      <c r="B18" s="25" t="s">
        <v>308</v>
      </c>
      <c r="C18" s="25" t="s">
        <v>308</v>
      </c>
      <c r="D18" s="25" t="s">
        <v>308</v>
      </c>
      <c r="E18" s="25" t="s">
        <v>308</v>
      </c>
      <c r="F18" s="25" t="s">
        <v>308</v>
      </c>
      <c r="G18" s="25" t="s">
        <v>308</v>
      </c>
      <c r="H18" s="25" t="s">
        <v>308</v>
      </c>
      <c r="I18" s="25" t="s">
        <v>308</v>
      </c>
      <c r="J18" s="25" t="s">
        <v>308</v>
      </c>
      <c r="K18" s="8"/>
      <c r="L18" s="10"/>
      <c r="M18" s="8"/>
      <c r="N18" s="8" t="s">
        <v>107</v>
      </c>
      <c r="O18" s="26">
        <v>0</v>
      </c>
      <c r="P18" s="25" t="s">
        <v>308</v>
      </c>
      <c r="Q18" s="25" t="s">
        <v>308</v>
      </c>
      <c r="R18" s="25" t="s">
        <v>308</v>
      </c>
      <c r="S18" s="8"/>
      <c r="T18" s="10"/>
      <c r="U18" s="8"/>
      <c r="V18" s="8" t="s">
        <v>590</v>
      </c>
      <c r="W18" s="25" t="s">
        <v>308</v>
      </c>
      <c r="X18" s="25" t="s">
        <v>308</v>
      </c>
      <c r="Y18" s="25" t="s">
        <v>308</v>
      </c>
      <c r="Z18" s="8"/>
    </row>
    <row r="19" spans="1:26" x14ac:dyDescent="0.55000000000000004">
      <c r="A19" s="8" t="s">
        <v>594</v>
      </c>
      <c r="B19" s="25" t="s">
        <v>308</v>
      </c>
      <c r="C19" s="25" t="s">
        <v>308</v>
      </c>
      <c r="D19" s="25" t="s">
        <v>308</v>
      </c>
      <c r="E19" s="25" t="s">
        <v>308</v>
      </c>
      <c r="F19" s="25" t="s">
        <v>308</v>
      </c>
      <c r="G19" s="25" t="s">
        <v>308</v>
      </c>
      <c r="H19" s="25" t="s">
        <v>308</v>
      </c>
      <c r="I19" s="25" t="s">
        <v>308</v>
      </c>
      <c r="J19" s="25" t="s">
        <v>308</v>
      </c>
      <c r="K19" s="8"/>
      <c r="L19" s="10"/>
      <c r="M19" s="8"/>
      <c r="N19" s="8" t="s">
        <v>593</v>
      </c>
      <c r="O19" s="26">
        <v>0</v>
      </c>
      <c r="P19" s="25" t="s">
        <v>308</v>
      </c>
      <c r="Q19" s="25" t="s">
        <v>308</v>
      </c>
      <c r="R19" s="25" t="s">
        <v>308</v>
      </c>
      <c r="S19" s="8"/>
      <c r="T19" s="10"/>
      <c r="U19" s="8"/>
      <c r="V19" s="8" t="s">
        <v>72</v>
      </c>
      <c r="W19" s="25" t="s">
        <v>308</v>
      </c>
      <c r="X19" s="25" t="s">
        <v>308</v>
      </c>
      <c r="Y19" s="25" t="s">
        <v>308</v>
      </c>
      <c r="Z19" s="8"/>
    </row>
    <row r="20" spans="1:26" x14ac:dyDescent="0.55000000000000004">
      <c r="A20" s="8" t="s">
        <v>598</v>
      </c>
      <c r="B20" s="25" t="s">
        <v>308</v>
      </c>
      <c r="C20" s="25" t="s">
        <v>308</v>
      </c>
      <c r="D20" s="25" t="s">
        <v>308</v>
      </c>
      <c r="E20" s="25" t="s">
        <v>308</v>
      </c>
      <c r="F20" s="25" t="s">
        <v>308</v>
      </c>
      <c r="G20" s="25" t="s">
        <v>308</v>
      </c>
      <c r="H20" s="25" t="s">
        <v>308</v>
      </c>
      <c r="I20" s="25" t="s">
        <v>308</v>
      </c>
      <c r="J20" s="25" t="s">
        <v>308</v>
      </c>
      <c r="K20" s="8"/>
      <c r="L20" s="10"/>
      <c r="M20" s="8"/>
      <c r="N20" s="8" t="s">
        <v>597</v>
      </c>
      <c r="O20" s="26">
        <v>0</v>
      </c>
      <c r="P20" s="25" t="s">
        <v>308</v>
      </c>
      <c r="Q20" s="25" t="s">
        <v>308</v>
      </c>
      <c r="R20" s="25" t="s">
        <v>308</v>
      </c>
      <c r="S20" s="8"/>
      <c r="T20" s="10"/>
      <c r="U20" s="8"/>
      <c r="V20" s="8" t="s">
        <v>79</v>
      </c>
      <c r="W20" s="25" t="s">
        <v>308</v>
      </c>
      <c r="X20" s="25" t="s">
        <v>308</v>
      </c>
      <c r="Y20" s="25" t="s">
        <v>308</v>
      </c>
      <c r="Z20" s="8"/>
    </row>
    <row r="21" spans="1:26" x14ac:dyDescent="0.55000000000000004">
      <c r="A21" s="8" t="s">
        <v>602</v>
      </c>
      <c r="B21" s="25" t="s">
        <v>308</v>
      </c>
      <c r="C21" s="25" t="s">
        <v>308</v>
      </c>
      <c r="D21" s="25" t="s">
        <v>308</v>
      </c>
      <c r="E21" s="25" t="s">
        <v>308</v>
      </c>
      <c r="F21" s="25" t="s">
        <v>308</v>
      </c>
      <c r="G21" s="25" t="s">
        <v>308</v>
      </c>
      <c r="H21" s="25" t="s">
        <v>308</v>
      </c>
      <c r="I21" s="25" t="s">
        <v>308</v>
      </c>
      <c r="J21" s="25" t="s">
        <v>308</v>
      </c>
      <c r="K21" s="8"/>
      <c r="L21" s="10"/>
      <c r="M21" s="8"/>
      <c r="N21" s="8" t="s">
        <v>601</v>
      </c>
      <c r="O21" s="26">
        <v>0</v>
      </c>
      <c r="P21" s="25" t="s">
        <v>308</v>
      </c>
      <c r="Q21" s="25" t="s">
        <v>308</v>
      </c>
      <c r="R21" s="25" t="s">
        <v>308</v>
      </c>
      <c r="S21" s="8"/>
      <c r="T21" s="10"/>
      <c r="U21" s="8"/>
      <c r="V21" s="8" t="s">
        <v>87</v>
      </c>
      <c r="W21" s="25" t="s">
        <v>308</v>
      </c>
      <c r="X21" s="25" t="s">
        <v>308</v>
      </c>
      <c r="Y21" s="25" t="s">
        <v>308</v>
      </c>
      <c r="Z21" s="8"/>
    </row>
    <row r="22" spans="1:26" x14ac:dyDescent="0.55000000000000004">
      <c r="A22" s="8" t="s">
        <v>120</v>
      </c>
      <c r="B22" s="25" t="s">
        <v>308</v>
      </c>
      <c r="C22" s="25" t="s">
        <v>308</v>
      </c>
      <c r="D22" s="25" t="s">
        <v>308</v>
      </c>
      <c r="E22" s="25" t="s">
        <v>308</v>
      </c>
      <c r="F22" s="25" t="s">
        <v>308</v>
      </c>
      <c r="G22" s="25" t="s">
        <v>308</v>
      </c>
      <c r="H22" s="25" t="s">
        <v>308</v>
      </c>
      <c r="I22" s="25" t="s">
        <v>308</v>
      </c>
      <c r="J22" s="25" t="s">
        <v>308</v>
      </c>
      <c r="K22" s="8"/>
      <c r="L22" s="10"/>
      <c r="M22" s="8"/>
      <c r="N22" s="8" t="s">
        <v>119</v>
      </c>
      <c r="O22" s="26">
        <v>0</v>
      </c>
      <c r="P22" s="25" t="s">
        <v>308</v>
      </c>
      <c r="Q22" s="25" t="s">
        <v>308</v>
      </c>
      <c r="R22" s="25" t="s">
        <v>308</v>
      </c>
      <c r="S22" s="8"/>
      <c r="T22" s="10"/>
      <c r="U22" s="8"/>
      <c r="V22" s="8" t="s">
        <v>95</v>
      </c>
      <c r="W22" s="25" t="s">
        <v>308</v>
      </c>
      <c r="X22" s="25" t="s">
        <v>308</v>
      </c>
      <c r="Y22" s="25" t="s">
        <v>308</v>
      </c>
      <c r="Z22" s="8"/>
    </row>
    <row r="23" spans="1:26" x14ac:dyDescent="0.55000000000000004">
      <c r="A23" s="8" t="s">
        <v>55</v>
      </c>
      <c r="B23" s="25" t="s">
        <v>308</v>
      </c>
      <c r="C23" s="25" t="s">
        <v>308</v>
      </c>
      <c r="D23" s="25" t="s">
        <v>308</v>
      </c>
      <c r="E23" s="25" t="s">
        <v>308</v>
      </c>
      <c r="F23" s="25" t="s">
        <v>308</v>
      </c>
      <c r="G23" s="25" t="s">
        <v>308</v>
      </c>
      <c r="H23" s="25" t="s">
        <v>308</v>
      </c>
      <c r="I23" s="25" t="s">
        <v>308</v>
      </c>
      <c r="J23" s="25" t="s">
        <v>308</v>
      </c>
      <c r="K23" s="8"/>
      <c r="L23" s="10"/>
      <c r="M23" s="8"/>
      <c r="N23" s="8" t="s">
        <v>54</v>
      </c>
      <c r="O23" s="26">
        <v>0</v>
      </c>
      <c r="P23" s="25" t="s">
        <v>308</v>
      </c>
      <c r="Q23" s="25" t="s">
        <v>308</v>
      </c>
      <c r="R23" s="25" t="s">
        <v>308</v>
      </c>
      <c r="S23" s="8"/>
      <c r="T23" s="10"/>
      <c r="U23" s="8"/>
      <c r="V23" s="8" t="s">
        <v>101</v>
      </c>
      <c r="W23" s="25" t="s">
        <v>308</v>
      </c>
      <c r="X23" s="25" t="s">
        <v>308</v>
      </c>
      <c r="Y23" s="25" t="s">
        <v>308</v>
      </c>
      <c r="Z23" s="8"/>
    </row>
    <row r="24" spans="1:26" x14ac:dyDescent="0.55000000000000004">
      <c r="A24" s="8" t="s">
        <v>615</v>
      </c>
      <c r="B24" s="25" t="s">
        <v>308</v>
      </c>
      <c r="C24" s="25" t="s">
        <v>308</v>
      </c>
      <c r="D24" s="25" t="s">
        <v>308</v>
      </c>
      <c r="E24" s="25" t="s">
        <v>308</v>
      </c>
      <c r="F24" s="25" t="s">
        <v>308</v>
      </c>
      <c r="G24" s="25" t="s">
        <v>308</v>
      </c>
      <c r="H24" s="25" t="s">
        <v>308</v>
      </c>
      <c r="I24" s="25" t="s">
        <v>308</v>
      </c>
      <c r="J24" s="25" t="s">
        <v>308</v>
      </c>
      <c r="K24" s="8"/>
      <c r="L24" s="10"/>
      <c r="M24" s="8"/>
      <c r="N24" s="8" t="s">
        <v>614</v>
      </c>
      <c r="O24" s="26">
        <v>0</v>
      </c>
      <c r="P24" s="25" t="s">
        <v>308</v>
      </c>
      <c r="Q24" s="25" t="s">
        <v>308</v>
      </c>
      <c r="R24" s="25" t="s">
        <v>308</v>
      </c>
      <c r="S24" s="8"/>
      <c r="T24" s="10"/>
      <c r="U24" s="8"/>
      <c r="V24" s="8"/>
      <c r="W24" s="8"/>
      <c r="X24" s="8"/>
      <c r="Y24" s="8"/>
      <c r="Z24" s="8"/>
    </row>
    <row r="25" spans="1:26" x14ac:dyDescent="0.55000000000000004">
      <c r="A25" s="8" t="s">
        <v>63</v>
      </c>
      <c r="B25" s="25" t="s">
        <v>308</v>
      </c>
      <c r="C25" s="25" t="s">
        <v>308</v>
      </c>
      <c r="D25" s="25" t="s">
        <v>308</v>
      </c>
      <c r="E25" s="25" t="s">
        <v>308</v>
      </c>
      <c r="F25" s="25" t="s">
        <v>308</v>
      </c>
      <c r="G25" s="25" t="s">
        <v>308</v>
      </c>
      <c r="H25" s="25" t="s">
        <v>308</v>
      </c>
      <c r="I25" s="25" t="s">
        <v>308</v>
      </c>
      <c r="J25" s="25" t="s">
        <v>308</v>
      </c>
      <c r="K25" s="8"/>
      <c r="L25" s="10"/>
      <c r="M25" s="8"/>
      <c r="N25" s="8" t="s">
        <v>62</v>
      </c>
      <c r="O25" s="26">
        <v>0</v>
      </c>
      <c r="P25" s="25" t="s">
        <v>308</v>
      </c>
      <c r="Q25" s="25" t="s">
        <v>308</v>
      </c>
      <c r="R25" s="25" t="s">
        <v>308</v>
      </c>
      <c r="S25" s="8"/>
      <c r="T25" s="10"/>
      <c r="U25" s="11"/>
      <c r="V25" s="11" t="s">
        <v>479</v>
      </c>
      <c r="W25" s="11"/>
      <c r="X25" s="11"/>
      <c r="Y25" s="11"/>
      <c r="Z25" s="11"/>
    </row>
    <row r="26" spans="1:26" x14ac:dyDescent="0.55000000000000004">
      <c r="A26" s="8" t="s">
        <v>124</v>
      </c>
      <c r="B26" s="25" t="s">
        <v>308</v>
      </c>
      <c r="C26" s="25" t="s">
        <v>308</v>
      </c>
      <c r="D26" s="25" t="s">
        <v>308</v>
      </c>
      <c r="E26" s="25" t="s">
        <v>308</v>
      </c>
      <c r="F26" s="25" t="s">
        <v>308</v>
      </c>
      <c r="G26" s="25" t="s">
        <v>308</v>
      </c>
      <c r="H26" s="25" t="s">
        <v>308</v>
      </c>
      <c r="I26" s="25" t="s">
        <v>308</v>
      </c>
      <c r="J26" s="25" t="s">
        <v>308</v>
      </c>
      <c r="K26" s="8"/>
      <c r="L26" s="10"/>
      <c r="M26" s="8"/>
      <c r="N26" s="8" t="s">
        <v>123</v>
      </c>
      <c r="O26" s="26">
        <v>0</v>
      </c>
      <c r="P26" s="25" t="s">
        <v>308</v>
      </c>
      <c r="Q26" s="25" t="s">
        <v>308</v>
      </c>
      <c r="R26" s="25" t="s">
        <v>308</v>
      </c>
      <c r="S26" s="8"/>
      <c r="T26" s="10"/>
      <c r="U26" s="13"/>
      <c r="V26" s="13"/>
      <c r="W26" s="13"/>
      <c r="X26" s="15" t="s">
        <v>339</v>
      </c>
      <c r="Y26" s="15" t="s">
        <v>474</v>
      </c>
      <c r="Z26" s="13"/>
    </row>
    <row r="27" spans="1:26" x14ac:dyDescent="0.55000000000000004">
      <c r="A27" s="8" t="s">
        <v>122</v>
      </c>
      <c r="B27" s="25" t="s">
        <v>308</v>
      </c>
      <c r="C27" s="25" t="s">
        <v>308</v>
      </c>
      <c r="D27" s="25" t="s">
        <v>308</v>
      </c>
      <c r="E27" s="25" t="s">
        <v>308</v>
      </c>
      <c r="F27" s="25" t="s">
        <v>308</v>
      </c>
      <c r="G27" s="25" t="s">
        <v>308</v>
      </c>
      <c r="H27" s="25" t="s">
        <v>308</v>
      </c>
      <c r="I27" s="25" t="s">
        <v>308</v>
      </c>
      <c r="J27" s="25" t="s">
        <v>308</v>
      </c>
      <c r="K27" s="8"/>
      <c r="L27" s="10"/>
      <c r="M27" s="8"/>
      <c r="N27" s="8" t="s">
        <v>121</v>
      </c>
      <c r="O27" s="26">
        <v>0</v>
      </c>
      <c r="P27" s="25" t="s">
        <v>308</v>
      </c>
      <c r="Q27" s="25" t="s">
        <v>308</v>
      </c>
      <c r="R27" s="25" t="s">
        <v>308</v>
      </c>
      <c r="S27" s="8"/>
      <c r="T27" s="10"/>
      <c r="U27" s="13"/>
      <c r="V27" s="13"/>
      <c r="W27" s="13"/>
      <c r="X27" s="16" t="s">
        <v>481</v>
      </c>
      <c r="Y27" s="16" t="s">
        <v>480</v>
      </c>
      <c r="Z27" s="13"/>
    </row>
    <row r="28" spans="1:26" x14ac:dyDescent="0.55000000000000004">
      <c r="A28" s="8" t="s">
        <v>116</v>
      </c>
      <c r="B28" s="25" t="s">
        <v>308</v>
      </c>
      <c r="C28" s="25" t="s">
        <v>308</v>
      </c>
      <c r="D28" s="25" t="s">
        <v>308</v>
      </c>
      <c r="E28" s="25" t="s">
        <v>308</v>
      </c>
      <c r="F28" s="25" t="s">
        <v>308</v>
      </c>
      <c r="G28" s="25" t="s">
        <v>308</v>
      </c>
      <c r="H28" s="25" t="s">
        <v>308</v>
      </c>
      <c r="I28" s="25" t="s">
        <v>308</v>
      </c>
      <c r="J28" s="25" t="s">
        <v>308</v>
      </c>
      <c r="K28" s="8"/>
      <c r="L28" s="10"/>
      <c r="M28" s="8"/>
      <c r="N28" s="8" t="s">
        <v>115</v>
      </c>
      <c r="O28" s="26">
        <v>0</v>
      </c>
      <c r="P28" s="25" t="s">
        <v>308</v>
      </c>
      <c r="Q28" s="25" t="s">
        <v>308</v>
      </c>
      <c r="R28" s="25" t="s">
        <v>308</v>
      </c>
      <c r="S28" s="8"/>
      <c r="T28" s="10"/>
      <c r="U28" s="8"/>
      <c r="V28" s="8" t="s">
        <v>475</v>
      </c>
      <c r="W28" s="8" t="s">
        <v>791</v>
      </c>
      <c r="X28" s="25" t="s">
        <v>308</v>
      </c>
      <c r="Y28" s="25" t="s">
        <v>308</v>
      </c>
      <c r="Z28" s="8"/>
    </row>
    <row r="29" spans="1:26" x14ac:dyDescent="0.55000000000000004">
      <c r="A29" s="8" t="s">
        <v>112</v>
      </c>
      <c r="B29" s="25" t="s">
        <v>308</v>
      </c>
      <c r="C29" s="25" t="s">
        <v>308</v>
      </c>
      <c r="D29" s="25" t="s">
        <v>308</v>
      </c>
      <c r="E29" s="25" t="s">
        <v>308</v>
      </c>
      <c r="F29" s="25" t="s">
        <v>308</v>
      </c>
      <c r="G29" s="25" t="s">
        <v>308</v>
      </c>
      <c r="H29" s="25" t="s">
        <v>308</v>
      </c>
      <c r="I29" s="25" t="s">
        <v>308</v>
      </c>
      <c r="J29" s="25" t="s">
        <v>308</v>
      </c>
      <c r="K29" s="8"/>
      <c r="L29" s="10"/>
      <c r="M29" s="8"/>
      <c r="N29" s="8" t="s">
        <v>111</v>
      </c>
      <c r="O29" s="26">
        <v>0</v>
      </c>
      <c r="P29" s="25" t="s">
        <v>308</v>
      </c>
      <c r="Q29" s="25" t="s">
        <v>308</v>
      </c>
      <c r="R29" s="25" t="s">
        <v>308</v>
      </c>
      <c r="S29" s="8"/>
      <c r="T29" s="10"/>
      <c r="U29" s="8"/>
      <c r="V29" s="8"/>
      <c r="W29" s="8" t="s">
        <v>792</v>
      </c>
      <c r="X29" s="25" t="s">
        <v>308</v>
      </c>
      <c r="Y29" s="25" t="s">
        <v>308</v>
      </c>
      <c r="Z29" s="8"/>
    </row>
    <row r="30" spans="1:26" x14ac:dyDescent="0.55000000000000004">
      <c r="A30" s="8" t="s">
        <v>629</v>
      </c>
      <c r="B30" s="25" t="s">
        <v>308</v>
      </c>
      <c r="C30" s="25" t="s">
        <v>308</v>
      </c>
      <c r="D30" s="25" t="s">
        <v>308</v>
      </c>
      <c r="E30" s="25" t="s">
        <v>308</v>
      </c>
      <c r="F30" s="25" t="s">
        <v>308</v>
      </c>
      <c r="G30" s="25" t="s">
        <v>308</v>
      </c>
      <c r="H30" s="25" t="s">
        <v>308</v>
      </c>
      <c r="I30" s="25" t="s">
        <v>308</v>
      </c>
      <c r="J30" s="25" t="s">
        <v>308</v>
      </c>
      <c r="K30" s="8"/>
      <c r="L30" s="10"/>
      <c r="M30" s="8"/>
      <c r="N30" s="8" t="s">
        <v>628</v>
      </c>
      <c r="O30" s="26">
        <v>0</v>
      </c>
      <c r="P30" s="25" t="s">
        <v>308</v>
      </c>
      <c r="Q30" s="25" t="s">
        <v>308</v>
      </c>
      <c r="R30" s="25" t="s">
        <v>308</v>
      </c>
      <c r="S30" s="8"/>
      <c r="T30" s="10"/>
      <c r="U30" s="8"/>
      <c r="V30" s="8"/>
      <c r="W30" s="8" t="s">
        <v>793</v>
      </c>
      <c r="X30" s="25" t="s">
        <v>308</v>
      </c>
      <c r="Y30" s="25" t="s">
        <v>308</v>
      </c>
      <c r="Z30" s="8"/>
    </row>
    <row r="31" spans="1:26" x14ac:dyDescent="0.55000000000000004">
      <c r="A31" s="8" t="s">
        <v>127</v>
      </c>
      <c r="B31" s="25" t="s">
        <v>308</v>
      </c>
      <c r="C31" s="25" t="s">
        <v>308</v>
      </c>
      <c r="D31" s="25" t="s">
        <v>308</v>
      </c>
      <c r="E31" s="25" t="s">
        <v>308</v>
      </c>
      <c r="F31" s="25" t="s">
        <v>308</v>
      </c>
      <c r="G31" s="25" t="s">
        <v>308</v>
      </c>
      <c r="H31" s="25" t="s">
        <v>308</v>
      </c>
      <c r="I31" s="25" t="s">
        <v>308</v>
      </c>
      <c r="J31" s="25" t="s">
        <v>308</v>
      </c>
      <c r="K31" s="8"/>
      <c r="L31" s="10"/>
      <c r="M31" s="8"/>
      <c r="N31" s="8" t="s">
        <v>126</v>
      </c>
      <c r="O31" s="26">
        <v>0</v>
      </c>
      <c r="P31" s="25" t="s">
        <v>308</v>
      </c>
      <c r="Q31" s="25" t="s">
        <v>308</v>
      </c>
      <c r="R31" s="25" t="s">
        <v>308</v>
      </c>
      <c r="S31" s="8"/>
      <c r="T31" s="10"/>
      <c r="U31" s="8"/>
      <c r="V31" s="8"/>
      <c r="W31" s="8" t="s">
        <v>794</v>
      </c>
      <c r="X31" s="25" t="s">
        <v>308</v>
      </c>
      <c r="Y31" s="25" t="s">
        <v>308</v>
      </c>
      <c r="Z31" s="8"/>
    </row>
    <row r="32" spans="1:26" x14ac:dyDescent="0.55000000000000004">
      <c r="A32" s="8" t="s">
        <v>130</v>
      </c>
      <c r="B32" s="25" t="s">
        <v>308</v>
      </c>
      <c r="C32" s="25" t="s">
        <v>308</v>
      </c>
      <c r="D32" s="25" t="s">
        <v>308</v>
      </c>
      <c r="E32" s="25" t="s">
        <v>308</v>
      </c>
      <c r="F32" s="25" t="s">
        <v>308</v>
      </c>
      <c r="G32" s="25" t="s">
        <v>308</v>
      </c>
      <c r="H32" s="25" t="s">
        <v>308</v>
      </c>
      <c r="I32" s="25" t="s">
        <v>308</v>
      </c>
      <c r="J32" s="25" t="s">
        <v>308</v>
      </c>
      <c r="K32" s="8"/>
      <c r="L32" s="10"/>
      <c r="M32" s="8"/>
      <c r="N32" s="8" t="s">
        <v>129</v>
      </c>
      <c r="O32" s="26">
        <v>0</v>
      </c>
      <c r="P32" s="25" t="s">
        <v>308</v>
      </c>
      <c r="Q32" s="25" t="s">
        <v>308</v>
      </c>
      <c r="R32" s="25" t="s">
        <v>308</v>
      </c>
      <c r="S32" s="8"/>
      <c r="T32" s="10"/>
      <c r="U32" s="8"/>
      <c r="V32" s="8"/>
      <c r="W32" s="8" t="s">
        <v>795</v>
      </c>
      <c r="X32" s="25" t="s">
        <v>308</v>
      </c>
      <c r="Y32" s="25" t="s">
        <v>308</v>
      </c>
      <c r="Z32" s="8"/>
    </row>
    <row r="33" spans="1:26" x14ac:dyDescent="0.55000000000000004">
      <c r="A33" s="8" t="s">
        <v>140</v>
      </c>
      <c r="B33" s="25" t="s">
        <v>308</v>
      </c>
      <c r="C33" s="25" t="s">
        <v>308</v>
      </c>
      <c r="D33" s="25" t="s">
        <v>308</v>
      </c>
      <c r="E33" s="25" t="s">
        <v>308</v>
      </c>
      <c r="F33" s="25" t="s">
        <v>308</v>
      </c>
      <c r="G33" s="25" t="s">
        <v>308</v>
      </c>
      <c r="H33" s="25" t="s">
        <v>308</v>
      </c>
      <c r="I33" s="25" t="s">
        <v>308</v>
      </c>
      <c r="J33" s="25" t="s">
        <v>308</v>
      </c>
      <c r="K33" s="8"/>
      <c r="L33" s="10"/>
      <c r="M33" s="8"/>
      <c r="N33" s="8" t="s">
        <v>139</v>
      </c>
      <c r="O33" s="26">
        <v>0</v>
      </c>
      <c r="P33" s="25" t="s">
        <v>308</v>
      </c>
      <c r="Q33" s="25" t="s">
        <v>308</v>
      </c>
      <c r="R33" s="25" t="s">
        <v>308</v>
      </c>
      <c r="S33" s="8"/>
      <c r="T33" s="10"/>
      <c r="U33" s="8"/>
      <c r="V33" s="8" t="s">
        <v>476</v>
      </c>
      <c r="W33" s="8" t="s">
        <v>89</v>
      </c>
      <c r="X33" s="25" t="s">
        <v>308</v>
      </c>
      <c r="Y33" s="25" t="s">
        <v>308</v>
      </c>
      <c r="Z33" s="8"/>
    </row>
    <row r="34" spans="1:26" x14ac:dyDescent="0.55000000000000004">
      <c r="A34" s="8" t="s">
        <v>135</v>
      </c>
      <c r="B34" s="25" t="s">
        <v>308</v>
      </c>
      <c r="C34" s="25" t="s">
        <v>308</v>
      </c>
      <c r="D34" s="25" t="s">
        <v>308</v>
      </c>
      <c r="E34" s="25" t="s">
        <v>308</v>
      </c>
      <c r="F34" s="25" t="s">
        <v>308</v>
      </c>
      <c r="G34" s="25" t="s">
        <v>308</v>
      </c>
      <c r="H34" s="25" t="s">
        <v>308</v>
      </c>
      <c r="I34" s="25" t="s">
        <v>308</v>
      </c>
      <c r="J34" s="25" t="s">
        <v>308</v>
      </c>
      <c r="K34" s="8"/>
      <c r="L34" s="10"/>
      <c r="M34" s="8"/>
      <c r="N34" s="8" t="s">
        <v>134</v>
      </c>
      <c r="O34" s="26">
        <v>0</v>
      </c>
      <c r="P34" s="25" t="s">
        <v>308</v>
      </c>
      <c r="Q34" s="25" t="s">
        <v>308</v>
      </c>
      <c r="R34" s="25" t="s">
        <v>308</v>
      </c>
      <c r="S34" s="8"/>
      <c r="T34" s="10"/>
      <c r="U34" s="8"/>
      <c r="V34" s="8"/>
      <c r="W34" s="8" t="s">
        <v>97</v>
      </c>
      <c r="X34" s="25" t="s">
        <v>308</v>
      </c>
      <c r="Y34" s="25" t="s">
        <v>308</v>
      </c>
      <c r="Z34" s="8"/>
    </row>
    <row r="35" spans="1:26" x14ac:dyDescent="0.55000000000000004">
      <c r="A35" s="8" t="s">
        <v>142</v>
      </c>
      <c r="B35" s="25" t="s">
        <v>308</v>
      </c>
      <c r="C35" s="25" t="s">
        <v>308</v>
      </c>
      <c r="D35" s="25" t="s">
        <v>308</v>
      </c>
      <c r="E35" s="25" t="s">
        <v>308</v>
      </c>
      <c r="F35" s="25" t="s">
        <v>308</v>
      </c>
      <c r="G35" s="25" t="s">
        <v>308</v>
      </c>
      <c r="H35" s="25" t="s">
        <v>308</v>
      </c>
      <c r="I35" s="25" t="s">
        <v>308</v>
      </c>
      <c r="J35" s="25" t="s">
        <v>308</v>
      </c>
      <c r="K35" s="8"/>
      <c r="L35" s="10"/>
      <c r="M35" s="8"/>
      <c r="N35" s="8" t="s">
        <v>141</v>
      </c>
      <c r="O35" s="26">
        <v>0</v>
      </c>
      <c r="P35" s="25" t="s">
        <v>308</v>
      </c>
      <c r="Q35" s="25" t="s">
        <v>308</v>
      </c>
      <c r="R35" s="25" t="s">
        <v>308</v>
      </c>
      <c r="S35" s="8"/>
      <c r="T35" s="10"/>
      <c r="U35" s="8"/>
      <c r="V35" s="8"/>
      <c r="W35" s="8" t="s">
        <v>103</v>
      </c>
      <c r="X35" s="25" t="s">
        <v>308</v>
      </c>
      <c r="Y35" s="25" t="s">
        <v>308</v>
      </c>
      <c r="Z35" s="8"/>
    </row>
    <row r="36" spans="1:26" x14ac:dyDescent="0.55000000000000004">
      <c r="A36" s="8" t="s">
        <v>133</v>
      </c>
      <c r="B36" s="25" t="s">
        <v>308</v>
      </c>
      <c r="C36" s="25" t="s">
        <v>308</v>
      </c>
      <c r="D36" s="25" t="s">
        <v>308</v>
      </c>
      <c r="E36" s="25" t="s">
        <v>308</v>
      </c>
      <c r="F36" s="25" t="s">
        <v>308</v>
      </c>
      <c r="G36" s="25" t="s">
        <v>308</v>
      </c>
      <c r="H36" s="25" t="s">
        <v>308</v>
      </c>
      <c r="I36" s="25" t="s">
        <v>308</v>
      </c>
      <c r="J36" s="25" t="s">
        <v>308</v>
      </c>
      <c r="K36" s="8"/>
      <c r="L36" s="10"/>
      <c r="M36" s="8"/>
      <c r="N36" s="8" t="s">
        <v>132</v>
      </c>
      <c r="O36" s="26">
        <v>0</v>
      </c>
      <c r="P36" s="25" t="s">
        <v>308</v>
      </c>
      <c r="Q36" s="25" t="s">
        <v>308</v>
      </c>
      <c r="R36" s="25" t="s">
        <v>308</v>
      </c>
      <c r="S36" s="8"/>
      <c r="T36" s="10"/>
      <c r="U36" s="8"/>
      <c r="V36" s="8"/>
      <c r="W36" s="8" t="s">
        <v>109</v>
      </c>
      <c r="X36" s="25" t="s">
        <v>308</v>
      </c>
      <c r="Y36" s="25" t="s">
        <v>308</v>
      </c>
      <c r="Z36" s="8"/>
    </row>
    <row r="37" spans="1:26" x14ac:dyDescent="0.55000000000000004">
      <c r="A37" s="8" t="s">
        <v>138</v>
      </c>
      <c r="B37" s="25" t="s">
        <v>308</v>
      </c>
      <c r="C37" s="25" t="s">
        <v>308</v>
      </c>
      <c r="D37" s="25" t="s">
        <v>308</v>
      </c>
      <c r="E37" s="25" t="s">
        <v>308</v>
      </c>
      <c r="F37" s="25" t="s">
        <v>308</v>
      </c>
      <c r="G37" s="25" t="s">
        <v>308</v>
      </c>
      <c r="H37" s="25" t="s">
        <v>308</v>
      </c>
      <c r="I37" s="25" t="s">
        <v>308</v>
      </c>
      <c r="J37" s="25" t="s">
        <v>308</v>
      </c>
      <c r="K37" s="8"/>
      <c r="L37" s="10"/>
      <c r="M37" s="8"/>
      <c r="N37" s="8" t="s">
        <v>137</v>
      </c>
      <c r="O37" s="26">
        <v>0</v>
      </c>
      <c r="P37" s="25" t="s">
        <v>308</v>
      </c>
      <c r="Q37" s="25" t="s">
        <v>308</v>
      </c>
      <c r="R37" s="25" t="s">
        <v>308</v>
      </c>
      <c r="S37" s="8"/>
      <c r="T37" s="10"/>
      <c r="U37" s="8"/>
      <c r="V37" s="8"/>
      <c r="W37" s="8" t="s">
        <v>113</v>
      </c>
      <c r="X37" s="25" t="s">
        <v>308</v>
      </c>
      <c r="Y37" s="25" t="s">
        <v>308</v>
      </c>
      <c r="Z37" s="8"/>
    </row>
    <row r="38" spans="1:26" x14ac:dyDescent="0.55000000000000004">
      <c r="A38" s="8" t="s">
        <v>639</v>
      </c>
      <c r="B38" s="25" t="s">
        <v>308</v>
      </c>
      <c r="C38" s="25" t="s">
        <v>308</v>
      </c>
      <c r="D38" s="25" t="s">
        <v>308</v>
      </c>
      <c r="E38" s="25" t="s">
        <v>308</v>
      </c>
      <c r="F38" s="25" t="s">
        <v>308</v>
      </c>
      <c r="G38" s="25" t="s">
        <v>308</v>
      </c>
      <c r="H38" s="25" t="s">
        <v>308</v>
      </c>
      <c r="I38" s="25" t="s">
        <v>308</v>
      </c>
      <c r="J38" s="25" t="s">
        <v>308</v>
      </c>
      <c r="K38" s="8"/>
      <c r="L38" s="10"/>
      <c r="M38" s="8"/>
      <c r="N38" s="8" t="s">
        <v>638</v>
      </c>
      <c r="O38" s="26">
        <v>0</v>
      </c>
      <c r="P38" s="25" t="s">
        <v>308</v>
      </c>
      <c r="Q38" s="25" t="s">
        <v>308</v>
      </c>
      <c r="R38" s="25" t="s">
        <v>308</v>
      </c>
      <c r="S38" s="8"/>
      <c r="T38" s="10"/>
      <c r="U38" s="8"/>
      <c r="V38" s="8" t="s">
        <v>477</v>
      </c>
      <c r="W38" s="8" t="s">
        <v>607</v>
      </c>
      <c r="X38" s="25" t="s">
        <v>308</v>
      </c>
      <c r="Y38" s="25" t="s">
        <v>308</v>
      </c>
      <c r="Z38" s="8"/>
    </row>
    <row r="39" spans="1:26" x14ac:dyDescent="0.55000000000000004">
      <c r="A39" s="8" t="s">
        <v>642</v>
      </c>
      <c r="B39" s="25" t="s">
        <v>308</v>
      </c>
      <c r="C39" s="25" t="s">
        <v>308</v>
      </c>
      <c r="D39" s="25" t="s">
        <v>308</v>
      </c>
      <c r="E39" s="25" t="s">
        <v>308</v>
      </c>
      <c r="F39" s="25" t="s">
        <v>308</v>
      </c>
      <c r="G39" s="25" t="s">
        <v>308</v>
      </c>
      <c r="H39" s="25" t="s">
        <v>308</v>
      </c>
      <c r="I39" s="25" t="s">
        <v>308</v>
      </c>
      <c r="J39" s="25" t="s">
        <v>308</v>
      </c>
      <c r="K39" s="8"/>
      <c r="L39" s="10"/>
      <c r="M39" s="8"/>
      <c r="N39" s="8" t="s">
        <v>641</v>
      </c>
      <c r="O39" s="26">
        <v>0</v>
      </c>
      <c r="P39" s="25" t="s">
        <v>308</v>
      </c>
      <c r="Q39" s="25" t="s">
        <v>308</v>
      </c>
      <c r="R39" s="25" t="s">
        <v>308</v>
      </c>
      <c r="S39" s="8"/>
      <c r="T39" s="10"/>
      <c r="U39" s="8"/>
      <c r="V39" s="8"/>
      <c r="W39" s="8" t="s">
        <v>612</v>
      </c>
      <c r="X39" s="25" t="s">
        <v>308</v>
      </c>
      <c r="Y39" s="25" t="s">
        <v>308</v>
      </c>
      <c r="Z39" s="8"/>
    </row>
    <row r="40" spans="1:26" x14ac:dyDescent="0.55000000000000004">
      <c r="A40" s="8" t="s">
        <v>645</v>
      </c>
      <c r="B40" s="25" t="s">
        <v>308</v>
      </c>
      <c r="C40" s="25" t="s">
        <v>308</v>
      </c>
      <c r="D40" s="25" t="s">
        <v>308</v>
      </c>
      <c r="E40" s="25" t="s">
        <v>308</v>
      </c>
      <c r="F40" s="25" t="s">
        <v>308</v>
      </c>
      <c r="G40" s="25" t="s">
        <v>308</v>
      </c>
      <c r="H40" s="25" t="s">
        <v>308</v>
      </c>
      <c r="I40" s="25" t="s">
        <v>308</v>
      </c>
      <c r="J40" s="25" t="s">
        <v>308</v>
      </c>
      <c r="K40" s="8"/>
      <c r="L40" s="10"/>
      <c r="M40" s="8"/>
      <c r="N40" s="8" t="s">
        <v>644</v>
      </c>
      <c r="O40" s="26">
        <v>0</v>
      </c>
      <c r="P40" s="25" t="s">
        <v>308</v>
      </c>
      <c r="Q40" s="25" t="s">
        <v>308</v>
      </c>
      <c r="R40" s="25" t="s">
        <v>308</v>
      </c>
      <c r="S40" s="8"/>
      <c r="T40" s="10"/>
      <c r="U40" s="8"/>
      <c r="V40" s="8"/>
      <c r="W40" s="8" t="s">
        <v>617</v>
      </c>
      <c r="X40" s="25" t="s">
        <v>308</v>
      </c>
      <c r="Y40" s="25" t="s">
        <v>308</v>
      </c>
      <c r="Z40" s="8"/>
    </row>
    <row r="41" spans="1:26" x14ac:dyDescent="0.55000000000000004">
      <c r="A41" s="8" t="s">
        <v>648</v>
      </c>
      <c r="B41" s="25" t="s">
        <v>308</v>
      </c>
      <c r="C41" s="25" t="s">
        <v>308</v>
      </c>
      <c r="D41" s="25" t="s">
        <v>308</v>
      </c>
      <c r="E41" s="25" t="s">
        <v>308</v>
      </c>
      <c r="F41" s="25" t="s">
        <v>308</v>
      </c>
      <c r="G41" s="25" t="s">
        <v>308</v>
      </c>
      <c r="H41" s="25" t="s">
        <v>308</v>
      </c>
      <c r="I41" s="25" t="s">
        <v>308</v>
      </c>
      <c r="J41" s="25" t="s">
        <v>308</v>
      </c>
      <c r="K41" s="8"/>
      <c r="L41" s="10"/>
      <c r="M41" s="8"/>
      <c r="N41" s="8" t="s">
        <v>647</v>
      </c>
      <c r="O41" s="26">
        <v>0</v>
      </c>
      <c r="P41" s="25" t="s">
        <v>308</v>
      </c>
      <c r="Q41" s="25" t="s">
        <v>308</v>
      </c>
      <c r="R41" s="25" t="s">
        <v>308</v>
      </c>
      <c r="S41" s="8"/>
      <c r="T41" s="10"/>
      <c r="U41" s="8"/>
      <c r="V41" s="8"/>
      <c r="W41" s="8" t="s">
        <v>620</v>
      </c>
      <c r="X41" s="25" t="s">
        <v>308</v>
      </c>
      <c r="Y41" s="25" t="s">
        <v>308</v>
      </c>
      <c r="Z41" s="8"/>
    </row>
    <row r="42" spans="1:26" x14ac:dyDescent="0.55000000000000004">
      <c r="A42" s="8" t="s">
        <v>145</v>
      </c>
      <c r="B42" s="25" t="s">
        <v>308</v>
      </c>
      <c r="C42" s="25" t="s">
        <v>308</v>
      </c>
      <c r="D42" s="25" t="s">
        <v>308</v>
      </c>
      <c r="E42" s="25" t="s">
        <v>308</v>
      </c>
      <c r="F42" s="25" t="s">
        <v>308</v>
      </c>
      <c r="G42" s="25" t="s">
        <v>308</v>
      </c>
      <c r="H42" s="25" t="s">
        <v>308</v>
      </c>
      <c r="I42" s="25" t="s">
        <v>308</v>
      </c>
      <c r="J42" s="25" t="s">
        <v>308</v>
      </c>
      <c r="K42" s="8"/>
      <c r="L42" s="10"/>
      <c r="M42" s="8"/>
      <c r="N42" s="8" t="s">
        <v>144</v>
      </c>
      <c r="O42" s="26">
        <v>0</v>
      </c>
      <c r="P42" s="25" t="s">
        <v>308</v>
      </c>
      <c r="Q42" s="25" t="s">
        <v>308</v>
      </c>
      <c r="R42" s="25" t="s">
        <v>308</v>
      </c>
      <c r="S42" s="8"/>
      <c r="T42" s="10"/>
      <c r="U42" s="8"/>
      <c r="V42" s="8"/>
      <c r="W42" s="8" t="s">
        <v>623</v>
      </c>
      <c r="X42" s="25" t="s">
        <v>308</v>
      </c>
      <c r="Y42" s="25" t="s">
        <v>308</v>
      </c>
      <c r="Z42" s="8"/>
    </row>
    <row r="43" spans="1:26" x14ac:dyDescent="0.55000000000000004">
      <c r="A43" s="8" t="s">
        <v>148</v>
      </c>
      <c r="B43" s="25" t="s">
        <v>308</v>
      </c>
      <c r="C43" s="25" t="s">
        <v>308</v>
      </c>
      <c r="D43" s="25" t="s">
        <v>308</v>
      </c>
      <c r="E43" s="25" t="s">
        <v>308</v>
      </c>
      <c r="F43" s="25" t="s">
        <v>308</v>
      </c>
      <c r="G43" s="25" t="s">
        <v>308</v>
      </c>
      <c r="H43" s="25" t="s">
        <v>308</v>
      </c>
      <c r="I43" s="25" t="s">
        <v>308</v>
      </c>
      <c r="J43" s="25" t="s">
        <v>308</v>
      </c>
      <c r="K43" s="8"/>
      <c r="L43" s="10"/>
      <c r="M43" s="8"/>
      <c r="N43" s="8" t="s">
        <v>147</v>
      </c>
      <c r="O43" s="26">
        <v>0</v>
      </c>
      <c r="P43" s="25" t="s">
        <v>308</v>
      </c>
      <c r="Q43" s="25" t="s">
        <v>308</v>
      </c>
      <c r="R43" s="25" t="s">
        <v>308</v>
      </c>
      <c r="S43" s="8"/>
      <c r="T43" s="10"/>
      <c r="U43" s="8"/>
      <c r="V43" s="8"/>
      <c r="W43" s="8"/>
      <c r="X43" s="8"/>
      <c r="Y43" s="8"/>
      <c r="Z43" s="8"/>
    </row>
    <row r="44" spans="1:26" x14ac:dyDescent="0.55000000000000004">
      <c r="A44" s="8" t="s">
        <v>150</v>
      </c>
      <c r="B44" s="25" t="s">
        <v>308</v>
      </c>
      <c r="C44" s="25" t="s">
        <v>308</v>
      </c>
      <c r="D44" s="25" t="s">
        <v>308</v>
      </c>
      <c r="E44" s="25" t="s">
        <v>308</v>
      </c>
      <c r="F44" s="25" t="s">
        <v>308</v>
      </c>
      <c r="G44" s="25" t="s">
        <v>308</v>
      </c>
      <c r="H44" s="25" t="s">
        <v>308</v>
      </c>
      <c r="I44" s="25" t="s">
        <v>308</v>
      </c>
      <c r="J44" s="25" t="s">
        <v>308</v>
      </c>
      <c r="K44" s="8"/>
      <c r="L44" s="10"/>
      <c r="M44" s="8"/>
      <c r="N44" s="8" t="s">
        <v>149</v>
      </c>
      <c r="O44" s="26">
        <v>0</v>
      </c>
      <c r="P44" s="25" t="s">
        <v>308</v>
      </c>
      <c r="Q44" s="25" t="s">
        <v>308</v>
      </c>
      <c r="R44" s="25" t="s">
        <v>308</v>
      </c>
      <c r="S44" s="8"/>
      <c r="T44" s="10"/>
      <c r="U44" s="10"/>
      <c r="V44" s="11" t="s">
        <v>309</v>
      </c>
      <c r="W44" s="10"/>
      <c r="X44" s="10"/>
      <c r="Y44" s="10"/>
      <c r="Z44" s="10"/>
    </row>
    <row r="45" spans="1:26" x14ac:dyDescent="0.55000000000000004">
      <c r="A45" s="8" t="s">
        <v>654</v>
      </c>
      <c r="B45" s="25" t="s">
        <v>308</v>
      </c>
      <c r="C45" s="25" t="s">
        <v>308</v>
      </c>
      <c r="D45" s="25" t="s">
        <v>308</v>
      </c>
      <c r="E45" s="25" t="s">
        <v>308</v>
      </c>
      <c r="F45" s="25" t="s">
        <v>308</v>
      </c>
      <c r="G45" s="25" t="s">
        <v>308</v>
      </c>
      <c r="H45" s="25" t="s">
        <v>308</v>
      </c>
      <c r="I45" s="25" t="s">
        <v>308</v>
      </c>
      <c r="J45" s="25" t="s">
        <v>308</v>
      </c>
      <c r="K45" s="8"/>
      <c r="L45" s="10"/>
      <c r="M45" s="8"/>
      <c r="N45" s="8" t="s">
        <v>653</v>
      </c>
      <c r="O45" s="26">
        <v>0</v>
      </c>
      <c r="P45" s="25" t="s">
        <v>308</v>
      </c>
      <c r="Q45" s="25" t="s">
        <v>308</v>
      </c>
      <c r="R45" s="25" t="s">
        <v>308</v>
      </c>
      <c r="S45" s="8"/>
      <c r="T45" s="10"/>
      <c r="U45" s="8"/>
      <c r="V45" s="8"/>
      <c r="W45" s="8"/>
      <c r="X45" s="8"/>
      <c r="Y45" s="8"/>
      <c r="Z45" s="8"/>
    </row>
    <row r="46" spans="1:26" x14ac:dyDescent="0.55000000000000004">
      <c r="A46" s="8" t="s">
        <v>152</v>
      </c>
      <c r="B46" s="25" t="s">
        <v>308</v>
      </c>
      <c r="C46" s="25" t="s">
        <v>308</v>
      </c>
      <c r="D46" s="25" t="s">
        <v>308</v>
      </c>
      <c r="E46" s="25" t="s">
        <v>308</v>
      </c>
      <c r="F46" s="25" t="s">
        <v>308</v>
      </c>
      <c r="G46" s="25" t="s">
        <v>308</v>
      </c>
      <c r="H46" s="25" t="s">
        <v>308</v>
      </c>
      <c r="I46" s="25" t="s">
        <v>308</v>
      </c>
      <c r="J46" s="25" t="s">
        <v>308</v>
      </c>
      <c r="K46" s="8"/>
      <c r="L46" s="10"/>
      <c r="M46" s="8"/>
      <c r="N46" s="8" t="s">
        <v>151</v>
      </c>
      <c r="O46" s="26">
        <v>0</v>
      </c>
      <c r="P46" s="25" t="s">
        <v>308</v>
      </c>
      <c r="Q46" s="25" t="s">
        <v>308</v>
      </c>
      <c r="R46" s="25" t="s">
        <v>308</v>
      </c>
      <c r="S46" s="8"/>
      <c r="T46" s="10"/>
      <c r="U46" s="8"/>
      <c r="V46" s="8" t="s">
        <v>310</v>
      </c>
      <c r="W46" s="8"/>
      <c r="X46" s="8" t="s">
        <v>311</v>
      </c>
      <c r="Y46" s="25" t="s">
        <v>308</v>
      </c>
      <c r="Z46" s="8"/>
    </row>
    <row r="47" spans="1:26" x14ac:dyDescent="0.55000000000000004">
      <c r="A47" s="8" t="s">
        <v>154</v>
      </c>
      <c r="B47" s="25" t="s">
        <v>308</v>
      </c>
      <c r="C47" s="25" t="s">
        <v>308</v>
      </c>
      <c r="D47" s="25" t="s">
        <v>308</v>
      </c>
      <c r="E47" s="25" t="s">
        <v>308</v>
      </c>
      <c r="F47" s="25" t="s">
        <v>308</v>
      </c>
      <c r="G47" s="25" t="s">
        <v>308</v>
      </c>
      <c r="H47" s="25" t="s">
        <v>308</v>
      </c>
      <c r="I47" s="25" t="s">
        <v>308</v>
      </c>
      <c r="J47" s="25" t="s">
        <v>308</v>
      </c>
      <c r="K47" s="8"/>
      <c r="L47" s="10"/>
      <c r="M47" s="8"/>
      <c r="N47" s="8" t="s">
        <v>153</v>
      </c>
      <c r="O47" s="26">
        <v>0</v>
      </c>
      <c r="P47" s="25" t="s">
        <v>308</v>
      </c>
      <c r="Q47" s="25" t="s">
        <v>308</v>
      </c>
      <c r="R47" s="25" t="s">
        <v>308</v>
      </c>
      <c r="S47" s="8"/>
      <c r="T47" s="10"/>
      <c r="U47" s="8"/>
      <c r="V47" s="8" t="s">
        <v>312</v>
      </c>
      <c r="W47" s="8"/>
      <c r="X47" s="8" t="s">
        <v>313</v>
      </c>
      <c r="Y47" s="25" t="s">
        <v>308</v>
      </c>
      <c r="Z47" s="8"/>
    </row>
    <row r="48" spans="1:26" x14ac:dyDescent="0.55000000000000004">
      <c r="A48" s="8" t="s">
        <v>156</v>
      </c>
      <c r="B48" s="25" t="s">
        <v>308</v>
      </c>
      <c r="C48" s="25" t="s">
        <v>308</v>
      </c>
      <c r="D48" s="25" t="s">
        <v>308</v>
      </c>
      <c r="E48" s="25" t="s">
        <v>308</v>
      </c>
      <c r="F48" s="25" t="s">
        <v>308</v>
      </c>
      <c r="G48" s="25" t="s">
        <v>308</v>
      </c>
      <c r="H48" s="25" t="s">
        <v>308</v>
      </c>
      <c r="I48" s="25" t="s">
        <v>308</v>
      </c>
      <c r="J48" s="25" t="s">
        <v>308</v>
      </c>
      <c r="K48" s="8"/>
      <c r="L48" s="10"/>
      <c r="M48" s="8"/>
      <c r="N48" s="8" t="s">
        <v>155</v>
      </c>
      <c r="O48" s="26">
        <v>0</v>
      </c>
      <c r="P48" s="25" t="s">
        <v>308</v>
      </c>
      <c r="Q48" s="25" t="s">
        <v>308</v>
      </c>
      <c r="R48" s="25" t="s">
        <v>308</v>
      </c>
      <c r="S48" s="8"/>
      <c r="T48" s="10"/>
      <c r="U48" s="8"/>
      <c r="V48" s="8" t="s">
        <v>314</v>
      </c>
      <c r="W48" s="8"/>
      <c r="X48" s="8" t="s">
        <v>315</v>
      </c>
      <c r="Y48" s="25" t="s">
        <v>308</v>
      </c>
      <c r="Z48" s="8"/>
    </row>
    <row r="49" spans="1:26" x14ac:dyDescent="0.55000000000000004">
      <c r="A49" s="8" t="s">
        <v>160</v>
      </c>
      <c r="B49" s="25" t="s">
        <v>308</v>
      </c>
      <c r="C49" s="25" t="s">
        <v>308</v>
      </c>
      <c r="D49" s="25" t="s">
        <v>308</v>
      </c>
      <c r="E49" s="25" t="s">
        <v>308</v>
      </c>
      <c r="F49" s="25" t="s">
        <v>308</v>
      </c>
      <c r="G49" s="25" t="s">
        <v>308</v>
      </c>
      <c r="H49" s="25" t="s">
        <v>308</v>
      </c>
      <c r="I49" s="25" t="s">
        <v>308</v>
      </c>
      <c r="J49" s="25" t="s">
        <v>308</v>
      </c>
      <c r="K49" s="8"/>
      <c r="L49" s="10"/>
      <c r="M49" s="8"/>
      <c r="N49" s="8" t="s">
        <v>159</v>
      </c>
      <c r="O49" s="26">
        <v>0</v>
      </c>
      <c r="P49" s="25" t="s">
        <v>308</v>
      </c>
      <c r="Q49" s="25" t="s">
        <v>308</v>
      </c>
      <c r="R49" s="25" t="s">
        <v>308</v>
      </c>
      <c r="S49" s="8"/>
      <c r="T49" s="10"/>
      <c r="U49" s="8"/>
      <c r="V49" s="8" t="s">
        <v>333</v>
      </c>
      <c r="W49" s="8"/>
      <c r="X49" s="8" t="s">
        <v>316</v>
      </c>
      <c r="Y49" s="25" t="s">
        <v>308</v>
      </c>
      <c r="Z49" s="8"/>
    </row>
    <row r="50" spans="1:26" x14ac:dyDescent="0.55000000000000004">
      <c r="A50" s="8" t="s">
        <v>162</v>
      </c>
      <c r="B50" s="25" t="s">
        <v>308</v>
      </c>
      <c r="C50" s="25" t="s">
        <v>308</v>
      </c>
      <c r="D50" s="25" t="s">
        <v>308</v>
      </c>
      <c r="E50" s="25" t="s">
        <v>308</v>
      </c>
      <c r="F50" s="25" t="s">
        <v>308</v>
      </c>
      <c r="G50" s="25" t="s">
        <v>308</v>
      </c>
      <c r="H50" s="25" t="s">
        <v>308</v>
      </c>
      <c r="I50" s="25" t="s">
        <v>308</v>
      </c>
      <c r="J50" s="25" t="s">
        <v>308</v>
      </c>
      <c r="K50" s="8"/>
      <c r="L50" s="10"/>
      <c r="M50" s="8"/>
      <c r="N50" s="8" t="s">
        <v>161</v>
      </c>
      <c r="O50" s="26">
        <v>0</v>
      </c>
      <c r="P50" s="25" t="s">
        <v>308</v>
      </c>
      <c r="Q50" s="25" t="s">
        <v>308</v>
      </c>
      <c r="R50" s="25" t="s">
        <v>308</v>
      </c>
      <c r="S50" s="8"/>
      <c r="T50" s="10"/>
      <c r="U50" s="8"/>
      <c r="V50" s="8" t="s">
        <v>334</v>
      </c>
      <c r="W50" s="8"/>
      <c r="X50" s="8" t="s">
        <v>317</v>
      </c>
      <c r="Y50" s="25" t="s">
        <v>308</v>
      </c>
      <c r="Z50" s="8"/>
    </row>
    <row r="51" spans="1:26" x14ac:dyDescent="0.55000000000000004">
      <c r="A51" s="8" t="s">
        <v>158</v>
      </c>
      <c r="B51" s="25" t="s">
        <v>308</v>
      </c>
      <c r="C51" s="25" t="s">
        <v>308</v>
      </c>
      <c r="D51" s="25" t="s">
        <v>308</v>
      </c>
      <c r="E51" s="25" t="s">
        <v>308</v>
      </c>
      <c r="F51" s="25" t="s">
        <v>308</v>
      </c>
      <c r="G51" s="25" t="s">
        <v>308</v>
      </c>
      <c r="H51" s="25" t="s">
        <v>308</v>
      </c>
      <c r="I51" s="25" t="s">
        <v>308</v>
      </c>
      <c r="J51" s="25" t="s">
        <v>308</v>
      </c>
      <c r="K51" s="8"/>
      <c r="L51" s="10"/>
      <c r="M51" s="8"/>
      <c r="N51" s="8" t="s">
        <v>157</v>
      </c>
      <c r="O51" s="26">
        <v>0</v>
      </c>
      <c r="P51" s="25" t="s">
        <v>308</v>
      </c>
      <c r="Q51" s="25" t="s">
        <v>308</v>
      </c>
      <c r="R51" s="25" t="s">
        <v>308</v>
      </c>
      <c r="S51" s="8"/>
      <c r="T51" s="10"/>
      <c r="U51" s="8"/>
      <c r="V51" s="8" t="s">
        <v>335</v>
      </c>
      <c r="W51" s="8"/>
      <c r="X51" s="8" t="s">
        <v>318</v>
      </c>
      <c r="Y51" s="25" t="s">
        <v>308</v>
      </c>
      <c r="Z51" s="8"/>
    </row>
    <row r="52" spans="1:26" x14ac:dyDescent="0.55000000000000004">
      <c r="A52" s="8" t="s">
        <v>164</v>
      </c>
      <c r="B52" s="25" t="s">
        <v>308</v>
      </c>
      <c r="C52" s="25" t="s">
        <v>308</v>
      </c>
      <c r="D52" s="25" t="s">
        <v>308</v>
      </c>
      <c r="E52" s="25" t="s">
        <v>308</v>
      </c>
      <c r="F52" s="25" t="s">
        <v>308</v>
      </c>
      <c r="G52" s="25" t="s">
        <v>308</v>
      </c>
      <c r="H52" s="25" t="s">
        <v>308</v>
      </c>
      <c r="I52" s="25" t="s">
        <v>308</v>
      </c>
      <c r="J52" s="25" t="s">
        <v>308</v>
      </c>
      <c r="K52" s="8"/>
      <c r="L52" s="10"/>
      <c r="M52" s="8"/>
      <c r="N52" s="8" t="s">
        <v>163</v>
      </c>
      <c r="O52" s="26">
        <v>0</v>
      </c>
      <c r="P52" s="25" t="s">
        <v>308</v>
      </c>
      <c r="Q52" s="25" t="s">
        <v>308</v>
      </c>
      <c r="R52" s="25" t="s">
        <v>308</v>
      </c>
      <c r="S52" s="8"/>
      <c r="T52" s="10"/>
      <c r="U52" s="8"/>
      <c r="V52" s="8"/>
      <c r="W52" s="8"/>
      <c r="X52" s="8" t="s">
        <v>319</v>
      </c>
      <c r="Y52" s="25" t="s">
        <v>308</v>
      </c>
      <c r="Z52" s="8"/>
    </row>
    <row r="53" spans="1:26" x14ac:dyDescent="0.55000000000000004">
      <c r="A53" s="8" t="s">
        <v>664</v>
      </c>
      <c r="B53" s="25" t="s">
        <v>308</v>
      </c>
      <c r="C53" s="25" t="s">
        <v>308</v>
      </c>
      <c r="D53" s="25" t="s">
        <v>308</v>
      </c>
      <c r="E53" s="25" t="s">
        <v>308</v>
      </c>
      <c r="F53" s="25" t="s">
        <v>308</v>
      </c>
      <c r="G53" s="25" t="s">
        <v>308</v>
      </c>
      <c r="H53" s="25" t="s">
        <v>308</v>
      </c>
      <c r="I53" s="25" t="s">
        <v>308</v>
      </c>
      <c r="J53" s="25" t="s">
        <v>308</v>
      </c>
      <c r="K53" s="8"/>
      <c r="L53" s="10"/>
      <c r="M53" s="8"/>
      <c r="N53" s="8" t="s">
        <v>663</v>
      </c>
      <c r="O53" s="26">
        <v>0</v>
      </c>
      <c r="P53" s="25" t="s">
        <v>308</v>
      </c>
      <c r="Q53" s="25" t="s">
        <v>308</v>
      </c>
      <c r="R53" s="25" t="s">
        <v>308</v>
      </c>
      <c r="S53" s="8"/>
      <c r="T53" s="10"/>
      <c r="U53" s="8"/>
      <c r="V53" s="8" t="s">
        <v>336</v>
      </c>
      <c r="W53" s="8"/>
      <c r="X53" s="8" t="s">
        <v>320</v>
      </c>
      <c r="Y53" s="25" t="s">
        <v>308</v>
      </c>
      <c r="Z53" s="8"/>
    </row>
    <row r="54" spans="1:26" x14ac:dyDescent="0.55000000000000004">
      <c r="A54" s="8" t="s">
        <v>169</v>
      </c>
      <c r="B54" s="25" t="s">
        <v>308</v>
      </c>
      <c r="C54" s="25" t="s">
        <v>308</v>
      </c>
      <c r="D54" s="25" t="s">
        <v>308</v>
      </c>
      <c r="E54" s="25" t="s">
        <v>308</v>
      </c>
      <c r="F54" s="25" t="s">
        <v>308</v>
      </c>
      <c r="G54" s="25" t="s">
        <v>308</v>
      </c>
      <c r="H54" s="25" t="s">
        <v>308</v>
      </c>
      <c r="I54" s="25" t="s">
        <v>308</v>
      </c>
      <c r="J54" s="25" t="s">
        <v>308</v>
      </c>
      <c r="K54" s="8"/>
      <c r="L54" s="10"/>
      <c r="M54" s="8"/>
      <c r="N54" s="8" t="s">
        <v>168</v>
      </c>
      <c r="O54" s="26">
        <v>0</v>
      </c>
      <c r="P54" s="25" t="s">
        <v>308</v>
      </c>
      <c r="Q54" s="25" t="s">
        <v>308</v>
      </c>
      <c r="R54" s="25" t="s">
        <v>308</v>
      </c>
      <c r="S54" s="8"/>
      <c r="T54" s="10"/>
      <c r="U54" s="8"/>
      <c r="V54" s="8"/>
      <c r="W54" s="8"/>
      <c r="X54" s="8" t="s">
        <v>321</v>
      </c>
      <c r="Y54" s="25" t="s">
        <v>308</v>
      </c>
      <c r="Z54" s="8"/>
    </row>
    <row r="55" spans="1:26" x14ac:dyDescent="0.55000000000000004">
      <c r="A55" s="8" t="s">
        <v>166</v>
      </c>
      <c r="B55" s="25" t="s">
        <v>308</v>
      </c>
      <c r="C55" s="25" t="s">
        <v>308</v>
      </c>
      <c r="D55" s="25" t="s">
        <v>308</v>
      </c>
      <c r="E55" s="25" t="s">
        <v>308</v>
      </c>
      <c r="F55" s="25" t="s">
        <v>308</v>
      </c>
      <c r="G55" s="25" t="s">
        <v>308</v>
      </c>
      <c r="H55" s="25" t="s">
        <v>308</v>
      </c>
      <c r="I55" s="25" t="s">
        <v>308</v>
      </c>
      <c r="J55" s="25" t="s">
        <v>308</v>
      </c>
      <c r="K55" s="8"/>
      <c r="L55" s="10"/>
      <c r="M55" s="8"/>
      <c r="N55" s="8" t="s">
        <v>165</v>
      </c>
      <c r="O55" s="26">
        <v>0</v>
      </c>
      <c r="P55" s="25" t="s">
        <v>308</v>
      </c>
      <c r="Q55" s="25" t="s">
        <v>308</v>
      </c>
      <c r="R55" s="25" t="s">
        <v>308</v>
      </c>
      <c r="S55" s="8"/>
      <c r="T55" s="10"/>
      <c r="U55" s="8"/>
      <c r="V55" s="8"/>
      <c r="W55" s="8"/>
      <c r="X55" s="8"/>
      <c r="Y55" s="8"/>
      <c r="Z55" s="8"/>
    </row>
    <row r="56" spans="1:26" x14ac:dyDescent="0.55000000000000004">
      <c r="A56" s="8" t="s">
        <v>669</v>
      </c>
      <c r="B56" s="25" t="s">
        <v>308</v>
      </c>
      <c r="C56" s="25" t="s">
        <v>308</v>
      </c>
      <c r="D56" s="25" t="s">
        <v>308</v>
      </c>
      <c r="E56" s="25" t="s">
        <v>308</v>
      </c>
      <c r="F56" s="25" t="s">
        <v>308</v>
      </c>
      <c r="G56" s="25" t="s">
        <v>308</v>
      </c>
      <c r="H56" s="25" t="s">
        <v>308</v>
      </c>
      <c r="I56" s="25" t="s">
        <v>308</v>
      </c>
      <c r="J56" s="25" t="s">
        <v>308</v>
      </c>
      <c r="K56" s="8"/>
      <c r="L56" s="10"/>
      <c r="M56" s="8"/>
      <c r="N56" s="8" t="s">
        <v>668</v>
      </c>
      <c r="O56" s="26">
        <v>0</v>
      </c>
      <c r="P56" s="25" t="s">
        <v>308</v>
      </c>
      <c r="Q56" s="25" t="s">
        <v>308</v>
      </c>
      <c r="R56" s="25" t="s">
        <v>308</v>
      </c>
      <c r="S56" s="8"/>
      <c r="T56" s="10"/>
      <c r="U56" s="10"/>
      <c r="V56" s="11" t="s">
        <v>324</v>
      </c>
      <c r="W56" s="10"/>
      <c r="X56" s="10"/>
      <c r="Y56" s="10"/>
      <c r="Z56" s="10"/>
    </row>
    <row r="57" spans="1:26" x14ac:dyDescent="0.55000000000000004">
      <c r="A57" s="8" t="s">
        <v>171</v>
      </c>
      <c r="B57" s="25" t="s">
        <v>308</v>
      </c>
      <c r="C57" s="25" t="s">
        <v>308</v>
      </c>
      <c r="D57" s="25" t="s">
        <v>308</v>
      </c>
      <c r="E57" s="25" t="s">
        <v>308</v>
      </c>
      <c r="F57" s="25" t="s">
        <v>308</v>
      </c>
      <c r="G57" s="25" t="s">
        <v>308</v>
      </c>
      <c r="H57" s="25" t="s">
        <v>308</v>
      </c>
      <c r="I57" s="25" t="s">
        <v>308</v>
      </c>
      <c r="J57" s="25" t="s">
        <v>308</v>
      </c>
      <c r="K57" s="8"/>
      <c r="L57" s="10"/>
      <c r="M57" s="8"/>
      <c r="N57" s="8" t="s">
        <v>170</v>
      </c>
      <c r="O57" s="26">
        <v>0</v>
      </c>
      <c r="P57" s="25" t="s">
        <v>308</v>
      </c>
      <c r="Q57" s="25" t="s">
        <v>308</v>
      </c>
      <c r="R57" s="25" t="s">
        <v>308</v>
      </c>
      <c r="S57" s="8"/>
      <c r="T57" s="10"/>
      <c r="U57" s="13"/>
      <c r="V57" s="13"/>
      <c r="W57" s="13"/>
      <c r="X57" s="15" t="s">
        <v>325</v>
      </c>
      <c r="Y57" s="15" t="s">
        <v>326</v>
      </c>
      <c r="Z57" s="13"/>
    </row>
    <row r="58" spans="1:26" x14ac:dyDescent="0.55000000000000004">
      <c r="A58" s="8" t="s">
        <v>173</v>
      </c>
      <c r="B58" s="25" t="s">
        <v>308</v>
      </c>
      <c r="C58" s="25" t="s">
        <v>308</v>
      </c>
      <c r="D58" s="25" t="s">
        <v>308</v>
      </c>
      <c r="E58" s="25" t="s">
        <v>308</v>
      </c>
      <c r="F58" s="25" t="s">
        <v>308</v>
      </c>
      <c r="G58" s="25" t="s">
        <v>308</v>
      </c>
      <c r="H58" s="25" t="s">
        <v>308</v>
      </c>
      <c r="I58" s="25" t="s">
        <v>308</v>
      </c>
      <c r="J58" s="25" t="s">
        <v>308</v>
      </c>
      <c r="K58" s="8"/>
      <c r="L58" s="10"/>
      <c r="M58" s="8"/>
      <c r="N58" s="8" t="s">
        <v>172</v>
      </c>
      <c r="O58" s="26">
        <v>0</v>
      </c>
      <c r="P58" s="25" t="s">
        <v>308</v>
      </c>
      <c r="Q58" s="25" t="s">
        <v>308</v>
      </c>
      <c r="R58" s="25" t="s">
        <v>308</v>
      </c>
      <c r="S58" s="8"/>
      <c r="T58" s="10"/>
      <c r="U58" s="13"/>
      <c r="V58" s="13"/>
      <c r="W58" s="13"/>
      <c r="X58" s="16" t="s">
        <v>327</v>
      </c>
      <c r="Y58" s="16" t="s">
        <v>328</v>
      </c>
      <c r="Z58" s="13"/>
    </row>
    <row r="59" spans="1:26" x14ac:dyDescent="0.55000000000000004">
      <c r="A59" s="8" t="s">
        <v>175</v>
      </c>
      <c r="B59" s="25" t="s">
        <v>308</v>
      </c>
      <c r="C59" s="25" t="s">
        <v>308</v>
      </c>
      <c r="D59" s="25" t="s">
        <v>308</v>
      </c>
      <c r="E59" s="25" t="s">
        <v>308</v>
      </c>
      <c r="F59" s="25" t="s">
        <v>308</v>
      </c>
      <c r="G59" s="25" t="s">
        <v>308</v>
      </c>
      <c r="H59" s="25" t="s">
        <v>308</v>
      </c>
      <c r="I59" s="25" t="s">
        <v>308</v>
      </c>
      <c r="J59" s="25" t="s">
        <v>308</v>
      </c>
      <c r="K59" s="8"/>
      <c r="L59" s="10"/>
      <c r="M59" s="8"/>
      <c r="N59" s="8" t="s">
        <v>174</v>
      </c>
      <c r="O59" s="26">
        <v>0</v>
      </c>
      <c r="P59" s="25" t="s">
        <v>308</v>
      </c>
      <c r="Q59" s="25" t="s">
        <v>308</v>
      </c>
      <c r="R59" s="25" t="s">
        <v>308</v>
      </c>
      <c r="S59" s="8"/>
      <c r="T59" s="10"/>
      <c r="U59" s="8"/>
      <c r="V59" s="8" t="s">
        <v>329</v>
      </c>
      <c r="W59" s="8" t="s">
        <v>24</v>
      </c>
      <c r="X59" s="23">
        <v>1</v>
      </c>
      <c r="Y59" s="23">
        <v>1</v>
      </c>
      <c r="Z59" s="8"/>
    </row>
    <row r="60" spans="1:26" x14ac:dyDescent="0.55000000000000004">
      <c r="A60" s="8" t="s">
        <v>177</v>
      </c>
      <c r="B60" s="25" t="s">
        <v>308</v>
      </c>
      <c r="C60" s="25" t="s">
        <v>308</v>
      </c>
      <c r="D60" s="25" t="s">
        <v>308</v>
      </c>
      <c r="E60" s="25" t="s">
        <v>308</v>
      </c>
      <c r="F60" s="25" t="s">
        <v>308</v>
      </c>
      <c r="G60" s="25" t="s">
        <v>308</v>
      </c>
      <c r="H60" s="25" t="s">
        <v>308</v>
      </c>
      <c r="I60" s="25" t="s">
        <v>308</v>
      </c>
      <c r="J60" s="25" t="s">
        <v>308</v>
      </c>
      <c r="K60" s="8"/>
      <c r="L60" s="10"/>
      <c r="M60" s="8"/>
      <c r="N60" s="8" t="s">
        <v>176</v>
      </c>
      <c r="O60" s="26">
        <v>0</v>
      </c>
      <c r="P60" s="25" t="s">
        <v>308</v>
      </c>
      <c r="Q60" s="25" t="s">
        <v>308</v>
      </c>
      <c r="R60" s="25" t="s">
        <v>308</v>
      </c>
      <c r="S60" s="8"/>
      <c r="T60" s="10"/>
      <c r="U60" s="8"/>
      <c r="V60" s="8" t="s">
        <v>330</v>
      </c>
      <c r="W60" s="8" t="s">
        <v>791</v>
      </c>
      <c r="X60" s="23">
        <v>1</v>
      </c>
      <c r="Y60" s="23">
        <v>1</v>
      </c>
      <c r="Z60" s="8"/>
    </row>
    <row r="61" spans="1:26" x14ac:dyDescent="0.55000000000000004">
      <c r="A61" s="8" t="s">
        <v>676</v>
      </c>
      <c r="B61" s="25" t="s">
        <v>308</v>
      </c>
      <c r="C61" s="25" t="s">
        <v>308</v>
      </c>
      <c r="D61" s="25" t="s">
        <v>308</v>
      </c>
      <c r="E61" s="25" t="s">
        <v>308</v>
      </c>
      <c r="F61" s="25" t="s">
        <v>308</v>
      </c>
      <c r="G61" s="25" t="s">
        <v>308</v>
      </c>
      <c r="H61" s="25" t="s">
        <v>308</v>
      </c>
      <c r="I61" s="25" t="s">
        <v>308</v>
      </c>
      <c r="J61" s="25" t="s">
        <v>308</v>
      </c>
      <c r="K61" s="8"/>
      <c r="L61" s="10"/>
      <c r="M61" s="8"/>
      <c r="N61" s="8" t="s">
        <v>675</v>
      </c>
      <c r="O61" s="26">
        <v>0</v>
      </c>
      <c r="P61" s="25" t="s">
        <v>308</v>
      </c>
      <c r="Q61" s="25" t="s">
        <v>308</v>
      </c>
      <c r="R61" s="25" t="s">
        <v>308</v>
      </c>
      <c r="S61" s="8"/>
      <c r="T61" s="10"/>
      <c r="U61" s="8"/>
      <c r="V61" s="8"/>
      <c r="W61" s="8" t="s">
        <v>792</v>
      </c>
      <c r="X61" s="23">
        <v>1</v>
      </c>
      <c r="Y61" s="23">
        <v>1</v>
      </c>
      <c r="Z61" s="8"/>
    </row>
    <row r="62" spans="1:26" x14ac:dyDescent="0.55000000000000004">
      <c r="A62" s="8" t="s">
        <v>179</v>
      </c>
      <c r="B62" s="25" t="s">
        <v>308</v>
      </c>
      <c r="C62" s="25" t="s">
        <v>308</v>
      </c>
      <c r="D62" s="25" t="s">
        <v>308</v>
      </c>
      <c r="E62" s="25" t="s">
        <v>308</v>
      </c>
      <c r="F62" s="25" t="s">
        <v>308</v>
      </c>
      <c r="G62" s="25" t="s">
        <v>308</v>
      </c>
      <c r="H62" s="25" t="s">
        <v>308</v>
      </c>
      <c r="I62" s="25" t="s">
        <v>308</v>
      </c>
      <c r="J62" s="25" t="s">
        <v>308</v>
      </c>
      <c r="K62" s="8"/>
      <c r="L62" s="10"/>
      <c r="M62" s="8"/>
      <c r="N62" s="8" t="s">
        <v>178</v>
      </c>
      <c r="O62" s="26">
        <v>0</v>
      </c>
      <c r="P62" s="25" t="s">
        <v>308</v>
      </c>
      <c r="Q62" s="25" t="s">
        <v>308</v>
      </c>
      <c r="R62" s="25" t="s">
        <v>308</v>
      </c>
      <c r="S62" s="8"/>
      <c r="T62" s="10"/>
      <c r="U62" s="8"/>
      <c r="V62" s="8"/>
      <c r="W62" s="8" t="s">
        <v>793</v>
      </c>
      <c r="X62" s="23">
        <v>1</v>
      </c>
      <c r="Y62" s="23">
        <v>1</v>
      </c>
      <c r="Z62" s="8"/>
    </row>
    <row r="63" spans="1:26" x14ac:dyDescent="0.55000000000000004">
      <c r="A63" s="8" t="s">
        <v>181</v>
      </c>
      <c r="B63" s="25" t="s">
        <v>308</v>
      </c>
      <c r="C63" s="25" t="s">
        <v>308</v>
      </c>
      <c r="D63" s="25" t="s">
        <v>308</v>
      </c>
      <c r="E63" s="25" t="s">
        <v>308</v>
      </c>
      <c r="F63" s="25" t="s">
        <v>308</v>
      </c>
      <c r="G63" s="25" t="s">
        <v>308</v>
      </c>
      <c r="H63" s="25" t="s">
        <v>308</v>
      </c>
      <c r="I63" s="25" t="s">
        <v>308</v>
      </c>
      <c r="J63" s="25" t="s">
        <v>308</v>
      </c>
      <c r="K63" s="8"/>
      <c r="L63" s="10"/>
      <c r="M63" s="8"/>
      <c r="N63" s="8" t="s">
        <v>180</v>
      </c>
      <c r="O63" s="26">
        <v>0</v>
      </c>
      <c r="P63" s="25" t="s">
        <v>308</v>
      </c>
      <c r="Q63" s="25" t="s">
        <v>308</v>
      </c>
      <c r="R63" s="25" t="s">
        <v>308</v>
      </c>
      <c r="S63" s="8"/>
      <c r="T63" s="10"/>
      <c r="U63" s="8"/>
      <c r="V63" s="8"/>
      <c r="W63" s="8" t="s">
        <v>794</v>
      </c>
      <c r="X63" s="23">
        <v>1</v>
      </c>
      <c r="Y63" s="23">
        <v>1</v>
      </c>
      <c r="Z63" s="8"/>
    </row>
    <row r="64" spans="1:26" x14ac:dyDescent="0.55000000000000004">
      <c r="A64" s="8" t="s">
        <v>681</v>
      </c>
      <c r="B64" s="25" t="s">
        <v>308</v>
      </c>
      <c r="C64" s="25" t="s">
        <v>308</v>
      </c>
      <c r="D64" s="25" t="s">
        <v>308</v>
      </c>
      <c r="E64" s="25" t="s">
        <v>308</v>
      </c>
      <c r="F64" s="25" t="s">
        <v>308</v>
      </c>
      <c r="G64" s="25" t="s">
        <v>308</v>
      </c>
      <c r="H64" s="25" t="s">
        <v>308</v>
      </c>
      <c r="I64" s="25" t="s">
        <v>308</v>
      </c>
      <c r="J64" s="25" t="s">
        <v>308</v>
      </c>
      <c r="K64" s="8"/>
      <c r="L64" s="10"/>
      <c r="M64" s="8"/>
      <c r="N64" s="8" t="s">
        <v>680</v>
      </c>
      <c r="O64" s="26">
        <v>0</v>
      </c>
      <c r="P64" s="25" t="s">
        <v>308</v>
      </c>
      <c r="Q64" s="25" t="s">
        <v>308</v>
      </c>
      <c r="R64" s="25" t="s">
        <v>308</v>
      </c>
      <c r="S64" s="8"/>
      <c r="T64" s="10"/>
      <c r="U64" s="8"/>
      <c r="V64" s="8"/>
      <c r="W64" s="8" t="s">
        <v>795</v>
      </c>
      <c r="X64" s="23">
        <v>1</v>
      </c>
      <c r="Y64" s="23">
        <v>1</v>
      </c>
      <c r="Z64" s="8"/>
    </row>
    <row r="65" spans="1:26" x14ac:dyDescent="0.55000000000000004">
      <c r="A65" s="8" t="s">
        <v>684</v>
      </c>
      <c r="B65" s="25" t="s">
        <v>308</v>
      </c>
      <c r="C65" s="25" t="s">
        <v>308</v>
      </c>
      <c r="D65" s="25" t="s">
        <v>308</v>
      </c>
      <c r="E65" s="25" t="s">
        <v>308</v>
      </c>
      <c r="F65" s="25" t="s">
        <v>308</v>
      </c>
      <c r="G65" s="25" t="s">
        <v>308</v>
      </c>
      <c r="H65" s="25" t="s">
        <v>308</v>
      </c>
      <c r="I65" s="25" t="s">
        <v>308</v>
      </c>
      <c r="J65" s="25" t="s">
        <v>308</v>
      </c>
      <c r="K65" s="8"/>
      <c r="L65" s="10"/>
      <c r="M65" s="8"/>
      <c r="N65" s="8" t="s">
        <v>683</v>
      </c>
      <c r="O65" s="26">
        <v>0</v>
      </c>
      <c r="P65" s="25" t="s">
        <v>308</v>
      </c>
      <c r="Q65" s="25" t="s">
        <v>308</v>
      </c>
      <c r="R65" s="25" t="s">
        <v>308</v>
      </c>
      <c r="S65" s="8"/>
      <c r="T65" s="10"/>
      <c r="U65" s="8"/>
      <c r="V65" s="8"/>
      <c r="W65" s="8" t="s">
        <v>89</v>
      </c>
      <c r="X65" s="23">
        <v>1</v>
      </c>
      <c r="Y65" s="23">
        <v>1</v>
      </c>
      <c r="Z65" s="8"/>
    </row>
    <row r="66" spans="1:26" x14ac:dyDescent="0.55000000000000004">
      <c r="A66" s="8" t="s">
        <v>183</v>
      </c>
      <c r="B66" s="25" t="s">
        <v>308</v>
      </c>
      <c r="C66" s="25" t="s">
        <v>308</v>
      </c>
      <c r="D66" s="25" t="s">
        <v>308</v>
      </c>
      <c r="E66" s="25" t="s">
        <v>308</v>
      </c>
      <c r="F66" s="25" t="s">
        <v>308</v>
      </c>
      <c r="G66" s="25" t="s">
        <v>308</v>
      </c>
      <c r="H66" s="25" t="s">
        <v>308</v>
      </c>
      <c r="I66" s="25" t="s">
        <v>308</v>
      </c>
      <c r="J66" s="25" t="s">
        <v>308</v>
      </c>
      <c r="K66" s="8"/>
      <c r="L66" s="10"/>
      <c r="M66" s="8"/>
      <c r="N66" s="8" t="s">
        <v>182</v>
      </c>
      <c r="O66" s="26">
        <v>0</v>
      </c>
      <c r="P66" s="25" t="s">
        <v>308</v>
      </c>
      <c r="Q66" s="25" t="s">
        <v>308</v>
      </c>
      <c r="R66" s="25" t="s">
        <v>308</v>
      </c>
      <c r="S66" s="8"/>
      <c r="T66" s="10"/>
      <c r="U66" s="8"/>
      <c r="V66" s="8"/>
      <c r="W66" s="8" t="s">
        <v>97</v>
      </c>
      <c r="X66" s="23">
        <v>1</v>
      </c>
      <c r="Y66" s="23">
        <v>1</v>
      </c>
      <c r="Z66" s="8"/>
    </row>
    <row r="67" spans="1:26" x14ac:dyDescent="0.55000000000000004">
      <c r="A67" s="8" t="s">
        <v>688</v>
      </c>
      <c r="B67" s="25" t="s">
        <v>308</v>
      </c>
      <c r="C67" s="25" t="s">
        <v>308</v>
      </c>
      <c r="D67" s="25" t="s">
        <v>308</v>
      </c>
      <c r="E67" s="25" t="s">
        <v>308</v>
      </c>
      <c r="F67" s="25" t="s">
        <v>308</v>
      </c>
      <c r="G67" s="25" t="s">
        <v>308</v>
      </c>
      <c r="H67" s="25" t="s">
        <v>308</v>
      </c>
      <c r="I67" s="25" t="s">
        <v>308</v>
      </c>
      <c r="J67" s="25" t="s">
        <v>308</v>
      </c>
      <c r="K67" s="8"/>
      <c r="L67" s="10"/>
      <c r="M67" s="8"/>
      <c r="N67" s="8" t="s">
        <v>687</v>
      </c>
      <c r="O67" s="26">
        <v>0</v>
      </c>
      <c r="P67" s="25" t="s">
        <v>308</v>
      </c>
      <c r="Q67" s="25" t="s">
        <v>308</v>
      </c>
      <c r="R67" s="25" t="s">
        <v>308</v>
      </c>
      <c r="S67" s="8"/>
      <c r="T67" s="10"/>
      <c r="U67" s="8"/>
      <c r="V67" s="8"/>
      <c r="W67" s="8" t="s">
        <v>103</v>
      </c>
      <c r="X67" s="23">
        <v>1</v>
      </c>
      <c r="Y67" s="23">
        <v>1</v>
      </c>
      <c r="Z67" s="8"/>
    </row>
    <row r="68" spans="1:26" x14ac:dyDescent="0.55000000000000004">
      <c r="A68" s="8" t="s">
        <v>691</v>
      </c>
      <c r="B68" s="25" t="s">
        <v>308</v>
      </c>
      <c r="C68" s="25" t="s">
        <v>308</v>
      </c>
      <c r="D68" s="25" t="s">
        <v>308</v>
      </c>
      <c r="E68" s="25" t="s">
        <v>308</v>
      </c>
      <c r="F68" s="25" t="s">
        <v>308</v>
      </c>
      <c r="G68" s="25" t="s">
        <v>308</v>
      </c>
      <c r="H68" s="25" t="s">
        <v>308</v>
      </c>
      <c r="I68" s="25" t="s">
        <v>308</v>
      </c>
      <c r="J68" s="25" t="s">
        <v>308</v>
      </c>
      <c r="K68" s="8"/>
      <c r="L68" s="10"/>
      <c r="M68" s="8"/>
      <c r="N68" s="8" t="s">
        <v>690</v>
      </c>
      <c r="O68" s="26">
        <v>0</v>
      </c>
      <c r="P68" s="25" t="s">
        <v>308</v>
      </c>
      <c r="Q68" s="25" t="s">
        <v>308</v>
      </c>
      <c r="R68" s="25" t="s">
        <v>308</v>
      </c>
      <c r="S68" s="8"/>
      <c r="T68" s="10"/>
      <c r="U68" s="8"/>
      <c r="V68" s="8"/>
      <c r="W68" s="8" t="s">
        <v>109</v>
      </c>
      <c r="X68" s="23">
        <v>1</v>
      </c>
      <c r="Y68" s="23">
        <v>1</v>
      </c>
      <c r="Z68" s="8"/>
    </row>
    <row r="69" spans="1:26" x14ac:dyDescent="0.55000000000000004">
      <c r="A69" s="8" t="s">
        <v>186</v>
      </c>
      <c r="B69" s="25" t="s">
        <v>308</v>
      </c>
      <c r="C69" s="25" t="s">
        <v>308</v>
      </c>
      <c r="D69" s="25" t="s">
        <v>308</v>
      </c>
      <c r="E69" s="25" t="s">
        <v>308</v>
      </c>
      <c r="F69" s="25" t="s">
        <v>308</v>
      </c>
      <c r="G69" s="25" t="s">
        <v>308</v>
      </c>
      <c r="H69" s="25" t="s">
        <v>308</v>
      </c>
      <c r="I69" s="25" t="s">
        <v>308</v>
      </c>
      <c r="J69" s="25" t="s">
        <v>308</v>
      </c>
      <c r="K69" s="8"/>
      <c r="L69" s="10"/>
      <c r="M69" s="8"/>
      <c r="N69" s="8" t="s">
        <v>185</v>
      </c>
      <c r="O69" s="26">
        <v>0</v>
      </c>
      <c r="P69" s="25" t="s">
        <v>308</v>
      </c>
      <c r="Q69" s="25" t="s">
        <v>308</v>
      </c>
      <c r="R69" s="25" t="s">
        <v>308</v>
      </c>
      <c r="S69" s="8"/>
      <c r="T69" s="10"/>
      <c r="U69" s="8"/>
      <c r="V69" s="8"/>
      <c r="W69" s="8" t="s">
        <v>113</v>
      </c>
      <c r="X69" s="23">
        <v>1</v>
      </c>
      <c r="Y69" s="23">
        <v>1</v>
      </c>
      <c r="Z69" s="8"/>
    </row>
    <row r="70" spans="1:26" x14ac:dyDescent="0.55000000000000004">
      <c r="A70" s="8" t="s">
        <v>188</v>
      </c>
      <c r="B70" s="25" t="s">
        <v>308</v>
      </c>
      <c r="C70" s="25" t="s">
        <v>308</v>
      </c>
      <c r="D70" s="25" t="s">
        <v>308</v>
      </c>
      <c r="E70" s="25" t="s">
        <v>308</v>
      </c>
      <c r="F70" s="25" t="s">
        <v>308</v>
      </c>
      <c r="G70" s="25" t="s">
        <v>308</v>
      </c>
      <c r="H70" s="25" t="s">
        <v>308</v>
      </c>
      <c r="I70" s="25" t="s">
        <v>308</v>
      </c>
      <c r="J70" s="25" t="s">
        <v>308</v>
      </c>
      <c r="K70" s="8"/>
      <c r="L70" s="10"/>
      <c r="M70" s="8"/>
      <c r="N70" s="8" t="s">
        <v>187</v>
      </c>
      <c r="O70" s="26">
        <v>0</v>
      </c>
      <c r="P70" s="25" t="s">
        <v>308</v>
      </c>
      <c r="Q70" s="25" t="s">
        <v>308</v>
      </c>
      <c r="R70" s="25" t="s">
        <v>308</v>
      </c>
      <c r="S70" s="8"/>
      <c r="T70" s="10"/>
      <c r="U70" s="8"/>
      <c r="V70" s="8"/>
      <c r="W70" s="8" t="s">
        <v>607</v>
      </c>
      <c r="X70" s="23">
        <v>1</v>
      </c>
      <c r="Y70" s="23">
        <v>1</v>
      </c>
      <c r="Z70" s="8"/>
    </row>
    <row r="71" spans="1:26" x14ac:dyDescent="0.55000000000000004">
      <c r="A71" s="8" t="s">
        <v>190</v>
      </c>
      <c r="B71" s="25" t="s">
        <v>308</v>
      </c>
      <c r="C71" s="25" t="s">
        <v>308</v>
      </c>
      <c r="D71" s="25" t="s">
        <v>308</v>
      </c>
      <c r="E71" s="25" t="s">
        <v>308</v>
      </c>
      <c r="F71" s="25" t="s">
        <v>308</v>
      </c>
      <c r="G71" s="25" t="s">
        <v>308</v>
      </c>
      <c r="H71" s="25" t="s">
        <v>308</v>
      </c>
      <c r="I71" s="25" t="s">
        <v>308</v>
      </c>
      <c r="J71" s="25" t="s">
        <v>308</v>
      </c>
      <c r="K71" s="8"/>
      <c r="L71" s="10"/>
      <c r="M71" s="8"/>
      <c r="N71" s="8" t="s">
        <v>189</v>
      </c>
      <c r="O71" s="26">
        <v>0</v>
      </c>
      <c r="P71" s="25" t="s">
        <v>308</v>
      </c>
      <c r="Q71" s="25" t="s">
        <v>308</v>
      </c>
      <c r="R71" s="25" t="s">
        <v>308</v>
      </c>
      <c r="S71" s="8"/>
      <c r="T71" s="10"/>
      <c r="U71" s="8"/>
      <c r="V71" s="8"/>
      <c r="W71" s="8" t="s">
        <v>612</v>
      </c>
      <c r="X71" s="23">
        <v>1</v>
      </c>
      <c r="Y71" s="23">
        <v>1</v>
      </c>
      <c r="Z71" s="8"/>
    </row>
    <row r="72" spans="1:26" x14ac:dyDescent="0.55000000000000004">
      <c r="A72" s="8" t="s">
        <v>697</v>
      </c>
      <c r="B72" s="25" t="s">
        <v>308</v>
      </c>
      <c r="C72" s="25" t="s">
        <v>308</v>
      </c>
      <c r="D72" s="25" t="s">
        <v>308</v>
      </c>
      <c r="E72" s="25" t="s">
        <v>308</v>
      </c>
      <c r="F72" s="25" t="s">
        <v>308</v>
      </c>
      <c r="G72" s="25" t="s">
        <v>308</v>
      </c>
      <c r="H72" s="25" t="s">
        <v>308</v>
      </c>
      <c r="I72" s="25" t="s">
        <v>308</v>
      </c>
      <c r="J72" s="25" t="s">
        <v>308</v>
      </c>
      <c r="K72" s="8"/>
      <c r="L72" s="10"/>
      <c r="M72" s="8"/>
      <c r="N72" s="8" t="s">
        <v>696</v>
      </c>
      <c r="O72" s="26">
        <v>0</v>
      </c>
      <c r="P72" s="25" t="s">
        <v>308</v>
      </c>
      <c r="Q72" s="25" t="s">
        <v>308</v>
      </c>
      <c r="R72" s="25" t="s">
        <v>308</v>
      </c>
      <c r="S72" s="8"/>
      <c r="T72" s="10"/>
      <c r="U72" s="8"/>
      <c r="V72" s="8"/>
      <c r="W72" s="8" t="s">
        <v>617</v>
      </c>
      <c r="X72" s="23">
        <v>1</v>
      </c>
      <c r="Y72" s="23">
        <v>1</v>
      </c>
      <c r="Z72" s="8"/>
    </row>
    <row r="73" spans="1:26" x14ac:dyDescent="0.55000000000000004">
      <c r="A73" s="8" t="s">
        <v>192</v>
      </c>
      <c r="B73" s="25" t="s">
        <v>308</v>
      </c>
      <c r="C73" s="25" t="s">
        <v>308</v>
      </c>
      <c r="D73" s="25" t="s">
        <v>308</v>
      </c>
      <c r="E73" s="25" t="s">
        <v>308</v>
      </c>
      <c r="F73" s="25" t="s">
        <v>308</v>
      </c>
      <c r="G73" s="25" t="s">
        <v>308</v>
      </c>
      <c r="H73" s="25" t="s">
        <v>308</v>
      </c>
      <c r="I73" s="25" t="s">
        <v>308</v>
      </c>
      <c r="J73" s="25" t="s">
        <v>308</v>
      </c>
      <c r="K73" s="8"/>
      <c r="L73" s="10"/>
      <c r="M73" s="8"/>
      <c r="N73" s="8" t="s">
        <v>191</v>
      </c>
      <c r="O73" s="26">
        <v>0</v>
      </c>
      <c r="P73" s="25" t="s">
        <v>308</v>
      </c>
      <c r="Q73" s="25" t="s">
        <v>308</v>
      </c>
      <c r="R73" s="25" t="s">
        <v>308</v>
      </c>
      <c r="S73" s="8"/>
      <c r="T73" s="10"/>
      <c r="U73" s="8"/>
      <c r="V73" s="8"/>
      <c r="W73" s="8" t="s">
        <v>620</v>
      </c>
      <c r="X73" s="23">
        <v>1</v>
      </c>
      <c r="Y73" s="23">
        <v>1</v>
      </c>
      <c r="Z73" s="8"/>
    </row>
    <row r="74" spans="1:26" x14ac:dyDescent="0.55000000000000004">
      <c r="A74" s="8" t="s">
        <v>701</v>
      </c>
      <c r="B74" s="25" t="s">
        <v>308</v>
      </c>
      <c r="C74" s="25" t="s">
        <v>308</v>
      </c>
      <c r="D74" s="25" t="s">
        <v>308</v>
      </c>
      <c r="E74" s="25" t="s">
        <v>308</v>
      </c>
      <c r="F74" s="25" t="s">
        <v>308</v>
      </c>
      <c r="G74" s="25" t="s">
        <v>308</v>
      </c>
      <c r="H74" s="25" t="s">
        <v>308</v>
      </c>
      <c r="I74" s="25" t="s">
        <v>308</v>
      </c>
      <c r="J74" s="25" t="s">
        <v>308</v>
      </c>
      <c r="K74" s="8"/>
      <c r="L74" s="10"/>
      <c r="M74" s="8"/>
      <c r="N74" s="8" t="s">
        <v>700</v>
      </c>
      <c r="O74" s="26">
        <v>0</v>
      </c>
      <c r="P74" s="25" t="s">
        <v>308</v>
      </c>
      <c r="Q74" s="25" t="s">
        <v>308</v>
      </c>
      <c r="R74" s="25" t="s">
        <v>308</v>
      </c>
      <c r="S74" s="8"/>
      <c r="T74" s="10"/>
      <c r="U74" s="8"/>
      <c r="V74" s="8"/>
      <c r="W74" s="8" t="s">
        <v>623</v>
      </c>
      <c r="X74" s="23">
        <v>1</v>
      </c>
      <c r="Y74" s="23">
        <v>1</v>
      </c>
      <c r="Z74" s="8"/>
    </row>
    <row r="75" spans="1:26" x14ac:dyDescent="0.55000000000000004">
      <c r="A75" s="8" t="s">
        <v>195</v>
      </c>
      <c r="B75" s="25" t="s">
        <v>308</v>
      </c>
      <c r="C75" s="25" t="s">
        <v>308</v>
      </c>
      <c r="D75" s="25" t="s">
        <v>308</v>
      </c>
      <c r="E75" s="25" t="s">
        <v>308</v>
      </c>
      <c r="F75" s="25" t="s">
        <v>308</v>
      </c>
      <c r="G75" s="25" t="s">
        <v>308</v>
      </c>
      <c r="H75" s="25" t="s">
        <v>308</v>
      </c>
      <c r="I75" s="25" t="s">
        <v>308</v>
      </c>
      <c r="J75" s="25" t="s">
        <v>308</v>
      </c>
      <c r="K75" s="8"/>
      <c r="L75" s="10"/>
      <c r="M75" s="8"/>
      <c r="N75" s="8" t="s">
        <v>194</v>
      </c>
      <c r="O75" s="26">
        <v>0</v>
      </c>
      <c r="P75" s="25" t="s">
        <v>308</v>
      </c>
      <c r="Q75" s="25" t="s">
        <v>308</v>
      </c>
      <c r="R75" s="25" t="s">
        <v>308</v>
      </c>
      <c r="S75" s="8"/>
      <c r="T75" s="10"/>
      <c r="U75" s="8"/>
      <c r="V75" s="8"/>
      <c r="W75" s="8"/>
      <c r="X75" s="8"/>
      <c r="Y75" s="8"/>
      <c r="Z75" s="8"/>
    </row>
    <row r="76" spans="1:26" x14ac:dyDescent="0.55000000000000004">
      <c r="A76" s="8" t="s">
        <v>197</v>
      </c>
      <c r="B76" s="25" t="s">
        <v>308</v>
      </c>
      <c r="C76" s="25" t="s">
        <v>308</v>
      </c>
      <c r="D76" s="25" t="s">
        <v>308</v>
      </c>
      <c r="E76" s="25" t="s">
        <v>308</v>
      </c>
      <c r="F76" s="25" t="s">
        <v>308</v>
      </c>
      <c r="G76" s="25" t="s">
        <v>308</v>
      </c>
      <c r="H76" s="25" t="s">
        <v>308</v>
      </c>
      <c r="I76" s="25" t="s">
        <v>308</v>
      </c>
      <c r="J76" s="25" t="s">
        <v>308</v>
      </c>
      <c r="K76" s="8"/>
      <c r="L76" s="10"/>
      <c r="M76" s="8"/>
      <c r="N76" s="8" t="s">
        <v>196</v>
      </c>
      <c r="O76" s="26">
        <v>0</v>
      </c>
      <c r="P76" s="25" t="s">
        <v>308</v>
      </c>
      <c r="Q76" s="25" t="s">
        <v>308</v>
      </c>
      <c r="R76" s="25" t="s">
        <v>308</v>
      </c>
      <c r="S76" s="8"/>
      <c r="T76" s="10"/>
      <c r="U76" s="10"/>
      <c r="V76" s="11" t="s">
        <v>240</v>
      </c>
      <c r="W76" s="10"/>
      <c r="X76" s="10"/>
      <c r="Y76" s="10"/>
      <c r="Z76" s="10"/>
    </row>
    <row r="77" spans="1:26" x14ac:dyDescent="0.55000000000000004">
      <c r="A77" s="8" t="s">
        <v>706</v>
      </c>
      <c r="B77" s="25" t="s">
        <v>308</v>
      </c>
      <c r="C77" s="25" t="s">
        <v>308</v>
      </c>
      <c r="D77" s="25" t="s">
        <v>308</v>
      </c>
      <c r="E77" s="25" t="s">
        <v>308</v>
      </c>
      <c r="F77" s="25" t="s">
        <v>308</v>
      </c>
      <c r="G77" s="25" t="s">
        <v>308</v>
      </c>
      <c r="H77" s="25" t="s">
        <v>308</v>
      </c>
      <c r="I77" s="25" t="s">
        <v>308</v>
      </c>
      <c r="J77" s="25" t="s">
        <v>308</v>
      </c>
      <c r="K77" s="8"/>
      <c r="L77" s="10"/>
      <c r="M77" s="8"/>
      <c r="N77" s="8" t="s">
        <v>705</v>
      </c>
      <c r="O77" s="26">
        <v>0</v>
      </c>
      <c r="P77" s="25" t="s">
        <v>308</v>
      </c>
      <c r="Q77" s="25" t="s">
        <v>308</v>
      </c>
      <c r="R77" s="25" t="s">
        <v>308</v>
      </c>
      <c r="S77" s="8"/>
      <c r="T77" s="10"/>
      <c r="U77" s="8"/>
      <c r="V77" s="8" t="s">
        <v>337</v>
      </c>
      <c r="W77" s="8" t="s">
        <v>322</v>
      </c>
      <c r="X77" s="8">
        <f>SUMIF(Main!G4:O4,Y1,Main!G5:O5)</f>
        <v>2</v>
      </c>
      <c r="Y77" s="8"/>
      <c r="Z77" s="8"/>
    </row>
    <row r="78" spans="1:26" x14ac:dyDescent="0.55000000000000004">
      <c r="A78" s="8" t="s">
        <v>199</v>
      </c>
      <c r="B78" s="25" t="s">
        <v>308</v>
      </c>
      <c r="C78" s="25" t="s">
        <v>308</v>
      </c>
      <c r="D78" s="25" t="s">
        <v>308</v>
      </c>
      <c r="E78" s="25" t="s">
        <v>308</v>
      </c>
      <c r="F78" s="25" t="s">
        <v>308</v>
      </c>
      <c r="G78" s="25" t="s">
        <v>308</v>
      </c>
      <c r="H78" s="25" t="s">
        <v>308</v>
      </c>
      <c r="I78" s="25" t="s">
        <v>308</v>
      </c>
      <c r="J78" s="25" t="s">
        <v>308</v>
      </c>
      <c r="K78" s="8"/>
      <c r="L78" s="10"/>
      <c r="M78" s="8"/>
      <c r="N78" s="8" t="s">
        <v>198</v>
      </c>
      <c r="O78" s="26">
        <v>0</v>
      </c>
      <c r="P78" s="25" t="s">
        <v>308</v>
      </c>
      <c r="Q78" s="25" t="s">
        <v>308</v>
      </c>
      <c r="R78" s="25" t="s">
        <v>308</v>
      </c>
      <c r="S78" s="8"/>
      <c r="T78" s="10"/>
      <c r="U78" s="8"/>
      <c r="V78" s="8" t="s">
        <v>338</v>
      </c>
      <c r="W78" s="8" t="s">
        <v>83</v>
      </c>
      <c r="X78" s="8">
        <f>SUMIF(Main!G4:O4,Y1,Main!G6:O6)</f>
        <v>3</v>
      </c>
      <c r="Y78" s="8"/>
      <c r="Z78" s="8"/>
    </row>
    <row r="79" spans="1:26" x14ac:dyDescent="0.55000000000000004">
      <c r="A79" s="8" t="s">
        <v>710</v>
      </c>
      <c r="B79" s="25" t="s">
        <v>308</v>
      </c>
      <c r="C79" s="25" t="s">
        <v>308</v>
      </c>
      <c r="D79" s="25" t="s">
        <v>308</v>
      </c>
      <c r="E79" s="25" t="s">
        <v>308</v>
      </c>
      <c r="F79" s="25" t="s">
        <v>308</v>
      </c>
      <c r="G79" s="25" t="s">
        <v>308</v>
      </c>
      <c r="H79" s="25" t="s">
        <v>308</v>
      </c>
      <c r="I79" s="25" t="s">
        <v>308</v>
      </c>
      <c r="J79" s="25" t="s">
        <v>308</v>
      </c>
      <c r="K79" s="8"/>
      <c r="L79" s="10"/>
      <c r="M79" s="8"/>
      <c r="N79" s="8" t="s">
        <v>709</v>
      </c>
      <c r="O79" s="26">
        <v>0</v>
      </c>
      <c r="P79" s="25" t="s">
        <v>308</v>
      </c>
      <c r="Q79" s="25" t="s">
        <v>308</v>
      </c>
      <c r="R79" s="25" t="s">
        <v>308</v>
      </c>
      <c r="S79" s="8"/>
      <c r="T79" s="10"/>
      <c r="U79" s="8"/>
      <c r="V79" s="8" t="s">
        <v>339</v>
      </c>
      <c r="W79" s="8" t="s">
        <v>32</v>
      </c>
      <c r="X79" s="8">
        <f>SUMIF(Main!G4:O4,Y1,Main!G7:O7)</f>
        <v>1</v>
      </c>
      <c r="Y79" s="8"/>
      <c r="Z79" s="8"/>
    </row>
    <row r="80" spans="1:26" x14ac:dyDescent="0.55000000000000004">
      <c r="A80" s="8" t="s">
        <v>713</v>
      </c>
      <c r="B80" s="25" t="s">
        <v>308</v>
      </c>
      <c r="C80" s="25" t="s">
        <v>308</v>
      </c>
      <c r="D80" s="25" t="s">
        <v>308</v>
      </c>
      <c r="E80" s="25" t="s">
        <v>308</v>
      </c>
      <c r="F80" s="25" t="s">
        <v>308</v>
      </c>
      <c r="G80" s="25" t="s">
        <v>308</v>
      </c>
      <c r="H80" s="25" t="s">
        <v>308</v>
      </c>
      <c r="I80" s="25" t="s">
        <v>308</v>
      </c>
      <c r="J80" s="25" t="s">
        <v>308</v>
      </c>
      <c r="K80" s="8"/>
      <c r="L80" s="10"/>
      <c r="M80" s="8"/>
      <c r="N80" s="8" t="s">
        <v>712</v>
      </c>
      <c r="O80" s="26">
        <v>0</v>
      </c>
      <c r="P80" s="25" t="s">
        <v>308</v>
      </c>
      <c r="Q80" s="25" t="s">
        <v>308</v>
      </c>
      <c r="R80" s="25" t="s">
        <v>308</v>
      </c>
      <c r="S80" s="8"/>
      <c r="T80" s="10"/>
      <c r="U80" s="8"/>
      <c r="V80" s="8" t="s">
        <v>340</v>
      </c>
      <c r="W80" s="8" t="s">
        <v>99</v>
      </c>
      <c r="X80" s="8">
        <f>SUMIF(Main!G4:O4,Y1,Main!G8:O8)</f>
        <v>1</v>
      </c>
      <c r="Y80" s="8"/>
      <c r="Z80" s="8"/>
    </row>
    <row r="81" spans="1:26" x14ac:dyDescent="0.55000000000000004">
      <c r="A81" s="8" t="s">
        <v>716</v>
      </c>
      <c r="B81" s="25" t="s">
        <v>308</v>
      </c>
      <c r="C81" s="25" t="s">
        <v>308</v>
      </c>
      <c r="D81" s="25" t="s">
        <v>308</v>
      </c>
      <c r="E81" s="25" t="s">
        <v>308</v>
      </c>
      <c r="F81" s="25" t="s">
        <v>308</v>
      </c>
      <c r="G81" s="25" t="s">
        <v>308</v>
      </c>
      <c r="H81" s="25" t="s">
        <v>308</v>
      </c>
      <c r="I81" s="25" t="s">
        <v>308</v>
      </c>
      <c r="J81" s="25" t="s">
        <v>308</v>
      </c>
      <c r="K81" s="8"/>
      <c r="L81" s="10"/>
      <c r="M81" s="8"/>
      <c r="N81" s="8" t="s">
        <v>715</v>
      </c>
      <c r="O81" s="26">
        <v>0</v>
      </c>
      <c r="P81" s="25" t="s">
        <v>308</v>
      </c>
      <c r="Q81" s="25" t="s">
        <v>308</v>
      </c>
      <c r="R81" s="25" t="s">
        <v>308</v>
      </c>
      <c r="S81" s="8"/>
      <c r="T81" s="10"/>
      <c r="U81" s="8"/>
      <c r="V81" s="8"/>
      <c r="W81" s="8"/>
      <c r="X81" s="8"/>
      <c r="Y81" s="8"/>
      <c r="Z81" s="8"/>
    </row>
    <row r="82" spans="1:26" x14ac:dyDescent="0.55000000000000004">
      <c r="A82" s="8" t="s">
        <v>719</v>
      </c>
      <c r="B82" s="25" t="s">
        <v>308</v>
      </c>
      <c r="C82" s="25" t="s">
        <v>308</v>
      </c>
      <c r="D82" s="25" t="s">
        <v>308</v>
      </c>
      <c r="E82" s="25" t="s">
        <v>308</v>
      </c>
      <c r="F82" s="25" t="s">
        <v>308</v>
      </c>
      <c r="G82" s="25" t="s">
        <v>308</v>
      </c>
      <c r="H82" s="25" t="s">
        <v>308</v>
      </c>
      <c r="I82" s="25" t="s">
        <v>308</v>
      </c>
      <c r="J82" s="25" t="s">
        <v>308</v>
      </c>
      <c r="K82" s="8"/>
      <c r="L82" s="10"/>
      <c r="M82" s="8"/>
      <c r="N82" s="8" t="s">
        <v>718</v>
      </c>
      <c r="O82" s="26">
        <v>0</v>
      </c>
      <c r="P82" s="25" t="s">
        <v>308</v>
      </c>
      <c r="Q82" s="25" t="s">
        <v>308</v>
      </c>
      <c r="R82" s="25" t="s">
        <v>308</v>
      </c>
      <c r="S82" s="8"/>
      <c r="T82" s="10"/>
      <c r="U82" s="10"/>
      <c r="V82" s="11" t="s">
        <v>249</v>
      </c>
      <c r="W82" s="10"/>
      <c r="X82" s="10"/>
      <c r="Y82" s="10"/>
      <c r="Z82" s="10"/>
    </row>
    <row r="83" spans="1:26" x14ac:dyDescent="0.55000000000000004">
      <c r="A83" s="8" t="s">
        <v>722</v>
      </c>
      <c r="B83" s="25" t="s">
        <v>308</v>
      </c>
      <c r="C83" s="25" t="s">
        <v>308</v>
      </c>
      <c r="D83" s="25" t="s">
        <v>308</v>
      </c>
      <c r="E83" s="25" t="s">
        <v>308</v>
      </c>
      <c r="F83" s="25" t="s">
        <v>308</v>
      </c>
      <c r="G83" s="25" t="s">
        <v>308</v>
      </c>
      <c r="H83" s="25" t="s">
        <v>308</v>
      </c>
      <c r="I83" s="25" t="s">
        <v>308</v>
      </c>
      <c r="J83" s="25" t="s">
        <v>308</v>
      </c>
      <c r="K83" s="8"/>
      <c r="L83" s="10"/>
      <c r="M83" s="8"/>
      <c r="N83" s="8" t="s">
        <v>721</v>
      </c>
      <c r="O83" s="26">
        <v>0</v>
      </c>
      <c r="P83" s="25" t="s">
        <v>308</v>
      </c>
      <c r="Q83" s="25" t="s">
        <v>308</v>
      </c>
      <c r="R83" s="25" t="s">
        <v>308</v>
      </c>
      <c r="S83" s="8"/>
      <c r="T83" s="10"/>
      <c r="U83" s="8"/>
      <c r="V83" s="8" t="s">
        <v>323</v>
      </c>
      <c r="W83" s="8" t="s">
        <v>12</v>
      </c>
      <c r="X83" s="8">
        <f>SUMIF(Main!G11:O11,'S8'!Y1,Main!G12:O12)</f>
        <v>1</v>
      </c>
      <c r="Y83" s="8"/>
      <c r="Z83" s="8"/>
    </row>
    <row r="84" spans="1:26" x14ac:dyDescent="0.55000000000000004">
      <c r="A84" s="8" t="s">
        <v>725</v>
      </c>
      <c r="B84" s="25" t="s">
        <v>308</v>
      </c>
      <c r="C84" s="25" t="s">
        <v>308</v>
      </c>
      <c r="D84" s="25" t="s">
        <v>308</v>
      </c>
      <c r="E84" s="25" t="s">
        <v>308</v>
      </c>
      <c r="F84" s="25" t="s">
        <v>308</v>
      </c>
      <c r="G84" s="25" t="s">
        <v>308</v>
      </c>
      <c r="H84" s="25" t="s">
        <v>308</v>
      </c>
      <c r="I84" s="25" t="s">
        <v>308</v>
      </c>
      <c r="J84" s="25" t="s">
        <v>308</v>
      </c>
      <c r="K84" s="8"/>
      <c r="L84" s="10"/>
      <c r="M84" s="8"/>
      <c r="N84" s="8" t="s">
        <v>724</v>
      </c>
      <c r="O84" s="26">
        <v>0</v>
      </c>
      <c r="P84" s="25" t="s">
        <v>308</v>
      </c>
      <c r="Q84" s="25" t="s">
        <v>308</v>
      </c>
      <c r="R84" s="25" t="s">
        <v>308</v>
      </c>
      <c r="S84" s="8"/>
      <c r="T84" s="10"/>
      <c r="U84" s="8"/>
      <c r="V84" s="8"/>
      <c r="W84" s="8" t="s">
        <v>20</v>
      </c>
      <c r="X84" s="8">
        <f>SUMIF(Main!G11:O11,'S8'!Y1,Main!G13:O13)</f>
        <v>1</v>
      </c>
      <c r="Y84" s="8"/>
      <c r="Z84" s="8"/>
    </row>
    <row r="85" spans="1:26" x14ac:dyDescent="0.55000000000000004">
      <c r="A85" s="8" t="s">
        <v>728</v>
      </c>
      <c r="B85" s="25" t="s">
        <v>308</v>
      </c>
      <c r="C85" s="25" t="s">
        <v>308</v>
      </c>
      <c r="D85" s="25" t="s">
        <v>308</v>
      </c>
      <c r="E85" s="25" t="s">
        <v>308</v>
      </c>
      <c r="F85" s="25" t="s">
        <v>308</v>
      </c>
      <c r="G85" s="25" t="s">
        <v>308</v>
      </c>
      <c r="H85" s="25" t="s">
        <v>308</v>
      </c>
      <c r="I85" s="25" t="s">
        <v>308</v>
      </c>
      <c r="J85" s="25" t="s">
        <v>308</v>
      </c>
      <c r="K85" s="8"/>
      <c r="L85" s="10"/>
      <c r="M85" s="8"/>
      <c r="N85" s="8" t="s">
        <v>727</v>
      </c>
      <c r="O85" s="26">
        <v>0</v>
      </c>
      <c r="P85" s="25" t="s">
        <v>308</v>
      </c>
      <c r="Q85" s="25" t="s">
        <v>308</v>
      </c>
      <c r="R85" s="25" t="s">
        <v>308</v>
      </c>
      <c r="S85" s="8"/>
      <c r="T85" s="10"/>
      <c r="U85" s="8"/>
      <c r="V85" s="8"/>
      <c r="W85" s="8" t="s">
        <v>28</v>
      </c>
      <c r="X85" s="8">
        <f>SUMIF(Main!G11:O11,'S8'!Y1,Main!G14:O14)</f>
        <v>1</v>
      </c>
      <c r="Y85" s="8"/>
      <c r="Z85" s="8"/>
    </row>
    <row r="86" spans="1:26" x14ac:dyDescent="0.55000000000000004">
      <c r="A86" s="8" t="s">
        <v>731</v>
      </c>
      <c r="B86" s="25" t="s">
        <v>308</v>
      </c>
      <c r="C86" s="25" t="s">
        <v>308</v>
      </c>
      <c r="D86" s="25" t="s">
        <v>308</v>
      </c>
      <c r="E86" s="25" t="s">
        <v>308</v>
      </c>
      <c r="F86" s="25" t="s">
        <v>308</v>
      </c>
      <c r="G86" s="25" t="s">
        <v>308</v>
      </c>
      <c r="H86" s="25" t="s">
        <v>308</v>
      </c>
      <c r="I86" s="25" t="s">
        <v>308</v>
      </c>
      <c r="J86" s="25" t="s">
        <v>308</v>
      </c>
      <c r="K86" s="8"/>
      <c r="L86" s="10"/>
      <c r="M86" s="8"/>
      <c r="N86" s="8" t="s">
        <v>730</v>
      </c>
      <c r="O86" s="26">
        <v>0</v>
      </c>
      <c r="P86" s="25" t="s">
        <v>308</v>
      </c>
      <c r="Q86" s="25" t="s">
        <v>308</v>
      </c>
      <c r="R86" s="25" t="s">
        <v>308</v>
      </c>
      <c r="S86" s="8"/>
      <c r="T86" s="10"/>
      <c r="U86" s="8"/>
      <c r="V86" s="8"/>
      <c r="W86" s="8" t="s">
        <v>36</v>
      </c>
      <c r="X86" s="8">
        <f>SUMIF(Main!G11:O11,'S8'!Y1,Main!G15:O15)</f>
        <v>1</v>
      </c>
      <c r="Y86" s="8"/>
      <c r="Z86" s="8"/>
    </row>
    <row r="87" spans="1:26" x14ac:dyDescent="0.55000000000000004">
      <c r="A87" s="8" t="s">
        <v>734</v>
      </c>
      <c r="B87" s="25" t="s">
        <v>308</v>
      </c>
      <c r="C87" s="25" t="s">
        <v>308</v>
      </c>
      <c r="D87" s="25" t="s">
        <v>308</v>
      </c>
      <c r="E87" s="25" t="s">
        <v>308</v>
      </c>
      <c r="F87" s="25" t="s">
        <v>308</v>
      </c>
      <c r="G87" s="25" t="s">
        <v>308</v>
      </c>
      <c r="H87" s="25" t="s">
        <v>308</v>
      </c>
      <c r="I87" s="25" t="s">
        <v>308</v>
      </c>
      <c r="J87" s="25" t="s">
        <v>308</v>
      </c>
      <c r="K87" s="8"/>
      <c r="L87" s="10"/>
      <c r="M87" s="8"/>
      <c r="N87" s="8" t="s">
        <v>733</v>
      </c>
      <c r="O87" s="26">
        <v>0</v>
      </c>
      <c r="P87" s="25" t="s">
        <v>308</v>
      </c>
      <c r="Q87" s="25" t="s">
        <v>308</v>
      </c>
      <c r="R87" s="25" t="s">
        <v>308</v>
      </c>
      <c r="S87" s="8"/>
      <c r="T87" s="10"/>
      <c r="U87" s="8"/>
      <c r="V87" s="8"/>
      <c r="W87" s="8" t="s">
        <v>44</v>
      </c>
      <c r="X87" s="8">
        <f>SUMIF(Main!G11:O11,'S8'!Y1,Main!G16:O16)</f>
        <v>1</v>
      </c>
      <c r="Y87" s="8"/>
      <c r="Z87" s="8"/>
    </row>
    <row r="88" spans="1:26" x14ac:dyDescent="0.55000000000000004">
      <c r="A88" s="8" t="s">
        <v>202</v>
      </c>
      <c r="B88" s="25" t="s">
        <v>308</v>
      </c>
      <c r="C88" s="25" t="s">
        <v>308</v>
      </c>
      <c r="D88" s="25" t="s">
        <v>308</v>
      </c>
      <c r="E88" s="25" t="s">
        <v>308</v>
      </c>
      <c r="F88" s="25" t="s">
        <v>308</v>
      </c>
      <c r="G88" s="25" t="s">
        <v>308</v>
      </c>
      <c r="H88" s="25" t="s">
        <v>308</v>
      </c>
      <c r="I88" s="25" t="s">
        <v>308</v>
      </c>
      <c r="J88" s="25" t="s">
        <v>308</v>
      </c>
      <c r="K88" s="8"/>
      <c r="L88" s="10"/>
      <c r="M88" s="8"/>
      <c r="N88" s="8" t="s">
        <v>201</v>
      </c>
      <c r="O88" s="26">
        <v>0</v>
      </c>
      <c r="P88" s="25" t="s">
        <v>308</v>
      </c>
      <c r="Q88" s="25" t="s">
        <v>308</v>
      </c>
      <c r="R88" s="25" t="s">
        <v>308</v>
      </c>
      <c r="S88" s="8"/>
      <c r="T88" s="10"/>
      <c r="U88" s="8"/>
      <c r="V88" s="8"/>
      <c r="W88" s="8" t="s">
        <v>49</v>
      </c>
      <c r="X88" s="8">
        <f>SUMIF(Main!G11:O11,'S8'!Y1,Main!G17:O17)</f>
        <v>1</v>
      </c>
      <c r="Y88" s="8"/>
      <c r="Z88" s="8"/>
    </row>
    <row r="89" spans="1:26" x14ac:dyDescent="0.55000000000000004">
      <c r="A89" s="8" t="s">
        <v>738</v>
      </c>
      <c r="B89" s="25" t="s">
        <v>308</v>
      </c>
      <c r="C89" s="25" t="s">
        <v>308</v>
      </c>
      <c r="D89" s="25" t="s">
        <v>308</v>
      </c>
      <c r="E89" s="25" t="s">
        <v>308</v>
      </c>
      <c r="F89" s="25" t="s">
        <v>308</v>
      </c>
      <c r="G89" s="25" t="s">
        <v>308</v>
      </c>
      <c r="H89" s="25" t="s">
        <v>308</v>
      </c>
      <c r="I89" s="25" t="s">
        <v>308</v>
      </c>
      <c r="J89" s="25" t="s">
        <v>308</v>
      </c>
      <c r="K89" s="8"/>
      <c r="L89" s="10"/>
      <c r="M89" s="8"/>
      <c r="N89" s="8" t="s">
        <v>737</v>
      </c>
      <c r="O89" s="26">
        <v>0</v>
      </c>
      <c r="P89" s="25" t="s">
        <v>308</v>
      </c>
      <c r="Q89" s="25" t="s">
        <v>308</v>
      </c>
      <c r="R89" s="25" t="s">
        <v>308</v>
      </c>
      <c r="S89" s="8"/>
      <c r="T89" s="10"/>
      <c r="U89" s="8"/>
      <c r="V89" s="8"/>
      <c r="W89" s="8" t="s">
        <v>57</v>
      </c>
      <c r="X89" s="8">
        <f>SUMIF(Main!G11:O11,'S8'!Y1,Main!G18:O18)</f>
        <v>1</v>
      </c>
      <c r="Y89" s="8"/>
      <c r="Z89" s="8"/>
    </row>
    <row r="90" spans="1:26" x14ac:dyDescent="0.55000000000000004">
      <c r="A90" s="8" t="s">
        <v>204</v>
      </c>
      <c r="B90" s="25" t="s">
        <v>308</v>
      </c>
      <c r="C90" s="25" t="s">
        <v>308</v>
      </c>
      <c r="D90" s="25" t="s">
        <v>308</v>
      </c>
      <c r="E90" s="25" t="s">
        <v>308</v>
      </c>
      <c r="F90" s="25" t="s">
        <v>308</v>
      </c>
      <c r="G90" s="25" t="s">
        <v>308</v>
      </c>
      <c r="H90" s="25" t="s">
        <v>308</v>
      </c>
      <c r="I90" s="25" t="s">
        <v>308</v>
      </c>
      <c r="J90" s="25" t="s">
        <v>308</v>
      </c>
      <c r="K90" s="8"/>
      <c r="L90" s="10"/>
      <c r="M90" s="8"/>
      <c r="N90" s="8" t="s">
        <v>203</v>
      </c>
      <c r="O90" s="26">
        <v>0</v>
      </c>
      <c r="P90" s="25" t="s">
        <v>308</v>
      </c>
      <c r="Q90" s="25" t="s">
        <v>308</v>
      </c>
      <c r="R90" s="25" t="s">
        <v>308</v>
      </c>
      <c r="S90" s="8"/>
      <c r="T90" s="10"/>
      <c r="U90" s="8"/>
      <c r="V90" s="8"/>
      <c r="W90" s="8" t="s">
        <v>65</v>
      </c>
      <c r="X90" s="8">
        <f>SUMIF(Main!G11:O11,'S8'!Y1,Main!G19:O19)</f>
        <v>1</v>
      </c>
      <c r="Y90" s="8"/>
      <c r="Z90" s="8"/>
    </row>
    <row r="91" spans="1:26" x14ac:dyDescent="0.55000000000000004">
      <c r="A91" s="8" t="s">
        <v>742</v>
      </c>
      <c r="B91" s="25" t="s">
        <v>308</v>
      </c>
      <c r="C91" s="25" t="s">
        <v>308</v>
      </c>
      <c r="D91" s="25" t="s">
        <v>308</v>
      </c>
      <c r="E91" s="25" t="s">
        <v>308</v>
      </c>
      <c r="F91" s="25" t="s">
        <v>308</v>
      </c>
      <c r="G91" s="25" t="s">
        <v>308</v>
      </c>
      <c r="H91" s="25" t="s">
        <v>308</v>
      </c>
      <c r="I91" s="25" t="s">
        <v>308</v>
      </c>
      <c r="J91" s="25" t="s">
        <v>308</v>
      </c>
      <c r="K91" s="8"/>
      <c r="L91" s="10"/>
      <c r="M91" s="8"/>
      <c r="N91" s="8" t="s">
        <v>741</v>
      </c>
      <c r="O91" s="26">
        <v>0</v>
      </c>
      <c r="P91" s="25" t="s">
        <v>308</v>
      </c>
      <c r="Q91" s="25" t="s">
        <v>308</v>
      </c>
      <c r="R91" s="25" t="s">
        <v>308</v>
      </c>
      <c r="S91" s="8"/>
      <c r="T91" s="10"/>
      <c r="U91" s="8"/>
      <c r="V91" s="8"/>
      <c r="W91" s="8" t="s">
        <v>573</v>
      </c>
      <c r="X91" s="8">
        <f>SUMIF(Main!G11:O11,'S8'!Y1,Main!G20:O20)</f>
        <v>1</v>
      </c>
      <c r="Y91" s="8"/>
      <c r="Z91" s="8"/>
    </row>
    <row r="92" spans="1:26" x14ac:dyDescent="0.55000000000000004">
      <c r="A92" s="8" t="s">
        <v>745</v>
      </c>
      <c r="B92" s="25" t="s">
        <v>308</v>
      </c>
      <c r="C92" s="25" t="s">
        <v>308</v>
      </c>
      <c r="D92" s="25" t="s">
        <v>308</v>
      </c>
      <c r="E92" s="25" t="s">
        <v>308</v>
      </c>
      <c r="F92" s="25" t="s">
        <v>308</v>
      </c>
      <c r="G92" s="25" t="s">
        <v>308</v>
      </c>
      <c r="H92" s="25" t="s">
        <v>308</v>
      </c>
      <c r="I92" s="25" t="s">
        <v>308</v>
      </c>
      <c r="J92" s="25" t="s">
        <v>308</v>
      </c>
      <c r="K92" s="8"/>
      <c r="L92" s="10"/>
      <c r="M92" s="8"/>
      <c r="N92" s="8" t="s">
        <v>744</v>
      </c>
      <c r="O92" s="26">
        <v>0</v>
      </c>
      <c r="P92" s="25" t="s">
        <v>308</v>
      </c>
      <c r="Q92" s="25" t="s">
        <v>308</v>
      </c>
      <c r="R92" s="25" t="s">
        <v>308</v>
      </c>
      <c r="S92" s="8"/>
      <c r="T92" s="10"/>
      <c r="U92" s="8"/>
      <c r="V92" s="8"/>
      <c r="W92" s="8" t="s">
        <v>580</v>
      </c>
      <c r="X92" s="8">
        <f>SUMIF(Main!G11:O11,'S8'!Y1,Main!G21:O21)</f>
        <v>1</v>
      </c>
      <c r="Y92" s="8"/>
      <c r="Z92" s="8"/>
    </row>
    <row r="93" spans="1:26" x14ac:dyDescent="0.55000000000000004">
      <c r="A93" s="8" t="s">
        <v>748</v>
      </c>
      <c r="B93" s="25" t="s">
        <v>308</v>
      </c>
      <c r="C93" s="25" t="s">
        <v>308</v>
      </c>
      <c r="D93" s="25" t="s">
        <v>308</v>
      </c>
      <c r="E93" s="25" t="s">
        <v>308</v>
      </c>
      <c r="F93" s="25" t="s">
        <v>308</v>
      </c>
      <c r="G93" s="25" t="s">
        <v>308</v>
      </c>
      <c r="H93" s="25" t="s">
        <v>308</v>
      </c>
      <c r="I93" s="25" t="s">
        <v>308</v>
      </c>
      <c r="J93" s="25" t="s">
        <v>308</v>
      </c>
      <c r="K93" s="8"/>
      <c r="L93" s="10"/>
      <c r="M93" s="8"/>
      <c r="N93" s="8" t="s">
        <v>747</v>
      </c>
      <c r="O93" s="26">
        <v>0</v>
      </c>
      <c r="P93" s="25" t="s">
        <v>308</v>
      </c>
      <c r="Q93" s="25" t="s">
        <v>308</v>
      </c>
      <c r="R93" s="25" t="s">
        <v>308</v>
      </c>
      <c r="S93" s="8"/>
      <c r="T93" s="10"/>
      <c r="U93" s="8"/>
      <c r="V93" s="8"/>
      <c r="W93" s="8" t="s">
        <v>586</v>
      </c>
      <c r="X93" s="8">
        <f>SUMIF(Main!G11:O11,'S8'!Y1,Main!G22:O22)</f>
        <v>1</v>
      </c>
      <c r="Y93" s="8"/>
      <c r="Z93" s="8"/>
    </row>
    <row r="94" spans="1:26" x14ac:dyDescent="0.55000000000000004">
      <c r="A94" s="8" t="s">
        <v>751</v>
      </c>
      <c r="B94" s="25" t="s">
        <v>308</v>
      </c>
      <c r="C94" s="25" t="s">
        <v>308</v>
      </c>
      <c r="D94" s="25" t="s">
        <v>308</v>
      </c>
      <c r="E94" s="25" t="s">
        <v>308</v>
      </c>
      <c r="F94" s="25" t="s">
        <v>308</v>
      </c>
      <c r="G94" s="25" t="s">
        <v>308</v>
      </c>
      <c r="H94" s="25" t="s">
        <v>308</v>
      </c>
      <c r="I94" s="25" t="s">
        <v>308</v>
      </c>
      <c r="J94" s="25" t="s">
        <v>308</v>
      </c>
      <c r="K94" s="8"/>
      <c r="L94" s="10"/>
      <c r="M94" s="8"/>
      <c r="N94" s="8" t="s">
        <v>750</v>
      </c>
      <c r="O94" s="26">
        <v>0</v>
      </c>
      <c r="P94" s="25" t="s">
        <v>308</v>
      </c>
      <c r="Q94" s="25" t="s">
        <v>308</v>
      </c>
      <c r="R94" s="25" t="s">
        <v>308</v>
      </c>
      <c r="S94" s="8"/>
      <c r="T94" s="10"/>
      <c r="U94" s="8"/>
      <c r="V94" s="8"/>
      <c r="W94" s="8" t="s">
        <v>590</v>
      </c>
      <c r="X94" s="8">
        <f>SUMIF(Main!G11:O11,'S8'!Y1,Main!G23:O23)</f>
        <v>1</v>
      </c>
      <c r="Y94" s="8"/>
      <c r="Z94" s="8"/>
    </row>
    <row r="95" spans="1:26" x14ac:dyDescent="0.55000000000000004">
      <c r="A95" s="8" t="s">
        <v>754</v>
      </c>
      <c r="B95" s="25" t="s">
        <v>308</v>
      </c>
      <c r="C95" s="25" t="s">
        <v>308</v>
      </c>
      <c r="D95" s="25" t="s">
        <v>308</v>
      </c>
      <c r="E95" s="25" t="s">
        <v>308</v>
      </c>
      <c r="F95" s="25" t="s">
        <v>308</v>
      </c>
      <c r="G95" s="25" t="s">
        <v>308</v>
      </c>
      <c r="H95" s="25" t="s">
        <v>308</v>
      </c>
      <c r="I95" s="25" t="s">
        <v>308</v>
      </c>
      <c r="J95" s="25" t="s">
        <v>308</v>
      </c>
      <c r="K95" s="8"/>
      <c r="L95" s="10"/>
      <c r="M95" s="8"/>
      <c r="N95" s="8" t="s">
        <v>753</v>
      </c>
      <c r="O95" s="26">
        <v>0</v>
      </c>
      <c r="P95" s="25" t="s">
        <v>308</v>
      </c>
      <c r="Q95" s="25" t="s">
        <v>308</v>
      </c>
      <c r="R95" s="25" t="s">
        <v>308</v>
      </c>
      <c r="S95" s="8"/>
      <c r="T95" s="10"/>
      <c r="U95" s="8"/>
      <c r="V95" s="8" t="s">
        <v>251</v>
      </c>
      <c r="W95" s="8" t="s">
        <v>72</v>
      </c>
      <c r="X95" s="8">
        <f>SUMIF(Main!G11:O11,'S8'!Y1,Main!G24:O24)</f>
        <v>1</v>
      </c>
      <c r="Y95" s="8"/>
      <c r="Z95" s="8"/>
    </row>
    <row r="96" spans="1:26" x14ac:dyDescent="0.55000000000000004">
      <c r="A96" s="8" t="s">
        <v>207</v>
      </c>
      <c r="B96" s="25" t="s">
        <v>308</v>
      </c>
      <c r="C96" s="25" t="s">
        <v>308</v>
      </c>
      <c r="D96" s="25" t="s">
        <v>308</v>
      </c>
      <c r="E96" s="25" t="s">
        <v>308</v>
      </c>
      <c r="F96" s="25" t="s">
        <v>308</v>
      </c>
      <c r="G96" s="25" t="s">
        <v>308</v>
      </c>
      <c r="H96" s="25" t="s">
        <v>308</v>
      </c>
      <c r="I96" s="25" t="s">
        <v>308</v>
      </c>
      <c r="J96" s="25" t="s">
        <v>308</v>
      </c>
      <c r="K96" s="8"/>
      <c r="L96" s="10"/>
      <c r="M96" s="8"/>
      <c r="N96" s="8" t="s">
        <v>206</v>
      </c>
      <c r="O96" s="26">
        <v>0</v>
      </c>
      <c r="P96" s="25" t="s">
        <v>308</v>
      </c>
      <c r="Q96" s="25" t="s">
        <v>308</v>
      </c>
      <c r="R96" s="25" t="s">
        <v>308</v>
      </c>
      <c r="S96" s="8"/>
      <c r="T96" s="10"/>
      <c r="U96" s="8"/>
      <c r="V96" s="8" t="s">
        <v>250</v>
      </c>
      <c r="W96" s="8" t="s">
        <v>79</v>
      </c>
      <c r="X96" s="8">
        <f>SUMIF(Main!G11:O11,'S8'!Y1,Main!G25:O25)</f>
        <v>2</v>
      </c>
      <c r="Y96" s="8"/>
      <c r="Z96" s="8"/>
    </row>
    <row r="97" spans="1:26" x14ac:dyDescent="0.55000000000000004">
      <c r="A97" s="8" t="s">
        <v>758</v>
      </c>
      <c r="B97" s="25" t="s">
        <v>308</v>
      </c>
      <c r="C97" s="25" t="s">
        <v>308</v>
      </c>
      <c r="D97" s="25" t="s">
        <v>308</v>
      </c>
      <c r="E97" s="25" t="s">
        <v>308</v>
      </c>
      <c r="F97" s="25" t="s">
        <v>308</v>
      </c>
      <c r="G97" s="25" t="s">
        <v>308</v>
      </c>
      <c r="H97" s="25" t="s">
        <v>308</v>
      </c>
      <c r="I97" s="25" t="s">
        <v>308</v>
      </c>
      <c r="J97" s="25" t="s">
        <v>308</v>
      </c>
      <c r="K97" s="8"/>
      <c r="L97" s="10"/>
      <c r="M97" s="8"/>
      <c r="N97" s="8" t="s">
        <v>757</v>
      </c>
      <c r="O97" s="26">
        <v>0</v>
      </c>
      <c r="P97" s="25" t="s">
        <v>308</v>
      </c>
      <c r="Q97" s="25" t="s">
        <v>308</v>
      </c>
      <c r="R97" s="25" t="s">
        <v>308</v>
      </c>
      <c r="S97" s="8"/>
      <c r="T97" s="10"/>
      <c r="U97" s="8"/>
      <c r="V97" s="8"/>
      <c r="W97" s="8" t="s">
        <v>87</v>
      </c>
      <c r="X97" s="8">
        <f>SUMIF(Main!G11:O11,'S8'!Y1,Main!G26:O26)</f>
        <v>2</v>
      </c>
      <c r="Y97" s="8"/>
      <c r="Z97" s="8"/>
    </row>
    <row r="98" spans="1:26" x14ac:dyDescent="0.55000000000000004">
      <c r="A98" s="8" t="s">
        <v>761</v>
      </c>
      <c r="B98" s="25" t="s">
        <v>308</v>
      </c>
      <c r="C98" s="25" t="s">
        <v>308</v>
      </c>
      <c r="D98" s="25" t="s">
        <v>308</v>
      </c>
      <c r="E98" s="25" t="s">
        <v>308</v>
      </c>
      <c r="F98" s="25" t="s">
        <v>308</v>
      </c>
      <c r="G98" s="25" t="s">
        <v>308</v>
      </c>
      <c r="H98" s="25" t="s">
        <v>308</v>
      </c>
      <c r="I98" s="25" t="s">
        <v>308</v>
      </c>
      <c r="J98" s="25" t="s">
        <v>308</v>
      </c>
      <c r="K98" s="8"/>
      <c r="L98" s="10"/>
      <c r="M98" s="8"/>
      <c r="N98" s="8" t="s">
        <v>760</v>
      </c>
      <c r="O98" s="26">
        <v>0</v>
      </c>
      <c r="P98" s="25" t="s">
        <v>308</v>
      </c>
      <c r="Q98" s="25" t="s">
        <v>308</v>
      </c>
      <c r="R98" s="25" t="s">
        <v>308</v>
      </c>
      <c r="S98" s="8"/>
      <c r="T98" s="10"/>
      <c r="U98" s="8"/>
      <c r="V98" s="8"/>
      <c r="W98" s="8" t="s">
        <v>95</v>
      </c>
      <c r="X98" s="8">
        <f>SUMIF(Main!G11:O11,'S8'!Y1,Main!G27:O27)</f>
        <v>2</v>
      </c>
      <c r="Y98" s="8"/>
      <c r="Z98" s="8"/>
    </row>
    <row r="99" spans="1:26" x14ac:dyDescent="0.55000000000000004">
      <c r="A99" s="8" t="s">
        <v>764</v>
      </c>
      <c r="B99" s="25" t="s">
        <v>308</v>
      </c>
      <c r="C99" s="25" t="s">
        <v>308</v>
      </c>
      <c r="D99" s="25" t="s">
        <v>308</v>
      </c>
      <c r="E99" s="25" t="s">
        <v>308</v>
      </c>
      <c r="F99" s="25" t="s">
        <v>308</v>
      </c>
      <c r="G99" s="25" t="s">
        <v>308</v>
      </c>
      <c r="H99" s="25" t="s">
        <v>308</v>
      </c>
      <c r="I99" s="25" t="s">
        <v>308</v>
      </c>
      <c r="J99" s="25" t="s">
        <v>308</v>
      </c>
      <c r="K99" s="8"/>
      <c r="L99" s="10"/>
      <c r="M99" s="8"/>
      <c r="N99" s="8" t="s">
        <v>763</v>
      </c>
      <c r="O99" s="26">
        <v>0</v>
      </c>
      <c r="P99" s="25" t="s">
        <v>308</v>
      </c>
      <c r="Q99" s="25" t="s">
        <v>308</v>
      </c>
      <c r="R99" s="25" t="s">
        <v>308</v>
      </c>
      <c r="S99" s="8"/>
      <c r="T99" s="10"/>
      <c r="U99" s="8"/>
      <c r="V99" s="8"/>
      <c r="W99" s="8" t="s">
        <v>101</v>
      </c>
      <c r="X99" s="8">
        <f>SUMIF(Main!G11:O11,'S8'!Y1,Main!G28:O28)</f>
        <v>2</v>
      </c>
      <c r="Y99" s="8"/>
      <c r="Z99" s="8"/>
    </row>
    <row r="100" spans="1:26" x14ac:dyDescent="0.55000000000000004">
      <c r="A100" s="8" t="s">
        <v>767</v>
      </c>
      <c r="B100" s="25" t="s">
        <v>308</v>
      </c>
      <c r="C100" s="25" t="s">
        <v>308</v>
      </c>
      <c r="D100" s="25" t="s">
        <v>308</v>
      </c>
      <c r="E100" s="25" t="s">
        <v>308</v>
      </c>
      <c r="F100" s="25" t="s">
        <v>308</v>
      </c>
      <c r="G100" s="25" t="s">
        <v>308</v>
      </c>
      <c r="H100" s="25" t="s">
        <v>308</v>
      </c>
      <c r="I100" s="25" t="s">
        <v>308</v>
      </c>
      <c r="J100" s="25" t="s">
        <v>308</v>
      </c>
      <c r="K100" s="8"/>
      <c r="L100" s="10"/>
      <c r="M100" s="8"/>
      <c r="N100" s="8" t="s">
        <v>766</v>
      </c>
      <c r="O100" s="26">
        <v>0</v>
      </c>
      <c r="P100" s="25" t="s">
        <v>308</v>
      </c>
      <c r="Q100" s="25" t="s">
        <v>308</v>
      </c>
      <c r="R100" s="25" t="s">
        <v>308</v>
      </c>
      <c r="S100" s="8"/>
      <c r="T100" s="10"/>
      <c r="U100" s="8"/>
      <c r="V100" s="8"/>
      <c r="W100" s="8"/>
      <c r="X100" s="8"/>
      <c r="Y100" s="8"/>
      <c r="Z100" s="8"/>
    </row>
    <row r="101" spans="1:26" x14ac:dyDescent="0.55000000000000004">
      <c r="A101" s="8" t="s">
        <v>770</v>
      </c>
      <c r="B101" s="25" t="s">
        <v>308</v>
      </c>
      <c r="C101" s="25" t="s">
        <v>308</v>
      </c>
      <c r="D101" s="25" t="s">
        <v>308</v>
      </c>
      <c r="E101" s="25" t="s">
        <v>308</v>
      </c>
      <c r="F101" s="25" t="s">
        <v>308</v>
      </c>
      <c r="G101" s="25" t="s">
        <v>308</v>
      </c>
      <c r="H101" s="25" t="s">
        <v>308</v>
      </c>
      <c r="I101" s="25" t="s">
        <v>308</v>
      </c>
      <c r="J101" s="25" t="s">
        <v>308</v>
      </c>
      <c r="K101" s="8"/>
      <c r="L101" s="10"/>
      <c r="M101" s="8"/>
      <c r="N101" s="8" t="s">
        <v>769</v>
      </c>
      <c r="O101" s="26">
        <v>0</v>
      </c>
      <c r="P101" s="25" t="s">
        <v>308</v>
      </c>
      <c r="Q101" s="25" t="s">
        <v>308</v>
      </c>
      <c r="R101" s="25" t="s">
        <v>308</v>
      </c>
      <c r="S101" s="8"/>
      <c r="T101" s="10"/>
      <c r="U101" s="8"/>
      <c r="V101" s="8"/>
      <c r="W101" s="8"/>
      <c r="X101" s="8"/>
      <c r="Y101" s="8"/>
      <c r="Z101" s="8"/>
    </row>
    <row r="102" spans="1:26" x14ac:dyDescent="0.55000000000000004">
      <c r="A102" s="8" t="s">
        <v>211</v>
      </c>
      <c r="B102" s="25" t="s">
        <v>308</v>
      </c>
      <c r="C102" s="25" t="s">
        <v>308</v>
      </c>
      <c r="D102" s="25" t="s">
        <v>308</v>
      </c>
      <c r="E102" s="25" t="s">
        <v>308</v>
      </c>
      <c r="F102" s="25" t="s">
        <v>308</v>
      </c>
      <c r="G102" s="25" t="s">
        <v>308</v>
      </c>
      <c r="H102" s="25" t="s">
        <v>308</v>
      </c>
      <c r="I102" s="25" t="s">
        <v>308</v>
      </c>
      <c r="J102" s="25" t="s">
        <v>308</v>
      </c>
      <c r="K102" s="8"/>
      <c r="L102" s="10"/>
      <c r="M102" s="8"/>
      <c r="N102" s="8" t="s">
        <v>210</v>
      </c>
      <c r="O102" s="26">
        <v>0</v>
      </c>
      <c r="P102" s="25" t="s">
        <v>308</v>
      </c>
      <c r="Q102" s="25" t="s">
        <v>308</v>
      </c>
      <c r="R102" s="25" t="s">
        <v>308</v>
      </c>
      <c r="S102" s="8"/>
      <c r="T102" s="10"/>
      <c r="U102" s="8"/>
      <c r="V102" s="8"/>
      <c r="W102" s="8"/>
      <c r="X102" s="8"/>
      <c r="Y102" s="8"/>
      <c r="Z102" s="8"/>
    </row>
    <row r="103" spans="1:26" x14ac:dyDescent="0.55000000000000004">
      <c r="A103" s="8" t="s">
        <v>214</v>
      </c>
      <c r="B103" s="25" t="s">
        <v>308</v>
      </c>
      <c r="C103" s="25" t="s">
        <v>308</v>
      </c>
      <c r="D103" s="25" t="s">
        <v>308</v>
      </c>
      <c r="E103" s="25" t="s">
        <v>308</v>
      </c>
      <c r="F103" s="25" t="s">
        <v>308</v>
      </c>
      <c r="G103" s="25" t="s">
        <v>308</v>
      </c>
      <c r="H103" s="25" t="s">
        <v>308</v>
      </c>
      <c r="I103" s="25" t="s">
        <v>308</v>
      </c>
      <c r="J103" s="25" t="s">
        <v>308</v>
      </c>
      <c r="K103" s="8"/>
      <c r="L103" s="10"/>
      <c r="M103" s="8"/>
      <c r="N103" s="8" t="s">
        <v>213</v>
      </c>
      <c r="O103" s="26">
        <v>0</v>
      </c>
      <c r="P103" s="25" t="s">
        <v>308</v>
      </c>
      <c r="Q103" s="25" t="s">
        <v>308</v>
      </c>
      <c r="R103" s="25" t="s">
        <v>308</v>
      </c>
      <c r="S103" s="8"/>
      <c r="T103" s="10"/>
      <c r="U103" s="8"/>
      <c r="V103" s="8"/>
      <c r="W103" s="8"/>
      <c r="X103" s="8"/>
      <c r="Y103" s="8"/>
      <c r="Z103" s="8"/>
    </row>
    <row r="104" spans="1:26" x14ac:dyDescent="0.55000000000000004">
      <c r="A104" s="8" t="s">
        <v>217</v>
      </c>
      <c r="B104" s="25" t="s">
        <v>308</v>
      </c>
      <c r="C104" s="25" t="s">
        <v>308</v>
      </c>
      <c r="D104" s="25" t="s">
        <v>308</v>
      </c>
      <c r="E104" s="25" t="s">
        <v>308</v>
      </c>
      <c r="F104" s="25" t="s">
        <v>308</v>
      </c>
      <c r="G104" s="25" t="s">
        <v>308</v>
      </c>
      <c r="H104" s="25" t="s">
        <v>308</v>
      </c>
      <c r="I104" s="25" t="s">
        <v>308</v>
      </c>
      <c r="J104" s="25" t="s">
        <v>308</v>
      </c>
      <c r="K104" s="8"/>
      <c r="L104" s="10"/>
      <c r="M104" s="8"/>
      <c r="N104" s="8" t="s">
        <v>216</v>
      </c>
      <c r="O104" s="26">
        <v>0</v>
      </c>
      <c r="P104" s="25" t="s">
        <v>308</v>
      </c>
      <c r="Q104" s="25" t="s">
        <v>308</v>
      </c>
      <c r="R104" s="25" t="s">
        <v>308</v>
      </c>
      <c r="S104" s="8"/>
      <c r="T104" s="10"/>
      <c r="U104" s="8"/>
      <c r="V104" s="8"/>
      <c r="W104" s="8"/>
      <c r="X104" s="8"/>
      <c r="Y104" s="8"/>
      <c r="Z104" s="8"/>
    </row>
    <row r="105" spans="1:26" x14ac:dyDescent="0.55000000000000004">
      <c r="A105" s="8" t="s">
        <v>776</v>
      </c>
      <c r="B105" s="25" t="s">
        <v>308</v>
      </c>
      <c r="C105" s="25" t="s">
        <v>308</v>
      </c>
      <c r="D105" s="25" t="s">
        <v>308</v>
      </c>
      <c r="E105" s="25" t="s">
        <v>308</v>
      </c>
      <c r="F105" s="25" t="s">
        <v>308</v>
      </c>
      <c r="G105" s="25" t="s">
        <v>308</v>
      </c>
      <c r="H105" s="25" t="s">
        <v>308</v>
      </c>
      <c r="I105" s="25" t="s">
        <v>308</v>
      </c>
      <c r="J105" s="25" t="s">
        <v>308</v>
      </c>
      <c r="K105" s="8"/>
      <c r="L105" s="10"/>
      <c r="M105" s="8"/>
      <c r="N105" s="8" t="s">
        <v>775</v>
      </c>
      <c r="O105" s="26">
        <v>0</v>
      </c>
      <c r="P105" s="25" t="s">
        <v>308</v>
      </c>
      <c r="Q105" s="25" t="s">
        <v>308</v>
      </c>
      <c r="R105" s="25" t="s">
        <v>308</v>
      </c>
      <c r="S105" s="8"/>
      <c r="T105" s="10"/>
      <c r="U105" s="8"/>
      <c r="V105" s="8"/>
      <c r="W105" s="8"/>
      <c r="X105" s="8"/>
      <c r="Y105" s="8"/>
      <c r="Z105" s="8"/>
    </row>
    <row r="106" spans="1:26" x14ac:dyDescent="0.55000000000000004">
      <c r="A106" s="8" t="s">
        <v>779</v>
      </c>
      <c r="B106" s="25" t="s">
        <v>308</v>
      </c>
      <c r="C106" s="25" t="s">
        <v>308</v>
      </c>
      <c r="D106" s="25" t="s">
        <v>308</v>
      </c>
      <c r="E106" s="25" t="s">
        <v>308</v>
      </c>
      <c r="F106" s="25" t="s">
        <v>308</v>
      </c>
      <c r="G106" s="25" t="s">
        <v>308</v>
      </c>
      <c r="H106" s="25" t="s">
        <v>308</v>
      </c>
      <c r="I106" s="25" t="s">
        <v>308</v>
      </c>
      <c r="J106" s="25" t="s">
        <v>308</v>
      </c>
      <c r="K106" s="8"/>
      <c r="L106" s="10"/>
      <c r="M106" s="8"/>
      <c r="N106" s="8" t="s">
        <v>778</v>
      </c>
      <c r="O106" s="26">
        <v>0</v>
      </c>
      <c r="P106" s="25" t="s">
        <v>308</v>
      </c>
      <c r="Q106" s="25" t="s">
        <v>308</v>
      </c>
      <c r="R106" s="25" t="s">
        <v>308</v>
      </c>
      <c r="S106" s="8"/>
      <c r="T106" s="10"/>
      <c r="U106" s="8"/>
      <c r="V106" s="8"/>
      <c r="W106" s="8"/>
      <c r="X106" s="8"/>
      <c r="Y106" s="8"/>
      <c r="Z106" s="8"/>
    </row>
    <row r="107" spans="1:26" x14ac:dyDescent="0.55000000000000004">
      <c r="A107" s="8" t="s">
        <v>782</v>
      </c>
      <c r="B107" s="25" t="s">
        <v>308</v>
      </c>
      <c r="C107" s="25" t="s">
        <v>308</v>
      </c>
      <c r="D107" s="25" t="s">
        <v>308</v>
      </c>
      <c r="E107" s="25" t="s">
        <v>308</v>
      </c>
      <c r="F107" s="25" t="s">
        <v>308</v>
      </c>
      <c r="G107" s="25" t="s">
        <v>308</v>
      </c>
      <c r="H107" s="25" t="s">
        <v>308</v>
      </c>
      <c r="I107" s="25" t="s">
        <v>308</v>
      </c>
      <c r="J107" s="25" t="s">
        <v>308</v>
      </c>
      <c r="K107" s="8"/>
      <c r="L107" s="10"/>
      <c r="M107" s="8"/>
      <c r="N107" s="8" t="s">
        <v>781</v>
      </c>
      <c r="O107" s="26">
        <v>0</v>
      </c>
      <c r="P107" s="25" t="s">
        <v>308</v>
      </c>
      <c r="Q107" s="25" t="s">
        <v>308</v>
      </c>
      <c r="R107" s="25" t="s">
        <v>308</v>
      </c>
      <c r="S107" s="8"/>
      <c r="T107" s="10"/>
      <c r="U107" s="8"/>
      <c r="V107" s="8"/>
      <c r="W107" s="8"/>
      <c r="X107" s="8"/>
      <c r="Y107" s="8"/>
      <c r="Z107" s="8"/>
    </row>
    <row r="108" spans="1:26" x14ac:dyDescent="0.55000000000000004">
      <c r="A108" s="8" t="s">
        <v>220</v>
      </c>
      <c r="B108" s="25" t="s">
        <v>308</v>
      </c>
      <c r="C108" s="25" t="s">
        <v>308</v>
      </c>
      <c r="D108" s="25" t="s">
        <v>308</v>
      </c>
      <c r="E108" s="25" t="s">
        <v>308</v>
      </c>
      <c r="F108" s="25" t="s">
        <v>308</v>
      </c>
      <c r="G108" s="25" t="s">
        <v>308</v>
      </c>
      <c r="H108" s="25" t="s">
        <v>308</v>
      </c>
      <c r="I108" s="25" t="s">
        <v>308</v>
      </c>
      <c r="J108" s="25" t="s">
        <v>308</v>
      </c>
      <c r="K108" s="8"/>
      <c r="L108" s="10"/>
      <c r="M108" s="8"/>
      <c r="N108" s="8" t="s">
        <v>219</v>
      </c>
      <c r="O108" s="26">
        <v>0</v>
      </c>
      <c r="P108" s="25" t="s">
        <v>308</v>
      </c>
      <c r="Q108" s="25" t="s">
        <v>308</v>
      </c>
      <c r="R108" s="25" t="s">
        <v>308</v>
      </c>
      <c r="S108" s="8"/>
      <c r="T108" s="10"/>
      <c r="U108" s="8"/>
      <c r="V108" s="8"/>
      <c r="W108" s="8"/>
      <c r="X108" s="8"/>
      <c r="Y108" s="8"/>
      <c r="Z108" s="8"/>
    </row>
    <row r="109" spans="1:26" x14ac:dyDescent="0.55000000000000004">
      <c r="A109" s="8" t="s">
        <v>786</v>
      </c>
      <c r="B109" s="25" t="s">
        <v>308</v>
      </c>
      <c r="C109" s="25" t="s">
        <v>308</v>
      </c>
      <c r="D109" s="25" t="s">
        <v>308</v>
      </c>
      <c r="E109" s="25" t="s">
        <v>308</v>
      </c>
      <c r="F109" s="25" t="s">
        <v>308</v>
      </c>
      <c r="G109" s="25" t="s">
        <v>308</v>
      </c>
      <c r="H109" s="25" t="s">
        <v>308</v>
      </c>
      <c r="I109" s="25" t="s">
        <v>308</v>
      </c>
      <c r="J109" s="25" t="s">
        <v>308</v>
      </c>
      <c r="K109" s="8"/>
      <c r="L109" s="10"/>
      <c r="M109" s="8"/>
      <c r="N109" s="8" t="s">
        <v>785</v>
      </c>
      <c r="O109" s="26">
        <v>0</v>
      </c>
      <c r="P109" s="25" t="s">
        <v>308</v>
      </c>
      <c r="Q109" s="25" t="s">
        <v>308</v>
      </c>
      <c r="R109" s="25" t="s">
        <v>308</v>
      </c>
      <c r="S109" s="8"/>
      <c r="T109" s="10"/>
      <c r="U109" s="8"/>
      <c r="V109" s="8"/>
      <c r="W109" s="8"/>
      <c r="X109" s="8"/>
      <c r="Y109" s="8"/>
      <c r="Z109" s="8"/>
    </row>
    <row r="110" spans="1:26" x14ac:dyDescent="0.55000000000000004">
      <c r="A110" s="8" t="s">
        <v>789</v>
      </c>
      <c r="B110" s="25" t="s">
        <v>308</v>
      </c>
      <c r="C110" s="25" t="s">
        <v>308</v>
      </c>
      <c r="D110" s="25" t="s">
        <v>308</v>
      </c>
      <c r="E110" s="25" t="s">
        <v>308</v>
      </c>
      <c r="F110" s="25" t="s">
        <v>308</v>
      </c>
      <c r="G110" s="25" t="s">
        <v>308</v>
      </c>
      <c r="H110" s="25" t="s">
        <v>308</v>
      </c>
      <c r="I110" s="25" t="s">
        <v>308</v>
      </c>
      <c r="J110" s="25" t="s">
        <v>308</v>
      </c>
      <c r="K110" s="8"/>
      <c r="L110" s="10"/>
      <c r="M110" s="8"/>
      <c r="N110" s="8" t="s">
        <v>788</v>
      </c>
      <c r="O110" s="26">
        <v>0</v>
      </c>
      <c r="P110" s="25" t="s">
        <v>308</v>
      </c>
      <c r="Q110" s="25" t="s">
        <v>308</v>
      </c>
      <c r="R110" s="25" t="s">
        <v>308</v>
      </c>
      <c r="S110" s="8"/>
      <c r="T110" s="10"/>
      <c r="U110" s="8"/>
      <c r="V110" s="8"/>
      <c r="W110" s="8"/>
      <c r="X110" s="8"/>
      <c r="Y110" s="8"/>
      <c r="Z110" s="8"/>
    </row>
    <row r="111" spans="1:26" x14ac:dyDescent="0.5500000000000000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8"/>
      <c r="P111" s="8"/>
      <c r="Q111" s="8"/>
      <c r="R111" s="8"/>
      <c r="S111" s="8"/>
      <c r="T111" s="10"/>
      <c r="U111" s="8"/>
      <c r="V111" s="8"/>
      <c r="W111" s="8"/>
      <c r="X111" s="8"/>
      <c r="Y111" s="8"/>
      <c r="Z111" s="8"/>
    </row>
  </sheetData>
  <sheetProtection sheet="1" objects="1" scenarios="1"/>
  <mergeCells count="4">
    <mergeCell ref="B4:C4"/>
    <mergeCell ref="D4:F4"/>
    <mergeCell ref="G4:I4"/>
    <mergeCell ref="Q4:R4"/>
  </mergeCells>
  <conditionalFormatting sqref="O7:O110">
    <cfRule type="cellIs" dxfId="9" priority="4" operator="equal">
      <formula>0</formula>
    </cfRule>
  </conditionalFormatting>
  <conditionalFormatting sqref="P7:R110">
    <cfRule type="cellIs" dxfId="8" priority="3" operator="equal">
      <formula>"eps"</formula>
    </cfRule>
  </conditionalFormatting>
  <conditionalFormatting sqref="W7:Y23 B7:J110">
    <cfRule type="cellIs" dxfId="7" priority="5" operator="equal">
      <formula>"eps"</formula>
    </cfRule>
  </conditionalFormatting>
  <conditionalFormatting sqref="X28:Y42">
    <cfRule type="cellIs" dxfId="6" priority="1" operator="equal">
      <formula>"eps"</formula>
    </cfRule>
  </conditionalFormatting>
  <conditionalFormatting sqref="Y46:Y54">
    <cfRule type="cellIs" dxfId="5" priority="2" operator="equal">
      <formula>"eps"</formula>
    </cfRule>
  </conditionalFormatting>
  <dataValidations count="1">
    <dataValidation type="whole" allowBlank="1" showInputMessage="1" showErrorMessage="1" errorTitle="Incorrect choice" error="Choose 0 or 1" sqref="X59:Y74 O7:O110" xr:uid="{00000000-0002-0000-0900-000000000000}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499984740745262"/>
  </sheetPr>
  <dimension ref="A1:Z111"/>
  <sheetViews>
    <sheetView zoomScale="75" zoomScaleNormal="7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0" defaultRowHeight="14.4" zeroHeight="1" x14ac:dyDescent="0.55000000000000004"/>
  <cols>
    <col min="1" max="9" width="8.7890625" customWidth="1"/>
    <col min="10" max="10" width="8.7890625" hidden="1" customWidth="1"/>
    <col min="11" max="13" width="1" customWidth="1"/>
    <col min="14" max="18" width="8.7890625" customWidth="1"/>
    <col min="19" max="21" width="1" customWidth="1"/>
    <col min="22" max="25" width="8.7890625" customWidth="1"/>
    <col min="26" max="26" width="3.15625" customWidth="1"/>
    <col min="27" max="16384" width="8.7890625" hidden="1"/>
  </cols>
  <sheetData>
    <row r="1" spans="1:26" ht="18.3" x14ac:dyDescent="0.7">
      <c r="A1" s="6" t="str">
        <f>"Simulation "&amp;Y1&amp;IF(X1&lt;&gt;""," : "&amp;X1,"")</f>
        <v>Simulation sim9 : 50%_incr_cchem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7" t="str">
        <f>IF(Main!C6&lt;&gt;"",Main!C6,"")</f>
        <v>50%_incr_cchem</v>
      </c>
      <c r="Y1" s="17" t="str">
        <f>Main!A14</f>
        <v>sim9</v>
      </c>
      <c r="Z1" s="7"/>
    </row>
    <row r="2" spans="1:26" x14ac:dyDescent="0.5500000000000000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55000000000000004">
      <c r="A3" s="11" t="s">
        <v>271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 t="s">
        <v>272</v>
      </c>
      <c r="O3" s="11"/>
      <c r="P3" s="11"/>
      <c r="Q3" s="11"/>
      <c r="R3" s="11"/>
      <c r="S3" s="11"/>
      <c r="T3" s="11"/>
      <c r="U3" s="11"/>
      <c r="V3" s="11" t="s">
        <v>273</v>
      </c>
      <c r="W3" s="11"/>
      <c r="X3" s="11"/>
      <c r="Y3" s="11"/>
      <c r="Z3" s="11"/>
    </row>
    <row r="4" spans="1:26" x14ac:dyDescent="0.55000000000000004">
      <c r="A4" s="13"/>
      <c r="B4" s="31" t="s">
        <v>274</v>
      </c>
      <c r="C4" s="31"/>
      <c r="D4" s="31" t="s">
        <v>275</v>
      </c>
      <c r="E4" s="31"/>
      <c r="F4" s="31"/>
      <c r="G4" s="31" t="s">
        <v>17</v>
      </c>
      <c r="H4" s="31"/>
      <c r="I4" s="31"/>
      <c r="J4" s="15" t="s">
        <v>276</v>
      </c>
      <c r="K4" s="13"/>
      <c r="L4" s="10"/>
      <c r="M4" s="13"/>
      <c r="N4" s="13"/>
      <c r="O4" s="15" t="s">
        <v>277</v>
      </c>
      <c r="P4" s="15" t="s">
        <v>278</v>
      </c>
      <c r="Q4" s="31" t="s">
        <v>279</v>
      </c>
      <c r="R4" s="31"/>
      <c r="S4" s="13"/>
      <c r="T4" s="10"/>
      <c r="U4" s="13"/>
      <c r="V4" s="13"/>
      <c r="W4" s="15" t="s">
        <v>280</v>
      </c>
      <c r="X4" s="15" t="s">
        <v>281</v>
      </c>
      <c r="Y4" s="15" t="s">
        <v>280</v>
      </c>
      <c r="Z4" s="13"/>
    </row>
    <row r="5" spans="1:26" x14ac:dyDescent="0.55000000000000004">
      <c r="A5" s="13"/>
      <c r="B5" s="16" t="s">
        <v>282</v>
      </c>
      <c r="C5" s="16" t="s">
        <v>283</v>
      </c>
      <c r="D5" s="16" t="s">
        <v>282</v>
      </c>
      <c r="E5" s="16" t="s">
        <v>283</v>
      </c>
      <c r="F5" s="16" t="s">
        <v>284</v>
      </c>
      <c r="G5" s="16" t="s">
        <v>282</v>
      </c>
      <c r="H5" s="16" t="s">
        <v>283</v>
      </c>
      <c r="I5" s="16" t="s">
        <v>285</v>
      </c>
      <c r="J5" s="15" t="s">
        <v>286</v>
      </c>
      <c r="K5" s="13"/>
      <c r="L5" s="10"/>
      <c r="M5" s="13"/>
      <c r="N5" s="13"/>
      <c r="O5" s="16" t="s">
        <v>287</v>
      </c>
      <c r="P5" s="16"/>
      <c r="Q5" s="16" t="s">
        <v>288</v>
      </c>
      <c r="R5" s="16" t="s">
        <v>332</v>
      </c>
      <c r="S5" s="13"/>
      <c r="T5" s="10"/>
      <c r="U5" s="13"/>
      <c r="V5" s="13"/>
      <c r="W5" s="15" t="s">
        <v>289</v>
      </c>
      <c r="X5" s="15" t="s">
        <v>290</v>
      </c>
      <c r="Y5" s="15" t="s">
        <v>291</v>
      </c>
      <c r="Z5" s="13"/>
    </row>
    <row r="6" spans="1:26" x14ac:dyDescent="0.55000000000000004">
      <c r="A6" s="13"/>
      <c r="B6" s="16" t="s">
        <v>292</v>
      </c>
      <c r="C6" s="16" t="s">
        <v>293</v>
      </c>
      <c r="D6" s="16" t="s">
        <v>294</v>
      </c>
      <c r="E6" s="16" t="s">
        <v>295</v>
      </c>
      <c r="F6" s="16" t="s">
        <v>296</v>
      </c>
      <c r="G6" s="16" t="s">
        <v>297</v>
      </c>
      <c r="H6" s="16" t="s">
        <v>298</v>
      </c>
      <c r="I6" s="16" t="s">
        <v>299</v>
      </c>
      <c r="J6" s="16" t="s">
        <v>300</v>
      </c>
      <c r="K6" s="13"/>
      <c r="L6" s="10"/>
      <c r="M6" s="13"/>
      <c r="N6" s="13"/>
      <c r="O6" s="16" t="s">
        <v>301</v>
      </c>
      <c r="P6" s="16" t="s">
        <v>302</v>
      </c>
      <c r="Q6" s="16" t="s">
        <v>303</v>
      </c>
      <c r="R6" s="16" t="s">
        <v>304</v>
      </c>
      <c r="S6" s="13"/>
      <c r="T6" s="10"/>
      <c r="U6" s="13"/>
      <c r="V6" s="13"/>
      <c r="W6" s="16" t="s">
        <v>305</v>
      </c>
      <c r="X6" s="16" t="s">
        <v>306</v>
      </c>
      <c r="Y6" s="16" t="s">
        <v>307</v>
      </c>
      <c r="Z6" s="13"/>
    </row>
    <row r="7" spans="1:26" x14ac:dyDescent="0.55000000000000004">
      <c r="A7" s="8" t="s">
        <v>19</v>
      </c>
      <c r="B7" s="25" t="s">
        <v>308</v>
      </c>
      <c r="C7" s="25" t="s">
        <v>308</v>
      </c>
      <c r="D7" s="25" t="s">
        <v>308</v>
      </c>
      <c r="E7" s="25" t="s">
        <v>308</v>
      </c>
      <c r="F7" s="25" t="s">
        <v>308</v>
      </c>
      <c r="G7" s="25" t="s">
        <v>308</v>
      </c>
      <c r="H7" s="25" t="s">
        <v>308</v>
      </c>
      <c r="I7" s="25" t="s">
        <v>308</v>
      </c>
      <c r="J7" s="25" t="s">
        <v>308</v>
      </c>
      <c r="K7" s="8"/>
      <c r="L7" s="10"/>
      <c r="M7" s="8"/>
      <c r="N7" s="8" t="s">
        <v>18</v>
      </c>
      <c r="O7" s="26">
        <v>0</v>
      </c>
      <c r="P7" s="25" t="s">
        <v>308</v>
      </c>
      <c r="Q7" s="25" t="s">
        <v>308</v>
      </c>
      <c r="R7" s="25" t="s">
        <v>308</v>
      </c>
      <c r="S7" s="8"/>
      <c r="T7" s="10"/>
      <c r="U7" s="8"/>
      <c r="V7" s="8" t="s">
        <v>12</v>
      </c>
      <c r="W7" s="25" t="s">
        <v>308</v>
      </c>
      <c r="X7" s="25" t="s">
        <v>308</v>
      </c>
      <c r="Y7" s="25" t="s">
        <v>308</v>
      </c>
      <c r="Z7" s="8"/>
    </row>
    <row r="8" spans="1:26" x14ac:dyDescent="0.55000000000000004">
      <c r="A8" s="8" t="s">
        <v>10</v>
      </c>
      <c r="B8" s="25" t="s">
        <v>308</v>
      </c>
      <c r="C8" s="25" t="s">
        <v>308</v>
      </c>
      <c r="D8" s="25" t="s">
        <v>308</v>
      </c>
      <c r="E8" s="25" t="s">
        <v>308</v>
      </c>
      <c r="F8" s="25" t="s">
        <v>308</v>
      </c>
      <c r="G8" s="25" t="s">
        <v>308</v>
      </c>
      <c r="H8" s="25" t="s">
        <v>308</v>
      </c>
      <c r="I8" s="25" t="s">
        <v>308</v>
      </c>
      <c r="J8" s="25" t="s">
        <v>308</v>
      </c>
      <c r="K8" s="8"/>
      <c r="L8" s="10"/>
      <c r="M8" s="8"/>
      <c r="N8" s="8" t="s">
        <v>9</v>
      </c>
      <c r="O8" s="26">
        <v>0</v>
      </c>
      <c r="P8" s="25" t="s">
        <v>308</v>
      </c>
      <c r="Q8" s="25" t="s">
        <v>308</v>
      </c>
      <c r="R8" s="25" t="s">
        <v>308</v>
      </c>
      <c r="S8" s="8"/>
      <c r="T8" s="10"/>
      <c r="U8" s="8"/>
      <c r="V8" s="8" t="s">
        <v>20</v>
      </c>
      <c r="W8" s="25" t="s">
        <v>308</v>
      </c>
      <c r="X8" s="25" t="s">
        <v>308</v>
      </c>
      <c r="Y8" s="25" t="s">
        <v>308</v>
      </c>
      <c r="Z8" s="8"/>
    </row>
    <row r="9" spans="1:26" x14ac:dyDescent="0.55000000000000004">
      <c r="A9" s="8" t="s">
        <v>35</v>
      </c>
      <c r="B9" s="25" t="s">
        <v>308</v>
      </c>
      <c r="C9" s="25" t="s">
        <v>308</v>
      </c>
      <c r="D9" s="25" t="s">
        <v>308</v>
      </c>
      <c r="E9" s="25" t="s">
        <v>308</v>
      </c>
      <c r="F9" s="25" t="s">
        <v>308</v>
      </c>
      <c r="G9" s="25" t="s">
        <v>308</v>
      </c>
      <c r="H9" s="25" t="s">
        <v>308</v>
      </c>
      <c r="I9" s="25" t="s">
        <v>308</v>
      </c>
      <c r="J9" s="25" t="s">
        <v>308</v>
      </c>
      <c r="K9" s="8"/>
      <c r="L9" s="10"/>
      <c r="M9" s="8"/>
      <c r="N9" s="8" t="s">
        <v>34</v>
      </c>
      <c r="O9" s="26">
        <v>0</v>
      </c>
      <c r="P9" s="25" t="s">
        <v>308</v>
      </c>
      <c r="Q9" s="25" t="s">
        <v>308</v>
      </c>
      <c r="R9" s="25" t="s">
        <v>308</v>
      </c>
      <c r="S9" s="8"/>
      <c r="T9" s="10"/>
      <c r="U9" s="8"/>
      <c r="V9" s="8" t="s">
        <v>28</v>
      </c>
      <c r="W9" s="25" t="s">
        <v>308</v>
      </c>
      <c r="X9" s="25" t="s">
        <v>308</v>
      </c>
      <c r="Y9" s="25" t="s">
        <v>308</v>
      </c>
      <c r="Z9" s="8"/>
    </row>
    <row r="10" spans="1:26" x14ac:dyDescent="0.55000000000000004">
      <c r="A10" s="8" t="s">
        <v>27</v>
      </c>
      <c r="B10" s="25" t="s">
        <v>308</v>
      </c>
      <c r="C10" s="25" t="s">
        <v>308</v>
      </c>
      <c r="D10" s="25" t="s">
        <v>308</v>
      </c>
      <c r="E10" s="25" t="s">
        <v>308</v>
      </c>
      <c r="F10" s="25" t="s">
        <v>308</v>
      </c>
      <c r="G10" s="25" t="s">
        <v>308</v>
      </c>
      <c r="H10" s="25" t="s">
        <v>308</v>
      </c>
      <c r="I10" s="25" t="s">
        <v>308</v>
      </c>
      <c r="J10" s="25" t="s">
        <v>308</v>
      </c>
      <c r="K10" s="8"/>
      <c r="L10" s="10"/>
      <c r="M10" s="8"/>
      <c r="N10" s="8" t="s">
        <v>26</v>
      </c>
      <c r="O10" s="26">
        <v>0</v>
      </c>
      <c r="P10" s="25" t="s">
        <v>308</v>
      </c>
      <c r="Q10" s="25" t="s">
        <v>308</v>
      </c>
      <c r="R10" s="25" t="s">
        <v>308</v>
      </c>
      <c r="S10" s="8"/>
      <c r="T10" s="10"/>
      <c r="U10" s="8"/>
      <c r="V10" s="8" t="s">
        <v>36</v>
      </c>
      <c r="W10" s="25" t="s">
        <v>308</v>
      </c>
      <c r="X10" s="25" t="s">
        <v>308</v>
      </c>
      <c r="Y10" s="25" t="s">
        <v>308</v>
      </c>
      <c r="Z10" s="8"/>
    </row>
    <row r="11" spans="1:26" x14ac:dyDescent="0.55000000000000004">
      <c r="A11" s="8" t="s">
        <v>42</v>
      </c>
      <c r="B11" s="25" t="s">
        <v>308</v>
      </c>
      <c r="C11" s="25" t="s">
        <v>308</v>
      </c>
      <c r="D11" s="25" t="s">
        <v>308</v>
      </c>
      <c r="E11" s="25" t="s">
        <v>308</v>
      </c>
      <c r="F11" s="25" t="s">
        <v>308</v>
      </c>
      <c r="G11" s="25" t="s">
        <v>308</v>
      </c>
      <c r="H11" s="25" t="s">
        <v>308</v>
      </c>
      <c r="I11" s="25" t="s">
        <v>308</v>
      </c>
      <c r="J11" s="25" t="s">
        <v>308</v>
      </c>
      <c r="K11" s="8"/>
      <c r="L11" s="10"/>
      <c r="M11" s="8"/>
      <c r="N11" s="8" t="s">
        <v>41</v>
      </c>
      <c r="O11" s="26">
        <v>0</v>
      </c>
      <c r="P11" s="25" t="s">
        <v>308</v>
      </c>
      <c r="Q11" s="25" t="s">
        <v>308</v>
      </c>
      <c r="R11" s="25" t="s">
        <v>308</v>
      </c>
      <c r="S11" s="8"/>
      <c r="T11" s="10"/>
      <c r="U11" s="8"/>
      <c r="V11" s="8" t="s">
        <v>44</v>
      </c>
      <c r="W11" s="25" t="s">
        <v>308</v>
      </c>
      <c r="X11" s="25" t="s">
        <v>308</v>
      </c>
      <c r="Y11" s="25" t="s">
        <v>308</v>
      </c>
      <c r="Z11" s="8"/>
    </row>
    <row r="12" spans="1:26" x14ac:dyDescent="0.55000000000000004">
      <c r="A12" s="8" t="s">
        <v>78</v>
      </c>
      <c r="B12" s="25" t="s">
        <v>308</v>
      </c>
      <c r="C12" s="25" t="s">
        <v>308</v>
      </c>
      <c r="D12" s="25" t="s">
        <v>308</v>
      </c>
      <c r="E12" s="25" t="s">
        <v>308</v>
      </c>
      <c r="F12" s="25" t="s">
        <v>308</v>
      </c>
      <c r="G12" s="25" t="s">
        <v>308</v>
      </c>
      <c r="H12" s="25" t="s">
        <v>308</v>
      </c>
      <c r="I12" s="25" t="s">
        <v>308</v>
      </c>
      <c r="J12" s="25" t="s">
        <v>308</v>
      </c>
      <c r="K12" s="8"/>
      <c r="L12" s="10"/>
      <c r="M12" s="8"/>
      <c r="N12" s="8" t="s">
        <v>77</v>
      </c>
      <c r="O12" s="26">
        <v>0</v>
      </c>
      <c r="P12" s="25" t="s">
        <v>308</v>
      </c>
      <c r="Q12" s="25" t="s">
        <v>308</v>
      </c>
      <c r="R12" s="25" t="s">
        <v>308</v>
      </c>
      <c r="S12" s="8"/>
      <c r="T12" s="10"/>
      <c r="U12" s="8"/>
      <c r="V12" s="8" t="s">
        <v>49</v>
      </c>
      <c r="W12" s="25" t="s">
        <v>308</v>
      </c>
      <c r="X12" s="25" t="s">
        <v>308</v>
      </c>
      <c r="Y12" s="25" t="s">
        <v>308</v>
      </c>
      <c r="Z12" s="8"/>
    </row>
    <row r="13" spans="1:26" x14ac:dyDescent="0.55000000000000004">
      <c r="A13" s="8" t="s">
        <v>86</v>
      </c>
      <c r="B13" s="25" t="s">
        <v>308</v>
      </c>
      <c r="C13" s="25" t="s">
        <v>308</v>
      </c>
      <c r="D13" s="25" t="s">
        <v>308</v>
      </c>
      <c r="E13" s="25" t="s">
        <v>308</v>
      </c>
      <c r="F13" s="25" t="s">
        <v>308</v>
      </c>
      <c r="G13" s="25" t="s">
        <v>308</v>
      </c>
      <c r="H13" s="25" t="s">
        <v>308</v>
      </c>
      <c r="I13" s="25" t="s">
        <v>308</v>
      </c>
      <c r="J13" s="25" t="s">
        <v>308</v>
      </c>
      <c r="K13" s="8"/>
      <c r="L13" s="10"/>
      <c r="M13" s="8"/>
      <c r="N13" s="8" t="s">
        <v>85</v>
      </c>
      <c r="O13" s="26">
        <v>0</v>
      </c>
      <c r="P13" s="25" t="s">
        <v>308</v>
      </c>
      <c r="Q13" s="25" t="s">
        <v>308</v>
      </c>
      <c r="R13" s="25" t="s">
        <v>308</v>
      </c>
      <c r="S13" s="8"/>
      <c r="T13" s="10"/>
      <c r="U13" s="8"/>
      <c r="V13" s="8" t="s">
        <v>57</v>
      </c>
      <c r="W13" s="25" t="s">
        <v>308</v>
      </c>
      <c r="X13" s="25" t="s">
        <v>308</v>
      </c>
      <c r="Y13" s="25" t="s">
        <v>308</v>
      </c>
      <c r="Z13" s="8"/>
    </row>
    <row r="14" spans="1:26" x14ac:dyDescent="0.55000000000000004">
      <c r="A14" s="8" t="s">
        <v>71</v>
      </c>
      <c r="B14" s="25" t="s">
        <v>308</v>
      </c>
      <c r="C14" s="25" t="s">
        <v>308</v>
      </c>
      <c r="D14" s="25" t="s">
        <v>308</v>
      </c>
      <c r="E14" s="25" t="s">
        <v>308</v>
      </c>
      <c r="F14" s="25" t="s">
        <v>308</v>
      </c>
      <c r="G14" s="25" t="s">
        <v>308</v>
      </c>
      <c r="H14" s="25" t="s">
        <v>308</v>
      </c>
      <c r="I14" s="25" t="s">
        <v>308</v>
      </c>
      <c r="J14" s="25" t="s">
        <v>308</v>
      </c>
      <c r="K14" s="8"/>
      <c r="L14" s="10"/>
      <c r="M14" s="8"/>
      <c r="N14" s="8" t="s">
        <v>70</v>
      </c>
      <c r="O14" s="26">
        <v>0</v>
      </c>
      <c r="P14" s="25" t="s">
        <v>308</v>
      </c>
      <c r="Q14" s="25" t="s">
        <v>308</v>
      </c>
      <c r="R14" s="25" t="s">
        <v>308</v>
      </c>
      <c r="S14" s="8"/>
      <c r="T14" s="10"/>
      <c r="U14" s="8"/>
      <c r="V14" s="8" t="s">
        <v>65</v>
      </c>
      <c r="W14" s="25" t="s">
        <v>308</v>
      </c>
      <c r="X14" s="25" t="s">
        <v>308</v>
      </c>
      <c r="Y14" s="25" t="s">
        <v>308</v>
      </c>
      <c r="Z14" s="8"/>
    </row>
    <row r="15" spans="1:26" x14ac:dyDescent="0.55000000000000004">
      <c r="A15" s="8" t="s">
        <v>94</v>
      </c>
      <c r="B15" s="25" t="s">
        <v>308</v>
      </c>
      <c r="C15" s="25" t="s">
        <v>308</v>
      </c>
      <c r="D15" s="25" t="s">
        <v>308</v>
      </c>
      <c r="E15" s="25" t="s">
        <v>308</v>
      </c>
      <c r="F15" s="25" t="s">
        <v>308</v>
      </c>
      <c r="G15" s="25" t="s">
        <v>308</v>
      </c>
      <c r="H15" s="25" t="s">
        <v>308</v>
      </c>
      <c r="I15" s="25" t="s">
        <v>308</v>
      </c>
      <c r="J15" s="25" t="s">
        <v>308</v>
      </c>
      <c r="K15" s="8"/>
      <c r="L15" s="10"/>
      <c r="M15" s="8"/>
      <c r="N15" s="8" t="s">
        <v>93</v>
      </c>
      <c r="O15" s="26">
        <v>0</v>
      </c>
      <c r="P15" s="25" t="s">
        <v>308</v>
      </c>
      <c r="Q15" s="25" t="s">
        <v>308</v>
      </c>
      <c r="R15" s="25" t="s">
        <v>308</v>
      </c>
      <c r="S15" s="8"/>
      <c r="T15" s="10"/>
      <c r="U15" s="8"/>
      <c r="V15" s="8" t="s">
        <v>573</v>
      </c>
      <c r="W15" s="25" t="s">
        <v>308</v>
      </c>
      <c r="X15" s="25" t="s">
        <v>308</v>
      </c>
      <c r="Y15" s="25" t="s">
        <v>308</v>
      </c>
      <c r="Z15" s="8"/>
    </row>
    <row r="16" spans="1:26" x14ac:dyDescent="0.55000000000000004">
      <c r="A16" s="8" t="s">
        <v>578</v>
      </c>
      <c r="B16" s="25" t="s">
        <v>308</v>
      </c>
      <c r="C16" s="25" t="s">
        <v>308</v>
      </c>
      <c r="D16" s="25" t="s">
        <v>308</v>
      </c>
      <c r="E16" s="25" t="s">
        <v>308</v>
      </c>
      <c r="F16" s="25" t="s">
        <v>308</v>
      </c>
      <c r="G16" s="25" t="s">
        <v>308</v>
      </c>
      <c r="H16" s="25" t="s">
        <v>308</v>
      </c>
      <c r="I16" s="25" t="s">
        <v>308</v>
      </c>
      <c r="J16" s="25" t="s">
        <v>308</v>
      </c>
      <c r="K16" s="8"/>
      <c r="L16" s="10"/>
      <c r="M16" s="8"/>
      <c r="N16" s="8" t="s">
        <v>577</v>
      </c>
      <c r="O16" s="26">
        <v>0</v>
      </c>
      <c r="P16" s="25" t="s">
        <v>308</v>
      </c>
      <c r="Q16" s="25" t="s">
        <v>308</v>
      </c>
      <c r="R16" s="25" t="s">
        <v>308</v>
      </c>
      <c r="S16" s="8"/>
      <c r="T16" s="10"/>
      <c r="U16" s="8"/>
      <c r="V16" s="8" t="s">
        <v>580</v>
      </c>
      <c r="W16" s="25" t="s">
        <v>308</v>
      </c>
      <c r="X16" s="25" t="s">
        <v>308</v>
      </c>
      <c r="Y16" s="25" t="s">
        <v>308</v>
      </c>
      <c r="Z16" s="8"/>
    </row>
    <row r="17" spans="1:26" x14ac:dyDescent="0.55000000000000004">
      <c r="A17" s="8" t="s">
        <v>584</v>
      </c>
      <c r="B17" s="25" t="s">
        <v>308</v>
      </c>
      <c r="C17" s="25" t="s">
        <v>308</v>
      </c>
      <c r="D17" s="25" t="s">
        <v>308</v>
      </c>
      <c r="E17" s="25" t="s">
        <v>308</v>
      </c>
      <c r="F17" s="25" t="s">
        <v>308</v>
      </c>
      <c r="G17" s="25" t="s">
        <v>308</v>
      </c>
      <c r="H17" s="25" t="s">
        <v>308</v>
      </c>
      <c r="I17" s="25" t="s">
        <v>308</v>
      </c>
      <c r="J17" s="25" t="s">
        <v>308</v>
      </c>
      <c r="K17" s="8"/>
      <c r="L17" s="10"/>
      <c r="M17" s="8"/>
      <c r="N17" s="8" t="s">
        <v>583</v>
      </c>
      <c r="O17" s="26">
        <v>0</v>
      </c>
      <c r="P17" s="25" t="s">
        <v>308</v>
      </c>
      <c r="Q17" s="25" t="s">
        <v>308</v>
      </c>
      <c r="R17" s="25" t="s">
        <v>308</v>
      </c>
      <c r="S17" s="8"/>
      <c r="T17" s="10"/>
      <c r="U17" s="8"/>
      <c r="V17" s="8" t="s">
        <v>586</v>
      </c>
      <c r="W17" s="25" t="s">
        <v>308</v>
      </c>
      <c r="X17" s="25" t="s">
        <v>308</v>
      </c>
      <c r="Y17" s="25" t="s">
        <v>308</v>
      </c>
      <c r="Z17" s="8"/>
    </row>
    <row r="18" spans="1:26" x14ac:dyDescent="0.55000000000000004">
      <c r="A18" s="8" t="s">
        <v>108</v>
      </c>
      <c r="B18" s="25" t="s">
        <v>308</v>
      </c>
      <c r="C18" s="25" t="s">
        <v>308</v>
      </c>
      <c r="D18" s="25" t="s">
        <v>308</v>
      </c>
      <c r="E18" s="25" t="s">
        <v>308</v>
      </c>
      <c r="F18" s="25" t="s">
        <v>308</v>
      </c>
      <c r="G18" s="25" t="s">
        <v>308</v>
      </c>
      <c r="H18" s="25" t="s">
        <v>308</v>
      </c>
      <c r="I18" s="25" t="s">
        <v>308</v>
      </c>
      <c r="J18" s="25" t="s">
        <v>308</v>
      </c>
      <c r="K18" s="8"/>
      <c r="L18" s="10"/>
      <c r="M18" s="8"/>
      <c r="N18" s="8" t="s">
        <v>107</v>
      </c>
      <c r="O18" s="26">
        <v>0</v>
      </c>
      <c r="P18" s="25" t="s">
        <v>308</v>
      </c>
      <c r="Q18" s="25" t="s">
        <v>308</v>
      </c>
      <c r="R18" s="25" t="s">
        <v>308</v>
      </c>
      <c r="S18" s="8"/>
      <c r="T18" s="10"/>
      <c r="U18" s="8"/>
      <c r="V18" s="8" t="s">
        <v>590</v>
      </c>
      <c r="W18" s="25" t="s">
        <v>308</v>
      </c>
      <c r="X18" s="25" t="s">
        <v>308</v>
      </c>
      <c r="Y18" s="25" t="s">
        <v>308</v>
      </c>
      <c r="Z18" s="8"/>
    </row>
    <row r="19" spans="1:26" x14ac:dyDescent="0.55000000000000004">
      <c r="A19" s="8" t="s">
        <v>594</v>
      </c>
      <c r="B19" s="25" t="s">
        <v>308</v>
      </c>
      <c r="C19" s="25" t="s">
        <v>308</v>
      </c>
      <c r="D19" s="25" t="s">
        <v>308</v>
      </c>
      <c r="E19" s="25" t="s">
        <v>308</v>
      </c>
      <c r="F19" s="25" t="s">
        <v>308</v>
      </c>
      <c r="G19" s="25" t="s">
        <v>308</v>
      </c>
      <c r="H19" s="25" t="s">
        <v>308</v>
      </c>
      <c r="I19" s="25" t="s">
        <v>308</v>
      </c>
      <c r="J19" s="25" t="s">
        <v>308</v>
      </c>
      <c r="K19" s="8"/>
      <c r="L19" s="10"/>
      <c r="M19" s="8"/>
      <c r="N19" s="8" t="s">
        <v>593</v>
      </c>
      <c r="O19" s="26">
        <v>0</v>
      </c>
      <c r="P19" s="25" t="s">
        <v>308</v>
      </c>
      <c r="Q19" s="25" t="s">
        <v>308</v>
      </c>
      <c r="R19" s="25" t="s">
        <v>308</v>
      </c>
      <c r="S19" s="8"/>
      <c r="T19" s="10"/>
      <c r="U19" s="8"/>
      <c r="V19" s="8" t="s">
        <v>72</v>
      </c>
      <c r="W19" s="25" t="s">
        <v>308</v>
      </c>
      <c r="X19" s="25" t="s">
        <v>308</v>
      </c>
      <c r="Y19" s="25" t="s">
        <v>308</v>
      </c>
      <c r="Z19" s="8"/>
    </row>
    <row r="20" spans="1:26" x14ac:dyDescent="0.55000000000000004">
      <c r="A20" s="8" t="s">
        <v>598</v>
      </c>
      <c r="B20" s="25" t="s">
        <v>308</v>
      </c>
      <c r="C20" s="25" t="s">
        <v>308</v>
      </c>
      <c r="D20" s="25" t="s">
        <v>308</v>
      </c>
      <c r="E20" s="25" t="s">
        <v>308</v>
      </c>
      <c r="F20" s="25" t="s">
        <v>308</v>
      </c>
      <c r="G20" s="25" t="s">
        <v>308</v>
      </c>
      <c r="H20" s="25" t="s">
        <v>308</v>
      </c>
      <c r="I20" s="25" t="s">
        <v>308</v>
      </c>
      <c r="J20" s="25" t="s">
        <v>308</v>
      </c>
      <c r="K20" s="8"/>
      <c r="L20" s="10"/>
      <c r="M20" s="8"/>
      <c r="N20" s="8" t="s">
        <v>597</v>
      </c>
      <c r="O20" s="26">
        <v>0</v>
      </c>
      <c r="P20" s="25" t="s">
        <v>308</v>
      </c>
      <c r="Q20" s="25" t="s">
        <v>308</v>
      </c>
      <c r="R20" s="25" t="s">
        <v>308</v>
      </c>
      <c r="S20" s="8"/>
      <c r="T20" s="10"/>
      <c r="U20" s="8"/>
      <c r="V20" s="8" t="s">
        <v>79</v>
      </c>
      <c r="W20" s="25" t="s">
        <v>308</v>
      </c>
      <c r="X20" s="25" t="s">
        <v>308</v>
      </c>
      <c r="Y20" s="25" t="s">
        <v>308</v>
      </c>
      <c r="Z20" s="8"/>
    </row>
    <row r="21" spans="1:26" x14ac:dyDescent="0.55000000000000004">
      <c r="A21" s="8" t="s">
        <v>602</v>
      </c>
      <c r="B21" s="25" t="s">
        <v>308</v>
      </c>
      <c r="C21" s="25" t="s">
        <v>308</v>
      </c>
      <c r="D21" s="25" t="s">
        <v>308</v>
      </c>
      <c r="E21" s="25" t="s">
        <v>308</v>
      </c>
      <c r="F21" s="25" t="s">
        <v>308</v>
      </c>
      <c r="G21" s="25" t="s">
        <v>308</v>
      </c>
      <c r="H21" s="25" t="s">
        <v>308</v>
      </c>
      <c r="I21" s="25" t="s">
        <v>308</v>
      </c>
      <c r="J21" s="25" t="s">
        <v>308</v>
      </c>
      <c r="K21" s="8"/>
      <c r="L21" s="10"/>
      <c r="M21" s="8"/>
      <c r="N21" s="8" t="s">
        <v>601</v>
      </c>
      <c r="O21" s="26">
        <v>0</v>
      </c>
      <c r="P21" s="25" t="s">
        <v>308</v>
      </c>
      <c r="Q21" s="25" t="s">
        <v>308</v>
      </c>
      <c r="R21" s="25" t="s">
        <v>308</v>
      </c>
      <c r="S21" s="8"/>
      <c r="T21" s="10"/>
      <c r="U21" s="8"/>
      <c r="V21" s="8" t="s">
        <v>87</v>
      </c>
      <c r="W21" s="25" t="s">
        <v>308</v>
      </c>
      <c r="X21" s="25" t="s">
        <v>308</v>
      </c>
      <c r="Y21" s="25" t="s">
        <v>308</v>
      </c>
      <c r="Z21" s="8"/>
    </row>
    <row r="22" spans="1:26" x14ac:dyDescent="0.55000000000000004">
      <c r="A22" s="8" t="s">
        <v>120</v>
      </c>
      <c r="B22" s="25" t="s">
        <v>308</v>
      </c>
      <c r="C22" s="25" t="s">
        <v>308</v>
      </c>
      <c r="D22" s="25" t="s">
        <v>308</v>
      </c>
      <c r="E22" s="25" t="s">
        <v>308</v>
      </c>
      <c r="F22" s="25" t="s">
        <v>308</v>
      </c>
      <c r="G22" s="25" t="s">
        <v>308</v>
      </c>
      <c r="H22" s="25" t="s">
        <v>308</v>
      </c>
      <c r="I22" s="25" t="s">
        <v>308</v>
      </c>
      <c r="J22" s="25" t="s">
        <v>308</v>
      </c>
      <c r="K22" s="8"/>
      <c r="L22" s="10"/>
      <c r="M22" s="8"/>
      <c r="N22" s="8" t="s">
        <v>119</v>
      </c>
      <c r="O22" s="26">
        <v>0</v>
      </c>
      <c r="P22" s="25" t="s">
        <v>308</v>
      </c>
      <c r="Q22" s="25" t="s">
        <v>308</v>
      </c>
      <c r="R22" s="25" t="s">
        <v>308</v>
      </c>
      <c r="S22" s="8"/>
      <c r="T22" s="10"/>
      <c r="U22" s="8"/>
      <c r="V22" s="8" t="s">
        <v>95</v>
      </c>
      <c r="W22" s="25" t="s">
        <v>308</v>
      </c>
      <c r="X22" s="25" t="s">
        <v>308</v>
      </c>
      <c r="Y22" s="25" t="s">
        <v>308</v>
      </c>
      <c r="Z22" s="8"/>
    </row>
    <row r="23" spans="1:26" x14ac:dyDescent="0.55000000000000004">
      <c r="A23" s="8" t="s">
        <v>55</v>
      </c>
      <c r="B23" s="25" t="s">
        <v>308</v>
      </c>
      <c r="C23" s="25" t="s">
        <v>308</v>
      </c>
      <c r="D23" s="25" t="s">
        <v>308</v>
      </c>
      <c r="E23" s="25" t="s">
        <v>308</v>
      </c>
      <c r="F23" s="25" t="s">
        <v>308</v>
      </c>
      <c r="G23" s="25" t="s">
        <v>308</v>
      </c>
      <c r="H23" s="25" t="s">
        <v>308</v>
      </c>
      <c r="I23" s="25" t="s">
        <v>308</v>
      </c>
      <c r="J23" s="25" t="s">
        <v>308</v>
      </c>
      <c r="K23" s="8"/>
      <c r="L23" s="10"/>
      <c r="M23" s="8"/>
      <c r="N23" s="8" t="s">
        <v>54</v>
      </c>
      <c r="O23" s="26">
        <v>0</v>
      </c>
      <c r="P23" s="25" t="s">
        <v>308</v>
      </c>
      <c r="Q23" s="25" t="s">
        <v>308</v>
      </c>
      <c r="R23" s="25" t="s">
        <v>308</v>
      </c>
      <c r="S23" s="8"/>
      <c r="T23" s="10"/>
      <c r="U23" s="8"/>
      <c r="V23" s="8" t="s">
        <v>101</v>
      </c>
      <c r="W23" s="25" t="s">
        <v>308</v>
      </c>
      <c r="X23" s="25" t="s">
        <v>308</v>
      </c>
      <c r="Y23" s="25" t="s">
        <v>308</v>
      </c>
      <c r="Z23" s="8"/>
    </row>
    <row r="24" spans="1:26" x14ac:dyDescent="0.55000000000000004">
      <c r="A24" s="8" t="s">
        <v>615</v>
      </c>
      <c r="B24" s="25" t="s">
        <v>308</v>
      </c>
      <c r="C24" s="25" t="s">
        <v>308</v>
      </c>
      <c r="D24" s="25" t="s">
        <v>308</v>
      </c>
      <c r="E24" s="25" t="s">
        <v>308</v>
      </c>
      <c r="F24" s="25" t="s">
        <v>308</v>
      </c>
      <c r="G24" s="25" t="s">
        <v>308</v>
      </c>
      <c r="H24" s="25" t="s">
        <v>308</v>
      </c>
      <c r="I24" s="25" t="s">
        <v>308</v>
      </c>
      <c r="J24" s="25" t="s">
        <v>308</v>
      </c>
      <c r="K24" s="8"/>
      <c r="L24" s="10"/>
      <c r="M24" s="8"/>
      <c r="N24" s="8" t="s">
        <v>614</v>
      </c>
      <c r="O24" s="26">
        <v>0</v>
      </c>
      <c r="P24" s="25" t="s">
        <v>308</v>
      </c>
      <c r="Q24" s="25" t="s">
        <v>308</v>
      </c>
      <c r="R24" s="25" t="s">
        <v>308</v>
      </c>
      <c r="S24" s="8"/>
      <c r="T24" s="10"/>
      <c r="U24" s="8"/>
      <c r="V24" s="8"/>
      <c r="W24" s="8"/>
      <c r="X24" s="8"/>
      <c r="Y24" s="8"/>
      <c r="Z24" s="8"/>
    </row>
    <row r="25" spans="1:26" x14ac:dyDescent="0.55000000000000004">
      <c r="A25" s="8" t="s">
        <v>63</v>
      </c>
      <c r="B25" s="25" t="s">
        <v>308</v>
      </c>
      <c r="C25" s="25" t="s">
        <v>308</v>
      </c>
      <c r="D25" s="25" t="s">
        <v>308</v>
      </c>
      <c r="E25" s="25" t="s">
        <v>308</v>
      </c>
      <c r="F25" s="25" t="s">
        <v>308</v>
      </c>
      <c r="G25" s="25" t="s">
        <v>308</v>
      </c>
      <c r="H25" s="25" t="s">
        <v>308</v>
      </c>
      <c r="I25" s="25" t="s">
        <v>308</v>
      </c>
      <c r="J25" s="25" t="s">
        <v>308</v>
      </c>
      <c r="K25" s="8"/>
      <c r="L25" s="10"/>
      <c r="M25" s="8"/>
      <c r="N25" s="8" t="s">
        <v>62</v>
      </c>
      <c r="O25" s="26">
        <v>0</v>
      </c>
      <c r="P25" s="25" t="s">
        <v>308</v>
      </c>
      <c r="Q25" s="25" t="s">
        <v>308</v>
      </c>
      <c r="R25" s="25" t="s">
        <v>308</v>
      </c>
      <c r="S25" s="8"/>
      <c r="T25" s="10"/>
      <c r="U25" s="11"/>
      <c r="V25" s="11" t="s">
        <v>479</v>
      </c>
      <c r="W25" s="11"/>
      <c r="X25" s="11"/>
      <c r="Y25" s="11"/>
      <c r="Z25" s="11"/>
    </row>
    <row r="26" spans="1:26" x14ac:dyDescent="0.55000000000000004">
      <c r="A26" s="8" t="s">
        <v>124</v>
      </c>
      <c r="B26" s="25" t="s">
        <v>308</v>
      </c>
      <c r="C26" s="25" t="s">
        <v>308</v>
      </c>
      <c r="D26" s="25" t="s">
        <v>308</v>
      </c>
      <c r="E26" s="25" t="s">
        <v>308</v>
      </c>
      <c r="F26" s="25" t="s">
        <v>308</v>
      </c>
      <c r="G26" s="25" t="s">
        <v>308</v>
      </c>
      <c r="H26" s="25" t="s">
        <v>308</v>
      </c>
      <c r="I26" s="25" t="s">
        <v>308</v>
      </c>
      <c r="J26" s="25" t="s">
        <v>308</v>
      </c>
      <c r="K26" s="8"/>
      <c r="L26" s="10"/>
      <c r="M26" s="8"/>
      <c r="N26" s="8" t="s">
        <v>123</v>
      </c>
      <c r="O26" s="26">
        <v>0</v>
      </c>
      <c r="P26" s="25" t="s">
        <v>308</v>
      </c>
      <c r="Q26" s="25" t="s">
        <v>308</v>
      </c>
      <c r="R26" s="25" t="s">
        <v>308</v>
      </c>
      <c r="S26" s="8"/>
      <c r="T26" s="10"/>
      <c r="U26" s="13"/>
      <c r="V26" s="13"/>
      <c r="W26" s="13"/>
      <c r="X26" s="15" t="s">
        <v>339</v>
      </c>
      <c r="Y26" s="15" t="s">
        <v>474</v>
      </c>
      <c r="Z26" s="13"/>
    </row>
    <row r="27" spans="1:26" x14ac:dyDescent="0.55000000000000004">
      <c r="A27" s="8" t="s">
        <v>122</v>
      </c>
      <c r="B27" s="25" t="s">
        <v>308</v>
      </c>
      <c r="C27" s="25" t="s">
        <v>308</v>
      </c>
      <c r="D27" s="25" t="s">
        <v>308</v>
      </c>
      <c r="E27" s="25" t="s">
        <v>308</v>
      </c>
      <c r="F27" s="25" t="s">
        <v>308</v>
      </c>
      <c r="G27" s="25" t="s">
        <v>308</v>
      </c>
      <c r="H27" s="25" t="s">
        <v>308</v>
      </c>
      <c r="I27" s="25" t="s">
        <v>308</v>
      </c>
      <c r="J27" s="25" t="s">
        <v>308</v>
      </c>
      <c r="K27" s="8"/>
      <c r="L27" s="10"/>
      <c r="M27" s="8"/>
      <c r="N27" s="8" t="s">
        <v>121</v>
      </c>
      <c r="O27" s="26">
        <v>0</v>
      </c>
      <c r="P27" s="25" t="s">
        <v>308</v>
      </c>
      <c r="Q27" s="25" t="s">
        <v>308</v>
      </c>
      <c r="R27" s="25" t="s">
        <v>308</v>
      </c>
      <c r="S27" s="8"/>
      <c r="T27" s="10"/>
      <c r="U27" s="13"/>
      <c r="V27" s="13"/>
      <c r="W27" s="13"/>
      <c r="X27" s="16" t="s">
        <v>481</v>
      </c>
      <c r="Y27" s="16" t="s">
        <v>480</v>
      </c>
      <c r="Z27" s="13"/>
    </row>
    <row r="28" spans="1:26" x14ac:dyDescent="0.55000000000000004">
      <c r="A28" s="8" t="s">
        <v>116</v>
      </c>
      <c r="B28" s="25" t="s">
        <v>308</v>
      </c>
      <c r="C28" s="25" t="s">
        <v>308</v>
      </c>
      <c r="D28" s="25" t="s">
        <v>308</v>
      </c>
      <c r="E28" s="25" t="s">
        <v>308</v>
      </c>
      <c r="F28" s="25" t="s">
        <v>308</v>
      </c>
      <c r="G28" s="25" t="s">
        <v>308</v>
      </c>
      <c r="H28" s="25" t="s">
        <v>308</v>
      </c>
      <c r="I28" s="25" t="s">
        <v>308</v>
      </c>
      <c r="J28" s="25" t="s">
        <v>308</v>
      </c>
      <c r="K28" s="8"/>
      <c r="L28" s="10"/>
      <c r="M28" s="8"/>
      <c r="N28" s="8" t="s">
        <v>115</v>
      </c>
      <c r="O28" s="26">
        <v>0</v>
      </c>
      <c r="P28" s="25" t="s">
        <v>308</v>
      </c>
      <c r="Q28" s="25" t="s">
        <v>308</v>
      </c>
      <c r="R28" s="25" t="s">
        <v>308</v>
      </c>
      <c r="S28" s="8"/>
      <c r="T28" s="10"/>
      <c r="U28" s="8"/>
      <c r="V28" s="8" t="s">
        <v>475</v>
      </c>
      <c r="W28" s="8" t="s">
        <v>791</v>
      </c>
      <c r="X28" s="25" t="s">
        <v>308</v>
      </c>
      <c r="Y28" s="25" t="s">
        <v>308</v>
      </c>
      <c r="Z28" s="8"/>
    </row>
    <row r="29" spans="1:26" x14ac:dyDescent="0.55000000000000004">
      <c r="A29" s="8" t="s">
        <v>112</v>
      </c>
      <c r="B29" s="25" t="s">
        <v>308</v>
      </c>
      <c r="C29" s="25" t="s">
        <v>308</v>
      </c>
      <c r="D29" s="25" t="s">
        <v>308</v>
      </c>
      <c r="E29" s="25" t="s">
        <v>308</v>
      </c>
      <c r="F29" s="25" t="s">
        <v>308</v>
      </c>
      <c r="G29" s="25" t="s">
        <v>308</v>
      </c>
      <c r="H29" s="25" t="s">
        <v>308</v>
      </c>
      <c r="I29" s="25" t="s">
        <v>308</v>
      </c>
      <c r="J29" s="25" t="s">
        <v>308</v>
      </c>
      <c r="K29" s="8"/>
      <c r="L29" s="10"/>
      <c r="M29" s="8"/>
      <c r="N29" s="8" t="s">
        <v>111</v>
      </c>
      <c r="O29" s="26">
        <v>0</v>
      </c>
      <c r="P29" s="25" t="s">
        <v>308</v>
      </c>
      <c r="Q29" s="25" t="s">
        <v>308</v>
      </c>
      <c r="R29" s="25" t="s">
        <v>308</v>
      </c>
      <c r="S29" s="8"/>
      <c r="T29" s="10"/>
      <c r="U29" s="8"/>
      <c r="V29" s="8"/>
      <c r="W29" s="8" t="s">
        <v>792</v>
      </c>
      <c r="X29" s="25" t="s">
        <v>308</v>
      </c>
      <c r="Y29" s="25" t="s">
        <v>308</v>
      </c>
      <c r="Z29" s="8"/>
    </row>
    <row r="30" spans="1:26" x14ac:dyDescent="0.55000000000000004">
      <c r="A30" s="8" t="s">
        <v>629</v>
      </c>
      <c r="B30" s="25" t="s">
        <v>308</v>
      </c>
      <c r="C30" s="25" t="s">
        <v>308</v>
      </c>
      <c r="D30" s="25" t="s">
        <v>308</v>
      </c>
      <c r="E30" s="25" t="s">
        <v>308</v>
      </c>
      <c r="F30" s="25" t="s">
        <v>308</v>
      </c>
      <c r="G30" s="25" t="s">
        <v>308</v>
      </c>
      <c r="H30" s="25" t="s">
        <v>308</v>
      </c>
      <c r="I30" s="25" t="s">
        <v>308</v>
      </c>
      <c r="J30" s="25" t="s">
        <v>308</v>
      </c>
      <c r="K30" s="8"/>
      <c r="L30" s="10"/>
      <c r="M30" s="8"/>
      <c r="N30" s="8" t="s">
        <v>628</v>
      </c>
      <c r="O30" s="26">
        <v>0</v>
      </c>
      <c r="P30" s="25" t="s">
        <v>308</v>
      </c>
      <c r="Q30" s="25" t="s">
        <v>308</v>
      </c>
      <c r="R30" s="25" t="s">
        <v>308</v>
      </c>
      <c r="S30" s="8"/>
      <c r="T30" s="10"/>
      <c r="U30" s="8"/>
      <c r="V30" s="8"/>
      <c r="W30" s="8" t="s">
        <v>793</v>
      </c>
      <c r="X30" s="25" t="s">
        <v>308</v>
      </c>
      <c r="Y30" s="25" t="s">
        <v>308</v>
      </c>
      <c r="Z30" s="8"/>
    </row>
    <row r="31" spans="1:26" x14ac:dyDescent="0.55000000000000004">
      <c r="A31" s="8" t="s">
        <v>127</v>
      </c>
      <c r="B31" s="25" t="s">
        <v>308</v>
      </c>
      <c r="C31" s="25" t="s">
        <v>308</v>
      </c>
      <c r="D31" s="25" t="s">
        <v>308</v>
      </c>
      <c r="E31" s="25" t="s">
        <v>308</v>
      </c>
      <c r="F31" s="25" t="s">
        <v>308</v>
      </c>
      <c r="G31" s="25" t="s">
        <v>308</v>
      </c>
      <c r="H31" s="25" t="s">
        <v>308</v>
      </c>
      <c r="I31" s="25" t="s">
        <v>308</v>
      </c>
      <c r="J31" s="25" t="s">
        <v>308</v>
      </c>
      <c r="K31" s="8"/>
      <c r="L31" s="10"/>
      <c r="M31" s="8"/>
      <c r="N31" s="8" t="s">
        <v>126</v>
      </c>
      <c r="O31" s="26">
        <v>0</v>
      </c>
      <c r="P31" s="25" t="s">
        <v>308</v>
      </c>
      <c r="Q31" s="25" t="s">
        <v>308</v>
      </c>
      <c r="R31" s="25" t="s">
        <v>308</v>
      </c>
      <c r="S31" s="8"/>
      <c r="T31" s="10"/>
      <c r="U31" s="8"/>
      <c r="V31" s="8"/>
      <c r="W31" s="8" t="s">
        <v>794</v>
      </c>
      <c r="X31" s="25" t="s">
        <v>308</v>
      </c>
      <c r="Y31" s="25" t="s">
        <v>308</v>
      </c>
      <c r="Z31" s="8"/>
    </row>
    <row r="32" spans="1:26" x14ac:dyDescent="0.55000000000000004">
      <c r="A32" s="8" t="s">
        <v>130</v>
      </c>
      <c r="B32" s="25" t="s">
        <v>308</v>
      </c>
      <c r="C32" s="25" t="s">
        <v>308</v>
      </c>
      <c r="D32" s="25" t="s">
        <v>308</v>
      </c>
      <c r="E32" s="25" t="s">
        <v>308</v>
      </c>
      <c r="F32" s="25" t="s">
        <v>308</v>
      </c>
      <c r="G32" s="25" t="s">
        <v>308</v>
      </c>
      <c r="H32" s="25" t="s">
        <v>308</v>
      </c>
      <c r="I32" s="25" t="s">
        <v>308</v>
      </c>
      <c r="J32" s="25" t="s">
        <v>308</v>
      </c>
      <c r="K32" s="8"/>
      <c r="L32" s="10"/>
      <c r="M32" s="8"/>
      <c r="N32" s="8" t="s">
        <v>129</v>
      </c>
      <c r="O32" s="26">
        <v>0</v>
      </c>
      <c r="P32" s="25" t="s">
        <v>308</v>
      </c>
      <c r="Q32" s="25" t="s">
        <v>308</v>
      </c>
      <c r="R32" s="25" t="s">
        <v>308</v>
      </c>
      <c r="S32" s="8"/>
      <c r="T32" s="10"/>
      <c r="U32" s="8"/>
      <c r="V32" s="8"/>
      <c r="W32" s="8" t="s">
        <v>795</v>
      </c>
      <c r="X32" s="25" t="s">
        <v>308</v>
      </c>
      <c r="Y32" s="25" t="s">
        <v>308</v>
      </c>
      <c r="Z32" s="8"/>
    </row>
    <row r="33" spans="1:26" x14ac:dyDescent="0.55000000000000004">
      <c r="A33" s="8" t="s">
        <v>140</v>
      </c>
      <c r="B33" s="25" t="s">
        <v>308</v>
      </c>
      <c r="C33" s="25" t="s">
        <v>308</v>
      </c>
      <c r="D33" s="25" t="s">
        <v>308</v>
      </c>
      <c r="E33" s="25" t="s">
        <v>308</v>
      </c>
      <c r="F33" s="25" t="s">
        <v>308</v>
      </c>
      <c r="G33" s="25" t="s">
        <v>308</v>
      </c>
      <c r="H33" s="25" t="s">
        <v>308</v>
      </c>
      <c r="I33" s="25" t="s">
        <v>308</v>
      </c>
      <c r="J33" s="25" t="s">
        <v>308</v>
      </c>
      <c r="K33" s="8"/>
      <c r="L33" s="10"/>
      <c r="M33" s="8"/>
      <c r="N33" s="8" t="s">
        <v>139</v>
      </c>
      <c r="O33" s="26">
        <v>0</v>
      </c>
      <c r="P33" s="25" t="s">
        <v>308</v>
      </c>
      <c r="Q33" s="25" t="s">
        <v>308</v>
      </c>
      <c r="R33" s="25" t="s">
        <v>308</v>
      </c>
      <c r="S33" s="8"/>
      <c r="T33" s="10"/>
      <c r="U33" s="8"/>
      <c r="V33" s="8" t="s">
        <v>476</v>
      </c>
      <c r="W33" s="8" t="s">
        <v>89</v>
      </c>
      <c r="X33" s="25" t="s">
        <v>308</v>
      </c>
      <c r="Y33" s="25" t="s">
        <v>308</v>
      </c>
      <c r="Z33" s="8"/>
    </row>
    <row r="34" spans="1:26" x14ac:dyDescent="0.55000000000000004">
      <c r="A34" s="8" t="s">
        <v>135</v>
      </c>
      <c r="B34" s="25" t="s">
        <v>308</v>
      </c>
      <c r="C34" s="25" t="s">
        <v>308</v>
      </c>
      <c r="D34" s="25" t="s">
        <v>308</v>
      </c>
      <c r="E34" s="25" t="s">
        <v>308</v>
      </c>
      <c r="F34" s="25" t="s">
        <v>308</v>
      </c>
      <c r="G34" s="25" t="s">
        <v>308</v>
      </c>
      <c r="H34" s="25" t="s">
        <v>308</v>
      </c>
      <c r="I34" s="25" t="s">
        <v>308</v>
      </c>
      <c r="J34" s="25" t="s">
        <v>308</v>
      </c>
      <c r="K34" s="8"/>
      <c r="L34" s="10"/>
      <c r="M34" s="8"/>
      <c r="N34" s="8" t="s">
        <v>134</v>
      </c>
      <c r="O34" s="26">
        <v>0</v>
      </c>
      <c r="P34" s="25" t="s">
        <v>308</v>
      </c>
      <c r="Q34" s="25" t="s">
        <v>308</v>
      </c>
      <c r="R34" s="25" t="s">
        <v>308</v>
      </c>
      <c r="S34" s="8"/>
      <c r="T34" s="10"/>
      <c r="U34" s="8"/>
      <c r="V34" s="8"/>
      <c r="W34" s="8" t="s">
        <v>97</v>
      </c>
      <c r="X34" s="25" t="s">
        <v>308</v>
      </c>
      <c r="Y34" s="25" t="s">
        <v>308</v>
      </c>
      <c r="Z34" s="8"/>
    </row>
    <row r="35" spans="1:26" x14ac:dyDescent="0.55000000000000004">
      <c r="A35" s="8" t="s">
        <v>142</v>
      </c>
      <c r="B35" s="25" t="s">
        <v>308</v>
      </c>
      <c r="C35" s="25" t="s">
        <v>308</v>
      </c>
      <c r="D35" s="25" t="s">
        <v>308</v>
      </c>
      <c r="E35" s="25" t="s">
        <v>308</v>
      </c>
      <c r="F35" s="25" t="s">
        <v>308</v>
      </c>
      <c r="G35" s="25" t="s">
        <v>308</v>
      </c>
      <c r="H35" s="25" t="s">
        <v>308</v>
      </c>
      <c r="I35" s="25" t="s">
        <v>308</v>
      </c>
      <c r="J35" s="25" t="s">
        <v>308</v>
      </c>
      <c r="K35" s="8"/>
      <c r="L35" s="10"/>
      <c r="M35" s="8"/>
      <c r="N35" s="8" t="s">
        <v>141</v>
      </c>
      <c r="O35" s="26">
        <v>0</v>
      </c>
      <c r="P35" s="25" t="s">
        <v>308</v>
      </c>
      <c r="Q35" s="25" t="s">
        <v>308</v>
      </c>
      <c r="R35" s="25" t="s">
        <v>308</v>
      </c>
      <c r="S35" s="8"/>
      <c r="T35" s="10"/>
      <c r="U35" s="8"/>
      <c r="V35" s="8"/>
      <c r="W35" s="8" t="s">
        <v>103</v>
      </c>
      <c r="X35" s="25" t="s">
        <v>308</v>
      </c>
      <c r="Y35" s="25" t="s">
        <v>308</v>
      </c>
      <c r="Z35" s="8"/>
    </row>
    <row r="36" spans="1:26" x14ac:dyDescent="0.55000000000000004">
      <c r="A36" s="8" t="s">
        <v>133</v>
      </c>
      <c r="B36" s="25" t="s">
        <v>308</v>
      </c>
      <c r="C36" s="25" t="s">
        <v>308</v>
      </c>
      <c r="D36" s="25" t="s">
        <v>308</v>
      </c>
      <c r="E36" s="25" t="s">
        <v>308</v>
      </c>
      <c r="F36" s="25" t="s">
        <v>308</v>
      </c>
      <c r="G36" s="25" t="s">
        <v>308</v>
      </c>
      <c r="H36" s="25" t="s">
        <v>308</v>
      </c>
      <c r="I36" s="25" t="s">
        <v>308</v>
      </c>
      <c r="J36" s="25" t="s">
        <v>308</v>
      </c>
      <c r="K36" s="8"/>
      <c r="L36" s="10"/>
      <c r="M36" s="8"/>
      <c r="N36" s="8" t="s">
        <v>132</v>
      </c>
      <c r="O36" s="26">
        <v>0</v>
      </c>
      <c r="P36" s="25" t="s">
        <v>308</v>
      </c>
      <c r="Q36" s="25" t="s">
        <v>308</v>
      </c>
      <c r="R36" s="25" t="s">
        <v>308</v>
      </c>
      <c r="S36" s="8"/>
      <c r="T36" s="10"/>
      <c r="U36" s="8"/>
      <c r="V36" s="8"/>
      <c r="W36" s="8" t="s">
        <v>109</v>
      </c>
      <c r="X36" s="25" t="s">
        <v>308</v>
      </c>
      <c r="Y36" s="25" t="s">
        <v>308</v>
      </c>
      <c r="Z36" s="8"/>
    </row>
    <row r="37" spans="1:26" x14ac:dyDescent="0.55000000000000004">
      <c r="A37" s="8" t="s">
        <v>138</v>
      </c>
      <c r="B37" s="25" t="s">
        <v>308</v>
      </c>
      <c r="C37" s="25" t="s">
        <v>308</v>
      </c>
      <c r="D37" s="25" t="s">
        <v>308</v>
      </c>
      <c r="E37" s="25" t="s">
        <v>308</v>
      </c>
      <c r="F37" s="25" t="s">
        <v>308</v>
      </c>
      <c r="G37" s="25" t="s">
        <v>308</v>
      </c>
      <c r="H37" s="25" t="s">
        <v>308</v>
      </c>
      <c r="I37" s="25" t="s">
        <v>308</v>
      </c>
      <c r="J37" s="25" t="s">
        <v>308</v>
      </c>
      <c r="K37" s="8"/>
      <c r="L37" s="10"/>
      <c r="M37" s="8"/>
      <c r="N37" s="8" t="s">
        <v>137</v>
      </c>
      <c r="O37" s="26">
        <v>0</v>
      </c>
      <c r="P37" s="25" t="s">
        <v>308</v>
      </c>
      <c r="Q37" s="25" t="s">
        <v>308</v>
      </c>
      <c r="R37" s="25" t="s">
        <v>308</v>
      </c>
      <c r="S37" s="8"/>
      <c r="T37" s="10"/>
      <c r="U37" s="8"/>
      <c r="V37" s="8"/>
      <c r="W37" s="8" t="s">
        <v>113</v>
      </c>
      <c r="X37" s="25" t="s">
        <v>308</v>
      </c>
      <c r="Y37" s="25" t="s">
        <v>308</v>
      </c>
      <c r="Z37" s="8"/>
    </row>
    <row r="38" spans="1:26" x14ac:dyDescent="0.55000000000000004">
      <c r="A38" s="8" t="s">
        <v>639</v>
      </c>
      <c r="B38" s="25" t="s">
        <v>308</v>
      </c>
      <c r="C38" s="25" t="s">
        <v>308</v>
      </c>
      <c r="D38" s="25" t="s">
        <v>308</v>
      </c>
      <c r="E38" s="25" t="s">
        <v>308</v>
      </c>
      <c r="F38" s="25" t="s">
        <v>308</v>
      </c>
      <c r="G38" s="25" t="s">
        <v>308</v>
      </c>
      <c r="H38" s="25" t="s">
        <v>308</v>
      </c>
      <c r="I38" s="25" t="s">
        <v>308</v>
      </c>
      <c r="J38" s="25" t="s">
        <v>308</v>
      </c>
      <c r="K38" s="8"/>
      <c r="L38" s="10"/>
      <c r="M38" s="8"/>
      <c r="N38" s="8" t="s">
        <v>638</v>
      </c>
      <c r="O38" s="26">
        <v>0</v>
      </c>
      <c r="P38" s="25" t="s">
        <v>308</v>
      </c>
      <c r="Q38" s="25" t="s">
        <v>308</v>
      </c>
      <c r="R38" s="25" t="s">
        <v>308</v>
      </c>
      <c r="S38" s="8"/>
      <c r="T38" s="10"/>
      <c r="U38" s="8"/>
      <c r="V38" s="8" t="s">
        <v>477</v>
      </c>
      <c r="W38" s="8" t="s">
        <v>607</v>
      </c>
      <c r="X38" s="25" t="s">
        <v>308</v>
      </c>
      <c r="Y38" s="25" t="s">
        <v>308</v>
      </c>
      <c r="Z38" s="8"/>
    </row>
    <row r="39" spans="1:26" x14ac:dyDescent="0.55000000000000004">
      <c r="A39" s="8" t="s">
        <v>642</v>
      </c>
      <c r="B39" s="25" t="s">
        <v>308</v>
      </c>
      <c r="C39" s="25" t="s">
        <v>308</v>
      </c>
      <c r="D39" s="25" t="s">
        <v>308</v>
      </c>
      <c r="E39" s="25" t="s">
        <v>308</v>
      </c>
      <c r="F39" s="25" t="s">
        <v>308</v>
      </c>
      <c r="G39" s="25" t="s">
        <v>308</v>
      </c>
      <c r="H39" s="25" t="s">
        <v>308</v>
      </c>
      <c r="I39" s="25" t="s">
        <v>308</v>
      </c>
      <c r="J39" s="25" t="s">
        <v>308</v>
      </c>
      <c r="K39" s="8"/>
      <c r="L39" s="10"/>
      <c r="M39" s="8"/>
      <c r="N39" s="8" t="s">
        <v>641</v>
      </c>
      <c r="O39" s="26">
        <v>0</v>
      </c>
      <c r="P39" s="25" t="s">
        <v>308</v>
      </c>
      <c r="Q39" s="25" t="s">
        <v>308</v>
      </c>
      <c r="R39" s="25" t="s">
        <v>308</v>
      </c>
      <c r="S39" s="8"/>
      <c r="T39" s="10"/>
      <c r="U39" s="8"/>
      <c r="V39" s="8"/>
      <c r="W39" s="8" t="s">
        <v>612</v>
      </c>
      <c r="X39" s="25" t="s">
        <v>308</v>
      </c>
      <c r="Y39" s="25" t="s">
        <v>308</v>
      </c>
      <c r="Z39" s="8"/>
    </row>
    <row r="40" spans="1:26" x14ac:dyDescent="0.55000000000000004">
      <c r="A40" s="8" t="s">
        <v>645</v>
      </c>
      <c r="B40" s="25" t="s">
        <v>308</v>
      </c>
      <c r="C40" s="25" t="s">
        <v>308</v>
      </c>
      <c r="D40" s="25" t="s">
        <v>308</v>
      </c>
      <c r="E40" s="25" t="s">
        <v>308</v>
      </c>
      <c r="F40" s="25" t="s">
        <v>308</v>
      </c>
      <c r="G40" s="25" t="s">
        <v>308</v>
      </c>
      <c r="H40" s="25" t="s">
        <v>308</v>
      </c>
      <c r="I40" s="25" t="s">
        <v>308</v>
      </c>
      <c r="J40" s="25" t="s">
        <v>308</v>
      </c>
      <c r="K40" s="8"/>
      <c r="L40" s="10"/>
      <c r="M40" s="8"/>
      <c r="N40" s="8" t="s">
        <v>644</v>
      </c>
      <c r="O40" s="26">
        <v>0</v>
      </c>
      <c r="P40" s="25" t="s">
        <v>308</v>
      </c>
      <c r="Q40" s="25" t="s">
        <v>308</v>
      </c>
      <c r="R40" s="25" t="s">
        <v>308</v>
      </c>
      <c r="S40" s="8"/>
      <c r="T40" s="10"/>
      <c r="U40" s="8"/>
      <c r="V40" s="8"/>
      <c r="W40" s="8" t="s">
        <v>617</v>
      </c>
      <c r="X40" s="25" t="s">
        <v>308</v>
      </c>
      <c r="Y40" s="25" t="s">
        <v>308</v>
      </c>
      <c r="Z40" s="8"/>
    </row>
    <row r="41" spans="1:26" x14ac:dyDescent="0.55000000000000004">
      <c r="A41" s="8" t="s">
        <v>648</v>
      </c>
      <c r="B41" s="25" t="s">
        <v>308</v>
      </c>
      <c r="C41" s="25" t="s">
        <v>308</v>
      </c>
      <c r="D41" s="25" t="s">
        <v>308</v>
      </c>
      <c r="E41" s="25" t="s">
        <v>308</v>
      </c>
      <c r="F41" s="25" t="s">
        <v>308</v>
      </c>
      <c r="G41" s="25" t="s">
        <v>308</v>
      </c>
      <c r="H41" s="25" t="s">
        <v>308</v>
      </c>
      <c r="I41" s="25" t="s">
        <v>308</v>
      </c>
      <c r="J41" s="25" t="s">
        <v>308</v>
      </c>
      <c r="K41" s="8"/>
      <c r="L41" s="10"/>
      <c r="M41" s="8"/>
      <c r="N41" s="8" t="s">
        <v>647</v>
      </c>
      <c r="O41" s="26">
        <v>0</v>
      </c>
      <c r="P41" s="25" t="s">
        <v>308</v>
      </c>
      <c r="Q41" s="25" t="s">
        <v>308</v>
      </c>
      <c r="R41" s="25" t="s">
        <v>308</v>
      </c>
      <c r="S41" s="8"/>
      <c r="T41" s="10"/>
      <c r="U41" s="8"/>
      <c r="V41" s="8"/>
      <c r="W41" s="8" t="s">
        <v>620</v>
      </c>
      <c r="X41" s="25" t="s">
        <v>308</v>
      </c>
      <c r="Y41" s="25" t="s">
        <v>308</v>
      </c>
      <c r="Z41" s="8"/>
    </row>
    <row r="42" spans="1:26" x14ac:dyDescent="0.55000000000000004">
      <c r="A42" s="8" t="s">
        <v>145</v>
      </c>
      <c r="B42" s="25" t="s">
        <v>308</v>
      </c>
      <c r="C42" s="25" t="s">
        <v>308</v>
      </c>
      <c r="D42" s="25" t="s">
        <v>308</v>
      </c>
      <c r="E42" s="25" t="s">
        <v>308</v>
      </c>
      <c r="F42" s="25" t="s">
        <v>308</v>
      </c>
      <c r="G42" s="25" t="s">
        <v>308</v>
      </c>
      <c r="H42" s="25" t="s">
        <v>308</v>
      </c>
      <c r="I42" s="25" t="s">
        <v>308</v>
      </c>
      <c r="J42" s="25" t="s">
        <v>308</v>
      </c>
      <c r="K42" s="8"/>
      <c r="L42" s="10"/>
      <c r="M42" s="8"/>
      <c r="N42" s="8" t="s">
        <v>144</v>
      </c>
      <c r="O42" s="26">
        <v>0</v>
      </c>
      <c r="P42" s="25" t="s">
        <v>308</v>
      </c>
      <c r="Q42" s="25" t="s">
        <v>308</v>
      </c>
      <c r="R42" s="25" t="s">
        <v>308</v>
      </c>
      <c r="S42" s="8"/>
      <c r="T42" s="10"/>
      <c r="U42" s="8"/>
      <c r="V42" s="8"/>
      <c r="W42" s="8" t="s">
        <v>623</v>
      </c>
      <c r="X42" s="25" t="s">
        <v>308</v>
      </c>
      <c r="Y42" s="25" t="s">
        <v>308</v>
      </c>
      <c r="Z42" s="8"/>
    </row>
    <row r="43" spans="1:26" x14ac:dyDescent="0.55000000000000004">
      <c r="A43" s="8" t="s">
        <v>148</v>
      </c>
      <c r="B43" s="25" t="s">
        <v>308</v>
      </c>
      <c r="C43" s="25" t="s">
        <v>308</v>
      </c>
      <c r="D43" s="25" t="s">
        <v>308</v>
      </c>
      <c r="E43" s="25" t="s">
        <v>308</v>
      </c>
      <c r="F43" s="25" t="s">
        <v>308</v>
      </c>
      <c r="G43" s="25" t="s">
        <v>308</v>
      </c>
      <c r="H43" s="25" t="s">
        <v>308</v>
      </c>
      <c r="I43" s="25" t="s">
        <v>308</v>
      </c>
      <c r="J43" s="25" t="s">
        <v>308</v>
      </c>
      <c r="K43" s="8"/>
      <c r="L43" s="10"/>
      <c r="M43" s="8"/>
      <c r="N43" s="8" t="s">
        <v>147</v>
      </c>
      <c r="O43" s="26">
        <v>0</v>
      </c>
      <c r="P43" s="25" t="s">
        <v>308</v>
      </c>
      <c r="Q43" s="25" t="s">
        <v>308</v>
      </c>
      <c r="R43" s="25" t="s">
        <v>308</v>
      </c>
      <c r="S43" s="8"/>
      <c r="T43" s="10"/>
      <c r="U43" s="8"/>
      <c r="V43" s="8"/>
      <c r="W43" s="8"/>
      <c r="X43" s="8"/>
      <c r="Y43" s="8"/>
      <c r="Z43" s="8"/>
    </row>
    <row r="44" spans="1:26" x14ac:dyDescent="0.55000000000000004">
      <c r="A44" s="8" t="s">
        <v>150</v>
      </c>
      <c r="B44" s="25" t="s">
        <v>308</v>
      </c>
      <c r="C44" s="25" t="s">
        <v>308</v>
      </c>
      <c r="D44" s="25" t="s">
        <v>308</v>
      </c>
      <c r="E44" s="25" t="s">
        <v>308</v>
      </c>
      <c r="F44" s="25" t="s">
        <v>308</v>
      </c>
      <c r="G44" s="25" t="s">
        <v>308</v>
      </c>
      <c r="H44" s="25" t="s">
        <v>308</v>
      </c>
      <c r="I44" s="25" t="s">
        <v>308</v>
      </c>
      <c r="J44" s="25" t="s">
        <v>308</v>
      </c>
      <c r="K44" s="8"/>
      <c r="L44" s="10"/>
      <c r="M44" s="8"/>
      <c r="N44" s="8" t="s">
        <v>149</v>
      </c>
      <c r="O44" s="26">
        <v>0</v>
      </c>
      <c r="P44" s="25" t="s">
        <v>308</v>
      </c>
      <c r="Q44" s="25" t="s">
        <v>308</v>
      </c>
      <c r="R44" s="25" t="s">
        <v>308</v>
      </c>
      <c r="S44" s="8"/>
      <c r="T44" s="10"/>
      <c r="U44" s="10"/>
      <c r="V44" s="11" t="s">
        <v>309</v>
      </c>
      <c r="W44" s="10"/>
      <c r="X44" s="10"/>
      <c r="Y44" s="10"/>
      <c r="Z44" s="10"/>
    </row>
    <row r="45" spans="1:26" x14ac:dyDescent="0.55000000000000004">
      <c r="A45" s="8" t="s">
        <v>654</v>
      </c>
      <c r="B45" s="25" t="s">
        <v>308</v>
      </c>
      <c r="C45" s="25" t="s">
        <v>308</v>
      </c>
      <c r="D45" s="25" t="s">
        <v>308</v>
      </c>
      <c r="E45" s="25" t="s">
        <v>308</v>
      </c>
      <c r="F45" s="25" t="s">
        <v>308</v>
      </c>
      <c r="G45" s="25" t="s">
        <v>308</v>
      </c>
      <c r="H45" s="25" t="s">
        <v>308</v>
      </c>
      <c r="I45" s="25" t="s">
        <v>308</v>
      </c>
      <c r="J45" s="25" t="s">
        <v>308</v>
      </c>
      <c r="K45" s="8"/>
      <c r="L45" s="10"/>
      <c r="M45" s="8"/>
      <c r="N45" s="8" t="s">
        <v>653</v>
      </c>
      <c r="O45" s="26">
        <v>0</v>
      </c>
      <c r="P45" s="25" t="s">
        <v>308</v>
      </c>
      <c r="Q45" s="25" t="s">
        <v>308</v>
      </c>
      <c r="R45" s="25" t="s">
        <v>308</v>
      </c>
      <c r="S45" s="8"/>
      <c r="T45" s="10"/>
      <c r="U45" s="8"/>
      <c r="V45" s="8"/>
      <c r="W45" s="8"/>
      <c r="X45" s="8"/>
      <c r="Y45" s="8"/>
      <c r="Z45" s="8"/>
    </row>
    <row r="46" spans="1:26" x14ac:dyDescent="0.55000000000000004">
      <c r="A46" s="8" t="s">
        <v>152</v>
      </c>
      <c r="B46" s="25" t="s">
        <v>308</v>
      </c>
      <c r="C46" s="25" t="s">
        <v>308</v>
      </c>
      <c r="D46" s="25" t="s">
        <v>308</v>
      </c>
      <c r="E46" s="25" t="s">
        <v>308</v>
      </c>
      <c r="F46" s="25" t="s">
        <v>308</v>
      </c>
      <c r="G46" s="25" t="s">
        <v>308</v>
      </c>
      <c r="H46" s="25" t="s">
        <v>308</v>
      </c>
      <c r="I46" s="25" t="s">
        <v>308</v>
      </c>
      <c r="J46" s="25" t="s">
        <v>308</v>
      </c>
      <c r="K46" s="8"/>
      <c r="L46" s="10"/>
      <c r="M46" s="8"/>
      <c r="N46" s="8" t="s">
        <v>151</v>
      </c>
      <c r="O46" s="26">
        <v>0</v>
      </c>
      <c r="P46" s="25" t="s">
        <v>308</v>
      </c>
      <c r="Q46" s="25" t="s">
        <v>308</v>
      </c>
      <c r="R46" s="25" t="s">
        <v>308</v>
      </c>
      <c r="S46" s="8"/>
      <c r="T46" s="10"/>
      <c r="U46" s="8"/>
      <c r="V46" s="8" t="s">
        <v>310</v>
      </c>
      <c r="W46" s="8"/>
      <c r="X46" s="8" t="s">
        <v>311</v>
      </c>
      <c r="Y46" s="25" t="s">
        <v>308</v>
      </c>
      <c r="Z46" s="8"/>
    </row>
    <row r="47" spans="1:26" x14ac:dyDescent="0.55000000000000004">
      <c r="A47" s="8" t="s">
        <v>154</v>
      </c>
      <c r="B47" s="25" t="s">
        <v>308</v>
      </c>
      <c r="C47" s="25" t="s">
        <v>308</v>
      </c>
      <c r="D47" s="25" t="s">
        <v>308</v>
      </c>
      <c r="E47" s="25" t="s">
        <v>308</v>
      </c>
      <c r="F47" s="25" t="s">
        <v>308</v>
      </c>
      <c r="G47" s="25" t="s">
        <v>308</v>
      </c>
      <c r="H47" s="25" t="s">
        <v>308</v>
      </c>
      <c r="I47" s="25" t="s">
        <v>308</v>
      </c>
      <c r="J47" s="25" t="s">
        <v>308</v>
      </c>
      <c r="K47" s="8"/>
      <c r="L47" s="10"/>
      <c r="M47" s="8"/>
      <c r="N47" s="8" t="s">
        <v>153</v>
      </c>
      <c r="O47" s="26">
        <v>0</v>
      </c>
      <c r="P47" s="25" t="s">
        <v>308</v>
      </c>
      <c r="Q47" s="25" t="s">
        <v>308</v>
      </c>
      <c r="R47" s="25" t="s">
        <v>308</v>
      </c>
      <c r="S47" s="8"/>
      <c r="T47" s="10"/>
      <c r="U47" s="8"/>
      <c r="V47" s="8" t="s">
        <v>312</v>
      </c>
      <c r="W47" s="8"/>
      <c r="X47" s="8" t="s">
        <v>313</v>
      </c>
      <c r="Y47" s="25" t="s">
        <v>308</v>
      </c>
      <c r="Z47" s="8"/>
    </row>
    <row r="48" spans="1:26" x14ac:dyDescent="0.55000000000000004">
      <c r="A48" s="8" t="s">
        <v>156</v>
      </c>
      <c r="B48" s="25" t="s">
        <v>308</v>
      </c>
      <c r="C48" s="25" t="s">
        <v>308</v>
      </c>
      <c r="D48" s="25" t="s">
        <v>308</v>
      </c>
      <c r="E48" s="25" t="s">
        <v>308</v>
      </c>
      <c r="F48" s="25" t="s">
        <v>308</v>
      </c>
      <c r="G48" s="25" t="s">
        <v>308</v>
      </c>
      <c r="H48" s="25" t="s">
        <v>308</v>
      </c>
      <c r="I48" s="25" t="s">
        <v>308</v>
      </c>
      <c r="J48" s="25" t="s">
        <v>308</v>
      </c>
      <c r="K48" s="8"/>
      <c r="L48" s="10"/>
      <c r="M48" s="8"/>
      <c r="N48" s="8" t="s">
        <v>155</v>
      </c>
      <c r="O48" s="26">
        <v>0</v>
      </c>
      <c r="P48" s="25" t="s">
        <v>308</v>
      </c>
      <c r="Q48" s="25" t="s">
        <v>308</v>
      </c>
      <c r="R48" s="25" t="s">
        <v>308</v>
      </c>
      <c r="S48" s="8"/>
      <c r="T48" s="10"/>
      <c r="U48" s="8"/>
      <c r="V48" s="8" t="s">
        <v>314</v>
      </c>
      <c r="W48" s="8"/>
      <c r="X48" s="8" t="s">
        <v>315</v>
      </c>
      <c r="Y48" s="25" t="s">
        <v>308</v>
      </c>
      <c r="Z48" s="8"/>
    </row>
    <row r="49" spans="1:26" x14ac:dyDescent="0.55000000000000004">
      <c r="A49" s="8" t="s">
        <v>160</v>
      </c>
      <c r="B49" s="25" t="s">
        <v>308</v>
      </c>
      <c r="C49" s="25" t="s">
        <v>308</v>
      </c>
      <c r="D49" s="25" t="s">
        <v>308</v>
      </c>
      <c r="E49" s="25" t="s">
        <v>308</v>
      </c>
      <c r="F49" s="25" t="s">
        <v>308</v>
      </c>
      <c r="G49" s="25" t="s">
        <v>308</v>
      </c>
      <c r="H49" s="25" t="s">
        <v>308</v>
      </c>
      <c r="I49" s="25" t="s">
        <v>308</v>
      </c>
      <c r="J49" s="25" t="s">
        <v>308</v>
      </c>
      <c r="K49" s="8"/>
      <c r="L49" s="10"/>
      <c r="M49" s="8"/>
      <c r="N49" s="8" t="s">
        <v>159</v>
      </c>
      <c r="O49" s="26">
        <v>0</v>
      </c>
      <c r="P49" s="25" t="s">
        <v>308</v>
      </c>
      <c r="Q49" s="25" t="s">
        <v>308</v>
      </c>
      <c r="R49" s="25" t="s">
        <v>308</v>
      </c>
      <c r="S49" s="8"/>
      <c r="T49" s="10"/>
      <c r="U49" s="8"/>
      <c r="V49" s="8" t="s">
        <v>333</v>
      </c>
      <c r="W49" s="8"/>
      <c r="X49" s="8" t="s">
        <v>316</v>
      </c>
      <c r="Y49" s="25" t="s">
        <v>308</v>
      </c>
      <c r="Z49" s="8"/>
    </row>
    <row r="50" spans="1:26" x14ac:dyDescent="0.55000000000000004">
      <c r="A50" s="8" t="s">
        <v>162</v>
      </c>
      <c r="B50" s="25" t="s">
        <v>308</v>
      </c>
      <c r="C50" s="25" t="s">
        <v>308</v>
      </c>
      <c r="D50" s="25" t="s">
        <v>308</v>
      </c>
      <c r="E50" s="25" t="s">
        <v>308</v>
      </c>
      <c r="F50" s="25" t="s">
        <v>308</v>
      </c>
      <c r="G50" s="25" t="s">
        <v>308</v>
      </c>
      <c r="H50" s="25" t="s">
        <v>308</v>
      </c>
      <c r="I50" s="25" t="s">
        <v>308</v>
      </c>
      <c r="J50" s="25" t="s">
        <v>308</v>
      </c>
      <c r="K50" s="8"/>
      <c r="L50" s="10"/>
      <c r="M50" s="8"/>
      <c r="N50" s="8" t="s">
        <v>161</v>
      </c>
      <c r="O50" s="26">
        <v>0</v>
      </c>
      <c r="P50" s="25" t="s">
        <v>308</v>
      </c>
      <c r="Q50" s="25" t="s">
        <v>308</v>
      </c>
      <c r="R50" s="25" t="s">
        <v>308</v>
      </c>
      <c r="S50" s="8"/>
      <c r="T50" s="10"/>
      <c r="U50" s="8"/>
      <c r="V50" s="8" t="s">
        <v>334</v>
      </c>
      <c r="W50" s="8"/>
      <c r="X50" s="8" t="s">
        <v>317</v>
      </c>
      <c r="Y50" s="25" t="s">
        <v>308</v>
      </c>
      <c r="Z50" s="8"/>
    </row>
    <row r="51" spans="1:26" x14ac:dyDescent="0.55000000000000004">
      <c r="A51" s="8" t="s">
        <v>158</v>
      </c>
      <c r="B51" s="25" t="s">
        <v>308</v>
      </c>
      <c r="C51" s="25" t="s">
        <v>308</v>
      </c>
      <c r="D51" s="25" t="s">
        <v>308</v>
      </c>
      <c r="E51" s="25" t="s">
        <v>308</v>
      </c>
      <c r="F51" s="25" t="s">
        <v>308</v>
      </c>
      <c r="G51" s="25" t="s">
        <v>308</v>
      </c>
      <c r="H51" s="25" t="s">
        <v>308</v>
      </c>
      <c r="I51" s="25" t="s">
        <v>308</v>
      </c>
      <c r="J51" s="25" t="s">
        <v>308</v>
      </c>
      <c r="K51" s="8"/>
      <c r="L51" s="10"/>
      <c r="M51" s="8"/>
      <c r="N51" s="8" t="s">
        <v>157</v>
      </c>
      <c r="O51" s="26">
        <v>0</v>
      </c>
      <c r="P51" s="25" t="s">
        <v>308</v>
      </c>
      <c r="Q51" s="25" t="s">
        <v>308</v>
      </c>
      <c r="R51" s="25" t="s">
        <v>308</v>
      </c>
      <c r="S51" s="8"/>
      <c r="T51" s="10"/>
      <c r="U51" s="8"/>
      <c r="V51" s="8" t="s">
        <v>335</v>
      </c>
      <c r="W51" s="8"/>
      <c r="X51" s="8" t="s">
        <v>318</v>
      </c>
      <c r="Y51" s="25" t="s">
        <v>308</v>
      </c>
      <c r="Z51" s="8"/>
    </row>
    <row r="52" spans="1:26" x14ac:dyDescent="0.55000000000000004">
      <c r="A52" s="8" t="s">
        <v>164</v>
      </c>
      <c r="B52" s="25" t="s">
        <v>308</v>
      </c>
      <c r="C52" s="25" t="s">
        <v>308</v>
      </c>
      <c r="D52" s="25" t="s">
        <v>308</v>
      </c>
      <c r="E52" s="25" t="s">
        <v>308</v>
      </c>
      <c r="F52" s="25" t="s">
        <v>308</v>
      </c>
      <c r="G52" s="25" t="s">
        <v>308</v>
      </c>
      <c r="H52" s="25" t="s">
        <v>308</v>
      </c>
      <c r="I52" s="25" t="s">
        <v>308</v>
      </c>
      <c r="J52" s="25" t="s">
        <v>308</v>
      </c>
      <c r="K52" s="8"/>
      <c r="L52" s="10"/>
      <c r="M52" s="8"/>
      <c r="N52" s="8" t="s">
        <v>163</v>
      </c>
      <c r="O52" s="26">
        <v>0</v>
      </c>
      <c r="P52" s="25" t="s">
        <v>308</v>
      </c>
      <c r="Q52" s="25" t="s">
        <v>308</v>
      </c>
      <c r="R52" s="25" t="s">
        <v>308</v>
      </c>
      <c r="S52" s="8"/>
      <c r="T52" s="10"/>
      <c r="U52" s="8"/>
      <c r="V52" s="8"/>
      <c r="W52" s="8"/>
      <c r="X52" s="8" t="s">
        <v>319</v>
      </c>
      <c r="Y52" s="25" t="s">
        <v>308</v>
      </c>
      <c r="Z52" s="8"/>
    </row>
    <row r="53" spans="1:26" x14ac:dyDescent="0.55000000000000004">
      <c r="A53" s="8" t="s">
        <v>664</v>
      </c>
      <c r="B53" s="25" t="s">
        <v>308</v>
      </c>
      <c r="C53" s="25" t="s">
        <v>308</v>
      </c>
      <c r="D53" s="25" t="s">
        <v>308</v>
      </c>
      <c r="E53" s="25" t="s">
        <v>308</v>
      </c>
      <c r="F53" s="25" t="s">
        <v>308</v>
      </c>
      <c r="G53" s="25" t="s">
        <v>308</v>
      </c>
      <c r="H53" s="25" t="s">
        <v>308</v>
      </c>
      <c r="I53" s="25" t="s">
        <v>308</v>
      </c>
      <c r="J53" s="25" t="s">
        <v>308</v>
      </c>
      <c r="K53" s="8"/>
      <c r="L53" s="10"/>
      <c r="M53" s="8"/>
      <c r="N53" s="8" t="s">
        <v>663</v>
      </c>
      <c r="O53" s="26">
        <v>0</v>
      </c>
      <c r="P53" s="25" t="s">
        <v>308</v>
      </c>
      <c r="Q53" s="25" t="s">
        <v>308</v>
      </c>
      <c r="R53" s="25" t="s">
        <v>308</v>
      </c>
      <c r="S53" s="8"/>
      <c r="T53" s="10"/>
      <c r="U53" s="8"/>
      <c r="V53" s="8" t="s">
        <v>336</v>
      </c>
      <c r="W53" s="8"/>
      <c r="X53" s="8" t="s">
        <v>320</v>
      </c>
      <c r="Y53" s="25" t="s">
        <v>308</v>
      </c>
      <c r="Z53" s="8"/>
    </row>
    <row r="54" spans="1:26" x14ac:dyDescent="0.55000000000000004">
      <c r="A54" s="8" t="s">
        <v>169</v>
      </c>
      <c r="B54" s="25" t="s">
        <v>308</v>
      </c>
      <c r="C54" s="25" t="s">
        <v>308</v>
      </c>
      <c r="D54" s="25" t="s">
        <v>308</v>
      </c>
      <c r="E54" s="25" t="s">
        <v>308</v>
      </c>
      <c r="F54" s="25" t="s">
        <v>308</v>
      </c>
      <c r="G54" s="25" t="s">
        <v>308</v>
      </c>
      <c r="H54" s="25" t="s">
        <v>308</v>
      </c>
      <c r="I54" s="25" t="s">
        <v>308</v>
      </c>
      <c r="J54" s="25" t="s">
        <v>308</v>
      </c>
      <c r="K54" s="8"/>
      <c r="L54" s="10"/>
      <c r="M54" s="8"/>
      <c r="N54" s="8" t="s">
        <v>168</v>
      </c>
      <c r="O54" s="26">
        <v>0</v>
      </c>
      <c r="P54" s="25" t="s">
        <v>308</v>
      </c>
      <c r="Q54" s="25" t="s">
        <v>308</v>
      </c>
      <c r="R54" s="25" t="s">
        <v>308</v>
      </c>
      <c r="S54" s="8"/>
      <c r="T54" s="10"/>
      <c r="U54" s="8"/>
      <c r="V54" s="8"/>
      <c r="W54" s="8"/>
      <c r="X54" s="8" t="s">
        <v>321</v>
      </c>
      <c r="Y54" s="25" t="s">
        <v>308</v>
      </c>
      <c r="Z54" s="8"/>
    </row>
    <row r="55" spans="1:26" x14ac:dyDescent="0.55000000000000004">
      <c r="A55" s="8" t="s">
        <v>166</v>
      </c>
      <c r="B55" s="25" t="s">
        <v>308</v>
      </c>
      <c r="C55" s="25" t="s">
        <v>308</v>
      </c>
      <c r="D55" s="25" t="s">
        <v>308</v>
      </c>
      <c r="E55" s="25" t="s">
        <v>308</v>
      </c>
      <c r="F55" s="25" t="s">
        <v>308</v>
      </c>
      <c r="G55" s="25" t="s">
        <v>308</v>
      </c>
      <c r="H55" s="25" t="s">
        <v>308</v>
      </c>
      <c r="I55" s="25" t="s">
        <v>308</v>
      </c>
      <c r="J55" s="25" t="s">
        <v>308</v>
      </c>
      <c r="K55" s="8"/>
      <c r="L55" s="10"/>
      <c r="M55" s="8"/>
      <c r="N55" s="8" t="s">
        <v>165</v>
      </c>
      <c r="O55" s="26">
        <v>0</v>
      </c>
      <c r="P55" s="25" t="s">
        <v>308</v>
      </c>
      <c r="Q55" s="25" t="s">
        <v>308</v>
      </c>
      <c r="R55" s="25" t="s">
        <v>308</v>
      </c>
      <c r="S55" s="8"/>
      <c r="T55" s="10"/>
      <c r="U55" s="8"/>
      <c r="V55" s="8"/>
      <c r="W55" s="8"/>
      <c r="X55" s="8"/>
      <c r="Y55" s="8"/>
      <c r="Z55" s="8"/>
    </row>
    <row r="56" spans="1:26" x14ac:dyDescent="0.55000000000000004">
      <c r="A56" s="8" t="s">
        <v>669</v>
      </c>
      <c r="B56" s="25" t="s">
        <v>308</v>
      </c>
      <c r="C56" s="25" t="s">
        <v>308</v>
      </c>
      <c r="D56" s="25" t="s">
        <v>308</v>
      </c>
      <c r="E56" s="25" t="s">
        <v>308</v>
      </c>
      <c r="F56" s="25" t="s">
        <v>308</v>
      </c>
      <c r="G56" s="25" t="s">
        <v>308</v>
      </c>
      <c r="H56" s="25" t="s">
        <v>308</v>
      </c>
      <c r="I56" s="25" t="s">
        <v>308</v>
      </c>
      <c r="J56" s="25" t="s">
        <v>308</v>
      </c>
      <c r="K56" s="8"/>
      <c r="L56" s="10"/>
      <c r="M56" s="8"/>
      <c r="N56" s="8" t="s">
        <v>668</v>
      </c>
      <c r="O56" s="26">
        <v>0</v>
      </c>
      <c r="P56" s="25" t="s">
        <v>308</v>
      </c>
      <c r="Q56" s="25" t="s">
        <v>308</v>
      </c>
      <c r="R56" s="25" t="s">
        <v>308</v>
      </c>
      <c r="S56" s="8"/>
      <c r="T56" s="10"/>
      <c r="U56" s="10"/>
      <c r="V56" s="11" t="s">
        <v>324</v>
      </c>
      <c r="W56" s="10"/>
      <c r="X56" s="10"/>
      <c r="Y56" s="10"/>
      <c r="Z56" s="10"/>
    </row>
    <row r="57" spans="1:26" x14ac:dyDescent="0.55000000000000004">
      <c r="A57" s="8" t="s">
        <v>171</v>
      </c>
      <c r="B57" s="25" t="s">
        <v>308</v>
      </c>
      <c r="C57" s="25" t="s">
        <v>308</v>
      </c>
      <c r="D57" s="25" t="s">
        <v>308</v>
      </c>
      <c r="E57" s="25" t="s">
        <v>308</v>
      </c>
      <c r="F57" s="25" t="s">
        <v>308</v>
      </c>
      <c r="G57" s="25" t="s">
        <v>308</v>
      </c>
      <c r="H57" s="25" t="s">
        <v>308</v>
      </c>
      <c r="I57" s="25" t="s">
        <v>308</v>
      </c>
      <c r="J57" s="25" t="s">
        <v>308</v>
      </c>
      <c r="K57" s="8"/>
      <c r="L57" s="10"/>
      <c r="M57" s="8"/>
      <c r="N57" s="8" t="s">
        <v>170</v>
      </c>
      <c r="O57" s="26">
        <v>0</v>
      </c>
      <c r="P57" s="25" t="s">
        <v>308</v>
      </c>
      <c r="Q57" s="25" t="s">
        <v>308</v>
      </c>
      <c r="R57" s="25" t="s">
        <v>308</v>
      </c>
      <c r="S57" s="8"/>
      <c r="T57" s="10"/>
      <c r="U57" s="13"/>
      <c r="V57" s="13"/>
      <c r="W57" s="13"/>
      <c r="X57" s="15" t="s">
        <v>325</v>
      </c>
      <c r="Y57" s="15" t="s">
        <v>326</v>
      </c>
      <c r="Z57" s="13"/>
    </row>
    <row r="58" spans="1:26" x14ac:dyDescent="0.55000000000000004">
      <c r="A58" s="8" t="s">
        <v>173</v>
      </c>
      <c r="B58" s="25" t="s">
        <v>308</v>
      </c>
      <c r="C58" s="25" t="s">
        <v>308</v>
      </c>
      <c r="D58" s="25" t="s">
        <v>308</v>
      </c>
      <c r="E58" s="25" t="s">
        <v>308</v>
      </c>
      <c r="F58" s="25" t="s">
        <v>308</v>
      </c>
      <c r="G58" s="25" t="s">
        <v>308</v>
      </c>
      <c r="H58" s="25" t="s">
        <v>308</v>
      </c>
      <c r="I58" s="25" t="s">
        <v>308</v>
      </c>
      <c r="J58" s="25" t="s">
        <v>308</v>
      </c>
      <c r="K58" s="8"/>
      <c r="L58" s="10"/>
      <c r="M58" s="8"/>
      <c r="N58" s="8" t="s">
        <v>172</v>
      </c>
      <c r="O58" s="26">
        <v>0</v>
      </c>
      <c r="P58" s="25" t="s">
        <v>308</v>
      </c>
      <c r="Q58" s="25" t="s">
        <v>308</v>
      </c>
      <c r="R58" s="25" t="s">
        <v>308</v>
      </c>
      <c r="S58" s="8"/>
      <c r="T58" s="10"/>
      <c r="U58" s="13"/>
      <c r="V58" s="13"/>
      <c r="W58" s="13"/>
      <c r="X58" s="16" t="s">
        <v>327</v>
      </c>
      <c r="Y58" s="16" t="s">
        <v>328</v>
      </c>
      <c r="Z58" s="13"/>
    </row>
    <row r="59" spans="1:26" x14ac:dyDescent="0.55000000000000004">
      <c r="A59" s="8" t="s">
        <v>175</v>
      </c>
      <c r="B59" s="25" t="s">
        <v>308</v>
      </c>
      <c r="C59" s="25" t="s">
        <v>308</v>
      </c>
      <c r="D59" s="25" t="s">
        <v>308</v>
      </c>
      <c r="E59" s="25" t="s">
        <v>308</v>
      </c>
      <c r="F59" s="25" t="s">
        <v>308</v>
      </c>
      <c r="G59" s="25" t="s">
        <v>308</v>
      </c>
      <c r="H59" s="25" t="s">
        <v>308</v>
      </c>
      <c r="I59" s="25" t="s">
        <v>308</v>
      </c>
      <c r="J59" s="25" t="s">
        <v>308</v>
      </c>
      <c r="K59" s="8"/>
      <c r="L59" s="10"/>
      <c r="M59" s="8"/>
      <c r="N59" s="8" t="s">
        <v>174</v>
      </c>
      <c r="O59" s="26">
        <v>0</v>
      </c>
      <c r="P59" s="25" t="s">
        <v>308</v>
      </c>
      <c r="Q59" s="25" t="s">
        <v>308</v>
      </c>
      <c r="R59" s="25" t="s">
        <v>308</v>
      </c>
      <c r="S59" s="8"/>
      <c r="T59" s="10"/>
      <c r="U59" s="8"/>
      <c r="V59" s="8" t="s">
        <v>329</v>
      </c>
      <c r="W59" s="8" t="s">
        <v>24</v>
      </c>
      <c r="X59" s="23">
        <v>1</v>
      </c>
      <c r="Y59" s="23">
        <v>1</v>
      </c>
      <c r="Z59" s="8"/>
    </row>
    <row r="60" spans="1:26" x14ac:dyDescent="0.55000000000000004">
      <c r="A60" s="8" t="s">
        <v>177</v>
      </c>
      <c r="B60" s="25" t="s">
        <v>308</v>
      </c>
      <c r="C60" s="25" t="s">
        <v>308</v>
      </c>
      <c r="D60" s="25" t="s">
        <v>308</v>
      </c>
      <c r="E60" s="25" t="s">
        <v>308</v>
      </c>
      <c r="F60" s="25" t="s">
        <v>308</v>
      </c>
      <c r="G60" s="25" t="s">
        <v>308</v>
      </c>
      <c r="H60" s="25" t="s">
        <v>308</v>
      </c>
      <c r="I60" s="25" t="s">
        <v>308</v>
      </c>
      <c r="J60" s="25" t="s">
        <v>308</v>
      </c>
      <c r="K60" s="8"/>
      <c r="L60" s="10"/>
      <c r="M60" s="8"/>
      <c r="N60" s="8" t="s">
        <v>176</v>
      </c>
      <c r="O60" s="26">
        <v>0</v>
      </c>
      <c r="P60" s="25" t="s">
        <v>308</v>
      </c>
      <c r="Q60" s="25" t="s">
        <v>308</v>
      </c>
      <c r="R60" s="25" t="s">
        <v>308</v>
      </c>
      <c r="S60" s="8"/>
      <c r="T60" s="10"/>
      <c r="U60" s="8"/>
      <c r="V60" s="8" t="s">
        <v>330</v>
      </c>
      <c r="W60" s="8" t="s">
        <v>791</v>
      </c>
      <c r="X60" s="23">
        <v>1</v>
      </c>
      <c r="Y60" s="23">
        <v>1</v>
      </c>
      <c r="Z60" s="8"/>
    </row>
    <row r="61" spans="1:26" x14ac:dyDescent="0.55000000000000004">
      <c r="A61" s="8" t="s">
        <v>676</v>
      </c>
      <c r="B61" s="25" t="s">
        <v>308</v>
      </c>
      <c r="C61" s="25" t="s">
        <v>308</v>
      </c>
      <c r="D61" s="25" t="s">
        <v>308</v>
      </c>
      <c r="E61" s="25" t="s">
        <v>308</v>
      </c>
      <c r="F61" s="25" t="s">
        <v>308</v>
      </c>
      <c r="G61" s="25" t="s">
        <v>308</v>
      </c>
      <c r="H61" s="25" t="s">
        <v>308</v>
      </c>
      <c r="I61" s="25" t="s">
        <v>308</v>
      </c>
      <c r="J61" s="25" t="s">
        <v>308</v>
      </c>
      <c r="K61" s="8"/>
      <c r="L61" s="10"/>
      <c r="M61" s="8"/>
      <c r="N61" s="8" t="s">
        <v>675</v>
      </c>
      <c r="O61" s="26">
        <v>0</v>
      </c>
      <c r="P61" s="25" t="s">
        <v>308</v>
      </c>
      <c r="Q61" s="25" t="s">
        <v>308</v>
      </c>
      <c r="R61" s="25" t="s">
        <v>308</v>
      </c>
      <c r="S61" s="8"/>
      <c r="T61" s="10"/>
      <c r="U61" s="8"/>
      <c r="V61" s="8"/>
      <c r="W61" s="8" t="s">
        <v>792</v>
      </c>
      <c r="X61" s="23">
        <v>1</v>
      </c>
      <c r="Y61" s="23">
        <v>1</v>
      </c>
      <c r="Z61" s="8"/>
    </row>
    <row r="62" spans="1:26" x14ac:dyDescent="0.55000000000000004">
      <c r="A62" s="8" t="s">
        <v>179</v>
      </c>
      <c r="B62" s="25" t="s">
        <v>308</v>
      </c>
      <c r="C62" s="25" t="s">
        <v>308</v>
      </c>
      <c r="D62" s="25" t="s">
        <v>308</v>
      </c>
      <c r="E62" s="25" t="s">
        <v>308</v>
      </c>
      <c r="F62" s="25" t="s">
        <v>308</v>
      </c>
      <c r="G62" s="25" t="s">
        <v>308</v>
      </c>
      <c r="H62" s="25" t="s">
        <v>308</v>
      </c>
      <c r="I62" s="25" t="s">
        <v>308</v>
      </c>
      <c r="J62" s="25" t="s">
        <v>308</v>
      </c>
      <c r="K62" s="8"/>
      <c r="L62" s="10"/>
      <c r="M62" s="8"/>
      <c r="N62" s="8" t="s">
        <v>178</v>
      </c>
      <c r="O62" s="26">
        <v>0</v>
      </c>
      <c r="P62" s="25" t="s">
        <v>308</v>
      </c>
      <c r="Q62" s="25" t="s">
        <v>308</v>
      </c>
      <c r="R62" s="25" t="s">
        <v>308</v>
      </c>
      <c r="S62" s="8"/>
      <c r="T62" s="10"/>
      <c r="U62" s="8"/>
      <c r="V62" s="8"/>
      <c r="W62" s="8" t="s">
        <v>793</v>
      </c>
      <c r="X62" s="23">
        <v>1</v>
      </c>
      <c r="Y62" s="23">
        <v>1</v>
      </c>
      <c r="Z62" s="8"/>
    </row>
    <row r="63" spans="1:26" x14ac:dyDescent="0.55000000000000004">
      <c r="A63" s="8" t="s">
        <v>181</v>
      </c>
      <c r="B63" s="25" t="s">
        <v>308</v>
      </c>
      <c r="C63" s="25" t="s">
        <v>308</v>
      </c>
      <c r="D63" s="25" t="s">
        <v>308</v>
      </c>
      <c r="E63" s="25" t="s">
        <v>308</v>
      </c>
      <c r="F63" s="25" t="s">
        <v>308</v>
      </c>
      <c r="G63" s="25" t="s">
        <v>308</v>
      </c>
      <c r="H63" s="25" t="s">
        <v>308</v>
      </c>
      <c r="I63" s="25" t="s">
        <v>308</v>
      </c>
      <c r="J63" s="25" t="s">
        <v>308</v>
      </c>
      <c r="K63" s="8"/>
      <c r="L63" s="10"/>
      <c r="M63" s="8"/>
      <c r="N63" s="8" t="s">
        <v>180</v>
      </c>
      <c r="O63" s="26">
        <v>0</v>
      </c>
      <c r="P63" s="25" t="s">
        <v>308</v>
      </c>
      <c r="Q63" s="25" t="s">
        <v>308</v>
      </c>
      <c r="R63" s="25" t="s">
        <v>308</v>
      </c>
      <c r="S63" s="8"/>
      <c r="T63" s="10"/>
      <c r="U63" s="8"/>
      <c r="V63" s="8"/>
      <c r="W63" s="8" t="s">
        <v>794</v>
      </c>
      <c r="X63" s="23">
        <v>1</v>
      </c>
      <c r="Y63" s="23">
        <v>1</v>
      </c>
      <c r="Z63" s="8"/>
    </row>
    <row r="64" spans="1:26" x14ac:dyDescent="0.55000000000000004">
      <c r="A64" s="8" t="s">
        <v>681</v>
      </c>
      <c r="B64" s="25" t="s">
        <v>308</v>
      </c>
      <c r="C64" s="25" t="s">
        <v>308</v>
      </c>
      <c r="D64" s="25" t="s">
        <v>308</v>
      </c>
      <c r="E64" s="25" t="s">
        <v>308</v>
      </c>
      <c r="F64" s="25" t="s">
        <v>308</v>
      </c>
      <c r="G64" s="25" t="s">
        <v>308</v>
      </c>
      <c r="H64" s="25" t="s">
        <v>308</v>
      </c>
      <c r="I64" s="25" t="s">
        <v>308</v>
      </c>
      <c r="J64" s="25" t="s">
        <v>308</v>
      </c>
      <c r="K64" s="8"/>
      <c r="L64" s="10"/>
      <c r="M64" s="8"/>
      <c r="N64" s="8" t="s">
        <v>680</v>
      </c>
      <c r="O64" s="26">
        <v>0</v>
      </c>
      <c r="P64" s="25" t="s">
        <v>308</v>
      </c>
      <c r="Q64" s="25" t="s">
        <v>308</v>
      </c>
      <c r="R64" s="25" t="s">
        <v>308</v>
      </c>
      <c r="S64" s="8"/>
      <c r="T64" s="10"/>
      <c r="U64" s="8"/>
      <c r="V64" s="8"/>
      <c r="W64" s="8" t="s">
        <v>795</v>
      </c>
      <c r="X64" s="23">
        <v>1</v>
      </c>
      <c r="Y64" s="23">
        <v>1</v>
      </c>
      <c r="Z64" s="8"/>
    </row>
    <row r="65" spans="1:26" x14ac:dyDescent="0.55000000000000004">
      <c r="A65" s="8" t="s">
        <v>684</v>
      </c>
      <c r="B65" s="25" t="s">
        <v>308</v>
      </c>
      <c r="C65" s="25" t="s">
        <v>308</v>
      </c>
      <c r="D65" s="25" t="s">
        <v>308</v>
      </c>
      <c r="E65" s="25" t="s">
        <v>308</v>
      </c>
      <c r="F65" s="25" t="s">
        <v>308</v>
      </c>
      <c r="G65" s="25" t="s">
        <v>308</v>
      </c>
      <c r="H65" s="25" t="s">
        <v>308</v>
      </c>
      <c r="I65" s="25" t="s">
        <v>308</v>
      </c>
      <c r="J65" s="25" t="s">
        <v>308</v>
      </c>
      <c r="K65" s="8"/>
      <c r="L65" s="10"/>
      <c r="M65" s="8"/>
      <c r="N65" s="8" t="s">
        <v>683</v>
      </c>
      <c r="O65" s="26">
        <v>0</v>
      </c>
      <c r="P65" s="25" t="s">
        <v>308</v>
      </c>
      <c r="Q65" s="25" t="s">
        <v>308</v>
      </c>
      <c r="R65" s="25" t="s">
        <v>308</v>
      </c>
      <c r="S65" s="8"/>
      <c r="T65" s="10"/>
      <c r="U65" s="8"/>
      <c r="V65" s="8"/>
      <c r="W65" s="8" t="s">
        <v>89</v>
      </c>
      <c r="X65" s="23">
        <v>1</v>
      </c>
      <c r="Y65" s="23">
        <v>1</v>
      </c>
      <c r="Z65" s="8"/>
    </row>
    <row r="66" spans="1:26" x14ac:dyDescent="0.55000000000000004">
      <c r="A66" s="8" t="s">
        <v>183</v>
      </c>
      <c r="B66" s="25" t="s">
        <v>308</v>
      </c>
      <c r="C66" s="25" t="s">
        <v>308</v>
      </c>
      <c r="D66" s="25" t="s">
        <v>308</v>
      </c>
      <c r="E66" s="25" t="s">
        <v>308</v>
      </c>
      <c r="F66" s="25" t="s">
        <v>308</v>
      </c>
      <c r="G66" s="25" t="s">
        <v>308</v>
      </c>
      <c r="H66" s="25" t="s">
        <v>308</v>
      </c>
      <c r="I66" s="25" t="s">
        <v>308</v>
      </c>
      <c r="J66" s="25" t="s">
        <v>308</v>
      </c>
      <c r="K66" s="8"/>
      <c r="L66" s="10"/>
      <c r="M66" s="8"/>
      <c r="N66" s="8" t="s">
        <v>182</v>
      </c>
      <c r="O66" s="26">
        <v>0</v>
      </c>
      <c r="P66" s="25" t="s">
        <v>308</v>
      </c>
      <c r="Q66" s="25" t="s">
        <v>308</v>
      </c>
      <c r="R66" s="25" t="s">
        <v>308</v>
      </c>
      <c r="S66" s="8"/>
      <c r="T66" s="10"/>
      <c r="U66" s="8"/>
      <c r="V66" s="8"/>
      <c r="W66" s="8" t="s">
        <v>97</v>
      </c>
      <c r="X66" s="23">
        <v>1</v>
      </c>
      <c r="Y66" s="23">
        <v>1</v>
      </c>
      <c r="Z66" s="8"/>
    </row>
    <row r="67" spans="1:26" x14ac:dyDescent="0.55000000000000004">
      <c r="A67" s="8" t="s">
        <v>688</v>
      </c>
      <c r="B67" s="25" t="s">
        <v>308</v>
      </c>
      <c r="C67" s="25" t="s">
        <v>308</v>
      </c>
      <c r="D67" s="25" t="s">
        <v>308</v>
      </c>
      <c r="E67" s="25" t="s">
        <v>308</v>
      </c>
      <c r="F67" s="25" t="s">
        <v>308</v>
      </c>
      <c r="G67" s="25" t="s">
        <v>308</v>
      </c>
      <c r="H67" s="25" t="s">
        <v>308</v>
      </c>
      <c r="I67" s="25" t="s">
        <v>308</v>
      </c>
      <c r="J67" s="25" t="s">
        <v>308</v>
      </c>
      <c r="K67" s="8"/>
      <c r="L67" s="10"/>
      <c r="M67" s="8"/>
      <c r="N67" s="8" t="s">
        <v>687</v>
      </c>
      <c r="O67" s="26">
        <v>0</v>
      </c>
      <c r="P67" s="25" t="s">
        <v>308</v>
      </c>
      <c r="Q67" s="25" t="s">
        <v>308</v>
      </c>
      <c r="R67" s="25" t="s">
        <v>308</v>
      </c>
      <c r="S67" s="8"/>
      <c r="T67" s="10"/>
      <c r="U67" s="8"/>
      <c r="V67" s="8"/>
      <c r="W67" s="8" t="s">
        <v>103</v>
      </c>
      <c r="X67" s="23">
        <v>1</v>
      </c>
      <c r="Y67" s="23">
        <v>1</v>
      </c>
      <c r="Z67" s="8"/>
    </row>
    <row r="68" spans="1:26" x14ac:dyDescent="0.55000000000000004">
      <c r="A68" s="8" t="s">
        <v>691</v>
      </c>
      <c r="B68" s="25" t="s">
        <v>308</v>
      </c>
      <c r="C68" s="25" t="s">
        <v>308</v>
      </c>
      <c r="D68" s="25" t="s">
        <v>308</v>
      </c>
      <c r="E68" s="25" t="s">
        <v>308</v>
      </c>
      <c r="F68" s="25" t="s">
        <v>308</v>
      </c>
      <c r="G68" s="25" t="s">
        <v>308</v>
      </c>
      <c r="H68" s="25" t="s">
        <v>308</v>
      </c>
      <c r="I68" s="25" t="s">
        <v>308</v>
      </c>
      <c r="J68" s="25" t="s">
        <v>308</v>
      </c>
      <c r="K68" s="8"/>
      <c r="L68" s="10"/>
      <c r="M68" s="8"/>
      <c r="N68" s="8" t="s">
        <v>690</v>
      </c>
      <c r="O68" s="26">
        <v>0</v>
      </c>
      <c r="P68" s="25" t="s">
        <v>308</v>
      </c>
      <c r="Q68" s="25" t="s">
        <v>308</v>
      </c>
      <c r="R68" s="25" t="s">
        <v>308</v>
      </c>
      <c r="S68" s="8"/>
      <c r="T68" s="10"/>
      <c r="U68" s="8"/>
      <c r="V68" s="8"/>
      <c r="W68" s="8" t="s">
        <v>109</v>
      </c>
      <c r="X68" s="23">
        <v>1</v>
      </c>
      <c r="Y68" s="23">
        <v>1</v>
      </c>
      <c r="Z68" s="8"/>
    </row>
    <row r="69" spans="1:26" x14ac:dyDescent="0.55000000000000004">
      <c r="A69" s="8" t="s">
        <v>186</v>
      </c>
      <c r="B69" s="25" t="s">
        <v>308</v>
      </c>
      <c r="C69" s="25" t="s">
        <v>308</v>
      </c>
      <c r="D69" s="25" t="s">
        <v>308</v>
      </c>
      <c r="E69" s="25" t="s">
        <v>308</v>
      </c>
      <c r="F69" s="25" t="s">
        <v>308</v>
      </c>
      <c r="G69" s="25" t="s">
        <v>308</v>
      </c>
      <c r="H69" s="25" t="s">
        <v>308</v>
      </c>
      <c r="I69" s="25" t="s">
        <v>308</v>
      </c>
      <c r="J69" s="25" t="s">
        <v>308</v>
      </c>
      <c r="K69" s="8"/>
      <c r="L69" s="10"/>
      <c r="M69" s="8"/>
      <c r="N69" s="8" t="s">
        <v>185</v>
      </c>
      <c r="O69" s="26">
        <v>0</v>
      </c>
      <c r="P69" s="25" t="s">
        <v>308</v>
      </c>
      <c r="Q69" s="25" t="s">
        <v>308</v>
      </c>
      <c r="R69" s="25" t="s">
        <v>308</v>
      </c>
      <c r="S69" s="8"/>
      <c r="T69" s="10"/>
      <c r="U69" s="8"/>
      <c r="V69" s="8"/>
      <c r="W69" s="8" t="s">
        <v>113</v>
      </c>
      <c r="X69" s="23">
        <v>1</v>
      </c>
      <c r="Y69" s="23">
        <v>1</v>
      </c>
      <c r="Z69" s="8"/>
    </row>
    <row r="70" spans="1:26" x14ac:dyDescent="0.55000000000000004">
      <c r="A70" s="8" t="s">
        <v>188</v>
      </c>
      <c r="B70" s="25" t="s">
        <v>308</v>
      </c>
      <c r="C70" s="25" t="s">
        <v>308</v>
      </c>
      <c r="D70" s="25" t="s">
        <v>308</v>
      </c>
      <c r="E70" s="25" t="s">
        <v>308</v>
      </c>
      <c r="F70" s="25" t="s">
        <v>308</v>
      </c>
      <c r="G70" s="25" t="s">
        <v>308</v>
      </c>
      <c r="H70" s="25" t="s">
        <v>308</v>
      </c>
      <c r="I70" s="25" t="s">
        <v>308</v>
      </c>
      <c r="J70" s="25" t="s">
        <v>308</v>
      </c>
      <c r="K70" s="8"/>
      <c r="L70" s="10"/>
      <c r="M70" s="8"/>
      <c r="N70" s="8" t="s">
        <v>187</v>
      </c>
      <c r="O70" s="26">
        <v>0</v>
      </c>
      <c r="P70" s="25" t="s">
        <v>308</v>
      </c>
      <c r="Q70" s="25" t="s">
        <v>308</v>
      </c>
      <c r="R70" s="25" t="s">
        <v>308</v>
      </c>
      <c r="S70" s="8"/>
      <c r="T70" s="10"/>
      <c r="U70" s="8"/>
      <c r="V70" s="8"/>
      <c r="W70" s="8" t="s">
        <v>607</v>
      </c>
      <c r="X70" s="23">
        <v>1</v>
      </c>
      <c r="Y70" s="23">
        <v>1</v>
      </c>
      <c r="Z70" s="8"/>
    </row>
    <row r="71" spans="1:26" x14ac:dyDescent="0.55000000000000004">
      <c r="A71" s="8" t="s">
        <v>190</v>
      </c>
      <c r="B71" s="25" t="s">
        <v>308</v>
      </c>
      <c r="C71" s="25" t="s">
        <v>308</v>
      </c>
      <c r="D71" s="25" t="s">
        <v>308</v>
      </c>
      <c r="E71" s="25" t="s">
        <v>308</v>
      </c>
      <c r="F71" s="25" t="s">
        <v>308</v>
      </c>
      <c r="G71" s="25" t="s">
        <v>308</v>
      </c>
      <c r="H71" s="25" t="s">
        <v>308</v>
      </c>
      <c r="I71" s="25" t="s">
        <v>308</v>
      </c>
      <c r="J71" s="25" t="s">
        <v>308</v>
      </c>
      <c r="K71" s="8"/>
      <c r="L71" s="10"/>
      <c r="M71" s="8"/>
      <c r="N71" s="8" t="s">
        <v>189</v>
      </c>
      <c r="O71" s="26">
        <v>0</v>
      </c>
      <c r="P71" s="25" t="s">
        <v>308</v>
      </c>
      <c r="Q71" s="25" t="s">
        <v>308</v>
      </c>
      <c r="R71" s="25" t="s">
        <v>308</v>
      </c>
      <c r="S71" s="8"/>
      <c r="T71" s="10"/>
      <c r="U71" s="8"/>
      <c r="V71" s="8"/>
      <c r="W71" s="8" t="s">
        <v>612</v>
      </c>
      <c r="X71" s="23">
        <v>1</v>
      </c>
      <c r="Y71" s="23">
        <v>1</v>
      </c>
      <c r="Z71" s="8"/>
    </row>
    <row r="72" spans="1:26" x14ac:dyDescent="0.55000000000000004">
      <c r="A72" s="8" t="s">
        <v>697</v>
      </c>
      <c r="B72" s="25" t="s">
        <v>308</v>
      </c>
      <c r="C72" s="25" t="s">
        <v>308</v>
      </c>
      <c r="D72" s="25" t="s">
        <v>308</v>
      </c>
      <c r="E72" s="25" t="s">
        <v>308</v>
      </c>
      <c r="F72" s="25" t="s">
        <v>308</v>
      </c>
      <c r="G72" s="25" t="s">
        <v>308</v>
      </c>
      <c r="H72" s="25" t="s">
        <v>308</v>
      </c>
      <c r="I72" s="25" t="s">
        <v>308</v>
      </c>
      <c r="J72" s="25" t="s">
        <v>308</v>
      </c>
      <c r="K72" s="8"/>
      <c r="L72" s="10"/>
      <c r="M72" s="8"/>
      <c r="N72" s="8" t="s">
        <v>696</v>
      </c>
      <c r="O72" s="26">
        <v>0</v>
      </c>
      <c r="P72" s="25" t="s">
        <v>308</v>
      </c>
      <c r="Q72" s="25" t="s">
        <v>308</v>
      </c>
      <c r="R72" s="25" t="s">
        <v>308</v>
      </c>
      <c r="S72" s="8"/>
      <c r="T72" s="10"/>
      <c r="U72" s="8"/>
      <c r="V72" s="8"/>
      <c r="W72" s="8" t="s">
        <v>617</v>
      </c>
      <c r="X72" s="23">
        <v>1</v>
      </c>
      <c r="Y72" s="23">
        <v>1</v>
      </c>
      <c r="Z72" s="8"/>
    </row>
    <row r="73" spans="1:26" x14ac:dyDescent="0.55000000000000004">
      <c r="A73" s="8" t="s">
        <v>192</v>
      </c>
      <c r="B73" s="25" t="s">
        <v>308</v>
      </c>
      <c r="C73" s="25" t="s">
        <v>308</v>
      </c>
      <c r="D73" s="25" t="s">
        <v>308</v>
      </c>
      <c r="E73" s="25" t="s">
        <v>308</v>
      </c>
      <c r="F73" s="25" t="s">
        <v>308</v>
      </c>
      <c r="G73" s="25" t="s">
        <v>308</v>
      </c>
      <c r="H73" s="25" t="s">
        <v>308</v>
      </c>
      <c r="I73" s="25" t="s">
        <v>308</v>
      </c>
      <c r="J73" s="25" t="s">
        <v>308</v>
      </c>
      <c r="K73" s="8"/>
      <c r="L73" s="10"/>
      <c r="M73" s="8"/>
      <c r="N73" s="8" t="s">
        <v>191</v>
      </c>
      <c r="O73" s="26">
        <v>0</v>
      </c>
      <c r="P73" s="25" t="s">
        <v>308</v>
      </c>
      <c r="Q73" s="25" t="s">
        <v>308</v>
      </c>
      <c r="R73" s="25" t="s">
        <v>308</v>
      </c>
      <c r="S73" s="8"/>
      <c r="T73" s="10"/>
      <c r="U73" s="8"/>
      <c r="V73" s="8"/>
      <c r="W73" s="8" t="s">
        <v>620</v>
      </c>
      <c r="X73" s="23">
        <v>1</v>
      </c>
      <c r="Y73" s="23">
        <v>1</v>
      </c>
      <c r="Z73" s="8"/>
    </row>
    <row r="74" spans="1:26" x14ac:dyDescent="0.55000000000000004">
      <c r="A74" s="8" t="s">
        <v>701</v>
      </c>
      <c r="B74" s="25" t="s">
        <v>308</v>
      </c>
      <c r="C74" s="25" t="s">
        <v>308</v>
      </c>
      <c r="D74" s="25" t="s">
        <v>308</v>
      </c>
      <c r="E74" s="25" t="s">
        <v>308</v>
      </c>
      <c r="F74" s="25" t="s">
        <v>308</v>
      </c>
      <c r="G74" s="25" t="s">
        <v>308</v>
      </c>
      <c r="H74" s="25" t="s">
        <v>308</v>
      </c>
      <c r="I74" s="25" t="s">
        <v>308</v>
      </c>
      <c r="J74" s="25" t="s">
        <v>308</v>
      </c>
      <c r="K74" s="8"/>
      <c r="L74" s="10"/>
      <c r="M74" s="8"/>
      <c r="N74" s="8" t="s">
        <v>700</v>
      </c>
      <c r="O74" s="26">
        <v>0</v>
      </c>
      <c r="P74" s="25" t="s">
        <v>308</v>
      </c>
      <c r="Q74" s="25" t="s">
        <v>308</v>
      </c>
      <c r="R74" s="25" t="s">
        <v>308</v>
      </c>
      <c r="S74" s="8"/>
      <c r="T74" s="10"/>
      <c r="U74" s="8"/>
      <c r="V74" s="8"/>
      <c r="W74" s="8" t="s">
        <v>623</v>
      </c>
      <c r="X74" s="23">
        <v>1</v>
      </c>
      <c r="Y74" s="23">
        <v>1</v>
      </c>
      <c r="Z74" s="8"/>
    </row>
    <row r="75" spans="1:26" x14ac:dyDescent="0.55000000000000004">
      <c r="A75" s="8" t="s">
        <v>195</v>
      </c>
      <c r="B75" s="25" t="s">
        <v>308</v>
      </c>
      <c r="C75" s="25" t="s">
        <v>308</v>
      </c>
      <c r="D75" s="25" t="s">
        <v>308</v>
      </c>
      <c r="E75" s="25" t="s">
        <v>308</v>
      </c>
      <c r="F75" s="25" t="s">
        <v>308</v>
      </c>
      <c r="G75" s="25" t="s">
        <v>308</v>
      </c>
      <c r="H75" s="25" t="s">
        <v>308</v>
      </c>
      <c r="I75" s="25" t="s">
        <v>308</v>
      </c>
      <c r="J75" s="25" t="s">
        <v>308</v>
      </c>
      <c r="K75" s="8"/>
      <c r="L75" s="10"/>
      <c r="M75" s="8"/>
      <c r="N75" s="8" t="s">
        <v>194</v>
      </c>
      <c r="O75" s="26">
        <v>0</v>
      </c>
      <c r="P75" s="25" t="s">
        <v>308</v>
      </c>
      <c r="Q75" s="25" t="s">
        <v>308</v>
      </c>
      <c r="R75" s="25" t="s">
        <v>308</v>
      </c>
      <c r="S75" s="8"/>
      <c r="T75" s="10"/>
      <c r="U75" s="8"/>
      <c r="V75" s="8"/>
      <c r="W75" s="8"/>
      <c r="X75" s="8"/>
      <c r="Y75" s="8"/>
      <c r="Z75" s="8"/>
    </row>
    <row r="76" spans="1:26" x14ac:dyDescent="0.55000000000000004">
      <c r="A76" s="8" t="s">
        <v>197</v>
      </c>
      <c r="B76" s="25" t="s">
        <v>308</v>
      </c>
      <c r="C76" s="25" t="s">
        <v>308</v>
      </c>
      <c r="D76" s="25" t="s">
        <v>308</v>
      </c>
      <c r="E76" s="25" t="s">
        <v>308</v>
      </c>
      <c r="F76" s="25" t="s">
        <v>308</v>
      </c>
      <c r="G76" s="25" t="s">
        <v>308</v>
      </c>
      <c r="H76" s="25" t="s">
        <v>308</v>
      </c>
      <c r="I76" s="25" t="s">
        <v>308</v>
      </c>
      <c r="J76" s="25" t="s">
        <v>308</v>
      </c>
      <c r="K76" s="8"/>
      <c r="L76" s="10"/>
      <c r="M76" s="8"/>
      <c r="N76" s="8" t="s">
        <v>196</v>
      </c>
      <c r="O76" s="26">
        <v>0</v>
      </c>
      <c r="P76" s="25" t="s">
        <v>308</v>
      </c>
      <c r="Q76" s="25" t="s">
        <v>308</v>
      </c>
      <c r="R76" s="25" t="s">
        <v>308</v>
      </c>
      <c r="S76" s="8"/>
      <c r="T76" s="10"/>
      <c r="U76" s="10"/>
      <c r="V76" s="11" t="s">
        <v>240</v>
      </c>
      <c r="W76" s="10"/>
      <c r="X76" s="10"/>
      <c r="Y76" s="10"/>
      <c r="Z76" s="10"/>
    </row>
    <row r="77" spans="1:26" x14ac:dyDescent="0.55000000000000004">
      <c r="A77" s="8" t="s">
        <v>706</v>
      </c>
      <c r="B77" s="25" t="s">
        <v>308</v>
      </c>
      <c r="C77" s="25" t="s">
        <v>308</v>
      </c>
      <c r="D77" s="25" t="s">
        <v>308</v>
      </c>
      <c r="E77" s="25" t="s">
        <v>308</v>
      </c>
      <c r="F77" s="25" t="s">
        <v>308</v>
      </c>
      <c r="G77" s="25" t="s">
        <v>308</v>
      </c>
      <c r="H77" s="25" t="s">
        <v>308</v>
      </c>
      <c r="I77" s="25" t="s">
        <v>308</v>
      </c>
      <c r="J77" s="25" t="s">
        <v>308</v>
      </c>
      <c r="K77" s="8"/>
      <c r="L77" s="10"/>
      <c r="M77" s="8"/>
      <c r="N77" s="8" t="s">
        <v>705</v>
      </c>
      <c r="O77" s="26">
        <v>0</v>
      </c>
      <c r="P77" s="25" t="s">
        <v>308</v>
      </c>
      <c r="Q77" s="25" t="s">
        <v>308</v>
      </c>
      <c r="R77" s="25" t="s">
        <v>308</v>
      </c>
      <c r="S77" s="8"/>
      <c r="T77" s="10"/>
      <c r="U77" s="8"/>
      <c r="V77" s="8" t="s">
        <v>337</v>
      </c>
      <c r="W77" s="8" t="s">
        <v>322</v>
      </c>
      <c r="X77" s="8">
        <f>SUMIF(Main!G4:O4,Y1,Main!G5:O5)</f>
        <v>2</v>
      </c>
      <c r="Y77" s="8"/>
      <c r="Z77" s="8"/>
    </row>
    <row r="78" spans="1:26" x14ac:dyDescent="0.55000000000000004">
      <c r="A78" s="8" t="s">
        <v>199</v>
      </c>
      <c r="B78" s="25" t="s">
        <v>308</v>
      </c>
      <c r="C78" s="25" t="s">
        <v>308</v>
      </c>
      <c r="D78" s="25" t="s">
        <v>308</v>
      </c>
      <c r="E78" s="25" t="s">
        <v>308</v>
      </c>
      <c r="F78" s="25" t="s">
        <v>308</v>
      </c>
      <c r="G78" s="25" t="s">
        <v>308</v>
      </c>
      <c r="H78" s="25" t="s">
        <v>308</v>
      </c>
      <c r="I78" s="25" t="s">
        <v>308</v>
      </c>
      <c r="J78" s="25" t="s">
        <v>308</v>
      </c>
      <c r="K78" s="8"/>
      <c r="L78" s="10"/>
      <c r="M78" s="8"/>
      <c r="N78" s="8" t="s">
        <v>198</v>
      </c>
      <c r="O78" s="26">
        <v>0</v>
      </c>
      <c r="P78" s="25" t="s">
        <v>308</v>
      </c>
      <c r="Q78" s="25" t="s">
        <v>308</v>
      </c>
      <c r="R78" s="25" t="s">
        <v>308</v>
      </c>
      <c r="S78" s="8"/>
      <c r="T78" s="10"/>
      <c r="U78" s="8"/>
      <c r="V78" s="8" t="s">
        <v>338</v>
      </c>
      <c r="W78" s="8" t="s">
        <v>83</v>
      </c>
      <c r="X78" s="8">
        <f>SUMIF(Main!G4:O4,Y1,Main!G6:O6)</f>
        <v>3</v>
      </c>
      <c r="Y78" s="8"/>
      <c r="Z78" s="8"/>
    </row>
    <row r="79" spans="1:26" x14ac:dyDescent="0.55000000000000004">
      <c r="A79" s="8" t="s">
        <v>710</v>
      </c>
      <c r="B79" s="25" t="s">
        <v>308</v>
      </c>
      <c r="C79" s="25" t="s">
        <v>308</v>
      </c>
      <c r="D79" s="25" t="s">
        <v>308</v>
      </c>
      <c r="E79" s="25" t="s">
        <v>308</v>
      </c>
      <c r="F79" s="25" t="s">
        <v>308</v>
      </c>
      <c r="G79" s="25" t="s">
        <v>308</v>
      </c>
      <c r="H79" s="25" t="s">
        <v>308</v>
      </c>
      <c r="I79" s="25" t="s">
        <v>308</v>
      </c>
      <c r="J79" s="25" t="s">
        <v>308</v>
      </c>
      <c r="K79" s="8"/>
      <c r="L79" s="10"/>
      <c r="M79" s="8"/>
      <c r="N79" s="8" t="s">
        <v>709</v>
      </c>
      <c r="O79" s="26">
        <v>0</v>
      </c>
      <c r="P79" s="25" t="s">
        <v>308</v>
      </c>
      <c r="Q79" s="25" t="s">
        <v>308</v>
      </c>
      <c r="R79" s="25" t="s">
        <v>308</v>
      </c>
      <c r="S79" s="8"/>
      <c r="T79" s="10"/>
      <c r="U79" s="8"/>
      <c r="V79" s="8" t="s">
        <v>339</v>
      </c>
      <c r="W79" s="8" t="s">
        <v>32</v>
      </c>
      <c r="X79" s="8">
        <f>SUMIF(Main!G4:O4,Y1,Main!G7:O7)</f>
        <v>1</v>
      </c>
      <c r="Y79" s="8"/>
      <c r="Z79" s="8"/>
    </row>
    <row r="80" spans="1:26" x14ac:dyDescent="0.55000000000000004">
      <c r="A80" s="8" t="s">
        <v>713</v>
      </c>
      <c r="B80" s="25" t="s">
        <v>308</v>
      </c>
      <c r="C80" s="25" t="s">
        <v>308</v>
      </c>
      <c r="D80" s="25" t="s">
        <v>308</v>
      </c>
      <c r="E80" s="25" t="s">
        <v>308</v>
      </c>
      <c r="F80" s="25" t="s">
        <v>308</v>
      </c>
      <c r="G80" s="25" t="s">
        <v>308</v>
      </c>
      <c r="H80" s="25" t="s">
        <v>308</v>
      </c>
      <c r="I80" s="25" t="s">
        <v>308</v>
      </c>
      <c r="J80" s="25" t="s">
        <v>308</v>
      </c>
      <c r="K80" s="8"/>
      <c r="L80" s="10"/>
      <c r="M80" s="8"/>
      <c r="N80" s="8" t="s">
        <v>712</v>
      </c>
      <c r="O80" s="26">
        <v>0</v>
      </c>
      <c r="P80" s="25" t="s">
        <v>308</v>
      </c>
      <c r="Q80" s="25" t="s">
        <v>308</v>
      </c>
      <c r="R80" s="25" t="s">
        <v>308</v>
      </c>
      <c r="S80" s="8"/>
      <c r="T80" s="10"/>
      <c r="U80" s="8"/>
      <c r="V80" s="8" t="s">
        <v>340</v>
      </c>
      <c r="W80" s="8" t="s">
        <v>99</v>
      </c>
      <c r="X80" s="8">
        <f>SUMIF(Main!G4:O4,Y1,Main!G8:O8)</f>
        <v>1</v>
      </c>
      <c r="Y80" s="8"/>
      <c r="Z80" s="8"/>
    </row>
    <row r="81" spans="1:26" x14ac:dyDescent="0.55000000000000004">
      <c r="A81" s="8" t="s">
        <v>716</v>
      </c>
      <c r="B81" s="25" t="s">
        <v>308</v>
      </c>
      <c r="C81" s="25" t="s">
        <v>308</v>
      </c>
      <c r="D81" s="25" t="s">
        <v>308</v>
      </c>
      <c r="E81" s="25" t="s">
        <v>308</v>
      </c>
      <c r="F81" s="25" t="s">
        <v>308</v>
      </c>
      <c r="G81" s="25" t="s">
        <v>308</v>
      </c>
      <c r="H81" s="25" t="s">
        <v>308</v>
      </c>
      <c r="I81" s="25" t="s">
        <v>308</v>
      </c>
      <c r="J81" s="25" t="s">
        <v>308</v>
      </c>
      <c r="K81" s="8"/>
      <c r="L81" s="10"/>
      <c r="M81" s="8"/>
      <c r="N81" s="8" t="s">
        <v>715</v>
      </c>
      <c r="O81" s="26">
        <v>0</v>
      </c>
      <c r="P81" s="25" t="s">
        <v>308</v>
      </c>
      <c r="Q81" s="25" t="s">
        <v>308</v>
      </c>
      <c r="R81" s="25" t="s">
        <v>308</v>
      </c>
      <c r="S81" s="8"/>
      <c r="T81" s="10"/>
      <c r="U81" s="8"/>
      <c r="V81" s="8"/>
      <c r="W81" s="8"/>
      <c r="X81" s="8"/>
      <c r="Y81" s="8"/>
      <c r="Z81" s="8"/>
    </row>
    <row r="82" spans="1:26" x14ac:dyDescent="0.55000000000000004">
      <c r="A82" s="8" t="s">
        <v>719</v>
      </c>
      <c r="B82" s="25" t="s">
        <v>308</v>
      </c>
      <c r="C82" s="25" t="s">
        <v>308</v>
      </c>
      <c r="D82" s="25" t="s">
        <v>308</v>
      </c>
      <c r="E82" s="25" t="s">
        <v>308</v>
      </c>
      <c r="F82" s="25" t="s">
        <v>308</v>
      </c>
      <c r="G82" s="25" t="s">
        <v>308</v>
      </c>
      <c r="H82" s="25" t="s">
        <v>308</v>
      </c>
      <c r="I82" s="25" t="s">
        <v>308</v>
      </c>
      <c r="J82" s="25" t="s">
        <v>308</v>
      </c>
      <c r="K82" s="8"/>
      <c r="L82" s="10"/>
      <c r="M82" s="8"/>
      <c r="N82" s="8" t="s">
        <v>718</v>
      </c>
      <c r="O82" s="26">
        <v>0</v>
      </c>
      <c r="P82" s="25" t="s">
        <v>308</v>
      </c>
      <c r="Q82" s="25" t="s">
        <v>308</v>
      </c>
      <c r="R82" s="25" t="s">
        <v>308</v>
      </c>
      <c r="S82" s="8"/>
      <c r="T82" s="10"/>
      <c r="U82" s="10"/>
      <c r="V82" s="11" t="s">
        <v>249</v>
      </c>
      <c r="W82" s="10"/>
      <c r="X82" s="10"/>
      <c r="Y82" s="10"/>
      <c r="Z82" s="10"/>
    </row>
    <row r="83" spans="1:26" x14ac:dyDescent="0.55000000000000004">
      <c r="A83" s="8" t="s">
        <v>722</v>
      </c>
      <c r="B83" s="25" t="s">
        <v>308</v>
      </c>
      <c r="C83" s="25" t="s">
        <v>308</v>
      </c>
      <c r="D83" s="25" t="s">
        <v>308</v>
      </c>
      <c r="E83" s="25" t="s">
        <v>308</v>
      </c>
      <c r="F83" s="25" t="s">
        <v>308</v>
      </c>
      <c r="G83" s="25" t="s">
        <v>308</v>
      </c>
      <c r="H83" s="25" t="s">
        <v>308</v>
      </c>
      <c r="I83" s="25" t="s">
        <v>308</v>
      </c>
      <c r="J83" s="25" t="s">
        <v>308</v>
      </c>
      <c r="K83" s="8"/>
      <c r="L83" s="10"/>
      <c r="M83" s="8"/>
      <c r="N83" s="8" t="s">
        <v>721</v>
      </c>
      <c r="O83" s="26">
        <v>0</v>
      </c>
      <c r="P83" s="25" t="s">
        <v>308</v>
      </c>
      <c r="Q83" s="25" t="s">
        <v>308</v>
      </c>
      <c r="R83" s="25" t="s">
        <v>308</v>
      </c>
      <c r="S83" s="8"/>
      <c r="T83" s="10"/>
      <c r="U83" s="8"/>
      <c r="V83" s="8" t="s">
        <v>323</v>
      </c>
      <c r="W83" s="8" t="s">
        <v>12</v>
      </c>
      <c r="X83" s="8">
        <f>SUMIF(Main!G11:O11,'S9'!Y1,Main!G12:O12)</f>
        <v>1</v>
      </c>
      <c r="Y83" s="8"/>
      <c r="Z83" s="8"/>
    </row>
    <row r="84" spans="1:26" x14ac:dyDescent="0.55000000000000004">
      <c r="A84" s="8" t="s">
        <v>725</v>
      </c>
      <c r="B84" s="25" t="s">
        <v>308</v>
      </c>
      <c r="C84" s="25" t="s">
        <v>308</v>
      </c>
      <c r="D84" s="25" t="s">
        <v>308</v>
      </c>
      <c r="E84" s="25" t="s">
        <v>308</v>
      </c>
      <c r="F84" s="25" t="s">
        <v>308</v>
      </c>
      <c r="G84" s="25" t="s">
        <v>308</v>
      </c>
      <c r="H84" s="25" t="s">
        <v>308</v>
      </c>
      <c r="I84" s="25" t="s">
        <v>308</v>
      </c>
      <c r="J84" s="25" t="s">
        <v>308</v>
      </c>
      <c r="K84" s="8"/>
      <c r="L84" s="10"/>
      <c r="M84" s="8"/>
      <c r="N84" s="8" t="s">
        <v>724</v>
      </c>
      <c r="O84" s="26">
        <v>0</v>
      </c>
      <c r="P84" s="25" t="s">
        <v>308</v>
      </c>
      <c r="Q84" s="25" t="s">
        <v>308</v>
      </c>
      <c r="R84" s="25" t="s">
        <v>308</v>
      </c>
      <c r="S84" s="8"/>
      <c r="T84" s="10"/>
      <c r="U84" s="8"/>
      <c r="V84" s="8"/>
      <c r="W84" s="8" t="s">
        <v>20</v>
      </c>
      <c r="X84" s="8">
        <f>SUMIF(Main!G11:O11,'S9'!Y1,Main!G13:O13)</f>
        <v>1</v>
      </c>
      <c r="Y84" s="8"/>
      <c r="Z84" s="8"/>
    </row>
    <row r="85" spans="1:26" x14ac:dyDescent="0.55000000000000004">
      <c r="A85" s="8" t="s">
        <v>728</v>
      </c>
      <c r="B85" s="25" t="s">
        <v>308</v>
      </c>
      <c r="C85" s="25" t="s">
        <v>308</v>
      </c>
      <c r="D85" s="25" t="s">
        <v>308</v>
      </c>
      <c r="E85" s="25" t="s">
        <v>308</v>
      </c>
      <c r="F85" s="25" t="s">
        <v>308</v>
      </c>
      <c r="G85" s="25" t="s">
        <v>308</v>
      </c>
      <c r="H85" s="25" t="s">
        <v>308</v>
      </c>
      <c r="I85" s="25" t="s">
        <v>308</v>
      </c>
      <c r="J85" s="25" t="s">
        <v>308</v>
      </c>
      <c r="K85" s="8"/>
      <c r="L85" s="10"/>
      <c r="M85" s="8"/>
      <c r="N85" s="8" t="s">
        <v>727</v>
      </c>
      <c r="O85" s="26">
        <v>0</v>
      </c>
      <c r="P85" s="25" t="s">
        <v>308</v>
      </c>
      <c r="Q85" s="25" t="s">
        <v>308</v>
      </c>
      <c r="R85" s="25" t="s">
        <v>308</v>
      </c>
      <c r="S85" s="8"/>
      <c r="T85" s="10"/>
      <c r="U85" s="8"/>
      <c r="V85" s="8"/>
      <c r="W85" s="8" t="s">
        <v>28</v>
      </c>
      <c r="X85" s="8">
        <f>SUMIF(Main!G11:O11,'S9'!Y1,Main!G14:O14)</f>
        <v>1</v>
      </c>
      <c r="Y85" s="8"/>
      <c r="Z85" s="8"/>
    </row>
    <row r="86" spans="1:26" x14ac:dyDescent="0.55000000000000004">
      <c r="A86" s="8" t="s">
        <v>731</v>
      </c>
      <c r="B86" s="25" t="s">
        <v>308</v>
      </c>
      <c r="C86" s="25" t="s">
        <v>308</v>
      </c>
      <c r="D86" s="25" t="s">
        <v>308</v>
      </c>
      <c r="E86" s="25" t="s">
        <v>308</v>
      </c>
      <c r="F86" s="25" t="s">
        <v>308</v>
      </c>
      <c r="G86" s="25" t="s">
        <v>308</v>
      </c>
      <c r="H86" s="25" t="s">
        <v>308</v>
      </c>
      <c r="I86" s="25" t="s">
        <v>308</v>
      </c>
      <c r="J86" s="25" t="s">
        <v>308</v>
      </c>
      <c r="K86" s="8"/>
      <c r="L86" s="10"/>
      <c r="M86" s="8"/>
      <c r="N86" s="8" t="s">
        <v>730</v>
      </c>
      <c r="O86" s="26">
        <v>0</v>
      </c>
      <c r="P86" s="25" t="s">
        <v>308</v>
      </c>
      <c r="Q86" s="25" t="s">
        <v>308</v>
      </c>
      <c r="R86" s="25" t="s">
        <v>308</v>
      </c>
      <c r="S86" s="8"/>
      <c r="T86" s="10"/>
      <c r="U86" s="8"/>
      <c r="V86" s="8"/>
      <c r="W86" s="8" t="s">
        <v>36</v>
      </c>
      <c r="X86" s="8">
        <f>SUMIF(Main!G11:O11,'S9'!Y1,Main!G15:O15)</f>
        <v>1</v>
      </c>
      <c r="Y86" s="8"/>
      <c r="Z86" s="8"/>
    </row>
    <row r="87" spans="1:26" x14ac:dyDescent="0.55000000000000004">
      <c r="A87" s="8" t="s">
        <v>734</v>
      </c>
      <c r="B87" s="25" t="s">
        <v>308</v>
      </c>
      <c r="C87" s="25" t="s">
        <v>308</v>
      </c>
      <c r="D87" s="25" t="s">
        <v>308</v>
      </c>
      <c r="E87" s="25" t="s">
        <v>308</v>
      </c>
      <c r="F87" s="25" t="s">
        <v>308</v>
      </c>
      <c r="G87" s="25" t="s">
        <v>308</v>
      </c>
      <c r="H87" s="25" t="s">
        <v>308</v>
      </c>
      <c r="I87" s="25" t="s">
        <v>308</v>
      </c>
      <c r="J87" s="25" t="s">
        <v>308</v>
      </c>
      <c r="K87" s="8"/>
      <c r="L87" s="10"/>
      <c r="M87" s="8"/>
      <c r="N87" s="8" t="s">
        <v>733</v>
      </c>
      <c r="O87" s="26">
        <v>0</v>
      </c>
      <c r="P87" s="25" t="s">
        <v>308</v>
      </c>
      <c r="Q87" s="25" t="s">
        <v>308</v>
      </c>
      <c r="R87" s="25" t="s">
        <v>308</v>
      </c>
      <c r="S87" s="8"/>
      <c r="T87" s="10"/>
      <c r="U87" s="8"/>
      <c r="V87" s="8"/>
      <c r="W87" s="8" t="s">
        <v>44</v>
      </c>
      <c r="X87" s="8">
        <f>SUMIF(Main!G11:O11,'S9'!Y1,Main!G16:O16)</f>
        <v>1</v>
      </c>
      <c r="Y87" s="8"/>
      <c r="Z87" s="8"/>
    </row>
    <row r="88" spans="1:26" x14ac:dyDescent="0.55000000000000004">
      <c r="A88" s="8" t="s">
        <v>202</v>
      </c>
      <c r="B88" s="25" t="s">
        <v>308</v>
      </c>
      <c r="C88" s="25" t="s">
        <v>308</v>
      </c>
      <c r="D88" s="25" t="s">
        <v>308</v>
      </c>
      <c r="E88" s="25" t="s">
        <v>308</v>
      </c>
      <c r="F88" s="25" t="s">
        <v>308</v>
      </c>
      <c r="G88" s="25" t="s">
        <v>308</v>
      </c>
      <c r="H88" s="25" t="s">
        <v>308</v>
      </c>
      <c r="I88" s="25" t="s">
        <v>308</v>
      </c>
      <c r="J88" s="25" t="s">
        <v>308</v>
      </c>
      <c r="K88" s="8"/>
      <c r="L88" s="10"/>
      <c r="M88" s="8"/>
      <c r="N88" s="8" t="s">
        <v>201</v>
      </c>
      <c r="O88" s="26">
        <v>0</v>
      </c>
      <c r="P88" s="25" t="s">
        <v>308</v>
      </c>
      <c r="Q88" s="25" t="s">
        <v>308</v>
      </c>
      <c r="R88" s="25" t="s">
        <v>308</v>
      </c>
      <c r="S88" s="8"/>
      <c r="T88" s="10"/>
      <c r="U88" s="8"/>
      <c r="V88" s="8"/>
      <c r="W88" s="8" t="s">
        <v>49</v>
      </c>
      <c r="X88" s="8">
        <f>SUMIF(Main!G11:O11,'S9'!Y1,Main!G17:O17)</f>
        <v>1</v>
      </c>
      <c r="Y88" s="8"/>
      <c r="Z88" s="8"/>
    </row>
    <row r="89" spans="1:26" x14ac:dyDescent="0.55000000000000004">
      <c r="A89" s="8" t="s">
        <v>738</v>
      </c>
      <c r="B89" s="25" t="s">
        <v>308</v>
      </c>
      <c r="C89" s="25" t="s">
        <v>308</v>
      </c>
      <c r="D89" s="25" t="s">
        <v>308</v>
      </c>
      <c r="E89" s="25" t="s">
        <v>308</v>
      </c>
      <c r="F89" s="25" t="s">
        <v>308</v>
      </c>
      <c r="G89" s="25" t="s">
        <v>308</v>
      </c>
      <c r="H89" s="25" t="s">
        <v>308</v>
      </c>
      <c r="I89" s="25" t="s">
        <v>308</v>
      </c>
      <c r="J89" s="25" t="s">
        <v>308</v>
      </c>
      <c r="K89" s="8"/>
      <c r="L89" s="10"/>
      <c r="M89" s="8"/>
      <c r="N89" s="8" t="s">
        <v>737</v>
      </c>
      <c r="O89" s="26">
        <v>0</v>
      </c>
      <c r="P89" s="25" t="s">
        <v>308</v>
      </c>
      <c r="Q89" s="25" t="s">
        <v>308</v>
      </c>
      <c r="R89" s="25" t="s">
        <v>308</v>
      </c>
      <c r="S89" s="8"/>
      <c r="T89" s="10"/>
      <c r="U89" s="8"/>
      <c r="V89" s="8"/>
      <c r="W89" s="8" t="s">
        <v>57</v>
      </c>
      <c r="X89" s="8">
        <f>SUMIF(Main!G11:O11,'S9'!Y1,Main!G18:O18)</f>
        <v>1</v>
      </c>
      <c r="Y89" s="8"/>
      <c r="Z89" s="8"/>
    </row>
    <row r="90" spans="1:26" x14ac:dyDescent="0.55000000000000004">
      <c r="A90" s="8" t="s">
        <v>204</v>
      </c>
      <c r="B90" s="25" t="s">
        <v>308</v>
      </c>
      <c r="C90" s="25" t="s">
        <v>308</v>
      </c>
      <c r="D90" s="25" t="s">
        <v>308</v>
      </c>
      <c r="E90" s="25" t="s">
        <v>308</v>
      </c>
      <c r="F90" s="25" t="s">
        <v>308</v>
      </c>
      <c r="G90" s="25" t="s">
        <v>308</v>
      </c>
      <c r="H90" s="25" t="s">
        <v>308</v>
      </c>
      <c r="I90" s="25" t="s">
        <v>308</v>
      </c>
      <c r="J90" s="25" t="s">
        <v>308</v>
      </c>
      <c r="K90" s="8"/>
      <c r="L90" s="10"/>
      <c r="M90" s="8"/>
      <c r="N90" s="8" t="s">
        <v>203</v>
      </c>
      <c r="O90" s="26">
        <v>0</v>
      </c>
      <c r="P90" s="25" t="s">
        <v>308</v>
      </c>
      <c r="Q90" s="25" t="s">
        <v>308</v>
      </c>
      <c r="R90" s="25" t="s">
        <v>308</v>
      </c>
      <c r="S90" s="8"/>
      <c r="T90" s="10"/>
      <c r="U90" s="8"/>
      <c r="V90" s="8"/>
      <c r="W90" s="8" t="s">
        <v>65</v>
      </c>
      <c r="X90" s="8">
        <f>SUMIF(Main!G11:O11,'S9'!Y1,Main!G19:O19)</f>
        <v>1</v>
      </c>
      <c r="Y90" s="8"/>
      <c r="Z90" s="8"/>
    </row>
    <row r="91" spans="1:26" x14ac:dyDescent="0.55000000000000004">
      <c r="A91" s="8" t="s">
        <v>742</v>
      </c>
      <c r="B91" s="25" t="s">
        <v>308</v>
      </c>
      <c r="C91" s="25" t="s">
        <v>308</v>
      </c>
      <c r="D91" s="25" t="s">
        <v>308</v>
      </c>
      <c r="E91" s="25" t="s">
        <v>308</v>
      </c>
      <c r="F91" s="25" t="s">
        <v>308</v>
      </c>
      <c r="G91" s="25" t="s">
        <v>308</v>
      </c>
      <c r="H91" s="25" t="s">
        <v>308</v>
      </c>
      <c r="I91" s="25" t="s">
        <v>308</v>
      </c>
      <c r="J91" s="25" t="s">
        <v>308</v>
      </c>
      <c r="K91" s="8"/>
      <c r="L91" s="10"/>
      <c r="M91" s="8"/>
      <c r="N91" s="8" t="s">
        <v>741</v>
      </c>
      <c r="O91" s="26">
        <v>0</v>
      </c>
      <c r="P91" s="25" t="s">
        <v>308</v>
      </c>
      <c r="Q91" s="25" t="s">
        <v>308</v>
      </c>
      <c r="R91" s="25" t="s">
        <v>308</v>
      </c>
      <c r="S91" s="8"/>
      <c r="T91" s="10"/>
      <c r="U91" s="8"/>
      <c r="V91" s="8"/>
      <c r="W91" s="8" t="s">
        <v>573</v>
      </c>
      <c r="X91" s="8">
        <f>SUMIF(Main!G11:O11,'S9'!Y1,Main!G20:O20)</f>
        <v>1</v>
      </c>
      <c r="Y91" s="8"/>
      <c r="Z91" s="8"/>
    </row>
    <row r="92" spans="1:26" x14ac:dyDescent="0.55000000000000004">
      <c r="A92" s="8" t="s">
        <v>745</v>
      </c>
      <c r="B92" s="25" t="s">
        <v>308</v>
      </c>
      <c r="C92" s="25" t="s">
        <v>308</v>
      </c>
      <c r="D92" s="25" t="s">
        <v>308</v>
      </c>
      <c r="E92" s="25" t="s">
        <v>308</v>
      </c>
      <c r="F92" s="25" t="s">
        <v>308</v>
      </c>
      <c r="G92" s="25" t="s">
        <v>308</v>
      </c>
      <c r="H92" s="25" t="s">
        <v>308</v>
      </c>
      <c r="I92" s="25" t="s">
        <v>308</v>
      </c>
      <c r="J92" s="25" t="s">
        <v>308</v>
      </c>
      <c r="K92" s="8"/>
      <c r="L92" s="10"/>
      <c r="M92" s="8"/>
      <c r="N92" s="8" t="s">
        <v>744</v>
      </c>
      <c r="O92" s="26">
        <v>0</v>
      </c>
      <c r="P92" s="25" t="s">
        <v>308</v>
      </c>
      <c r="Q92" s="25" t="s">
        <v>308</v>
      </c>
      <c r="R92" s="25" t="s">
        <v>308</v>
      </c>
      <c r="S92" s="8"/>
      <c r="T92" s="10"/>
      <c r="U92" s="8"/>
      <c r="V92" s="8"/>
      <c r="W92" s="8" t="s">
        <v>580</v>
      </c>
      <c r="X92" s="8">
        <f>SUMIF(Main!G11:O11,'S9'!Y1,Main!G21:O21)</f>
        <v>1</v>
      </c>
      <c r="Y92" s="8"/>
      <c r="Z92" s="8"/>
    </row>
    <row r="93" spans="1:26" x14ac:dyDescent="0.55000000000000004">
      <c r="A93" s="8" t="s">
        <v>748</v>
      </c>
      <c r="B93" s="25" t="s">
        <v>308</v>
      </c>
      <c r="C93" s="25" t="s">
        <v>308</v>
      </c>
      <c r="D93" s="25" t="s">
        <v>308</v>
      </c>
      <c r="E93" s="25" t="s">
        <v>308</v>
      </c>
      <c r="F93" s="25" t="s">
        <v>308</v>
      </c>
      <c r="G93" s="25" t="s">
        <v>308</v>
      </c>
      <c r="H93" s="25" t="s">
        <v>308</v>
      </c>
      <c r="I93" s="25" t="s">
        <v>308</v>
      </c>
      <c r="J93" s="25" t="s">
        <v>308</v>
      </c>
      <c r="K93" s="8"/>
      <c r="L93" s="10"/>
      <c r="M93" s="8"/>
      <c r="N93" s="8" t="s">
        <v>747</v>
      </c>
      <c r="O93" s="26">
        <v>0</v>
      </c>
      <c r="P93" s="25" t="s">
        <v>308</v>
      </c>
      <c r="Q93" s="25" t="s">
        <v>308</v>
      </c>
      <c r="R93" s="25" t="s">
        <v>308</v>
      </c>
      <c r="S93" s="8"/>
      <c r="T93" s="10"/>
      <c r="U93" s="8"/>
      <c r="V93" s="8"/>
      <c r="W93" s="8" t="s">
        <v>586</v>
      </c>
      <c r="X93" s="8">
        <f>SUMIF(Main!G11:O11,'S9'!Y1,Main!G22:O22)</f>
        <v>1</v>
      </c>
      <c r="Y93" s="8"/>
      <c r="Z93" s="8"/>
    </row>
    <row r="94" spans="1:26" x14ac:dyDescent="0.55000000000000004">
      <c r="A94" s="8" t="s">
        <v>751</v>
      </c>
      <c r="B94" s="25" t="s">
        <v>308</v>
      </c>
      <c r="C94" s="25" t="s">
        <v>308</v>
      </c>
      <c r="D94" s="25" t="s">
        <v>308</v>
      </c>
      <c r="E94" s="25" t="s">
        <v>308</v>
      </c>
      <c r="F94" s="25" t="s">
        <v>308</v>
      </c>
      <c r="G94" s="25" t="s">
        <v>308</v>
      </c>
      <c r="H94" s="25" t="s">
        <v>308</v>
      </c>
      <c r="I94" s="25" t="s">
        <v>308</v>
      </c>
      <c r="J94" s="25" t="s">
        <v>308</v>
      </c>
      <c r="K94" s="8"/>
      <c r="L94" s="10"/>
      <c r="M94" s="8"/>
      <c r="N94" s="8" t="s">
        <v>750</v>
      </c>
      <c r="O94" s="26">
        <v>0</v>
      </c>
      <c r="P94" s="25" t="s">
        <v>308</v>
      </c>
      <c r="Q94" s="25" t="s">
        <v>308</v>
      </c>
      <c r="R94" s="25" t="s">
        <v>308</v>
      </c>
      <c r="S94" s="8"/>
      <c r="T94" s="10"/>
      <c r="U94" s="8"/>
      <c r="V94" s="8"/>
      <c r="W94" s="8" t="s">
        <v>590</v>
      </c>
      <c r="X94" s="8">
        <f>SUMIF(Main!G11:O11,'S9'!Y1,Main!G23:O23)</f>
        <v>1</v>
      </c>
      <c r="Y94" s="8"/>
      <c r="Z94" s="8"/>
    </row>
    <row r="95" spans="1:26" x14ac:dyDescent="0.55000000000000004">
      <c r="A95" s="8" t="s">
        <v>754</v>
      </c>
      <c r="B95" s="25" t="s">
        <v>308</v>
      </c>
      <c r="C95" s="25" t="s">
        <v>308</v>
      </c>
      <c r="D95" s="25" t="s">
        <v>308</v>
      </c>
      <c r="E95" s="25" t="s">
        <v>308</v>
      </c>
      <c r="F95" s="25" t="s">
        <v>308</v>
      </c>
      <c r="G95" s="25" t="s">
        <v>308</v>
      </c>
      <c r="H95" s="25" t="s">
        <v>308</v>
      </c>
      <c r="I95" s="25" t="s">
        <v>308</v>
      </c>
      <c r="J95" s="25" t="s">
        <v>308</v>
      </c>
      <c r="K95" s="8"/>
      <c r="L95" s="10"/>
      <c r="M95" s="8"/>
      <c r="N95" s="8" t="s">
        <v>753</v>
      </c>
      <c r="O95" s="26">
        <v>0</v>
      </c>
      <c r="P95" s="25" t="s">
        <v>308</v>
      </c>
      <c r="Q95" s="25" t="s">
        <v>308</v>
      </c>
      <c r="R95" s="25" t="s">
        <v>308</v>
      </c>
      <c r="S95" s="8"/>
      <c r="T95" s="10"/>
      <c r="U95" s="8"/>
      <c r="V95" s="8" t="s">
        <v>251</v>
      </c>
      <c r="W95" s="8" t="s">
        <v>72</v>
      </c>
      <c r="X95" s="8">
        <f>SUMIF(Main!G11:O11,'S9'!Y1,Main!G24:O24)</f>
        <v>1</v>
      </c>
      <c r="Y95" s="8"/>
      <c r="Z95" s="8"/>
    </row>
    <row r="96" spans="1:26" x14ac:dyDescent="0.55000000000000004">
      <c r="A96" s="8" t="s">
        <v>207</v>
      </c>
      <c r="B96" s="25" t="s">
        <v>308</v>
      </c>
      <c r="C96" s="25" t="s">
        <v>308</v>
      </c>
      <c r="D96" s="25" t="s">
        <v>308</v>
      </c>
      <c r="E96" s="25" t="s">
        <v>308</v>
      </c>
      <c r="F96" s="25" t="s">
        <v>308</v>
      </c>
      <c r="G96" s="25" t="s">
        <v>308</v>
      </c>
      <c r="H96" s="25" t="s">
        <v>308</v>
      </c>
      <c r="I96" s="25" t="s">
        <v>308</v>
      </c>
      <c r="J96" s="25" t="s">
        <v>308</v>
      </c>
      <c r="K96" s="8"/>
      <c r="L96" s="10"/>
      <c r="M96" s="8"/>
      <c r="N96" s="8" t="s">
        <v>206</v>
      </c>
      <c r="O96" s="26">
        <v>0</v>
      </c>
      <c r="P96" s="25" t="s">
        <v>308</v>
      </c>
      <c r="Q96" s="25" t="s">
        <v>308</v>
      </c>
      <c r="R96" s="25" t="s">
        <v>308</v>
      </c>
      <c r="S96" s="8"/>
      <c r="T96" s="10"/>
      <c r="U96" s="8"/>
      <c r="V96" s="8" t="s">
        <v>250</v>
      </c>
      <c r="W96" s="8" t="s">
        <v>79</v>
      </c>
      <c r="X96" s="8">
        <f>SUMIF(Main!G11:O11,'S9'!Y1,Main!G25:O25)</f>
        <v>2</v>
      </c>
      <c r="Y96" s="8"/>
      <c r="Z96" s="8"/>
    </row>
    <row r="97" spans="1:26" x14ac:dyDescent="0.55000000000000004">
      <c r="A97" s="8" t="s">
        <v>758</v>
      </c>
      <c r="B97" s="25" t="s">
        <v>308</v>
      </c>
      <c r="C97" s="25" t="s">
        <v>308</v>
      </c>
      <c r="D97" s="25" t="s">
        <v>308</v>
      </c>
      <c r="E97" s="25" t="s">
        <v>308</v>
      </c>
      <c r="F97" s="25" t="s">
        <v>308</v>
      </c>
      <c r="G97" s="25" t="s">
        <v>308</v>
      </c>
      <c r="H97" s="25" t="s">
        <v>308</v>
      </c>
      <c r="I97" s="25" t="s">
        <v>308</v>
      </c>
      <c r="J97" s="25" t="s">
        <v>308</v>
      </c>
      <c r="K97" s="8"/>
      <c r="L97" s="10"/>
      <c r="M97" s="8"/>
      <c r="N97" s="8" t="s">
        <v>757</v>
      </c>
      <c r="O97" s="26">
        <v>0</v>
      </c>
      <c r="P97" s="25" t="s">
        <v>308</v>
      </c>
      <c r="Q97" s="25" t="s">
        <v>308</v>
      </c>
      <c r="R97" s="25" t="s">
        <v>308</v>
      </c>
      <c r="S97" s="8"/>
      <c r="T97" s="10"/>
      <c r="U97" s="8"/>
      <c r="V97" s="8"/>
      <c r="W97" s="8" t="s">
        <v>87</v>
      </c>
      <c r="X97" s="8">
        <f>SUMIF(Main!G11:O11,'S9'!Y1,Main!G26:O26)</f>
        <v>2</v>
      </c>
      <c r="Y97" s="8"/>
      <c r="Z97" s="8"/>
    </row>
    <row r="98" spans="1:26" x14ac:dyDescent="0.55000000000000004">
      <c r="A98" s="8" t="s">
        <v>761</v>
      </c>
      <c r="B98" s="25" t="s">
        <v>308</v>
      </c>
      <c r="C98" s="25" t="s">
        <v>308</v>
      </c>
      <c r="D98" s="25" t="s">
        <v>308</v>
      </c>
      <c r="E98" s="25" t="s">
        <v>308</v>
      </c>
      <c r="F98" s="25" t="s">
        <v>308</v>
      </c>
      <c r="G98" s="25" t="s">
        <v>308</v>
      </c>
      <c r="H98" s="25" t="s">
        <v>308</v>
      </c>
      <c r="I98" s="25" t="s">
        <v>308</v>
      </c>
      <c r="J98" s="25" t="s">
        <v>308</v>
      </c>
      <c r="K98" s="8"/>
      <c r="L98" s="10"/>
      <c r="M98" s="8"/>
      <c r="N98" s="8" t="s">
        <v>760</v>
      </c>
      <c r="O98" s="26">
        <v>0</v>
      </c>
      <c r="P98" s="25" t="s">
        <v>308</v>
      </c>
      <c r="Q98" s="25" t="s">
        <v>308</v>
      </c>
      <c r="R98" s="25" t="s">
        <v>308</v>
      </c>
      <c r="S98" s="8"/>
      <c r="T98" s="10"/>
      <c r="U98" s="8"/>
      <c r="V98" s="8"/>
      <c r="W98" s="8" t="s">
        <v>95</v>
      </c>
      <c r="X98" s="8">
        <f>SUMIF(Main!G11:O11,'S9'!Y1,Main!G27:O27)</f>
        <v>2</v>
      </c>
      <c r="Y98" s="8"/>
      <c r="Z98" s="8"/>
    </row>
    <row r="99" spans="1:26" x14ac:dyDescent="0.55000000000000004">
      <c r="A99" s="8" t="s">
        <v>764</v>
      </c>
      <c r="B99" s="25" t="s">
        <v>308</v>
      </c>
      <c r="C99" s="25" t="s">
        <v>308</v>
      </c>
      <c r="D99" s="25" t="s">
        <v>308</v>
      </c>
      <c r="E99" s="25" t="s">
        <v>308</v>
      </c>
      <c r="F99" s="25" t="s">
        <v>308</v>
      </c>
      <c r="G99" s="25" t="s">
        <v>308</v>
      </c>
      <c r="H99" s="25" t="s">
        <v>308</v>
      </c>
      <c r="I99" s="25" t="s">
        <v>308</v>
      </c>
      <c r="J99" s="25" t="s">
        <v>308</v>
      </c>
      <c r="K99" s="8"/>
      <c r="L99" s="10"/>
      <c r="M99" s="8"/>
      <c r="N99" s="8" t="s">
        <v>763</v>
      </c>
      <c r="O99" s="26">
        <v>0</v>
      </c>
      <c r="P99" s="25" t="s">
        <v>308</v>
      </c>
      <c r="Q99" s="25" t="s">
        <v>308</v>
      </c>
      <c r="R99" s="25" t="s">
        <v>308</v>
      </c>
      <c r="S99" s="8"/>
      <c r="T99" s="10"/>
      <c r="U99" s="8"/>
      <c r="V99" s="8"/>
      <c r="W99" s="8" t="s">
        <v>101</v>
      </c>
      <c r="X99" s="8">
        <f>SUMIF(Main!G11:O11,'S9'!Y1,Main!G28:O28)</f>
        <v>2</v>
      </c>
      <c r="Y99" s="8"/>
      <c r="Z99" s="8"/>
    </row>
    <row r="100" spans="1:26" x14ac:dyDescent="0.55000000000000004">
      <c r="A100" s="8" t="s">
        <v>767</v>
      </c>
      <c r="B100" s="25" t="s">
        <v>308</v>
      </c>
      <c r="C100" s="25" t="s">
        <v>308</v>
      </c>
      <c r="D100" s="25" t="s">
        <v>308</v>
      </c>
      <c r="E100" s="25" t="s">
        <v>308</v>
      </c>
      <c r="F100" s="25" t="s">
        <v>308</v>
      </c>
      <c r="G100" s="25" t="s">
        <v>308</v>
      </c>
      <c r="H100" s="25" t="s">
        <v>308</v>
      </c>
      <c r="I100" s="25" t="s">
        <v>308</v>
      </c>
      <c r="J100" s="25" t="s">
        <v>308</v>
      </c>
      <c r="K100" s="8"/>
      <c r="L100" s="10"/>
      <c r="M100" s="8"/>
      <c r="N100" s="8" t="s">
        <v>766</v>
      </c>
      <c r="O100" s="26">
        <v>0</v>
      </c>
      <c r="P100" s="25" t="s">
        <v>308</v>
      </c>
      <c r="Q100" s="25" t="s">
        <v>308</v>
      </c>
      <c r="R100" s="25" t="s">
        <v>308</v>
      </c>
      <c r="S100" s="8"/>
      <c r="T100" s="10"/>
      <c r="U100" s="8"/>
      <c r="V100" s="8"/>
      <c r="W100" s="8"/>
      <c r="X100" s="8"/>
      <c r="Y100" s="8"/>
      <c r="Z100" s="8"/>
    </row>
    <row r="101" spans="1:26" x14ac:dyDescent="0.55000000000000004">
      <c r="A101" s="8" t="s">
        <v>770</v>
      </c>
      <c r="B101" s="25" t="s">
        <v>308</v>
      </c>
      <c r="C101" s="25" t="s">
        <v>308</v>
      </c>
      <c r="D101" s="25" t="s">
        <v>308</v>
      </c>
      <c r="E101" s="25" t="s">
        <v>308</v>
      </c>
      <c r="F101" s="25" t="s">
        <v>308</v>
      </c>
      <c r="G101" s="25" t="s">
        <v>308</v>
      </c>
      <c r="H101" s="25" t="s">
        <v>308</v>
      </c>
      <c r="I101" s="25" t="s">
        <v>308</v>
      </c>
      <c r="J101" s="25" t="s">
        <v>308</v>
      </c>
      <c r="K101" s="8"/>
      <c r="L101" s="10"/>
      <c r="M101" s="8"/>
      <c r="N101" s="8" t="s">
        <v>769</v>
      </c>
      <c r="O101" s="26">
        <v>0</v>
      </c>
      <c r="P101" s="25" t="s">
        <v>308</v>
      </c>
      <c r="Q101" s="25" t="s">
        <v>308</v>
      </c>
      <c r="R101" s="25" t="s">
        <v>308</v>
      </c>
      <c r="S101" s="8"/>
      <c r="T101" s="10"/>
      <c r="U101" s="8"/>
      <c r="V101" s="8"/>
      <c r="W101" s="8"/>
      <c r="X101" s="8"/>
      <c r="Y101" s="8"/>
      <c r="Z101" s="8"/>
    </row>
    <row r="102" spans="1:26" x14ac:dyDescent="0.55000000000000004">
      <c r="A102" s="8" t="s">
        <v>211</v>
      </c>
      <c r="B102" s="25" t="s">
        <v>308</v>
      </c>
      <c r="C102" s="25" t="s">
        <v>308</v>
      </c>
      <c r="D102" s="25" t="s">
        <v>308</v>
      </c>
      <c r="E102" s="25" t="s">
        <v>308</v>
      </c>
      <c r="F102" s="25" t="s">
        <v>308</v>
      </c>
      <c r="G102" s="25" t="s">
        <v>308</v>
      </c>
      <c r="H102" s="25" t="s">
        <v>308</v>
      </c>
      <c r="I102" s="25" t="s">
        <v>308</v>
      </c>
      <c r="J102" s="25" t="s">
        <v>308</v>
      </c>
      <c r="K102" s="8"/>
      <c r="L102" s="10"/>
      <c r="M102" s="8"/>
      <c r="N102" s="8" t="s">
        <v>210</v>
      </c>
      <c r="O102" s="26">
        <v>0</v>
      </c>
      <c r="P102" s="25" t="s">
        <v>308</v>
      </c>
      <c r="Q102" s="25" t="s">
        <v>308</v>
      </c>
      <c r="R102" s="25" t="s">
        <v>308</v>
      </c>
      <c r="S102" s="8"/>
      <c r="T102" s="10"/>
      <c r="U102" s="8"/>
      <c r="V102" s="8"/>
      <c r="W102" s="8"/>
      <c r="X102" s="8"/>
      <c r="Y102" s="8"/>
      <c r="Z102" s="8"/>
    </row>
    <row r="103" spans="1:26" x14ac:dyDescent="0.55000000000000004">
      <c r="A103" s="8" t="s">
        <v>214</v>
      </c>
      <c r="B103" s="25" t="s">
        <v>308</v>
      </c>
      <c r="C103" s="25" t="s">
        <v>308</v>
      </c>
      <c r="D103" s="25" t="s">
        <v>308</v>
      </c>
      <c r="E103" s="25" t="s">
        <v>308</v>
      </c>
      <c r="F103" s="25" t="s">
        <v>308</v>
      </c>
      <c r="G103" s="25" t="s">
        <v>308</v>
      </c>
      <c r="H103" s="25" t="s">
        <v>308</v>
      </c>
      <c r="I103" s="25" t="s">
        <v>308</v>
      </c>
      <c r="J103" s="25" t="s">
        <v>308</v>
      </c>
      <c r="K103" s="8"/>
      <c r="L103" s="10"/>
      <c r="M103" s="8"/>
      <c r="N103" s="8" t="s">
        <v>213</v>
      </c>
      <c r="O103" s="26">
        <v>0</v>
      </c>
      <c r="P103" s="25" t="s">
        <v>308</v>
      </c>
      <c r="Q103" s="25" t="s">
        <v>308</v>
      </c>
      <c r="R103" s="25" t="s">
        <v>308</v>
      </c>
      <c r="S103" s="8"/>
      <c r="T103" s="10"/>
      <c r="U103" s="8"/>
      <c r="V103" s="8"/>
      <c r="W103" s="8"/>
      <c r="X103" s="8"/>
      <c r="Y103" s="8"/>
      <c r="Z103" s="8"/>
    </row>
    <row r="104" spans="1:26" x14ac:dyDescent="0.55000000000000004">
      <c r="A104" s="8" t="s">
        <v>217</v>
      </c>
      <c r="B104" s="25" t="s">
        <v>308</v>
      </c>
      <c r="C104" s="25" t="s">
        <v>308</v>
      </c>
      <c r="D104" s="25" t="s">
        <v>308</v>
      </c>
      <c r="E104" s="25" t="s">
        <v>308</v>
      </c>
      <c r="F104" s="25" t="s">
        <v>308</v>
      </c>
      <c r="G104" s="25" t="s">
        <v>308</v>
      </c>
      <c r="H104" s="25" t="s">
        <v>308</v>
      </c>
      <c r="I104" s="25" t="s">
        <v>308</v>
      </c>
      <c r="J104" s="25" t="s">
        <v>308</v>
      </c>
      <c r="K104" s="8"/>
      <c r="L104" s="10"/>
      <c r="M104" s="8"/>
      <c r="N104" s="8" t="s">
        <v>216</v>
      </c>
      <c r="O104" s="26">
        <v>0</v>
      </c>
      <c r="P104" s="25" t="s">
        <v>308</v>
      </c>
      <c r="Q104" s="25" t="s">
        <v>308</v>
      </c>
      <c r="R104" s="25" t="s">
        <v>308</v>
      </c>
      <c r="S104" s="8"/>
      <c r="T104" s="10"/>
      <c r="U104" s="8"/>
      <c r="V104" s="8"/>
      <c r="W104" s="8"/>
      <c r="X104" s="8"/>
      <c r="Y104" s="8"/>
      <c r="Z104" s="8"/>
    </row>
    <row r="105" spans="1:26" x14ac:dyDescent="0.55000000000000004">
      <c r="A105" s="8" t="s">
        <v>776</v>
      </c>
      <c r="B105" s="25" t="s">
        <v>308</v>
      </c>
      <c r="C105" s="25" t="s">
        <v>308</v>
      </c>
      <c r="D105" s="25" t="s">
        <v>308</v>
      </c>
      <c r="E105" s="25" t="s">
        <v>308</v>
      </c>
      <c r="F105" s="25" t="s">
        <v>308</v>
      </c>
      <c r="G105" s="25" t="s">
        <v>308</v>
      </c>
      <c r="H105" s="25" t="s">
        <v>308</v>
      </c>
      <c r="I105" s="25" t="s">
        <v>308</v>
      </c>
      <c r="J105" s="25" t="s">
        <v>308</v>
      </c>
      <c r="K105" s="8"/>
      <c r="L105" s="10"/>
      <c r="M105" s="8"/>
      <c r="N105" s="8" t="s">
        <v>775</v>
      </c>
      <c r="O105" s="26">
        <v>0</v>
      </c>
      <c r="P105" s="25" t="s">
        <v>308</v>
      </c>
      <c r="Q105" s="25" t="s">
        <v>308</v>
      </c>
      <c r="R105" s="25" t="s">
        <v>308</v>
      </c>
      <c r="S105" s="8"/>
      <c r="T105" s="10"/>
      <c r="U105" s="8"/>
      <c r="V105" s="8"/>
      <c r="W105" s="8"/>
      <c r="X105" s="8"/>
      <c r="Y105" s="8"/>
      <c r="Z105" s="8"/>
    </row>
    <row r="106" spans="1:26" x14ac:dyDescent="0.55000000000000004">
      <c r="A106" s="8" t="s">
        <v>779</v>
      </c>
      <c r="B106" s="25" t="s">
        <v>308</v>
      </c>
      <c r="C106" s="25" t="s">
        <v>308</v>
      </c>
      <c r="D106" s="25" t="s">
        <v>308</v>
      </c>
      <c r="E106" s="25" t="s">
        <v>308</v>
      </c>
      <c r="F106" s="25" t="s">
        <v>308</v>
      </c>
      <c r="G106" s="25" t="s">
        <v>308</v>
      </c>
      <c r="H106" s="25" t="s">
        <v>308</v>
      </c>
      <c r="I106" s="25" t="s">
        <v>308</v>
      </c>
      <c r="J106" s="25" t="s">
        <v>308</v>
      </c>
      <c r="K106" s="8"/>
      <c r="L106" s="10"/>
      <c r="M106" s="8"/>
      <c r="N106" s="8" t="s">
        <v>778</v>
      </c>
      <c r="O106" s="26">
        <v>0</v>
      </c>
      <c r="P106" s="25" t="s">
        <v>308</v>
      </c>
      <c r="Q106" s="25" t="s">
        <v>308</v>
      </c>
      <c r="R106" s="25" t="s">
        <v>308</v>
      </c>
      <c r="S106" s="8"/>
      <c r="T106" s="10"/>
      <c r="U106" s="8"/>
      <c r="V106" s="8"/>
      <c r="W106" s="8"/>
      <c r="X106" s="8"/>
      <c r="Y106" s="8"/>
      <c r="Z106" s="8"/>
    </row>
    <row r="107" spans="1:26" x14ac:dyDescent="0.55000000000000004">
      <c r="A107" s="8" t="s">
        <v>782</v>
      </c>
      <c r="B107" s="25" t="s">
        <v>308</v>
      </c>
      <c r="C107" s="25" t="s">
        <v>308</v>
      </c>
      <c r="D107" s="25" t="s">
        <v>308</v>
      </c>
      <c r="E107" s="25" t="s">
        <v>308</v>
      </c>
      <c r="F107" s="25" t="s">
        <v>308</v>
      </c>
      <c r="G107" s="25" t="s">
        <v>308</v>
      </c>
      <c r="H107" s="25" t="s">
        <v>308</v>
      </c>
      <c r="I107" s="25" t="s">
        <v>308</v>
      </c>
      <c r="J107" s="25" t="s">
        <v>308</v>
      </c>
      <c r="K107" s="8"/>
      <c r="L107" s="10"/>
      <c r="M107" s="8"/>
      <c r="N107" s="8" t="s">
        <v>781</v>
      </c>
      <c r="O107" s="26">
        <v>0</v>
      </c>
      <c r="P107" s="25" t="s">
        <v>308</v>
      </c>
      <c r="Q107" s="25" t="s">
        <v>308</v>
      </c>
      <c r="R107" s="25" t="s">
        <v>308</v>
      </c>
      <c r="S107" s="8"/>
      <c r="T107" s="10"/>
      <c r="U107" s="8"/>
      <c r="V107" s="8"/>
      <c r="W107" s="8"/>
      <c r="X107" s="8"/>
      <c r="Y107" s="8"/>
      <c r="Z107" s="8"/>
    </row>
    <row r="108" spans="1:26" x14ac:dyDescent="0.55000000000000004">
      <c r="A108" s="8" t="s">
        <v>220</v>
      </c>
      <c r="B108" s="25" t="s">
        <v>308</v>
      </c>
      <c r="C108" s="25" t="s">
        <v>308</v>
      </c>
      <c r="D108" s="25" t="s">
        <v>308</v>
      </c>
      <c r="E108" s="25" t="s">
        <v>308</v>
      </c>
      <c r="F108" s="25" t="s">
        <v>308</v>
      </c>
      <c r="G108" s="25" t="s">
        <v>308</v>
      </c>
      <c r="H108" s="25" t="s">
        <v>308</v>
      </c>
      <c r="I108" s="25" t="s">
        <v>308</v>
      </c>
      <c r="J108" s="25" t="s">
        <v>308</v>
      </c>
      <c r="K108" s="8"/>
      <c r="L108" s="10"/>
      <c r="M108" s="8"/>
      <c r="N108" s="8" t="s">
        <v>219</v>
      </c>
      <c r="O108" s="26">
        <v>0</v>
      </c>
      <c r="P108" s="25" t="s">
        <v>308</v>
      </c>
      <c r="Q108" s="25" t="s">
        <v>308</v>
      </c>
      <c r="R108" s="25" t="s">
        <v>308</v>
      </c>
      <c r="S108" s="8"/>
      <c r="T108" s="10"/>
      <c r="U108" s="8"/>
      <c r="V108" s="8"/>
      <c r="W108" s="8"/>
      <c r="X108" s="8"/>
      <c r="Y108" s="8"/>
      <c r="Z108" s="8"/>
    </row>
    <row r="109" spans="1:26" x14ac:dyDescent="0.55000000000000004">
      <c r="A109" s="8" t="s">
        <v>786</v>
      </c>
      <c r="B109" s="25" t="s">
        <v>308</v>
      </c>
      <c r="C109" s="25" t="s">
        <v>308</v>
      </c>
      <c r="D109" s="25" t="s">
        <v>308</v>
      </c>
      <c r="E109" s="25" t="s">
        <v>308</v>
      </c>
      <c r="F109" s="25" t="s">
        <v>308</v>
      </c>
      <c r="G109" s="25" t="s">
        <v>308</v>
      </c>
      <c r="H109" s="25" t="s">
        <v>308</v>
      </c>
      <c r="I109" s="25" t="s">
        <v>308</v>
      </c>
      <c r="J109" s="25" t="s">
        <v>308</v>
      </c>
      <c r="K109" s="8"/>
      <c r="L109" s="10"/>
      <c r="M109" s="8"/>
      <c r="N109" s="8" t="s">
        <v>785</v>
      </c>
      <c r="O109" s="26">
        <v>0</v>
      </c>
      <c r="P109" s="25" t="s">
        <v>308</v>
      </c>
      <c r="Q109" s="25" t="s">
        <v>308</v>
      </c>
      <c r="R109" s="25" t="s">
        <v>308</v>
      </c>
      <c r="S109" s="8"/>
      <c r="T109" s="10"/>
      <c r="U109" s="8"/>
      <c r="V109" s="8"/>
      <c r="W109" s="8"/>
      <c r="X109" s="8"/>
      <c r="Y109" s="8"/>
      <c r="Z109" s="8"/>
    </row>
    <row r="110" spans="1:26" x14ac:dyDescent="0.55000000000000004">
      <c r="A110" s="8" t="s">
        <v>789</v>
      </c>
      <c r="B110" s="25" t="s">
        <v>308</v>
      </c>
      <c r="C110" s="25" t="s">
        <v>308</v>
      </c>
      <c r="D110" s="25" t="s">
        <v>308</v>
      </c>
      <c r="E110" s="25" t="s">
        <v>308</v>
      </c>
      <c r="F110" s="25" t="s">
        <v>308</v>
      </c>
      <c r="G110" s="25" t="s">
        <v>308</v>
      </c>
      <c r="H110" s="25" t="s">
        <v>308</v>
      </c>
      <c r="I110" s="25" t="s">
        <v>308</v>
      </c>
      <c r="J110" s="25" t="s">
        <v>308</v>
      </c>
      <c r="K110" s="8"/>
      <c r="L110" s="10"/>
      <c r="M110" s="8"/>
      <c r="N110" s="8" t="s">
        <v>788</v>
      </c>
      <c r="O110" s="26">
        <v>0</v>
      </c>
      <c r="P110" s="25" t="s">
        <v>308</v>
      </c>
      <c r="Q110" s="25" t="s">
        <v>308</v>
      </c>
      <c r="R110" s="25" t="s">
        <v>308</v>
      </c>
      <c r="S110" s="8"/>
      <c r="T110" s="10"/>
      <c r="U110" s="8"/>
      <c r="V110" s="8"/>
      <c r="W110" s="8"/>
      <c r="X110" s="8"/>
      <c r="Y110" s="8"/>
      <c r="Z110" s="8"/>
    </row>
    <row r="111" spans="1:26" x14ac:dyDescent="0.5500000000000000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8"/>
      <c r="P111" s="8"/>
      <c r="Q111" s="8"/>
      <c r="R111" s="8"/>
      <c r="S111" s="8"/>
      <c r="T111" s="10"/>
      <c r="U111" s="8"/>
      <c r="V111" s="8"/>
      <c r="W111" s="8"/>
      <c r="X111" s="8"/>
      <c r="Y111" s="8"/>
      <c r="Z111" s="8"/>
    </row>
  </sheetData>
  <sheetProtection sheet="1" objects="1" scenarios="1"/>
  <mergeCells count="4">
    <mergeCell ref="B4:C4"/>
    <mergeCell ref="D4:F4"/>
    <mergeCell ref="G4:I4"/>
    <mergeCell ref="Q4:R4"/>
  </mergeCells>
  <conditionalFormatting sqref="O7:O110">
    <cfRule type="cellIs" dxfId="4" priority="4" operator="equal">
      <formula>0</formula>
    </cfRule>
  </conditionalFormatting>
  <conditionalFormatting sqref="P7:R110">
    <cfRule type="cellIs" dxfId="3" priority="3" operator="equal">
      <formula>"eps"</formula>
    </cfRule>
  </conditionalFormatting>
  <conditionalFormatting sqref="W7:Y23 B7:J110">
    <cfRule type="cellIs" dxfId="2" priority="5" operator="equal">
      <formula>"eps"</formula>
    </cfRule>
  </conditionalFormatting>
  <conditionalFormatting sqref="X28:Y42">
    <cfRule type="cellIs" dxfId="1" priority="1" operator="equal">
      <formula>"eps"</formula>
    </cfRule>
  </conditionalFormatting>
  <conditionalFormatting sqref="Y46:Y54">
    <cfRule type="cellIs" dxfId="0" priority="2" operator="equal">
      <formula>"eps"</formula>
    </cfRule>
  </conditionalFormatting>
  <dataValidations count="1">
    <dataValidation type="whole" allowBlank="1" showInputMessage="1" showErrorMessage="1" errorTitle="Incorrect choice" error="Choose 0 or 1" sqref="X59:Y74 O7:O110" xr:uid="{00000000-0002-0000-0A00-000000000000}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0.249977111117893"/>
  </sheetPr>
  <dimension ref="A1:I87"/>
  <sheetViews>
    <sheetView zoomScale="70" zoomScaleNormal="70" workbookViewId="0">
      <selection activeCell="E42" sqref="E42"/>
    </sheetView>
  </sheetViews>
  <sheetFormatPr defaultRowHeight="14.4" x14ac:dyDescent="0.55000000000000004"/>
  <cols>
    <col min="1" max="4" width="6.7890625" customWidth="1"/>
  </cols>
  <sheetData>
    <row r="1" spans="1:9" ht="18.3" x14ac:dyDescent="0.7">
      <c r="A1" s="3" t="s">
        <v>222</v>
      </c>
      <c r="B1" s="3"/>
      <c r="C1" s="3"/>
      <c r="D1" s="3"/>
    </row>
    <row r="6" spans="1:9" x14ac:dyDescent="0.55000000000000004">
      <c r="H6" t="s">
        <v>223</v>
      </c>
      <c r="I6" t="s">
        <v>224</v>
      </c>
    </row>
    <row r="7" spans="1:9" x14ac:dyDescent="0.55000000000000004">
      <c r="E7" t="s">
        <v>225</v>
      </c>
      <c r="F7" t="s">
        <v>226</v>
      </c>
      <c r="G7" t="s">
        <v>227</v>
      </c>
      <c r="H7">
        <v>1</v>
      </c>
    </row>
    <row r="8" spans="1:9" x14ac:dyDescent="0.55000000000000004">
      <c r="E8" t="s">
        <v>228</v>
      </c>
      <c r="F8" t="s">
        <v>229</v>
      </c>
      <c r="G8" t="s">
        <v>227</v>
      </c>
      <c r="H8">
        <v>1</v>
      </c>
    </row>
    <row r="9" spans="1:9" x14ac:dyDescent="0.55000000000000004">
      <c r="A9" s="4" t="s">
        <v>230</v>
      </c>
      <c r="B9" s="4" t="s">
        <v>231</v>
      </c>
      <c r="C9" s="4" t="s">
        <v>232</v>
      </c>
      <c r="D9" s="4">
        <v>6</v>
      </c>
      <c r="E9" t="s">
        <v>228</v>
      </c>
      <c r="F9" t="str">
        <f>A9&amp;B9</f>
        <v>sim1c</v>
      </c>
      <c r="G9" t="str">
        <f>"s"&amp;MID(A9,4,2)&amp;"!"&amp;C9&amp;D9</f>
        <v>s1!a6</v>
      </c>
      <c r="H9">
        <v>1</v>
      </c>
      <c r="I9">
        <v>1</v>
      </c>
    </row>
    <row r="10" spans="1:9" x14ac:dyDescent="0.55000000000000004">
      <c r="A10" s="5" t="str">
        <f>A9</f>
        <v>sim1</v>
      </c>
      <c r="B10" s="4" t="s">
        <v>232</v>
      </c>
      <c r="C10" s="4" t="s">
        <v>341</v>
      </c>
      <c r="D10" s="4">
        <v>6</v>
      </c>
      <c r="E10" t="s">
        <v>228</v>
      </c>
      <c r="F10" t="str">
        <f t="shared" ref="F10:F16" si="0">A10&amp;B10</f>
        <v>sim1a</v>
      </c>
      <c r="G10" t="str">
        <f t="shared" ref="G10:G16" si="1">"s"&amp;MID(A10,4,2)&amp;"!"&amp;C10&amp;D10</f>
        <v>s1!n6</v>
      </c>
      <c r="H10">
        <v>1</v>
      </c>
      <c r="I10">
        <v>1</v>
      </c>
    </row>
    <row r="11" spans="1:9" x14ac:dyDescent="0.55000000000000004">
      <c r="A11" s="5" t="str">
        <f t="shared" ref="A11:A16" si="2">A10</f>
        <v>sim1</v>
      </c>
      <c r="B11" s="4" t="s">
        <v>233</v>
      </c>
      <c r="C11" s="4" t="s">
        <v>342</v>
      </c>
      <c r="D11" s="4">
        <v>6</v>
      </c>
      <c r="E11" t="s">
        <v>228</v>
      </c>
      <c r="F11" t="str">
        <f t="shared" si="0"/>
        <v>sim1f</v>
      </c>
      <c r="G11" t="str">
        <f t="shared" si="1"/>
        <v>s1!v6</v>
      </c>
      <c r="H11">
        <v>1</v>
      </c>
      <c r="I11">
        <v>1</v>
      </c>
    </row>
    <row r="12" spans="1:9" x14ac:dyDescent="0.55000000000000004">
      <c r="A12" s="5" t="str">
        <f t="shared" si="2"/>
        <v>sim1</v>
      </c>
      <c r="B12" s="4" t="s">
        <v>234</v>
      </c>
      <c r="C12" s="4" t="s">
        <v>331</v>
      </c>
      <c r="D12" s="4">
        <v>46</v>
      </c>
      <c r="E12" t="s">
        <v>228</v>
      </c>
      <c r="F12" t="str">
        <f t="shared" si="0"/>
        <v>sim1s</v>
      </c>
      <c r="G12" t="str">
        <f t="shared" si="1"/>
        <v>s1!x46</v>
      </c>
      <c r="H12">
        <v>1</v>
      </c>
    </row>
    <row r="13" spans="1:9" x14ac:dyDescent="0.55000000000000004">
      <c r="A13" s="5" t="str">
        <f t="shared" si="2"/>
        <v>sim1</v>
      </c>
      <c r="B13" s="4" t="s">
        <v>478</v>
      </c>
      <c r="C13" s="4" t="s">
        <v>343</v>
      </c>
      <c r="D13" s="4">
        <v>27</v>
      </c>
      <c r="E13" t="s">
        <v>228</v>
      </c>
      <c r="F13" t="str">
        <f t="shared" si="0"/>
        <v>sim1h</v>
      </c>
      <c r="G13" t="str">
        <f t="shared" si="1"/>
        <v>s1!w27</v>
      </c>
      <c r="H13">
        <v>1</v>
      </c>
      <c r="I13">
        <v>1</v>
      </c>
    </row>
    <row r="14" spans="1:9" x14ac:dyDescent="0.55000000000000004">
      <c r="A14" s="5" t="str">
        <f>A12</f>
        <v>sim1</v>
      </c>
      <c r="B14" s="4" t="s">
        <v>235</v>
      </c>
      <c r="C14" s="4" t="s">
        <v>343</v>
      </c>
      <c r="D14" s="4">
        <v>77</v>
      </c>
      <c r="E14" t="s">
        <v>228</v>
      </c>
      <c r="F14" t="str">
        <f t="shared" si="0"/>
        <v>sim1mc</v>
      </c>
      <c r="G14" t="str">
        <f t="shared" si="1"/>
        <v>s1!w77</v>
      </c>
      <c r="H14">
        <v>1</v>
      </c>
    </row>
    <row r="15" spans="1:9" x14ac:dyDescent="0.55000000000000004">
      <c r="A15" s="5" t="str">
        <f t="shared" si="2"/>
        <v>sim1</v>
      </c>
      <c r="B15" s="4" t="s">
        <v>236</v>
      </c>
      <c r="C15" s="4" t="s">
        <v>343</v>
      </c>
      <c r="D15" s="4">
        <v>83</v>
      </c>
      <c r="E15" t="s">
        <v>228</v>
      </c>
      <c r="F15" t="str">
        <f t="shared" si="0"/>
        <v>sim1fc</v>
      </c>
      <c r="G15" t="str">
        <f t="shared" si="1"/>
        <v>s1!w83</v>
      </c>
      <c r="H15">
        <v>1</v>
      </c>
    </row>
    <row r="16" spans="1:9" x14ac:dyDescent="0.55000000000000004">
      <c r="A16" s="27" t="str">
        <f t="shared" si="2"/>
        <v>sim1</v>
      </c>
      <c r="B16" s="28" t="s">
        <v>237</v>
      </c>
      <c r="C16" s="28" t="s">
        <v>343</v>
      </c>
      <c r="D16" s="28">
        <v>58</v>
      </c>
      <c r="E16" s="29" t="s">
        <v>228</v>
      </c>
      <c r="F16" s="29" t="str">
        <f t="shared" si="0"/>
        <v>sim1hc</v>
      </c>
      <c r="G16" s="29" t="str">
        <f t="shared" si="1"/>
        <v>s1!w58</v>
      </c>
      <c r="H16" s="29">
        <v>1</v>
      </c>
      <c r="I16" s="29">
        <v>1</v>
      </c>
    </row>
    <row r="17" spans="1:9" x14ac:dyDescent="0.55000000000000004">
      <c r="A17" s="4" t="str">
        <f>"sim"&amp;RIGHT(A9,1)+1</f>
        <v>sim2</v>
      </c>
      <c r="B17" s="5" t="str">
        <f t="shared" ref="B17:D36" si="3">B9</f>
        <v>c</v>
      </c>
      <c r="C17" s="5" t="str">
        <f t="shared" si="3"/>
        <v>a</v>
      </c>
      <c r="D17" s="5">
        <f t="shared" si="3"/>
        <v>6</v>
      </c>
      <c r="E17" t="s">
        <v>228</v>
      </c>
      <c r="F17" t="str">
        <f>A17&amp;B17</f>
        <v>sim2c</v>
      </c>
      <c r="G17" t="str">
        <f t="shared" ref="G17:G52" si="4">"s"&amp;MID(A17,4,2)&amp;"!"&amp;C17&amp;D17</f>
        <v>s2!a6</v>
      </c>
      <c r="H17">
        <v>1</v>
      </c>
      <c r="I17">
        <v>1</v>
      </c>
    </row>
    <row r="18" spans="1:9" x14ac:dyDescent="0.55000000000000004">
      <c r="A18" s="5" t="str">
        <f>A17</f>
        <v>sim2</v>
      </c>
      <c r="B18" s="5" t="str">
        <f t="shared" si="3"/>
        <v>a</v>
      </c>
      <c r="C18" s="5" t="str">
        <f t="shared" si="3"/>
        <v>n</v>
      </c>
      <c r="D18" s="5">
        <f t="shared" si="3"/>
        <v>6</v>
      </c>
      <c r="E18" t="s">
        <v>228</v>
      </c>
      <c r="F18" t="str">
        <f t="shared" ref="F18:F24" si="5">A18&amp;B18</f>
        <v>sim2a</v>
      </c>
      <c r="G18" t="str">
        <f t="shared" si="4"/>
        <v>s2!n6</v>
      </c>
      <c r="H18">
        <v>1</v>
      </c>
      <c r="I18">
        <v>1</v>
      </c>
    </row>
    <row r="19" spans="1:9" x14ac:dyDescent="0.55000000000000004">
      <c r="A19" s="5" t="str">
        <f t="shared" ref="A19:A24" si="6">A18</f>
        <v>sim2</v>
      </c>
      <c r="B19" s="5" t="str">
        <f t="shared" si="3"/>
        <v>f</v>
      </c>
      <c r="C19" s="5" t="str">
        <f t="shared" si="3"/>
        <v>v</v>
      </c>
      <c r="D19" s="5">
        <f t="shared" si="3"/>
        <v>6</v>
      </c>
      <c r="E19" t="s">
        <v>228</v>
      </c>
      <c r="F19" t="str">
        <f t="shared" si="5"/>
        <v>sim2f</v>
      </c>
      <c r="G19" t="str">
        <f t="shared" si="4"/>
        <v>s2!v6</v>
      </c>
      <c r="H19">
        <v>1</v>
      </c>
      <c r="I19">
        <v>1</v>
      </c>
    </row>
    <row r="20" spans="1:9" x14ac:dyDescent="0.55000000000000004">
      <c r="A20" s="5" t="str">
        <f t="shared" si="6"/>
        <v>sim2</v>
      </c>
      <c r="B20" s="5" t="str">
        <f t="shared" si="3"/>
        <v>s</v>
      </c>
      <c r="C20" s="5" t="str">
        <f t="shared" si="3"/>
        <v>x</v>
      </c>
      <c r="D20" s="5">
        <f t="shared" si="3"/>
        <v>46</v>
      </c>
      <c r="E20" t="s">
        <v>228</v>
      </c>
      <c r="F20" t="str">
        <f t="shared" si="5"/>
        <v>sim2s</v>
      </c>
      <c r="G20" t="str">
        <f t="shared" si="4"/>
        <v>s2!x46</v>
      </c>
      <c r="H20">
        <v>1</v>
      </c>
    </row>
    <row r="21" spans="1:9" x14ac:dyDescent="0.55000000000000004">
      <c r="A21" s="5" t="str">
        <f t="shared" si="6"/>
        <v>sim2</v>
      </c>
      <c r="B21" s="5" t="str">
        <f t="shared" si="3"/>
        <v>h</v>
      </c>
      <c r="C21" s="5" t="str">
        <f t="shared" si="3"/>
        <v>w</v>
      </c>
      <c r="D21" s="5">
        <f t="shared" si="3"/>
        <v>27</v>
      </c>
      <c r="E21" t="s">
        <v>228</v>
      </c>
      <c r="F21" t="str">
        <f t="shared" si="5"/>
        <v>sim2h</v>
      </c>
      <c r="G21" t="str">
        <f t="shared" si="4"/>
        <v>s2!w27</v>
      </c>
      <c r="H21">
        <v>1</v>
      </c>
      <c r="I21">
        <v>1</v>
      </c>
    </row>
    <row r="22" spans="1:9" x14ac:dyDescent="0.55000000000000004">
      <c r="A22" s="5" t="str">
        <f>A20</f>
        <v>sim2</v>
      </c>
      <c r="B22" s="5" t="str">
        <f t="shared" si="3"/>
        <v>mc</v>
      </c>
      <c r="C22" s="5" t="str">
        <f t="shared" si="3"/>
        <v>w</v>
      </c>
      <c r="D22" s="5">
        <f t="shared" si="3"/>
        <v>77</v>
      </c>
      <c r="E22" t="s">
        <v>228</v>
      </c>
      <c r="F22" t="str">
        <f t="shared" si="5"/>
        <v>sim2mc</v>
      </c>
      <c r="G22" t="str">
        <f t="shared" si="4"/>
        <v>s2!w77</v>
      </c>
      <c r="H22">
        <v>1</v>
      </c>
    </row>
    <row r="23" spans="1:9" x14ac:dyDescent="0.55000000000000004">
      <c r="A23" s="5" t="str">
        <f t="shared" si="6"/>
        <v>sim2</v>
      </c>
      <c r="B23" s="5" t="str">
        <f t="shared" si="3"/>
        <v>fc</v>
      </c>
      <c r="C23" s="5" t="str">
        <f t="shared" si="3"/>
        <v>w</v>
      </c>
      <c r="D23" s="5">
        <f t="shared" si="3"/>
        <v>83</v>
      </c>
      <c r="E23" t="s">
        <v>228</v>
      </c>
      <c r="F23" t="str">
        <f t="shared" si="5"/>
        <v>sim2fc</v>
      </c>
      <c r="G23" t="str">
        <f t="shared" si="4"/>
        <v>s2!w83</v>
      </c>
      <c r="H23">
        <v>1</v>
      </c>
    </row>
    <row r="24" spans="1:9" x14ac:dyDescent="0.55000000000000004">
      <c r="A24" s="5" t="str">
        <f t="shared" si="6"/>
        <v>sim2</v>
      </c>
      <c r="B24" s="5" t="str">
        <f t="shared" si="3"/>
        <v>hc</v>
      </c>
      <c r="C24" s="5" t="str">
        <f t="shared" si="3"/>
        <v>w</v>
      </c>
      <c r="D24" s="5">
        <f t="shared" si="3"/>
        <v>58</v>
      </c>
      <c r="E24" t="s">
        <v>228</v>
      </c>
      <c r="F24" t="str">
        <f t="shared" si="5"/>
        <v>sim2hc</v>
      </c>
      <c r="G24" t="str">
        <f t="shared" si="4"/>
        <v>s2!w58</v>
      </c>
      <c r="H24">
        <v>1</v>
      </c>
      <c r="I24">
        <v>1</v>
      </c>
    </row>
    <row r="25" spans="1:9" x14ac:dyDescent="0.55000000000000004">
      <c r="A25" s="4" t="str">
        <f>"sim"&amp;RIGHT(A17,1)+1</f>
        <v>sim3</v>
      </c>
      <c r="B25" s="5" t="str">
        <f t="shared" si="3"/>
        <v>c</v>
      </c>
      <c r="C25" s="5" t="str">
        <f t="shared" si="3"/>
        <v>a</v>
      </c>
      <c r="D25" s="5">
        <f t="shared" si="3"/>
        <v>6</v>
      </c>
      <c r="E25" t="s">
        <v>228</v>
      </c>
      <c r="F25" t="str">
        <f>A25&amp;B25</f>
        <v>sim3c</v>
      </c>
      <c r="G25" t="str">
        <f t="shared" si="4"/>
        <v>s3!a6</v>
      </c>
      <c r="H25">
        <v>1</v>
      </c>
      <c r="I25">
        <v>1</v>
      </c>
    </row>
    <row r="26" spans="1:9" x14ac:dyDescent="0.55000000000000004">
      <c r="A26" s="5" t="str">
        <f>A25</f>
        <v>sim3</v>
      </c>
      <c r="B26" s="5" t="str">
        <f t="shared" si="3"/>
        <v>a</v>
      </c>
      <c r="C26" s="5" t="str">
        <f t="shared" si="3"/>
        <v>n</v>
      </c>
      <c r="D26" s="5">
        <f t="shared" si="3"/>
        <v>6</v>
      </c>
      <c r="E26" t="s">
        <v>228</v>
      </c>
      <c r="F26" t="str">
        <f t="shared" ref="F26:F32" si="7">A26&amp;B26</f>
        <v>sim3a</v>
      </c>
      <c r="G26" t="str">
        <f t="shared" si="4"/>
        <v>s3!n6</v>
      </c>
      <c r="H26">
        <v>1</v>
      </c>
      <c r="I26">
        <v>1</v>
      </c>
    </row>
    <row r="27" spans="1:9" x14ac:dyDescent="0.55000000000000004">
      <c r="A27" s="5" t="str">
        <f t="shared" ref="A27:A32" si="8">A26</f>
        <v>sim3</v>
      </c>
      <c r="B27" s="5" t="str">
        <f t="shared" si="3"/>
        <v>f</v>
      </c>
      <c r="C27" s="5" t="str">
        <f t="shared" si="3"/>
        <v>v</v>
      </c>
      <c r="D27" s="5">
        <f t="shared" si="3"/>
        <v>6</v>
      </c>
      <c r="E27" t="s">
        <v>228</v>
      </c>
      <c r="F27" t="str">
        <f t="shared" si="7"/>
        <v>sim3f</v>
      </c>
      <c r="G27" t="str">
        <f t="shared" si="4"/>
        <v>s3!v6</v>
      </c>
      <c r="H27">
        <v>1</v>
      </c>
      <c r="I27">
        <v>1</v>
      </c>
    </row>
    <row r="28" spans="1:9" x14ac:dyDescent="0.55000000000000004">
      <c r="A28" s="5" t="str">
        <f t="shared" si="8"/>
        <v>sim3</v>
      </c>
      <c r="B28" s="5" t="str">
        <f t="shared" si="3"/>
        <v>s</v>
      </c>
      <c r="C28" s="5" t="str">
        <f t="shared" si="3"/>
        <v>x</v>
      </c>
      <c r="D28" s="5">
        <f t="shared" si="3"/>
        <v>46</v>
      </c>
      <c r="E28" t="s">
        <v>228</v>
      </c>
      <c r="F28" t="str">
        <f t="shared" si="7"/>
        <v>sim3s</v>
      </c>
      <c r="G28" t="str">
        <f t="shared" si="4"/>
        <v>s3!x46</v>
      </c>
      <c r="H28">
        <v>1</v>
      </c>
    </row>
    <row r="29" spans="1:9" x14ac:dyDescent="0.55000000000000004">
      <c r="A29" s="5" t="str">
        <f t="shared" si="8"/>
        <v>sim3</v>
      </c>
      <c r="B29" s="5" t="str">
        <f t="shared" si="3"/>
        <v>h</v>
      </c>
      <c r="C29" s="5" t="str">
        <f t="shared" si="3"/>
        <v>w</v>
      </c>
      <c r="D29" s="5">
        <f t="shared" si="3"/>
        <v>27</v>
      </c>
      <c r="E29" t="s">
        <v>228</v>
      </c>
      <c r="F29" t="str">
        <f t="shared" si="7"/>
        <v>sim3h</v>
      </c>
      <c r="G29" t="str">
        <f t="shared" ref="G29" si="9">"s"&amp;MID(A29,4,2)&amp;"!"&amp;C29&amp;D29</f>
        <v>s3!w27</v>
      </c>
      <c r="H29">
        <v>1</v>
      </c>
      <c r="I29">
        <v>1</v>
      </c>
    </row>
    <row r="30" spans="1:9" x14ac:dyDescent="0.55000000000000004">
      <c r="A30" s="5" t="str">
        <f>A28</f>
        <v>sim3</v>
      </c>
      <c r="B30" s="5" t="str">
        <f t="shared" si="3"/>
        <v>mc</v>
      </c>
      <c r="C30" s="5" t="str">
        <f t="shared" si="3"/>
        <v>w</v>
      </c>
      <c r="D30" s="5">
        <f t="shared" si="3"/>
        <v>77</v>
      </c>
      <c r="E30" t="s">
        <v>228</v>
      </c>
      <c r="F30" t="str">
        <f t="shared" si="7"/>
        <v>sim3mc</v>
      </c>
      <c r="G30" t="str">
        <f t="shared" si="4"/>
        <v>s3!w77</v>
      </c>
      <c r="H30">
        <v>1</v>
      </c>
    </row>
    <row r="31" spans="1:9" x14ac:dyDescent="0.55000000000000004">
      <c r="A31" s="5" t="str">
        <f t="shared" si="8"/>
        <v>sim3</v>
      </c>
      <c r="B31" s="5" t="str">
        <f t="shared" si="3"/>
        <v>fc</v>
      </c>
      <c r="C31" s="5" t="str">
        <f t="shared" si="3"/>
        <v>w</v>
      </c>
      <c r="D31" s="5">
        <f t="shared" si="3"/>
        <v>83</v>
      </c>
      <c r="E31" t="s">
        <v>228</v>
      </c>
      <c r="F31" t="str">
        <f t="shared" si="7"/>
        <v>sim3fc</v>
      </c>
      <c r="G31" t="str">
        <f t="shared" si="4"/>
        <v>s3!w83</v>
      </c>
      <c r="H31">
        <v>1</v>
      </c>
    </row>
    <row r="32" spans="1:9" x14ac:dyDescent="0.55000000000000004">
      <c r="A32" s="5" t="str">
        <f t="shared" si="8"/>
        <v>sim3</v>
      </c>
      <c r="B32" s="5" t="str">
        <f t="shared" si="3"/>
        <v>hc</v>
      </c>
      <c r="C32" s="5" t="str">
        <f t="shared" si="3"/>
        <v>w</v>
      </c>
      <c r="D32" s="5">
        <f t="shared" si="3"/>
        <v>58</v>
      </c>
      <c r="E32" t="s">
        <v>228</v>
      </c>
      <c r="F32" t="str">
        <f t="shared" si="7"/>
        <v>sim3hc</v>
      </c>
      <c r="G32" t="str">
        <f t="shared" si="4"/>
        <v>s3!w58</v>
      </c>
      <c r="H32">
        <v>1</v>
      </c>
      <c r="I32">
        <v>1</v>
      </c>
    </row>
    <row r="33" spans="1:9" x14ac:dyDescent="0.55000000000000004">
      <c r="A33" s="4" t="str">
        <f>"sim"&amp;RIGHT(A25,1)+1</f>
        <v>sim4</v>
      </c>
      <c r="B33" s="5" t="str">
        <f t="shared" si="3"/>
        <v>c</v>
      </c>
      <c r="C33" s="5" t="str">
        <f t="shared" si="3"/>
        <v>a</v>
      </c>
      <c r="D33" s="5">
        <f t="shared" si="3"/>
        <v>6</v>
      </c>
      <c r="E33" t="s">
        <v>228</v>
      </c>
      <c r="F33" t="str">
        <f>A33&amp;B33</f>
        <v>sim4c</v>
      </c>
      <c r="G33" t="str">
        <f t="shared" si="4"/>
        <v>s4!a6</v>
      </c>
      <c r="H33">
        <v>1</v>
      </c>
      <c r="I33">
        <v>1</v>
      </c>
    </row>
    <row r="34" spans="1:9" x14ac:dyDescent="0.55000000000000004">
      <c r="A34" s="5" t="str">
        <f>A33</f>
        <v>sim4</v>
      </c>
      <c r="B34" s="5" t="str">
        <f t="shared" si="3"/>
        <v>a</v>
      </c>
      <c r="C34" s="5" t="str">
        <f t="shared" si="3"/>
        <v>n</v>
      </c>
      <c r="D34" s="5">
        <f t="shared" si="3"/>
        <v>6</v>
      </c>
      <c r="E34" t="s">
        <v>228</v>
      </c>
      <c r="F34" t="str">
        <f t="shared" ref="F34:F40" si="10">A34&amp;B34</f>
        <v>sim4a</v>
      </c>
      <c r="G34" t="str">
        <f t="shared" si="4"/>
        <v>s4!n6</v>
      </c>
      <c r="H34">
        <v>1</v>
      </c>
      <c r="I34">
        <v>1</v>
      </c>
    </row>
    <row r="35" spans="1:9" x14ac:dyDescent="0.55000000000000004">
      <c r="A35" s="5" t="str">
        <f t="shared" ref="A35:A40" si="11">A34</f>
        <v>sim4</v>
      </c>
      <c r="B35" s="5" t="str">
        <f t="shared" si="3"/>
        <v>f</v>
      </c>
      <c r="C35" s="5" t="str">
        <f t="shared" si="3"/>
        <v>v</v>
      </c>
      <c r="D35" s="5">
        <f t="shared" si="3"/>
        <v>6</v>
      </c>
      <c r="E35" t="s">
        <v>228</v>
      </c>
      <c r="F35" t="str">
        <f t="shared" si="10"/>
        <v>sim4f</v>
      </c>
      <c r="G35" t="str">
        <f t="shared" si="4"/>
        <v>s4!v6</v>
      </c>
      <c r="H35">
        <v>1</v>
      </c>
      <c r="I35">
        <v>1</v>
      </c>
    </row>
    <row r="36" spans="1:9" x14ac:dyDescent="0.55000000000000004">
      <c r="A36" s="5" t="str">
        <f t="shared" si="11"/>
        <v>sim4</v>
      </c>
      <c r="B36" s="5" t="str">
        <f t="shared" si="3"/>
        <v>s</v>
      </c>
      <c r="C36" s="5" t="str">
        <f t="shared" si="3"/>
        <v>x</v>
      </c>
      <c r="D36" s="5">
        <f t="shared" si="3"/>
        <v>46</v>
      </c>
      <c r="E36" t="s">
        <v>228</v>
      </c>
      <c r="F36" t="str">
        <f t="shared" si="10"/>
        <v>sim4s</v>
      </c>
      <c r="G36" t="str">
        <f t="shared" si="4"/>
        <v>s4!x46</v>
      </c>
      <c r="H36">
        <v>1</v>
      </c>
    </row>
    <row r="37" spans="1:9" x14ac:dyDescent="0.55000000000000004">
      <c r="A37" s="5" t="str">
        <f t="shared" si="11"/>
        <v>sim4</v>
      </c>
      <c r="B37" s="5" t="str">
        <f t="shared" ref="B37:D53" si="12">B29</f>
        <v>h</v>
      </c>
      <c r="C37" s="5" t="str">
        <f t="shared" si="12"/>
        <v>w</v>
      </c>
      <c r="D37" s="5">
        <f t="shared" si="12"/>
        <v>27</v>
      </c>
      <c r="E37" t="s">
        <v>228</v>
      </c>
      <c r="F37" t="str">
        <f t="shared" si="10"/>
        <v>sim4h</v>
      </c>
      <c r="G37" t="str">
        <f t="shared" ref="G37" si="13">"s"&amp;MID(A37,4,2)&amp;"!"&amp;C37&amp;D37</f>
        <v>s4!w27</v>
      </c>
      <c r="H37">
        <v>1</v>
      </c>
      <c r="I37">
        <v>1</v>
      </c>
    </row>
    <row r="38" spans="1:9" x14ac:dyDescent="0.55000000000000004">
      <c r="A38" s="5" t="str">
        <f>A36</f>
        <v>sim4</v>
      </c>
      <c r="B38" s="5" t="str">
        <f t="shared" si="12"/>
        <v>mc</v>
      </c>
      <c r="C38" s="5" t="str">
        <f t="shared" si="12"/>
        <v>w</v>
      </c>
      <c r="D38" s="5">
        <f t="shared" si="12"/>
        <v>77</v>
      </c>
      <c r="E38" t="s">
        <v>228</v>
      </c>
      <c r="F38" t="str">
        <f t="shared" si="10"/>
        <v>sim4mc</v>
      </c>
      <c r="G38" t="str">
        <f t="shared" si="4"/>
        <v>s4!w77</v>
      </c>
      <c r="H38">
        <v>1</v>
      </c>
    </row>
    <row r="39" spans="1:9" x14ac:dyDescent="0.55000000000000004">
      <c r="A39" s="5" t="str">
        <f t="shared" si="11"/>
        <v>sim4</v>
      </c>
      <c r="B39" s="5" t="str">
        <f t="shared" si="12"/>
        <v>fc</v>
      </c>
      <c r="C39" s="5" t="str">
        <f t="shared" si="12"/>
        <v>w</v>
      </c>
      <c r="D39" s="5">
        <f t="shared" si="12"/>
        <v>83</v>
      </c>
      <c r="E39" t="s">
        <v>228</v>
      </c>
      <c r="F39" t="str">
        <f t="shared" si="10"/>
        <v>sim4fc</v>
      </c>
      <c r="G39" t="str">
        <f t="shared" si="4"/>
        <v>s4!w83</v>
      </c>
      <c r="H39">
        <v>1</v>
      </c>
    </row>
    <row r="40" spans="1:9" x14ac:dyDescent="0.55000000000000004">
      <c r="A40" s="5" t="str">
        <f t="shared" si="11"/>
        <v>sim4</v>
      </c>
      <c r="B40" s="5" t="str">
        <f t="shared" si="12"/>
        <v>hc</v>
      </c>
      <c r="C40" s="5" t="str">
        <f t="shared" si="12"/>
        <v>w</v>
      </c>
      <c r="D40" s="5">
        <f t="shared" si="12"/>
        <v>58</v>
      </c>
      <c r="E40" t="s">
        <v>228</v>
      </c>
      <c r="F40" t="str">
        <f t="shared" si="10"/>
        <v>sim4hc</v>
      </c>
      <c r="G40" t="str">
        <f t="shared" si="4"/>
        <v>s4!w58</v>
      </c>
      <c r="H40">
        <v>1</v>
      </c>
      <c r="I40">
        <v>1</v>
      </c>
    </row>
    <row r="41" spans="1:9" x14ac:dyDescent="0.55000000000000004">
      <c r="A41" s="4" t="str">
        <f>"sim"&amp;RIGHT(A33,1)+1</f>
        <v>sim5</v>
      </c>
      <c r="B41" s="5" t="str">
        <f t="shared" si="12"/>
        <v>c</v>
      </c>
      <c r="C41" s="5" t="str">
        <f t="shared" si="12"/>
        <v>a</v>
      </c>
      <c r="D41" s="5">
        <f t="shared" si="12"/>
        <v>6</v>
      </c>
      <c r="E41" t="s">
        <v>228</v>
      </c>
      <c r="F41" t="str">
        <f>A41&amp;B41</f>
        <v>sim5c</v>
      </c>
      <c r="G41" t="str">
        <f t="shared" si="4"/>
        <v>s5!a6</v>
      </c>
      <c r="H41">
        <v>1</v>
      </c>
      <c r="I41">
        <v>1</v>
      </c>
    </row>
    <row r="42" spans="1:9" x14ac:dyDescent="0.55000000000000004">
      <c r="A42" s="5" t="str">
        <f>A41</f>
        <v>sim5</v>
      </c>
      <c r="B42" s="5" t="str">
        <f t="shared" si="12"/>
        <v>a</v>
      </c>
      <c r="C42" s="5" t="str">
        <f t="shared" si="12"/>
        <v>n</v>
      </c>
      <c r="D42" s="5">
        <f t="shared" si="12"/>
        <v>6</v>
      </c>
      <c r="E42" t="s">
        <v>228</v>
      </c>
      <c r="F42" t="str">
        <f t="shared" ref="F42:F48" si="14">A42&amp;B42</f>
        <v>sim5a</v>
      </c>
      <c r="G42" t="str">
        <f t="shared" si="4"/>
        <v>s5!n6</v>
      </c>
      <c r="H42">
        <v>1</v>
      </c>
      <c r="I42">
        <v>1</v>
      </c>
    </row>
    <row r="43" spans="1:9" x14ac:dyDescent="0.55000000000000004">
      <c r="A43" s="5" t="str">
        <f t="shared" ref="A43:A48" si="15">A42</f>
        <v>sim5</v>
      </c>
      <c r="B43" s="5" t="str">
        <f t="shared" si="12"/>
        <v>f</v>
      </c>
      <c r="C43" s="5" t="str">
        <f t="shared" si="12"/>
        <v>v</v>
      </c>
      <c r="D43" s="5">
        <f t="shared" si="12"/>
        <v>6</v>
      </c>
      <c r="E43" t="s">
        <v>228</v>
      </c>
      <c r="F43" t="str">
        <f t="shared" si="14"/>
        <v>sim5f</v>
      </c>
      <c r="G43" t="str">
        <f t="shared" si="4"/>
        <v>s5!v6</v>
      </c>
      <c r="H43">
        <v>1</v>
      </c>
      <c r="I43">
        <v>1</v>
      </c>
    </row>
    <row r="44" spans="1:9" x14ac:dyDescent="0.55000000000000004">
      <c r="A44" s="5" t="str">
        <f t="shared" si="15"/>
        <v>sim5</v>
      </c>
      <c r="B44" s="5" t="str">
        <f t="shared" si="12"/>
        <v>s</v>
      </c>
      <c r="C44" s="5" t="str">
        <f t="shared" si="12"/>
        <v>x</v>
      </c>
      <c r="D44" s="5">
        <f t="shared" si="12"/>
        <v>46</v>
      </c>
      <c r="E44" t="s">
        <v>228</v>
      </c>
      <c r="F44" t="str">
        <f t="shared" si="14"/>
        <v>sim5s</v>
      </c>
      <c r="G44" t="str">
        <f t="shared" si="4"/>
        <v>s5!x46</v>
      </c>
      <c r="H44">
        <v>1</v>
      </c>
    </row>
    <row r="45" spans="1:9" x14ac:dyDescent="0.55000000000000004">
      <c r="A45" s="5" t="str">
        <f t="shared" si="15"/>
        <v>sim5</v>
      </c>
      <c r="B45" s="5" t="str">
        <f t="shared" si="12"/>
        <v>h</v>
      </c>
      <c r="C45" s="5" t="str">
        <f t="shared" si="12"/>
        <v>w</v>
      </c>
      <c r="D45" s="5">
        <f t="shared" si="12"/>
        <v>27</v>
      </c>
      <c r="E45" t="s">
        <v>228</v>
      </c>
      <c r="F45" t="str">
        <f t="shared" si="14"/>
        <v>sim5h</v>
      </c>
      <c r="G45" t="str">
        <f t="shared" ref="G45" si="16">"s"&amp;MID(A45,4,2)&amp;"!"&amp;C45&amp;D45</f>
        <v>s5!w27</v>
      </c>
      <c r="H45">
        <v>1</v>
      </c>
      <c r="I45">
        <v>1</v>
      </c>
    </row>
    <row r="46" spans="1:9" x14ac:dyDescent="0.55000000000000004">
      <c r="A46" s="5" t="str">
        <f>A44</f>
        <v>sim5</v>
      </c>
      <c r="B46" s="5" t="str">
        <f t="shared" si="12"/>
        <v>mc</v>
      </c>
      <c r="C46" s="5" t="str">
        <f t="shared" si="12"/>
        <v>w</v>
      </c>
      <c r="D46" s="5">
        <f t="shared" si="12"/>
        <v>77</v>
      </c>
      <c r="E46" t="s">
        <v>228</v>
      </c>
      <c r="F46" t="str">
        <f t="shared" si="14"/>
        <v>sim5mc</v>
      </c>
      <c r="G46" t="str">
        <f t="shared" si="4"/>
        <v>s5!w77</v>
      </c>
      <c r="H46">
        <v>1</v>
      </c>
    </row>
    <row r="47" spans="1:9" x14ac:dyDescent="0.55000000000000004">
      <c r="A47" s="5" t="str">
        <f t="shared" si="15"/>
        <v>sim5</v>
      </c>
      <c r="B47" s="5" t="str">
        <f t="shared" si="12"/>
        <v>fc</v>
      </c>
      <c r="C47" s="5" t="str">
        <f t="shared" si="12"/>
        <v>w</v>
      </c>
      <c r="D47" s="5">
        <f t="shared" si="12"/>
        <v>83</v>
      </c>
      <c r="E47" t="s">
        <v>228</v>
      </c>
      <c r="F47" t="str">
        <f t="shared" si="14"/>
        <v>sim5fc</v>
      </c>
      <c r="G47" t="str">
        <f t="shared" si="4"/>
        <v>s5!w83</v>
      </c>
      <c r="H47">
        <v>1</v>
      </c>
    </row>
    <row r="48" spans="1:9" x14ac:dyDescent="0.55000000000000004">
      <c r="A48" s="5" t="str">
        <f t="shared" si="15"/>
        <v>sim5</v>
      </c>
      <c r="B48" s="5" t="str">
        <f t="shared" si="12"/>
        <v>hc</v>
      </c>
      <c r="C48" s="5" t="str">
        <f t="shared" si="12"/>
        <v>w</v>
      </c>
      <c r="D48" s="5">
        <f t="shared" si="12"/>
        <v>58</v>
      </c>
      <c r="E48" t="s">
        <v>228</v>
      </c>
      <c r="F48" t="str">
        <f t="shared" si="14"/>
        <v>sim5hc</v>
      </c>
      <c r="G48" t="str">
        <f t="shared" si="4"/>
        <v>s5!w58</v>
      </c>
      <c r="H48">
        <v>1</v>
      </c>
      <c r="I48">
        <v>1</v>
      </c>
    </row>
    <row r="49" spans="1:9" x14ac:dyDescent="0.55000000000000004">
      <c r="A49" s="4" t="str">
        <f>"sim"&amp;RIGHT(A41,1)+1</f>
        <v>sim6</v>
      </c>
      <c r="B49" s="5" t="str">
        <f t="shared" si="12"/>
        <v>c</v>
      </c>
      <c r="C49" s="5" t="str">
        <f t="shared" si="12"/>
        <v>a</v>
      </c>
      <c r="D49" s="5">
        <f t="shared" si="12"/>
        <v>6</v>
      </c>
      <c r="E49" t="s">
        <v>228</v>
      </c>
      <c r="F49" t="str">
        <f>A49&amp;B49</f>
        <v>sim6c</v>
      </c>
      <c r="G49" t="str">
        <f t="shared" si="4"/>
        <v>s6!a6</v>
      </c>
      <c r="H49">
        <v>1</v>
      </c>
      <c r="I49">
        <v>1</v>
      </c>
    </row>
    <row r="50" spans="1:9" x14ac:dyDescent="0.55000000000000004">
      <c r="A50" s="5" t="str">
        <f>A49</f>
        <v>sim6</v>
      </c>
      <c r="B50" s="5" t="str">
        <f t="shared" si="12"/>
        <v>a</v>
      </c>
      <c r="C50" s="5" t="str">
        <f t="shared" si="12"/>
        <v>n</v>
      </c>
      <c r="D50" s="5">
        <f t="shared" si="12"/>
        <v>6</v>
      </c>
      <c r="E50" t="s">
        <v>228</v>
      </c>
      <c r="F50" t="str">
        <f t="shared" ref="F50:F56" si="17">A50&amp;B50</f>
        <v>sim6a</v>
      </c>
      <c r="G50" t="str">
        <f t="shared" si="4"/>
        <v>s6!n6</v>
      </c>
      <c r="H50">
        <v>1</v>
      </c>
      <c r="I50">
        <v>1</v>
      </c>
    </row>
    <row r="51" spans="1:9" x14ac:dyDescent="0.55000000000000004">
      <c r="A51" s="5" t="str">
        <f t="shared" ref="A51:A56" si="18">A50</f>
        <v>sim6</v>
      </c>
      <c r="B51" s="5" t="str">
        <f t="shared" si="12"/>
        <v>f</v>
      </c>
      <c r="C51" s="5" t="str">
        <f t="shared" si="12"/>
        <v>v</v>
      </c>
      <c r="D51" s="5">
        <f t="shared" si="12"/>
        <v>6</v>
      </c>
      <c r="E51" t="s">
        <v>228</v>
      </c>
      <c r="F51" t="str">
        <f t="shared" si="17"/>
        <v>sim6f</v>
      </c>
      <c r="G51" t="str">
        <f t="shared" si="4"/>
        <v>s6!v6</v>
      </c>
      <c r="H51">
        <v>1</v>
      </c>
      <c r="I51">
        <v>1</v>
      </c>
    </row>
    <row r="52" spans="1:9" x14ac:dyDescent="0.55000000000000004">
      <c r="A52" s="5" t="str">
        <f t="shared" si="18"/>
        <v>sim6</v>
      </c>
      <c r="B52" s="5" t="str">
        <f t="shared" si="12"/>
        <v>s</v>
      </c>
      <c r="C52" s="5" t="str">
        <f t="shared" si="12"/>
        <v>x</v>
      </c>
      <c r="D52" s="5">
        <f t="shared" si="12"/>
        <v>46</v>
      </c>
      <c r="E52" t="s">
        <v>228</v>
      </c>
      <c r="F52" t="str">
        <f t="shared" si="17"/>
        <v>sim6s</v>
      </c>
      <c r="G52" t="str">
        <f t="shared" si="4"/>
        <v>s6!x46</v>
      </c>
      <c r="H52">
        <v>1</v>
      </c>
    </row>
    <row r="53" spans="1:9" x14ac:dyDescent="0.55000000000000004">
      <c r="A53" s="5" t="str">
        <f t="shared" si="18"/>
        <v>sim6</v>
      </c>
      <c r="B53" s="5" t="str">
        <f t="shared" si="12"/>
        <v>h</v>
      </c>
      <c r="C53" s="5" t="str">
        <f t="shared" si="12"/>
        <v>w</v>
      </c>
      <c r="D53" s="5">
        <f t="shared" si="12"/>
        <v>27</v>
      </c>
      <c r="E53" t="s">
        <v>228</v>
      </c>
      <c r="F53" t="str">
        <f t="shared" si="17"/>
        <v>sim6h</v>
      </c>
      <c r="G53" t="str">
        <f t="shared" ref="G53" si="19">"s"&amp;MID(A53,4,2)&amp;"!"&amp;C53&amp;D53</f>
        <v>s6!w27</v>
      </c>
      <c r="H53">
        <v>1</v>
      </c>
      <c r="I53">
        <v>1</v>
      </c>
    </row>
    <row r="54" spans="1:9" x14ac:dyDescent="0.55000000000000004">
      <c r="A54" s="5" t="str">
        <f>A52</f>
        <v>sim6</v>
      </c>
      <c r="B54" s="5" t="str">
        <f t="shared" ref="B54:D54" si="20">B46</f>
        <v>mc</v>
      </c>
      <c r="C54" s="5" t="str">
        <f t="shared" si="20"/>
        <v>w</v>
      </c>
      <c r="D54" s="5">
        <f t="shared" si="20"/>
        <v>77</v>
      </c>
      <c r="E54" t="s">
        <v>228</v>
      </c>
      <c r="F54" t="str">
        <f t="shared" si="17"/>
        <v>sim6mc</v>
      </c>
      <c r="G54" t="str">
        <f t="shared" ref="G54:G80" si="21">"s"&amp;MID(A54,4,2)&amp;"!"&amp;C54&amp;D54</f>
        <v>s6!w77</v>
      </c>
      <c r="H54">
        <v>1</v>
      </c>
    </row>
    <row r="55" spans="1:9" x14ac:dyDescent="0.55000000000000004">
      <c r="A55" s="5" t="str">
        <f t="shared" si="18"/>
        <v>sim6</v>
      </c>
      <c r="B55" s="5" t="str">
        <f t="shared" ref="B55:D80" si="22">B47</f>
        <v>fc</v>
      </c>
      <c r="C55" s="5" t="str">
        <f t="shared" si="22"/>
        <v>w</v>
      </c>
      <c r="D55" s="5">
        <f t="shared" si="22"/>
        <v>83</v>
      </c>
      <c r="E55" t="s">
        <v>228</v>
      </c>
      <c r="F55" t="str">
        <f t="shared" si="17"/>
        <v>sim6fc</v>
      </c>
      <c r="G55" t="str">
        <f t="shared" si="21"/>
        <v>s6!w83</v>
      </c>
      <c r="H55">
        <v>1</v>
      </c>
    </row>
    <row r="56" spans="1:9" x14ac:dyDescent="0.55000000000000004">
      <c r="A56" s="5" t="str">
        <f t="shared" si="18"/>
        <v>sim6</v>
      </c>
      <c r="B56" s="5" t="str">
        <f t="shared" si="22"/>
        <v>hc</v>
      </c>
      <c r="C56" s="5" t="str">
        <f t="shared" si="22"/>
        <v>w</v>
      </c>
      <c r="D56" s="5">
        <f t="shared" si="22"/>
        <v>58</v>
      </c>
      <c r="E56" t="s">
        <v>228</v>
      </c>
      <c r="F56" t="str">
        <f t="shared" si="17"/>
        <v>sim6hc</v>
      </c>
      <c r="G56" t="str">
        <f t="shared" si="21"/>
        <v>s6!w58</v>
      </c>
      <c r="H56">
        <v>1</v>
      </c>
      <c r="I56">
        <v>1</v>
      </c>
    </row>
    <row r="57" spans="1:9" x14ac:dyDescent="0.55000000000000004">
      <c r="A57" s="4" t="str">
        <f>"sim"&amp;RIGHT(A49,1)+1</f>
        <v>sim7</v>
      </c>
      <c r="B57" s="5" t="str">
        <f t="shared" si="22"/>
        <v>c</v>
      </c>
      <c r="C57" s="5" t="str">
        <f t="shared" si="22"/>
        <v>a</v>
      </c>
      <c r="D57" s="5">
        <f t="shared" si="22"/>
        <v>6</v>
      </c>
      <c r="E57" t="s">
        <v>228</v>
      </c>
      <c r="F57" t="str">
        <f>A57&amp;B57</f>
        <v>sim7c</v>
      </c>
      <c r="G57" t="str">
        <f t="shared" si="21"/>
        <v>s7!a6</v>
      </c>
      <c r="H57">
        <v>1</v>
      </c>
      <c r="I57">
        <v>1</v>
      </c>
    </row>
    <row r="58" spans="1:9" x14ac:dyDescent="0.55000000000000004">
      <c r="A58" s="5" t="str">
        <f>A57</f>
        <v>sim7</v>
      </c>
      <c r="B58" s="5" t="str">
        <f t="shared" si="22"/>
        <v>a</v>
      </c>
      <c r="C58" s="5" t="str">
        <f t="shared" si="22"/>
        <v>n</v>
      </c>
      <c r="D58" s="5">
        <f t="shared" si="22"/>
        <v>6</v>
      </c>
      <c r="E58" t="s">
        <v>228</v>
      </c>
      <c r="F58" t="str">
        <f t="shared" ref="F58:F64" si="23">A58&amp;B58</f>
        <v>sim7a</v>
      </c>
      <c r="G58" t="str">
        <f t="shared" si="21"/>
        <v>s7!n6</v>
      </c>
      <c r="H58">
        <v>1</v>
      </c>
      <c r="I58">
        <v>1</v>
      </c>
    </row>
    <row r="59" spans="1:9" x14ac:dyDescent="0.55000000000000004">
      <c r="A59" s="5" t="str">
        <f t="shared" ref="A59:A64" si="24">A58</f>
        <v>sim7</v>
      </c>
      <c r="B59" s="5" t="str">
        <f t="shared" si="22"/>
        <v>f</v>
      </c>
      <c r="C59" s="5" t="str">
        <f t="shared" si="22"/>
        <v>v</v>
      </c>
      <c r="D59" s="5">
        <f t="shared" si="22"/>
        <v>6</v>
      </c>
      <c r="E59" t="s">
        <v>228</v>
      </c>
      <c r="F59" t="str">
        <f t="shared" si="23"/>
        <v>sim7f</v>
      </c>
      <c r="G59" t="str">
        <f t="shared" si="21"/>
        <v>s7!v6</v>
      </c>
      <c r="H59">
        <v>1</v>
      </c>
      <c r="I59">
        <v>1</v>
      </c>
    </row>
    <row r="60" spans="1:9" x14ac:dyDescent="0.55000000000000004">
      <c r="A60" s="5" t="str">
        <f t="shared" si="24"/>
        <v>sim7</v>
      </c>
      <c r="B60" s="5" t="str">
        <f t="shared" si="22"/>
        <v>s</v>
      </c>
      <c r="C60" s="5" t="str">
        <f t="shared" si="22"/>
        <v>x</v>
      </c>
      <c r="D60" s="5">
        <f t="shared" si="22"/>
        <v>46</v>
      </c>
      <c r="E60" t="s">
        <v>228</v>
      </c>
      <c r="F60" t="str">
        <f t="shared" si="23"/>
        <v>sim7s</v>
      </c>
      <c r="G60" t="str">
        <f t="shared" si="21"/>
        <v>s7!x46</v>
      </c>
      <c r="H60">
        <v>1</v>
      </c>
    </row>
    <row r="61" spans="1:9" x14ac:dyDescent="0.55000000000000004">
      <c r="A61" s="5" t="str">
        <f t="shared" si="24"/>
        <v>sim7</v>
      </c>
      <c r="B61" s="5" t="str">
        <f t="shared" si="22"/>
        <v>h</v>
      </c>
      <c r="C61" s="5" t="str">
        <f t="shared" si="22"/>
        <v>w</v>
      </c>
      <c r="D61" s="5">
        <f t="shared" si="22"/>
        <v>27</v>
      </c>
      <c r="E61" t="s">
        <v>228</v>
      </c>
      <c r="F61" t="str">
        <f t="shared" si="23"/>
        <v>sim7h</v>
      </c>
      <c r="G61" t="str">
        <f t="shared" si="21"/>
        <v>s7!w27</v>
      </c>
      <c r="H61">
        <v>1</v>
      </c>
      <c r="I61">
        <v>1</v>
      </c>
    </row>
    <row r="62" spans="1:9" x14ac:dyDescent="0.55000000000000004">
      <c r="A62" s="5" t="str">
        <f>A60</f>
        <v>sim7</v>
      </c>
      <c r="B62" s="5" t="str">
        <f t="shared" si="22"/>
        <v>mc</v>
      </c>
      <c r="C62" s="5" t="str">
        <f t="shared" si="22"/>
        <v>w</v>
      </c>
      <c r="D62" s="5">
        <f t="shared" si="22"/>
        <v>77</v>
      </c>
      <c r="E62" t="s">
        <v>228</v>
      </c>
      <c r="F62" t="str">
        <f t="shared" si="23"/>
        <v>sim7mc</v>
      </c>
      <c r="G62" t="str">
        <f t="shared" si="21"/>
        <v>s7!w77</v>
      </c>
      <c r="H62">
        <v>1</v>
      </c>
    </row>
    <row r="63" spans="1:9" x14ac:dyDescent="0.55000000000000004">
      <c r="A63" s="5" t="str">
        <f t="shared" si="24"/>
        <v>sim7</v>
      </c>
      <c r="B63" s="5" t="str">
        <f t="shared" si="22"/>
        <v>fc</v>
      </c>
      <c r="C63" s="5" t="str">
        <f t="shared" si="22"/>
        <v>w</v>
      </c>
      <c r="D63" s="5">
        <f t="shared" si="22"/>
        <v>83</v>
      </c>
      <c r="E63" t="s">
        <v>228</v>
      </c>
      <c r="F63" t="str">
        <f t="shared" si="23"/>
        <v>sim7fc</v>
      </c>
      <c r="G63" t="str">
        <f t="shared" si="21"/>
        <v>s7!w83</v>
      </c>
      <c r="H63">
        <v>1</v>
      </c>
    </row>
    <row r="64" spans="1:9" x14ac:dyDescent="0.55000000000000004">
      <c r="A64" s="5" t="str">
        <f t="shared" si="24"/>
        <v>sim7</v>
      </c>
      <c r="B64" s="5" t="str">
        <f t="shared" si="22"/>
        <v>hc</v>
      </c>
      <c r="C64" s="5" t="str">
        <f t="shared" si="22"/>
        <v>w</v>
      </c>
      <c r="D64" s="5">
        <f t="shared" si="22"/>
        <v>58</v>
      </c>
      <c r="E64" t="s">
        <v>228</v>
      </c>
      <c r="F64" t="str">
        <f t="shared" si="23"/>
        <v>sim7hc</v>
      </c>
      <c r="G64" t="str">
        <f t="shared" si="21"/>
        <v>s7!w58</v>
      </c>
      <c r="H64">
        <v>1</v>
      </c>
      <c r="I64">
        <v>1</v>
      </c>
    </row>
    <row r="65" spans="1:9" x14ac:dyDescent="0.55000000000000004">
      <c r="A65" s="4" t="str">
        <f>"sim"&amp;RIGHT(A57,1)+1</f>
        <v>sim8</v>
      </c>
      <c r="B65" s="5" t="str">
        <f t="shared" si="22"/>
        <v>c</v>
      </c>
      <c r="C65" s="5" t="str">
        <f t="shared" si="22"/>
        <v>a</v>
      </c>
      <c r="D65" s="5">
        <f t="shared" si="22"/>
        <v>6</v>
      </c>
      <c r="E65" t="s">
        <v>228</v>
      </c>
      <c r="F65" t="str">
        <f>A65&amp;B65</f>
        <v>sim8c</v>
      </c>
      <c r="G65" t="str">
        <f t="shared" si="21"/>
        <v>s8!a6</v>
      </c>
      <c r="H65">
        <v>1</v>
      </c>
      <c r="I65">
        <v>1</v>
      </c>
    </row>
    <row r="66" spans="1:9" x14ac:dyDescent="0.55000000000000004">
      <c r="A66" s="5" t="str">
        <f>A65</f>
        <v>sim8</v>
      </c>
      <c r="B66" s="5" t="str">
        <f t="shared" si="22"/>
        <v>a</v>
      </c>
      <c r="C66" s="5" t="str">
        <f t="shared" si="22"/>
        <v>n</v>
      </c>
      <c r="D66" s="5">
        <f t="shared" si="22"/>
        <v>6</v>
      </c>
      <c r="E66" t="s">
        <v>228</v>
      </c>
      <c r="F66" t="str">
        <f t="shared" ref="F66:F72" si="25">A66&amp;B66</f>
        <v>sim8a</v>
      </c>
      <c r="G66" t="str">
        <f t="shared" si="21"/>
        <v>s8!n6</v>
      </c>
      <c r="H66">
        <v>1</v>
      </c>
      <c r="I66">
        <v>1</v>
      </c>
    </row>
    <row r="67" spans="1:9" x14ac:dyDescent="0.55000000000000004">
      <c r="A67" s="5" t="str">
        <f t="shared" ref="A67:A72" si="26">A66</f>
        <v>sim8</v>
      </c>
      <c r="B67" s="5" t="str">
        <f t="shared" si="22"/>
        <v>f</v>
      </c>
      <c r="C67" s="5" t="str">
        <f t="shared" si="22"/>
        <v>v</v>
      </c>
      <c r="D67" s="5">
        <f t="shared" si="22"/>
        <v>6</v>
      </c>
      <c r="E67" t="s">
        <v>228</v>
      </c>
      <c r="F67" t="str">
        <f t="shared" si="25"/>
        <v>sim8f</v>
      </c>
      <c r="G67" t="str">
        <f t="shared" si="21"/>
        <v>s8!v6</v>
      </c>
      <c r="H67">
        <v>1</v>
      </c>
      <c r="I67">
        <v>1</v>
      </c>
    </row>
    <row r="68" spans="1:9" x14ac:dyDescent="0.55000000000000004">
      <c r="A68" s="5" t="str">
        <f t="shared" si="26"/>
        <v>sim8</v>
      </c>
      <c r="B68" s="5" t="str">
        <f t="shared" si="22"/>
        <v>s</v>
      </c>
      <c r="C68" s="5" t="str">
        <f t="shared" si="22"/>
        <v>x</v>
      </c>
      <c r="D68" s="5">
        <f t="shared" si="22"/>
        <v>46</v>
      </c>
      <c r="E68" t="s">
        <v>228</v>
      </c>
      <c r="F68" t="str">
        <f t="shared" si="25"/>
        <v>sim8s</v>
      </c>
      <c r="G68" t="str">
        <f t="shared" si="21"/>
        <v>s8!x46</v>
      </c>
      <c r="H68">
        <v>1</v>
      </c>
    </row>
    <row r="69" spans="1:9" x14ac:dyDescent="0.55000000000000004">
      <c r="A69" s="5" t="str">
        <f t="shared" si="26"/>
        <v>sim8</v>
      </c>
      <c r="B69" s="5" t="str">
        <f t="shared" si="22"/>
        <v>h</v>
      </c>
      <c r="C69" s="5" t="str">
        <f t="shared" si="22"/>
        <v>w</v>
      </c>
      <c r="D69" s="5">
        <f t="shared" si="22"/>
        <v>27</v>
      </c>
      <c r="E69" t="s">
        <v>228</v>
      </c>
      <c r="F69" t="str">
        <f t="shared" si="25"/>
        <v>sim8h</v>
      </c>
      <c r="G69" t="str">
        <f t="shared" si="21"/>
        <v>s8!w27</v>
      </c>
      <c r="H69">
        <v>1</v>
      </c>
      <c r="I69">
        <v>1</v>
      </c>
    </row>
    <row r="70" spans="1:9" x14ac:dyDescent="0.55000000000000004">
      <c r="A70" s="5" t="str">
        <f>A68</f>
        <v>sim8</v>
      </c>
      <c r="B70" s="5" t="str">
        <f t="shared" si="22"/>
        <v>mc</v>
      </c>
      <c r="C70" s="5" t="str">
        <f t="shared" si="22"/>
        <v>w</v>
      </c>
      <c r="D70" s="5">
        <f t="shared" si="22"/>
        <v>77</v>
      </c>
      <c r="E70" t="s">
        <v>228</v>
      </c>
      <c r="F70" t="str">
        <f t="shared" si="25"/>
        <v>sim8mc</v>
      </c>
      <c r="G70" t="str">
        <f t="shared" si="21"/>
        <v>s8!w77</v>
      </c>
      <c r="H70">
        <v>1</v>
      </c>
    </row>
    <row r="71" spans="1:9" x14ac:dyDescent="0.55000000000000004">
      <c r="A71" s="5" t="str">
        <f t="shared" si="26"/>
        <v>sim8</v>
      </c>
      <c r="B71" s="5" t="str">
        <f t="shared" si="22"/>
        <v>fc</v>
      </c>
      <c r="C71" s="5" t="str">
        <f t="shared" si="22"/>
        <v>w</v>
      </c>
      <c r="D71" s="5">
        <f t="shared" si="22"/>
        <v>83</v>
      </c>
      <c r="E71" t="s">
        <v>228</v>
      </c>
      <c r="F71" t="str">
        <f t="shared" si="25"/>
        <v>sim8fc</v>
      </c>
      <c r="G71" t="str">
        <f t="shared" si="21"/>
        <v>s8!w83</v>
      </c>
      <c r="H71">
        <v>1</v>
      </c>
    </row>
    <row r="72" spans="1:9" x14ac:dyDescent="0.55000000000000004">
      <c r="A72" s="5" t="str">
        <f t="shared" si="26"/>
        <v>sim8</v>
      </c>
      <c r="B72" s="5" t="str">
        <f t="shared" si="22"/>
        <v>hc</v>
      </c>
      <c r="C72" s="5" t="str">
        <f t="shared" si="22"/>
        <v>w</v>
      </c>
      <c r="D72" s="5">
        <f t="shared" si="22"/>
        <v>58</v>
      </c>
      <c r="E72" t="s">
        <v>228</v>
      </c>
      <c r="F72" t="str">
        <f t="shared" si="25"/>
        <v>sim8hc</v>
      </c>
      <c r="G72" t="str">
        <f t="shared" si="21"/>
        <v>s8!w58</v>
      </c>
      <c r="H72">
        <v>1</v>
      </c>
      <c r="I72">
        <v>1</v>
      </c>
    </row>
    <row r="73" spans="1:9" x14ac:dyDescent="0.55000000000000004">
      <c r="A73" s="4" t="str">
        <f>"sim"&amp;RIGHT(A65,1)+1</f>
        <v>sim9</v>
      </c>
      <c r="B73" s="5" t="str">
        <f t="shared" si="22"/>
        <v>c</v>
      </c>
      <c r="C73" s="5" t="str">
        <f t="shared" si="22"/>
        <v>a</v>
      </c>
      <c r="D73" s="5">
        <f t="shared" si="22"/>
        <v>6</v>
      </c>
      <c r="E73" t="s">
        <v>228</v>
      </c>
      <c r="F73" t="str">
        <f>A73&amp;B73</f>
        <v>sim9c</v>
      </c>
      <c r="G73" t="str">
        <f t="shared" si="21"/>
        <v>s9!a6</v>
      </c>
      <c r="H73">
        <v>1</v>
      </c>
      <c r="I73">
        <v>1</v>
      </c>
    </row>
    <row r="74" spans="1:9" x14ac:dyDescent="0.55000000000000004">
      <c r="A74" s="5" t="str">
        <f>A73</f>
        <v>sim9</v>
      </c>
      <c r="B74" s="5" t="str">
        <f t="shared" si="22"/>
        <v>a</v>
      </c>
      <c r="C74" s="5" t="str">
        <f t="shared" si="22"/>
        <v>n</v>
      </c>
      <c r="D74" s="5">
        <f t="shared" si="22"/>
        <v>6</v>
      </c>
      <c r="E74" t="s">
        <v>228</v>
      </c>
      <c r="F74" t="str">
        <f t="shared" ref="F74:F80" si="27">A74&amp;B74</f>
        <v>sim9a</v>
      </c>
      <c r="G74" t="str">
        <f t="shared" si="21"/>
        <v>s9!n6</v>
      </c>
      <c r="H74">
        <v>1</v>
      </c>
      <c r="I74">
        <v>1</v>
      </c>
    </row>
    <row r="75" spans="1:9" x14ac:dyDescent="0.55000000000000004">
      <c r="A75" s="5" t="str">
        <f t="shared" ref="A75:A80" si="28">A74</f>
        <v>sim9</v>
      </c>
      <c r="B75" s="5" t="str">
        <f t="shared" si="22"/>
        <v>f</v>
      </c>
      <c r="C75" s="5" t="str">
        <f t="shared" si="22"/>
        <v>v</v>
      </c>
      <c r="D75" s="5">
        <f t="shared" si="22"/>
        <v>6</v>
      </c>
      <c r="E75" t="s">
        <v>228</v>
      </c>
      <c r="F75" t="str">
        <f t="shared" si="27"/>
        <v>sim9f</v>
      </c>
      <c r="G75" t="str">
        <f t="shared" si="21"/>
        <v>s9!v6</v>
      </c>
      <c r="H75">
        <v>1</v>
      </c>
      <c r="I75">
        <v>1</v>
      </c>
    </row>
    <row r="76" spans="1:9" x14ac:dyDescent="0.55000000000000004">
      <c r="A76" s="5" t="str">
        <f t="shared" si="28"/>
        <v>sim9</v>
      </c>
      <c r="B76" s="5" t="str">
        <f t="shared" si="22"/>
        <v>s</v>
      </c>
      <c r="C76" s="5" t="str">
        <f t="shared" si="22"/>
        <v>x</v>
      </c>
      <c r="D76" s="5">
        <f t="shared" si="22"/>
        <v>46</v>
      </c>
      <c r="E76" t="s">
        <v>228</v>
      </c>
      <c r="F76" t="str">
        <f t="shared" si="27"/>
        <v>sim9s</v>
      </c>
      <c r="G76" t="str">
        <f t="shared" si="21"/>
        <v>s9!x46</v>
      </c>
      <c r="H76">
        <v>1</v>
      </c>
    </row>
    <row r="77" spans="1:9" x14ac:dyDescent="0.55000000000000004">
      <c r="A77" s="5" t="str">
        <f t="shared" si="28"/>
        <v>sim9</v>
      </c>
      <c r="B77" s="5" t="str">
        <f t="shared" si="22"/>
        <v>h</v>
      </c>
      <c r="C77" s="5" t="str">
        <f t="shared" si="22"/>
        <v>w</v>
      </c>
      <c r="D77" s="5">
        <f t="shared" si="22"/>
        <v>27</v>
      </c>
      <c r="E77" t="s">
        <v>228</v>
      </c>
      <c r="F77" t="str">
        <f t="shared" si="27"/>
        <v>sim9h</v>
      </c>
      <c r="G77" t="str">
        <f t="shared" si="21"/>
        <v>s9!w27</v>
      </c>
      <c r="H77">
        <v>1</v>
      </c>
      <c r="I77">
        <v>1</v>
      </c>
    </row>
    <row r="78" spans="1:9" x14ac:dyDescent="0.55000000000000004">
      <c r="A78" s="5" t="str">
        <f>A76</f>
        <v>sim9</v>
      </c>
      <c r="B78" s="5" t="str">
        <f t="shared" si="22"/>
        <v>mc</v>
      </c>
      <c r="C78" s="5" t="str">
        <f t="shared" si="22"/>
        <v>w</v>
      </c>
      <c r="D78" s="5">
        <f t="shared" si="22"/>
        <v>77</v>
      </c>
      <c r="E78" t="s">
        <v>228</v>
      </c>
      <c r="F78" t="str">
        <f t="shared" si="27"/>
        <v>sim9mc</v>
      </c>
      <c r="G78" t="str">
        <f t="shared" si="21"/>
        <v>s9!w77</v>
      </c>
      <c r="H78">
        <v>1</v>
      </c>
    </row>
    <row r="79" spans="1:9" x14ac:dyDescent="0.55000000000000004">
      <c r="A79" s="5" t="str">
        <f t="shared" si="28"/>
        <v>sim9</v>
      </c>
      <c r="B79" s="5" t="str">
        <f t="shared" si="22"/>
        <v>fc</v>
      </c>
      <c r="C79" s="5" t="str">
        <f t="shared" si="22"/>
        <v>w</v>
      </c>
      <c r="D79" s="5">
        <f t="shared" si="22"/>
        <v>83</v>
      </c>
      <c r="E79" t="s">
        <v>228</v>
      </c>
      <c r="F79" t="str">
        <f t="shared" si="27"/>
        <v>sim9fc</v>
      </c>
      <c r="G79" t="str">
        <f t="shared" si="21"/>
        <v>s9!w83</v>
      </c>
      <c r="H79">
        <v>1</v>
      </c>
    </row>
    <row r="80" spans="1:9" x14ac:dyDescent="0.55000000000000004">
      <c r="A80" s="5" t="str">
        <f t="shared" si="28"/>
        <v>sim9</v>
      </c>
      <c r="B80" s="5" t="str">
        <f t="shared" si="22"/>
        <v>hc</v>
      </c>
      <c r="C80" s="5" t="str">
        <f t="shared" si="22"/>
        <v>w</v>
      </c>
      <c r="D80" s="5">
        <f t="shared" si="22"/>
        <v>58</v>
      </c>
      <c r="E80" t="s">
        <v>228</v>
      </c>
      <c r="F80" t="str">
        <f t="shared" si="27"/>
        <v>sim9hc</v>
      </c>
      <c r="G80" t="str">
        <f t="shared" si="21"/>
        <v>s9!w58</v>
      </c>
      <c r="H80">
        <v>1</v>
      </c>
      <c r="I80">
        <v>1</v>
      </c>
    </row>
    <row r="81" spans="1:4" x14ac:dyDescent="0.55000000000000004">
      <c r="A81" s="5"/>
      <c r="B81" s="5"/>
      <c r="C81" s="5"/>
      <c r="D81" s="5"/>
    </row>
    <row r="82" spans="1:4" x14ac:dyDescent="0.55000000000000004">
      <c r="A82" s="5"/>
      <c r="B82" s="5"/>
      <c r="C82" s="5"/>
      <c r="D82" s="5"/>
    </row>
    <row r="83" spans="1:4" x14ac:dyDescent="0.55000000000000004">
      <c r="A83" s="5"/>
      <c r="B83" s="5"/>
      <c r="C83" s="5"/>
      <c r="D83" s="5"/>
    </row>
    <row r="84" spans="1:4" x14ac:dyDescent="0.55000000000000004">
      <c r="A84" s="5"/>
      <c r="B84" s="5"/>
      <c r="C84" s="5"/>
      <c r="D84" s="5"/>
    </row>
    <row r="85" spans="1:4" x14ac:dyDescent="0.55000000000000004">
      <c r="A85" s="5"/>
      <c r="B85" s="5"/>
      <c r="C85" s="5"/>
      <c r="D85" s="5"/>
    </row>
    <row r="86" spans="1:4" x14ac:dyDescent="0.55000000000000004">
      <c r="A86" s="5"/>
      <c r="B86" s="5"/>
      <c r="C86" s="5"/>
      <c r="D86" s="5"/>
    </row>
    <row r="87" spans="1:4" x14ac:dyDescent="0.55000000000000004">
      <c r="A87" s="5"/>
      <c r="B87" s="5"/>
      <c r="C87" s="5"/>
      <c r="D87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 tint="0.249977111117893"/>
  </sheetPr>
  <dimension ref="A1:BJ153"/>
  <sheetViews>
    <sheetView zoomScale="70" zoomScaleNormal="70" workbookViewId="0">
      <pane ySplit="19" topLeftCell="A20" activePane="bottomLeft" state="frozen"/>
      <selection activeCell="E42" sqref="E42"/>
      <selection pane="bottomLeft" activeCell="E42" sqref="E42"/>
    </sheetView>
  </sheetViews>
  <sheetFormatPr defaultRowHeight="14.4" x14ac:dyDescent="0.55000000000000004"/>
  <sheetData>
    <row r="1" spans="1:6" ht="18.3" x14ac:dyDescent="0.7">
      <c r="A1" s="3" t="s">
        <v>222</v>
      </c>
    </row>
    <row r="5" spans="1:6" x14ac:dyDescent="0.55000000000000004">
      <c r="A5" t="s">
        <v>344</v>
      </c>
      <c r="B5" t="s">
        <v>345</v>
      </c>
      <c r="C5" t="s">
        <v>346</v>
      </c>
      <c r="D5" t="s">
        <v>347</v>
      </c>
      <c r="E5" t="s">
        <v>348</v>
      </c>
    </row>
    <row r="6" spans="1:6" x14ac:dyDescent="0.55000000000000004">
      <c r="D6" t="s">
        <v>223</v>
      </c>
      <c r="E6" t="s">
        <v>224</v>
      </c>
    </row>
    <row r="7" spans="1:6" x14ac:dyDescent="0.55000000000000004">
      <c r="A7" t="s">
        <v>349</v>
      </c>
      <c r="B7" t="s">
        <v>350</v>
      </c>
      <c r="C7" t="s">
        <v>351</v>
      </c>
      <c r="D7">
        <v>1</v>
      </c>
    </row>
    <row r="8" spans="1:6" x14ac:dyDescent="0.55000000000000004">
      <c r="A8" t="s">
        <v>349</v>
      </c>
      <c r="B8" t="s">
        <v>352</v>
      </c>
      <c r="C8" t="s">
        <v>353</v>
      </c>
      <c r="D8">
        <v>1</v>
      </c>
    </row>
    <row r="9" spans="1:6" x14ac:dyDescent="0.55000000000000004">
      <c r="A9" t="s">
        <v>349</v>
      </c>
      <c r="B9" t="s">
        <v>505</v>
      </c>
      <c r="C9" t="s">
        <v>507</v>
      </c>
      <c r="D9">
        <v>1</v>
      </c>
    </row>
    <row r="10" spans="1:6" x14ac:dyDescent="0.55000000000000004">
      <c r="A10" t="s">
        <v>349</v>
      </c>
      <c r="B10" t="s">
        <v>506</v>
      </c>
      <c r="C10" t="s">
        <v>508</v>
      </c>
      <c r="D10">
        <v>1</v>
      </c>
    </row>
    <row r="11" spans="1:6" x14ac:dyDescent="0.55000000000000004">
      <c r="A11" t="s">
        <v>349</v>
      </c>
      <c r="B11" t="s">
        <v>549</v>
      </c>
      <c r="C11" t="s">
        <v>509</v>
      </c>
      <c r="D11">
        <v>1</v>
      </c>
    </row>
    <row r="12" spans="1:6" x14ac:dyDescent="0.55000000000000004">
      <c r="A12" t="s">
        <v>349</v>
      </c>
      <c r="B12" t="s">
        <v>550</v>
      </c>
      <c r="C12" t="s">
        <v>510</v>
      </c>
      <c r="D12">
        <v>1</v>
      </c>
    </row>
    <row r="13" spans="1:6" x14ac:dyDescent="0.55000000000000004">
      <c r="A13" t="s">
        <v>349</v>
      </c>
      <c r="B13" t="s">
        <v>354</v>
      </c>
      <c r="C13" t="s">
        <v>504</v>
      </c>
      <c r="D13">
        <v>2</v>
      </c>
      <c r="F13" t="s">
        <v>355</v>
      </c>
    </row>
    <row r="14" spans="1:6" x14ac:dyDescent="0.55000000000000004">
      <c r="A14" t="s">
        <v>228</v>
      </c>
      <c r="B14" t="s">
        <v>356</v>
      </c>
      <c r="C14" t="s">
        <v>357</v>
      </c>
      <c r="D14">
        <v>1</v>
      </c>
      <c r="E14">
        <v>1</v>
      </c>
    </row>
    <row r="15" spans="1:6" x14ac:dyDescent="0.55000000000000004">
      <c r="A15" t="s">
        <v>228</v>
      </c>
      <c r="B15" t="s">
        <v>511</v>
      </c>
      <c r="C15" t="s">
        <v>512</v>
      </c>
      <c r="D15">
        <v>1</v>
      </c>
      <c r="E15">
        <v>1</v>
      </c>
    </row>
    <row r="16" spans="1:6" x14ac:dyDescent="0.55000000000000004">
      <c r="A16" t="s">
        <v>228</v>
      </c>
      <c r="B16" t="s">
        <v>551</v>
      </c>
      <c r="C16" t="s">
        <v>513</v>
      </c>
      <c r="D16">
        <v>1</v>
      </c>
      <c r="E16">
        <v>1</v>
      </c>
    </row>
    <row r="19" spans="1:62" x14ac:dyDescent="0.55000000000000004">
      <c r="A19" t="s">
        <v>358</v>
      </c>
      <c r="B19" t="s">
        <v>359</v>
      </c>
      <c r="C19" t="s">
        <v>482</v>
      </c>
      <c r="D19" t="s">
        <v>483</v>
      </c>
      <c r="E19" t="s">
        <v>547</v>
      </c>
      <c r="F19" t="s">
        <v>548</v>
      </c>
      <c r="I19" t="s">
        <v>502</v>
      </c>
      <c r="J19" t="s">
        <v>503</v>
      </c>
    </row>
    <row r="20" spans="1:62" x14ac:dyDescent="0.55000000000000004">
      <c r="A20" t="s">
        <v>360</v>
      </c>
      <c r="B20" t="s">
        <v>360</v>
      </c>
      <c r="C20" t="s">
        <v>484</v>
      </c>
      <c r="D20" t="s">
        <v>492</v>
      </c>
      <c r="E20" t="s">
        <v>514</v>
      </c>
      <c r="F20" t="s">
        <v>514</v>
      </c>
      <c r="I20" t="s">
        <v>19</v>
      </c>
      <c r="J20" t="s">
        <v>18</v>
      </c>
      <c r="N20" t="s">
        <v>12</v>
      </c>
      <c r="W20" t="s">
        <v>484</v>
      </c>
      <c r="X20" s="1" t="s">
        <v>558</v>
      </c>
      <c r="AF20" s="1"/>
      <c r="AI20" t="s">
        <v>360</v>
      </c>
      <c r="AJ20" s="1" t="s">
        <v>106</v>
      </c>
      <c r="AN20" t="s">
        <v>514</v>
      </c>
      <c r="AO20" s="1" t="s">
        <v>539</v>
      </c>
      <c r="AU20" s="1" t="s">
        <v>106</v>
      </c>
      <c r="BJ20" s="1"/>
    </row>
    <row r="21" spans="1:62" x14ac:dyDescent="0.55000000000000004">
      <c r="A21" t="s">
        <v>361</v>
      </c>
      <c r="B21" t="s">
        <v>361</v>
      </c>
      <c r="C21" t="s">
        <v>497</v>
      </c>
      <c r="D21" t="s">
        <v>493</v>
      </c>
      <c r="E21" t="s">
        <v>520</v>
      </c>
      <c r="F21" t="s">
        <v>520</v>
      </c>
      <c r="I21" t="s">
        <v>10</v>
      </c>
      <c r="J21" t="s">
        <v>9</v>
      </c>
      <c r="N21" t="s">
        <v>20</v>
      </c>
      <c r="W21" t="s">
        <v>497</v>
      </c>
      <c r="X21" t="s">
        <v>552</v>
      </c>
      <c r="AB21" t="s">
        <v>15</v>
      </c>
      <c r="AF21" s="1"/>
      <c r="AI21" t="s">
        <v>361</v>
      </c>
      <c r="AJ21" s="1" t="s">
        <v>440</v>
      </c>
      <c r="AN21" t="s">
        <v>520</v>
      </c>
      <c r="AO21" t="s">
        <v>535</v>
      </c>
      <c r="AU21" s="1" t="s">
        <v>440</v>
      </c>
      <c r="BJ21" s="1"/>
    </row>
    <row r="22" spans="1:62" x14ac:dyDescent="0.55000000000000004">
      <c r="A22" t="s">
        <v>362</v>
      </c>
      <c r="B22" t="s">
        <v>362</v>
      </c>
      <c r="C22" t="s">
        <v>498</v>
      </c>
      <c r="D22" t="s">
        <v>494</v>
      </c>
      <c r="E22" t="s">
        <v>521</v>
      </c>
      <c r="F22" t="s">
        <v>521</v>
      </c>
      <c r="I22" t="s">
        <v>35</v>
      </c>
      <c r="J22" t="s">
        <v>34</v>
      </c>
      <c r="N22" t="s">
        <v>28</v>
      </c>
      <c r="W22" t="s">
        <v>498</v>
      </c>
      <c r="X22" t="s">
        <v>553</v>
      </c>
      <c r="AB22" t="s">
        <v>23</v>
      </c>
      <c r="AF22" s="18"/>
      <c r="AI22" t="s">
        <v>362</v>
      </c>
      <c r="AJ22" s="18" t="s">
        <v>441</v>
      </c>
      <c r="AN22" t="s">
        <v>521</v>
      </c>
      <c r="AO22" t="s">
        <v>536</v>
      </c>
      <c r="AU22" s="18" t="s">
        <v>441</v>
      </c>
      <c r="BJ22" s="1"/>
    </row>
    <row r="23" spans="1:62" x14ac:dyDescent="0.55000000000000004">
      <c r="A23" t="s">
        <v>434</v>
      </c>
      <c r="B23" t="s">
        <v>434</v>
      </c>
      <c r="C23" t="s">
        <v>499</v>
      </c>
      <c r="D23" t="s">
        <v>495</v>
      </c>
      <c r="E23" t="s">
        <v>522</v>
      </c>
      <c r="F23" t="s">
        <v>522</v>
      </c>
      <c r="I23" t="s">
        <v>27</v>
      </c>
      <c r="J23" t="s">
        <v>26</v>
      </c>
      <c r="N23" t="s">
        <v>36</v>
      </c>
      <c r="W23" t="s">
        <v>499</v>
      </c>
      <c r="X23" t="s">
        <v>554</v>
      </c>
      <c r="AB23" t="s">
        <v>31</v>
      </c>
      <c r="AF23" s="18"/>
      <c r="AI23" t="s">
        <v>434</v>
      </c>
      <c r="AJ23" s="18" t="s">
        <v>429</v>
      </c>
      <c r="AN23" t="s">
        <v>522</v>
      </c>
      <c r="AO23" t="s">
        <v>537</v>
      </c>
      <c r="AU23" s="19" t="s">
        <v>11</v>
      </c>
      <c r="BJ23" s="1"/>
    </row>
    <row r="24" spans="1:62" x14ac:dyDescent="0.55000000000000004">
      <c r="A24" t="s">
        <v>435</v>
      </c>
      <c r="B24" t="s">
        <v>435</v>
      </c>
      <c r="C24" t="s">
        <v>500</v>
      </c>
      <c r="D24" t="s">
        <v>496</v>
      </c>
      <c r="E24" t="s">
        <v>523</v>
      </c>
      <c r="F24" t="s">
        <v>523</v>
      </c>
      <c r="I24" t="s">
        <v>42</v>
      </c>
      <c r="J24" t="s">
        <v>41</v>
      </c>
      <c r="N24" t="s">
        <v>44</v>
      </c>
      <c r="W24" t="s">
        <v>500</v>
      </c>
      <c r="X24" t="s">
        <v>555</v>
      </c>
      <c r="AB24" t="s">
        <v>39</v>
      </c>
      <c r="AF24" s="18"/>
      <c r="AI24" t="s">
        <v>435</v>
      </c>
      <c r="AJ24" s="18" t="s">
        <v>430</v>
      </c>
      <c r="AN24" t="s">
        <v>523</v>
      </c>
      <c r="AO24" t="s">
        <v>538</v>
      </c>
      <c r="AU24" s="19" t="s">
        <v>43</v>
      </c>
      <c r="BJ24" s="1"/>
    </row>
    <row r="25" spans="1:62" x14ac:dyDescent="0.55000000000000004">
      <c r="A25" t="s">
        <v>398</v>
      </c>
      <c r="B25" t="s">
        <v>364</v>
      </c>
      <c r="C25" t="s">
        <v>501</v>
      </c>
      <c r="D25" t="s">
        <v>856</v>
      </c>
      <c r="E25" t="s">
        <v>515</v>
      </c>
      <c r="F25" t="s">
        <v>515</v>
      </c>
      <c r="I25" t="s">
        <v>78</v>
      </c>
      <c r="J25" t="s">
        <v>77</v>
      </c>
      <c r="N25" t="s">
        <v>49</v>
      </c>
      <c r="W25" t="s">
        <v>501</v>
      </c>
      <c r="X25" t="s">
        <v>556</v>
      </c>
      <c r="AB25" t="s">
        <v>47</v>
      </c>
      <c r="AI25" t="s">
        <v>398</v>
      </c>
      <c r="AJ25" s="22" t="s">
        <v>560</v>
      </c>
      <c r="AN25" t="s">
        <v>515</v>
      </c>
      <c r="AO25" s="1" t="s">
        <v>540</v>
      </c>
      <c r="AU25" s="19" t="s">
        <v>442</v>
      </c>
    </row>
    <row r="26" spans="1:62" x14ac:dyDescent="0.55000000000000004">
      <c r="A26" t="s">
        <v>363</v>
      </c>
      <c r="B26" t="s">
        <v>366</v>
      </c>
      <c r="C26" t="s">
        <v>485</v>
      </c>
      <c r="D26" t="s">
        <v>857</v>
      </c>
      <c r="E26" t="s">
        <v>516</v>
      </c>
      <c r="F26" t="s">
        <v>524</v>
      </c>
      <c r="I26" t="s">
        <v>86</v>
      </c>
      <c r="J26" t="s">
        <v>85</v>
      </c>
      <c r="N26" t="s">
        <v>57</v>
      </c>
      <c r="W26" t="s">
        <v>485</v>
      </c>
      <c r="X26" s="1" t="s">
        <v>557</v>
      </c>
      <c r="AB26" t="s">
        <v>52</v>
      </c>
      <c r="AI26" t="s">
        <v>363</v>
      </c>
      <c r="AJ26" s="22" t="s">
        <v>561</v>
      </c>
      <c r="AN26" t="s">
        <v>516</v>
      </c>
      <c r="AO26" t="s">
        <v>535</v>
      </c>
      <c r="AU26" s="19" t="s">
        <v>443</v>
      </c>
    </row>
    <row r="27" spans="1:62" x14ac:dyDescent="0.55000000000000004">
      <c r="A27" t="s">
        <v>400</v>
      </c>
      <c r="B27" t="s">
        <v>843</v>
      </c>
      <c r="C27" t="s">
        <v>492</v>
      </c>
      <c r="D27" t="s">
        <v>858</v>
      </c>
      <c r="E27" t="s">
        <v>517</v>
      </c>
      <c r="F27" t="s">
        <v>525</v>
      </c>
      <c r="I27" t="s">
        <v>71</v>
      </c>
      <c r="J27" t="s">
        <v>70</v>
      </c>
      <c r="N27" t="s">
        <v>65</v>
      </c>
      <c r="W27" t="s">
        <v>492</v>
      </c>
      <c r="X27" t="s">
        <v>552</v>
      </c>
      <c r="AB27" t="s">
        <v>60</v>
      </c>
      <c r="AI27" t="s">
        <v>400</v>
      </c>
      <c r="AJ27" s="22" t="s">
        <v>563</v>
      </c>
      <c r="AN27" t="s">
        <v>517</v>
      </c>
      <c r="AO27" t="s">
        <v>536</v>
      </c>
      <c r="AU27" s="19" t="s">
        <v>117</v>
      </c>
    </row>
    <row r="28" spans="1:62" x14ac:dyDescent="0.55000000000000004">
      <c r="A28" t="s">
        <v>399</v>
      </c>
      <c r="B28" t="s">
        <v>367</v>
      </c>
      <c r="C28" t="s">
        <v>493</v>
      </c>
      <c r="D28" t="s">
        <v>859</v>
      </c>
      <c r="E28" t="s">
        <v>518</v>
      </c>
      <c r="F28" t="s">
        <v>526</v>
      </c>
      <c r="I28" t="s">
        <v>94</v>
      </c>
      <c r="J28" t="s">
        <v>93</v>
      </c>
      <c r="N28" t="s">
        <v>72</v>
      </c>
      <c r="W28" t="s">
        <v>493</v>
      </c>
      <c r="X28" t="s">
        <v>553</v>
      </c>
      <c r="AB28" t="s">
        <v>68</v>
      </c>
      <c r="AI28" t="s">
        <v>399</v>
      </c>
      <c r="AJ28" s="22" t="s">
        <v>564</v>
      </c>
      <c r="AN28" t="s">
        <v>518</v>
      </c>
      <c r="AO28" t="s">
        <v>537</v>
      </c>
      <c r="AU28" s="19" t="s">
        <v>118</v>
      </c>
    </row>
    <row r="29" spans="1:62" x14ac:dyDescent="0.55000000000000004">
      <c r="A29" t="s">
        <v>365</v>
      </c>
      <c r="B29" t="s">
        <v>369</v>
      </c>
      <c r="C29" t="s">
        <v>494</v>
      </c>
      <c r="D29" t="s">
        <v>860</v>
      </c>
      <c r="E29" t="s">
        <v>519</v>
      </c>
      <c r="F29" t="s">
        <v>527</v>
      </c>
      <c r="I29" t="s">
        <v>578</v>
      </c>
      <c r="J29" t="s">
        <v>577</v>
      </c>
      <c r="N29" t="s">
        <v>79</v>
      </c>
      <c r="W29" t="s">
        <v>494</v>
      </c>
      <c r="X29" t="s">
        <v>554</v>
      </c>
      <c r="AB29" t="s">
        <v>75</v>
      </c>
      <c r="AI29" t="s">
        <v>365</v>
      </c>
      <c r="AJ29" s="22" t="s">
        <v>566</v>
      </c>
      <c r="AN29" t="s">
        <v>519</v>
      </c>
      <c r="AO29" t="s">
        <v>538</v>
      </c>
      <c r="AU29" s="19" t="s">
        <v>444</v>
      </c>
    </row>
    <row r="30" spans="1:62" x14ac:dyDescent="0.55000000000000004">
      <c r="A30" t="s">
        <v>404</v>
      </c>
      <c r="B30" t="s">
        <v>428</v>
      </c>
      <c r="C30" t="s">
        <v>495</v>
      </c>
      <c r="D30" t="s">
        <v>876</v>
      </c>
      <c r="E30" t="s">
        <v>524</v>
      </c>
      <c r="F30" t="s">
        <v>528</v>
      </c>
      <c r="I30" t="s">
        <v>584</v>
      </c>
      <c r="J30" t="s">
        <v>583</v>
      </c>
      <c r="N30" t="s">
        <v>87</v>
      </c>
      <c r="W30" t="s">
        <v>495</v>
      </c>
      <c r="X30" t="s">
        <v>555</v>
      </c>
      <c r="AB30" t="s">
        <v>82</v>
      </c>
      <c r="AI30" t="s">
        <v>404</v>
      </c>
      <c r="AJ30" s="22" t="s">
        <v>567</v>
      </c>
      <c r="AN30" t="s">
        <v>524</v>
      </c>
      <c r="AO30" s="1" t="s">
        <v>541</v>
      </c>
      <c r="AU30" s="19" t="s">
        <v>445</v>
      </c>
    </row>
    <row r="31" spans="1:62" x14ac:dyDescent="0.55000000000000004">
      <c r="A31" t="s">
        <v>405</v>
      </c>
      <c r="B31" t="s">
        <v>371</v>
      </c>
      <c r="C31" t="s">
        <v>496</v>
      </c>
      <c r="D31" t="s">
        <v>877</v>
      </c>
      <c r="E31" t="s">
        <v>525</v>
      </c>
      <c r="F31" t="s">
        <v>863</v>
      </c>
      <c r="I31" t="s">
        <v>108</v>
      </c>
      <c r="J31" t="s">
        <v>107</v>
      </c>
      <c r="N31" t="s">
        <v>95</v>
      </c>
      <c r="W31" t="s">
        <v>496</v>
      </c>
      <c r="X31" t="s">
        <v>556</v>
      </c>
      <c r="AB31" t="s">
        <v>90</v>
      </c>
      <c r="AI31" t="s">
        <v>405</v>
      </c>
      <c r="AJ31" s="22" t="s">
        <v>569</v>
      </c>
      <c r="AN31" t="s">
        <v>525</v>
      </c>
      <c r="AO31" t="s">
        <v>535</v>
      </c>
      <c r="AU31" s="19" t="s">
        <v>125</v>
      </c>
    </row>
    <row r="32" spans="1:62" x14ac:dyDescent="0.55000000000000004">
      <c r="A32" t="s">
        <v>403</v>
      </c>
      <c r="B32" t="s">
        <v>436</v>
      </c>
      <c r="C32" t="s">
        <v>486</v>
      </c>
      <c r="D32" t="s">
        <v>878</v>
      </c>
      <c r="E32" t="s">
        <v>526</v>
      </c>
      <c r="F32" t="s">
        <v>882</v>
      </c>
      <c r="I32" t="s">
        <v>594</v>
      </c>
      <c r="J32" t="s">
        <v>593</v>
      </c>
      <c r="N32" t="s">
        <v>101</v>
      </c>
      <c r="W32" t="s">
        <v>486</v>
      </c>
      <c r="X32" s="1" t="s">
        <v>559</v>
      </c>
      <c r="AB32" t="s">
        <v>98</v>
      </c>
      <c r="AI32" t="s">
        <v>403</v>
      </c>
      <c r="AJ32" s="22" t="s">
        <v>570</v>
      </c>
      <c r="AN32" t="s">
        <v>526</v>
      </c>
      <c r="AO32" t="s">
        <v>536</v>
      </c>
      <c r="AU32" s="19" t="s">
        <v>128</v>
      </c>
    </row>
    <row r="33" spans="1:47" x14ac:dyDescent="0.55000000000000004">
      <c r="A33" t="s">
        <v>368</v>
      </c>
      <c r="B33" t="s">
        <v>465</v>
      </c>
      <c r="C33" t="s">
        <v>487</v>
      </c>
      <c r="D33" t="s">
        <v>879</v>
      </c>
      <c r="E33" t="s">
        <v>527</v>
      </c>
      <c r="F33" t="s">
        <v>530</v>
      </c>
      <c r="I33" t="s">
        <v>598</v>
      </c>
      <c r="J33" t="s">
        <v>597</v>
      </c>
      <c r="W33" t="s">
        <v>487</v>
      </c>
      <c r="X33" t="s">
        <v>552</v>
      </c>
      <c r="AB33" t="s">
        <v>104</v>
      </c>
      <c r="AI33" t="s">
        <v>368</v>
      </c>
      <c r="AJ33" s="22" t="s">
        <v>572</v>
      </c>
      <c r="AN33" t="s">
        <v>527</v>
      </c>
      <c r="AO33" t="s">
        <v>537</v>
      </c>
      <c r="AU33" s="18" t="s">
        <v>446</v>
      </c>
    </row>
    <row r="34" spans="1:47" x14ac:dyDescent="0.55000000000000004">
      <c r="A34" t="s">
        <v>796</v>
      </c>
      <c r="B34" t="s">
        <v>437</v>
      </c>
      <c r="C34" t="s">
        <v>488</v>
      </c>
      <c r="D34" t="s">
        <v>880</v>
      </c>
      <c r="E34" t="s">
        <v>528</v>
      </c>
      <c r="I34" t="s">
        <v>602</v>
      </c>
      <c r="J34" t="s">
        <v>601</v>
      </c>
      <c r="W34" t="s">
        <v>488</v>
      </c>
      <c r="X34" t="s">
        <v>553</v>
      </c>
      <c r="AB34" t="s">
        <v>110</v>
      </c>
      <c r="AI34" t="s">
        <v>796</v>
      </c>
      <c r="AJ34" s="22" t="s">
        <v>579</v>
      </c>
      <c r="AN34" t="s">
        <v>528</v>
      </c>
      <c r="AO34" t="s">
        <v>538</v>
      </c>
      <c r="AU34" s="19" t="s">
        <v>131</v>
      </c>
    </row>
    <row r="35" spans="1:47" x14ac:dyDescent="0.55000000000000004">
      <c r="A35" t="s">
        <v>797</v>
      </c>
      <c r="B35" t="s">
        <v>438</v>
      </c>
      <c r="C35" t="s">
        <v>489</v>
      </c>
      <c r="E35" t="s">
        <v>863</v>
      </c>
      <c r="I35" t="s">
        <v>120</v>
      </c>
      <c r="J35" t="s">
        <v>119</v>
      </c>
      <c r="W35" t="s">
        <v>489</v>
      </c>
      <c r="X35" t="s">
        <v>554</v>
      </c>
      <c r="AB35" t="s">
        <v>114</v>
      </c>
      <c r="AI35" t="s">
        <v>797</v>
      </c>
      <c r="AJ35" s="22" t="s">
        <v>585</v>
      </c>
      <c r="AL35" s="22" t="s">
        <v>56</v>
      </c>
      <c r="AN35" t="s">
        <v>863</v>
      </c>
      <c r="AO35" s="1" t="s">
        <v>861</v>
      </c>
      <c r="AU35" s="19" t="s">
        <v>136</v>
      </c>
    </row>
    <row r="36" spans="1:47" x14ac:dyDescent="0.55000000000000004">
      <c r="A36" t="s">
        <v>406</v>
      </c>
      <c r="B36" t="s">
        <v>845</v>
      </c>
      <c r="C36" t="s">
        <v>490</v>
      </c>
      <c r="E36" t="s">
        <v>864</v>
      </c>
      <c r="I36" t="s">
        <v>55</v>
      </c>
      <c r="J36" t="s">
        <v>54</v>
      </c>
      <c r="W36" t="s">
        <v>490</v>
      </c>
      <c r="X36" t="s">
        <v>555</v>
      </c>
      <c r="AI36" t="s">
        <v>406</v>
      </c>
      <c r="AJ36" s="22" t="s">
        <v>589</v>
      </c>
      <c r="AL36" s="22" t="s">
        <v>64</v>
      </c>
      <c r="AN36" t="s">
        <v>864</v>
      </c>
      <c r="AO36" t="s">
        <v>535</v>
      </c>
      <c r="AU36" s="19" t="s">
        <v>143</v>
      </c>
    </row>
    <row r="37" spans="1:47" x14ac:dyDescent="0.55000000000000004">
      <c r="A37" t="s">
        <v>798</v>
      </c>
      <c r="B37" t="s">
        <v>439</v>
      </c>
      <c r="C37" t="s">
        <v>491</v>
      </c>
      <c r="E37" t="s">
        <v>865</v>
      </c>
      <c r="I37" t="s">
        <v>615</v>
      </c>
      <c r="J37" t="s">
        <v>614</v>
      </c>
      <c r="W37" t="s">
        <v>491</v>
      </c>
      <c r="X37" t="s">
        <v>556</v>
      </c>
      <c r="AF37" s="22"/>
      <c r="AI37" t="s">
        <v>798</v>
      </c>
      <c r="AJ37" s="22" t="s">
        <v>595</v>
      </c>
      <c r="AN37" t="s">
        <v>865</v>
      </c>
      <c r="AO37" t="s">
        <v>536</v>
      </c>
      <c r="AU37" s="18" t="s">
        <v>447</v>
      </c>
    </row>
    <row r="38" spans="1:47" x14ac:dyDescent="0.55000000000000004">
      <c r="A38" t="s">
        <v>799</v>
      </c>
      <c r="B38" t="s">
        <v>844</v>
      </c>
      <c r="C38" t="s">
        <v>855</v>
      </c>
      <c r="E38" t="s">
        <v>866</v>
      </c>
      <c r="I38" t="s">
        <v>63</v>
      </c>
      <c r="J38" t="s">
        <v>62</v>
      </c>
      <c r="W38" t="s">
        <v>855</v>
      </c>
      <c r="X38" s="1" t="s">
        <v>873</v>
      </c>
      <c r="AF38" s="22"/>
      <c r="AI38" t="s">
        <v>799</v>
      </c>
      <c r="AJ38" s="22" t="s">
        <v>599</v>
      </c>
      <c r="AN38" t="s">
        <v>866</v>
      </c>
      <c r="AO38" t="s">
        <v>537</v>
      </c>
      <c r="AU38" s="19" t="s">
        <v>146</v>
      </c>
    </row>
    <row r="39" spans="1:47" x14ac:dyDescent="0.55000000000000004">
      <c r="A39" t="s">
        <v>800</v>
      </c>
      <c r="B39" t="s">
        <v>372</v>
      </c>
      <c r="C39" t="s">
        <v>856</v>
      </c>
      <c r="E39" t="s">
        <v>867</v>
      </c>
      <c r="I39" t="s">
        <v>124</v>
      </c>
      <c r="J39" t="s">
        <v>123</v>
      </c>
      <c r="W39" t="s">
        <v>856</v>
      </c>
      <c r="X39" t="s">
        <v>552</v>
      </c>
      <c r="AF39" s="22"/>
      <c r="AI39" t="s">
        <v>800</v>
      </c>
      <c r="AJ39" s="22" t="s">
        <v>603</v>
      </c>
      <c r="AN39" t="s">
        <v>867</v>
      </c>
      <c r="AO39" t="s">
        <v>538</v>
      </c>
      <c r="AU39" s="19" t="s">
        <v>431</v>
      </c>
    </row>
    <row r="40" spans="1:47" x14ac:dyDescent="0.55000000000000004">
      <c r="A40" t="s">
        <v>373</v>
      </c>
      <c r="B40" t="s">
        <v>846</v>
      </c>
      <c r="C40" t="s">
        <v>857</v>
      </c>
      <c r="E40" t="s">
        <v>882</v>
      </c>
      <c r="I40" t="s">
        <v>122</v>
      </c>
      <c r="J40" t="s">
        <v>121</v>
      </c>
      <c r="W40" t="s">
        <v>857</v>
      </c>
      <c r="X40" t="s">
        <v>553</v>
      </c>
      <c r="AF40" s="22"/>
      <c r="AI40" t="s">
        <v>373</v>
      </c>
      <c r="AJ40" s="22" t="s">
        <v>606</v>
      </c>
      <c r="AN40" t="s">
        <v>868</v>
      </c>
      <c r="AO40" s="1" t="s">
        <v>862</v>
      </c>
      <c r="AU40" s="20" t="s">
        <v>448</v>
      </c>
    </row>
    <row r="41" spans="1:47" x14ac:dyDescent="0.55000000000000004">
      <c r="A41" t="s">
        <v>401</v>
      </c>
      <c r="B41" t="s">
        <v>881</v>
      </c>
      <c r="C41" t="s">
        <v>858</v>
      </c>
      <c r="E41" t="s">
        <v>883</v>
      </c>
      <c r="I41" t="s">
        <v>116</v>
      </c>
      <c r="J41" t="s">
        <v>115</v>
      </c>
      <c r="W41" t="s">
        <v>858</v>
      </c>
      <c r="X41" t="s">
        <v>554</v>
      </c>
      <c r="AF41" s="22"/>
      <c r="AI41" t="s">
        <v>401</v>
      </c>
      <c r="AJ41" s="22" t="s">
        <v>611</v>
      </c>
      <c r="AN41" t="s">
        <v>869</v>
      </c>
      <c r="AO41" t="s">
        <v>535</v>
      </c>
      <c r="AU41" s="20" t="s">
        <v>449</v>
      </c>
    </row>
    <row r="42" spans="1:47" x14ac:dyDescent="0.55000000000000004">
      <c r="A42" t="s">
        <v>801</v>
      </c>
      <c r="B42" t="s">
        <v>374</v>
      </c>
      <c r="C42" t="s">
        <v>859</v>
      </c>
      <c r="E42" t="s">
        <v>884</v>
      </c>
      <c r="I42" t="s">
        <v>112</v>
      </c>
      <c r="J42" t="s">
        <v>111</v>
      </c>
      <c r="W42" t="s">
        <v>859</v>
      </c>
      <c r="X42" t="s">
        <v>555</v>
      </c>
      <c r="AF42" s="22"/>
      <c r="AI42" t="s">
        <v>801</v>
      </c>
      <c r="AJ42" s="22" t="s">
        <v>616</v>
      </c>
      <c r="AN42" t="s">
        <v>870</v>
      </c>
      <c r="AO42" t="s">
        <v>536</v>
      </c>
      <c r="AU42" s="18" t="s">
        <v>450</v>
      </c>
    </row>
    <row r="43" spans="1:47" x14ac:dyDescent="0.55000000000000004">
      <c r="A43" t="s">
        <v>402</v>
      </c>
      <c r="B43" t="s">
        <v>848</v>
      </c>
      <c r="C43" t="s">
        <v>860</v>
      </c>
      <c r="E43" t="s">
        <v>886</v>
      </c>
      <c r="I43" t="s">
        <v>629</v>
      </c>
      <c r="J43" t="s">
        <v>628</v>
      </c>
      <c r="W43" t="s">
        <v>860</v>
      </c>
      <c r="X43" t="s">
        <v>556</v>
      </c>
      <c r="AF43" s="22"/>
      <c r="AI43" t="s">
        <v>402</v>
      </c>
      <c r="AJ43" s="22" t="s">
        <v>619</v>
      </c>
      <c r="AN43" t="s">
        <v>871</v>
      </c>
      <c r="AO43" t="s">
        <v>537</v>
      </c>
      <c r="AU43" s="18" t="s">
        <v>451</v>
      </c>
    </row>
    <row r="44" spans="1:47" x14ac:dyDescent="0.55000000000000004">
      <c r="A44" t="s">
        <v>375</v>
      </c>
      <c r="B44" t="s">
        <v>849</v>
      </c>
      <c r="C44" t="s">
        <v>875</v>
      </c>
      <c r="E44" t="s">
        <v>885</v>
      </c>
      <c r="I44" t="s">
        <v>127</v>
      </c>
      <c r="J44" t="s">
        <v>126</v>
      </c>
      <c r="W44" t="s">
        <v>875</v>
      </c>
      <c r="X44" s="1" t="s">
        <v>874</v>
      </c>
      <c r="AF44" s="22"/>
      <c r="AI44" t="s">
        <v>375</v>
      </c>
      <c r="AJ44" s="22" t="s">
        <v>622</v>
      </c>
      <c r="AN44" t="s">
        <v>872</v>
      </c>
      <c r="AO44" t="s">
        <v>538</v>
      </c>
      <c r="AU44" s="19" t="s">
        <v>452</v>
      </c>
    </row>
    <row r="45" spans="1:47" x14ac:dyDescent="0.55000000000000004">
      <c r="A45" t="s">
        <v>408</v>
      </c>
      <c r="B45" t="s">
        <v>850</v>
      </c>
      <c r="C45" t="s">
        <v>876</v>
      </c>
      <c r="E45" t="s">
        <v>529</v>
      </c>
      <c r="I45" t="s">
        <v>130</v>
      </c>
      <c r="J45" t="s">
        <v>129</v>
      </c>
      <c r="W45" t="s">
        <v>876</v>
      </c>
      <c r="X45" t="s">
        <v>552</v>
      </c>
      <c r="AF45" s="22"/>
      <c r="AI45" t="s">
        <v>408</v>
      </c>
      <c r="AJ45" s="22" t="s">
        <v>625</v>
      </c>
      <c r="AN45" t="s">
        <v>529</v>
      </c>
      <c r="AO45" s="1" t="s">
        <v>73</v>
      </c>
      <c r="AU45" s="19" t="s">
        <v>453</v>
      </c>
    </row>
    <row r="46" spans="1:47" x14ac:dyDescent="0.55000000000000004">
      <c r="A46" t="s">
        <v>370</v>
      </c>
      <c r="B46" t="s">
        <v>851</v>
      </c>
      <c r="C46" t="s">
        <v>877</v>
      </c>
      <c r="E46" t="s">
        <v>530</v>
      </c>
      <c r="I46" t="s">
        <v>140</v>
      </c>
      <c r="J46" t="s">
        <v>139</v>
      </c>
      <c r="W46" t="s">
        <v>877</v>
      </c>
      <c r="X46" t="s">
        <v>553</v>
      </c>
      <c r="AF46" s="22"/>
      <c r="AI46" t="s">
        <v>370</v>
      </c>
      <c r="AJ46" s="22" t="s">
        <v>626</v>
      </c>
      <c r="AN46" t="s">
        <v>530</v>
      </c>
      <c r="AO46" s="1" t="s">
        <v>542</v>
      </c>
      <c r="AU46" s="19" t="s">
        <v>167</v>
      </c>
    </row>
    <row r="47" spans="1:47" x14ac:dyDescent="0.55000000000000004">
      <c r="A47" t="s">
        <v>407</v>
      </c>
      <c r="B47" t="s">
        <v>852</v>
      </c>
      <c r="C47" t="s">
        <v>878</v>
      </c>
      <c r="E47" t="s">
        <v>531</v>
      </c>
      <c r="I47" t="s">
        <v>135</v>
      </c>
      <c r="J47" t="s">
        <v>134</v>
      </c>
      <c r="W47" t="s">
        <v>878</v>
      </c>
      <c r="X47" t="s">
        <v>554</v>
      </c>
      <c r="AF47" s="22"/>
      <c r="AI47" t="s">
        <v>407</v>
      </c>
      <c r="AJ47" s="22" t="s">
        <v>627</v>
      </c>
      <c r="AN47" t="s">
        <v>531</v>
      </c>
      <c r="AO47" t="s">
        <v>544</v>
      </c>
      <c r="AU47" s="19" t="s">
        <v>454</v>
      </c>
    </row>
    <row r="48" spans="1:47" x14ac:dyDescent="0.55000000000000004">
      <c r="A48" t="s">
        <v>802</v>
      </c>
      <c r="B48" t="s">
        <v>853</v>
      </c>
      <c r="C48" t="s">
        <v>879</v>
      </c>
      <c r="E48" t="s">
        <v>532</v>
      </c>
      <c r="I48" t="s">
        <v>142</v>
      </c>
      <c r="J48" t="s">
        <v>141</v>
      </c>
      <c r="W48" t="s">
        <v>879</v>
      </c>
      <c r="X48" t="s">
        <v>555</v>
      </c>
      <c r="AF48" s="22"/>
      <c r="AI48" t="s">
        <v>802</v>
      </c>
      <c r="AJ48" s="22" t="s">
        <v>630</v>
      </c>
      <c r="AN48" t="s">
        <v>532</v>
      </c>
      <c r="AO48" t="s">
        <v>543</v>
      </c>
      <c r="AU48" s="19" t="s">
        <v>455</v>
      </c>
    </row>
    <row r="49" spans="1:62" x14ac:dyDescent="0.55000000000000004">
      <c r="A49" t="s">
        <v>376</v>
      </c>
      <c r="B49" t="s">
        <v>854</v>
      </c>
      <c r="C49" t="s">
        <v>880</v>
      </c>
      <c r="E49" t="s">
        <v>533</v>
      </c>
      <c r="I49" t="s">
        <v>133</v>
      </c>
      <c r="J49" t="s">
        <v>132</v>
      </c>
      <c r="W49" t="s">
        <v>880</v>
      </c>
      <c r="X49" t="s">
        <v>556</v>
      </c>
      <c r="AF49" s="22"/>
      <c r="AI49" t="s">
        <v>376</v>
      </c>
      <c r="AJ49" s="22" t="s">
        <v>631</v>
      </c>
      <c r="AN49" t="s">
        <v>533</v>
      </c>
      <c r="AO49" t="s">
        <v>545</v>
      </c>
      <c r="AU49" s="19" t="s">
        <v>456</v>
      </c>
    </row>
    <row r="50" spans="1:62" x14ac:dyDescent="0.55000000000000004">
      <c r="A50" t="s">
        <v>364</v>
      </c>
      <c r="E50" t="s">
        <v>534</v>
      </c>
      <c r="I50" t="s">
        <v>138</v>
      </c>
      <c r="J50" t="s">
        <v>137</v>
      </c>
      <c r="AF50" s="22"/>
      <c r="AI50" t="s">
        <v>364</v>
      </c>
      <c r="AJ50" s="18" t="s">
        <v>446</v>
      </c>
      <c r="AN50" t="s">
        <v>534</v>
      </c>
      <c r="AO50" t="s">
        <v>546</v>
      </c>
      <c r="AU50" s="19" t="s">
        <v>457</v>
      </c>
    </row>
    <row r="51" spans="1:62" x14ac:dyDescent="0.55000000000000004">
      <c r="A51" t="s">
        <v>377</v>
      </c>
      <c r="I51" t="s">
        <v>639</v>
      </c>
      <c r="J51" t="s">
        <v>638</v>
      </c>
      <c r="AI51" t="s">
        <v>377</v>
      </c>
      <c r="AJ51" s="22" t="s">
        <v>632</v>
      </c>
      <c r="AU51" s="19" t="s">
        <v>458</v>
      </c>
      <c r="BJ51" s="1"/>
    </row>
    <row r="52" spans="1:62" x14ac:dyDescent="0.55000000000000004">
      <c r="A52" t="s">
        <v>411</v>
      </c>
      <c r="I52" t="s">
        <v>642</v>
      </c>
      <c r="J52" t="s">
        <v>641</v>
      </c>
      <c r="AF52" s="22"/>
      <c r="AI52" t="s">
        <v>411</v>
      </c>
      <c r="AJ52" s="22" t="s">
        <v>633</v>
      </c>
      <c r="AU52" s="19" t="s">
        <v>193</v>
      </c>
    </row>
    <row r="53" spans="1:62" x14ac:dyDescent="0.55000000000000004">
      <c r="A53" t="s">
        <v>378</v>
      </c>
      <c r="I53" t="s">
        <v>645</v>
      </c>
      <c r="J53" t="s">
        <v>644</v>
      </c>
      <c r="AF53" s="22"/>
      <c r="AI53" t="s">
        <v>378</v>
      </c>
      <c r="AJ53" s="22" t="s">
        <v>634</v>
      </c>
      <c r="AU53" s="18" t="s">
        <v>459</v>
      </c>
    </row>
    <row r="54" spans="1:62" x14ac:dyDescent="0.55000000000000004">
      <c r="A54" t="s">
        <v>379</v>
      </c>
      <c r="I54" t="s">
        <v>648</v>
      </c>
      <c r="J54" t="s">
        <v>647</v>
      </c>
      <c r="AF54" s="22"/>
      <c r="AI54" t="s">
        <v>379</v>
      </c>
      <c r="AJ54" s="22" t="s">
        <v>635</v>
      </c>
      <c r="AU54" s="19" t="s">
        <v>460</v>
      </c>
    </row>
    <row r="55" spans="1:62" x14ac:dyDescent="0.55000000000000004">
      <c r="A55" t="s">
        <v>409</v>
      </c>
      <c r="I55" t="s">
        <v>145</v>
      </c>
      <c r="J55" t="s">
        <v>144</v>
      </c>
      <c r="AF55" s="22"/>
      <c r="AI55" t="s">
        <v>409</v>
      </c>
      <c r="AJ55" s="22" t="s">
        <v>636</v>
      </c>
      <c r="AU55" s="19" t="s">
        <v>200</v>
      </c>
    </row>
    <row r="56" spans="1:62" x14ac:dyDescent="0.55000000000000004">
      <c r="A56" t="s">
        <v>410</v>
      </c>
      <c r="I56" t="s">
        <v>148</v>
      </c>
      <c r="J56" t="s">
        <v>147</v>
      </c>
      <c r="AF56" s="22"/>
      <c r="AI56" t="s">
        <v>410</v>
      </c>
      <c r="AJ56" s="22" t="s">
        <v>637</v>
      </c>
      <c r="AU56" s="20" t="s">
        <v>461</v>
      </c>
    </row>
    <row r="57" spans="1:62" x14ac:dyDescent="0.55000000000000004">
      <c r="A57" t="s">
        <v>803</v>
      </c>
      <c r="I57" t="s">
        <v>150</v>
      </c>
      <c r="J57" t="s">
        <v>149</v>
      </c>
      <c r="AF57" s="22"/>
      <c r="AI57" t="s">
        <v>803</v>
      </c>
      <c r="AJ57" s="22" t="s">
        <v>640</v>
      </c>
      <c r="AU57" s="18" t="s">
        <v>462</v>
      </c>
    </row>
    <row r="58" spans="1:62" x14ac:dyDescent="0.55000000000000004">
      <c r="A58" t="s">
        <v>804</v>
      </c>
      <c r="I58" t="s">
        <v>654</v>
      </c>
      <c r="J58" t="s">
        <v>653</v>
      </c>
      <c r="AI58" t="s">
        <v>804</v>
      </c>
      <c r="AJ58" s="22" t="s">
        <v>643</v>
      </c>
      <c r="AU58" s="18" t="s">
        <v>463</v>
      </c>
      <c r="BJ58" s="1"/>
    </row>
    <row r="59" spans="1:62" x14ac:dyDescent="0.55000000000000004">
      <c r="A59" t="s">
        <v>366</v>
      </c>
      <c r="I59" t="s">
        <v>152</v>
      </c>
      <c r="J59" t="s">
        <v>151</v>
      </c>
      <c r="AI59" t="s">
        <v>366</v>
      </c>
      <c r="AJ59" s="18" t="s">
        <v>447</v>
      </c>
      <c r="AU59" s="18" t="s">
        <v>205</v>
      </c>
      <c r="BE59" s="1"/>
    </row>
    <row r="60" spans="1:62" x14ac:dyDescent="0.55000000000000004">
      <c r="A60" t="s">
        <v>843</v>
      </c>
      <c r="I60" t="s">
        <v>154</v>
      </c>
      <c r="J60" t="s">
        <v>153</v>
      </c>
      <c r="AF60" s="22"/>
      <c r="AI60" t="s">
        <v>843</v>
      </c>
      <c r="AJ60" s="18" t="s">
        <v>146</v>
      </c>
      <c r="AU60" s="18" t="s">
        <v>464</v>
      </c>
      <c r="BJ60" s="1"/>
    </row>
    <row r="61" spans="1:62" x14ac:dyDescent="0.55000000000000004">
      <c r="A61" t="s">
        <v>805</v>
      </c>
      <c r="I61" t="s">
        <v>156</v>
      </c>
      <c r="J61" t="s">
        <v>155</v>
      </c>
      <c r="AF61" s="21"/>
      <c r="AI61" t="s">
        <v>805</v>
      </c>
      <c r="AJ61" s="22" t="s">
        <v>646</v>
      </c>
      <c r="AU61" s="18" t="s">
        <v>212</v>
      </c>
    </row>
    <row r="62" spans="1:62" x14ac:dyDescent="0.55000000000000004">
      <c r="A62" t="s">
        <v>806</v>
      </c>
      <c r="I62" t="s">
        <v>160</v>
      </c>
      <c r="J62" t="s">
        <v>159</v>
      </c>
      <c r="AF62" s="21"/>
      <c r="AI62" t="s">
        <v>806</v>
      </c>
      <c r="AJ62" s="22" t="s">
        <v>649</v>
      </c>
      <c r="AU62" s="18" t="s">
        <v>215</v>
      </c>
    </row>
    <row r="63" spans="1:62" x14ac:dyDescent="0.55000000000000004">
      <c r="A63" t="s">
        <v>380</v>
      </c>
      <c r="I63" t="s">
        <v>162</v>
      </c>
      <c r="J63" t="s">
        <v>161</v>
      </c>
      <c r="AI63" t="s">
        <v>380</v>
      </c>
      <c r="AJ63" s="22" t="s">
        <v>650</v>
      </c>
      <c r="AU63" s="18" t="s">
        <v>218</v>
      </c>
      <c r="BJ63" s="1"/>
    </row>
    <row r="64" spans="1:62" x14ac:dyDescent="0.55000000000000004">
      <c r="A64" t="s">
        <v>381</v>
      </c>
      <c r="I64" t="s">
        <v>158</v>
      </c>
      <c r="J64" t="s">
        <v>157</v>
      </c>
      <c r="AI64" t="s">
        <v>381</v>
      </c>
      <c r="AJ64" s="18" t="s">
        <v>651</v>
      </c>
      <c r="AU64" s="18" t="s">
        <v>221</v>
      </c>
      <c r="BJ64" s="1"/>
    </row>
    <row r="65" spans="1:62" x14ac:dyDescent="0.55000000000000004">
      <c r="A65" t="s">
        <v>367</v>
      </c>
      <c r="I65" t="s">
        <v>164</v>
      </c>
      <c r="J65" t="s">
        <v>163</v>
      </c>
      <c r="AI65" t="s">
        <v>367</v>
      </c>
      <c r="AJ65" s="20" t="s">
        <v>448</v>
      </c>
      <c r="BJ65" s="1"/>
    </row>
    <row r="66" spans="1:62" x14ac:dyDescent="0.55000000000000004">
      <c r="A66" t="s">
        <v>369</v>
      </c>
      <c r="I66" t="s">
        <v>664</v>
      </c>
      <c r="J66" t="s">
        <v>663</v>
      </c>
      <c r="AF66" s="22"/>
      <c r="AI66" t="s">
        <v>369</v>
      </c>
      <c r="AJ66" s="20" t="s">
        <v>449</v>
      </c>
    </row>
    <row r="67" spans="1:62" x14ac:dyDescent="0.55000000000000004">
      <c r="A67" t="s">
        <v>428</v>
      </c>
      <c r="I67" t="s">
        <v>169</v>
      </c>
      <c r="J67" t="s">
        <v>168</v>
      </c>
      <c r="AF67" s="22"/>
      <c r="AI67" t="s">
        <v>428</v>
      </c>
      <c r="AJ67" s="18" t="s">
        <v>450</v>
      </c>
    </row>
    <row r="68" spans="1:62" x14ac:dyDescent="0.55000000000000004">
      <c r="A68" t="s">
        <v>412</v>
      </c>
      <c r="I68" t="s">
        <v>166</v>
      </c>
      <c r="J68" t="s">
        <v>165</v>
      </c>
      <c r="AF68" s="22"/>
      <c r="AI68" t="s">
        <v>412</v>
      </c>
      <c r="AJ68" s="22" t="s">
        <v>652</v>
      </c>
    </row>
    <row r="69" spans="1:62" x14ac:dyDescent="0.55000000000000004">
      <c r="A69" t="s">
        <v>807</v>
      </c>
      <c r="I69" t="s">
        <v>669</v>
      </c>
      <c r="J69" t="s">
        <v>668</v>
      </c>
      <c r="AF69" s="22"/>
      <c r="AI69" t="s">
        <v>807</v>
      </c>
      <c r="AJ69" s="22" t="s">
        <v>655</v>
      </c>
    </row>
    <row r="70" spans="1:62" x14ac:dyDescent="0.55000000000000004">
      <c r="A70" t="s">
        <v>413</v>
      </c>
      <c r="I70" t="s">
        <v>171</v>
      </c>
      <c r="J70" t="s">
        <v>170</v>
      </c>
      <c r="AI70" t="s">
        <v>413</v>
      </c>
      <c r="AJ70" s="22" t="s">
        <v>656</v>
      </c>
      <c r="BJ70" s="1"/>
    </row>
    <row r="71" spans="1:62" x14ac:dyDescent="0.55000000000000004">
      <c r="A71" t="s">
        <v>371</v>
      </c>
      <c r="I71" t="s">
        <v>173</v>
      </c>
      <c r="J71" t="s">
        <v>172</v>
      </c>
      <c r="AI71" t="s">
        <v>371</v>
      </c>
      <c r="AJ71" s="18" t="s">
        <v>451</v>
      </c>
      <c r="BJ71" s="1"/>
    </row>
    <row r="72" spans="1:62" x14ac:dyDescent="0.55000000000000004">
      <c r="A72" t="s">
        <v>436</v>
      </c>
      <c r="I72" t="s">
        <v>175</v>
      </c>
      <c r="J72" t="s">
        <v>174</v>
      </c>
      <c r="AF72" s="21"/>
      <c r="AI72" t="s">
        <v>436</v>
      </c>
      <c r="AJ72" s="22" t="s">
        <v>466</v>
      </c>
    </row>
    <row r="73" spans="1:62" x14ac:dyDescent="0.55000000000000004">
      <c r="A73" t="s">
        <v>382</v>
      </c>
      <c r="I73" t="s">
        <v>177</v>
      </c>
      <c r="J73" t="s">
        <v>176</v>
      </c>
      <c r="AF73" s="21"/>
      <c r="AI73" t="s">
        <v>382</v>
      </c>
      <c r="AJ73" s="21" t="s">
        <v>657</v>
      </c>
    </row>
    <row r="74" spans="1:62" x14ac:dyDescent="0.55000000000000004">
      <c r="A74" t="s">
        <v>414</v>
      </c>
      <c r="I74" t="s">
        <v>676</v>
      </c>
      <c r="J74" t="s">
        <v>675</v>
      </c>
      <c r="AF74" s="21"/>
      <c r="AI74" t="s">
        <v>414</v>
      </c>
      <c r="AJ74" s="21" t="s">
        <v>658</v>
      </c>
    </row>
    <row r="75" spans="1:62" x14ac:dyDescent="0.55000000000000004">
      <c r="A75" t="s">
        <v>416</v>
      </c>
      <c r="I75" t="s">
        <v>179</v>
      </c>
      <c r="J75" t="s">
        <v>178</v>
      </c>
      <c r="AF75" s="21"/>
      <c r="AI75" t="s">
        <v>416</v>
      </c>
      <c r="AJ75" s="21" t="s">
        <v>659</v>
      </c>
    </row>
    <row r="76" spans="1:62" x14ac:dyDescent="0.55000000000000004">
      <c r="A76" t="s">
        <v>417</v>
      </c>
      <c r="I76" t="s">
        <v>181</v>
      </c>
      <c r="J76" t="s">
        <v>180</v>
      </c>
      <c r="AF76" s="21"/>
      <c r="AI76" t="s">
        <v>417</v>
      </c>
      <c r="AJ76" s="21" t="s">
        <v>660</v>
      </c>
    </row>
    <row r="77" spans="1:62" x14ac:dyDescent="0.55000000000000004">
      <c r="A77" t="s">
        <v>415</v>
      </c>
      <c r="I77" t="s">
        <v>681</v>
      </c>
      <c r="J77" t="s">
        <v>680</v>
      </c>
      <c r="AF77" s="21"/>
      <c r="AI77" t="s">
        <v>415</v>
      </c>
      <c r="AJ77" s="21" t="s">
        <v>661</v>
      </c>
    </row>
    <row r="78" spans="1:62" x14ac:dyDescent="0.55000000000000004">
      <c r="A78" t="s">
        <v>383</v>
      </c>
      <c r="I78" t="s">
        <v>684</v>
      </c>
      <c r="J78" t="s">
        <v>683</v>
      </c>
      <c r="AF78" s="21"/>
      <c r="AI78" t="s">
        <v>383</v>
      </c>
      <c r="AJ78" s="21" t="s">
        <v>662</v>
      </c>
    </row>
    <row r="79" spans="1:62" x14ac:dyDescent="0.55000000000000004">
      <c r="A79" t="s">
        <v>808</v>
      </c>
      <c r="I79" t="s">
        <v>183</v>
      </c>
      <c r="J79" t="s">
        <v>182</v>
      </c>
      <c r="AF79" s="21"/>
      <c r="AI79" t="s">
        <v>808</v>
      </c>
      <c r="AJ79" s="21" t="s">
        <v>665</v>
      </c>
    </row>
    <row r="80" spans="1:62" x14ac:dyDescent="0.55000000000000004">
      <c r="A80" t="s">
        <v>418</v>
      </c>
      <c r="I80" t="s">
        <v>688</v>
      </c>
      <c r="J80" t="s">
        <v>687</v>
      </c>
      <c r="AF80" s="21"/>
      <c r="AI80" t="s">
        <v>418</v>
      </c>
      <c r="AJ80" s="21" t="s">
        <v>666</v>
      </c>
    </row>
    <row r="81" spans="1:62" x14ac:dyDescent="0.55000000000000004">
      <c r="A81" t="s">
        <v>384</v>
      </c>
      <c r="I81" t="s">
        <v>691</v>
      </c>
      <c r="J81" t="s">
        <v>690</v>
      </c>
      <c r="AF81" s="21"/>
      <c r="AI81" t="s">
        <v>384</v>
      </c>
      <c r="AJ81" s="21" t="s">
        <v>667</v>
      </c>
    </row>
    <row r="82" spans="1:62" x14ac:dyDescent="0.55000000000000004">
      <c r="A82" t="s">
        <v>465</v>
      </c>
      <c r="I82" t="s">
        <v>186</v>
      </c>
      <c r="J82" t="s">
        <v>185</v>
      </c>
      <c r="AF82" s="21"/>
      <c r="AI82" t="s">
        <v>465</v>
      </c>
      <c r="AJ82" s="22" t="s">
        <v>468</v>
      </c>
    </row>
    <row r="83" spans="1:62" x14ac:dyDescent="0.55000000000000004">
      <c r="A83" t="s">
        <v>809</v>
      </c>
      <c r="I83" t="s">
        <v>188</v>
      </c>
      <c r="J83" t="s">
        <v>187</v>
      </c>
      <c r="AF83" s="21"/>
      <c r="AI83" t="s">
        <v>809</v>
      </c>
      <c r="AJ83" s="21" t="s">
        <v>670</v>
      </c>
    </row>
    <row r="84" spans="1:62" x14ac:dyDescent="0.55000000000000004">
      <c r="A84" t="s">
        <v>385</v>
      </c>
      <c r="I84" t="s">
        <v>190</v>
      </c>
      <c r="J84" t="s">
        <v>189</v>
      </c>
      <c r="AF84" s="21"/>
      <c r="AI84" t="s">
        <v>385</v>
      </c>
      <c r="AJ84" s="21" t="s">
        <v>671</v>
      </c>
    </row>
    <row r="85" spans="1:62" x14ac:dyDescent="0.55000000000000004">
      <c r="A85" t="s">
        <v>419</v>
      </c>
      <c r="I85" t="s">
        <v>697</v>
      </c>
      <c r="J85" t="s">
        <v>696</v>
      </c>
      <c r="AF85" s="21"/>
      <c r="AI85" t="s">
        <v>419</v>
      </c>
      <c r="AJ85" s="21" t="s">
        <v>672</v>
      </c>
    </row>
    <row r="86" spans="1:62" x14ac:dyDescent="0.55000000000000004">
      <c r="A86" t="s">
        <v>386</v>
      </c>
      <c r="I86" t="s">
        <v>192</v>
      </c>
      <c r="J86" t="s">
        <v>191</v>
      </c>
      <c r="AF86" s="21"/>
      <c r="AI86" t="s">
        <v>386</v>
      </c>
      <c r="AJ86" s="22" t="s">
        <v>673</v>
      </c>
    </row>
    <row r="87" spans="1:62" x14ac:dyDescent="0.55000000000000004">
      <c r="A87" t="s">
        <v>437</v>
      </c>
      <c r="I87" t="s">
        <v>701</v>
      </c>
      <c r="J87" t="s">
        <v>700</v>
      </c>
      <c r="AI87" t="s">
        <v>437</v>
      </c>
      <c r="AJ87" s="22" t="s">
        <v>467</v>
      </c>
      <c r="BJ87" s="1"/>
    </row>
    <row r="88" spans="1:62" x14ac:dyDescent="0.55000000000000004">
      <c r="A88" t="s">
        <v>387</v>
      </c>
      <c r="I88" t="s">
        <v>195</v>
      </c>
      <c r="J88" t="s">
        <v>194</v>
      </c>
      <c r="AF88" s="21"/>
      <c r="AI88" t="s">
        <v>387</v>
      </c>
      <c r="AJ88" s="21" t="s">
        <v>674</v>
      </c>
    </row>
    <row r="89" spans="1:62" x14ac:dyDescent="0.55000000000000004">
      <c r="A89" t="s">
        <v>810</v>
      </c>
      <c r="I89" t="s">
        <v>197</v>
      </c>
      <c r="J89" t="s">
        <v>196</v>
      </c>
      <c r="AF89" s="21"/>
      <c r="AI89" t="s">
        <v>810</v>
      </c>
      <c r="AJ89" s="21" t="s">
        <v>677</v>
      </c>
    </row>
    <row r="90" spans="1:62" x14ac:dyDescent="0.55000000000000004">
      <c r="A90" t="s">
        <v>438</v>
      </c>
      <c r="I90" t="s">
        <v>706</v>
      </c>
      <c r="J90" t="s">
        <v>705</v>
      </c>
      <c r="AF90" s="22"/>
      <c r="AI90" t="s">
        <v>438</v>
      </c>
      <c r="AJ90" s="22" t="s">
        <v>469</v>
      </c>
      <c r="BJ90" s="1"/>
    </row>
    <row r="91" spans="1:62" x14ac:dyDescent="0.55000000000000004">
      <c r="A91" t="s">
        <v>420</v>
      </c>
      <c r="I91" t="s">
        <v>199</v>
      </c>
      <c r="J91" t="s">
        <v>198</v>
      </c>
      <c r="AF91" s="21"/>
      <c r="AI91" t="s">
        <v>420</v>
      </c>
      <c r="AJ91" s="21" t="s">
        <v>678</v>
      </c>
    </row>
    <row r="92" spans="1:62" x14ac:dyDescent="0.55000000000000004">
      <c r="A92" t="s">
        <v>388</v>
      </c>
      <c r="I92" t="s">
        <v>710</v>
      </c>
      <c r="J92" t="s">
        <v>709</v>
      </c>
      <c r="AF92" s="21"/>
      <c r="AI92" t="s">
        <v>388</v>
      </c>
      <c r="AJ92" s="21" t="s">
        <v>679</v>
      </c>
    </row>
    <row r="93" spans="1:62" x14ac:dyDescent="0.55000000000000004">
      <c r="A93" t="s">
        <v>811</v>
      </c>
      <c r="I93" t="s">
        <v>713</v>
      </c>
      <c r="J93" t="s">
        <v>712</v>
      </c>
      <c r="AF93" s="21"/>
      <c r="AI93" t="s">
        <v>811</v>
      </c>
      <c r="AJ93" s="21" t="s">
        <v>682</v>
      </c>
    </row>
    <row r="94" spans="1:62" x14ac:dyDescent="0.55000000000000004">
      <c r="A94" t="s">
        <v>812</v>
      </c>
      <c r="I94" t="s">
        <v>716</v>
      </c>
      <c r="J94" t="s">
        <v>715</v>
      </c>
      <c r="AF94" s="21"/>
      <c r="AI94" t="s">
        <v>812</v>
      </c>
      <c r="AJ94" s="21" t="s">
        <v>685</v>
      </c>
    </row>
    <row r="95" spans="1:62" x14ac:dyDescent="0.55000000000000004">
      <c r="A95" t="s">
        <v>845</v>
      </c>
      <c r="I95" t="s">
        <v>719</v>
      </c>
      <c r="J95" t="s">
        <v>718</v>
      </c>
      <c r="AI95" t="s">
        <v>845</v>
      </c>
      <c r="AJ95" s="22" t="s">
        <v>184</v>
      </c>
      <c r="BJ95" s="1"/>
    </row>
    <row r="96" spans="1:62" x14ac:dyDescent="0.55000000000000004">
      <c r="A96" t="s">
        <v>421</v>
      </c>
      <c r="I96" t="s">
        <v>722</v>
      </c>
      <c r="J96" t="s">
        <v>721</v>
      </c>
      <c r="AF96" s="21"/>
      <c r="AI96" t="s">
        <v>421</v>
      </c>
      <c r="AJ96" s="21" t="s">
        <v>686</v>
      </c>
    </row>
    <row r="97" spans="1:62" x14ac:dyDescent="0.55000000000000004">
      <c r="A97" t="s">
        <v>813</v>
      </c>
      <c r="I97" t="s">
        <v>725</v>
      </c>
      <c r="J97" t="s">
        <v>724</v>
      </c>
      <c r="AF97" s="21"/>
      <c r="AI97" t="s">
        <v>813</v>
      </c>
      <c r="AJ97" s="21" t="s">
        <v>689</v>
      </c>
    </row>
    <row r="98" spans="1:62" x14ac:dyDescent="0.55000000000000004">
      <c r="A98" t="s">
        <v>814</v>
      </c>
      <c r="I98" t="s">
        <v>728</v>
      </c>
      <c r="J98" t="s">
        <v>727</v>
      </c>
      <c r="AI98" t="s">
        <v>814</v>
      </c>
      <c r="AJ98" s="21" t="s">
        <v>692</v>
      </c>
      <c r="BJ98" s="1"/>
    </row>
    <row r="99" spans="1:62" x14ac:dyDescent="0.55000000000000004">
      <c r="A99" t="s">
        <v>439</v>
      </c>
      <c r="I99" t="s">
        <v>731</v>
      </c>
      <c r="J99" t="s">
        <v>730</v>
      </c>
      <c r="AF99" s="21"/>
      <c r="AI99" t="s">
        <v>439</v>
      </c>
      <c r="AJ99" s="22" t="s">
        <v>470</v>
      </c>
    </row>
    <row r="100" spans="1:62" x14ac:dyDescent="0.55000000000000004">
      <c r="A100" t="s">
        <v>422</v>
      </c>
      <c r="I100" t="s">
        <v>734</v>
      </c>
      <c r="J100" t="s">
        <v>733</v>
      </c>
      <c r="AF100" s="21"/>
      <c r="AI100" t="s">
        <v>422</v>
      </c>
      <c r="AJ100" s="21" t="s">
        <v>693</v>
      </c>
    </row>
    <row r="101" spans="1:62" x14ac:dyDescent="0.55000000000000004">
      <c r="A101" t="s">
        <v>389</v>
      </c>
      <c r="I101" t="s">
        <v>202</v>
      </c>
      <c r="J101" t="s">
        <v>201</v>
      </c>
      <c r="AF101" s="21"/>
      <c r="AI101" t="s">
        <v>389</v>
      </c>
      <c r="AJ101" s="21" t="s">
        <v>694</v>
      </c>
    </row>
    <row r="102" spans="1:62" x14ac:dyDescent="0.55000000000000004">
      <c r="A102" t="s">
        <v>423</v>
      </c>
      <c r="I102" t="s">
        <v>738</v>
      </c>
      <c r="J102" t="s">
        <v>737</v>
      </c>
      <c r="AI102" t="s">
        <v>423</v>
      </c>
      <c r="AJ102" s="21" t="s">
        <v>695</v>
      </c>
    </row>
    <row r="103" spans="1:62" x14ac:dyDescent="0.55000000000000004">
      <c r="A103" t="s">
        <v>844</v>
      </c>
      <c r="I103" t="s">
        <v>204</v>
      </c>
      <c r="J103" t="s">
        <v>203</v>
      </c>
      <c r="AI103" t="s">
        <v>844</v>
      </c>
      <c r="AJ103" s="22" t="s">
        <v>193</v>
      </c>
      <c r="BJ103" s="1"/>
    </row>
    <row r="104" spans="1:62" x14ac:dyDescent="0.55000000000000004">
      <c r="A104" t="s">
        <v>815</v>
      </c>
      <c r="I104" t="s">
        <v>742</v>
      </c>
      <c r="J104" t="s">
        <v>741</v>
      </c>
      <c r="AF104" s="21"/>
      <c r="AI104" t="s">
        <v>815</v>
      </c>
      <c r="AJ104" s="21" t="s">
        <v>698</v>
      </c>
    </row>
    <row r="105" spans="1:62" x14ac:dyDescent="0.55000000000000004">
      <c r="A105" t="s">
        <v>390</v>
      </c>
      <c r="I105" t="s">
        <v>745</v>
      </c>
      <c r="J105" t="s">
        <v>744</v>
      </c>
      <c r="AF105" s="21"/>
      <c r="AI105" t="s">
        <v>390</v>
      </c>
      <c r="AJ105" s="21" t="s">
        <v>699</v>
      </c>
    </row>
    <row r="106" spans="1:62" x14ac:dyDescent="0.55000000000000004">
      <c r="A106" t="s">
        <v>816</v>
      </c>
      <c r="I106" t="s">
        <v>748</v>
      </c>
      <c r="J106" t="s">
        <v>747</v>
      </c>
      <c r="AF106" s="21"/>
      <c r="AI106" t="s">
        <v>816</v>
      </c>
      <c r="AJ106" s="21" t="s">
        <v>702</v>
      </c>
    </row>
    <row r="107" spans="1:62" x14ac:dyDescent="0.55000000000000004">
      <c r="A107" t="s">
        <v>372</v>
      </c>
      <c r="I107" t="s">
        <v>751</v>
      </c>
      <c r="J107" t="s">
        <v>750</v>
      </c>
      <c r="AF107" s="21"/>
      <c r="AI107" t="s">
        <v>372</v>
      </c>
      <c r="AJ107" s="18" t="s">
        <v>459</v>
      </c>
    </row>
    <row r="108" spans="1:62" x14ac:dyDescent="0.55000000000000004">
      <c r="A108" t="s">
        <v>846</v>
      </c>
      <c r="I108" t="s">
        <v>754</v>
      </c>
      <c r="J108" t="s">
        <v>753</v>
      </c>
      <c r="AI108" t="s">
        <v>846</v>
      </c>
      <c r="AJ108" s="18" t="s">
        <v>471</v>
      </c>
    </row>
    <row r="109" spans="1:62" x14ac:dyDescent="0.55000000000000004">
      <c r="A109" t="s">
        <v>391</v>
      </c>
      <c r="I109" t="s">
        <v>207</v>
      </c>
      <c r="J109" t="s">
        <v>206</v>
      </c>
      <c r="AI109" t="s">
        <v>391</v>
      </c>
      <c r="AJ109" s="22" t="s">
        <v>703</v>
      </c>
      <c r="BJ109" s="1"/>
    </row>
    <row r="110" spans="1:62" x14ac:dyDescent="0.55000000000000004">
      <c r="A110" t="s">
        <v>424</v>
      </c>
      <c r="I110" t="s">
        <v>758</v>
      </c>
      <c r="J110" t="s">
        <v>757</v>
      </c>
      <c r="AI110" t="s">
        <v>424</v>
      </c>
      <c r="AJ110" s="22" t="s">
        <v>704</v>
      </c>
    </row>
    <row r="111" spans="1:62" x14ac:dyDescent="0.55000000000000004">
      <c r="A111" t="s">
        <v>817</v>
      </c>
      <c r="I111" t="s">
        <v>761</v>
      </c>
      <c r="J111" t="s">
        <v>760</v>
      </c>
      <c r="AF111" s="22"/>
      <c r="AI111" t="s">
        <v>817</v>
      </c>
      <c r="AJ111" s="22" t="s">
        <v>707</v>
      </c>
    </row>
    <row r="112" spans="1:62" x14ac:dyDescent="0.55000000000000004">
      <c r="A112" t="s">
        <v>881</v>
      </c>
      <c r="I112" t="s">
        <v>764</v>
      </c>
      <c r="J112" t="s">
        <v>763</v>
      </c>
      <c r="AI112" t="s">
        <v>847</v>
      </c>
      <c r="AJ112" s="18" t="s">
        <v>200</v>
      </c>
    </row>
    <row r="113" spans="1:62" x14ac:dyDescent="0.55000000000000004">
      <c r="A113" t="s">
        <v>392</v>
      </c>
      <c r="I113" t="s">
        <v>767</v>
      </c>
      <c r="J113" t="s">
        <v>766</v>
      </c>
      <c r="AI113" t="s">
        <v>392</v>
      </c>
      <c r="AJ113" s="22" t="s">
        <v>708</v>
      </c>
      <c r="BJ113" s="1"/>
    </row>
    <row r="114" spans="1:62" x14ac:dyDescent="0.55000000000000004">
      <c r="A114" t="s">
        <v>818</v>
      </c>
      <c r="I114" t="s">
        <v>770</v>
      </c>
      <c r="J114" t="s">
        <v>769</v>
      </c>
      <c r="AI114" t="s">
        <v>818</v>
      </c>
      <c r="AJ114" s="22" t="s">
        <v>711</v>
      </c>
    </row>
    <row r="115" spans="1:62" x14ac:dyDescent="0.55000000000000004">
      <c r="A115" t="s">
        <v>374</v>
      </c>
      <c r="I115" t="s">
        <v>211</v>
      </c>
      <c r="J115" t="s">
        <v>210</v>
      </c>
      <c r="AI115" t="s">
        <v>374</v>
      </c>
      <c r="AJ115" s="1" t="s">
        <v>461</v>
      </c>
    </row>
    <row r="116" spans="1:62" x14ac:dyDescent="0.55000000000000004">
      <c r="A116" t="s">
        <v>848</v>
      </c>
      <c r="I116" t="s">
        <v>214</v>
      </c>
      <c r="J116" t="s">
        <v>213</v>
      </c>
      <c r="AF116" s="18"/>
      <c r="AI116" t="s">
        <v>848</v>
      </c>
      <c r="AJ116" s="18" t="s">
        <v>432</v>
      </c>
    </row>
    <row r="117" spans="1:62" x14ac:dyDescent="0.55000000000000004">
      <c r="A117" t="s">
        <v>819</v>
      </c>
      <c r="I117" t="s">
        <v>217</v>
      </c>
      <c r="J117" t="s">
        <v>216</v>
      </c>
      <c r="AF117" s="18"/>
      <c r="AI117" t="s">
        <v>819</v>
      </c>
      <c r="AJ117" s="22" t="s">
        <v>714</v>
      </c>
    </row>
    <row r="118" spans="1:62" x14ac:dyDescent="0.55000000000000004">
      <c r="A118" t="s">
        <v>820</v>
      </c>
      <c r="I118" t="s">
        <v>776</v>
      </c>
      <c r="J118" t="s">
        <v>775</v>
      </c>
      <c r="AI118" t="s">
        <v>820</v>
      </c>
      <c r="AJ118" s="22" t="s">
        <v>717</v>
      </c>
    </row>
    <row r="119" spans="1:62" x14ac:dyDescent="0.55000000000000004">
      <c r="A119" t="s">
        <v>821</v>
      </c>
      <c r="I119" t="s">
        <v>779</v>
      </c>
      <c r="J119" t="s">
        <v>778</v>
      </c>
      <c r="AI119" t="s">
        <v>821</v>
      </c>
      <c r="AJ119" s="22" t="s">
        <v>720</v>
      </c>
    </row>
    <row r="120" spans="1:62" x14ac:dyDescent="0.55000000000000004">
      <c r="A120" t="s">
        <v>822</v>
      </c>
      <c r="I120" t="s">
        <v>782</v>
      </c>
      <c r="J120" t="s">
        <v>781</v>
      </c>
      <c r="AI120" t="s">
        <v>822</v>
      </c>
      <c r="AJ120" s="22" t="s">
        <v>723</v>
      </c>
    </row>
    <row r="121" spans="1:62" x14ac:dyDescent="0.55000000000000004">
      <c r="A121" t="s">
        <v>849</v>
      </c>
      <c r="I121" t="s">
        <v>220</v>
      </c>
      <c r="J121" t="s">
        <v>219</v>
      </c>
      <c r="AI121" t="s">
        <v>849</v>
      </c>
      <c r="AJ121" s="18" t="s">
        <v>472</v>
      </c>
    </row>
    <row r="122" spans="1:62" x14ac:dyDescent="0.55000000000000004">
      <c r="A122" t="s">
        <v>823</v>
      </c>
      <c r="I122" t="s">
        <v>786</v>
      </c>
      <c r="J122" t="s">
        <v>785</v>
      </c>
      <c r="AF122" s="18"/>
      <c r="AI122" t="s">
        <v>823</v>
      </c>
      <c r="AJ122" s="22" t="s">
        <v>726</v>
      </c>
    </row>
    <row r="123" spans="1:62" x14ac:dyDescent="0.55000000000000004">
      <c r="A123" t="s">
        <v>824</v>
      </c>
      <c r="I123" t="s">
        <v>789</v>
      </c>
      <c r="J123" t="s">
        <v>788</v>
      </c>
      <c r="AF123" s="18"/>
      <c r="AI123" t="s">
        <v>824</v>
      </c>
      <c r="AJ123" s="22" t="s">
        <v>729</v>
      </c>
    </row>
    <row r="124" spans="1:62" x14ac:dyDescent="0.55000000000000004">
      <c r="A124" t="s">
        <v>825</v>
      </c>
      <c r="AF124" s="18"/>
      <c r="AI124" t="s">
        <v>825</v>
      </c>
      <c r="AJ124" s="22" t="s">
        <v>732</v>
      </c>
    </row>
    <row r="125" spans="1:62" x14ac:dyDescent="0.55000000000000004">
      <c r="A125" t="s">
        <v>826</v>
      </c>
      <c r="AI125" t="s">
        <v>826</v>
      </c>
      <c r="AJ125" s="22" t="s">
        <v>735</v>
      </c>
    </row>
    <row r="126" spans="1:62" x14ac:dyDescent="0.55000000000000004">
      <c r="A126" t="s">
        <v>425</v>
      </c>
      <c r="AI126" t="s">
        <v>425</v>
      </c>
      <c r="AJ126" s="18" t="s">
        <v>736</v>
      </c>
    </row>
    <row r="127" spans="1:62" x14ac:dyDescent="0.55000000000000004">
      <c r="A127" t="s">
        <v>850</v>
      </c>
      <c r="AI127" t="s">
        <v>850</v>
      </c>
      <c r="AJ127" s="18" t="s">
        <v>433</v>
      </c>
    </row>
    <row r="128" spans="1:62" x14ac:dyDescent="0.55000000000000004">
      <c r="A128" t="s">
        <v>827</v>
      </c>
      <c r="AI128" t="s">
        <v>827</v>
      </c>
      <c r="AJ128" s="22" t="s">
        <v>739</v>
      </c>
    </row>
    <row r="129" spans="1:36" x14ac:dyDescent="0.55000000000000004">
      <c r="A129" t="s">
        <v>426</v>
      </c>
      <c r="AI129" t="s">
        <v>426</v>
      </c>
      <c r="AJ129" s="22" t="s">
        <v>740</v>
      </c>
    </row>
    <row r="130" spans="1:36" x14ac:dyDescent="0.55000000000000004">
      <c r="A130" t="s">
        <v>828</v>
      </c>
      <c r="AI130" t="s">
        <v>828</v>
      </c>
      <c r="AJ130" s="22" t="s">
        <v>743</v>
      </c>
    </row>
    <row r="131" spans="1:36" x14ac:dyDescent="0.55000000000000004">
      <c r="A131" t="s">
        <v>851</v>
      </c>
      <c r="AI131" t="s">
        <v>851</v>
      </c>
      <c r="AJ131" s="18" t="s">
        <v>473</v>
      </c>
    </row>
    <row r="132" spans="1:36" x14ac:dyDescent="0.55000000000000004">
      <c r="A132" t="s">
        <v>829</v>
      </c>
      <c r="AI132" t="s">
        <v>829</v>
      </c>
      <c r="AJ132" s="22" t="s">
        <v>746</v>
      </c>
    </row>
    <row r="133" spans="1:36" x14ac:dyDescent="0.55000000000000004">
      <c r="A133" t="s">
        <v>830</v>
      </c>
      <c r="AI133" t="s">
        <v>830</v>
      </c>
      <c r="AJ133" s="22" t="s">
        <v>749</v>
      </c>
    </row>
    <row r="134" spans="1:36" x14ac:dyDescent="0.55000000000000004">
      <c r="A134" t="s">
        <v>831</v>
      </c>
      <c r="AI134" t="s">
        <v>831</v>
      </c>
      <c r="AJ134" s="22" t="s">
        <v>752</v>
      </c>
    </row>
    <row r="135" spans="1:36" x14ac:dyDescent="0.55000000000000004">
      <c r="A135" t="s">
        <v>852</v>
      </c>
      <c r="AI135" t="s">
        <v>852</v>
      </c>
      <c r="AJ135" s="18" t="s">
        <v>208</v>
      </c>
    </row>
    <row r="136" spans="1:36" x14ac:dyDescent="0.55000000000000004">
      <c r="A136" t="s">
        <v>832</v>
      </c>
      <c r="AI136" t="s">
        <v>832</v>
      </c>
      <c r="AJ136" s="22" t="s">
        <v>755</v>
      </c>
    </row>
    <row r="137" spans="1:36" x14ac:dyDescent="0.55000000000000004">
      <c r="A137" t="s">
        <v>427</v>
      </c>
      <c r="AI137" t="s">
        <v>427</v>
      </c>
      <c r="AJ137" s="22" t="s">
        <v>756</v>
      </c>
    </row>
    <row r="138" spans="1:36" x14ac:dyDescent="0.55000000000000004">
      <c r="A138" t="s">
        <v>853</v>
      </c>
      <c r="AI138" t="s">
        <v>853</v>
      </c>
      <c r="AJ138" s="18" t="s">
        <v>209</v>
      </c>
    </row>
    <row r="139" spans="1:36" x14ac:dyDescent="0.55000000000000004">
      <c r="A139" t="s">
        <v>833</v>
      </c>
      <c r="AI139" t="s">
        <v>833</v>
      </c>
      <c r="AJ139" s="22" t="s">
        <v>759</v>
      </c>
    </row>
    <row r="140" spans="1:36" x14ac:dyDescent="0.55000000000000004">
      <c r="A140" t="s">
        <v>834</v>
      </c>
      <c r="AI140" t="s">
        <v>834</v>
      </c>
      <c r="AJ140" s="22" t="s">
        <v>762</v>
      </c>
    </row>
    <row r="141" spans="1:36" x14ac:dyDescent="0.55000000000000004">
      <c r="A141" t="s">
        <v>835</v>
      </c>
      <c r="AI141" t="s">
        <v>835</v>
      </c>
      <c r="AJ141" s="22" t="s">
        <v>765</v>
      </c>
    </row>
    <row r="142" spans="1:36" x14ac:dyDescent="0.55000000000000004">
      <c r="A142" t="s">
        <v>836</v>
      </c>
      <c r="AI142" t="s">
        <v>836</v>
      </c>
      <c r="AJ142" s="22" t="s">
        <v>768</v>
      </c>
    </row>
    <row r="143" spans="1:36" x14ac:dyDescent="0.55000000000000004">
      <c r="A143" t="s">
        <v>837</v>
      </c>
      <c r="AI143" t="s">
        <v>837</v>
      </c>
      <c r="AJ143" s="22" t="s">
        <v>771</v>
      </c>
    </row>
    <row r="144" spans="1:36" x14ac:dyDescent="0.55000000000000004">
      <c r="A144" t="s">
        <v>393</v>
      </c>
      <c r="AI144" t="s">
        <v>393</v>
      </c>
      <c r="AJ144" s="18" t="s">
        <v>772</v>
      </c>
    </row>
    <row r="145" spans="1:36" x14ac:dyDescent="0.55000000000000004">
      <c r="A145" t="s">
        <v>394</v>
      </c>
      <c r="AI145" t="s">
        <v>394</v>
      </c>
      <c r="AJ145" s="18" t="s">
        <v>773</v>
      </c>
    </row>
    <row r="146" spans="1:36" x14ac:dyDescent="0.55000000000000004">
      <c r="A146" t="s">
        <v>395</v>
      </c>
      <c r="AI146" t="s">
        <v>395</v>
      </c>
      <c r="AJ146" s="18" t="s">
        <v>774</v>
      </c>
    </row>
    <row r="147" spans="1:36" x14ac:dyDescent="0.55000000000000004">
      <c r="A147" t="s">
        <v>854</v>
      </c>
      <c r="AI147" t="s">
        <v>854</v>
      </c>
      <c r="AJ147" s="18" t="s">
        <v>221</v>
      </c>
    </row>
    <row r="148" spans="1:36" x14ac:dyDescent="0.55000000000000004">
      <c r="A148" t="s">
        <v>838</v>
      </c>
      <c r="AI148" t="s">
        <v>838</v>
      </c>
      <c r="AJ148" s="22" t="s">
        <v>777</v>
      </c>
    </row>
    <row r="149" spans="1:36" x14ac:dyDescent="0.55000000000000004">
      <c r="A149" t="s">
        <v>839</v>
      </c>
      <c r="AI149" t="s">
        <v>839</v>
      </c>
      <c r="AJ149" s="22" t="s">
        <v>780</v>
      </c>
    </row>
    <row r="150" spans="1:36" x14ac:dyDescent="0.55000000000000004">
      <c r="A150" t="s">
        <v>840</v>
      </c>
      <c r="AI150" t="s">
        <v>840</v>
      </c>
      <c r="AJ150" s="22" t="s">
        <v>783</v>
      </c>
    </row>
    <row r="151" spans="1:36" x14ac:dyDescent="0.55000000000000004">
      <c r="A151" t="s">
        <v>396</v>
      </c>
      <c r="AI151" t="s">
        <v>396</v>
      </c>
      <c r="AJ151" s="22" t="s">
        <v>784</v>
      </c>
    </row>
    <row r="152" spans="1:36" x14ac:dyDescent="0.55000000000000004">
      <c r="A152" t="s">
        <v>841</v>
      </c>
      <c r="AI152" t="s">
        <v>841</v>
      </c>
      <c r="AJ152" s="22" t="s">
        <v>787</v>
      </c>
    </row>
    <row r="153" spans="1:36" x14ac:dyDescent="0.55000000000000004">
      <c r="A153" t="s">
        <v>842</v>
      </c>
      <c r="AI153" t="s">
        <v>842</v>
      </c>
      <c r="AJ153" s="22" t="s">
        <v>790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 tint="0.249977111117893"/>
  </sheetPr>
  <dimension ref="A1:EE111"/>
  <sheetViews>
    <sheetView zoomScale="85" zoomScaleNormal="85" workbookViewId="0">
      <pane xSplit="1" ySplit="7" topLeftCell="CM8" activePane="bottomRight" state="frozen"/>
      <selection activeCell="E42" sqref="E42"/>
      <selection pane="topRight" activeCell="E42" sqref="E42"/>
      <selection pane="bottomLeft" activeCell="E42" sqref="E42"/>
      <selection pane="bottomRight" activeCell="E42" sqref="E42"/>
    </sheetView>
  </sheetViews>
  <sheetFormatPr defaultRowHeight="14.4" x14ac:dyDescent="0.55000000000000004"/>
  <sheetData>
    <row r="1" spans="1:135" ht="18.3" x14ac:dyDescent="0.7">
      <c r="A1" s="3" t="s">
        <v>397</v>
      </c>
    </row>
    <row r="7" spans="1:135" x14ac:dyDescent="0.55000000000000004">
      <c r="B7" t="s">
        <v>360</v>
      </c>
      <c r="C7" t="s">
        <v>361</v>
      </c>
      <c r="D7" t="s">
        <v>362</v>
      </c>
      <c r="E7" t="s">
        <v>434</v>
      </c>
      <c r="F7" t="s">
        <v>435</v>
      </c>
      <c r="G7" t="s">
        <v>398</v>
      </c>
      <c r="H7" t="s">
        <v>363</v>
      </c>
      <c r="I7" t="s">
        <v>400</v>
      </c>
      <c r="J7" t="s">
        <v>399</v>
      </c>
      <c r="K7" t="s">
        <v>365</v>
      </c>
      <c r="L7" t="s">
        <v>404</v>
      </c>
      <c r="M7" t="s">
        <v>405</v>
      </c>
      <c r="N7" t="s">
        <v>403</v>
      </c>
      <c r="O7" t="s">
        <v>368</v>
      </c>
      <c r="P7" t="s">
        <v>796</v>
      </c>
      <c r="Q7" t="s">
        <v>797</v>
      </c>
      <c r="R7" t="s">
        <v>406</v>
      </c>
      <c r="S7" t="s">
        <v>798</v>
      </c>
      <c r="T7" t="s">
        <v>799</v>
      </c>
      <c r="U7" t="s">
        <v>800</v>
      </c>
      <c r="V7" t="s">
        <v>373</v>
      </c>
      <c r="W7" t="s">
        <v>401</v>
      </c>
      <c r="X7" t="s">
        <v>801</v>
      </c>
      <c r="Y7" t="s">
        <v>402</v>
      </c>
      <c r="Z7" t="s">
        <v>375</v>
      </c>
      <c r="AA7" t="s">
        <v>408</v>
      </c>
      <c r="AB7" t="s">
        <v>370</v>
      </c>
      <c r="AC7" t="s">
        <v>407</v>
      </c>
      <c r="AD7" t="s">
        <v>802</v>
      </c>
      <c r="AE7" t="s">
        <v>376</v>
      </c>
      <c r="AF7" t="s">
        <v>364</v>
      </c>
      <c r="AG7" t="s">
        <v>377</v>
      </c>
      <c r="AH7" t="s">
        <v>411</v>
      </c>
      <c r="AI7" t="s">
        <v>378</v>
      </c>
      <c r="AJ7" t="s">
        <v>379</v>
      </c>
      <c r="AK7" t="s">
        <v>409</v>
      </c>
      <c r="AL7" t="s">
        <v>410</v>
      </c>
      <c r="AM7" t="s">
        <v>803</v>
      </c>
      <c r="AN7" t="s">
        <v>804</v>
      </c>
      <c r="AO7" t="s">
        <v>366</v>
      </c>
      <c r="AP7" t="s">
        <v>843</v>
      </c>
      <c r="AQ7" t="s">
        <v>805</v>
      </c>
      <c r="AR7" t="s">
        <v>806</v>
      </c>
      <c r="AS7" t="s">
        <v>380</v>
      </c>
      <c r="AT7" t="s">
        <v>381</v>
      </c>
      <c r="AU7" t="s">
        <v>367</v>
      </c>
      <c r="AV7" t="s">
        <v>369</v>
      </c>
      <c r="AW7" t="s">
        <v>428</v>
      </c>
      <c r="AX7" t="s">
        <v>412</v>
      </c>
      <c r="AY7" t="s">
        <v>807</v>
      </c>
      <c r="AZ7" t="s">
        <v>413</v>
      </c>
      <c r="BA7" t="s">
        <v>371</v>
      </c>
      <c r="BB7" t="s">
        <v>436</v>
      </c>
      <c r="BC7" t="s">
        <v>382</v>
      </c>
      <c r="BD7" t="s">
        <v>414</v>
      </c>
      <c r="BE7" t="s">
        <v>416</v>
      </c>
      <c r="BF7" t="s">
        <v>417</v>
      </c>
      <c r="BG7" t="s">
        <v>415</v>
      </c>
      <c r="BH7" t="s">
        <v>383</v>
      </c>
      <c r="BI7" t="s">
        <v>808</v>
      </c>
      <c r="BJ7" t="s">
        <v>418</v>
      </c>
      <c r="BK7" t="s">
        <v>384</v>
      </c>
      <c r="BL7" t="s">
        <v>465</v>
      </c>
      <c r="BM7" t="s">
        <v>809</v>
      </c>
      <c r="BN7" t="s">
        <v>385</v>
      </c>
      <c r="BO7" t="s">
        <v>419</v>
      </c>
      <c r="BP7" t="s">
        <v>386</v>
      </c>
      <c r="BQ7" t="s">
        <v>437</v>
      </c>
      <c r="BR7" t="s">
        <v>387</v>
      </c>
      <c r="BS7" t="s">
        <v>810</v>
      </c>
      <c r="BT7" t="s">
        <v>438</v>
      </c>
      <c r="BU7" t="s">
        <v>420</v>
      </c>
      <c r="BV7" t="s">
        <v>388</v>
      </c>
      <c r="BW7" t="s">
        <v>811</v>
      </c>
      <c r="BX7" t="s">
        <v>812</v>
      </c>
      <c r="BY7" t="s">
        <v>845</v>
      </c>
      <c r="BZ7" t="s">
        <v>421</v>
      </c>
      <c r="CA7" t="s">
        <v>813</v>
      </c>
      <c r="CB7" t="s">
        <v>814</v>
      </c>
      <c r="CC7" t="s">
        <v>439</v>
      </c>
      <c r="CD7" t="s">
        <v>422</v>
      </c>
      <c r="CE7" t="s">
        <v>389</v>
      </c>
      <c r="CF7" t="s">
        <v>423</v>
      </c>
      <c r="CG7" t="s">
        <v>844</v>
      </c>
      <c r="CH7" t="s">
        <v>815</v>
      </c>
      <c r="CI7" t="s">
        <v>390</v>
      </c>
      <c r="CJ7" t="s">
        <v>816</v>
      </c>
      <c r="CK7" t="s">
        <v>372</v>
      </c>
      <c r="CL7" t="s">
        <v>846</v>
      </c>
      <c r="CM7" t="s">
        <v>391</v>
      </c>
      <c r="CN7" t="s">
        <v>424</v>
      </c>
      <c r="CO7" t="s">
        <v>817</v>
      </c>
      <c r="CP7" t="s">
        <v>881</v>
      </c>
      <c r="CQ7" t="s">
        <v>392</v>
      </c>
      <c r="CR7" t="s">
        <v>818</v>
      </c>
      <c r="CS7" t="s">
        <v>374</v>
      </c>
      <c r="CT7" t="s">
        <v>848</v>
      </c>
      <c r="CU7" t="s">
        <v>819</v>
      </c>
      <c r="CV7" t="s">
        <v>820</v>
      </c>
      <c r="CW7" t="s">
        <v>821</v>
      </c>
      <c r="CX7" t="s">
        <v>822</v>
      </c>
      <c r="CY7" t="s">
        <v>849</v>
      </c>
      <c r="CZ7" t="s">
        <v>823</v>
      </c>
      <c r="DA7" t="s">
        <v>824</v>
      </c>
      <c r="DB7" t="s">
        <v>825</v>
      </c>
      <c r="DC7" t="s">
        <v>826</v>
      </c>
      <c r="DD7" t="s">
        <v>425</v>
      </c>
      <c r="DE7" t="s">
        <v>850</v>
      </c>
      <c r="DF7" t="s">
        <v>827</v>
      </c>
      <c r="DG7" t="s">
        <v>426</v>
      </c>
      <c r="DH7" t="s">
        <v>828</v>
      </c>
      <c r="DI7" t="s">
        <v>851</v>
      </c>
      <c r="DJ7" t="s">
        <v>829</v>
      </c>
      <c r="DK7" t="s">
        <v>830</v>
      </c>
      <c r="DL7" t="s">
        <v>831</v>
      </c>
      <c r="DM7" t="s">
        <v>852</v>
      </c>
      <c r="DN7" t="s">
        <v>832</v>
      </c>
      <c r="DO7" t="s">
        <v>427</v>
      </c>
      <c r="DP7" t="s">
        <v>853</v>
      </c>
      <c r="DQ7" t="s">
        <v>833</v>
      </c>
      <c r="DR7" t="s">
        <v>834</v>
      </c>
      <c r="DS7" t="s">
        <v>835</v>
      </c>
      <c r="DT7" t="s">
        <v>836</v>
      </c>
      <c r="DU7" t="s">
        <v>837</v>
      </c>
      <c r="DV7" t="s">
        <v>393</v>
      </c>
      <c r="DW7" t="s">
        <v>394</v>
      </c>
      <c r="DX7" t="s">
        <v>395</v>
      </c>
      <c r="DY7" t="s">
        <v>854</v>
      </c>
      <c r="DZ7" t="s">
        <v>838</v>
      </c>
      <c r="EA7" t="s">
        <v>839</v>
      </c>
      <c r="EB7" t="s">
        <v>840</v>
      </c>
      <c r="EC7" t="s">
        <v>396</v>
      </c>
      <c r="ED7" t="s">
        <v>841</v>
      </c>
      <c r="EE7" t="s">
        <v>842</v>
      </c>
    </row>
    <row r="8" spans="1:135" x14ac:dyDescent="0.55000000000000004">
      <c r="A8" t="s">
        <v>18</v>
      </c>
      <c r="B8">
        <v>1</v>
      </c>
      <c r="C8">
        <v>1</v>
      </c>
      <c r="D8">
        <v>1</v>
      </c>
      <c r="E8">
        <v>1</v>
      </c>
      <c r="G8">
        <v>1</v>
      </c>
    </row>
    <row r="9" spans="1:135" x14ac:dyDescent="0.55000000000000004">
      <c r="A9" t="s">
        <v>9</v>
      </c>
      <c r="B9">
        <v>1</v>
      </c>
      <c r="C9">
        <v>1</v>
      </c>
      <c r="D9">
        <v>1</v>
      </c>
      <c r="E9">
        <v>1</v>
      </c>
      <c r="H9">
        <v>1</v>
      </c>
    </row>
    <row r="10" spans="1:135" x14ac:dyDescent="0.55000000000000004">
      <c r="A10" t="s">
        <v>34</v>
      </c>
      <c r="B10">
        <v>1</v>
      </c>
      <c r="C10">
        <v>1</v>
      </c>
      <c r="D10">
        <v>1</v>
      </c>
      <c r="E10">
        <v>1</v>
      </c>
      <c r="I10">
        <v>1</v>
      </c>
    </row>
    <row r="11" spans="1:135" x14ac:dyDescent="0.55000000000000004">
      <c r="A11" t="s">
        <v>26</v>
      </c>
      <c r="B11">
        <v>1</v>
      </c>
      <c r="C11">
        <v>1</v>
      </c>
      <c r="D11">
        <v>1</v>
      </c>
      <c r="E11">
        <v>1</v>
      </c>
      <c r="J11">
        <v>1</v>
      </c>
    </row>
    <row r="12" spans="1:135" x14ac:dyDescent="0.55000000000000004">
      <c r="A12" t="s">
        <v>41</v>
      </c>
      <c r="B12">
        <v>1</v>
      </c>
      <c r="C12">
        <v>1</v>
      </c>
      <c r="D12">
        <v>1</v>
      </c>
      <c r="E12">
        <v>1</v>
      </c>
      <c r="K12">
        <v>1</v>
      </c>
    </row>
    <row r="13" spans="1:135" x14ac:dyDescent="0.55000000000000004">
      <c r="A13" t="s">
        <v>77</v>
      </c>
      <c r="B13">
        <v>1</v>
      </c>
      <c r="C13">
        <v>1</v>
      </c>
      <c r="D13">
        <v>1</v>
      </c>
      <c r="E13">
        <v>1</v>
      </c>
      <c r="L13">
        <v>1</v>
      </c>
    </row>
    <row r="14" spans="1:135" x14ac:dyDescent="0.55000000000000004">
      <c r="A14" t="s">
        <v>85</v>
      </c>
      <c r="B14">
        <v>1</v>
      </c>
      <c r="C14">
        <v>1</v>
      </c>
      <c r="D14">
        <v>1</v>
      </c>
      <c r="E14">
        <v>1</v>
      </c>
      <c r="M14">
        <v>1</v>
      </c>
    </row>
    <row r="15" spans="1:135" x14ac:dyDescent="0.55000000000000004">
      <c r="A15" t="s">
        <v>70</v>
      </c>
      <c r="B15">
        <v>1</v>
      </c>
      <c r="C15">
        <v>1</v>
      </c>
      <c r="D15">
        <v>1</v>
      </c>
      <c r="E15">
        <v>1</v>
      </c>
      <c r="N15">
        <v>1</v>
      </c>
    </row>
    <row r="16" spans="1:135" x14ac:dyDescent="0.55000000000000004">
      <c r="A16" t="s">
        <v>93</v>
      </c>
      <c r="B16">
        <v>1</v>
      </c>
      <c r="C16">
        <v>1</v>
      </c>
      <c r="D16">
        <v>1</v>
      </c>
      <c r="E16">
        <v>1</v>
      </c>
      <c r="O16">
        <v>1</v>
      </c>
    </row>
    <row r="17" spans="1:31" x14ac:dyDescent="0.55000000000000004">
      <c r="A17" t="s">
        <v>577</v>
      </c>
      <c r="B17">
        <v>1</v>
      </c>
      <c r="C17">
        <v>1</v>
      </c>
      <c r="D17">
        <v>1</v>
      </c>
      <c r="E17">
        <v>1</v>
      </c>
      <c r="P17">
        <v>1</v>
      </c>
    </row>
    <row r="18" spans="1:31" x14ac:dyDescent="0.55000000000000004">
      <c r="A18" t="s">
        <v>583</v>
      </c>
      <c r="B18">
        <v>1</v>
      </c>
      <c r="C18">
        <v>1</v>
      </c>
      <c r="D18">
        <v>1</v>
      </c>
      <c r="E18">
        <v>1</v>
      </c>
      <c r="Q18">
        <v>1</v>
      </c>
    </row>
    <row r="19" spans="1:31" x14ac:dyDescent="0.55000000000000004">
      <c r="A19" t="s">
        <v>107</v>
      </c>
      <c r="B19">
        <v>1</v>
      </c>
      <c r="C19">
        <v>1</v>
      </c>
      <c r="D19">
        <v>1</v>
      </c>
      <c r="E19">
        <v>1</v>
      </c>
      <c r="R19">
        <v>1</v>
      </c>
    </row>
    <row r="20" spans="1:31" x14ac:dyDescent="0.55000000000000004">
      <c r="A20" t="s">
        <v>593</v>
      </c>
      <c r="B20">
        <v>1</v>
      </c>
      <c r="C20">
        <v>1</v>
      </c>
      <c r="D20">
        <v>1</v>
      </c>
      <c r="E20">
        <v>1</v>
      </c>
      <c r="S20">
        <v>1</v>
      </c>
    </row>
    <row r="21" spans="1:31" x14ac:dyDescent="0.55000000000000004">
      <c r="A21" t="s">
        <v>597</v>
      </c>
      <c r="B21">
        <v>1</v>
      </c>
      <c r="C21">
        <v>1</v>
      </c>
      <c r="D21">
        <v>1</v>
      </c>
      <c r="E21">
        <v>1</v>
      </c>
      <c r="T21">
        <v>1</v>
      </c>
    </row>
    <row r="22" spans="1:31" x14ac:dyDescent="0.55000000000000004">
      <c r="A22" t="s">
        <v>601</v>
      </c>
      <c r="B22">
        <v>1</v>
      </c>
      <c r="C22">
        <v>1</v>
      </c>
      <c r="D22">
        <v>1</v>
      </c>
      <c r="E22">
        <v>1</v>
      </c>
      <c r="U22">
        <v>1</v>
      </c>
    </row>
    <row r="23" spans="1:31" x14ac:dyDescent="0.55000000000000004">
      <c r="A23" t="s">
        <v>119</v>
      </c>
      <c r="B23">
        <v>1</v>
      </c>
      <c r="C23">
        <v>1</v>
      </c>
      <c r="D23">
        <v>1</v>
      </c>
      <c r="E23">
        <v>1</v>
      </c>
      <c r="V23">
        <v>1</v>
      </c>
    </row>
    <row r="24" spans="1:31" x14ac:dyDescent="0.55000000000000004">
      <c r="A24" t="s">
        <v>54</v>
      </c>
      <c r="B24">
        <v>1</v>
      </c>
      <c r="C24">
        <v>1</v>
      </c>
      <c r="D24">
        <v>1</v>
      </c>
      <c r="E24">
        <v>1</v>
      </c>
      <c r="W24">
        <v>1</v>
      </c>
    </row>
    <row r="25" spans="1:31" x14ac:dyDescent="0.55000000000000004">
      <c r="A25" t="s">
        <v>614</v>
      </c>
      <c r="B25">
        <v>1</v>
      </c>
      <c r="C25">
        <v>1</v>
      </c>
      <c r="D25">
        <v>1</v>
      </c>
      <c r="E25">
        <v>1</v>
      </c>
      <c r="X25">
        <v>1</v>
      </c>
    </row>
    <row r="26" spans="1:31" x14ac:dyDescent="0.55000000000000004">
      <c r="A26" t="s">
        <v>62</v>
      </c>
      <c r="B26">
        <v>1</v>
      </c>
      <c r="C26">
        <v>1</v>
      </c>
      <c r="D26">
        <v>1</v>
      </c>
      <c r="E26">
        <v>1</v>
      </c>
      <c r="Y26">
        <v>1</v>
      </c>
    </row>
    <row r="27" spans="1:31" x14ac:dyDescent="0.55000000000000004">
      <c r="A27" t="s">
        <v>123</v>
      </c>
      <c r="B27">
        <v>1</v>
      </c>
      <c r="C27">
        <v>1</v>
      </c>
      <c r="D27">
        <v>1</v>
      </c>
      <c r="F27">
        <v>1</v>
      </c>
      <c r="Z27">
        <v>1</v>
      </c>
    </row>
    <row r="28" spans="1:31" x14ac:dyDescent="0.55000000000000004">
      <c r="A28" t="s">
        <v>121</v>
      </c>
      <c r="B28">
        <v>1</v>
      </c>
      <c r="C28">
        <v>1</v>
      </c>
      <c r="D28">
        <v>1</v>
      </c>
      <c r="F28">
        <v>1</v>
      </c>
      <c r="AA28">
        <v>1</v>
      </c>
    </row>
    <row r="29" spans="1:31" x14ac:dyDescent="0.55000000000000004">
      <c r="A29" t="s">
        <v>115</v>
      </c>
      <c r="B29">
        <v>1</v>
      </c>
      <c r="C29">
        <v>1</v>
      </c>
      <c r="D29">
        <v>1</v>
      </c>
      <c r="F29">
        <v>1</v>
      </c>
      <c r="AB29">
        <v>1</v>
      </c>
    </row>
    <row r="30" spans="1:31" x14ac:dyDescent="0.55000000000000004">
      <c r="A30" t="s">
        <v>111</v>
      </c>
      <c r="B30">
        <v>1</v>
      </c>
      <c r="C30">
        <v>1</v>
      </c>
      <c r="D30">
        <v>1</v>
      </c>
      <c r="F30">
        <v>1</v>
      </c>
      <c r="AC30">
        <v>1</v>
      </c>
    </row>
    <row r="31" spans="1:31" x14ac:dyDescent="0.55000000000000004">
      <c r="A31" t="s">
        <v>628</v>
      </c>
      <c r="B31">
        <v>1</v>
      </c>
      <c r="C31">
        <v>1</v>
      </c>
      <c r="D31">
        <v>1</v>
      </c>
      <c r="F31">
        <v>1</v>
      </c>
      <c r="AD31">
        <v>1</v>
      </c>
    </row>
    <row r="32" spans="1:31" x14ac:dyDescent="0.55000000000000004">
      <c r="A32" t="s">
        <v>126</v>
      </c>
      <c r="B32">
        <v>1</v>
      </c>
      <c r="C32">
        <v>1</v>
      </c>
      <c r="D32">
        <v>1</v>
      </c>
      <c r="F32">
        <v>1</v>
      </c>
      <c r="AE32">
        <v>1</v>
      </c>
    </row>
    <row r="33" spans="1:55" x14ac:dyDescent="0.55000000000000004">
      <c r="A33" t="s">
        <v>129</v>
      </c>
      <c r="B33">
        <v>1</v>
      </c>
      <c r="C33">
        <v>1</v>
      </c>
      <c r="AF33">
        <v>1</v>
      </c>
      <c r="AG33">
        <v>1</v>
      </c>
    </row>
    <row r="34" spans="1:55" x14ac:dyDescent="0.55000000000000004">
      <c r="A34" t="s">
        <v>139</v>
      </c>
      <c r="B34">
        <v>1</v>
      </c>
      <c r="C34">
        <v>1</v>
      </c>
      <c r="AF34">
        <v>1</v>
      </c>
      <c r="AH34">
        <v>1</v>
      </c>
    </row>
    <row r="35" spans="1:55" x14ac:dyDescent="0.55000000000000004">
      <c r="A35" t="s">
        <v>134</v>
      </c>
      <c r="B35">
        <v>1</v>
      </c>
      <c r="C35">
        <v>1</v>
      </c>
      <c r="AF35">
        <v>1</v>
      </c>
      <c r="AI35">
        <v>1</v>
      </c>
    </row>
    <row r="36" spans="1:55" x14ac:dyDescent="0.55000000000000004">
      <c r="A36" t="s">
        <v>141</v>
      </c>
      <c r="B36">
        <v>1</v>
      </c>
      <c r="C36">
        <v>1</v>
      </c>
      <c r="AF36">
        <v>1</v>
      </c>
      <c r="AJ36">
        <v>1</v>
      </c>
    </row>
    <row r="37" spans="1:55" x14ac:dyDescent="0.55000000000000004">
      <c r="A37" t="s">
        <v>132</v>
      </c>
      <c r="B37">
        <v>1</v>
      </c>
      <c r="C37">
        <v>1</v>
      </c>
      <c r="AF37">
        <v>1</v>
      </c>
      <c r="AK37">
        <v>1</v>
      </c>
    </row>
    <row r="38" spans="1:55" x14ac:dyDescent="0.55000000000000004">
      <c r="A38" t="s">
        <v>137</v>
      </c>
      <c r="B38">
        <v>1</v>
      </c>
      <c r="C38">
        <v>1</v>
      </c>
      <c r="AF38">
        <v>1</v>
      </c>
      <c r="AL38">
        <v>1</v>
      </c>
    </row>
    <row r="39" spans="1:55" x14ac:dyDescent="0.55000000000000004">
      <c r="A39" t="s">
        <v>638</v>
      </c>
      <c r="B39">
        <v>1</v>
      </c>
      <c r="C39">
        <v>1</v>
      </c>
      <c r="AF39">
        <v>1</v>
      </c>
      <c r="AM39">
        <v>1</v>
      </c>
    </row>
    <row r="40" spans="1:55" x14ac:dyDescent="0.55000000000000004">
      <c r="A40" t="s">
        <v>641</v>
      </c>
      <c r="B40">
        <v>1</v>
      </c>
      <c r="C40">
        <v>1</v>
      </c>
      <c r="AF40">
        <v>1</v>
      </c>
      <c r="AN40">
        <v>1</v>
      </c>
    </row>
    <row r="41" spans="1:55" x14ac:dyDescent="0.55000000000000004">
      <c r="A41" t="s">
        <v>644</v>
      </c>
      <c r="B41">
        <v>1</v>
      </c>
      <c r="C41">
        <v>1</v>
      </c>
      <c r="AO41">
        <v>1</v>
      </c>
      <c r="AP41">
        <v>1</v>
      </c>
      <c r="AQ41">
        <v>1</v>
      </c>
    </row>
    <row r="42" spans="1:55" x14ac:dyDescent="0.55000000000000004">
      <c r="A42" t="s">
        <v>647</v>
      </c>
      <c r="B42">
        <v>1</v>
      </c>
      <c r="C42">
        <v>1</v>
      </c>
      <c r="AO42">
        <v>1</v>
      </c>
      <c r="AP42">
        <v>1</v>
      </c>
      <c r="AR42">
        <v>1</v>
      </c>
    </row>
    <row r="43" spans="1:55" x14ac:dyDescent="0.55000000000000004">
      <c r="A43" t="s">
        <v>144</v>
      </c>
      <c r="B43">
        <v>1</v>
      </c>
      <c r="C43">
        <v>1</v>
      </c>
      <c r="AO43">
        <v>1</v>
      </c>
      <c r="AP43">
        <v>1</v>
      </c>
      <c r="AS43">
        <v>1</v>
      </c>
    </row>
    <row r="44" spans="1:55" x14ac:dyDescent="0.55000000000000004">
      <c r="A44" t="s">
        <v>147</v>
      </c>
      <c r="B44">
        <v>1</v>
      </c>
      <c r="C44">
        <v>1</v>
      </c>
      <c r="AO44">
        <v>1</v>
      </c>
      <c r="AT44">
        <v>1</v>
      </c>
    </row>
    <row r="45" spans="1:55" x14ac:dyDescent="0.55000000000000004">
      <c r="A45" t="s">
        <v>149</v>
      </c>
      <c r="B45">
        <v>1</v>
      </c>
      <c r="AU45">
        <v>1</v>
      </c>
      <c r="AV45">
        <v>1</v>
      </c>
      <c r="AW45">
        <v>1</v>
      </c>
      <c r="AX45">
        <v>1</v>
      </c>
    </row>
    <row r="46" spans="1:55" x14ac:dyDescent="0.55000000000000004">
      <c r="A46" t="s">
        <v>653</v>
      </c>
      <c r="B46">
        <v>1</v>
      </c>
      <c r="AU46">
        <v>1</v>
      </c>
      <c r="AV46">
        <v>1</v>
      </c>
      <c r="AW46">
        <v>1</v>
      </c>
      <c r="AY46">
        <v>1</v>
      </c>
    </row>
    <row r="47" spans="1:55" x14ac:dyDescent="0.55000000000000004">
      <c r="A47" t="s">
        <v>151</v>
      </c>
      <c r="B47">
        <v>1</v>
      </c>
      <c r="AU47">
        <v>1</v>
      </c>
      <c r="AV47">
        <v>1</v>
      </c>
      <c r="AW47">
        <v>1</v>
      </c>
      <c r="AZ47">
        <v>1</v>
      </c>
    </row>
    <row r="48" spans="1:55" x14ac:dyDescent="0.55000000000000004">
      <c r="A48" t="s">
        <v>153</v>
      </c>
      <c r="B48">
        <v>1</v>
      </c>
      <c r="AU48">
        <v>1</v>
      </c>
      <c r="AV48">
        <v>1</v>
      </c>
      <c r="BA48">
        <v>1</v>
      </c>
      <c r="BB48">
        <v>1</v>
      </c>
      <c r="BC48">
        <v>1</v>
      </c>
    </row>
    <row r="49" spans="1:74" x14ac:dyDescent="0.55000000000000004">
      <c r="A49" t="s">
        <v>155</v>
      </c>
      <c r="B49">
        <v>1</v>
      </c>
      <c r="AU49">
        <v>1</v>
      </c>
      <c r="AV49">
        <v>1</v>
      </c>
      <c r="BA49">
        <v>1</v>
      </c>
      <c r="BB49">
        <v>1</v>
      </c>
      <c r="BD49">
        <v>1</v>
      </c>
    </row>
    <row r="50" spans="1:74" x14ac:dyDescent="0.55000000000000004">
      <c r="A50" t="s">
        <v>159</v>
      </c>
      <c r="B50">
        <v>1</v>
      </c>
      <c r="AU50">
        <v>1</v>
      </c>
      <c r="AV50">
        <v>1</v>
      </c>
      <c r="BA50">
        <v>1</v>
      </c>
      <c r="BB50">
        <v>1</v>
      </c>
      <c r="BE50">
        <v>1</v>
      </c>
    </row>
    <row r="51" spans="1:74" x14ac:dyDescent="0.55000000000000004">
      <c r="A51" t="s">
        <v>161</v>
      </c>
      <c r="B51">
        <v>1</v>
      </c>
      <c r="AU51">
        <v>1</v>
      </c>
      <c r="AV51">
        <v>1</v>
      </c>
      <c r="BA51">
        <v>1</v>
      </c>
      <c r="BB51">
        <v>1</v>
      </c>
      <c r="BF51">
        <v>1</v>
      </c>
    </row>
    <row r="52" spans="1:74" x14ac:dyDescent="0.55000000000000004">
      <c r="A52" t="s">
        <v>157</v>
      </c>
      <c r="B52">
        <v>1</v>
      </c>
      <c r="AU52">
        <v>1</v>
      </c>
      <c r="AV52">
        <v>1</v>
      </c>
      <c r="BA52">
        <v>1</v>
      </c>
      <c r="BB52">
        <v>1</v>
      </c>
      <c r="BG52">
        <v>1</v>
      </c>
    </row>
    <row r="53" spans="1:74" x14ac:dyDescent="0.55000000000000004">
      <c r="A53" t="s">
        <v>163</v>
      </c>
      <c r="B53">
        <v>1</v>
      </c>
      <c r="AU53">
        <v>1</v>
      </c>
      <c r="AV53">
        <v>1</v>
      </c>
      <c r="BA53">
        <v>1</v>
      </c>
      <c r="BB53">
        <v>1</v>
      </c>
      <c r="BH53">
        <v>1</v>
      </c>
    </row>
    <row r="54" spans="1:74" x14ac:dyDescent="0.55000000000000004">
      <c r="A54" t="s">
        <v>663</v>
      </c>
      <c r="B54">
        <v>1</v>
      </c>
      <c r="AU54">
        <v>1</v>
      </c>
      <c r="AV54">
        <v>1</v>
      </c>
      <c r="BA54">
        <v>1</v>
      </c>
      <c r="BB54">
        <v>1</v>
      </c>
      <c r="BI54">
        <v>1</v>
      </c>
    </row>
    <row r="55" spans="1:74" x14ac:dyDescent="0.55000000000000004">
      <c r="A55" t="s">
        <v>168</v>
      </c>
      <c r="B55">
        <v>1</v>
      </c>
      <c r="AU55">
        <v>1</v>
      </c>
      <c r="AV55">
        <v>1</v>
      </c>
      <c r="BA55">
        <v>1</v>
      </c>
      <c r="BB55">
        <v>1</v>
      </c>
      <c r="BJ55">
        <v>1</v>
      </c>
    </row>
    <row r="56" spans="1:74" x14ac:dyDescent="0.55000000000000004">
      <c r="A56" t="s">
        <v>165</v>
      </c>
      <c r="B56">
        <v>1</v>
      </c>
      <c r="AU56">
        <v>1</v>
      </c>
      <c r="AV56">
        <v>1</v>
      </c>
      <c r="BA56">
        <v>1</v>
      </c>
      <c r="BB56">
        <v>1</v>
      </c>
      <c r="BK56">
        <v>1</v>
      </c>
    </row>
    <row r="57" spans="1:74" x14ac:dyDescent="0.55000000000000004">
      <c r="A57" t="s">
        <v>668</v>
      </c>
      <c r="B57">
        <v>1</v>
      </c>
      <c r="AU57">
        <v>1</v>
      </c>
      <c r="AV57">
        <v>1</v>
      </c>
      <c r="BA57">
        <v>1</v>
      </c>
      <c r="BL57">
        <v>1</v>
      </c>
      <c r="BM57">
        <v>1</v>
      </c>
    </row>
    <row r="58" spans="1:74" x14ac:dyDescent="0.55000000000000004">
      <c r="A58" t="s">
        <v>170</v>
      </c>
      <c r="B58">
        <v>1</v>
      </c>
      <c r="AU58">
        <v>1</v>
      </c>
      <c r="AV58">
        <v>1</v>
      </c>
      <c r="BA58">
        <v>1</v>
      </c>
      <c r="BL58">
        <v>1</v>
      </c>
      <c r="BN58">
        <v>1</v>
      </c>
    </row>
    <row r="59" spans="1:74" x14ac:dyDescent="0.55000000000000004">
      <c r="A59" t="s">
        <v>172</v>
      </c>
      <c r="B59">
        <v>1</v>
      </c>
      <c r="AU59">
        <v>1</v>
      </c>
      <c r="AV59">
        <v>1</v>
      </c>
      <c r="BA59">
        <v>1</v>
      </c>
      <c r="BL59">
        <v>1</v>
      </c>
      <c r="BO59">
        <v>1</v>
      </c>
    </row>
    <row r="60" spans="1:74" x14ac:dyDescent="0.55000000000000004">
      <c r="A60" t="s">
        <v>174</v>
      </c>
      <c r="B60">
        <v>1</v>
      </c>
      <c r="AU60">
        <v>1</v>
      </c>
      <c r="AV60">
        <v>1</v>
      </c>
      <c r="BA60">
        <v>1</v>
      </c>
      <c r="BP60">
        <v>1</v>
      </c>
    </row>
    <row r="61" spans="1:74" x14ac:dyDescent="0.55000000000000004">
      <c r="A61" t="s">
        <v>176</v>
      </c>
      <c r="B61">
        <v>1</v>
      </c>
      <c r="AU61">
        <v>1</v>
      </c>
      <c r="AV61">
        <v>1</v>
      </c>
      <c r="BA61">
        <v>1</v>
      </c>
      <c r="BQ61">
        <v>1</v>
      </c>
      <c r="BR61">
        <v>1</v>
      </c>
    </row>
    <row r="62" spans="1:74" x14ac:dyDescent="0.55000000000000004">
      <c r="A62" t="s">
        <v>675</v>
      </c>
      <c r="B62">
        <v>1</v>
      </c>
      <c r="AU62">
        <v>1</v>
      </c>
      <c r="AV62">
        <v>1</v>
      </c>
      <c r="BA62">
        <v>1</v>
      </c>
      <c r="BQ62">
        <v>1</v>
      </c>
      <c r="BS62">
        <v>1</v>
      </c>
    </row>
    <row r="63" spans="1:74" x14ac:dyDescent="0.55000000000000004">
      <c r="A63" t="s">
        <v>178</v>
      </c>
      <c r="B63">
        <v>1</v>
      </c>
      <c r="AU63">
        <v>1</v>
      </c>
      <c r="AV63">
        <v>1</v>
      </c>
      <c r="BA63">
        <v>1</v>
      </c>
      <c r="BT63">
        <v>1</v>
      </c>
      <c r="BU63">
        <v>1</v>
      </c>
    </row>
    <row r="64" spans="1:74" x14ac:dyDescent="0.55000000000000004">
      <c r="A64" t="s">
        <v>180</v>
      </c>
      <c r="B64">
        <v>1</v>
      </c>
      <c r="AU64">
        <v>1</v>
      </c>
      <c r="AV64">
        <v>1</v>
      </c>
      <c r="BA64">
        <v>1</v>
      </c>
      <c r="BT64">
        <v>1</v>
      </c>
      <c r="BV64">
        <v>1</v>
      </c>
    </row>
    <row r="65" spans="1:96" x14ac:dyDescent="0.55000000000000004">
      <c r="A65" t="s">
        <v>680</v>
      </c>
      <c r="B65">
        <v>1</v>
      </c>
      <c r="AU65">
        <v>1</v>
      </c>
      <c r="AV65">
        <v>1</v>
      </c>
      <c r="BA65">
        <v>1</v>
      </c>
      <c r="BT65">
        <v>1</v>
      </c>
      <c r="BW65">
        <v>1</v>
      </c>
    </row>
    <row r="66" spans="1:96" x14ac:dyDescent="0.55000000000000004">
      <c r="A66" t="s">
        <v>683</v>
      </c>
      <c r="B66">
        <v>1</v>
      </c>
      <c r="AU66">
        <v>1</v>
      </c>
      <c r="AV66">
        <v>1</v>
      </c>
      <c r="BA66">
        <v>1</v>
      </c>
      <c r="BT66">
        <v>1</v>
      </c>
      <c r="BX66">
        <v>1</v>
      </c>
    </row>
    <row r="67" spans="1:96" x14ac:dyDescent="0.55000000000000004">
      <c r="A67" t="s">
        <v>182</v>
      </c>
      <c r="B67">
        <v>1</v>
      </c>
      <c r="AU67">
        <v>1</v>
      </c>
      <c r="AV67">
        <v>1</v>
      </c>
      <c r="BA67">
        <v>1</v>
      </c>
      <c r="BY67">
        <v>1</v>
      </c>
      <c r="BZ67">
        <v>1</v>
      </c>
    </row>
    <row r="68" spans="1:96" x14ac:dyDescent="0.55000000000000004">
      <c r="A68" t="s">
        <v>687</v>
      </c>
      <c r="B68">
        <v>1</v>
      </c>
      <c r="AU68">
        <v>1</v>
      </c>
      <c r="AV68">
        <v>1</v>
      </c>
      <c r="BA68">
        <v>1</v>
      </c>
      <c r="BY68">
        <v>1</v>
      </c>
      <c r="CA68">
        <v>1</v>
      </c>
    </row>
    <row r="69" spans="1:96" x14ac:dyDescent="0.55000000000000004">
      <c r="A69" t="s">
        <v>690</v>
      </c>
      <c r="B69">
        <v>1</v>
      </c>
      <c r="AU69">
        <v>1</v>
      </c>
      <c r="AV69">
        <v>1</v>
      </c>
      <c r="BA69">
        <v>1</v>
      </c>
      <c r="BY69">
        <v>1</v>
      </c>
      <c r="CB69">
        <v>1</v>
      </c>
    </row>
    <row r="70" spans="1:96" x14ac:dyDescent="0.55000000000000004">
      <c r="A70" t="s">
        <v>185</v>
      </c>
      <c r="B70">
        <v>1</v>
      </c>
      <c r="AU70">
        <v>1</v>
      </c>
      <c r="AV70">
        <v>1</v>
      </c>
      <c r="BA70">
        <v>1</v>
      </c>
      <c r="CC70">
        <v>1</v>
      </c>
      <c r="CD70">
        <v>1</v>
      </c>
    </row>
    <row r="71" spans="1:96" x14ac:dyDescent="0.55000000000000004">
      <c r="A71" t="s">
        <v>187</v>
      </c>
      <c r="B71">
        <v>1</v>
      </c>
      <c r="AU71">
        <v>1</v>
      </c>
      <c r="AV71">
        <v>1</v>
      </c>
      <c r="BA71">
        <v>1</v>
      </c>
      <c r="CC71">
        <v>1</v>
      </c>
      <c r="CE71">
        <v>1</v>
      </c>
    </row>
    <row r="72" spans="1:96" x14ac:dyDescent="0.55000000000000004">
      <c r="A72" t="s">
        <v>189</v>
      </c>
      <c r="B72">
        <v>1</v>
      </c>
      <c r="AU72">
        <v>1</v>
      </c>
      <c r="AV72">
        <v>1</v>
      </c>
      <c r="BA72">
        <v>1</v>
      </c>
      <c r="CC72">
        <v>1</v>
      </c>
      <c r="CF72">
        <v>1</v>
      </c>
    </row>
    <row r="73" spans="1:96" x14ac:dyDescent="0.55000000000000004">
      <c r="A73" t="s">
        <v>696</v>
      </c>
      <c r="B73">
        <v>1</v>
      </c>
      <c r="AU73">
        <v>1</v>
      </c>
      <c r="AV73">
        <v>1</v>
      </c>
      <c r="BA73">
        <v>1</v>
      </c>
      <c r="CG73">
        <v>1</v>
      </c>
      <c r="CH73">
        <v>1</v>
      </c>
    </row>
    <row r="74" spans="1:96" x14ac:dyDescent="0.55000000000000004">
      <c r="A74" t="s">
        <v>191</v>
      </c>
      <c r="B74">
        <v>1</v>
      </c>
      <c r="AU74">
        <v>1</v>
      </c>
      <c r="AV74">
        <v>1</v>
      </c>
      <c r="BA74">
        <v>1</v>
      </c>
      <c r="CG74">
        <v>1</v>
      </c>
      <c r="CI74">
        <v>1</v>
      </c>
    </row>
    <row r="75" spans="1:96" x14ac:dyDescent="0.55000000000000004">
      <c r="A75" t="s">
        <v>700</v>
      </c>
      <c r="B75">
        <v>1</v>
      </c>
      <c r="AU75">
        <v>1</v>
      </c>
      <c r="AV75">
        <v>1</v>
      </c>
      <c r="BA75">
        <v>1</v>
      </c>
      <c r="CG75">
        <v>1</v>
      </c>
      <c r="CJ75">
        <v>1</v>
      </c>
    </row>
    <row r="76" spans="1:96" x14ac:dyDescent="0.55000000000000004">
      <c r="A76" t="s">
        <v>194</v>
      </c>
      <c r="B76">
        <v>1</v>
      </c>
      <c r="AU76">
        <v>1</v>
      </c>
      <c r="AV76">
        <v>1</v>
      </c>
      <c r="CK76">
        <v>1</v>
      </c>
      <c r="CL76">
        <v>1</v>
      </c>
      <c r="CM76">
        <v>1</v>
      </c>
    </row>
    <row r="77" spans="1:96" x14ac:dyDescent="0.55000000000000004">
      <c r="A77" t="s">
        <v>196</v>
      </c>
      <c r="B77">
        <v>1</v>
      </c>
      <c r="AU77">
        <v>1</v>
      </c>
      <c r="AV77">
        <v>1</v>
      </c>
      <c r="CK77">
        <v>1</v>
      </c>
      <c r="CL77">
        <v>1</v>
      </c>
      <c r="CN77">
        <v>1</v>
      </c>
    </row>
    <row r="78" spans="1:96" x14ac:dyDescent="0.55000000000000004">
      <c r="A78" t="s">
        <v>705</v>
      </c>
      <c r="B78">
        <v>1</v>
      </c>
      <c r="AU78">
        <v>1</v>
      </c>
      <c r="AV78">
        <v>1</v>
      </c>
      <c r="CK78">
        <v>1</v>
      </c>
      <c r="CL78">
        <v>1</v>
      </c>
      <c r="CO78">
        <v>1</v>
      </c>
    </row>
    <row r="79" spans="1:96" x14ac:dyDescent="0.55000000000000004">
      <c r="A79" t="s">
        <v>198</v>
      </c>
      <c r="B79">
        <v>1</v>
      </c>
      <c r="AU79">
        <v>1</v>
      </c>
      <c r="AV79">
        <v>1</v>
      </c>
      <c r="CK79">
        <v>1</v>
      </c>
      <c r="CP79">
        <v>1</v>
      </c>
      <c r="CQ79">
        <v>1</v>
      </c>
    </row>
    <row r="80" spans="1:96" x14ac:dyDescent="0.55000000000000004">
      <c r="A80" t="s">
        <v>709</v>
      </c>
      <c r="B80">
        <v>1</v>
      </c>
      <c r="AU80">
        <v>1</v>
      </c>
      <c r="AV80">
        <v>1</v>
      </c>
      <c r="CK80">
        <v>1</v>
      </c>
      <c r="CP80">
        <v>1</v>
      </c>
      <c r="CR80">
        <v>1</v>
      </c>
    </row>
    <row r="81" spans="1:118" x14ac:dyDescent="0.55000000000000004">
      <c r="A81" t="s">
        <v>712</v>
      </c>
      <c r="B81">
        <v>1</v>
      </c>
      <c r="AU81">
        <v>1</v>
      </c>
      <c r="CS81">
        <v>1</v>
      </c>
      <c r="CT81">
        <v>1</v>
      </c>
      <c r="CU81">
        <v>1</v>
      </c>
    </row>
    <row r="82" spans="1:118" x14ac:dyDescent="0.55000000000000004">
      <c r="A82" t="s">
        <v>715</v>
      </c>
      <c r="B82">
        <v>1</v>
      </c>
      <c r="AU82">
        <v>1</v>
      </c>
      <c r="CS82">
        <v>1</v>
      </c>
      <c r="CT82">
        <v>1</v>
      </c>
      <c r="CV82">
        <v>1</v>
      </c>
    </row>
    <row r="83" spans="1:118" x14ac:dyDescent="0.55000000000000004">
      <c r="A83" t="s">
        <v>718</v>
      </c>
      <c r="B83">
        <v>1</v>
      </c>
      <c r="AU83">
        <v>1</v>
      </c>
      <c r="CS83">
        <v>1</v>
      </c>
      <c r="CT83">
        <v>1</v>
      </c>
      <c r="CW83">
        <v>1</v>
      </c>
    </row>
    <row r="84" spans="1:118" x14ac:dyDescent="0.55000000000000004">
      <c r="A84" t="s">
        <v>721</v>
      </c>
      <c r="B84">
        <v>1</v>
      </c>
      <c r="AU84">
        <v>1</v>
      </c>
      <c r="CS84">
        <v>1</v>
      </c>
      <c r="CT84">
        <v>1</v>
      </c>
      <c r="CX84">
        <v>1</v>
      </c>
    </row>
    <row r="85" spans="1:118" x14ac:dyDescent="0.55000000000000004">
      <c r="A85" t="s">
        <v>724</v>
      </c>
      <c r="B85">
        <v>1</v>
      </c>
      <c r="AU85">
        <v>1</v>
      </c>
      <c r="CS85">
        <v>1</v>
      </c>
      <c r="CY85">
        <v>1</v>
      </c>
      <c r="CZ85">
        <v>1</v>
      </c>
    </row>
    <row r="86" spans="1:118" x14ac:dyDescent="0.55000000000000004">
      <c r="A86" t="s">
        <v>727</v>
      </c>
      <c r="B86">
        <v>1</v>
      </c>
      <c r="AU86">
        <v>1</v>
      </c>
      <c r="CS86">
        <v>1</v>
      </c>
      <c r="CY86">
        <v>1</v>
      </c>
      <c r="DA86">
        <v>1</v>
      </c>
    </row>
    <row r="87" spans="1:118" x14ac:dyDescent="0.55000000000000004">
      <c r="A87" t="s">
        <v>730</v>
      </c>
      <c r="B87">
        <v>1</v>
      </c>
      <c r="AU87">
        <v>1</v>
      </c>
      <c r="CS87">
        <v>1</v>
      </c>
      <c r="CY87">
        <v>1</v>
      </c>
      <c r="DB87">
        <v>1</v>
      </c>
    </row>
    <row r="88" spans="1:118" x14ac:dyDescent="0.55000000000000004">
      <c r="A88" t="s">
        <v>733</v>
      </c>
      <c r="B88">
        <v>1</v>
      </c>
      <c r="AU88">
        <v>1</v>
      </c>
      <c r="CS88">
        <v>1</v>
      </c>
      <c r="CY88">
        <v>1</v>
      </c>
      <c r="DC88">
        <v>1</v>
      </c>
    </row>
    <row r="89" spans="1:118" x14ac:dyDescent="0.55000000000000004">
      <c r="A89" t="s">
        <v>201</v>
      </c>
      <c r="B89">
        <v>1</v>
      </c>
      <c r="AU89">
        <v>1</v>
      </c>
      <c r="CS89">
        <v>1</v>
      </c>
      <c r="DD89">
        <v>1</v>
      </c>
    </row>
    <row r="90" spans="1:118" x14ac:dyDescent="0.55000000000000004">
      <c r="A90" t="s">
        <v>737</v>
      </c>
      <c r="B90">
        <v>1</v>
      </c>
      <c r="AU90">
        <v>1</v>
      </c>
      <c r="CS90">
        <v>1</v>
      </c>
      <c r="DE90">
        <v>1</v>
      </c>
      <c r="DF90">
        <v>1</v>
      </c>
    </row>
    <row r="91" spans="1:118" x14ac:dyDescent="0.55000000000000004">
      <c r="A91" t="s">
        <v>203</v>
      </c>
      <c r="B91">
        <v>1</v>
      </c>
      <c r="AU91">
        <v>1</v>
      </c>
      <c r="CS91">
        <v>1</v>
      </c>
      <c r="DE91">
        <v>1</v>
      </c>
      <c r="DG91">
        <v>1</v>
      </c>
    </row>
    <row r="92" spans="1:118" x14ac:dyDescent="0.55000000000000004">
      <c r="A92" t="s">
        <v>741</v>
      </c>
      <c r="B92">
        <v>1</v>
      </c>
      <c r="AU92">
        <v>1</v>
      </c>
      <c r="CS92">
        <v>1</v>
      </c>
      <c r="DE92">
        <v>1</v>
      </c>
      <c r="DH92">
        <v>1</v>
      </c>
    </row>
    <row r="93" spans="1:118" x14ac:dyDescent="0.55000000000000004">
      <c r="A93" t="s">
        <v>744</v>
      </c>
      <c r="B93">
        <v>1</v>
      </c>
      <c r="AU93">
        <v>1</v>
      </c>
      <c r="CS93">
        <v>1</v>
      </c>
      <c r="DI93">
        <v>1</v>
      </c>
      <c r="DJ93">
        <v>1</v>
      </c>
    </row>
    <row r="94" spans="1:118" x14ac:dyDescent="0.55000000000000004">
      <c r="A94" t="s">
        <v>747</v>
      </c>
      <c r="B94">
        <v>1</v>
      </c>
      <c r="AU94">
        <v>1</v>
      </c>
      <c r="CS94">
        <v>1</v>
      </c>
      <c r="DI94">
        <v>1</v>
      </c>
      <c r="DK94">
        <v>1</v>
      </c>
    </row>
    <row r="95" spans="1:118" x14ac:dyDescent="0.55000000000000004">
      <c r="A95" t="s">
        <v>750</v>
      </c>
      <c r="B95">
        <v>1</v>
      </c>
      <c r="AU95">
        <v>1</v>
      </c>
      <c r="CS95">
        <v>1</v>
      </c>
      <c r="DI95">
        <v>1</v>
      </c>
      <c r="DL95">
        <v>1</v>
      </c>
    </row>
    <row r="96" spans="1:118" x14ac:dyDescent="0.55000000000000004">
      <c r="A96" t="s">
        <v>753</v>
      </c>
      <c r="B96">
        <v>1</v>
      </c>
      <c r="AU96">
        <v>1</v>
      </c>
      <c r="CS96">
        <v>1</v>
      </c>
      <c r="DM96">
        <v>1</v>
      </c>
      <c r="DN96">
        <v>1</v>
      </c>
    </row>
    <row r="97" spans="1:135" x14ac:dyDescent="0.55000000000000004">
      <c r="A97" t="s">
        <v>206</v>
      </c>
      <c r="B97">
        <v>1</v>
      </c>
      <c r="AU97">
        <v>1</v>
      </c>
      <c r="CS97">
        <v>1</v>
      </c>
      <c r="DM97">
        <v>1</v>
      </c>
      <c r="DO97">
        <v>1</v>
      </c>
    </row>
    <row r="98" spans="1:135" x14ac:dyDescent="0.55000000000000004">
      <c r="A98" t="s">
        <v>757</v>
      </c>
      <c r="B98">
        <v>1</v>
      </c>
      <c r="AU98">
        <v>1</v>
      </c>
      <c r="CS98">
        <v>1</v>
      </c>
      <c r="DP98">
        <v>1</v>
      </c>
      <c r="DQ98">
        <v>1</v>
      </c>
    </row>
    <row r="99" spans="1:135" x14ac:dyDescent="0.55000000000000004">
      <c r="A99" t="s">
        <v>760</v>
      </c>
      <c r="B99">
        <v>1</v>
      </c>
      <c r="AU99">
        <v>1</v>
      </c>
      <c r="CS99">
        <v>1</v>
      </c>
      <c r="DP99">
        <v>1</v>
      </c>
      <c r="DR99">
        <v>1</v>
      </c>
    </row>
    <row r="100" spans="1:135" x14ac:dyDescent="0.55000000000000004">
      <c r="A100" t="s">
        <v>763</v>
      </c>
      <c r="B100">
        <v>1</v>
      </c>
      <c r="AU100">
        <v>1</v>
      </c>
      <c r="CS100">
        <v>1</v>
      </c>
      <c r="DP100">
        <v>1</v>
      </c>
      <c r="DS100">
        <v>1</v>
      </c>
    </row>
    <row r="101" spans="1:135" x14ac:dyDescent="0.55000000000000004">
      <c r="A101" t="s">
        <v>766</v>
      </c>
      <c r="B101">
        <v>1</v>
      </c>
      <c r="AU101">
        <v>1</v>
      </c>
      <c r="CS101">
        <v>1</v>
      </c>
      <c r="DP101">
        <v>1</v>
      </c>
      <c r="DT101">
        <v>1</v>
      </c>
    </row>
    <row r="102" spans="1:135" x14ac:dyDescent="0.55000000000000004">
      <c r="A102" t="s">
        <v>769</v>
      </c>
      <c r="B102">
        <v>1</v>
      </c>
      <c r="AU102">
        <v>1</v>
      </c>
      <c r="CS102">
        <v>1</v>
      </c>
      <c r="DP102">
        <v>1</v>
      </c>
      <c r="DU102">
        <v>1</v>
      </c>
    </row>
    <row r="103" spans="1:135" x14ac:dyDescent="0.55000000000000004">
      <c r="A103" t="s">
        <v>210</v>
      </c>
      <c r="B103">
        <v>1</v>
      </c>
      <c r="AU103">
        <v>1</v>
      </c>
      <c r="CS103">
        <v>1</v>
      </c>
      <c r="DV103">
        <v>1</v>
      </c>
    </row>
    <row r="104" spans="1:135" x14ac:dyDescent="0.55000000000000004">
      <c r="A104" t="s">
        <v>213</v>
      </c>
      <c r="B104">
        <v>1</v>
      </c>
      <c r="AU104">
        <v>1</v>
      </c>
      <c r="CS104">
        <v>1</v>
      </c>
      <c r="DW104">
        <v>1</v>
      </c>
    </row>
    <row r="105" spans="1:135" x14ac:dyDescent="0.55000000000000004">
      <c r="A105" t="s">
        <v>216</v>
      </c>
      <c r="B105">
        <v>1</v>
      </c>
      <c r="AU105">
        <v>1</v>
      </c>
      <c r="CS105">
        <v>1</v>
      </c>
      <c r="DX105">
        <v>1</v>
      </c>
    </row>
    <row r="106" spans="1:135" x14ac:dyDescent="0.55000000000000004">
      <c r="A106" t="s">
        <v>775</v>
      </c>
      <c r="B106">
        <v>1</v>
      </c>
      <c r="AU106">
        <v>1</v>
      </c>
      <c r="CS106">
        <v>1</v>
      </c>
      <c r="DY106">
        <v>1</v>
      </c>
      <c r="DZ106">
        <v>1</v>
      </c>
    </row>
    <row r="107" spans="1:135" x14ac:dyDescent="0.55000000000000004">
      <c r="A107" t="s">
        <v>778</v>
      </c>
      <c r="B107">
        <v>1</v>
      </c>
      <c r="AU107">
        <v>1</v>
      </c>
      <c r="CS107">
        <v>1</v>
      </c>
      <c r="DY107">
        <v>1</v>
      </c>
      <c r="EA107">
        <v>1</v>
      </c>
    </row>
    <row r="108" spans="1:135" x14ac:dyDescent="0.55000000000000004">
      <c r="A108" t="s">
        <v>781</v>
      </c>
      <c r="B108">
        <v>1</v>
      </c>
      <c r="AU108">
        <v>1</v>
      </c>
      <c r="CS108">
        <v>1</v>
      </c>
      <c r="DY108">
        <v>1</v>
      </c>
      <c r="EB108">
        <v>1</v>
      </c>
    </row>
    <row r="109" spans="1:135" x14ac:dyDescent="0.55000000000000004">
      <c r="A109" t="s">
        <v>219</v>
      </c>
      <c r="B109">
        <v>1</v>
      </c>
      <c r="AU109">
        <v>1</v>
      </c>
      <c r="CS109">
        <v>1</v>
      </c>
      <c r="DY109">
        <v>1</v>
      </c>
      <c r="EC109">
        <v>1</v>
      </c>
    </row>
    <row r="110" spans="1:135" x14ac:dyDescent="0.55000000000000004">
      <c r="A110" t="s">
        <v>785</v>
      </c>
      <c r="B110">
        <v>1</v>
      </c>
      <c r="AU110">
        <v>1</v>
      </c>
      <c r="CS110">
        <v>1</v>
      </c>
      <c r="DY110">
        <v>1</v>
      </c>
      <c r="ED110">
        <v>1</v>
      </c>
    </row>
    <row r="111" spans="1:135" x14ac:dyDescent="0.55000000000000004">
      <c r="A111" t="s">
        <v>788</v>
      </c>
      <c r="B111">
        <v>1</v>
      </c>
      <c r="AU111">
        <v>1</v>
      </c>
      <c r="CS111">
        <v>1</v>
      </c>
      <c r="DY111">
        <v>1</v>
      </c>
      <c r="EE11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1" tint="0.249977111117893"/>
  </sheetPr>
  <dimension ref="A7:AE22"/>
  <sheetViews>
    <sheetView zoomScale="85" zoomScaleNormal="85" workbookViewId="0">
      <pane xSplit="1" ySplit="7" topLeftCell="B8" activePane="bottomRight" state="frozen"/>
      <selection activeCell="E42" sqref="E42"/>
      <selection pane="topRight" activeCell="E42" sqref="E42"/>
      <selection pane="bottomLeft" activeCell="E42" sqref="E42"/>
      <selection pane="bottomRight" activeCell="E42" sqref="E42"/>
    </sheetView>
  </sheetViews>
  <sheetFormatPr defaultRowHeight="14.4" x14ac:dyDescent="0.55000000000000004"/>
  <sheetData>
    <row r="7" spans="1:31" x14ac:dyDescent="0.55000000000000004">
      <c r="B7" t="s">
        <v>484</v>
      </c>
      <c r="C7" t="s">
        <v>497</v>
      </c>
      <c r="D7" t="s">
        <v>498</v>
      </c>
      <c r="E7" t="s">
        <v>499</v>
      </c>
      <c r="F7" t="s">
        <v>500</v>
      </c>
      <c r="G7" t="s">
        <v>501</v>
      </c>
      <c r="H7" t="s">
        <v>485</v>
      </c>
      <c r="I7" t="s">
        <v>492</v>
      </c>
      <c r="J7" t="s">
        <v>493</v>
      </c>
      <c r="K7" t="s">
        <v>494</v>
      </c>
      <c r="L7" t="s">
        <v>495</v>
      </c>
      <c r="M7" t="s">
        <v>496</v>
      </c>
      <c r="N7" t="s">
        <v>486</v>
      </c>
      <c r="O7" t="s">
        <v>487</v>
      </c>
      <c r="P7" t="s">
        <v>488</v>
      </c>
      <c r="Q7" t="s">
        <v>489</v>
      </c>
      <c r="R7" t="s">
        <v>490</v>
      </c>
      <c r="S7" t="s">
        <v>491</v>
      </c>
      <c r="T7" t="s">
        <v>855</v>
      </c>
      <c r="U7" t="s">
        <v>856</v>
      </c>
      <c r="V7" t="s">
        <v>857</v>
      </c>
      <c r="W7" t="s">
        <v>858</v>
      </c>
      <c r="X7" t="s">
        <v>859</v>
      </c>
      <c r="Y7" t="s">
        <v>860</v>
      </c>
      <c r="Z7" t="s">
        <v>875</v>
      </c>
      <c r="AA7" t="s">
        <v>876</v>
      </c>
      <c r="AB7" t="s">
        <v>877</v>
      </c>
      <c r="AC7" t="s">
        <v>878</v>
      </c>
      <c r="AD7" t="s">
        <v>879</v>
      </c>
      <c r="AE7" t="s">
        <v>880</v>
      </c>
    </row>
    <row r="8" spans="1:31" x14ac:dyDescent="0.55000000000000004">
      <c r="A8" t="s">
        <v>791</v>
      </c>
      <c r="B8">
        <v>1</v>
      </c>
      <c r="C8">
        <v>1</v>
      </c>
      <c r="H8">
        <v>1</v>
      </c>
      <c r="I8">
        <v>1</v>
      </c>
    </row>
    <row r="9" spans="1:31" x14ac:dyDescent="0.55000000000000004">
      <c r="A9" t="s">
        <v>792</v>
      </c>
      <c r="B9">
        <v>1</v>
      </c>
      <c r="D9">
        <v>1</v>
      </c>
      <c r="H9">
        <v>1</v>
      </c>
      <c r="J9">
        <v>1</v>
      </c>
    </row>
    <row r="10" spans="1:31" x14ac:dyDescent="0.55000000000000004">
      <c r="A10" t="s">
        <v>793</v>
      </c>
      <c r="B10">
        <v>1</v>
      </c>
      <c r="E10">
        <v>1</v>
      </c>
      <c r="H10">
        <v>1</v>
      </c>
      <c r="K10">
        <v>1</v>
      </c>
    </row>
    <row r="11" spans="1:31" x14ac:dyDescent="0.55000000000000004">
      <c r="A11" t="s">
        <v>794</v>
      </c>
      <c r="B11">
        <v>1</v>
      </c>
      <c r="F11">
        <v>1</v>
      </c>
      <c r="H11">
        <v>1</v>
      </c>
      <c r="L11">
        <v>1</v>
      </c>
    </row>
    <row r="12" spans="1:31" x14ac:dyDescent="0.55000000000000004">
      <c r="A12" t="s">
        <v>795</v>
      </c>
      <c r="B12">
        <v>1</v>
      </c>
      <c r="G12">
        <v>1</v>
      </c>
      <c r="H12">
        <v>1</v>
      </c>
      <c r="M12">
        <v>1</v>
      </c>
    </row>
    <row r="13" spans="1:31" x14ac:dyDescent="0.55000000000000004">
      <c r="A13" t="s">
        <v>89</v>
      </c>
      <c r="B13">
        <v>1</v>
      </c>
      <c r="C13">
        <v>1</v>
      </c>
      <c r="N13">
        <v>1</v>
      </c>
      <c r="O13">
        <v>1</v>
      </c>
      <c r="Z13">
        <v>1</v>
      </c>
      <c r="AA13">
        <v>1</v>
      </c>
    </row>
    <row r="14" spans="1:31" x14ac:dyDescent="0.55000000000000004">
      <c r="A14" t="s">
        <v>97</v>
      </c>
      <c r="B14">
        <v>1</v>
      </c>
      <c r="D14">
        <v>1</v>
      </c>
      <c r="N14">
        <v>1</v>
      </c>
      <c r="P14">
        <v>1</v>
      </c>
      <c r="Z14">
        <v>1</v>
      </c>
      <c r="AB14">
        <v>1</v>
      </c>
    </row>
    <row r="15" spans="1:31" x14ac:dyDescent="0.55000000000000004">
      <c r="A15" t="s">
        <v>103</v>
      </c>
      <c r="B15">
        <v>1</v>
      </c>
      <c r="E15">
        <v>1</v>
      </c>
      <c r="N15">
        <v>1</v>
      </c>
      <c r="Q15">
        <v>1</v>
      </c>
      <c r="Z15">
        <v>1</v>
      </c>
      <c r="AC15">
        <v>1</v>
      </c>
    </row>
    <row r="16" spans="1:31" x14ac:dyDescent="0.55000000000000004">
      <c r="A16" t="s">
        <v>109</v>
      </c>
      <c r="B16">
        <v>1</v>
      </c>
      <c r="F16">
        <v>1</v>
      </c>
      <c r="N16">
        <v>1</v>
      </c>
      <c r="R16">
        <v>1</v>
      </c>
      <c r="Z16">
        <v>1</v>
      </c>
      <c r="AD16">
        <v>1</v>
      </c>
    </row>
    <row r="17" spans="1:31" x14ac:dyDescent="0.55000000000000004">
      <c r="A17" t="s">
        <v>113</v>
      </c>
      <c r="B17">
        <v>1</v>
      </c>
      <c r="G17">
        <v>1</v>
      </c>
      <c r="N17">
        <v>1</v>
      </c>
      <c r="S17">
        <v>1</v>
      </c>
      <c r="Z17">
        <v>1</v>
      </c>
      <c r="AE17">
        <v>1</v>
      </c>
    </row>
    <row r="18" spans="1:31" x14ac:dyDescent="0.55000000000000004">
      <c r="A18" t="s">
        <v>607</v>
      </c>
      <c r="B18">
        <v>1</v>
      </c>
      <c r="C18">
        <v>1</v>
      </c>
      <c r="N18">
        <v>1</v>
      </c>
      <c r="O18">
        <v>1</v>
      </c>
      <c r="T18">
        <v>1</v>
      </c>
      <c r="U18">
        <v>1</v>
      </c>
    </row>
    <row r="19" spans="1:31" x14ac:dyDescent="0.55000000000000004">
      <c r="A19" t="s">
        <v>612</v>
      </c>
      <c r="B19">
        <v>1</v>
      </c>
      <c r="D19">
        <v>1</v>
      </c>
      <c r="N19">
        <v>1</v>
      </c>
      <c r="P19">
        <v>1</v>
      </c>
      <c r="T19">
        <v>1</v>
      </c>
      <c r="V19">
        <v>1</v>
      </c>
    </row>
    <row r="20" spans="1:31" x14ac:dyDescent="0.55000000000000004">
      <c r="A20" t="s">
        <v>617</v>
      </c>
      <c r="B20">
        <v>1</v>
      </c>
      <c r="E20">
        <v>1</v>
      </c>
      <c r="N20">
        <v>1</v>
      </c>
      <c r="Q20">
        <v>1</v>
      </c>
      <c r="T20">
        <v>1</v>
      </c>
      <c r="W20">
        <v>1</v>
      </c>
    </row>
    <row r="21" spans="1:31" x14ac:dyDescent="0.55000000000000004">
      <c r="A21" t="s">
        <v>620</v>
      </c>
      <c r="B21">
        <v>1</v>
      </c>
      <c r="F21">
        <v>1</v>
      </c>
      <c r="N21">
        <v>1</v>
      </c>
      <c r="R21">
        <v>1</v>
      </c>
      <c r="T21">
        <v>1</v>
      </c>
      <c r="X21">
        <v>1</v>
      </c>
    </row>
    <row r="22" spans="1:31" x14ac:dyDescent="0.55000000000000004">
      <c r="A22" t="s">
        <v>623</v>
      </c>
      <c r="B22">
        <v>1</v>
      </c>
      <c r="G22">
        <v>1</v>
      </c>
      <c r="N22">
        <v>1</v>
      </c>
      <c r="S22">
        <v>1</v>
      </c>
      <c r="T22">
        <v>1</v>
      </c>
      <c r="Y2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 tint="0.249977111117893"/>
  </sheetPr>
  <dimension ref="A7:AF24"/>
  <sheetViews>
    <sheetView zoomScale="85" zoomScaleNormal="85" workbookViewId="0">
      <pane xSplit="1" ySplit="7" topLeftCell="B8" activePane="bottomRight" state="frozen"/>
      <selection activeCell="E42" sqref="E42"/>
      <selection pane="topRight" activeCell="E42" sqref="E42"/>
      <selection pane="bottomLeft" activeCell="E42" sqref="E42"/>
      <selection pane="bottomRight" activeCell="E42" sqref="E42"/>
    </sheetView>
  </sheetViews>
  <sheetFormatPr defaultRowHeight="14.4" x14ac:dyDescent="0.55000000000000004"/>
  <sheetData>
    <row r="7" spans="1:32" x14ac:dyDescent="0.55000000000000004">
      <c r="B7" t="s">
        <v>514</v>
      </c>
      <c r="C7" t="s">
        <v>520</v>
      </c>
      <c r="D7" t="s">
        <v>521</v>
      </c>
      <c r="E7" t="s">
        <v>522</v>
      </c>
      <c r="F7" t="s">
        <v>523</v>
      </c>
      <c r="G7" t="s">
        <v>515</v>
      </c>
      <c r="H7" t="s">
        <v>516</v>
      </c>
      <c r="I7" t="s">
        <v>517</v>
      </c>
      <c r="J7" t="s">
        <v>518</v>
      </c>
      <c r="K7" t="s">
        <v>519</v>
      </c>
      <c r="L7" t="s">
        <v>524</v>
      </c>
      <c r="M7" t="s">
        <v>525</v>
      </c>
      <c r="N7" t="s">
        <v>526</v>
      </c>
      <c r="O7" t="s">
        <v>527</v>
      </c>
      <c r="P7" t="s">
        <v>528</v>
      </c>
      <c r="Q7" t="s">
        <v>863</v>
      </c>
      <c r="R7" t="s">
        <v>864</v>
      </c>
      <c r="S7" t="s">
        <v>865</v>
      </c>
      <c r="T7" t="s">
        <v>866</v>
      </c>
      <c r="U7" t="s">
        <v>867</v>
      </c>
      <c r="V7" t="s">
        <v>882</v>
      </c>
      <c r="W7" t="s">
        <v>883</v>
      </c>
      <c r="X7" t="s">
        <v>884</v>
      </c>
      <c r="Y7" t="s">
        <v>886</v>
      </c>
      <c r="Z7" t="s">
        <v>885</v>
      </c>
      <c r="AA7" t="s">
        <v>529</v>
      </c>
      <c r="AB7" t="s">
        <v>530</v>
      </c>
      <c r="AC7" t="s">
        <v>531</v>
      </c>
      <c r="AD7" t="s">
        <v>532</v>
      </c>
      <c r="AE7" t="s">
        <v>533</v>
      </c>
      <c r="AF7" t="s">
        <v>534</v>
      </c>
    </row>
    <row r="8" spans="1:32" x14ac:dyDescent="0.55000000000000004">
      <c r="A8" t="s">
        <v>12</v>
      </c>
      <c r="B8">
        <v>1</v>
      </c>
      <c r="C8">
        <v>1</v>
      </c>
      <c r="G8">
        <v>1</v>
      </c>
      <c r="H8">
        <v>1</v>
      </c>
    </row>
    <row r="9" spans="1:32" x14ac:dyDescent="0.55000000000000004">
      <c r="A9" t="s">
        <v>20</v>
      </c>
      <c r="B9">
        <v>1</v>
      </c>
      <c r="D9">
        <v>1</v>
      </c>
      <c r="G9">
        <v>1</v>
      </c>
      <c r="I9">
        <v>1</v>
      </c>
    </row>
    <row r="10" spans="1:32" x14ac:dyDescent="0.55000000000000004">
      <c r="A10" t="s">
        <v>28</v>
      </c>
      <c r="B10">
        <v>1</v>
      </c>
      <c r="E10">
        <v>1</v>
      </c>
      <c r="G10">
        <v>1</v>
      </c>
      <c r="J10">
        <v>1</v>
      </c>
    </row>
    <row r="11" spans="1:32" x14ac:dyDescent="0.55000000000000004">
      <c r="A11" t="s">
        <v>36</v>
      </c>
      <c r="B11">
        <v>1</v>
      </c>
      <c r="F11">
        <v>1</v>
      </c>
      <c r="G11">
        <v>1</v>
      </c>
      <c r="K11">
        <v>1</v>
      </c>
    </row>
    <row r="12" spans="1:32" x14ac:dyDescent="0.55000000000000004">
      <c r="A12" t="s">
        <v>44</v>
      </c>
      <c r="B12">
        <v>1</v>
      </c>
      <c r="C12">
        <v>1</v>
      </c>
      <c r="L12">
        <v>1</v>
      </c>
      <c r="M12">
        <v>1</v>
      </c>
      <c r="V12">
        <v>1</v>
      </c>
      <c r="W12">
        <v>1</v>
      </c>
    </row>
    <row r="13" spans="1:32" x14ac:dyDescent="0.55000000000000004">
      <c r="A13" t="s">
        <v>49</v>
      </c>
      <c r="B13">
        <v>1</v>
      </c>
      <c r="D13">
        <v>1</v>
      </c>
      <c r="L13">
        <v>1</v>
      </c>
      <c r="N13">
        <v>1</v>
      </c>
      <c r="V13">
        <v>1</v>
      </c>
      <c r="X13">
        <v>1</v>
      </c>
    </row>
    <row r="14" spans="1:32" x14ac:dyDescent="0.55000000000000004">
      <c r="A14" t="s">
        <v>57</v>
      </c>
      <c r="B14">
        <v>1</v>
      </c>
      <c r="E14">
        <v>1</v>
      </c>
      <c r="L14">
        <v>1</v>
      </c>
      <c r="O14">
        <v>1</v>
      </c>
      <c r="V14">
        <v>1</v>
      </c>
      <c r="Y14">
        <v>1</v>
      </c>
    </row>
    <row r="15" spans="1:32" x14ac:dyDescent="0.55000000000000004">
      <c r="A15" t="s">
        <v>65</v>
      </c>
      <c r="B15">
        <v>1</v>
      </c>
      <c r="F15">
        <v>1</v>
      </c>
      <c r="L15">
        <v>1</v>
      </c>
      <c r="P15">
        <v>1</v>
      </c>
      <c r="V15">
        <v>1</v>
      </c>
      <c r="Z15">
        <v>1</v>
      </c>
    </row>
    <row r="16" spans="1:32" x14ac:dyDescent="0.55000000000000004">
      <c r="A16" t="s">
        <v>573</v>
      </c>
      <c r="B16">
        <v>1</v>
      </c>
      <c r="C16">
        <v>1</v>
      </c>
      <c r="L16">
        <v>1</v>
      </c>
      <c r="M16">
        <v>1</v>
      </c>
      <c r="Q16">
        <v>1</v>
      </c>
      <c r="R16">
        <v>1</v>
      </c>
    </row>
    <row r="17" spans="1:32" x14ac:dyDescent="0.55000000000000004">
      <c r="A17" t="s">
        <v>580</v>
      </c>
      <c r="B17">
        <v>1</v>
      </c>
      <c r="D17">
        <v>1</v>
      </c>
      <c r="L17">
        <v>1</v>
      </c>
      <c r="N17">
        <v>1</v>
      </c>
      <c r="Q17">
        <v>1</v>
      </c>
      <c r="S17">
        <v>1</v>
      </c>
    </row>
    <row r="18" spans="1:32" x14ac:dyDescent="0.55000000000000004">
      <c r="A18" t="s">
        <v>586</v>
      </c>
      <c r="B18">
        <v>1</v>
      </c>
      <c r="E18">
        <v>1</v>
      </c>
      <c r="L18">
        <v>1</v>
      </c>
      <c r="O18">
        <v>1</v>
      </c>
      <c r="Q18">
        <v>1</v>
      </c>
      <c r="T18">
        <v>1</v>
      </c>
    </row>
    <row r="19" spans="1:32" x14ac:dyDescent="0.55000000000000004">
      <c r="A19" t="s">
        <v>590</v>
      </c>
      <c r="B19">
        <v>1</v>
      </c>
      <c r="F19">
        <v>1</v>
      </c>
      <c r="L19">
        <v>1</v>
      </c>
      <c r="P19">
        <v>1</v>
      </c>
      <c r="Q19">
        <v>1</v>
      </c>
      <c r="U19">
        <v>1</v>
      </c>
    </row>
    <row r="20" spans="1:32" x14ac:dyDescent="0.55000000000000004">
      <c r="A20" t="s">
        <v>72</v>
      </c>
      <c r="AA20">
        <v>1</v>
      </c>
    </row>
    <row r="21" spans="1:32" x14ac:dyDescent="0.55000000000000004">
      <c r="A21" t="s">
        <v>79</v>
      </c>
      <c r="AB21">
        <v>1</v>
      </c>
      <c r="AC21">
        <v>1</v>
      </c>
    </row>
    <row r="22" spans="1:32" x14ac:dyDescent="0.55000000000000004">
      <c r="A22" t="s">
        <v>87</v>
      </c>
      <c r="AB22">
        <v>1</v>
      </c>
      <c r="AD22">
        <v>1</v>
      </c>
    </row>
    <row r="23" spans="1:32" x14ac:dyDescent="0.55000000000000004">
      <c r="A23" t="s">
        <v>95</v>
      </c>
      <c r="AB23">
        <v>1</v>
      </c>
      <c r="AE23">
        <v>1</v>
      </c>
    </row>
    <row r="24" spans="1:32" x14ac:dyDescent="0.55000000000000004">
      <c r="A24" t="s">
        <v>101</v>
      </c>
      <c r="AB24">
        <v>1</v>
      </c>
      <c r="AF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Notes</vt:lpstr>
      <vt:lpstr>Main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Index</vt:lpstr>
      <vt:lpstr>RepIndex</vt:lpstr>
      <vt:lpstr>Supply</vt:lpstr>
      <vt:lpstr>House</vt:lpstr>
      <vt:lpstr>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2025-06-10T14:06:35Z</dcterms:modified>
</cp:coreProperties>
</file>