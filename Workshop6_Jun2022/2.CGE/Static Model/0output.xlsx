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280" yWindow="2280" windowWidth="14400" windowHeight="7270" firstSheet="2" activeTab="2"/>
  </bookViews>
  <sheets>
    <sheet name="Notes" sheetId="1" r:id="rId1"/>
    <sheet name="Base" sheetId="3" r:id="rId2"/>
    <sheet name="Macro" sheetId="4" r:id="rId3"/>
    <sheet name="GDP" sheetId="5" r:id="rId4"/>
    <sheet name="Sector" sheetId="6" r:id="rId5"/>
    <sheet name="Trade" sheetId="7" r:id="rId6"/>
    <sheet name="Prices" sheetId="8" r:id="rId7"/>
    <sheet name="Factors" sheetId="9" r:id="rId8"/>
    <sheet name="Households" sheetId="10" r:id="rId9"/>
    <sheet name="Index" sheetId="2" state="hidden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H27" i="2"/>
  <c r="I26" i="2"/>
  <c r="H26" i="2"/>
  <c r="I28" i="2"/>
  <c r="H28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A1" i="1" l="1"/>
</calcChain>
</file>

<file path=xl/sharedStrings.xml><?xml version="1.0" encoding="utf-8"?>
<sst xmlns="http://schemas.openxmlformats.org/spreadsheetml/2006/main" count="11807" uniqueCount="892">
  <si>
    <t>Country</t>
  </si>
  <si>
    <t>Rwanda</t>
  </si>
  <si>
    <t>Year</t>
  </si>
  <si>
    <t>Units</t>
  </si>
  <si>
    <t>Billions of Rwanda Francs</t>
  </si>
  <si>
    <t>Activities and commodities</t>
  </si>
  <si>
    <t>Factors</t>
  </si>
  <si>
    <t>Households</t>
  </si>
  <si>
    <t>Other accounts</t>
  </si>
  <si>
    <t>amaiz</t>
  </si>
  <si>
    <t>cmaiz</t>
  </si>
  <si>
    <t>flab-rn</t>
  </si>
  <si>
    <t>Labor - rural uneducated</t>
  </si>
  <si>
    <t>hhd-f1</t>
  </si>
  <si>
    <t>Rural - farm q1</t>
  </si>
  <si>
    <t>trc</t>
  </si>
  <si>
    <t>Transaction costs</t>
  </si>
  <si>
    <t>asorg</t>
  </si>
  <si>
    <t>csorg</t>
  </si>
  <si>
    <t>flab-rp</t>
  </si>
  <si>
    <t>Labor - rural primary</t>
  </si>
  <si>
    <t>hhd-f2</t>
  </si>
  <si>
    <t>Rural - farm q2</t>
  </si>
  <si>
    <t>ent</t>
  </si>
  <si>
    <t>Enterprises</t>
  </si>
  <si>
    <t>arice</t>
  </si>
  <si>
    <t>crice</t>
  </si>
  <si>
    <t>flab-rs</t>
  </si>
  <si>
    <t>Labor - rural secondary</t>
  </si>
  <si>
    <t>hhd-f3</t>
  </si>
  <si>
    <t>Rural - farm q3</t>
  </si>
  <si>
    <t>gov</t>
  </si>
  <si>
    <t>Government</t>
  </si>
  <si>
    <t>awhea</t>
  </si>
  <si>
    <t>cwhea</t>
  </si>
  <si>
    <t>flab-rt</t>
  </si>
  <si>
    <t>Labor - rural tertiary</t>
  </si>
  <si>
    <t>hhd-f4</t>
  </si>
  <si>
    <t>Rural - farm q4</t>
  </si>
  <si>
    <t>atax</t>
  </si>
  <si>
    <t>aocer</t>
  </si>
  <si>
    <t>cocer</t>
  </si>
  <si>
    <t>flab-un</t>
  </si>
  <si>
    <t>Labor - urban uneducated</t>
  </si>
  <si>
    <t>hhd-f5</t>
  </si>
  <si>
    <t>Rural - farm q5</t>
  </si>
  <si>
    <t>dtax</t>
  </si>
  <si>
    <t>flab-up</t>
  </si>
  <si>
    <t>Labor - urban primary</t>
  </si>
  <si>
    <t>hhd-n1</t>
  </si>
  <si>
    <t>Rural - nonfarm q1</t>
  </si>
  <si>
    <t>etax</t>
  </si>
  <si>
    <t>agnut</t>
  </si>
  <si>
    <t>cgnut</t>
  </si>
  <si>
    <t>flab-us</t>
  </si>
  <si>
    <t>Labor - urban secondary</t>
  </si>
  <si>
    <t>hhd-n2</t>
  </si>
  <si>
    <t>Rural - nonfarm q2</t>
  </si>
  <si>
    <t>ftax</t>
  </si>
  <si>
    <t>aoils</t>
  </si>
  <si>
    <t>coils</t>
  </si>
  <si>
    <t>flab-ut</t>
  </si>
  <si>
    <t>Labor - urban tertiary</t>
  </si>
  <si>
    <t>hhd-n3</t>
  </si>
  <si>
    <t>Rural - nonfarm q3</t>
  </si>
  <si>
    <t>mtax</t>
  </si>
  <si>
    <t>acass</t>
  </si>
  <si>
    <t>ccass</t>
  </si>
  <si>
    <t>flnd</t>
  </si>
  <si>
    <t>Crop land</t>
  </si>
  <si>
    <t>hhd-n4</t>
  </si>
  <si>
    <t>Rural - nonfarm q4</t>
  </si>
  <si>
    <t>stax</t>
  </si>
  <si>
    <t>aipot</t>
  </si>
  <si>
    <t>cipot</t>
  </si>
  <si>
    <t>fcap-c</t>
  </si>
  <si>
    <t>Capital - crops</t>
  </si>
  <si>
    <t>hhd-n5</t>
  </si>
  <si>
    <t>Rural - nonfarm q5</t>
  </si>
  <si>
    <t>s-i</t>
  </si>
  <si>
    <t>Savings-investment</t>
  </si>
  <si>
    <t>aspot</t>
  </si>
  <si>
    <t>cspot</t>
  </si>
  <si>
    <t>fcap-l</t>
  </si>
  <si>
    <t>Capital - livestock</t>
  </si>
  <si>
    <t>hhd-u1</t>
  </si>
  <si>
    <t>Urban - q1</t>
  </si>
  <si>
    <t>dstk</t>
  </si>
  <si>
    <t>Change in stocks</t>
  </si>
  <si>
    <t>aroot</t>
  </si>
  <si>
    <t>croot</t>
  </si>
  <si>
    <t>fcap-m</t>
  </si>
  <si>
    <t>Capital - mining</t>
  </si>
  <si>
    <t>hhd-u2</t>
  </si>
  <si>
    <t>Urban - q2</t>
  </si>
  <si>
    <t>row</t>
  </si>
  <si>
    <t>Rest of world</t>
  </si>
  <si>
    <t>fcap-n</t>
  </si>
  <si>
    <t>Capital - non-primary</t>
  </si>
  <si>
    <t>hhd-u3</t>
  </si>
  <si>
    <t>Urban - q3</t>
  </si>
  <si>
    <t>total</t>
  </si>
  <si>
    <t>Total</t>
  </si>
  <si>
    <t>avege</t>
  </si>
  <si>
    <t>cvege</t>
  </si>
  <si>
    <t>hhd-u4</t>
  </si>
  <si>
    <t>Urban - q4</t>
  </si>
  <si>
    <t>asugr</t>
  </si>
  <si>
    <t>csugr</t>
  </si>
  <si>
    <t>hhd-u5</t>
  </si>
  <si>
    <t>Urban - q5</t>
  </si>
  <si>
    <t>atoba</t>
  </si>
  <si>
    <t>ctoba</t>
  </si>
  <si>
    <t>afrui</t>
  </si>
  <si>
    <t>cfrui</t>
  </si>
  <si>
    <t>ateal</t>
  </si>
  <si>
    <t>cteal</t>
  </si>
  <si>
    <t>acoff</t>
  </si>
  <si>
    <t>ccoff</t>
  </si>
  <si>
    <t>aocrp</t>
  </si>
  <si>
    <t>cocrp</t>
  </si>
  <si>
    <t>acatt</t>
  </si>
  <si>
    <t>ccatt</t>
  </si>
  <si>
    <t>amilk</t>
  </si>
  <si>
    <t>cmilk</t>
  </si>
  <si>
    <t>apoul</t>
  </si>
  <si>
    <t>cpoul</t>
  </si>
  <si>
    <t>aeggs</t>
  </si>
  <si>
    <t>ceggs</t>
  </si>
  <si>
    <t>asmlr</t>
  </si>
  <si>
    <t>csmlr</t>
  </si>
  <si>
    <t>aoliv</t>
  </si>
  <si>
    <t>coliv</t>
  </si>
  <si>
    <t>afore</t>
  </si>
  <si>
    <t>cfore</t>
  </si>
  <si>
    <t>Forestry</t>
  </si>
  <si>
    <t>afish</t>
  </si>
  <si>
    <t>cfish</t>
  </si>
  <si>
    <t>angas</t>
  </si>
  <si>
    <t>cngas</t>
  </si>
  <si>
    <t>aomin</t>
  </si>
  <si>
    <t>comin</t>
  </si>
  <si>
    <t>ameat</t>
  </si>
  <si>
    <t>cmeat</t>
  </si>
  <si>
    <t>afsea</t>
  </si>
  <si>
    <t>cfsea</t>
  </si>
  <si>
    <t>adair</t>
  </si>
  <si>
    <t>cdair</t>
  </si>
  <si>
    <t>afveg</t>
  </si>
  <si>
    <t>cfveg</t>
  </si>
  <si>
    <t>afoil</t>
  </si>
  <si>
    <t>cfoil</t>
  </si>
  <si>
    <t>agmll</t>
  </si>
  <si>
    <t>cgmll</t>
  </si>
  <si>
    <t>afood</t>
  </si>
  <si>
    <t>cfood</t>
  </si>
  <si>
    <t>afeed</t>
  </si>
  <si>
    <t>cfeed</t>
  </si>
  <si>
    <t>abeve</t>
  </si>
  <si>
    <t>cbeve</t>
  </si>
  <si>
    <t>aptob</t>
  </si>
  <si>
    <t>cptob</t>
  </si>
  <si>
    <t>atext</t>
  </si>
  <si>
    <t>ctext</t>
  </si>
  <si>
    <t>awood</t>
  </si>
  <si>
    <t>cwood</t>
  </si>
  <si>
    <t>apetr</t>
  </si>
  <si>
    <t>cpetr</t>
  </si>
  <si>
    <t>achem</t>
  </si>
  <si>
    <t>cchem</t>
  </si>
  <si>
    <t>anmet</t>
  </si>
  <si>
    <t>cnmet</t>
  </si>
  <si>
    <t>Non-metal minerals</t>
  </si>
  <si>
    <t>ametl</t>
  </si>
  <si>
    <t>cmetl</t>
  </si>
  <si>
    <t>amach</t>
  </si>
  <si>
    <t>cmach</t>
  </si>
  <si>
    <t>avehi</t>
  </si>
  <si>
    <t>cvehi</t>
  </si>
  <si>
    <t>aoman</t>
  </si>
  <si>
    <t>coman</t>
  </si>
  <si>
    <t>Other manufacturing</t>
  </si>
  <si>
    <t>aelec</t>
  </si>
  <si>
    <t>celec</t>
  </si>
  <si>
    <t>awatr</t>
  </si>
  <si>
    <t>cwatr</t>
  </si>
  <si>
    <t>acons</t>
  </si>
  <si>
    <t>ccons</t>
  </si>
  <si>
    <t>Construction</t>
  </si>
  <si>
    <t>ahotl</t>
  </si>
  <si>
    <t>chotl</t>
  </si>
  <si>
    <t>acomm</t>
  </si>
  <si>
    <t>ccomm</t>
  </si>
  <si>
    <t>areal</t>
  </si>
  <si>
    <t>creal</t>
  </si>
  <si>
    <t>Real estate activities</t>
  </si>
  <si>
    <t>Business services</t>
  </si>
  <si>
    <t>apadm</t>
  </si>
  <si>
    <t>cpadm</t>
  </si>
  <si>
    <t>aeduc</t>
  </si>
  <si>
    <t>ceduc</t>
  </si>
  <si>
    <t>aheal</t>
  </si>
  <si>
    <t>cheal</t>
  </si>
  <si>
    <t>aosrv</t>
  </si>
  <si>
    <t>cosrv</t>
  </si>
  <si>
    <t>Other services</t>
  </si>
  <si>
    <t>GDX index</t>
  </si>
  <si>
    <t>Location of input tables</t>
  </si>
  <si>
    <t>Type</t>
  </si>
  <si>
    <t>Name</t>
  </si>
  <si>
    <t>Location</t>
  </si>
  <si>
    <t>Row</t>
  </si>
  <si>
    <t>Column</t>
  </si>
  <si>
    <t>rdim</t>
  </si>
  <si>
    <t>cdim</t>
  </si>
  <si>
    <t>yitab</t>
  </si>
  <si>
    <t>households</t>
  </si>
  <si>
    <t>c</t>
  </si>
  <si>
    <t>par</t>
  </si>
  <si>
    <t>r</t>
  </si>
  <si>
    <t>qhtab2</t>
  </si>
  <si>
    <t>ag</t>
  </si>
  <si>
    <t>taxtot</t>
  </si>
  <si>
    <t>factors</t>
  </si>
  <si>
    <t>qftab</t>
  </si>
  <si>
    <t>pxtab</t>
  </si>
  <si>
    <t>prices</t>
  </si>
  <si>
    <t>pqtab</t>
  </si>
  <si>
    <t>petab</t>
  </si>
  <si>
    <t>pmtab</t>
  </si>
  <si>
    <t>av</t>
  </si>
  <si>
    <t>pwetab</t>
  </si>
  <si>
    <t>bk</t>
  </si>
  <si>
    <t>pwmtab</t>
  </si>
  <si>
    <t>bz</t>
  </si>
  <si>
    <t>qetab</t>
  </si>
  <si>
    <t>trade</t>
  </si>
  <si>
    <t>qmtab</t>
  </si>
  <si>
    <t>sgrowth</t>
  </si>
  <si>
    <t>sector</t>
  </si>
  <si>
    <t>scontr</t>
  </si>
  <si>
    <t>gdptab1p</t>
  </si>
  <si>
    <t>gdp</t>
  </si>
  <si>
    <t>macrotab</t>
  </si>
  <si>
    <t>macro</t>
  </si>
  <si>
    <t>taxtab</t>
  </si>
  <si>
    <t>base</t>
  </si>
  <si>
    <t>strucbase2</t>
  </si>
  <si>
    <t>q</t>
  </si>
  <si>
    <t>Base structural and tax tables</t>
  </si>
  <si>
    <t>Structural base table (STRUCBASE2)</t>
  </si>
  <si>
    <t>Trade and output tax table (TAXTAB)</t>
  </si>
  <si>
    <t>Imports</t>
  </si>
  <si>
    <t>Exports</t>
  </si>
  <si>
    <t>Output</t>
  </si>
  <si>
    <t>GDP</t>
  </si>
  <si>
    <t>Employ.</t>
  </si>
  <si>
    <t>Share (%)</t>
  </si>
  <si>
    <t>Tariff (%)</t>
  </si>
  <si>
    <t>Revenue</t>
  </si>
  <si>
    <t>share (%)</t>
  </si>
  <si>
    <t>Intensity</t>
  </si>
  <si>
    <t>tIMPshr</t>
  </si>
  <si>
    <t>tIMPtar</t>
  </si>
  <si>
    <t>tIMPrev</t>
  </si>
  <si>
    <t>tEXPshr</t>
  </si>
  <si>
    <t>tEXPtax</t>
  </si>
  <si>
    <t>tEXPrev</t>
  </si>
  <si>
    <t>tACTshr</t>
  </si>
  <si>
    <t>tACTtax</t>
  </si>
  <si>
    <t>tACTrev</t>
  </si>
  <si>
    <t>VAshr</t>
  </si>
  <si>
    <t>PRDshr</t>
  </si>
  <si>
    <t>EMPshr</t>
  </si>
  <si>
    <t>EXPshr</t>
  </si>
  <si>
    <t>EXP-OUTshr</t>
  </si>
  <si>
    <t>IMPshr</t>
  </si>
  <si>
    <t>IMP-DEMshr</t>
  </si>
  <si>
    <t>Agriculture</t>
  </si>
  <si>
    <t>Crops</t>
  </si>
  <si>
    <t>Livestock</t>
  </si>
  <si>
    <t>Other agriculture</t>
  </si>
  <si>
    <t>Non-agriculture</t>
  </si>
  <si>
    <t>Industry</t>
  </si>
  <si>
    <t>Mining</t>
  </si>
  <si>
    <t>Manufacturing</t>
  </si>
  <si>
    <t>Other industry</t>
  </si>
  <si>
    <t>Services</t>
  </si>
  <si>
    <t>sGDP</t>
  </si>
  <si>
    <t>sAGRI</t>
  </si>
  <si>
    <t>sCROP</t>
  </si>
  <si>
    <t>sFCRP</t>
  </si>
  <si>
    <t>sXCRP</t>
  </si>
  <si>
    <t>smaiz</t>
  </si>
  <si>
    <t>ssorg</t>
  </si>
  <si>
    <t>srice</t>
  </si>
  <si>
    <t>swhea</t>
  </si>
  <si>
    <t>socer</t>
  </si>
  <si>
    <t>sgnut</t>
  </si>
  <si>
    <t>soils</t>
  </si>
  <si>
    <t>scass</t>
  </si>
  <si>
    <t>sipot</t>
  </si>
  <si>
    <t>sspot</t>
  </si>
  <si>
    <t>sroot</t>
  </si>
  <si>
    <t>svege</t>
  </si>
  <si>
    <t>ssugr</t>
  </si>
  <si>
    <t>stoba</t>
  </si>
  <si>
    <t>sfrui</t>
  </si>
  <si>
    <t>steal</t>
  </si>
  <si>
    <t>scoff</t>
  </si>
  <si>
    <t>socrp</t>
  </si>
  <si>
    <t>sLIVE</t>
  </si>
  <si>
    <t>scatt</t>
  </si>
  <si>
    <t>smilk</t>
  </si>
  <si>
    <t>spoul</t>
  </si>
  <si>
    <t>seggs</t>
  </si>
  <si>
    <t>ssmlr</t>
  </si>
  <si>
    <t>soliv</t>
  </si>
  <si>
    <t>sOAGR</t>
  </si>
  <si>
    <t>sfore</t>
  </si>
  <si>
    <t>sfish</t>
  </si>
  <si>
    <t>sNAGR</t>
  </si>
  <si>
    <t>sINDU</t>
  </si>
  <si>
    <t>sMINE</t>
  </si>
  <si>
    <t>sngas</t>
  </si>
  <si>
    <t>somin</t>
  </si>
  <si>
    <t>sMANU</t>
  </si>
  <si>
    <t>sFPRC</t>
  </si>
  <si>
    <t>smeat</t>
  </si>
  <si>
    <t>sfsea</t>
  </si>
  <si>
    <t>sdair</t>
  </si>
  <si>
    <t>sfveg</t>
  </si>
  <si>
    <t>sfoil</t>
  </si>
  <si>
    <t>sgmll</t>
  </si>
  <si>
    <t>sfood</t>
  </si>
  <si>
    <t>sfeed</t>
  </si>
  <si>
    <t>sbeve</t>
  </si>
  <si>
    <t>sptob</t>
  </si>
  <si>
    <t>stext</t>
  </si>
  <si>
    <t>sWDPR</t>
  </si>
  <si>
    <t>swood</t>
  </si>
  <si>
    <t>sPETC</t>
  </si>
  <si>
    <t>spetr</t>
  </si>
  <si>
    <t>schem</t>
  </si>
  <si>
    <t>snmet</t>
  </si>
  <si>
    <t>sMMCH</t>
  </si>
  <si>
    <t>smetl</t>
  </si>
  <si>
    <t>smach</t>
  </si>
  <si>
    <t>svehi</t>
  </si>
  <si>
    <t>soman</t>
  </si>
  <si>
    <t>sOIND</t>
  </si>
  <si>
    <t>selec</t>
  </si>
  <si>
    <t>swatr</t>
  </si>
  <si>
    <t>scons</t>
  </si>
  <si>
    <t>sSERV</t>
  </si>
  <si>
    <t>shotl</t>
  </si>
  <si>
    <t>scomm</t>
  </si>
  <si>
    <t>sreal</t>
  </si>
  <si>
    <t>spadm</t>
  </si>
  <si>
    <t>seduc</t>
  </si>
  <si>
    <t>sheal</t>
  </si>
  <si>
    <t>sosrv</t>
  </si>
  <si>
    <t>Food crops</t>
  </si>
  <si>
    <t>Export crops</t>
  </si>
  <si>
    <t>Food processing</t>
  </si>
  <si>
    <t>Beverages &amp; tobacco</t>
  </si>
  <si>
    <t>Wood &amp; paper</t>
  </si>
  <si>
    <t>Chemicals, rubber &amp; plastic</t>
  </si>
  <si>
    <t>Metals, machinery &amp; equipment</t>
  </si>
  <si>
    <t>Electricity, gas &amp; steam</t>
  </si>
  <si>
    <t>Wholesale &amp; retail trade</t>
  </si>
  <si>
    <t>Transportation &amp; storage</t>
  </si>
  <si>
    <t>Information &amp; communication</t>
  </si>
  <si>
    <t>Finance &amp; insurance</t>
  </si>
  <si>
    <t>sBTOB</t>
  </si>
  <si>
    <t>QABSTOT</t>
  </si>
  <si>
    <t>QHTOT</t>
  </si>
  <si>
    <t>QINVTOT</t>
  </si>
  <si>
    <t>QGTOT</t>
  </si>
  <si>
    <t>QETOT</t>
  </si>
  <si>
    <t>QMTOT</t>
  </si>
  <si>
    <t>REXR</t>
  </si>
  <si>
    <t>NEXR</t>
  </si>
  <si>
    <t>PWEIND</t>
  </si>
  <si>
    <t>PWMIND</t>
  </si>
  <si>
    <t>PWIND</t>
  </si>
  <si>
    <t>PDIND</t>
  </si>
  <si>
    <t>CPI</t>
  </si>
  <si>
    <t>TOFT</t>
  </si>
  <si>
    <t>INVGDP</t>
  </si>
  <si>
    <t>PRVSAVGDP</t>
  </si>
  <si>
    <t>FORSAVGDP</t>
  </si>
  <si>
    <t>TRDDEFGDP</t>
  </si>
  <si>
    <t>GOVSAVGDP</t>
  </si>
  <si>
    <t>IMPTAXGDP</t>
  </si>
  <si>
    <t>DIRTAXGDP</t>
  </si>
  <si>
    <t>sim8</t>
  </si>
  <si>
    <t>sim9</t>
  </si>
  <si>
    <t>Macroeconomic results</t>
  </si>
  <si>
    <t>Initial</t>
  </si>
  <si>
    <t>Change from base (%)</t>
  </si>
  <si>
    <t>Quantity</t>
  </si>
  <si>
    <t>Absorption</t>
  </si>
  <si>
    <t>Consumption</t>
  </si>
  <si>
    <t>Investment</t>
  </si>
  <si>
    <t>Prices</t>
  </si>
  <si>
    <t>Real exchange rate</t>
  </si>
  <si>
    <t>Nominal exchange rate</t>
  </si>
  <si>
    <t>World export prices</t>
  </si>
  <si>
    <t>World import prices</t>
  </si>
  <si>
    <t>World price index</t>
  </si>
  <si>
    <t>Domestic price index</t>
  </si>
  <si>
    <t>Consumer price index</t>
  </si>
  <si>
    <t>Terms-of-trade</t>
  </si>
  <si>
    <t>Shares</t>
  </si>
  <si>
    <t>Investment / GDP</t>
  </si>
  <si>
    <t>Private savings / GDP</t>
  </si>
  <si>
    <t>Foreign savings / GDP</t>
  </si>
  <si>
    <t>Trade deficit / GDP</t>
  </si>
  <si>
    <t>Public savings / GDP</t>
  </si>
  <si>
    <t>Import taxes / GDP</t>
  </si>
  <si>
    <t>Direct taxes / GDP</t>
  </si>
  <si>
    <t>real</t>
  </si>
  <si>
    <t>ABSORP</t>
  </si>
  <si>
    <t>PRVCON</t>
  </si>
  <si>
    <t>FIXINV</t>
  </si>
  <si>
    <t>DSTOCK</t>
  </si>
  <si>
    <t>GOVCON</t>
  </si>
  <si>
    <t>EXPORTS</t>
  </si>
  <si>
    <t>IMPORTS</t>
  </si>
  <si>
    <t>GDPMP</t>
  </si>
  <si>
    <t>GDPMP2</t>
  </si>
  <si>
    <t>NETITAX</t>
  </si>
  <si>
    <t>GDPFC2</t>
  </si>
  <si>
    <t>NOMINAL</t>
  </si>
  <si>
    <t>NOMSHARE</t>
  </si>
  <si>
    <t>REALSHARE</t>
  </si>
  <si>
    <t>DEFLATOR</t>
  </si>
  <si>
    <t>Nominal</t>
  </si>
  <si>
    <t>Stocks</t>
  </si>
  <si>
    <t>GDP at market prices</t>
  </si>
  <si>
    <t>Indirect taxes</t>
  </si>
  <si>
    <t>GDP at factor cost</t>
  </si>
  <si>
    <t>Real</t>
  </si>
  <si>
    <t>share</t>
  </si>
  <si>
    <t>Deflator</t>
  </si>
  <si>
    <t>Demand-side expenditures</t>
  </si>
  <si>
    <t>International trade</t>
  </si>
  <si>
    <t xml:space="preserve">Real export value </t>
  </si>
  <si>
    <t>(PWE0 * EXR0 * QE)</t>
  </si>
  <si>
    <t>Real import value</t>
  </si>
  <si>
    <t>Output prices</t>
  </si>
  <si>
    <t>(PX)</t>
  </si>
  <si>
    <t>Composite demand prices</t>
  </si>
  <si>
    <t xml:space="preserve">Export prices </t>
  </si>
  <si>
    <t>Import prices</t>
  </si>
  <si>
    <t xml:space="preserve">World export prices </t>
  </si>
  <si>
    <t>Commodity prices</t>
  </si>
  <si>
    <t>Factor markets</t>
  </si>
  <si>
    <t>Total factor supply</t>
  </si>
  <si>
    <t xml:space="preserve"> (QFS)</t>
  </si>
  <si>
    <t>Economy-wide wage</t>
  </si>
  <si>
    <t>Total factor income</t>
  </si>
  <si>
    <t>Sector factor demand</t>
  </si>
  <si>
    <t>DTAX-HHD-RATE</t>
  </si>
  <si>
    <t>DTAX-HHD-VALUE</t>
  </si>
  <si>
    <t>Household income and expenditure tables</t>
  </si>
  <si>
    <t>Direct tax table</t>
  </si>
  <si>
    <t>b</t>
  </si>
  <si>
    <t>s</t>
  </si>
  <si>
    <t>Percentage change</t>
  </si>
  <si>
    <t>Contribution to change</t>
  </si>
  <si>
    <t>Contribution to change (%)</t>
  </si>
  <si>
    <t>Labor - National</t>
  </si>
  <si>
    <t xml:space="preserve">   Not finished primary</t>
  </si>
  <si>
    <t xml:space="preserve">   Finished primary</t>
  </si>
  <si>
    <t xml:space="preserve">   Finished secondary</t>
  </si>
  <si>
    <t xml:space="preserve">   Finished tertiary</t>
  </si>
  <si>
    <t>Labor - Rural</t>
  </si>
  <si>
    <t>Labor - Urban</t>
  </si>
  <si>
    <t>Capital - Total</t>
  </si>
  <si>
    <t xml:space="preserve">   Crops, forestry, fisheries</t>
  </si>
  <si>
    <t xml:space="preserve">   Livestock</t>
  </si>
  <si>
    <t xml:space="preserve">   Mining</t>
  </si>
  <si>
    <t xml:space="preserve">   Other non-agriculture</t>
  </si>
  <si>
    <t>QFSTAB</t>
  </si>
  <si>
    <t>WFTAB</t>
  </si>
  <si>
    <t>YFTAB2</t>
  </si>
  <si>
    <t xml:space="preserve"> (QF * WF * WFDIST / CPI)</t>
  </si>
  <si>
    <t xml:space="preserve"> (YF / CPI)</t>
  </si>
  <si>
    <t>hHHD</t>
  </si>
  <si>
    <t>hHHD-1</t>
  </si>
  <si>
    <t>hHHD-2</t>
  </si>
  <si>
    <t>hHHD-3</t>
  </si>
  <si>
    <t>hHHD-4</t>
  </si>
  <si>
    <t>hHHD-5</t>
  </si>
  <si>
    <t>hRUR</t>
  </si>
  <si>
    <t>hRUR-1</t>
  </si>
  <si>
    <t>All households</t>
  </si>
  <si>
    <t xml:space="preserve">   Quintile 1</t>
  </si>
  <si>
    <t xml:space="preserve">   Quintile 2</t>
  </si>
  <si>
    <t xml:space="preserve">   Quintile 3</t>
  </si>
  <si>
    <t xml:space="preserve">   Quintile 4</t>
  </si>
  <si>
    <t xml:space="preserve">   Quintile 5</t>
  </si>
  <si>
    <t>Rural households</t>
  </si>
  <si>
    <t>Urban households</t>
  </si>
  <si>
    <t>qctab</t>
  </si>
  <si>
    <t xml:space="preserve"> (YI)</t>
  </si>
  <si>
    <t xml:space="preserve"> (PQ0 *QH)</t>
  </si>
  <si>
    <t>hRUR-2</t>
  </si>
  <si>
    <t>hRUR-3</t>
  </si>
  <si>
    <t>hRUR-4</t>
  </si>
  <si>
    <t>hRUR-5</t>
  </si>
  <si>
    <t>hURB</t>
  </si>
  <si>
    <t>hURB-1</t>
  </si>
  <si>
    <t>hURB-2</t>
  </si>
  <si>
    <t>hURB-3</t>
  </si>
  <si>
    <t>hURB-4</t>
  </si>
  <si>
    <t>hURB-5</t>
  </si>
  <si>
    <t>Real consumption</t>
  </si>
  <si>
    <t>Real incomes</t>
  </si>
  <si>
    <t>hKIG</t>
  </si>
  <si>
    <t>hKIG-1</t>
  </si>
  <si>
    <t>hKIG-2</t>
  </si>
  <si>
    <t>hKIG-3</t>
  </si>
  <si>
    <t>hKIG-4</t>
  </si>
  <si>
    <t>hKIG-5</t>
  </si>
  <si>
    <t>hSML</t>
  </si>
  <si>
    <t>hSML-1</t>
  </si>
  <si>
    <t>hSML-2</t>
  </si>
  <si>
    <t>hSML-3</t>
  </si>
  <si>
    <t>hSML-4</t>
  </si>
  <si>
    <t>hSML-5</t>
  </si>
  <si>
    <t>sbean</t>
  </si>
  <si>
    <t>speas</t>
  </si>
  <si>
    <t>sbanb</t>
  </si>
  <si>
    <t>sbanc</t>
  </si>
  <si>
    <t>sbans</t>
  </si>
  <si>
    <t>ssoya</t>
  </si>
  <si>
    <t>spyre</t>
  </si>
  <si>
    <t>shony</t>
  </si>
  <si>
    <t>shunt</t>
  </si>
  <si>
    <t>sAFORE</t>
  </si>
  <si>
    <t>sfuel</t>
  </si>
  <si>
    <t>schar</t>
  </si>
  <si>
    <t>smore</t>
  </si>
  <si>
    <t>sbake</t>
  </si>
  <si>
    <t>salco</t>
  </si>
  <si>
    <t>sprnt</t>
  </si>
  <si>
    <t>sphar</t>
  </si>
  <si>
    <t>sprub</t>
  </si>
  <si>
    <t>sMNRL</t>
  </si>
  <si>
    <t>sceme</t>
  </si>
  <si>
    <t>sclay</t>
  </si>
  <si>
    <t>sOTHM</t>
  </si>
  <si>
    <t>sfurn</t>
  </si>
  <si>
    <t>srepr</t>
  </si>
  <si>
    <t>sUTIL</t>
  </si>
  <si>
    <t>swast</t>
  </si>
  <si>
    <t>sCSTR</t>
  </si>
  <si>
    <t>scont</t>
  </si>
  <si>
    <t>sTRAD</t>
  </si>
  <si>
    <t>svehr</t>
  </si>
  <si>
    <t>sveht</t>
  </si>
  <si>
    <t>strdw</t>
  </si>
  <si>
    <t>strdr</t>
  </si>
  <si>
    <t>sTRAN</t>
  </si>
  <si>
    <t>strnl</t>
  </si>
  <si>
    <t>strna</t>
  </si>
  <si>
    <t>strns</t>
  </si>
  <si>
    <t>spost</t>
  </si>
  <si>
    <t>sCOMI</t>
  </si>
  <si>
    <t>spubl</t>
  </si>
  <si>
    <t>sinfo</t>
  </si>
  <si>
    <t>sFSRV</t>
  </si>
  <si>
    <t>sbank</t>
  </si>
  <si>
    <t>sinsu</t>
  </si>
  <si>
    <t>sofsv</t>
  </si>
  <si>
    <t>sREST</t>
  </si>
  <si>
    <t>srent</t>
  </si>
  <si>
    <t>sBSRV</t>
  </si>
  <si>
    <t>slegl</t>
  </si>
  <si>
    <t>senga</t>
  </si>
  <si>
    <t>sprod</t>
  </si>
  <si>
    <t>strvl</t>
  </si>
  <si>
    <t>sobsv</t>
  </si>
  <si>
    <t>sOTHS</t>
  </si>
  <si>
    <t>ssocw</t>
  </si>
  <si>
    <t>scult</t>
  </si>
  <si>
    <t>sarts</t>
  </si>
  <si>
    <t>sdsrv</t>
  </si>
  <si>
    <t>strdc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</si>
  <si>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</si>
  <si>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</si>
  <si>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</si>
  <si>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</si>
  <si>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</si>
  <si>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</si>
  <si>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</si>
  <si>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</si>
  <si>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</si>
  <si>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Dried beans (A131)</t>
  </si>
  <si>
    <t>Peas &amp; other legumes (A132)</t>
  </si>
  <si>
    <t>Other vegetables (A139)</t>
  </si>
  <si>
    <t>Bananas for beer (A141)</t>
  </si>
  <si>
    <t>Bananas for cooking (A142)</t>
  </si>
  <si>
    <t>Bananas (sweet) (A143)</t>
  </si>
  <si>
    <t>Other fruit &amp; nuts (A149)</t>
  </si>
  <si>
    <t>Ground nuts (A151)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</si>
  <si>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</si>
  <si>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</si>
  <si>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</si>
  <si>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</si>
  <si>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</si>
  <si>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</si>
  <si>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</si>
  <si>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</si>
  <si>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</si>
  <si>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</si>
  <si>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</si>
  <si>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</si>
  <si>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</si>
  <si>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</si>
  <si>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Natural honey (A323)</t>
  </si>
  <si>
    <t>Other livestock &amp; hunting products (A329)</t>
  </si>
  <si>
    <t>Fuel wood (A401)</t>
  </si>
  <si>
    <t>Charcoal (A402)</t>
  </si>
  <si>
    <t>Other forestry products (A409)</t>
  </si>
  <si>
    <t>Fishery products (A500)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</si>
  <si>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</si>
  <si>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</si>
  <si>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</si>
  <si>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</si>
  <si>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</si>
  <si>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</si>
  <si>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</si>
  <si>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</si>
  <si>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</si>
  <si>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</si>
  <si>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</si>
  <si>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</si>
  <si>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</si>
  <si>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</si>
  <si>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</si>
  <si>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</si>
  <si>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</si>
  <si>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</si>
  <si>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</si>
  <si>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</si>
  <si>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</si>
  <si>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</si>
  <si>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</si>
  <si>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</si>
  <si>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</si>
  <si>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</si>
  <si>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</si>
  <si>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</si>
  <si>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</si>
  <si>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</si>
  <si>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</si>
  <si>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</si>
  <si>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</si>
  <si>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</si>
  <si>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</si>
  <si>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</si>
  <si>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</si>
  <si>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</si>
  <si>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</si>
  <si>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</si>
  <si>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</si>
  <si>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</si>
  <si>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</si>
  <si>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</si>
  <si>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</si>
  <si>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</si>
  <si>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</si>
  <si>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</si>
  <si>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</si>
  <si>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</si>
  <si>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</si>
  <si>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</si>
  <si>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</si>
  <si>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</si>
  <si>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</si>
  <si>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</si>
  <si>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</si>
  <si>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</si>
  <si>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</si>
  <si>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</si>
  <si>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</si>
  <si>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</si>
  <si>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</si>
  <si>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</si>
  <si>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</si>
  <si>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</si>
  <si>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Travel debits &amp; credits (V00)</t>
  </si>
  <si>
    <t>fL</t>
  </si>
  <si>
    <t>fL-n</t>
  </si>
  <si>
    <t>fL-p</t>
  </si>
  <si>
    <t>fL-s</t>
  </si>
  <si>
    <t>fL-t</t>
  </si>
  <si>
    <t>fL-R</t>
  </si>
  <si>
    <t>fL-R-n</t>
  </si>
  <si>
    <t>fL-R-p</t>
  </si>
  <si>
    <t>fL-R-s</t>
  </si>
  <si>
    <t>fL-R-t</t>
  </si>
  <si>
    <t>fL-U</t>
  </si>
  <si>
    <t>fL-U-n</t>
  </si>
  <si>
    <t>fL-U-p</t>
  </si>
  <si>
    <t>fL-U-s</t>
  </si>
  <si>
    <t>fL-U-t</t>
  </si>
  <si>
    <t>fL-K</t>
  </si>
  <si>
    <t>fL-K-n</t>
  </si>
  <si>
    <t>fL-K-p</t>
  </si>
  <si>
    <t>fL-K-s</t>
  </si>
  <si>
    <t>fL-K-t</t>
  </si>
  <si>
    <t>fL-O</t>
  </si>
  <si>
    <t>fL-O-n</t>
  </si>
  <si>
    <t>fL-O-p</t>
  </si>
  <si>
    <t>fL-O-s</t>
  </si>
  <si>
    <t>fL-O-t</t>
  </si>
  <si>
    <t>fN</t>
  </si>
  <si>
    <t>fK</t>
  </si>
  <si>
    <t>fK-c</t>
  </si>
  <si>
    <t>fK-l</t>
  </si>
  <si>
    <t>fK-m</t>
  </si>
  <si>
    <t>fK-n</t>
  </si>
  <si>
    <t>Labor - Kigali</t>
  </si>
  <si>
    <t>Labor - Other urban</t>
  </si>
  <si>
    <t>flab-kn</t>
  </si>
  <si>
    <t>flab-kp</t>
  </si>
  <si>
    <t>flab-ks</t>
  </si>
  <si>
    <t>flab-kt</t>
  </si>
  <si>
    <t>Capital</t>
  </si>
  <si>
    <t>Kigali households</t>
  </si>
  <si>
    <t>Other urban households</t>
  </si>
  <si>
    <t>Rates</t>
  </si>
  <si>
    <t>Values</t>
  </si>
  <si>
    <t>Rural - Quintile 1</t>
  </si>
  <si>
    <t>Rural - Quintile 2</t>
  </si>
  <si>
    <t>Rural - Quintile 3</t>
  </si>
  <si>
    <t>Rural - Quintile 4</t>
  </si>
  <si>
    <t>Rural - Quintile 5</t>
  </si>
  <si>
    <t>Kigali - Quintile 1</t>
  </si>
  <si>
    <t>Kigali - Quintile 2</t>
  </si>
  <si>
    <t>Kigali - Quintile 3</t>
  </si>
  <si>
    <t>Kigali - Quintile 4</t>
  </si>
  <si>
    <t>Kigali - Quintile 5</t>
  </si>
  <si>
    <t>Other urban - Quintile 1</t>
  </si>
  <si>
    <t>Other urban - Quintile 2</t>
  </si>
  <si>
    <t>Other urban - Quintile 3</t>
  </si>
  <si>
    <t>Other urban - Quintile 4</t>
  </si>
  <si>
    <t>Other urban - Quintile 5</t>
  </si>
  <si>
    <t>hhd-r1</t>
  </si>
  <si>
    <t>hhd-r2</t>
  </si>
  <si>
    <t>hhd-r3</t>
  </si>
  <si>
    <t>hhd-r4</t>
  </si>
  <si>
    <t>hhd-r5</t>
  </si>
  <si>
    <t>hhd-k1</t>
  </si>
  <si>
    <t>hhd-k2</t>
  </si>
  <si>
    <t>hhd-k3</t>
  </si>
  <si>
    <t>hhd-k4</t>
  </si>
  <si>
    <t>hhd-k5</t>
  </si>
  <si>
    <t>flab</t>
  </si>
  <si>
    <t>Labor</t>
  </si>
  <si>
    <t>Land</t>
  </si>
  <si>
    <t>fcap</t>
  </si>
  <si>
    <t>hhd</t>
  </si>
  <si>
    <t>Taxes - activity (production)</t>
  </si>
  <si>
    <t>Labor - Kigali uneducated</t>
  </si>
  <si>
    <t>ctax</t>
  </si>
  <si>
    <t>Taxes - customs duties (imports)</t>
  </si>
  <si>
    <t>abean</t>
  </si>
  <si>
    <t>cbean</t>
  </si>
  <si>
    <t>Labor - Kigali primary</t>
  </si>
  <si>
    <t>Taxes - direct (corporate, private)</t>
  </si>
  <si>
    <t>apeas</t>
  </si>
  <si>
    <t>cpeas</t>
  </si>
  <si>
    <t>Labor - Kigali secondary</t>
  </si>
  <si>
    <t>Taxes - exports</t>
  </si>
  <si>
    <t>Labor - Kigali tertiary</t>
  </si>
  <si>
    <t>Taxes - factors (royalities)</t>
  </si>
  <si>
    <t>abanb</t>
  </si>
  <si>
    <t>cbanb</t>
  </si>
  <si>
    <t>Taxes - VAT on imported products</t>
  </si>
  <si>
    <t>abanc</t>
  </si>
  <si>
    <t>cbanc</t>
  </si>
  <si>
    <t>Taxes - general sales</t>
  </si>
  <si>
    <t>abans</t>
  </si>
  <si>
    <t>cbans</t>
  </si>
  <si>
    <t>vtax</t>
  </si>
  <si>
    <t>Taxes - VAT on domestic products</t>
  </si>
  <si>
    <t>Kigali - q1</t>
  </si>
  <si>
    <t>xtax</t>
  </si>
  <si>
    <t>Taxes - excise</t>
  </si>
  <si>
    <t>Kigali - q2</t>
  </si>
  <si>
    <t>asoya</t>
  </si>
  <si>
    <t>csoya</t>
  </si>
  <si>
    <t>Kigali - q3</t>
  </si>
  <si>
    <t>Kigali - q4</t>
  </si>
  <si>
    <t>Kigali - q5</t>
  </si>
  <si>
    <t>apyre</t>
  </si>
  <si>
    <t>cpyre</t>
  </si>
  <si>
    <t>ahony</t>
  </si>
  <si>
    <t>chony</t>
  </si>
  <si>
    <t>ahunt</t>
  </si>
  <si>
    <t>chunt</t>
  </si>
  <si>
    <t>afuel</t>
  </si>
  <si>
    <t>cfuel</t>
  </si>
  <si>
    <t>achar</t>
  </si>
  <si>
    <t>cchar</t>
  </si>
  <si>
    <t>amore</t>
  </si>
  <si>
    <t>cmore</t>
  </si>
  <si>
    <t>abake</t>
  </si>
  <si>
    <t>cbake</t>
  </si>
  <si>
    <t>aalco</t>
  </si>
  <si>
    <t>calco</t>
  </si>
  <si>
    <t>aprnt</t>
  </si>
  <si>
    <t>cprnt</t>
  </si>
  <si>
    <t>aphar</t>
  </si>
  <si>
    <t>cphar</t>
  </si>
  <si>
    <t>aprub</t>
  </si>
  <si>
    <t>cprub</t>
  </si>
  <si>
    <t>aceme</t>
  </si>
  <si>
    <t>cceme</t>
  </si>
  <si>
    <t>aclay</t>
  </si>
  <si>
    <t>cclay</t>
  </si>
  <si>
    <t>afurn</t>
  </si>
  <si>
    <t>cfurn</t>
  </si>
  <si>
    <t>arepr</t>
  </si>
  <si>
    <t>crepr</t>
  </si>
  <si>
    <t>awast</t>
  </si>
  <si>
    <t>cwast</t>
  </si>
  <si>
    <t>acont</t>
  </si>
  <si>
    <t>ccont</t>
  </si>
  <si>
    <t>avehr</t>
  </si>
  <si>
    <t>cvehr</t>
  </si>
  <si>
    <t>aveht</t>
  </si>
  <si>
    <t>cveht</t>
  </si>
  <si>
    <t>atrdw</t>
  </si>
  <si>
    <t>ctrdw</t>
  </si>
  <si>
    <t>atrdr</t>
  </si>
  <si>
    <t>ctrdr</t>
  </si>
  <si>
    <t>atrnl</t>
  </si>
  <si>
    <t>ctrnl</t>
  </si>
  <si>
    <t>atrna</t>
  </si>
  <si>
    <t>ctrna</t>
  </si>
  <si>
    <t>atrns</t>
  </si>
  <si>
    <t>ctrns</t>
  </si>
  <si>
    <t>apost</t>
  </si>
  <si>
    <t>cpost</t>
  </si>
  <si>
    <t>apubl</t>
  </si>
  <si>
    <t>cpubl</t>
  </si>
  <si>
    <t>ainfo</t>
  </si>
  <si>
    <t>cinfo</t>
  </si>
  <si>
    <t>abank</t>
  </si>
  <si>
    <t>cbank</t>
  </si>
  <si>
    <t>ainsu</t>
  </si>
  <si>
    <t>cinsu</t>
  </si>
  <si>
    <t>aofsv</t>
  </si>
  <si>
    <t>cofsv</t>
  </si>
  <si>
    <t>arent</t>
  </si>
  <si>
    <t>crent</t>
  </si>
  <si>
    <t>alegl</t>
  </si>
  <si>
    <t>clegl</t>
  </si>
  <si>
    <t>aenga</t>
  </si>
  <si>
    <t>cenga</t>
  </si>
  <si>
    <t>aprod</t>
  </si>
  <si>
    <t>cprod</t>
  </si>
  <si>
    <t>atrvl</t>
  </si>
  <si>
    <t>ctrvl</t>
  </si>
  <si>
    <t>aobsv</t>
  </si>
  <si>
    <t>cobsv</t>
  </si>
  <si>
    <t>asocw</t>
  </si>
  <si>
    <t>csocw</t>
  </si>
  <si>
    <t>acult</t>
  </si>
  <si>
    <t>ccult</t>
  </si>
  <si>
    <t>aarts</t>
  </si>
  <si>
    <t>carts</t>
  </si>
  <si>
    <t>adsrv</t>
  </si>
  <si>
    <t>cdsrv</t>
  </si>
  <si>
    <t>atrdc</t>
  </si>
  <si>
    <t>ctrdc</t>
  </si>
  <si>
    <t>edible_oil_shk</t>
  </si>
  <si>
    <t>crudeoil_shck</t>
  </si>
  <si>
    <t>Food_shk</t>
  </si>
  <si>
    <t>sim4</t>
  </si>
  <si>
    <t>sim5</t>
  </si>
  <si>
    <t>sim6</t>
  </si>
  <si>
    <t>sim7</t>
  </si>
  <si>
    <t>Chem_wp_shk</t>
  </si>
  <si>
    <t>Fuel&amp;gas_shk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</si>
</sst>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499984740745262"/>
      </left>
      <right/>
      <top/>
      <bottom style="thin">
        <color theme="1" tint="0.34998626667073579"/>
      </bottom>
      <diagonal/>
    </border>
    <border>
      <left/>
      <right/>
      <top style="thin">
        <color theme="0" tint="-0.499984740745262"/>
      </top>
      <bottom style="thin">
        <color theme="1" tint="0.34998626667073579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5" fillId="3" borderId="0" xfId="0" applyFont="1" applyFill="1"/>
    <xf numFmtId="0" fontId="0" fillId="3" borderId="0" xfId="0" applyFill="1"/>
    <xf numFmtId="0" fontId="2" fillId="3" borderId="0" xfId="0" applyFont="1" applyFill="1"/>
    <xf numFmtId="0" fontId="1" fillId="5" borderId="0" xfId="0" applyFont="1" applyFill="1"/>
    <xf numFmtId="3" fontId="0" fillId="0" borderId="0" xfId="0" applyNumberFormat="1"/>
    <xf numFmtId="0" fontId="2" fillId="0" borderId="0" xfId="0" applyFont="1"/>
    <xf numFmtId="0" fontId="6" fillId="3" borderId="0" xfId="0" applyFont="1" applyFill="1" applyAlignment="1">
      <alignment horizontal="left" indent="2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 indent="1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 applyProtection="1">
      <protection locked="0"/>
    </xf>
    <xf numFmtId="0" fontId="0" fillId="3" borderId="0" xfId="0" quotePrefix="1" applyFill="1" applyProtection="1">
      <protection locked="0"/>
    </xf>
    <xf numFmtId="0" fontId="0" fillId="3" borderId="1" xfId="0" quotePrefix="1" applyFill="1" applyBorder="1" applyProtection="1">
      <protection locked="0"/>
    </xf>
    <xf numFmtId="0" fontId="2" fillId="3" borderId="0" xfId="0" quotePrefix="1" applyFont="1" applyFill="1" applyProtection="1">
      <protection locked="0"/>
    </xf>
    <xf numFmtId="4" fontId="2" fillId="3" borderId="0" xfId="0" applyNumberFormat="1" applyFont="1" applyFill="1" applyProtection="1">
      <protection locked="0"/>
    </xf>
    <xf numFmtId="4" fontId="2" fillId="3" borderId="1" xfId="0" applyNumberFormat="1" applyFont="1" applyFill="1" applyBorder="1" applyProtection="1">
      <protection locked="0"/>
    </xf>
    <xf numFmtId="4" fontId="0" fillId="3" borderId="0" xfId="0" applyNumberFormat="1" applyFill="1" applyProtection="1">
      <protection locked="0"/>
    </xf>
    <xf numFmtId="4" fontId="0" fillId="3" borderId="1" xfId="0" applyNumberFormat="1" applyFill="1" applyBorder="1" applyProtection="1">
      <protection locked="0"/>
    </xf>
    <xf numFmtId="4" fontId="6" fillId="3" borderId="0" xfId="0" applyNumberFormat="1" applyFont="1" applyFill="1" applyProtection="1">
      <protection locked="0"/>
    </xf>
    <xf numFmtId="4" fontId="6" fillId="3" borderId="1" xfId="0" applyNumberFormat="1" applyFont="1" applyFill="1" applyBorder="1" applyProtection="1">
      <protection locked="0"/>
    </xf>
    <xf numFmtId="0" fontId="0" fillId="6" borderId="0" xfId="0" applyFill="1"/>
    <xf numFmtId="0" fontId="0" fillId="3" borderId="2" xfId="0" applyFill="1" applyBorder="1"/>
    <xf numFmtId="4" fontId="0" fillId="3" borderId="2" xfId="0" applyNumberFormat="1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0" xfId="0" quotePrefix="1" applyFill="1" applyProtection="1">
      <protection locked="0"/>
    </xf>
    <xf numFmtId="0" fontId="0" fillId="3" borderId="2" xfId="0" quotePrefix="1" applyFill="1" applyBorder="1" applyProtection="1">
      <protection locked="0"/>
    </xf>
    <xf numFmtId="0" fontId="2" fillId="3" borderId="2" xfId="0" applyFont="1" applyFill="1" applyBorder="1"/>
    <xf numFmtId="0" fontId="0" fillId="6" borderId="0" xfId="0" quotePrefix="1" applyFill="1" applyAlignment="1" applyProtection="1">
      <alignment horizontal="right"/>
      <protection locked="0"/>
    </xf>
    <xf numFmtId="0" fontId="1" fillId="5" borderId="0" xfId="0" applyFont="1" applyFill="1" applyAlignment="1">
      <alignment horizontal="center"/>
    </xf>
    <xf numFmtId="0" fontId="7" fillId="6" borderId="0" xfId="0" quotePrefix="1" applyFont="1" applyFill="1" applyProtection="1">
      <protection locked="0"/>
    </xf>
    <xf numFmtId="0" fontId="1" fillId="5" borderId="0" xfId="0" applyFont="1" applyFill="1" applyAlignment="1">
      <alignment horizontal="left"/>
    </xf>
    <xf numFmtId="0" fontId="0" fillId="3" borderId="3" xfId="0" applyFill="1" applyBorder="1"/>
    <xf numFmtId="4" fontId="0" fillId="3" borderId="3" xfId="0" applyNumberFormat="1" applyFill="1" applyBorder="1" applyProtection="1">
      <protection locked="0"/>
    </xf>
    <xf numFmtId="0" fontId="2" fillId="3" borderId="3" xfId="0" applyFont="1" applyFill="1" applyBorder="1"/>
    <xf numFmtId="4" fontId="0" fillId="3" borderId="0" xfId="0" quotePrefix="1" applyNumberFormat="1" applyFill="1" applyProtection="1">
      <protection locked="0"/>
    </xf>
    <xf numFmtId="4" fontId="0" fillId="3" borderId="3" xfId="0" quotePrefix="1" applyNumberFormat="1" applyFill="1" applyBorder="1" applyProtection="1"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0" fillId="3" borderId="0" xfId="0" applyFill="1" applyBorder="1"/>
    <xf numFmtId="0" fontId="0" fillId="3" borderId="0" xfId="0" quotePrefix="1" applyFill="1" applyBorder="1" applyProtection="1">
      <protection locked="0"/>
    </xf>
    <xf numFmtId="4" fontId="0" fillId="3" borderId="0" xfId="0" applyNumberFormat="1" applyFill="1" applyBorder="1" applyProtection="1">
      <protection locked="0"/>
    </xf>
    <xf numFmtId="0" fontId="2" fillId="3" borderId="0" xfId="0" applyFont="1" applyFill="1" applyBorder="1"/>
    <xf numFmtId="0" fontId="2" fillId="3" borderId="0" xfId="0" quotePrefix="1" applyFont="1" applyFill="1" applyBorder="1" applyProtection="1">
      <protection locked="0"/>
    </xf>
    <xf numFmtId="4" fontId="2" fillId="3" borderId="0" xfId="0" applyNumberFormat="1" applyFont="1" applyFill="1" applyBorder="1" applyProtection="1">
      <protection locked="0"/>
    </xf>
    <xf numFmtId="0" fontId="0" fillId="6" borderId="1" xfId="0" quotePrefix="1" applyFill="1" applyBorder="1" applyAlignment="1" applyProtection="1">
      <alignment horizontal="right"/>
      <protection locked="0"/>
    </xf>
    <xf numFmtId="4" fontId="0" fillId="3" borderId="4" xfId="0" applyNumberFormat="1" applyFill="1" applyBorder="1" applyProtection="1">
      <protection locked="0"/>
    </xf>
    <xf numFmtId="4" fontId="0" fillId="3" borderId="5" xfId="0" applyNumberFormat="1" applyFill="1" applyBorder="1" applyProtection="1">
      <protection locked="0"/>
    </xf>
    <xf numFmtId="0" fontId="0" fillId="3" borderId="6" xfId="0" applyFill="1" applyBorder="1"/>
    <xf numFmtId="0" fontId="0" fillId="3" borderId="6" xfId="0" quotePrefix="1" applyFill="1" applyBorder="1" applyProtection="1">
      <protection locked="0"/>
    </xf>
    <xf numFmtId="4" fontId="0" fillId="3" borderId="6" xfId="0" applyNumberFormat="1" applyFill="1" applyBorder="1" applyProtection="1">
      <protection locked="0"/>
    </xf>
    <xf numFmtId="4" fontId="0" fillId="3" borderId="7" xfId="0" applyNumberFormat="1" applyFill="1" applyBorder="1" applyProtection="1">
      <protection locked="0"/>
    </xf>
    <xf numFmtId="4" fontId="0" fillId="3" borderId="6" xfId="0" quotePrefix="1" applyNumberFormat="1" applyFill="1" applyBorder="1" applyProtection="1">
      <protection locked="0"/>
    </xf>
    <xf numFmtId="0" fontId="0" fillId="3" borderId="8" xfId="0" applyFill="1" applyBorder="1"/>
    <xf numFmtId="4" fontId="0" fillId="3" borderId="8" xfId="0" quotePrefix="1" applyNumberFormat="1" applyFill="1" applyBorder="1" applyProtection="1">
      <protection locked="0"/>
    </xf>
    <xf numFmtId="4" fontId="0" fillId="3" borderId="8" xfId="0" applyNumberFormat="1" applyFill="1" applyBorder="1" applyProtection="1">
      <protection locked="0"/>
    </xf>
    <xf numFmtId="4" fontId="0" fillId="3" borderId="9" xfId="0" applyNumberFormat="1" applyFill="1" applyBorder="1" applyProtection="1">
      <protection locked="0"/>
    </xf>
    <xf numFmtId="0" fontId="0" fillId="3" borderId="0" xfId="0" quotePrefix="1" applyFill="1"/>
    <xf numFmtId="0" fontId="1" fillId="5" borderId="0" xfId="0" quotePrefix="1" applyFont="1" applyFill="1" applyAlignment="1">
      <alignment horizontal="center"/>
    </xf>
    <xf numFmtId="4" fontId="0" fillId="3" borderId="1" xfId="0" quotePrefix="1" applyNumberFormat="1" applyFill="1" applyBorder="1" applyProtection="1">
      <protection locked="0"/>
    </xf>
    <xf numFmtId="164" fontId="0" fillId="3" borderId="0" xfId="0" applyNumberFormat="1" applyFill="1" applyProtection="1">
      <protection locked="0"/>
    </xf>
    <xf numFmtId="164" fontId="0" fillId="3" borderId="2" xfId="0" applyNumberFormat="1" applyFill="1" applyBorder="1" applyProtection="1">
      <protection locked="0"/>
    </xf>
    <xf numFmtId="0" fontId="1" fillId="5" borderId="0" xfId="0" applyFont="1" applyFill="1" applyBorder="1"/>
    <xf numFmtId="0" fontId="6" fillId="3" borderId="0" xfId="0" applyFont="1" applyFill="1" applyBorder="1" applyAlignment="1">
      <alignment horizontal="left" indent="2"/>
    </xf>
    <xf numFmtId="4" fontId="6" fillId="3" borderId="0" xfId="0" applyNumberFormat="1" applyFont="1" applyFill="1" applyBorder="1" applyProtection="1">
      <protection locked="0"/>
    </xf>
    <xf numFmtId="0" fontId="8" fillId="3" borderId="0" xfId="0" applyFont="1" applyFill="1" applyAlignment="1">
      <alignment horizontal="left" indent="3"/>
    </xf>
    <xf numFmtId="0" fontId="0" fillId="3" borderId="6" xfId="0" applyFill="1" applyBorder="1" applyAlignment="1">
      <alignment horizontal="left" indent="1"/>
    </xf>
    <xf numFmtId="0" fontId="6" fillId="3" borderId="6" xfId="0" applyFont="1" applyFill="1" applyBorder="1" applyAlignment="1">
      <alignment horizontal="left" indent="2"/>
    </xf>
    <xf numFmtId="4" fontId="2" fillId="3" borderId="0" xfId="0" applyNumberFormat="1" applyFont="1" applyFill="1" applyAlignment="1" applyProtection="1">
      <protection locked="0"/>
    </xf>
    <xf numFmtId="4" fontId="2" fillId="3" borderId="10" xfId="0" applyNumberFormat="1" applyFont="1" applyFill="1" applyBorder="1" applyAlignment="1" applyProtection="1">
      <protection locked="0"/>
    </xf>
    <xf numFmtId="4" fontId="2" fillId="3" borderId="6" xfId="0" applyNumberFormat="1" applyFont="1" applyFill="1" applyBorder="1" applyAlignment="1" applyProtection="1">
      <protection locked="0"/>
    </xf>
    <xf numFmtId="4" fontId="2" fillId="3" borderId="11" xfId="0" applyNumberFormat="1" applyFont="1" applyFill="1" applyBorder="1" applyAlignment="1" applyProtection="1">
      <protection locked="0"/>
    </xf>
    <xf numFmtId="4" fontId="0" fillId="3" borderId="0" xfId="0" applyNumberFormat="1" applyFill="1" applyAlignment="1" applyProtection="1">
      <protection locked="0"/>
    </xf>
    <xf numFmtId="4" fontId="0" fillId="3" borderId="10" xfId="0" applyNumberFormat="1" applyFill="1" applyBorder="1" applyAlignment="1" applyProtection="1">
      <protection locked="0"/>
    </xf>
    <xf numFmtId="4" fontId="6" fillId="3" borderId="0" xfId="0" applyNumberFormat="1" applyFont="1" applyFill="1" applyAlignment="1" applyProtection="1">
      <protection locked="0"/>
    </xf>
    <xf numFmtId="4" fontId="6" fillId="3" borderId="10" xfId="0" applyNumberFormat="1" applyFont="1" applyFill="1" applyBorder="1" applyAlignment="1" applyProtection="1">
      <protection locked="0"/>
    </xf>
    <xf numFmtId="4" fontId="6" fillId="3" borderId="6" xfId="0" applyNumberFormat="1" applyFont="1" applyFill="1" applyBorder="1" applyAlignment="1" applyProtection="1">
      <protection locked="0"/>
    </xf>
    <xf numFmtId="4" fontId="6" fillId="3" borderId="11" xfId="0" applyNumberFormat="1" applyFont="1" applyFill="1" applyBorder="1" applyAlignment="1" applyProtection="1">
      <protection locked="0"/>
    </xf>
    <xf numFmtId="4" fontId="0" fillId="3" borderId="6" xfId="0" applyNumberFormat="1" applyFill="1" applyBorder="1" applyAlignment="1" applyProtection="1">
      <protection locked="0"/>
    </xf>
    <xf numFmtId="4" fontId="0" fillId="3" borderId="11" xfId="0" applyNumberFormat="1" applyFill="1" applyBorder="1" applyAlignment="1" applyProtection="1">
      <protection locked="0"/>
    </xf>
    <xf numFmtId="4" fontId="8" fillId="3" borderId="0" xfId="0" applyNumberFormat="1" applyFont="1" applyFill="1" applyAlignment="1" applyProtection="1">
      <protection locked="0"/>
    </xf>
    <xf numFmtId="4" fontId="8" fillId="3" borderId="10" xfId="0" applyNumberFormat="1" applyFont="1" applyFill="1" applyBorder="1" applyAlignment="1" applyProtection="1">
      <protection locked="0"/>
    </xf>
    <xf numFmtId="4" fontId="8" fillId="3" borderId="6" xfId="0" applyNumberFormat="1" applyFont="1" applyFill="1" applyBorder="1" applyAlignment="1" applyProtection="1">
      <protection locked="0"/>
    </xf>
    <xf numFmtId="4" fontId="8" fillId="3" borderId="11" xfId="0" applyNumberFormat="1" applyFont="1" applyFill="1" applyBorder="1" applyAlignment="1" applyProtection="1">
      <protection locked="0"/>
    </xf>
    <xf numFmtId="0" fontId="2" fillId="3" borderId="0" xfId="0" quotePrefix="1" applyFont="1" applyFill="1" applyAlignment="1" applyProtection="1">
      <protection locked="0"/>
    </xf>
    <xf numFmtId="0" fontId="0" fillId="3" borderId="0" xfId="0" quotePrefix="1" applyFill="1" applyAlignment="1" applyProtection="1">
      <protection locked="0"/>
    </xf>
    <xf numFmtId="0" fontId="6" fillId="3" borderId="0" xfId="0" quotePrefix="1" applyFont="1" applyFill="1" applyAlignment="1" applyProtection="1">
      <protection locked="0"/>
    </xf>
    <xf numFmtId="0" fontId="0" fillId="3" borderId="6" xfId="0" quotePrefix="1" applyFill="1" applyBorder="1" applyAlignment="1" applyProtection="1">
      <protection locked="0"/>
    </xf>
    <xf numFmtId="0" fontId="8" fillId="3" borderId="0" xfId="0" quotePrefix="1" applyFont="1" applyFill="1" applyAlignment="1" applyProtection="1">
      <protection locked="0"/>
    </xf>
    <xf numFmtId="0" fontId="6" fillId="3" borderId="6" xfId="0" quotePrefix="1" applyFont="1" applyFill="1" applyBorder="1" applyAlignment="1" applyProtection="1">
      <protection locked="0"/>
    </xf>
    <xf numFmtId="4" fontId="2" fillId="3" borderId="0" xfId="0" applyNumberFormat="1" applyFont="1" applyFill="1" applyBorder="1" applyAlignment="1" applyProtection="1">
      <protection locked="0"/>
    </xf>
    <xf numFmtId="0" fontId="0" fillId="3" borderId="0" xfId="0" applyFill="1" applyBorder="1" applyAlignment="1">
      <alignment horizontal="left" indent="1"/>
    </xf>
    <xf numFmtId="4" fontId="0" fillId="3" borderId="0" xfId="0" applyNumberFormat="1" applyFill="1" applyBorder="1" applyAlignment="1" applyProtection="1">
      <protection locked="0"/>
    </xf>
    <xf numFmtId="4" fontId="6" fillId="3" borderId="0" xfId="0" applyNumberFormat="1" applyFont="1" applyFill="1" applyBorder="1" applyAlignment="1" applyProtection="1">
      <protection locked="0"/>
    </xf>
    <xf numFmtId="0" fontId="2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 indent="3"/>
    </xf>
    <xf numFmtId="4" fontId="8" fillId="3" borderId="0" xfId="0" applyNumberFormat="1" applyFont="1" applyFill="1" applyBorder="1" applyAlignment="1" applyProtection="1">
      <protection locked="0"/>
    </xf>
    <xf numFmtId="0" fontId="6" fillId="3" borderId="12" xfId="0" applyFont="1" applyFill="1" applyBorder="1" applyAlignment="1">
      <alignment horizontal="left" indent="2"/>
    </xf>
    <xf numFmtId="4" fontId="6" fillId="3" borderId="12" xfId="0" applyNumberFormat="1" applyFont="1" applyFill="1" applyBorder="1" applyAlignment="1" applyProtection="1">
      <protection locked="0"/>
    </xf>
    <xf numFmtId="4" fontId="6" fillId="3" borderId="13" xfId="0" applyNumberFormat="1" applyFont="1" applyFill="1" applyBorder="1" applyAlignment="1" applyProtection="1">
      <protection locked="0"/>
    </xf>
    <xf numFmtId="4" fontId="2" fillId="3" borderId="0" xfId="0" quotePrefix="1" applyNumberFormat="1" applyFont="1" applyFill="1" applyBorder="1" applyAlignment="1" applyProtection="1">
      <protection locked="0"/>
    </xf>
    <xf numFmtId="4" fontId="2" fillId="3" borderId="6" xfId="0" quotePrefix="1" applyNumberFormat="1" applyFont="1" applyFill="1" applyBorder="1" applyAlignment="1" applyProtection="1">
      <protection locked="0"/>
    </xf>
    <xf numFmtId="4" fontId="0" fillId="3" borderId="0" xfId="0" quotePrefix="1" applyNumberFormat="1" applyFill="1" applyBorder="1" applyAlignment="1" applyProtection="1">
      <protection locked="0"/>
    </xf>
    <xf numFmtId="4" fontId="6" fillId="3" borderId="0" xfId="0" quotePrefix="1" applyNumberFormat="1" applyFont="1" applyFill="1" applyBorder="1" applyAlignment="1" applyProtection="1">
      <protection locked="0"/>
    </xf>
    <xf numFmtId="4" fontId="6" fillId="3" borderId="6" xfId="0" quotePrefix="1" applyNumberFormat="1" applyFont="1" applyFill="1" applyBorder="1" applyAlignment="1" applyProtection="1">
      <protection locked="0"/>
    </xf>
    <xf numFmtId="4" fontId="0" fillId="3" borderId="6" xfId="0" quotePrefix="1" applyNumberFormat="1" applyFill="1" applyBorder="1" applyAlignment="1" applyProtection="1">
      <protection locked="0"/>
    </xf>
    <xf numFmtId="4" fontId="8" fillId="3" borderId="0" xfId="0" quotePrefix="1" applyNumberFormat="1" applyFont="1" applyFill="1" applyBorder="1" applyAlignment="1" applyProtection="1">
      <protection locked="0"/>
    </xf>
    <xf numFmtId="4" fontId="8" fillId="3" borderId="6" xfId="0" quotePrefix="1" applyNumberFormat="1" applyFont="1" applyFill="1" applyBorder="1" applyAlignment="1" applyProtection="1">
      <protection locked="0"/>
    </xf>
    <xf numFmtId="4" fontId="6" fillId="3" borderId="12" xfId="0" quotePrefix="1" applyNumberFormat="1" applyFont="1" applyFill="1" applyBorder="1" applyAlignment="1" applyProtection="1">
      <protection locked="0"/>
    </xf>
    <xf numFmtId="4" fontId="2" fillId="3" borderId="0" xfId="0" quotePrefix="1" applyNumberFormat="1" applyFont="1" applyFill="1" applyAlignment="1" applyProtection="1">
      <protection locked="0"/>
    </xf>
    <xf numFmtId="4" fontId="0" fillId="3" borderId="0" xfId="0" quotePrefix="1" applyNumberFormat="1" applyFill="1" applyAlignment="1" applyProtection="1">
      <protection locked="0"/>
    </xf>
    <xf numFmtId="4" fontId="6" fillId="3" borderId="0" xfId="0" quotePrefix="1" applyNumberFormat="1" applyFont="1" applyFill="1" applyAlignment="1" applyProtection="1">
      <protection locked="0"/>
    </xf>
    <xf numFmtId="4" fontId="8" fillId="3" borderId="0" xfId="0" quotePrefix="1" applyNumberFormat="1" applyFont="1" applyFill="1" applyAlignment="1" applyProtection="1">
      <protection locked="0"/>
    </xf>
    <xf numFmtId="165" fontId="0" fillId="3" borderId="0" xfId="0" applyNumberFormat="1" applyFill="1" applyProtection="1">
      <protection locked="0"/>
    </xf>
    <xf numFmtId="165" fontId="0" fillId="3" borderId="2" xfId="0" applyNumberFormat="1" applyFill="1" applyBorder="1" applyProtection="1">
      <protection locked="0"/>
    </xf>
    <xf numFmtId="165" fontId="2" fillId="3" borderId="0" xfId="0" applyNumberFormat="1" applyFont="1" applyFill="1" applyProtection="1">
      <protection locked="0"/>
    </xf>
    <xf numFmtId="165" fontId="0" fillId="3" borderId="6" xfId="0" applyNumberFormat="1" applyFill="1" applyBorder="1" applyProtection="1">
      <protection locked="0"/>
    </xf>
    <xf numFmtId="165" fontId="0" fillId="3" borderId="0" xfId="0" quotePrefix="1" applyNumberFormat="1" applyFill="1" applyProtection="1">
      <protection locked="0"/>
    </xf>
    <xf numFmtId="0" fontId="0" fillId="3" borderId="0" xfId="0" applyFont="1" applyFill="1"/>
    <xf numFmtId="0" fontId="0" fillId="3" borderId="0" xfId="0" quotePrefix="1" applyFont="1" applyFill="1" applyProtection="1">
      <protection locked="0"/>
    </xf>
    <xf numFmtId="0" fontId="3" fillId="5" borderId="0" xfId="0" applyFont="1" applyFill="1"/>
    <xf numFmtId="4" fontId="2" fillId="3" borderId="14" xfId="0" applyNumberFormat="1" applyFont="1" applyFill="1" applyBorder="1" applyAlignment="1" applyProtection="1">
      <protection locked="0"/>
    </xf>
    <xf numFmtId="4" fontId="2" fillId="3" borderId="15" xfId="0" applyNumberFormat="1" applyFont="1" applyFill="1" applyBorder="1" applyAlignment="1" applyProtection="1">
      <protection locked="0"/>
    </xf>
    <xf numFmtId="4" fontId="0" fillId="3" borderId="14" xfId="0" applyNumberFormat="1" applyFill="1" applyBorder="1" applyAlignment="1" applyProtection="1">
      <protection locked="0"/>
    </xf>
    <xf numFmtId="4" fontId="6" fillId="3" borderId="14" xfId="0" applyNumberFormat="1" applyFont="1" applyFill="1" applyBorder="1" applyAlignment="1" applyProtection="1">
      <protection locked="0"/>
    </xf>
    <xf numFmtId="4" fontId="6" fillId="3" borderId="15" xfId="0" applyNumberFormat="1" applyFont="1" applyFill="1" applyBorder="1" applyAlignment="1" applyProtection="1">
      <protection locked="0"/>
    </xf>
    <xf numFmtId="4" fontId="0" fillId="3" borderId="15" xfId="0" applyNumberFormat="1" applyFill="1" applyBorder="1" applyAlignment="1" applyProtection="1">
      <protection locked="0"/>
    </xf>
    <xf numFmtId="4" fontId="8" fillId="3" borderId="14" xfId="0" applyNumberFormat="1" applyFont="1" applyFill="1" applyBorder="1" applyAlignment="1" applyProtection="1">
      <protection locked="0"/>
    </xf>
    <xf numFmtId="4" fontId="8" fillId="3" borderId="15" xfId="0" applyNumberFormat="1" applyFont="1" applyFill="1" applyBorder="1" applyAlignment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53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12"/>
  <sheetViews>
    <sheetView topLeftCell="A10" zoomScale="85" zoomScaleNormal="85" workbookViewId="0">
      <selection activeCell="G37" sqref="G37"/>
    </sheetView>
  </sheetViews>
  <sheetFormatPr defaultColWidth="0" defaultRowHeight="14.5" zeroHeight="1" x14ac:dyDescent="0.35"/>
  <cols>
    <col min="1" max="2" width="8.81640625" customWidth="1"/>
    <col min="3" max="3" width="26.54296875" customWidth="1"/>
    <col min="4" max="5" width="8.81640625" customWidth="1"/>
    <col min="6" max="6" width="14.54296875" customWidth="1"/>
    <col min="7" max="8" width="8.81640625" customWidth="1"/>
    <col min="9" max="9" width="14.54296875" customWidth="1"/>
    <col min="10" max="11" width="8.81640625" customWidth="1"/>
    <col min="12" max="12" width="23.453125" customWidth="1"/>
    <col min="13" max="13" width="8.81640625" customWidth="1"/>
    <col min="14" max="19" width="0" hidden="1" customWidth="1"/>
    <col min="20" max="16384" width="8.81640625" hidden="1"/>
  </cols>
  <sheetData>
    <row r="1" spans="1:19" ht="18.5" x14ac:dyDescent="0.45">
      <c r="A1" s="1" t="str">
        <f>CONCATENATE(B4," ",B3," Standard Excel Interface Model")</f>
        <v>2017 Rwanda Standard Excel Interface Model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9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9" x14ac:dyDescent="0.35">
      <c r="A3" s="5" t="s">
        <v>0</v>
      </c>
      <c r="B3" s="42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9" x14ac:dyDescent="0.35">
      <c r="A4" s="5" t="s">
        <v>2</v>
      </c>
      <c r="B4" s="42">
        <v>2017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9" x14ac:dyDescent="0.35">
      <c r="A5" s="5" t="s">
        <v>3</v>
      </c>
      <c r="B5" s="43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9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9" x14ac:dyDescent="0.35">
      <c r="A7" s="6" t="s">
        <v>5</v>
      </c>
      <c r="B7" s="6"/>
      <c r="C7" s="6"/>
      <c r="D7" s="6"/>
      <c r="E7" s="6" t="s">
        <v>6</v>
      </c>
      <c r="F7" s="6"/>
      <c r="G7" s="6"/>
      <c r="H7" s="6" t="s">
        <v>7</v>
      </c>
      <c r="I7" s="6"/>
      <c r="J7" s="6"/>
      <c r="K7" s="6" t="s">
        <v>8</v>
      </c>
      <c r="L7" s="6"/>
      <c r="M7" s="6"/>
    </row>
    <row r="8" spans="1:19" x14ac:dyDescent="0.35">
      <c r="A8" s="4" t="s">
        <v>17</v>
      </c>
      <c r="B8" s="4" t="s">
        <v>18</v>
      </c>
      <c r="C8" s="4" t="s">
        <v>592</v>
      </c>
      <c r="D8" s="4"/>
      <c r="E8" s="4" t="s">
        <v>11</v>
      </c>
      <c r="F8" s="4" t="s">
        <v>12</v>
      </c>
      <c r="G8" s="4"/>
      <c r="H8" s="4" t="s">
        <v>13</v>
      </c>
      <c r="I8" s="4" t="s">
        <v>14</v>
      </c>
      <c r="J8" s="4"/>
      <c r="K8" s="4" t="s">
        <v>15</v>
      </c>
      <c r="L8" s="4" t="s">
        <v>16</v>
      </c>
      <c r="M8" s="4"/>
    </row>
    <row r="9" spans="1:19" x14ac:dyDescent="0.35">
      <c r="A9" s="4" t="s">
        <v>9</v>
      </c>
      <c r="B9" s="4" t="s">
        <v>10</v>
      </c>
      <c r="C9" s="4" t="s">
        <v>593</v>
      </c>
      <c r="D9" s="4"/>
      <c r="E9" s="4" t="s">
        <v>19</v>
      </c>
      <c r="F9" s="4" t="s">
        <v>20</v>
      </c>
      <c r="G9" s="4"/>
      <c r="H9" s="4" t="s">
        <v>21</v>
      </c>
      <c r="I9" s="4" t="s">
        <v>22</v>
      </c>
      <c r="J9" s="4"/>
      <c r="K9" s="4" t="s">
        <v>763</v>
      </c>
      <c r="L9" s="4" t="s">
        <v>764</v>
      </c>
      <c r="M9" s="4"/>
      <c r="S9" s="7"/>
    </row>
    <row r="10" spans="1:19" x14ac:dyDescent="0.35">
      <c r="A10" s="4" t="s">
        <v>33</v>
      </c>
      <c r="B10" s="4" t="s">
        <v>34</v>
      </c>
      <c r="C10" s="4" t="s">
        <v>594</v>
      </c>
      <c r="D10" s="4"/>
      <c r="E10" s="4" t="s">
        <v>27</v>
      </c>
      <c r="F10" s="4" t="s">
        <v>28</v>
      </c>
      <c r="G10" s="4"/>
      <c r="H10" s="4" t="s">
        <v>29</v>
      </c>
      <c r="I10" s="4" t="s">
        <v>30</v>
      </c>
      <c r="J10" s="4"/>
      <c r="K10" s="4" t="s">
        <v>68</v>
      </c>
      <c r="L10" s="4" t="s">
        <v>765</v>
      </c>
      <c r="M10" s="4"/>
      <c r="S10" s="7"/>
    </row>
    <row r="11" spans="1:19" x14ac:dyDescent="0.35">
      <c r="A11" s="4" t="s">
        <v>25</v>
      </c>
      <c r="B11" s="4" t="s">
        <v>26</v>
      </c>
      <c r="C11" s="4" t="s">
        <v>595</v>
      </c>
      <c r="D11" s="4"/>
      <c r="E11" s="4" t="s">
        <v>35</v>
      </c>
      <c r="F11" s="4" t="s">
        <v>36</v>
      </c>
      <c r="G11" s="4"/>
      <c r="H11" s="4" t="s">
        <v>37</v>
      </c>
      <c r="I11" s="4" t="s">
        <v>38</v>
      </c>
      <c r="J11" s="4"/>
      <c r="K11" s="4" t="s">
        <v>766</v>
      </c>
      <c r="L11" s="4" t="s">
        <v>733</v>
      </c>
      <c r="M11" s="4"/>
      <c r="S11" s="7"/>
    </row>
    <row r="12" spans="1:19" x14ac:dyDescent="0.35">
      <c r="A12" s="4" t="s">
        <v>40</v>
      </c>
      <c r="B12" s="4" t="s">
        <v>41</v>
      </c>
      <c r="C12" s="4" t="s">
        <v>596</v>
      </c>
      <c r="D12" s="4"/>
      <c r="E12" s="4" t="s">
        <v>42</v>
      </c>
      <c r="F12" s="4" t="s">
        <v>43</v>
      </c>
      <c r="G12" s="4"/>
      <c r="H12" s="4" t="s">
        <v>44</v>
      </c>
      <c r="I12" s="4" t="s">
        <v>45</v>
      </c>
      <c r="J12" s="4"/>
      <c r="K12" s="4" t="s">
        <v>23</v>
      </c>
      <c r="L12" s="4" t="s">
        <v>24</v>
      </c>
      <c r="M12" s="4"/>
      <c r="S12" s="7"/>
    </row>
    <row r="13" spans="1:19" x14ac:dyDescent="0.35">
      <c r="A13" s="4" t="s">
        <v>73</v>
      </c>
      <c r="B13" s="4" t="s">
        <v>74</v>
      </c>
      <c r="C13" s="4" t="s">
        <v>597</v>
      </c>
      <c r="D13" s="4"/>
      <c r="E13" s="4" t="s">
        <v>47</v>
      </c>
      <c r="F13" s="4" t="s">
        <v>48</v>
      </c>
      <c r="G13" s="4"/>
      <c r="H13" s="4" t="s">
        <v>49</v>
      </c>
      <c r="I13" s="4" t="s">
        <v>50</v>
      </c>
      <c r="J13" s="4"/>
      <c r="K13" s="4" t="s">
        <v>767</v>
      </c>
      <c r="L13" s="4" t="s">
        <v>7</v>
      </c>
      <c r="M13" s="4"/>
      <c r="S13" s="7"/>
    </row>
    <row r="14" spans="1:19" x14ac:dyDescent="0.35">
      <c r="A14" s="4" t="s">
        <v>81</v>
      </c>
      <c r="B14" s="4" t="s">
        <v>82</v>
      </c>
      <c r="C14" s="4" t="s">
        <v>598</v>
      </c>
      <c r="D14" s="4"/>
      <c r="E14" s="4" t="s">
        <v>54</v>
      </c>
      <c r="F14" s="4" t="s">
        <v>55</v>
      </c>
      <c r="G14" s="4"/>
      <c r="H14" s="4" t="s">
        <v>56</v>
      </c>
      <c r="I14" s="4" t="s">
        <v>57</v>
      </c>
      <c r="J14" s="4"/>
      <c r="K14" s="4" t="s">
        <v>31</v>
      </c>
      <c r="L14" s="4" t="s">
        <v>32</v>
      </c>
      <c r="M14" s="4"/>
    </row>
    <row r="15" spans="1:19" x14ac:dyDescent="0.35">
      <c r="A15" s="4" t="s">
        <v>66</v>
      </c>
      <c r="B15" s="4" t="s">
        <v>67</v>
      </c>
      <c r="C15" s="4" t="s">
        <v>599</v>
      </c>
      <c r="D15" s="4"/>
      <c r="E15" s="4" t="s">
        <v>61</v>
      </c>
      <c r="F15" s="4" t="s">
        <v>62</v>
      </c>
      <c r="G15" s="4"/>
      <c r="H15" s="4" t="s">
        <v>63</v>
      </c>
      <c r="I15" s="4" t="s">
        <v>64</v>
      </c>
      <c r="J15" s="4"/>
      <c r="K15" s="4" t="s">
        <v>39</v>
      </c>
      <c r="L15" s="4" t="s">
        <v>768</v>
      </c>
      <c r="M15" s="4"/>
    </row>
    <row r="16" spans="1:19" x14ac:dyDescent="0.35">
      <c r="A16" s="4" t="s">
        <v>89</v>
      </c>
      <c r="B16" s="4" t="s">
        <v>90</v>
      </c>
      <c r="C16" s="4" t="s">
        <v>600</v>
      </c>
      <c r="D16" s="4"/>
      <c r="E16" s="4" t="s">
        <v>729</v>
      </c>
      <c r="F16" s="4" t="s">
        <v>769</v>
      </c>
      <c r="G16" s="4"/>
      <c r="H16" s="4" t="s">
        <v>70</v>
      </c>
      <c r="I16" s="4" t="s">
        <v>71</v>
      </c>
      <c r="J16" s="4"/>
      <c r="K16" s="4" t="s">
        <v>770</v>
      </c>
      <c r="L16" s="4" t="s">
        <v>771</v>
      </c>
      <c r="M16" s="4"/>
    </row>
    <row r="17" spans="1:19" x14ac:dyDescent="0.35">
      <c r="A17" s="4" t="s">
        <v>772</v>
      </c>
      <c r="B17" s="4" t="s">
        <v>773</v>
      </c>
      <c r="C17" s="4" t="s">
        <v>601</v>
      </c>
      <c r="D17" s="4"/>
      <c r="E17" s="4" t="s">
        <v>730</v>
      </c>
      <c r="F17" s="4" t="s">
        <v>774</v>
      </c>
      <c r="G17" s="4"/>
      <c r="H17" s="4" t="s">
        <v>77</v>
      </c>
      <c r="I17" s="4" t="s">
        <v>78</v>
      </c>
      <c r="J17" s="4"/>
      <c r="K17" s="4" t="s">
        <v>46</v>
      </c>
      <c r="L17" s="4" t="s">
        <v>775</v>
      </c>
      <c r="M17" s="4"/>
    </row>
    <row r="18" spans="1:19" x14ac:dyDescent="0.35">
      <c r="A18" s="4" t="s">
        <v>776</v>
      </c>
      <c r="B18" s="4" t="s">
        <v>777</v>
      </c>
      <c r="C18" s="4" t="s">
        <v>602</v>
      </c>
      <c r="D18" s="4"/>
      <c r="E18" s="4" t="s">
        <v>731</v>
      </c>
      <c r="F18" s="4" t="s">
        <v>778</v>
      </c>
      <c r="G18" s="4"/>
      <c r="H18" s="4" t="s">
        <v>85</v>
      </c>
      <c r="I18" s="4" t="s">
        <v>86</v>
      </c>
      <c r="J18" s="4"/>
      <c r="K18" s="4" t="s">
        <v>51</v>
      </c>
      <c r="L18" s="4" t="s">
        <v>779</v>
      </c>
      <c r="M18" s="4"/>
    </row>
    <row r="19" spans="1:19" x14ac:dyDescent="0.35">
      <c r="A19" s="4" t="s">
        <v>103</v>
      </c>
      <c r="B19" s="4" t="s">
        <v>104</v>
      </c>
      <c r="C19" s="4" t="s">
        <v>603</v>
      </c>
      <c r="D19" s="4"/>
      <c r="E19" s="4" t="s">
        <v>732</v>
      </c>
      <c r="F19" s="4" t="s">
        <v>780</v>
      </c>
      <c r="G19" s="4"/>
      <c r="H19" s="4" t="s">
        <v>93</v>
      </c>
      <c r="I19" s="4" t="s">
        <v>94</v>
      </c>
      <c r="J19" s="4"/>
      <c r="K19" s="4" t="s">
        <v>58</v>
      </c>
      <c r="L19" s="4" t="s">
        <v>781</v>
      </c>
      <c r="M19" s="4"/>
    </row>
    <row r="20" spans="1:19" x14ac:dyDescent="0.35">
      <c r="A20" s="4" t="s">
        <v>782</v>
      </c>
      <c r="B20" s="4" t="s">
        <v>783</v>
      </c>
      <c r="C20" s="4" t="s">
        <v>604</v>
      </c>
      <c r="D20" s="4"/>
      <c r="E20" s="4" t="s">
        <v>68</v>
      </c>
      <c r="F20" s="4" t="s">
        <v>69</v>
      </c>
      <c r="G20" s="4"/>
      <c r="H20" s="4" t="s">
        <v>99</v>
      </c>
      <c r="I20" s="4" t="s">
        <v>100</v>
      </c>
      <c r="J20" s="4"/>
      <c r="K20" s="4" t="s">
        <v>65</v>
      </c>
      <c r="L20" s="4" t="s">
        <v>784</v>
      </c>
      <c r="M20" s="4"/>
    </row>
    <row r="21" spans="1:19" x14ac:dyDescent="0.35">
      <c r="A21" s="4" t="s">
        <v>785</v>
      </c>
      <c r="B21" s="4" t="s">
        <v>786</v>
      </c>
      <c r="C21" s="4" t="s">
        <v>605</v>
      </c>
      <c r="D21" s="4"/>
      <c r="E21" s="4" t="s">
        <v>75</v>
      </c>
      <c r="F21" s="4" t="s">
        <v>76</v>
      </c>
      <c r="G21" s="4"/>
      <c r="H21" s="4" t="s">
        <v>105</v>
      </c>
      <c r="I21" s="4" t="s">
        <v>106</v>
      </c>
      <c r="J21" s="4"/>
      <c r="K21" s="4" t="s">
        <v>72</v>
      </c>
      <c r="L21" s="4" t="s">
        <v>787</v>
      </c>
      <c r="M21" s="4"/>
    </row>
    <row r="22" spans="1:19" x14ac:dyDescent="0.35">
      <c r="A22" s="4" t="s">
        <v>788</v>
      </c>
      <c r="B22" s="4" t="s">
        <v>789</v>
      </c>
      <c r="C22" s="4" t="s">
        <v>606</v>
      </c>
      <c r="D22" s="4"/>
      <c r="E22" s="4" t="s">
        <v>83</v>
      </c>
      <c r="F22" s="4" t="s">
        <v>84</v>
      </c>
      <c r="G22" s="4"/>
      <c r="H22" s="4" t="s">
        <v>109</v>
      </c>
      <c r="I22" s="4" t="s">
        <v>110</v>
      </c>
      <c r="J22" s="4"/>
      <c r="K22" s="4" t="s">
        <v>790</v>
      </c>
      <c r="L22" s="4" t="s">
        <v>791</v>
      </c>
      <c r="M22" s="4"/>
    </row>
    <row r="23" spans="1:19" x14ac:dyDescent="0.35">
      <c r="A23" s="4" t="s">
        <v>113</v>
      </c>
      <c r="B23" s="4" t="s">
        <v>114</v>
      </c>
      <c r="C23" s="4" t="s">
        <v>607</v>
      </c>
      <c r="D23" s="4"/>
      <c r="E23" s="4" t="s">
        <v>91</v>
      </c>
      <c r="F23" s="4" t="s">
        <v>92</v>
      </c>
      <c r="G23" s="4"/>
      <c r="H23" s="4" t="s">
        <v>758</v>
      </c>
      <c r="I23" s="4" t="s">
        <v>792</v>
      </c>
      <c r="J23" s="4"/>
      <c r="K23" s="4" t="s">
        <v>793</v>
      </c>
      <c r="L23" s="4" t="s">
        <v>794</v>
      </c>
      <c r="M23" s="4"/>
      <c r="S23" s="7"/>
    </row>
    <row r="24" spans="1:19" x14ac:dyDescent="0.35">
      <c r="A24" s="4" t="s">
        <v>52</v>
      </c>
      <c r="B24" s="4" t="s">
        <v>53</v>
      </c>
      <c r="C24" s="4" t="s">
        <v>608</v>
      </c>
      <c r="D24" s="4"/>
      <c r="E24" s="4" t="s">
        <v>97</v>
      </c>
      <c r="F24" s="4" t="s">
        <v>98</v>
      </c>
      <c r="G24" s="4"/>
      <c r="H24" s="4" t="s">
        <v>759</v>
      </c>
      <c r="I24" s="4" t="s">
        <v>795</v>
      </c>
      <c r="J24" s="4"/>
      <c r="K24" s="4" t="s">
        <v>79</v>
      </c>
      <c r="L24" s="4" t="s">
        <v>80</v>
      </c>
      <c r="M24" s="4"/>
    </row>
    <row r="25" spans="1:19" x14ac:dyDescent="0.35">
      <c r="A25" s="4" t="s">
        <v>796</v>
      </c>
      <c r="B25" s="4" t="s">
        <v>797</v>
      </c>
      <c r="C25" s="4" t="s">
        <v>609</v>
      </c>
      <c r="D25" s="4"/>
      <c r="E25" s="4"/>
      <c r="F25" s="4"/>
      <c r="G25" s="4"/>
      <c r="H25" s="4" t="s">
        <v>760</v>
      </c>
      <c r="I25" s="4" t="s">
        <v>798</v>
      </c>
      <c r="J25" s="4"/>
      <c r="K25" s="4" t="s">
        <v>87</v>
      </c>
      <c r="L25" s="4" t="s">
        <v>88</v>
      </c>
      <c r="M25" s="4"/>
    </row>
    <row r="26" spans="1:19" x14ac:dyDescent="0.35">
      <c r="A26" s="4" t="s">
        <v>59</v>
      </c>
      <c r="B26" s="4" t="s">
        <v>60</v>
      </c>
      <c r="C26" s="4" t="s">
        <v>610</v>
      </c>
      <c r="D26" s="4"/>
      <c r="E26" s="4"/>
      <c r="F26" s="4"/>
      <c r="G26" s="4"/>
      <c r="H26" s="4" t="s">
        <v>761</v>
      </c>
      <c r="I26" s="4" t="s">
        <v>799</v>
      </c>
      <c r="J26" s="4"/>
      <c r="K26" s="4" t="s">
        <v>95</v>
      </c>
      <c r="L26" s="4" t="s">
        <v>96</v>
      </c>
      <c r="M26" s="4"/>
    </row>
    <row r="27" spans="1:19" x14ac:dyDescent="0.35">
      <c r="A27" s="4" t="s">
        <v>117</v>
      </c>
      <c r="B27" s="4" t="s">
        <v>118</v>
      </c>
      <c r="C27" s="4" t="s">
        <v>611</v>
      </c>
      <c r="D27" s="4"/>
      <c r="E27" s="4"/>
      <c r="F27" s="4"/>
      <c r="G27" s="4"/>
      <c r="H27" s="4" t="s">
        <v>762</v>
      </c>
      <c r="I27" s="4" t="s">
        <v>800</v>
      </c>
      <c r="J27" s="4"/>
      <c r="K27" s="4" t="s">
        <v>101</v>
      </c>
      <c r="L27" s="4" t="s">
        <v>102</v>
      </c>
      <c r="M27" s="4"/>
    </row>
    <row r="28" spans="1:19" x14ac:dyDescent="0.35">
      <c r="A28" s="4" t="s">
        <v>115</v>
      </c>
      <c r="B28" s="4" t="s">
        <v>116</v>
      </c>
      <c r="C28" s="4" t="s">
        <v>612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9" x14ac:dyDescent="0.35">
      <c r="A29" s="4" t="s">
        <v>111</v>
      </c>
      <c r="B29" s="4" t="s">
        <v>112</v>
      </c>
      <c r="C29" s="4" t="s">
        <v>613</v>
      </c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9" x14ac:dyDescent="0.35">
      <c r="A30" s="4" t="s">
        <v>107</v>
      </c>
      <c r="B30" s="4" t="s">
        <v>108</v>
      </c>
      <c r="C30" s="4" t="s">
        <v>614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9" x14ac:dyDescent="0.35">
      <c r="A31" s="4" t="s">
        <v>801</v>
      </c>
      <c r="B31" s="4" t="s">
        <v>802</v>
      </c>
      <c r="C31" s="4" t="s">
        <v>615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9" x14ac:dyDescent="0.35">
      <c r="A32" s="4" t="s">
        <v>119</v>
      </c>
      <c r="B32" s="4" t="s">
        <v>120</v>
      </c>
      <c r="C32" s="4" t="s">
        <v>616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5">
      <c r="A33" s="4" t="s">
        <v>121</v>
      </c>
      <c r="B33" s="4" t="s">
        <v>122</v>
      </c>
      <c r="C33" s="4" t="s">
        <v>617</v>
      </c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5">
      <c r="A34" s="4" t="s">
        <v>129</v>
      </c>
      <c r="B34" s="4" t="s">
        <v>130</v>
      </c>
      <c r="C34" s="4" t="s">
        <v>618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35">
      <c r="A35" s="4" t="s">
        <v>125</v>
      </c>
      <c r="B35" s="4" t="s">
        <v>126</v>
      </c>
      <c r="C35" s="4" t="s">
        <v>619</v>
      </c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5">
      <c r="A36" s="4" t="s">
        <v>131</v>
      </c>
      <c r="B36" s="4" t="s">
        <v>132</v>
      </c>
      <c r="C36" s="4" t="s">
        <v>620</v>
      </c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5">
      <c r="A37" s="4" t="s">
        <v>123</v>
      </c>
      <c r="B37" s="4" t="s">
        <v>124</v>
      </c>
      <c r="C37" s="4" t="s">
        <v>621</v>
      </c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5">
      <c r="A38" s="4" t="s">
        <v>127</v>
      </c>
      <c r="B38" s="4" t="s">
        <v>128</v>
      </c>
      <c r="C38" s="4" t="s">
        <v>622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5">
      <c r="A39" s="4" t="s">
        <v>803</v>
      </c>
      <c r="B39" s="4" t="s">
        <v>804</v>
      </c>
      <c r="C39" s="4" t="s">
        <v>623</v>
      </c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5">
      <c r="A40" s="4" t="s">
        <v>805</v>
      </c>
      <c r="B40" s="4" t="s">
        <v>806</v>
      </c>
      <c r="C40" s="4" t="s">
        <v>624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5">
      <c r="A41" s="4" t="s">
        <v>807</v>
      </c>
      <c r="B41" s="4" t="s">
        <v>808</v>
      </c>
      <c r="C41" s="4" t="s">
        <v>625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5">
      <c r="A42" s="4" t="s">
        <v>809</v>
      </c>
      <c r="B42" s="4" t="s">
        <v>810</v>
      </c>
      <c r="C42" s="4" t="s">
        <v>626</v>
      </c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5">
      <c r="A43" s="4" t="s">
        <v>133</v>
      </c>
      <c r="B43" s="4" t="s">
        <v>134</v>
      </c>
      <c r="C43" s="4" t="s">
        <v>627</v>
      </c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5">
      <c r="A44" s="4" t="s">
        <v>136</v>
      </c>
      <c r="B44" s="4" t="s">
        <v>137</v>
      </c>
      <c r="C44" s="4" t="s">
        <v>628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5">
      <c r="A45" s="4" t="s">
        <v>138</v>
      </c>
      <c r="B45" s="4" t="s">
        <v>139</v>
      </c>
      <c r="C45" s="4" t="s">
        <v>629</v>
      </c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5">
      <c r="A46" s="4" t="s">
        <v>811</v>
      </c>
      <c r="B46" s="4" t="s">
        <v>812</v>
      </c>
      <c r="C46" s="4" t="s">
        <v>630</v>
      </c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5">
      <c r="A47" s="4" t="s">
        <v>140</v>
      </c>
      <c r="B47" s="4" t="s">
        <v>141</v>
      </c>
      <c r="C47" s="4" t="s">
        <v>631</v>
      </c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5">
      <c r="A48" s="4" t="s">
        <v>142</v>
      </c>
      <c r="B48" s="4" t="s">
        <v>143</v>
      </c>
      <c r="C48" s="4" t="s">
        <v>632</v>
      </c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5">
      <c r="A49" s="4" t="s">
        <v>144</v>
      </c>
      <c r="B49" s="4" t="s">
        <v>145</v>
      </c>
      <c r="C49" s="4" t="s">
        <v>633</v>
      </c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5">
      <c r="A50" s="4" t="s">
        <v>148</v>
      </c>
      <c r="B50" s="4" t="s">
        <v>149</v>
      </c>
      <c r="C50" s="4" t="s">
        <v>634</v>
      </c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5">
      <c r="A51" s="4" t="s">
        <v>150</v>
      </c>
      <c r="B51" s="4" t="s">
        <v>151</v>
      </c>
      <c r="C51" s="4" t="s">
        <v>635</v>
      </c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5">
      <c r="A52" s="4" t="s">
        <v>146</v>
      </c>
      <c r="B52" s="4" t="s">
        <v>147</v>
      </c>
      <c r="C52" s="4" t="s">
        <v>636</v>
      </c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5">
      <c r="A53" s="4" t="s">
        <v>152</v>
      </c>
      <c r="B53" s="4" t="s">
        <v>153</v>
      </c>
      <c r="C53" s="4" t="s">
        <v>637</v>
      </c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5">
      <c r="A54" s="4" t="s">
        <v>813</v>
      </c>
      <c r="B54" s="4" t="s">
        <v>814</v>
      </c>
      <c r="C54" s="4" t="s">
        <v>638</v>
      </c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5">
      <c r="A55" s="4" t="s">
        <v>156</v>
      </c>
      <c r="B55" s="4" t="s">
        <v>157</v>
      </c>
      <c r="C55" s="4" t="s">
        <v>639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5">
      <c r="A56" s="4" t="s">
        <v>154</v>
      </c>
      <c r="B56" s="4" t="s">
        <v>155</v>
      </c>
      <c r="C56" s="4" t="s">
        <v>640</v>
      </c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5">
      <c r="A57" s="4" t="s">
        <v>815</v>
      </c>
      <c r="B57" s="4" t="s">
        <v>816</v>
      </c>
      <c r="C57" s="4" t="s">
        <v>641</v>
      </c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5">
      <c r="A58" s="4" t="s">
        <v>158</v>
      </c>
      <c r="B58" s="4" t="s">
        <v>159</v>
      </c>
      <c r="C58" s="4" t="s">
        <v>642</v>
      </c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5">
      <c r="A59" s="4" t="s">
        <v>160</v>
      </c>
      <c r="B59" s="4" t="s">
        <v>161</v>
      </c>
      <c r="C59" s="4" t="s">
        <v>643</v>
      </c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5">
      <c r="A60" s="4" t="s">
        <v>162</v>
      </c>
      <c r="B60" s="4" t="s">
        <v>163</v>
      </c>
      <c r="C60" s="4" t="s">
        <v>644</v>
      </c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5">
      <c r="A61" s="4" t="s">
        <v>164</v>
      </c>
      <c r="B61" s="4" t="s">
        <v>165</v>
      </c>
      <c r="C61" s="4" t="s">
        <v>645</v>
      </c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5">
      <c r="A62" s="4" t="s">
        <v>817</v>
      </c>
      <c r="B62" s="4" t="s">
        <v>818</v>
      </c>
      <c r="C62" s="4" t="s">
        <v>646</v>
      </c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5">
      <c r="A63" s="4" t="s">
        <v>166</v>
      </c>
      <c r="B63" s="4" t="s">
        <v>167</v>
      </c>
      <c r="C63" s="4" t="s">
        <v>647</v>
      </c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5">
      <c r="A64" s="4" t="s">
        <v>168</v>
      </c>
      <c r="B64" s="4" t="s">
        <v>169</v>
      </c>
      <c r="C64" s="4" t="s">
        <v>648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5">
      <c r="A65" s="4" t="s">
        <v>819</v>
      </c>
      <c r="B65" s="4" t="s">
        <v>820</v>
      </c>
      <c r="C65" s="4" t="s">
        <v>649</v>
      </c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5">
      <c r="A66" s="4" t="s">
        <v>821</v>
      </c>
      <c r="B66" s="4" t="s">
        <v>822</v>
      </c>
      <c r="C66" s="4" t="s">
        <v>650</v>
      </c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5">
      <c r="A67" s="4" t="s">
        <v>170</v>
      </c>
      <c r="B67" s="4" t="s">
        <v>171</v>
      </c>
      <c r="C67" s="4" t="s">
        <v>651</v>
      </c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35">
      <c r="A68" s="4" t="s">
        <v>823</v>
      </c>
      <c r="B68" s="4" t="s">
        <v>824</v>
      </c>
      <c r="C68" s="4" t="s">
        <v>652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35">
      <c r="A69" s="4" t="s">
        <v>825</v>
      </c>
      <c r="B69" s="4" t="s">
        <v>826</v>
      </c>
      <c r="C69" s="4" t="s">
        <v>653</v>
      </c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35">
      <c r="A70" s="4" t="s">
        <v>173</v>
      </c>
      <c r="B70" s="4" t="s">
        <v>174</v>
      </c>
      <c r="C70" s="4" t="s">
        <v>654</v>
      </c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35">
      <c r="A71" s="4" t="s">
        <v>175</v>
      </c>
      <c r="B71" s="4" t="s">
        <v>176</v>
      </c>
      <c r="C71" s="4" t="s">
        <v>655</v>
      </c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35">
      <c r="A72" s="4" t="s">
        <v>177</v>
      </c>
      <c r="B72" s="4" t="s">
        <v>178</v>
      </c>
      <c r="C72" s="4" t="s">
        <v>656</v>
      </c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35">
      <c r="A73" s="4" t="s">
        <v>827</v>
      </c>
      <c r="B73" s="4" t="s">
        <v>828</v>
      </c>
      <c r="C73" s="4" t="s">
        <v>657</v>
      </c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35">
      <c r="A74" s="4" t="s">
        <v>179</v>
      </c>
      <c r="B74" s="4" t="s">
        <v>180</v>
      </c>
      <c r="C74" s="4" t="s">
        <v>658</v>
      </c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35">
      <c r="A75" s="4" t="s">
        <v>829</v>
      </c>
      <c r="B75" s="4" t="s">
        <v>830</v>
      </c>
      <c r="C75" s="4" t="s">
        <v>659</v>
      </c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35">
      <c r="A76" s="4" t="s">
        <v>182</v>
      </c>
      <c r="B76" s="4" t="s">
        <v>183</v>
      </c>
      <c r="C76" s="4" t="s">
        <v>660</v>
      </c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35">
      <c r="A77" s="4" t="s">
        <v>184</v>
      </c>
      <c r="B77" s="4" t="s">
        <v>185</v>
      </c>
      <c r="C77" s="4" t="s">
        <v>661</v>
      </c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35">
      <c r="A78" s="4" t="s">
        <v>831</v>
      </c>
      <c r="B78" s="4" t="s">
        <v>832</v>
      </c>
      <c r="C78" s="4" t="s">
        <v>662</v>
      </c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35">
      <c r="A79" s="4" t="s">
        <v>186</v>
      </c>
      <c r="B79" s="4" t="s">
        <v>187</v>
      </c>
      <c r="C79" s="4" t="s">
        <v>663</v>
      </c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35">
      <c r="A80" s="4" t="s">
        <v>833</v>
      </c>
      <c r="B80" s="4" t="s">
        <v>834</v>
      </c>
      <c r="C80" s="4" t="s">
        <v>664</v>
      </c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35">
      <c r="A81" s="4" t="s">
        <v>835</v>
      </c>
      <c r="B81" s="4" t="s">
        <v>836</v>
      </c>
      <c r="C81" s="4" t="s">
        <v>665</v>
      </c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35">
      <c r="A82" s="4" t="s">
        <v>837</v>
      </c>
      <c r="B82" s="4" t="s">
        <v>838</v>
      </c>
      <c r="C82" s="4" t="s">
        <v>666</v>
      </c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35">
      <c r="A83" s="4" t="s">
        <v>839</v>
      </c>
      <c r="B83" s="4" t="s">
        <v>840</v>
      </c>
      <c r="C83" s="4" t="s">
        <v>667</v>
      </c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35">
      <c r="A84" s="4" t="s">
        <v>841</v>
      </c>
      <c r="B84" s="4" t="s">
        <v>842</v>
      </c>
      <c r="C84" s="4" t="s">
        <v>668</v>
      </c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35">
      <c r="A85" s="4" t="s">
        <v>843</v>
      </c>
      <c r="B85" s="4" t="s">
        <v>844</v>
      </c>
      <c r="C85" s="4" t="s">
        <v>669</v>
      </c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35">
      <c r="A86" s="4" t="s">
        <v>845</v>
      </c>
      <c r="B86" s="4" t="s">
        <v>846</v>
      </c>
      <c r="C86" s="4" t="s">
        <v>670</v>
      </c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5">
      <c r="A87" s="4" t="s">
        <v>847</v>
      </c>
      <c r="B87" s="4" t="s">
        <v>848</v>
      </c>
      <c r="C87" s="4" t="s">
        <v>671</v>
      </c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35">
      <c r="A88" s="4" t="s">
        <v>849</v>
      </c>
      <c r="B88" s="4" t="s">
        <v>850</v>
      </c>
      <c r="C88" s="4" t="s">
        <v>672</v>
      </c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35">
      <c r="A89" s="4" t="s">
        <v>189</v>
      </c>
      <c r="B89" s="4" t="s">
        <v>190</v>
      </c>
      <c r="C89" s="4" t="s">
        <v>673</v>
      </c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35">
      <c r="A90" s="4" t="s">
        <v>851</v>
      </c>
      <c r="B90" s="4" t="s">
        <v>852</v>
      </c>
      <c r="C90" s="4" t="s">
        <v>674</v>
      </c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35">
      <c r="A91" s="4" t="s">
        <v>191</v>
      </c>
      <c r="B91" s="4" t="s">
        <v>192</v>
      </c>
      <c r="C91" s="4" t="s">
        <v>675</v>
      </c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35">
      <c r="A92" s="4" t="s">
        <v>853</v>
      </c>
      <c r="B92" s="4" t="s">
        <v>854</v>
      </c>
      <c r="C92" s="4" t="s">
        <v>676</v>
      </c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35">
      <c r="A93" s="4" t="s">
        <v>855</v>
      </c>
      <c r="B93" s="4" t="s">
        <v>856</v>
      </c>
      <c r="C93" s="4" t="s">
        <v>677</v>
      </c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35">
      <c r="A94" s="4" t="s">
        <v>857</v>
      </c>
      <c r="B94" s="4" t="s">
        <v>858</v>
      </c>
      <c r="C94" s="4" t="s">
        <v>678</v>
      </c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35">
      <c r="A95" s="4" t="s">
        <v>859</v>
      </c>
      <c r="B95" s="4" t="s">
        <v>860</v>
      </c>
      <c r="C95" s="4" t="s">
        <v>679</v>
      </c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35">
      <c r="A96" s="4" t="s">
        <v>861</v>
      </c>
      <c r="B96" s="4" t="s">
        <v>862</v>
      </c>
      <c r="C96" s="4" t="s">
        <v>680</v>
      </c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35">
      <c r="A97" s="4" t="s">
        <v>193</v>
      </c>
      <c r="B97" s="4" t="s">
        <v>194</v>
      </c>
      <c r="C97" s="4" t="s">
        <v>681</v>
      </c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35">
      <c r="A98" s="4" t="s">
        <v>863</v>
      </c>
      <c r="B98" s="4" t="s">
        <v>864</v>
      </c>
      <c r="C98" s="4" t="s">
        <v>682</v>
      </c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35">
      <c r="A99" s="4" t="s">
        <v>865</v>
      </c>
      <c r="B99" s="4" t="s">
        <v>866</v>
      </c>
      <c r="C99" s="4" t="s">
        <v>683</v>
      </c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35">
      <c r="A100" s="4" t="s">
        <v>867</v>
      </c>
      <c r="B100" s="4" t="s">
        <v>868</v>
      </c>
      <c r="C100" s="4" t="s">
        <v>684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35">
      <c r="A101" s="4" t="s">
        <v>869</v>
      </c>
      <c r="B101" s="4" t="s">
        <v>870</v>
      </c>
      <c r="C101" s="4" t="s">
        <v>685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35">
      <c r="A102" s="4" t="s">
        <v>871</v>
      </c>
      <c r="B102" s="4" t="s">
        <v>872</v>
      </c>
      <c r="C102" s="4" t="s">
        <v>686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35">
      <c r="A103" s="4" t="s">
        <v>197</v>
      </c>
      <c r="B103" s="4" t="s">
        <v>198</v>
      </c>
      <c r="C103" s="4" t="s">
        <v>687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35">
      <c r="A104" s="4" t="s">
        <v>199</v>
      </c>
      <c r="B104" s="4" t="s">
        <v>200</v>
      </c>
      <c r="C104" s="4" t="s">
        <v>688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35">
      <c r="A105" s="4" t="s">
        <v>201</v>
      </c>
      <c r="B105" s="4" t="s">
        <v>202</v>
      </c>
      <c r="C105" s="4" t="s">
        <v>689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35">
      <c r="A106" s="4" t="s">
        <v>873</v>
      </c>
      <c r="B106" s="4" t="s">
        <v>874</v>
      </c>
      <c r="C106" s="4" t="s">
        <v>690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35">
      <c r="A107" s="4" t="s">
        <v>875</v>
      </c>
      <c r="B107" s="4" t="s">
        <v>876</v>
      </c>
      <c r="C107" s="4" t="s">
        <v>691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35">
      <c r="A108" s="4" t="s">
        <v>877</v>
      </c>
      <c r="B108" s="4" t="s">
        <v>878</v>
      </c>
      <c r="C108" s="4" t="s">
        <v>692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35">
      <c r="A109" s="4" t="s">
        <v>203</v>
      </c>
      <c r="B109" s="4" t="s">
        <v>204</v>
      </c>
      <c r="C109" s="4" t="s">
        <v>693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35">
      <c r="A110" s="4" t="s">
        <v>879</v>
      </c>
      <c r="B110" s="4" t="s">
        <v>880</v>
      </c>
      <c r="C110" s="4" t="s">
        <v>694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35">
      <c r="A111" s="4" t="s">
        <v>881</v>
      </c>
      <c r="B111" s="4" t="s">
        <v>882</v>
      </c>
      <c r="C111" s="4" t="s">
        <v>695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Z142"/>
  <sheetViews>
    <sheetView zoomScale="85" zoomScaleNormal="85" workbookViewId="0">
      <pane xSplit="3" ySplit="7" topLeftCell="F8" activePane="bottomRight" state="frozen"/>
      <selection activeCell="F5" sqref="F5"/>
      <selection pane="topRight" activeCell="F5" sqref="F5"/>
      <selection pane="bottomLeft" activeCell="F5" sqref="F5"/>
      <selection pane="bottomRight" activeCell="X15" sqref="X15"/>
    </sheetView>
  </sheetViews>
  <sheetFormatPr defaultColWidth="0" defaultRowHeight="14.5" zeroHeight="1" x14ac:dyDescent="0.35"/>
  <cols>
    <col min="1" max="1" width="27" customWidth="1"/>
    <col min="2" max="3" width="0.453125" customWidth="1"/>
    <col min="4" max="12" width="8.81640625" customWidth="1"/>
    <col min="13" max="15" width="1" customWidth="1"/>
    <col min="16" max="16" width="27" customWidth="1"/>
    <col min="17" max="18" width="0.453125" customWidth="1"/>
    <col min="19" max="26" width="8.81640625" customWidth="1"/>
    <col min="27" max="16384" width="8.81640625" hidden="1"/>
  </cols>
  <sheetData>
    <row r="1" spans="1:26" ht="18.5" x14ac:dyDescent="0.45">
      <c r="A1" s="1" t="s">
        <v>249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5">
      <c r="A4" s="6" t="s">
        <v>251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 t="s">
        <v>250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5">
      <c r="A5" s="4"/>
      <c r="B5" s="4"/>
      <c r="C5" s="4"/>
      <c r="D5" s="136" t="s">
        <v>252</v>
      </c>
      <c r="E5" s="136"/>
      <c r="F5" s="136"/>
      <c r="G5" s="134" t="s">
        <v>253</v>
      </c>
      <c r="H5" s="135"/>
      <c r="I5" s="135"/>
      <c r="J5" s="134" t="s">
        <v>254</v>
      </c>
      <c r="K5" s="135"/>
      <c r="L5" s="135"/>
      <c r="M5" s="4"/>
      <c r="N5" s="6"/>
      <c r="O5" s="4"/>
      <c r="P5" s="4"/>
      <c r="Q5" s="4"/>
      <c r="R5" s="4"/>
      <c r="S5" s="12" t="s">
        <v>255</v>
      </c>
      <c r="T5" s="12" t="s">
        <v>254</v>
      </c>
      <c r="U5" s="12" t="s">
        <v>256</v>
      </c>
      <c r="V5" s="134" t="s">
        <v>253</v>
      </c>
      <c r="W5" s="135"/>
      <c r="X5" s="134" t="s">
        <v>252</v>
      </c>
      <c r="Y5" s="135"/>
      <c r="Z5" s="4"/>
    </row>
    <row r="6" spans="1:26" x14ac:dyDescent="0.35">
      <c r="A6" s="4"/>
      <c r="B6" s="4"/>
      <c r="C6" s="4"/>
      <c r="D6" s="13" t="s">
        <v>257</v>
      </c>
      <c r="E6" s="13" t="s">
        <v>258</v>
      </c>
      <c r="F6" s="13" t="s">
        <v>259</v>
      </c>
      <c r="G6" s="14" t="s">
        <v>257</v>
      </c>
      <c r="H6" s="13" t="s">
        <v>258</v>
      </c>
      <c r="I6" s="13" t="s">
        <v>259</v>
      </c>
      <c r="J6" s="14" t="s">
        <v>257</v>
      </c>
      <c r="K6" s="13" t="s">
        <v>258</v>
      </c>
      <c r="L6" s="13" t="s">
        <v>259</v>
      </c>
      <c r="M6" s="4"/>
      <c r="N6" s="6"/>
      <c r="O6" s="4"/>
      <c r="P6" s="4"/>
      <c r="Q6" s="4"/>
      <c r="R6" s="4"/>
      <c r="S6" s="12" t="s">
        <v>260</v>
      </c>
      <c r="T6" s="12" t="s">
        <v>260</v>
      </c>
      <c r="U6" s="12" t="s">
        <v>260</v>
      </c>
      <c r="V6" s="15" t="s">
        <v>257</v>
      </c>
      <c r="W6" s="12" t="s">
        <v>261</v>
      </c>
      <c r="X6" s="15" t="s">
        <v>257</v>
      </c>
      <c r="Y6" s="12" t="s">
        <v>261</v>
      </c>
      <c r="Z6" s="4"/>
    </row>
    <row r="7" spans="1:26" x14ac:dyDescent="0.35">
      <c r="A7" s="4"/>
      <c r="B7" s="4"/>
      <c r="C7" s="16"/>
      <c r="D7" s="17" t="s">
        <v>262</v>
      </c>
      <c r="E7" s="17" t="s">
        <v>263</v>
      </c>
      <c r="F7" s="17" t="s">
        <v>264</v>
      </c>
      <c r="G7" s="18" t="s">
        <v>265</v>
      </c>
      <c r="H7" s="17" t="s">
        <v>266</v>
      </c>
      <c r="I7" s="17" t="s">
        <v>267</v>
      </c>
      <c r="J7" s="18" t="s">
        <v>268</v>
      </c>
      <c r="K7" s="17" t="s">
        <v>269</v>
      </c>
      <c r="L7" s="17" t="s">
        <v>270</v>
      </c>
      <c r="M7" s="4"/>
      <c r="N7" s="6"/>
      <c r="O7" s="4"/>
      <c r="P7" s="4"/>
      <c r="Q7" s="4"/>
      <c r="R7" s="16"/>
      <c r="S7" s="17" t="s">
        <v>271</v>
      </c>
      <c r="T7" s="17" t="s">
        <v>272</v>
      </c>
      <c r="U7" s="17" t="s">
        <v>273</v>
      </c>
      <c r="V7" s="18" t="s">
        <v>274</v>
      </c>
      <c r="W7" s="17" t="s">
        <v>275</v>
      </c>
      <c r="X7" s="18" t="s">
        <v>276</v>
      </c>
      <c r="Y7" s="17" t="s">
        <v>277</v>
      </c>
      <c r="Z7" s="4"/>
    </row>
    <row r="8" spans="1:26" x14ac:dyDescent="0.35">
      <c r="A8" s="5" t="s">
        <v>102</v>
      </c>
      <c r="B8" s="123"/>
      <c r="C8" s="124" t="s">
        <v>288</v>
      </c>
      <c r="D8" s="73">
        <v>100</v>
      </c>
      <c r="E8" s="73">
        <v>4.0279930942409576</v>
      </c>
      <c r="F8" s="73">
        <v>100</v>
      </c>
      <c r="G8" s="126">
        <v>100</v>
      </c>
      <c r="H8" s="73">
        <v>1E-8</v>
      </c>
      <c r="I8" s="73">
        <v>1E-8</v>
      </c>
      <c r="J8" s="126">
        <v>100</v>
      </c>
      <c r="K8" s="73">
        <v>-0.74064441234786382</v>
      </c>
      <c r="L8" s="73">
        <v>100</v>
      </c>
      <c r="M8" s="123"/>
      <c r="N8" s="125"/>
      <c r="O8" s="123"/>
      <c r="P8" s="5" t="s">
        <v>102</v>
      </c>
      <c r="Q8" s="123"/>
      <c r="R8" s="124" t="s">
        <v>288</v>
      </c>
      <c r="S8" s="73">
        <v>99.999999999999972</v>
      </c>
      <c r="T8" s="73">
        <v>100</v>
      </c>
      <c r="U8" s="73">
        <v>99.999999999999929</v>
      </c>
      <c r="V8" s="126">
        <v>100.00000000000003</v>
      </c>
      <c r="W8" s="73">
        <v>8.8254856710142935</v>
      </c>
      <c r="X8" s="126">
        <v>99.999999999999957</v>
      </c>
      <c r="Y8" s="73">
        <v>22.986978669330735</v>
      </c>
      <c r="Z8" s="123"/>
    </row>
    <row r="9" spans="1:26" x14ac:dyDescent="0.35">
      <c r="A9" s="5" t="s">
        <v>278</v>
      </c>
      <c r="B9" s="123"/>
      <c r="C9" s="124" t="s">
        <v>289</v>
      </c>
      <c r="D9" s="75">
        <v>5.0541507822155536</v>
      </c>
      <c r="E9" s="75">
        <v>5.0768796373800882</v>
      </c>
      <c r="F9" s="75">
        <v>7.4190794345984994</v>
      </c>
      <c r="G9" s="127">
        <v>10.778266221232542</v>
      </c>
      <c r="H9" s="75">
        <v>1E-8</v>
      </c>
      <c r="I9" s="75">
        <v>1E-8</v>
      </c>
      <c r="J9" s="127">
        <v>18.42323949432485</v>
      </c>
      <c r="K9" s="75">
        <v>1E-8</v>
      </c>
      <c r="L9" s="75">
        <v>1E-8</v>
      </c>
      <c r="M9" s="123"/>
      <c r="N9" s="125"/>
      <c r="O9" s="123"/>
      <c r="P9" s="5" t="s">
        <v>278</v>
      </c>
      <c r="Q9" s="123"/>
      <c r="R9" s="124" t="s">
        <v>289</v>
      </c>
      <c r="S9" s="75">
        <v>28.796404118720183</v>
      </c>
      <c r="T9" s="75">
        <v>18.42323949432485</v>
      </c>
      <c r="U9" s="75">
        <v>26.657004206476852</v>
      </c>
      <c r="V9" s="127">
        <v>9.8131477605855988</v>
      </c>
      <c r="W9" s="75">
        <v>8.2759358698432788</v>
      </c>
      <c r="X9" s="127">
        <v>5.8862929324062989</v>
      </c>
      <c r="Y9" s="75">
        <v>11.246761683605252</v>
      </c>
      <c r="Z9" s="123"/>
    </row>
    <row r="10" spans="1:26" x14ac:dyDescent="0.35">
      <c r="A10" s="11" t="s">
        <v>279</v>
      </c>
      <c r="B10" s="123"/>
      <c r="C10" s="124" t="s">
        <v>290</v>
      </c>
      <c r="D10" s="77">
        <v>4.9634998311279004</v>
      </c>
      <c r="E10" s="77">
        <v>5.1529411037941291</v>
      </c>
      <c r="F10" s="77">
        <v>7.3923201445827553</v>
      </c>
      <c r="G10" s="128">
        <v>10.100006882995926</v>
      </c>
      <c r="H10" s="77">
        <v>1E-8</v>
      </c>
      <c r="I10" s="77">
        <v>1E-8</v>
      </c>
      <c r="J10" s="128">
        <v>13.194873699171472</v>
      </c>
      <c r="K10" s="77">
        <v>1E-8</v>
      </c>
      <c r="L10" s="77">
        <v>1E-8</v>
      </c>
      <c r="M10" s="123"/>
      <c r="N10" s="125"/>
      <c r="O10" s="123"/>
      <c r="P10" s="11" t="s">
        <v>279</v>
      </c>
      <c r="Q10" s="123"/>
      <c r="R10" s="124" t="s">
        <v>290</v>
      </c>
      <c r="S10" s="77">
        <v>20.436288287370587</v>
      </c>
      <c r="T10" s="77">
        <v>13.194873699171472</v>
      </c>
      <c r="U10" s="77">
        <v>18.220151994825841</v>
      </c>
      <c r="V10" s="128">
        <v>9.1978753899750902</v>
      </c>
      <c r="W10" s="77">
        <v>10.024508754461067</v>
      </c>
      <c r="X10" s="128">
        <v>5.778489195398202</v>
      </c>
      <c r="Y10" s="77">
        <v>14.200458861553694</v>
      </c>
      <c r="Z10" s="123"/>
    </row>
    <row r="11" spans="1:26" x14ac:dyDescent="0.35">
      <c r="A11" s="11" t="s">
        <v>362</v>
      </c>
      <c r="B11" s="123"/>
      <c r="C11" s="124" t="s">
        <v>291</v>
      </c>
      <c r="D11" s="77">
        <v>4.9008532194753753</v>
      </c>
      <c r="E11" s="77">
        <v>5.2214511184580985</v>
      </c>
      <c r="F11" s="77">
        <v>7.3900137247739011</v>
      </c>
      <c r="G11" s="128">
        <v>3.9642033872417168</v>
      </c>
      <c r="H11" s="77">
        <v>1E-8</v>
      </c>
      <c r="I11" s="77">
        <v>1E-8</v>
      </c>
      <c r="J11" s="128">
        <v>11.870292653288129</v>
      </c>
      <c r="K11" s="77">
        <v>1E-8</v>
      </c>
      <c r="L11" s="77">
        <v>1E-8</v>
      </c>
      <c r="M11" s="123"/>
      <c r="N11" s="125"/>
      <c r="O11" s="123"/>
      <c r="P11" s="11" t="s">
        <v>362</v>
      </c>
      <c r="Q11" s="123"/>
      <c r="R11" s="124" t="s">
        <v>291</v>
      </c>
      <c r="S11" s="77">
        <v>18.433053669461859</v>
      </c>
      <c r="T11" s="77">
        <v>11.870292653288129</v>
      </c>
      <c r="U11" s="77">
        <v>15.913239405562482</v>
      </c>
      <c r="V11" s="128">
        <v>3.7347522774347204</v>
      </c>
      <c r="W11" s="77">
        <v>4.7001026570094515</v>
      </c>
      <c r="X11" s="128">
        <v>5.7008911075519908</v>
      </c>
      <c r="Y11" s="77">
        <v>15.473881044918667</v>
      </c>
      <c r="Z11" s="123"/>
    </row>
    <row r="12" spans="1:26" x14ac:dyDescent="0.35">
      <c r="A12" s="11" t="s">
        <v>363</v>
      </c>
      <c r="B12" s="123"/>
      <c r="C12" s="124" t="s">
        <v>292</v>
      </c>
      <c r="D12" s="77">
        <v>6.2646611652524553E-2</v>
      </c>
      <c r="E12" s="77">
        <v>0.11972257719687945</v>
      </c>
      <c r="F12" s="77">
        <v>2.3064198088574234E-3</v>
      </c>
      <c r="G12" s="128">
        <v>6.1358034957542076</v>
      </c>
      <c r="H12" s="77">
        <v>1E-8</v>
      </c>
      <c r="I12" s="77">
        <v>1E-8</v>
      </c>
      <c r="J12" s="128">
        <v>1.3245810458833425</v>
      </c>
      <c r="K12" s="77">
        <v>1E-8</v>
      </c>
      <c r="L12" s="77">
        <v>1E-8</v>
      </c>
      <c r="M12" s="123"/>
      <c r="N12" s="125"/>
      <c r="O12" s="123"/>
      <c r="P12" s="11" t="s">
        <v>363</v>
      </c>
      <c r="Q12" s="123"/>
      <c r="R12" s="124" t="s">
        <v>292</v>
      </c>
      <c r="S12" s="77">
        <v>2.0032346179087295</v>
      </c>
      <c r="T12" s="77">
        <v>1.3245810458833425</v>
      </c>
      <c r="U12" s="77">
        <v>2.3069125892633515</v>
      </c>
      <c r="V12" s="128">
        <v>5.4631231125403694</v>
      </c>
      <c r="W12" s="77">
        <v>37.390124723099269</v>
      </c>
      <c r="X12" s="128">
        <v>7.7598087846211194E-2</v>
      </c>
      <c r="Y12" s="77">
        <v>1.9091911463991105</v>
      </c>
      <c r="Z12" s="123"/>
    </row>
    <row r="13" spans="1:26" x14ac:dyDescent="0.35">
      <c r="A13" s="9" t="s">
        <v>592</v>
      </c>
      <c r="B13" s="123"/>
      <c r="C13" s="124" t="s">
        <v>294</v>
      </c>
      <c r="D13" s="79">
        <v>3.5586236469983303E-2</v>
      </c>
      <c r="E13" s="79">
        <v>1E-8</v>
      </c>
      <c r="F13" s="79">
        <v>1E-8</v>
      </c>
      <c r="G13" s="129">
        <v>0.1676427128790656</v>
      </c>
      <c r="H13" s="79">
        <v>1E-8</v>
      </c>
      <c r="I13" s="79">
        <v>1E-8</v>
      </c>
      <c r="J13" s="129">
        <v>0.39163861334513722</v>
      </c>
      <c r="K13" s="79">
        <v>1E-8</v>
      </c>
      <c r="L13" s="79">
        <v>1E-8</v>
      </c>
      <c r="M13" s="123"/>
      <c r="N13" s="125"/>
      <c r="O13" s="123"/>
      <c r="P13" s="9" t="s">
        <v>592</v>
      </c>
      <c r="Q13" s="123"/>
      <c r="R13" s="124" t="s">
        <v>294</v>
      </c>
      <c r="S13" s="79">
        <v>0.59973015402707097</v>
      </c>
      <c r="T13" s="79">
        <v>0.39163861334513722</v>
      </c>
      <c r="U13" s="79">
        <v>0.45829586835126701</v>
      </c>
      <c r="V13" s="129">
        <v>0.15045289658849603</v>
      </c>
      <c r="W13" s="79">
        <v>3.4480976424858243</v>
      </c>
      <c r="X13" s="129">
        <v>4.4211411450038041E-2</v>
      </c>
      <c r="Y13" s="79">
        <v>2.3566750903533693</v>
      </c>
      <c r="Z13" s="123"/>
    </row>
    <row r="14" spans="1:26" x14ac:dyDescent="0.35">
      <c r="A14" s="9" t="s">
        <v>593</v>
      </c>
      <c r="B14" s="123"/>
      <c r="C14" s="124" t="s">
        <v>293</v>
      </c>
      <c r="D14" s="79">
        <v>0.88193465787517533</v>
      </c>
      <c r="E14" s="79">
        <v>2.1066211219515929</v>
      </c>
      <c r="F14" s="79">
        <v>0.56182693494282998</v>
      </c>
      <c r="G14" s="129">
        <v>1.0015674033045654</v>
      </c>
      <c r="H14" s="79">
        <v>1E-8</v>
      </c>
      <c r="I14" s="79">
        <v>1E-8</v>
      </c>
      <c r="J14" s="129">
        <v>0.86152252737436308</v>
      </c>
      <c r="K14" s="79">
        <v>1E-8</v>
      </c>
      <c r="L14" s="79">
        <v>1E-8</v>
      </c>
      <c r="M14" s="123"/>
      <c r="N14" s="125"/>
      <c r="O14" s="123"/>
      <c r="P14" s="9" t="s">
        <v>593</v>
      </c>
      <c r="Q14" s="123"/>
      <c r="R14" s="124" t="s">
        <v>293</v>
      </c>
      <c r="S14" s="79">
        <v>1.3204534025699539</v>
      </c>
      <c r="T14" s="79">
        <v>0.86152252737436308</v>
      </c>
      <c r="U14" s="79">
        <v>1.054269349936767</v>
      </c>
      <c r="V14" s="129">
        <v>0.89808671758127312</v>
      </c>
      <c r="W14" s="79">
        <v>11.074937862027271</v>
      </c>
      <c r="X14" s="129">
        <v>1.0742487059143255</v>
      </c>
      <c r="Y14" s="79">
        <v>25.893648937500807</v>
      </c>
      <c r="Z14" s="123"/>
    </row>
    <row r="15" spans="1:26" x14ac:dyDescent="0.35">
      <c r="A15" s="9" t="s">
        <v>594</v>
      </c>
      <c r="B15" s="123"/>
      <c r="C15" s="124" t="s">
        <v>296</v>
      </c>
      <c r="D15" s="79">
        <v>1.8887962754386545</v>
      </c>
      <c r="E15" s="79">
        <v>1E-8</v>
      </c>
      <c r="F15" s="79">
        <v>1E-8</v>
      </c>
      <c r="G15" s="129">
        <v>1E-8</v>
      </c>
      <c r="H15" s="79">
        <v>1E-8</v>
      </c>
      <c r="I15" s="79">
        <v>1E-8</v>
      </c>
      <c r="J15" s="129">
        <v>2.8179958677270654E-2</v>
      </c>
      <c r="K15" s="79">
        <v>1E-8</v>
      </c>
      <c r="L15" s="79">
        <v>1E-8</v>
      </c>
      <c r="M15" s="123"/>
      <c r="N15" s="125"/>
      <c r="O15" s="123"/>
      <c r="P15" s="9" t="s">
        <v>594</v>
      </c>
      <c r="Q15" s="123"/>
      <c r="R15" s="124" t="s">
        <v>296</v>
      </c>
      <c r="S15" s="79">
        <v>4.3148806202197597E-2</v>
      </c>
      <c r="T15" s="79">
        <v>2.8179958677270654E-2</v>
      </c>
      <c r="U15" s="79">
        <v>3.5415291173219628E-2</v>
      </c>
      <c r="V15" s="129">
        <v>1E-8</v>
      </c>
      <c r="W15" s="79">
        <v>1E-8</v>
      </c>
      <c r="X15" s="129">
        <v>2.345141239539537</v>
      </c>
      <c r="Y15" s="79">
        <v>94.54171646632426</v>
      </c>
      <c r="Z15" s="123"/>
    </row>
    <row r="16" spans="1:26" x14ac:dyDescent="0.35">
      <c r="A16" s="9" t="s">
        <v>595</v>
      </c>
      <c r="B16" s="123"/>
      <c r="C16" s="124" t="s">
        <v>295</v>
      </c>
      <c r="D16" s="79">
        <v>0.79483230009096373</v>
      </c>
      <c r="E16" s="79">
        <v>35.471133648122013</v>
      </c>
      <c r="F16" s="79">
        <v>6.4440449849179098</v>
      </c>
      <c r="G16" s="129">
        <v>0.50611773065442567</v>
      </c>
      <c r="H16" s="79">
        <v>1E-8</v>
      </c>
      <c r="I16" s="79">
        <v>1E-8</v>
      </c>
      <c r="J16" s="129">
        <v>0.51466086135299416</v>
      </c>
      <c r="K16" s="79">
        <v>1E-8</v>
      </c>
      <c r="L16" s="79">
        <v>1E-8</v>
      </c>
      <c r="M16" s="123"/>
      <c r="N16" s="125"/>
      <c r="O16" s="123"/>
      <c r="P16" s="9" t="s">
        <v>595</v>
      </c>
      <c r="Q16" s="123"/>
      <c r="R16" s="124" t="s">
        <v>295</v>
      </c>
      <c r="S16" s="79">
        <v>0.78768695901528396</v>
      </c>
      <c r="T16" s="79">
        <v>0.51466086135299416</v>
      </c>
      <c r="U16" s="79">
        <v>0.64573058130128114</v>
      </c>
      <c r="V16" s="129">
        <v>0.4536278519534388</v>
      </c>
      <c r="W16" s="79">
        <v>8.4391192083561979</v>
      </c>
      <c r="X16" s="129">
        <v>0.73176597499588691</v>
      </c>
      <c r="Y16" s="79">
        <v>31.536663248844874</v>
      </c>
      <c r="Z16" s="123"/>
    </row>
    <row r="17" spans="1:26" x14ac:dyDescent="0.35">
      <c r="A17" s="9" t="s">
        <v>596</v>
      </c>
      <c r="B17" s="123"/>
      <c r="C17" s="124" t="s">
        <v>297</v>
      </c>
      <c r="D17" s="79">
        <v>0.13068694061442979</v>
      </c>
      <c r="E17" s="79">
        <v>0.80377751720310131</v>
      </c>
      <c r="F17" s="79">
        <v>3.21560711910443E-2</v>
      </c>
      <c r="G17" s="129">
        <v>1E-8</v>
      </c>
      <c r="H17" s="79">
        <v>1E-8</v>
      </c>
      <c r="I17" s="79">
        <v>1E-8</v>
      </c>
      <c r="J17" s="129">
        <v>2.5118069396292946E-3</v>
      </c>
      <c r="K17" s="79">
        <v>1E-8</v>
      </c>
      <c r="L17" s="79">
        <v>1E-8</v>
      </c>
      <c r="M17" s="123"/>
      <c r="N17" s="125"/>
      <c r="O17" s="123"/>
      <c r="P17" s="9" t="s">
        <v>596</v>
      </c>
      <c r="Q17" s="123"/>
      <c r="R17" s="124" t="s">
        <v>297</v>
      </c>
      <c r="S17" s="79">
        <v>3.8452902567795528E-3</v>
      </c>
      <c r="T17" s="79">
        <v>2.5118069396292946E-3</v>
      </c>
      <c r="U17" s="79">
        <v>2.9384963206327123E-3</v>
      </c>
      <c r="V17" s="129">
        <v>1E-8</v>
      </c>
      <c r="W17" s="79">
        <v>1E-8</v>
      </c>
      <c r="X17" s="129">
        <v>0.16114463259205392</v>
      </c>
      <c r="Y17" s="79">
        <v>92.998229218952915</v>
      </c>
      <c r="Z17" s="123"/>
    </row>
    <row r="18" spans="1:26" x14ac:dyDescent="0.35">
      <c r="A18" s="9" t="s">
        <v>597</v>
      </c>
      <c r="B18" s="123"/>
      <c r="C18" s="124" t="s">
        <v>301</v>
      </c>
      <c r="D18" s="79">
        <v>0.19464893638089001</v>
      </c>
      <c r="E18" s="79">
        <v>0.2446045331365031</v>
      </c>
      <c r="F18" s="79">
        <v>1.211003017724809E-2</v>
      </c>
      <c r="G18" s="129">
        <v>0.45639772830909908</v>
      </c>
      <c r="H18" s="79">
        <v>1E-8</v>
      </c>
      <c r="I18" s="79">
        <v>1E-8</v>
      </c>
      <c r="J18" s="129">
        <v>1.4765312418594925</v>
      </c>
      <c r="K18" s="79">
        <v>1E-8</v>
      </c>
      <c r="L18" s="79">
        <v>1E-8</v>
      </c>
      <c r="M18" s="123"/>
      <c r="N18" s="125"/>
      <c r="O18" s="123"/>
      <c r="P18" s="9" t="s">
        <v>597</v>
      </c>
      <c r="Q18" s="123"/>
      <c r="R18" s="124" t="s">
        <v>301</v>
      </c>
      <c r="S18" s="79">
        <v>2.2666916260868097</v>
      </c>
      <c r="T18" s="79">
        <v>1.4765312418594925</v>
      </c>
      <c r="U18" s="79">
        <v>1.9322193871515343</v>
      </c>
      <c r="V18" s="129">
        <v>0.49558054236359977</v>
      </c>
      <c r="W18" s="79">
        <v>11.33540925924104</v>
      </c>
      <c r="X18" s="129">
        <v>0.19942033493624348</v>
      </c>
      <c r="Y18" s="79">
        <v>12.528046743033508</v>
      </c>
      <c r="Z18" s="123"/>
    </row>
    <row r="19" spans="1:26" x14ac:dyDescent="0.35">
      <c r="A19" s="9" t="s">
        <v>598</v>
      </c>
      <c r="B19" s="123"/>
      <c r="C19" s="124" t="s">
        <v>302</v>
      </c>
      <c r="D19" s="79">
        <v>1E-8</v>
      </c>
      <c r="E19" s="79">
        <v>1E-8</v>
      </c>
      <c r="F19" s="79">
        <v>1E-8</v>
      </c>
      <c r="G19" s="129">
        <v>1E-8</v>
      </c>
      <c r="H19" s="79">
        <v>1E-8</v>
      </c>
      <c r="I19" s="79">
        <v>1E-8</v>
      </c>
      <c r="J19" s="129">
        <v>1.3135641234988968</v>
      </c>
      <c r="K19" s="79">
        <v>1E-8</v>
      </c>
      <c r="L19" s="79">
        <v>1E-8</v>
      </c>
      <c r="M19" s="123"/>
      <c r="N19" s="125"/>
      <c r="O19" s="123"/>
      <c r="P19" s="9" t="s">
        <v>598</v>
      </c>
      <c r="Q19" s="123"/>
      <c r="R19" s="124" t="s">
        <v>302</v>
      </c>
      <c r="S19" s="79">
        <v>2.0164101968213832</v>
      </c>
      <c r="T19" s="79">
        <v>1.3135641234988968</v>
      </c>
      <c r="U19" s="79">
        <v>1.5833413777824914</v>
      </c>
      <c r="V19" s="129">
        <v>1E-8</v>
      </c>
      <c r="W19" s="79">
        <v>1E-8</v>
      </c>
      <c r="X19" s="129">
        <v>1E-8</v>
      </c>
      <c r="Y19" s="79">
        <v>1E-8</v>
      </c>
      <c r="Z19" s="123"/>
    </row>
    <row r="20" spans="1:26" x14ac:dyDescent="0.35">
      <c r="A20" s="9" t="s">
        <v>599</v>
      </c>
      <c r="B20" s="123"/>
      <c r="C20" s="124" t="s">
        <v>300</v>
      </c>
      <c r="D20" s="79">
        <v>0.37580743665026045</v>
      </c>
      <c r="E20" s="79">
        <v>6.953883756239735E-3</v>
      </c>
      <c r="F20" s="79">
        <v>7.591537430642817E-4</v>
      </c>
      <c r="G20" s="129">
        <v>1E-8</v>
      </c>
      <c r="H20" s="79">
        <v>1E-8</v>
      </c>
      <c r="I20" s="79">
        <v>1E-8</v>
      </c>
      <c r="J20" s="129">
        <v>1.075437495598053</v>
      </c>
      <c r="K20" s="79">
        <v>1E-8</v>
      </c>
      <c r="L20" s="79">
        <v>1E-8</v>
      </c>
      <c r="M20" s="123"/>
      <c r="N20" s="125"/>
      <c r="O20" s="123"/>
      <c r="P20" s="9" t="s">
        <v>599</v>
      </c>
      <c r="Q20" s="123"/>
      <c r="R20" s="124" t="s">
        <v>300</v>
      </c>
      <c r="S20" s="79">
        <v>1.6496232469838712</v>
      </c>
      <c r="T20" s="79">
        <v>1.075437495598053</v>
      </c>
      <c r="U20" s="79">
        <v>1.2692584768916437</v>
      </c>
      <c r="V20" s="129">
        <v>1E-8</v>
      </c>
      <c r="W20" s="79">
        <v>1E-8</v>
      </c>
      <c r="X20" s="129">
        <v>0.4397349943887503</v>
      </c>
      <c r="Y20" s="79">
        <v>8.7804607809730406</v>
      </c>
      <c r="Z20" s="123"/>
    </row>
    <row r="21" spans="1:26" x14ac:dyDescent="0.35">
      <c r="A21" s="9" t="s">
        <v>600</v>
      </c>
      <c r="B21" s="123"/>
      <c r="C21" s="124" t="s">
        <v>303</v>
      </c>
      <c r="D21" s="79">
        <v>1E-8</v>
      </c>
      <c r="E21" s="79">
        <v>1E-8</v>
      </c>
      <c r="F21" s="79">
        <v>1E-8</v>
      </c>
      <c r="G21" s="129">
        <v>1E-8</v>
      </c>
      <c r="H21" s="79">
        <v>1E-8</v>
      </c>
      <c r="I21" s="79">
        <v>1E-8</v>
      </c>
      <c r="J21" s="129">
        <v>0.18564555961872903</v>
      </c>
      <c r="K21" s="79">
        <v>1E-8</v>
      </c>
      <c r="L21" s="79">
        <v>1E-8</v>
      </c>
      <c r="M21" s="123"/>
      <c r="N21" s="125"/>
      <c r="O21" s="123"/>
      <c r="P21" s="9" t="s">
        <v>600</v>
      </c>
      <c r="Q21" s="123"/>
      <c r="R21" s="124" t="s">
        <v>303</v>
      </c>
      <c r="S21" s="79">
        <v>0.28502289860816526</v>
      </c>
      <c r="T21" s="79">
        <v>0.18564555961872903</v>
      </c>
      <c r="U21" s="79">
        <v>0.23860907962740269</v>
      </c>
      <c r="V21" s="129">
        <v>1E-8</v>
      </c>
      <c r="W21" s="79">
        <v>1E-8</v>
      </c>
      <c r="X21" s="129">
        <v>1E-8</v>
      </c>
      <c r="Y21" s="79">
        <v>1E-8</v>
      </c>
      <c r="Z21" s="123"/>
    </row>
    <row r="22" spans="1:26" x14ac:dyDescent="0.35">
      <c r="A22" s="9" t="s">
        <v>601</v>
      </c>
      <c r="B22" s="123"/>
      <c r="C22" s="124" t="s">
        <v>533</v>
      </c>
      <c r="D22" s="79">
        <v>1E-8</v>
      </c>
      <c r="E22" s="79">
        <v>1E-8</v>
      </c>
      <c r="F22" s="79">
        <v>1E-8</v>
      </c>
      <c r="G22" s="129">
        <v>1.2647466132651126</v>
      </c>
      <c r="H22" s="79">
        <v>1E-8</v>
      </c>
      <c r="I22" s="79">
        <v>1E-8</v>
      </c>
      <c r="J22" s="129">
        <v>1.9611792355382753</v>
      </c>
      <c r="K22" s="79">
        <v>1E-8</v>
      </c>
      <c r="L22" s="79">
        <v>1E-8</v>
      </c>
      <c r="M22" s="123"/>
      <c r="N22" s="125"/>
      <c r="O22" s="123"/>
      <c r="P22" s="9" t="s">
        <v>601</v>
      </c>
      <c r="Q22" s="123"/>
      <c r="R22" s="124" t="s">
        <v>533</v>
      </c>
      <c r="S22" s="79">
        <v>3.0603335744000248</v>
      </c>
      <c r="T22" s="79">
        <v>1.9611792355382753</v>
      </c>
      <c r="U22" s="79">
        <v>2.8404911159081108</v>
      </c>
      <c r="V22" s="129">
        <v>1.2003403217168009</v>
      </c>
      <c r="W22" s="79">
        <v>8.5083147436593922</v>
      </c>
      <c r="X22" s="129">
        <v>1E-8</v>
      </c>
      <c r="Y22" s="79">
        <v>1E-8</v>
      </c>
      <c r="Z22" s="123"/>
    </row>
    <row r="23" spans="1:26" x14ac:dyDescent="0.35">
      <c r="A23" s="9" t="s">
        <v>602</v>
      </c>
      <c r="B23" s="123"/>
      <c r="C23" s="124" t="s">
        <v>534</v>
      </c>
      <c r="D23" s="79">
        <v>1E-8</v>
      </c>
      <c r="E23" s="79">
        <v>1E-8</v>
      </c>
      <c r="F23" s="79">
        <v>1E-8</v>
      </c>
      <c r="G23" s="129">
        <v>1E-8</v>
      </c>
      <c r="H23" s="79">
        <v>1E-8</v>
      </c>
      <c r="I23" s="79">
        <v>1E-8</v>
      </c>
      <c r="J23" s="129">
        <v>0.18420409687932748</v>
      </c>
      <c r="K23" s="79">
        <v>1E-8</v>
      </c>
      <c r="L23" s="79">
        <v>1E-8</v>
      </c>
      <c r="M23" s="123"/>
      <c r="N23" s="125"/>
      <c r="O23" s="123"/>
      <c r="P23" s="9" t="s">
        <v>602</v>
      </c>
      <c r="Q23" s="123"/>
      <c r="R23" s="124" t="s">
        <v>534</v>
      </c>
      <c r="S23" s="79">
        <v>0.28685289036385497</v>
      </c>
      <c r="T23" s="79">
        <v>0.18420409687932748</v>
      </c>
      <c r="U23" s="79">
        <v>0.26292918844330121</v>
      </c>
      <c r="V23" s="129">
        <v>1E-8</v>
      </c>
      <c r="W23" s="79">
        <v>1E-8</v>
      </c>
      <c r="X23" s="129">
        <v>1E-8</v>
      </c>
      <c r="Y23" s="79">
        <v>1E-8</v>
      </c>
      <c r="Z23" s="123"/>
    </row>
    <row r="24" spans="1:26" x14ac:dyDescent="0.35">
      <c r="A24" s="9" t="s">
        <v>603</v>
      </c>
      <c r="B24" s="123"/>
      <c r="C24" s="124" t="s">
        <v>304</v>
      </c>
      <c r="D24" s="79">
        <v>7.3826221431974912E-2</v>
      </c>
      <c r="E24" s="79">
        <v>7.7843511839880239E-2</v>
      </c>
      <c r="F24" s="79">
        <v>1.6827493652361979E-3</v>
      </c>
      <c r="G24" s="129">
        <v>0.31575707268662623</v>
      </c>
      <c r="H24" s="79">
        <v>1E-8</v>
      </c>
      <c r="I24" s="79">
        <v>1E-8</v>
      </c>
      <c r="J24" s="129">
        <v>1.293644054411391</v>
      </c>
      <c r="K24" s="79">
        <v>1E-8</v>
      </c>
      <c r="L24" s="79">
        <v>1E-8</v>
      </c>
      <c r="M24" s="123"/>
      <c r="N24" s="125"/>
      <c r="O24" s="123"/>
      <c r="P24" s="9" t="s">
        <v>603</v>
      </c>
      <c r="Q24" s="123"/>
      <c r="R24" s="124" t="s">
        <v>304</v>
      </c>
      <c r="S24" s="79">
        <v>2.0184465581631028</v>
      </c>
      <c r="T24" s="79">
        <v>1.293644054411391</v>
      </c>
      <c r="U24" s="79">
        <v>2.0781778775103339</v>
      </c>
      <c r="V24" s="129">
        <v>0.29828104239587738</v>
      </c>
      <c r="W24" s="79">
        <v>2.1928802803266669</v>
      </c>
      <c r="X24" s="129">
        <v>8.7073445972632127E-2</v>
      </c>
      <c r="Y24" s="79">
        <v>1.5606443856995789</v>
      </c>
      <c r="Z24" s="123"/>
    </row>
    <row r="25" spans="1:26" x14ac:dyDescent="0.35">
      <c r="A25" s="9" t="s">
        <v>604</v>
      </c>
      <c r="B25" s="123"/>
      <c r="C25" s="124" t="s">
        <v>535</v>
      </c>
      <c r="D25" s="79">
        <v>1E-8</v>
      </c>
      <c r="E25" s="79">
        <v>1E-8</v>
      </c>
      <c r="F25" s="79">
        <v>1E-8</v>
      </c>
      <c r="G25" s="129">
        <v>1E-8</v>
      </c>
      <c r="H25" s="79">
        <v>1E-8</v>
      </c>
      <c r="I25" s="79">
        <v>1E-8</v>
      </c>
      <c r="J25" s="129">
        <v>0.69519121678490425</v>
      </c>
      <c r="K25" s="79">
        <v>1E-8</v>
      </c>
      <c r="L25" s="79">
        <v>1E-8</v>
      </c>
      <c r="M25" s="123"/>
      <c r="N25" s="125"/>
      <c r="O25" s="123"/>
      <c r="P25" s="9" t="s">
        <v>604</v>
      </c>
      <c r="Q25" s="123"/>
      <c r="R25" s="124" t="s">
        <v>535</v>
      </c>
      <c r="S25" s="79">
        <v>1.1150313797694071</v>
      </c>
      <c r="T25" s="79">
        <v>0.69519121678490425</v>
      </c>
      <c r="U25" s="79">
        <v>0.93654360983989693</v>
      </c>
      <c r="V25" s="129">
        <v>1E-8</v>
      </c>
      <c r="W25" s="79">
        <v>1E-8</v>
      </c>
      <c r="X25" s="129">
        <v>1E-8</v>
      </c>
      <c r="Y25" s="79">
        <v>1E-8</v>
      </c>
      <c r="Z25" s="123"/>
    </row>
    <row r="26" spans="1:26" x14ac:dyDescent="0.35">
      <c r="A26" s="9" t="s">
        <v>605</v>
      </c>
      <c r="B26" s="123"/>
      <c r="C26" s="124" t="s">
        <v>536</v>
      </c>
      <c r="D26" s="79">
        <v>1E-8</v>
      </c>
      <c r="E26" s="79">
        <v>1E-8</v>
      </c>
      <c r="F26" s="79">
        <v>1E-8</v>
      </c>
      <c r="G26" s="129">
        <v>1E-8</v>
      </c>
      <c r="H26" s="79">
        <v>1E-8</v>
      </c>
      <c r="I26" s="79">
        <v>1E-8</v>
      </c>
      <c r="J26" s="129">
        <v>1.2960021567642348</v>
      </c>
      <c r="K26" s="79">
        <v>1E-8</v>
      </c>
      <c r="L26" s="79">
        <v>1E-8</v>
      </c>
      <c r="M26" s="123"/>
      <c r="N26" s="125"/>
      <c r="O26" s="123"/>
      <c r="P26" s="9" t="s">
        <v>605</v>
      </c>
      <c r="Q26" s="123"/>
      <c r="R26" s="124" t="s">
        <v>536</v>
      </c>
      <c r="S26" s="79">
        <v>2.0797846948330938</v>
      </c>
      <c r="T26" s="79">
        <v>1.2960021567642348</v>
      </c>
      <c r="U26" s="79">
        <v>1.7529865232334347</v>
      </c>
      <c r="V26" s="129">
        <v>1E-8</v>
      </c>
      <c r="W26" s="79">
        <v>1E-8</v>
      </c>
      <c r="X26" s="129">
        <v>1E-8</v>
      </c>
      <c r="Y26" s="79">
        <v>1E-8</v>
      </c>
      <c r="Z26" s="123"/>
    </row>
    <row r="27" spans="1:26" x14ac:dyDescent="0.35">
      <c r="A27" s="9" t="s">
        <v>606</v>
      </c>
      <c r="B27" s="123"/>
      <c r="C27" s="124" t="s">
        <v>537</v>
      </c>
      <c r="D27" s="79">
        <v>1.4842807828449706E-2</v>
      </c>
      <c r="E27" s="79">
        <v>1E-8</v>
      </c>
      <c r="F27" s="79">
        <v>1E-8</v>
      </c>
      <c r="G27" s="129">
        <v>6.3116397549375786E-2</v>
      </c>
      <c r="H27" s="79">
        <v>1E-8</v>
      </c>
      <c r="I27" s="79">
        <v>1E-8</v>
      </c>
      <c r="J27" s="129">
        <v>0.23777753266617024</v>
      </c>
      <c r="K27" s="79">
        <v>1E-8</v>
      </c>
      <c r="L27" s="79">
        <v>1E-8</v>
      </c>
      <c r="M27" s="123"/>
      <c r="N27" s="125"/>
      <c r="O27" s="123"/>
      <c r="P27" s="9" t="s">
        <v>606</v>
      </c>
      <c r="Q27" s="123"/>
      <c r="R27" s="124" t="s">
        <v>537</v>
      </c>
      <c r="S27" s="79">
        <v>0.38166891128947278</v>
      </c>
      <c r="T27" s="79">
        <v>0.23777753266617024</v>
      </c>
      <c r="U27" s="79">
        <v>0.32211223328623251</v>
      </c>
      <c r="V27" s="129">
        <v>5.9959516987643686E-2</v>
      </c>
      <c r="W27" s="79">
        <v>2.3276412303709781</v>
      </c>
      <c r="X27" s="129">
        <v>1.7420652694657843E-2</v>
      </c>
      <c r="Y27" s="79">
        <v>1.6574496320035774</v>
      </c>
      <c r="Z27" s="123"/>
    </row>
    <row r="28" spans="1:26" x14ac:dyDescent="0.35">
      <c r="A28" s="9" t="s">
        <v>607</v>
      </c>
      <c r="B28" s="123"/>
      <c r="C28" s="124" t="s">
        <v>307</v>
      </c>
      <c r="D28" s="79">
        <v>0.22234069225710207</v>
      </c>
      <c r="E28" s="79">
        <v>4.961783154120325</v>
      </c>
      <c r="F28" s="79">
        <v>0.30947395764353774</v>
      </c>
      <c r="G28" s="129">
        <v>0.14065927092198072</v>
      </c>
      <c r="H28" s="79">
        <v>1E-8</v>
      </c>
      <c r="I28" s="79">
        <v>1E-8</v>
      </c>
      <c r="J28" s="129">
        <v>0.22227601430501509</v>
      </c>
      <c r="K28" s="79">
        <v>1E-8</v>
      </c>
      <c r="L28" s="79">
        <v>1E-8</v>
      </c>
      <c r="M28" s="123"/>
      <c r="N28" s="125"/>
      <c r="O28" s="123"/>
      <c r="P28" s="9" t="s">
        <v>607</v>
      </c>
      <c r="Q28" s="123"/>
      <c r="R28" s="124" t="s">
        <v>307</v>
      </c>
      <c r="S28" s="79">
        <v>0.35678437872313296</v>
      </c>
      <c r="T28" s="79">
        <v>0.22227601430501509</v>
      </c>
      <c r="U28" s="79">
        <v>0.36459276151826742</v>
      </c>
      <c r="V28" s="129">
        <v>0.13259642061039598</v>
      </c>
      <c r="W28" s="79">
        <v>5.9972593580767048</v>
      </c>
      <c r="X28" s="129">
        <v>0.25123205217068606</v>
      </c>
      <c r="Y28" s="79">
        <v>23.388809860894085</v>
      </c>
      <c r="Z28" s="123"/>
    </row>
    <row r="29" spans="1:26" x14ac:dyDescent="0.35">
      <c r="A29" s="9" t="s">
        <v>608</v>
      </c>
      <c r="B29" s="123"/>
      <c r="C29" s="124" t="s">
        <v>298</v>
      </c>
      <c r="D29" s="79">
        <v>9.6196536101974817E-2</v>
      </c>
      <c r="E29" s="79">
        <v>0.83515511875952231</v>
      </c>
      <c r="F29" s="79">
        <v>2.3207742627414651E-2</v>
      </c>
      <c r="G29" s="129">
        <v>4.8198457671465994E-2</v>
      </c>
      <c r="H29" s="79">
        <v>1E-8</v>
      </c>
      <c r="I29" s="79">
        <v>1E-8</v>
      </c>
      <c r="J29" s="129">
        <v>9.7774065715798206E-2</v>
      </c>
      <c r="K29" s="79">
        <v>1E-8</v>
      </c>
      <c r="L29" s="79">
        <v>1E-8</v>
      </c>
      <c r="M29" s="123"/>
      <c r="N29" s="125"/>
      <c r="O29" s="123"/>
      <c r="P29" s="9" t="s">
        <v>608</v>
      </c>
      <c r="Q29" s="123"/>
      <c r="R29" s="124" t="s">
        <v>298</v>
      </c>
      <c r="S29" s="79">
        <v>0.12108434575371123</v>
      </c>
      <c r="T29" s="79">
        <v>9.7774065715798206E-2</v>
      </c>
      <c r="U29" s="79">
        <v>0.10139249158816226</v>
      </c>
      <c r="V29" s="129">
        <v>4.5826967237194954E-2</v>
      </c>
      <c r="W29" s="79">
        <v>4.0119355482306531</v>
      </c>
      <c r="X29" s="129">
        <v>0.11193205302387052</v>
      </c>
      <c r="Y29" s="79">
        <v>20.03471994577167</v>
      </c>
      <c r="Z29" s="123"/>
    </row>
    <row r="30" spans="1:26" x14ac:dyDescent="0.35">
      <c r="A30" s="9" t="s">
        <v>609</v>
      </c>
      <c r="B30" s="123"/>
      <c r="C30" s="124" t="s">
        <v>538</v>
      </c>
      <c r="D30" s="79">
        <v>1E-8</v>
      </c>
      <c r="E30" s="79">
        <v>1E-8</v>
      </c>
      <c r="F30" s="79">
        <v>1E-8</v>
      </c>
      <c r="G30" s="129">
        <v>1E-8</v>
      </c>
      <c r="H30" s="79">
        <v>1E-8</v>
      </c>
      <c r="I30" s="79">
        <v>1E-8</v>
      </c>
      <c r="J30" s="129">
        <v>3.2552091958445613E-2</v>
      </c>
      <c r="K30" s="79">
        <v>1E-8</v>
      </c>
      <c r="L30" s="79">
        <v>1E-8</v>
      </c>
      <c r="M30" s="123"/>
      <c r="N30" s="125"/>
      <c r="O30" s="123"/>
      <c r="P30" s="9" t="s">
        <v>609</v>
      </c>
      <c r="Q30" s="123"/>
      <c r="R30" s="124" t="s">
        <v>538</v>
      </c>
      <c r="S30" s="79">
        <v>4.0454355594544682E-2</v>
      </c>
      <c r="T30" s="79">
        <v>3.2552091958445613E-2</v>
      </c>
      <c r="U30" s="79">
        <v>3.393569569850699E-2</v>
      </c>
      <c r="V30" s="129">
        <v>1E-8</v>
      </c>
      <c r="W30" s="79">
        <v>1E-8</v>
      </c>
      <c r="X30" s="129">
        <v>1E-8</v>
      </c>
      <c r="Y30" s="79">
        <v>1E-8</v>
      </c>
      <c r="Z30" s="123"/>
    </row>
    <row r="31" spans="1:26" x14ac:dyDescent="0.35">
      <c r="A31" s="9" t="s">
        <v>610</v>
      </c>
      <c r="B31" s="123"/>
      <c r="C31" s="124" t="s">
        <v>299</v>
      </c>
      <c r="D31" s="79">
        <v>0.19135417833551743</v>
      </c>
      <c r="E31" s="79">
        <v>8.0573222110948042E-2</v>
      </c>
      <c r="F31" s="79">
        <v>4.7521001656166276E-3</v>
      </c>
      <c r="G31" s="129">
        <v>1E-8</v>
      </c>
      <c r="H31" s="79">
        <v>1E-8</v>
      </c>
      <c r="I31" s="79">
        <v>1E-8</v>
      </c>
      <c r="J31" s="129">
        <v>1E-8</v>
      </c>
      <c r="K31" s="79">
        <v>1E-8</v>
      </c>
      <c r="L31" s="79">
        <v>1E-8</v>
      </c>
      <c r="M31" s="123"/>
      <c r="N31" s="125"/>
      <c r="O31" s="123"/>
      <c r="P31" s="9" t="s">
        <v>610</v>
      </c>
      <c r="Q31" s="123"/>
      <c r="R31" s="124" t="s">
        <v>299</v>
      </c>
      <c r="S31" s="79">
        <v>1E-8</v>
      </c>
      <c r="T31" s="79">
        <v>1E-8</v>
      </c>
      <c r="U31" s="79">
        <v>1E-8</v>
      </c>
      <c r="V31" s="129">
        <v>1E-8</v>
      </c>
      <c r="W31" s="79">
        <v>1E-8</v>
      </c>
      <c r="X31" s="129">
        <v>0.23756560987331063</v>
      </c>
      <c r="Y31" s="79">
        <v>100.00000000000003</v>
      </c>
      <c r="Z31" s="123"/>
    </row>
    <row r="32" spans="1:26" x14ac:dyDescent="0.35">
      <c r="A32" s="9" t="s">
        <v>611</v>
      </c>
      <c r="B32" s="123"/>
      <c r="C32" s="124" t="s">
        <v>309</v>
      </c>
      <c r="D32" s="79">
        <v>1E-8</v>
      </c>
      <c r="E32" s="79">
        <v>1E-8</v>
      </c>
      <c r="F32" s="79">
        <v>1E-8</v>
      </c>
      <c r="G32" s="129">
        <v>5.1989007424736711</v>
      </c>
      <c r="H32" s="79">
        <v>1E-8</v>
      </c>
      <c r="I32" s="79">
        <v>1E-8</v>
      </c>
      <c r="J32" s="129">
        <v>0.69677636627422668</v>
      </c>
      <c r="K32" s="79">
        <v>1E-8</v>
      </c>
      <c r="L32" s="79">
        <v>1E-8</v>
      </c>
      <c r="M32" s="123"/>
      <c r="N32" s="125"/>
      <c r="O32" s="123"/>
      <c r="P32" s="9" t="s">
        <v>611</v>
      </c>
      <c r="Q32" s="123"/>
      <c r="R32" s="124" t="s">
        <v>309</v>
      </c>
      <c r="S32" s="79">
        <v>1.0539185576185111</v>
      </c>
      <c r="T32" s="79">
        <v>0.69677636627422668</v>
      </c>
      <c r="U32" s="79">
        <v>1.314100557848519</v>
      </c>
      <c r="V32" s="129">
        <v>4.6221607247275998</v>
      </c>
      <c r="W32" s="79">
        <v>60.035848612663244</v>
      </c>
      <c r="X32" s="129">
        <v>1E-8</v>
      </c>
      <c r="Y32" s="79">
        <v>1E-8</v>
      </c>
      <c r="Z32" s="123"/>
    </row>
    <row r="33" spans="1:26" x14ac:dyDescent="0.35">
      <c r="A33" s="9" t="s">
        <v>612</v>
      </c>
      <c r="B33" s="123"/>
      <c r="C33" s="124" t="s">
        <v>308</v>
      </c>
      <c r="D33" s="79">
        <v>1E-8</v>
      </c>
      <c r="E33" s="79">
        <v>1E-8</v>
      </c>
      <c r="F33" s="79">
        <v>1E-8</v>
      </c>
      <c r="G33" s="129">
        <v>1E-8</v>
      </c>
      <c r="H33" s="79">
        <v>1E-8</v>
      </c>
      <c r="I33" s="79">
        <v>1E-8</v>
      </c>
      <c r="J33" s="129">
        <v>0.21404304680994607</v>
      </c>
      <c r="K33" s="79">
        <v>1E-8</v>
      </c>
      <c r="L33" s="79">
        <v>1E-8</v>
      </c>
      <c r="M33" s="123"/>
      <c r="N33" s="125"/>
      <c r="O33" s="123"/>
      <c r="P33" s="9" t="s">
        <v>612</v>
      </c>
      <c r="Q33" s="123"/>
      <c r="R33" s="124" t="s">
        <v>308</v>
      </c>
      <c r="S33" s="79">
        <v>0.32127737473851731</v>
      </c>
      <c r="T33" s="79">
        <v>0.21404304680994607</v>
      </c>
      <c r="U33" s="79">
        <v>0.38705585857485125</v>
      </c>
      <c r="V33" s="129">
        <v>1E-8</v>
      </c>
      <c r="W33" s="79">
        <v>1E-8</v>
      </c>
      <c r="X33" s="129">
        <v>1E-8</v>
      </c>
      <c r="Y33" s="79">
        <v>1E-8</v>
      </c>
      <c r="Z33" s="123"/>
    </row>
    <row r="34" spans="1:26" x14ac:dyDescent="0.35">
      <c r="A34" s="9" t="s">
        <v>613</v>
      </c>
      <c r="B34" s="123"/>
      <c r="C34" s="124" t="s">
        <v>306</v>
      </c>
      <c r="D34" s="79">
        <v>1E-8</v>
      </c>
      <c r="E34" s="79">
        <v>1E-8</v>
      </c>
      <c r="F34" s="79">
        <v>1E-8</v>
      </c>
      <c r="G34" s="129">
        <v>1E-8</v>
      </c>
      <c r="H34" s="79">
        <v>1E-8</v>
      </c>
      <c r="I34" s="79">
        <v>1E-8</v>
      </c>
      <c r="J34" s="129">
        <v>3.621115934713718E-2</v>
      </c>
      <c r="K34" s="79">
        <v>1E-8</v>
      </c>
      <c r="L34" s="79">
        <v>1E-8</v>
      </c>
      <c r="M34" s="123"/>
      <c r="N34" s="125"/>
      <c r="O34" s="123"/>
      <c r="P34" s="9" t="s">
        <v>613</v>
      </c>
      <c r="Q34" s="123"/>
      <c r="R34" s="124" t="s">
        <v>306</v>
      </c>
      <c r="S34" s="79">
        <v>5.4992357681657077E-2</v>
      </c>
      <c r="T34" s="79">
        <v>3.621115934713718E-2</v>
      </c>
      <c r="U34" s="79">
        <v>5.3425513930011839E-2</v>
      </c>
      <c r="V34" s="129">
        <v>1E-8</v>
      </c>
      <c r="W34" s="79">
        <v>1E-8</v>
      </c>
      <c r="X34" s="129">
        <v>1E-8</v>
      </c>
      <c r="Y34" s="79">
        <v>1E-8</v>
      </c>
      <c r="Z34" s="123"/>
    </row>
    <row r="35" spans="1:26" x14ac:dyDescent="0.35">
      <c r="A35" s="9" t="s">
        <v>614</v>
      </c>
      <c r="B35" s="123"/>
      <c r="C35" s="124" t="s">
        <v>305</v>
      </c>
      <c r="D35" s="79">
        <v>1E-8</v>
      </c>
      <c r="E35" s="79">
        <v>1E-8</v>
      </c>
      <c r="F35" s="79">
        <v>1E-8</v>
      </c>
      <c r="G35" s="129">
        <v>0.12982434325814587</v>
      </c>
      <c r="H35" s="79">
        <v>1E-8</v>
      </c>
      <c r="I35" s="79">
        <v>1E-8</v>
      </c>
      <c r="J35" s="129">
        <v>6.8102874189013424E-2</v>
      </c>
      <c r="K35" s="79">
        <v>1E-8</v>
      </c>
      <c r="L35" s="79">
        <v>1E-8</v>
      </c>
      <c r="M35" s="123"/>
      <c r="N35" s="125"/>
      <c r="O35" s="123"/>
      <c r="P35" s="9" t="s">
        <v>614</v>
      </c>
      <c r="Q35" s="123"/>
      <c r="R35" s="124" t="s">
        <v>305</v>
      </c>
      <c r="S35" s="79">
        <v>0.1017804793898226</v>
      </c>
      <c r="T35" s="79">
        <v>6.8102874189013424E-2</v>
      </c>
      <c r="U35" s="79">
        <v>9.0588539351290603E-2</v>
      </c>
      <c r="V35" s="129">
        <v>0.11615617561424414</v>
      </c>
      <c r="W35" s="79">
        <v>16.142518503327867</v>
      </c>
      <c r="X35" s="129">
        <v>1E-8</v>
      </c>
      <c r="Y35" s="79">
        <v>1E-8</v>
      </c>
      <c r="Z35" s="123"/>
    </row>
    <row r="36" spans="1:26" x14ac:dyDescent="0.35">
      <c r="A36" s="9" t="s">
        <v>615</v>
      </c>
      <c r="B36" s="123"/>
      <c r="C36" s="124" t="s">
        <v>539</v>
      </c>
      <c r="D36" s="79">
        <v>1E-8</v>
      </c>
      <c r="E36" s="79">
        <v>1E-8</v>
      </c>
      <c r="F36" s="79">
        <v>1E-8</v>
      </c>
      <c r="G36" s="129">
        <v>0.59530212541265326</v>
      </c>
      <c r="H36" s="79">
        <v>1E-8</v>
      </c>
      <c r="I36" s="79">
        <v>1E-8</v>
      </c>
      <c r="J36" s="129">
        <v>4.8337595251920086E-2</v>
      </c>
      <c r="K36" s="79">
        <v>1E-8</v>
      </c>
      <c r="L36" s="79">
        <v>1E-8</v>
      </c>
      <c r="M36" s="123"/>
      <c r="N36" s="125"/>
      <c r="O36" s="123"/>
      <c r="P36" s="9" t="s">
        <v>615</v>
      </c>
      <c r="Q36" s="123"/>
      <c r="R36" s="124" t="s">
        <v>539</v>
      </c>
      <c r="S36" s="79">
        <v>7.3420002673160817E-2</v>
      </c>
      <c r="T36" s="79">
        <v>4.8337595251920086E-2</v>
      </c>
      <c r="U36" s="79">
        <v>6.9664311915372187E-2</v>
      </c>
      <c r="V36" s="129">
        <v>0.53440087105610234</v>
      </c>
      <c r="W36" s="79">
        <v>99.0934460629814</v>
      </c>
      <c r="X36" s="129">
        <v>1E-8</v>
      </c>
      <c r="Y36" s="79">
        <v>1E-8</v>
      </c>
      <c r="Z36" s="123"/>
    </row>
    <row r="37" spans="1:26" x14ac:dyDescent="0.35">
      <c r="A37" s="9" t="s">
        <v>616</v>
      </c>
      <c r="B37" s="123"/>
      <c r="C37" s="124" t="s">
        <v>310</v>
      </c>
      <c r="D37" s="81">
        <v>6.2646611652524553E-2</v>
      </c>
      <c r="E37" s="81">
        <v>0.11972257719687945</v>
      </c>
      <c r="F37" s="81">
        <v>2.3064198088574234E-3</v>
      </c>
      <c r="G37" s="130">
        <v>0.2117762846097371</v>
      </c>
      <c r="H37" s="81">
        <v>1E-8</v>
      </c>
      <c r="I37" s="81">
        <v>1E-8</v>
      </c>
      <c r="J37" s="130">
        <v>0.26111000401109907</v>
      </c>
      <c r="K37" s="81">
        <v>1E-8</v>
      </c>
      <c r="L37" s="81">
        <v>1E-8</v>
      </c>
      <c r="M37" s="123"/>
      <c r="N37" s="125"/>
      <c r="O37" s="123"/>
      <c r="P37" s="9" t="s">
        <v>616</v>
      </c>
      <c r="Q37" s="123"/>
      <c r="R37" s="124" t="s">
        <v>310</v>
      </c>
      <c r="S37" s="81">
        <v>0.39784584580706056</v>
      </c>
      <c r="T37" s="81">
        <v>0.26111000401109907</v>
      </c>
      <c r="U37" s="81">
        <v>0.39207780764330691</v>
      </c>
      <c r="V37" s="130">
        <v>0.190405341142423</v>
      </c>
      <c r="W37" s="81">
        <v>6.5456515784117499</v>
      </c>
      <c r="X37" s="130">
        <v>7.7598087846211194E-2</v>
      </c>
      <c r="Y37" s="81">
        <v>6.1777360148519147</v>
      </c>
      <c r="Z37" s="123"/>
    </row>
    <row r="38" spans="1:26" x14ac:dyDescent="0.35">
      <c r="A38" s="11" t="s">
        <v>280</v>
      </c>
      <c r="B38" s="123"/>
      <c r="C38" s="124" t="s">
        <v>311</v>
      </c>
      <c r="D38" s="77">
        <v>9.0650951087653739E-2</v>
      </c>
      <c r="E38" s="77">
        <v>0.99983765295730775</v>
      </c>
      <c r="F38" s="77">
        <v>2.6759290015742798E-2</v>
      </c>
      <c r="G38" s="128">
        <v>0.67825933823661688</v>
      </c>
      <c r="H38" s="77">
        <v>1E-8</v>
      </c>
      <c r="I38" s="77">
        <v>1E-8</v>
      </c>
      <c r="J38" s="128">
        <v>1.6891553459333846</v>
      </c>
      <c r="K38" s="77">
        <v>1E-8</v>
      </c>
      <c r="L38" s="77">
        <v>1E-8</v>
      </c>
      <c r="M38" s="123"/>
      <c r="N38" s="125"/>
      <c r="O38" s="123"/>
      <c r="P38" s="11" t="s">
        <v>280</v>
      </c>
      <c r="Q38" s="123"/>
      <c r="R38" s="124" t="s">
        <v>311</v>
      </c>
      <c r="S38" s="77">
        <v>2.5802466894661551</v>
      </c>
      <c r="T38" s="77">
        <v>1.6891553459333846</v>
      </c>
      <c r="U38" s="77">
        <v>2.1317830627663796</v>
      </c>
      <c r="V38" s="128">
        <v>0.61527237061051065</v>
      </c>
      <c r="W38" s="77">
        <v>3.410682872639041</v>
      </c>
      <c r="X38" s="128">
        <v>0.10780373700809745</v>
      </c>
      <c r="Y38" s="77">
        <v>1.4706657149346403</v>
      </c>
      <c r="Z38" s="123"/>
    </row>
    <row r="39" spans="1:26" x14ac:dyDescent="0.35">
      <c r="A39" s="9" t="s">
        <v>617</v>
      </c>
      <c r="B39" s="123"/>
      <c r="C39" s="124" t="s">
        <v>312</v>
      </c>
      <c r="D39" s="79">
        <v>1E-8</v>
      </c>
      <c r="E39" s="79">
        <v>1E-8</v>
      </c>
      <c r="F39" s="79">
        <v>1E-8</v>
      </c>
      <c r="G39" s="129">
        <v>1E-8</v>
      </c>
      <c r="H39" s="79">
        <v>1E-8</v>
      </c>
      <c r="I39" s="79">
        <v>1E-8</v>
      </c>
      <c r="J39" s="129">
        <v>0.75978617497736456</v>
      </c>
      <c r="K39" s="79">
        <v>1E-8</v>
      </c>
      <c r="L39" s="79">
        <v>1E-8</v>
      </c>
      <c r="M39" s="123"/>
      <c r="N39" s="125"/>
      <c r="O39" s="123"/>
      <c r="P39" s="9" t="s">
        <v>617</v>
      </c>
      <c r="Q39" s="123"/>
      <c r="R39" s="124" t="s">
        <v>312</v>
      </c>
      <c r="S39" s="79">
        <v>1.1489274175749702</v>
      </c>
      <c r="T39" s="79">
        <v>0.75978617497736456</v>
      </c>
      <c r="U39" s="79">
        <v>0.93664502402288052</v>
      </c>
      <c r="V39" s="129">
        <v>1E-8</v>
      </c>
      <c r="W39" s="79">
        <v>1E-8</v>
      </c>
      <c r="X39" s="129">
        <v>1E-8</v>
      </c>
      <c r="Y39" s="79">
        <v>1E-8</v>
      </c>
      <c r="Z39" s="123"/>
    </row>
    <row r="40" spans="1:26" x14ac:dyDescent="0.35">
      <c r="A40" s="9" t="s">
        <v>618</v>
      </c>
      <c r="B40" s="123"/>
      <c r="C40" s="124" t="s">
        <v>316</v>
      </c>
      <c r="D40" s="79">
        <v>1E-8</v>
      </c>
      <c r="E40" s="79">
        <v>1E-8</v>
      </c>
      <c r="F40" s="79">
        <v>1E-8</v>
      </c>
      <c r="G40" s="129">
        <v>1E-8</v>
      </c>
      <c r="H40" s="79">
        <v>1E-8</v>
      </c>
      <c r="I40" s="79">
        <v>1E-8</v>
      </c>
      <c r="J40" s="129">
        <v>0.32533772713034881</v>
      </c>
      <c r="K40" s="79">
        <v>1E-8</v>
      </c>
      <c r="L40" s="79">
        <v>1E-8</v>
      </c>
      <c r="M40" s="123"/>
      <c r="N40" s="125"/>
      <c r="O40" s="123"/>
      <c r="P40" s="9" t="s">
        <v>618</v>
      </c>
      <c r="Q40" s="123"/>
      <c r="R40" s="124" t="s">
        <v>316</v>
      </c>
      <c r="S40" s="79">
        <v>0.47819724096668303</v>
      </c>
      <c r="T40" s="79">
        <v>0.32533772713034881</v>
      </c>
      <c r="U40" s="79">
        <v>0.41046294843095976</v>
      </c>
      <c r="V40" s="129">
        <v>1E-8</v>
      </c>
      <c r="W40" s="79">
        <v>1E-8</v>
      </c>
      <c r="X40" s="129">
        <v>1E-8</v>
      </c>
      <c r="Y40" s="79">
        <v>1E-8</v>
      </c>
      <c r="Z40" s="123"/>
    </row>
    <row r="41" spans="1:26" x14ac:dyDescent="0.35">
      <c r="A41" s="9" t="s">
        <v>619</v>
      </c>
      <c r="B41" s="123"/>
      <c r="C41" s="124" t="s">
        <v>314</v>
      </c>
      <c r="D41" s="79">
        <v>2.9063020834397109E-2</v>
      </c>
      <c r="E41" s="79">
        <v>1E-8</v>
      </c>
      <c r="F41" s="79">
        <v>1E-8</v>
      </c>
      <c r="G41" s="129">
        <v>0.20456086049422667</v>
      </c>
      <c r="H41" s="79">
        <v>1E-8</v>
      </c>
      <c r="I41" s="79">
        <v>1E-8</v>
      </c>
      <c r="J41" s="129">
        <v>0.11675950464731241</v>
      </c>
      <c r="K41" s="79">
        <v>1E-8</v>
      </c>
      <c r="L41" s="79">
        <v>1E-8</v>
      </c>
      <c r="M41" s="123"/>
      <c r="N41" s="125"/>
      <c r="O41" s="123"/>
      <c r="P41" s="9" t="s">
        <v>619</v>
      </c>
      <c r="Q41" s="123"/>
      <c r="R41" s="124" t="s">
        <v>314</v>
      </c>
      <c r="S41" s="79">
        <v>0.17596925572055608</v>
      </c>
      <c r="T41" s="79">
        <v>0.11675950464731241</v>
      </c>
      <c r="U41" s="79">
        <v>0.14321005995373845</v>
      </c>
      <c r="V41" s="129">
        <v>0.18386708636574595</v>
      </c>
      <c r="W41" s="79">
        <v>14.159113290776206</v>
      </c>
      <c r="X41" s="129">
        <v>3.6051840670471631E-2</v>
      </c>
      <c r="Y41" s="79">
        <v>6.9330751031331292</v>
      </c>
      <c r="Z41" s="123"/>
    </row>
    <row r="42" spans="1:26" x14ac:dyDescent="0.35">
      <c r="A42" s="9" t="s">
        <v>620</v>
      </c>
      <c r="B42" s="123"/>
      <c r="C42" s="124" t="s">
        <v>317</v>
      </c>
      <c r="D42" s="79">
        <v>1E-8</v>
      </c>
      <c r="E42" s="79">
        <v>1E-8</v>
      </c>
      <c r="F42" s="79">
        <v>1E-8</v>
      </c>
      <c r="G42" s="129">
        <v>1E-8</v>
      </c>
      <c r="H42" s="79">
        <v>1E-8</v>
      </c>
      <c r="I42" s="79">
        <v>1E-8</v>
      </c>
      <c r="J42" s="129">
        <v>2.0918071641225441E-2</v>
      </c>
      <c r="K42" s="79">
        <v>1E-8</v>
      </c>
      <c r="L42" s="79">
        <v>1E-8</v>
      </c>
      <c r="M42" s="123"/>
      <c r="N42" s="125"/>
      <c r="O42" s="123"/>
      <c r="P42" s="9" t="s">
        <v>620</v>
      </c>
      <c r="Q42" s="123"/>
      <c r="R42" s="124" t="s">
        <v>317</v>
      </c>
      <c r="S42" s="79">
        <v>3.1532713814970748E-2</v>
      </c>
      <c r="T42" s="79">
        <v>2.0918071641225441E-2</v>
      </c>
      <c r="U42" s="79">
        <v>2.5925701221140948E-2</v>
      </c>
      <c r="V42" s="129">
        <v>1E-8</v>
      </c>
      <c r="W42" s="79">
        <v>1E-8</v>
      </c>
      <c r="X42" s="129">
        <v>1E-8</v>
      </c>
      <c r="Y42" s="79">
        <v>1E-8</v>
      </c>
      <c r="Z42" s="123"/>
    </row>
    <row r="43" spans="1:26" x14ac:dyDescent="0.35">
      <c r="A43" s="9" t="s">
        <v>621</v>
      </c>
      <c r="B43" s="123"/>
      <c r="C43" s="124" t="s">
        <v>313</v>
      </c>
      <c r="D43" s="79">
        <v>1E-8</v>
      </c>
      <c r="E43" s="79">
        <v>1E-8</v>
      </c>
      <c r="F43" s="79">
        <v>1E-8</v>
      </c>
      <c r="G43" s="129">
        <v>1E-8</v>
      </c>
      <c r="H43" s="79">
        <v>1E-8</v>
      </c>
      <c r="I43" s="79">
        <v>1E-8</v>
      </c>
      <c r="J43" s="129">
        <v>0.29786017570717443</v>
      </c>
      <c r="K43" s="79">
        <v>1E-8</v>
      </c>
      <c r="L43" s="79">
        <v>1E-8</v>
      </c>
      <c r="M43" s="123"/>
      <c r="N43" s="125"/>
      <c r="O43" s="123"/>
      <c r="P43" s="9" t="s">
        <v>621</v>
      </c>
      <c r="Q43" s="123"/>
      <c r="R43" s="124" t="s">
        <v>313</v>
      </c>
      <c r="S43" s="79">
        <v>0.47614135976759547</v>
      </c>
      <c r="T43" s="79">
        <v>0.29786017570717443</v>
      </c>
      <c r="U43" s="79">
        <v>0.39219929156584526</v>
      </c>
      <c r="V43" s="129">
        <v>1E-8</v>
      </c>
      <c r="W43" s="79">
        <v>1E-8</v>
      </c>
      <c r="X43" s="129">
        <v>1E-8</v>
      </c>
      <c r="Y43" s="79">
        <v>1E-8</v>
      </c>
      <c r="Z43" s="123"/>
    </row>
    <row r="44" spans="1:26" x14ac:dyDescent="0.35">
      <c r="A44" s="9" t="s">
        <v>622</v>
      </c>
      <c r="B44" s="123"/>
      <c r="C44" s="124" t="s">
        <v>315</v>
      </c>
      <c r="D44" s="79">
        <v>1.7779833247302135E-2</v>
      </c>
      <c r="E44" s="79">
        <v>3.9773027854921073</v>
      </c>
      <c r="F44" s="79">
        <v>1.9508061606694958E-2</v>
      </c>
      <c r="G44" s="129">
        <v>7.9486785351438757E-2</v>
      </c>
      <c r="H44" s="79">
        <v>1E-8</v>
      </c>
      <c r="I44" s="79">
        <v>1E-8</v>
      </c>
      <c r="J44" s="129">
        <v>0.13181310923408712</v>
      </c>
      <c r="K44" s="79">
        <v>1E-8</v>
      </c>
      <c r="L44" s="79">
        <v>1E-8</v>
      </c>
      <c r="M44" s="123"/>
      <c r="N44" s="125"/>
      <c r="O44" s="123"/>
      <c r="P44" s="9" t="s">
        <v>622</v>
      </c>
      <c r="Q44" s="123"/>
      <c r="R44" s="124" t="s">
        <v>315</v>
      </c>
      <c r="S44" s="79">
        <v>0.21082224434990585</v>
      </c>
      <c r="T44" s="79">
        <v>0.13181310923408712</v>
      </c>
      <c r="U44" s="79">
        <v>0.17312115619726093</v>
      </c>
      <c r="V44" s="129">
        <v>7.6950912614272227E-2</v>
      </c>
      <c r="W44" s="79">
        <v>5.0368424804319734</v>
      </c>
      <c r="X44" s="129">
        <v>1.9756689815123556E-2</v>
      </c>
      <c r="Y44" s="79">
        <v>3.3820864194230591</v>
      </c>
      <c r="Z44" s="123"/>
    </row>
    <row r="45" spans="1:26" x14ac:dyDescent="0.35">
      <c r="A45" s="9" t="s">
        <v>623</v>
      </c>
      <c r="B45" s="123"/>
      <c r="C45" s="124" t="s">
        <v>540</v>
      </c>
      <c r="D45" s="79">
        <v>3.3833781037020838E-2</v>
      </c>
      <c r="E45" s="79">
        <v>5.5046226403406048E-2</v>
      </c>
      <c r="F45" s="79">
        <v>5.4517739149828191E-4</v>
      </c>
      <c r="G45" s="129">
        <v>1E-8</v>
      </c>
      <c r="H45" s="79">
        <v>1E-8</v>
      </c>
      <c r="I45" s="79">
        <v>1E-8</v>
      </c>
      <c r="J45" s="129">
        <v>4.5420476661680162E-3</v>
      </c>
      <c r="K45" s="79">
        <v>1E-8</v>
      </c>
      <c r="L45" s="79">
        <v>1E-8</v>
      </c>
      <c r="M45" s="123"/>
      <c r="N45" s="125"/>
      <c r="O45" s="123"/>
      <c r="P45" s="9" t="s">
        <v>623</v>
      </c>
      <c r="Q45" s="123"/>
      <c r="R45" s="124" t="s">
        <v>540</v>
      </c>
      <c r="S45" s="79">
        <v>7.2560172524434828E-3</v>
      </c>
      <c r="T45" s="79">
        <v>4.5420476661680162E-3</v>
      </c>
      <c r="U45" s="79">
        <v>6.2262435683222549E-3</v>
      </c>
      <c r="V45" s="129">
        <v>1E-8</v>
      </c>
      <c r="W45" s="79">
        <v>1E-8</v>
      </c>
      <c r="X45" s="129">
        <v>3.9893211788910213E-2</v>
      </c>
      <c r="Y45" s="79">
        <v>64.609800163085993</v>
      </c>
      <c r="Z45" s="123"/>
    </row>
    <row r="46" spans="1:26" x14ac:dyDescent="0.35">
      <c r="A46" s="9" t="s">
        <v>624</v>
      </c>
      <c r="B46" s="123"/>
      <c r="C46" s="124" t="s">
        <v>541</v>
      </c>
      <c r="D46" s="81">
        <v>9.9743159689336548E-3</v>
      </c>
      <c r="E46" s="81">
        <v>2.2320227188117143</v>
      </c>
      <c r="F46" s="81">
        <v>6.7060510175495584E-3</v>
      </c>
      <c r="G46" s="130">
        <v>0.39421169239095138</v>
      </c>
      <c r="H46" s="81">
        <v>1E-8</v>
      </c>
      <c r="I46" s="81">
        <v>1E-8</v>
      </c>
      <c r="J46" s="130">
        <v>3.2138534929703776E-2</v>
      </c>
      <c r="K46" s="81">
        <v>1E-8</v>
      </c>
      <c r="L46" s="81">
        <v>1E-8</v>
      </c>
      <c r="M46" s="123"/>
      <c r="N46" s="125"/>
      <c r="O46" s="123"/>
      <c r="P46" s="9" t="s">
        <v>624</v>
      </c>
      <c r="Q46" s="123"/>
      <c r="R46" s="124" t="s">
        <v>541</v>
      </c>
      <c r="S46" s="81">
        <v>5.1400440019031227E-2</v>
      </c>
      <c r="T46" s="81">
        <v>3.2138534929703776E-2</v>
      </c>
      <c r="U46" s="81">
        <v>4.3992637806232943E-2</v>
      </c>
      <c r="V46" s="130">
        <v>0.35445437163049248</v>
      </c>
      <c r="W46" s="81">
        <v>98.695185060846143</v>
      </c>
      <c r="X46" s="130">
        <v>1.2101994733592048E-2</v>
      </c>
      <c r="Y46" s="81">
        <v>85.821042073972379</v>
      </c>
      <c r="Z46" s="123"/>
    </row>
    <row r="47" spans="1:26" x14ac:dyDescent="0.35">
      <c r="A47" s="11" t="s">
        <v>281</v>
      </c>
      <c r="B47" s="123"/>
      <c r="C47" s="124" t="s">
        <v>318</v>
      </c>
      <c r="D47" s="77">
        <v>1E-8</v>
      </c>
      <c r="E47" s="77">
        <v>1E-8</v>
      </c>
      <c r="F47" s="77">
        <v>1E-8</v>
      </c>
      <c r="G47" s="128">
        <v>1E-8</v>
      </c>
      <c r="H47" s="77">
        <v>1E-8</v>
      </c>
      <c r="I47" s="77">
        <v>1E-8</v>
      </c>
      <c r="J47" s="128">
        <v>3.5392104492199961</v>
      </c>
      <c r="K47" s="77">
        <v>1E-8</v>
      </c>
      <c r="L47" s="77">
        <v>1E-8</v>
      </c>
      <c r="M47" s="123"/>
      <c r="N47" s="125"/>
      <c r="O47" s="123"/>
      <c r="P47" s="11" t="s">
        <v>281</v>
      </c>
      <c r="Q47" s="123"/>
      <c r="R47" s="124" t="s">
        <v>318</v>
      </c>
      <c r="S47" s="77">
        <v>5.7798691418834407</v>
      </c>
      <c r="T47" s="77">
        <v>3.5392104492199961</v>
      </c>
      <c r="U47" s="77">
        <v>6.30506914888465</v>
      </c>
      <c r="V47" s="128">
        <v>1E-8</v>
      </c>
      <c r="W47" s="77">
        <v>1E-8</v>
      </c>
      <c r="X47" s="128">
        <v>1E-8</v>
      </c>
      <c r="Y47" s="77">
        <v>1E-8</v>
      </c>
      <c r="Z47" s="123"/>
    </row>
    <row r="48" spans="1:26" x14ac:dyDescent="0.35">
      <c r="A48" s="11" t="s">
        <v>135</v>
      </c>
      <c r="B48" s="123"/>
      <c r="C48" s="124" t="s">
        <v>542</v>
      </c>
      <c r="D48" s="77">
        <v>1E-8</v>
      </c>
      <c r="E48" s="77">
        <v>1E-8</v>
      </c>
      <c r="F48" s="77">
        <v>1E-8</v>
      </c>
      <c r="G48" s="128">
        <v>1E-8</v>
      </c>
      <c r="H48" s="77">
        <v>1E-8</v>
      </c>
      <c r="I48" s="77">
        <v>1E-8</v>
      </c>
      <c r="J48" s="128">
        <v>3.2786723696776021</v>
      </c>
      <c r="K48" s="77">
        <v>1E-8</v>
      </c>
      <c r="L48" s="77">
        <v>1E-8</v>
      </c>
      <c r="M48" s="123"/>
      <c r="N48" s="125"/>
      <c r="O48" s="123"/>
      <c r="P48" s="11" t="s">
        <v>135</v>
      </c>
      <c r="Q48" s="123"/>
      <c r="R48" s="124" t="s">
        <v>542</v>
      </c>
      <c r="S48" s="77">
        <v>5.3701009695504132</v>
      </c>
      <c r="T48" s="77">
        <v>3.2786723696776021</v>
      </c>
      <c r="U48" s="77">
        <v>5.8235129281345079</v>
      </c>
      <c r="V48" s="128">
        <v>1E-8</v>
      </c>
      <c r="W48" s="77">
        <v>1E-8</v>
      </c>
      <c r="X48" s="128">
        <v>1E-8</v>
      </c>
      <c r="Y48" s="77">
        <v>1E-8</v>
      </c>
      <c r="Z48" s="123"/>
    </row>
    <row r="49" spans="1:26" x14ac:dyDescent="0.35">
      <c r="A49" s="9" t="s">
        <v>625</v>
      </c>
      <c r="B49" s="123"/>
      <c r="C49" s="124" t="s">
        <v>543</v>
      </c>
      <c r="D49" s="79">
        <v>1E-8</v>
      </c>
      <c r="E49" s="79">
        <v>1E-8</v>
      </c>
      <c r="F49" s="79">
        <v>1E-8</v>
      </c>
      <c r="G49" s="129">
        <v>1E-8</v>
      </c>
      <c r="H49" s="79">
        <v>1E-8</v>
      </c>
      <c r="I49" s="79">
        <v>1E-8</v>
      </c>
      <c r="J49" s="129">
        <v>2.6282542315960495</v>
      </c>
      <c r="K49" s="79">
        <v>1E-8</v>
      </c>
      <c r="L49" s="79">
        <v>1E-8</v>
      </c>
      <c r="M49" s="123"/>
      <c r="N49" s="125"/>
      <c r="O49" s="123"/>
      <c r="P49" s="9" t="s">
        <v>625</v>
      </c>
      <c r="Q49" s="123"/>
      <c r="R49" s="124" t="s">
        <v>543</v>
      </c>
      <c r="S49" s="79">
        <v>4.3048529372523001</v>
      </c>
      <c r="T49" s="79">
        <v>2.6282542315960495</v>
      </c>
      <c r="U49" s="79">
        <v>4.6748637935375976</v>
      </c>
      <c r="V49" s="129">
        <v>1E-8</v>
      </c>
      <c r="W49" s="79">
        <v>1E-8</v>
      </c>
      <c r="X49" s="129">
        <v>1E-8</v>
      </c>
      <c r="Y49" s="79">
        <v>1E-8</v>
      </c>
      <c r="Z49" s="123"/>
    </row>
    <row r="50" spans="1:26" x14ac:dyDescent="0.35">
      <c r="A50" s="9" t="s">
        <v>626</v>
      </c>
      <c r="B50" s="123"/>
      <c r="C50" s="124" t="s">
        <v>544</v>
      </c>
      <c r="D50" s="79">
        <v>1E-8</v>
      </c>
      <c r="E50" s="79">
        <v>1E-8</v>
      </c>
      <c r="F50" s="79">
        <v>1E-8</v>
      </c>
      <c r="G50" s="129">
        <v>1E-8</v>
      </c>
      <c r="H50" s="79">
        <v>1E-8</v>
      </c>
      <c r="I50" s="79">
        <v>1E-8</v>
      </c>
      <c r="J50" s="129">
        <v>0.49983065628777512</v>
      </c>
      <c r="K50" s="79">
        <v>1E-8</v>
      </c>
      <c r="L50" s="79">
        <v>1E-8</v>
      </c>
      <c r="M50" s="123"/>
      <c r="N50" s="125"/>
      <c r="O50" s="123"/>
      <c r="P50" s="9" t="s">
        <v>626</v>
      </c>
      <c r="Q50" s="123"/>
      <c r="R50" s="124" t="s">
        <v>544</v>
      </c>
      <c r="S50" s="79">
        <v>0.818659015446498</v>
      </c>
      <c r="T50" s="79">
        <v>0.49983065628777512</v>
      </c>
      <c r="U50" s="79">
        <v>0.88755549353015839</v>
      </c>
      <c r="V50" s="129">
        <v>1E-8</v>
      </c>
      <c r="W50" s="79">
        <v>1E-8</v>
      </c>
      <c r="X50" s="129">
        <v>1E-8</v>
      </c>
      <c r="Y50" s="79">
        <v>1E-8</v>
      </c>
      <c r="Z50" s="123"/>
    </row>
    <row r="51" spans="1:26" x14ac:dyDescent="0.35">
      <c r="A51" s="9" t="s">
        <v>627</v>
      </c>
      <c r="B51" s="123"/>
      <c r="C51" s="124" t="s">
        <v>319</v>
      </c>
      <c r="D51" s="79">
        <v>1E-8</v>
      </c>
      <c r="E51" s="79">
        <v>1E-8</v>
      </c>
      <c r="F51" s="79">
        <v>1E-8</v>
      </c>
      <c r="G51" s="129">
        <v>1E-8</v>
      </c>
      <c r="H51" s="79">
        <v>1E-8</v>
      </c>
      <c r="I51" s="79">
        <v>1E-8</v>
      </c>
      <c r="J51" s="129">
        <v>0.15058748179377757</v>
      </c>
      <c r="K51" s="79">
        <v>1E-8</v>
      </c>
      <c r="L51" s="79">
        <v>1E-8</v>
      </c>
      <c r="M51" s="123"/>
      <c r="N51" s="125"/>
      <c r="O51" s="123"/>
      <c r="P51" s="9" t="s">
        <v>627</v>
      </c>
      <c r="Q51" s="123"/>
      <c r="R51" s="124" t="s">
        <v>319</v>
      </c>
      <c r="S51" s="79">
        <v>0.24658901685161499</v>
      </c>
      <c r="T51" s="79">
        <v>0.15058748179377757</v>
      </c>
      <c r="U51" s="79">
        <v>0.26109364106675131</v>
      </c>
      <c r="V51" s="129">
        <v>1E-8</v>
      </c>
      <c r="W51" s="79">
        <v>1E-8</v>
      </c>
      <c r="X51" s="129">
        <v>1E-8</v>
      </c>
      <c r="Y51" s="79">
        <v>1E-8</v>
      </c>
      <c r="Z51" s="123"/>
    </row>
    <row r="52" spans="1:26" x14ac:dyDescent="0.35">
      <c r="A52" s="71" t="s">
        <v>628</v>
      </c>
      <c r="B52" s="123"/>
      <c r="C52" s="124" t="s">
        <v>320</v>
      </c>
      <c r="D52" s="83">
        <v>1E-8</v>
      </c>
      <c r="E52" s="83">
        <v>1E-8</v>
      </c>
      <c r="F52" s="83">
        <v>1E-8</v>
      </c>
      <c r="G52" s="131">
        <v>1E-8</v>
      </c>
      <c r="H52" s="83">
        <v>1E-8</v>
      </c>
      <c r="I52" s="83">
        <v>1E-8</v>
      </c>
      <c r="J52" s="131">
        <v>0.26053807954239344</v>
      </c>
      <c r="K52" s="83">
        <v>1E-8</v>
      </c>
      <c r="L52" s="83">
        <v>1E-8</v>
      </c>
      <c r="M52" s="123"/>
      <c r="N52" s="125"/>
      <c r="O52" s="123"/>
      <c r="P52" s="71" t="s">
        <v>628</v>
      </c>
      <c r="Q52" s="123"/>
      <c r="R52" s="124" t="s">
        <v>320</v>
      </c>
      <c r="S52" s="83">
        <v>0.40976817233302737</v>
      </c>
      <c r="T52" s="83">
        <v>0.26053807954239344</v>
      </c>
      <c r="U52" s="83">
        <v>0.48155622075014282</v>
      </c>
      <c r="V52" s="131">
        <v>1E-8</v>
      </c>
      <c r="W52" s="83">
        <v>1E-8</v>
      </c>
      <c r="X52" s="131">
        <v>1E-8</v>
      </c>
      <c r="Y52" s="83">
        <v>1E-8</v>
      </c>
      <c r="Z52" s="123"/>
    </row>
    <row r="53" spans="1:26" x14ac:dyDescent="0.35">
      <c r="A53" s="10" t="s">
        <v>282</v>
      </c>
      <c r="B53" s="123"/>
      <c r="C53" s="124" t="s">
        <v>321</v>
      </c>
      <c r="D53" s="73">
        <v>94.945849217784456</v>
      </c>
      <c r="E53" s="73">
        <v>3.9623910301192944</v>
      </c>
      <c r="F53" s="73">
        <v>92.580920565401513</v>
      </c>
      <c r="G53" s="126">
        <v>89.221733778767458</v>
      </c>
      <c r="H53" s="73">
        <v>1E-8</v>
      </c>
      <c r="I53" s="73">
        <v>1E-8</v>
      </c>
      <c r="J53" s="126">
        <v>81.576760505675139</v>
      </c>
      <c r="K53" s="73">
        <v>-0.90791103711005861</v>
      </c>
      <c r="L53" s="73">
        <v>100</v>
      </c>
      <c r="M53" s="123"/>
      <c r="N53" s="125"/>
      <c r="O53" s="123"/>
      <c r="P53" s="10" t="s">
        <v>282</v>
      </c>
      <c r="Q53" s="123"/>
      <c r="R53" s="124" t="s">
        <v>321</v>
      </c>
      <c r="S53" s="73">
        <v>71.20359588127981</v>
      </c>
      <c r="T53" s="73">
        <v>81.576760505675139</v>
      </c>
      <c r="U53" s="73">
        <v>73.34299579352313</v>
      </c>
      <c r="V53" s="126">
        <v>90.186852239414421</v>
      </c>
      <c r="W53" s="73">
        <v>8.8968538545323561</v>
      </c>
      <c r="X53" s="126">
        <v>94.113707067593666</v>
      </c>
      <c r="Y53" s="73">
        <v>24.339461654607302</v>
      </c>
      <c r="Z53" s="123"/>
    </row>
    <row r="54" spans="1:26" x14ac:dyDescent="0.35">
      <c r="A54" s="10" t="s">
        <v>283</v>
      </c>
      <c r="B54" s="123"/>
      <c r="C54" s="124" t="s">
        <v>322</v>
      </c>
      <c r="D54" s="73">
        <v>80.503778347300283</v>
      </c>
      <c r="E54" s="73">
        <v>4.9087031426162264</v>
      </c>
      <c r="F54" s="73">
        <v>92.578475992568471</v>
      </c>
      <c r="G54" s="126">
        <v>53.629272867816077</v>
      </c>
      <c r="H54" s="73">
        <v>1E-8</v>
      </c>
      <c r="I54" s="73">
        <v>1E-8</v>
      </c>
      <c r="J54" s="126">
        <v>28.514646706386053</v>
      </c>
      <c r="K54" s="73">
        <v>1E-8</v>
      </c>
      <c r="L54" s="73">
        <v>1E-8</v>
      </c>
      <c r="M54" s="123"/>
      <c r="N54" s="125"/>
      <c r="O54" s="123"/>
      <c r="P54" s="10" t="s">
        <v>283</v>
      </c>
      <c r="Q54" s="123"/>
      <c r="R54" s="124" t="s">
        <v>322</v>
      </c>
      <c r="S54" s="73">
        <v>18.873148647598413</v>
      </c>
      <c r="T54" s="73">
        <v>28.514646706386053</v>
      </c>
      <c r="U54" s="73">
        <v>16.526733075393402</v>
      </c>
      <c r="V54" s="126">
        <v>58.601565918722699</v>
      </c>
      <c r="W54" s="73">
        <v>15.757195745952432</v>
      </c>
      <c r="X54" s="126">
        <v>75.968224424887097</v>
      </c>
      <c r="Y54" s="73">
        <v>44.490467441284537</v>
      </c>
      <c r="Z54" s="123"/>
    </row>
    <row r="55" spans="1:26" x14ac:dyDescent="0.35">
      <c r="A55" s="11" t="s">
        <v>284</v>
      </c>
      <c r="B55" s="123"/>
      <c r="C55" s="124" t="s">
        <v>323</v>
      </c>
      <c r="D55" s="77">
        <v>0.62507322739037985</v>
      </c>
      <c r="E55" s="77">
        <v>1.7618081231519842</v>
      </c>
      <c r="F55" s="77">
        <v>0.2207640197765883</v>
      </c>
      <c r="G55" s="128">
        <v>18.247983091256387</v>
      </c>
      <c r="H55" s="77">
        <v>1E-8</v>
      </c>
      <c r="I55" s="77">
        <v>1E-8</v>
      </c>
      <c r="J55" s="128">
        <v>2.0643113499691164</v>
      </c>
      <c r="K55" s="77">
        <v>1E-8</v>
      </c>
      <c r="L55" s="77">
        <v>1E-8</v>
      </c>
      <c r="M55" s="123"/>
      <c r="N55" s="125"/>
      <c r="O55" s="123"/>
      <c r="P55" s="11" t="s">
        <v>284</v>
      </c>
      <c r="Q55" s="123"/>
      <c r="R55" s="124" t="s">
        <v>323</v>
      </c>
      <c r="S55" s="77">
        <v>2.3412000415468275</v>
      </c>
      <c r="T55" s="77">
        <v>2.0643113499691164</v>
      </c>
      <c r="U55" s="77">
        <v>2.0400135474756471</v>
      </c>
      <c r="V55" s="128">
        <v>22.492994815692867</v>
      </c>
      <c r="W55" s="77">
        <v>69.825712392368814</v>
      </c>
      <c r="X55" s="128">
        <v>0.50472916739995144</v>
      </c>
      <c r="Y55" s="77">
        <v>12.785357763041439</v>
      </c>
      <c r="Z55" s="123"/>
    </row>
    <row r="56" spans="1:26" x14ac:dyDescent="0.35">
      <c r="A56" s="9" t="s">
        <v>629</v>
      </c>
      <c r="B56" s="123"/>
      <c r="C56" s="124" t="s">
        <v>324</v>
      </c>
      <c r="D56" s="79">
        <v>0.10179193578303575</v>
      </c>
      <c r="E56" s="79">
        <v>1E-8</v>
      </c>
      <c r="F56" s="79">
        <v>1E-8</v>
      </c>
      <c r="G56" s="129">
        <v>1E-8</v>
      </c>
      <c r="H56" s="79">
        <v>1E-8</v>
      </c>
      <c r="I56" s="79">
        <v>1E-8</v>
      </c>
      <c r="J56" s="129">
        <v>5.9951102242550465E-4</v>
      </c>
      <c r="K56" s="79">
        <v>1E-8</v>
      </c>
      <c r="L56" s="79">
        <v>1E-8</v>
      </c>
      <c r="M56" s="123"/>
      <c r="N56" s="125"/>
      <c r="O56" s="123"/>
      <c r="P56" s="9" t="s">
        <v>629</v>
      </c>
      <c r="Q56" s="123"/>
      <c r="R56" s="124" t="s">
        <v>324</v>
      </c>
      <c r="S56" s="79">
        <v>9.837357532274933E-4</v>
      </c>
      <c r="T56" s="79">
        <v>5.9951102242550465E-4</v>
      </c>
      <c r="U56" s="79">
        <v>8.5732834699449529E-4</v>
      </c>
      <c r="V56" s="129">
        <v>1E-8</v>
      </c>
      <c r="W56" s="79">
        <v>1E-8</v>
      </c>
      <c r="X56" s="129">
        <v>0.12518626006378494</v>
      </c>
      <c r="Y56" s="79">
        <v>97.698386315808335</v>
      </c>
      <c r="Z56" s="123"/>
    </row>
    <row r="57" spans="1:26" x14ac:dyDescent="0.35">
      <c r="A57" s="9" t="s">
        <v>630</v>
      </c>
      <c r="B57" s="123"/>
      <c r="C57" s="124" t="s">
        <v>545</v>
      </c>
      <c r="D57" s="79">
        <v>1E-8</v>
      </c>
      <c r="E57" s="79">
        <v>1E-8</v>
      </c>
      <c r="F57" s="79">
        <v>1E-8</v>
      </c>
      <c r="G57" s="129">
        <v>9.7856475361515045</v>
      </c>
      <c r="H57" s="79">
        <v>1E-8</v>
      </c>
      <c r="I57" s="79">
        <v>1E-8</v>
      </c>
      <c r="J57" s="129">
        <v>0.9254661380471525</v>
      </c>
      <c r="K57" s="79">
        <v>1E-8</v>
      </c>
      <c r="L57" s="79">
        <v>1E-8</v>
      </c>
      <c r="M57" s="123"/>
      <c r="N57" s="125"/>
      <c r="O57" s="123"/>
      <c r="P57" s="9" t="s">
        <v>630</v>
      </c>
      <c r="Q57" s="123"/>
      <c r="R57" s="124" t="s">
        <v>545</v>
      </c>
      <c r="S57" s="79">
        <v>0.97492884017511894</v>
      </c>
      <c r="T57" s="79">
        <v>0.9254661380471525</v>
      </c>
      <c r="U57" s="79">
        <v>0.84945097980850715</v>
      </c>
      <c r="V57" s="129">
        <v>9.718866321964013</v>
      </c>
      <c r="W57" s="79">
        <v>99.999999999999915</v>
      </c>
      <c r="X57" s="129">
        <v>1E-8</v>
      </c>
      <c r="Y57" s="79">
        <v>1E-8</v>
      </c>
      <c r="Z57" s="123"/>
    </row>
    <row r="58" spans="1:26" x14ac:dyDescent="0.35">
      <c r="A58" s="9" t="s">
        <v>631</v>
      </c>
      <c r="B58" s="123"/>
      <c r="C58" s="124" t="s">
        <v>325</v>
      </c>
      <c r="D58" s="81">
        <v>0.52328129160734405</v>
      </c>
      <c r="E58" s="81">
        <v>2.3429128299567017</v>
      </c>
      <c r="F58" s="81">
        <v>0.2207640197765883</v>
      </c>
      <c r="G58" s="130">
        <v>8.4623355551048824</v>
      </c>
      <c r="H58" s="81">
        <v>1E-8</v>
      </c>
      <c r="I58" s="81">
        <v>1E-8</v>
      </c>
      <c r="J58" s="130">
        <v>1.1382457008995384</v>
      </c>
      <c r="K58" s="81">
        <v>1E-8</v>
      </c>
      <c r="L58" s="81">
        <v>1E-8</v>
      </c>
      <c r="M58" s="123"/>
      <c r="N58" s="125"/>
      <c r="O58" s="123"/>
      <c r="P58" s="9" t="s">
        <v>631</v>
      </c>
      <c r="Q58" s="123"/>
      <c r="R58" s="124" t="s">
        <v>325</v>
      </c>
      <c r="S58" s="81">
        <v>1.3652874656184806</v>
      </c>
      <c r="T58" s="81">
        <v>1.1382457008995384</v>
      </c>
      <c r="U58" s="81">
        <v>1.1897052393201453</v>
      </c>
      <c r="V58" s="130">
        <v>12.774128493728853</v>
      </c>
      <c r="W58" s="81">
        <v>51.787440775849568</v>
      </c>
      <c r="X58" s="130">
        <v>0.37954290733616652</v>
      </c>
      <c r="Y58" s="81">
        <v>10.936354472549921</v>
      </c>
      <c r="Z58" s="123"/>
    </row>
    <row r="59" spans="1:26" x14ac:dyDescent="0.35">
      <c r="A59" s="11" t="s">
        <v>285</v>
      </c>
      <c r="B59" s="123"/>
      <c r="C59" s="124" t="s">
        <v>326</v>
      </c>
      <c r="D59" s="77">
        <v>79.335170262557497</v>
      </c>
      <c r="E59" s="77">
        <v>4.9747707443309466</v>
      </c>
      <c r="F59" s="77">
        <v>92.357711972791861</v>
      </c>
      <c r="G59" s="128">
        <v>31.530404537078837</v>
      </c>
      <c r="H59" s="77">
        <v>1E-8</v>
      </c>
      <c r="I59" s="77">
        <v>1E-8</v>
      </c>
      <c r="J59" s="128">
        <v>13.313584506623258</v>
      </c>
      <c r="K59" s="77">
        <v>1E-8</v>
      </c>
      <c r="L59" s="77">
        <v>1E-8</v>
      </c>
      <c r="M59" s="123"/>
      <c r="N59" s="125"/>
      <c r="O59" s="123"/>
      <c r="P59" s="11" t="s">
        <v>285</v>
      </c>
      <c r="Q59" s="123"/>
      <c r="R59" s="124" t="s">
        <v>326</v>
      </c>
      <c r="S59" s="77">
        <v>8.380509133465516</v>
      </c>
      <c r="T59" s="77">
        <v>13.313584506623258</v>
      </c>
      <c r="U59" s="77">
        <v>6.1750394474954584</v>
      </c>
      <c r="V59" s="128">
        <v>32.691237494616622</v>
      </c>
      <c r="W59" s="77">
        <v>20.774848038446905</v>
      </c>
      <c r="X59" s="128">
        <v>74.780576863815526</v>
      </c>
      <c r="Y59" s="77">
        <v>62.835296831308362</v>
      </c>
      <c r="Z59" s="123"/>
    </row>
    <row r="60" spans="1:26" x14ac:dyDescent="0.35">
      <c r="A60" s="9" t="s">
        <v>364</v>
      </c>
      <c r="B60" s="123"/>
      <c r="C60" s="124" t="s">
        <v>327</v>
      </c>
      <c r="D60" s="79">
        <v>10.559804268139899</v>
      </c>
      <c r="E60" s="79">
        <v>8.9103092710406173</v>
      </c>
      <c r="F60" s="79">
        <v>25.455393300150742</v>
      </c>
      <c r="G60" s="129">
        <v>16.381927482571804</v>
      </c>
      <c r="H60" s="79">
        <v>1E-8</v>
      </c>
      <c r="I60" s="79">
        <v>1E-8</v>
      </c>
      <c r="J60" s="129">
        <v>6.0155692705823673</v>
      </c>
      <c r="K60" s="79">
        <v>1E-8</v>
      </c>
      <c r="L60" s="79">
        <v>1E-8</v>
      </c>
      <c r="M60" s="123"/>
      <c r="N60" s="125"/>
      <c r="O60" s="123"/>
      <c r="P60" s="9" t="s">
        <v>364</v>
      </c>
      <c r="Q60" s="123"/>
      <c r="R60" s="124" t="s">
        <v>327</v>
      </c>
      <c r="S60" s="79">
        <v>2.9900710309955771</v>
      </c>
      <c r="T60" s="79">
        <v>6.0155692705823673</v>
      </c>
      <c r="U60" s="79">
        <v>2.7809233244168108</v>
      </c>
      <c r="V60" s="129">
        <v>15.520582925269258</v>
      </c>
      <c r="W60" s="79">
        <v>24.024605776043757</v>
      </c>
      <c r="X60" s="129">
        <v>11.50736133900995</v>
      </c>
      <c r="Y60" s="79">
        <v>37.864175174189995</v>
      </c>
      <c r="Z60" s="123"/>
    </row>
    <row r="61" spans="1:26" x14ac:dyDescent="0.35">
      <c r="A61" s="70" t="s">
        <v>632</v>
      </c>
      <c r="B61" s="123"/>
      <c r="C61" s="124" t="s">
        <v>328</v>
      </c>
      <c r="D61" s="85">
        <v>1E-8</v>
      </c>
      <c r="E61" s="85">
        <v>1E-8</v>
      </c>
      <c r="F61" s="85">
        <v>1E-8</v>
      </c>
      <c r="G61" s="132">
        <v>1E-8</v>
      </c>
      <c r="H61" s="85">
        <v>1E-8</v>
      </c>
      <c r="I61" s="85">
        <v>1E-8</v>
      </c>
      <c r="J61" s="132">
        <v>0.81190349095279934</v>
      </c>
      <c r="K61" s="85">
        <v>1E-8</v>
      </c>
      <c r="L61" s="85">
        <v>1E-8</v>
      </c>
      <c r="M61" s="123"/>
      <c r="N61" s="125"/>
      <c r="O61" s="123"/>
      <c r="P61" s="70" t="s">
        <v>632</v>
      </c>
      <c r="Q61" s="123"/>
      <c r="R61" s="124" t="s">
        <v>328</v>
      </c>
      <c r="S61" s="85">
        <v>0.31337760806782278</v>
      </c>
      <c r="T61" s="85">
        <v>0.81190349095279934</v>
      </c>
      <c r="U61" s="85">
        <v>0.26841570219595157</v>
      </c>
      <c r="V61" s="132">
        <v>1E-8</v>
      </c>
      <c r="W61" s="85">
        <v>1E-8</v>
      </c>
      <c r="X61" s="132">
        <v>1E-8</v>
      </c>
      <c r="Y61" s="85">
        <v>1E-8</v>
      </c>
      <c r="Z61" s="123"/>
    </row>
    <row r="62" spans="1:26" x14ac:dyDescent="0.35">
      <c r="A62" s="70" t="s">
        <v>633</v>
      </c>
      <c r="B62" s="123"/>
      <c r="C62" s="124" t="s">
        <v>329</v>
      </c>
      <c r="D62" s="85">
        <v>0.89550334545121546</v>
      </c>
      <c r="E62" s="85">
        <v>5.9824666984164976</v>
      </c>
      <c r="F62" s="85">
        <v>1.4867661757064123</v>
      </c>
      <c r="G62" s="132">
        <v>7.1606881827754584E-2</v>
      </c>
      <c r="H62" s="85">
        <v>1E-8</v>
      </c>
      <c r="I62" s="85">
        <v>1E-8</v>
      </c>
      <c r="J62" s="132">
        <v>1E-8</v>
      </c>
      <c r="K62" s="85">
        <v>1E-8</v>
      </c>
      <c r="L62" s="85">
        <v>1E-8</v>
      </c>
      <c r="M62" s="123"/>
      <c r="N62" s="125"/>
      <c r="O62" s="123"/>
      <c r="P62" s="70" t="s">
        <v>633</v>
      </c>
      <c r="Q62" s="123"/>
      <c r="R62" s="124" t="s">
        <v>329</v>
      </c>
      <c r="S62" s="85">
        <v>1E-8</v>
      </c>
      <c r="T62" s="85">
        <v>1E-8</v>
      </c>
      <c r="U62" s="85">
        <v>1E-8</v>
      </c>
      <c r="V62" s="132">
        <v>6.7601773857341868E-2</v>
      </c>
      <c r="W62" s="85">
        <v>93.999051630141025</v>
      </c>
      <c r="X62" s="132">
        <v>1.0010392352174089</v>
      </c>
      <c r="Y62" s="85">
        <v>99.386479400015119</v>
      </c>
      <c r="Z62" s="123"/>
    </row>
    <row r="63" spans="1:26" x14ac:dyDescent="0.35">
      <c r="A63" s="70" t="s">
        <v>634</v>
      </c>
      <c r="B63" s="123"/>
      <c r="C63" s="124" t="s">
        <v>331</v>
      </c>
      <c r="D63" s="85">
        <v>0.11249951909782076</v>
      </c>
      <c r="E63" s="85">
        <v>4.5458755067840961</v>
      </c>
      <c r="F63" s="85">
        <v>0.14341969331414883</v>
      </c>
      <c r="G63" s="132">
        <v>0.22659788129468827</v>
      </c>
      <c r="H63" s="85">
        <v>1E-8</v>
      </c>
      <c r="I63" s="85">
        <v>1E-8</v>
      </c>
      <c r="J63" s="132">
        <v>0.16204869131496172</v>
      </c>
      <c r="K63" s="85">
        <v>1E-8</v>
      </c>
      <c r="L63" s="85">
        <v>1E-8</v>
      </c>
      <c r="M63" s="123"/>
      <c r="N63" s="125"/>
      <c r="O63" s="123"/>
      <c r="P63" s="70" t="s">
        <v>634</v>
      </c>
      <c r="Q63" s="123"/>
      <c r="R63" s="124" t="s">
        <v>331</v>
      </c>
      <c r="S63" s="85">
        <v>8.6472897089543477E-2</v>
      </c>
      <c r="T63" s="85">
        <v>0.16204869131496172</v>
      </c>
      <c r="U63" s="85">
        <v>7.4097960870971535E-2</v>
      </c>
      <c r="V63" s="132">
        <v>0.21449820213782422</v>
      </c>
      <c r="W63" s="85">
        <v>10.090760418621</v>
      </c>
      <c r="X63" s="132">
        <v>0.12708080839112709</v>
      </c>
      <c r="Y63" s="85">
        <v>14.369847672246525</v>
      </c>
      <c r="Z63" s="123"/>
    </row>
    <row r="64" spans="1:26" x14ac:dyDescent="0.35">
      <c r="A64" s="70" t="s">
        <v>635</v>
      </c>
      <c r="B64" s="123"/>
      <c r="C64" s="124" t="s">
        <v>332</v>
      </c>
      <c r="D64" s="85">
        <v>2.6584718650070416</v>
      </c>
      <c r="E64" s="85">
        <v>9.3966081764945919</v>
      </c>
      <c r="F64" s="85">
        <v>6.8305617024935472</v>
      </c>
      <c r="G64" s="132">
        <v>1.5059222485073154</v>
      </c>
      <c r="H64" s="85">
        <v>1E-8</v>
      </c>
      <c r="I64" s="85">
        <v>1E-8</v>
      </c>
      <c r="J64" s="132">
        <v>0.14239902358627904</v>
      </c>
      <c r="K64" s="85">
        <v>1E-8</v>
      </c>
      <c r="L64" s="85">
        <v>1E-8</v>
      </c>
      <c r="M64" s="123"/>
      <c r="N64" s="125"/>
      <c r="O64" s="123"/>
      <c r="P64" s="70" t="s">
        <v>635</v>
      </c>
      <c r="Q64" s="123"/>
      <c r="R64" s="124" t="s">
        <v>332</v>
      </c>
      <c r="S64" s="85">
        <v>0.11472821336602625</v>
      </c>
      <c r="T64" s="85">
        <v>0.14239902358627904</v>
      </c>
      <c r="U64" s="85">
        <v>0.10344837737416546</v>
      </c>
      <c r="V64" s="132">
        <v>1.398375092406144</v>
      </c>
      <c r="W64" s="85">
        <v>95.566497882300098</v>
      </c>
      <c r="X64" s="132">
        <v>2.9280198610659403</v>
      </c>
      <c r="Y64" s="85">
        <v>98.220105363853008</v>
      </c>
      <c r="Z64" s="123"/>
    </row>
    <row r="65" spans="1:26" x14ac:dyDescent="0.35">
      <c r="A65" s="70" t="s">
        <v>636</v>
      </c>
      <c r="B65" s="123"/>
      <c r="C65" s="124" t="s">
        <v>330</v>
      </c>
      <c r="D65" s="85">
        <v>0.25529831035314232</v>
      </c>
      <c r="E65" s="85">
        <v>7.9323192893624315</v>
      </c>
      <c r="F65" s="85">
        <v>0.56178752604731264</v>
      </c>
      <c r="G65" s="132">
        <v>0.58692899339181182</v>
      </c>
      <c r="H65" s="85">
        <v>1E-8</v>
      </c>
      <c r="I65" s="85">
        <v>1E-8</v>
      </c>
      <c r="J65" s="132">
        <v>6.8361996111478196E-2</v>
      </c>
      <c r="K65" s="85">
        <v>1E-8</v>
      </c>
      <c r="L65" s="85">
        <v>1E-8</v>
      </c>
      <c r="M65" s="123"/>
      <c r="N65" s="125"/>
      <c r="O65" s="123"/>
      <c r="P65" s="70" t="s">
        <v>636</v>
      </c>
      <c r="Q65" s="123"/>
      <c r="R65" s="124" t="s">
        <v>330</v>
      </c>
      <c r="S65" s="85">
        <v>6.405273317352396E-2</v>
      </c>
      <c r="T65" s="85">
        <v>6.8361996111478196E-2</v>
      </c>
      <c r="U65" s="85">
        <v>5.4884280381000544E-2</v>
      </c>
      <c r="V65" s="132">
        <v>0.54425849440144758</v>
      </c>
      <c r="W65" s="85">
        <v>55.185558247176743</v>
      </c>
      <c r="X65" s="132">
        <v>0.28527296907777</v>
      </c>
      <c r="Y65" s="85">
        <v>61.975217631428116</v>
      </c>
      <c r="Z65" s="123"/>
    </row>
    <row r="66" spans="1:26" x14ac:dyDescent="0.35">
      <c r="A66" s="70" t="s">
        <v>637</v>
      </c>
      <c r="B66" s="123"/>
      <c r="C66" s="124" t="s">
        <v>333</v>
      </c>
      <c r="D66" s="85">
        <v>1.822845129526663</v>
      </c>
      <c r="E66" s="85">
        <v>13.23146272582208</v>
      </c>
      <c r="F66" s="85">
        <v>6.2669844329595712</v>
      </c>
      <c r="G66" s="132">
        <v>4.2928562966931212</v>
      </c>
      <c r="H66" s="85">
        <v>1E-8</v>
      </c>
      <c r="I66" s="85">
        <v>1E-8</v>
      </c>
      <c r="J66" s="132">
        <v>3.2669126037542942</v>
      </c>
      <c r="K66" s="85">
        <v>1E-8</v>
      </c>
      <c r="L66" s="85">
        <v>1E-8</v>
      </c>
      <c r="M66" s="123"/>
      <c r="N66" s="125"/>
      <c r="O66" s="123"/>
      <c r="P66" s="70" t="s">
        <v>637</v>
      </c>
      <c r="Q66" s="123"/>
      <c r="R66" s="124" t="s">
        <v>333</v>
      </c>
      <c r="S66" s="85">
        <v>1.491529680838994</v>
      </c>
      <c r="T66" s="85">
        <v>3.2669126037542942</v>
      </c>
      <c r="U66" s="85">
        <v>1.4506732531827466</v>
      </c>
      <c r="V66" s="132">
        <v>4.068278026203985</v>
      </c>
      <c r="W66" s="85">
        <v>12.272973300691005</v>
      </c>
      <c r="X66" s="132">
        <v>1.9078291297614907</v>
      </c>
      <c r="Y66" s="85">
        <v>15.13175625023139</v>
      </c>
      <c r="Z66" s="123"/>
    </row>
    <row r="67" spans="1:26" x14ac:dyDescent="0.35">
      <c r="A67" s="70" t="s">
        <v>638</v>
      </c>
      <c r="B67" s="123"/>
      <c r="C67" s="124" t="s">
        <v>546</v>
      </c>
      <c r="D67" s="85">
        <v>0.21900004994564753</v>
      </c>
      <c r="E67" s="85">
        <v>8.1556921968848748</v>
      </c>
      <c r="F67" s="85">
        <v>0.48787044512890237</v>
      </c>
      <c r="G67" s="132">
        <v>0.34001437888210739</v>
      </c>
      <c r="H67" s="85">
        <v>1E-8</v>
      </c>
      <c r="I67" s="85">
        <v>1E-8</v>
      </c>
      <c r="J67" s="132">
        <v>0.58907846888522186</v>
      </c>
      <c r="K67" s="85">
        <v>1E-8</v>
      </c>
      <c r="L67" s="85">
        <v>1E-8</v>
      </c>
      <c r="M67" s="123"/>
      <c r="N67" s="125"/>
      <c r="O67" s="123"/>
      <c r="P67" s="70" t="s">
        <v>638</v>
      </c>
      <c r="Q67" s="123"/>
      <c r="R67" s="124" t="s">
        <v>546</v>
      </c>
      <c r="S67" s="85">
        <v>0.23326135662075395</v>
      </c>
      <c r="T67" s="85">
        <v>0.58907846888522186</v>
      </c>
      <c r="U67" s="85">
        <v>0.21032339294986632</v>
      </c>
      <c r="V67" s="132">
        <v>0.31992243582534352</v>
      </c>
      <c r="W67" s="85">
        <v>4.6963565289745057</v>
      </c>
      <c r="X67" s="132">
        <v>0.24095303457063763</v>
      </c>
      <c r="Y67" s="85">
        <v>8.7717423483838601</v>
      </c>
      <c r="Z67" s="123"/>
    </row>
    <row r="68" spans="1:26" x14ac:dyDescent="0.35">
      <c r="A68" s="70" t="s">
        <v>639</v>
      </c>
      <c r="B68" s="123"/>
      <c r="C68" s="124" t="s">
        <v>335</v>
      </c>
      <c r="D68" s="85">
        <v>1E-8</v>
      </c>
      <c r="E68" s="85">
        <v>1E-8</v>
      </c>
      <c r="F68" s="85">
        <v>1E-8</v>
      </c>
      <c r="G68" s="132">
        <v>1E-8</v>
      </c>
      <c r="H68" s="85">
        <v>1E-8</v>
      </c>
      <c r="I68" s="85">
        <v>1E-8</v>
      </c>
      <c r="J68" s="132">
        <v>3.6162828243548384E-2</v>
      </c>
      <c r="K68" s="85">
        <v>1E-8</v>
      </c>
      <c r="L68" s="85">
        <v>1E-8</v>
      </c>
      <c r="M68" s="123"/>
      <c r="N68" s="125"/>
      <c r="O68" s="123"/>
      <c r="P68" s="70" t="s">
        <v>639</v>
      </c>
      <c r="Q68" s="123"/>
      <c r="R68" s="124" t="s">
        <v>335</v>
      </c>
      <c r="S68" s="85">
        <v>5.6091806209763097E-2</v>
      </c>
      <c r="T68" s="85">
        <v>3.6162828243548384E-2</v>
      </c>
      <c r="U68" s="85">
        <v>5.0576523014425646E-2</v>
      </c>
      <c r="V68" s="132">
        <v>1E-8</v>
      </c>
      <c r="W68" s="85">
        <v>1E-8</v>
      </c>
      <c r="X68" s="132">
        <v>1E-8</v>
      </c>
      <c r="Y68" s="85">
        <v>1E-8</v>
      </c>
      <c r="Z68" s="123"/>
    </row>
    <row r="69" spans="1:26" x14ac:dyDescent="0.35">
      <c r="A69" s="70" t="s">
        <v>640</v>
      </c>
      <c r="B69" s="123"/>
      <c r="C69" s="124" t="s">
        <v>334</v>
      </c>
      <c r="D69" s="85">
        <v>4.5961860487583683</v>
      </c>
      <c r="E69" s="85">
        <v>7.7699099888195429</v>
      </c>
      <c r="F69" s="85">
        <v>9.6780033245008426</v>
      </c>
      <c r="G69" s="132">
        <v>9.3580008019750061</v>
      </c>
      <c r="H69" s="85">
        <v>1E-8</v>
      </c>
      <c r="I69" s="85">
        <v>1E-8</v>
      </c>
      <c r="J69" s="132">
        <v>0.93870216773378357</v>
      </c>
      <c r="K69" s="85">
        <v>1E-8</v>
      </c>
      <c r="L69" s="85">
        <v>1E-8</v>
      </c>
      <c r="M69" s="123"/>
      <c r="N69" s="125"/>
      <c r="O69" s="123"/>
      <c r="P69" s="70" t="s">
        <v>640</v>
      </c>
      <c r="Q69" s="123"/>
      <c r="R69" s="124" t="s">
        <v>334</v>
      </c>
      <c r="S69" s="85">
        <v>0.63055673562915016</v>
      </c>
      <c r="T69" s="85">
        <v>0.93870216773378357</v>
      </c>
      <c r="U69" s="85">
        <v>0.56850383444768393</v>
      </c>
      <c r="V69" s="132">
        <v>8.9076489004371719</v>
      </c>
      <c r="W69" s="85">
        <v>90.437102376642116</v>
      </c>
      <c r="X69" s="132">
        <v>5.0171663009255765</v>
      </c>
      <c r="Y69" s="85">
        <v>92.013291592755081</v>
      </c>
      <c r="Z69" s="123"/>
    </row>
    <row r="70" spans="1:26" x14ac:dyDescent="0.35">
      <c r="A70" s="9" t="s">
        <v>365</v>
      </c>
      <c r="B70" s="123"/>
      <c r="C70" s="124" t="s">
        <v>374</v>
      </c>
      <c r="D70" s="79">
        <v>0.39653344363403997</v>
      </c>
      <c r="E70" s="79">
        <v>2.5283825702397351</v>
      </c>
      <c r="F70" s="79">
        <v>0.26812742143036744</v>
      </c>
      <c r="G70" s="129">
        <v>0.35117743180445049</v>
      </c>
      <c r="H70" s="79">
        <v>1E-8</v>
      </c>
      <c r="I70" s="79">
        <v>1E-8</v>
      </c>
      <c r="J70" s="129">
        <v>2.7240857783686656</v>
      </c>
      <c r="K70" s="79">
        <v>1E-8</v>
      </c>
      <c r="L70" s="79">
        <v>1E-8</v>
      </c>
      <c r="M70" s="123"/>
      <c r="N70" s="125"/>
      <c r="O70" s="123"/>
      <c r="P70" s="9" t="s">
        <v>365</v>
      </c>
      <c r="Q70" s="123"/>
      <c r="R70" s="124" t="s">
        <v>374</v>
      </c>
      <c r="S70" s="79">
        <v>2.2509812290430089</v>
      </c>
      <c r="T70" s="79">
        <v>2.7240857783686656</v>
      </c>
      <c r="U70" s="79">
        <v>1.5435822546408957</v>
      </c>
      <c r="V70" s="129">
        <v>0.35203498650868364</v>
      </c>
      <c r="W70" s="79">
        <v>1.2814824410931378</v>
      </c>
      <c r="X70" s="129">
        <v>0.42715663943046039</v>
      </c>
      <c r="Y70" s="79">
        <v>3.7988139593135788</v>
      </c>
      <c r="Z70" s="123"/>
    </row>
    <row r="71" spans="1:26" x14ac:dyDescent="0.35">
      <c r="A71" s="70" t="s">
        <v>641</v>
      </c>
      <c r="B71" s="123"/>
      <c r="C71" s="124" t="s">
        <v>547</v>
      </c>
      <c r="D71" s="85">
        <v>1E-8</v>
      </c>
      <c r="E71" s="85">
        <v>1E-8</v>
      </c>
      <c r="F71" s="85">
        <v>1E-8</v>
      </c>
      <c r="G71" s="132">
        <v>1E-8</v>
      </c>
      <c r="H71" s="85">
        <v>1E-8</v>
      </c>
      <c r="I71" s="85">
        <v>1E-8</v>
      </c>
      <c r="J71" s="132">
        <v>2.2791235065096052</v>
      </c>
      <c r="K71" s="85">
        <v>1E-8</v>
      </c>
      <c r="L71" s="85">
        <v>1E-8</v>
      </c>
      <c r="M71" s="123"/>
      <c r="N71" s="125"/>
      <c r="O71" s="123"/>
      <c r="P71" s="70" t="s">
        <v>641</v>
      </c>
      <c r="Q71" s="123"/>
      <c r="R71" s="124" t="s">
        <v>547</v>
      </c>
      <c r="S71" s="85">
        <v>1.8097082520516097</v>
      </c>
      <c r="T71" s="85">
        <v>2.2791235065096052</v>
      </c>
      <c r="U71" s="85">
        <v>1.2547418383325979</v>
      </c>
      <c r="V71" s="132">
        <v>1E-8</v>
      </c>
      <c r="W71" s="85">
        <v>1E-8</v>
      </c>
      <c r="X71" s="132">
        <v>1E-8</v>
      </c>
      <c r="Y71" s="85">
        <v>1E-8</v>
      </c>
      <c r="Z71" s="123"/>
    </row>
    <row r="72" spans="1:26" x14ac:dyDescent="0.35">
      <c r="A72" s="70" t="s">
        <v>642</v>
      </c>
      <c r="B72" s="123"/>
      <c r="C72" s="124" t="s">
        <v>336</v>
      </c>
      <c r="D72" s="85">
        <v>0.28728651271623123</v>
      </c>
      <c r="E72" s="85">
        <v>3.4407404437921723</v>
      </c>
      <c r="F72" s="85">
        <v>0.26374474127581515</v>
      </c>
      <c r="G72" s="132">
        <v>0.35117743180445049</v>
      </c>
      <c r="H72" s="85">
        <v>1E-8</v>
      </c>
      <c r="I72" s="85">
        <v>1E-8</v>
      </c>
      <c r="J72" s="132">
        <v>0.37707077233649045</v>
      </c>
      <c r="K72" s="85">
        <v>1E-8</v>
      </c>
      <c r="L72" s="85">
        <v>1E-8</v>
      </c>
      <c r="M72" s="123"/>
      <c r="N72" s="125"/>
      <c r="O72" s="123"/>
      <c r="P72" s="70" t="s">
        <v>642</v>
      </c>
      <c r="Q72" s="123"/>
      <c r="R72" s="124" t="s">
        <v>336</v>
      </c>
      <c r="S72" s="85">
        <v>0.35549721664091027</v>
      </c>
      <c r="T72" s="85">
        <v>0.37707077233649045</v>
      </c>
      <c r="U72" s="85">
        <v>0.24634878088705781</v>
      </c>
      <c r="V72" s="132">
        <v>0.35203498650868364</v>
      </c>
      <c r="W72" s="85">
        <v>6.0288838855872138</v>
      </c>
      <c r="X72" s="132">
        <v>0.30875970270238745</v>
      </c>
      <c r="Y72" s="85">
        <v>12.509749864136277</v>
      </c>
      <c r="Z72" s="123"/>
    </row>
    <row r="73" spans="1:26" x14ac:dyDescent="0.35">
      <c r="A73" s="70" t="s">
        <v>643</v>
      </c>
      <c r="B73" s="123"/>
      <c r="C73" s="124" t="s">
        <v>337</v>
      </c>
      <c r="D73" s="87">
        <v>0.10924693091780872</v>
      </c>
      <c r="E73" s="87">
        <v>0.14910356538487649</v>
      </c>
      <c r="F73" s="87">
        <v>4.3826801545522372E-3</v>
      </c>
      <c r="G73" s="133">
        <v>1E-8</v>
      </c>
      <c r="H73" s="87">
        <v>1E-8</v>
      </c>
      <c r="I73" s="87">
        <v>1E-8</v>
      </c>
      <c r="J73" s="133">
        <v>6.789149952256944E-2</v>
      </c>
      <c r="K73" s="87">
        <v>1E-8</v>
      </c>
      <c r="L73" s="87">
        <v>1E-8</v>
      </c>
      <c r="M73" s="123"/>
      <c r="N73" s="125"/>
      <c r="O73" s="123"/>
      <c r="P73" s="70" t="s">
        <v>643</v>
      </c>
      <c r="Q73" s="123"/>
      <c r="R73" s="124" t="s">
        <v>337</v>
      </c>
      <c r="S73" s="87">
        <v>8.5775760350489214E-2</v>
      </c>
      <c r="T73" s="87">
        <v>6.789149952256944E-2</v>
      </c>
      <c r="U73" s="87">
        <v>4.2491635421240105E-2</v>
      </c>
      <c r="V73" s="133">
        <v>1E-8</v>
      </c>
      <c r="W73" s="87">
        <v>1E-8</v>
      </c>
      <c r="X73" s="133">
        <v>0.11839693672807294</v>
      </c>
      <c r="Y73" s="87">
        <v>55.903651186756555</v>
      </c>
      <c r="Z73" s="123"/>
    </row>
    <row r="74" spans="1:26" x14ac:dyDescent="0.35">
      <c r="A74" s="9" t="s">
        <v>644</v>
      </c>
      <c r="B74" s="123"/>
      <c r="C74" s="124" t="s">
        <v>338</v>
      </c>
      <c r="D74" s="79">
        <v>6.3221599910994293</v>
      </c>
      <c r="E74" s="79">
        <v>15.380669608209569</v>
      </c>
      <c r="F74" s="79">
        <v>11.602568875584268</v>
      </c>
      <c r="G74" s="129">
        <v>1.1556163021952919</v>
      </c>
      <c r="H74" s="79">
        <v>1E-8</v>
      </c>
      <c r="I74" s="79">
        <v>1E-8</v>
      </c>
      <c r="J74" s="129">
        <v>0.60306287805748626</v>
      </c>
      <c r="K74" s="79">
        <v>1E-8</v>
      </c>
      <c r="L74" s="79">
        <v>1E-8</v>
      </c>
      <c r="M74" s="123"/>
      <c r="N74" s="125"/>
      <c r="O74" s="123"/>
      <c r="P74" s="9" t="s">
        <v>644</v>
      </c>
      <c r="Q74" s="123"/>
      <c r="R74" s="124" t="s">
        <v>338</v>
      </c>
      <c r="S74" s="79">
        <v>0.4828029858155905</v>
      </c>
      <c r="T74" s="79">
        <v>0.60306287805748626</v>
      </c>
      <c r="U74" s="79">
        <v>0.54227948912885859</v>
      </c>
      <c r="V74" s="129">
        <v>2.3599936686867227</v>
      </c>
      <c r="W74" s="79">
        <v>17.840025235657244</v>
      </c>
      <c r="X74" s="129">
        <v>3.0385586906673594</v>
      </c>
      <c r="Y74" s="79">
        <v>57.538276935688636</v>
      </c>
      <c r="Z74" s="123"/>
    </row>
    <row r="75" spans="1:26" x14ac:dyDescent="0.35">
      <c r="A75" s="9" t="s">
        <v>366</v>
      </c>
      <c r="B75" s="123"/>
      <c r="C75" s="124" t="s">
        <v>339</v>
      </c>
      <c r="D75" s="79">
        <v>1.7427751413322257</v>
      </c>
      <c r="E75" s="79">
        <v>5.7535414953516417</v>
      </c>
      <c r="F75" s="79">
        <v>2.741488950737486</v>
      </c>
      <c r="G75" s="129">
        <v>0.48912788089232179</v>
      </c>
      <c r="H75" s="79">
        <v>1E-8</v>
      </c>
      <c r="I75" s="79">
        <v>1E-8</v>
      </c>
      <c r="J75" s="129">
        <v>0.4958589267303839</v>
      </c>
      <c r="K75" s="79">
        <v>1E-8</v>
      </c>
      <c r="L75" s="79">
        <v>1E-8</v>
      </c>
      <c r="M75" s="123"/>
      <c r="N75" s="125"/>
      <c r="O75" s="123"/>
      <c r="P75" s="9" t="s">
        <v>366</v>
      </c>
      <c r="Q75" s="123"/>
      <c r="R75" s="124" t="s">
        <v>339</v>
      </c>
      <c r="S75" s="79">
        <v>0.36918910761155183</v>
      </c>
      <c r="T75" s="79">
        <v>0.4958589267303839</v>
      </c>
      <c r="U75" s="79">
        <v>0.25242981538326525</v>
      </c>
      <c r="V75" s="129">
        <v>0.47393668750758072</v>
      </c>
      <c r="W75" s="79">
        <v>6.784708188625828</v>
      </c>
      <c r="X75" s="129">
        <v>1.9192872025742787</v>
      </c>
      <c r="Y75" s="79">
        <v>43.174651171594441</v>
      </c>
      <c r="Z75" s="123"/>
    </row>
    <row r="76" spans="1:26" x14ac:dyDescent="0.35">
      <c r="A76" s="70" t="s">
        <v>645</v>
      </c>
      <c r="B76" s="123"/>
      <c r="C76" s="124" t="s">
        <v>340</v>
      </c>
      <c r="D76" s="85">
        <v>1.4611740911058719</v>
      </c>
      <c r="E76" s="85">
        <v>5.6753781892916448</v>
      </c>
      <c r="F76" s="85">
        <v>2.2761727813688579</v>
      </c>
      <c r="G76" s="132">
        <v>0.22283386091409529</v>
      </c>
      <c r="H76" s="85">
        <v>1E-8</v>
      </c>
      <c r="I76" s="85">
        <v>1E-8</v>
      </c>
      <c r="J76" s="132">
        <v>0.27263087542649916</v>
      </c>
      <c r="K76" s="85">
        <v>1E-8</v>
      </c>
      <c r="L76" s="85">
        <v>1E-8</v>
      </c>
      <c r="M76" s="123"/>
      <c r="N76" s="125"/>
      <c r="O76" s="123"/>
      <c r="P76" s="70" t="s">
        <v>645</v>
      </c>
      <c r="Q76" s="123"/>
      <c r="R76" s="124" t="s">
        <v>340</v>
      </c>
      <c r="S76" s="85">
        <v>0.21736073998534491</v>
      </c>
      <c r="T76" s="85">
        <v>0.27263087542649916</v>
      </c>
      <c r="U76" s="85">
        <v>0.14866358255993573</v>
      </c>
      <c r="V76" s="132">
        <v>0.21339632316000348</v>
      </c>
      <c r="W76" s="85">
        <v>5.0876526954555663</v>
      </c>
      <c r="X76" s="132">
        <v>1.6154708882576374</v>
      </c>
      <c r="Y76" s="85">
        <v>50.856405769382121</v>
      </c>
      <c r="Z76" s="123"/>
    </row>
    <row r="77" spans="1:26" x14ac:dyDescent="0.35">
      <c r="A77" s="70" t="s">
        <v>646</v>
      </c>
      <c r="B77" s="123"/>
      <c r="C77" s="124" t="s">
        <v>548</v>
      </c>
      <c r="D77" s="85">
        <v>0.28160105022635368</v>
      </c>
      <c r="E77" s="85">
        <v>6.1691562583505011</v>
      </c>
      <c r="F77" s="85">
        <v>0.46531616936862807</v>
      </c>
      <c r="G77" s="132">
        <v>0.26629401997822649</v>
      </c>
      <c r="H77" s="85">
        <v>1E-8</v>
      </c>
      <c r="I77" s="85">
        <v>1E-8</v>
      </c>
      <c r="J77" s="132">
        <v>0.22322805130388473</v>
      </c>
      <c r="K77" s="85">
        <v>1E-8</v>
      </c>
      <c r="L77" s="85">
        <v>1E-8</v>
      </c>
      <c r="M77" s="123"/>
      <c r="N77" s="125"/>
      <c r="O77" s="123"/>
      <c r="P77" s="70" t="s">
        <v>646</v>
      </c>
      <c r="Q77" s="123"/>
      <c r="R77" s="124" t="s">
        <v>548</v>
      </c>
      <c r="S77" s="85">
        <v>0.15182836762620694</v>
      </c>
      <c r="T77" s="85">
        <v>0.22322805130388473</v>
      </c>
      <c r="U77" s="85">
        <v>0.10376623282332956</v>
      </c>
      <c r="V77" s="132">
        <v>0.26054036434757721</v>
      </c>
      <c r="W77" s="85">
        <v>9.4117647345887558</v>
      </c>
      <c r="X77" s="132">
        <v>0.30381631431664119</v>
      </c>
      <c r="Y77" s="85">
        <v>24.204309430295918</v>
      </c>
      <c r="Z77" s="123"/>
    </row>
    <row r="78" spans="1:26" x14ac:dyDescent="0.35">
      <c r="A78" s="9" t="s">
        <v>367</v>
      </c>
      <c r="B78" s="123"/>
      <c r="C78" s="124" t="s">
        <v>341</v>
      </c>
      <c r="D78" s="79">
        <v>27.704964650912373</v>
      </c>
      <c r="E78" s="79">
        <v>1.3145742373470592</v>
      </c>
      <c r="F78" s="79">
        <v>9.07556958781562</v>
      </c>
      <c r="G78" s="129">
        <v>1.276786305732547</v>
      </c>
      <c r="H78" s="79">
        <v>1E-8</v>
      </c>
      <c r="I78" s="79">
        <v>1E-8</v>
      </c>
      <c r="J78" s="129">
        <v>0.77137158306462505</v>
      </c>
      <c r="K78" s="79">
        <v>1E-8</v>
      </c>
      <c r="L78" s="79">
        <v>1E-8</v>
      </c>
      <c r="M78" s="123"/>
      <c r="N78" s="125"/>
      <c r="O78" s="123"/>
      <c r="P78" s="9" t="s">
        <v>367</v>
      </c>
      <c r="Q78" s="123"/>
      <c r="R78" s="124" t="s">
        <v>341</v>
      </c>
      <c r="S78" s="79">
        <v>0.48324049090172411</v>
      </c>
      <c r="T78" s="79">
        <v>0.77137158306462505</v>
      </c>
      <c r="U78" s="79">
        <v>0.16909086353642094</v>
      </c>
      <c r="V78" s="129">
        <v>1.430422922486253</v>
      </c>
      <c r="W78" s="79">
        <v>12.059890124291725</v>
      </c>
      <c r="X78" s="129">
        <v>27.808495395283924</v>
      </c>
      <c r="Y78" s="79">
        <v>87.611580672310168</v>
      </c>
      <c r="Z78" s="123"/>
    </row>
    <row r="79" spans="1:26" x14ac:dyDescent="0.35">
      <c r="A79" s="70" t="s">
        <v>647</v>
      </c>
      <c r="B79" s="123"/>
      <c r="C79" s="124" t="s">
        <v>342</v>
      </c>
      <c r="D79" s="85">
        <v>16.279729816401783</v>
      </c>
      <c r="E79" s="85">
        <v>0.37728351613554606</v>
      </c>
      <c r="F79" s="85">
        <v>1.5890169497219553</v>
      </c>
      <c r="G79" s="132">
        <v>2.2714502444419662E-2</v>
      </c>
      <c r="H79" s="85">
        <v>1E-8</v>
      </c>
      <c r="I79" s="85">
        <v>1E-8</v>
      </c>
      <c r="J79" s="132">
        <v>2.196676717585912E-3</v>
      </c>
      <c r="K79" s="85">
        <v>1E-8</v>
      </c>
      <c r="L79" s="85">
        <v>1E-8</v>
      </c>
      <c r="M79" s="123"/>
      <c r="N79" s="125"/>
      <c r="O79" s="123"/>
      <c r="P79" s="70" t="s">
        <v>647</v>
      </c>
      <c r="Q79" s="123"/>
      <c r="R79" s="124" t="s">
        <v>342</v>
      </c>
      <c r="S79" s="85">
        <v>3.1015620947452819E-3</v>
      </c>
      <c r="T79" s="85">
        <v>2.196676717585912E-3</v>
      </c>
      <c r="U79" s="85">
        <v>1.0859539116066545E-3</v>
      </c>
      <c r="V79" s="132">
        <v>2.4227042934916496E-2</v>
      </c>
      <c r="W79" s="85">
        <v>83.20120583348799</v>
      </c>
      <c r="X79" s="132">
        <v>16.964826254991621</v>
      </c>
      <c r="Y79" s="85">
        <v>99.991251477062207</v>
      </c>
      <c r="Z79" s="123"/>
    </row>
    <row r="80" spans="1:26" x14ac:dyDescent="0.35">
      <c r="A80" s="70" t="s">
        <v>648</v>
      </c>
      <c r="B80" s="123"/>
      <c r="C80" s="124" t="s">
        <v>343</v>
      </c>
      <c r="D80" s="85">
        <v>6.0111419384561335</v>
      </c>
      <c r="E80" s="85">
        <v>1.7549502393167085</v>
      </c>
      <c r="F80" s="85">
        <v>2.5642812513218329</v>
      </c>
      <c r="G80" s="132">
        <v>0.86495554924563745</v>
      </c>
      <c r="H80" s="85">
        <v>1E-8</v>
      </c>
      <c r="I80" s="85">
        <v>1E-8</v>
      </c>
      <c r="J80" s="132">
        <v>0.5889452112632072</v>
      </c>
      <c r="K80" s="85">
        <v>1E-8</v>
      </c>
      <c r="L80" s="85">
        <v>1E-8</v>
      </c>
      <c r="M80" s="123"/>
      <c r="N80" s="125"/>
      <c r="O80" s="123"/>
      <c r="P80" s="70" t="s">
        <v>648</v>
      </c>
      <c r="Q80" s="123"/>
      <c r="R80" s="124" t="s">
        <v>343</v>
      </c>
      <c r="S80" s="85">
        <v>0.35059409361309235</v>
      </c>
      <c r="T80" s="85">
        <v>0.5889452112632072</v>
      </c>
      <c r="U80" s="85">
        <v>0.12264140548227946</v>
      </c>
      <c r="V80" s="132">
        <v>0.96809148141100998</v>
      </c>
      <c r="W80" s="85">
        <v>12.890783760442167</v>
      </c>
      <c r="X80" s="132">
        <v>5.8855840699149837</v>
      </c>
      <c r="Y80" s="85">
        <v>71.344904393321002</v>
      </c>
      <c r="Z80" s="123"/>
    </row>
    <row r="81" spans="1:26" x14ac:dyDescent="0.35">
      <c r="A81" s="70" t="s">
        <v>649</v>
      </c>
      <c r="B81" s="123"/>
      <c r="C81" s="124" t="s">
        <v>549</v>
      </c>
      <c r="D81" s="85">
        <v>3.4194641858921959</v>
      </c>
      <c r="E81" s="85">
        <v>1.5587747237477628E-5</v>
      </c>
      <c r="F81" s="85">
        <v>1.22010292119119E-5</v>
      </c>
      <c r="G81" s="132">
        <v>1E-8</v>
      </c>
      <c r="H81" s="85">
        <v>1E-8</v>
      </c>
      <c r="I81" s="85">
        <v>1E-8</v>
      </c>
      <c r="J81" s="132">
        <v>6.0766037634309773E-2</v>
      </c>
      <c r="K81" s="85">
        <v>1E-8</v>
      </c>
      <c r="L81" s="85">
        <v>1E-8</v>
      </c>
      <c r="M81" s="123"/>
      <c r="N81" s="125"/>
      <c r="O81" s="123"/>
      <c r="P81" s="70" t="s">
        <v>649</v>
      </c>
      <c r="Q81" s="123"/>
      <c r="R81" s="124" t="s">
        <v>549</v>
      </c>
      <c r="S81" s="85">
        <v>7.8552468852295873E-2</v>
      </c>
      <c r="T81" s="85">
        <v>6.0766037634309773E-2</v>
      </c>
      <c r="U81" s="85">
        <v>2.7505320733793082E-2</v>
      </c>
      <c r="V81" s="132">
        <v>1E-8</v>
      </c>
      <c r="W81" s="85">
        <v>1E-8</v>
      </c>
      <c r="X81" s="132">
        <v>3.1528392563392607</v>
      </c>
      <c r="Y81" s="85">
        <v>93.324130574292255</v>
      </c>
      <c r="Z81" s="123"/>
    </row>
    <row r="82" spans="1:26" x14ac:dyDescent="0.35">
      <c r="A82" s="70" t="s">
        <v>650</v>
      </c>
      <c r="B82" s="123"/>
      <c r="C82" s="124" t="s">
        <v>550</v>
      </c>
      <c r="D82" s="85">
        <v>1.99462871016226</v>
      </c>
      <c r="E82" s="85">
        <v>10.982895433994031</v>
      </c>
      <c r="F82" s="85">
        <v>4.9222591857426199</v>
      </c>
      <c r="G82" s="132">
        <v>0.38911625404249001</v>
      </c>
      <c r="H82" s="85">
        <v>1E-8</v>
      </c>
      <c r="I82" s="85">
        <v>1E-8</v>
      </c>
      <c r="J82" s="132">
        <v>0.11946365744952211</v>
      </c>
      <c r="K82" s="85">
        <v>1E-8</v>
      </c>
      <c r="L82" s="85">
        <v>1E-8</v>
      </c>
      <c r="M82" s="123"/>
      <c r="N82" s="125"/>
      <c r="O82" s="123"/>
      <c r="P82" s="70" t="s">
        <v>650</v>
      </c>
      <c r="Q82" s="123"/>
      <c r="R82" s="124" t="s">
        <v>550</v>
      </c>
      <c r="S82" s="85">
        <v>5.099236634159058E-2</v>
      </c>
      <c r="T82" s="85">
        <v>0.11946365744952211</v>
      </c>
      <c r="U82" s="85">
        <v>1.7858183408741717E-2</v>
      </c>
      <c r="V82" s="132">
        <v>0.43810439814032653</v>
      </c>
      <c r="W82" s="85">
        <v>11.691214982010866</v>
      </c>
      <c r="X82" s="132">
        <v>1.8052458140380552</v>
      </c>
      <c r="Y82" s="85">
        <v>61.339282248902784</v>
      </c>
      <c r="Z82" s="123"/>
    </row>
    <row r="83" spans="1:26" x14ac:dyDescent="0.35">
      <c r="A83" s="9" t="s">
        <v>172</v>
      </c>
      <c r="B83" s="123"/>
      <c r="C83" s="124" t="s">
        <v>551</v>
      </c>
      <c r="D83" s="79">
        <v>2.4714983456314261</v>
      </c>
      <c r="E83" s="79">
        <v>4.517843406550984</v>
      </c>
      <c r="F83" s="79">
        <v>2.7241821051889525</v>
      </c>
      <c r="G83" s="129">
        <v>1.0652147504874923</v>
      </c>
      <c r="H83" s="79">
        <v>1E-8</v>
      </c>
      <c r="I83" s="79">
        <v>1E-8</v>
      </c>
      <c r="J83" s="129">
        <v>0.70883110651456926</v>
      </c>
      <c r="K83" s="79">
        <v>1E-8</v>
      </c>
      <c r="L83" s="79">
        <v>1E-8</v>
      </c>
      <c r="M83" s="123"/>
      <c r="N83" s="125"/>
      <c r="O83" s="123"/>
      <c r="P83" s="9" t="s">
        <v>172</v>
      </c>
      <c r="Q83" s="123"/>
      <c r="R83" s="124" t="s">
        <v>551</v>
      </c>
      <c r="S83" s="79">
        <v>0.4823650668431303</v>
      </c>
      <c r="T83" s="79">
        <v>0.70883110651456926</v>
      </c>
      <c r="U83" s="79">
        <v>0.17409011039283029</v>
      </c>
      <c r="V83" s="129">
        <v>1.1645205032395907</v>
      </c>
      <c r="W83" s="79">
        <v>11.439828625264324</v>
      </c>
      <c r="X83" s="129">
        <v>2.4288107664919938</v>
      </c>
      <c r="Y83" s="79">
        <v>42.291799189351849</v>
      </c>
      <c r="Z83" s="123"/>
    </row>
    <row r="84" spans="1:26" x14ac:dyDescent="0.35">
      <c r="A84" s="70" t="s">
        <v>651</v>
      </c>
      <c r="B84" s="123"/>
      <c r="C84" s="124" t="s">
        <v>344</v>
      </c>
      <c r="D84" s="85">
        <v>0.91703276177773496</v>
      </c>
      <c r="E84" s="85">
        <v>8.65276116244892</v>
      </c>
      <c r="F84" s="85">
        <v>1.8890525638671267</v>
      </c>
      <c r="G84" s="132">
        <v>8.8873429010024083E-2</v>
      </c>
      <c r="H84" s="85">
        <v>1E-8</v>
      </c>
      <c r="I84" s="85">
        <v>1E-8</v>
      </c>
      <c r="J84" s="132">
        <v>6.8733178927731411E-2</v>
      </c>
      <c r="K84" s="85">
        <v>1E-8</v>
      </c>
      <c r="L84" s="85">
        <v>1E-8</v>
      </c>
      <c r="M84" s="123"/>
      <c r="N84" s="125"/>
      <c r="O84" s="123"/>
      <c r="P84" s="70" t="s">
        <v>651</v>
      </c>
      <c r="Q84" s="123"/>
      <c r="R84" s="124" t="s">
        <v>344</v>
      </c>
      <c r="S84" s="85">
        <v>3.1719376023935909E-2</v>
      </c>
      <c r="T84" s="85">
        <v>6.8733178927731411E-2</v>
      </c>
      <c r="U84" s="85">
        <v>1.1427350490990314E-2</v>
      </c>
      <c r="V84" s="132">
        <v>9.6045204099255113E-2</v>
      </c>
      <c r="W84" s="85">
        <v>12.169120717613461</v>
      </c>
      <c r="X84" s="132">
        <v>0.87938295522783427</v>
      </c>
      <c r="Y84" s="85">
        <v>77.315594084530019</v>
      </c>
      <c r="Z84" s="123"/>
    </row>
    <row r="85" spans="1:26" x14ac:dyDescent="0.35">
      <c r="A85" s="70" t="s">
        <v>652</v>
      </c>
      <c r="B85" s="123"/>
      <c r="C85" s="124" t="s">
        <v>552</v>
      </c>
      <c r="D85" s="85">
        <v>1.5544655838536914</v>
      </c>
      <c r="E85" s="85">
        <v>2.1710569545646492</v>
      </c>
      <c r="F85" s="85">
        <v>0.83512954132182637</v>
      </c>
      <c r="G85" s="132">
        <v>0.97634132147746788</v>
      </c>
      <c r="H85" s="85">
        <v>1E-8</v>
      </c>
      <c r="I85" s="85">
        <v>1E-8</v>
      </c>
      <c r="J85" s="132">
        <v>0.46498458768661938</v>
      </c>
      <c r="K85" s="85">
        <v>1E-8</v>
      </c>
      <c r="L85" s="85">
        <v>1E-8</v>
      </c>
      <c r="M85" s="123"/>
      <c r="N85" s="125"/>
      <c r="O85" s="123"/>
      <c r="P85" s="70" t="s">
        <v>652</v>
      </c>
      <c r="Q85" s="123"/>
      <c r="R85" s="124" t="s">
        <v>552</v>
      </c>
      <c r="S85" s="85">
        <v>0.29104619836547313</v>
      </c>
      <c r="T85" s="85">
        <v>0.46498458768661938</v>
      </c>
      <c r="U85" s="85">
        <v>0.10501153161646783</v>
      </c>
      <c r="V85" s="132">
        <v>1.0684752991403357</v>
      </c>
      <c r="W85" s="85">
        <v>15.475949829724438</v>
      </c>
      <c r="X85" s="132">
        <v>1.5494278112641593</v>
      </c>
      <c r="Y85" s="85">
        <v>42.18879599239262</v>
      </c>
      <c r="Z85" s="123"/>
    </row>
    <row r="86" spans="1:26" x14ac:dyDescent="0.35">
      <c r="A86" s="70" t="s">
        <v>653</v>
      </c>
      <c r="B86" s="123"/>
      <c r="C86" s="124" t="s">
        <v>553</v>
      </c>
      <c r="D86" s="85">
        <v>1E-8</v>
      </c>
      <c r="E86" s="85">
        <v>1E-8</v>
      </c>
      <c r="F86" s="85">
        <v>1E-8</v>
      </c>
      <c r="G86" s="132">
        <v>1E-8</v>
      </c>
      <c r="H86" s="85">
        <v>1E-8</v>
      </c>
      <c r="I86" s="85">
        <v>1E-8</v>
      </c>
      <c r="J86" s="132">
        <v>0.17511333990021841</v>
      </c>
      <c r="K86" s="85">
        <v>1E-8</v>
      </c>
      <c r="L86" s="85">
        <v>1E-8</v>
      </c>
      <c r="M86" s="123"/>
      <c r="N86" s="125"/>
      <c r="O86" s="123"/>
      <c r="P86" s="70" t="s">
        <v>653</v>
      </c>
      <c r="Q86" s="123"/>
      <c r="R86" s="124" t="s">
        <v>553</v>
      </c>
      <c r="S86" s="85">
        <v>0.15959949245372118</v>
      </c>
      <c r="T86" s="85">
        <v>0.17511333990021841</v>
      </c>
      <c r="U86" s="85">
        <v>5.7651228285372141E-2</v>
      </c>
      <c r="V86" s="132">
        <v>1E-8</v>
      </c>
      <c r="W86" s="85">
        <v>1E-8</v>
      </c>
      <c r="X86" s="132">
        <v>1E-8</v>
      </c>
      <c r="Y86" s="85">
        <v>1E-8</v>
      </c>
      <c r="Z86" s="123"/>
    </row>
    <row r="87" spans="1:26" x14ac:dyDescent="0.35">
      <c r="A87" s="9" t="s">
        <v>368</v>
      </c>
      <c r="B87" s="123"/>
      <c r="C87" s="124" t="s">
        <v>345</v>
      </c>
      <c r="D87" s="79">
        <v>26.619552458414002</v>
      </c>
      <c r="E87" s="79">
        <v>6.2474931014486925</v>
      </c>
      <c r="F87" s="79">
        <v>36.88792164394831</v>
      </c>
      <c r="G87" s="129">
        <v>8.4872470912033116</v>
      </c>
      <c r="H87" s="79">
        <v>1E-8</v>
      </c>
      <c r="I87" s="79">
        <v>1E-8</v>
      </c>
      <c r="J87" s="129">
        <v>1.2544468385775598</v>
      </c>
      <c r="K87" s="79">
        <v>1E-8</v>
      </c>
      <c r="L87" s="79">
        <v>1E-8</v>
      </c>
      <c r="M87" s="123"/>
      <c r="N87" s="125"/>
      <c r="O87" s="123"/>
      <c r="P87" s="9" t="s">
        <v>368</v>
      </c>
      <c r="Q87" s="123"/>
      <c r="R87" s="124" t="s">
        <v>345</v>
      </c>
      <c r="S87" s="79">
        <v>0.45473511445417464</v>
      </c>
      <c r="T87" s="79">
        <v>1.2544468385775598</v>
      </c>
      <c r="U87" s="79">
        <v>0.24504484270138688</v>
      </c>
      <c r="V87" s="129">
        <v>9.0047228145615037</v>
      </c>
      <c r="W87" s="79">
        <v>57.488199150372274</v>
      </c>
      <c r="X87" s="129">
        <v>23.783026444362314</v>
      </c>
      <c r="Y87" s="79">
        <v>89.003756284777552</v>
      </c>
      <c r="Z87" s="123"/>
    </row>
    <row r="88" spans="1:26" x14ac:dyDescent="0.35">
      <c r="A88" s="70" t="s">
        <v>654</v>
      </c>
      <c r="B88" s="123"/>
      <c r="C88" s="124" t="s">
        <v>346</v>
      </c>
      <c r="D88" s="85">
        <v>5.7336396841947233</v>
      </c>
      <c r="E88" s="85">
        <v>6.3119018192447491</v>
      </c>
      <c r="F88" s="85">
        <v>9.0960254988217937</v>
      </c>
      <c r="G88" s="132">
        <v>7.8332737928719931</v>
      </c>
      <c r="H88" s="85">
        <v>1E-8</v>
      </c>
      <c r="I88" s="85">
        <v>1E-8</v>
      </c>
      <c r="J88" s="132">
        <v>1.0652637106920655</v>
      </c>
      <c r="K88" s="85">
        <v>1E-8</v>
      </c>
      <c r="L88" s="85">
        <v>1E-8</v>
      </c>
      <c r="M88" s="123"/>
      <c r="N88" s="125"/>
      <c r="O88" s="123"/>
      <c r="P88" s="70" t="s">
        <v>654</v>
      </c>
      <c r="Q88" s="123"/>
      <c r="R88" s="124" t="s">
        <v>346</v>
      </c>
      <c r="S88" s="85">
        <v>0.27268539414068088</v>
      </c>
      <c r="T88" s="85">
        <v>1.0652637106920655</v>
      </c>
      <c r="U88" s="85">
        <v>0.14692183870843498</v>
      </c>
      <c r="V88" s="132">
        <v>8.168496555485131</v>
      </c>
      <c r="W88" s="85">
        <v>62.538964277378895</v>
      </c>
      <c r="X88" s="132">
        <v>5.8047049753821831</v>
      </c>
      <c r="Y88" s="85">
        <v>75.488005686968862</v>
      </c>
      <c r="Z88" s="123"/>
    </row>
    <row r="89" spans="1:26" x14ac:dyDescent="0.35">
      <c r="A89" s="70" t="s">
        <v>655</v>
      </c>
      <c r="B89" s="123"/>
      <c r="C89" s="124" t="s">
        <v>347</v>
      </c>
      <c r="D89" s="85">
        <v>14.590004464039977</v>
      </c>
      <c r="E89" s="85">
        <v>4.2252792866554048</v>
      </c>
      <c r="F89" s="85">
        <v>13.652734912384377</v>
      </c>
      <c r="G89" s="132">
        <v>1E-8</v>
      </c>
      <c r="H89" s="85">
        <v>1E-8</v>
      </c>
      <c r="I89" s="85">
        <v>1E-8</v>
      </c>
      <c r="J89" s="132">
        <v>0.11336212245442587</v>
      </c>
      <c r="K89" s="85">
        <v>1E-8</v>
      </c>
      <c r="L89" s="85">
        <v>1E-8</v>
      </c>
      <c r="M89" s="123"/>
      <c r="N89" s="125"/>
      <c r="O89" s="123"/>
      <c r="P89" s="70" t="s">
        <v>655</v>
      </c>
      <c r="Q89" s="123"/>
      <c r="R89" s="124" t="s">
        <v>347</v>
      </c>
      <c r="S89" s="85">
        <v>0.11943703908505254</v>
      </c>
      <c r="T89" s="85">
        <v>0.11336212245442587</v>
      </c>
      <c r="U89" s="85">
        <v>6.4373424348745129E-2</v>
      </c>
      <c r="V89" s="132">
        <v>1E-8</v>
      </c>
      <c r="W89" s="85">
        <v>1E-8</v>
      </c>
      <c r="X89" s="132">
        <v>13.015263184677547</v>
      </c>
      <c r="Y89" s="85">
        <v>94.073077501170914</v>
      </c>
      <c r="Z89" s="123"/>
    </row>
    <row r="90" spans="1:26" x14ac:dyDescent="0.35">
      <c r="A90" s="70" t="s">
        <v>656</v>
      </c>
      <c r="B90" s="123"/>
      <c r="C90" s="124" t="s">
        <v>348</v>
      </c>
      <c r="D90" s="85">
        <v>6.2959083101793007</v>
      </c>
      <c r="E90" s="85">
        <v>11.475272007982847</v>
      </c>
      <c r="F90" s="85">
        <v>14.139161232742145</v>
      </c>
      <c r="G90" s="132">
        <v>0.65397329833131956</v>
      </c>
      <c r="H90" s="85">
        <v>1E-8</v>
      </c>
      <c r="I90" s="85">
        <v>1E-8</v>
      </c>
      <c r="J90" s="132">
        <v>7.5821005431068372E-2</v>
      </c>
      <c r="K90" s="85">
        <v>1E-8</v>
      </c>
      <c r="L90" s="85">
        <v>1E-8</v>
      </c>
      <c r="M90" s="123"/>
      <c r="N90" s="125"/>
      <c r="O90" s="123"/>
      <c r="P90" s="70" t="s">
        <v>656</v>
      </c>
      <c r="Q90" s="123"/>
      <c r="R90" s="124" t="s">
        <v>348</v>
      </c>
      <c r="S90" s="85">
        <v>6.2612681228441214E-2</v>
      </c>
      <c r="T90" s="85">
        <v>7.5821005431068372E-2</v>
      </c>
      <c r="U90" s="85">
        <v>3.3749579644206718E-2</v>
      </c>
      <c r="V90" s="132">
        <v>0.83622625907637216</v>
      </c>
      <c r="W90" s="85">
        <v>69.400566701301742</v>
      </c>
      <c r="X90" s="132">
        <v>4.9630582843025861</v>
      </c>
      <c r="Y90" s="85">
        <v>92.536649686554995</v>
      </c>
      <c r="Z90" s="123"/>
    </row>
    <row r="91" spans="1:26" x14ac:dyDescent="0.35">
      <c r="A91" s="9" t="s">
        <v>181</v>
      </c>
      <c r="B91" s="123"/>
      <c r="C91" s="124" t="s">
        <v>554</v>
      </c>
      <c r="D91" s="79">
        <v>3.5178819633941192</v>
      </c>
      <c r="E91" s="79">
        <v>3.7515855994475378</v>
      </c>
      <c r="F91" s="79">
        <v>3.6024600879361137</v>
      </c>
      <c r="G91" s="129">
        <v>2.3233072921916165</v>
      </c>
      <c r="H91" s="79">
        <v>1E-8</v>
      </c>
      <c r="I91" s="79">
        <v>1E-8</v>
      </c>
      <c r="J91" s="129">
        <v>0.74035812472759821</v>
      </c>
      <c r="K91" s="79">
        <v>1E-8</v>
      </c>
      <c r="L91" s="79">
        <v>1E-8</v>
      </c>
      <c r="M91" s="123"/>
      <c r="N91" s="125"/>
      <c r="O91" s="123"/>
      <c r="P91" s="9" t="s">
        <v>181</v>
      </c>
      <c r="Q91" s="123"/>
      <c r="R91" s="124" t="s">
        <v>554</v>
      </c>
      <c r="S91" s="79">
        <v>0.86712410780075777</v>
      </c>
      <c r="T91" s="79">
        <v>0.74035812472759821</v>
      </c>
      <c r="U91" s="79">
        <v>0.46759874729498957</v>
      </c>
      <c r="V91" s="129">
        <v>2.3850229863570269</v>
      </c>
      <c r="W91" s="79">
        <v>29.668096862012682</v>
      </c>
      <c r="X91" s="129">
        <v>3.8678803859952442</v>
      </c>
      <c r="Y91" s="79">
        <v>63.581616706081689</v>
      </c>
      <c r="Z91" s="123"/>
    </row>
    <row r="92" spans="1:26" x14ac:dyDescent="0.35">
      <c r="A92" s="70" t="s">
        <v>657</v>
      </c>
      <c r="B92" s="123"/>
      <c r="C92" s="124" t="s">
        <v>555</v>
      </c>
      <c r="D92" s="85">
        <v>0.43489479753034976</v>
      </c>
      <c r="E92" s="85">
        <v>14.940459447616067</v>
      </c>
      <c r="F92" s="85">
        <v>1.5708954402149398</v>
      </c>
      <c r="G92" s="132">
        <v>0.27268809832529989</v>
      </c>
      <c r="H92" s="85">
        <v>1E-8</v>
      </c>
      <c r="I92" s="85">
        <v>1E-8</v>
      </c>
      <c r="J92" s="132">
        <v>0.33231874580383786</v>
      </c>
      <c r="K92" s="85">
        <v>1E-8</v>
      </c>
      <c r="L92" s="85">
        <v>1E-8</v>
      </c>
      <c r="M92" s="123"/>
      <c r="N92" s="125"/>
      <c r="O92" s="123"/>
      <c r="P92" s="70" t="s">
        <v>657</v>
      </c>
      <c r="Q92" s="123"/>
      <c r="R92" s="124" t="s">
        <v>555</v>
      </c>
      <c r="S92" s="85">
        <v>0.33807467548415759</v>
      </c>
      <c r="T92" s="85">
        <v>0.33231874580383786</v>
      </c>
      <c r="U92" s="85">
        <v>0.18214475660007237</v>
      </c>
      <c r="V92" s="132">
        <v>0.2756039560689662</v>
      </c>
      <c r="W92" s="85">
        <v>9.2001464205257637</v>
      </c>
      <c r="X92" s="132">
        <v>0.42351816603404568</v>
      </c>
      <c r="Y92" s="85">
        <v>30.942945127000403</v>
      </c>
      <c r="Z92" s="123"/>
    </row>
    <row r="93" spans="1:26" x14ac:dyDescent="0.35">
      <c r="A93" s="70" t="s">
        <v>658</v>
      </c>
      <c r="B93" s="123"/>
      <c r="C93" s="124" t="s">
        <v>349</v>
      </c>
      <c r="D93" s="85">
        <v>2.0408793169123136</v>
      </c>
      <c r="E93" s="85">
        <v>3.8328160009951109</v>
      </c>
      <c r="F93" s="85">
        <v>2.0315646477211744</v>
      </c>
      <c r="G93" s="132">
        <v>2.0227327656647174</v>
      </c>
      <c r="H93" s="85">
        <v>1E-8</v>
      </c>
      <c r="I93" s="85">
        <v>1E-8</v>
      </c>
      <c r="J93" s="132">
        <v>0.40128299898719683</v>
      </c>
      <c r="K93" s="85">
        <v>1E-8</v>
      </c>
      <c r="L93" s="85">
        <v>1E-8</v>
      </c>
      <c r="M93" s="123"/>
      <c r="N93" s="125"/>
      <c r="O93" s="123"/>
      <c r="P93" s="70" t="s">
        <v>658</v>
      </c>
      <c r="Q93" s="123"/>
      <c r="R93" s="124" t="s">
        <v>349</v>
      </c>
      <c r="S93" s="85">
        <v>0.52626412578386494</v>
      </c>
      <c r="T93" s="85">
        <v>0.40128299898719683</v>
      </c>
      <c r="U93" s="85">
        <v>0.28352972102509399</v>
      </c>
      <c r="V93" s="132">
        <v>2.084672193551691</v>
      </c>
      <c r="W93" s="85">
        <v>41.799296488503963</v>
      </c>
      <c r="X93" s="132">
        <v>2.1350172743487752</v>
      </c>
      <c r="Y93" s="85">
        <v>66.148935360389444</v>
      </c>
      <c r="Z93" s="123"/>
    </row>
    <row r="94" spans="1:26" x14ac:dyDescent="0.35">
      <c r="A94" s="70" t="s">
        <v>659</v>
      </c>
      <c r="B94" s="123"/>
      <c r="C94" s="124" t="s">
        <v>556</v>
      </c>
      <c r="D94" s="87">
        <v>1.0421078489514557</v>
      </c>
      <c r="E94" s="87">
        <v>1E-8</v>
      </c>
      <c r="F94" s="87">
        <v>1E-8</v>
      </c>
      <c r="G94" s="133">
        <v>2.7886428201599367E-2</v>
      </c>
      <c r="H94" s="87">
        <v>1E-8</v>
      </c>
      <c r="I94" s="87">
        <v>1E-8</v>
      </c>
      <c r="J94" s="133">
        <v>6.7563799365635661E-3</v>
      </c>
      <c r="K94" s="87">
        <v>1E-8</v>
      </c>
      <c r="L94" s="87">
        <v>1E-8</v>
      </c>
      <c r="M94" s="123"/>
      <c r="N94" s="125"/>
      <c r="O94" s="123"/>
      <c r="P94" s="70" t="s">
        <v>659</v>
      </c>
      <c r="Q94" s="123"/>
      <c r="R94" s="124" t="s">
        <v>556</v>
      </c>
      <c r="S94" s="87">
        <v>2.7853065327350379E-3</v>
      </c>
      <c r="T94" s="87">
        <v>6.7563799365635661E-3</v>
      </c>
      <c r="U94" s="87">
        <v>1.9242696698231667E-3</v>
      </c>
      <c r="V94" s="133">
        <v>2.4746836736369529E-2</v>
      </c>
      <c r="W94" s="87">
        <v>100</v>
      </c>
      <c r="X94" s="133">
        <v>1.3093449456124233</v>
      </c>
      <c r="Y94" s="87">
        <v>99.999999999999957</v>
      </c>
      <c r="Z94" s="123"/>
    </row>
    <row r="95" spans="1:26" x14ac:dyDescent="0.35">
      <c r="A95" s="11" t="s">
        <v>286</v>
      </c>
      <c r="B95" s="123"/>
      <c r="C95" s="124" t="s">
        <v>350</v>
      </c>
      <c r="D95" s="77">
        <v>0.54353485735239648</v>
      </c>
      <c r="E95" s="77">
        <v>1E-8</v>
      </c>
      <c r="F95" s="77">
        <v>1E-8</v>
      </c>
      <c r="G95" s="128">
        <v>3.8508852394808377</v>
      </c>
      <c r="H95" s="77">
        <v>1E-8</v>
      </c>
      <c r="I95" s="77">
        <v>1E-8</v>
      </c>
      <c r="J95" s="128">
        <v>13.136750849793682</v>
      </c>
      <c r="K95" s="77">
        <v>1E-8</v>
      </c>
      <c r="L95" s="77">
        <v>1E-8</v>
      </c>
      <c r="M95" s="123"/>
      <c r="N95" s="125"/>
      <c r="O95" s="123"/>
      <c r="P95" s="11" t="s">
        <v>286</v>
      </c>
      <c r="Q95" s="123"/>
      <c r="R95" s="124" t="s">
        <v>350</v>
      </c>
      <c r="S95" s="77">
        <v>8.1514394725860697</v>
      </c>
      <c r="T95" s="77">
        <v>13.136750849793682</v>
      </c>
      <c r="U95" s="77">
        <v>8.3116800804222919</v>
      </c>
      <c r="V95" s="128">
        <v>3.4173336084132138</v>
      </c>
      <c r="W95" s="77">
        <v>2.3706187670416039</v>
      </c>
      <c r="X95" s="128">
        <v>0.68291839367163409</v>
      </c>
      <c r="Y95" s="77">
        <v>1.0914743318680373</v>
      </c>
      <c r="Z95" s="123"/>
    </row>
    <row r="96" spans="1:26" x14ac:dyDescent="0.35">
      <c r="A96" s="11" t="s">
        <v>369</v>
      </c>
      <c r="B96" s="123"/>
      <c r="C96" s="124" t="s">
        <v>557</v>
      </c>
      <c r="D96" s="77">
        <v>1E-8</v>
      </c>
      <c r="E96" s="77">
        <v>1E-8</v>
      </c>
      <c r="F96" s="77">
        <v>1E-8</v>
      </c>
      <c r="G96" s="128">
        <v>1E-8</v>
      </c>
      <c r="H96" s="77">
        <v>1E-8</v>
      </c>
      <c r="I96" s="77">
        <v>1E-8</v>
      </c>
      <c r="J96" s="128">
        <v>1.8675126322601796</v>
      </c>
      <c r="K96" s="77">
        <v>1E-8</v>
      </c>
      <c r="L96" s="77">
        <v>1E-8</v>
      </c>
      <c r="M96" s="123"/>
      <c r="N96" s="125"/>
      <c r="O96" s="123"/>
      <c r="P96" s="11" t="s">
        <v>369</v>
      </c>
      <c r="Q96" s="123"/>
      <c r="R96" s="124" t="s">
        <v>557</v>
      </c>
      <c r="S96" s="77">
        <v>1.6472966934225737</v>
      </c>
      <c r="T96" s="77">
        <v>1.8675126322601796</v>
      </c>
      <c r="U96" s="77">
        <v>1.6807261902589243</v>
      </c>
      <c r="V96" s="128">
        <v>1E-8</v>
      </c>
      <c r="W96" s="77">
        <v>1E-8</v>
      </c>
      <c r="X96" s="128">
        <v>1E-8</v>
      </c>
      <c r="Y96" s="77">
        <v>1E-8</v>
      </c>
      <c r="Z96" s="123"/>
    </row>
    <row r="97" spans="1:26" x14ac:dyDescent="0.35">
      <c r="A97" s="9" t="s">
        <v>660</v>
      </c>
      <c r="B97" s="123"/>
      <c r="C97" s="124" t="s">
        <v>351</v>
      </c>
      <c r="D97" s="79">
        <v>1E-8</v>
      </c>
      <c r="E97" s="79">
        <v>1E-8</v>
      </c>
      <c r="F97" s="79">
        <v>1E-8</v>
      </c>
      <c r="G97" s="129">
        <v>1E-8</v>
      </c>
      <c r="H97" s="79">
        <v>1E-8</v>
      </c>
      <c r="I97" s="79">
        <v>1E-8</v>
      </c>
      <c r="J97" s="129">
        <v>1.4065501214877894</v>
      </c>
      <c r="K97" s="79">
        <v>1E-8</v>
      </c>
      <c r="L97" s="79">
        <v>1E-8</v>
      </c>
      <c r="M97" s="123"/>
      <c r="N97" s="125"/>
      <c r="O97" s="123"/>
      <c r="P97" s="9" t="s">
        <v>660</v>
      </c>
      <c r="Q97" s="123"/>
      <c r="R97" s="124" t="s">
        <v>351</v>
      </c>
      <c r="S97" s="79">
        <v>1.192456883741378</v>
      </c>
      <c r="T97" s="79">
        <v>1.4065501214877894</v>
      </c>
      <c r="U97" s="79">
        <v>1.2165701302719885</v>
      </c>
      <c r="V97" s="129">
        <v>1E-8</v>
      </c>
      <c r="W97" s="79">
        <v>1E-8</v>
      </c>
      <c r="X97" s="129">
        <v>1E-8</v>
      </c>
      <c r="Y97" s="79">
        <v>1E-8</v>
      </c>
      <c r="Z97" s="123"/>
    </row>
    <row r="98" spans="1:26" x14ac:dyDescent="0.35">
      <c r="A98" s="9" t="s">
        <v>661</v>
      </c>
      <c r="B98" s="123"/>
      <c r="C98" s="124" t="s">
        <v>352</v>
      </c>
      <c r="D98" s="79">
        <v>1E-8</v>
      </c>
      <c r="E98" s="79">
        <v>1E-8</v>
      </c>
      <c r="F98" s="79">
        <v>1E-8</v>
      </c>
      <c r="G98" s="129">
        <v>1E-8</v>
      </c>
      <c r="H98" s="79">
        <v>1E-8</v>
      </c>
      <c r="I98" s="79">
        <v>1E-8</v>
      </c>
      <c r="J98" s="129">
        <v>0.38192604128673574</v>
      </c>
      <c r="K98" s="79">
        <v>1E-8</v>
      </c>
      <c r="L98" s="79">
        <v>1E-8</v>
      </c>
      <c r="M98" s="123"/>
      <c r="N98" s="125"/>
      <c r="O98" s="123"/>
      <c r="P98" s="9" t="s">
        <v>661</v>
      </c>
      <c r="Q98" s="123"/>
      <c r="R98" s="124" t="s">
        <v>352</v>
      </c>
      <c r="S98" s="79">
        <v>0.39924730424259508</v>
      </c>
      <c r="T98" s="79">
        <v>0.38192604128673574</v>
      </c>
      <c r="U98" s="79">
        <v>0.40742814362679591</v>
      </c>
      <c r="V98" s="129">
        <v>1E-8</v>
      </c>
      <c r="W98" s="79">
        <v>1E-8</v>
      </c>
      <c r="X98" s="129">
        <v>1E-8</v>
      </c>
      <c r="Y98" s="79">
        <v>1E-8</v>
      </c>
      <c r="Z98" s="123"/>
    </row>
    <row r="99" spans="1:26" x14ac:dyDescent="0.35">
      <c r="A99" s="9" t="s">
        <v>662</v>
      </c>
      <c r="B99" s="123"/>
      <c r="C99" s="124" t="s">
        <v>558</v>
      </c>
      <c r="D99" s="79">
        <v>1E-8</v>
      </c>
      <c r="E99" s="79">
        <v>1E-8</v>
      </c>
      <c r="F99" s="79">
        <v>1E-8</v>
      </c>
      <c r="G99" s="129">
        <v>1E-8</v>
      </c>
      <c r="H99" s="79">
        <v>1E-8</v>
      </c>
      <c r="I99" s="79">
        <v>1E-8</v>
      </c>
      <c r="J99" s="129">
        <v>7.9036469485654445E-2</v>
      </c>
      <c r="K99" s="79">
        <v>1E-8</v>
      </c>
      <c r="L99" s="79">
        <v>1E-8</v>
      </c>
      <c r="M99" s="123"/>
      <c r="N99" s="125"/>
      <c r="O99" s="123"/>
      <c r="P99" s="9" t="s">
        <v>662</v>
      </c>
      <c r="Q99" s="123"/>
      <c r="R99" s="124" t="s">
        <v>558</v>
      </c>
      <c r="S99" s="79">
        <v>5.5592505438600504E-2</v>
      </c>
      <c r="T99" s="79">
        <v>7.9036469485654445E-2</v>
      </c>
      <c r="U99" s="79">
        <v>5.6727916360140233E-2</v>
      </c>
      <c r="V99" s="129">
        <v>1E-8</v>
      </c>
      <c r="W99" s="79">
        <v>1E-8</v>
      </c>
      <c r="X99" s="129">
        <v>1E-8</v>
      </c>
      <c r="Y99" s="79">
        <v>1E-8</v>
      </c>
      <c r="Z99" s="123"/>
    </row>
    <row r="100" spans="1:26" x14ac:dyDescent="0.35">
      <c r="A100" s="11" t="s">
        <v>188</v>
      </c>
      <c r="B100" s="123"/>
      <c r="C100" s="124" t="s">
        <v>559</v>
      </c>
      <c r="D100" s="77">
        <v>0.54353485735239648</v>
      </c>
      <c r="E100" s="77">
        <v>1E-8</v>
      </c>
      <c r="F100" s="77">
        <v>1E-8</v>
      </c>
      <c r="G100" s="128">
        <v>3.8508852394808377</v>
      </c>
      <c r="H100" s="77">
        <v>1E-8</v>
      </c>
      <c r="I100" s="77">
        <v>1E-8</v>
      </c>
      <c r="J100" s="128">
        <v>11.269238217533504</v>
      </c>
      <c r="K100" s="77">
        <v>1E-8</v>
      </c>
      <c r="L100" s="77">
        <v>1E-8</v>
      </c>
      <c r="M100" s="123"/>
      <c r="N100" s="125"/>
      <c r="O100" s="123"/>
      <c r="P100" s="11" t="s">
        <v>188</v>
      </c>
      <c r="Q100" s="123"/>
      <c r="R100" s="124" t="s">
        <v>559</v>
      </c>
      <c r="S100" s="77">
        <v>6.5041427791634954</v>
      </c>
      <c r="T100" s="77">
        <v>11.269238217533504</v>
      </c>
      <c r="U100" s="77">
        <v>6.6309538901633669</v>
      </c>
      <c r="V100" s="128">
        <v>3.4173336084132138</v>
      </c>
      <c r="W100" s="77">
        <v>2.7778858103488138</v>
      </c>
      <c r="X100" s="128">
        <v>0.68291839367163409</v>
      </c>
      <c r="Y100" s="77">
        <v>1.2818725694929236</v>
      </c>
      <c r="Z100" s="123"/>
    </row>
    <row r="101" spans="1:26" x14ac:dyDescent="0.35">
      <c r="A101" s="9" t="s">
        <v>663</v>
      </c>
      <c r="B101" s="123"/>
      <c r="C101" s="124" t="s">
        <v>353</v>
      </c>
      <c r="D101" s="79">
        <v>0.54353485735239648</v>
      </c>
      <c r="E101" s="79">
        <v>1E-8</v>
      </c>
      <c r="F101" s="79">
        <v>1E-8</v>
      </c>
      <c r="G101" s="129">
        <v>3.8508852394808377</v>
      </c>
      <c r="H101" s="79">
        <v>1E-8</v>
      </c>
      <c r="I101" s="79">
        <v>1E-8</v>
      </c>
      <c r="J101" s="129">
        <v>11.269238217533504</v>
      </c>
      <c r="K101" s="79">
        <v>1E-8</v>
      </c>
      <c r="L101" s="79">
        <v>1E-8</v>
      </c>
      <c r="M101" s="123"/>
      <c r="N101" s="125"/>
      <c r="O101" s="123"/>
      <c r="P101" s="9" t="s">
        <v>663</v>
      </c>
      <c r="Q101" s="123"/>
      <c r="R101" s="124" t="s">
        <v>353</v>
      </c>
      <c r="S101" s="79">
        <v>6.5041427791634954</v>
      </c>
      <c r="T101" s="79">
        <v>11.269238217533504</v>
      </c>
      <c r="U101" s="79">
        <v>6.6309538901633669</v>
      </c>
      <c r="V101" s="129">
        <v>3.4173336084132138</v>
      </c>
      <c r="W101" s="79">
        <v>2.7778858103488138</v>
      </c>
      <c r="X101" s="129">
        <v>0.68291839367163409</v>
      </c>
      <c r="Y101" s="79">
        <v>1.2818725694929236</v>
      </c>
      <c r="Z101" s="123"/>
    </row>
    <row r="102" spans="1:26" x14ac:dyDescent="0.35">
      <c r="A102" s="72" t="s">
        <v>664</v>
      </c>
      <c r="B102" s="123"/>
      <c r="C102" s="124" t="s">
        <v>560</v>
      </c>
      <c r="D102" s="81">
        <v>1E-8</v>
      </c>
      <c r="E102" s="81">
        <v>1E-8</v>
      </c>
      <c r="F102" s="81">
        <v>1E-8</v>
      </c>
      <c r="G102" s="130">
        <v>1E-8</v>
      </c>
      <c r="H102" s="81">
        <v>1E-8</v>
      </c>
      <c r="I102" s="81">
        <v>1E-8</v>
      </c>
      <c r="J102" s="130">
        <v>1E-8</v>
      </c>
      <c r="K102" s="81">
        <v>1E-8</v>
      </c>
      <c r="L102" s="81">
        <v>1E-8</v>
      </c>
      <c r="M102" s="123"/>
      <c r="N102" s="125"/>
      <c r="O102" s="123"/>
      <c r="P102" s="72" t="s">
        <v>664</v>
      </c>
      <c r="Q102" s="123"/>
      <c r="R102" s="124" t="s">
        <v>560</v>
      </c>
      <c r="S102" s="81">
        <v>1E-8</v>
      </c>
      <c r="T102" s="81">
        <v>1E-8</v>
      </c>
      <c r="U102" s="81">
        <v>1E-8</v>
      </c>
      <c r="V102" s="130">
        <v>1E-8</v>
      </c>
      <c r="W102" s="81">
        <v>1E-8</v>
      </c>
      <c r="X102" s="130">
        <v>1E-8</v>
      </c>
      <c r="Y102" s="81">
        <v>1E-8</v>
      </c>
      <c r="Z102" s="123"/>
    </row>
    <row r="103" spans="1:26" x14ac:dyDescent="0.35">
      <c r="A103" s="5" t="s">
        <v>287</v>
      </c>
      <c r="B103" s="123"/>
      <c r="C103" s="124" t="s">
        <v>354</v>
      </c>
      <c r="D103" s="73">
        <v>14.442070870484148</v>
      </c>
      <c r="E103" s="73">
        <v>5.4265420676869185E-4</v>
      </c>
      <c r="F103" s="73">
        <v>2.4445728330546018E-3</v>
      </c>
      <c r="G103" s="126">
        <v>35.592460910951409</v>
      </c>
      <c r="H103" s="73">
        <v>1E-8</v>
      </c>
      <c r="I103" s="73">
        <v>1E-8</v>
      </c>
      <c r="J103" s="126">
        <v>53.062113799289065</v>
      </c>
      <c r="K103" s="73">
        <v>-1.3958064602352631</v>
      </c>
      <c r="L103" s="73">
        <v>100</v>
      </c>
      <c r="M103" s="123"/>
      <c r="N103" s="125"/>
      <c r="O103" s="123"/>
      <c r="P103" s="5" t="s">
        <v>287</v>
      </c>
      <c r="Q103" s="123"/>
      <c r="R103" s="124" t="s">
        <v>354</v>
      </c>
      <c r="S103" s="73">
        <v>52.33044723368139</v>
      </c>
      <c r="T103" s="73">
        <v>53.062113799289065</v>
      </c>
      <c r="U103" s="73">
        <v>56.816262718129693</v>
      </c>
      <c r="V103" s="126">
        <v>31.58528632069174</v>
      </c>
      <c r="W103" s="73">
        <v>5.3724625636990027</v>
      </c>
      <c r="X103" s="126">
        <v>18.145482642706554</v>
      </c>
      <c r="Y103" s="73">
        <v>6.9053223939058954</v>
      </c>
      <c r="Z103" s="123"/>
    </row>
    <row r="104" spans="1:26" x14ac:dyDescent="0.35">
      <c r="A104" s="11" t="s">
        <v>370</v>
      </c>
      <c r="B104" s="123"/>
      <c r="C104" s="124" t="s">
        <v>561</v>
      </c>
      <c r="D104" s="77">
        <v>1E-8</v>
      </c>
      <c r="E104" s="77">
        <v>1E-8</v>
      </c>
      <c r="F104" s="77">
        <v>1E-8</v>
      </c>
      <c r="G104" s="128">
        <v>1E-8</v>
      </c>
      <c r="H104" s="77">
        <v>1E-8</v>
      </c>
      <c r="I104" s="77">
        <v>1E-8</v>
      </c>
      <c r="J104" s="128">
        <v>9.5072207091326764</v>
      </c>
      <c r="K104" s="77">
        <v>1E-8</v>
      </c>
      <c r="L104" s="77">
        <v>1E-8</v>
      </c>
      <c r="M104" s="123"/>
      <c r="N104" s="125"/>
      <c r="O104" s="123"/>
      <c r="P104" s="11" t="s">
        <v>370</v>
      </c>
      <c r="Q104" s="123"/>
      <c r="R104" s="124" t="s">
        <v>561</v>
      </c>
      <c r="S104" s="77">
        <v>9.0458405193778741</v>
      </c>
      <c r="T104" s="77">
        <v>9.5072207091326764</v>
      </c>
      <c r="U104" s="77">
        <v>8.4511223318250206</v>
      </c>
      <c r="V104" s="128">
        <v>1E-8</v>
      </c>
      <c r="W104" s="77">
        <v>1E-8</v>
      </c>
      <c r="X104" s="128">
        <v>1E-8</v>
      </c>
      <c r="Y104" s="77">
        <v>1E-8</v>
      </c>
      <c r="Z104" s="123"/>
    </row>
    <row r="105" spans="1:26" x14ac:dyDescent="0.35">
      <c r="A105" s="9" t="s">
        <v>665</v>
      </c>
      <c r="B105" s="123"/>
      <c r="C105" s="124" t="s">
        <v>562</v>
      </c>
      <c r="D105" s="79">
        <v>1E-8</v>
      </c>
      <c r="E105" s="79">
        <v>1E-8</v>
      </c>
      <c r="F105" s="79">
        <v>1E-8</v>
      </c>
      <c r="G105" s="129">
        <v>1E-8</v>
      </c>
      <c r="H105" s="79">
        <v>1E-8</v>
      </c>
      <c r="I105" s="79">
        <v>1E-8</v>
      </c>
      <c r="J105" s="129">
        <v>0.45446674739819731</v>
      </c>
      <c r="K105" s="79">
        <v>1E-8</v>
      </c>
      <c r="L105" s="79">
        <v>1E-8</v>
      </c>
      <c r="M105" s="123"/>
      <c r="N105" s="125"/>
      <c r="O105" s="123"/>
      <c r="P105" s="9" t="s">
        <v>665</v>
      </c>
      <c r="Q105" s="123"/>
      <c r="R105" s="124" t="s">
        <v>562</v>
      </c>
      <c r="S105" s="79">
        <v>0.54544496701683431</v>
      </c>
      <c r="T105" s="79">
        <v>0.45446674739819731</v>
      </c>
      <c r="U105" s="79">
        <v>0.51128066089028579</v>
      </c>
      <c r="V105" s="129">
        <v>1E-8</v>
      </c>
      <c r="W105" s="79">
        <v>1E-8</v>
      </c>
      <c r="X105" s="129">
        <v>1E-8</v>
      </c>
      <c r="Y105" s="79">
        <v>1E-8</v>
      </c>
      <c r="Z105" s="123"/>
    </row>
    <row r="106" spans="1:26" x14ac:dyDescent="0.35">
      <c r="A106" s="9" t="s">
        <v>666</v>
      </c>
      <c r="B106" s="123"/>
      <c r="C106" s="124" t="s">
        <v>563</v>
      </c>
      <c r="D106" s="79">
        <v>1E-8</v>
      </c>
      <c r="E106" s="79">
        <v>1E-8</v>
      </c>
      <c r="F106" s="79">
        <v>1E-8</v>
      </c>
      <c r="G106" s="129">
        <v>1E-8</v>
      </c>
      <c r="H106" s="79">
        <v>1E-8</v>
      </c>
      <c r="I106" s="79">
        <v>1E-8</v>
      </c>
      <c r="J106" s="129">
        <v>9.090928211589365E-2</v>
      </c>
      <c r="K106" s="79">
        <v>1E-8</v>
      </c>
      <c r="L106" s="79">
        <v>1E-8</v>
      </c>
      <c r="M106" s="123"/>
      <c r="N106" s="125"/>
      <c r="O106" s="123"/>
      <c r="P106" s="9" t="s">
        <v>666</v>
      </c>
      <c r="Q106" s="123"/>
      <c r="R106" s="124" t="s">
        <v>563</v>
      </c>
      <c r="S106" s="79">
        <v>6.1691188718464879E-2</v>
      </c>
      <c r="T106" s="79">
        <v>9.090928211589365E-2</v>
      </c>
      <c r="U106" s="79">
        <v>5.76952179934919E-2</v>
      </c>
      <c r="V106" s="129">
        <v>1E-8</v>
      </c>
      <c r="W106" s="79">
        <v>1E-8</v>
      </c>
      <c r="X106" s="129">
        <v>1E-8</v>
      </c>
      <c r="Y106" s="79">
        <v>1E-8</v>
      </c>
      <c r="Z106" s="123"/>
    </row>
    <row r="107" spans="1:26" x14ac:dyDescent="0.35">
      <c r="A107" s="9" t="s">
        <v>667</v>
      </c>
      <c r="B107" s="123"/>
      <c r="C107" s="124" t="s">
        <v>564</v>
      </c>
      <c r="D107" s="79">
        <v>1E-8</v>
      </c>
      <c r="E107" s="79">
        <v>1E-8</v>
      </c>
      <c r="F107" s="79">
        <v>1E-8</v>
      </c>
      <c r="G107" s="129">
        <v>1E-8</v>
      </c>
      <c r="H107" s="79">
        <v>1E-8</v>
      </c>
      <c r="I107" s="79">
        <v>1E-8</v>
      </c>
      <c r="J107" s="129">
        <v>3.1075295553234779</v>
      </c>
      <c r="K107" s="79">
        <v>1E-8</v>
      </c>
      <c r="L107" s="79">
        <v>1E-8</v>
      </c>
      <c r="M107" s="123"/>
      <c r="N107" s="125"/>
      <c r="O107" s="123"/>
      <c r="P107" s="9" t="s">
        <v>667</v>
      </c>
      <c r="Q107" s="123"/>
      <c r="R107" s="124" t="s">
        <v>564</v>
      </c>
      <c r="S107" s="79">
        <v>2.5545918403313883</v>
      </c>
      <c r="T107" s="79">
        <v>3.1075295553234779</v>
      </c>
      <c r="U107" s="79">
        <v>2.3871414684674788</v>
      </c>
      <c r="V107" s="129">
        <v>1E-8</v>
      </c>
      <c r="W107" s="79">
        <v>1E-8</v>
      </c>
      <c r="X107" s="129">
        <v>1E-8</v>
      </c>
      <c r="Y107" s="79">
        <v>1E-8</v>
      </c>
      <c r="Z107" s="123"/>
    </row>
    <row r="108" spans="1:26" x14ac:dyDescent="0.35">
      <c r="A108" s="9" t="s">
        <v>668</v>
      </c>
      <c r="B108" s="123"/>
      <c r="C108" s="124" t="s">
        <v>565</v>
      </c>
      <c r="D108" s="79">
        <v>1E-8</v>
      </c>
      <c r="E108" s="79">
        <v>1E-8</v>
      </c>
      <c r="F108" s="79">
        <v>1E-8</v>
      </c>
      <c r="G108" s="129">
        <v>1E-8</v>
      </c>
      <c r="H108" s="79">
        <v>1E-8</v>
      </c>
      <c r="I108" s="79">
        <v>1E-8</v>
      </c>
      <c r="J108" s="129">
        <v>5.8543151242951064</v>
      </c>
      <c r="K108" s="79">
        <v>1E-8</v>
      </c>
      <c r="L108" s="79">
        <v>1E-8</v>
      </c>
      <c r="M108" s="123"/>
      <c r="N108" s="125"/>
      <c r="O108" s="123"/>
      <c r="P108" s="9" t="s">
        <v>668</v>
      </c>
      <c r="Q108" s="123"/>
      <c r="R108" s="124" t="s">
        <v>565</v>
      </c>
      <c r="S108" s="79">
        <v>5.8841125233111873</v>
      </c>
      <c r="T108" s="79">
        <v>5.8543151242951064</v>
      </c>
      <c r="U108" s="79">
        <v>5.4950049844737636</v>
      </c>
      <c r="V108" s="129">
        <v>1E-8</v>
      </c>
      <c r="W108" s="79">
        <v>1E-8</v>
      </c>
      <c r="X108" s="129">
        <v>1E-8</v>
      </c>
      <c r="Y108" s="79">
        <v>1E-8</v>
      </c>
      <c r="Z108" s="123"/>
    </row>
    <row r="109" spans="1:26" x14ac:dyDescent="0.35">
      <c r="A109" s="11" t="s">
        <v>371</v>
      </c>
      <c r="B109" s="123"/>
      <c r="C109" s="124" t="s">
        <v>566</v>
      </c>
      <c r="D109" s="77">
        <v>2.172552274112733</v>
      </c>
      <c r="E109" s="77">
        <v>1E-8</v>
      </c>
      <c r="F109" s="77">
        <v>1E-8</v>
      </c>
      <c r="G109" s="128">
        <v>10.845055523828623</v>
      </c>
      <c r="H109" s="77">
        <v>1E-8</v>
      </c>
      <c r="I109" s="77">
        <v>1E-8</v>
      </c>
      <c r="J109" s="128">
        <v>5.0725463987576065</v>
      </c>
      <c r="K109" s="77">
        <v>-14.601037706215289</v>
      </c>
      <c r="L109" s="77">
        <v>100</v>
      </c>
      <c r="M109" s="123"/>
      <c r="N109" s="125"/>
      <c r="O109" s="123"/>
      <c r="P109" s="11" t="s">
        <v>371</v>
      </c>
      <c r="Q109" s="123"/>
      <c r="R109" s="124" t="s">
        <v>566</v>
      </c>
      <c r="S109" s="77">
        <v>5.0412273497742248</v>
      </c>
      <c r="T109" s="77">
        <v>5.0725463987576065</v>
      </c>
      <c r="U109" s="77">
        <v>5.4538084625536163</v>
      </c>
      <c r="V109" s="128">
        <v>9.6240657464213015</v>
      </c>
      <c r="W109" s="77">
        <v>17.445193940734725</v>
      </c>
      <c r="X109" s="128">
        <v>2.7296794108694922</v>
      </c>
      <c r="Y109" s="77">
        <v>11.995262100925906</v>
      </c>
      <c r="Z109" s="123"/>
    </row>
    <row r="110" spans="1:26" x14ac:dyDescent="0.35">
      <c r="A110" s="9" t="s">
        <v>669</v>
      </c>
      <c r="B110" s="123"/>
      <c r="C110" s="124" t="s">
        <v>567</v>
      </c>
      <c r="D110" s="79">
        <v>1E-8</v>
      </c>
      <c r="E110" s="79">
        <v>1E-8</v>
      </c>
      <c r="F110" s="79">
        <v>1E-8</v>
      </c>
      <c r="G110" s="129">
        <v>0.7640103547526399</v>
      </c>
      <c r="H110" s="79">
        <v>1E-8</v>
      </c>
      <c r="I110" s="79">
        <v>1E-8</v>
      </c>
      <c r="J110" s="129">
        <v>3.5233651572804439</v>
      </c>
      <c r="K110" s="79">
        <v>1E-8</v>
      </c>
      <c r="L110" s="79">
        <v>1E-8</v>
      </c>
      <c r="M110" s="123"/>
      <c r="N110" s="125"/>
      <c r="O110" s="123"/>
      <c r="P110" s="9" t="s">
        <v>669</v>
      </c>
      <c r="Q110" s="123"/>
      <c r="R110" s="124" t="s">
        <v>567</v>
      </c>
      <c r="S110" s="79">
        <v>2.9093270748590525</v>
      </c>
      <c r="T110" s="79">
        <v>3.5233651572804439</v>
      </c>
      <c r="U110" s="79">
        <v>3.1464593636501315</v>
      </c>
      <c r="V110" s="129">
        <v>0.67799430523249948</v>
      </c>
      <c r="W110" s="79">
        <v>1.6197244899025989</v>
      </c>
      <c r="X110" s="129">
        <v>1E-8</v>
      </c>
      <c r="Y110" s="79">
        <v>1E-8</v>
      </c>
      <c r="Z110" s="123"/>
    </row>
    <row r="111" spans="1:26" x14ac:dyDescent="0.35">
      <c r="A111" s="9" t="s">
        <v>670</v>
      </c>
      <c r="B111" s="123"/>
      <c r="C111" s="124" t="s">
        <v>568</v>
      </c>
      <c r="D111" s="79">
        <v>2.1092134654496411</v>
      </c>
      <c r="E111" s="79">
        <v>1E-8</v>
      </c>
      <c r="F111" s="79">
        <v>1E-8</v>
      </c>
      <c r="G111" s="129">
        <v>9.5800048404886837</v>
      </c>
      <c r="H111" s="79">
        <v>1E-8</v>
      </c>
      <c r="I111" s="79">
        <v>1E-8</v>
      </c>
      <c r="J111" s="129">
        <v>0.81386819298955726</v>
      </c>
      <c r="K111" s="79">
        <v>-91.002992711544266</v>
      </c>
      <c r="L111" s="79">
        <v>100</v>
      </c>
      <c r="M111" s="123"/>
      <c r="N111" s="125"/>
      <c r="O111" s="123"/>
      <c r="P111" s="9" t="s">
        <v>670</v>
      </c>
      <c r="Q111" s="123"/>
      <c r="R111" s="124" t="s">
        <v>568</v>
      </c>
      <c r="S111" s="79">
        <v>1.3638248450881185</v>
      </c>
      <c r="T111" s="79">
        <v>0.81386819298955726</v>
      </c>
      <c r="U111" s="79">
        <v>1.4761087315206989</v>
      </c>
      <c r="V111" s="129">
        <v>8.5014407010936726</v>
      </c>
      <c r="W111" s="79">
        <v>92.43995010829039</v>
      </c>
      <c r="X111" s="129">
        <v>2.6500980613310769</v>
      </c>
      <c r="Y111" s="79">
        <v>89.656657543601241</v>
      </c>
      <c r="Z111" s="123"/>
    </row>
    <row r="112" spans="1:26" x14ac:dyDescent="0.35">
      <c r="A112" s="9" t="s">
        <v>671</v>
      </c>
      <c r="B112" s="123"/>
      <c r="C112" s="124" t="s">
        <v>569</v>
      </c>
      <c r="D112" s="79">
        <v>2.8090821954242732E-2</v>
      </c>
      <c r="E112" s="79">
        <v>1E-8</v>
      </c>
      <c r="F112" s="79">
        <v>1E-8</v>
      </c>
      <c r="G112" s="129">
        <v>4.0278941890133972E-2</v>
      </c>
      <c r="H112" s="79">
        <v>1E-8</v>
      </c>
      <c r="I112" s="79">
        <v>1E-8</v>
      </c>
      <c r="J112" s="129">
        <v>0.59706333442230042</v>
      </c>
      <c r="K112" s="79">
        <v>1E-8</v>
      </c>
      <c r="L112" s="79">
        <v>1E-8</v>
      </c>
      <c r="M112" s="123"/>
      <c r="N112" s="125"/>
      <c r="O112" s="123"/>
      <c r="P112" s="9" t="s">
        <v>671</v>
      </c>
      <c r="Q112" s="123"/>
      <c r="R112" s="124" t="s">
        <v>569</v>
      </c>
      <c r="S112" s="79">
        <v>0.62595262288646614</v>
      </c>
      <c r="T112" s="79">
        <v>0.59706333442230042</v>
      </c>
      <c r="U112" s="79">
        <v>0.67743357614961552</v>
      </c>
      <c r="V112" s="129">
        <v>3.5744140183994341E-2</v>
      </c>
      <c r="W112" s="79">
        <v>1.1404959358426494</v>
      </c>
      <c r="X112" s="129">
        <v>3.5294404298839101E-2</v>
      </c>
      <c r="Y112" s="79">
        <v>2.5251437379538908</v>
      </c>
      <c r="Z112" s="123"/>
    </row>
    <row r="113" spans="1:26" x14ac:dyDescent="0.35">
      <c r="A113" s="9" t="s">
        <v>672</v>
      </c>
      <c r="B113" s="123"/>
      <c r="C113" s="124" t="s">
        <v>570</v>
      </c>
      <c r="D113" s="79">
        <v>3.5247986708849093E-2</v>
      </c>
      <c r="E113" s="79">
        <v>1E-8</v>
      </c>
      <c r="F113" s="79">
        <v>1E-8</v>
      </c>
      <c r="G113" s="129">
        <v>0.46076138669716515</v>
      </c>
      <c r="H113" s="79">
        <v>1E-8</v>
      </c>
      <c r="I113" s="79">
        <v>1E-8</v>
      </c>
      <c r="J113" s="129">
        <v>0.13824971406530545</v>
      </c>
      <c r="K113" s="79">
        <v>1E-8</v>
      </c>
      <c r="L113" s="79">
        <v>1E-8</v>
      </c>
      <c r="M113" s="123"/>
      <c r="N113" s="125"/>
      <c r="O113" s="123"/>
      <c r="P113" s="9" t="s">
        <v>672</v>
      </c>
      <c r="Q113" s="123"/>
      <c r="R113" s="124" t="s">
        <v>570</v>
      </c>
      <c r="S113" s="79">
        <v>0.14212280694058665</v>
      </c>
      <c r="T113" s="79">
        <v>0.13824971406530545</v>
      </c>
      <c r="U113" s="79">
        <v>0.1538067912331697</v>
      </c>
      <c r="V113" s="129">
        <v>0.40888659991113574</v>
      </c>
      <c r="W113" s="79">
        <v>41.808031804255151</v>
      </c>
      <c r="X113" s="129">
        <v>4.4286945239575985E-2</v>
      </c>
      <c r="Y113" s="79">
        <v>15.035686475924484</v>
      </c>
      <c r="Z113" s="123"/>
    </row>
    <row r="114" spans="1:26" x14ac:dyDescent="0.35">
      <c r="A114" s="11" t="s">
        <v>673</v>
      </c>
      <c r="B114" s="123"/>
      <c r="C114" s="124" t="s">
        <v>355</v>
      </c>
      <c r="D114" s="77">
        <v>1E-8</v>
      </c>
      <c r="E114" s="77">
        <v>1E-8</v>
      </c>
      <c r="F114" s="77">
        <v>1E-8</v>
      </c>
      <c r="G114" s="128">
        <v>1E-8</v>
      </c>
      <c r="H114" s="77">
        <v>1E-8</v>
      </c>
      <c r="I114" s="77">
        <v>1E-8</v>
      </c>
      <c r="J114" s="128">
        <v>4.4473252187244441</v>
      </c>
      <c r="K114" s="77">
        <v>1E-8</v>
      </c>
      <c r="L114" s="77">
        <v>1E-8</v>
      </c>
      <c r="M114" s="123"/>
      <c r="N114" s="125"/>
      <c r="O114" s="123"/>
      <c r="P114" s="11" t="s">
        <v>673</v>
      </c>
      <c r="Q114" s="123"/>
      <c r="R114" s="124" t="s">
        <v>355</v>
      </c>
      <c r="S114" s="77">
        <v>1.9881267406928032</v>
      </c>
      <c r="T114" s="77">
        <v>4.4473252187244441</v>
      </c>
      <c r="U114" s="77">
        <v>1.8073040743834887</v>
      </c>
      <c r="V114" s="128">
        <v>1E-8</v>
      </c>
      <c r="W114" s="77">
        <v>1E-8</v>
      </c>
      <c r="X114" s="128">
        <v>1E-8</v>
      </c>
      <c r="Y114" s="77">
        <v>1E-8</v>
      </c>
      <c r="Z114" s="123"/>
    </row>
    <row r="115" spans="1:26" x14ac:dyDescent="0.35">
      <c r="A115" s="11" t="s">
        <v>372</v>
      </c>
      <c r="B115" s="123"/>
      <c r="C115" s="124" t="s">
        <v>571</v>
      </c>
      <c r="D115" s="77">
        <v>0.64607799525089982</v>
      </c>
      <c r="E115" s="77">
        <v>1E-8</v>
      </c>
      <c r="F115" s="77">
        <v>1E-8</v>
      </c>
      <c r="G115" s="128">
        <v>1.9202058190733617</v>
      </c>
      <c r="H115" s="77">
        <v>1E-8</v>
      </c>
      <c r="I115" s="77">
        <v>1E-8</v>
      </c>
      <c r="J115" s="128">
        <v>2.2381008875466106</v>
      </c>
      <c r="K115" s="77">
        <v>1E-8</v>
      </c>
      <c r="L115" s="77">
        <v>1E-8</v>
      </c>
      <c r="M115" s="123"/>
      <c r="N115" s="125"/>
      <c r="O115" s="123"/>
      <c r="P115" s="11" t="s">
        <v>372</v>
      </c>
      <c r="Q115" s="123"/>
      <c r="R115" s="124" t="s">
        <v>571</v>
      </c>
      <c r="S115" s="77">
        <v>1.9029294023672028</v>
      </c>
      <c r="T115" s="77">
        <v>2.2381008875466106</v>
      </c>
      <c r="U115" s="77">
        <v>1.4131665344154698</v>
      </c>
      <c r="V115" s="128">
        <v>1.7040195883569575</v>
      </c>
      <c r="W115" s="77">
        <v>8.8568035099350499</v>
      </c>
      <c r="X115" s="128">
        <v>0.81175759150488769</v>
      </c>
      <c r="Y115" s="77">
        <v>9.5247087551124405</v>
      </c>
      <c r="Z115" s="123"/>
    </row>
    <row r="116" spans="1:26" x14ac:dyDescent="0.35">
      <c r="A116" s="9" t="s">
        <v>674</v>
      </c>
      <c r="B116" s="123"/>
      <c r="C116" s="124" t="s">
        <v>572</v>
      </c>
      <c r="D116" s="79">
        <v>0.26228116453894607</v>
      </c>
      <c r="E116" s="79">
        <v>1E-8</v>
      </c>
      <c r="F116" s="79">
        <v>1E-8</v>
      </c>
      <c r="G116" s="129">
        <v>0.11600554324796518</v>
      </c>
      <c r="H116" s="79">
        <v>1E-8</v>
      </c>
      <c r="I116" s="79">
        <v>1E-8</v>
      </c>
      <c r="J116" s="129">
        <v>0.2760122284859633</v>
      </c>
      <c r="K116" s="79">
        <v>1E-8</v>
      </c>
      <c r="L116" s="79">
        <v>1E-8</v>
      </c>
      <c r="M116" s="123"/>
      <c r="N116" s="125"/>
      <c r="O116" s="123"/>
      <c r="P116" s="9" t="s">
        <v>674</v>
      </c>
      <c r="Q116" s="123"/>
      <c r="R116" s="124" t="s">
        <v>572</v>
      </c>
      <c r="S116" s="79">
        <v>0.32555866507271608</v>
      </c>
      <c r="T116" s="79">
        <v>0.2760122284859633</v>
      </c>
      <c r="U116" s="79">
        <v>0.24126884840892077</v>
      </c>
      <c r="V116" s="129">
        <v>0.10294506770525032</v>
      </c>
      <c r="W116" s="79">
        <v>3.6299217306085247</v>
      </c>
      <c r="X116" s="129">
        <v>0.32954028459141443</v>
      </c>
      <c r="Y116" s="79">
        <v>21.519686178249653</v>
      </c>
      <c r="Z116" s="123"/>
    </row>
    <row r="117" spans="1:26" x14ac:dyDescent="0.35">
      <c r="A117" s="9" t="s">
        <v>675</v>
      </c>
      <c r="B117" s="123"/>
      <c r="C117" s="124" t="s">
        <v>356</v>
      </c>
      <c r="D117" s="79">
        <v>0.3837968307119537</v>
      </c>
      <c r="E117" s="79">
        <v>1E-8</v>
      </c>
      <c r="F117" s="79">
        <v>1E-8</v>
      </c>
      <c r="G117" s="129">
        <v>1.6938441874813432</v>
      </c>
      <c r="H117" s="79">
        <v>1E-8</v>
      </c>
      <c r="I117" s="79">
        <v>1E-8</v>
      </c>
      <c r="J117" s="129">
        <v>1.6393398130618155</v>
      </c>
      <c r="K117" s="79">
        <v>1E-8</v>
      </c>
      <c r="L117" s="79">
        <v>1E-8</v>
      </c>
      <c r="M117" s="123"/>
      <c r="N117" s="125"/>
      <c r="O117" s="123"/>
      <c r="P117" s="9" t="s">
        <v>675</v>
      </c>
      <c r="Q117" s="123"/>
      <c r="R117" s="124" t="s">
        <v>356</v>
      </c>
      <c r="S117" s="79">
        <v>1.2638339686456779</v>
      </c>
      <c r="T117" s="79">
        <v>1.6393398130618155</v>
      </c>
      <c r="U117" s="79">
        <v>0.93900752064710258</v>
      </c>
      <c r="V117" s="129">
        <v>1.5031428643860967</v>
      </c>
      <c r="W117" s="79">
        <v>12.336261353184254</v>
      </c>
      <c r="X117" s="129">
        <v>0.48221730691347325</v>
      </c>
      <c r="Y117" s="79">
        <v>9.3106418309852188</v>
      </c>
      <c r="Z117" s="123"/>
    </row>
    <row r="118" spans="1:26" x14ac:dyDescent="0.35">
      <c r="A118" s="9" t="s">
        <v>676</v>
      </c>
      <c r="B118" s="123"/>
      <c r="C118" s="124" t="s">
        <v>573</v>
      </c>
      <c r="D118" s="81">
        <v>1E-8</v>
      </c>
      <c r="E118" s="81">
        <v>1E-8</v>
      </c>
      <c r="F118" s="81">
        <v>1E-8</v>
      </c>
      <c r="G118" s="130">
        <v>0.11035608834405325</v>
      </c>
      <c r="H118" s="81">
        <v>1E-8</v>
      </c>
      <c r="I118" s="81">
        <v>1E-8</v>
      </c>
      <c r="J118" s="130">
        <v>0.3227488459988318</v>
      </c>
      <c r="K118" s="81">
        <v>1E-8</v>
      </c>
      <c r="L118" s="81">
        <v>1E-8</v>
      </c>
      <c r="M118" s="123"/>
      <c r="N118" s="125"/>
      <c r="O118" s="123"/>
      <c r="P118" s="9" t="s">
        <v>676</v>
      </c>
      <c r="Q118" s="123"/>
      <c r="R118" s="124" t="s">
        <v>573</v>
      </c>
      <c r="S118" s="81">
        <v>0.31353676864880881</v>
      </c>
      <c r="T118" s="81">
        <v>0.3227488459988318</v>
      </c>
      <c r="U118" s="81">
        <v>0.23289016535944668</v>
      </c>
      <c r="V118" s="130">
        <v>9.7931656265610581E-2</v>
      </c>
      <c r="W118" s="81">
        <v>2.3212590846281489</v>
      </c>
      <c r="X118" s="130">
        <v>1E-8</v>
      </c>
      <c r="Y118" s="81">
        <v>1E-8</v>
      </c>
      <c r="Z118" s="123"/>
    </row>
    <row r="119" spans="1:26" x14ac:dyDescent="0.35">
      <c r="A119" s="11" t="s">
        <v>373</v>
      </c>
      <c r="B119" s="123"/>
      <c r="C119" s="124" t="s">
        <v>574</v>
      </c>
      <c r="D119" s="77">
        <v>0.66724568130129303</v>
      </c>
      <c r="E119" s="77">
        <v>1E-8</v>
      </c>
      <c r="F119" s="77">
        <v>1E-8</v>
      </c>
      <c r="G119" s="128">
        <v>2.5900025042950405</v>
      </c>
      <c r="H119" s="77">
        <v>1E-8</v>
      </c>
      <c r="I119" s="77">
        <v>1E-8</v>
      </c>
      <c r="J119" s="128">
        <v>2.6547598682120683</v>
      </c>
      <c r="K119" s="77">
        <v>1E-8</v>
      </c>
      <c r="L119" s="77">
        <v>1E-8</v>
      </c>
      <c r="M119" s="123"/>
      <c r="N119" s="125"/>
      <c r="O119" s="123"/>
      <c r="P119" s="11" t="s">
        <v>373</v>
      </c>
      <c r="Q119" s="123"/>
      <c r="R119" s="124" t="s">
        <v>574</v>
      </c>
      <c r="S119" s="77">
        <v>2.7073646433435226</v>
      </c>
      <c r="T119" s="77">
        <v>2.6547598682120683</v>
      </c>
      <c r="U119" s="77">
        <v>2.9738017747965619</v>
      </c>
      <c r="V119" s="128">
        <v>2.2984072631037629</v>
      </c>
      <c r="W119" s="77">
        <v>7.5275805606754966</v>
      </c>
      <c r="X119" s="128">
        <v>0.83835349783865154</v>
      </c>
      <c r="Y119" s="77">
        <v>6.3253239324204564</v>
      </c>
      <c r="Z119" s="123"/>
    </row>
    <row r="120" spans="1:26" x14ac:dyDescent="0.35">
      <c r="A120" s="9" t="s">
        <v>677</v>
      </c>
      <c r="B120" s="123"/>
      <c r="C120" s="124" t="s">
        <v>575</v>
      </c>
      <c r="D120" s="79">
        <v>0.52450447652636722</v>
      </c>
      <c r="E120" s="79">
        <v>1E-8</v>
      </c>
      <c r="F120" s="79">
        <v>1E-8</v>
      </c>
      <c r="G120" s="129">
        <v>2.4853644407447981</v>
      </c>
      <c r="H120" s="79">
        <v>1E-8</v>
      </c>
      <c r="I120" s="79">
        <v>1E-8</v>
      </c>
      <c r="J120" s="129">
        <v>1.0025162961412815</v>
      </c>
      <c r="K120" s="79">
        <v>1E-8</v>
      </c>
      <c r="L120" s="79">
        <v>1E-8</v>
      </c>
      <c r="M120" s="123"/>
      <c r="N120" s="125"/>
      <c r="O120" s="123"/>
      <c r="P120" s="9" t="s">
        <v>677</v>
      </c>
      <c r="Q120" s="123"/>
      <c r="R120" s="124" t="s">
        <v>575</v>
      </c>
      <c r="S120" s="79">
        <v>0.76669466490953542</v>
      </c>
      <c r="T120" s="79">
        <v>1.0025162961412815</v>
      </c>
      <c r="U120" s="79">
        <v>0.84246852796163019</v>
      </c>
      <c r="V120" s="129">
        <v>2.205549868231687</v>
      </c>
      <c r="W120" s="79">
        <v>19.947624250277691</v>
      </c>
      <c r="X120" s="129">
        <v>0.65900788098073326</v>
      </c>
      <c r="Y120" s="79">
        <v>14.48019946454524</v>
      </c>
      <c r="Z120" s="123"/>
    </row>
    <row r="121" spans="1:26" x14ac:dyDescent="0.35">
      <c r="A121" s="9" t="s">
        <v>678</v>
      </c>
      <c r="B121" s="123"/>
      <c r="C121" s="124" t="s">
        <v>576</v>
      </c>
      <c r="D121" s="79">
        <v>0.14274120477492594</v>
      </c>
      <c r="E121" s="79">
        <v>1E-8</v>
      </c>
      <c r="F121" s="79">
        <v>1E-8</v>
      </c>
      <c r="G121" s="129">
        <v>0.10463806355024233</v>
      </c>
      <c r="H121" s="79">
        <v>1E-8</v>
      </c>
      <c r="I121" s="79">
        <v>1E-8</v>
      </c>
      <c r="J121" s="129">
        <v>0.4215842870902341</v>
      </c>
      <c r="K121" s="79">
        <v>1E-8</v>
      </c>
      <c r="L121" s="79">
        <v>1E-8</v>
      </c>
      <c r="M121" s="123"/>
      <c r="N121" s="125"/>
      <c r="O121" s="123"/>
      <c r="P121" s="9" t="s">
        <v>678</v>
      </c>
      <c r="Q121" s="123"/>
      <c r="R121" s="124" t="s">
        <v>576</v>
      </c>
      <c r="S121" s="79">
        <v>0.56535089470511857</v>
      </c>
      <c r="T121" s="79">
        <v>0.4215842870902341</v>
      </c>
      <c r="U121" s="79">
        <v>0.62092473511680812</v>
      </c>
      <c r="V121" s="129">
        <v>9.2857394872075921E-2</v>
      </c>
      <c r="W121" s="79">
        <v>1.9970908296950938</v>
      </c>
      <c r="X121" s="129">
        <v>0.17934561685791836</v>
      </c>
      <c r="Y121" s="79">
        <v>8.2152508971288025</v>
      </c>
      <c r="Z121" s="123"/>
    </row>
    <row r="122" spans="1:26" x14ac:dyDescent="0.35">
      <c r="A122" s="9" t="s">
        <v>679</v>
      </c>
      <c r="B122" s="123"/>
      <c r="C122" s="124" t="s">
        <v>577</v>
      </c>
      <c r="D122" s="79">
        <v>1E-8</v>
      </c>
      <c r="E122" s="79">
        <v>1E-8</v>
      </c>
      <c r="F122" s="79">
        <v>1E-8</v>
      </c>
      <c r="G122" s="129">
        <v>1E-8</v>
      </c>
      <c r="H122" s="79">
        <v>1E-8</v>
      </c>
      <c r="I122" s="79">
        <v>1E-8</v>
      </c>
      <c r="J122" s="129">
        <v>1.2306592849805531</v>
      </c>
      <c r="K122" s="79">
        <v>1E-8</v>
      </c>
      <c r="L122" s="79">
        <v>1E-8</v>
      </c>
      <c r="M122" s="123"/>
      <c r="N122" s="125"/>
      <c r="O122" s="123"/>
      <c r="P122" s="9" t="s">
        <v>679</v>
      </c>
      <c r="Q122" s="123"/>
      <c r="R122" s="124" t="s">
        <v>577</v>
      </c>
      <c r="S122" s="79">
        <v>1.3753190837288687</v>
      </c>
      <c r="T122" s="79">
        <v>1.2306592849805531</v>
      </c>
      <c r="U122" s="79">
        <v>1.5104085117181234</v>
      </c>
      <c r="V122" s="129">
        <v>1E-8</v>
      </c>
      <c r="W122" s="79">
        <v>1E-8</v>
      </c>
      <c r="X122" s="129">
        <v>1E-8</v>
      </c>
      <c r="Y122" s="79">
        <v>1E-8</v>
      </c>
      <c r="Z122" s="123"/>
    </row>
    <row r="123" spans="1:26" x14ac:dyDescent="0.35">
      <c r="A123" s="11" t="s">
        <v>195</v>
      </c>
      <c r="B123" s="123"/>
      <c r="C123" s="124" t="s">
        <v>578</v>
      </c>
      <c r="D123" s="77">
        <v>1E-8</v>
      </c>
      <c r="E123" s="77">
        <v>1E-8</v>
      </c>
      <c r="F123" s="77">
        <v>1E-8</v>
      </c>
      <c r="G123" s="128">
        <v>1E-8</v>
      </c>
      <c r="H123" s="77">
        <v>1E-8</v>
      </c>
      <c r="I123" s="77">
        <v>1E-8</v>
      </c>
      <c r="J123" s="128">
        <v>4.9999699593299978</v>
      </c>
      <c r="K123" s="77">
        <v>1E-8</v>
      </c>
      <c r="L123" s="77">
        <v>1E-8</v>
      </c>
      <c r="M123" s="123"/>
      <c r="N123" s="125"/>
      <c r="O123" s="123"/>
      <c r="P123" s="11" t="s">
        <v>195</v>
      </c>
      <c r="Q123" s="123"/>
      <c r="R123" s="124" t="s">
        <v>578</v>
      </c>
      <c r="S123" s="77">
        <v>7.9425766050693891</v>
      </c>
      <c r="T123" s="77">
        <v>4.9999699593299978</v>
      </c>
      <c r="U123" s="77">
        <v>2.7093802697902287</v>
      </c>
      <c r="V123" s="128">
        <v>1E-8</v>
      </c>
      <c r="W123" s="77">
        <v>1E-8</v>
      </c>
      <c r="X123" s="128">
        <v>1E-8</v>
      </c>
      <c r="Y123" s="77">
        <v>1E-8</v>
      </c>
      <c r="Z123" s="123"/>
    </row>
    <row r="124" spans="1:26" x14ac:dyDescent="0.35">
      <c r="A124" s="9" t="s">
        <v>680</v>
      </c>
      <c r="B124" s="123"/>
      <c r="C124" s="124" t="s">
        <v>579</v>
      </c>
      <c r="D124" s="79">
        <v>1E-8</v>
      </c>
      <c r="E124" s="79">
        <v>1E-8</v>
      </c>
      <c r="F124" s="79">
        <v>1E-8</v>
      </c>
      <c r="G124" s="129">
        <v>1E-8</v>
      </c>
      <c r="H124" s="79">
        <v>1E-8</v>
      </c>
      <c r="I124" s="79">
        <v>1E-8</v>
      </c>
      <c r="J124" s="129">
        <v>3.5800377155481242</v>
      </c>
      <c r="K124" s="79">
        <v>1E-8</v>
      </c>
      <c r="L124" s="79">
        <v>1E-8</v>
      </c>
      <c r="M124" s="123"/>
      <c r="N124" s="125"/>
      <c r="O124" s="123"/>
      <c r="P124" s="9" t="s">
        <v>680</v>
      </c>
      <c r="Q124" s="123"/>
      <c r="R124" s="124" t="s">
        <v>579</v>
      </c>
      <c r="S124" s="79">
        <v>5.8744726401176202</v>
      </c>
      <c r="T124" s="79">
        <v>3.5800377155481242</v>
      </c>
      <c r="U124" s="79">
        <v>2.0044409697817347</v>
      </c>
      <c r="V124" s="129">
        <v>1E-8</v>
      </c>
      <c r="W124" s="79">
        <v>1E-8</v>
      </c>
      <c r="X124" s="129">
        <v>1E-8</v>
      </c>
      <c r="Y124" s="79">
        <v>1E-8</v>
      </c>
      <c r="Z124" s="123"/>
    </row>
    <row r="125" spans="1:26" x14ac:dyDescent="0.35">
      <c r="A125" s="9" t="s">
        <v>681</v>
      </c>
      <c r="B125" s="123"/>
      <c r="C125" s="124" t="s">
        <v>357</v>
      </c>
      <c r="D125" s="79">
        <v>1E-8</v>
      </c>
      <c r="E125" s="79">
        <v>1E-8</v>
      </c>
      <c r="F125" s="79">
        <v>1E-8</v>
      </c>
      <c r="G125" s="129">
        <v>1E-8</v>
      </c>
      <c r="H125" s="79">
        <v>1E-8</v>
      </c>
      <c r="I125" s="79">
        <v>1E-8</v>
      </c>
      <c r="J125" s="129">
        <v>1.4199322437818735</v>
      </c>
      <c r="K125" s="79">
        <v>1E-8</v>
      </c>
      <c r="L125" s="79">
        <v>1E-8</v>
      </c>
      <c r="M125" s="123"/>
      <c r="N125" s="125"/>
      <c r="O125" s="123"/>
      <c r="P125" s="9" t="s">
        <v>681</v>
      </c>
      <c r="Q125" s="123"/>
      <c r="R125" s="124" t="s">
        <v>357</v>
      </c>
      <c r="S125" s="79">
        <v>2.068103964951769</v>
      </c>
      <c r="T125" s="79">
        <v>1.4199322437818735</v>
      </c>
      <c r="U125" s="79">
        <v>0.70493930000849447</v>
      </c>
      <c r="V125" s="129">
        <v>1E-8</v>
      </c>
      <c r="W125" s="79">
        <v>1E-8</v>
      </c>
      <c r="X125" s="129">
        <v>1E-8</v>
      </c>
      <c r="Y125" s="79">
        <v>1E-8</v>
      </c>
      <c r="Z125" s="123"/>
    </row>
    <row r="126" spans="1:26" x14ac:dyDescent="0.35">
      <c r="A126" s="11" t="s">
        <v>196</v>
      </c>
      <c r="B126" s="123"/>
      <c r="C126" s="124" t="s">
        <v>580</v>
      </c>
      <c r="D126" s="77">
        <v>3.7564623124393051</v>
      </c>
      <c r="E126" s="77">
        <v>2.0863170817261327E-3</v>
      </c>
      <c r="F126" s="77">
        <v>2.4445728330546018E-3</v>
      </c>
      <c r="G126" s="128">
        <v>4.483242316388834</v>
      </c>
      <c r="H126" s="77">
        <v>1E-8</v>
      </c>
      <c r="I126" s="77">
        <v>1E-8</v>
      </c>
      <c r="J126" s="128">
        <v>4.3329327470714976</v>
      </c>
      <c r="K126" s="77">
        <v>1E-8</v>
      </c>
      <c r="L126" s="77">
        <v>1E-8</v>
      </c>
      <c r="M126" s="123"/>
      <c r="N126" s="125"/>
      <c r="O126" s="123"/>
      <c r="P126" s="11" t="s">
        <v>196</v>
      </c>
      <c r="Q126" s="123"/>
      <c r="R126" s="124" t="s">
        <v>580</v>
      </c>
      <c r="S126" s="77">
        <v>6.2633727557130525</v>
      </c>
      <c r="T126" s="77">
        <v>4.3329327470714976</v>
      </c>
      <c r="U126" s="77">
        <v>6.2229030284202365</v>
      </c>
      <c r="V126" s="128">
        <v>3.9784968103908884</v>
      </c>
      <c r="W126" s="77">
        <v>7.6490942336144672</v>
      </c>
      <c r="X126" s="128">
        <v>4.7196672913046465</v>
      </c>
      <c r="Y126" s="77">
        <v>18.264170137776805</v>
      </c>
      <c r="Z126" s="123"/>
    </row>
    <row r="127" spans="1:26" x14ac:dyDescent="0.35">
      <c r="A127" s="9" t="s">
        <v>682</v>
      </c>
      <c r="B127" s="123"/>
      <c r="C127" s="124" t="s">
        <v>581</v>
      </c>
      <c r="D127" s="79">
        <v>1E-8</v>
      </c>
      <c r="E127" s="79">
        <v>1E-8</v>
      </c>
      <c r="F127" s="79">
        <v>1E-8</v>
      </c>
      <c r="G127" s="129">
        <v>1E-8</v>
      </c>
      <c r="H127" s="79">
        <v>1E-8</v>
      </c>
      <c r="I127" s="79">
        <v>1E-8</v>
      </c>
      <c r="J127" s="129">
        <v>0.48159426895897067</v>
      </c>
      <c r="K127" s="79">
        <v>1E-8</v>
      </c>
      <c r="L127" s="79">
        <v>1E-8</v>
      </c>
      <c r="M127" s="123"/>
      <c r="N127" s="125"/>
      <c r="O127" s="123"/>
      <c r="P127" s="9" t="s">
        <v>682</v>
      </c>
      <c r="Q127" s="123"/>
      <c r="R127" s="124" t="s">
        <v>581</v>
      </c>
      <c r="S127" s="79">
        <v>0.66911318728523872</v>
      </c>
      <c r="T127" s="79">
        <v>0.48159426895897067</v>
      </c>
      <c r="U127" s="79">
        <v>0.66508511545143612</v>
      </c>
      <c r="V127" s="129">
        <v>1E-8</v>
      </c>
      <c r="W127" s="79">
        <v>1E-8</v>
      </c>
      <c r="X127" s="129">
        <v>1E-8</v>
      </c>
      <c r="Y127" s="79">
        <v>1E-8</v>
      </c>
      <c r="Z127" s="123"/>
    </row>
    <row r="128" spans="1:26" x14ac:dyDescent="0.35">
      <c r="A128" s="9" t="s">
        <v>683</v>
      </c>
      <c r="B128" s="123"/>
      <c r="C128" s="124" t="s">
        <v>582</v>
      </c>
      <c r="D128" s="79">
        <v>1.3135202291619699</v>
      </c>
      <c r="E128" s="79">
        <v>1E-8</v>
      </c>
      <c r="F128" s="79">
        <v>1E-8</v>
      </c>
      <c r="G128" s="129">
        <v>1E-8</v>
      </c>
      <c r="H128" s="79">
        <v>1E-8</v>
      </c>
      <c r="I128" s="79">
        <v>1E-8</v>
      </c>
      <c r="J128" s="129">
        <v>0.16217473495899648</v>
      </c>
      <c r="K128" s="79">
        <v>1E-8</v>
      </c>
      <c r="L128" s="79">
        <v>1E-8</v>
      </c>
      <c r="M128" s="123"/>
      <c r="N128" s="125"/>
      <c r="O128" s="123"/>
      <c r="P128" s="9" t="s">
        <v>683</v>
      </c>
      <c r="Q128" s="123"/>
      <c r="R128" s="124" t="s">
        <v>582</v>
      </c>
      <c r="S128" s="79">
        <v>0.20607512871763026</v>
      </c>
      <c r="T128" s="79">
        <v>0.16217473495899648</v>
      </c>
      <c r="U128" s="79">
        <v>0.20478625742040754</v>
      </c>
      <c r="V128" s="129">
        <v>1E-8</v>
      </c>
      <c r="W128" s="79">
        <v>1E-8</v>
      </c>
      <c r="X128" s="129">
        <v>1.6503580457083893</v>
      </c>
      <c r="Y128" s="79">
        <v>66.564464750810899</v>
      </c>
      <c r="Z128" s="123"/>
    </row>
    <row r="129" spans="1:26" x14ac:dyDescent="0.35">
      <c r="A129" s="9" t="s">
        <v>684</v>
      </c>
      <c r="B129" s="123"/>
      <c r="C129" s="124" t="s">
        <v>583</v>
      </c>
      <c r="D129" s="79">
        <v>2.100125287755473</v>
      </c>
      <c r="E129" s="79">
        <v>3.7318251885250461E-3</v>
      </c>
      <c r="F129" s="79">
        <v>2.4445728330546018E-3</v>
      </c>
      <c r="G129" s="129">
        <v>1.6487122649407413</v>
      </c>
      <c r="H129" s="79">
        <v>1E-8</v>
      </c>
      <c r="I129" s="79">
        <v>1E-8</v>
      </c>
      <c r="J129" s="129">
        <v>0.97494954277418511</v>
      </c>
      <c r="K129" s="79">
        <v>1E-8</v>
      </c>
      <c r="L129" s="79">
        <v>1E-8</v>
      </c>
      <c r="M129" s="123"/>
      <c r="N129" s="125"/>
      <c r="O129" s="123"/>
      <c r="P129" s="9" t="s">
        <v>684</v>
      </c>
      <c r="Q129" s="123"/>
      <c r="R129" s="124" t="s">
        <v>583</v>
      </c>
      <c r="S129" s="79">
        <v>1.4446044998117589</v>
      </c>
      <c r="T129" s="79">
        <v>0.97494954277418511</v>
      </c>
      <c r="U129" s="79">
        <v>1.4353790273702351</v>
      </c>
      <c r="V129" s="129">
        <v>1.4630921160207433</v>
      </c>
      <c r="W129" s="79">
        <v>13.407523377709079</v>
      </c>
      <c r="X129" s="129">
        <v>2.6385808531949952</v>
      </c>
      <c r="Y129" s="79">
        <v>38.839386606982089</v>
      </c>
      <c r="Z129" s="123"/>
    </row>
    <row r="130" spans="1:26" x14ac:dyDescent="0.35">
      <c r="A130" s="9" t="s">
        <v>685</v>
      </c>
      <c r="B130" s="123"/>
      <c r="C130" s="124" t="s">
        <v>584</v>
      </c>
      <c r="D130" s="79">
        <v>1E-8</v>
      </c>
      <c r="E130" s="79">
        <v>1E-8</v>
      </c>
      <c r="F130" s="79">
        <v>1E-8</v>
      </c>
      <c r="G130" s="129">
        <v>1E-8</v>
      </c>
      <c r="H130" s="79">
        <v>1E-8</v>
      </c>
      <c r="I130" s="79">
        <v>1E-8</v>
      </c>
      <c r="J130" s="129">
        <v>0.31949720274578169</v>
      </c>
      <c r="K130" s="79">
        <v>1E-8</v>
      </c>
      <c r="L130" s="79">
        <v>1E-8</v>
      </c>
      <c r="M130" s="123"/>
      <c r="N130" s="125"/>
      <c r="O130" s="123"/>
      <c r="P130" s="9" t="s">
        <v>685</v>
      </c>
      <c r="Q130" s="123"/>
      <c r="R130" s="124" t="s">
        <v>584</v>
      </c>
      <c r="S130" s="79">
        <v>0.29110130584384725</v>
      </c>
      <c r="T130" s="79">
        <v>0.31949720274578169</v>
      </c>
      <c r="U130" s="79">
        <v>0.28922149640266448</v>
      </c>
      <c r="V130" s="129">
        <v>1E-8</v>
      </c>
      <c r="W130" s="79">
        <v>1E-8</v>
      </c>
      <c r="X130" s="129">
        <v>1E-8</v>
      </c>
      <c r="Y130" s="79">
        <v>1E-8</v>
      </c>
      <c r="Z130" s="123"/>
    </row>
    <row r="131" spans="1:26" x14ac:dyDescent="0.35">
      <c r="A131" s="9" t="s">
        <v>686</v>
      </c>
      <c r="B131" s="123"/>
      <c r="C131" s="124" t="s">
        <v>585</v>
      </c>
      <c r="D131" s="81">
        <v>0.34281679552186195</v>
      </c>
      <c r="E131" s="81">
        <v>1E-8</v>
      </c>
      <c r="F131" s="81">
        <v>1E-8</v>
      </c>
      <c r="G131" s="130">
        <v>2.8345300514480916</v>
      </c>
      <c r="H131" s="81">
        <v>1E-8</v>
      </c>
      <c r="I131" s="81">
        <v>1E-8</v>
      </c>
      <c r="J131" s="130">
        <v>2.3947169976335636</v>
      </c>
      <c r="K131" s="81">
        <v>1E-8</v>
      </c>
      <c r="L131" s="81">
        <v>1E-8</v>
      </c>
      <c r="M131" s="123"/>
      <c r="N131" s="125"/>
      <c r="O131" s="123"/>
      <c r="P131" s="9" t="s">
        <v>686</v>
      </c>
      <c r="Q131" s="123"/>
      <c r="R131" s="124" t="s">
        <v>585</v>
      </c>
      <c r="S131" s="81">
        <v>3.6524786340545767</v>
      </c>
      <c r="T131" s="81">
        <v>2.3947169976335636</v>
      </c>
      <c r="U131" s="81">
        <v>3.6284311317754931</v>
      </c>
      <c r="V131" s="130">
        <v>2.5154046943701451</v>
      </c>
      <c r="W131" s="81">
        <v>8.337413421601811</v>
      </c>
      <c r="X131" s="130">
        <v>0.43072839240126193</v>
      </c>
      <c r="Y131" s="81">
        <v>3.420860606828561</v>
      </c>
      <c r="Z131" s="123"/>
    </row>
    <row r="132" spans="1:26" x14ac:dyDescent="0.35">
      <c r="A132" s="11" t="s">
        <v>687</v>
      </c>
      <c r="B132" s="123"/>
      <c r="C132" s="124" t="s">
        <v>358</v>
      </c>
      <c r="D132" s="77">
        <v>1E-8</v>
      </c>
      <c r="E132" s="77">
        <v>1E-8</v>
      </c>
      <c r="F132" s="77">
        <v>1E-8</v>
      </c>
      <c r="G132" s="128">
        <v>15.753954747365551</v>
      </c>
      <c r="H132" s="77">
        <v>1E-8</v>
      </c>
      <c r="I132" s="77">
        <v>1E-8</v>
      </c>
      <c r="J132" s="128">
        <v>9.59587490044105</v>
      </c>
      <c r="K132" s="77">
        <v>1E-8</v>
      </c>
      <c r="L132" s="77">
        <v>1E-8</v>
      </c>
      <c r="M132" s="123"/>
      <c r="N132" s="125"/>
      <c r="O132" s="123"/>
      <c r="P132" s="11" t="s">
        <v>687</v>
      </c>
      <c r="Q132" s="123"/>
      <c r="R132" s="124" t="s">
        <v>358</v>
      </c>
      <c r="S132" s="77">
        <v>6.3509802485088196</v>
      </c>
      <c r="T132" s="77">
        <v>9.59587490044105</v>
      </c>
      <c r="U132" s="77">
        <v>11.494139560599741</v>
      </c>
      <c r="V132" s="128">
        <v>13.980296912418828</v>
      </c>
      <c r="W132" s="77">
        <v>13.209839943540452</v>
      </c>
      <c r="X132" s="128">
        <v>1E-8</v>
      </c>
      <c r="Y132" s="77">
        <v>1E-8</v>
      </c>
      <c r="Z132" s="123"/>
    </row>
    <row r="133" spans="1:26" x14ac:dyDescent="0.35">
      <c r="A133" s="11" t="s">
        <v>688</v>
      </c>
      <c r="B133" s="123"/>
      <c r="C133" s="124" t="s">
        <v>359</v>
      </c>
      <c r="D133" s="77">
        <v>1E-8</v>
      </c>
      <c r="E133" s="77">
        <v>1E-8</v>
      </c>
      <c r="F133" s="77">
        <v>1E-8</v>
      </c>
      <c r="G133" s="128">
        <v>1E-8</v>
      </c>
      <c r="H133" s="77">
        <v>1E-8</v>
      </c>
      <c r="I133" s="77">
        <v>1E-8</v>
      </c>
      <c r="J133" s="128">
        <v>3.1687390371457775</v>
      </c>
      <c r="K133" s="77">
        <v>1E-8</v>
      </c>
      <c r="L133" s="77">
        <v>1E-8</v>
      </c>
      <c r="M133" s="123"/>
      <c r="N133" s="125"/>
      <c r="O133" s="123"/>
      <c r="P133" s="11" t="s">
        <v>688</v>
      </c>
      <c r="Q133" s="123"/>
      <c r="R133" s="124" t="s">
        <v>359</v>
      </c>
      <c r="S133" s="77">
        <v>3.2672542791831267</v>
      </c>
      <c r="T133" s="77">
        <v>3.1687390371457775</v>
      </c>
      <c r="U133" s="77">
        <v>4.5596851418674627</v>
      </c>
      <c r="V133" s="128">
        <v>1E-8</v>
      </c>
      <c r="W133" s="77">
        <v>1E-8</v>
      </c>
      <c r="X133" s="128">
        <v>1E-8</v>
      </c>
      <c r="Y133" s="77">
        <v>1E-8</v>
      </c>
      <c r="Z133" s="123"/>
    </row>
    <row r="134" spans="1:26" x14ac:dyDescent="0.35">
      <c r="A134" s="11" t="s">
        <v>689</v>
      </c>
      <c r="B134" s="123"/>
      <c r="C134" s="124" t="s">
        <v>360</v>
      </c>
      <c r="D134" s="77">
        <v>1E-8</v>
      </c>
      <c r="E134" s="77">
        <v>1E-8</v>
      </c>
      <c r="F134" s="77">
        <v>1E-8</v>
      </c>
      <c r="G134" s="128">
        <v>1E-8</v>
      </c>
      <c r="H134" s="77">
        <v>1E-8</v>
      </c>
      <c r="I134" s="77">
        <v>1E-8</v>
      </c>
      <c r="J134" s="128">
        <v>1.817559758918676</v>
      </c>
      <c r="K134" s="77">
        <v>1E-8</v>
      </c>
      <c r="L134" s="77">
        <v>1E-8</v>
      </c>
      <c r="M134" s="123"/>
      <c r="N134" s="125"/>
      <c r="O134" s="123"/>
      <c r="P134" s="11" t="s">
        <v>689</v>
      </c>
      <c r="Q134" s="123"/>
      <c r="R134" s="124" t="s">
        <v>360</v>
      </c>
      <c r="S134" s="77">
        <v>1.4349772128643883</v>
      </c>
      <c r="T134" s="77">
        <v>1.817559758918676</v>
      </c>
      <c r="U134" s="77">
        <v>1.847750600352174</v>
      </c>
      <c r="V134" s="128">
        <v>1E-8</v>
      </c>
      <c r="W134" s="77">
        <v>1E-8</v>
      </c>
      <c r="X134" s="128">
        <v>1E-8</v>
      </c>
      <c r="Y134" s="77">
        <v>1E-8</v>
      </c>
      <c r="Z134" s="123"/>
    </row>
    <row r="135" spans="1:26" x14ac:dyDescent="0.35">
      <c r="A135" s="11" t="s">
        <v>205</v>
      </c>
      <c r="B135" s="123"/>
      <c r="C135" s="124" t="s">
        <v>586</v>
      </c>
      <c r="D135" s="77">
        <v>7.1997326073799179</v>
      </c>
      <c r="E135" s="77">
        <v>1E-8</v>
      </c>
      <c r="F135" s="77">
        <v>1E-8</v>
      </c>
      <c r="G135" s="128">
        <v>1E-8</v>
      </c>
      <c r="H135" s="77">
        <v>1E-8</v>
      </c>
      <c r="I135" s="77">
        <v>1E-8</v>
      </c>
      <c r="J135" s="128">
        <v>5.2270843140086711</v>
      </c>
      <c r="K135" s="77">
        <v>1E-8</v>
      </c>
      <c r="L135" s="77">
        <v>1E-8</v>
      </c>
      <c r="M135" s="123"/>
      <c r="N135" s="125"/>
      <c r="O135" s="123"/>
      <c r="P135" s="11" t="s">
        <v>205</v>
      </c>
      <c r="Q135" s="123"/>
      <c r="R135" s="124" t="s">
        <v>586</v>
      </c>
      <c r="S135" s="77">
        <v>6.3857974767869825</v>
      </c>
      <c r="T135" s="77">
        <v>5.2270843140086711</v>
      </c>
      <c r="U135" s="77">
        <v>9.8832009391256666</v>
      </c>
      <c r="V135" s="128">
        <v>1E-8</v>
      </c>
      <c r="W135" s="77">
        <v>1E-8</v>
      </c>
      <c r="X135" s="128">
        <v>9.046024851188875</v>
      </c>
      <c r="Y135" s="77">
        <v>26.135804943145217</v>
      </c>
      <c r="Z135" s="123"/>
    </row>
    <row r="136" spans="1:26" x14ac:dyDescent="0.35">
      <c r="A136" s="9" t="s">
        <v>690</v>
      </c>
      <c r="B136" s="123"/>
      <c r="C136" s="124" t="s">
        <v>587</v>
      </c>
      <c r="D136" s="79">
        <v>1E-8</v>
      </c>
      <c r="E136" s="79">
        <v>1E-8</v>
      </c>
      <c r="F136" s="79">
        <v>1E-8</v>
      </c>
      <c r="G136" s="129">
        <v>1E-8</v>
      </c>
      <c r="H136" s="79">
        <v>1E-8</v>
      </c>
      <c r="I136" s="79">
        <v>1E-8</v>
      </c>
      <c r="J136" s="129">
        <v>0.859904622330388</v>
      </c>
      <c r="K136" s="79">
        <v>1E-8</v>
      </c>
      <c r="L136" s="79">
        <v>1E-8</v>
      </c>
      <c r="M136" s="123"/>
      <c r="N136" s="125"/>
      <c r="O136" s="123"/>
      <c r="P136" s="9" t="s">
        <v>690</v>
      </c>
      <c r="Q136" s="123"/>
      <c r="R136" s="124" t="s">
        <v>587</v>
      </c>
      <c r="S136" s="79">
        <v>0.83326446057437087</v>
      </c>
      <c r="T136" s="79">
        <v>0.859904622330388</v>
      </c>
      <c r="U136" s="79">
        <v>1.0737632441394873</v>
      </c>
      <c r="V136" s="129">
        <v>1E-8</v>
      </c>
      <c r="W136" s="79">
        <v>1E-8</v>
      </c>
      <c r="X136" s="129">
        <v>1E-8</v>
      </c>
      <c r="Y136" s="79">
        <v>1E-8</v>
      </c>
      <c r="Z136" s="123"/>
    </row>
    <row r="137" spans="1:26" x14ac:dyDescent="0.35">
      <c r="A137" s="9" t="s">
        <v>691</v>
      </c>
      <c r="B137" s="123"/>
      <c r="C137" s="124" t="s">
        <v>588</v>
      </c>
      <c r="D137" s="79">
        <v>1E-8</v>
      </c>
      <c r="E137" s="79">
        <v>1E-8</v>
      </c>
      <c r="F137" s="79">
        <v>1E-8</v>
      </c>
      <c r="G137" s="129">
        <v>1E-8</v>
      </c>
      <c r="H137" s="79">
        <v>1E-8</v>
      </c>
      <c r="I137" s="79">
        <v>1E-8</v>
      </c>
      <c r="J137" s="129">
        <v>0.13028781014546362</v>
      </c>
      <c r="K137" s="79">
        <v>1E-8</v>
      </c>
      <c r="L137" s="79">
        <v>1E-8</v>
      </c>
      <c r="M137" s="123"/>
      <c r="N137" s="125"/>
      <c r="O137" s="123"/>
      <c r="P137" s="9" t="s">
        <v>691</v>
      </c>
      <c r="Q137" s="123"/>
      <c r="R137" s="124" t="s">
        <v>588</v>
      </c>
      <c r="S137" s="79">
        <v>0.17414345983432497</v>
      </c>
      <c r="T137" s="79">
        <v>0.13028781014546362</v>
      </c>
      <c r="U137" s="79">
        <v>0.27621999046131407</v>
      </c>
      <c r="V137" s="129">
        <v>1E-8</v>
      </c>
      <c r="W137" s="79">
        <v>1E-8</v>
      </c>
      <c r="X137" s="129">
        <v>1E-8</v>
      </c>
      <c r="Y137" s="79">
        <v>1E-8</v>
      </c>
      <c r="Z137" s="123"/>
    </row>
    <row r="138" spans="1:26" x14ac:dyDescent="0.35">
      <c r="A138" s="9" t="s">
        <v>692</v>
      </c>
      <c r="B138" s="123"/>
      <c r="C138" s="124" t="s">
        <v>589</v>
      </c>
      <c r="D138" s="79">
        <v>1E-8</v>
      </c>
      <c r="E138" s="79">
        <v>1E-8</v>
      </c>
      <c r="F138" s="79">
        <v>1E-8</v>
      </c>
      <c r="G138" s="129">
        <v>1E-8</v>
      </c>
      <c r="H138" s="79">
        <v>1E-8</v>
      </c>
      <c r="I138" s="79">
        <v>1E-8</v>
      </c>
      <c r="J138" s="129">
        <v>0.47595625247186768</v>
      </c>
      <c r="K138" s="79">
        <v>1E-8</v>
      </c>
      <c r="L138" s="79">
        <v>1E-8</v>
      </c>
      <c r="M138" s="123"/>
      <c r="N138" s="125"/>
      <c r="O138" s="123"/>
      <c r="P138" s="9" t="s">
        <v>692</v>
      </c>
      <c r="Q138" s="123"/>
      <c r="R138" s="124" t="s">
        <v>589</v>
      </c>
      <c r="S138" s="79">
        <v>0.74346587692386756</v>
      </c>
      <c r="T138" s="79">
        <v>0.47595625247186768</v>
      </c>
      <c r="U138" s="79">
        <v>1.1795817783490543</v>
      </c>
      <c r="V138" s="129">
        <v>1E-8</v>
      </c>
      <c r="W138" s="79">
        <v>1E-8</v>
      </c>
      <c r="X138" s="129">
        <v>1E-8</v>
      </c>
      <c r="Y138" s="79">
        <v>1E-8</v>
      </c>
      <c r="Z138" s="123"/>
    </row>
    <row r="139" spans="1:26" x14ac:dyDescent="0.35">
      <c r="A139" s="9" t="s">
        <v>693</v>
      </c>
      <c r="B139" s="123"/>
      <c r="C139" s="124" t="s">
        <v>361</v>
      </c>
      <c r="D139" s="79">
        <v>1E-8</v>
      </c>
      <c r="E139" s="79">
        <v>1E-8</v>
      </c>
      <c r="F139" s="79">
        <v>1E-8</v>
      </c>
      <c r="G139" s="129">
        <v>1E-8</v>
      </c>
      <c r="H139" s="79">
        <v>1E-8</v>
      </c>
      <c r="I139" s="79">
        <v>1E-8</v>
      </c>
      <c r="J139" s="129">
        <v>3.5410095401593717</v>
      </c>
      <c r="K139" s="79">
        <v>1E-8</v>
      </c>
      <c r="L139" s="79">
        <v>1E-8</v>
      </c>
      <c r="M139" s="123"/>
      <c r="N139" s="125"/>
      <c r="O139" s="123"/>
      <c r="P139" s="9" t="s">
        <v>693</v>
      </c>
      <c r="Q139" s="123"/>
      <c r="R139" s="124" t="s">
        <v>361</v>
      </c>
      <c r="S139" s="79">
        <v>4.2824991931951208</v>
      </c>
      <c r="T139" s="79">
        <v>3.5410095401593717</v>
      </c>
      <c r="U139" s="79">
        <v>6.7946205423485635</v>
      </c>
      <c r="V139" s="129">
        <v>1E-8</v>
      </c>
      <c r="W139" s="79">
        <v>1E-8</v>
      </c>
      <c r="X139" s="129">
        <v>1E-8</v>
      </c>
      <c r="Y139" s="79">
        <v>1E-8</v>
      </c>
      <c r="Z139" s="123"/>
    </row>
    <row r="140" spans="1:26" x14ac:dyDescent="0.35">
      <c r="A140" s="9" t="s">
        <v>694</v>
      </c>
      <c r="B140" s="123"/>
      <c r="C140" s="124" t="s">
        <v>590</v>
      </c>
      <c r="D140" s="79">
        <v>1E-8</v>
      </c>
      <c r="E140" s="79">
        <v>1E-8</v>
      </c>
      <c r="F140" s="79">
        <v>1E-8</v>
      </c>
      <c r="G140" s="129">
        <v>1E-8</v>
      </c>
      <c r="H140" s="79">
        <v>1E-8</v>
      </c>
      <c r="I140" s="79">
        <v>1E-8</v>
      </c>
      <c r="J140" s="129">
        <v>0.21992608890158008</v>
      </c>
      <c r="K140" s="79">
        <v>1E-8</v>
      </c>
      <c r="L140" s="79">
        <v>1E-8</v>
      </c>
      <c r="M140" s="123"/>
      <c r="N140" s="125"/>
      <c r="O140" s="123"/>
      <c r="P140" s="9" t="s">
        <v>694</v>
      </c>
      <c r="Q140" s="123"/>
      <c r="R140" s="124" t="s">
        <v>590</v>
      </c>
      <c r="S140" s="79">
        <v>0.35242448625929734</v>
      </c>
      <c r="T140" s="79">
        <v>0.21992608890158008</v>
      </c>
      <c r="U140" s="79">
        <v>0.55901538382724636</v>
      </c>
      <c r="V140" s="129">
        <v>1E-8</v>
      </c>
      <c r="W140" s="79">
        <v>1E-8</v>
      </c>
      <c r="X140" s="129">
        <v>1E-8</v>
      </c>
      <c r="Y140" s="79">
        <v>1E-8</v>
      </c>
      <c r="Z140" s="123"/>
    </row>
    <row r="141" spans="1:26" x14ac:dyDescent="0.35">
      <c r="A141" s="9" t="s">
        <v>695</v>
      </c>
      <c r="B141" s="123"/>
      <c r="C141" s="124" t="s">
        <v>591</v>
      </c>
      <c r="D141" s="79">
        <v>7.1997326073799179</v>
      </c>
      <c r="E141" s="79">
        <v>1E-8</v>
      </c>
      <c r="F141" s="79">
        <v>1E-8</v>
      </c>
      <c r="G141" s="129">
        <v>1E-8</v>
      </c>
      <c r="H141" s="79">
        <v>1E-8</v>
      </c>
      <c r="I141" s="79">
        <v>1E-8</v>
      </c>
      <c r="J141" s="129">
        <v>1E-8</v>
      </c>
      <c r="K141" s="79">
        <v>1E-8</v>
      </c>
      <c r="L141" s="79">
        <v>1E-8</v>
      </c>
      <c r="M141" s="123"/>
      <c r="N141" s="125"/>
      <c r="O141" s="123"/>
      <c r="P141" s="9" t="s">
        <v>695</v>
      </c>
      <c r="Q141" s="123"/>
      <c r="R141" s="124" t="s">
        <v>591</v>
      </c>
      <c r="S141" s="79">
        <v>1E-8</v>
      </c>
      <c r="T141" s="79">
        <v>1E-8</v>
      </c>
      <c r="U141" s="79">
        <v>1E-8</v>
      </c>
      <c r="V141" s="129">
        <v>1E-8</v>
      </c>
      <c r="W141" s="79">
        <v>1E-8</v>
      </c>
      <c r="X141" s="129">
        <v>9.046024851188875</v>
      </c>
      <c r="Y141" s="79">
        <v>100.00000000000003</v>
      </c>
      <c r="Z141" s="123"/>
    </row>
    <row r="142" spans="1:26" x14ac:dyDescent="0.35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</sheetData>
  <sheetProtection sheet="1" objects="1" scenarios="1"/>
  <mergeCells count="5">
    <mergeCell ref="V5:W5"/>
    <mergeCell ref="X5:Y5"/>
    <mergeCell ref="D5:F5"/>
    <mergeCell ref="G5:I5"/>
    <mergeCell ref="J5:L5"/>
  </mergeCells>
  <conditionalFormatting sqref="D142:L142">
    <cfRule type="cellIs" dxfId="52" priority="38" operator="equal">
      <formula>0.00000001</formula>
    </cfRule>
  </conditionalFormatting>
  <conditionalFormatting sqref="S142:Y142">
    <cfRule type="cellIs" dxfId="51" priority="20" operator="equal">
      <formula>0.00000001</formula>
    </cfRule>
  </conditionalFormatting>
  <conditionalFormatting sqref="D8:L141">
    <cfRule type="cellIs" dxfId="50" priority="2" operator="equal">
      <formula>0.00000001</formula>
    </cfRule>
  </conditionalFormatting>
  <conditionalFormatting sqref="S8:Y141">
    <cfRule type="cellIs" dxfId="49" priority="1" operator="equal">
      <formula>0.00000001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N27"/>
  <sheetViews>
    <sheetView tabSelected="1" zoomScale="145" zoomScaleNormal="145" workbookViewId="0">
      <pane xSplit="3" ySplit="5" topLeftCell="D9" activePane="bottomRight" state="frozen"/>
      <selection activeCell="F5" sqref="F5"/>
      <selection pane="topRight" activeCell="F5" sqref="F5"/>
      <selection pane="bottomLeft" activeCell="F5" sqref="F5"/>
      <selection pane="bottomRight" activeCell="G13" sqref="G13"/>
    </sheetView>
  </sheetViews>
  <sheetFormatPr defaultColWidth="0" defaultRowHeight="14.5" zeroHeight="1" x14ac:dyDescent="0.35"/>
  <cols>
    <col min="1" max="1" width="8.81640625" customWidth="1"/>
    <col min="2" max="2" width="23.1796875" customWidth="1"/>
    <col min="3" max="3" width="0.453125" customWidth="1"/>
    <col min="4" max="13" width="8.81640625" customWidth="1"/>
    <col min="14" max="14" width="1" customWidth="1"/>
    <col min="15" max="16384" width="8.81640625" hidden="1"/>
  </cols>
  <sheetData>
    <row r="1" spans="1:14" ht="18.5" x14ac:dyDescent="0.45">
      <c r="A1" s="1" t="s">
        <v>398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6"/>
      <c r="B4" s="6"/>
      <c r="C4" s="6"/>
      <c r="D4" s="34" t="s">
        <v>399</v>
      </c>
      <c r="E4" s="6" t="s">
        <v>400</v>
      </c>
      <c r="F4" s="6"/>
      <c r="G4" s="6"/>
      <c r="H4" s="6"/>
      <c r="I4" s="6"/>
      <c r="J4" s="6"/>
      <c r="K4" s="6"/>
      <c r="L4" s="6"/>
      <c r="M4" s="6"/>
      <c r="N4" s="6"/>
    </row>
    <row r="5" spans="1:14" x14ac:dyDescent="0.35">
      <c r="A5" s="26"/>
      <c r="B5" s="26"/>
      <c r="C5" s="29"/>
      <c r="D5" s="33" t="s">
        <v>246</v>
      </c>
      <c r="E5" s="50" t="s">
        <v>890</v>
      </c>
      <c r="F5" s="33" t="s">
        <v>885</v>
      </c>
      <c r="G5" s="33" t="s">
        <v>891</v>
      </c>
      <c r="H5" s="33" t="s">
        <v>886</v>
      </c>
      <c r="I5" s="33" t="s">
        <v>887</v>
      </c>
      <c r="J5" s="33" t="s">
        <v>888</v>
      </c>
      <c r="K5" s="33" t="s">
        <v>889</v>
      </c>
      <c r="L5" s="33" t="s">
        <v>396</v>
      </c>
      <c r="M5" s="33" t="s">
        <v>397</v>
      </c>
      <c r="N5" s="26"/>
    </row>
    <row r="6" spans="1:14" x14ac:dyDescent="0.35">
      <c r="A6" s="5" t="s">
        <v>401</v>
      </c>
      <c r="B6" s="4" t="s">
        <v>402</v>
      </c>
      <c r="C6" s="17" t="s">
        <v>375</v>
      </c>
      <c r="D6" s="118">
        <v>8.8189703563893325</v>
      </c>
      <c r="E6" s="23">
        <v>-1.7990284456127825</v>
      </c>
      <c r="F6" s="22">
        <v>1E-8</v>
      </c>
      <c r="G6" s="22">
        <v>1E-8</v>
      </c>
      <c r="H6" s="22">
        <v>1E-8</v>
      </c>
      <c r="I6" s="22">
        <v>1E-8</v>
      </c>
      <c r="J6" s="22">
        <v>1E-8</v>
      </c>
      <c r="K6" s="22">
        <v>1E-8</v>
      </c>
      <c r="L6" s="22">
        <v>1E-8</v>
      </c>
      <c r="M6" s="22">
        <v>1E-8</v>
      </c>
      <c r="N6" s="4"/>
    </row>
    <row r="7" spans="1:14" x14ac:dyDescent="0.35">
      <c r="A7" s="4"/>
      <c r="B7" s="4" t="s">
        <v>403</v>
      </c>
      <c r="C7" s="17" t="s">
        <v>376</v>
      </c>
      <c r="D7" s="118">
        <v>5.9176346098634829</v>
      </c>
      <c r="E7" s="23">
        <v>-1.8100861895684606</v>
      </c>
      <c r="F7" s="22">
        <v>1E-8</v>
      </c>
      <c r="G7" s="22">
        <v>1E-8</v>
      </c>
      <c r="H7" s="22">
        <v>1E-8</v>
      </c>
      <c r="I7" s="22">
        <v>1E-8</v>
      </c>
      <c r="J7" s="22">
        <v>1E-8</v>
      </c>
      <c r="K7" s="22">
        <v>1E-8</v>
      </c>
      <c r="L7" s="22">
        <v>1E-8</v>
      </c>
      <c r="M7" s="22">
        <v>1E-8</v>
      </c>
      <c r="N7" s="4"/>
    </row>
    <row r="8" spans="1:14" x14ac:dyDescent="0.35">
      <c r="A8" s="4"/>
      <c r="B8" s="4" t="s">
        <v>404</v>
      </c>
      <c r="C8" s="17" t="s">
        <v>377</v>
      </c>
      <c r="D8" s="118">
        <v>1.7477124415136227</v>
      </c>
      <c r="E8" s="23">
        <v>-2.9490834576139435</v>
      </c>
      <c r="F8" s="22">
        <v>1E-8</v>
      </c>
      <c r="G8" s="22">
        <v>1E-8</v>
      </c>
      <c r="H8" s="22">
        <v>1E-8</v>
      </c>
      <c r="I8" s="22">
        <v>1E-8</v>
      </c>
      <c r="J8" s="22">
        <v>1E-8</v>
      </c>
      <c r="K8" s="22">
        <v>1E-8</v>
      </c>
      <c r="L8" s="22">
        <v>1E-8</v>
      </c>
      <c r="M8" s="22">
        <v>1E-8</v>
      </c>
      <c r="N8" s="4"/>
    </row>
    <row r="9" spans="1:14" x14ac:dyDescent="0.35">
      <c r="A9" s="4"/>
      <c r="B9" s="4" t="s">
        <v>32</v>
      </c>
      <c r="C9" s="17" t="s">
        <v>378</v>
      </c>
      <c r="D9" s="118">
        <v>1.1536233050122262</v>
      </c>
      <c r="E9" s="23">
        <v>1E-8</v>
      </c>
      <c r="F9" s="22">
        <v>1E-8</v>
      </c>
      <c r="G9" s="22">
        <v>1E-8</v>
      </c>
      <c r="H9" s="22">
        <v>1E-8</v>
      </c>
      <c r="I9" s="22">
        <v>1E-8</v>
      </c>
      <c r="J9" s="22">
        <v>1E-8</v>
      </c>
      <c r="K9" s="22">
        <v>1E-8</v>
      </c>
      <c r="L9" s="22">
        <v>1E-8</v>
      </c>
      <c r="M9" s="22">
        <v>1E-8</v>
      </c>
      <c r="N9" s="4"/>
    </row>
    <row r="10" spans="1:14" x14ac:dyDescent="0.35">
      <c r="A10" s="4"/>
      <c r="B10" s="4" t="s">
        <v>253</v>
      </c>
      <c r="C10" s="17" t="s">
        <v>379</v>
      </c>
      <c r="D10" s="118">
        <v>1.0476829080930141</v>
      </c>
      <c r="E10" s="23">
        <v>4.9613208522708119</v>
      </c>
      <c r="F10" s="22">
        <v>1E-8</v>
      </c>
      <c r="G10" s="22">
        <v>1E-8</v>
      </c>
      <c r="H10" s="22">
        <v>1E-8</v>
      </c>
      <c r="I10" s="22">
        <v>1E-8</v>
      </c>
      <c r="J10" s="22">
        <v>1E-8</v>
      </c>
      <c r="K10" s="22">
        <v>1E-8</v>
      </c>
      <c r="L10" s="22">
        <v>1E-8</v>
      </c>
      <c r="M10" s="22">
        <v>1E-8</v>
      </c>
      <c r="N10" s="4"/>
    </row>
    <row r="11" spans="1:14" x14ac:dyDescent="0.35">
      <c r="A11" s="27"/>
      <c r="B11" s="27" t="s">
        <v>252</v>
      </c>
      <c r="C11" s="31" t="s">
        <v>380</v>
      </c>
      <c r="D11" s="119">
        <v>2.3825775412550518</v>
      </c>
      <c r="E11" s="51">
        <v>-3.6790711748959981</v>
      </c>
      <c r="F11" s="28">
        <v>1E-8</v>
      </c>
      <c r="G11" s="28">
        <v>1E-8</v>
      </c>
      <c r="H11" s="28">
        <v>1E-8</v>
      </c>
      <c r="I11" s="28">
        <v>1E-8</v>
      </c>
      <c r="J11" s="28">
        <v>1E-8</v>
      </c>
      <c r="K11" s="28">
        <v>1E-8</v>
      </c>
      <c r="L11" s="28">
        <v>1E-8</v>
      </c>
      <c r="M11" s="28">
        <v>1E-8</v>
      </c>
      <c r="N11" s="4"/>
    </row>
    <row r="12" spans="1:14" x14ac:dyDescent="0.35">
      <c r="A12" s="5" t="s">
        <v>405</v>
      </c>
      <c r="B12" s="4" t="s">
        <v>406</v>
      </c>
      <c r="C12" s="17" t="s">
        <v>381</v>
      </c>
      <c r="D12" s="65">
        <v>100.00000000000001</v>
      </c>
      <c r="E12" s="23">
        <v>8.3748049152048143</v>
      </c>
      <c r="F12" s="22">
        <v>1E-8</v>
      </c>
      <c r="G12" s="22">
        <v>1E-8</v>
      </c>
      <c r="H12" s="22">
        <v>1E-8</v>
      </c>
      <c r="I12" s="22">
        <v>1E-8</v>
      </c>
      <c r="J12" s="22">
        <v>1E-8</v>
      </c>
      <c r="K12" s="22">
        <v>1E-8</v>
      </c>
      <c r="L12" s="22">
        <v>1E-8</v>
      </c>
      <c r="M12" s="22">
        <v>1E-8</v>
      </c>
      <c r="N12" s="4"/>
    </row>
    <row r="13" spans="1:14" x14ac:dyDescent="0.35">
      <c r="A13" s="4"/>
      <c r="B13" s="4" t="s">
        <v>407</v>
      </c>
      <c r="C13" s="17" t="s">
        <v>382</v>
      </c>
      <c r="D13" s="65">
        <v>100</v>
      </c>
      <c r="E13" s="23">
        <v>6.558569968886796</v>
      </c>
      <c r="F13" s="22">
        <v>1E-8</v>
      </c>
      <c r="G13" s="22">
        <v>1E-8</v>
      </c>
      <c r="H13" s="22">
        <v>1E-8</v>
      </c>
      <c r="I13" s="22">
        <v>1E-8</v>
      </c>
      <c r="J13" s="22">
        <v>1E-8</v>
      </c>
      <c r="K13" s="22">
        <v>1E-8</v>
      </c>
      <c r="L13" s="22">
        <v>1E-8</v>
      </c>
      <c r="M13" s="22">
        <v>1E-8</v>
      </c>
      <c r="N13" s="4"/>
    </row>
    <row r="14" spans="1:14" x14ac:dyDescent="0.35">
      <c r="A14" s="4"/>
      <c r="B14" s="4" t="s">
        <v>408</v>
      </c>
      <c r="C14" s="17" t="s">
        <v>383</v>
      </c>
      <c r="D14" s="65">
        <v>100</v>
      </c>
      <c r="E14" s="23">
        <v>1E-8</v>
      </c>
      <c r="F14" s="22">
        <v>1E-8</v>
      </c>
      <c r="G14" s="22">
        <v>1E-8</v>
      </c>
      <c r="H14" s="22">
        <v>1E-8</v>
      </c>
      <c r="I14" s="22">
        <v>1E-8</v>
      </c>
      <c r="J14" s="22">
        <v>1E-8</v>
      </c>
      <c r="K14" s="22">
        <v>1E-8</v>
      </c>
      <c r="L14" s="22">
        <v>1E-8</v>
      </c>
      <c r="M14" s="22">
        <v>1E-8</v>
      </c>
      <c r="N14" s="4"/>
    </row>
    <row r="15" spans="1:14" x14ac:dyDescent="0.35">
      <c r="A15" s="4"/>
      <c r="B15" s="4" t="s">
        <v>409</v>
      </c>
      <c r="C15" s="17" t="s">
        <v>384</v>
      </c>
      <c r="D15" s="65">
        <v>100</v>
      </c>
      <c r="E15" s="23">
        <v>2.4539386246396289</v>
      </c>
      <c r="F15" s="22">
        <v>1E-8</v>
      </c>
      <c r="G15" s="22">
        <v>1E-8</v>
      </c>
      <c r="H15" s="22">
        <v>1E-8</v>
      </c>
      <c r="I15" s="22">
        <v>1E-8</v>
      </c>
      <c r="J15" s="22">
        <v>1E-8</v>
      </c>
      <c r="K15" s="22">
        <v>1E-8</v>
      </c>
      <c r="L15" s="22">
        <v>1E-8</v>
      </c>
      <c r="M15" s="22">
        <v>1E-8</v>
      </c>
      <c r="N15" s="4"/>
    </row>
    <row r="16" spans="1:14" x14ac:dyDescent="0.35">
      <c r="A16" s="4"/>
      <c r="B16" s="4" t="s">
        <v>410</v>
      </c>
      <c r="C16" s="17" t="s">
        <v>385</v>
      </c>
      <c r="D16" s="65">
        <v>100</v>
      </c>
      <c r="E16" s="23">
        <v>1.7044475604748532</v>
      </c>
      <c r="F16" s="22">
        <v>1E-8</v>
      </c>
      <c r="G16" s="22">
        <v>1E-8</v>
      </c>
      <c r="H16" s="22">
        <v>1E-8</v>
      </c>
      <c r="I16" s="22">
        <v>1E-8</v>
      </c>
      <c r="J16" s="22">
        <v>1E-8</v>
      </c>
      <c r="K16" s="22">
        <v>1E-8</v>
      </c>
      <c r="L16" s="22">
        <v>1E-8</v>
      </c>
      <c r="M16" s="22">
        <v>1E-8</v>
      </c>
      <c r="N16" s="4"/>
    </row>
    <row r="17" spans="1:14" x14ac:dyDescent="0.35">
      <c r="A17" s="4"/>
      <c r="B17" s="4" t="s">
        <v>411</v>
      </c>
      <c r="C17" s="17" t="s">
        <v>386</v>
      </c>
      <c r="D17" s="65">
        <v>99.999999999999986</v>
      </c>
      <c r="E17" s="23">
        <v>1E-8</v>
      </c>
      <c r="F17" s="22">
        <v>1E-8</v>
      </c>
      <c r="G17" s="22">
        <v>1E-8</v>
      </c>
      <c r="H17" s="22">
        <v>1E-8</v>
      </c>
      <c r="I17" s="22">
        <v>1E-8</v>
      </c>
      <c r="J17" s="22">
        <v>1E-8</v>
      </c>
      <c r="K17" s="22">
        <v>1E-8</v>
      </c>
      <c r="L17" s="22">
        <v>1E-8</v>
      </c>
      <c r="M17" s="22">
        <v>1E-8</v>
      </c>
      <c r="N17" s="4"/>
    </row>
    <row r="18" spans="1:14" x14ac:dyDescent="0.35">
      <c r="A18" s="4"/>
      <c r="B18" s="4" t="s">
        <v>412</v>
      </c>
      <c r="C18" s="17" t="s">
        <v>387</v>
      </c>
      <c r="D18" s="65">
        <v>100.00000000000001</v>
      </c>
      <c r="E18" s="23">
        <v>2.2519002953133249</v>
      </c>
      <c r="F18" s="22">
        <v>1E-8</v>
      </c>
      <c r="G18" s="22">
        <v>1E-8</v>
      </c>
      <c r="H18" s="22">
        <v>1E-8</v>
      </c>
      <c r="I18" s="22">
        <v>1E-8</v>
      </c>
      <c r="J18" s="22">
        <v>1E-8</v>
      </c>
      <c r="K18" s="22">
        <v>1E-8</v>
      </c>
      <c r="L18" s="22">
        <v>1E-8</v>
      </c>
      <c r="M18" s="22">
        <v>1E-8</v>
      </c>
      <c r="N18" s="4"/>
    </row>
    <row r="19" spans="1:14" x14ac:dyDescent="0.35">
      <c r="A19" s="27"/>
      <c r="B19" s="27" t="s">
        <v>413</v>
      </c>
      <c r="C19" s="31" t="s">
        <v>388</v>
      </c>
      <c r="D19" s="66">
        <v>100</v>
      </c>
      <c r="E19" s="51">
        <v>-2.395162799577788</v>
      </c>
      <c r="F19" s="28">
        <v>1E-8</v>
      </c>
      <c r="G19" s="28">
        <v>1E-8</v>
      </c>
      <c r="H19" s="28">
        <v>1E-8</v>
      </c>
      <c r="I19" s="28">
        <v>1E-8</v>
      </c>
      <c r="J19" s="28">
        <v>1E-8</v>
      </c>
      <c r="K19" s="28">
        <v>1E-8</v>
      </c>
      <c r="L19" s="28">
        <v>1E-8</v>
      </c>
      <c r="M19" s="28">
        <v>1E-8</v>
      </c>
      <c r="N19" s="4"/>
    </row>
    <row r="20" spans="1:14" x14ac:dyDescent="0.35">
      <c r="A20" s="5" t="s">
        <v>414</v>
      </c>
      <c r="B20" s="4" t="s">
        <v>415</v>
      </c>
      <c r="C20" s="17" t="s">
        <v>389</v>
      </c>
      <c r="D20" s="65">
        <v>22.723366745878952</v>
      </c>
      <c r="E20" s="23">
        <v>-0.20662354964536433</v>
      </c>
      <c r="F20" s="22">
        <v>1E-8</v>
      </c>
      <c r="G20" s="22">
        <v>1E-8</v>
      </c>
      <c r="H20" s="22">
        <v>1E-8</v>
      </c>
      <c r="I20" s="22">
        <v>1E-8</v>
      </c>
      <c r="J20" s="22">
        <v>1E-8</v>
      </c>
      <c r="K20" s="22">
        <v>1E-8</v>
      </c>
      <c r="L20" s="22">
        <v>1E-8</v>
      </c>
      <c r="M20" s="22">
        <v>1E-8</v>
      </c>
      <c r="N20" s="4"/>
    </row>
    <row r="21" spans="1:14" x14ac:dyDescent="0.35">
      <c r="A21" s="4"/>
      <c r="B21" s="4" t="s">
        <v>416</v>
      </c>
      <c r="C21" s="17" t="s">
        <v>390</v>
      </c>
      <c r="D21" s="65">
        <v>11.669290427935364</v>
      </c>
      <c r="E21" s="23">
        <v>-8.6355503482078433E-3</v>
      </c>
      <c r="F21" s="22">
        <v>1E-8</v>
      </c>
      <c r="G21" s="22">
        <v>1E-8</v>
      </c>
      <c r="H21" s="22">
        <v>1E-8</v>
      </c>
      <c r="I21" s="22">
        <v>1E-8</v>
      </c>
      <c r="J21" s="22">
        <v>1E-8</v>
      </c>
      <c r="K21" s="22">
        <v>1E-8</v>
      </c>
      <c r="L21" s="22">
        <v>1E-8</v>
      </c>
      <c r="M21" s="22">
        <v>1E-8</v>
      </c>
      <c r="N21" s="4"/>
    </row>
    <row r="22" spans="1:14" x14ac:dyDescent="0.35">
      <c r="A22" s="4"/>
      <c r="B22" s="4" t="s">
        <v>417</v>
      </c>
      <c r="C22" s="17" t="s">
        <v>391</v>
      </c>
      <c r="D22" s="65">
        <v>11.081504612166947</v>
      </c>
      <c r="E22" s="23">
        <v>-0.40141552162737604</v>
      </c>
      <c r="F22" s="22">
        <v>1E-8</v>
      </c>
      <c r="G22" s="22">
        <v>1E-8</v>
      </c>
      <c r="H22" s="22">
        <v>1E-8</v>
      </c>
      <c r="I22" s="22">
        <v>1E-8</v>
      </c>
      <c r="J22" s="22">
        <v>1E-8</v>
      </c>
      <c r="K22" s="22">
        <v>1E-8</v>
      </c>
      <c r="L22" s="22">
        <v>1E-8</v>
      </c>
      <c r="M22" s="22">
        <v>1E-8</v>
      </c>
      <c r="N22" s="4"/>
    </row>
    <row r="23" spans="1:14" x14ac:dyDescent="0.35">
      <c r="A23" s="4"/>
      <c r="B23" s="4" t="s">
        <v>418</v>
      </c>
      <c r="C23" s="17" t="s">
        <v>392</v>
      </c>
      <c r="D23" s="65">
        <v>26.833505287954296</v>
      </c>
      <c r="E23" s="23">
        <v>-0.21963974076754766</v>
      </c>
      <c r="F23" s="22">
        <v>1E-8</v>
      </c>
      <c r="G23" s="22">
        <v>1E-8</v>
      </c>
      <c r="H23" s="22">
        <v>1E-8</v>
      </c>
      <c r="I23" s="22">
        <v>1E-8</v>
      </c>
      <c r="J23" s="22">
        <v>1E-8</v>
      </c>
      <c r="K23" s="22">
        <v>1E-8</v>
      </c>
      <c r="L23" s="22">
        <v>1E-8</v>
      </c>
      <c r="M23" s="22">
        <v>1E-8</v>
      </c>
      <c r="N23" s="4"/>
    </row>
    <row r="24" spans="1:14" x14ac:dyDescent="0.35">
      <c r="A24" s="4"/>
      <c r="B24" s="4" t="s">
        <v>419</v>
      </c>
      <c r="C24" s="17" t="s">
        <v>393</v>
      </c>
      <c r="D24" s="65">
        <v>2.6662910080560995</v>
      </c>
      <c r="E24" s="23">
        <v>0.42895722431977967</v>
      </c>
      <c r="F24" s="22">
        <v>1E-8</v>
      </c>
      <c r="G24" s="22">
        <v>1E-8</v>
      </c>
      <c r="H24" s="22">
        <v>1E-8</v>
      </c>
      <c r="I24" s="22">
        <v>1E-8</v>
      </c>
      <c r="J24" s="22">
        <v>1E-8</v>
      </c>
      <c r="K24" s="22">
        <v>1E-8</v>
      </c>
      <c r="L24" s="22">
        <v>1E-8</v>
      </c>
      <c r="M24" s="22">
        <v>1E-8</v>
      </c>
      <c r="N24" s="4"/>
    </row>
    <row r="25" spans="1:14" x14ac:dyDescent="0.35">
      <c r="A25" s="4"/>
      <c r="B25" s="4" t="s">
        <v>420</v>
      </c>
      <c r="C25" s="17" t="s">
        <v>394</v>
      </c>
      <c r="D25" s="65">
        <v>1.2477812662669909</v>
      </c>
      <c r="E25" s="23">
        <v>4.5174883500550989E-2</v>
      </c>
      <c r="F25" s="22">
        <v>1E-8</v>
      </c>
      <c r="G25" s="22">
        <v>1E-8</v>
      </c>
      <c r="H25" s="22">
        <v>1E-8</v>
      </c>
      <c r="I25" s="22">
        <v>1E-8</v>
      </c>
      <c r="J25" s="22">
        <v>1E-8</v>
      </c>
      <c r="K25" s="22">
        <v>1E-8</v>
      </c>
      <c r="L25" s="22">
        <v>1E-8</v>
      </c>
      <c r="M25" s="22">
        <v>1E-8</v>
      </c>
      <c r="N25" s="4"/>
    </row>
    <row r="26" spans="1:14" x14ac:dyDescent="0.35">
      <c r="A26" s="4"/>
      <c r="B26" s="4" t="s">
        <v>421</v>
      </c>
      <c r="C26" s="17" t="s">
        <v>395</v>
      </c>
      <c r="D26" s="65">
        <v>6.2384741587474046</v>
      </c>
      <c r="E26" s="23">
        <v>-4.5402919746857506E-3</v>
      </c>
      <c r="F26" s="22">
        <v>1E-8</v>
      </c>
      <c r="G26" s="22">
        <v>1E-8</v>
      </c>
      <c r="H26" s="22">
        <v>1E-8</v>
      </c>
      <c r="I26" s="22">
        <v>1E-8</v>
      </c>
      <c r="J26" s="22">
        <v>1E-8</v>
      </c>
      <c r="K26" s="22">
        <v>1E-8</v>
      </c>
      <c r="L26" s="22">
        <v>1E-8</v>
      </c>
      <c r="M26" s="22">
        <v>1E-8</v>
      </c>
      <c r="N26" s="4"/>
    </row>
    <row r="27" spans="1:14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</sheetData>
  <sheetProtection sheet="1" objects="1" scenarios="1"/>
  <conditionalFormatting sqref="D6:M26">
    <cfRule type="cellIs" dxfId="48" priority="1" operator="equal">
      <formula>0.00000001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O61"/>
  <sheetViews>
    <sheetView zoomScale="85" zoomScaleNormal="85" workbookViewId="0">
      <pane xSplit="4" ySplit="5" topLeftCell="E6" activePane="bottomRight" state="frozen"/>
      <selection activeCell="F5" sqref="F5"/>
      <selection pane="topRight" activeCell="F5" sqref="F5"/>
      <selection pane="bottomLeft" activeCell="F5" sqref="F5"/>
      <selection pane="bottomRight" activeCell="I6" sqref="I6"/>
    </sheetView>
  </sheetViews>
  <sheetFormatPr defaultColWidth="0" defaultRowHeight="14.5" zeroHeight="1" x14ac:dyDescent="0.35"/>
  <cols>
    <col min="1" max="1" width="8.81640625" customWidth="1"/>
    <col min="2" max="2" width="18.453125" customWidth="1"/>
    <col min="3" max="4" width="0.453125" customWidth="1"/>
    <col min="5" max="14" width="8.81640625" customWidth="1"/>
    <col min="15" max="15" width="1" customWidth="1"/>
    <col min="16" max="16384" width="8.81640625" hidden="1"/>
  </cols>
  <sheetData>
    <row r="1" spans="1:15" ht="18.5" x14ac:dyDescent="0.45">
      <c r="A1" s="1" t="s">
        <v>440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5">
      <c r="A4" s="6" t="s">
        <v>446</v>
      </c>
      <c r="B4" s="6"/>
      <c r="C4" s="6"/>
      <c r="D4" s="6"/>
      <c r="E4" s="34" t="s">
        <v>399</v>
      </c>
      <c r="F4" s="6" t="s">
        <v>400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35">
      <c r="A5" s="30"/>
      <c r="B5" s="30"/>
      <c r="C5" s="30"/>
      <c r="D5" s="30"/>
      <c r="E5" s="33" t="s">
        <v>246</v>
      </c>
      <c r="F5" s="50" t="s">
        <v>890</v>
      </c>
      <c r="G5" s="33" t="s">
        <v>885</v>
      </c>
      <c r="H5" s="33" t="s">
        <v>891</v>
      </c>
      <c r="I5" s="33" t="s">
        <v>886</v>
      </c>
      <c r="J5" s="33" t="s">
        <v>887</v>
      </c>
      <c r="K5" s="33" t="s">
        <v>888</v>
      </c>
      <c r="L5" s="33" t="s">
        <v>889</v>
      </c>
      <c r="M5" s="33" t="s">
        <v>396</v>
      </c>
      <c r="N5" s="33" t="s">
        <v>397</v>
      </c>
      <c r="O5" s="30"/>
    </row>
    <row r="6" spans="1:15" x14ac:dyDescent="0.35">
      <c r="A6" s="5" t="s">
        <v>443</v>
      </c>
      <c r="B6" s="4" t="s">
        <v>402</v>
      </c>
      <c r="C6" s="17" t="s">
        <v>422</v>
      </c>
      <c r="D6" s="17" t="s">
        <v>423</v>
      </c>
      <c r="E6" s="118">
        <v>9.0261512196473266</v>
      </c>
      <c r="F6" s="23">
        <v>-1.7577346253212944</v>
      </c>
      <c r="G6" s="22">
        <v>1E-8</v>
      </c>
      <c r="H6" s="22">
        <v>1E-8</v>
      </c>
      <c r="I6" s="22">
        <v>1E-8</v>
      </c>
      <c r="J6" s="22">
        <v>1E-8</v>
      </c>
      <c r="K6" s="22">
        <v>1E-8</v>
      </c>
      <c r="L6" s="22">
        <v>1E-8</v>
      </c>
      <c r="M6" s="22">
        <v>1E-8</v>
      </c>
      <c r="N6" s="22">
        <v>1E-8</v>
      </c>
      <c r="O6" s="4"/>
    </row>
    <row r="7" spans="1:15" x14ac:dyDescent="0.35">
      <c r="A7" s="5"/>
      <c r="B7" s="4" t="s">
        <v>403</v>
      </c>
      <c r="C7" s="17" t="s">
        <v>422</v>
      </c>
      <c r="D7" s="17" t="s">
        <v>424</v>
      </c>
      <c r="E7" s="118">
        <v>5.9176346098634829</v>
      </c>
      <c r="F7" s="23">
        <v>-1.8100861895684606</v>
      </c>
      <c r="G7" s="22">
        <v>1E-8</v>
      </c>
      <c r="H7" s="22">
        <v>1E-8</v>
      </c>
      <c r="I7" s="22">
        <v>1E-8</v>
      </c>
      <c r="J7" s="22">
        <v>1E-8</v>
      </c>
      <c r="K7" s="22">
        <v>1E-8</v>
      </c>
      <c r="L7" s="22">
        <v>1E-8</v>
      </c>
      <c r="M7" s="22">
        <v>1E-8</v>
      </c>
      <c r="N7" s="22">
        <v>1E-8</v>
      </c>
      <c r="O7" s="4"/>
    </row>
    <row r="8" spans="1:15" x14ac:dyDescent="0.35">
      <c r="A8" s="5"/>
      <c r="B8" s="4" t="s">
        <v>404</v>
      </c>
      <c r="C8" s="17" t="s">
        <v>422</v>
      </c>
      <c r="D8" s="17" t="s">
        <v>425</v>
      </c>
      <c r="E8" s="118">
        <v>1.7477124415136227</v>
      </c>
      <c r="F8" s="23">
        <v>-2.9490834576139435</v>
      </c>
      <c r="G8" s="22">
        <v>1E-8</v>
      </c>
      <c r="H8" s="22">
        <v>1E-8</v>
      </c>
      <c r="I8" s="22">
        <v>1E-8</v>
      </c>
      <c r="J8" s="22">
        <v>1E-8</v>
      </c>
      <c r="K8" s="22">
        <v>1E-8</v>
      </c>
      <c r="L8" s="22">
        <v>1E-8</v>
      </c>
      <c r="M8" s="22">
        <v>1E-8</v>
      </c>
      <c r="N8" s="22">
        <v>1E-8</v>
      </c>
      <c r="O8" s="4"/>
    </row>
    <row r="9" spans="1:15" x14ac:dyDescent="0.35">
      <c r="A9" s="5"/>
      <c r="B9" s="4" t="s">
        <v>439</v>
      </c>
      <c r="C9" s="17" t="s">
        <v>422</v>
      </c>
      <c r="D9" s="17" t="s">
        <v>426</v>
      </c>
      <c r="E9" s="118">
        <v>0.20718086325799431</v>
      </c>
      <c r="F9" s="23">
        <v>1E-8</v>
      </c>
      <c r="G9" s="22">
        <v>1E-8</v>
      </c>
      <c r="H9" s="22">
        <v>1E-8</v>
      </c>
      <c r="I9" s="22">
        <v>1E-8</v>
      </c>
      <c r="J9" s="22">
        <v>1E-8</v>
      </c>
      <c r="K9" s="22">
        <v>1E-8</v>
      </c>
      <c r="L9" s="22">
        <v>1E-8</v>
      </c>
      <c r="M9" s="22">
        <v>1E-8</v>
      </c>
      <c r="N9" s="22">
        <v>1E-8</v>
      </c>
      <c r="O9" s="4"/>
    </row>
    <row r="10" spans="1:15" x14ac:dyDescent="0.35">
      <c r="A10" s="5"/>
      <c r="B10" s="4" t="s">
        <v>32</v>
      </c>
      <c r="C10" s="17" t="s">
        <v>422</v>
      </c>
      <c r="D10" s="17" t="s">
        <v>427</v>
      </c>
      <c r="E10" s="118">
        <v>1.1536233050122262</v>
      </c>
      <c r="F10" s="23">
        <v>1E-8</v>
      </c>
      <c r="G10" s="22">
        <v>1E-8</v>
      </c>
      <c r="H10" s="22">
        <v>1E-8</v>
      </c>
      <c r="I10" s="22">
        <v>1E-8</v>
      </c>
      <c r="J10" s="22">
        <v>1E-8</v>
      </c>
      <c r="K10" s="22">
        <v>1E-8</v>
      </c>
      <c r="L10" s="22">
        <v>1E-8</v>
      </c>
      <c r="M10" s="22">
        <v>1E-8</v>
      </c>
      <c r="N10" s="22">
        <v>1E-8</v>
      </c>
      <c r="O10" s="4"/>
    </row>
    <row r="11" spans="1:15" x14ac:dyDescent="0.35">
      <c r="A11" s="5"/>
      <c r="B11" s="4" t="s">
        <v>253</v>
      </c>
      <c r="C11" s="17" t="s">
        <v>422</v>
      </c>
      <c r="D11" s="17" t="s">
        <v>428</v>
      </c>
      <c r="E11" s="118">
        <v>1.0476829080930141</v>
      </c>
      <c r="F11" s="23">
        <v>4.9613208522708119</v>
      </c>
      <c r="G11" s="22">
        <v>1E-8</v>
      </c>
      <c r="H11" s="22">
        <v>1E-8</v>
      </c>
      <c r="I11" s="22">
        <v>1E-8</v>
      </c>
      <c r="J11" s="22">
        <v>1E-8</v>
      </c>
      <c r="K11" s="22">
        <v>1E-8</v>
      </c>
      <c r="L11" s="22">
        <v>1E-8</v>
      </c>
      <c r="M11" s="22">
        <v>1E-8</v>
      </c>
      <c r="N11" s="22">
        <v>1E-8</v>
      </c>
      <c r="O11" s="4"/>
    </row>
    <row r="12" spans="1:15" x14ac:dyDescent="0.35">
      <c r="A12" s="5"/>
      <c r="B12" s="4" t="s">
        <v>252</v>
      </c>
      <c r="C12" s="17" t="s">
        <v>422</v>
      </c>
      <c r="D12" s="17" t="s">
        <v>429</v>
      </c>
      <c r="E12" s="118">
        <v>-2.3825775412550518</v>
      </c>
      <c r="F12" s="23">
        <v>-3.6790711748959981</v>
      </c>
      <c r="G12" s="22">
        <v>1E-8</v>
      </c>
      <c r="H12" s="22">
        <v>1E-8</v>
      </c>
      <c r="I12" s="22">
        <v>1E-8</v>
      </c>
      <c r="J12" s="22">
        <v>1E-8</v>
      </c>
      <c r="K12" s="22">
        <v>1E-8</v>
      </c>
      <c r="L12" s="22">
        <v>1E-8</v>
      </c>
      <c r="M12" s="22">
        <v>1E-8</v>
      </c>
      <c r="N12" s="22">
        <v>1E-8</v>
      </c>
      <c r="O12" s="4"/>
    </row>
    <row r="13" spans="1:15" x14ac:dyDescent="0.35">
      <c r="A13" s="5"/>
      <c r="B13" s="4" t="s">
        <v>440</v>
      </c>
      <c r="C13" s="17" t="s">
        <v>422</v>
      </c>
      <c r="D13" s="17" t="s">
        <v>430</v>
      </c>
      <c r="E13" s="118">
        <v>7.6912565864852889</v>
      </c>
      <c r="F13" s="23">
        <v>-0.24729575698027029</v>
      </c>
      <c r="G13" s="22">
        <v>1E-8</v>
      </c>
      <c r="H13" s="22">
        <v>1E-8</v>
      </c>
      <c r="I13" s="22">
        <v>1E-8</v>
      </c>
      <c r="J13" s="22">
        <v>1E-8</v>
      </c>
      <c r="K13" s="22">
        <v>1E-8</v>
      </c>
      <c r="L13" s="22">
        <v>1E-8</v>
      </c>
      <c r="M13" s="22">
        <v>1E-8</v>
      </c>
      <c r="N13" s="22">
        <v>1E-8</v>
      </c>
      <c r="O13" s="4"/>
    </row>
    <row r="14" spans="1:15" hidden="1" x14ac:dyDescent="0.35">
      <c r="A14" s="5"/>
      <c r="B14" s="4"/>
      <c r="C14" s="17" t="s">
        <v>422</v>
      </c>
      <c r="D14" s="17" t="s">
        <v>431</v>
      </c>
      <c r="E14" s="118">
        <v>1E-8</v>
      </c>
      <c r="F14" s="23">
        <v>1E-8</v>
      </c>
      <c r="G14" s="22">
        <v>1E-8</v>
      </c>
      <c r="H14" s="22">
        <v>1E-8</v>
      </c>
      <c r="I14" s="22">
        <v>1E-8</v>
      </c>
      <c r="J14" s="22">
        <v>1E-8</v>
      </c>
      <c r="K14" s="22">
        <v>1E-8</v>
      </c>
      <c r="L14" s="22">
        <v>1E-8</v>
      </c>
      <c r="M14" s="22">
        <v>1E-8</v>
      </c>
      <c r="N14" s="22">
        <v>1E-8</v>
      </c>
      <c r="O14" s="4"/>
    </row>
    <row r="15" spans="1:15" x14ac:dyDescent="0.35">
      <c r="A15" s="5"/>
      <c r="B15" s="4" t="s">
        <v>441</v>
      </c>
      <c r="C15" s="17" t="s">
        <v>422</v>
      </c>
      <c r="D15" s="17" t="s">
        <v>432</v>
      </c>
      <c r="E15" s="118">
        <v>0.64947034941509574</v>
      </c>
      <c r="F15" s="23">
        <v>-2.1763338543560273</v>
      </c>
      <c r="G15" s="22">
        <v>1E-8</v>
      </c>
      <c r="H15" s="22">
        <v>1E-8</v>
      </c>
      <c r="I15" s="22">
        <v>1E-8</v>
      </c>
      <c r="J15" s="22">
        <v>1E-8</v>
      </c>
      <c r="K15" s="22">
        <v>1E-8</v>
      </c>
      <c r="L15" s="22">
        <v>1E-8</v>
      </c>
      <c r="M15" s="22">
        <v>1E-8</v>
      </c>
      <c r="N15" s="22">
        <v>1E-8</v>
      </c>
      <c r="O15" s="4"/>
    </row>
    <row r="16" spans="1:15" x14ac:dyDescent="0.35">
      <c r="A16" s="32"/>
      <c r="B16" s="27" t="s">
        <v>442</v>
      </c>
      <c r="C16" s="31" t="s">
        <v>422</v>
      </c>
      <c r="D16" s="31" t="s">
        <v>433</v>
      </c>
      <c r="E16" s="119">
        <v>7.0417862370702009</v>
      </c>
      <c r="F16" s="51">
        <v>-2.4268226584023278E-2</v>
      </c>
      <c r="G16" s="28">
        <v>1E-8</v>
      </c>
      <c r="H16" s="28">
        <v>1E-8</v>
      </c>
      <c r="I16" s="28">
        <v>1E-8</v>
      </c>
      <c r="J16" s="28">
        <v>1E-8</v>
      </c>
      <c r="K16" s="28">
        <v>1E-8</v>
      </c>
      <c r="L16" s="28">
        <v>1E-8</v>
      </c>
      <c r="M16" s="28">
        <v>1E-8</v>
      </c>
      <c r="N16" s="28">
        <v>1E-8</v>
      </c>
      <c r="O16" s="4"/>
    </row>
    <row r="17" spans="1:15" x14ac:dyDescent="0.35">
      <c r="A17" s="5" t="s">
        <v>438</v>
      </c>
      <c r="B17" s="4" t="s">
        <v>402</v>
      </c>
      <c r="C17" s="17" t="s">
        <v>434</v>
      </c>
      <c r="D17" s="17" t="s">
        <v>423</v>
      </c>
      <c r="E17" s="118">
        <v>9.0261512196473266</v>
      </c>
      <c r="F17" s="23">
        <v>-0.45610624501150054</v>
      </c>
      <c r="G17" s="22">
        <v>1E-8</v>
      </c>
      <c r="H17" s="22">
        <v>1E-8</v>
      </c>
      <c r="I17" s="22">
        <v>1E-8</v>
      </c>
      <c r="J17" s="22">
        <v>1E-8</v>
      </c>
      <c r="K17" s="22">
        <v>1E-8</v>
      </c>
      <c r="L17" s="22">
        <v>1E-8</v>
      </c>
      <c r="M17" s="22">
        <v>1E-8</v>
      </c>
      <c r="N17" s="22">
        <v>1E-8</v>
      </c>
      <c r="O17" s="4"/>
    </row>
    <row r="18" spans="1:15" x14ac:dyDescent="0.35">
      <c r="A18" s="5"/>
      <c r="B18" s="4" t="s">
        <v>403</v>
      </c>
      <c r="C18" s="17" t="s">
        <v>434</v>
      </c>
      <c r="D18" s="17" t="s">
        <v>424</v>
      </c>
      <c r="E18" s="118">
        <v>5.9176346098634829</v>
      </c>
      <c r="F18" s="23">
        <v>-0.43770492969296138</v>
      </c>
      <c r="G18" s="22">
        <v>1E-8</v>
      </c>
      <c r="H18" s="22">
        <v>1E-8</v>
      </c>
      <c r="I18" s="22">
        <v>1E-8</v>
      </c>
      <c r="J18" s="22">
        <v>1E-8</v>
      </c>
      <c r="K18" s="22">
        <v>1E-8</v>
      </c>
      <c r="L18" s="22">
        <v>1E-8</v>
      </c>
      <c r="M18" s="22">
        <v>1E-8</v>
      </c>
      <c r="N18" s="22">
        <v>1E-8</v>
      </c>
      <c r="O18" s="4"/>
    </row>
    <row r="19" spans="1:15" x14ac:dyDescent="0.35">
      <c r="A19" s="5"/>
      <c r="B19" s="4" t="s">
        <v>404</v>
      </c>
      <c r="C19" s="17" t="s">
        <v>434</v>
      </c>
      <c r="D19" s="17" t="s">
        <v>425</v>
      </c>
      <c r="E19" s="118">
        <v>1.7477124415136227</v>
      </c>
      <c r="F19" s="23">
        <v>-1.3975636621056275</v>
      </c>
      <c r="G19" s="22">
        <v>1E-8</v>
      </c>
      <c r="H19" s="22">
        <v>1E-8</v>
      </c>
      <c r="I19" s="22">
        <v>1E-8</v>
      </c>
      <c r="J19" s="22">
        <v>1E-8</v>
      </c>
      <c r="K19" s="22">
        <v>1E-8</v>
      </c>
      <c r="L19" s="22">
        <v>1E-8</v>
      </c>
      <c r="M19" s="22">
        <v>1E-8</v>
      </c>
      <c r="N19" s="22">
        <v>1E-8</v>
      </c>
      <c r="O19" s="4"/>
    </row>
    <row r="20" spans="1:15" x14ac:dyDescent="0.35">
      <c r="A20" s="5"/>
      <c r="B20" s="4" t="s">
        <v>439</v>
      </c>
      <c r="C20" s="17" t="s">
        <v>434</v>
      </c>
      <c r="D20" s="17" t="s">
        <v>426</v>
      </c>
      <c r="E20" s="118">
        <v>0.20718086325799431</v>
      </c>
      <c r="F20" s="23">
        <v>7.8384287847668821</v>
      </c>
      <c r="G20" s="22">
        <v>1E-8</v>
      </c>
      <c r="H20" s="22">
        <v>1E-8</v>
      </c>
      <c r="I20" s="22">
        <v>1E-8</v>
      </c>
      <c r="J20" s="22">
        <v>1E-8</v>
      </c>
      <c r="K20" s="22">
        <v>1E-8</v>
      </c>
      <c r="L20" s="22">
        <v>1E-8</v>
      </c>
      <c r="M20" s="22">
        <v>1E-8</v>
      </c>
      <c r="N20" s="22">
        <v>1E-8</v>
      </c>
      <c r="O20" s="4"/>
    </row>
    <row r="21" spans="1:15" x14ac:dyDescent="0.35">
      <c r="A21" s="5"/>
      <c r="B21" s="4" t="s">
        <v>32</v>
      </c>
      <c r="C21" s="17" t="s">
        <v>434</v>
      </c>
      <c r="D21" s="17" t="s">
        <v>427</v>
      </c>
      <c r="E21" s="118">
        <v>1.1536233050122262</v>
      </c>
      <c r="F21" s="23">
        <v>-0.61383914307957532</v>
      </c>
      <c r="G21" s="22">
        <v>1E-8</v>
      </c>
      <c r="H21" s="22">
        <v>1E-8</v>
      </c>
      <c r="I21" s="22">
        <v>1E-8</v>
      </c>
      <c r="J21" s="22">
        <v>1E-8</v>
      </c>
      <c r="K21" s="22">
        <v>1E-8</v>
      </c>
      <c r="L21" s="22">
        <v>1E-8</v>
      </c>
      <c r="M21" s="22">
        <v>1E-8</v>
      </c>
      <c r="N21" s="22">
        <v>1E-8</v>
      </c>
      <c r="O21" s="4"/>
    </row>
    <row r="22" spans="1:15" x14ac:dyDescent="0.35">
      <c r="A22" s="5"/>
      <c r="B22" s="4" t="s">
        <v>253</v>
      </c>
      <c r="C22" s="17" t="s">
        <v>434</v>
      </c>
      <c r="D22" s="17" t="s">
        <v>428</v>
      </c>
      <c r="E22" s="118">
        <v>1.0476829080930141</v>
      </c>
      <c r="F22" s="23">
        <v>11.845282520634747</v>
      </c>
      <c r="G22" s="22">
        <v>1E-8</v>
      </c>
      <c r="H22" s="22">
        <v>1E-8</v>
      </c>
      <c r="I22" s="22">
        <v>1E-8</v>
      </c>
      <c r="J22" s="22">
        <v>1E-8</v>
      </c>
      <c r="K22" s="22">
        <v>1E-8</v>
      </c>
      <c r="L22" s="22">
        <v>1E-8</v>
      </c>
      <c r="M22" s="22">
        <v>1E-8</v>
      </c>
      <c r="N22" s="22">
        <v>1E-8</v>
      </c>
      <c r="O22" s="4"/>
    </row>
    <row r="23" spans="1:15" x14ac:dyDescent="0.35">
      <c r="A23" s="5"/>
      <c r="B23" s="4" t="s">
        <v>252</v>
      </c>
      <c r="C23" s="17" t="s">
        <v>434</v>
      </c>
      <c r="D23" s="17" t="s">
        <v>429</v>
      </c>
      <c r="E23" s="118">
        <v>-2.3825775412550518</v>
      </c>
      <c r="F23" s="23">
        <v>5.0714147469933968</v>
      </c>
      <c r="G23" s="22">
        <v>1E-8</v>
      </c>
      <c r="H23" s="22">
        <v>1E-8</v>
      </c>
      <c r="I23" s="22">
        <v>1E-8</v>
      </c>
      <c r="J23" s="22">
        <v>1E-8</v>
      </c>
      <c r="K23" s="22">
        <v>1E-8</v>
      </c>
      <c r="L23" s="22">
        <v>1E-8</v>
      </c>
      <c r="M23" s="22">
        <v>1E-8</v>
      </c>
      <c r="N23" s="22">
        <v>1E-8</v>
      </c>
      <c r="O23" s="4"/>
    </row>
    <row r="24" spans="1:15" x14ac:dyDescent="0.35">
      <c r="A24" s="5"/>
      <c r="B24" s="4" t="s">
        <v>440</v>
      </c>
      <c r="C24" s="17" t="s">
        <v>434</v>
      </c>
      <c r="D24" s="17" t="s">
        <v>430</v>
      </c>
      <c r="E24" s="118">
        <v>7.6912565864852889</v>
      </c>
      <c r="F24" s="23">
        <v>-0.49274429181479507</v>
      </c>
      <c r="G24" s="22">
        <v>1E-8</v>
      </c>
      <c r="H24" s="22">
        <v>1E-8</v>
      </c>
      <c r="I24" s="22">
        <v>1E-8</v>
      </c>
      <c r="J24" s="22">
        <v>1E-8</v>
      </c>
      <c r="K24" s="22">
        <v>1E-8</v>
      </c>
      <c r="L24" s="22">
        <v>1E-8</v>
      </c>
      <c r="M24" s="22">
        <v>1E-8</v>
      </c>
      <c r="N24" s="22">
        <v>1E-8</v>
      </c>
      <c r="O24" s="4"/>
    </row>
    <row r="25" spans="1:15" hidden="1" x14ac:dyDescent="0.35">
      <c r="A25" s="5"/>
      <c r="B25" s="4"/>
      <c r="C25" s="17" t="s">
        <v>434</v>
      </c>
      <c r="D25" s="17" t="s">
        <v>431</v>
      </c>
      <c r="E25" s="118">
        <v>7.6912565864852969</v>
      </c>
      <c r="F25" s="23">
        <v>-0.49274429184995583</v>
      </c>
      <c r="G25" s="22">
        <v>1E-8</v>
      </c>
      <c r="H25" s="22">
        <v>1E-8</v>
      </c>
      <c r="I25" s="22">
        <v>1E-8</v>
      </c>
      <c r="J25" s="22">
        <v>1E-8</v>
      </c>
      <c r="K25" s="22">
        <v>1E-8</v>
      </c>
      <c r="L25" s="22">
        <v>1E-8</v>
      </c>
      <c r="M25" s="22">
        <v>1E-8</v>
      </c>
      <c r="N25" s="22">
        <v>1E-8</v>
      </c>
      <c r="O25" s="4"/>
    </row>
    <row r="26" spans="1:15" x14ac:dyDescent="0.35">
      <c r="A26" s="5"/>
      <c r="B26" s="4" t="s">
        <v>441</v>
      </c>
      <c r="C26" s="17" t="s">
        <v>434</v>
      </c>
      <c r="D26" s="17" t="s">
        <v>432</v>
      </c>
      <c r="E26" s="118">
        <v>0.64947034941509574</v>
      </c>
      <c r="F26" s="23">
        <v>1.3815846725444336</v>
      </c>
      <c r="G26" s="22">
        <v>1E-8</v>
      </c>
      <c r="H26" s="22">
        <v>1E-8</v>
      </c>
      <c r="I26" s="22">
        <v>1E-8</v>
      </c>
      <c r="J26" s="22">
        <v>1E-8</v>
      </c>
      <c r="K26" s="22">
        <v>1E-8</v>
      </c>
      <c r="L26" s="22">
        <v>1E-8</v>
      </c>
      <c r="M26" s="22">
        <v>1E-8</v>
      </c>
      <c r="N26" s="22">
        <v>1E-8</v>
      </c>
      <c r="O26" s="4"/>
    </row>
    <row r="27" spans="1:15" x14ac:dyDescent="0.35">
      <c r="A27" s="32"/>
      <c r="B27" s="27" t="s">
        <v>442</v>
      </c>
      <c r="C27" s="31" t="s">
        <v>434</v>
      </c>
      <c r="D27" s="31" t="s">
        <v>433</v>
      </c>
      <c r="E27" s="119">
        <v>7.0417862370702009</v>
      </c>
      <c r="F27" s="51">
        <v>-0.66561535700891961</v>
      </c>
      <c r="G27" s="28">
        <v>1E-8</v>
      </c>
      <c r="H27" s="28">
        <v>1E-8</v>
      </c>
      <c r="I27" s="28">
        <v>1E-8</v>
      </c>
      <c r="J27" s="28">
        <v>1E-8</v>
      </c>
      <c r="K27" s="28">
        <v>1E-8</v>
      </c>
      <c r="L27" s="28">
        <v>1E-8</v>
      </c>
      <c r="M27" s="28">
        <v>1E-8</v>
      </c>
      <c r="N27" s="28">
        <v>1E-8</v>
      </c>
      <c r="O27" s="4"/>
    </row>
    <row r="28" spans="1:15" x14ac:dyDescent="0.35">
      <c r="A28" s="5" t="s">
        <v>438</v>
      </c>
      <c r="B28" s="4" t="s">
        <v>402</v>
      </c>
      <c r="C28" s="17" t="s">
        <v>435</v>
      </c>
      <c r="D28" s="17" t="s">
        <v>423</v>
      </c>
      <c r="E28" s="65">
        <v>117.35600182040021</v>
      </c>
      <c r="F28" s="23">
        <v>3.6819472653060181E-2</v>
      </c>
      <c r="G28" s="22">
        <v>1E-8</v>
      </c>
      <c r="H28" s="22">
        <v>1E-8</v>
      </c>
      <c r="I28" s="22">
        <v>1E-8</v>
      </c>
      <c r="J28" s="22">
        <v>1E-8</v>
      </c>
      <c r="K28" s="22">
        <v>1E-8</v>
      </c>
      <c r="L28" s="22">
        <v>1E-8</v>
      </c>
      <c r="M28" s="22">
        <v>1E-8</v>
      </c>
      <c r="N28" s="22">
        <v>1E-8</v>
      </c>
      <c r="O28" s="4"/>
    </row>
    <row r="29" spans="1:15" x14ac:dyDescent="0.35">
      <c r="A29" s="5" t="s">
        <v>444</v>
      </c>
      <c r="B29" s="4" t="s">
        <v>403</v>
      </c>
      <c r="C29" s="17" t="s">
        <v>435</v>
      </c>
      <c r="D29" s="17" t="s">
        <v>424</v>
      </c>
      <c r="E29" s="65">
        <v>76.939763266533973</v>
      </c>
      <c r="F29" s="23">
        <v>5.5311908393140818E-2</v>
      </c>
      <c r="G29" s="22">
        <v>1E-8</v>
      </c>
      <c r="H29" s="22">
        <v>1E-8</v>
      </c>
      <c r="I29" s="22">
        <v>1E-8</v>
      </c>
      <c r="J29" s="22">
        <v>1E-8</v>
      </c>
      <c r="K29" s="22">
        <v>1E-8</v>
      </c>
      <c r="L29" s="22">
        <v>1E-8</v>
      </c>
      <c r="M29" s="22">
        <v>1E-8</v>
      </c>
      <c r="N29" s="22">
        <v>1E-8</v>
      </c>
      <c r="O29" s="4"/>
    </row>
    <row r="30" spans="1:15" x14ac:dyDescent="0.35">
      <c r="A30" s="5"/>
      <c r="B30" s="4" t="s">
        <v>404</v>
      </c>
      <c r="C30" s="17" t="s">
        <v>435</v>
      </c>
      <c r="D30" s="17" t="s">
        <v>425</v>
      </c>
      <c r="E30" s="65">
        <v>22.723366745878952</v>
      </c>
      <c r="F30" s="23">
        <v>-0.90929989361210328</v>
      </c>
      <c r="G30" s="22">
        <v>1E-8</v>
      </c>
      <c r="H30" s="22">
        <v>1E-8</v>
      </c>
      <c r="I30" s="22">
        <v>1E-8</v>
      </c>
      <c r="J30" s="22">
        <v>1E-8</v>
      </c>
      <c r="K30" s="22">
        <v>1E-8</v>
      </c>
      <c r="L30" s="22">
        <v>1E-8</v>
      </c>
      <c r="M30" s="22">
        <v>1E-8</v>
      </c>
      <c r="N30" s="22">
        <v>1E-8</v>
      </c>
      <c r="O30" s="4"/>
    </row>
    <row r="31" spans="1:15" x14ac:dyDescent="0.35">
      <c r="A31" s="5"/>
      <c r="B31" s="4" t="s">
        <v>439</v>
      </c>
      <c r="C31" s="17" t="s">
        <v>435</v>
      </c>
      <c r="D31" s="17" t="s">
        <v>426</v>
      </c>
      <c r="E31" s="65">
        <v>2.6937193022794568</v>
      </c>
      <c r="F31" s="23">
        <v>8.3724277363388175</v>
      </c>
      <c r="G31" s="22">
        <v>1E-8</v>
      </c>
      <c r="H31" s="22">
        <v>1E-8</v>
      </c>
      <c r="I31" s="22">
        <v>1E-8</v>
      </c>
      <c r="J31" s="22">
        <v>1E-8</v>
      </c>
      <c r="K31" s="22">
        <v>1E-8</v>
      </c>
      <c r="L31" s="22">
        <v>1E-8</v>
      </c>
      <c r="M31" s="22">
        <v>1E-8</v>
      </c>
      <c r="N31" s="22">
        <v>1E-8</v>
      </c>
      <c r="O31" s="4"/>
    </row>
    <row r="32" spans="1:15" x14ac:dyDescent="0.35">
      <c r="A32" s="5"/>
      <c r="B32" s="4" t="s">
        <v>32</v>
      </c>
      <c r="C32" s="17" t="s">
        <v>435</v>
      </c>
      <c r="D32" s="17" t="s">
        <v>427</v>
      </c>
      <c r="E32" s="65">
        <v>14.999152505707823</v>
      </c>
      <c r="F32" s="23">
        <v>-0.12169449393710785</v>
      </c>
      <c r="G32" s="22">
        <v>1E-8</v>
      </c>
      <c r="H32" s="22">
        <v>1E-8</v>
      </c>
      <c r="I32" s="22">
        <v>1E-8</v>
      </c>
      <c r="J32" s="22">
        <v>1E-8</v>
      </c>
      <c r="K32" s="22">
        <v>1E-8</v>
      </c>
      <c r="L32" s="22">
        <v>1E-8</v>
      </c>
      <c r="M32" s="22">
        <v>1E-8</v>
      </c>
      <c r="N32" s="22">
        <v>1E-8</v>
      </c>
      <c r="O32" s="4"/>
    </row>
    <row r="33" spans="1:15" x14ac:dyDescent="0.35">
      <c r="A33" s="5"/>
      <c r="B33" s="4" t="s">
        <v>253</v>
      </c>
      <c r="C33" s="17" t="s">
        <v>435</v>
      </c>
      <c r="D33" s="17" t="s">
        <v>428</v>
      </c>
      <c r="E33" s="65">
        <v>13.621739130819702</v>
      </c>
      <c r="F33" s="23">
        <v>12.399122782193906</v>
      </c>
      <c r="G33" s="22">
        <v>1E-8</v>
      </c>
      <c r="H33" s="22">
        <v>1E-8</v>
      </c>
      <c r="I33" s="22">
        <v>1E-8</v>
      </c>
      <c r="J33" s="22">
        <v>1E-8</v>
      </c>
      <c r="K33" s="22">
        <v>1E-8</v>
      </c>
      <c r="L33" s="22">
        <v>1E-8</v>
      </c>
      <c r="M33" s="22">
        <v>1E-8</v>
      </c>
      <c r="N33" s="22">
        <v>1E-8</v>
      </c>
      <c r="O33" s="4"/>
    </row>
    <row r="34" spans="1:15" x14ac:dyDescent="0.35">
      <c r="A34" s="5"/>
      <c r="B34" s="4" t="s">
        <v>252</v>
      </c>
      <c r="C34" s="17" t="s">
        <v>435</v>
      </c>
      <c r="D34" s="17" t="s">
        <v>429</v>
      </c>
      <c r="E34" s="65">
        <v>-30.977740951219911</v>
      </c>
      <c r="F34" s="23">
        <v>5.5917118799111876</v>
      </c>
      <c r="G34" s="22">
        <v>1E-8</v>
      </c>
      <c r="H34" s="22">
        <v>1E-8</v>
      </c>
      <c r="I34" s="22">
        <v>1E-8</v>
      </c>
      <c r="J34" s="22">
        <v>1E-8</v>
      </c>
      <c r="K34" s="22">
        <v>1E-8</v>
      </c>
      <c r="L34" s="22">
        <v>1E-8</v>
      </c>
      <c r="M34" s="22">
        <v>1E-8</v>
      </c>
      <c r="N34" s="22">
        <v>1E-8</v>
      </c>
      <c r="O34" s="4"/>
    </row>
    <row r="35" spans="1:15" x14ac:dyDescent="0.35">
      <c r="A35" s="5"/>
      <c r="B35" s="4" t="s">
        <v>440</v>
      </c>
      <c r="C35" s="17" t="s">
        <v>435</v>
      </c>
      <c r="D35" s="17" t="s">
        <v>430</v>
      </c>
      <c r="E35" s="65">
        <v>100</v>
      </c>
      <c r="F35" s="23">
        <v>1E-8</v>
      </c>
      <c r="G35" s="22">
        <v>1E-8</v>
      </c>
      <c r="H35" s="22">
        <v>1E-8</v>
      </c>
      <c r="I35" s="22">
        <v>1E-8</v>
      </c>
      <c r="J35" s="22">
        <v>1E-8</v>
      </c>
      <c r="K35" s="22">
        <v>1E-8</v>
      </c>
      <c r="L35" s="22">
        <v>1E-8</v>
      </c>
      <c r="M35" s="22">
        <v>1E-8</v>
      </c>
      <c r="N35" s="22">
        <v>1E-8</v>
      </c>
      <c r="O35" s="4"/>
    </row>
    <row r="36" spans="1:15" hidden="1" x14ac:dyDescent="0.35">
      <c r="A36" s="5"/>
      <c r="B36" s="4"/>
      <c r="C36" s="17" t="s">
        <v>435</v>
      </c>
      <c r="D36" s="17" t="s">
        <v>431</v>
      </c>
      <c r="E36" s="65">
        <v>100.0000000000001</v>
      </c>
      <c r="F36" s="23">
        <v>1E-8</v>
      </c>
      <c r="G36" s="22">
        <v>1E-8</v>
      </c>
      <c r="H36" s="22">
        <v>1E-8</v>
      </c>
      <c r="I36" s="22">
        <v>1E-8</v>
      </c>
      <c r="J36" s="22">
        <v>1E-8</v>
      </c>
      <c r="K36" s="22">
        <v>1E-8</v>
      </c>
      <c r="L36" s="22">
        <v>1E-8</v>
      </c>
      <c r="M36" s="22">
        <v>1E-8</v>
      </c>
      <c r="N36" s="22">
        <v>1E-8</v>
      </c>
      <c r="O36" s="4"/>
    </row>
    <row r="37" spans="1:15" x14ac:dyDescent="0.35">
      <c r="A37" s="5"/>
      <c r="B37" s="4" t="s">
        <v>441</v>
      </c>
      <c r="C37" s="17" t="s">
        <v>435</v>
      </c>
      <c r="D37" s="17" t="s">
        <v>432</v>
      </c>
      <c r="E37" s="65">
        <v>8.4442683989546552</v>
      </c>
      <c r="F37" s="23">
        <v>1.8836103468232279</v>
      </c>
      <c r="G37" s="22">
        <v>1E-8</v>
      </c>
      <c r="H37" s="22">
        <v>1E-8</v>
      </c>
      <c r="I37" s="22">
        <v>1E-8</v>
      </c>
      <c r="J37" s="22">
        <v>1E-8</v>
      </c>
      <c r="K37" s="22">
        <v>1E-8</v>
      </c>
      <c r="L37" s="22">
        <v>1E-8</v>
      </c>
      <c r="M37" s="22">
        <v>1E-8</v>
      </c>
      <c r="N37" s="22">
        <v>1E-8</v>
      </c>
      <c r="O37" s="4"/>
    </row>
    <row r="38" spans="1:15" x14ac:dyDescent="0.35">
      <c r="A38" s="32"/>
      <c r="B38" s="27" t="s">
        <v>442</v>
      </c>
      <c r="C38" s="31" t="s">
        <v>435</v>
      </c>
      <c r="D38" s="31" t="s">
        <v>433</v>
      </c>
      <c r="E38" s="66">
        <v>91.555731601045437</v>
      </c>
      <c r="F38" s="51">
        <v>-0.17372709554073218</v>
      </c>
      <c r="G38" s="28">
        <v>1E-8</v>
      </c>
      <c r="H38" s="28">
        <v>1E-8</v>
      </c>
      <c r="I38" s="28">
        <v>1E-8</v>
      </c>
      <c r="J38" s="28">
        <v>1E-8</v>
      </c>
      <c r="K38" s="28">
        <v>1E-8</v>
      </c>
      <c r="L38" s="28">
        <v>1E-8</v>
      </c>
      <c r="M38" s="28">
        <v>1E-8</v>
      </c>
      <c r="N38" s="28">
        <v>1E-8</v>
      </c>
      <c r="O38" s="4"/>
    </row>
    <row r="39" spans="1:15" x14ac:dyDescent="0.35">
      <c r="A39" s="5" t="s">
        <v>443</v>
      </c>
      <c r="B39" s="4" t="s">
        <v>402</v>
      </c>
      <c r="C39" s="17" t="s">
        <v>436</v>
      </c>
      <c r="D39" s="17" t="s">
        <v>423</v>
      </c>
      <c r="E39" s="65">
        <v>117.35600182040021</v>
      </c>
      <c r="F39" s="23">
        <v>-1.5141833795916604</v>
      </c>
      <c r="G39" s="22">
        <v>1E-8</v>
      </c>
      <c r="H39" s="22">
        <v>1E-8</v>
      </c>
      <c r="I39" s="22">
        <v>1E-8</v>
      </c>
      <c r="J39" s="22">
        <v>1E-8</v>
      </c>
      <c r="K39" s="22">
        <v>1E-8</v>
      </c>
      <c r="L39" s="22">
        <v>1E-8</v>
      </c>
      <c r="M39" s="22">
        <v>1E-8</v>
      </c>
      <c r="N39" s="22">
        <v>1E-8</v>
      </c>
      <c r="O39" s="4"/>
    </row>
    <row r="40" spans="1:15" x14ac:dyDescent="0.35">
      <c r="A40" s="5" t="s">
        <v>444</v>
      </c>
      <c r="B40" s="4" t="s">
        <v>403</v>
      </c>
      <c r="C40" s="17" t="s">
        <v>436</v>
      </c>
      <c r="D40" s="17" t="s">
        <v>424</v>
      </c>
      <c r="E40" s="65">
        <v>76.939763266533973</v>
      </c>
      <c r="F40" s="23">
        <v>-1.5666647279865997</v>
      </c>
      <c r="G40" s="22">
        <v>1E-8</v>
      </c>
      <c r="H40" s="22">
        <v>1E-8</v>
      </c>
      <c r="I40" s="22">
        <v>1E-8</v>
      </c>
      <c r="J40" s="22">
        <v>1E-8</v>
      </c>
      <c r="K40" s="22">
        <v>1E-8</v>
      </c>
      <c r="L40" s="22">
        <v>1E-8</v>
      </c>
      <c r="M40" s="22">
        <v>1E-8</v>
      </c>
      <c r="N40" s="22">
        <v>1E-8</v>
      </c>
      <c r="O40" s="4"/>
    </row>
    <row r="41" spans="1:15" x14ac:dyDescent="0.35">
      <c r="A41" s="5"/>
      <c r="B41" s="4" t="s">
        <v>404</v>
      </c>
      <c r="C41" s="17" t="s">
        <v>436</v>
      </c>
      <c r="D41" s="17" t="s">
        <v>425</v>
      </c>
      <c r="E41" s="65">
        <v>22.723366745878952</v>
      </c>
      <c r="F41" s="23">
        <v>-2.7084856707759064</v>
      </c>
      <c r="G41" s="22">
        <v>1E-8</v>
      </c>
      <c r="H41" s="22">
        <v>1E-8</v>
      </c>
      <c r="I41" s="22">
        <v>1E-8</v>
      </c>
      <c r="J41" s="22">
        <v>1E-8</v>
      </c>
      <c r="K41" s="22">
        <v>1E-8</v>
      </c>
      <c r="L41" s="22">
        <v>1E-8</v>
      </c>
      <c r="M41" s="22">
        <v>1E-8</v>
      </c>
      <c r="N41" s="22">
        <v>1E-8</v>
      </c>
      <c r="O41" s="4"/>
    </row>
    <row r="42" spans="1:15" x14ac:dyDescent="0.35">
      <c r="A42" s="5"/>
      <c r="B42" s="4" t="s">
        <v>439</v>
      </c>
      <c r="C42" s="17" t="s">
        <v>436</v>
      </c>
      <c r="D42" s="17" t="s">
        <v>426</v>
      </c>
      <c r="E42" s="65">
        <v>2.6937193022794568</v>
      </c>
      <c r="F42" s="23">
        <v>0.24790882498564315</v>
      </c>
      <c r="G42" s="22">
        <v>1E-8</v>
      </c>
      <c r="H42" s="22">
        <v>1E-8</v>
      </c>
      <c r="I42" s="22">
        <v>1E-8</v>
      </c>
      <c r="J42" s="22">
        <v>1E-8</v>
      </c>
      <c r="K42" s="22">
        <v>1E-8</v>
      </c>
      <c r="L42" s="22">
        <v>1E-8</v>
      </c>
      <c r="M42" s="22">
        <v>1E-8</v>
      </c>
      <c r="N42" s="22">
        <v>1E-8</v>
      </c>
      <c r="O42" s="4"/>
    </row>
    <row r="43" spans="1:15" x14ac:dyDescent="0.35">
      <c r="A43" s="5"/>
      <c r="B43" s="4" t="s">
        <v>32</v>
      </c>
      <c r="C43" s="17" t="s">
        <v>436</v>
      </c>
      <c r="D43" s="17" t="s">
        <v>427</v>
      </c>
      <c r="E43" s="65">
        <v>14.999152505707823</v>
      </c>
      <c r="F43" s="23">
        <v>0.24790882498564315</v>
      </c>
      <c r="G43" s="22">
        <v>1E-8</v>
      </c>
      <c r="H43" s="22">
        <v>1E-8</v>
      </c>
      <c r="I43" s="22">
        <v>1E-8</v>
      </c>
      <c r="J43" s="22">
        <v>1E-8</v>
      </c>
      <c r="K43" s="22">
        <v>1E-8</v>
      </c>
      <c r="L43" s="22">
        <v>1E-8</v>
      </c>
      <c r="M43" s="22">
        <v>1E-8</v>
      </c>
      <c r="N43" s="22">
        <v>1E-8</v>
      </c>
      <c r="O43" s="4"/>
    </row>
    <row r="44" spans="1:15" x14ac:dyDescent="0.35">
      <c r="A44" s="5"/>
      <c r="B44" s="4" t="s">
        <v>253</v>
      </c>
      <c r="C44" s="17" t="s">
        <v>436</v>
      </c>
      <c r="D44" s="17" t="s">
        <v>428</v>
      </c>
      <c r="E44" s="65">
        <v>13.621739130819702</v>
      </c>
      <c r="F44" s="23">
        <v>5.2215292294850668</v>
      </c>
      <c r="G44" s="22">
        <v>1E-8</v>
      </c>
      <c r="H44" s="22">
        <v>1E-8</v>
      </c>
      <c r="I44" s="22">
        <v>1E-8</v>
      </c>
      <c r="J44" s="22">
        <v>1E-8</v>
      </c>
      <c r="K44" s="22">
        <v>1E-8</v>
      </c>
      <c r="L44" s="22">
        <v>1E-8</v>
      </c>
      <c r="M44" s="22">
        <v>1E-8</v>
      </c>
      <c r="N44" s="22">
        <v>1E-8</v>
      </c>
      <c r="O44" s="4"/>
    </row>
    <row r="45" spans="1:15" x14ac:dyDescent="0.35">
      <c r="A45" s="5"/>
      <c r="B45" s="4" t="s">
        <v>252</v>
      </c>
      <c r="C45" s="17" t="s">
        <v>436</v>
      </c>
      <c r="D45" s="17" t="s">
        <v>429</v>
      </c>
      <c r="E45" s="65">
        <v>-30.977740951219911</v>
      </c>
      <c r="F45" s="23">
        <v>-3.4402830920304384</v>
      </c>
      <c r="G45" s="22">
        <v>1E-8</v>
      </c>
      <c r="H45" s="22">
        <v>1E-8</v>
      </c>
      <c r="I45" s="22">
        <v>1E-8</v>
      </c>
      <c r="J45" s="22">
        <v>1E-8</v>
      </c>
      <c r="K45" s="22">
        <v>1E-8</v>
      </c>
      <c r="L45" s="22">
        <v>1E-8</v>
      </c>
      <c r="M45" s="22">
        <v>1E-8</v>
      </c>
      <c r="N45" s="22">
        <v>1E-8</v>
      </c>
      <c r="O45" s="4"/>
    </row>
    <row r="46" spans="1:15" x14ac:dyDescent="0.35">
      <c r="A46" s="5"/>
      <c r="B46" s="4" t="s">
        <v>440</v>
      </c>
      <c r="C46" s="17" t="s">
        <v>436</v>
      </c>
      <c r="D46" s="17" t="s">
        <v>430</v>
      </c>
      <c r="E46" s="65">
        <v>100</v>
      </c>
      <c r="F46" s="23">
        <v>1E-8</v>
      </c>
      <c r="G46" s="22">
        <v>1E-8</v>
      </c>
      <c r="H46" s="22">
        <v>1E-8</v>
      </c>
      <c r="I46" s="22">
        <v>1E-8</v>
      </c>
      <c r="J46" s="22">
        <v>1E-8</v>
      </c>
      <c r="K46" s="22">
        <v>1E-8</v>
      </c>
      <c r="L46" s="22">
        <v>1E-8</v>
      </c>
      <c r="M46" s="22">
        <v>1E-8</v>
      </c>
      <c r="N46" s="22">
        <v>1E-8</v>
      </c>
      <c r="O46" s="4"/>
    </row>
    <row r="47" spans="1:15" hidden="1" x14ac:dyDescent="0.35">
      <c r="A47" s="5"/>
      <c r="B47" s="4"/>
      <c r="C47" s="17" t="s">
        <v>436</v>
      </c>
      <c r="D47" s="17" t="s">
        <v>431</v>
      </c>
      <c r="E47" s="65">
        <v>1E-8</v>
      </c>
      <c r="F47" s="23">
        <v>1E-8</v>
      </c>
      <c r="G47" s="22">
        <v>1E-8</v>
      </c>
      <c r="H47" s="22">
        <v>1E-8</v>
      </c>
      <c r="I47" s="22">
        <v>1E-8</v>
      </c>
      <c r="J47" s="22">
        <v>1E-8</v>
      </c>
      <c r="K47" s="22">
        <v>1E-8</v>
      </c>
      <c r="L47" s="22">
        <v>1E-8</v>
      </c>
      <c r="M47" s="22">
        <v>1E-8</v>
      </c>
      <c r="N47" s="22">
        <v>1E-8</v>
      </c>
      <c r="O47" s="4"/>
    </row>
    <row r="48" spans="1:15" x14ac:dyDescent="0.35">
      <c r="A48" s="5"/>
      <c r="B48" s="4" t="s">
        <v>441</v>
      </c>
      <c r="C48" s="17" t="s">
        <v>436</v>
      </c>
      <c r="D48" s="17" t="s">
        <v>432</v>
      </c>
      <c r="E48" s="65">
        <v>8.4442683989546552</v>
      </c>
      <c r="F48" s="23">
        <v>-1.9338203530564924</v>
      </c>
      <c r="G48" s="22">
        <v>1E-8</v>
      </c>
      <c r="H48" s="22">
        <v>1E-8</v>
      </c>
      <c r="I48" s="22">
        <v>1E-8</v>
      </c>
      <c r="J48" s="22">
        <v>1E-8</v>
      </c>
      <c r="K48" s="22">
        <v>1E-8</v>
      </c>
      <c r="L48" s="22">
        <v>1E-8</v>
      </c>
      <c r="M48" s="22">
        <v>1E-8</v>
      </c>
      <c r="N48" s="22">
        <v>1E-8</v>
      </c>
      <c r="O48" s="4"/>
    </row>
    <row r="49" spans="1:15" x14ac:dyDescent="0.35">
      <c r="A49" s="32"/>
      <c r="B49" s="27" t="s">
        <v>442</v>
      </c>
      <c r="C49" s="31" t="s">
        <v>436</v>
      </c>
      <c r="D49" s="31" t="s">
        <v>433</v>
      </c>
      <c r="E49" s="66">
        <v>91.555731601045437</v>
      </c>
      <c r="F49" s="51">
        <v>0.22358043532626493</v>
      </c>
      <c r="G49" s="28">
        <v>1E-8</v>
      </c>
      <c r="H49" s="28">
        <v>1E-8</v>
      </c>
      <c r="I49" s="28">
        <v>1E-8</v>
      </c>
      <c r="J49" s="28">
        <v>1E-8</v>
      </c>
      <c r="K49" s="28">
        <v>1E-8</v>
      </c>
      <c r="L49" s="28">
        <v>1E-8</v>
      </c>
      <c r="M49" s="28">
        <v>1E-8</v>
      </c>
      <c r="N49" s="28">
        <v>1E-8</v>
      </c>
      <c r="O49" s="4"/>
    </row>
    <row r="50" spans="1:15" x14ac:dyDescent="0.35">
      <c r="A50" s="5" t="s">
        <v>445</v>
      </c>
      <c r="B50" s="4" t="s">
        <v>402</v>
      </c>
      <c r="C50" s="17" t="s">
        <v>437</v>
      </c>
      <c r="D50" s="17" t="s">
        <v>423</v>
      </c>
      <c r="E50" s="65">
        <v>100</v>
      </c>
      <c r="F50" s="23">
        <v>1.3249169034789565</v>
      </c>
      <c r="G50" s="22">
        <v>1E-8</v>
      </c>
      <c r="H50" s="22">
        <v>1E-8</v>
      </c>
      <c r="I50" s="22">
        <v>1E-8</v>
      </c>
      <c r="J50" s="22">
        <v>1E-8</v>
      </c>
      <c r="K50" s="22">
        <v>1E-8</v>
      </c>
      <c r="L50" s="22">
        <v>1E-8</v>
      </c>
      <c r="M50" s="22">
        <v>1E-8</v>
      </c>
      <c r="N50" s="22">
        <v>1E-8</v>
      </c>
      <c r="O50" s="4"/>
    </row>
    <row r="51" spans="1:15" x14ac:dyDescent="0.35">
      <c r="A51" s="4"/>
      <c r="B51" s="4" t="s">
        <v>403</v>
      </c>
      <c r="C51" s="17" t="s">
        <v>437</v>
      </c>
      <c r="D51" s="17" t="s">
        <v>424</v>
      </c>
      <c r="E51" s="65">
        <v>100</v>
      </c>
      <c r="F51" s="23">
        <v>1.3976804812407373</v>
      </c>
      <c r="G51" s="22">
        <v>1E-8</v>
      </c>
      <c r="H51" s="22">
        <v>1E-8</v>
      </c>
      <c r="I51" s="22">
        <v>1E-8</v>
      </c>
      <c r="J51" s="22">
        <v>1E-8</v>
      </c>
      <c r="K51" s="22">
        <v>1E-8</v>
      </c>
      <c r="L51" s="22">
        <v>1E-8</v>
      </c>
      <c r="M51" s="22">
        <v>1E-8</v>
      </c>
      <c r="N51" s="22">
        <v>1E-8</v>
      </c>
      <c r="O51" s="4"/>
    </row>
    <row r="52" spans="1:15" x14ac:dyDescent="0.35">
      <c r="A52" s="4"/>
      <c r="B52" s="4" t="s">
        <v>404</v>
      </c>
      <c r="C52" s="17" t="s">
        <v>437</v>
      </c>
      <c r="D52" s="17" t="s">
        <v>425</v>
      </c>
      <c r="E52" s="65">
        <v>100</v>
      </c>
      <c r="F52" s="23">
        <v>1.5986657836772666</v>
      </c>
      <c r="G52" s="22">
        <v>1E-8</v>
      </c>
      <c r="H52" s="22">
        <v>1E-8</v>
      </c>
      <c r="I52" s="22">
        <v>1E-8</v>
      </c>
      <c r="J52" s="22">
        <v>1E-8</v>
      </c>
      <c r="K52" s="22">
        <v>1E-8</v>
      </c>
      <c r="L52" s="22">
        <v>1E-8</v>
      </c>
      <c r="M52" s="22">
        <v>1E-8</v>
      </c>
      <c r="N52" s="22">
        <v>1E-8</v>
      </c>
      <c r="O52" s="4"/>
    </row>
    <row r="53" spans="1:15" x14ac:dyDescent="0.35">
      <c r="A53" s="4"/>
      <c r="B53" s="4" t="s">
        <v>439</v>
      </c>
      <c r="C53" s="17" t="s">
        <v>437</v>
      </c>
      <c r="D53" s="17" t="s">
        <v>426</v>
      </c>
      <c r="E53" s="65">
        <v>99.999999999999986</v>
      </c>
      <c r="F53" s="23">
        <v>7.8384287847669043</v>
      </c>
      <c r="G53" s="22">
        <v>1E-8</v>
      </c>
      <c r="H53" s="22">
        <v>1E-8</v>
      </c>
      <c r="I53" s="22">
        <v>1E-8</v>
      </c>
      <c r="J53" s="22">
        <v>1E-8</v>
      </c>
      <c r="K53" s="22">
        <v>1E-8</v>
      </c>
      <c r="L53" s="22">
        <v>1E-8</v>
      </c>
      <c r="M53" s="22">
        <v>1E-8</v>
      </c>
      <c r="N53" s="22">
        <v>1E-8</v>
      </c>
      <c r="O53" s="4"/>
    </row>
    <row r="54" spans="1:15" x14ac:dyDescent="0.35">
      <c r="A54" s="4"/>
      <c r="B54" s="4" t="s">
        <v>32</v>
      </c>
      <c r="C54" s="17" t="s">
        <v>437</v>
      </c>
      <c r="D54" s="17" t="s">
        <v>427</v>
      </c>
      <c r="E54" s="65">
        <v>100</v>
      </c>
      <c r="F54" s="23">
        <v>-0.61383914307957532</v>
      </c>
      <c r="G54" s="22">
        <v>1E-8</v>
      </c>
      <c r="H54" s="22">
        <v>1E-8</v>
      </c>
      <c r="I54" s="22">
        <v>1E-8</v>
      </c>
      <c r="J54" s="22">
        <v>1E-8</v>
      </c>
      <c r="K54" s="22">
        <v>1E-8</v>
      </c>
      <c r="L54" s="22">
        <v>1E-8</v>
      </c>
      <c r="M54" s="22">
        <v>1E-8</v>
      </c>
      <c r="N54" s="22">
        <v>1E-8</v>
      </c>
      <c r="O54" s="4"/>
    </row>
    <row r="55" spans="1:15" x14ac:dyDescent="0.35">
      <c r="A55" s="4"/>
      <c r="B55" s="4" t="s">
        <v>253</v>
      </c>
      <c r="C55" s="17" t="s">
        <v>437</v>
      </c>
      <c r="D55" s="17" t="s">
        <v>428</v>
      </c>
      <c r="E55" s="65">
        <v>100</v>
      </c>
      <c r="F55" s="23">
        <v>6.558569968886796</v>
      </c>
      <c r="G55" s="22">
        <v>1E-8</v>
      </c>
      <c r="H55" s="22">
        <v>1E-8</v>
      </c>
      <c r="I55" s="22">
        <v>1E-8</v>
      </c>
      <c r="J55" s="22">
        <v>1E-8</v>
      </c>
      <c r="K55" s="22">
        <v>1E-8</v>
      </c>
      <c r="L55" s="22">
        <v>1E-8</v>
      </c>
      <c r="M55" s="22">
        <v>1E-8</v>
      </c>
      <c r="N55" s="22">
        <v>1E-8</v>
      </c>
      <c r="O55" s="4"/>
    </row>
    <row r="56" spans="1:15" x14ac:dyDescent="0.35">
      <c r="A56" s="4"/>
      <c r="B56" s="4" t="s">
        <v>252</v>
      </c>
      <c r="C56" s="17" t="s">
        <v>437</v>
      </c>
      <c r="D56" s="17" t="s">
        <v>429</v>
      </c>
      <c r="E56" s="65">
        <v>100</v>
      </c>
      <c r="F56" s="23">
        <v>9.0847192075755636</v>
      </c>
      <c r="G56" s="22">
        <v>1E-8</v>
      </c>
      <c r="H56" s="22">
        <v>1E-8</v>
      </c>
      <c r="I56" s="22">
        <v>1E-8</v>
      </c>
      <c r="J56" s="22">
        <v>1E-8</v>
      </c>
      <c r="K56" s="22">
        <v>1E-8</v>
      </c>
      <c r="L56" s="22">
        <v>1E-8</v>
      </c>
      <c r="M56" s="22">
        <v>1E-8</v>
      </c>
      <c r="N56" s="22">
        <v>1E-8</v>
      </c>
      <c r="O56" s="4"/>
    </row>
    <row r="57" spans="1:15" x14ac:dyDescent="0.35">
      <c r="A57" s="4"/>
      <c r="B57" s="4" t="s">
        <v>440</v>
      </c>
      <c r="C57" s="17" t="s">
        <v>437</v>
      </c>
      <c r="D57" s="17" t="s">
        <v>430</v>
      </c>
      <c r="E57" s="65">
        <v>100</v>
      </c>
      <c r="F57" s="23">
        <v>-0.24605702341318203</v>
      </c>
      <c r="G57" s="22">
        <v>1E-8</v>
      </c>
      <c r="H57" s="22">
        <v>1E-8</v>
      </c>
      <c r="I57" s="22">
        <v>1E-8</v>
      </c>
      <c r="J57" s="22">
        <v>1E-8</v>
      </c>
      <c r="K57" s="22">
        <v>1E-8</v>
      </c>
      <c r="L57" s="22">
        <v>1E-8</v>
      </c>
      <c r="M57" s="22">
        <v>1E-8</v>
      </c>
      <c r="N57" s="22">
        <v>1E-8</v>
      </c>
      <c r="O57" s="4"/>
    </row>
    <row r="58" spans="1:15" hidden="1" x14ac:dyDescent="0.35">
      <c r="A58" s="4"/>
      <c r="B58" s="4"/>
      <c r="C58" s="17" t="s">
        <v>437</v>
      </c>
      <c r="D58" s="17" t="s">
        <v>431</v>
      </c>
      <c r="E58" s="65">
        <v>1E-8</v>
      </c>
      <c r="F58" s="23">
        <v>1E-8</v>
      </c>
      <c r="G58" s="22">
        <v>1E-8</v>
      </c>
      <c r="H58" s="22">
        <v>1E-8</v>
      </c>
      <c r="I58" s="22">
        <v>1E-8</v>
      </c>
      <c r="J58" s="22">
        <v>1E-8</v>
      </c>
      <c r="K58" s="22">
        <v>1E-8</v>
      </c>
      <c r="L58" s="22">
        <v>1E-8</v>
      </c>
      <c r="M58" s="22">
        <v>1E-8</v>
      </c>
      <c r="N58" s="22">
        <v>1E-8</v>
      </c>
      <c r="O58" s="4"/>
    </row>
    <row r="59" spans="1:15" x14ac:dyDescent="0.35">
      <c r="A59" s="4"/>
      <c r="B59" s="4" t="s">
        <v>441</v>
      </c>
      <c r="C59" s="17" t="s">
        <v>437</v>
      </c>
      <c r="D59" s="17" t="s">
        <v>432</v>
      </c>
      <c r="E59" s="65">
        <v>100</v>
      </c>
      <c r="F59" s="23">
        <v>3.6370733863146043</v>
      </c>
      <c r="G59" s="22">
        <v>1E-8</v>
      </c>
      <c r="H59" s="22">
        <v>1E-8</v>
      </c>
      <c r="I59" s="22">
        <v>1E-8</v>
      </c>
      <c r="J59" s="22">
        <v>1E-8</v>
      </c>
      <c r="K59" s="22">
        <v>1E-8</v>
      </c>
      <c r="L59" s="22">
        <v>1E-8</v>
      </c>
      <c r="M59" s="22">
        <v>1E-8</v>
      </c>
      <c r="N59" s="22">
        <v>1E-8</v>
      </c>
      <c r="O59" s="4"/>
    </row>
    <row r="60" spans="1:15" x14ac:dyDescent="0.35">
      <c r="A60" s="4"/>
      <c r="B60" s="4" t="s">
        <v>442</v>
      </c>
      <c r="C60" s="17" t="s">
        <v>437</v>
      </c>
      <c r="D60" s="17" t="s">
        <v>433</v>
      </c>
      <c r="E60" s="65">
        <v>100</v>
      </c>
      <c r="F60" s="23">
        <v>-0.64150281178079194</v>
      </c>
      <c r="G60" s="22">
        <v>1E-8</v>
      </c>
      <c r="H60" s="22">
        <v>1E-8</v>
      </c>
      <c r="I60" s="22">
        <v>1E-8</v>
      </c>
      <c r="J60" s="22">
        <v>1E-8</v>
      </c>
      <c r="K60" s="22">
        <v>1E-8</v>
      </c>
      <c r="L60" s="22">
        <v>1E-8</v>
      </c>
      <c r="M60" s="22">
        <v>1E-8</v>
      </c>
      <c r="N60" s="22">
        <v>1E-8</v>
      </c>
      <c r="O60" s="4"/>
    </row>
    <row r="61" spans="1:1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</sheetData>
  <sheetProtection sheet="1" objects="1" scenarios="1"/>
  <conditionalFormatting sqref="E6:N60">
    <cfRule type="cellIs" dxfId="47" priority="1" operator="equal">
      <formula>0.00000001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D140"/>
  <sheetViews>
    <sheetView zoomScale="85" zoomScaleNormal="85" workbookViewId="0">
      <pane xSplit="3" ySplit="5" topLeftCell="D24" activePane="bottomRight" state="frozen"/>
      <selection activeCell="F5" sqref="F5"/>
      <selection pane="topRight" activeCell="F5" sqref="F5"/>
      <selection pane="bottomLeft" activeCell="F5" sqref="F5"/>
      <selection pane="bottomRight" activeCell="A30" sqref="A30:XFD30"/>
    </sheetView>
  </sheetViews>
  <sheetFormatPr defaultColWidth="0" defaultRowHeight="14.5" zeroHeight="1" x14ac:dyDescent="0.35"/>
  <cols>
    <col min="1" max="1" width="27" customWidth="1"/>
    <col min="2" max="3" width="0.453125" customWidth="1"/>
    <col min="4" max="13" width="8.81640625" customWidth="1"/>
    <col min="14" max="16" width="1" customWidth="1"/>
    <col min="17" max="17" width="27" customWidth="1"/>
    <col min="18" max="19" width="0.453125" customWidth="1"/>
    <col min="20" max="29" width="8.81640625" customWidth="1"/>
    <col min="30" max="30" width="1" customWidth="1"/>
    <col min="31" max="16384" width="8.81640625" hidden="1"/>
  </cols>
  <sheetData>
    <row r="1" spans="1:30" ht="18.5" x14ac:dyDescent="0.45">
      <c r="A1" s="1" t="s">
        <v>440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5">
      <c r="A4" s="6" t="s">
        <v>470</v>
      </c>
      <c r="B4" s="6"/>
      <c r="C4" s="6"/>
      <c r="D4" s="34" t="s">
        <v>399</v>
      </c>
      <c r="E4" s="6" t="s">
        <v>400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471</v>
      </c>
      <c r="R4" s="6"/>
      <c r="S4" s="6"/>
      <c r="T4" s="34" t="s">
        <v>399</v>
      </c>
      <c r="U4" s="6" t="s">
        <v>472</v>
      </c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35">
      <c r="A5" s="30"/>
      <c r="B5" s="30"/>
      <c r="C5" s="30"/>
      <c r="D5" s="33" t="s">
        <v>246</v>
      </c>
      <c r="E5" s="50" t="s">
        <v>890</v>
      </c>
      <c r="F5" s="33" t="s">
        <v>885</v>
      </c>
      <c r="G5" s="33" t="s">
        <v>891</v>
      </c>
      <c r="H5" s="33" t="s">
        <v>886</v>
      </c>
      <c r="I5" s="33" t="s">
        <v>887</v>
      </c>
      <c r="J5" s="33" t="s">
        <v>888</v>
      </c>
      <c r="K5" s="33" t="s">
        <v>889</v>
      </c>
      <c r="L5" s="33" t="s">
        <v>396</v>
      </c>
      <c r="M5" s="33" t="s">
        <v>397</v>
      </c>
      <c r="N5" s="33"/>
      <c r="O5" s="6"/>
      <c r="P5" s="33"/>
      <c r="Q5" s="30"/>
      <c r="R5" s="30"/>
      <c r="S5" s="30"/>
      <c r="T5" s="33" t="s">
        <v>246</v>
      </c>
      <c r="U5" s="50" t="s">
        <v>890</v>
      </c>
      <c r="V5" s="33" t="s">
        <v>885</v>
      </c>
      <c r="W5" s="33" t="s">
        <v>891</v>
      </c>
      <c r="X5" s="33" t="s">
        <v>886</v>
      </c>
      <c r="Y5" s="33" t="s">
        <v>887</v>
      </c>
      <c r="Z5" s="33" t="s">
        <v>888</v>
      </c>
      <c r="AA5" s="33" t="s">
        <v>889</v>
      </c>
      <c r="AB5" s="33" t="s">
        <v>396</v>
      </c>
      <c r="AC5" s="33" t="s">
        <v>397</v>
      </c>
      <c r="AD5" s="33"/>
    </row>
    <row r="6" spans="1:30" x14ac:dyDescent="0.35">
      <c r="A6" s="5" t="s">
        <v>102</v>
      </c>
      <c r="B6" s="44"/>
      <c r="C6" s="89" t="s">
        <v>288</v>
      </c>
      <c r="D6" s="73">
        <v>100</v>
      </c>
      <c r="E6" s="74">
        <v>-2.4268226584023278E-2</v>
      </c>
      <c r="F6" s="73">
        <v>1E-8</v>
      </c>
      <c r="G6" s="73">
        <v>1E-8</v>
      </c>
      <c r="H6" s="73">
        <v>1E-8</v>
      </c>
      <c r="I6" s="73">
        <v>1E-8</v>
      </c>
      <c r="J6" s="73">
        <v>1E-8</v>
      </c>
      <c r="K6" s="73">
        <v>1E-8</v>
      </c>
      <c r="L6" s="73">
        <v>1E-8</v>
      </c>
      <c r="M6" s="73">
        <v>1E-8</v>
      </c>
      <c r="N6" s="44"/>
      <c r="O6" s="67"/>
      <c r="P6" s="44"/>
      <c r="Q6" s="5" t="s">
        <v>102</v>
      </c>
      <c r="R6" s="44"/>
      <c r="S6" s="89" t="s">
        <v>288</v>
      </c>
      <c r="T6" s="73">
        <v>100</v>
      </c>
      <c r="U6" s="74">
        <v>-2.4268226584023278E-2</v>
      </c>
      <c r="V6" s="73">
        <v>1E-8</v>
      </c>
      <c r="W6" s="73">
        <v>1E-8</v>
      </c>
      <c r="X6" s="73">
        <v>1E-8</v>
      </c>
      <c r="Y6" s="73">
        <v>1E-8</v>
      </c>
      <c r="Z6" s="73">
        <v>1E-8</v>
      </c>
      <c r="AA6" s="73">
        <v>1E-8</v>
      </c>
      <c r="AB6" s="73">
        <v>1E-8</v>
      </c>
      <c r="AC6" s="73">
        <v>1E-8</v>
      </c>
      <c r="AD6" s="44"/>
    </row>
    <row r="7" spans="1:30" x14ac:dyDescent="0.35">
      <c r="A7" s="5" t="s">
        <v>278</v>
      </c>
      <c r="B7" s="44"/>
      <c r="C7" s="89" t="s">
        <v>289</v>
      </c>
      <c r="D7" s="75">
        <v>28.796404118720183</v>
      </c>
      <c r="E7" s="76">
        <v>9.2495922325053215E-2</v>
      </c>
      <c r="F7" s="75">
        <v>1E-8</v>
      </c>
      <c r="G7" s="75">
        <v>1E-8</v>
      </c>
      <c r="H7" s="75">
        <v>1E-8</v>
      </c>
      <c r="I7" s="75">
        <v>1E-8</v>
      </c>
      <c r="J7" s="75">
        <v>1E-8</v>
      </c>
      <c r="K7" s="75">
        <v>1E-8</v>
      </c>
      <c r="L7" s="75">
        <v>1E-8</v>
      </c>
      <c r="M7" s="75">
        <v>1E-8</v>
      </c>
      <c r="N7" s="44"/>
      <c r="O7" s="67"/>
      <c r="P7" s="44"/>
      <c r="Q7" s="5" t="s">
        <v>278</v>
      </c>
      <c r="R7" s="44"/>
      <c r="S7" s="89" t="s">
        <v>289</v>
      </c>
      <c r="T7" s="75">
        <v>8.2923289016864459</v>
      </c>
      <c r="U7" s="76">
        <v>2.6635499586059843E-2</v>
      </c>
      <c r="V7" s="75">
        <v>1E-8</v>
      </c>
      <c r="W7" s="75">
        <v>1E-8</v>
      </c>
      <c r="X7" s="75">
        <v>1E-8</v>
      </c>
      <c r="Y7" s="75">
        <v>1E-8</v>
      </c>
      <c r="Z7" s="75">
        <v>1E-8</v>
      </c>
      <c r="AA7" s="75">
        <v>1E-8</v>
      </c>
      <c r="AB7" s="75">
        <v>1E-8</v>
      </c>
      <c r="AC7" s="75">
        <v>1E-8</v>
      </c>
      <c r="AD7" s="44"/>
    </row>
    <row r="8" spans="1:30" x14ac:dyDescent="0.35">
      <c r="A8" s="11" t="s">
        <v>279</v>
      </c>
      <c r="B8" s="44"/>
      <c r="C8" s="90" t="s">
        <v>290</v>
      </c>
      <c r="D8" s="77">
        <v>20.436288287370587</v>
      </c>
      <c r="E8" s="78">
        <v>0.24505464728079573</v>
      </c>
      <c r="F8" s="77">
        <v>1E-8</v>
      </c>
      <c r="G8" s="77">
        <v>1E-8</v>
      </c>
      <c r="H8" s="77">
        <v>1E-8</v>
      </c>
      <c r="I8" s="77">
        <v>1E-8</v>
      </c>
      <c r="J8" s="77">
        <v>1E-8</v>
      </c>
      <c r="K8" s="77">
        <v>1E-8</v>
      </c>
      <c r="L8" s="77">
        <v>1E-8</v>
      </c>
      <c r="M8" s="77">
        <v>1E-8</v>
      </c>
      <c r="N8" s="44"/>
      <c r="O8" s="67"/>
      <c r="P8" s="44"/>
      <c r="Q8" s="11" t="s">
        <v>279</v>
      </c>
      <c r="R8" s="44"/>
      <c r="S8" s="90" t="s">
        <v>290</v>
      </c>
      <c r="T8" s="77">
        <v>4.1764187896452025</v>
      </c>
      <c r="U8" s="78">
        <v>5.0080074179902567E-2</v>
      </c>
      <c r="V8" s="77">
        <v>1E-8</v>
      </c>
      <c r="W8" s="77">
        <v>1E-8</v>
      </c>
      <c r="X8" s="77">
        <v>1E-8</v>
      </c>
      <c r="Y8" s="77">
        <v>1E-8</v>
      </c>
      <c r="Z8" s="77">
        <v>1E-8</v>
      </c>
      <c r="AA8" s="77">
        <v>1E-8</v>
      </c>
      <c r="AB8" s="77">
        <v>1E-8</v>
      </c>
      <c r="AC8" s="77">
        <v>1E-8</v>
      </c>
      <c r="AD8" s="44"/>
    </row>
    <row r="9" spans="1:30" x14ac:dyDescent="0.35">
      <c r="A9" s="11" t="s">
        <v>362</v>
      </c>
      <c r="B9" s="44"/>
      <c r="C9" s="90" t="s">
        <v>291</v>
      </c>
      <c r="D9" s="77">
        <v>18.433053669461859</v>
      </c>
      <c r="E9" s="78">
        <v>-0.52760195869778759</v>
      </c>
      <c r="F9" s="77">
        <v>1E-8</v>
      </c>
      <c r="G9" s="77">
        <v>1E-8</v>
      </c>
      <c r="H9" s="77">
        <v>1E-8</v>
      </c>
      <c r="I9" s="77">
        <v>1E-8</v>
      </c>
      <c r="J9" s="77">
        <v>1E-8</v>
      </c>
      <c r="K9" s="77">
        <v>1E-8</v>
      </c>
      <c r="L9" s="77">
        <v>1E-8</v>
      </c>
      <c r="M9" s="77">
        <v>1E-8</v>
      </c>
      <c r="N9" s="44"/>
      <c r="O9" s="67"/>
      <c r="P9" s="44"/>
      <c r="Q9" s="11" t="s">
        <v>362</v>
      </c>
      <c r="R9" s="44"/>
      <c r="S9" s="90" t="s">
        <v>291</v>
      </c>
      <c r="T9" s="77">
        <v>3.3977746758126135</v>
      </c>
      <c r="U9" s="78">
        <v>-9.7253152207895183E-2</v>
      </c>
      <c r="V9" s="77">
        <v>1E-8</v>
      </c>
      <c r="W9" s="77">
        <v>1E-8</v>
      </c>
      <c r="X9" s="77">
        <v>1E-8</v>
      </c>
      <c r="Y9" s="77">
        <v>1E-8</v>
      </c>
      <c r="Z9" s="77">
        <v>1E-8</v>
      </c>
      <c r="AA9" s="77">
        <v>1E-8</v>
      </c>
      <c r="AB9" s="77">
        <v>1E-8</v>
      </c>
      <c r="AC9" s="77">
        <v>1E-8</v>
      </c>
      <c r="AD9" s="44"/>
    </row>
    <row r="10" spans="1:30" x14ac:dyDescent="0.35">
      <c r="A10" s="11" t="s">
        <v>363</v>
      </c>
      <c r="B10" s="44"/>
      <c r="C10" s="90" t="s">
        <v>292</v>
      </c>
      <c r="D10" s="77">
        <v>2.0032346179087295</v>
      </c>
      <c r="E10" s="78">
        <v>7.3547663898506421</v>
      </c>
      <c r="F10" s="77">
        <v>1E-8</v>
      </c>
      <c r="G10" s="77">
        <v>1E-8</v>
      </c>
      <c r="H10" s="77">
        <v>1E-8</v>
      </c>
      <c r="I10" s="77">
        <v>1E-8</v>
      </c>
      <c r="J10" s="77">
        <v>1E-8</v>
      </c>
      <c r="K10" s="77">
        <v>1E-8</v>
      </c>
      <c r="L10" s="77">
        <v>1E-8</v>
      </c>
      <c r="M10" s="77">
        <v>1E-8</v>
      </c>
      <c r="N10" s="44"/>
      <c r="O10" s="67"/>
      <c r="P10" s="44"/>
      <c r="Q10" s="11" t="s">
        <v>363</v>
      </c>
      <c r="R10" s="44"/>
      <c r="S10" s="90" t="s">
        <v>292</v>
      </c>
      <c r="T10" s="77">
        <v>4.0129489343879339E-2</v>
      </c>
      <c r="U10" s="78">
        <v>0.14733322638780419</v>
      </c>
      <c r="V10" s="77">
        <v>1E-8</v>
      </c>
      <c r="W10" s="77">
        <v>1E-8</v>
      </c>
      <c r="X10" s="77">
        <v>1E-8</v>
      </c>
      <c r="Y10" s="77">
        <v>1E-8</v>
      </c>
      <c r="Z10" s="77">
        <v>1E-8</v>
      </c>
      <c r="AA10" s="77">
        <v>1E-8</v>
      </c>
      <c r="AB10" s="77">
        <v>1E-8</v>
      </c>
      <c r="AC10" s="77">
        <v>1E-8</v>
      </c>
      <c r="AD10" s="44"/>
    </row>
    <row r="11" spans="1:30" x14ac:dyDescent="0.35">
      <c r="A11" s="9" t="s">
        <v>592</v>
      </c>
      <c r="B11" s="44"/>
      <c r="C11" s="91" t="s">
        <v>294</v>
      </c>
      <c r="D11" s="79">
        <v>0.59973015402707097</v>
      </c>
      <c r="E11" s="80">
        <v>0.70048071007347001</v>
      </c>
      <c r="F11" s="79">
        <v>1E-8</v>
      </c>
      <c r="G11" s="79">
        <v>1E-8</v>
      </c>
      <c r="H11" s="79">
        <v>1E-8</v>
      </c>
      <c r="I11" s="79">
        <v>1E-8</v>
      </c>
      <c r="J11" s="79">
        <v>1E-8</v>
      </c>
      <c r="K11" s="79">
        <v>1E-8</v>
      </c>
      <c r="L11" s="79">
        <v>1E-8</v>
      </c>
      <c r="M11" s="79">
        <v>1E-8</v>
      </c>
      <c r="N11" s="44"/>
      <c r="O11" s="67"/>
      <c r="P11" s="44"/>
      <c r="Q11" s="9" t="s">
        <v>592</v>
      </c>
      <c r="R11" s="44"/>
      <c r="S11" s="91" t="s">
        <v>294</v>
      </c>
      <c r="T11" s="79">
        <v>3.596762576493343E-3</v>
      </c>
      <c r="U11" s="80">
        <v>4.2009940414535424E-3</v>
      </c>
      <c r="V11" s="79">
        <v>1E-8</v>
      </c>
      <c r="W11" s="79">
        <v>1E-8</v>
      </c>
      <c r="X11" s="79">
        <v>1E-8</v>
      </c>
      <c r="Y11" s="79">
        <v>1E-8</v>
      </c>
      <c r="Z11" s="79">
        <v>1E-8</v>
      </c>
      <c r="AA11" s="79">
        <v>1E-8</v>
      </c>
      <c r="AB11" s="79">
        <v>1E-8</v>
      </c>
      <c r="AC11" s="79">
        <v>1E-8</v>
      </c>
      <c r="AD11" s="44"/>
    </row>
    <row r="12" spans="1:30" x14ac:dyDescent="0.35">
      <c r="A12" s="9" t="s">
        <v>593</v>
      </c>
      <c r="B12" s="44"/>
      <c r="C12" s="91" t="s">
        <v>293</v>
      </c>
      <c r="D12" s="79">
        <v>1.3204534025699539</v>
      </c>
      <c r="E12" s="80">
        <v>1.553804739896969</v>
      </c>
      <c r="F12" s="79">
        <v>1E-8</v>
      </c>
      <c r="G12" s="79">
        <v>1E-8</v>
      </c>
      <c r="H12" s="79">
        <v>1E-8</v>
      </c>
      <c r="I12" s="79">
        <v>1E-8</v>
      </c>
      <c r="J12" s="79">
        <v>1E-8</v>
      </c>
      <c r="K12" s="79">
        <v>1E-8</v>
      </c>
      <c r="L12" s="79">
        <v>1E-8</v>
      </c>
      <c r="M12" s="79">
        <v>1E-8</v>
      </c>
      <c r="N12" s="44"/>
      <c r="O12" s="67"/>
      <c r="P12" s="44"/>
      <c r="Q12" s="9" t="s">
        <v>593</v>
      </c>
      <c r="R12" s="44"/>
      <c r="S12" s="91" t="s">
        <v>293</v>
      </c>
      <c r="T12" s="79">
        <v>1.7435971883585689E-2</v>
      </c>
      <c r="U12" s="80">
        <v>2.0517267557262752E-2</v>
      </c>
      <c r="V12" s="79">
        <v>1E-8</v>
      </c>
      <c r="W12" s="79">
        <v>1E-8</v>
      </c>
      <c r="X12" s="79">
        <v>1E-8</v>
      </c>
      <c r="Y12" s="79">
        <v>1E-8</v>
      </c>
      <c r="Z12" s="79">
        <v>1E-8</v>
      </c>
      <c r="AA12" s="79">
        <v>1E-8</v>
      </c>
      <c r="AB12" s="79">
        <v>1E-8</v>
      </c>
      <c r="AC12" s="79">
        <v>1E-8</v>
      </c>
      <c r="AD12" s="44"/>
    </row>
    <row r="13" spans="1:30" x14ac:dyDescent="0.35">
      <c r="A13" s="9" t="s">
        <v>594</v>
      </c>
      <c r="B13" s="44"/>
      <c r="C13" s="91" t="s">
        <v>296</v>
      </c>
      <c r="D13" s="79">
        <v>4.3148806202197597E-2</v>
      </c>
      <c r="E13" s="80">
        <v>2.4570196187275739</v>
      </c>
      <c r="F13" s="79">
        <v>1E-8</v>
      </c>
      <c r="G13" s="79">
        <v>1E-8</v>
      </c>
      <c r="H13" s="79">
        <v>1E-8</v>
      </c>
      <c r="I13" s="79">
        <v>1E-8</v>
      </c>
      <c r="J13" s="79">
        <v>1E-8</v>
      </c>
      <c r="K13" s="79">
        <v>1E-8</v>
      </c>
      <c r="L13" s="79">
        <v>1E-8</v>
      </c>
      <c r="M13" s="79">
        <v>1E-8</v>
      </c>
      <c r="N13" s="44"/>
      <c r="O13" s="67"/>
      <c r="P13" s="44"/>
      <c r="Q13" s="9" t="s">
        <v>594</v>
      </c>
      <c r="R13" s="44"/>
      <c r="S13" s="91" t="s">
        <v>296</v>
      </c>
      <c r="T13" s="79">
        <v>1.8618194766748059E-5</v>
      </c>
      <c r="U13" s="80">
        <v>1.0601746336347353E-3</v>
      </c>
      <c r="V13" s="79">
        <v>1E-8</v>
      </c>
      <c r="W13" s="79">
        <v>1E-8</v>
      </c>
      <c r="X13" s="79">
        <v>1E-8</v>
      </c>
      <c r="Y13" s="79">
        <v>1E-8</v>
      </c>
      <c r="Z13" s="79">
        <v>1E-8</v>
      </c>
      <c r="AA13" s="79">
        <v>1E-8</v>
      </c>
      <c r="AB13" s="79">
        <v>1E-8</v>
      </c>
      <c r="AC13" s="79">
        <v>1E-8</v>
      </c>
      <c r="AD13" s="44"/>
    </row>
    <row r="14" spans="1:30" x14ac:dyDescent="0.35">
      <c r="A14" s="9" t="s">
        <v>595</v>
      </c>
      <c r="B14" s="44"/>
      <c r="C14" s="91" t="s">
        <v>295</v>
      </c>
      <c r="D14" s="79">
        <v>0.78768695901528396</v>
      </c>
      <c r="E14" s="80">
        <v>6.5009700157681038E-2</v>
      </c>
      <c r="F14" s="79">
        <v>1E-8</v>
      </c>
      <c r="G14" s="79">
        <v>1E-8</v>
      </c>
      <c r="H14" s="79">
        <v>1E-8</v>
      </c>
      <c r="I14" s="79">
        <v>1E-8</v>
      </c>
      <c r="J14" s="79">
        <v>1E-8</v>
      </c>
      <c r="K14" s="79">
        <v>1E-8</v>
      </c>
      <c r="L14" s="79">
        <v>1E-8</v>
      </c>
      <c r="M14" s="79">
        <v>1E-8</v>
      </c>
      <c r="N14" s="44"/>
      <c r="O14" s="67"/>
      <c r="P14" s="44"/>
      <c r="Q14" s="9" t="s">
        <v>595</v>
      </c>
      <c r="R14" s="44"/>
      <c r="S14" s="91" t="s">
        <v>295</v>
      </c>
      <c r="T14" s="79">
        <v>6.204507454027456E-3</v>
      </c>
      <c r="U14" s="80">
        <v>5.1207293023699206E-4</v>
      </c>
      <c r="V14" s="79">
        <v>1E-8</v>
      </c>
      <c r="W14" s="79">
        <v>1E-8</v>
      </c>
      <c r="X14" s="79">
        <v>1E-8</v>
      </c>
      <c r="Y14" s="79">
        <v>1E-8</v>
      </c>
      <c r="Z14" s="79">
        <v>1E-8</v>
      </c>
      <c r="AA14" s="79">
        <v>1E-8</v>
      </c>
      <c r="AB14" s="79">
        <v>1E-8</v>
      </c>
      <c r="AC14" s="79">
        <v>1E-8</v>
      </c>
      <c r="AD14" s="44"/>
    </row>
    <row r="15" spans="1:30" x14ac:dyDescent="0.35">
      <c r="A15" s="9" t="s">
        <v>596</v>
      </c>
      <c r="B15" s="44"/>
      <c r="C15" s="91" t="s">
        <v>297</v>
      </c>
      <c r="D15" s="79">
        <v>3.8452902567795528E-3</v>
      </c>
      <c r="E15" s="80">
        <v>2.5231874452516845</v>
      </c>
      <c r="F15" s="79">
        <v>1E-8</v>
      </c>
      <c r="G15" s="79">
        <v>1E-8</v>
      </c>
      <c r="H15" s="79">
        <v>1E-8</v>
      </c>
      <c r="I15" s="79">
        <v>1E-8</v>
      </c>
      <c r="J15" s="79">
        <v>1E-8</v>
      </c>
      <c r="K15" s="79">
        <v>1E-8</v>
      </c>
      <c r="L15" s="79">
        <v>1E-8</v>
      </c>
      <c r="M15" s="79">
        <v>1E-8</v>
      </c>
      <c r="N15" s="44"/>
      <c r="O15" s="67"/>
      <c r="P15" s="44"/>
      <c r="Q15" s="9" t="s">
        <v>596</v>
      </c>
      <c r="R15" s="44"/>
      <c r="S15" s="91" t="s">
        <v>297</v>
      </c>
      <c r="T15" s="79">
        <v>1E-8</v>
      </c>
      <c r="U15" s="80">
        <v>9.7023880992547939E-5</v>
      </c>
      <c r="V15" s="79">
        <v>1E-8</v>
      </c>
      <c r="W15" s="79">
        <v>1E-8</v>
      </c>
      <c r="X15" s="79">
        <v>1E-8</v>
      </c>
      <c r="Y15" s="79">
        <v>1E-8</v>
      </c>
      <c r="Z15" s="79">
        <v>1E-8</v>
      </c>
      <c r="AA15" s="79">
        <v>1E-8</v>
      </c>
      <c r="AB15" s="79">
        <v>1E-8</v>
      </c>
      <c r="AC15" s="79">
        <v>1E-8</v>
      </c>
      <c r="AD15" s="44"/>
    </row>
    <row r="16" spans="1:30" x14ac:dyDescent="0.35">
      <c r="A16" s="9" t="s">
        <v>597</v>
      </c>
      <c r="B16" s="44"/>
      <c r="C16" s="91" t="s">
        <v>301</v>
      </c>
      <c r="D16" s="79">
        <v>2.2666916260868097</v>
      </c>
      <c r="E16" s="80">
        <v>-1.3869890962578069</v>
      </c>
      <c r="F16" s="79">
        <v>1E-8</v>
      </c>
      <c r="G16" s="79">
        <v>1E-8</v>
      </c>
      <c r="H16" s="79">
        <v>1E-8</v>
      </c>
      <c r="I16" s="79">
        <v>1E-8</v>
      </c>
      <c r="J16" s="79">
        <v>1E-8</v>
      </c>
      <c r="K16" s="79">
        <v>1E-8</v>
      </c>
      <c r="L16" s="79">
        <v>1E-8</v>
      </c>
      <c r="M16" s="79">
        <v>1E-8</v>
      </c>
      <c r="N16" s="44"/>
      <c r="O16" s="67"/>
      <c r="P16" s="44"/>
      <c r="Q16" s="9" t="s">
        <v>597</v>
      </c>
      <c r="R16" s="44"/>
      <c r="S16" s="91" t="s">
        <v>301</v>
      </c>
      <c r="T16" s="79">
        <v>5.1378909277720652E-2</v>
      </c>
      <c r="U16" s="80">
        <v>-3.1438765699612826E-2</v>
      </c>
      <c r="V16" s="79">
        <v>1E-8</v>
      </c>
      <c r="W16" s="79">
        <v>1E-8</v>
      </c>
      <c r="X16" s="79">
        <v>1E-8</v>
      </c>
      <c r="Y16" s="79">
        <v>1E-8</v>
      </c>
      <c r="Z16" s="79">
        <v>1E-8</v>
      </c>
      <c r="AA16" s="79">
        <v>1E-8</v>
      </c>
      <c r="AB16" s="79">
        <v>1E-8</v>
      </c>
      <c r="AC16" s="79">
        <v>1E-8</v>
      </c>
      <c r="AD16" s="44"/>
    </row>
    <row r="17" spans="1:30" x14ac:dyDescent="0.35">
      <c r="A17" s="9" t="s">
        <v>598</v>
      </c>
      <c r="B17" s="44"/>
      <c r="C17" s="91" t="s">
        <v>302</v>
      </c>
      <c r="D17" s="79">
        <v>2.0164101968213832</v>
      </c>
      <c r="E17" s="80">
        <v>-2.3091262286916159</v>
      </c>
      <c r="F17" s="79">
        <v>1E-8</v>
      </c>
      <c r="G17" s="79">
        <v>1E-8</v>
      </c>
      <c r="H17" s="79">
        <v>1E-8</v>
      </c>
      <c r="I17" s="79">
        <v>1E-8</v>
      </c>
      <c r="J17" s="79">
        <v>1E-8</v>
      </c>
      <c r="K17" s="79">
        <v>1E-8</v>
      </c>
      <c r="L17" s="79">
        <v>1E-8</v>
      </c>
      <c r="M17" s="79">
        <v>1E-8</v>
      </c>
      <c r="N17" s="44"/>
      <c r="O17" s="67"/>
      <c r="P17" s="44"/>
      <c r="Q17" s="9" t="s">
        <v>598</v>
      </c>
      <c r="R17" s="44"/>
      <c r="S17" s="91" t="s">
        <v>302</v>
      </c>
      <c r="T17" s="79">
        <v>4.0659100818452497E-2</v>
      </c>
      <c r="U17" s="80">
        <v>-4.6561456732814796E-2</v>
      </c>
      <c r="V17" s="79">
        <v>1E-8</v>
      </c>
      <c r="W17" s="79">
        <v>1E-8</v>
      </c>
      <c r="X17" s="79">
        <v>1E-8</v>
      </c>
      <c r="Y17" s="79">
        <v>1E-8</v>
      </c>
      <c r="Z17" s="79">
        <v>1E-8</v>
      </c>
      <c r="AA17" s="79">
        <v>1E-8</v>
      </c>
      <c r="AB17" s="79">
        <v>1E-8</v>
      </c>
      <c r="AC17" s="79">
        <v>1E-8</v>
      </c>
      <c r="AD17" s="44"/>
    </row>
    <row r="18" spans="1:30" x14ac:dyDescent="0.35">
      <c r="A18" s="9" t="s">
        <v>599</v>
      </c>
      <c r="B18" s="44"/>
      <c r="C18" s="91" t="s">
        <v>300</v>
      </c>
      <c r="D18" s="79">
        <v>1.6496232469838712</v>
      </c>
      <c r="E18" s="80">
        <v>-8.1684394899061985E-2</v>
      </c>
      <c r="F18" s="79">
        <v>1E-8</v>
      </c>
      <c r="G18" s="79">
        <v>1E-8</v>
      </c>
      <c r="H18" s="79">
        <v>1E-8</v>
      </c>
      <c r="I18" s="79">
        <v>1E-8</v>
      </c>
      <c r="J18" s="79">
        <v>1E-8</v>
      </c>
      <c r="K18" s="79">
        <v>1E-8</v>
      </c>
      <c r="L18" s="79">
        <v>1E-8</v>
      </c>
      <c r="M18" s="79">
        <v>1E-8</v>
      </c>
      <c r="N18" s="44"/>
      <c r="O18" s="67"/>
      <c r="P18" s="44"/>
      <c r="Q18" s="9" t="s">
        <v>599</v>
      </c>
      <c r="R18" s="44"/>
      <c r="S18" s="91" t="s">
        <v>300</v>
      </c>
      <c r="T18" s="79">
        <v>2.7212568569896102E-2</v>
      </c>
      <c r="U18" s="80">
        <v>-1.3474847674130341E-3</v>
      </c>
      <c r="V18" s="79">
        <v>1E-8</v>
      </c>
      <c r="W18" s="79">
        <v>1E-8</v>
      </c>
      <c r="X18" s="79">
        <v>1E-8</v>
      </c>
      <c r="Y18" s="79">
        <v>1E-8</v>
      </c>
      <c r="Z18" s="79">
        <v>1E-8</v>
      </c>
      <c r="AA18" s="79">
        <v>1E-8</v>
      </c>
      <c r="AB18" s="79">
        <v>1E-8</v>
      </c>
      <c r="AC18" s="79">
        <v>1E-8</v>
      </c>
      <c r="AD18" s="44"/>
    </row>
    <row r="19" spans="1:30" x14ac:dyDescent="0.35">
      <c r="A19" s="9" t="s">
        <v>600</v>
      </c>
      <c r="B19" s="44"/>
      <c r="C19" s="91" t="s">
        <v>303</v>
      </c>
      <c r="D19" s="79">
        <v>0.28502289860816526</v>
      </c>
      <c r="E19" s="80">
        <v>-1.9762992381443745</v>
      </c>
      <c r="F19" s="79">
        <v>1E-8</v>
      </c>
      <c r="G19" s="79">
        <v>1E-8</v>
      </c>
      <c r="H19" s="79">
        <v>1E-8</v>
      </c>
      <c r="I19" s="79">
        <v>1E-8</v>
      </c>
      <c r="J19" s="79">
        <v>1E-8</v>
      </c>
      <c r="K19" s="79">
        <v>1E-8</v>
      </c>
      <c r="L19" s="79">
        <v>1E-8</v>
      </c>
      <c r="M19" s="79">
        <v>1E-8</v>
      </c>
      <c r="N19" s="44"/>
      <c r="O19" s="67"/>
      <c r="P19" s="44"/>
      <c r="Q19" s="9" t="s">
        <v>600</v>
      </c>
      <c r="R19" s="44"/>
      <c r="S19" s="91" t="s">
        <v>303</v>
      </c>
      <c r="T19" s="79">
        <v>8.1238052731000461E-4</v>
      </c>
      <c r="U19" s="80">
        <v>-5.6329053737301836E-3</v>
      </c>
      <c r="V19" s="79">
        <v>1E-8</v>
      </c>
      <c r="W19" s="79">
        <v>1E-8</v>
      </c>
      <c r="X19" s="79">
        <v>1E-8</v>
      </c>
      <c r="Y19" s="79">
        <v>1E-8</v>
      </c>
      <c r="Z19" s="79">
        <v>1E-8</v>
      </c>
      <c r="AA19" s="79">
        <v>1E-8</v>
      </c>
      <c r="AB19" s="79">
        <v>1E-8</v>
      </c>
      <c r="AC19" s="79">
        <v>1E-8</v>
      </c>
      <c r="AD19" s="44"/>
    </row>
    <row r="20" spans="1:30" x14ac:dyDescent="0.35">
      <c r="A20" s="9" t="s">
        <v>601</v>
      </c>
      <c r="B20" s="44"/>
      <c r="C20" s="91" t="s">
        <v>533</v>
      </c>
      <c r="D20" s="79">
        <v>3.0603335744000248</v>
      </c>
      <c r="E20" s="80">
        <v>-0.42713092719608436</v>
      </c>
      <c r="F20" s="79">
        <v>1E-8</v>
      </c>
      <c r="G20" s="79">
        <v>1E-8</v>
      </c>
      <c r="H20" s="79">
        <v>1E-8</v>
      </c>
      <c r="I20" s="79">
        <v>1E-8</v>
      </c>
      <c r="J20" s="79">
        <v>1E-8</v>
      </c>
      <c r="K20" s="79">
        <v>1E-8</v>
      </c>
      <c r="L20" s="79">
        <v>1E-8</v>
      </c>
      <c r="M20" s="79">
        <v>1E-8</v>
      </c>
      <c r="N20" s="44"/>
      <c r="O20" s="67"/>
      <c r="P20" s="44"/>
      <c r="Q20" s="9" t="s">
        <v>601</v>
      </c>
      <c r="R20" s="44"/>
      <c r="S20" s="91" t="s">
        <v>533</v>
      </c>
      <c r="T20" s="79">
        <v>9.365641586600032E-2</v>
      </c>
      <c r="U20" s="80">
        <v>-1.3071631171627896E-2</v>
      </c>
      <c r="V20" s="79">
        <v>1E-8</v>
      </c>
      <c r="W20" s="79">
        <v>1E-8</v>
      </c>
      <c r="X20" s="79">
        <v>1E-8</v>
      </c>
      <c r="Y20" s="79">
        <v>1E-8</v>
      </c>
      <c r="Z20" s="79">
        <v>1E-8</v>
      </c>
      <c r="AA20" s="79">
        <v>1E-8</v>
      </c>
      <c r="AB20" s="79">
        <v>1E-8</v>
      </c>
      <c r="AC20" s="79">
        <v>1E-8</v>
      </c>
      <c r="AD20" s="44"/>
    </row>
    <row r="21" spans="1:30" x14ac:dyDescent="0.35">
      <c r="A21" s="9" t="s">
        <v>602</v>
      </c>
      <c r="B21" s="44"/>
      <c r="C21" s="91" t="s">
        <v>534</v>
      </c>
      <c r="D21" s="79">
        <v>0.28685289036385497</v>
      </c>
      <c r="E21" s="80">
        <v>-1.0052111131049202</v>
      </c>
      <c r="F21" s="79">
        <v>1E-8</v>
      </c>
      <c r="G21" s="79">
        <v>1E-8</v>
      </c>
      <c r="H21" s="79">
        <v>1E-8</v>
      </c>
      <c r="I21" s="79">
        <v>1E-8</v>
      </c>
      <c r="J21" s="79">
        <v>1E-8</v>
      </c>
      <c r="K21" s="79">
        <v>1E-8</v>
      </c>
      <c r="L21" s="79">
        <v>1E-8</v>
      </c>
      <c r="M21" s="79">
        <v>1E-8</v>
      </c>
      <c r="N21" s="44"/>
      <c r="O21" s="67"/>
      <c r="P21" s="44"/>
      <c r="Q21" s="9" t="s">
        <v>602</v>
      </c>
      <c r="R21" s="44"/>
      <c r="S21" s="91" t="s">
        <v>534</v>
      </c>
      <c r="T21" s="79">
        <v>8.2284580710097806E-4</v>
      </c>
      <c r="U21" s="80">
        <v>-2.8834771322001429E-3</v>
      </c>
      <c r="V21" s="79">
        <v>1E-8</v>
      </c>
      <c r="W21" s="79">
        <v>1E-8</v>
      </c>
      <c r="X21" s="79">
        <v>1E-8</v>
      </c>
      <c r="Y21" s="79">
        <v>1E-8</v>
      </c>
      <c r="Z21" s="79">
        <v>1E-8</v>
      </c>
      <c r="AA21" s="79">
        <v>1E-8</v>
      </c>
      <c r="AB21" s="79">
        <v>1E-8</v>
      </c>
      <c r="AC21" s="79">
        <v>1E-8</v>
      </c>
      <c r="AD21" s="44"/>
    </row>
    <row r="22" spans="1:30" x14ac:dyDescent="0.35">
      <c r="A22" s="9" t="s">
        <v>603</v>
      </c>
      <c r="B22" s="44"/>
      <c r="C22" s="91" t="s">
        <v>304</v>
      </c>
      <c r="D22" s="79">
        <v>2.0184465581631028</v>
      </c>
      <c r="E22" s="80">
        <v>-0.70890175743104633</v>
      </c>
      <c r="F22" s="79">
        <v>1E-8</v>
      </c>
      <c r="G22" s="79">
        <v>1E-8</v>
      </c>
      <c r="H22" s="79">
        <v>1E-8</v>
      </c>
      <c r="I22" s="79">
        <v>1E-8</v>
      </c>
      <c r="J22" s="79">
        <v>1E-8</v>
      </c>
      <c r="K22" s="79">
        <v>1E-8</v>
      </c>
      <c r="L22" s="79">
        <v>1E-8</v>
      </c>
      <c r="M22" s="79">
        <v>1E-8</v>
      </c>
      <c r="N22" s="44"/>
      <c r="O22" s="67"/>
      <c r="P22" s="44"/>
      <c r="Q22" s="9" t="s">
        <v>603</v>
      </c>
      <c r="R22" s="44"/>
      <c r="S22" s="91" t="s">
        <v>304</v>
      </c>
      <c r="T22" s="79">
        <v>4.0741265081604763E-2</v>
      </c>
      <c r="U22" s="80">
        <v>-1.4308803123624704E-2</v>
      </c>
      <c r="V22" s="79">
        <v>1E-8</v>
      </c>
      <c r="W22" s="79">
        <v>1E-8</v>
      </c>
      <c r="X22" s="79">
        <v>1E-8</v>
      </c>
      <c r="Y22" s="79">
        <v>1E-8</v>
      </c>
      <c r="Z22" s="79">
        <v>1E-8</v>
      </c>
      <c r="AA22" s="79">
        <v>1E-8</v>
      </c>
      <c r="AB22" s="79">
        <v>1E-8</v>
      </c>
      <c r="AC22" s="79">
        <v>1E-8</v>
      </c>
      <c r="AD22" s="44"/>
    </row>
    <row r="23" spans="1:30" x14ac:dyDescent="0.35">
      <c r="A23" s="9" t="s">
        <v>604</v>
      </c>
      <c r="B23" s="44"/>
      <c r="C23" s="91" t="s">
        <v>535</v>
      </c>
      <c r="D23" s="79">
        <v>1.1150313797694071</v>
      </c>
      <c r="E23" s="80">
        <v>-0.5260354455994487</v>
      </c>
      <c r="F23" s="79">
        <v>1E-8</v>
      </c>
      <c r="G23" s="79">
        <v>1E-8</v>
      </c>
      <c r="H23" s="79">
        <v>1E-8</v>
      </c>
      <c r="I23" s="79">
        <v>1E-8</v>
      </c>
      <c r="J23" s="79">
        <v>1E-8</v>
      </c>
      <c r="K23" s="79">
        <v>1E-8</v>
      </c>
      <c r="L23" s="79">
        <v>1E-8</v>
      </c>
      <c r="M23" s="79">
        <v>1E-8</v>
      </c>
      <c r="N23" s="44"/>
      <c r="O23" s="67"/>
      <c r="P23" s="44"/>
      <c r="Q23" s="9" t="s">
        <v>604</v>
      </c>
      <c r="R23" s="44"/>
      <c r="S23" s="91" t="s">
        <v>535</v>
      </c>
      <c r="T23" s="79">
        <v>1.2432949778704678E-2</v>
      </c>
      <c r="U23" s="80">
        <v>-5.8654602871436815E-3</v>
      </c>
      <c r="V23" s="79">
        <v>1E-8</v>
      </c>
      <c r="W23" s="79">
        <v>1E-8</v>
      </c>
      <c r="X23" s="79">
        <v>1E-8</v>
      </c>
      <c r="Y23" s="79">
        <v>1E-8</v>
      </c>
      <c r="Z23" s="79">
        <v>1E-8</v>
      </c>
      <c r="AA23" s="79">
        <v>1E-8</v>
      </c>
      <c r="AB23" s="79">
        <v>1E-8</v>
      </c>
      <c r="AC23" s="79">
        <v>1E-8</v>
      </c>
      <c r="AD23" s="44"/>
    </row>
    <row r="24" spans="1:30" x14ac:dyDescent="0.35">
      <c r="A24" s="9" t="s">
        <v>605</v>
      </c>
      <c r="B24" s="44"/>
      <c r="C24" s="91" t="s">
        <v>536</v>
      </c>
      <c r="D24" s="79">
        <v>2.0797846948330938</v>
      </c>
      <c r="E24" s="80">
        <v>-0.64685677022714438</v>
      </c>
      <c r="F24" s="79">
        <v>1E-8</v>
      </c>
      <c r="G24" s="79">
        <v>1E-8</v>
      </c>
      <c r="H24" s="79">
        <v>1E-8</v>
      </c>
      <c r="I24" s="79">
        <v>1E-8</v>
      </c>
      <c r="J24" s="79">
        <v>1E-8</v>
      </c>
      <c r="K24" s="79">
        <v>1E-8</v>
      </c>
      <c r="L24" s="79">
        <v>1E-8</v>
      </c>
      <c r="M24" s="79">
        <v>1E-8</v>
      </c>
      <c r="N24" s="44"/>
      <c r="O24" s="67"/>
      <c r="P24" s="44"/>
      <c r="Q24" s="9" t="s">
        <v>605</v>
      </c>
      <c r="R24" s="44"/>
      <c r="S24" s="91" t="s">
        <v>536</v>
      </c>
      <c r="T24" s="79">
        <v>4.3255043768619855E-2</v>
      </c>
      <c r="U24" s="80">
        <v>-1.3453228104675823E-2</v>
      </c>
      <c r="V24" s="79">
        <v>1E-8</v>
      </c>
      <c r="W24" s="79">
        <v>1E-8</v>
      </c>
      <c r="X24" s="79">
        <v>1E-8</v>
      </c>
      <c r="Y24" s="79">
        <v>1E-8</v>
      </c>
      <c r="Z24" s="79">
        <v>1E-8</v>
      </c>
      <c r="AA24" s="79">
        <v>1E-8</v>
      </c>
      <c r="AB24" s="79">
        <v>1E-8</v>
      </c>
      <c r="AC24" s="79">
        <v>1E-8</v>
      </c>
      <c r="AD24" s="44"/>
    </row>
    <row r="25" spans="1:30" x14ac:dyDescent="0.35">
      <c r="A25" s="9" t="s">
        <v>606</v>
      </c>
      <c r="B25" s="44"/>
      <c r="C25" s="91" t="s">
        <v>537</v>
      </c>
      <c r="D25" s="79">
        <v>0.38166891128947278</v>
      </c>
      <c r="E25" s="80">
        <v>5.293565796653521E-2</v>
      </c>
      <c r="F25" s="79">
        <v>1E-8</v>
      </c>
      <c r="G25" s="79">
        <v>1E-8</v>
      </c>
      <c r="H25" s="79">
        <v>1E-8</v>
      </c>
      <c r="I25" s="79">
        <v>1E-8</v>
      </c>
      <c r="J25" s="79">
        <v>1E-8</v>
      </c>
      <c r="K25" s="79">
        <v>1E-8</v>
      </c>
      <c r="L25" s="79">
        <v>1E-8</v>
      </c>
      <c r="M25" s="79">
        <v>1E-8</v>
      </c>
      <c r="N25" s="44"/>
      <c r="O25" s="67"/>
      <c r="P25" s="44"/>
      <c r="Q25" s="9" t="s">
        <v>606</v>
      </c>
      <c r="R25" s="44"/>
      <c r="S25" s="91" t="s">
        <v>537</v>
      </c>
      <c r="T25" s="79">
        <v>1.4567115784489143E-3</v>
      </c>
      <c r="U25" s="80">
        <v>2.02038949444794E-4</v>
      </c>
      <c r="V25" s="79">
        <v>1E-8</v>
      </c>
      <c r="W25" s="79">
        <v>1E-8</v>
      </c>
      <c r="X25" s="79">
        <v>1E-8</v>
      </c>
      <c r="Y25" s="79">
        <v>1E-8</v>
      </c>
      <c r="Z25" s="79">
        <v>1E-8</v>
      </c>
      <c r="AA25" s="79">
        <v>1E-8</v>
      </c>
      <c r="AB25" s="79">
        <v>1E-8</v>
      </c>
      <c r="AC25" s="79">
        <v>1E-8</v>
      </c>
      <c r="AD25" s="44"/>
    </row>
    <row r="26" spans="1:30" x14ac:dyDescent="0.35">
      <c r="A26" s="9" t="s">
        <v>607</v>
      </c>
      <c r="B26" s="44"/>
      <c r="C26" s="91" t="s">
        <v>307</v>
      </c>
      <c r="D26" s="79">
        <v>0.35678437872313296</v>
      </c>
      <c r="E26" s="80">
        <v>1.3787775644378497</v>
      </c>
      <c r="F26" s="79">
        <v>1E-8</v>
      </c>
      <c r="G26" s="79">
        <v>1E-8</v>
      </c>
      <c r="H26" s="79">
        <v>1E-8</v>
      </c>
      <c r="I26" s="79">
        <v>1E-8</v>
      </c>
      <c r="J26" s="79">
        <v>1E-8</v>
      </c>
      <c r="K26" s="79">
        <v>1E-8</v>
      </c>
      <c r="L26" s="79">
        <v>1E-8</v>
      </c>
      <c r="M26" s="79">
        <v>1E-8</v>
      </c>
      <c r="N26" s="44"/>
      <c r="O26" s="67"/>
      <c r="P26" s="44"/>
      <c r="Q26" s="9" t="s">
        <v>607</v>
      </c>
      <c r="R26" s="44"/>
      <c r="S26" s="91" t="s">
        <v>307</v>
      </c>
      <c r="T26" s="79">
        <v>1.2729509290085198E-3</v>
      </c>
      <c r="U26" s="80">
        <v>4.919262967253527E-3</v>
      </c>
      <c r="V26" s="79">
        <v>1E-8</v>
      </c>
      <c r="W26" s="79">
        <v>1E-8</v>
      </c>
      <c r="X26" s="79">
        <v>1E-8</v>
      </c>
      <c r="Y26" s="79">
        <v>1E-8</v>
      </c>
      <c r="Z26" s="79">
        <v>1E-8</v>
      </c>
      <c r="AA26" s="79">
        <v>1E-8</v>
      </c>
      <c r="AB26" s="79">
        <v>1E-8</v>
      </c>
      <c r="AC26" s="79">
        <v>1E-8</v>
      </c>
      <c r="AD26" s="44"/>
    </row>
    <row r="27" spans="1:30" x14ac:dyDescent="0.35">
      <c r="A27" s="9" t="s">
        <v>608</v>
      </c>
      <c r="B27" s="44"/>
      <c r="C27" s="91" t="s">
        <v>298</v>
      </c>
      <c r="D27" s="79">
        <v>0.12108434575371123</v>
      </c>
      <c r="E27" s="80">
        <v>4.4520315387901466</v>
      </c>
      <c r="F27" s="79">
        <v>1E-8</v>
      </c>
      <c r="G27" s="79">
        <v>1E-8</v>
      </c>
      <c r="H27" s="79">
        <v>1E-8</v>
      </c>
      <c r="I27" s="79">
        <v>1E-8</v>
      </c>
      <c r="J27" s="79">
        <v>1E-8</v>
      </c>
      <c r="K27" s="79">
        <v>1E-8</v>
      </c>
      <c r="L27" s="79">
        <v>1E-8</v>
      </c>
      <c r="M27" s="79">
        <v>1E-8</v>
      </c>
      <c r="N27" s="44"/>
      <c r="O27" s="67"/>
      <c r="P27" s="44"/>
      <c r="Q27" s="9" t="s">
        <v>608</v>
      </c>
      <c r="R27" s="44"/>
      <c r="S27" s="91" t="s">
        <v>298</v>
      </c>
      <c r="T27" s="79">
        <v>1.4661418786604286E-4</v>
      </c>
      <c r="U27" s="80">
        <v>5.3907132614929316E-3</v>
      </c>
      <c r="V27" s="79">
        <v>1E-8</v>
      </c>
      <c r="W27" s="79">
        <v>1E-8</v>
      </c>
      <c r="X27" s="79">
        <v>1E-8</v>
      </c>
      <c r="Y27" s="79">
        <v>1E-8</v>
      </c>
      <c r="Z27" s="79">
        <v>1E-8</v>
      </c>
      <c r="AA27" s="79">
        <v>1E-8</v>
      </c>
      <c r="AB27" s="79">
        <v>1E-8</v>
      </c>
      <c r="AC27" s="79">
        <v>1E-8</v>
      </c>
      <c r="AD27" s="44"/>
    </row>
    <row r="28" spans="1:30" x14ac:dyDescent="0.35">
      <c r="A28" s="9" t="s">
        <v>609</v>
      </c>
      <c r="B28" s="44"/>
      <c r="C28" s="91" t="s">
        <v>538</v>
      </c>
      <c r="D28" s="79">
        <v>4.0454355594544682E-2</v>
      </c>
      <c r="E28" s="80">
        <v>1.0147534354189691</v>
      </c>
      <c r="F28" s="79">
        <v>1E-8</v>
      </c>
      <c r="G28" s="79">
        <v>1E-8</v>
      </c>
      <c r="H28" s="79">
        <v>1E-8</v>
      </c>
      <c r="I28" s="79">
        <v>1E-8</v>
      </c>
      <c r="J28" s="79">
        <v>1E-8</v>
      </c>
      <c r="K28" s="79">
        <v>1E-8</v>
      </c>
      <c r="L28" s="79">
        <v>1E-8</v>
      </c>
      <c r="M28" s="79">
        <v>1E-8</v>
      </c>
      <c r="N28" s="44"/>
      <c r="O28" s="67"/>
      <c r="P28" s="44"/>
      <c r="Q28" s="9" t="s">
        <v>609</v>
      </c>
      <c r="R28" s="44"/>
      <c r="S28" s="91" t="s">
        <v>538</v>
      </c>
      <c r="T28" s="79">
        <v>1.6365548865698686E-5</v>
      </c>
      <c r="U28" s="80">
        <v>4.1051196317224814E-4</v>
      </c>
      <c r="V28" s="79">
        <v>1E-8</v>
      </c>
      <c r="W28" s="79">
        <v>1E-8</v>
      </c>
      <c r="X28" s="79">
        <v>1E-8</v>
      </c>
      <c r="Y28" s="79">
        <v>1E-8</v>
      </c>
      <c r="Z28" s="79">
        <v>1E-8</v>
      </c>
      <c r="AA28" s="79">
        <v>1E-8</v>
      </c>
      <c r="AB28" s="79">
        <v>1E-8</v>
      </c>
      <c r="AC28" s="79">
        <v>1E-8</v>
      </c>
      <c r="AD28" s="44"/>
    </row>
    <row r="29" spans="1:30" x14ac:dyDescent="0.35">
      <c r="A29" s="9" t="s">
        <v>610</v>
      </c>
      <c r="B29" s="44"/>
      <c r="C29" s="91" t="s">
        <v>299</v>
      </c>
      <c r="D29" s="79">
        <v>1E-8</v>
      </c>
      <c r="E29" s="80">
        <v>1E-8</v>
      </c>
      <c r="F29" s="79">
        <v>1E-8</v>
      </c>
      <c r="G29" s="79">
        <v>1E-8</v>
      </c>
      <c r="H29" s="79">
        <v>1E-8</v>
      </c>
      <c r="I29" s="79">
        <v>1E-8</v>
      </c>
      <c r="J29" s="79">
        <v>1E-8</v>
      </c>
      <c r="K29" s="79">
        <v>1E-8</v>
      </c>
      <c r="L29" s="79">
        <v>1E-8</v>
      </c>
      <c r="M29" s="79">
        <v>1E-8</v>
      </c>
      <c r="N29" s="44"/>
      <c r="O29" s="67"/>
      <c r="P29" s="44"/>
      <c r="Q29" s="9" t="s">
        <v>610</v>
      </c>
      <c r="R29" s="44"/>
      <c r="S29" s="91" t="s">
        <v>299</v>
      </c>
      <c r="T29" s="79">
        <v>1E-8</v>
      </c>
      <c r="U29" s="80">
        <v>1E-8</v>
      </c>
      <c r="V29" s="79">
        <v>1E-8</v>
      </c>
      <c r="W29" s="79">
        <v>1E-8</v>
      </c>
      <c r="X29" s="79">
        <v>1E-8</v>
      </c>
      <c r="Y29" s="79">
        <v>1E-8</v>
      </c>
      <c r="Z29" s="79">
        <v>1E-8</v>
      </c>
      <c r="AA29" s="79">
        <v>1E-8</v>
      </c>
      <c r="AB29" s="79">
        <v>1E-8</v>
      </c>
      <c r="AC29" s="79">
        <v>1E-8</v>
      </c>
      <c r="AD29" s="44"/>
    </row>
    <row r="30" spans="1:30" x14ac:dyDescent="0.35">
      <c r="A30" s="9" t="s">
        <v>611</v>
      </c>
      <c r="B30" s="44"/>
      <c r="C30" s="91" t="s">
        <v>309</v>
      </c>
      <c r="D30" s="79">
        <v>1.0539185576185111</v>
      </c>
      <c r="E30" s="80">
        <v>10.992259173734919</v>
      </c>
      <c r="F30" s="79">
        <v>1E-8</v>
      </c>
      <c r="G30" s="79">
        <v>1E-8</v>
      </c>
      <c r="H30" s="79">
        <v>1E-8</v>
      </c>
      <c r="I30" s="79">
        <v>1E-8</v>
      </c>
      <c r="J30" s="79">
        <v>1E-8</v>
      </c>
      <c r="K30" s="79">
        <v>1E-8</v>
      </c>
      <c r="L30" s="79">
        <v>1E-8</v>
      </c>
      <c r="M30" s="79">
        <v>1E-8</v>
      </c>
      <c r="N30" s="44"/>
      <c r="O30" s="67"/>
      <c r="P30" s="44"/>
      <c r="Q30" s="9" t="s">
        <v>611</v>
      </c>
      <c r="R30" s="44"/>
      <c r="S30" s="91" t="s">
        <v>309</v>
      </c>
      <c r="T30" s="79">
        <v>1.1107443260926829E-2</v>
      </c>
      <c r="U30" s="80">
        <v>0.11584945933351552</v>
      </c>
      <c r="V30" s="79">
        <v>1E-8</v>
      </c>
      <c r="W30" s="79">
        <v>1E-8</v>
      </c>
      <c r="X30" s="79">
        <v>1E-8</v>
      </c>
      <c r="Y30" s="79">
        <v>1E-8</v>
      </c>
      <c r="Z30" s="79">
        <v>1E-8</v>
      </c>
      <c r="AA30" s="79">
        <v>1E-8</v>
      </c>
      <c r="AB30" s="79">
        <v>1E-8</v>
      </c>
      <c r="AC30" s="79">
        <v>1E-8</v>
      </c>
      <c r="AD30" s="44"/>
    </row>
    <row r="31" spans="1:30" x14ac:dyDescent="0.35">
      <c r="A31" s="9" t="s">
        <v>612</v>
      </c>
      <c r="B31" s="44"/>
      <c r="C31" s="91" t="s">
        <v>308</v>
      </c>
      <c r="D31" s="79">
        <v>0.32127737473851731</v>
      </c>
      <c r="E31" s="80">
        <v>3.9111616350713474</v>
      </c>
      <c r="F31" s="79">
        <v>1E-8</v>
      </c>
      <c r="G31" s="79">
        <v>1E-8</v>
      </c>
      <c r="H31" s="79">
        <v>1E-8</v>
      </c>
      <c r="I31" s="79">
        <v>1E-8</v>
      </c>
      <c r="J31" s="79">
        <v>1E-8</v>
      </c>
      <c r="K31" s="79">
        <v>1E-8</v>
      </c>
      <c r="L31" s="79">
        <v>1E-8</v>
      </c>
      <c r="M31" s="79">
        <v>1E-8</v>
      </c>
      <c r="N31" s="44"/>
      <c r="O31" s="67"/>
      <c r="P31" s="44"/>
      <c r="Q31" s="9" t="s">
        <v>612</v>
      </c>
      <c r="R31" s="44"/>
      <c r="S31" s="91" t="s">
        <v>308</v>
      </c>
      <c r="T31" s="79">
        <v>1.0321915151887367E-3</v>
      </c>
      <c r="U31" s="80">
        <v>1.2565677422937294E-2</v>
      </c>
      <c r="V31" s="79">
        <v>1E-8</v>
      </c>
      <c r="W31" s="79">
        <v>1E-8</v>
      </c>
      <c r="X31" s="79">
        <v>1E-8</v>
      </c>
      <c r="Y31" s="79">
        <v>1E-8</v>
      </c>
      <c r="Z31" s="79">
        <v>1E-8</v>
      </c>
      <c r="AA31" s="79">
        <v>1E-8</v>
      </c>
      <c r="AB31" s="79">
        <v>1E-8</v>
      </c>
      <c r="AC31" s="79">
        <v>1E-8</v>
      </c>
      <c r="AD31" s="44"/>
    </row>
    <row r="32" spans="1:30" x14ac:dyDescent="0.35">
      <c r="A32" s="9" t="s">
        <v>613</v>
      </c>
      <c r="B32" s="44"/>
      <c r="C32" s="91" t="s">
        <v>306</v>
      </c>
      <c r="D32" s="79">
        <v>5.4992357681657077E-2</v>
      </c>
      <c r="E32" s="80">
        <v>-1.8283296261333959</v>
      </c>
      <c r="F32" s="79">
        <v>1E-8</v>
      </c>
      <c r="G32" s="79">
        <v>1E-8</v>
      </c>
      <c r="H32" s="79">
        <v>1E-8</v>
      </c>
      <c r="I32" s="79">
        <v>1E-8</v>
      </c>
      <c r="J32" s="79">
        <v>1E-8</v>
      </c>
      <c r="K32" s="79">
        <v>1E-8</v>
      </c>
      <c r="L32" s="79">
        <v>1E-8</v>
      </c>
      <c r="M32" s="79">
        <v>1E-8</v>
      </c>
      <c r="N32" s="44"/>
      <c r="O32" s="67"/>
      <c r="P32" s="44"/>
      <c r="Q32" s="9" t="s">
        <v>613</v>
      </c>
      <c r="R32" s="44"/>
      <c r="S32" s="91" t="s">
        <v>306</v>
      </c>
      <c r="T32" s="79">
        <v>3.024159403387308E-5</v>
      </c>
      <c r="U32" s="80">
        <v>-1.0054415676029806E-3</v>
      </c>
      <c r="V32" s="79">
        <v>1E-8</v>
      </c>
      <c r="W32" s="79">
        <v>1E-8</v>
      </c>
      <c r="X32" s="79">
        <v>1E-8</v>
      </c>
      <c r="Y32" s="79">
        <v>1E-8</v>
      </c>
      <c r="Z32" s="79">
        <v>1E-8</v>
      </c>
      <c r="AA32" s="79">
        <v>1E-8</v>
      </c>
      <c r="AB32" s="79">
        <v>1E-8</v>
      </c>
      <c r="AC32" s="79">
        <v>1E-8</v>
      </c>
      <c r="AD32" s="44"/>
    </row>
    <row r="33" spans="1:30" x14ac:dyDescent="0.35">
      <c r="A33" s="9" t="s">
        <v>614</v>
      </c>
      <c r="B33" s="44"/>
      <c r="C33" s="91" t="s">
        <v>305</v>
      </c>
      <c r="D33" s="79">
        <v>0.1017804793898226</v>
      </c>
      <c r="E33" s="80">
        <v>-7.8367842805526777E-2</v>
      </c>
      <c r="F33" s="79">
        <v>1E-8</v>
      </c>
      <c r="G33" s="79">
        <v>1E-8</v>
      </c>
      <c r="H33" s="79">
        <v>1E-8</v>
      </c>
      <c r="I33" s="79">
        <v>1E-8</v>
      </c>
      <c r="J33" s="79">
        <v>1E-8</v>
      </c>
      <c r="K33" s="79">
        <v>1E-8</v>
      </c>
      <c r="L33" s="79">
        <v>1E-8</v>
      </c>
      <c r="M33" s="79">
        <v>1E-8</v>
      </c>
      <c r="N33" s="44"/>
      <c r="O33" s="67"/>
      <c r="P33" s="44"/>
      <c r="Q33" s="9" t="s">
        <v>614</v>
      </c>
      <c r="R33" s="44"/>
      <c r="S33" s="91" t="s">
        <v>305</v>
      </c>
      <c r="T33" s="79">
        <v>1.0359265984822103E-4</v>
      </c>
      <c r="U33" s="80">
        <v>-7.9763166094927758E-5</v>
      </c>
      <c r="V33" s="79">
        <v>1E-8</v>
      </c>
      <c r="W33" s="79">
        <v>1E-8</v>
      </c>
      <c r="X33" s="79">
        <v>1E-8</v>
      </c>
      <c r="Y33" s="79">
        <v>1E-8</v>
      </c>
      <c r="Z33" s="79">
        <v>1E-8</v>
      </c>
      <c r="AA33" s="79">
        <v>1E-8</v>
      </c>
      <c r="AB33" s="79">
        <v>1E-8</v>
      </c>
      <c r="AC33" s="79">
        <v>1E-8</v>
      </c>
      <c r="AD33" s="44"/>
    </row>
    <row r="34" spans="1:30" x14ac:dyDescent="0.35">
      <c r="A34" s="9" t="s">
        <v>615</v>
      </c>
      <c r="B34" s="44"/>
      <c r="C34" s="91" t="s">
        <v>539</v>
      </c>
      <c r="D34" s="79">
        <v>7.3420002673160817E-2</v>
      </c>
      <c r="E34" s="80">
        <v>13.146154077757167</v>
      </c>
      <c r="F34" s="79">
        <v>1E-8</v>
      </c>
      <c r="G34" s="79">
        <v>1E-8</v>
      </c>
      <c r="H34" s="79">
        <v>1E-8</v>
      </c>
      <c r="I34" s="79">
        <v>1E-8</v>
      </c>
      <c r="J34" s="79">
        <v>1E-8</v>
      </c>
      <c r="K34" s="79">
        <v>1E-8</v>
      </c>
      <c r="L34" s="79">
        <v>1E-8</v>
      </c>
      <c r="M34" s="79">
        <v>1E-8</v>
      </c>
      <c r="N34" s="44"/>
      <c r="O34" s="67"/>
      <c r="P34" s="44"/>
      <c r="Q34" s="9" t="s">
        <v>615</v>
      </c>
      <c r="R34" s="44"/>
      <c r="S34" s="91" t="s">
        <v>539</v>
      </c>
      <c r="T34" s="79">
        <v>5.3904967925269419E-5</v>
      </c>
      <c r="U34" s="80">
        <v>9.6519066753071522E-3</v>
      </c>
      <c r="V34" s="79">
        <v>1E-8</v>
      </c>
      <c r="W34" s="79">
        <v>1E-8</v>
      </c>
      <c r="X34" s="79">
        <v>1E-8</v>
      </c>
      <c r="Y34" s="79">
        <v>1E-8</v>
      </c>
      <c r="Z34" s="79">
        <v>1E-8</v>
      </c>
      <c r="AA34" s="79">
        <v>1E-8</v>
      </c>
      <c r="AB34" s="79">
        <v>1E-8</v>
      </c>
      <c r="AC34" s="79">
        <v>1E-8</v>
      </c>
      <c r="AD34" s="44"/>
    </row>
    <row r="35" spans="1:30" x14ac:dyDescent="0.35">
      <c r="A35" s="9" t="s">
        <v>616</v>
      </c>
      <c r="B35" s="44"/>
      <c r="C35" s="91" t="s">
        <v>310</v>
      </c>
      <c r="D35" s="81">
        <v>0.39784584580706056</v>
      </c>
      <c r="E35" s="82">
        <v>2.6018589357753807</v>
      </c>
      <c r="F35" s="81">
        <v>1E-8</v>
      </c>
      <c r="G35" s="81">
        <v>1E-8</v>
      </c>
      <c r="H35" s="81">
        <v>1E-8</v>
      </c>
      <c r="I35" s="81">
        <v>1E-8</v>
      </c>
      <c r="J35" s="81">
        <v>1E-8</v>
      </c>
      <c r="K35" s="81">
        <v>1E-8</v>
      </c>
      <c r="L35" s="81">
        <v>1E-8</v>
      </c>
      <c r="M35" s="81">
        <v>1E-8</v>
      </c>
      <c r="N35" s="44"/>
      <c r="O35" s="67"/>
      <c r="P35" s="44"/>
      <c r="Q35" s="9" t="s">
        <v>616</v>
      </c>
      <c r="R35" s="44"/>
      <c r="S35" s="91" t="s">
        <v>310</v>
      </c>
      <c r="T35" s="81">
        <v>1.5828131702593541E-3</v>
      </c>
      <c r="U35" s="82">
        <v>1.0351387689742149E-2</v>
      </c>
      <c r="V35" s="81">
        <v>1E-8</v>
      </c>
      <c r="W35" s="81">
        <v>1E-8</v>
      </c>
      <c r="X35" s="81">
        <v>1E-8</v>
      </c>
      <c r="Y35" s="81">
        <v>1E-8</v>
      </c>
      <c r="Z35" s="81">
        <v>1E-8</v>
      </c>
      <c r="AA35" s="81">
        <v>1E-8</v>
      </c>
      <c r="AB35" s="81">
        <v>1E-8</v>
      </c>
      <c r="AC35" s="81">
        <v>1E-8</v>
      </c>
      <c r="AD35" s="44"/>
    </row>
    <row r="36" spans="1:30" x14ac:dyDescent="0.35">
      <c r="A36" s="11" t="s">
        <v>280</v>
      </c>
      <c r="B36" s="44"/>
      <c r="C36" s="90" t="s">
        <v>311</v>
      </c>
      <c r="D36" s="77">
        <v>2.5802466894661551</v>
      </c>
      <c r="E36" s="78">
        <v>-0.50763980528214514</v>
      </c>
      <c r="F36" s="77">
        <v>1E-8</v>
      </c>
      <c r="G36" s="77">
        <v>1E-8</v>
      </c>
      <c r="H36" s="77">
        <v>1E-8</v>
      </c>
      <c r="I36" s="77">
        <v>1E-8</v>
      </c>
      <c r="J36" s="77">
        <v>1E-8</v>
      </c>
      <c r="K36" s="77">
        <v>1E-8</v>
      </c>
      <c r="L36" s="77">
        <v>1E-8</v>
      </c>
      <c r="M36" s="77">
        <v>1E-8</v>
      </c>
      <c r="N36" s="44"/>
      <c r="O36" s="67"/>
      <c r="P36" s="44"/>
      <c r="Q36" s="11" t="s">
        <v>280</v>
      </c>
      <c r="R36" s="44"/>
      <c r="S36" s="90" t="s">
        <v>311</v>
      </c>
      <c r="T36" s="77">
        <v>6.657672978501053E-2</v>
      </c>
      <c r="U36" s="78">
        <v>-1.3098359270204987E-2</v>
      </c>
      <c r="V36" s="77">
        <v>1E-8</v>
      </c>
      <c r="W36" s="77">
        <v>1E-8</v>
      </c>
      <c r="X36" s="77">
        <v>1E-8</v>
      </c>
      <c r="Y36" s="77">
        <v>1E-8</v>
      </c>
      <c r="Z36" s="77">
        <v>1E-8</v>
      </c>
      <c r="AA36" s="77">
        <v>1E-8</v>
      </c>
      <c r="AB36" s="77">
        <v>1E-8</v>
      </c>
      <c r="AC36" s="77">
        <v>1E-8</v>
      </c>
      <c r="AD36" s="44"/>
    </row>
    <row r="37" spans="1:30" x14ac:dyDescent="0.35">
      <c r="A37" s="9" t="s">
        <v>617</v>
      </c>
      <c r="B37" s="44"/>
      <c r="C37" s="91" t="s">
        <v>312</v>
      </c>
      <c r="D37" s="79">
        <v>1.1489274175749702</v>
      </c>
      <c r="E37" s="80">
        <v>-0.85391049355122428</v>
      </c>
      <c r="F37" s="79">
        <v>1E-8</v>
      </c>
      <c r="G37" s="79">
        <v>1E-8</v>
      </c>
      <c r="H37" s="79">
        <v>1E-8</v>
      </c>
      <c r="I37" s="79">
        <v>1E-8</v>
      </c>
      <c r="J37" s="79">
        <v>1E-8</v>
      </c>
      <c r="K37" s="79">
        <v>1E-8</v>
      </c>
      <c r="L37" s="79">
        <v>1E-8</v>
      </c>
      <c r="M37" s="79">
        <v>1E-8</v>
      </c>
      <c r="N37" s="44"/>
      <c r="O37" s="67"/>
      <c r="P37" s="44"/>
      <c r="Q37" s="9" t="s">
        <v>617</v>
      </c>
      <c r="R37" s="44"/>
      <c r="S37" s="91" t="s">
        <v>312</v>
      </c>
      <c r="T37" s="79">
        <v>1.32003421085549E-2</v>
      </c>
      <c r="U37" s="80">
        <v>-9.8108117819597634E-3</v>
      </c>
      <c r="V37" s="79">
        <v>1E-8</v>
      </c>
      <c r="W37" s="79">
        <v>1E-8</v>
      </c>
      <c r="X37" s="79">
        <v>1E-8</v>
      </c>
      <c r="Y37" s="79">
        <v>1E-8</v>
      </c>
      <c r="Z37" s="79">
        <v>1E-8</v>
      </c>
      <c r="AA37" s="79">
        <v>1E-8</v>
      </c>
      <c r="AB37" s="79">
        <v>1E-8</v>
      </c>
      <c r="AC37" s="79">
        <v>1E-8</v>
      </c>
      <c r="AD37" s="44"/>
    </row>
    <row r="38" spans="1:30" x14ac:dyDescent="0.35">
      <c r="A38" s="9" t="s">
        <v>618</v>
      </c>
      <c r="B38" s="44"/>
      <c r="C38" s="91" t="s">
        <v>316</v>
      </c>
      <c r="D38" s="79">
        <v>0.47819724096668303</v>
      </c>
      <c r="E38" s="80">
        <v>-1.8977664143803752</v>
      </c>
      <c r="F38" s="79">
        <v>1E-8</v>
      </c>
      <c r="G38" s="79">
        <v>1E-8</v>
      </c>
      <c r="H38" s="79">
        <v>1E-8</v>
      </c>
      <c r="I38" s="79">
        <v>1E-8</v>
      </c>
      <c r="J38" s="79">
        <v>1E-8</v>
      </c>
      <c r="K38" s="79">
        <v>1E-8</v>
      </c>
      <c r="L38" s="79">
        <v>1E-8</v>
      </c>
      <c r="M38" s="79">
        <v>1E-8</v>
      </c>
      <c r="N38" s="44"/>
      <c r="O38" s="67"/>
      <c r="P38" s="44"/>
      <c r="Q38" s="9" t="s">
        <v>618</v>
      </c>
      <c r="R38" s="44"/>
      <c r="S38" s="91" t="s">
        <v>316</v>
      </c>
      <c r="T38" s="79">
        <v>2.2867260126814793E-3</v>
      </c>
      <c r="U38" s="80">
        <v>-9.0750666335593037E-3</v>
      </c>
      <c r="V38" s="79">
        <v>1E-8</v>
      </c>
      <c r="W38" s="79">
        <v>1E-8</v>
      </c>
      <c r="X38" s="79">
        <v>1E-8</v>
      </c>
      <c r="Y38" s="79">
        <v>1E-8</v>
      </c>
      <c r="Z38" s="79">
        <v>1E-8</v>
      </c>
      <c r="AA38" s="79">
        <v>1E-8</v>
      </c>
      <c r="AB38" s="79">
        <v>1E-8</v>
      </c>
      <c r="AC38" s="79">
        <v>1E-8</v>
      </c>
      <c r="AD38" s="44"/>
    </row>
    <row r="39" spans="1:30" x14ac:dyDescent="0.35">
      <c r="A39" s="9" t="s">
        <v>619</v>
      </c>
      <c r="B39" s="44"/>
      <c r="C39" s="91" t="s">
        <v>314</v>
      </c>
      <c r="D39" s="79">
        <v>0.17596925572055608</v>
      </c>
      <c r="E39" s="80">
        <v>1.3328725448501277</v>
      </c>
      <c r="F39" s="79">
        <v>1E-8</v>
      </c>
      <c r="G39" s="79">
        <v>1E-8</v>
      </c>
      <c r="H39" s="79">
        <v>1E-8</v>
      </c>
      <c r="I39" s="79">
        <v>1E-8</v>
      </c>
      <c r="J39" s="79">
        <v>1E-8</v>
      </c>
      <c r="K39" s="79">
        <v>1E-8</v>
      </c>
      <c r="L39" s="79">
        <v>1E-8</v>
      </c>
      <c r="M39" s="79">
        <v>1E-8</v>
      </c>
      <c r="N39" s="44"/>
      <c r="O39" s="67"/>
      <c r="P39" s="44"/>
      <c r="Q39" s="9" t="s">
        <v>619</v>
      </c>
      <c r="R39" s="44"/>
      <c r="S39" s="91" t="s">
        <v>314</v>
      </c>
      <c r="T39" s="79">
        <v>3.0965178958846458E-4</v>
      </c>
      <c r="U39" s="80">
        <v>2.3454458968764046E-3</v>
      </c>
      <c r="V39" s="79">
        <v>1E-8</v>
      </c>
      <c r="W39" s="79">
        <v>1E-8</v>
      </c>
      <c r="X39" s="79">
        <v>1E-8</v>
      </c>
      <c r="Y39" s="79">
        <v>1E-8</v>
      </c>
      <c r="Z39" s="79">
        <v>1E-8</v>
      </c>
      <c r="AA39" s="79">
        <v>1E-8</v>
      </c>
      <c r="AB39" s="79">
        <v>1E-8</v>
      </c>
      <c r="AC39" s="79">
        <v>1E-8</v>
      </c>
      <c r="AD39" s="44"/>
    </row>
    <row r="40" spans="1:30" x14ac:dyDescent="0.35">
      <c r="A40" s="9" t="s">
        <v>620</v>
      </c>
      <c r="B40" s="44"/>
      <c r="C40" s="91" t="s">
        <v>317</v>
      </c>
      <c r="D40" s="79">
        <v>3.1532713814970748E-2</v>
      </c>
      <c r="E40" s="80">
        <v>3.329341163771371E-2</v>
      </c>
      <c r="F40" s="79">
        <v>1E-8</v>
      </c>
      <c r="G40" s="79">
        <v>1E-8</v>
      </c>
      <c r="H40" s="79">
        <v>1E-8</v>
      </c>
      <c r="I40" s="79">
        <v>1E-8</v>
      </c>
      <c r="J40" s="79">
        <v>1E-8</v>
      </c>
      <c r="K40" s="79">
        <v>1E-8</v>
      </c>
      <c r="L40" s="79">
        <v>1E-8</v>
      </c>
      <c r="M40" s="79">
        <v>1E-8</v>
      </c>
      <c r="N40" s="44"/>
      <c r="O40" s="67"/>
      <c r="P40" s="44"/>
      <c r="Q40" s="9" t="s">
        <v>620</v>
      </c>
      <c r="R40" s="44"/>
      <c r="S40" s="91" t="s">
        <v>317</v>
      </c>
      <c r="T40" s="79">
        <v>9.943120405368472E-6</v>
      </c>
      <c r="U40" s="80">
        <v>1.0498316210960431E-5</v>
      </c>
      <c r="V40" s="79">
        <v>1E-8</v>
      </c>
      <c r="W40" s="79">
        <v>1E-8</v>
      </c>
      <c r="X40" s="79">
        <v>1E-8</v>
      </c>
      <c r="Y40" s="79">
        <v>1E-8</v>
      </c>
      <c r="Z40" s="79">
        <v>1E-8</v>
      </c>
      <c r="AA40" s="79">
        <v>1E-8</v>
      </c>
      <c r="AB40" s="79">
        <v>1E-8</v>
      </c>
      <c r="AC40" s="79">
        <v>1E-8</v>
      </c>
      <c r="AD40" s="44"/>
    </row>
    <row r="41" spans="1:30" x14ac:dyDescent="0.35">
      <c r="A41" s="9" t="s">
        <v>621</v>
      </c>
      <c r="B41" s="44"/>
      <c r="C41" s="91" t="s">
        <v>313</v>
      </c>
      <c r="D41" s="79">
        <v>0.47614135976759547</v>
      </c>
      <c r="E41" s="80">
        <v>0.10792517291267067</v>
      </c>
      <c r="F41" s="79">
        <v>1E-8</v>
      </c>
      <c r="G41" s="79">
        <v>1E-8</v>
      </c>
      <c r="H41" s="79">
        <v>1E-8</v>
      </c>
      <c r="I41" s="79">
        <v>1E-8</v>
      </c>
      <c r="J41" s="79">
        <v>1E-8</v>
      </c>
      <c r="K41" s="79">
        <v>1E-8</v>
      </c>
      <c r="L41" s="79">
        <v>1E-8</v>
      </c>
      <c r="M41" s="79">
        <v>1E-8</v>
      </c>
      <c r="N41" s="44"/>
      <c r="O41" s="67"/>
      <c r="P41" s="44"/>
      <c r="Q41" s="9" t="s">
        <v>621</v>
      </c>
      <c r="R41" s="44"/>
      <c r="S41" s="91" t="s">
        <v>313</v>
      </c>
      <c r="T41" s="79">
        <v>2.2671059448133479E-3</v>
      </c>
      <c r="U41" s="80">
        <v>5.1387638583791882E-4</v>
      </c>
      <c r="V41" s="79">
        <v>1E-8</v>
      </c>
      <c r="W41" s="79">
        <v>1E-8</v>
      </c>
      <c r="X41" s="79">
        <v>1E-8</v>
      </c>
      <c r="Y41" s="79">
        <v>1E-8</v>
      </c>
      <c r="Z41" s="79">
        <v>1E-8</v>
      </c>
      <c r="AA41" s="79">
        <v>1E-8</v>
      </c>
      <c r="AB41" s="79">
        <v>1E-8</v>
      </c>
      <c r="AC41" s="79">
        <v>1E-8</v>
      </c>
      <c r="AD41" s="44"/>
    </row>
    <row r="42" spans="1:30" x14ac:dyDescent="0.35">
      <c r="A42" s="9" t="s">
        <v>622</v>
      </c>
      <c r="B42" s="44"/>
      <c r="C42" s="91" t="s">
        <v>315</v>
      </c>
      <c r="D42" s="79">
        <v>0.21082224434990585</v>
      </c>
      <c r="E42" s="80">
        <v>0.59451053328294368</v>
      </c>
      <c r="F42" s="79">
        <v>1E-8</v>
      </c>
      <c r="G42" s="79">
        <v>1E-8</v>
      </c>
      <c r="H42" s="79">
        <v>1E-8</v>
      </c>
      <c r="I42" s="79">
        <v>1E-8</v>
      </c>
      <c r="J42" s="79">
        <v>1E-8</v>
      </c>
      <c r="K42" s="79">
        <v>1E-8</v>
      </c>
      <c r="L42" s="79">
        <v>1E-8</v>
      </c>
      <c r="M42" s="79">
        <v>1E-8</v>
      </c>
      <c r="N42" s="44"/>
      <c r="O42" s="67"/>
      <c r="P42" s="44"/>
      <c r="Q42" s="9" t="s">
        <v>622</v>
      </c>
      <c r="R42" s="44"/>
      <c r="S42" s="91" t="s">
        <v>315</v>
      </c>
      <c r="T42" s="79">
        <v>4.4446018712731412E-4</v>
      </c>
      <c r="U42" s="80">
        <v>1.2533604491636958E-3</v>
      </c>
      <c r="V42" s="79">
        <v>1E-8</v>
      </c>
      <c r="W42" s="79">
        <v>1E-8</v>
      </c>
      <c r="X42" s="79">
        <v>1E-8</v>
      </c>
      <c r="Y42" s="79">
        <v>1E-8</v>
      </c>
      <c r="Z42" s="79">
        <v>1E-8</v>
      </c>
      <c r="AA42" s="79">
        <v>1E-8</v>
      </c>
      <c r="AB42" s="79">
        <v>1E-8</v>
      </c>
      <c r="AC42" s="79">
        <v>1E-8</v>
      </c>
      <c r="AD42" s="44"/>
    </row>
    <row r="43" spans="1:30" x14ac:dyDescent="0.35">
      <c r="A43" s="9" t="s">
        <v>623</v>
      </c>
      <c r="B43" s="44"/>
      <c r="C43" s="91" t="s">
        <v>540</v>
      </c>
      <c r="D43" s="79">
        <v>7.2560172524434828E-3</v>
      </c>
      <c r="E43" s="80">
        <v>0.725539492631877</v>
      </c>
      <c r="F43" s="79">
        <v>1E-8</v>
      </c>
      <c r="G43" s="79">
        <v>1E-8</v>
      </c>
      <c r="H43" s="79">
        <v>1E-8</v>
      </c>
      <c r="I43" s="79">
        <v>1E-8</v>
      </c>
      <c r="J43" s="79">
        <v>1E-8</v>
      </c>
      <c r="K43" s="79">
        <v>1E-8</v>
      </c>
      <c r="L43" s="79">
        <v>1E-8</v>
      </c>
      <c r="M43" s="79">
        <v>1E-8</v>
      </c>
      <c r="N43" s="44"/>
      <c r="O43" s="67"/>
      <c r="P43" s="44"/>
      <c r="Q43" s="9" t="s">
        <v>623</v>
      </c>
      <c r="R43" s="44"/>
      <c r="S43" s="91" t="s">
        <v>540</v>
      </c>
      <c r="T43" s="79">
        <v>1E-8</v>
      </c>
      <c r="U43" s="80">
        <v>5.2645270758659906E-5</v>
      </c>
      <c r="V43" s="79">
        <v>1E-8</v>
      </c>
      <c r="W43" s="79">
        <v>1E-8</v>
      </c>
      <c r="X43" s="79">
        <v>1E-8</v>
      </c>
      <c r="Y43" s="79">
        <v>1E-8</v>
      </c>
      <c r="Z43" s="79">
        <v>1E-8</v>
      </c>
      <c r="AA43" s="79">
        <v>1E-8</v>
      </c>
      <c r="AB43" s="79">
        <v>1E-8</v>
      </c>
      <c r="AC43" s="79">
        <v>1E-8</v>
      </c>
      <c r="AD43" s="44"/>
    </row>
    <row r="44" spans="1:30" x14ac:dyDescent="0.35">
      <c r="A44" s="9" t="s">
        <v>624</v>
      </c>
      <c r="B44" s="44"/>
      <c r="C44" s="91" t="s">
        <v>541</v>
      </c>
      <c r="D44" s="81">
        <v>5.1400440019031227E-2</v>
      </c>
      <c r="E44" s="82">
        <v>3.1355623139972533</v>
      </c>
      <c r="F44" s="81">
        <v>1E-8</v>
      </c>
      <c r="G44" s="81">
        <v>1E-8</v>
      </c>
      <c r="H44" s="81">
        <v>1E-8</v>
      </c>
      <c r="I44" s="81">
        <v>1E-8</v>
      </c>
      <c r="J44" s="81">
        <v>1E-8</v>
      </c>
      <c r="K44" s="81">
        <v>1E-8</v>
      </c>
      <c r="L44" s="81">
        <v>1E-8</v>
      </c>
      <c r="M44" s="81">
        <v>1E-8</v>
      </c>
      <c r="N44" s="44"/>
      <c r="O44" s="67"/>
      <c r="P44" s="44"/>
      <c r="Q44" s="9" t="s">
        <v>624</v>
      </c>
      <c r="R44" s="44"/>
      <c r="S44" s="91" t="s">
        <v>541</v>
      </c>
      <c r="T44" s="81">
        <v>2.6420052341500269E-5</v>
      </c>
      <c r="U44" s="82">
        <v>1.6116928264655059E-3</v>
      </c>
      <c r="V44" s="81">
        <v>1E-8</v>
      </c>
      <c r="W44" s="81">
        <v>1E-8</v>
      </c>
      <c r="X44" s="81">
        <v>1E-8</v>
      </c>
      <c r="Y44" s="81">
        <v>1E-8</v>
      </c>
      <c r="Z44" s="81">
        <v>1E-8</v>
      </c>
      <c r="AA44" s="81">
        <v>1E-8</v>
      </c>
      <c r="AB44" s="81">
        <v>1E-8</v>
      </c>
      <c r="AC44" s="81">
        <v>1E-8</v>
      </c>
      <c r="AD44" s="44"/>
    </row>
    <row r="45" spans="1:30" x14ac:dyDescent="0.35">
      <c r="A45" s="11" t="s">
        <v>281</v>
      </c>
      <c r="B45" s="44"/>
      <c r="C45" s="90" t="s">
        <v>318</v>
      </c>
      <c r="D45" s="77">
        <v>5.7798691418834407</v>
      </c>
      <c r="E45" s="78">
        <v>-0.17900431773927306</v>
      </c>
      <c r="F45" s="77">
        <v>1E-8</v>
      </c>
      <c r="G45" s="77">
        <v>1E-8</v>
      </c>
      <c r="H45" s="77">
        <v>1E-8</v>
      </c>
      <c r="I45" s="77">
        <v>1E-8</v>
      </c>
      <c r="J45" s="77">
        <v>1E-8</v>
      </c>
      <c r="K45" s="77">
        <v>1E-8</v>
      </c>
      <c r="L45" s="77">
        <v>1E-8</v>
      </c>
      <c r="M45" s="77">
        <v>1E-8</v>
      </c>
      <c r="N45" s="44"/>
      <c r="O45" s="67"/>
      <c r="P45" s="44"/>
      <c r="Q45" s="11" t="s">
        <v>281</v>
      </c>
      <c r="R45" s="44"/>
      <c r="S45" s="90" t="s">
        <v>318</v>
      </c>
      <c r="T45" s="77">
        <v>0.33406887297296423</v>
      </c>
      <c r="U45" s="78">
        <v>-1.034621532365123E-2</v>
      </c>
      <c r="V45" s="77">
        <v>1E-8</v>
      </c>
      <c r="W45" s="77">
        <v>1E-8</v>
      </c>
      <c r="X45" s="77">
        <v>1E-8</v>
      </c>
      <c r="Y45" s="77">
        <v>1E-8</v>
      </c>
      <c r="Z45" s="77">
        <v>1E-8</v>
      </c>
      <c r="AA45" s="77">
        <v>1E-8</v>
      </c>
      <c r="AB45" s="77">
        <v>1E-8</v>
      </c>
      <c r="AC45" s="77">
        <v>1E-8</v>
      </c>
      <c r="AD45" s="44"/>
    </row>
    <row r="46" spans="1:30" x14ac:dyDescent="0.35">
      <c r="A46" s="11" t="s">
        <v>135</v>
      </c>
      <c r="B46" s="44"/>
      <c r="C46" s="90" t="s">
        <v>542</v>
      </c>
      <c r="D46" s="77">
        <v>5.3701009695504132</v>
      </c>
      <c r="E46" s="78">
        <v>-0.18045098507628587</v>
      </c>
      <c r="F46" s="77">
        <v>1E-8</v>
      </c>
      <c r="G46" s="77">
        <v>1E-8</v>
      </c>
      <c r="H46" s="77">
        <v>1E-8</v>
      </c>
      <c r="I46" s="77">
        <v>1E-8</v>
      </c>
      <c r="J46" s="77">
        <v>1E-8</v>
      </c>
      <c r="K46" s="77">
        <v>1E-8</v>
      </c>
      <c r="L46" s="77">
        <v>1E-8</v>
      </c>
      <c r="M46" s="77">
        <v>1E-8</v>
      </c>
      <c r="N46" s="44"/>
      <c r="O46" s="67"/>
      <c r="P46" s="44"/>
      <c r="Q46" s="11" t="s">
        <v>135</v>
      </c>
      <c r="R46" s="44"/>
      <c r="S46" s="90" t="s">
        <v>542</v>
      </c>
      <c r="T46" s="77">
        <v>0.28837984423166291</v>
      </c>
      <c r="U46" s="78">
        <v>-9.6904000991448989E-3</v>
      </c>
      <c r="V46" s="77">
        <v>1E-8</v>
      </c>
      <c r="W46" s="77">
        <v>1E-8</v>
      </c>
      <c r="X46" s="77">
        <v>1E-8</v>
      </c>
      <c r="Y46" s="77">
        <v>1E-8</v>
      </c>
      <c r="Z46" s="77">
        <v>1E-8</v>
      </c>
      <c r="AA46" s="77">
        <v>1E-8</v>
      </c>
      <c r="AB46" s="77">
        <v>1E-8</v>
      </c>
      <c r="AC46" s="77">
        <v>1E-8</v>
      </c>
      <c r="AD46" s="44"/>
    </row>
    <row r="47" spans="1:30" x14ac:dyDescent="0.35">
      <c r="A47" s="9" t="s">
        <v>625</v>
      </c>
      <c r="B47" s="44"/>
      <c r="C47" s="91" t="s">
        <v>543</v>
      </c>
      <c r="D47" s="79">
        <v>4.3048529372523001</v>
      </c>
      <c r="E47" s="80">
        <v>-9.0406398801290422E-2</v>
      </c>
      <c r="F47" s="79">
        <v>1E-8</v>
      </c>
      <c r="G47" s="79">
        <v>1E-8</v>
      </c>
      <c r="H47" s="79">
        <v>1E-8</v>
      </c>
      <c r="I47" s="79">
        <v>1E-8</v>
      </c>
      <c r="J47" s="79">
        <v>1E-8</v>
      </c>
      <c r="K47" s="79">
        <v>1E-8</v>
      </c>
      <c r="L47" s="79">
        <v>1E-8</v>
      </c>
      <c r="M47" s="79">
        <v>1E-8</v>
      </c>
      <c r="N47" s="44"/>
      <c r="O47" s="67"/>
      <c r="P47" s="44"/>
      <c r="Q47" s="9" t="s">
        <v>625</v>
      </c>
      <c r="R47" s="44"/>
      <c r="S47" s="91" t="s">
        <v>543</v>
      </c>
      <c r="T47" s="79">
        <v>0.18531758811369756</v>
      </c>
      <c r="U47" s="80">
        <v>-3.891862514261379E-3</v>
      </c>
      <c r="V47" s="79">
        <v>1E-8</v>
      </c>
      <c r="W47" s="79">
        <v>1E-8</v>
      </c>
      <c r="X47" s="79">
        <v>1E-8</v>
      </c>
      <c r="Y47" s="79">
        <v>1E-8</v>
      </c>
      <c r="Z47" s="79">
        <v>1E-8</v>
      </c>
      <c r="AA47" s="79">
        <v>1E-8</v>
      </c>
      <c r="AB47" s="79">
        <v>1E-8</v>
      </c>
      <c r="AC47" s="79">
        <v>1E-8</v>
      </c>
      <c r="AD47" s="44"/>
    </row>
    <row r="48" spans="1:30" x14ac:dyDescent="0.35">
      <c r="A48" s="9" t="s">
        <v>626</v>
      </c>
      <c r="B48" s="44"/>
      <c r="C48" s="91" t="s">
        <v>544</v>
      </c>
      <c r="D48" s="79">
        <v>0.818659015446498</v>
      </c>
      <c r="E48" s="80">
        <v>-0.35707854593310939</v>
      </c>
      <c r="F48" s="79">
        <v>1E-8</v>
      </c>
      <c r="G48" s="79">
        <v>1E-8</v>
      </c>
      <c r="H48" s="79">
        <v>1E-8</v>
      </c>
      <c r="I48" s="79">
        <v>1E-8</v>
      </c>
      <c r="J48" s="79">
        <v>1E-8</v>
      </c>
      <c r="K48" s="79">
        <v>1E-8</v>
      </c>
      <c r="L48" s="79">
        <v>1E-8</v>
      </c>
      <c r="M48" s="79">
        <v>1E-8</v>
      </c>
      <c r="N48" s="44"/>
      <c r="O48" s="67"/>
      <c r="P48" s="44"/>
      <c r="Q48" s="9" t="s">
        <v>626</v>
      </c>
      <c r="R48" s="44"/>
      <c r="S48" s="91" t="s">
        <v>544</v>
      </c>
      <c r="T48" s="79">
        <v>6.7020258357182944E-3</v>
      </c>
      <c r="U48" s="80">
        <v>-2.9232557085066644E-3</v>
      </c>
      <c r="V48" s="79">
        <v>1E-8</v>
      </c>
      <c r="W48" s="79">
        <v>1E-8</v>
      </c>
      <c r="X48" s="79">
        <v>1E-8</v>
      </c>
      <c r="Y48" s="79">
        <v>1E-8</v>
      </c>
      <c r="Z48" s="79">
        <v>1E-8</v>
      </c>
      <c r="AA48" s="79">
        <v>1E-8</v>
      </c>
      <c r="AB48" s="79">
        <v>1E-8</v>
      </c>
      <c r="AC48" s="79">
        <v>1E-8</v>
      </c>
      <c r="AD48" s="44"/>
    </row>
    <row r="49" spans="1:30" x14ac:dyDescent="0.35">
      <c r="A49" s="9" t="s">
        <v>627</v>
      </c>
      <c r="B49" s="44"/>
      <c r="C49" s="91" t="s">
        <v>319</v>
      </c>
      <c r="D49" s="79">
        <v>0.24658901685161499</v>
      </c>
      <c r="E49" s="80">
        <v>-1.1660218744079631</v>
      </c>
      <c r="F49" s="79">
        <v>1E-8</v>
      </c>
      <c r="G49" s="79">
        <v>1E-8</v>
      </c>
      <c r="H49" s="79">
        <v>1E-8</v>
      </c>
      <c r="I49" s="79">
        <v>1E-8</v>
      </c>
      <c r="J49" s="79">
        <v>1E-8</v>
      </c>
      <c r="K49" s="79">
        <v>1E-8</v>
      </c>
      <c r="L49" s="79">
        <v>1E-8</v>
      </c>
      <c r="M49" s="79">
        <v>1E-8</v>
      </c>
      <c r="N49" s="44"/>
      <c r="O49" s="67"/>
      <c r="P49" s="44"/>
      <c r="Q49" s="9" t="s">
        <v>627</v>
      </c>
      <c r="R49" s="44"/>
      <c r="S49" s="91" t="s">
        <v>319</v>
      </c>
      <c r="T49" s="79">
        <v>6.0806143231846067E-4</v>
      </c>
      <c r="U49" s="80">
        <v>-2.875281876377369E-3</v>
      </c>
      <c r="V49" s="79">
        <v>1E-8</v>
      </c>
      <c r="W49" s="79">
        <v>1E-8</v>
      </c>
      <c r="X49" s="79">
        <v>1E-8</v>
      </c>
      <c r="Y49" s="79">
        <v>1E-8</v>
      </c>
      <c r="Z49" s="79">
        <v>1E-8</v>
      </c>
      <c r="AA49" s="79">
        <v>1E-8</v>
      </c>
      <c r="AB49" s="79">
        <v>1E-8</v>
      </c>
      <c r="AC49" s="79">
        <v>1E-8</v>
      </c>
      <c r="AD49" s="44"/>
    </row>
    <row r="50" spans="1:30" x14ac:dyDescent="0.35">
      <c r="A50" s="71" t="s">
        <v>628</v>
      </c>
      <c r="B50" s="53"/>
      <c r="C50" s="92" t="s">
        <v>320</v>
      </c>
      <c r="D50" s="83">
        <v>0.40976817233302737</v>
      </c>
      <c r="E50" s="84">
        <v>-0.16004542782629416</v>
      </c>
      <c r="F50" s="83">
        <v>1E-8</v>
      </c>
      <c r="G50" s="83">
        <v>1E-8</v>
      </c>
      <c r="H50" s="83">
        <v>1E-8</v>
      </c>
      <c r="I50" s="83">
        <v>1E-8</v>
      </c>
      <c r="J50" s="83">
        <v>1E-8</v>
      </c>
      <c r="K50" s="83">
        <v>1E-8</v>
      </c>
      <c r="L50" s="83">
        <v>1E-8</v>
      </c>
      <c r="M50" s="83">
        <v>1E-8</v>
      </c>
      <c r="N50" s="44"/>
      <c r="O50" s="67"/>
      <c r="P50" s="44"/>
      <c r="Q50" s="71" t="s">
        <v>628</v>
      </c>
      <c r="R50" s="53"/>
      <c r="S50" s="92" t="s">
        <v>320</v>
      </c>
      <c r="T50" s="83">
        <v>1.6790995505714962E-3</v>
      </c>
      <c r="U50" s="84">
        <v>-6.5581522450637998E-4</v>
      </c>
      <c r="V50" s="83">
        <v>1E-8</v>
      </c>
      <c r="W50" s="83">
        <v>1E-8</v>
      </c>
      <c r="X50" s="83">
        <v>1E-8</v>
      </c>
      <c r="Y50" s="83">
        <v>1E-8</v>
      </c>
      <c r="Z50" s="83">
        <v>1E-8</v>
      </c>
      <c r="AA50" s="83">
        <v>1E-8</v>
      </c>
      <c r="AB50" s="83">
        <v>1E-8</v>
      </c>
      <c r="AC50" s="83">
        <v>1E-8</v>
      </c>
      <c r="AD50" s="44"/>
    </row>
    <row r="51" spans="1:30" x14ac:dyDescent="0.35">
      <c r="A51" s="10" t="s">
        <v>282</v>
      </c>
      <c r="B51" s="44"/>
      <c r="C51" s="89" t="s">
        <v>321</v>
      </c>
      <c r="D51" s="73">
        <v>71.20359588127981</v>
      </c>
      <c r="E51" s="74">
        <v>-7.1490386882966384E-2</v>
      </c>
      <c r="F51" s="73">
        <v>1E-8</v>
      </c>
      <c r="G51" s="73">
        <v>1E-8</v>
      </c>
      <c r="H51" s="73">
        <v>1E-8</v>
      </c>
      <c r="I51" s="73">
        <v>1E-8</v>
      </c>
      <c r="J51" s="73">
        <v>1E-8</v>
      </c>
      <c r="K51" s="73">
        <v>1E-8</v>
      </c>
      <c r="L51" s="73">
        <v>1E-8</v>
      </c>
      <c r="M51" s="73">
        <v>1E-8</v>
      </c>
      <c r="N51" s="44"/>
      <c r="O51" s="67"/>
      <c r="P51" s="44"/>
      <c r="Q51" s="10" t="s">
        <v>282</v>
      </c>
      <c r="R51" s="44"/>
      <c r="S51" s="89" t="s">
        <v>321</v>
      </c>
      <c r="T51" s="73">
        <v>50.699520664246073</v>
      </c>
      <c r="U51" s="74">
        <v>-5.0903726170110852E-2</v>
      </c>
      <c r="V51" s="73">
        <v>1E-8</v>
      </c>
      <c r="W51" s="73">
        <v>1E-8</v>
      </c>
      <c r="X51" s="73">
        <v>1E-8</v>
      </c>
      <c r="Y51" s="73">
        <v>1E-8</v>
      </c>
      <c r="Z51" s="73">
        <v>1E-8</v>
      </c>
      <c r="AA51" s="73">
        <v>1E-8</v>
      </c>
      <c r="AB51" s="73">
        <v>1E-8</v>
      </c>
      <c r="AC51" s="73">
        <v>1E-8</v>
      </c>
      <c r="AD51" s="44"/>
    </row>
    <row r="52" spans="1:30" x14ac:dyDescent="0.35">
      <c r="A52" s="10" t="s">
        <v>283</v>
      </c>
      <c r="B52" s="44"/>
      <c r="C52" s="89" t="s">
        <v>322</v>
      </c>
      <c r="D52" s="73">
        <v>18.873148647598413</v>
      </c>
      <c r="E52" s="74">
        <v>-1.0822823273026749E-2</v>
      </c>
      <c r="F52" s="73">
        <v>1E-8</v>
      </c>
      <c r="G52" s="73">
        <v>1E-8</v>
      </c>
      <c r="H52" s="73">
        <v>1E-8</v>
      </c>
      <c r="I52" s="73">
        <v>1E-8</v>
      </c>
      <c r="J52" s="73">
        <v>1E-8</v>
      </c>
      <c r="K52" s="73">
        <v>1E-8</v>
      </c>
      <c r="L52" s="73">
        <v>1E-8</v>
      </c>
      <c r="M52" s="73">
        <v>1E-8</v>
      </c>
      <c r="N52" s="44"/>
      <c r="O52" s="67"/>
      <c r="P52" s="44"/>
      <c r="Q52" s="10" t="s">
        <v>283</v>
      </c>
      <c r="R52" s="44"/>
      <c r="S52" s="89" t="s">
        <v>322</v>
      </c>
      <c r="T52" s="73">
        <v>3.5619573987434583</v>
      </c>
      <c r="U52" s="74">
        <v>-2.0426075241852144E-3</v>
      </c>
      <c r="V52" s="73">
        <v>1E-8</v>
      </c>
      <c r="W52" s="73">
        <v>1E-8</v>
      </c>
      <c r="X52" s="73">
        <v>1E-8</v>
      </c>
      <c r="Y52" s="73">
        <v>1E-8</v>
      </c>
      <c r="Z52" s="73">
        <v>1E-8</v>
      </c>
      <c r="AA52" s="73">
        <v>1E-8</v>
      </c>
      <c r="AB52" s="73">
        <v>1E-8</v>
      </c>
      <c r="AC52" s="73">
        <v>1E-8</v>
      </c>
      <c r="AD52" s="44"/>
    </row>
    <row r="53" spans="1:30" x14ac:dyDescent="0.35">
      <c r="A53" s="11" t="s">
        <v>284</v>
      </c>
      <c r="B53" s="44"/>
      <c r="C53" s="90" t="s">
        <v>323</v>
      </c>
      <c r="D53" s="77">
        <v>2.3412000415468275</v>
      </c>
      <c r="E53" s="78">
        <v>2.7394449499809514</v>
      </c>
      <c r="F53" s="77">
        <v>1E-8</v>
      </c>
      <c r="G53" s="77">
        <v>1E-8</v>
      </c>
      <c r="H53" s="77">
        <v>1E-8</v>
      </c>
      <c r="I53" s="77">
        <v>1E-8</v>
      </c>
      <c r="J53" s="77">
        <v>1E-8</v>
      </c>
      <c r="K53" s="77">
        <v>1E-8</v>
      </c>
      <c r="L53" s="77">
        <v>1E-8</v>
      </c>
      <c r="M53" s="77">
        <v>1E-8</v>
      </c>
      <c r="N53" s="44"/>
      <c r="O53" s="67"/>
      <c r="P53" s="44"/>
      <c r="Q53" s="11" t="s">
        <v>284</v>
      </c>
      <c r="R53" s="44"/>
      <c r="S53" s="90" t="s">
        <v>323</v>
      </c>
      <c r="T53" s="77">
        <v>5.4812176345388673E-2</v>
      </c>
      <c r="U53" s="78">
        <v>6.413588630710651E-2</v>
      </c>
      <c r="V53" s="77">
        <v>1E-8</v>
      </c>
      <c r="W53" s="77">
        <v>1E-8</v>
      </c>
      <c r="X53" s="77">
        <v>1E-8</v>
      </c>
      <c r="Y53" s="77">
        <v>1E-8</v>
      </c>
      <c r="Z53" s="77">
        <v>1E-8</v>
      </c>
      <c r="AA53" s="77">
        <v>1E-8</v>
      </c>
      <c r="AB53" s="77">
        <v>1E-8</v>
      </c>
      <c r="AC53" s="77">
        <v>1E-8</v>
      </c>
      <c r="AD53" s="44"/>
    </row>
    <row r="54" spans="1:30" x14ac:dyDescent="0.35">
      <c r="A54" s="9" t="s">
        <v>629</v>
      </c>
      <c r="B54" s="44"/>
      <c r="C54" s="91" t="s">
        <v>324</v>
      </c>
      <c r="D54" s="79">
        <v>9.837357532274933E-4</v>
      </c>
      <c r="E54" s="80">
        <v>1.4869079716154809</v>
      </c>
      <c r="F54" s="79">
        <v>1E-8</v>
      </c>
      <c r="G54" s="79">
        <v>1E-8</v>
      </c>
      <c r="H54" s="79">
        <v>1E-8</v>
      </c>
      <c r="I54" s="79">
        <v>1E-8</v>
      </c>
      <c r="J54" s="79">
        <v>1E-8</v>
      </c>
      <c r="K54" s="79">
        <v>1E-8</v>
      </c>
      <c r="L54" s="79">
        <v>1E-8</v>
      </c>
      <c r="M54" s="79">
        <v>1E-8</v>
      </c>
      <c r="N54" s="44"/>
      <c r="O54" s="67"/>
      <c r="P54" s="44"/>
      <c r="Q54" s="9" t="s">
        <v>629</v>
      </c>
      <c r="R54" s="44"/>
      <c r="S54" s="91" t="s">
        <v>324</v>
      </c>
      <c r="T54" s="79">
        <v>1E-8</v>
      </c>
      <c r="U54" s="80">
        <v>1.4627245334371195E-5</v>
      </c>
      <c r="V54" s="79">
        <v>1E-8</v>
      </c>
      <c r="W54" s="79">
        <v>1E-8</v>
      </c>
      <c r="X54" s="79">
        <v>1E-8</v>
      </c>
      <c r="Y54" s="79">
        <v>1E-8</v>
      </c>
      <c r="Z54" s="79">
        <v>1E-8</v>
      </c>
      <c r="AA54" s="79">
        <v>1E-8</v>
      </c>
      <c r="AB54" s="79">
        <v>1E-8</v>
      </c>
      <c r="AC54" s="79">
        <v>1E-8</v>
      </c>
      <c r="AD54" s="44"/>
    </row>
    <row r="55" spans="1:30" x14ac:dyDescent="0.35">
      <c r="A55" s="9" t="s">
        <v>630</v>
      </c>
      <c r="B55" s="44"/>
      <c r="C55" s="91" t="s">
        <v>545</v>
      </c>
      <c r="D55" s="79">
        <v>0.97492884017511894</v>
      </c>
      <c r="E55" s="80">
        <v>1.3205531735440257</v>
      </c>
      <c r="F55" s="79">
        <v>1E-8</v>
      </c>
      <c r="G55" s="79">
        <v>1E-8</v>
      </c>
      <c r="H55" s="79">
        <v>1E-8</v>
      </c>
      <c r="I55" s="79">
        <v>1E-8</v>
      </c>
      <c r="J55" s="79">
        <v>1E-8</v>
      </c>
      <c r="K55" s="79">
        <v>1E-8</v>
      </c>
      <c r="L55" s="79">
        <v>1E-8</v>
      </c>
      <c r="M55" s="79">
        <v>1E-8</v>
      </c>
      <c r="N55" s="44"/>
      <c r="O55" s="67"/>
      <c r="P55" s="44"/>
      <c r="Q55" s="9" t="s">
        <v>630</v>
      </c>
      <c r="R55" s="44"/>
      <c r="S55" s="91" t="s">
        <v>545</v>
      </c>
      <c r="T55" s="79">
        <v>9.5048624340520263E-3</v>
      </c>
      <c r="U55" s="80">
        <v>1.2874453738728496E-2</v>
      </c>
      <c r="V55" s="79">
        <v>1E-8</v>
      </c>
      <c r="W55" s="79">
        <v>1E-8</v>
      </c>
      <c r="X55" s="79">
        <v>1E-8</v>
      </c>
      <c r="Y55" s="79">
        <v>1E-8</v>
      </c>
      <c r="Z55" s="79">
        <v>1E-8</v>
      </c>
      <c r="AA55" s="79">
        <v>1E-8</v>
      </c>
      <c r="AB55" s="79">
        <v>1E-8</v>
      </c>
      <c r="AC55" s="79">
        <v>1E-8</v>
      </c>
      <c r="AD55" s="44"/>
    </row>
    <row r="56" spans="1:30" x14ac:dyDescent="0.35">
      <c r="A56" s="9" t="s">
        <v>631</v>
      </c>
      <c r="B56" s="44"/>
      <c r="C56" s="91" t="s">
        <v>325</v>
      </c>
      <c r="D56" s="81">
        <v>1.3652874656184806</v>
      </c>
      <c r="E56" s="82">
        <v>3.7535542230901831</v>
      </c>
      <c r="F56" s="81">
        <v>1E-8</v>
      </c>
      <c r="G56" s="81">
        <v>1E-8</v>
      </c>
      <c r="H56" s="81">
        <v>1E-8</v>
      </c>
      <c r="I56" s="81">
        <v>1E-8</v>
      </c>
      <c r="J56" s="81">
        <v>1E-8</v>
      </c>
      <c r="K56" s="81">
        <v>1E-8</v>
      </c>
      <c r="L56" s="81">
        <v>1E-8</v>
      </c>
      <c r="M56" s="81">
        <v>1E-8</v>
      </c>
      <c r="N56" s="44"/>
      <c r="O56" s="67"/>
      <c r="P56" s="44"/>
      <c r="Q56" s="9" t="s">
        <v>631</v>
      </c>
      <c r="R56" s="44"/>
      <c r="S56" s="91" t="s">
        <v>325</v>
      </c>
      <c r="T56" s="81">
        <v>1.864009863774934E-2</v>
      </c>
      <c r="U56" s="82">
        <v>5.1246805323043411E-2</v>
      </c>
      <c r="V56" s="81">
        <v>1E-8</v>
      </c>
      <c r="W56" s="81">
        <v>1E-8</v>
      </c>
      <c r="X56" s="81">
        <v>1E-8</v>
      </c>
      <c r="Y56" s="81">
        <v>1E-8</v>
      </c>
      <c r="Z56" s="81">
        <v>1E-8</v>
      </c>
      <c r="AA56" s="81">
        <v>1E-8</v>
      </c>
      <c r="AB56" s="81">
        <v>1E-8</v>
      </c>
      <c r="AC56" s="81">
        <v>1E-8</v>
      </c>
      <c r="AD56" s="44"/>
    </row>
    <row r="57" spans="1:30" x14ac:dyDescent="0.35">
      <c r="A57" s="11" t="s">
        <v>285</v>
      </c>
      <c r="B57" s="44"/>
      <c r="C57" s="90" t="s">
        <v>326</v>
      </c>
      <c r="D57" s="77">
        <v>8.380509133465516</v>
      </c>
      <c r="E57" s="78">
        <v>1.1558922193609655</v>
      </c>
      <c r="F57" s="77">
        <v>1E-8</v>
      </c>
      <c r="G57" s="77">
        <v>1E-8</v>
      </c>
      <c r="H57" s="77">
        <v>1E-8</v>
      </c>
      <c r="I57" s="77">
        <v>1E-8</v>
      </c>
      <c r="J57" s="77">
        <v>1E-8</v>
      </c>
      <c r="K57" s="77">
        <v>1E-8</v>
      </c>
      <c r="L57" s="77">
        <v>1E-8</v>
      </c>
      <c r="M57" s="77">
        <v>1E-8</v>
      </c>
      <c r="N57" s="44"/>
      <c r="O57" s="67"/>
      <c r="P57" s="44"/>
      <c r="Q57" s="11" t="s">
        <v>285</v>
      </c>
      <c r="R57" s="44"/>
      <c r="S57" s="90" t="s">
        <v>326</v>
      </c>
      <c r="T57" s="77">
        <v>0.70232933336098935</v>
      </c>
      <c r="U57" s="78">
        <v>9.6869653016562973E-2</v>
      </c>
      <c r="V57" s="77">
        <v>1E-8</v>
      </c>
      <c r="W57" s="77">
        <v>1E-8</v>
      </c>
      <c r="X57" s="77">
        <v>1E-8</v>
      </c>
      <c r="Y57" s="77">
        <v>1E-8</v>
      </c>
      <c r="Z57" s="77">
        <v>1E-8</v>
      </c>
      <c r="AA57" s="77">
        <v>1E-8</v>
      </c>
      <c r="AB57" s="77">
        <v>1E-8</v>
      </c>
      <c r="AC57" s="77">
        <v>1E-8</v>
      </c>
      <c r="AD57" s="44"/>
    </row>
    <row r="58" spans="1:30" x14ac:dyDescent="0.35">
      <c r="A58" s="9" t="s">
        <v>364</v>
      </c>
      <c r="B58" s="44"/>
      <c r="C58" s="91" t="s">
        <v>327</v>
      </c>
      <c r="D58" s="79">
        <v>2.9900710309955771</v>
      </c>
      <c r="E58" s="80">
        <v>1.4956470186887616</v>
      </c>
      <c r="F58" s="79">
        <v>1E-8</v>
      </c>
      <c r="G58" s="79">
        <v>1E-8</v>
      </c>
      <c r="H58" s="79">
        <v>1E-8</v>
      </c>
      <c r="I58" s="79">
        <v>1E-8</v>
      </c>
      <c r="J58" s="79">
        <v>1E-8</v>
      </c>
      <c r="K58" s="79">
        <v>1E-8</v>
      </c>
      <c r="L58" s="79">
        <v>1E-8</v>
      </c>
      <c r="M58" s="79">
        <v>1E-8</v>
      </c>
      <c r="N58" s="44"/>
      <c r="O58" s="67"/>
      <c r="P58" s="44"/>
      <c r="Q58" s="9" t="s">
        <v>364</v>
      </c>
      <c r="R58" s="44"/>
      <c r="S58" s="91" t="s">
        <v>327</v>
      </c>
      <c r="T58" s="79">
        <v>8.940524770398954E-2</v>
      </c>
      <c r="U58" s="80">
        <v>4.4720908231761669E-2</v>
      </c>
      <c r="V58" s="79">
        <v>1E-8</v>
      </c>
      <c r="W58" s="79">
        <v>1E-8</v>
      </c>
      <c r="X58" s="79">
        <v>1E-8</v>
      </c>
      <c r="Y58" s="79">
        <v>1E-8</v>
      </c>
      <c r="Z58" s="79">
        <v>1E-8</v>
      </c>
      <c r="AA58" s="79">
        <v>1E-8</v>
      </c>
      <c r="AB58" s="79">
        <v>1E-8</v>
      </c>
      <c r="AC58" s="79">
        <v>1E-8</v>
      </c>
      <c r="AD58" s="44"/>
    </row>
    <row r="59" spans="1:30" x14ac:dyDescent="0.35">
      <c r="A59" s="70" t="s">
        <v>632</v>
      </c>
      <c r="B59" s="44"/>
      <c r="C59" s="93" t="s">
        <v>328</v>
      </c>
      <c r="D59" s="85">
        <v>0.31337760806782278</v>
      </c>
      <c r="E59" s="86">
        <v>0.11953425243209637</v>
      </c>
      <c r="F59" s="85">
        <v>1E-8</v>
      </c>
      <c r="G59" s="85">
        <v>1E-8</v>
      </c>
      <c r="H59" s="85">
        <v>1E-8</v>
      </c>
      <c r="I59" s="85">
        <v>1E-8</v>
      </c>
      <c r="J59" s="85">
        <v>1E-8</v>
      </c>
      <c r="K59" s="85">
        <v>1E-8</v>
      </c>
      <c r="L59" s="85">
        <v>1E-8</v>
      </c>
      <c r="M59" s="85">
        <v>1E-8</v>
      </c>
      <c r="N59" s="44"/>
      <c r="O59" s="67"/>
      <c r="P59" s="44"/>
      <c r="Q59" s="70" t="s">
        <v>632</v>
      </c>
      <c r="R59" s="44"/>
      <c r="S59" s="93" t="s">
        <v>328</v>
      </c>
      <c r="T59" s="85">
        <v>9.8205525238309957E-4</v>
      </c>
      <c r="U59" s="86">
        <v>3.7459358109345688E-4</v>
      </c>
      <c r="V59" s="85">
        <v>1E-8</v>
      </c>
      <c r="W59" s="85">
        <v>1E-8</v>
      </c>
      <c r="X59" s="85">
        <v>1E-8</v>
      </c>
      <c r="Y59" s="85">
        <v>1E-8</v>
      </c>
      <c r="Z59" s="85">
        <v>1E-8</v>
      </c>
      <c r="AA59" s="85">
        <v>1E-8</v>
      </c>
      <c r="AB59" s="85">
        <v>1E-8</v>
      </c>
      <c r="AC59" s="85">
        <v>1E-8</v>
      </c>
      <c r="AD59" s="44"/>
    </row>
    <row r="60" spans="1:30" x14ac:dyDescent="0.35">
      <c r="A60" s="70" t="s">
        <v>633</v>
      </c>
      <c r="B60" s="44"/>
      <c r="C60" s="93" t="s">
        <v>329</v>
      </c>
      <c r="D60" s="85">
        <v>1E-8</v>
      </c>
      <c r="E60" s="86">
        <v>1E-8</v>
      </c>
      <c r="F60" s="85">
        <v>1E-8</v>
      </c>
      <c r="G60" s="85">
        <v>1E-8</v>
      </c>
      <c r="H60" s="85">
        <v>1E-8</v>
      </c>
      <c r="I60" s="85">
        <v>1E-8</v>
      </c>
      <c r="J60" s="85">
        <v>1E-8</v>
      </c>
      <c r="K60" s="85">
        <v>1E-8</v>
      </c>
      <c r="L60" s="85">
        <v>1E-8</v>
      </c>
      <c r="M60" s="85">
        <v>1E-8</v>
      </c>
      <c r="N60" s="44"/>
      <c r="O60" s="67"/>
      <c r="P60" s="44"/>
      <c r="Q60" s="70" t="s">
        <v>633</v>
      </c>
      <c r="R60" s="44"/>
      <c r="S60" s="93" t="s">
        <v>329</v>
      </c>
      <c r="T60" s="85">
        <v>1E-8</v>
      </c>
      <c r="U60" s="86">
        <v>1E-8</v>
      </c>
      <c r="V60" s="85">
        <v>1E-8</v>
      </c>
      <c r="W60" s="85">
        <v>1E-8</v>
      </c>
      <c r="X60" s="85">
        <v>1E-8</v>
      </c>
      <c r="Y60" s="85">
        <v>1E-8</v>
      </c>
      <c r="Z60" s="85">
        <v>1E-8</v>
      </c>
      <c r="AA60" s="85">
        <v>1E-8</v>
      </c>
      <c r="AB60" s="85">
        <v>1E-8</v>
      </c>
      <c r="AC60" s="85">
        <v>1E-8</v>
      </c>
      <c r="AD60" s="44"/>
    </row>
    <row r="61" spans="1:30" x14ac:dyDescent="0.35">
      <c r="A61" s="70" t="s">
        <v>634</v>
      </c>
      <c r="B61" s="44"/>
      <c r="C61" s="93" t="s">
        <v>331</v>
      </c>
      <c r="D61" s="85">
        <v>8.6472897089543477E-2</v>
      </c>
      <c r="E61" s="86">
        <v>0.84061568760023242</v>
      </c>
      <c r="F61" s="85">
        <v>1E-8</v>
      </c>
      <c r="G61" s="85">
        <v>1E-8</v>
      </c>
      <c r="H61" s="85">
        <v>1E-8</v>
      </c>
      <c r="I61" s="85">
        <v>1E-8</v>
      </c>
      <c r="J61" s="85">
        <v>1E-8</v>
      </c>
      <c r="K61" s="85">
        <v>1E-8</v>
      </c>
      <c r="L61" s="85">
        <v>1E-8</v>
      </c>
      <c r="M61" s="85">
        <v>1E-8</v>
      </c>
      <c r="N61" s="44"/>
      <c r="O61" s="67"/>
      <c r="P61" s="44"/>
      <c r="Q61" s="70" t="s">
        <v>634</v>
      </c>
      <c r="R61" s="44"/>
      <c r="S61" s="93" t="s">
        <v>331</v>
      </c>
      <c r="T61" s="85">
        <v>7.4775619310587759E-5</v>
      </c>
      <c r="U61" s="86">
        <v>7.2690473845710721E-4</v>
      </c>
      <c r="V61" s="85">
        <v>1E-8</v>
      </c>
      <c r="W61" s="85">
        <v>1E-8</v>
      </c>
      <c r="X61" s="85">
        <v>1E-8</v>
      </c>
      <c r="Y61" s="85">
        <v>1E-8</v>
      </c>
      <c r="Z61" s="85">
        <v>1E-8</v>
      </c>
      <c r="AA61" s="85">
        <v>1E-8</v>
      </c>
      <c r="AB61" s="85">
        <v>1E-8</v>
      </c>
      <c r="AC61" s="85">
        <v>1E-8</v>
      </c>
      <c r="AD61" s="44"/>
    </row>
    <row r="62" spans="1:30" x14ac:dyDescent="0.35">
      <c r="A62" s="70" t="s">
        <v>635</v>
      </c>
      <c r="B62" s="44"/>
      <c r="C62" s="93" t="s">
        <v>332</v>
      </c>
      <c r="D62" s="85">
        <v>0.11472821336602625</v>
      </c>
      <c r="E62" s="86">
        <v>4.773356349740987</v>
      </c>
      <c r="F62" s="85">
        <v>1E-8</v>
      </c>
      <c r="G62" s="85">
        <v>1E-8</v>
      </c>
      <c r="H62" s="85">
        <v>1E-8</v>
      </c>
      <c r="I62" s="85">
        <v>1E-8</v>
      </c>
      <c r="J62" s="85">
        <v>1E-8</v>
      </c>
      <c r="K62" s="85">
        <v>1E-8</v>
      </c>
      <c r="L62" s="85">
        <v>1E-8</v>
      </c>
      <c r="M62" s="85">
        <v>1E-8</v>
      </c>
      <c r="N62" s="44"/>
      <c r="O62" s="67"/>
      <c r="P62" s="44"/>
      <c r="Q62" s="70" t="s">
        <v>635</v>
      </c>
      <c r="R62" s="44"/>
      <c r="S62" s="93" t="s">
        <v>332</v>
      </c>
      <c r="T62" s="85">
        <v>1.3162562942160442E-4</v>
      </c>
      <c r="U62" s="86">
        <v>5.4763864576516013E-3</v>
      </c>
      <c r="V62" s="85">
        <v>1E-8</v>
      </c>
      <c r="W62" s="85">
        <v>1E-8</v>
      </c>
      <c r="X62" s="85">
        <v>1E-8</v>
      </c>
      <c r="Y62" s="85">
        <v>1E-8</v>
      </c>
      <c r="Z62" s="85">
        <v>1E-8</v>
      </c>
      <c r="AA62" s="85">
        <v>1E-8</v>
      </c>
      <c r="AB62" s="85">
        <v>1E-8</v>
      </c>
      <c r="AC62" s="85">
        <v>1E-8</v>
      </c>
      <c r="AD62" s="44"/>
    </row>
    <row r="63" spans="1:30" x14ac:dyDescent="0.35">
      <c r="A63" s="70" t="s">
        <v>636</v>
      </c>
      <c r="B63" s="44"/>
      <c r="C63" s="93" t="s">
        <v>330</v>
      </c>
      <c r="D63" s="85">
        <v>6.405273317352396E-2</v>
      </c>
      <c r="E63" s="86">
        <v>0.82602382049663525</v>
      </c>
      <c r="F63" s="85">
        <v>1E-8</v>
      </c>
      <c r="G63" s="85">
        <v>1E-8</v>
      </c>
      <c r="H63" s="85">
        <v>1E-8</v>
      </c>
      <c r="I63" s="85">
        <v>1E-8</v>
      </c>
      <c r="J63" s="85">
        <v>1E-8</v>
      </c>
      <c r="K63" s="85">
        <v>1E-8</v>
      </c>
      <c r="L63" s="85">
        <v>1E-8</v>
      </c>
      <c r="M63" s="85">
        <v>1E-8</v>
      </c>
      <c r="N63" s="44"/>
      <c r="O63" s="67"/>
      <c r="P63" s="44"/>
      <c r="Q63" s="70" t="s">
        <v>636</v>
      </c>
      <c r="R63" s="44"/>
      <c r="S63" s="93" t="s">
        <v>330</v>
      </c>
      <c r="T63" s="85">
        <v>4.1027526269986572E-5</v>
      </c>
      <c r="U63" s="86">
        <v>5.2909083369245835E-4</v>
      </c>
      <c r="V63" s="85">
        <v>1E-8</v>
      </c>
      <c r="W63" s="85">
        <v>1E-8</v>
      </c>
      <c r="X63" s="85">
        <v>1E-8</v>
      </c>
      <c r="Y63" s="85">
        <v>1E-8</v>
      </c>
      <c r="Z63" s="85">
        <v>1E-8</v>
      </c>
      <c r="AA63" s="85">
        <v>1E-8</v>
      </c>
      <c r="AB63" s="85">
        <v>1E-8</v>
      </c>
      <c r="AC63" s="85">
        <v>1E-8</v>
      </c>
      <c r="AD63" s="44"/>
    </row>
    <row r="64" spans="1:30" x14ac:dyDescent="0.35">
      <c r="A64" s="70" t="s">
        <v>637</v>
      </c>
      <c r="B64" s="44"/>
      <c r="C64" s="93" t="s">
        <v>333</v>
      </c>
      <c r="D64" s="85">
        <v>1.491529680838994</v>
      </c>
      <c r="E64" s="86">
        <v>0.80291224487998303</v>
      </c>
      <c r="F64" s="85">
        <v>1E-8</v>
      </c>
      <c r="G64" s="85">
        <v>1E-8</v>
      </c>
      <c r="H64" s="85">
        <v>1E-8</v>
      </c>
      <c r="I64" s="85">
        <v>1E-8</v>
      </c>
      <c r="J64" s="85">
        <v>1E-8</v>
      </c>
      <c r="K64" s="85">
        <v>1E-8</v>
      </c>
      <c r="L64" s="85">
        <v>1E-8</v>
      </c>
      <c r="M64" s="85">
        <v>1E-8</v>
      </c>
      <c r="N64" s="44"/>
      <c r="O64" s="67"/>
      <c r="P64" s="44"/>
      <c r="Q64" s="70" t="s">
        <v>637</v>
      </c>
      <c r="R64" s="44"/>
      <c r="S64" s="93" t="s">
        <v>333</v>
      </c>
      <c r="T64" s="85">
        <v>2.2246607888236711E-2</v>
      </c>
      <c r="U64" s="86">
        <v>1.1975674443475613E-2</v>
      </c>
      <c r="V64" s="85">
        <v>1E-8</v>
      </c>
      <c r="W64" s="85">
        <v>1E-8</v>
      </c>
      <c r="X64" s="85">
        <v>1E-8</v>
      </c>
      <c r="Y64" s="85">
        <v>1E-8</v>
      </c>
      <c r="Z64" s="85">
        <v>1E-8</v>
      </c>
      <c r="AA64" s="85">
        <v>1E-8</v>
      </c>
      <c r="AB64" s="85">
        <v>1E-8</v>
      </c>
      <c r="AC64" s="85">
        <v>1E-8</v>
      </c>
      <c r="AD64" s="44"/>
    </row>
    <row r="65" spans="1:30" x14ac:dyDescent="0.35">
      <c r="A65" s="70" t="s">
        <v>638</v>
      </c>
      <c r="B65" s="44"/>
      <c r="C65" s="93" t="s">
        <v>546</v>
      </c>
      <c r="D65" s="85">
        <v>0.23326135662075395</v>
      </c>
      <c r="E65" s="86">
        <v>-0.10168594867961955</v>
      </c>
      <c r="F65" s="85">
        <v>1E-8</v>
      </c>
      <c r="G65" s="85">
        <v>1E-8</v>
      </c>
      <c r="H65" s="85">
        <v>1E-8</v>
      </c>
      <c r="I65" s="85">
        <v>1E-8</v>
      </c>
      <c r="J65" s="85">
        <v>1E-8</v>
      </c>
      <c r="K65" s="85">
        <v>1E-8</v>
      </c>
      <c r="L65" s="85">
        <v>1E-8</v>
      </c>
      <c r="M65" s="85">
        <v>1E-8</v>
      </c>
      <c r="N65" s="44"/>
      <c r="O65" s="67"/>
      <c r="P65" s="44"/>
      <c r="Q65" s="70" t="s">
        <v>638</v>
      </c>
      <c r="R65" s="44"/>
      <c r="S65" s="93" t="s">
        <v>546</v>
      </c>
      <c r="T65" s="85">
        <v>5.4410860492554549E-4</v>
      </c>
      <c r="U65" s="86">
        <v>-2.3719402338276421E-4</v>
      </c>
      <c r="V65" s="85">
        <v>1E-8</v>
      </c>
      <c r="W65" s="85">
        <v>1E-8</v>
      </c>
      <c r="X65" s="85">
        <v>1E-8</v>
      </c>
      <c r="Y65" s="85">
        <v>1E-8</v>
      </c>
      <c r="Z65" s="85">
        <v>1E-8</v>
      </c>
      <c r="AA65" s="85">
        <v>1E-8</v>
      </c>
      <c r="AB65" s="85">
        <v>1E-8</v>
      </c>
      <c r="AC65" s="85">
        <v>1E-8</v>
      </c>
      <c r="AD65" s="44"/>
    </row>
    <row r="66" spans="1:30" x14ac:dyDescent="0.35">
      <c r="A66" s="70" t="s">
        <v>639</v>
      </c>
      <c r="B66" s="44"/>
      <c r="C66" s="93" t="s">
        <v>335</v>
      </c>
      <c r="D66" s="85">
        <v>5.6091806209763097E-2</v>
      </c>
      <c r="E66" s="86">
        <v>-2.0670769987884752</v>
      </c>
      <c r="F66" s="85">
        <v>1E-8</v>
      </c>
      <c r="G66" s="85">
        <v>1E-8</v>
      </c>
      <c r="H66" s="85">
        <v>1E-8</v>
      </c>
      <c r="I66" s="85">
        <v>1E-8</v>
      </c>
      <c r="J66" s="85">
        <v>1E-8</v>
      </c>
      <c r="K66" s="85">
        <v>1E-8</v>
      </c>
      <c r="L66" s="85">
        <v>1E-8</v>
      </c>
      <c r="M66" s="85">
        <v>1E-8</v>
      </c>
      <c r="N66" s="44"/>
      <c r="O66" s="67"/>
      <c r="P66" s="44"/>
      <c r="Q66" s="70" t="s">
        <v>639</v>
      </c>
      <c r="R66" s="44"/>
      <c r="S66" s="93" t="s">
        <v>335</v>
      </c>
      <c r="T66" s="85">
        <v>3.1462907238736181E-5</v>
      </c>
      <c r="U66" s="86">
        <v>-1.1594608243670186E-3</v>
      </c>
      <c r="V66" s="85">
        <v>1E-8</v>
      </c>
      <c r="W66" s="85">
        <v>1E-8</v>
      </c>
      <c r="X66" s="85">
        <v>1E-8</v>
      </c>
      <c r="Y66" s="85">
        <v>1E-8</v>
      </c>
      <c r="Z66" s="85">
        <v>1E-8</v>
      </c>
      <c r="AA66" s="85">
        <v>1E-8</v>
      </c>
      <c r="AB66" s="85">
        <v>1E-8</v>
      </c>
      <c r="AC66" s="85">
        <v>1E-8</v>
      </c>
      <c r="AD66" s="44"/>
    </row>
    <row r="67" spans="1:30" x14ac:dyDescent="0.35">
      <c r="A67" s="70" t="s">
        <v>640</v>
      </c>
      <c r="B67" s="44"/>
      <c r="C67" s="93" t="s">
        <v>334</v>
      </c>
      <c r="D67" s="85">
        <v>0.63055673562915016</v>
      </c>
      <c r="E67" s="86">
        <v>4.2874671694953959</v>
      </c>
      <c r="F67" s="85">
        <v>1E-8</v>
      </c>
      <c r="G67" s="85">
        <v>1E-8</v>
      </c>
      <c r="H67" s="85">
        <v>1E-8</v>
      </c>
      <c r="I67" s="85">
        <v>1E-8</v>
      </c>
      <c r="J67" s="85">
        <v>1E-8</v>
      </c>
      <c r="K67" s="85">
        <v>1E-8</v>
      </c>
      <c r="L67" s="85">
        <v>1E-8</v>
      </c>
      <c r="M67" s="85">
        <v>1E-8</v>
      </c>
      <c r="N67" s="44"/>
      <c r="O67" s="67"/>
      <c r="P67" s="44"/>
      <c r="Q67" s="70" t="s">
        <v>640</v>
      </c>
      <c r="R67" s="44"/>
      <c r="S67" s="93" t="s">
        <v>334</v>
      </c>
      <c r="T67" s="85">
        <v>3.9760179684728992E-3</v>
      </c>
      <c r="U67" s="86">
        <v>2.7034913025141688E-2</v>
      </c>
      <c r="V67" s="85">
        <v>1E-8</v>
      </c>
      <c r="W67" s="85">
        <v>1E-8</v>
      </c>
      <c r="X67" s="85">
        <v>1E-8</v>
      </c>
      <c r="Y67" s="85">
        <v>1E-8</v>
      </c>
      <c r="Z67" s="85">
        <v>1E-8</v>
      </c>
      <c r="AA67" s="85">
        <v>1E-8</v>
      </c>
      <c r="AB67" s="85">
        <v>1E-8</v>
      </c>
      <c r="AC67" s="85">
        <v>1E-8</v>
      </c>
      <c r="AD67" s="44"/>
    </row>
    <row r="68" spans="1:30" x14ac:dyDescent="0.35">
      <c r="A68" s="9" t="s">
        <v>365</v>
      </c>
      <c r="B68" s="44"/>
      <c r="C68" s="91" t="s">
        <v>374</v>
      </c>
      <c r="D68" s="79">
        <v>2.2509812290430089</v>
      </c>
      <c r="E68" s="80">
        <v>-0.60960161126412116</v>
      </c>
      <c r="F68" s="79">
        <v>1E-8</v>
      </c>
      <c r="G68" s="79">
        <v>1E-8</v>
      </c>
      <c r="H68" s="79">
        <v>1E-8</v>
      </c>
      <c r="I68" s="79">
        <v>1E-8</v>
      </c>
      <c r="J68" s="79">
        <v>1E-8</v>
      </c>
      <c r="K68" s="79">
        <v>1E-8</v>
      </c>
      <c r="L68" s="79">
        <v>1E-8</v>
      </c>
      <c r="M68" s="79">
        <v>1E-8</v>
      </c>
      <c r="N68" s="44"/>
      <c r="O68" s="67"/>
      <c r="P68" s="44"/>
      <c r="Q68" s="9" t="s">
        <v>365</v>
      </c>
      <c r="R68" s="44"/>
      <c r="S68" s="91" t="s">
        <v>374</v>
      </c>
      <c r="T68" s="79">
        <v>5.066916493503975E-2</v>
      </c>
      <c r="U68" s="80">
        <v>-1.3722017841499101E-2</v>
      </c>
      <c r="V68" s="79">
        <v>1E-8</v>
      </c>
      <c r="W68" s="79">
        <v>1E-8</v>
      </c>
      <c r="X68" s="79">
        <v>1E-8</v>
      </c>
      <c r="Y68" s="79">
        <v>1E-8</v>
      </c>
      <c r="Z68" s="79">
        <v>1E-8</v>
      </c>
      <c r="AA68" s="79">
        <v>1E-8</v>
      </c>
      <c r="AB68" s="79">
        <v>1E-8</v>
      </c>
      <c r="AC68" s="79">
        <v>1E-8</v>
      </c>
      <c r="AD68" s="44"/>
    </row>
    <row r="69" spans="1:30" x14ac:dyDescent="0.35">
      <c r="A69" s="70" t="s">
        <v>641</v>
      </c>
      <c r="B69" s="44"/>
      <c r="C69" s="93" t="s">
        <v>547</v>
      </c>
      <c r="D69" s="85">
        <v>1.8097082520516097</v>
      </c>
      <c r="E69" s="86">
        <v>-0.84157840067773382</v>
      </c>
      <c r="F69" s="85">
        <v>1E-8</v>
      </c>
      <c r="G69" s="85">
        <v>1E-8</v>
      </c>
      <c r="H69" s="85">
        <v>1E-8</v>
      </c>
      <c r="I69" s="85">
        <v>1E-8</v>
      </c>
      <c r="J69" s="85">
        <v>1E-8</v>
      </c>
      <c r="K69" s="85">
        <v>1E-8</v>
      </c>
      <c r="L69" s="85">
        <v>1E-8</v>
      </c>
      <c r="M69" s="85">
        <v>1E-8</v>
      </c>
      <c r="N69" s="44"/>
      <c r="O69" s="67"/>
      <c r="P69" s="44"/>
      <c r="Q69" s="70" t="s">
        <v>641</v>
      </c>
      <c r="R69" s="44"/>
      <c r="S69" s="93" t="s">
        <v>547</v>
      </c>
      <c r="T69" s="85">
        <v>3.275043957543692E-2</v>
      </c>
      <c r="U69" s="86">
        <v>-1.5230113764548909E-2</v>
      </c>
      <c r="V69" s="85">
        <v>1E-8</v>
      </c>
      <c r="W69" s="85">
        <v>1E-8</v>
      </c>
      <c r="X69" s="85">
        <v>1E-8</v>
      </c>
      <c r="Y69" s="85">
        <v>1E-8</v>
      </c>
      <c r="Z69" s="85">
        <v>1E-8</v>
      </c>
      <c r="AA69" s="85">
        <v>1E-8</v>
      </c>
      <c r="AB69" s="85">
        <v>1E-8</v>
      </c>
      <c r="AC69" s="85">
        <v>1E-8</v>
      </c>
      <c r="AD69" s="44"/>
    </row>
    <row r="70" spans="1:30" x14ac:dyDescent="0.35">
      <c r="A70" s="70" t="s">
        <v>642</v>
      </c>
      <c r="B70" s="44"/>
      <c r="C70" s="93" t="s">
        <v>336</v>
      </c>
      <c r="D70" s="85">
        <v>0.35549721664091027</v>
      </c>
      <c r="E70" s="86">
        <v>0.56629684244409173</v>
      </c>
      <c r="F70" s="85">
        <v>1E-8</v>
      </c>
      <c r="G70" s="85">
        <v>1E-8</v>
      </c>
      <c r="H70" s="85">
        <v>1E-8</v>
      </c>
      <c r="I70" s="85">
        <v>1E-8</v>
      </c>
      <c r="J70" s="85">
        <v>1E-8</v>
      </c>
      <c r="K70" s="85">
        <v>1E-8</v>
      </c>
      <c r="L70" s="85">
        <v>1E-8</v>
      </c>
      <c r="M70" s="85">
        <v>1E-8</v>
      </c>
      <c r="N70" s="44"/>
      <c r="O70" s="67"/>
      <c r="P70" s="44"/>
      <c r="Q70" s="70" t="s">
        <v>642</v>
      </c>
      <c r="R70" s="44"/>
      <c r="S70" s="93" t="s">
        <v>336</v>
      </c>
      <c r="T70" s="85">
        <v>1.2637827103943429E-3</v>
      </c>
      <c r="U70" s="86">
        <v>2.0131695128141071E-3</v>
      </c>
      <c r="V70" s="85">
        <v>1E-8</v>
      </c>
      <c r="W70" s="85">
        <v>1E-8</v>
      </c>
      <c r="X70" s="85">
        <v>1E-8</v>
      </c>
      <c r="Y70" s="85">
        <v>1E-8</v>
      </c>
      <c r="Z70" s="85">
        <v>1E-8</v>
      </c>
      <c r="AA70" s="85">
        <v>1E-8</v>
      </c>
      <c r="AB70" s="85">
        <v>1E-8</v>
      </c>
      <c r="AC70" s="85">
        <v>1E-8</v>
      </c>
      <c r="AD70" s="44"/>
    </row>
    <row r="71" spans="1:30" x14ac:dyDescent="0.35">
      <c r="A71" s="70" t="s">
        <v>643</v>
      </c>
      <c r="B71" s="44"/>
      <c r="C71" s="93" t="s">
        <v>337</v>
      </c>
      <c r="D71" s="87">
        <v>8.5775760350489214E-2</v>
      </c>
      <c r="E71" s="88">
        <v>-0.58883020995714741</v>
      </c>
      <c r="F71" s="87">
        <v>1E-8</v>
      </c>
      <c r="G71" s="87">
        <v>1E-8</v>
      </c>
      <c r="H71" s="87">
        <v>1E-8</v>
      </c>
      <c r="I71" s="87">
        <v>1E-8</v>
      </c>
      <c r="J71" s="87">
        <v>1E-8</v>
      </c>
      <c r="K71" s="87">
        <v>1E-8</v>
      </c>
      <c r="L71" s="87">
        <v>1E-8</v>
      </c>
      <c r="M71" s="87">
        <v>1E-8</v>
      </c>
      <c r="N71" s="44"/>
      <c r="O71" s="67"/>
      <c r="P71" s="44"/>
      <c r="Q71" s="70" t="s">
        <v>643</v>
      </c>
      <c r="R71" s="44"/>
      <c r="S71" s="93" t="s">
        <v>337</v>
      </c>
      <c r="T71" s="87">
        <v>7.3574810637045578E-5</v>
      </c>
      <c r="U71" s="88">
        <v>-5.0507358976412521E-4</v>
      </c>
      <c r="V71" s="87">
        <v>1E-8</v>
      </c>
      <c r="W71" s="87">
        <v>1E-8</v>
      </c>
      <c r="X71" s="87">
        <v>1E-8</v>
      </c>
      <c r="Y71" s="87">
        <v>1E-8</v>
      </c>
      <c r="Z71" s="87">
        <v>1E-8</v>
      </c>
      <c r="AA71" s="87">
        <v>1E-8</v>
      </c>
      <c r="AB71" s="87">
        <v>1E-8</v>
      </c>
      <c r="AC71" s="87">
        <v>1E-8</v>
      </c>
      <c r="AD71" s="44"/>
    </row>
    <row r="72" spans="1:30" x14ac:dyDescent="0.35">
      <c r="A72" s="9" t="s">
        <v>644</v>
      </c>
      <c r="B72" s="44"/>
      <c r="C72" s="91" t="s">
        <v>338</v>
      </c>
      <c r="D72" s="79">
        <v>0.4828029858155905</v>
      </c>
      <c r="E72" s="80">
        <v>2.3105304411275451</v>
      </c>
      <c r="F72" s="79">
        <v>1E-8</v>
      </c>
      <c r="G72" s="79">
        <v>1E-8</v>
      </c>
      <c r="H72" s="79">
        <v>1E-8</v>
      </c>
      <c r="I72" s="79">
        <v>1E-8</v>
      </c>
      <c r="J72" s="79">
        <v>1E-8</v>
      </c>
      <c r="K72" s="79">
        <v>1E-8</v>
      </c>
      <c r="L72" s="79">
        <v>1E-8</v>
      </c>
      <c r="M72" s="79">
        <v>1E-8</v>
      </c>
      <c r="N72" s="44"/>
      <c r="O72" s="67"/>
      <c r="P72" s="44"/>
      <c r="Q72" s="9" t="s">
        <v>644</v>
      </c>
      <c r="R72" s="44"/>
      <c r="S72" s="91" t="s">
        <v>338</v>
      </c>
      <c r="T72" s="79">
        <v>2.3309872311244929E-3</v>
      </c>
      <c r="U72" s="80">
        <v>1.1155309957941922E-2</v>
      </c>
      <c r="V72" s="79">
        <v>1E-8</v>
      </c>
      <c r="W72" s="79">
        <v>1E-8</v>
      </c>
      <c r="X72" s="79">
        <v>1E-8</v>
      </c>
      <c r="Y72" s="79">
        <v>1E-8</v>
      </c>
      <c r="Z72" s="79">
        <v>1E-8</v>
      </c>
      <c r="AA72" s="79">
        <v>1E-8</v>
      </c>
      <c r="AB72" s="79">
        <v>1E-8</v>
      </c>
      <c r="AC72" s="79">
        <v>1E-8</v>
      </c>
      <c r="AD72" s="44"/>
    </row>
    <row r="73" spans="1:30" x14ac:dyDescent="0.35">
      <c r="A73" s="9" t="s">
        <v>366</v>
      </c>
      <c r="B73" s="44"/>
      <c r="C73" s="91" t="s">
        <v>339</v>
      </c>
      <c r="D73" s="79">
        <v>0.36918910761155183</v>
      </c>
      <c r="E73" s="80">
        <v>2.2545708995022062</v>
      </c>
      <c r="F73" s="79">
        <v>1E-8</v>
      </c>
      <c r="G73" s="79">
        <v>1E-8</v>
      </c>
      <c r="H73" s="79">
        <v>1E-8</v>
      </c>
      <c r="I73" s="79">
        <v>1E-8</v>
      </c>
      <c r="J73" s="79">
        <v>1E-8</v>
      </c>
      <c r="K73" s="79">
        <v>1E-8</v>
      </c>
      <c r="L73" s="79">
        <v>1E-8</v>
      </c>
      <c r="M73" s="79">
        <v>1E-8</v>
      </c>
      <c r="N73" s="44"/>
      <c r="O73" s="67"/>
      <c r="P73" s="44"/>
      <c r="Q73" s="9" t="s">
        <v>366</v>
      </c>
      <c r="R73" s="44"/>
      <c r="S73" s="91" t="s">
        <v>339</v>
      </c>
      <c r="T73" s="79">
        <v>1.3630059717901399E-3</v>
      </c>
      <c r="U73" s="80">
        <v>8.3236301843419326E-3</v>
      </c>
      <c r="V73" s="79">
        <v>1E-8</v>
      </c>
      <c r="W73" s="79">
        <v>1E-8</v>
      </c>
      <c r="X73" s="79">
        <v>1E-8</v>
      </c>
      <c r="Y73" s="79">
        <v>1E-8</v>
      </c>
      <c r="Z73" s="79">
        <v>1E-8</v>
      </c>
      <c r="AA73" s="79">
        <v>1E-8</v>
      </c>
      <c r="AB73" s="79">
        <v>1E-8</v>
      </c>
      <c r="AC73" s="79">
        <v>1E-8</v>
      </c>
      <c r="AD73" s="44"/>
    </row>
    <row r="74" spans="1:30" x14ac:dyDescent="0.35">
      <c r="A74" s="70" t="s">
        <v>645</v>
      </c>
      <c r="B74" s="44"/>
      <c r="C74" s="93" t="s">
        <v>340</v>
      </c>
      <c r="D74" s="85">
        <v>0.21736073998534491</v>
      </c>
      <c r="E74" s="86">
        <v>2.5019715646494856</v>
      </c>
      <c r="F74" s="85">
        <v>1E-8</v>
      </c>
      <c r="G74" s="85">
        <v>1E-8</v>
      </c>
      <c r="H74" s="85">
        <v>1E-8</v>
      </c>
      <c r="I74" s="85">
        <v>1E-8</v>
      </c>
      <c r="J74" s="85">
        <v>1E-8</v>
      </c>
      <c r="K74" s="85">
        <v>1E-8</v>
      </c>
      <c r="L74" s="85">
        <v>1E-8</v>
      </c>
      <c r="M74" s="85">
        <v>1E-8</v>
      </c>
      <c r="N74" s="44"/>
      <c r="O74" s="67"/>
      <c r="P74" s="44"/>
      <c r="Q74" s="70" t="s">
        <v>645</v>
      </c>
      <c r="R74" s="44"/>
      <c r="S74" s="93" t="s">
        <v>340</v>
      </c>
      <c r="T74" s="85">
        <v>4.724569128697672E-4</v>
      </c>
      <c r="U74" s="86">
        <v>5.4383039071450338E-3</v>
      </c>
      <c r="V74" s="85">
        <v>1E-8</v>
      </c>
      <c r="W74" s="85">
        <v>1E-8</v>
      </c>
      <c r="X74" s="85">
        <v>1E-8</v>
      </c>
      <c r="Y74" s="85">
        <v>1E-8</v>
      </c>
      <c r="Z74" s="85">
        <v>1E-8</v>
      </c>
      <c r="AA74" s="85">
        <v>1E-8</v>
      </c>
      <c r="AB74" s="85">
        <v>1E-8</v>
      </c>
      <c r="AC74" s="85">
        <v>1E-8</v>
      </c>
      <c r="AD74" s="44"/>
    </row>
    <row r="75" spans="1:30" x14ac:dyDescent="0.35">
      <c r="A75" s="70" t="s">
        <v>646</v>
      </c>
      <c r="B75" s="44"/>
      <c r="C75" s="93" t="s">
        <v>548</v>
      </c>
      <c r="D75" s="85">
        <v>0.15182836762620694</v>
      </c>
      <c r="E75" s="86">
        <v>1.9003868132866808</v>
      </c>
      <c r="F75" s="85">
        <v>1E-8</v>
      </c>
      <c r="G75" s="85">
        <v>1E-8</v>
      </c>
      <c r="H75" s="85">
        <v>1E-8</v>
      </c>
      <c r="I75" s="85">
        <v>1E-8</v>
      </c>
      <c r="J75" s="85">
        <v>1E-8</v>
      </c>
      <c r="K75" s="85">
        <v>1E-8</v>
      </c>
      <c r="L75" s="85">
        <v>1E-8</v>
      </c>
      <c r="M75" s="85">
        <v>1E-8</v>
      </c>
      <c r="N75" s="44"/>
      <c r="O75" s="67"/>
      <c r="P75" s="44"/>
      <c r="Q75" s="70" t="s">
        <v>646</v>
      </c>
      <c r="R75" s="44"/>
      <c r="S75" s="93" t="s">
        <v>548</v>
      </c>
      <c r="T75" s="85">
        <v>2.3051853216038643E-4</v>
      </c>
      <c r="U75" s="86">
        <v>2.8853262771968606E-3</v>
      </c>
      <c r="V75" s="85">
        <v>1E-8</v>
      </c>
      <c r="W75" s="85">
        <v>1E-8</v>
      </c>
      <c r="X75" s="85">
        <v>1E-8</v>
      </c>
      <c r="Y75" s="85">
        <v>1E-8</v>
      </c>
      <c r="Z75" s="85">
        <v>1E-8</v>
      </c>
      <c r="AA75" s="85">
        <v>1E-8</v>
      </c>
      <c r="AB75" s="85">
        <v>1E-8</v>
      </c>
      <c r="AC75" s="85">
        <v>1E-8</v>
      </c>
      <c r="AD75" s="44"/>
    </row>
    <row r="76" spans="1:30" x14ac:dyDescent="0.35">
      <c r="A76" s="9" t="s">
        <v>367</v>
      </c>
      <c r="B76" s="44"/>
      <c r="C76" s="91" t="s">
        <v>341</v>
      </c>
      <c r="D76" s="79">
        <v>0.48324049090172411</v>
      </c>
      <c r="E76" s="80">
        <v>5.070971511310951</v>
      </c>
      <c r="F76" s="79">
        <v>1E-8</v>
      </c>
      <c r="G76" s="79">
        <v>1E-8</v>
      </c>
      <c r="H76" s="79">
        <v>1E-8</v>
      </c>
      <c r="I76" s="79">
        <v>1E-8</v>
      </c>
      <c r="J76" s="79">
        <v>1E-8</v>
      </c>
      <c r="K76" s="79">
        <v>1E-8</v>
      </c>
      <c r="L76" s="79">
        <v>1E-8</v>
      </c>
      <c r="M76" s="79">
        <v>1E-8</v>
      </c>
      <c r="N76" s="44"/>
      <c r="O76" s="67"/>
      <c r="P76" s="44"/>
      <c r="Q76" s="9" t="s">
        <v>367</v>
      </c>
      <c r="R76" s="44"/>
      <c r="S76" s="91" t="s">
        <v>341</v>
      </c>
      <c r="T76" s="79">
        <v>2.335213720469393E-3</v>
      </c>
      <c r="U76" s="80">
        <v>2.4504987624745619E-2</v>
      </c>
      <c r="V76" s="79">
        <v>1E-8</v>
      </c>
      <c r="W76" s="79">
        <v>1E-8</v>
      </c>
      <c r="X76" s="79">
        <v>1E-8</v>
      </c>
      <c r="Y76" s="79">
        <v>1E-8</v>
      </c>
      <c r="Z76" s="79">
        <v>1E-8</v>
      </c>
      <c r="AA76" s="79">
        <v>1E-8</v>
      </c>
      <c r="AB76" s="79">
        <v>1E-8</v>
      </c>
      <c r="AC76" s="79">
        <v>1E-8</v>
      </c>
      <c r="AD76" s="44"/>
    </row>
    <row r="77" spans="1:30" x14ac:dyDescent="0.35">
      <c r="A77" s="70" t="s">
        <v>647</v>
      </c>
      <c r="B77" s="44"/>
      <c r="C77" s="93" t="s">
        <v>342</v>
      </c>
      <c r="D77" s="85">
        <v>3.1015620947452819E-3</v>
      </c>
      <c r="E77" s="86">
        <v>1.1098451103429996</v>
      </c>
      <c r="F77" s="85">
        <v>1E-8</v>
      </c>
      <c r="G77" s="85">
        <v>1E-8</v>
      </c>
      <c r="H77" s="85">
        <v>1E-8</v>
      </c>
      <c r="I77" s="85">
        <v>1E-8</v>
      </c>
      <c r="J77" s="85">
        <v>1E-8</v>
      </c>
      <c r="K77" s="85">
        <v>1E-8</v>
      </c>
      <c r="L77" s="85">
        <v>1E-8</v>
      </c>
      <c r="M77" s="85">
        <v>1E-8</v>
      </c>
      <c r="N77" s="44"/>
      <c r="O77" s="67"/>
      <c r="P77" s="44"/>
      <c r="Q77" s="70" t="s">
        <v>647</v>
      </c>
      <c r="R77" s="44"/>
      <c r="S77" s="93" t="s">
        <v>342</v>
      </c>
      <c r="T77" s="85">
        <v>1E-8</v>
      </c>
      <c r="U77" s="86">
        <v>3.4422535252782421E-5</v>
      </c>
      <c r="V77" s="85">
        <v>1E-8</v>
      </c>
      <c r="W77" s="85">
        <v>1E-8</v>
      </c>
      <c r="X77" s="85">
        <v>1E-8</v>
      </c>
      <c r="Y77" s="85">
        <v>1E-8</v>
      </c>
      <c r="Z77" s="85">
        <v>1E-8</v>
      </c>
      <c r="AA77" s="85">
        <v>1E-8</v>
      </c>
      <c r="AB77" s="85">
        <v>1E-8</v>
      </c>
      <c r="AC77" s="85">
        <v>1E-8</v>
      </c>
      <c r="AD77" s="44"/>
    </row>
    <row r="78" spans="1:30" x14ac:dyDescent="0.35">
      <c r="A78" s="70" t="s">
        <v>648</v>
      </c>
      <c r="B78" s="44"/>
      <c r="C78" s="93" t="s">
        <v>343</v>
      </c>
      <c r="D78" s="85">
        <v>0.35059409361309235</v>
      </c>
      <c r="E78" s="86">
        <v>6.4593313184770684</v>
      </c>
      <c r="F78" s="85">
        <v>1E-8</v>
      </c>
      <c r="G78" s="85">
        <v>1E-8</v>
      </c>
      <c r="H78" s="85">
        <v>1E-8</v>
      </c>
      <c r="I78" s="85">
        <v>1E-8</v>
      </c>
      <c r="J78" s="85">
        <v>1E-8</v>
      </c>
      <c r="K78" s="85">
        <v>1E-8</v>
      </c>
      <c r="L78" s="85">
        <v>1E-8</v>
      </c>
      <c r="M78" s="85">
        <v>1E-8</v>
      </c>
      <c r="N78" s="44"/>
      <c r="O78" s="67"/>
      <c r="P78" s="44"/>
      <c r="Q78" s="70" t="s">
        <v>648</v>
      </c>
      <c r="R78" s="44"/>
      <c r="S78" s="93" t="s">
        <v>343</v>
      </c>
      <c r="T78" s="85">
        <v>1.2291621847638576E-3</v>
      </c>
      <c r="U78" s="86">
        <v>2.2646034089481286E-2</v>
      </c>
      <c r="V78" s="85">
        <v>1E-8</v>
      </c>
      <c r="W78" s="85">
        <v>1E-8</v>
      </c>
      <c r="X78" s="85">
        <v>1E-8</v>
      </c>
      <c r="Y78" s="85">
        <v>1E-8</v>
      </c>
      <c r="Z78" s="85">
        <v>1E-8</v>
      </c>
      <c r="AA78" s="85">
        <v>1E-8</v>
      </c>
      <c r="AB78" s="85">
        <v>1E-8</v>
      </c>
      <c r="AC78" s="85">
        <v>1E-8</v>
      </c>
      <c r="AD78" s="44"/>
    </row>
    <row r="79" spans="1:30" x14ac:dyDescent="0.35">
      <c r="A79" s="70" t="s">
        <v>649</v>
      </c>
      <c r="B79" s="44"/>
      <c r="C79" s="93" t="s">
        <v>549</v>
      </c>
      <c r="D79" s="85">
        <v>7.8552468852295873E-2</v>
      </c>
      <c r="E79" s="86">
        <v>1.0691432649925003</v>
      </c>
      <c r="F79" s="85">
        <v>1E-8</v>
      </c>
      <c r="G79" s="85">
        <v>1E-8</v>
      </c>
      <c r="H79" s="85">
        <v>1E-8</v>
      </c>
      <c r="I79" s="85">
        <v>1E-8</v>
      </c>
      <c r="J79" s="85">
        <v>1E-8</v>
      </c>
      <c r="K79" s="85">
        <v>1E-8</v>
      </c>
      <c r="L79" s="85">
        <v>1E-8</v>
      </c>
      <c r="M79" s="85">
        <v>1E-8</v>
      </c>
      <c r="N79" s="44"/>
      <c r="O79" s="67"/>
      <c r="P79" s="44"/>
      <c r="Q79" s="70" t="s">
        <v>649</v>
      </c>
      <c r="R79" s="44"/>
      <c r="S79" s="93" t="s">
        <v>549</v>
      </c>
      <c r="T79" s="85">
        <v>6.170490362790913E-5</v>
      </c>
      <c r="U79" s="86">
        <v>8.3983843021965296E-4</v>
      </c>
      <c r="V79" s="85">
        <v>1E-8</v>
      </c>
      <c r="W79" s="85">
        <v>1E-8</v>
      </c>
      <c r="X79" s="85">
        <v>1E-8</v>
      </c>
      <c r="Y79" s="85">
        <v>1E-8</v>
      </c>
      <c r="Z79" s="85">
        <v>1E-8</v>
      </c>
      <c r="AA79" s="85">
        <v>1E-8</v>
      </c>
      <c r="AB79" s="85">
        <v>1E-8</v>
      </c>
      <c r="AC79" s="85">
        <v>1E-8</v>
      </c>
      <c r="AD79" s="44"/>
    </row>
    <row r="80" spans="1:30" x14ac:dyDescent="0.35">
      <c r="A80" s="70" t="s">
        <v>650</v>
      </c>
      <c r="B80" s="44"/>
      <c r="C80" s="93" t="s">
        <v>550</v>
      </c>
      <c r="D80" s="85">
        <v>5.099236634159058E-2</v>
      </c>
      <c r="E80" s="86">
        <v>1.9310587847512162</v>
      </c>
      <c r="F80" s="85">
        <v>1E-8</v>
      </c>
      <c r="G80" s="85">
        <v>1E-8</v>
      </c>
      <c r="H80" s="85">
        <v>1E-8</v>
      </c>
      <c r="I80" s="85">
        <v>1E-8</v>
      </c>
      <c r="J80" s="85">
        <v>1E-8</v>
      </c>
      <c r="K80" s="85">
        <v>1E-8</v>
      </c>
      <c r="L80" s="85">
        <v>1E-8</v>
      </c>
      <c r="M80" s="85">
        <v>1E-8</v>
      </c>
      <c r="N80" s="44"/>
      <c r="O80" s="67"/>
      <c r="P80" s="44"/>
      <c r="Q80" s="70" t="s">
        <v>650</v>
      </c>
      <c r="R80" s="44"/>
      <c r="S80" s="93" t="s">
        <v>550</v>
      </c>
      <c r="T80" s="85">
        <v>2.6002214251149797E-5</v>
      </c>
      <c r="U80" s="86">
        <v>9.8469256979180717E-4</v>
      </c>
      <c r="V80" s="85">
        <v>1E-8</v>
      </c>
      <c r="W80" s="85">
        <v>1E-8</v>
      </c>
      <c r="X80" s="85">
        <v>1E-8</v>
      </c>
      <c r="Y80" s="85">
        <v>1E-8</v>
      </c>
      <c r="Z80" s="85">
        <v>1E-8</v>
      </c>
      <c r="AA80" s="85">
        <v>1E-8</v>
      </c>
      <c r="AB80" s="85">
        <v>1E-8</v>
      </c>
      <c r="AC80" s="85">
        <v>1E-8</v>
      </c>
      <c r="AD80" s="44"/>
    </row>
    <row r="81" spans="1:30" x14ac:dyDescent="0.35">
      <c r="A81" s="9" t="s">
        <v>172</v>
      </c>
      <c r="B81" s="44"/>
      <c r="C81" s="91" t="s">
        <v>551</v>
      </c>
      <c r="D81" s="79">
        <v>0.4823650668431303</v>
      </c>
      <c r="E81" s="80">
        <v>-0.72173701556417225</v>
      </c>
      <c r="F81" s="79">
        <v>1E-8</v>
      </c>
      <c r="G81" s="79">
        <v>1E-8</v>
      </c>
      <c r="H81" s="79">
        <v>1E-8</v>
      </c>
      <c r="I81" s="79">
        <v>1E-8</v>
      </c>
      <c r="J81" s="79">
        <v>1E-8</v>
      </c>
      <c r="K81" s="79">
        <v>1E-8</v>
      </c>
      <c r="L81" s="79">
        <v>1E-8</v>
      </c>
      <c r="M81" s="79">
        <v>1E-8</v>
      </c>
      <c r="N81" s="44"/>
      <c r="O81" s="67"/>
      <c r="P81" s="44"/>
      <c r="Q81" s="9" t="s">
        <v>172</v>
      </c>
      <c r="R81" s="44"/>
      <c r="S81" s="91" t="s">
        <v>551</v>
      </c>
      <c r="T81" s="79">
        <v>2.3267605771057757E-3</v>
      </c>
      <c r="U81" s="80">
        <v>-3.4814072375577332E-3</v>
      </c>
      <c r="V81" s="79">
        <v>1E-8</v>
      </c>
      <c r="W81" s="79">
        <v>1E-8</v>
      </c>
      <c r="X81" s="79">
        <v>1E-8</v>
      </c>
      <c r="Y81" s="79">
        <v>1E-8</v>
      </c>
      <c r="Z81" s="79">
        <v>1E-8</v>
      </c>
      <c r="AA81" s="79">
        <v>1E-8</v>
      </c>
      <c r="AB81" s="79">
        <v>1E-8</v>
      </c>
      <c r="AC81" s="79">
        <v>1E-8</v>
      </c>
      <c r="AD81" s="44"/>
    </row>
    <row r="82" spans="1:30" x14ac:dyDescent="0.35">
      <c r="A82" s="70" t="s">
        <v>651</v>
      </c>
      <c r="B82" s="44"/>
      <c r="C82" s="93" t="s">
        <v>344</v>
      </c>
      <c r="D82" s="85">
        <v>3.1719376023935909E-2</v>
      </c>
      <c r="E82" s="86">
        <v>2.2415750335706308</v>
      </c>
      <c r="F82" s="85">
        <v>1E-8</v>
      </c>
      <c r="G82" s="85">
        <v>1E-8</v>
      </c>
      <c r="H82" s="85">
        <v>1E-8</v>
      </c>
      <c r="I82" s="85">
        <v>1E-8</v>
      </c>
      <c r="J82" s="85">
        <v>1E-8</v>
      </c>
      <c r="K82" s="85">
        <v>1E-8</v>
      </c>
      <c r="L82" s="85">
        <v>1E-8</v>
      </c>
      <c r="M82" s="85">
        <v>1E-8</v>
      </c>
      <c r="N82" s="44"/>
      <c r="O82" s="67"/>
      <c r="P82" s="44"/>
      <c r="Q82" s="70" t="s">
        <v>651</v>
      </c>
      <c r="R82" s="44"/>
      <c r="S82" s="93" t="s">
        <v>344</v>
      </c>
      <c r="T82" s="85">
        <v>1.0061188153478403E-5</v>
      </c>
      <c r="U82" s="86">
        <v>7.1101361375693604E-4</v>
      </c>
      <c r="V82" s="85">
        <v>1E-8</v>
      </c>
      <c r="W82" s="85">
        <v>1E-8</v>
      </c>
      <c r="X82" s="85">
        <v>1E-8</v>
      </c>
      <c r="Y82" s="85">
        <v>1E-8</v>
      </c>
      <c r="Z82" s="85">
        <v>1E-8</v>
      </c>
      <c r="AA82" s="85">
        <v>1E-8</v>
      </c>
      <c r="AB82" s="85">
        <v>1E-8</v>
      </c>
      <c r="AC82" s="85">
        <v>1E-8</v>
      </c>
      <c r="AD82" s="44"/>
    </row>
    <row r="83" spans="1:30" x14ac:dyDescent="0.35">
      <c r="A83" s="70" t="s">
        <v>652</v>
      </c>
      <c r="B83" s="44"/>
      <c r="C83" s="93" t="s">
        <v>552</v>
      </c>
      <c r="D83" s="85">
        <v>0.29104619836547313</v>
      </c>
      <c r="E83" s="86">
        <v>0.71546201112888674</v>
      </c>
      <c r="F83" s="85">
        <v>1E-8</v>
      </c>
      <c r="G83" s="85">
        <v>1E-8</v>
      </c>
      <c r="H83" s="85">
        <v>1E-8</v>
      </c>
      <c r="I83" s="85">
        <v>1E-8</v>
      </c>
      <c r="J83" s="85">
        <v>1E-8</v>
      </c>
      <c r="K83" s="85">
        <v>1E-8</v>
      </c>
      <c r="L83" s="85">
        <v>1E-8</v>
      </c>
      <c r="M83" s="85">
        <v>1E-8</v>
      </c>
      <c r="N83" s="44"/>
      <c r="O83" s="67"/>
      <c r="P83" s="44"/>
      <c r="Q83" s="70" t="s">
        <v>652</v>
      </c>
      <c r="R83" s="44"/>
      <c r="S83" s="93" t="s">
        <v>552</v>
      </c>
      <c r="T83" s="85">
        <v>8.4707889582994334E-4</v>
      </c>
      <c r="U83" s="86">
        <v>2.0823249841397831E-3</v>
      </c>
      <c r="V83" s="85">
        <v>1E-8</v>
      </c>
      <c r="W83" s="85">
        <v>1E-8</v>
      </c>
      <c r="X83" s="85">
        <v>1E-8</v>
      </c>
      <c r="Y83" s="85">
        <v>1E-8</v>
      </c>
      <c r="Z83" s="85">
        <v>1E-8</v>
      </c>
      <c r="AA83" s="85">
        <v>1E-8</v>
      </c>
      <c r="AB83" s="85">
        <v>1E-8</v>
      </c>
      <c r="AC83" s="85">
        <v>1E-8</v>
      </c>
      <c r="AD83" s="44"/>
    </row>
    <row r="84" spans="1:30" x14ac:dyDescent="0.35">
      <c r="A84" s="70" t="s">
        <v>653</v>
      </c>
      <c r="B84" s="44"/>
      <c r="C84" s="93" t="s">
        <v>553</v>
      </c>
      <c r="D84" s="85">
        <v>0.15959949245372118</v>
      </c>
      <c r="E84" s="86">
        <v>-3.9315575124864055</v>
      </c>
      <c r="F84" s="85">
        <v>1E-8</v>
      </c>
      <c r="G84" s="85">
        <v>1E-8</v>
      </c>
      <c r="H84" s="85">
        <v>1E-8</v>
      </c>
      <c r="I84" s="85">
        <v>1E-8</v>
      </c>
      <c r="J84" s="85">
        <v>1E-8</v>
      </c>
      <c r="K84" s="85">
        <v>1E-8</v>
      </c>
      <c r="L84" s="85">
        <v>1E-8</v>
      </c>
      <c r="M84" s="85">
        <v>1E-8</v>
      </c>
      <c r="N84" s="44"/>
      <c r="O84" s="67"/>
      <c r="P84" s="44"/>
      <c r="Q84" s="70" t="s">
        <v>653</v>
      </c>
      <c r="R84" s="44"/>
      <c r="S84" s="93" t="s">
        <v>553</v>
      </c>
      <c r="T84" s="85">
        <v>2.5471997991485405E-4</v>
      </c>
      <c r="U84" s="86">
        <v>-6.2747458354544495E-3</v>
      </c>
      <c r="V84" s="85">
        <v>1E-8</v>
      </c>
      <c r="W84" s="85">
        <v>1E-8</v>
      </c>
      <c r="X84" s="85">
        <v>1E-8</v>
      </c>
      <c r="Y84" s="85">
        <v>1E-8</v>
      </c>
      <c r="Z84" s="85">
        <v>1E-8</v>
      </c>
      <c r="AA84" s="85">
        <v>1E-8</v>
      </c>
      <c r="AB84" s="85">
        <v>1E-8</v>
      </c>
      <c r="AC84" s="85">
        <v>1E-8</v>
      </c>
      <c r="AD84" s="44"/>
    </row>
    <row r="85" spans="1:30" x14ac:dyDescent="0.35">
      <c r="A85" s="9" t="s">
        <v>368</v>
      </c>
      <c r="B85" s="44"/>
      <c r="C85" s="91" t="s">
        <v>345</v>
      </c>
      <c r="D85" s="79">
        <v>0.45473511445417464</v>
      </c>
      <c r="E85" s="80">
        <v>2.6190215560185415</v>
      </c>
      <c r="F85" s="79">
        <v>1E-8</v>
      </c>
      <c r="G85" s="79">
        <v>1E-8</v>
      </c>
      <c r="H85" s="79">
        <v>1E-8</v>
      </c>
      <c r="I85" s="79">
        <v>1E-8</v>
      </c>
      <c r="J85" s="79">
        <v>1E-8</v>
      </c>
      <c r="K85" s="79">
        <v>1E-8</v>
      </c>
      <c r="L85" s="79">
        <v>1E-8</v>
      </c>
      <c r="M85" s="79">
        <v>1E-8</v>
      </c>
      <c r="N85" s="44"/>
      <c r="O85" s="67"/>
      <c r="P85" s="44"/>
      <c r="Q85" s="9" t="s">
        <v>368</v>
      </c>
      <c r="R85" s="44"/>
      <c r="S85" s="91" t="s">
        <v>345</v>
      </c>
      <c r="T85" s="79">
        <v>2.0678402431765133E-3</v>
      </c>
      <c r="U85" s="80">
        <v>1.190961067034042E-2</v>
      </c>
      <c r="V85" s="79">
        <v>1E-8</v>
      </c>
      <c r="W85" s="79">
        <v>1E-8</v>
      </c>
      <c r="X85" s="79">
        <v>1E-8</v>
      </c>
      <c r="Y85" s="79">
        <v>1E-8</v>
      </c>
      <c r="Z85" s="79">
        <v>1E-8</v>
      </c>
      <c r="AA85" s="79">
        <v>1E-8</v>
      </c>
      <c r="AB85" s="79">
        <v>1E-8</v>
      </c>
      <c r="AC85" s="79">
        <v>1E-8</v>
      </c>
      <c r="AD85" s="44"/>
    </row>
    <row r="86" spans="1:30" x14ac:dyDescent="0.35">
      <c r="A86" s="70" t="s">
        <v>654</v>
      </c>
      <c r="B86" s="44"/>
      <c r="C86" s="93" t="s">
        <v>346</v>
      </c>
      <c r="D86" s="85">
        <v>0.27268539414068088</v>
      </c>
      <c r="E86" s="86">
        <v>3.8614951409237541</v>
      </c>
      <c r="F86" s="85">
        <v>1E-8</v>
      </c>
      <c r="G86" s="85">
        <v>1E-8</v>
      </c>
      <c r="H86" s="85">
        <v>1E-8</v>
      </c>
      <c r="I86" s="85">
        <v>1E-8</v>
      </c>
      <c r="J86" s="85">
        <v>1E-8</v>
      </c>
      <c r="K86" s="85">
        <v>1E-8</v>
      </c>
      <c r="L86" s="85">
        <v>1E-8</v>
      </c>
      <c r="M86" s="85">
        <v>1E-8</v>
      </c>
      <c r="N86" s="44"/>
      <c r="O86" s="67"/>
      <c r="P86" s="44"/>
      <c r="Q86" s="70" t="s">
        <v>654</v>
      </c>
      <c r="R86" s="44"/>
      <c r="S86" s="93" t="s">
        <v>346</v>
      </c>
      <c r="T86" s="85">
        <v>7.4357324177658484E-4</v>
      </c>
      <c r="U86" s="86">
        <v>1.0529733244751179E-2</v>
      </c>
      <c r="V86" s="85">
        <v>1E-8</v>
      </c>
      <c r="W86" s="85">
        <v>1E-8</v>
      </c>
      <c r="X86" s="85">
        <v>1E-8</v>
      </c>
      <c r="Y86" s="85">
        <v>1E-8</v>
      </c>
      <c r="Z86" s="85">
        <v>1E-8</v>
      </c>
      <c r="AA86" s="85">
        <v>1E-8</v>
      </c>
      <c r="AB86" s="85">
        <v>1E-8</v>
      </c>
      <c r="AC86" s="85">
        <v>1E-8</v>
      </c>
      <c r="AD86" s="44"/>
    </row>
    <row r="87" spans="1:30" x14ac:dyDescent="0.35">
      <c r="A87" s="70" t="s">
        <v>655</v>
      </c>
      <c r="B87" s="44"/>
      <c r="C87" s="93" t="s">
        <v>347</v>
      </c>
      <c r="D87" s="85">
        <v>0.11943703908505254</v>
      </c>
      <c r="E87" s="86">
        <v>-0.17619715944480197</v>
      </c>
      <c r="F87" s="85">
        <v>1E-8</v>
      </c>
      <c r="G87" s="85">
        <v>1E-8</v>
      </c>
      <c r="H87" s="85">
        <v>1E-8</v>
      </c>
      <c r="I87" s="85">
        <v>1E-8</v>
      </c>
      <c r="J87" s="85">
        <v>1E-8</v>
      </c>
      <c r="K87" s="85">
        <v>1E-8</v>
      </c>
      <c r="L87" s="85">
        <v>1E-8</v>
      </c>
      <c r="M87" s="85">
        <v>1E-8</v>
      </c>
      <c r="N87" s="44"/>
      <c r="O87" s="67"/>
      <c r="P87" s="44"/>
      <c r="Q87" s="70" t="s">
        <v>655</v>
      </c>
      <c r="R87" s="44"/>
      <c r="S87" s="93" t="s">
        <v>347</v>
      </c>
      <c r="T87" s="85">
        <v>1.4265206305404371E-4</v>
      </c>
      <c r="U87" s="86">
        <v>-2.1044467019284049E-4</v>
      </c>
      <c r="V87" s="85">
        <v>1E-8</v>
      </c>
      <c r="W87" s="85">
        <v>1E-8</v>
      </c>
      <c r="X87" s="85">
        <v>1E-8</v>
      </c>
      <c r="Y87" s="85">
        <v>1E-8</v>
      </c>
      <c r="Z87" s="85">
        <v>1E-8</v>
      </c>
      <c r="AA87" s="85">
        <v>1E-8</v>
      </c>
      <c r="AB87" s="85">
        <v>1E-8</v>
      </c>
      <c r="AC87" s="85">
        <v>1E-8</v>
      </c>
      <c r="AD87" s="44"/>
    </row>
    <row r="88" spans="1:30" x14ac:dyDescent="0.35">
      <c r="A88" s="70" t="s">
        <v>656</v>
      </c>
      <c r="B88" s="44"/>
      <c r="C88" s="93" t="s">
        <v>348</v>
      </c>
      <c r="D88" s="85">
        <v>6.2612681228441214E-2</v>
      </c>
      <c r="E88" s="86">
        <v>2.5399361033267454</v>
      </c>
      <c r="F88" s="85">
        <v>1E-8</v>
      </c>
      <c r="G88" s="85">
        <v>1E-8</v>
      </c>
      <c r="H88" s="85">
        <v>1E-8</v>
      </c>
      <c r="I88" s="85">
        <v>1E-8</v>
      </c>
      <c r="J88" s="85">
        <v>1E-8</v>
      </c>
      <c r="K88" s="85">
        <v>1E-8</v>
      </c>
      <c r="L88" s="85">
        <v>1E-8</v>
      </c>
      <c r="M88" s="85">
        <v>1E-8</v>
      </c>
      <c r="N88" s="44"/>
      <c r="O88" s="67"/>
      <c r="P88" s="44"/>
      <c r="Q88" s="70" t="s">
        <v>656</v>
      </c>
      <c r="R88" s="44"/>
      <c r="S88" s="93" t="s">
        <v>348</v>
      </c>
      <c r="T88" s="85">
        <v>3.9203478506143946E-5</v>
      </c>
      <c r="U88" s="86">
        <v>1.5903220957820662E-3</v>
      </c>
      <c r="V88" s="85">
        <v>1E-8</v>
      </c>
      <c r="W88" s="85">
        <v>1E-8</v>
      </c>
      <c r="X88" s="85">
        <v>1E-8</v>
      </c>
      <c r="Y88" s="85">
        <v>1E-8</v>
      </c>
      <c r="Z88" s="85">
        <v>1E-8</v>
      </c>
      <c r="AA88" s="85">
        <v>1E-8</v>
      </c>
      <c r="AB88" s="85">
        <v>1E-8</v>
      </c>
      <c r="AC88" s="85">
        <v>1E-8</v>
      </c>
      <c r="AD88" s="44"/>
    </row>
    <row r="89" spans="1:30" x14ac:dyDescent="0.35">
      <c r="A89" s="9" t="s">
        <v>181</v>
      </c>
      <c r="B89" s="44"/>
      <c r="C89" s="91" t="s">
        <v>554</v>
      </c>
      <c r="D89" s="79">
        <v>0.86712410780075777</v>
      </c>
      <c r="E89" s="80">
        <v>1.5520997865714703</v>
      </c>
      <c r="F89" s="79">
        <v>1E-8</v>
      </c>
      <c r="G89" s="79">
        <v>1E-8</v>
      </c>
      <c r="H89" s="79">
        <v>1E-8</v>
      </c>
      <c r="I89" s="79">
        <v>1E-8</v>
      </c>
      <c r="J89" s="79">
        <v>1E-8</v>
      </c>
      <c r="K89" s="79">
        <v>1E-8</v>
      </c>
      <c r="L89" s="79">
        <v>1E-8</v>
      </c>
      <c r="M89" s="79">
        <v>1E-8</v>
      </c>
      <c r="N89" s="44"/>
      <c r="O89" s="67"/>
      <c r="P89" s="44"/>
      <c r="Q89" s="9" t="s">
        <v>181</v>
      </c>
      <c r="R89" s="44"/>
      <c r="S89" s="91" t="s">
        <v>554</v>
      </c>
      <c r="T89" s="79">
        <v>7.5190421832926017E-3</v>
      </c>
      <c r="U89" s="80">
        <v>1.3458631426485327E-2</v>
      </c>
      <c r="V89" s="79">
        <v>1E-8</v>
      </c>
      <c r="W89" s="79">
        <v>1E-8</v>
      </c>
      <c r="X89" s="79">
        <v>1E-8</v>
      </c>
      <c r="Y89" s="79">
        <v>1E-8</v>
      </c>
      <c r="Z89" s="79">
        <v>1E-8</v>
      </c>
      <c r="AA89" s="79">
        <v>1E-8</v>
      </c>
      <c r="AB89" s="79">
        <v>1E-8</v>
      </c>
      <c r="AC89" s="79">
        <v>1E-8</v>
      </c>
      <c r="AD89" s="44"/>
    </row>
    <row r="90" spans="1:30" x14ac:dyDescent="0.35">
      <c r="A90" s="70" t="s">
        <v>657</v>
      </c>
      <c r="B90" s="44"/>
      <c r="C90" s="93" t="s">
        <v>555</v>
      </c>
      <c r="D90" s="85">
        <v>0.33807467548415759</v>
      </c>
      <c r="E90" s="86">
        <v>1.4194910105472358</v>
      </c>
      <c r="F90" s="85">
        <v>1E-8</v>
      </c>
      <c r="G90" s="85">
        <v>1E-8</v>
      </c>
      <c r="H90" s="85">
        <v>1E-8</v>
      </c>
      <c r="I90" s="85">
        <v>1E-8</v>
      </c>
      <c r="J90" s="85">
        <v>1E-8</v>
      </c>
      <c r="K90" s="85">
        <v>1E-8</v>
      </c>
      <c r="L90" s="85">
        <v>1E-8</v>
      </c>
      <c r="M90" s="85">
        <v>1E-8</v>
      </c>
      <c r="N90" s="44"/>
      <c r="O90" s="67"/>
      <c r="P90" s="44"/>
      <c r="Q90" s="70" t="s">
        <v>657</v>
      </c>
      <c r="R90" s="44"/>
      <c r="S90" s="93" t="s">
        <v>555</v>
      </c>
      <c r="T90" s="85">
        <v>1.1429448620371846E-3</v>
      </c>
      <c r="U90" s="86">
        <v>4.7989396274343565E-3</v>
      </c>
      <c r="V90" s="85">
        <v>1E-8</v>
      </c>
      <c r="W90" s="85">
        <v>1E-8</v>
      </c>
      <c r="X90" s="85">
        <v>1E-8</v>
      </c>
      <c r="Y90" s="85">
        <v>1E-8</v>
      </c>
      <c r="Z90" s="85">
        <v>1E-8</v>
      </c>
      <c r="AA90" s="85">
        <v>1E-8</v>
      </c>
      <c r="AB90" s="85">
        <v>1E-8</v>
      </c>
      <c r="AC90" s="85">
        <v>1E-8</v>
      </c>
      <c r="AD90" s="44"/>
    </row>
    <row r="91" spans="1:30" x14ac:dyDescent="0.35">
      <c r="A91" s="70" t="s">
        <v>658</v>
      </c>
      <c r="B91" s="44"/>
      <c r="C91" s="93" t="s">
        <v>349</v>
      </c>
      <c r="D91" s="85">
        <v>0.52626412578386494</v>
      </c>
      <c r="E91" s="86">
        <v>1.6544972745556663</v>
      </c>
      <c r="F91" s="85">
        <v>1E-8</v>
      </c>
      <c r="G91" s="85">
        <v>1E-8</v>
      </c>
      <c r="H91" s="85">
        <v>1E-8</v>
      </c>
      <c r="I91" s="85">
        <v>1E-8</v>
      </c>
      <c r="J91" s="85">
        <v>1E-8</v>
      </c>
      <c r="K91" s="85">
        <v>1E-8</v>
      </c>
      <c r="L91" s="85">
        <v>1E-8</v>
      </c>
      <c r="M91" s="85">
        <v>1E-8</v>
      </c>
      <c r="N91" s="44"/>
      <c r="O91" s="67"/>
      <c r="P91" s="44"/>
      <c r="Q91" s="70" t="s">
        <v>658</v>
      </c>
      <c r="R91" s="44"/>
      <c r="S91" s="93" t="s">
        <v>349</v>
      </c>
      <c r="T91" s="85">
        <v>2.7695393008705564E-3</v>
      </c>
      <c r="U91" s="86">
        <v>8.7070256180582506E-3</v>
      </c>
      <c r="V91" s="85">
        <v>1E-8</v>
      </c>
      <c r="W91" s="85">
        <v>1E-8</v>
      </c>
      <c r="X91" s="85">
        <v>1E-8</v>
      </c>
      <c r="Y91" s="85">
        <v>1E-8</v>
      </c>
      <c r="Z91" s="85">
        <v>1E-8</v>
      </c>
      <c r="AA91" s="85">
        <v>1E-8</v>
      </c>
      <c r="AB91" s="85">
        <v>1E-8</v>
      </c>
      <c r="AC91" s="85">
        <v>1E-8</v>
      </c>
      <c r="AD91" s="44"/>
    </row>
    <row r="92" spans="1:30" x14ac:dyDescent="0.35">
      <c r="A92" s="70" t="s">
        <v>659</v>
      </c>
      <c r="B92" s="44"/>
      <c r="C92" s="93" t="s">
        <v>556</v>
      </c>
      <c r="D92" s="87">
        <v>2.7853065327350379E-3</v>
      </c>
      <c r="E92" s="88">
        <v>-1.6994114813240868</v>
      </c>
      <c r="F92" s="87">
        <v>1E-8</v>
      </c>
      <c r="G92" s="87">
        <v>1E-8</v>
      </c>
      <c r="H92" s="87">
        <v>1E-8</v>
      </c>
      <c r="I92" s="87">
        <v>1E-8</v>
      </c>
      <c r="J92" s="87">
        <v>1E-8</v>
      </c>
      <c r="K92" s="87">
        <v>1E-8</v>
      </c>
      <c r="L92" s="87">
        <v>1E-8</v>
      </c>
      <c r="M92" s="87">
        <v>1E-8</v>
      </c>
      <c r="N92" s="44"/>
      <c r="O92" s="67"/>
      <c r="P92" s="44"/>
      <c r="Q92" s="70" t="s">
        <v>659</v>
      </c>
      <c r="R92" s="44"/>
      <c r="S92" s="93" t="s">
        <v>556</v>
      </c>
      <c r="T92" s="87">
        <v>1E-8</v>
      </c>
      <c r="U92" s="88">
        <v>-4.7333819007369074E-5</v>
      </c>
      <c r="V92" s="87">
        <v>1E-8</v>
      </c>
      <c r="W92" s="87">
        <v>1E-8</v>
      </c>
      <c r="X92" s="87">
        <v>1E-8</v>
      </c>
      <c r="Y92" s="87">
        <v>1E-8</v>
      </c>
      <c r="Z92" s="87">
        <v>1E-8</v>
      </c>
      <c r="AA92" s="87">
        <v>1E-8</v>
      </c>
      <c r="AB92" s="87">
        <v>1E-8</v>
      </c>
      <c r="AC92" s="87">
        <v>1E-8</v>
      </c>
      <c r="AD92" s="44"/>
    </row>
    <row r="93" spans="1:30" x14ac:dyDescent="0.35">
      <c r="A93" s="11" t="s">
        <v>286</v>
      </c>
      <c r="B93" s="44"/>
      <c r="C93" s="90" t="s">
        <v>350</v>
      </c>
      <c r="D93" s="77">
        <v>8.1514394725860697</v>
      </c>
      <c r="E93" s="78">
        <v>-2.0002374721200256</v>
      </c>
      <c r="F93" s="77">
        <v>1E-8</v>
      </c>
      <c r="G93" s="77">
        <v>1E-8</v>
      </c>
      <c r="H93" s="77">
        <v>1E-8</v>
      </c>
      <c r="I93" s="77">
        <v>1E-8</v>
      </c>
      <c r="J93" s="77">
        <v>1E-8</v>
      </c>
      <c r="K93" s="77">
        <v>1E-8</v>
      </c>
      <c r="L93" s="77">
        <v>1E-8</v>
      </c>
      <c r="M93" s="77">
        <v>1E-8</v>
      </c>
      <c r="N93" s="44"/>
      <c r="O93" s="67"/>
      <c r="P93" s="44"/>
      <c r="Q93" s="11" t="s">
        <v>286</v>
      </c>
      <c r="R93" s="44"/>
      <c r="S93" s="90" t="s">
        <v>350</v>
      </c>
      <c r="T93" s="77">
        <v>0.66445965475234259</v>
      </c>
      <c r="U93" s="78">
        <v>-0.16304814684784955</v>
      </c>
      <c r="V93" s="77">
        <v>1E-8</v>
      </c>
      <c r="W93" s="77">
        <v>1E-8</v>
      </c>
      <c r="X93" s="77">
        <v>1E-8</v>
      </c>
      <c r="Y93" s="77">
        <v>1E-8</v>
      </c>
      <c r="Z93" s="77">
        <v>1E-8</v>
      </c>
      <c r="AA93" s="77">
        <v>1E-8</v>
      </c>
      <c r="AB93" s="77">
        <v>1E-8</v>
      </c>
      <c r="AC93" s="77">
        <v>1E-8</v>
      </c>
      <c r="AD93" s="44"/>
    </row>
    <row r="94" spans="1:30" x14ac:dyDescent="0.35">
      <c r="A94" s="11" t="s">
        <v>369</v>
      </c>
      <c r="B94" s="44"/>
      <c r="C94" s="90" t="s">
        <v>557</v>
      </c>
      <c r="D94" s="77">
        <v>1.6472966934225737</v>
      </c>
      <c r="E94" s="78">
        <v>-0.38171003744384979</v>
      </c>
      <c r="F94" s="77">
        <v>1E-8</v>
      </c>
      <c r="G94" s="77">
        <v>1E-8</v>
      </c>
      <c r="H94" s="77">
        <v>1E-8</v>
      </c>
      <c r="I94" s="77">
        <v>1E-8</v>
      </c>
      <c r="J94" s="77">
        <v>1E-8</v>
      </c>
      <c r="K94" s="77">
        <v>1E-8</v>
      </c>
      <c r="L94" s="77">
        <v>1E-8</v>
      </c>
      <c r="M94" s="77">
        <v>1E-8</v>
      </c>
      <c r="N94" s="44"/>
      <c r="O94" s="67"/>
      <c r="P94" s="44"/>
      <c r="Q94" s="11" t="s">
        <v>369</v>
      </c>
      <c r="R94" s="44"/>
      <c r="S94" s="90" t="s">
        <v>557</v>
      </c>
      <c r="T94" s="77">
        <v>2.7135863961609448E-2</v>
      </c>
      <c r="U94" s="78">
        <v>-6.2878968252746059E-3</v>
      </c>
      <c r="V94" s="77">
        <v>1E-8</v>
      </c>
      <c r="W94" s="77">
        <v>1E-8</v>
      </c>
      <c r="X94" s="77">
        <v>1E-8</v>
      </c>
      <c r="Y94" s="77">
        <v>1E-8</v>
      </c>
      <c r="Z94" s="77">
        <v>1E-8</v>
      </c>
      <c r="AA94" s="77">
        <v>1E-8</v>
      </c>
      <c r="AB94" s="77">
        <v>1E-8</v>
      </c>
      <c r="AC94" s="77">
        <v>1E-8</v>
      </c>
      <c r="AD94" s="44"/>
    </row>
    <row r="95" spans="1:30" x14ac:dyDescent="0.35">
      <c r="A95" s="9" t="s">
        <v>660</v>
      </c>
      <c r="B95" s="44"/>
      <c r="C95" s="91" t="s">
        <v>351</v>
      </c>
      <c r="D95" s="79">
        <v>1.192456883741378</v>
      </c>
      <c r="E95" s="80">
        <v>-0.43186658667545563</v>
      </c>
      <c r="F95" s="79">
        <v>1E-8</v>
      </c>
      <c r="G95" s="79">
        <v>1E-8</v>
      </c>
      <c r="H95" s="79">
        <v>1E-8</v>
      </c>
      <c r="I95" s="79">
        <v>1E-8</v>
      </c>
      <c r="J95" s="79">
        <v>1E-8</v>
      </c>
      <c r="K95" s="79">
        <v>1E-8</v>
      </c>
      <c r="L95" s="79">
        <v>1E-8</v>
      </c>
      <c r="M95" s="79">
        <v>1E-8</v>
      </c>
      <c r="N95" s="44"/>
      <c r="O95" s="67"/>
      <c r="P95" s="44"/>
      <c r="Q95" s="9" t="s">
        <v>660</v>
      </c>
      <c r="R95" s="44"/>
      <c r="S95" s="91" t="s">
        <v>351</v>
      </c>
      <c r="T95" s="79">
        <v>1.4219534195821984E-2</v>
      </c>
      <c r="U95" s="80">
        <v>-5.1498228413903958E-3</v>
      </c>
      <c r="V95" s="79">
        <v>1E-8</v>
      </c>
      <c r="W95" s="79">
        <v>1E-8</v>
      </c>
      <c r="X95" s="79">
        <v>1E-8</v>
      </c>
      <c r="Y95" s="79">
        <v>1E-8</v>
      </c>
      <c r="Z95" s="79">
        <v>1E-8</v>
      </c>
      <c r="AA95" s="79">
        <v>1E-8</v>
      </c>
      <c r="AB95" s="79">
        <v>1E-8</v>
      </c>
      <c r="AC95" s="79">
        <v>1E-8</v>
      </c>
      <c r="AD95" s="44"/>
    </row>
    <row r="96" spans="1:30" x14ac:dyDescent="0.35">
      <c r="A96" s="9" t="s">
        <v>661</v>
      </c>
      <c r="B96" s="44"/>
      <c r="C96" s="91" t="s">
        <v>352</v>
      </c>
      <c r="D96" s="79">
        <v>0.39924730424259508</v>
      </c>
      <c r="E96" s="80">
        <v>-0.17168851565897425</v>
      </c>
      <c r="F96" s="79">
        <v>1E-8</v>
      </c>
      <c r="G96" s="79">
        <v>1E-8</v>
      </c>
      <c r="H96" s="79">
        <v>1E-8</v>
      </c>
      <c r="I96" s="79">
        <v>1E-8</v>
      </c>
      <c r="J96" s="79">
        <v>1E-8</v>
      </c>
      <c r="K96" s="79">
        <v>1E-8</v>
      </c>
      <c r="L96" s="79">
        <v>1E-8</v>
      </c>
      <c r="M96" s="79">
        <v>1E-8</v>
      </c>
      <c r="N96" s="44"/>
      <c r="O96" s="67"/>
      <c r="P96" s="44"/>
      <c r="Q96" s="9" t="s">
        <v>661</v>
      </c>
      <c r="R96" s="44"/>
      <c r="S96" s="91" t="s">
        <v>352</v>
      </c>
      <c r="T96" s="79">
        <v>1.5939840994497927E-3</v>
      </c>
      <c r="U96" s="80">
        <v>-6.854617704625804E-4</v>
      </c>
      <c r="V96" s="79">
        <v>1E-8</v>
      </c>
      <c r="W96" s="79">
        <v>1E-8</v>
      </c>
      <c r="X96" s="79">
        <v>1E-8</v>
      </c>
      <c r="Y96" s="79">
        <v>1E-8</v>
      </c>
      <c r="Z96" s="79">
        <v>1E-8</v>
      </c>
      <c r="AA96" s="79">
        <v>1E-8</v>
      </c>
      <c r="AB96" s="79">
        <v>1E-8</v>
      </c>
      <c r="AC96" s="79">
        <v>1E-8</v>
      </c>
      <c r="AD96" s="44"/>
    </row>
    <row r="97" spans="1:30" x14ac:dyDescent="0.35">
      <c r="A97" s="9" t="s">
        <v>662</v>
      </c>
      <c r="B97" s="44"/>
      <c r="C97" s="91" t="s">
        <v>558</v>
      </c>
      <c r="D97" s="79">
        <v>5.5592505438600504E-2</v>
      </c>
      <c r="E97" s="80">
        <v>-0.81416048773252925</v>
      </c>
      <c r="F97" s="79">
        <v>1E-8</v>
      </c>
      <c r="G97" s="79">
        <v>1E-8</v>
      </c>
      <c r="H97" s="79">
        <v>1E-8</v>
      </c>
      <c r="I97" s="79">
        <v>1E-8</v>
      </c>
      <c r="J97" s="79">
        <v>1E-8</v>
      </c>
      <c r="K97" s="79">
        <v>1E-8</v>
      </c>
      <c r="L97" s="79">
        <v>1E-8</v>
      </c>
      <c r="M97" s="79">
        <v>1E-8</v>
      </c>
      <c r="N97" s="44"/>
      <c r="O97" s="67"/>
      <c r="P97" s="44"/>
      <c r="Q97" s="9" t="s">
        <v>662</v>
      </c>
      <c r="R97" s="44"/>
      <c r="S97" s="91" t="s">
        <v>558</v>
      </c>
      <c r="T97" s="79">
        <v>3.0905266609408266E-5</v>
      </c>
      <c r="U97" s="80">
        <v>-4.5261221342164269E-4</v>
      </c>
      <c r="V97" s="79">
        <v>1E-8</v>
      </c>
      <c r="W97" s="79">
        <v>1E-8</v>
      </c>
      <c r="X97" s="79">
        <v>1E-8</v>
      </c>
      <c r="Y97" s="79">
        <v>1E-8</v>
      </c>
      <c r="Z97" s="79">
        <v>1E-8</v>
      </c>
      <c r="AA97" s="79">
        <v>1E-8</v>
      </c>
      <c r="AB97" s="79">
        <v>1E-8</v>
      </c>
      <c r="AC97" s="79">
        <v>1E-8</v>
      </c>
      <c r="AD97" s="44"/>
    </row>
    <row r="98" spans="1:30" x14ac:dyDescent="0.35">
      <c r="A98" s="11" t="s">
        <v>188</v>
      </c>
      <c r="B98" s="44"/>
      <c r="C98" s="90" t="s">
        <v>559</v>
      </c>
      <c r="D98" s="77">
        <v>6.5041427791634954</v>
      </c>
      <c r="E98" s="78">
        <v>-2.4101600371499887</v>
      </c>
      <c r="F98" s="77">
        <v>1E-8</v>
      </c>
      <c r="G98" s="77">
        <v>1E-8</v>
      </c>
      <c r="H98" s="77">
        <v>1E-8</v>
      </c>
      <c r="I98" s="77">
        <v>1E-8</v>
      </c>
      <c r="J98" s="77">
        <v>1E-8</v>
      </c>
      <c r="K98" s="77">
        <v>1E-8</v>
      </c>
      <c r="L98" s="77">
        <v>1E-8</v>
      </c>
      <c r="M98" s="77">
        <v>1E-8</v>
      </c>
      <c r="N98" s="44"/>
      <c r="O98" s="67"/>
      <c r="P98" s="44"/>
      <c r="Q98" s="11" t="s">
        <v>188</v>
      </c>
      <c r="R98" s="44"/>
      <c r="S98" s="90" t="s">
        <v>559</v>
      </c>
      <c r="T98" s="77">
        <v>0.42303873291744637</v>
      </c>
      <c r="U98" s="78">
        <v>-0.15676025002257521</v>
      </c>
      <c r="V98" s="77">
        <v>1E-8</v>
      </c>
      <c r="W98" s="77">
        <v>1E-8</v>
      </c>
      <c r="X98" s="77">
        <v>1E-8</v>
      </c>
      <c r="Y98" s="77">
        <v>1E-8</v>
      </c>
      <c r="Z98" s="77">
        <v>1E-8</v>
      </c>
      <c r="AA98" s="77">
        <v>1E-8</v>
      </c>
      <c r="AB98" s="77">
        <v>1E-8</v>
      </c>
      <c r="AC98" s="77">
        <v>1E-8</v>
      </c>
      <c r="AD98" s="44"/>
    </row>
    <row r="99" spans="1:30" x14ac:dyDescent="0.35">
      <c r="A99" s="9" t="s">
        <v>663</v>
      </c>
      <c r="B99" s="44"/>
      <c r="C99" s="91" t="s">
        <v>353</v>
      </c>
      <c r="D99" s="79">
        <v>6.5041427791634954</v>
      </c>
      <c r="E99" s="80">
        <v>-2.4101600371499887</v>
      </c>
      <c r="F99" s="79">
        <v>1E-8</v>
      </c>
      <c r="G99" s="79">
        <v>1E-8</v>
      </c>
      <c r="H99" s="79">
        <v>1E-8</v>
      </c>
      <c r="I99" s="79">
        <v>1E-8</v>
      </c>
      <c r="J99" s="79">
        <v>1E-8</v>
      </c>
      <c r="K99" s="79">
        <v>1E-8</v>
      </c>
      <c r="L99" s="79">
        <v>1E-8</v>
      </c>
      <c r="M99" s="79">
        <v>1E-8</v>
      </c>
      <c r="N99" s="44"/>
      <c r="O99" s="67"/>
      <c r="P99" s="44"/>
      <c r="Q99" s="9" t="s">
        <v>663</v>
      </c>
      <c r="R99" s="44"/>
      <c r="S99" s="91" t="s">
        <v>353</v>
      </c>
      <c r="T99" s="79">
        <v>0.42303873291744637</v>
      </c>
      <c r="U99" s="80">
        <v>-0.15676025002257521</v>
      </c>
      <c r="V99" s="79">
        <v>1E-8</v>
      </c>
      <c r="W99" s="79">
        <v>1E-8</v>
      </c>
      <c r="X99" s="79">
        <v>1E-8</v>
      </c>
      <c r="Y99" s="79">
        <v>1E-8</v>
      </c>
      <c r="Z99" s="79">
        <v>1E-8</v>
      </c>
      <c r="AA99" s="79">
        <v>1E-8</v>
      </c>
      <c r="AB99" s="79">
        <v>1E-8</v>
      </c>
      <c r="AC99" s="79">
        <v>1E-8</v>
      </c>
      <c r="AD99" s="44"/>
    </row>
    <row r="100" spans="1:30" x14ac:dyDescent="0.35">
      <c r="A100" s="72" t="s">
        <v>664</v>
      </c>
      <c r="B100" s="53"/>
      <c r="C100" s="94" t="s">
        <v>560</v>
      </c>
      <c r="D100" s="81">
        <v>1E-8</v>
      </c>
      <c r="E100" s="82">
        <v>1E-8</v>
      </c>
      <c r="F100" s="81">
        <v>1E-8</v>
      </c>
      <c r="G100" s="81">
        <v>1E-8</v>
      </c>
      <c r="H100" s="81">
        <v>1E-8</v>
      </c>
      <c r="I100" s="81">
        <v>1E-8</v>
      </c>
      <c r="J100" s="81">
        <v>1E-8</v>
      </c>
      <c r="K100" s="81">
        <v>1E-8</v>
      </c>
      <c r="L100" s="81">
        <v>1E-8</v>
      </c>
      <c r="M100" s="81">
        <v>1E-8</v>
      </c>
      <c r="N100" s="44"/>
      <c r="O100" s="67"/>
      <c r="P100" s="44"/>
      <c r="Q100" s="72" t="s">
        <v>664</v>
      </c>
      <c r="R100" s="53"/>
      <c r="S100" s="94" t="s">
        <v>560</v>
      </c>
      <c r="T100" s="81">
        <v>1E-8</v>
      </c>
      <c r="U100" s="82">
        <v>1E-8</v>
      </c>
      <c r="V100" s="81">
        <v>1E-8</v>
      </c>
      <c r="W100" s="81">
        <v>1E-8</v>
      </c>
      <c r="X100" s="81">
        <v>1E-8</v>
      </c>
      <c r="Y100" s="81">
        <v>1E-8</v>
      </c>
      <c r="Z100" s="81">
        <v>1E-8</v>
      </c>
      <c r="AA100" s="81">
        <v>1E-8</v>
      </c>
      <c r="AB100" s="81">
        <v>1E-8</v>
      </c>
      <c r="AC100" s="81">
        <v>1E-8</v>
      </c>
      <c r="AD100" s="44"/>
    </row>
    <row r="101" spans="1:30" x14ac:dyDescent="0.35">
      <c r="A101" s="5" t="s">
        <v>287</v>
      </c>
      <c r="B101" s="44"/>
      <c r="C101" s="89" t="s">
        <v>354</v>
      </c>
      <c r="D101" s="73">
        <v>52.33044723368139</v>
      </c>
      <c r="E101" s="74">
        <v>-9.337034408998246E-2</v>
      </c>
      <c r="F101" s="73">
        <v>1E-8</v>
      </c>
      <c r="G101" s="73">
        <v>1E-8</v>
      </c>
      <c r="H101" s="73">
        <v>1E-8</v>
      </c>
      <c r="I101" s="73">
        <v>1E-8</v>
      </c>
      <c r="J101" s="73">
        <v>1E-8</v>
      </c>
      <c r="K101" s="73">
        <v>1E-8</v>
      </c>
      <c r="L101" s="73">
        <v>1E-8</v>
      </c>
      <c r="M101" s="73">
        <v>1E-8</v>
      </c>
      <c r="N101" s="44"/>
      <c r="O101" s="67"/>
      <c r="P101" s="44"/>
      <c r="Q101" s="5" t="s">
        <v>287</v>
      </c>
      <c r="R101" s="44"/>
      <c r="S101" s="89" t="s">
        <v>354</v>
      </c>
      <c r="T101" s="73">
        <v>27.38475707677112</v>
      </c>
      <c r="U101" s="74">
        <v>-4.8861118645915018E-2</v>
      </c>
      <c r="V101" s="73">
        <v>1E-8</v>
      </c>
      <c r="W101" s="73">
        <v>1E-8</v>
      </c>
      <c r="X101" s="73">
        <v>1E-8</v>
      </c>
      <c r="Y101" s="73">
        <v>1E-8</v>
      </c>
      <c r="Z101" s="73">
        <v>1E-8</v>
      </c>
      <c r="AA101" s="73">
        <v>1E-8</v>
      </c>
      <c r="AB101" s="73">
        <v>1E-8</v>
      </c>
      <c r="AC101" s="73">
        <v>1E-8</v>
      </c>
      <c r="AD101" s="44"/>
    </row>
    <row r="102" spans="1:30" x14ac:dyDescent="0.35">
      <c r="A102" s="11" t="s">
        <v>370</v>
      </c>
      <c r="B102" s="44"/>
      <c r="C102" s="90" t="s">
        <v>561</v>
      </c>
      <c r="D102" s="77">
        <v>9.0458405193778741</v>
      </c>
      <c r="E102" s="78">
        <v>-1.0597115843088756</v>
      </c>
      <c r="F102" s="77">
        <v>1E-8</v>
      </c>
      <c r="G102" s="77">
        <v>1E-8</v>
      </c>
      <c r="H102" s="77">
        <v>1E-8</v>
      </c>
      <c r="I102" s="77">
        <v>1E-8</v>
      </c>
      <c r="J102" s="77">
        <v>1E-8</v>
      </c>
      <c r="K102" s="77">
        <v>1E-8</v>
      </c>
      <c r="L102" s="77">
        <v>1E-8</v>
      </c>
      <c r="M102" s="77">
        <v>1E-8</v>
      </c>
      <c r="N102" s="44"/>
      <c r="O102" s="67"/>
      <c r="P102" s="44"/>
      <c r="Q102" s="11" t="s">
        <v>370</v>
      </c>
      <c r="R102" s="44"/>
      <c r="S102" s="90" t="s">
        <v>561</v>
      </c>
      <c r="T102" s="77">
        <v>0.81827230702018572</v>
      </c>
      <c r="U102" s="78">
        <v>-9.5859819881953495E-2</v>
      </c>
      <c r="V102" s="77">
        <v>1E-8</v>
      </c>
      <c r="W102" s="77">
        <v>1E-8</v>
      </c>
      <c r="X102" s="77">
        <v>1E-8</v>
      </c>
      <c r="Y102" s="77">
        <v>1E-8</v>
      </c>
      <c r="Z102" s="77">
        <v>1E-8</v>
      </c>
      <c r="AA102" s="77">
        <v>1E-8</v>
      </c>
      <c r="AB102" s="77">
        <v>1E-8</v>
      </c>
      <c r="AC102" s="77">
        <v>1E-8</v>
      </c>
      <c r="AD102" s="44"/>
    </row>
    <row r="103" spans="1:30" x14ac:dyDescent="0.35">
      <c r="A103" s="9" t="s">
        <v>665</v>
      </c>
      <c r="B103" s="44"/>
      <c r="C103" s="91" t="s">
        <v>562</v>
      </c>
      <c r="D103" s="79">
        <v>0.54544496701683431</v>
      </c>
      <c r="E103" s="80">
        <v>-0.43153257918990828</v>
      </c>
      <c r="F103" s="79">
        <v>1E-8</v>
      </c>
      <c r="G103" s="79">
        <v>1E-8</v>
      </c>
      <c r="H103" s="79">
        <v>1E-8</v>
      </c>
      <c r="I103" s="79">
        <v>1E-8</v>
      </c>
      <c r="J103" s="79">
        <v>1E-8</v>
      </c>
      <c r="K103" s="79">
        <v>1E-8</v>
      </c>
      <c r="L103" s="79">
        <v>1E-8</v>
      </c>
      <c r="M103" s="79">
        <v>1E-8</v>
      </c>
      <c r="N103" s="44"/>
      <c r="O103" s="67"/>
      <c r="P103" s="44"/>
      <c r="Q103" s="9" t="s">
        <v>665</v>
      </c>
      <c r="R103" s="44"/>
      <c r="S103" s="91" t="s">
        <v>562</v>
      </c>
      <c r="T103" s="79">
        <v>2.9751021204399552E-3</v>
      </c>
      <c r="U103" s="80">
        <v>-2.3537727342292898E-3</v>
      </c>
      <c r="V103" s="79">
        <v>1E-8</v>
      </c>
      <c r="W103" s="79">
        <v>1E-8</v>
      </c>
      <c r="X103" s="79">
        <v>1E-8</v>
      </c>
      <c r="Y103" s="79">
        <v>1E-8</v>
      </c>
      <c r="Z103" s="79">
        <v>1E-8</v>
      </c>
      <c r="AA103" s="79">
        <v>1E-8</v>
      </c>
      <c r="AB103" s="79">
        <v>1E-8</v>
      </c>
      <c r="AC103" s="79">
        <v>1E-8</v>
      </c>
      <c r="AD103" s="44"/>
    </row>
    <row r="104" spans="1:30" x14ac:dyDescent="0.35">
      <c r="A104" s="9" t="s">
        <v>666</v>
      </c>
      <c r="B104" s="44"/>
      <c r="C104" s="91" t="s">
        <v>563</v>
      </c>
      <c r="D104" s="79">
        <v>6.1691188718464879E-2</v>
      </c>
      <c r="E104" s="80">
        <v>-3.895686363073414</v>
      </c>
      <c r="F104" s="79">
        <v>1E-8</v>
      </c>
      <c r="G104" s="79">
        <v>1E-8</v>
      </c>
      <c r="H104" s="79">
        <v>1E-8</v>
      </c>
      <c r="I104" s="79">
        <v>1E-8</v>
      </c>
      <c r="J104" s="79">
        <v>1E-8</v>
      </c>
      <c r="K104" s="79">
        <v>1E-8</v>
      </c>
      <c r="L104" s="79">
        <v>1E-8</v>
      </c>
      <c r="M104" s="79">
        <v>1E-8</v>
      </c>
      <c r="N104" s="44"/>
      <c r="O104" s="67"/>
      <c r="P104" s="44"/>
      <c r="Q104" s="9" t="s">
        <v>666</v>
      </c>
      <c r="R104" s="44"/>
      <c r="S104" s="91" t="s">
        <v>563</v>
      </c>
      <c r="T104" s="79">
        <v>3.8058027654972483E-5</v>
      </c>
      <c r="U104" s="80">
        <v>-2.4032952261231208E-3</v>
      </c>
      <c r="V104" s="79">
        <v>1E-8</v>
      </c>
      <c r="W104" s="79">
        <v>1E-8</v>
      </c>
      <c r="X104" s="79">
        <v>1E-8</v>
      </c>
      <c r="Y104" s="79">
        <v>1E-8</v>
      </c>
      <c r="Z104" s="79">
        <v>1E-8</v>
      </c>
      <c r="AA104" s="79">
        <v>1E-8</v>
      </c>
      <c r="AB104" s="79">
        <v>1E-8</v>
      </c>
      <c r="AC104" s="79">
        <v>1E-8</v>
      </c>
      <c r="AD104" s="44"/>
    </row>
    <row r="105" spans="1:30" x14ac:dyDescent="0.35">
      <c r="A105" s="9" t="s">
        <v>667</v>
      </c>
      <c r="B105" s="44"/>
      <c r="C105" s="91" t="s">
        <v>564</v>
      </c>
      <c r="D105" s="79">
        <v>2.5545918403313883</v>
      </c>
      <c r="E105" s="80">
        <v>-1.0864665043252897</v>
      </c>
      <c r="F105" s="79">
        <v>1E-8</v>
      </c>
      <c r="G105" s="79">
        <v>1E-8</v>
      </c>
      <c r="H105" s="79">
        <v>1E-8</v>
      </c>
      <c r="I105" s="79">
        <v>1E-8</v>
      </c>
      <c r="J105" s="79">
        <v>1E-8</v>
      </c>
      <c r="K105" s="79">
        <v>1E-8</v>
      </c>
      <c r="L105" s="79">
        <v>1E-8</v>
      </c>
      <c r="M105" s="79">
        <v>1E-8</v>
      </c>
      <c r="N105" s="44"/>
      <c r="O105" s="67"/>
      <c r="P105" s="44"/>
      <c r="Q105" s="9" t="s">
        <v>667</v>
      </c>
      <c r="R105" s="44"/>
      <c r="S105" s="91" t="s">
        <v>564</v>
      </c>
      <c r="T105" s="79">
        <v>6.5259394706877097E-2</v>
      </c>
      <c r="U105" s="80">
        <v>-2.7754784667427521E-2</v>
      </c>
      <c r="V105" s="79">
        <v>1E-8</v>
      </c>
      <c r="W105" s="79">
        <v>1E-8</v>
      </c>
      <c r="X105" s="79">
        <v>1E-8</v>
      </c>
      <c r="Y105" s="79">
        <v>1E-8</v>
      </c>
      <c r="Z105" s="79">
        <v>1E-8</v>
      </c>
      <c r="AA105" s="79">
        <v>1E-8</v>
      </c>
      <c r="AB105" s="79">
        <v>1E-8</v>
      </c>
      <c r="AC105" s="79">
        <v>1E-8</v>
      </c>
      <c r="AD105" s="44"/>
    </row>
    <row r="106" spans="1:30" x14ac:dyDescent="0.35">
      <c r="A106" s="9" t="s">
        <v>668</v>
      </c>
      <c r="B106" s="44"/>
      <c r="C106" s="91" t="s">
        <v>565</v>
      </c>
      <c r="D106" s="79">
        <v>5.8841125233111873</v>
      </c>
      <c r="E106" s="80">
        <v>-1.0765934030528279</v>
      </c>
      <c r="F106" s="79">
        <v>1E-8</v>
      </c>
      <c r="G106" s="79">
        <v>1E-8</v>
      </c>
      <c r="H106" s="79">
        <v>1E-8</v>
      </c>
      <c r="I106" s="79">
        <v>1E-8</v>
      </c>
      <c r="J106" s="79">
        <v>1E-8</v>
      </c>
      <c r="K106" s="79">
        <v>1E-8</v>
      </c>
      <c r="L106" s="79">
        <v>1E-8</v>
      </c>
      <c r="M106" s="79">
        <v>1E-8</v>
      </c>
      <c r="N106" s="44"/>
      <c r="O106" s="67"/>
      <c r="P106" s="44"/>
      <c r="Q106" s="9" t="s">
        <v>668</v>
      </c>
      <c r="R106" s="44"/>
      <c r="S106" s="91" t="s">
        <v>565</v>
      </c>
      <c r="T106" s="79">
        <v>0.34622780186987545</v>
      </c>
      <c r="U106" s="80">
        <v>-6.3347967254173534E-2</v>
      </c>
      <c r="V106" s="79">
        <v>1E-8</v>
      </c>
      <c r="W106" s="79">
        <v>1E-8</v>
      </c>
      <c r="X106" s="79">
        <v>1E-8</v>
      </c>
      <c r="Y106" s="79">
        <v>1E-8</v>
      </c>
      <c r="Z106" s="79">
        <v>1E-8</v>
      </c>
      <c r="AA106" s="79">
        <v>1E-8</v>
      </c>
      <c r="AB106" s="79">
        <v>1E-8</v>
      </c>
      <c r="AC106" s="79">
        <v>1E-8</v>
      </c>
      <c r="AD106" s="44"/>
    </row>
    <row r="107" spans="1:30" x14ac:dyDescent="0.35">
      <c r="A107" s="11" t="s">
        <v>371</v>
      </c>
      <c r="B107" s="44"/>
      <c r="C107" s="90" t="s">
        <v>566</v>
      </c>
      <c r="D107" s="77">
        <v>5.0412273497742248</v>
      </c>
      <c r="E107" s="78">
        <v>-4.5208516888040062E-2</v>
      </c>
      <c r="F107" s="77">
        <v>1E-8</v>
      </c>
      <c r="G107" s="77">
        <v>1E-8</v>
      </c>
      <c r="H107" s="77">
        <v>1E-8</v>
      </c>
      <c r="I107" s="77">
        <v>1E-8</v>
      </c>
      <c r="J107" s="77">
        <v>1E-8</v>
      </c>
      <c r="K107" s="77">
        <v>1E-8</v>
      </c>
      <c r="L107" s="77">
        <v>1E-8</v>
      </c>
      <c r="M107" s="77">
        <v>1E-8</v>
      </c>
      <c r="N107" s="44"/>
      <c r="O107" s="67"/>
      <c r="P107" s="44"/>
      <c r="Q107" s="11" t="s">
        <v>371</v>
      </c>
      <c r="R107" s="44"/>
      <c r="S107" s="90" t="s">
        <v>566</v>
      </c>
      <c r="T107" s="77">
        <v>0.25413973192111655</v>
      </c>
      <c r="U107" s="78">
        <v>-2.2790641177871749E-3</v>
      </c>
      <c r="V107" s="77">
        <v>1E-8</v>
      </c>
      <c r="W107" s="77">
        <v>1E-8</v>
      </c>
      <c r="X107" s="77">
        <v>1E-8</v>
      </c>
      <c r="Y107" s="77">
        <v>1E-8</v>
      </c>
      <c r="Z107" s="77">
        <v>1E-8</v>
      </c>
      <c r="AA107" s="77">
        <v>1E-8</v>
      </c>
      <c r="AB107" s="77">
        <v>1E-8</v>
      </c>
      <c r="AC107" s="77">
        <v>1E-8</v>
      </c>
      <c r="AD107" s="44"/>
    </row>
    <row r="108" spans="1:30" x14ac:dyDescent="0.35">
      <c r="A108" s="9" t="s">
        <v>669</v>
      </c>
      <c r="B108" s="44"/>
      <c r="C108" s="91" t="s">
        <v>567</v>
      </c>
      <c r="D108" s="79">
        <v>2.9093270748590525</v>
      </c>
      <c r="E108" s="80">
        <v>-0.62428933121821961</v>
      </c>
      <c r="F108" s="79">
        <v>1E-8</v>
      </c>
      <c r="G108" s="79">
        <v>1E-8</v>
      </c>
      <c r="H108" s="79">
        <v>1E-8</v>
      </c>
      <c r="I108" s="79">
        <v>1E-8</v>
      </c>
      <c r="J108" s="79">
        <v>1E-8</v>
      </c>
      <c r="K108" s="79">
        <v>1E-8</v>
      </c>
      <c r="L108" s="79">
        <v>1E-8</v>
      </c>
      <c r="M108" s="79">
        <v>1E-8</v>
      </c>
      <c r="N108" s="44"/>
      <c r="O108" s="67"/>
      <c r="P108" s="44"/>
      <c r="Q108" s="9" t="s">
        <v>669</v>
      </c>
      <c r="R108" s="44"/>
      <c r="S108" s="91" t="s">
        <v>567</v>
      </c>
      <c r="T108" s="79">
        <v>8.4641840285079317E-2</v>
      </c>
      <c r="U108" s="80">
        <v>-1.8162618538588172E-2</v>
      </c>
      <c r="V108" s="79">
        <v>1E-8</v>
      </c>
      <c r="W108" s="79">
        <v>1E-8</v>
      </c>
      <c r="X108" s="79">
        <v>1E-8</v>
      </c>
      <c r="Y108" s="79">
        <v>1E-8</v>
      </c>
      <c r="Z108" s="79">
        <v>1E-8</v>
      </c>
      <c r="AA108" s="79">
        <v>1E-8</v>
      </c>
      <c r="AB108" s="79">
        <v>1E-8</v>
      </c>
      <c r="AC108" s="79">
        <v>1E-8</v>
      </c>
      <c r="AD108" s="44"/>
    </row>
    <row r="109" spans="1:30" x14ac:dyDescent="0.35">
      <c r="A109" s="9" t="s">
        <v>670</v>
      </c>
      <c r="B109" s="44"/>
      <c r="C109" s="91" t="s">
        <v>568</v>
      </c>
      <c r="D109" s="79">
        <v>1.3638248450881185</v>
      </c>
      <c r="E109" s="80">
        <v>0.53639023464964186</v>
      </c>
      <c r="F109" s="79">
        <v>1E-8</v>
      </c>
      <c r="G109" s="79">
        <v>1E-8</v>
      </c>
      <c r="H109" s="79">
        <v>1E-8</v>
      </c>
      <c r="I109" s="79">
        <v>1E-8</v>
      </c>
      <c r="J109" s="79">
        <v>1E-8</v>
      </c>
      <c r="K109" s="79">
        <v>1E-8</v>
      </c>
      <c r="L109" s="79">
        <v>1E-8</v>
      </c>
      <c r="M109" s="79">
        <v>1E-8</v>
      </c>
      <c r="N109" s="44"/>
      <c r="O109" s="67"/>
      <c r="P109" s="44"/>
      <c r="Q109" s="9" t="s">
        <v>670</v>
      </c>
      <c r="R109" s="44"/>
      <c r="S109" s="91" t="s">
        <v>568</v>
      </c>
      <c r="T109" s="79">
        <v>1.8600182080796304E-2</v>
      </c>
      <c r="U109" s="80">
        <v>7.3154232867782736E-3</v>
      </c>
      <c r="V109" s="79">
        <v>1E-8</v>
      </c>
      <c r="W109" s="79">
        <v>1E-8</v>
      </c>
      <c r="X109" s="79">
        <v>1E-8</v>
      </c>
      <c r="Y109" s="79">
        <v>1E-8</v>
      </c>
      <c r="Z109" s="79">
        <v>1E-8</v>
      </c>
      <c r="AA109" s="79">
        <v>1E-8</v>
      </c>
      <c r="AB109" s="79">
        <v>1E-8</v>
      </c>
      <c r="AC109" s="79">
        <v>1E-8</v>
      </c>
      <c r="AD109" s="44"/>
    </row>
    <row r="110" spans="1:30" x14ac:dyDescent="0.35">
      <c r="A110" s="9" t="s">
        <v>671</v>
      </c>
      <c r="B110" s="44"/>
      <c r="C110" s="91" t="s">
        <v>569</v>
      </c>
      <c r="D110" s="79">
        <v>0.62595262288646614</v>
      </c>
      <c r="E110" s="80">
        <v>0.86712231390146943</v>
      </c>
      <c r="F110" s="79">
        <v>1E-8</v>
      </c>
      <c r="G110" s="79">
        <v>1E-8</v>
      </c>
      <c r="H110" s="79">
        <v>1E-8</v>
      </c>
      <c r="I110" s="79">
        <v>1E-8</v>
      </c>
      <c r="J110" s="79">
        <v>1E-8</v>
      </c>
      <c r="K110" s="79">
        <v>1E-8</v>
      </c>
      <c r="L110" s="79">
        <v>1E-8</v>
      </c>
      <c r="M110" s="79">
        <v>1E-8</v>
      </c>
      <c r="N110" s="44"/>
      <c r="O110" s="67"/>
      <c r="P110" s="44"/>
      <c r="Q110" s="9" t="s">
        <v>671</v>
      </c>
      <c r="R110" s="44"/>
      <c r="S110" s="91" t="s">
        <v>569</v>
      </c>
      <c r="T110" s="79">
        <v>3.918166860984465E-3</v>
      </c>
      <c r="U110" s="80">
        <v>5.4277748675000638E-3</v>
      </c>
      <c r="V110" s="79">
        <v>1E-8</v>
      </c>
      <c r="W110" s="79">
        <v>1E-8</v>
      </c>
      <c r="X110" s="79">
        <v>1E-8</v>
      </c>
      <c r="Y110" s="79">
        <v>1E-8</v>
      </c>
      <c r="Z110" s="79">
        <v>1E-8</v>
      </c>
      <c r="AA110" s="79">
        <v>1E-8</v>
      </c>
      <c r="AB110" s="79">
        <v>1E-8</v>
      </c>
      <c r="AC110" s="79">
        <v>1E-8</v>
      </c>
      <c r="AD110" s="44"/>
    </row>
    <row r="111" spans="1:30" x14ac:dyDescent="0.35">
      <c r="A111" s="9" t="s">
        <v>672</v>
      </c>
      <c r="B111" s="44"/>
      <c r="C111" s="91" t="s">
        <v>570</v>
      </c>
      <c r="D111" s="79">
        <v>0.14212280694058665</v>
      </c>
      <c r="E111" s="80">
        <v>2.2096075458422959</v>
      </c>
      <c r="F111" s="79">
        <v>1E-8</v>
      </c>
      <c r="G111" s="79">
        <v>1E-8</v>
      </c>
      <c r="H111" s="79">
        <v>1E-8</v>
      </c>
      <c r="I111" s="79">
        <v>1E-8</v>
      </c>
      <c r="J111" s="79">
        <v>1E-8</v>
      </c>
      <c r="K111" s="79">
        <v>1E-8</v>
      </c>
      <c r="L111" s="79">
        <v>1E-8</v>
      </c>
      <c r="M111" s="79">
        <v>1E-8</v>
      </c>
      <c r="N111" s="44"/>
      <c r="O111" s="67"/>
      <c r="P111" s="44"/>
      <c r="Q111" s="9" t="s">
        <v>672</v>
      </c>
      <c r="R111" s="44"/>
      <c r="S111" s="91" t="s">
        <v>570</v>
      </c>
      <c r="T111" s="79">
        <v>2.0198892252671266E-4</v>
      </c>
      <c r="U111" s="80">
        <v>3.1403562665220808E-3</v>
      </c>
      <c r="V111" s="79">
        <v>1E-8</v>
      </c>
      <c r="W111" s="79">
        <v>1E-8</v>
      </c>
      <c r="X111" s="79">
        <v>1E-8</v>
      </c>
      <c r="Y111" s="79">
        <v>1E-8</v>
      </c>
      <c r="Z111" s="79">
        <v>1E-8</v>
      </c>
      <c r="AA111" s="79">
        <v>1E-8</v>
      </c>
      <c r="AB111" s="79">
        <v>1E-8</v>
      </c>
      <c r="AC111" s="79">
        <v>1E-8</v>
      </c>
      <c r="AD111" s="44"/>
    </row>
    <row r="112" spans="1:30" x14ac:dyDescent="0.35">
      <c r="A112" s="11" t="s">
        <v>673</v>
      </c>
      <c r="B112" s="44"/>
      <c r="C112" s="90" t="s">
        <v>355</v>
      </c>
      <c r="D112" s="77">
        <v>1.9881267406928032</v>
      </c>
      <c r="E112" s="78">
        <v>-0.49761376631710652</v>
      </c>
      <c r="F112" s="77">
        <v>1E-8</v>
      </c>
      <c r="G112" s="77">
        <v>1E-8</v>
      </c>
      <c r="H112" s="77">
        <v>1E-8</v>
      </c>
      <c r="I112" s="77">
        <v>1E-8</v>
      </c>
      <c r="J112" s="77">
        <v>1E-8</v>
      </c>
      <c r="K112" s="77">
        <v>1E-8</v>
      </c>
      <c r="L112" s="77">
        <v>1E-8</v>
      </c>
      <c r="M112" s="77">
        <v>1E-8</v>
      </c>
      <c r="N112" s="44"/>
      <c r="O112" s="67"/>
      <c r="P112" s="44"/>
      <c r="Q112" s="11" t="s">
        <v>673</v>
      </c>
      <c r="R112" s="44"/>
      <c r="S112" s="90" t="s">
        <v>355</v>
      </c>
      <c r="T112" s="77">
        <v>3.9526479370577884E-2</v>
      </c>
      <c r="U112" s="78">
        <v>-9.8931923535189922E-3</v>
      </c>
      <c r="V112" s="77">
        <v>1E-8</v>
      </c>
      <c r="W112" s="77">
        <v>1E-8</v>
      </c>
      <c r="X112" s="77">
        <v>1E-8</v>
      </c>
      <c r="Y112" s="77">
        <v>1E-8</v>
      </c>
      <c r="Z112" s="77">
        <v>1E-8</v>
      </c>
      <c r="AA112" s="77">
        <v>1E-8</v>
      </c>
      <c r="AB112" s="77">
        <v>1E-8</v>
      </c>
      <c r="AC112" s="77">
        <v>1E-8</v>
      </c>
      <c r="AD112" s="44"/>
    </row>
    <row r="113" spans="1:30" x14ac:dyDescent="0.35">
      <c r="A113" s="11" t="s">
        <v>372</v>
      </c>
      <c r="B113" s="44"/>
      <c r="C113" s="90" t="s">
        <v>571</v>
      </c>
      <c r="D113" s="77">
        <v>1.9029294023672028</v>
      </c>
      <c r="E113" s="78">
        <v>0.15763683814529195</v>
      </c>
      <c r="F113" s="77">
        <v>1E-8</v>
      </c>
      <c r="G113" s="77">
        <v>1E-8</v>
      </c>
      <c r="H113" s="77">
        <v>1E-8</v>
      </c>
      <c r="I113" s="77">
        <v>1E-8</v>
      </c>
      <c r="J113" s="77">
        <v>1E-8</v>
      </c>
      <c r="K113" s="77">
        <v>1E-8</v>
      </c>
      <c r="L113" s="77">
        <v>1E-8</v>
      </c>
      <c r="M113" s="77">
        <v>1E-8</v>
      </c>
      <c r="N113" s="44"/>
      <c r="O113" s="67"/>
      <c r="P113" s="44"/>
      <c r="Q113" s="11" t="s">
        <v>372</v>
      </c>
      <c r="R113" s="44"/>
      <c r="S113" s="90" t="s">
        <v>571</v>
      </c>
      <c r="T113" s="77">
        <v>3.6211403103935995E-2</v>
      </c>
      <c r="U113" s="78">
        <v>2.999717742028759E-3</v>
      </c>
      <c r="V113" s="77">
        <v>1E-8</v>
      </c>
      <c r="W113" s="77">
        <v>1E-8</v>
      </c>
      <c r="X113" s="77">
        <v>1E-8</v>
      </c>
      <c r="Y113" s="77">
        <v>1E-8</v>
      </c>
      <c r="Z113" s="77">
        <v>1E-8</v>
      </c>
      <c r="AA113" s="77">
        <v>1E-8</v>
      </c>
      <c r="AB113" s="77">
        <v>1E-8</v>
      </c>
      <c r="AC113" s="77">
        <v>1E-8</v>
      </c>
      <c r="AD113" s="44"/>
    </row>
    <row r="114" spans="1:30" x14ac:dyDescent="0.35">
      <c r="A114" s="9" t="s">
        <v>674</v>
      </c>
      <c r="B114" s="44"/>
      <c r="C114" s="91" t="s">
        <v>572</v>
      </c>
      <c r="D114" s="79">
        <v>0.32555866507271608</v>
      </c>
      <c r="E114" s="80">
        <v>0.21195749755038573</v>
      </c>
      <c r="F114" s="79">
        <v>1E-8</v>
      </c>
      <c r="G114" s="79">
        <v>1E-8</v>
      </c>
      <c r="H114" s="79">
        <v>1E-8</v>
      </c>
      <c r="I114" s="79">
        <v>1E-8</v>
      </c>
      <c r="J114" s="79">
        <v>1E-8</v>
      </c>
      <c r="K114" s="79">
        <v>1E-8</v>
      </c>
      <c r="L114" s="79">
        <v>1E-8</v>
      </c>
      <c r="M114" s="79">
        <v>1E-8</v>
      </c>
      <c r="N114" s="44"/>
      <c r="O114" s="67"/>
      <c r="P114" s="44"/>
      <c r="Q114" s="9" t="s">
        <v>674</v>
      </c>
      <c r="R114" s="44"/>
      <c r="S114" s="91" t="s">
        <v>572</v>
      </c>
      <c r="T114" s="79">
        <v>1.0598844440392894E-3</v>
      </c>
      <c r="U114" s="80">
        <v>6.9004599954657075E-4</v>
      </c>
      <c r="V114" s="79">
        <v>1E-8</v>
      </c>
      <c r="W114" s="79">
        <v>1E-8</v>
      </c>
      <c r="X114" s="79">
        <v>1E-8</v>
      </c>
      <c r="Y114" s="79">
        <v>1E-8</v>
      </c>
      <c r="Z114" s="79">
        <v>1E-8</v>
      </c>
      <c r="AA114" s="79">
        <v>1E-8</v>
      </c>
      <c r="AB114" s="79">
        <v>1E-8</v>
      </c>
      <c r="AC114" s="79">
        <v>1E-8</v>
      </c>
      <c r="AD114" s="44"/>
    </row>
    <row r="115" spans="1:30" x14ac:dyDescent="0.35">
      <c r="A115" s="9" t="s">
        <v>675</v>
      </c>
      <c r="B115" s="44"/>
      <c r="C115" s="91" t="s">
        <v>356</v>
      </c>
      <c r="D115" s="79">
        <v>1.2638339686456779</v>
      </c>
      <c r="E115" s="80">
        <v>0.18490492160549987</v>
      </c>
      <c r="F115" s="79">
        <v>1E-8</v>
      </c>
      <c r="G115" s="79">
        <v>1E-8</v>
      </c>
      <c r="H115" s="79">
        <v>1E-8</v>
      </c>
      <c r="I115" s="79">
        <v>1E-8</v>
      </c>
      <c r="J115" s="79">
        <v>1E-8</v>
      </c>
      <c r="K115" s="79">
        <v>1E-8</v>
      </c>
      <c r="L115" s="79">
        <v>1E-8</v>
      </c>
      <c r="M115" s="79">
        <v>1E-8</v>
      </c>
      <c r="N115" s="44"/>
      <c r="O115" s="67"/>
      <c r="P115" s="44"/>
      <c r="Q115" s="9" t="s">
        <v>675</v>
      </c>
      <c r="R115" s="44"/>
      <c r="S115" s="91" t="s">
        <v>356</v>
      </c>
      <c r="T115" s="79">
        <v>1.5972763003026844E-2</v>
      </c>
      <c r="U115" s="80">
        <v>2.3368912089479685E-3</v>
      </c>
      <c r="V115" s="79">
        <v>1E-8</v>
      </c>
      <c r="W115" s="79">
        <v>1E-8</v>
      </c>
      <c r="X115" s="79">
        <v>1E-8</v>
      </c>
      <c r="Y115" s="79">
        <v>1E-8</v>
      </c>
      <c r="Z115" s="79">
        <v>1E-8</v>
      </c>
      <c r="AA115" s="79">
        <v>1E-8</v>
      </c>
      <c r="AB115" s="79">
        <v>1E-8</v>
      </c>
      <c r="AC115" s="79">
        <v>1E-8</v>
      </c>
      <c r="AD115" s="44"/>
    </row>
    <row r="116" spans="1:30" x14ac:dyDescent="0.35">
      <c r="A116" s="9" t="s">
        <v>676</v>
      </c>
      <c r="B116" s="44"/>
      <c r="C116" s="91" t="s">
        <v>573</v>
      </c>
      <c r="D116" s="81">
        <v>0.31353676864880881</v>
      </c>
      <c r="E116" s="82">
        <v>-8.6814272479918131E-3</v>
      </c>
      <c r="F116" s="81">
        <v>1E-8</v>
      </c>
      <c r="G116" s="81">
        <v>1E-8</v>
      </c>
      <c r="H116" s="81">
        <v>1E-8</v>
      </c>
      <c r="I116" s="81">
        <v>1E-8</v>
      </c>
      <c r="J116" s="81">
        <v>1E-8</v>
      </c>
      <c r="K116" s="81">
        <v>1E-8</v>
      </c>
      <c r="L116" s="81">
        <v>1E-8</v>
      </c>
      <c r="M116" s="81">
        <v>1E-8</v>
      </c>
      <c r="N116" s="44"/>
      <c r="O116" s="67"/>
      <c r="P116" s="44"/>
      <c r="Q116" s="9" t="s">
        <v>676</v>
      </c>
      <c r="R116" s="44"/>
      <c r="S116" s="91" t="s">
        <v>573</v>
      </c>
      <c r="T116" s="81">
        <v>9.8305305294736655E-4</v>
      </c>
      <c r="U116" s="82">
        <v>-2.721946646595074E-5</v>
      </c>
      <c r="V116" s="81">
        <v>1E-8</v>
      </c>
      <c r="W116" s="81">
        <v>1E-8</v>
      </c>
      <c r="X116" s="81">
        <v>1E-8</v>
      </c>
      <c r="Y116" s="81">
        <v>1E-8</v>
      </c>
      <c r="Z116" s="81">
        <v>1E-8</v>
      </c>
      <c r="AA116" s="81">
        <v>1E-8</v>
      </c>
      <c r="AB116" s="81">
        <v>1E-8</v>
      </c>
      <c r="AC116" s="81">
        <v>1E-8</v>
      </c>
      <c r="AD116" s="44"/>
    </row>
    <row r="117" spans="1:30" x14ac:dyDescent="0.35">
      <c r="A117" s="11" t="s">
        <v>373</v>
      </c>
      <c r="B117" s="44"/>
      <c r="C117" s="90" t="s">
        <v>574</v>
      </c>
      <c r="D117" s="77">
        <v>2.7073646433435226</v>
      </c>
      <c r="E117" s="78">
        <v>0.45836938628094348</v>
      </c>
      <c r="F117" s="77">
        <v>1E-8</v>
      </c>
      <c r="G117" s="77">
        <v>1E-8</v>
      </c>
      <c r="H117" s="77">
        <v>1E-8</v>
      </c>
      <c r="I117" s="77">
        <v>1E-8</v>
      </c>
      <c r="J117" s="77">
        <v>1E-8</v>
      </c>
      <c r="K117" s="77">
        <v>1E-8</v>
      </c>
      <c r="L117" s="77">
        <v>1E-8</v>
      </c>
      <c r="M117" s="77">
        <v>1E-8</v>
      </c>
      <c r="N117" s="44"/>
      <c r="O117" s="67"/>
      <c r="P117" s="44"/>
      <c r="Q117" s="11" t="s">
        <v>373</v>
      </c>
      <c r="R117" s="44"/>
      <c r="S117" s="90" t="s">
        <v>574</v>
      </c>
      <c r="T117" s="77">
        <v>7.3298233120265996E-2</v>
      </c>
      <c r="U117" s="78">
        <v>1.2409730700080959E-2</v>
      </c>
      <c r="V117" s="77">
        <v>1E-8</v>
      </c>
      <c r="W117" s="77">
        <v>1E-8</v>
      </c>
      <c r="X117" s="77">
        <v>1E-8</v>
      </c>
      <c r="Y117" s="77">
        <v>1E-8</v>
      </c>
      <c r="Z117" s="77">
        <v>1E-8</v>
      </c>
      <c r="AA117" s="77">
        <v>1E-8</v>
      </c>
      <c r="AB117" s="77">
        <v>1E-8</v>
      </c>
      <c r="AC117" s="77">
        <v>1E-8</v>
      </c>
      <c r="AD117" s="44"/>
    </row>
    <row r="118" spans="1:30" x14ac:dyDescent="0.35">
      <c r="A118" s="9" t="s">
        <v>677</v>
      </c>
      <c r="B118" s="44"/>
      <c r="C118" s="91" t="s">
        <v>575</v>
      </c>
      <c r="D118" s="79">
        <v>0.76669466490953542</v>
      </c>
      <c r="E118" s="80">
        <v>1.3950539324311118</v>
      </c>
      <c r="F118" s="79">
        <v>1E-8</v>
      </c>
      <c r="G118" s="79">
        <v>1E-8</v>
      </c>
      <c r="H118" s="79">
        <v>1E-8</v>
      </c>
      <c r="I118" s="79">
        <v>1E-8</v>
      </c>
      <c r="J118" s="79">
        <v>1E-8</v>
      </c>
      <c r="K118" s="79">
        <v>1E-8</v>
      </c>
      <c r="L118" s="79">
        <v>1E-8</v>
      </c>
      <c r="M118" s="79">
        <v>1E-8</v>
      </c>
      <c r="N118" s="44"/>
      <c r="O118" s="67"/>
      <c r="P118" s="44"/>
      <c r="Q118" s="9" t="s">
        <v>677</v>
      </c>
      <c r="R118" s="44"/>
      <c r="S118" s="91" t="s">
        <v>575</v>
      </c>
      <c r="T118" s="79">
        <v>5.8782070920074484E-3</v>
      </c>
      <c r="U118" s="80">
        <v>1.069580407256001E-2</v>
      </c>
      <c r="V118" s="79">
        <v>1E-8</v>
      </c>
      <c r="W118" s="79">
        <v>1E-8</v>
      </c>
      <c r="X118" s="79">
        <v>1E-8</v>
      </c>
      <c r="Y118" s="79">
        <v>1E-8</v>
      </c>
      <c r="Z118" s="79">
        <v>1E-8</v>
      </c>
      <c r="AA118" s="79">
        <v>1E-8</v>
      </c>
      <c r="AB118" s="79">
        <v>1E-8</v>
      </c>
      <c r="AC118" s="79">
        <v>1E-8</v>
      </c>
      <c r="AD118" s="44"/>
    </row>
    <row r="119" spans="1:30" x14ac:dyDescent="0.35">
      <c r="A119" s="9" t="s">
        <v>678</v>
      </c>
      <c r="B119" s="44"/>
      <c r="C119" s="91" t="s">
        <v>576</v>
      </c>
      <c r="D119" s="79">
        <v>0.56535089470511857</v>
      </c>
      <c r="E119" s="80">
        <v>0.1068869676226436</v>
      </c>
      <c r="F119" s="79">
        <v>1E-8</v>
      </c>
      <c r="G119" s="79">
        <v>1E-8</v>
      </c>
      <c r="H119" s="79">
        <v>1E-8</v>
      </c>
      <c r="I119" s="79">
        <v>1E-8</v>
      </c>
      <c r="J119" s="79">
        <v>1E-8</v>
      </c>
      <c r="K119" s="79">
        <v>1E-8</v>
      </c>
      <c r="L119" s="79">
        <v>1E-8</v>
      </c>
      <c r="M119" s="79">
        <v>1E-8</v>
      </c>
      <c r="N119" s="44"/>
      <c r="O119" s="67"/>
      <c r="P119" s="44"/>
      <c r="Q119" s="9" t="s">
        <v>678</v>
      </c>
      <c r="R119" s="44"/>
      <c r="S119" s="91" t="s">
        <v>576</v>
      </c>
      <c r="T119" s="79">
        <v>3.1962163414387804E-3</v>
      </c>
      <c r="U119" s="80">
        <v>6.0428642777778595E-4</v>
      </c>
      <c r="V119" s="79">
        <v>1E-8</v>
      </c>
      <c r="W119" s="79">
        <v>1E-8</v>
      </c>
      <c r="X119" s="79">
        <v>1E-8</v>
      </c>
      <c r="Y119" s="79">
        <v>1E-8</v>
      </c>
      <c r="Z119" s="79">
        <v>1E-8</v>
      </c>
      <c r="AA119" s="79">
        <v>1E-8</v>
      </c>
      <c r="AB119" s="79">
        <v>1E-8</v>
      </c>
      <c r="AC119" s="79">
        <v>1E-8</v>
      </c>
      <c r="AD119" s="44"/>
    </row>
    <row r="120" spans="1:30" x14ac:dyDescent="0.35">
      <c r="A120" s="9" t="s">
        <v>679</v>
      </c>
      <c r="B120" s="44"/>
      <c r="C120" s="91" t="s">
        <v>577</v>
      </c>
      <c r="D120" s="79">
        <v>1.3753190837288687</v>
      </c>
      <c r="E120" s="80">
        <v>8.0682382210173209E-2</v>
      </c>
      <c r="F120" s="79">
        <v>1E-8</v>
      </c>
      <c r="G120" s="79">
        <v>1E-8</v>
      </c>
      <c r="H120" s="79">
        <v>1E-8</v>
      </c>
      <c r="I120" s="79">
        <v>1E-8</v>
      </c>
      <c r="J120" s="79">
        <v>1E-8</v>
      </c>
      <c r="K120" s="79">
        <v>1E-8</v>
      </c>
      <c r="L120" s="79">
        <v>1E-8</v>
      </c>
      <c r="M120" s="79">
        <v>1E-8</v>
      </c>
      <c r="N120" s="44"/>
      <c r="O120" s="67"/>
      <c r="P120" s="44"/>
      <c r="Q120" s="9" t="s">
        <v>679</v>
      </c>
      <c r="R120" s="44"/>
      <c r="S120" s="91" t="s">
        <v>577</v>
      </c>
      <c r="T120" s="79">
        <v>1.8915025820688148E-2</v>
      </c>
      <c r="U120" s="80">
        <v>1.1096401997435779E-3</v>
      </c>
      <c r="V120" s="79">
        <v>1E-8</v>
      </c>
      <c r="W120" s="79">
        <v>1E-8</v>
      </c>
      <c r="X120" s="79">
        <v>1E-8</v>
      </c>
      <c r="Y120" s="79">
        <v>1E-8</v>
      </c>
      <c r="Z120" s="79">
        <v>1E-8</v>
      </c>
      <c r="AA120" s="79">
        <v>1E-8</v>
      </c>
      <c r="AB120" s="79">
        <v>1E-8</v>
      </c>
      <c r="AC120" s="79">
        <v>1E-8</v>
      </c>
      <c r="AD120" s="44"/>
    </row>
    <row r="121" spans="1:30" x14ac:dyDescent="0.35">
      <c r="A121" s="11" t="s">
        <v>195</v>
      </c>
      <c r="B121" s="44"/>
      <c r="C121" s="90" t="s">
        <v>578</v>
      </c>
      <c r="D121" s="77">
        <v>7.9425766050693891</v>
      </c>
      <c r="E121" s="78">
        <v>-8.8784404845509979E-2</v>
      </c>
      <c r="F121" s="77">
        <v>1E-8</v>
      </c>
      <c r="G121" s="77">
        <v>1E-8</v>
      </c>
      <c r="H121" s="77">
        <v>1E-8</v>
      </c>
      <c r="I121" s="77">
        <v>1E-8</v>
      </c>
      <c r="J121" s="77">
        <v>1E-8</v>
      </c>
      <c r="K121" s="77">
        <v>1E-8</v>
      </c>
      <c r="L121" s="77">
        <v>1E-8</v>
      </c>
      <c r="M121" s="77">
        <v>1E-8</v>
      </c>
      <c r="N121" s="44"/>
      <c r="O121" s="67"/>
      <c r="P121" s="44"/>
      <c r="Q121" s="11" t="s">
        <v>195</v>
      </c>
      <c r="R121" s="44"/>
      <c r="S121" s="90" t="s">
        <v>578</v>
      </c>
      <c r="T121" s="77">
        <v>0.63084523127395575</v>
      </c>
      <c r="U121" s="78">
        <v>-7.0517693682095681E-3</v>
      </c>
      <c r="V121" s="77">
        <v>1E-8</v>
      </c>
      <c r="W121" s="77">
        <v>1E-8</v>
      </c>
      <c r="X121" s="77">
        <v>1E-8</v>
      </c>
      <c r="Y121" s="77">
        <v>1E-8</v>
      </c>
      <c r="Z121" s="77">
        <v>1E-8</v>
      </c>
      <c r="AA121" s="77">
        <v>1E-8</v>
      </c>
      <c r="AB121" s="77">
        <v>1E-8</v>
      </c>
      <c r="AC121" s="77">
        <v>1E-8</v>
      </c>
      <c r="AD121" s="44"/>
    </row>
    <row r="122" spans="1:30" x14ac:dyDescent="0.35">
      <c r="A122" s="9" t="s">
        <v>680</v>
      </c>
      <c r="B122" s="44"/>
      <c r="C122" s="91" t="s">
        <v>579</v>
      </c>
      <c r="D122" s="79">
        <v>5.8744726401176202</v>
      </c>
      <c r="E122" s="80">
        <v>4.5252958687092004E-2</v>
      </c>
      <c r="F122" s="79">
        <v>1E-8</v>
      </c>
      <c r="G122" s="79">
        <v>1E-8</v>
      </c>
      <c r="H122" s="79">
        <v>1E-8</v>
      </c>
      <c r="I122" s="79">
        <v>1E-8</v>
      </c>
      <c r="J122" s="79">
        <v>1E-8</v>
      </c>
      <c r="K122" s="79">
        <v>1E-8</v>
      </c>
      <c r="L122" s="79">
        <v>1E-8</v>
      </c>
      <c r="M122" s="79">
        <v>1E-8</v>
      </c>
      <c r="N122" s="44"/>
      <c r="O122" s="67"/>
      <c r="P122" s="44"/>
      <c r="Q122" s="9" t="s">
        <v>680</v>
      </c>
      <c r="R122" s="44"/>
      <c r="S122" s="91" t="s">
        <v>579</v>
      </c>
      <c r="T122" s="79">
        <v>0.34509428799490482</v>
      </c>
      <c r="U122" s="80">
        <v>2.6583726769169496E-3</v>
      </c>
      <c r="V122" s="79">
        <v>1E-8</v>
      </c>
      <c r="W122" s="79">
        <v>1E-8</v>
      </c>
      <c r="X122" s="79">
        <v>1E-8</v>
      </c>
      <c r="Y122" s="79">
        <v>1E-8</v>
      </c>
      <c r="Z122" s="79">
        <v>1E-8</v>
      </c>
      <c r="AA122" s="79">
        <v>1E-8</v>
      </c>
      <c r="AB122" s="79">
        <v>1E-8</v>
      </c>
      <c r="AC122" s="79">
        <v>1E-8</v>
      </c>
      <c r="AD122" s="44"/>
    </row>
    <row r="123" spans="1:30" x14ac:dyDescent="0.35">
      <c r="A123" s="9" t="s">
        <v>681</v>
      </c>
      <c r="B123" s="44"/>
      <c r="C123" s="91" t="s">
        <v>357</v>
      </c>
      <c r="D123" s="79">
        <v>2.068103964951769</v>
      </c>
      <c r="E123" s="80">
        <v>-0.46951904786632914</v>
      </c>
      <c r="F123" s="79">
        <v>1E-8</v>
      </c>
      <c r="G123" s="79">
        <v>1E-8</v>
      </c>
      <c r="H123" s="79">
        <v>1E-8</v>
      </c>
      <c r="I123" s="79">
        <v>1E-8</v>
      </c>
      <c r="J123" s="79">
        <v>1E-8</v>
      </c>
      <c r="K123" s="79">
        <v>1E-8</v>
      </c>
      <c r="L123" s="79">
        <v>1E-8</v>
      </c>
      <c r="M123" s="79">
        <v>1E-8</v>
      </c>
      <c r="N123" s="44"/>
      <c r="O123" s="67"/>
      <c r="P123" s="44"/>
      <c r="Q123" s="9" t="s">
        <v>681</v>
      </c>
      <c r="R123" s="44"/>
      <c r="S123" s="91" t="s">
        <v>357</v>
      </c>
      <c r="T123" s="79">
        <v>4.277054009849228E-2</v>
      </c>
      <c r="U123" s="80">
        <v>-9.7101420451273478E-3</v>
      </c>
      <c r="V123" s="79">
        <v>1E-8</v>
      </c>
      <c r="W123" s="79">
        <v>1E-8</v>
      </c>
      <c r="X123" s="79">
        <v>1E-8</v>
      </c>
      <c r="Y123" s="79">
        <v>1E-8</v>
      </c>
      <c r="Z123" s="79">
        <v>1E-8</v>
      </c>
      <c r="AA123" s="79">
        <v>1E-8</v>
      </c>
      <c r="AB123" s="79">
        <v>1E-8</v>
      </c>
      <c r="AC123" s="79">
        <v>1E-8</v>
      </c>
      <c r="AD123" s="44"/>
    </row>
    <row r="124" spans="1:30" x14ac:dyDescent="0.35">
      <c r="A124" s="11" t="s">
        <v>196</v>
      </c>
      <c r="B124" s="44"/>
      <c r="C124" s="90" t="s">
        <v>580</v>
      </c>
      <c r="D124" s="77">
        <v>6.2633727557130525</v>
      </c>
      <c r="E124" s="78">
        <v>0.6758672536466781</v>
      </c>
      <c r="F124" s="77">
        <v>1E-8</v>
      </c>
      <c r="G124" s="77">
        <v>1E-8</v>
      </c>
      <c r="H124" s="77">
        <v>1E-8</v>
      </c>
      <c r="I124" s="77">
        <v>1E-8</v>
      </c>
      <c r="J124" s="77">
        <v>1E-8</v>
      </c>
      <c r="K124" s="77">
        <v>1E-8</v>
      </c>
      <c r="L124" s="77">
        <v>1E-8</v>
      </c>
      <c r="M124" s="77">
        <v>1E-8</v>
      </c>
      <c r="N124" s="44"/>
      <c r="O124" s="67"/>
      <c r="P124" s="44"/>
      <c r="Q124" s="11" t="s">
        <v>196</v>
      </c>
      <c r="R124" s="44"/>
      <c r="S124" s="90" t="s">
        <v>580</v>
      </c>
      <c r="T124" s="77">
        <v>0.39229838277008516</v>
      </c>
      <c r="U124" s="78">
        <v>4.2332085429692065E-2</v>
      </c>
      <c r="V124" s="77">
        <v>1E-8</v>
      </c>
      <c r="W124" s="77">
        <v>1E-8</v>
      </c>
      <c r="X124" s="77">
        <v>1E-8</v>
      </c>
      <c r="Y124" s="77">
        <v>1E-8</v>
      </c>
      <c r="Z124" s="77">
        <v>1E-8</v>
      </c>
      <c r="AA124" s="77">
        <v>1E-8</v>
      </c>
      <c r="AB124" s="77">
        <v>1E-8</v>
      </c>
      <c r="AC124" s="77">
        <v>1E-8</v>
      </c>
      <c r="AD124" s="44"/>
    </row>
    <row r="125" spans="1:30" x14ac:dyDescent="0.35">
      <c r="A125" s="9" t="s">
        <v>682</v>
      </c>
      <c r="B125" s="44"/>
      <c r="C125" s="91" t="s">
        <v>581</v>
      </c>
      <c r="D125" s="79">
        <v>0.66911318728523872</v>
      </c>
      <c r="E125" s="80">
        <v>-0.95872521003148581</v>
      </c>
      <c r="F125" s="79">
        <v>1E-8</v>
      </c>
      <c r="G125" s="79">
        <v>1E-8</v>
      </c>
      <c r="H125" s="79">
        <v>1E-8</v>
      </c>
      <c r="I125" s="79">
        <v>1E-8</v>
      </c>
      <c r="J125" s="79">
        <v>1E-8</v>
      </c>
      <c r="K125" s="79">
        <v>1E-8</v>
      </c>
      <c r="L125" s="79">
        <v>1E-8</v>
      </c>
      <c r="M125" s="79">
        <v>1E-8</v>
      </c>
      <c r="N125" s="44"/>
      <c r="O125" s="67"/>
      <c r="P125" s="44"/>
      <c r="Q125" s="9" t="s">
        <v>682</v>
      </c>
      <c r="R125" s="44"/>
      <c r="S125" s="91" t="s">
        <v>581</v>
      </c>
      <c r="T125" s="79">
        <v>4.4771245739901096E-3</v>
      </c>
      <c r="U125" s="80">
        <v>-6.4149568101487739E-3</v>
      </c>
      <c r="V125" s="79">
        <v>1E-8</v>
      </c>
      <c r="W125" s="79">
        <v>1E-8</v>
      </c>
      <c r="X125" s="79">
        <v>1E-8</v>
      </c>
      <c r="Y125" s="79">
        <v>1E-8</v>
      </c>
      <c r="Z125" s="79">
        <v>1E-8</v>
      </c>
      <c r="AA125" s="79">
        <v>1E-8</v>
      </c>
      <c r="AB125" s="79">
        <v>1E-8</v>
      </c>
      <c r="AC125" s="79">
        <v>1E-8</v>
      </c>
      <c r="AD125" s="44"/>
    </row>
    <row r="126" spans="1:30" x14ac:dyDescent="0.35">
      <c r="A126" s="9" t="s">
        <v>683</v>
      </c>
      <c r="B126" s="44"/>
      <c r="C126" s="91" t="s">
        <v>582</v>
      </c>
      <c r="D126" s="79">
        <v>0.20607512871763026</v>
      </c>
      <c r="E126" s="80">
        <v>0.41488249210048789</v>
      </c>
      <c r="F126" s="79">
        <v>1E-8</v>
      </c>
      <c r="G126" s="79">
        <v>1E-8</v>
      </c>
      <c r="H126" s="79">
        <v>1E-8</v>
      </c>
      <c r="I126" s="79">
        <v>1E-8</v>
      </c>
      <c r="J126" s="79">
        <v>1E-8</v>
      </c>
      <c r="K126" s="79">
        <v>1E-8</v>
      </c>
      <c r="L126" s="79">
        <v>1E-8</v>
      </c>
      <c r="M126" s="79">
        <v>1E-8</v>
      </c>
      <c r="N126" s="44"/>
      <c r="O126" s="67"/>
      <c r="P126" s="44"/>
      <c r="Q126" s="9" t="s">
        <v>683</v>
      </c>
      <c r="R126" s="44"/>
      <c r="S126" s="91" t="s">
        <v>582</v>
      </c>
      <c r="T126" s="79">
        <v>4.2466958675987883E-4</v>
      </c>
      <c r="U126" s="80">
        <v>8.5496962962299265E-4</v>
      </c>
      <c r="V126" s="79">
        <v>1E-8</v>
      </c>
      <c r="W126" s="79">
        <v>1E-8</v>
      </c>
      <c r="X126" s="79">
        <v>1E-8</v>
      </c>
      <c r="Y126" s="79">
        <v>1E-8</v>
      </c>
      <c r="Z126" s="79">
        <v>1E-8</v>
      </c>
      <c r="AA126" s="79">
        <v>1E-8</v>
      </c>
      <c r="AB126" s="79">
        <v>1E-8</v>
      </c>
      <c r="AC126" s="79">
        <v>1E-8</v>
      </c>
      <c r="AD126" s="44"/>
    </row>
    <row r="127" spans="1:30" x14ac:dyDescent="0.35">
      <c r="A127" s="9" t="s">
        <v>684</v>
      </c>
      <c r="B127" s="44"/>
      <c r="C127" s="91" t="s">
        <v>583</v>
      </c>
      <c r="D127" s="79">
        <v>1.4446044998117589</v>
      </c>
      <c r="E127" s="80">
        <v>1.3454063138396144</v>
      </c>
      <c r="F127" s="79">
        <v>1E-8</v>
      </c>
      <c r="G127" s="79">
        <v>1E-8</v>
      </c>
      <c r="H127" s="79">
        <v>1E-8</v>
      </c>
      <c r="I127" s="79">
        <v>1E-8</v>
      </c>
      <c r="J127" s="79">
        <v>1E-8</v>
      </c>
      <c r="K127" s="79">
        <v>1E-8</v>
      </c>
      <c r="L127" s="79">
        <v>1E-8</v>
      </c>
      <c r="M127" s="79">
        <v>1E-8</v>
      </c>
      <c r="N127" s="44"/>
      <c r="O127" s="67"/>
      <c r="P127" s="44"/>
      <c r="Q127" s="9" t="s">
        <v>684</v>
      </c>
      <c r="R127" s="44"/>
      <c r="S127" s="91" t="s">
        <v>583</v>
      </c>
      <c r="T127" s="79">
        <v>2.086882160876382E-2</v>
      </c>
      <c r="U127" s="80">
        <v>1.9435800150478584E-2</v>
      </c>
      <c r="V127" s="79">
        <v>1E-8</v>
      </c>
      <c r="W127" s="79">
        <v>1E-8</v>
      </c>
      <c r="X127" s="79">
        <v>1E-8</v>
      </c>
      <c r="Y127" s="79">
        <v>1E-8</v>
      </c>
      <c r="Z127" s="79">
        <v>1E-8</v>
      </c>
      <c r="AA127" s="79">
        <v>1E-8</v>
      </c>
      <c r="AB127" s="79">
        <v>1E-8</v>
      </c>
      <c r="AC127" s="79">
        <v>1E-8</v>
      </c>
      <c r="AD127" s="44"/>
    </row>
    <row r="128" spans="1:30" x14ac:dyDescent="0.35">
      <c r="A128" s="9" t="s">
        <v>685</v>
      </c>
      <c r="B128" s="44"/>
      <c r="C128" s="91" t="s">
        <v>584</v>
      </c>
      <c r="D128" s="79">
        <v>0.29110130584384725</v>
      </c>
      <c r="E128" s="80">
        <v>-0.34837883641787304</v>
      </c>
      <c r="F128" s="79">
        <v>1E-8</v>
      </c>
      <c r="G128" s="79">
        <v>1E-8</v>
      </c>
      <c r="H128" s="79">
        <v>1E-8</v>
      </c>
      <c r="I128" s="79">
        <v>1E-8</v>
      </c>
      <c r="J128" s="79">
        <v>1E-8</v>
      </c>
      <c r="K128" s="79">
        <v>1E-8</v>
      </c>
      <c r="L128" s="79">
        <v>1E-8</v>
      </c>
      <c r="M128" s="79">
        <v>1E-8</v>
      </c>
      <c r="N128" s="44"/>
      <c r="O128" s="67"/>
      <c r="P128" s="44"/>
      <c r="Q128" s="9" t="s">
        <v>685</v>
      </c>
      <c r="R128" s="44"/>
      <c r="S128" s="91" t="s">
        <v>584</v>
      </c>
      <c r="T128" s="79">
        <v>8.4739970263993092E-4</v>
      </c>
      <c r="U128" s="80">
        <v>-1.0141353420960288E-3</v>
      </c>
      <c r="V128" s="79">
        <v>1E-8</v>
      </c>
      <c r="W128" s="79">
        <v>1E-8</v>
      </c>
      <c r="X128" s="79">
        <v>1E-8</v>
      </c>
      <c r="Y128" s="79">
        <v>1E-8</v>
      </c>
      <c r="Z128" s="79">
        <v>1E-8</v>
      </c>
      <c r="AA128" s="79">
        <v>1E-8</v>
      </c>
      <c r="AB128" s="79">
        <v>1E-8</v>
      </c>
      <c r="AC128" s="79">
        <v>1E-8</v>
      </c>
      <c r="AD128" s="44"/>
    </row>
    <row r="129" spans="1:30" x14ac:dyDescent="0.35">
      <c r="A129" s="9" t="s">
        <v>686</v>
      </c>
      <c r="B129" s="44"/>
      <c r="C129" s="91" t="s">
        <v>585</v>
      </c>
      <c r="D129" s="81">
        <v>3.6524786340545767</v>
      </c>
      <c r="E129" s="82">
        <v>0.80686051184697405</v>
      </c>
      <c r="F129" s="81">
        <v>1E-8</v>
      </c>
      <c r="G129" s="81">
        <v>1E-8</v>
      </c>
      <c r="H129" s="81">
        <v>1E-8</v>
      </c>
      <c r="I129" s="81">
        <v>1E-8</v>
      </c>
      <c r="J129" s="81">
        <v>1E-8</v>
      </c>
      <c r="K129" s="81">
        <v>1E-8</v>
      </c>
      <c r="L129" s="81">
        <v>1E-8</v>
      </c>
      <c r="M129" s="81">
        <v>1E-8</v>
      </c>
      <c r="N129" s="44"/>
      <c r="O129" s="67"/>
      <c r="P129" s="44"/>
      <c r="Q129" s="9" t="s">
        <v>686</v>
      </c>
      <c r="R129" s="44"/>
      <c r="S129" s="91" t="s">
        <v>585</v>
      </c>
      <c r="T129" s="81">
        <v>0.13340600172225187</v>
      </c>
      <c r="U129" s="82">
        <v>2.9470407801834124E-2</v>
      </c>
      <c r="V129" s="81">
        <v>1E-8</v>
      </c>
      <c r="W129" s="81">
        <v>1E-8</v>
      </c>
      <c r="X129" s="81">
        <v>1E-8</v>
      </c>
      <c r="Y129" s="81">
        <v>1E-8</v>
      </c>
      <c r="Z129" s="81">
        <v>1E-8</v>
      </c>
      <c r="AA129" s="81">
        <v>1E-8</v>
      </c>
      <c r="AB129" s="81">
        <v>1E-8</v>
      </c>
      <c r="AC129" s="81">
        <v>1E-8</v>
      </c>
      <c r="AD129" s="44"/>
    </row>
    <row r="130" spans="1:30" x14ac:dyDescent="0.35">
      <c r="A130" s="11" t="s">
        <v>687</v>
      </c>
      <c r="B130" s="44"/>
      <c r="C130" s="90" t="s">
        <v>358</v>
      </c>
      <c r="D130" s="77">
        <v>6.3509802485088196</v>
      </c>
      <c r="E130" s="78">
        <v>0.45922330765786334</v>
      </c>
      <c r="F130" s="77">
        <v>1E-8</v>
      </c>
      <c r="G130" s="77">
        <v>1E-8</v>
      </c>
      <c r="H130" s="77">
        <v>1E-8</v>
      </c>
      <c r="I130" s="77">
        <v>1E-8</v>
      </c>
      <c r="J130" s="77">
        <v>1E-8</v>
      </c>
      <c r="K130" s="77">
        <v>1E-8</v>
      </c>
      <c r="L130" s="77">
        <v>1E-8</v>
      </c>
      <c r="M130" s="77">
        <v>1E-8</v>
      </c>
      <c r="N130" s="44"/>
      <c r="O130" s="67"/>
      <c r="P130" s="44"/>
      <c r="Q130" s="11" t="s">
        <v>687</v>
      </c>
      <c r="R130" s="44"/>
      <c r="S130" s="90" t="s">
        <v>358</v>
      </c>
      <c r="T130" s="77">
        <v>0.40334950116949148</v>
      </c>
      <c r="U130" s="78">
        <v>2.9165181565899791E-2</v>
      </c>
      <c r="V130" s="77">
        <v>1E-8</v>
      </c>
      <c r="W130" s="77">
        <v>1E-8</v>
      </c>
      <c r="X130" s="77">
        <v>1E-8</v>
      </c>
      <c r="Y130" s="77">
        <v>1E-8</v>
      </c>
      <c r="Z130" s="77">
        <v>1E-8</v>
      </c>
      <c r="AA130" s="77">
        <v>1E-8</v>
      </c>
      <c r="AB130" s="77">
        <v>1E-8</v>
      </c>
      <c r="AC130" s="77">
        <v>1E-8</v>
      </c>
      <c r="AD130" s="44"/>
    </row>
    <row r="131" spans="1:30" x14ac:dyDescent="0.35">
      <c r="A131" s="11" t="s">
        <v>688</v>
      </c>
      <c r="B131" s="44"/>
      <c r="C131" s="90" t="s">
        <v>359</v>
      </c>
      <c r="D131" s="77">
        <v>3.2672542791831267</v>
      </c>
      <c r="E131" s="78">
        <v>-0.17792817418400553</v>
      </c>
      <c r="F131" s="77">
        <v>1E-8</v>
      </c>
      <c r="G131" s="77">
        <v>1E-8</v>
      </c>
      <c r="H131" s="77">
        <v>1E-8</v>
      </c>
      <c r="I131" s="77">
        <v>1E-8</v>
      </c>
      <c r="J131" s="77">
        <v>1E-8</v>
      </c>
      <c r="K131" s="77">
        <v>1E-8</v>
      </c>
      <c r="L131" s="77">
        <v>1E-8</v>
      </c>
      <c r="M131" s="77">
        <v>1E-8</v>
      </c>
      <c r="N131" s="44"/>
      <c r="O131" s="67"/>
      <c r="P131" s="44"/>
      <c r="Q131" s="11" t="s">
        <v>688</v>
      </c>
      <c r="R131" s="44"/>
      <c r="S131" s="90" t="s">
        <v>359</v>
      </c>
      <c r="T131" s="77">
        <v>0.10674950524840453</v>
      </c>
      <c r="U131" s="78">
        <v>-5.8133658848993275E-3</v>
      </c>
      <c r="V131" s="77">
        <v>1E-8</v>
      </c>
      <c r="W131" s="77">
        <v>1E-8</v>
      </c>
      <c r="X131" s="77">
        <v>1E-8</v>
      </c>
      <c r="Y131" s="77">
        <v>1E-8</v>
      </c>
      <c r="Z131" s="77">
        <v>1E-8</v>
      </c>
      <c r="AA131" s="77">
        <v>1E-8</v>
      </c>
      <c r="AB131" s="77">
        <v>1E-8</v>
      </c>
      <c r="AC131" s="77">
        <v>1E-8</v>
      </c>
      <c r="AD131" s="44"/>
    </row>
    <row r="132" spans="1:30" x14ac:dyDescent="0.35">
      <c r="A132" s="11" t="s">
        <v>689</v>
      </c>
      <c r="B132" s="44"/>
      <c r="C132" s="90" t="s">
        <v>360</v>
      </c>
      <c r="D132" s="77">
        <v>1.4349772128643883</v>
      </c>
      <c r="E132" s="78">
        <v>-1.1636952300305037</v>
      </c>
      <c r="F132" s="77">
        <v>1E-8</v>
      </c>
      <c r="G132" s="77">
        <v>1E-8</v>
      </c>
      <c r="H132" s="77">
        <v>1E-8</v>
      </c>
      <c r="I132" s="77">
        <v>1E-8</v>
      </c>
      <c r="J132" s="77">
        <v>1E-8</v>
      </c>
      <c r="K132" s="77">
        <v>1E-8</v>
      </c>
      <c r="L132" s="77">
        <v>1E-8</v>
      </c>
      <c r="M132" s="77">
        <v>1E-8</v>
      </c>
      <c r="N132" s="44"/>
      <c r="O132" s="67"/>
      <c r="P132" s="44"/>
      <c r="Q132" s="11" t="s">
        <v>689</v>
      </c>
      <c r="R132" s="44"/>
      <c r="S132" s="90" t="s">
        <v>360</v>
      </c>
      <c r="T132" s="77">
        <v>2.0591596014400481E-2</v>
      </c>
      <c r="U132" s="78">
        <v>-1.6698761378127557E-2</v>
      </c>
      <c r="V132" s="77">
        <v>1E-8</v>
      </c>
      <c r="W132" s="77">
        <v>1E-8</v>
      </c>
      <c r="X132" s="77">
        <v>1E-8</v>
      </c>
      <c r="Y132" s="77">
        <v>1E-8</v>
      </c>
      <c r="Z132" s="77">
        <v>1E-8</v>
      </c>
      <c r="AA132" s="77">
        <v>1E-8</v>
      </c>
      <c r="AB132" s="77">
        <v>1E-8</v>
      </c>
      <c r="AC132" s="77">
        <v>1E-8</v>
      </c>
      <c r="AD132" s="44"/>
    </row>
    <row r="133" spans="1:30" x14ac:dyDescent="0.35">
      <c r="A133" s="11" t="s">
        <v>205</v>
      </c>
      <c r="B133" s="44"/>
      <c r="C133" s="90" t="s">
        <v>586</v>
      </c>
      <c r="D133" s="77">
        <v>6.3857974767869825</v>
      </c>
      <c r="E133" s="78">
        <v>2.8628200432723183E-2</v>
      </c>
      <c r="F133" s="77">
        <v>1E-8</v>
      </c>
      <c r="G133" s="77">
        <v>1E-8</v>
      </c>
      <c r="H133" s="77">
        <v>1E-8</v>
      </c>
      <c r="I133" s="77">
        <v>1E-8</v>
      </c>
      <c r="J133" s="77">
        <v>1E-8</v>
      </c>
      <c r="K133" s="77">
        <v>1E-8</v>
      </c>
      <c r="L133" s="77">
        <v>1E-8</v>
      </c>
      <c r="M133" s="77">
        <v>1E-8</v>
      </c>
      <c r="N133" s="44"/>
      <c r="O133" s="67"/>
      <c r="P133" s="44"/>
      <c r="Q133" s="11" t="s">
        <v>205</v>
      </c>
      <c r="R133" s="44"/>
      <c r="S133" s="90" t="s">
        <v>586</v>
      </c>
      <c r="T133" s="77">
        <v>0.40778409414538991</v>
      </c>
      <c r="U133" s="78">
        <v>1.828138900882357E-3</v>
      </c>
      <c r="V133" s="77">
        <v>1E-8</v>
      </c>
      <c r="W133" s="77">
        <v>1E-8</v>
      </c>
      <c r="X133" s="77">
        <v>1E-8</v>
      </c>
      <c r="Y133" s="77">
        <v>1E-8</v>
      </c>
      <c r="Z133" s="77">
        <v>1E-8</v>
      </c>
      <c r="AA133" s="77">
        <v>1E-8</v>
      </c>
      <c r="AB133" s="77">
        <v>1E-8</v>
      </c>
      <c r="AC133" s="77">
        <v>1E-8</v>
      </c>
      <c r="AD133" s="44"/>
    </row>
    <row r="134" spans="1:30" x14ac:dyDescent="0.35">
      <c r="A134" s="9" t="s">
        <v>690</v>
      </c>
      <c r="B134" s="44"/>
      <c r="C134" s="91" t="s">
        <v>587</v>
      </c>
      <c r="D134" s="79">
        <v>0.83326446057437087</v>
      </c>
      <c r="E134" s="80">
        <v>-4.5327024541075289E-3</v>
      </c>
      <c r="F134" s="79">
        <v>1E-8</v>
      </c>
      <c r="G134" s="79">
        <v>1E-8</v>
      </c>
      <c r="H134" s="79">
        <v>1E-8</v>
      </c>
      <c r="I134" s="79">
        <v>1E-8</v>
      </c>
      <c r="J134" s="79">
        <v>1E-8</v>
      </c>
      <c r="K134" s="79">
        <v>1E-8</v>
      </c>
      <c r="L134" s="79">
        <v>1E-8</v>
      </c>
      <c r="M134" s="79">
        <v>1E-8</v>
      </c>
      <c r="N134" s="44"/>
      <c r="O134" s="67"/>
      <c r="P134" s="44"/>
      <c r="Q134" s="9" t="s">
        <v>690</v>
      </c>
      <c r="R134" s="44"/>
      <c r="S134" s="91" t="s">
        <v>587</v>
      </c>
      <c r="T134" s="79">
        <v>6.9432966125629724E-3</v>
      </c>
      <c r="U134" s="80">
        <v>-3.7769398653660373E-5</v>
      </c>
      <c r="V134" s="79">
        <v>1E-8</v>
      </c>
      <c r="W134" s="79">
        <v>1E-8</v>
      </c>
      <c r="X134" s="79">
        <v>1E-8</v>
      </c>
      <c r="Y134" s="79">
        <v>1E-8</v>
      </c>
      <c r="Z134" s="79">
        <v>1E-8</v>
      </c>
      <c r="AA134" s="79">
        <v>1E-8</v>
      </c>
      <c r="AB134" s="79">
        <v>1E-8</v>
      </c>
      <c r="AC134" s="79">
        <v>1E-8</v>
      </c>
      <c r="AD134" s="44"/>
    </row>
    <row r="135" spans="1:30" x14ac:dyDescent="0.35">
      <c r="A135" s="9" t="s">
        <v>691</v>
      </c>
      <c r="B135" s="44"/>
      <c r="C135" s="91" t="s">
        <v>588</v>
      </c>
      <c r="D135" s="79">
        <v>0.17414345983432497</v>
      </c>
      <c r="E135" s="80">
        <v>0.40385610038953246</v>
      </c>
      <c r="F135" s="79">
        <v>1E-8</v>
      </c>
      <c r="G135" s="79">
        <v>1E-8</v>
      </c>
      <c r="H135" s="79">
        <v>1E-8</v>
      </c>
      <c r="I135" s="79">
        <v>1E-8</v>
      </c>
      <c r="J135" s="79">
        <v>1E-8</v>
      </c>
      <c r="K135" s="79">
        <v>1E-8</v>
      </c>
      <c r="L135" s="79">
        <v>1E-8</v>
      </c>
      <c r="M135" s="79">
        <v>1E-8</v>
      </c>
      <c r="N135" s="44"/>
      <c r="O135" s="67"/>
      <c r="P135" s="44"/>
      <c r="Q135" s="9" t="s">
        <v>691</v>
      </c>
      <c r="R135" s="44"/>
      <c r="S135" s="91" t="s">
        <v>588</v>
      </c>
      <c r="T135" s="79">
        <v>3.0325944603069155E-4</v>
      </c>
      <c r="U135" s="80">
        <v>7.0328898597031661E-4</v>
      </c>
      <c r="V135" s="79">
        <v>1E-8</v>
      </c>
      <c r="W135" s="79">
        <v>1E-8</v>
      </c>
      <c r="X135" s="79">
        <v>1E-8</v>
      </c>
      <c r="Y135" s="79">
        <v>1E-8</v>
      </c>
      <c r="Z135" s="79">
        <v>1E-8</v>
      </c>
      <c r="AA135" s="79">
        <v>1E-8</v>
      </c>
      <c r="AB135" s="79">
        <v>1E-8</v>
      </c>
      <c r="AC135" s="79">
        <v>1E-8</v>
      </c>
      <c r="AD135" s="44"/>
    </row>
    <row r="136" spans="1:30" x14ac:dyDescent="0.35">
      <c r="A136" s="9" t="s">
        <v>692</v>
      </c>
      <c r="B136" s="44"/>
      <c r="C136" s="91" t="s">
        <v>589</v>
      </c>
      <c r="D136" s="79">
        <v>0.74346587692386756</v>
      </c>
      <c r="E136" s="80">
        <v>1.8448070646434278</v>
      </c>
      <c r="F136" s="79">
        <v>1E-8</v>
      </c>
      <c r="G136" s="79">
        <v>1E-8</v>
      </c>
      <c r="H136" s="79">
        <v>1E-8</v>
      </c>
      <c r="I136" s="79">
        <v>1E-8</v>
      </c>
      <c r="J136" s="79">
        <v>1E-8</v>
      </c>
      <c r="K136" s="79">
        <v>1E-8</v>
      </c>
      <c r="L136" s="79">
        <v>1E-8</v>
      </c>
      <c r="M136" s="79">
        <v>1E-8</v>
      </c>
      <c r="N136" s="44"/>
      <c r="O136" s="67"/>
      <c r="P136" s="44"/>
      <c r="Q136" s="9" t="s">
        <v>692</v>
      </c>
      <c r="R136" s="44"/>
      <c r="S136" s="91" t="s">
        <v>589</v>
      </c>
      <c r="T136" s="79">
        <v>5.527415101501754E-3</v>
      </c>
      <c r="U136" s="80">
        <v>1.3715511020704721E-2</v>
      </c>
      <c r="V136" s="79">
        <v>1E-8</v>
      </c>
      <c r="W136" s="79">
        <v>1E-8</v>
      </c>
      <c r="X136" s="79">
        <v>1E-8</v>
      </c>
      <c r="Y136" s="79">
        <v>1E-8</v>
      </c>
      <c r="Z136" s="79">
        <v>1E-8</v>
      </c>
      <c r="AA136" s="79">
        <v>1E-8</v>
      </c>
      <c r="AB136" s="79">
        <v>1E-8</v>
      </c>
      <c r="AC136" s="79">
        <v>1E-8</v>
      </c>
      <c r="AD136" s="44"/>
    </row>
    <row r="137" spans="1:30" x14ac:dyDescent="0.35">
      <c r="A137" s="9" t="s">
        <v>693</v>
      </c>
      <c r="B137" s="44"/>
      <c r="C137" s="91" t="s">
        <v>361</v>
      </c>
      <c r="D137" s="79">
        <v>4.2824991931951208</v>
      </c>
      <c r="E137" s="80">
        <v>-0.34732488090269964</v>
      </c>
      <c r="F137" s="79">
        <v>1E-8</v>
      </c>
      <c r="G137" s="79">
        <v>1E-8</v>
      </c>
      <c r="H137" s="79">
        <v>1E-8</v>
      </c>
      <c r="I137" s="79">
        <v>1E-8</v>
      </c>
      <c r="J137" s="79">
        <v>1E-8</v>
      </c>
      <c r="K137" s="79">
        <v>1E-8</v>
      </c>
      <c r="L137" s="79">
        <v>1E-8</v>
      </c>
      <c r="M137" s="79">
        <v>1E-8</v>
      </c>
      <c r="N137" s="44"/>
      <c r="O137" s="67"/>
      <c r="P137" s="44"/>
      <c r="Q137" s="9" t="s">
        <v>693</v>
      </c>
      <c r="R137" s="44"/>
      <c r="S137" s="91" t="s">
        <v>361</v>
      </c>
      <c r="T137" s="79">
        <v>0.18339799339716861</v>
      </c>
      <c r="U137" s="80">
        <v>-1.4874185222424027E-2</v>
      </c>
      <c r="V137" s="79">
        <v>1E-8</v>
      </c>
      <c r="W137" s="79">
        <v>1E-8</v>
      </c>
      <c r="X137" s="79">
        <v>1E-8</v>
      </c>
      <c r="Y137" s="79">
        <v>1E-8</v>
      </c>
      <c r="Z137" s="79">
        <v>1E-8</v>
      </c>
      <c r="AA137" s="79">
        <v>1E-8</v>
      </c>
      <c r="AB137" s="79">
        <v>1E-8</v>
      </c>
      <c r="AC137" s="79">
        <v>1E-8</v>
      </c>
      <c r="AD137" s="44"/>
    </row>
    <row r="138" spans="1:30" x14ac:dyDescent="0.35">
      <c r="A138" s="9" t="s">
        <v>694</v>
      </c>
      <c r="B138" s="44"/>
      <c r="C138" s="91" t="s">
        <v>590</v>
      </c>
      <c r="D138" s="79">
        <v>0.35242448625929734</v>
      </c>
      <c r="E138" s="80">
        <v>0.65866408430481638</v>
      </c>
      <c r="F138" s="79">
        <v>1E-8</v>
      </c>
      <c r="G138" s="79">
        <v>1E-8</v>
      </c>
      <c r="H138" s="79">
        <v>1E-8</v>
      </c>
      <c r="I138" s="79">
        <v>1E-8</v>
      </c>
      <c r="J138" s="79">
        <v>1E-8</v>
      </c>
      <c r="K138" s="79">
        <v>1E-8</v>
      </c>
      <c r="L138" s="79">
        <v>1E-8</v>
      </c>
      <c r="M138" s="79">
        <v>1E-8</v>
      </c>
      <c r="N138" s="44"/>
      <c r="O138" s="67"/>
      <c r="P138" s="44"/>
      <c r="Q138" s="9" t="s">
        <v>694</v>
      </c>
      <c r="R138" s="44"/>
      <c r="S138" s="91" t="s">
        <v>590</v>
      </c>
      <c r="T138" s="79">
        <v>1.2420301851512965E-3</v>
      </c>
      <c r="U138" s="80">
        <v>2.3212935152857541E-3</v>
      </c>
      <c r="V138" s="79">
        <v>1E-8</v>
      </c>
      <c r="W138" s="79">
        <v>1E-8</v>
      </c>
      <c r="X138" s="79">
        <v>1E-8</v>
      </c>
      <c r="Y138" s="79">
        <v>1E-8</v>
      </c>
      <c r="Z138" s="79">
        <v>1E-8</v>
      </c>
      <c r="AA138" s="79">
        <v>1E-8</v>
      </c>
      <c r="AB138" s="79">
        <v>1E-8</v>
      </c>
      <c r="AC138" s="79">
        <v>1E-8</v>
      </c>
      <c r="AD138" s="44"/>
    </row>
    <row r="139" spans="1:30" x14ac:dyDescent="0.35">
      <c r="A139" s="9" t="s">
        <v>695</v>
      </c>
      <c r="B139" s="44"/>
      <c r="C139" s="91" t="s">
        <v>591</v>
      </c>
      <c r="D139" s="79">
        <v>1E-8</v>
      </c>
      <c r="E139" s="80">
        <v>1E-8</v>
      </c>
      <c r="F139" s="79">
        <v>1E-8</v>
      </c>
      <c r="G139" s="79">
        <v>1E-8</v>
      </c>
      <c r="H139" s="79">
        <v>1E-8</v>
      </c>
      <c r="I139" s="79">
        <v>1E-8</v>
      </c>
      <c r="J139" s="79">
        <v>1E-8</v>
      </c>
      <c r="K139" s="79">
        <v>1E-8</v>
      </c>
      <c r="L139" s="79">
        <v>1E-8</v>
      </c>
      <c r="M139" s="79">
        <v>1E-8</v>
      </c>
      <c r="N139" s="44"/>
      <c r="O139" s="67"/>
      <c r="P139" s="44"/>
      <c r="Q139" s="9" t="s">
        <v>695</v>
      </c>
      <c r="R139" s="44"/>
      <c r="S139" s="91" t="s">
        <v>591</v>
      </c>
      <c r="T139" s="79">
        <v>1E-8</v>
      </c>
      <c r="U139" s="80">
        <v>1E-8</v>
      </c>
      <c r="V139" s="79">
        <v>1E-8</v>
      </c>
      <c r="W139" s="79">
        <v>1E-8</v>
      </c>
      <c r="X139" s="79">
        <v>1E-8</v>
      </c>
      <c r="Y139" s="79">
        <v>1E-8</v>
      </c>
      <c r="Z139" s="79">
        <v>1E-8</v>
      </c>
      <c r="AA139" s="79">
        <v>1E-8</v>
      </c>
      <c r="AB139" s="79">
        <v>1E-8</v>
      </c>
      <c r="AC139" s="79">
        <v>1E-8</v>
      </c>
      <c r="AD139" s="44"/>
    </row>
    <row r="140" spans="1:30" x14ac:dyDescent="0.35">
      <c r="A140" s="68"/>
      <c r="B140" s="44"/>
      <c r="C140" s="45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44"/>
      <c r="O140" s="67"/>
      <c r="P140" s="44"/>
      <c r="Q140" s="68"/>
      <c r="R140" s="44"/>
      <c r="S140" s="45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44"/>
    </row>
  </sheetData>
  <sheetProtection sheet="1" objects="1" scenarios="1"/>
  <conditionalFormatting sqref="D140:M140">
    <cfRule type="cellIs" dxfId="46" priority="27" operator="equal">
      <formula>0.00000001</formula>
    </cfRule>
  </conditionalFormatting>
  <conditionalFormatting sqref="T140:AC140">
    <cfRule type="cellIs" dxfId="45" priority="9" operator="equal">
      <formula>0.00000001</formula>
    </cfRule>
  </conditionalFormatting>
  <conditionalFormatting sqref="D6:M139">
    <cfRule type="cellIs" dxfId="44" priority="2" operator="equal">
      <formula>0.00000001</formula>
    </cfRule>
  </conditionalFormatting>
  <conditionalFormatting sqref="T6:AC139">
    <cfRule type="cellIs" dxfId="43" priority="1" operator="equal">
      <formula>0.00000001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D140"/>
  <sheetViews>
    <sheetView zoomScale="85" zoomScaleNormal="85" workbookViewId="0">
      <pane xSplit="3" ySplit="5" topLeftCell="D6" activePane="bottomRight" state="frozen"/>
      <selection activeCell="F5" sqref="F5"/>
      <selection pane="topRight" activeCell="F5" sqref="F5"/>
      <selection pane="bottomLeft" activeCell="F5" sqref="F5"/>
      <selection pane="bottomRight" activeCell="A10" sqref="A10:XFD10"/>
    </sheetView>
  </sheetViews>
  <sheetFormatPr defaultColWidth="0" defaultRowHeight="14.5" zeroHeight="1" x14ac:dyDescent="0.35"/>
  <cols>
    <col min="1" max="1" width="27" customWidth="1"/>
    <col min="2" max="3" width="0.453125" customWidth="1"/>
    <col min="4" max="13" width="8.81640625" customWidth="1"/>
    <col min="14" max="16" width="1" customWidth="1"/>
    <col min="17" max="17" width="27" customWidth="1"/>
    <col min="18" max="19" width="0.453125" customWidth="1"/>
    <col min="20" max="29" width="8.81640625" customWidth="1"/>
    <col min="30" max="30" width="1" customWidth="1"/>
    <col min="31" max="16384" width="8.81640625" hidden="1"/>
  </cols>
  <sheetData>
    <row r="1" spans="1:30" ht="18.5" x14ac:dyDescent="0.45">
      <c r="A1" s="1" t="s">
        <v>447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5">
      <c r="A4" s="6" t="s">
        <v>448</v>
      </c>
      <c r="B4" s="6"/>
      <c r="C4" s="6"/>
      <c r="D4" s="34" t="s">
        <v>399</v>
      </c>
      <c r="E4" s="6" t="s">
        <v>400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450</v>
      </c>
      <c r="R4" s="6"/>
      <c r="S4" s="6"/>
      <c r="T4" s="34" t="s">
        <v>399</v>
      </c>
      <c r="U4" s="6" t="s">
        <v>400</v>
      </c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35">
      <c r="A5" s="35" t="s">
        <v>449</v>
      </c>
      <c r="B5" s="30"/>
      <c r="C5" s="30"/>
      <c r="D5" s="33" t="s">
        <v>246</v>
      </c>
      <c r="E5" s="50" t="s">
        <v>890</v>
      </c>
      <c r="F5" s="33" t="s">
        <v>885</v>
      </c>
      <c r="G5" s="33" t="s">
        <v>891</v>
      </c>
      <c r="H5" s="33" t="s">
        <v>886</v>
      </c>
      <c r="I5" s="33" t="s">
        <v>887</v>
      </c>
      <c r="J5" s="33" t="s">
        <v>888</v>
      </c>
      <c r="K5" s="33" t="s">
        <v>889</v>
      </c>
      <c r="L5" s="33" t="s">
        <v>396</v>
      </c>
      <c r="M5" s="33" t="s">
        <v>397</v>
      </c>
      <c r="N5" s="33"/>
      <c r="O5" s="6"/>
      <c r="P5" s="33"/>
      <c r="Q5" s="35"/>
      <c r="R5" s="33"/>
      <c r="S5" s="33"/>
      <c r="T5" s="33" t="s">
        <v>246</v>
      </c>
      <c r="U5" s="50" t="s">
        <v>890</v>
      </c>
      <c r="V5" s="33" t="s">
        <v>885</v>
      </c>
      <c r="W5" s="33" t="s">
        <v>891</v>
      </c>
      <c r="X5" s="33" t="s">
        <v>886</v>
      </c>
      <c r="Y5" s="33" t="s">
        <v>887</v>
      </c>
      <c r="Z5" s="33" t="s">
        <v>888</v>
      </c>
      <c r="AA5" s="33" t="s">
        <v>889</v>
      </c>
      <c r="AB5" s="33" t="s">
        <v>396</v>
      </c>
      <c r="AC5" s="33" t="s">
        <v>397</v>
      </c>
      <c r="AD5" s="33"/>
    </row>
    <row r="6" spans="1:30" x14ac:dyDescent="0.35">
      <c r="A6" s="5" t="s">
        <v>102</v>
      </c>
      <c r="B6" s="44"/>
      <c r="C6" s="89" t="s">
        <v>288</v>
      </c>
      <c r="D6" s="73">
        <v>100</v>
      </c>
      <c r="E6" s="74">
        <v>4.9613208522708119</v>
      </c>
      <c r="F6" s="73">
        <v>1E-8</v>
      </c>
      <c r="G6" s="73">
        <v>1E-8</v>
      </c>
      <c r="H6" s="73">
        <v>1E-8</v>
      </c>
      <c r="I6" s="73">
        <v>1E-8</v>
      </c>
      <c r="J6" s="73">
        <v>1E-8</v>
      </c>
      <c r="K6" s="73">
        <v>1E-8</v>
      </c>
      <c r="L6" s="73">
        <v>1E-8</v>
      </c>
      <c r="M6" s="73">
        <v>1E-8</v>
      </c>
      <c r="N6" s="4"/>
      <c r="O6" s="6"/>
      <c r="P6" s="4"/>
      <c r="Q6" s="5" t="s">
        <v>102</v>
      </c>
      <c r="R6" s="44"/>
      <c r="S6" s="89" t="s">
        <v>288</v>
      </c>
      <c r="T6" s="73">
        <v>100</v>
      </c>
      <c r="U6" s="74">
        <v>-3.6790711748959981</v>
      </c>
      <c r="V6" s="73">
        <v>1E-8</v>
      </c>
      <c r="W6" s="73">
        <v>1E-8</v>
      </c>
      <c r="X6" s="73">
        <v>1E-8</v>
      </c>
      <c r="Y6" s="73">
        <v>1E-8</v>
      </c>
      <c r="Z6" s="73">
        <v>1E-8</v>
      </c>
      <c r="AA6" s="73">
        <v>1E-8</v>
      </c>
      <c r="AB6" s="73">
        <v>1E-8</v>
      </c>
      <c r="AC6" s="73">
        <v>1E-8</v>
      </c>
      <c r="AD6" s="4"/>
    </row>
    <row r="7" spans="1:30" x14ac:dyDescent="0.35">
      <c r="A7" s="5" t="s">
        <v>278</v>
      </c>
      <c r="B7" s="44"/>
      <c r="C7" s="89" t="s">
        <v>289</v>
      </c>
      <c r="D7" s="75">
        <v>10.778266221232542</v>
      </c>
      <c r="E7" s="76">
        <v>14.059291348595181</v>
      </c>
      <c r="F7" s="75">
        <v>1E-8</v>
      </c>
      <c r="G7" s="75">
        <v>1E-8</v>
      </c>
      <c r="H7" s="75">
        <v>1E-8</v>
      </c>
      <c r="I7" s="75">
        <v>1E-8</v>
      </c>
      <c r="J7" s="75">
        <v>1E-8</v>
      </c>
      <c r="K7" s="75">
        <v>1E-8</v>
      </c>
      <c r="L7" s="75">
        <v>1E-8</v>
      </c>
      <c r="M7" s="75">
        <v>1E-8</v>
      </c>
      <c r="N7" s="4"/>
      <c r="O7" s="6"/>
      <c r="P7" s="4"/>
      <c r="Q7" s="5" t="s">
        <v>278</v>
      </c>
      <c r="R7" s="44"/>
      <c r="S7" s="89" t="s">
        <v>289</v>
      </c>
      <c r="T7" s="75">
        <v>5.0541507822155536</v>
      </c>
      <c r="U7" s="76">
        <v>-3.4023914382276033</v>
      </c>
      <c r="V7" s="75">
        <v>1E-8</v>
      </c>
      <c r="W7" s="75">
        <v>1E-8</v>
      </c>
      <c r="X7" s="75">
        <v>1E-8</v>
      </c>
      <c r="Y7" s="75">
        <v>1E-8</v>
      </c>
      <c r="Z7" s="75">
        <v>1E-8</v>
      </c>
      <c r="AA7" s="75">
        <v>1E-8</v>
      </c>
      <c r="AB7" s="75">
        <v>1E-8</v>
      </c>
      <c r="AC7" s="75">
        <v>1E-8</v>
      </c>
      <c r="AD7" s="4"/>
    </row>
    <row r="8" spans="1:30" x14ac:dyDescent="0.35">
      <c r="A8" s="11" t="s">
        <v>279</v>
      </c>
      <c r="B8" s="44"/>
      <c r="C8" s="90" t="s">
        <v>290</v>
      </c>
      <c r="D8" s="77">
        <v>10.100006882995926</v>
      </c>
      <c r="E8" s="78">
        <v>14.662893571470859</v>
      </c>
      <c r="F8" s="77">
        <v>1E-8</v>
      </c>
      <c r="G8" s="77">
        <v>1E-8</v>
      </c>
      <c r="H8" s="77">
        <v>1E-8</v>
      </c>
      <c r="I8" s="77">
        <v>1E-8</v>
      </c>
      <c r="J8" s="77">
        <v>1E-8</v>
      </c>
      <c r="K8" s="77">
        <v>1E-8</v>
      </c>
      <c r="L8" s="77">
        <v>1E-8</v>
      </c>
      <c r="M8" s="77">
        <v>1E-8</v>
      </c>
      <c r="N8" s="4"/>
      <c r="O8" s="6"/>
      <c r="P8" s="4"/>
      <c r="Q8" s="11" t="s">
        <v>279</v>
      </c>
      <c r="R8" s="44"/>
      <c r="S8" s="90" t="s">
        <v>290</v>
      </c>
      <c r="T8" s="77">
        <v>4.9634998311279004</v>
      </c>
      <c r="U8" s="78">
        <v>-3.3711045789334593</v>
      </c>
      <c r="V8" s="77">
        <v>1E-8</v>
      </c>
      <c r="W8" s="77">
        <v>1E-8</v>
      </c>
      <c r="X8" s="77">
        <v>1E-8</v>
      </c>
      <c r="Y8" s="77">
        <v>1E-8</v>
      </c>
      <c r="Z8" s="77">
        <v>1E-8</v>
      </c>
      <c r="AA8" s="77">
        <v>1E-8</v>
      </c>
      <c r="AB8" s="77">
        <v>1E-8</v>
      </c>
      <c r="AC8" s="77">
        <v>1E-8</v>
      </c>
      <c r="AD8" s="4"/>
    </row>
    <row r="9" spans="1:30" x14ac:dyDescent="0.35">
      <c r="A9" s="11" t="s">
        <v>362</v>
      </c>
      <c r="B9" s="44"/>
      <c r="C9" s="90" t="s">
        <v>291</v>
      </c>
      <c r="D9" s="77">
        <v>3.9642033872417168</v>
      </c>
      <c r="E9" s="78">
        <v>11.364584392827016</v>
      </c>
      <c r="F9" s="77">
        <v>1E-8</v>
      </c>
      <c r="G9" s="77">
        <v>1E-8</v>
      </c>
      <c r="H9" s="77">
        <v>1E-8</v>
      </c>
      <c r="I9" s="77">
        <v>1E-8</v>
      </c>
      <c r="J9" s="77">
        <v>1E-8</v>
      </c>
      <c r="K9" s="77">
        <v>1E-8</v>
      </c>
      <c r="L9" s="77">
        <v>1E-8</v>
      </c>
      <c r="M9" s="77">
        <v>1E-8</v>
      </c>
      <c r="N9" s="4"/>
      <c r="O9" s="6"/>
      <c r="P9" s="4"/>
      <c r="Q9" s="11" t="s">
        <v>362</v>
      </c>
      <c r="R9" s="44"/>
      <c r="S9" s="90" t="s">
        <v>291</v>
      </c>
      <c r="T9" s="77">
        <v>4.9008532194753753</v>
      </c>
      <c r="U9" s="78">
        <v>-3.2674931857173295</v>
      </c>
      <c r="V9" s="77">
        <v>1E-8</v>
      </c>
      <c r="W9" s="77">
        <v>1E-8</v>
      </c>
      <c r="X9" s="77">
        <v>1E-8</v>
      </c>
      <c r="Y9" s="77">
        <v>1E-8</v>
      </c>
      <c r="Z9" s="77">
        <v>1E-8</v>
      </c>
      <c r="AA9" s="77">
        <v>1E-8</v>
      </c>
      <c r="AB9" s="77">
        <v>1E-8</v>
      </c>
      <c r="AC9" s="77">
        <v>1E-8</v>
      </c>
      <c r="AD9" s="4"/>
    </row>
    <row r="10" spans="1:30" x14ac:dyDescent="0.35">
      <c r="A10" s="11" t="s">
        <v>363</v>
      </c>
      <c r="B10" s="44"/>
      <c r="C10" s="90" t="s">
        <v>292</v>
      </c>
      <c r="D10" s="77">
        <v>6.1358034957542076</v>
      </c>
      <c r="E10" s="78">
        <v>16.917715120036636</v>
      </c>
      <c r="F10" s="77">
        <v>1E-8</v>
      </c>
      <c r="G10" s="77">
        <v>1E-8</v>
      </c>
      <c r="H10" s="77">
        <v>1E-8</v>
      </c>
      <c r="I10" s="77">
        <v>1E-8</v>
      </c>
      <c r="J10" s="77">
        <v>1E-8</v>
      </c>
      <c r="K10" s="77">
        <v>1E-8</v>
      </c>
      <c r="L10" s="77">
        <v>1E-8</v>
      </c>
      <c r="M10" s="77">
        <v>1E-8</v>
      </c>
      <c r="N10" s="4"/>
      <c r="O10" s="6"/>
      <c r="P10" s="4"/>
      <c r="Q10" s="11" t="s">
        <v>363</v>
      </c>
      <c r="R10" s="44"/>
      <c r="S10" s="90" t="s">
        <v>292</v>
      </c>
      <c r="T10" s="77">
        <v>6.2646611652524553E-2</v>
      </c>
      <c r="U10" s="78">
        <v>-10.983112640234582</v>
      </c>
      <c r="V10" s="77">
        <v>1E-8</v>
      </c>
      <c r="W10" s="77">
        <v>1E-8</v>
      </c>
      <c r="X10" s="77">
        <v>1E-8</v>
      </c>
      <c r="Y10" s="77">
        <v>1E-8</v>
      </c>
      <c r="Z10" s="77">
        <v>1E-8</v>
      </c>
      <c r="AA10" s="77">
        <v>1E-8</v>
      </c>
      <c r="AB10" s="77">
        <v>1E-8</v>
      </c>
      <c r="AC10" s="77">
        <v>1E-8</v>
      </c>
      <c r="AD10" s="4"/>
    </row>
    <row r="11" spans="1:30" x14ac:dyDescent="0.35">
      <c r="A11" s="9" t="s">
        <v>592</v>
      </c>
      <c r="B11" s="44"/>
      <c r="C11" s="91" t="s">
        <v>294</v>
      </c>
      <c r="D11" s="79">
        <v>0.1676427128790656</v>
      </c>
      <c r="E11" s="80">
        <v>7.2926144224540135</v>
      </c>
      <c r="F11" s="79">
        <v>1E-8</v>
      </c>
      <c r="G11" s="79">
        <v>1E-8</v>
      </c>
      <c r="H11" s="79">
        <v>1E-8</v>
      </c>
      <c r="I11" s="79">
        <v>1E-8</v>
      </c>
      <c r="J11" s="79">
        <v>1E-8</v>
      </c>
      <c r="K11" s="79">
        <v>1E-8</v>
      </c>
      <c r="L11" s="79">
        <v>1E-8</v>
      </c>
      <c r="M11" s="79">
        <v>1E-8</v>
      </c>
      <c r="N11" s="4"/>
      <c r="O11" s="6"/>
      <c r="P11" s="4"/>
      <c r="Q11" s="9" t="s">
        <v>592</v>
      </c>
      <c r="R11" s="44"/>
      <c r="S11" s="91" t="s">
        <v>294</v>
      </c>
      <c r="T11" s="79">
        <v>3.5586236469983303E-2</v>
      </c>
      <c r="U11" s="80">
        <v>-5.7519864937301097</v>
      </c>
      <c r="V11" s="79">
        <v>1E-8</v>
      </c>
      <c r="W11" s="79">
        <v>1E-8</v>
      </c>
      <c r="X11" s="79">
        <v>1E-8</v>
      </c>
      <c r="Y11" s="79">
        <v>1E-8</v>
      </c>
      <c r="Z11" s="79">
        <v>1E-8</v>
      </c>
      <c r="AA11" s="79">
        <v>1E-8</v>
      </c>
      <c r="AB11" s="79">
        <v>1E-8</v>
      </c>
      <c r="AC11" s="79">
        <v>1E-8</v>
      </c>
      <c r="AD11" s="4"/>
    </row>
    <row r="12" spans="1:30" x14ac:dyDescent="0.35">
      <c r="A12" s="9" t="s">
        <v>593</v>
      </c>
      <c r="B12" s="44"/>
      <c r="C12" s="91" t="s">
        <v>293</v>
      </c>
      <c r="D12" s="79">
        <v>1.0015674033045654</v>
      </c>
      <c r="E12" s="80">
        <v>8.9259453627169361</v>
      </c>
      <c r="F12" s="79">
        <v>1E-8</v>
      </c>
      <c r="G12" s="79">
        <v>1E-8</v>
      </c>
      <c r="H12" s="79">
        <v>1E-8</v>
      </c>
      <c r="I12" s="79">
        <v>1E-8</v>
      </c>
      <c r="J12" s="79">
        <v>1E-8</v>
      </c>
      <c r="K12" s="79">
        <v>1E-8</v>
      </c>
      <c r="L12" s="79">
        <v>1E-8</v>
      </c>
      <c r="M12" s="79">
        <v>1E-8</v>
      </c>
      <c r="N12" s="4"/>
      <c r="O12" s="6"/>
      <c r="P12" s="4"/>
      <c r="Q12" s="9" t="s">
        <v>593</v>
      </c>
      <c r="R12" s="44"/>
      <c r="S12" s="91" t="s">
        <v>293</v>
      </c>
      <c r="T12" s="79">
        <v>0.88193465787517533</v>
      </c>
      <c r="U12" s="80">
        <v>-5.049376342458201</v>
      </c>
      <c r="V12" s="79">
        <v>1E-8</v>
      </c>
      <c r="W12" s="79">
        <v>1E-8</v>
      </c>
      <c r="X12" s="79">
        <v>1E-8</v>
      </c>
      <c r="Y12" s="79">
        <v>1E-8</v>
      </c>
      <c r="Z12" s="79">
        <v>1E-8</v>
      </c>
      <c r="AA12" s="79">
        <v>1E-8</v>
      </c>
      <c r="AB12" s="79">
        <v>1E-8</v>
      </c>
      <c r="AC12" s="79">
        <v>1E-8</v>
      </c>
      <c r="AD12" s="4"/>
    </row>
    <row r="13" spans="1:30" x14ac:dyDescent="0.35">
      <c r="A13" s="9" t="s">
        <v>594</v>
      </c>
      <c r="B13" s="44"/>
      <c r="C13" s="91" t="s">
        <v>296</v>
      </c>
      <c r="D13" s="79">
        <v>1E-8</v>
      </c>
      <c r="E13" s="80">
        <v>1E-8</v>
      </c>
      <c r="F13" s="79">
        <v>1E-8</v>
      </c>
      <c r="G13" s="79">
        <v>1E-8</v>
      </c>
      <c r="H13" s="79">
        <v>1E-8</v>
      </c>
      <c r="I13" s="79">
        <v>1E-8</v>
      </c>
      <c r="J13" s="79">
        <v>1E-8</v>
      </c>
      <c r="K13" s="79">
        <v>1E-8</v>
      </c>
      <c r="L13" s="79">
        <v>1E-8</v>
      </c>
      <c r="M13" s="79">
        <v>1E-8</v>
      </c>
      <c r="N13" s="4"/>
      <c r="O13" s="6"/>
      <c r="P13" s="4"/>
      <c r="Q13" s="9" t="s">
        <v>594</v>
      </c>
      <c r="R13" s="44"/>
      <c r="S13" s="91" t="s">
        <v>296</v>
      </c>
      <c r="T13" s="79">
        <v>1.8887962754386545</v>
      </c>
      <c r="U13" s="80">
        <v>0.35807735084742998</v>
      </c>
      <c r="V13" s="79">
        <v>1E-8</v>
      </c>
      <c r="W13" s="79">
        <v>1E-8</v>
      </c>
      <c r="X13" s="79">
        <v>1E-8</v>
      </c>
      <c r="Y13" s="79">
        <v>1E-8</v>
      </c>
      <c r="Z13" s="79">
        <v>1E-8</v>
      </c>
      <c r="AA13" s="79">
        <v>1E-8</v>
      </c>
      <c r="AB13" s="79">
        <v>1E-8</v>
      </c>
      <c r="AC13" s="79">
        <v>1E-8</v>
      </c>
      <c r="AD13" s="4"/>
    </row>
    <row r="14" spans="1:30" x14ac:dyDescent="0.35">
      <c r="A14" s="9" t="s">
        <v>595</v>
      </c>
      <c r="B14" s="44"/>
      <c r="C14" s="91" t="s">
        <v>295</v>
      </c>
      <c r="D14" s="79">
        <v>0.50611773065442567</v>
      </c>
      <c r="E14" s="80">
        <v>6.8554122536526263</v>
      </c>
      <c r="F14" s="79">
        <v>1E-8</v>
      </c>
      <c r="G14" s="79">
        <v>1E-8</v>
      </c>
      <c r="H14" s="79">
        <v>1E-8</v>
      </c>
      <c r="I14" s="79">
        <v>1E-8</v>
      </c>
      <c r="J14" s="79">
        <v>1E-8</v>
      </c>
      <c r="K14" s="79">
        <v>1E-8</v>
      </c>
      <c r="L14" s="79">
        <v>1E-8</v>
      </c>
      <c r="M14" s="79">
        <v>1E-8</v>
      </c>
      <c r="N14" s="4"/>
      <c r="O14" s="6"/>
      <c r="P14" s="4"/>
      <c r="Q14" s="9" t="s">
        <v>595</v>
      </c>
      <c r="R14" s="44"/>
      <c r="S14" s="91" t="s">
        <v>295</v>
      </c>
      <c r="T14" s="79">
        <v>0.79483230009096373</v>
      </c>
      <c r="U14" s="80">
        <v>-6.9349068434741534</v>
      </c>
      <c r="V14" s="79">
        <v>1E-8</v>
      </c>
      <c r="W14" s="79">
        <v>1E-8</v>
      </c>
      <c r="X14" s="79">
        <v>1E-8</v>
      </c>
      <c r="Y14" s="79">
        <v>1E-8</v>
      </c>
      <c r="Z14" s="79">
        <v>1E-8</v>
      </c>
      <c r="AA14" s="79">
        <v>1E-8</v>
      </c>
      <c r="AB14" s="79">
        <v>1E-8</v>
      </c>
      <c r="AC14" s="79">
        <v>1E-8</v>
      </c>
      <c r="AD14" s="4"/>
    </row>
    <row r="15" spans="1:30" x14ac:dyDescent="0.35">
      <c r="A15" s="9" t="s">
        <v>596</v>
      </c>
      <c r="B15" s="44"/>
      <c r="C15" s="91" t="s">
        <v>297</v>
      </c>
      <c r="D15" s="79">
        <v>1E-8</v>
      </c>
      <c r="E15" s="80">
        <v>1E-8</v>
      </c>
      <c r="F15" s="79">
        <v>1E-8</v>
      </c>
      <c r="G15" s="79">
        <v>1E-8</v>
      </c>
      <c r="H15" s="79">
        <v>1E-8</v>
      </c>
      <c r="I15" s="79">
        <v>1E-8</v>
      </c>
      <c r="J15" s="79">
        <v>1E-8</v>
      </c>
      <c r="K15" s="79">
        <v>1E-8</v>
      </c>
      <c r="L15" s="79">
        <v>1E-8</v>
      </c>
      <c r="M15" s="79">
        <v>1E-8</v>
      </c>
      <c r="N15" s="4"/>
      <c r="O15" s="6"/>
      <c r="P15" s="4"/>
      <c r="Q15" s="9" t="s">
        <v>596</v>
      </c>
      <c r="R15" s="44"/>
      <c r="S15" s="91" t="s">
        <v>297</v>
      </c>
      <c r="T15" s="79">
        <v>0.13068694061442979</v>
      </c>
      <c r="U15" s="80">
        <v>0.29779398399338852</v>
      </c>
      <c r="V15" s="79">
        <v>1E-8</v>
      </c>
      <c r="W15" s="79">
        <v>1E-8</v>
      </c>
      <c r="X15" s="79">
        <v>1E-8</v>
      </c>
      <c r="Y15" s="79">
        <v>1E-8</v>
      </c>
      <c r="Z15" s="79">
        <v>1E-8</v>
      </c>
      <c r="AA15" s="79">
        <v>1E-8</v>
      </c>
      <c r="AB15" s="79">
        <v>1E-8</v>
      </c>
      <c r="AC15" s="79">
        <v>1E-8</v>
      </c>
      <c r="AD15" s="4"/>
    </row>
    <row r="16" spans="1:30" x14ac:dyDescent="0.35">
      <c r="A16" s="9" t="s">
        <v>597</v>
      </c>
      <c r="B16" s="44"/>
      <c r="C16" s="91" t="s">
        <v>301</v>
      </c>
      <c r="D16" s="79">
        <v>0.45639772830909908</v>
      </c>
      <c r="E16" s="80">
        <v>16.621552014352471</v>
      </c>
      <c r="F16" s="79">
        <v>1E-8</v>
      </c>
      <c r="G16" s="79">
        <v>1E-8</v>
      </c>
      <c r="H16" s="79">
        <v>1E-8</v>
      </c>
      <c r="I16" s="79">
        <v>1E-8</v>
      </c>
      <c r="J16" s="79">
        <v>1E-8</v>
      </c>
      <c r="K16" s="79">
        <v>1E-8</v>
      </c>
      <c r="L16" s="79">
        <v>1E-8</v>
      </c>
      <c r="M16" s="79">
        <v>1E-8</v>
      </c>
      <c r="N16" s="4"/>
      <c r="O16" s="6"/>
      <c r="P16" s="4"/>
      <c r="Q16" s="9" t="s">
        <v>597</v>
      </c>
      <c r="R16" s="44"/>
      <c r="S16" s="91" t="s">
        <v>301</v>
      </c>
      <c r="T16" s="79">
        <v>0.19464893638089001</v>
      </c>
      <c r="U16" s="80">
        <v>-8.697714129034873</v>
      </c>
      <c r="V16" s="79">
        <v>1E-8</v>
      </c>
      <c r="W16" s="79">
        <v>1E-8</v>
      </c>
      <c r="X16" s="79">
        <v>1E-8</v>
      </c>
      <c r="Y16" s="79">
        <v>1E-8</v>
      </c>
      <c r="Z16" s="79">
        <v>1E-8</v>
      </c>
      <c r="AA16" s="79">
        <v>1E-8</v>
      </c>
      <c r="AB16" s="79">
        <v>1E-8</v>
      </c>
      <c r="AC16" s="79">
        <v>1E-8</v>
      </c>
      <c r="AD16" s="4"/>
    </row>
    <row r="17" spans="1:30" x14ac:dyDescent="0.35">
      <c r="A17" s="9" t="s">
        <v>598</v>
      </c>
      <c r="B17" s="44"/>
      <c r="C17" s="91" t="s">
        <v>302</v>
      </c>
      <c r="D17" s="79">
        <v>1E-8</v>
      </c>
      <c r="E17" s="80">
        <v>1E-8</v>
      </c>
      <c r="F17" s="79">
        <v>1E-8</v>
      </c>
      <c r="G17" s="79">
        <v>1E-8</v>
      </c>
      <c r="H17" s="79">
        <v>1E-8</v>
      </c>
      <c r="I17" s="79">
        <v>1E-8</v>
      </c>
      <c r="J17" s="79">
        <v>1E-8</v>
      </c>
      <c r="K17" s="79">
        <v>1E-8</v>
      </c>
      <c r="L17" s="79">
        <v>1E-8</v>
      </c>
      <c r="M17" s="79">
        <v>1E-8</v>
      </c>
      <c r="N17" s="4"/>
      <c r="O17" s="6"/>
      <c r="P17" s="4"/>
      <c r="Q17" s="9" t="s">
        <v>598</v>
      </c>
      <c r="R17" s="44"/>
      <c r="S17" s="91" t="s">
        <v>302</v>
      </c>
      <c r="T17" s="79">
        <v>1E-8</v>
      </c>
      <c r="U17" s="80">
        <v>1E-8</v>
      </c>
      <c r="V17" s="79">
        <v>1E-8</v>
      </c>
      <c r="W17" s="79">
        <v>1E-8</v>
      </c>
      <c r="X17" s="79">
        <v>1E-8</v>
      </c>
      <c r="Y17" s="79">
        <v>1E-8</v>
      </c>
      <c r="Z17" s="79">
        <v>1E-8</v>
      </c>
      <c r="AA17" s="79">
        <v>1E-8</v>
      </c>
      <c r="AB17" s="79">
        <v>1E-8</v>
      </c>
      <c r="AC17" s="79">
        <v>1E-8</v>
      </c>
      <c r="AD17" s="4"/>
    </row>
    <row r="18" spans="1:30" x14ac:dyDescent="0.35">
      <c r="A18" s="9" t="s">
        <v>599</v>
      </c>
      <c r="B18" s="44"/>
      <c r="C18" s="91" t="s">
        <v>300</v>
      </c>
      <c r="D18" s="79">
        <v>1E-8</v>
      </c>
      <c r="E18" s="80">
        <v>1E-8</v>
      </c>
      <c r="F18" s="79">
        <v>1E-8</v>
      </c>
      <c r="G18" s="79">
        <v>1E-8</v>
      </c>
      <c r="H18" s="79">
        <v>1E-8</v>
      </c>
      <c r="I18" s="79">
        <v>1E-8</v>
      </c>
      <c r="J18" s="79">
        <v>1E-8</v>
      </c>
      <c r="K18" s="79">
        <v>1E-8</v>
      </c>
      <c r="L18" s="79">
        <v>1E-8</v>
      </c>
      <c r="M18" s="79">
        <v>1E-8</v>
      </c>
      <c r="N18" s="4"/>
      <c r="O18" s="6"/>
      <c r="P18" s="4"/>
      <c r="Q18" s="9" t="s">
        <v>599</v>
      </c>
      <c r="R18" s="44"/>
      <c r="S18" s="91" t="s">
        <v>300</v>
      </c>
      <c r="T18" s="79">
        <v>0.37580743665026045</v>
      </c>
      <c r="U18" s="80">
        <v>-7.8083367619189765</v>
      </c>
      <c r="V18" s="79">
        <v>1E-8</v>
      </c>
      <c r="W18" s="79">
        <v>1E-8</v>
      </c>
      <c r="X18" s="79">
        <v>1E-8</v>
      </c>
      <c r="Y18" s="79">
        <v>1E-8</v>
      </c>
      <c r="Z18" s="79">
        <v>1E-8</v>
      </c>
      <c r="AA18" s="79">
        <v>1E-8</v>
      </c>
      <c r="AB18" s="79">
        <v>1E-8</v>
      </c>
      <c r="AC18" s="79">
        <v>1E-8</v>
      </c>
      <c r="AD18" s="4"/>
    </row>
    <row r="19" spans="1:30" x14ac:dyDescent="0.35">
      <c r="A19" s="9" t="s">
        <v>600</v>
      </c>
      <c r="B19" s="44"/>
      <c r="C19" s="91" t="s">
        <v>303</v>
      </c>
      <c r="D19" s="79">
        <v>1E-8</v>
      </c>
      <c r="E19" s="80">
        <v>1E-8</v>
      </c>
      <c r="F19" s="79">
        <v>1E-8</v>
      </c>
      <c r="G19" s="79">
        <v>1E-8</v>
      </c>
      <c r="H19" s="79">
        <v>1E-8</v>
      </c>
      <c r="I19" s="79">
        <v>1E-8</v>
      </c>
      <c r="J19" s="79">
        <v>1E-8</v>
      </c>
      <c r="K19" s="79">
        <v>1E-8</v>
      </c>
      <c r="L19" s="79">
        <v>1E-8</v>
      </c>
      <c r="M19" s="79">
        <v>1E-8</v>
      </c>
      <c r="N19" s="4"/>
      <c r="O19" s="6"/>
      <c r="P19" s="4"/>
      <c r="Q19" s="9" t="s">
        <v>600</v>
      </c>
      <c r="R19" s="44"/>
      <c r="S19" s="91" t="s">
        <v>303</v>
      </c>
      <c r="T19" s="79">
        <v>1E-8</v>
      </c>
      <c r="U19" s="80">
        <v>1E-8</v>
      </c>
      <c r="V19" s="79">
        <v>1E-8</v>
      </c>
      <c r="W19" s="79">
        <v>1E-8</v>
      </c>
      <c r="X19" s="79">
        <v>1E-8</v>
      </c>
      <c r="Y19" s="79">
        <v>1E-8</v>
      </c>
      <c r="Z19" s="79">
        <v>1E-8</v>
      </c>
      <c r="AA19" s="79">
        <v>1E-8</v>
      </c>
      <c r="AB19" s="79">
        <v>1E-8</v>
      </c>
      <c r="AC19" s="79">
        <v>1E-8</v>
      </c>
      <c r="AD19" s="4"/>
    </row>
    <row r="20" spans="1:30" x14ac:dyDescent="0.35">
      <c r="A20" s="9" t="s">
        <v>601</v>
      </c>
      <c r="B20" s="44"/>
      <c r="C20" s="91" t="s">
        <v>533</v>
      </c>
      <c r="D20" s="79">
        <v>1.2647466132651126</v>
      </c>
      <c r="E20" s="80">
        <v>12.552739250610356</v>
      </c>
      <c r="F20" s="79">
        <v>1E-8</v>
      </c>
      <c r="G20" s="79">
        <v>1E-8</v>
      </c>
      <c r="H20" s="79">
        <v>1E-8</v>
      </c>
      <c r="I20" s="79">
        <v>1E-8</v>
      </c>
      <c r="J20" s="79">
        <v>1E-8</v>
      </c>
      <c r="K20" s="79">
        <v>1E-8</v>
      </c>
      <c r="L20" s="79">
        <v>1E-8</v>
      </c>
      <c r="M20" s="79">
        <v>1E-8</v>
      </c>
      <c r="N20" s="4"/>
      <c r="O20" s="6"/>
      <c r="P20" s="4"/>
      <c r="Q20" s="9" t="s">
        <v>601</v>
      </c>
      <c r="R20" s="44"/>
      <c r="S20" s="91" t="s">
        <v>533</v>
      </c>
      <c r="T20" s="79">
        <v>1E-8</v>
      </c>
      <c r="U20" s="80">
        <v>1E-8</v>
      </c>
      <c r="V20" s="79">
        <v>1E-8</v>
      </c>
      <c r="W20" s="79">
        <v>1E-8</v>
      </c>
      <c r="X20" s="79">
        <v>1E-8</v>
      </c>
      <c r="Y20" s="79">
        <v>1E-8</v>
      </c>
      <c r="Z20" s="79">
        <v>1E-8</v>
      </c>
      <c r="AA20" s="79">
        <v>1E-8</v>
      </c>
      <c r="AB20" s="79">
        <v>1E-8</v>
      </c>
      <c r="AC20" s="79">
        <v>1E-8</v>
      </c>
      <c r="AD20" s="4"/>
    </row>
    <row r="21" spans="1:30" x14ac:dyDescent="0.35">
      <c r="A21" s="9" t="s">
        <v>602</v>
      </c>
      <c r="B21" s="44"/>
      <c r="C21" s="91" t="s">
        <v>534</v>
      </c>
      <c r="D21" s="79">
        <v>1E-8</v>
      </c>
      <c r="E21" s="80">
        <v>1E-8</v>
      </c>
      <c r="F21" s="79">
        <v>1E-8</v>
      </c>
      <c r="G21" s="79">
        <v>1E-8</v>
      </c>
      <c r="H21" s="79">
        <v>1E-8</v>
      </c>
      <c r="I21" s="79">
        <v>1E-8</v>
      </c>
      <c r="J21" s="79">
        <v>1E-8</v>
      </c>
      <c r="K21" s="79">
        <v>1E-8</v>
      </c>
      <c r="L21" s="79">
        <v>1E-8</v>
      </c>
      <c r="M21" s="79">
        <v>1E-8</v>
      </c>
      <c r="N21" s="4"/>
      <c r="O21" s="6"/>
      <c r="P21" s="4"/>
      <c r="Q21" s="9" t="s">
        <v>602</v>
      </c>
      <c r="R21" s="44"/>
      <c r="S21" s="91" t="s">
        <v>534</v>
      </c>
      <c r="T21" s="79">
        <v>1E-8</v>
      </c>
      <c r="U21" s="80">
        <v>1E-8</v>
      </c>
      <c r="V21" s="79">
        <v>1E-8</v>
      </c>
      <c r="W21" s="79">
        <v>1E-8</v>
      </c>
      <c r="X21" s="79">
        <v>1E-8</v>
      </c>
      <c r="Y21" s="79">
        <v>1E-8</v>
      </c>
      <c r="Z21" s="79">
        <v>1E-8</v>
      </c>
      <c r="AA21" s="79">
        <v>1E-8</v>
      </c>
      <c r="AB21" s="79">
        <v>1E-8</v>
      </c>
      <c r="AC21" s="79">
        <v>1E-8</v>
      </c>
      <c r="AD21" s="4"/>
    </row>
    <row r="22" spans="1:30" x14ac:dyDescent="0.35">
      <c r="A22" s="9" t="s">
        <v>603</v>
      </c>
      <c r="B22" s="44"/>
      <c r="C22" s="91" t="s">
        <v>304</v>
      </c>
      <c r="D22" s="79">
        <v>0.31575707268662623</v>
      </c>
      <c r="E22" s="80">
        <v>11.239094216823942</v>
      </c>
      <c r="F22" s="79">
        <v>1E-8</v>
      </c>
      <c r="G22" s="79">
        <v>1E-8</v>
      </c>
      <c r="H22" s="79">
        <v>1E-8</v>
      </c>
      <c r="I22" s="79">
        <v>1E-8</v>
      </c>
      <c r="J22" s="79">
        <v>1E-8</v>
      </c>
      <c r="K22" s="79">
        <v>1E-8</v>
      </c>
      <c r="L22" s="79">
        <v>1E-8</v>
      </c>
      <c r="M22" s="79">
        <v>1E-8</v>
      </c>
      <c r="N22" s="4"/>
      <c r="O22" s="6"/>
      <c r="P22" s="4"/>
      <c r="Q22" s="9" t="s">
        <v>603</v>
      </c>
      <c r="R22" s="44"/>
      <c r="S22" s="91" t="s">
        <v>304</v>
      </c>
      <c r="T22" s="79">
        <v>7.3826221431974912E-2</v>
      </c>
      <c r="U22" s="80">
        <v>-10.173075718466528</v>
      </c>
      <c r="V22" s="79">
        <v>1E-8</v>
      </c>
      <c r="W22" s="79">
        <v>1E-8</v>
      </c>
      <c r="X22" s="79">
        <v>1E-8</v>
      </c>
      <c r="Y22" s="79">
        <v>1E-8</v>
      </c>
      <c r="Z22" s="79">
        <v>1E-8</v>
      </c>
      <c r="AA22" s="79">
        <v>1E-8</v>
      </c>
      <c r="AB22" s="79">
        <v>1E-8</v>
      </c>
      <c r="AC22" s="79">
        <v>1E-8</v>
      </c>
      <c r="AD22" s="4"/>
    </row>
    <row r="23" spans="1:30" x14ac:dyDescent="0.35">
      <c r="A23" s="9" t="s">
        <v>604</v>
      </c>
      <c r="B23" s="44"/>
      <c r="C23" s="91" t="s">
        <v>535</v>
      </c>
      <c r="D23" s="79">
        <v>1E-8</v>
      </c>
      <c r="E23" s="80">
        <v>1E-8</v>
      </c>
      <c r="F23" s="79">
        <v>1E-8</v>
      </c>
      <c r="G23" s="79">
        <v>1E-8</v>
      </c>
      <c r="H23" s="79">
        <v>1E-8</v>
      </c>
      <c r="I23" s="79">
        <v>1E-8</v>
      </c>
      <c r="J23" s="79">
        <v>1E-8</v>
      </c>
      <c r="K23" s="79">
        <v>1E-8</v>
      </c>
      <c r="L23" s="79">
        <v>1E-8</v>
      </c>
      <c r="M23" s="79">
        <v>1E-8</v>
      </c>
      <c r="N23" s="4"/>
      <c r="O23" s="6"/>
      <c r="P23" s="4"/>
      <c r="Q23" s="9" t="s">
        <v>604</v>
      </c>
      <c r="R23" s="44"/>
      <c r="S23" s="91" t="s">
        <v>535</v>
      </c>
      <c r="T23" s="79">
        <v>1E-8</v>
      </c>
      <c r="U23" s="80">
        <v>1E-8</v>
      </c>
      <c r="V23" s="79">
        <v>1E-8</v>
      </c>
      <c r="W23" s="79">
        <v>1E-8</v>
      </c>
      <c r="X23" s="79">
        <v>1E-8</v>
      </c>
      <c r="Y23" s="79">
        <v>1E-8</v>
      </c>
      <c r="Z23" s="79">
        <v>1E-8</v>
      </c>
      <c r="AA23" s="79">
        <v>1E-8</v>
      </c>
      <c r="AB23" s="79">
        <v>1E-8</v>
      </c>
      <c r="AC23" s="79">
        <v>1E-8</v>
      </c>
      <c r="AD23" s="4"/>
    </row>
    <row r="24" spans="1:30" x14ac:dyDescent="0.35">
      <c r="A24" s="9" t="s">
        <v>605</v>
      </c>
      <c r="B24" s="44"/>
      <c r="C24" s="91" t="s">
        <v>536</v>
      </c>
      <c r="D24" s="79">
        <v>1E-8</v>
      </c>
      <c r="E24" s="80">
        <v>1E-8</v>
      </c>
      <c r="F24" s="79">
        <v>1E-8</v>
      </c>
      <c r="G24" s="79">
        <v>1E-8</v>
      </c>
      <c r="H24" s="79">
        <v>1E-8</v>
      </c>
      <c r="I24" s="79">
        <v>1E-8</v>
      </c>
      <c r="J24" s="79">
        <v>1E-8</v>
      </c>
      <c r="K24" s="79">
        <v>1E-8</v>
      </c>
      <c r="L24" s="79">
        <v>1E-8</v>
      </c>
      <c r="M24" s="79">
        <v>1E-8</v>
      </c>
      <c r="N24" s="4"/>
      <c r="O24" s="6"/>
      <c r="P24" s="4"/>
      <c r="Q24" s="9" t="s">
        <v>605</v>
      </c>
      <c r="R24" s="44"/>
      <c r="S24" s="91" t="s">
        <v>536</v>
      </c>
      <c r="T24" s="79">
        <v>1E-8</v>
      </c>
      <c r="U24" s="80">
        <v>1E-8</v>
      </c>
      <c r="V24" s="79">
        <v>1E-8</v>
      </c>
      <c r="W24" s="79">
        <v>1E-8</v>
      </c>
      <c r="X24" s="79">
        <v>1E-8</v>
      </c>
      <c r="Y24" s="79">
        <v>1E-8</v>
      </c>
      <c r="Z24" s="79">
        <v>1E-8</v>
      </c>
      <c r="AA24" s="79">
        <v>1E-8</v>
      </c>
      <c r="AB24" s="79">
        <v>1E-8</v>
      </c>
      <c r="AC24" s="79">
        <v>1E-8</v>
      </c>
      <c r="AD24" s="4"/>
    </row>
    <row r="25" spans="1:30" x14ac:dyDescent="0.35">
      <c r="A25" s="9" t="s">
        <v>606</v>
      </c>
      <c r="B25" s="44"/>
      <c r="C25" s="91" t="s">
        <v>537</v>
      </c>
      <c r="D25" s="79">
        <v>6.3116397549375786E-2</v>
      </c>
      <c r="E25" s="80">
        <v>13.776242494066548</v>
      </c>
      <c r="F25" s="79">
        <v>1E-8</v>
      </c>
      <c r="G25" s="79">
        <v>1E-8</v>
      </c>
      <c r="H25" s="79">
        <v>1E-8</v>
      </c>
      <c r="I25" s="79">
        <v>1E-8</v>
      </c>
      <c r="J25" s="79">
        <v>1E-8</v>
      </c>
      <c r="K25" s="79">
        <v>1E-8</v>
      </c>
      <c r="L25" s="79">
        <v>1E-8</v>
      </c>
      <c r="M25" s="79">
        <v>1E-8</v>
      </c>
      <c r="N25" s="4"/>
      <c r="O25" s="6"/>
      <c r="P25" s="4"/>
      <c r="Q25" s="9" t="s">
        <v>606</v>
      </c>
      <c r="R25" s="44"/>
      <c r="S25" s="91" t="s">
        <v>537</v>
      </c>
      <c r="T25" s="79">
        <v>1.4842807828449706E-2</v>
      </c>
      <c r="U25" s="80">
        <v>-10.841072224741611</v>
      </c>
      <c r="V25" s="79">
        <v>1E-8</v>
      </c>
      <c r="W25" s="79">
        <v>1E-8</v>
      </c>
      <c r="X25" s="79">
        <v>1E-8</v>
      </c>
      <c r="Y25" s="79">
        <v>1E-8</v>
      </c>
      <c r="Z25" s="79">
        <v>1E-8</v>
      </c>
      <c r="AA25" s="79">
        <v>1E-8</v>
      </c>
      <c r="AB25" s="79">
        <v>1E-8</v>
      </c>
      <c r="AC25" s="79">
        <v>1E-8</v>
      </c>
      <c r="AD25" s="4"/>
    </row>
    <row r="26" spans="1:30" x14ac:dyDescent="0.35">
      <c r="A26" s="9" t="s">
        <v>607</v>
      </c>
      <c r="B26" s="44"/>
      <c r="C26" s="91" t="s">
        <v>307</v>
      </c>
      <c r="D26" s="79">
        <v>0.14065927092198072</v>
      </c>
      <c r="E26" s="80">
        <v>14.787257494924756</v>
      </c>
      <c r="F26" s="79">
        <v>1E-8</v>
      </c>
      <c r="G26" s="79">
        <v>1E-8</v>
      </c>
      <c r="H26" s="79">
        <v>1E-8</v>
      </c>
      <c r="I26" s="79">
        <v>1E-8</v>
      </c>
      <c r="J26" s="79">
        <v>1E-8</v>
      </c>
      <c r="K26" s="79">
        <v>1E-8</v>
      </c>
      <c r="L26" s="79">
        <v>1E-8</v>
      </c>
      <c r="M26" s="79">
        <v>1E-8</v>
      </c>
      <c r="N26" s="4"/>
      <c r="O26" s="6"/>
      <c r="P26" s="4"/>
      <c r="Q26" s="9" t="s">
        <v>607</v>
      </c>
      <c r="R26" s="44"/>
      <c r="S26" s="91" t="s">
        <v>307</v>
      </c>
      <c r="T26" s="79">
        <v>0.22234069225710207</v>
      </c>
      <c r="U26" s="80">
        <v>-9.6617205195040476</v>
      </c>
      <c r="V26" s="79">
        <v>1E-8</v>
      </c>
      <c r="W26" s="79">
        <v>1E-8</v>
      </c>
      <c r="X26" s="79">
        <v>1E-8</v>
      </c>
      <c r="Y26" s="79">
        <v>1E-8</v>
      </c>
      <c r="Z26" s="79">
        <v>1E-8</v>
      </c>
      <c r="AA26" s="79">
        <v>1E-8</v>
      </c>
      <c r="AB26" s="79">
        <v>1E-8</v>
      </c>
      <c r="AC26" s="79">
        <v>1E-8</v>
      </c>
      <c r="AD26" s="4"/>
    </row>
    <row r="27" spans="1:30" x14ac:dyDescent="0.35">
      <c r="A27" s="9" t="s">
        <v>608</v>
      </c>
      <c r="B27" s="44"/>
      <c r="C27" s="91" t="s">
        <v>298</v>
      </c>
      <c r="D27" s="79">
        <v>4.8198457671465994E-2</v>
      </c>
      <c r="E27" s="80">
        <v>16.946217213866909</v>
      </c>
      <c r="F27" s="79">
        <v>1E-8</v>
      </c>
      <c r="G27" s="79">
        <v>1E-8</v>
      </c>
      <c r="H27" s="79">
        <v>1E-8</v>
      </c>
      <c r="I27" s="79">
        <v>1E-8</v>
      </c>
      <c r="J27" s="79">
        <v>1E-8</v>
      </c>
      <c r="K27" s="79">
        <v>1E-8</v>
      </c>
      <c r="L27" s="79">
        <v>1E-8</v>
      </c>
      <c r="M27" s="79">
        <v>1E-8</v>
      </c>
      <c r="N27" s="4"/>
      <c r="O27" s="6"/>
      <c r="P27" s="4"/>
      <c r="Q27" s="9" t="s">
        <v>608</v>
      </c>
      <c r="R27" s="44"/>
      <c r="S27" s="91" t="s">
        <v>298</v>
      </c>
      <c r="T27" s="79">
        <v>9.6196536101974817E-2</v>
      </c>
      <c r="U27" s="80">
        <v>-5.5395756322945129</v>
      </c>
      <c r="V27" s="79">
        <v>1E-8</v>
      </c>
      <c r="W27" s="79">
        <v>1E-8</v>
      </c>
      <c r="X27" s="79">
        <v>1E-8</v>
      </c>
      <c r="Y27" s="79">
        <v>1E-8</v>
      </c>
      <c r="Z27" s="79">
        <v>1E-8</v>
      </c>
      <c r="AA27" s="79">
        <v>1E-8</v>
      </c>
      <c r="AB27" s="79">
        <v>1E-8</v>
      </c>
      <c r="AC27" s="79">
        <v>1E-8</v>
      </c>
      <c r="AD27" s="4"/>
    </row>
    <row r="28" spans="1:30" x14ac:dyDescent="0.35">
      <c r="A28" s="9" t="s">
        <v>609</v>
      </c>
      <c r="B28" s="44"/>
      <c r="C28" s="91" t="s">
        <v>538</v>
      </c>
      <c r="D28" s="79">
        <v>1E-8</v>
      </c>
      <c r="E28" s="80">
        <v>1E-8</v>
      </c>
      <c r="F28" s="79">
        <v>1E-8</v>
      </c>
      <c r="G28" s="79">
        <v>1E-8</v>
      </c>
      <c r="H28" s="79">
        <v>1E-8</v>
      </c>
      <c r="I28" s="79">
        <v>1E-8</v>
      </c>
      <c r="J28" s="79">
        <v>1E-8</v>
      </c>
      <c r="K28" s="79">
        <v>1E-8</v>
      </c>
      <c r="L28" s="79">
        <v>1E-8</v>
      </c>
      <c r="M28" s="79">
        <v>1E-8</v>
      </c>
      <c r="N28" s="4"/>
      <c r="O28" s="6"/>
      <c r="P28" s="4"/>
      <c r="Q28" s="9" t="s">
        <v>609</v>
      </c>
      <c r="R28" s="44"/>
      <c r="S28" s="91" t="s">
        <v>538</v>
      </c>
      <c r="T28" s="79">
        <v>1E-8</v>
      </c>
      <c r="U28" s="80">
        <v>1E-8</v>
      </c>
      <c r="V28" s="79">
        <v>1E-8</v>
      </c>
      <c r="W28" s="79">
        <v>1E-8</v>
      </c>
      <c r="X28" s="79">
        <v>1E-8</v>
      </c>
      <c r="Y28" s="79">
        <v>1E-8</v>
      </c>
      <c r="Z28" s="79">
        <v>1E-8</v>
      </c>
      <c r="AA28" s="79">
        <v>1E-8</v>
      </c>
      <c r="AB28" s="79">
        <v>1E-8</v>
      </c>
      <c r="AC28" s="79">
        <v>1E-8</v>
      </c>
      <c r="AD28" s="4"/>
    </row>
    <row r="29" spans="1:30" x14ac:dyDescent="0.35">
      <c r="A29" s="9" t="s">
        <v>610</v>
      </c>
      <c r="B29" s="44"/>
      <c r="C29" s="91" t="s">
        <v>299</v>
      </c>
      <c r="D29" s="79">
        <v>1E-8</v>
      </c>
      <c r="E29" s="80">
        <v>1E-8</v>
      </c>
      <c r="F29" s="79">
        <v>1E-8</v>
      </c>
      <c r="G29" s="79">
        <v>1E-8</v>
      </c>
      <c r="H29" s="79">
        <v>1E-8</v>
      </c>
      <c r="I29" s="79">
        <v>1E-8</v>
      </c>
      <c r="J29" s="79">
        <v>1E-8</v>
      </c>
      <c r="K29" s="79">
        <v>1E-8</v>
      </c>
      <c r="L29" s="79">
        <v>1E-8</v>
      </c>
      <c r="M29" s="79">
        <v>1E-8</v>
      </c>
      <c r="N29" s="4"/>
      <c r="O29" s="6"/>
      <c r="P29" s="4"/>
      <c r="Q29" s="9" t="s">
        <v>610</v>
      </c>
      <c r="R29" s="44"/>
      <c r="S29" s="91" t="s">
        <v>299</v>
      </c>
      <c r="T29" s="79">
        <v>0.19135417833551743</v>
      </c>
      <c r="U29" s="80">
        <v>2.2230441822080227</v>
      </c>
      <c r="V29" s="79">
        <v>1E-8</v>
      </c>
      <c r="W29" s="79">
        <v>1E-8</v>
      </c>
      <c r="X29" s="79">
        <v>1E-8</v>
      </c>
      <c r="Y29" s="79">
        <v>1E-8</v>
      </c>
      <c r="Z29" s="79">
        <v>1E-8</v>
      </c>
      <c r="AA29" s="79">
        <v>1E-8</v>
      </c>
      <c r="AB29" s="79">
        <v>1E-8</v>
      </c>
      <c r="AC29" s="79">
        <v>1E-8</v>
      </c>
      <c r="AD29" s="4"/>
    </row>
    <row r="30" spans="1:30" x14ac:dyDescent="0.35">
      <c r="A30" s="9" t="s">
        <v>611</v>
      </c>
      <c r="B30" s="44"/>
      <c r="C30" s="91" t="s">
        <v>309</v>
      </c>
      <c r="D30" s="79">
        <v>5.1989007424736711</v>
      </c>
      <c r="E30" s="80">
        <v>17.505255962259135</v>
      </c>
      <c r="F30" s="79">
        <v>1E-8</v>
      </c>
      <c r="G30" s="79">
        <v>1E-8</v>
      </c>
      <c r="H30" s="79">
        <v>1E-8</v>
      </c>
      <c r="I30" s="79">
        <v>1E-8</v>
      </c>
      <c r="J30" s="79">
        <v>1E-8</v>
      </c>
      <c r="K30" s="79">
        <v>1E-8</v>
      </c>
      <c r="L30" s="79">
        <v>1E-8</v>
      </c>
      <c r="M30" s="79">
        <v>1E-8</v>
      </c>
      <c r="N30" s="4"/>
      <c r="O30" s="6"/>
      <c r="P30" s="4"/>
      <c r="Q30" s="9" t="s">
        <v>611</v>
      </c>
      <c r="R30" s="44"/>
      <c r="S30" s="91" t="s">
        <v>309</v>
      </c>
      <c r="T30" s="79">
        <v>1E-8</v>
      </c>
      <c r="U30" s="80">
        <v>1E-8</v>
      </c>
      <c r="V30" s="79">
        <v>1E-8</v>
      </c>
      <c r="W30" s="79">
        <v>1E-8</v>
      </c>
      <c r="X30" s="79">
        <v>1E-8</v>
      </c>
      <c r="Y30" s="79">
        <v>1E-8</v>
      </c>
      <c r="Z30" s="79">
        <v>1E-8</v>
      </c>
      <c r="AA30" s="79">
        <v>1E-8</v>
      </c>
      <c r="AB30" s="79">
        <v>1E-8</v>
      </c>
      <c r="AC30" s="79">
        <v>1E-8</v>
      </c>
      <c r="AD30" s="4"/>
    </row>
    <row r="31" spans="1:30" x14ac:dyDescent="0.35">
      <c r="A31" s="9" t="s">
        <v>612</v>
      </c>
      <c r="B31" s="44"/>
      <c r="C31" s="91" t="s">
        <v>308</v>
      </c>
      <c r="D31" s="79">
        <v>1E-8</v>
      </c>
      <c r="E31" s="80">
        <v>1E-8</v>
      </c>
      <c r="F31" s="79">
        <v>1E-8</v>
      </c>
      <c r="G31" s="79">
        <v>1E-8</v>
      </c>
      <c r="H31" s="79">
        <v>1E-8</v>
      </c>
      <c r="I31" s="79">
        <v>1E-8</v>
      </c>
      <c r="J31" s="79">
        <v>1E-8</v>
      </c>
      <c r="K31" s="79">
        <v>1E-8</v>
      </c>
      <c r="L31" s="79">
        <v>1E-8</v>
      </c>
      <c r="M31" s="79">
        <v>1E-8</v>
      </c>
      <c r="N31" s="4"/>
      <c r="O31" s="6"/>
      <c r="P31" s="4"/>
      <c r="Q31" s="9" t="s">
        <v>612</v>
      </c>
      <c r="R31" s="44"/>
      <c r="S31" s="91" t="s">
        <v>308</v>
      </c>
      <c r="T31" s="79">
        <v>1E-8</v>
      </c>
      <c r="U31" s="80">
        <v>1E-8</v>
      </c>
      <c r="V31" s="79">
        <v>1E-8</v>
      </c>
      <c r="W31" s="79">
        <v>1E-8</v>
      </c>
      <c r="X31" s="79">
        <v>1E-8</v>
      </c>
      <c r="Y31" s="79">
        <v>1E-8</v>
      </c>
      <c r="Z31" s="79">
        <v>1E-8</v>
      </c>
      <c r="AA31" s="79">
        <v>1E-8</v>
      </c>
      <c r="AB31" s="79">
        <v>1E-8</v>
      </c>
      <c r="AC31" s="79">
        <v>1E-8</v>
      </c>
      <c r="AD31" s="4"/>
    </row>
    <row r="32" spans="1:30" x14ac:dyDescent="0.35">
      <c r="A32" s="9" t="s">
        <v>613</v>
      </c>
      <c r="B32" s="44"/>
      <c r="C32" s="91" t="s">
        <v>306</v>
      </c>
      <c r="D32" s="79">
        <v>1E-8</v>
      </c>
      <c r="E32" s="80">
        <v>1E-8</v>
      </c>
      <c r="F32" s="79">
        <v>1E-8</v>
      </c>
      <c r="G32" s="79">
        <v>1E-8</v>
      </c>
      <c r="H32" s="79">
        <v>1E-8</v>
      </c>
      <c r="I32" s="79">
        <v>1E-8</v>
      </c>
      <c r="J32" s="79">
        <v>1E-8</v>
      </c>
      <c r="K32" s="79">
        <v>1E-8</v>
      </c>
      <c r="L32" s="79">
        <v>1E-8</v>
      </c>
      <c r="M32" s="79">
        <v>1E-8</v>
      </c>
      <c r="N32" s="4"/>
      <c r="O32" s="6"/>
      <c r="P32" s="4"/>
      <c r="Q32" s="9" t="s">
        <v>613</v>
      </c>
      <c r="R32" s="44"/>
      <c r="S32" s="91" t="s">
        <v>306</v>
      </c>
      <c r="T32" s="79">
        <v>1E-8</v>
      </c>
      <c r="U32" s="80">
        <v>1E-8</v>
      </c>
      <c r="V32" s="79">
        <v>1E-8</v>
      </c>
      <c r="W32" s="79">
        <v>1E-8</v>
      </c>
      <c r="X32" s="79">
        <v>1E-8</v>
      </c>
      <c r="Y32" s="79">
        <v>1E-8</v>
      </c>
      <c r="Z32" s="79">
        <v>1E-8</v>
      </c>
      <c r="AA32" s="79">
        <v>1E-8</v>
      </c>
      <c r="AB32" s="79">
        <v>1E-8</v>
      </c>
      <c r="AC32" s="79">
        <v>1E-8</v>
      </c>
      <c r="AD32" s="4"/>
    </row>
    <row r="33" spans="1:30" x14ac:dyDescent="0.35">
      <c r="A33" s="9" t="s">
        <v>614</v>
      </c>
      <c r="B33" s="44"/>
      <c r="C33" s="91" t="s">
        <v>305</v>
      </c>
      <c r="D33" s="79">
        <v>0.12982434325814587</v>
      </c>
      <c r="E33" s="80">
        <v>11.38811139950484</v>
      </c>
      <c r="F33" s="79">
        <v>1E-8</v>
      </c>
      <c r="G33" s="79">
        <v>1E-8</v>
      </c>
      <c r="H33" s="79">
        <v>1E-8</v>
      </c>
      <c r="I33" s="79">
        <v>1E-8</v>
      </c>
      <c r="J33" s="79">
        <v>1E-8</v>
      </c>
      <c r="K33" s="79">
        <v>1E-8</v>
      </c>
      <c r="L33" s="79">
        <v>1E-8</v>
      </c>
      <c r="M33" s="79">
        <v>1E-8</v>
      </c>
      <c r="N33" s="4"/>
      <c r="O33" s="6"/>
      <c r="P33" s="4"/>
      <c r="Q33" s="9" t="s">
        <v>614</v>
      </c>
      <c r="R33" s="44"/>
      <c r="S33" s="91" t="s">
        <v>305</v>
      </c>
      <c r="T33" s="79">
        <v>1E-8</v>
      </c>
      <c r="U33" s="80">
        <v>1E-8</v>
      </c>
      <c r="V33" s="79">
        <v>1E-8</v>
      </c>
      <c r="W33" s="79">
        <v>1E-8</v>
      </c>
      <c r="X33" s="79">
        <v>1E-8</v>
      </c>
      <c r="Y33" s="79">
        <v>1E-8</v>
      </c>
      <c r="Z33" s="79">
        <v>1E-8</v>
      </c>
      <c r="AA33" s="79">
        <v>1E-8</v>
      </c>
      <c r="AB33" s="79">
        <v>1E-8</v>
      </c>
      <c r="AC33" s="79">
        <v>1E-8</v>
      </c>
      <c r="AD33" s="4"/>
    </row>
    <row r="34" spans="1:30" x14ac:dyDescent="0.35">
      <c r="A34" s="9" t="s">
        <v>615</v>
      </c>
      <c r="B34" s="44"/>
      <c r="C34" s="91" t="s">
        <v>539</v>
      </c>
      <c r="D34" s="79">
        <v>0.59530212541265326</v>
      </c>
      <c r="E34" s="80">
        <v>13.146154077756877</v>
      </c>
      <c r="F34" s="79">
        <v>1E-8</v>
      </c>
      <c r="G34" s="79">
        <v>1E-8</v>
      </c>
      <c r="H34" s="79">
        <v>1E-8</v>
      </c>
      <c r="I34" s="79">
        <v>1E-8</v>
      </c>
      <c r="J34" s="79">
        <v>1E-8</v>
      </c>
      <c r="K34" s="79">
        <v>1E-8</v>
      </c>
      <c r="L34" s="79">
        <v>1E-8</v>
      </c>
      <c r="M34" s="79">
        <v>1E-8</v>
      </c>
      <c r="N34" s="4"/>
      <c r="O34" s="6"/>
      <c r="P34" s="4"/>
      <c r="Q34" s="9" t="s">
        <v>615</v>
      </c>
      <c r="R34" s="44"/>
      <c r="S34" s="91" t="s">
        <v>539</v>
      </c>
      <c r="T34" s="79">
        <v>1E-8</v>
      </c>
      <c r="U34" s="80">
        <v>1E-8</v>
      </c>
      <c r="V34" s="79">
        <v>1E-8</v>
      </c>
      <c r="W34" s="79">
        <v>1E-8</v>
      </c>
      <c r="X34" s="79">
        <v>1E-8</v>
      </c>
      <c r="Y34" s="79">
        <v>1E-8</v>
      </c>
      <c r="Z34" s="79">
        <v>1E-8</v>
      </c>
      <c r="AA34" s="79">
        <v>1E-8</v>
      </c>
      <c r="AB34" s="79">
        <v>1E-8</v>
      </c>
      <c r="AC34" s="79">
        <v>1E-8</v>
      </c>
      <c r="AD34" s="4"/>
    </row>
    <row r="35" spans="1:30" x14ac:dyDescent="0.35">
      <c r="A35" s="9" t="s">
        <v>616</v>
      </c>
      <c r="B35" s="44"/>
      <c r="C35" s="91" t="s">
        <v>310</v>
      </c>
      <c r="D35" s="81">
        <v>0.2117762846097371</v>
      </c>
      <c r="E35" s="82">
        <v>16.613705381276112</v>
      </c>
      <c r="F35" s="81">
        <v>1E-8</v>
      </c>
      <c r="G35" s="81">
        <v>1E-8</v>
      </c>
      <c r="H35" s="81">
        <v>1E-8</v>
      </c>
      <c r="I35" s="81">
        <v>1E-8</v>
      </c>
      <c r="J35" s="81">
        <v>1E-8</v>
      </c>
      <c r="K35" s="81">
        <v>1E-8</v>
      </c>
      <c r="L35" s="81">
        <v>1E-8</v>
      </c>
      <c r="M35" s="81">
        <v>1E-8</v>
      </c>
      <c r="N35" s="4"/>
      <c r="O35" s="6"/>
      <c r="P35" s="4"/>
      <c r="Q35" s="9" t="s">
        <v>616</v>
      </c>
      <c r="R35" s="44"/>
      <c r="S35" s="91" t="s">
        <v>310</v>
      </c>
      <c r="T35" s="81">
        <v>6.2646611652524553E-2</v>
      </c>
      <c r="U35" s="82">
        <v>-10.983112640234582</v>
      </c>
      <c r="V35" s="81">
        <v>1E-8</v>
      </c>
      <c r="W35" s="81">
        <v>1E-8</v>
      </c>
      <c r="X35" s="81">
        <v>1E-8</v>
      </c>
      <c r="Y35" s="81">
        <v>1E-8</v>
      </c>
      <c r="Z35" s="81">
        <v>1E-8</v>
      </c>
      <c r="AA35" s="81">
        <v>1E-8</v>
      </c>
      <c r="AB35" s="81">
        <v>1E-8</v>
      </c>
      <c r="AC35" s="81">
        <v>1E-8</v>
      </c>
      <c r="AD35" s="4"/>
    </row>
    <row r="36" spans="1:30" x14ac:dyDescent="0.35">
      <c r="A36" s="11" t="s">
        <v>280</v>
      </c>
      <c r="B36" s="44"/>
      <c r="C36" s="90" t="s">
        <v>311</v>
      </c>
      <c r="D36" s="77">
        <v>0.67825933823661688</v>
      </c>
      <c r="E36" s="78">
        <v>5.035876197328526</v>
      </c>
      <c r="F36" s="77">
        <v>1E-8</v>
      </c>
      <c r="G36" s="77">
        <v>1E-8</v>
      </c>
      <c r="H36" s="77">
        <v>1E-8</v>
      </c>
      <c r="I36" s="77">
        <v>1E-8</v>
      </c>
      <c r="J36" s="77">
        <v>1E-8</v>
      </c>
      <c r="K36" s="77">
        <v>1E-8</v>
      </c>
      <c r="L36" s="77">
        <v>1E-8</v>
      </c>
      <c r="M36" s="77">
        <v>1E-8</v>
      </c>
      <c r="N36" s="4"/>
      <c r="O36" s="6"/>
      <c r="P36" s="4"/>
      <c r="Q36" s="11" t="s">
        <v>280</v>
      </c>
      <c r="R36" s="44"/>
      <c r="S36" s="90" t="s">
        <v>311</v>
      </c>
      <c r="T36" s="77">
        <v>9.0650951087653739E-2</v>
      </c>
      <c r="U36" s="78">
        <v>-5.0794277210753354</v>
      </c>
      <c r="V36" s="77">
        <v>1E-8</v>
      </c>
      <c r="W36" s="77">
        <v>1E-8</v>
      </c>
      <c r="X36" s="77">
        <v>1E-8</v>
      </c>
      <c r="Y36" s="77">
        <v>1E-8</v>
      </c>
      <c r="Z36" s="77">
        <v>1E-8</v>
      </c>
      <c r="AA36" s="77">
        <v>1E-8</v>
      </c>
      <c r="AB36" s="77">
        <v>1E-8</v>
      </c>
      <c r="AC36" s="77">
        <v>1E-8</v>
      </c>
      <c r="AD36" s="4"/>
    </row>
    <row r="37" spans="1:30" x14ac:dyDescent="0.35">
      <c r="A37" s="9" t="s">
        <v>617</v>
      </c>
      <c r="B37" s="44"/>
      <c r="C37" s="91" t="s">
        <v>312</v>
      </c>
      <c r="D37" s="79">
        <v>1E-8</v>
      </c>
      <c r="E37" s="80">
        <v>1E-8</v>
      </c>
      <c r="F37" s="79">
        <v>1E-8</v>
      </c>
      <c r="G37" s="79">
        <v>1E-8</v>
      </c>
      <c r="H37" s="79">
        <v>1E-8</v>
      </c>
      <c r="I37" s="79">
        <v>1E-8</v>
      </c>
      <c r="J37" s="79">
        <v>1E-8</v>
      </c>
      <c r="K37" s="79">
        <v>1E-8</v>
      </c>
      <c r="L37" s="79">
        <v>1E-8</v>
      </c>
      <c r="M37" s="79">
        <v>1E-8</v>
      </c>
      <c r="N37" s="4"/>
      <c r="O37" s="6"/>
      <c r="P37" s="4"/>
      <c r="Q37" s="9" t="s">
        <v>617</v>
      </c>
      <c r="R37" s="44"/>
      <c r="S37" s="91" t="s">
        <v>312</v>
      </c>
      <c r="T37" s="79">
        <v>1E-8</v>
      </c>
      <c r="U37" s="80">
        <v>1E-8</v>
      </c>
      <c r="V37" s="79">
        <v>1E-8</v>
      </c>
      <c r="W37" s="79">
        <v>1E-8</v>
      </c>
      <c r="X37" s="79">
        <v>1E-8</v>
      </c>
      <c r="Y37" s="79">
        <v>1E-8</v>
      </c>
      <c r="Z37" s="79">
        <v>1E-8</v>
      </c>
      <c r="AA37" s="79">
        <v>1E-8</v>
      </c>
      <c r="AB37" s="79">
        <v>1E-8</v>
      </c>
      <c r="AC37" s="79">
        <v>1E-8</v>
      </c>
      <c r="AD37" s="4"/>
    </row>
    <row r="38" spans="1:30" x14ac:dyDescent="0.35">
      <c r="A38" s="9" t="s">
        <v>618</v>
      </c>
      <c r="B38" s="44"/>
      <c r="C38" s="91" t="s">
        <v>316</v>
      </c>
      <c r="D38" s="79">
        <v>1E-8</v>
      </c>
      <c r="E38" s="80">
        <v>1E-8</v>
      </c>
      <c r="F38" s="79">
        <v>1E-8</v>
      </c>
      <c r="G38" s="79">
        <v>1E-8</v>
      </c>
      <c r="H38" s="79">
        <v>1E-8</v>
      </c>
      <c r="I38" s="79">
        <v>1E-8</v>
      </c>
      <c r="J38" s="79">
        <v>1E-8</v>
      </c>
      <c r="K38" s="79">
        <v>1E-8</v>
      </c>
      <c r="L38" s="79">
        <v>1E-8</v>
      </c>
      <c r="M38" s="79">
        <v>1E-8</v>
      </c>
      <c r="N38" s="4"/>
      <c r="O38" s="6"/>
      <c r="P38" s="4"/>
      <c r="Q38" s="9" t="s">
        <v>618</v>
      </c>
      <c r="R38" s="44"/>
      <c r="S38" s="91" t="s">
        <v>316</v>
      </c>
      <c r="T38" s="79">
        <v>1E-8</v>
      </c>
      <c r="U38" s="80">
        <v>1E-8</v>
      </c>
      <c r="V38" s="79">
        <v>1E-8</v>
      </c>
      <c r="W38" s="79">
        <v>1E-8</v>
      </c>
      <c r="X38" s="79">
        <v>1E-8</v>
      </c>
      <c r="Y38" s="79">
        <v>1E-8</v>
      </c>
      <c r="Z38" s="79">
        <v>1E-8</v>
      </c>
      <c r="AA38" s="79">
        <v>1E-8</v>
      </c>
      <c r="AB38" s="79">
        <v>1E-8</v>
      </c>
      <c r="AC38" s="79">
        <v>1E-8</v>
      </c>
      <c r="AD38" s="4"/>
    </row>
    <row r="39" spans="1:30" x14ac:dyDescent="0.35">
      <c r="A39" s="9" t="s">
        <v>619</v>
      </c>
      <c r="B39" s="44"/>
      <c r="C39" s="91" t="s">
        <v>314</v>
      </c>
      <c r="D39" s="79">
        <v>0.20456086049422667</v>
      </c>
      <c r="E39" s="80">
        <v>6.8203914462623416</v>
      </c>
      <c r="F39" s="79">
        <v>1E-8</v>
      </c>
      <c r="G39" s="79">
        <v>1E-8</v>
      </c>
      <c r="H39" s="79">
        <v>1E-8</v>
      </c>
      <c r="I39" s="79">
        <v>1E-8</v>
      </c>
      <c r="J39" s="79">
        <v>1E-8</v>
      </c>
      <c r="K39" s="79">
        <v>1E-8</v>
      </c>
      <c r="L39" s="79">
        <v>1E-8</v>
      </c>
      <c r="M39" s="79">
        <v>1E-8</v>
      </c>
      <c r="N39" s="4"/>
      <c r="O39" s="6"/>
      <c r="P39" s="4"/>
      <c r="Q39" s="9" t="s">
        <v>619</v>
      </c>
      <c r="R39" s="44"/>
      <c r="S39" s="91" t="s">
        <v>314</v>
      </c>
      <c r="T39" s="79">
        <v>2.9063020834397109E-2</v>
      </c>
      <c r="U39" s="80">
        <v>-5.3647108920647941</v>
      </c>
      <c r="V39" s="79">
        <v>1E-8</v>
      </c>
      <c r="W39" s="79">
        <v>1E-8</v>
      </c>
      <c r="X39" s="79">
        <v>1E-8</v>
      </c>
      <c r="Y39" s="79">
        <v>1E-8</v>
      </c>
      <c r="Z39" s="79">
        <v>1E-8</v>
      </c>
      <c r="AA39" s="79">
        <v>1E-8</v>
      </c>
      <c r="AB39" s="79">
        <v>1E-8</v>
      </c>
      <c r="AC39" s="79">
        <v>1E-8</v>
      </c>
      <c r="AD39" s="4"/>
    </row>
    <row r="40" spans="1:30" x14ac:dyDescent="0.35">
      <c r="A40" s="9" t="s">
        <v>620</v>
      </c>
      <c r="B40" s="44"/>
      <c r="C40" s="91" t="s">
        <v>317</v>
      </c>
      <c r="D40" s="79">
        <v>1E-8</v>
      </c>
      <c r="E40" s="80">
        <v>1E-8</v>
      </c>
      <c r="F40" s="79">
        <v>1E-8</v>
      </c>
      <c r="G40" s="79">
        <v>1E-8</v>
      </c>
      <c r="H40" s="79">
        <v>1E-8</v>
      </c>
      <c r="I40" s="79">
        <v>1E-8</v>
      </c>
      <c r="J40" s="79">
        <v>1E-8</v>
      </c>
      <c r="K40" s="79">
        <v>1E-8</v>
      </c>
      <c r="L40" s="79">
        <v>1E-8</v>
      </c>
      <c r="M40" s="79">
        <v>1E-8</v>
      </c>
      <c r="N40" s="4"/>
      <c r="O40" s="6"/>
      <c r="P40" s="4"/>
      <c r="Q40" s="9" t="s">
        <v>620</v>
      </c>
      <c r="R40" s="44"/>
      <c r="S40" s="91" t="s">
        <v>317</v>
      </c>
      <c r="T40" s="79">
        <v>1E-8</v>
      </c>
      <c r="U40" s="80">
        <v>1E-8</v>
      </c>
      <c r="V40" s="79">
        <v>1E-8</v>
      </c>
      <c r="W40" s="79">
        <v>1E-8</v>
      </c>
      <c r="X40" s="79">
        <v>1E-8</v>
      </c>
      <c r="Y40" s="79">
        <v>1E-8</v>
      </c>
      <c r="Z40" s="79">
        <v>1E-8</v>
      </c>
      <c r="AA40" s="79">
        <v>1E-8</v>
      </c>
      <c r="AB40" s="79">
        <v>1E-8</v>
      </c>
      <c r="AC40" s="79">
        <v>1E-8</v>
      </c>
      <c r="AD40" s="4"/>
    </row>
    <row r="41" spans="1:30" x14ac:dyDescent="0.35">
      <c r="A41" s="9" t="s">
        <v>621</v>
      </c>
      <c r="B41" s="44"/>
      <c r="C41" s="91" t="s">
        <v>313</v>
      </c>
      <c r="D41" s="79">
        <v>1E-8</v>
      </c>
      <c r="E41" s="80">
        <v>1E-8</v>
      </c>
      <c r="F41" s="79">
        <v>1E-8</v>
      </c>
      <c r="G41" s="79">
        <v>1E-8</v>
      </c>
      <c r="H41" s="79">
        <v>1E-8</v>
      </c>
      <c r="I41" s="79">
        <v>1E-8</v>
      </c>
      <c r="J41" s="79">
        <v>1E-8</v>
      </c>
      <c r="K41" s="79">
        <v>1E-8</v>
      </c>
      <c r="L41" s="79">
        <v>1E-8</v>
      </c>
      <c r="M41" s="79">
        <v>1E-8</v>
      </c>
      <c r="N41" s="4"/>
      <c r="O41" s="6"/>
      <c r="P41" s="4"/>
      <c r="Q41" s="9" t="s">
        <v>621</v>
      </c>
      <c r="R41" s="44"/>
      <c r="S41" s="91" t="s">
        <v>313</v>
      </c>
      <c r="T41" s="79">
        <v>1E-8</v>
      </c>
      <c r="U41" s="80">
        <v>1E-8</v>
      </c>
      <c r="V41" s="79">
        <v>1E-8</v>
      </c>
      <c r="W41" s="79">
        <v>1E-8</v>
      </c>
      <c r="X41" s="79">
        <v>1E-8</v>
      </c>
      <c r="Y41" s="79">
        <v>1E-8</v>
      </c>
      <c r="Z41" s="79">
        <v>1E-8</v>
      </c>
      <c r="AA41" s="79">
        <v>1E-8</v>
      </c>
      <c r="AB41" s="79">
        <v>1E-8</v>
      </c>
      <c r="AC41" s="79">
        <v>1E-8</v>
      </c>
      <c r="AD41" s="4"/>
    </row>
    <row r="42" spans="1:30" x14ac:dyDescent="0.35">
      <c r="A42" s="9" t="s">
        <v>622</v>
      </c>
      <c r="B42" s="44"/>
      <c r="C42" s="91" t="s">
        <v>315</v>
      </c>
      <c r="D42" s="79">
        <v>7.9486785351438757E-2</v>
      </c>
      <c r="E42" s="80">
        <v>9.4293160002264731</v>
      </c>
      <c r="F42" s="79">
        <v>1E-8</v>
      </c>
      <c r="G42" s="79">
        <v>1E-8</v>
      </c>
      <c r="H42" s="79">
        <v>1E-8</v>
      </c>
      <c r="I42" s="79">
        <v>1E-8</v>
      </c>
      <c r="J42" s="79">
        <v>1E-8</v>
      </c>
      <c r="K42" s="79">
        <v>1E-8</v>
      </c>
      <c r="L42" s="79">
        <v>1E-8</v>
      </c>
      <c r="M42" s="79">
        <v>1E-8</v>
      </c>
      <c r="N42" s="4"/>
      <c r="O42" s="6"/>
      <c r="P42" s="4"/>
      <c r="Q42" s="9" t="s">
        <v>622</v>
      </c>
      <c r="R42" s="44"/>
      <c r="S42" s="91" t="s">
        <v>315</v>
      </c>
      <c r="T42" s="79">
        <v>1.7779833247302135E-2</v>
      </c>
      <c r="U42" s="80">
        <v>-6.7770326466714437</v>
      </c>
      <c r="V42" s="79">
        <v>1E-8</v>
      </c>
      <c r="W42" s="79">
        <v>1E-8</v>
      </c>
      <c r="X42" s="79">
        <v>1E-8</v>
      </c>
      <c r="Y42" s="79">
        <v>1E-8</v>
      </c>
      <c r="Z42" s="79">
        <v>1E-8</v>
      </c>
      <c r="AA42" s="79">
        <v>1E-8</v>
      </c>
      <c r="AB42" s="79">
        <v>1E-8</v>
      </c>
      <c r="AC42" s="79">
        <v>1E-8</v>
      </c>
      <c r="AD42" s="4"/>
    </row>
    <row r="43" spans="1:30" x14ac:dyDescent="0.35">
      <c r="A43" s="9" t="s">
        <v>623</v>
      </c>
      <c r="B43" s="44"/>
      <c r="C43" s="91" t="s">
        <v>540</v>
      </c>
      <c r="D43" s="79">
        <v>1E-8</v>
      </c>
      <c r="E43" s="80">
        <v>1E-8</v>
      </c>
      <c r="F43" s="79">
        <v>1E-8</v>
      </c>
      <c r="G43" s="79">
        <v>1E-8</v>
      </c>
      <c r="H43" s="79">
        <v>1E-8</v>
      </c>
      <c r="I43" s="79">
        <v>1E-8</v>
      </c>
      <c r="J43" s="79">
        <v>1E-8</v>
      </c>
      <c r="K43" s="79">
        <v>1E-8</v>
      </c>
      <c r="L43" s="79">
        <v>1E-8</v>
      </c>
      <c r="M43" s="79">
        <v>1E-8</v>
      </c>
      <c r="N43" s="4"/>
      <c r="O43" s="6"/>
      <c r="P43" s="4"/>
      <c r="Q43" s="9" t="s">
        <v>623</v>
      </c>
      <c r="R43" s="44"/>
      <c r="S43" s="91" t="s">
        <v>540</v>
      </c>
      <c r="T43" s="79">
        <v>3.3833781037020838E-2</v>
      </c>
      <c r="U43" s="80">
        <v>-5.5214630820021426</v>
      </c>
      <c r="V43" s="79">
        <v>1E-8</v>
      </c>
      <c r="W43" s="79">
        <v>1E-8</v>
      </c>
      <c r="X43" s="79">
        <v>1E-8</v>
      </c>
      <c r="Y43" s="79">
        <v>1E-8</v>
      </c>
      <c r="Z43" s="79">
        <v>1E-8</v>
      </c>
      <c r="AA43" s="79">
        <v>1E-8</v>
      </c>
      <c r="AB43" s="79">
        <v>1E-8</v>
      </c>
      <c r="AC43" s="79">
        <v>1E-8</v>
      </c>
      <c r="AD43" s="4"/>
    </row>
    <row r="44" spans="1:30" x14ac:dyDescent="0.35">
      <c r="A44" s="9" t="s">
        <v>624</v>
      </c>
      <c r="B44" s="44"/>
      <c r="C44" s="91" t="s">
        <v>541</v>
      </c>
      <c r="D44" s="81">
        <v>0.39421169239095138</v>
      </c>
      <c r="E44" s="82">
        <v>3.1563879611386625</v>
      </c>
      <c r="F44" s="81">
        <v>1E-8</v>
      </c>
      <c r="G44" s="81">
        <v>1E-8</v>
      </c>
      <c r="H44" s="81">
        <v>1E-8</v>
      </c>
      <c r="I44" s="81">
        <v>1E-8</v>
      </c>
      <c r="J44" s="81">
        <v>1E-8</v>
      </c>
      <c r="K44" s="81">
        <v>1E-8</v>
      </c>
      <c r="L44" s="81">
        <v>1E-8</v>
      </c>
      <c r="M44" s="81">
        <v>1E-8</v>
      </c>
      <c r="N44" s="4"/>
      <c r="O44" s="6"/>
      <c r="P44" s="4"/>
      <c r="Q44" s="9" t="s">
        <v>624</v>
      </c>
      <c r="R44" s="44"/>
      <c r="S44" s="91" t="s">
        <v>541</v>
      </c>
      <c r="T44" s="81">
        <v>9.9743159689336548E-3</v>
      </c>
      <c r="U44" s="82">
        <v>-1.070888614074228E-3</v>
      </c>
      <c r="V44" s="81">
        <v>1E-8</v>
      </c>
      <c r="W44" s="81">
        <v>1E-8</v>
      </c>
      <c r="X44" s="81">
        <v>1E-8</v>
      </c>
      <c r="Y44" s="81">
        <v>1E-8</v>
      </c>
      <c r="Z44" s="81">
        <v>1E-8</v>
      </c>
      <c r="AA44" s="81">
        <v>1E-8</v>
      </c>
      <c r="AB44" s="81">
        <v>1E-8</v>
      </c>
      <c r="AC44" s="81">
        <v>1E-8</v>
      </c>
      <c r="AD44" s="4"/>
    </row>
    <row r="45" spans="1:30" x14ac:dyDescent="0.35">
      <c r="A45" s="11" t="s">
        <v>281</v>
      </c>
      <c r="B45" s="44"/>
      <c r="C45" s="90" t="s">
        <v>318</v>
      </c>
      <c r="D45" s="77">
        <v>1E-8</v>
      </c>
      <c r="E45" s="78">
        <v>1E-8</v>
      </c>
      <c r="F45" s="77">
        <v>1E-8</v>
      </c>
      <c r="G45" s="77">
        <v>1E-8</v>
      </c>
      <c r="H45" s="77">
        <v>1E-8</v>
      </c>
      <c r="I45" s="77">
        <v>1E-8</v>
      </c>
      <c r="J45" s="77">
        <v>1E-8</v>
      </c>
      <c r="K45" s="77">
        <v>1E-8</v>
      </c>
      <c r="L45" s="77">
        <v>1E-8</v>
      </c>
      <c r="M45" s="77">
        <v>1E-8</v>
      </c>
      <c r="N45" s="4"/>
      <c r="O45" s="6"/>
      <c r="P45" s="4"/>
      <c r="Q45" s="11" t="s">
        <v>281</v>
      </c>
      <c r="R45" s="44"/>
      <c r="S45" s="90" t="s">
        <v>318</v>
      </c>
      <c r="T45" s="77">
        <v>1E-8</v>
      </c>
      <c r="U45" s="78">
        <v>1E-8</v>
      </c>
      <c r="V45" s="77">
        <v>1E-8</v>
      </c>
      <c r="W45" s="77">
        <v>1E-8</v>
      </c>
      <c r="X45" s="77">
        <v>1E-8</v>
      </c>
      <c r="Y45" s="77">
        <v>1E-8</v>
      </c>
      <c r="Z45" s="77">
        <v>1E-8</v>
      </c>
      <c r="AA45" s="77">
        <v>1E-8</v>
      </c>
      <c r="AB45" s="77">
        <v>1E-8</v>
      </c>
      <c r="AC45" s="77">
        <v>1E-8</v>
      </c>
      <c r="AD45" s="4"/>
    </row>
    <row r="46" spans="1:30" x14ac:dyDescent="0.35">
      <c r="A46" s="11" t="s">
        <v>135</v>
      </c>
      <c r="B46" s="44"/>
      <c r="C46" s="90" t="s">
        <v>542</v>
      </c>
      <c r="D46" s="77">
        <v>1E-8</v>
      </c>
      <c r="E46" s="78">
        <v>1E-8</v>
      </c>
      <c r="F46" s="77">
        <v>1E-8</v>
      </c>
      <c r="G46" s="77">
        <v>1E-8</v>
      </c>
      <c r="H46" s="77">
        <v>1E-8</v>
      </c>
      <c r="I46" s="77">
        <v>1E-8</v>
      </c>
      <c r="J46" s="77">
        <v>1E-8</v>
      </c>
      <c r="K46" s="77">
        <v>1E-8</v>
      </c>
      <c r="L46" s="77">
        <v>1E-8</v>
      </c>
      <c r="M46" s="77">
        <v>1E-8</v>
      </c>
      <c r="N46" s="4"/>
      <c r="O46" s="6"/>
      <c r="P46" s="4"/>
      <c r="Q46" s="11" t="s">
        <v>135</v>
      </c>
      <c r="R46" s="44"/>
      <c r="S46" s="90" t="s">
        <v>542</v>
      </c>
      <c r="T46" s="77">
        <v>1E-8</v>
      </c>
      <c r="U46" s="78">
        <v>1E-8</v>
      </c>
      <c r="V46" s="77">
        <v>1E-8</v>
      </c>
      <c r="W46" s="77">
        <v>1E-8</v>
      </c>
      <c r="X46" s="77">
        <v>1E-8</v>
      </c>
      <c r="Y46" s="77">
        <v>1E-8</v>
      </c>
      <c r="Z46" s="77">
        <v>1E-8</v>
      </c>
      <c r="AA46" s="77">
        <v>1E-8</v>
      </c>
      <c r="AB46" s="77">
        <v>1E-8</v>
      </c>
      <c r="AC46" s="77">
        <v>1E-8</v>
      </c>
      <c r="AD46" s="4"/>
    </row>
    <row r="47" spans="1:30" x14ac:dyDescent="0.35">
      <c r="A47" s="9" t="s">
        <v>625</v>
      </c>
      <c r="B47" s="44"/>
      <c r="C47" s="91" t="s">
        <v>543</v>
      </c>
      <c r="D47" s="79">
        <v>1E-8</v>
      </c>
      <c r="E47" s="80">
        <v>1E-8</v>
      </c>
      <c r="F47" s="79">
        <v>1E-8</v>
      </c>
      <c r="G47" s="79">
        <v>1E-8</v>
      </c>
      <c r="H47" s="79">
        <v>1E-8</v>
      </c>
      <c r="I47" s="79">
        <v>1E-8</v>
      </c>
      <c r="J47" s="79">
        <v>1E-8</v>
      </c>
      <c r="K47" s="79">
        <v>1E-8</v>
      </c>
      <c r="L47" s="79">
        <v>1E-8</v>
      </c>
      <c r="M47" s="79">
        <v>1E-8</v>
      </c>
      <c r="N47" s="4"/>
      <c r="O47" s="6"/>
      <c r="P47" s="4"/>
      <c r="Q47" s="9" t="s">
        <v>625</v>
      </c>
      <c r="R47" s="44"/>
      <c r="S47" s="91" t="s">
        <v>543</v>
      </c>
      <c r="T47" s="79">
        <v>1E-8</v>
      </c>
      <c r="U47" s="80">
        <v>1E-8</v>
      </c>
      <c r="V47" s="79">
        <v>1E-8</v>
      </c>
      <c r="W47" s="79">
        <v>1E-8</v>
      </c>
      <c r="X47" s="79">
        <v>1E-8</v>
      </c>
      <c r="Y47" s="79">
        <v>1E-8</v>
      </c>
      <c r="Z47" s="79">
        <v>1E-8</v>
      </c>
      <c r="AA47" s="79">
        <v>1E-8</v>
      </c>
      <c r="AB47" s="79">
        <v>1E-8</v>
      </c>
      <c r="AC47" s="79">
        <v>1E-8</v>
      </c>
      <c r="AD47" s="4"/>
    </row>
    <row r="48" spans="1:30" x14ac:dyDescent="0.35">
      <c r="A48" s="9" t="s">
        <v>626</v>
      </c>
      <c r="B48" s="44"/>
      <c r="C48" s="91" t="s">
        <v>544</v>
      </c>
      <c r="D48" s="79">
        <v>1E-8</v>
      </c>
      <c r="E48" s="80">
        <v>1E-8</v>
      </c>
      <c r="F48" s="79">
        <v>1E-8</v>
      </c>
      <c r="G48" s="79">
        <v>1E-8</v>
      </c>
      <c r="H48" s="79">
        <v>1E-8</v>
      </c>
      <c r="I48" s="79">
        <v>1E-8</v>
      </c>
      <c r="J48" s="79">
        <v>1E-8</v>
      </c>
      <c r="K48" s="79">
        <v>1E-8</v>
      </c>
      <c r="L48" s="79">
        <v>1E-8</v>
      </c>
      <c r="M48" s="79">
        <v>1E-8</v>
      </c>
      <c r="N48" s="4"/>
      <c r="O48" s="6"/>
      <c r="P48" s="4"/>
      <c r="Q48" s="9" t="s">
        <v>626</v>
      </c>
      <c r="R48" s="44"/>
      <c r="S48" s="91" t="s">
        <v>544</v>
      </c>
      <c r="T48" s="79">
        <v>1E-8</v>
      </c>
      <c r="U48" s="80">
        <v>1E-8</v>
      </c>
      <c r="V48" s="79">
        <v>1E-8</v>
      </c>
      <c r="W48" s="79">
        <v>1E-8</v>
      </c>
      <c r="X48" s="79">
        <v>1E-8</v>
      </c>
      <c r="Y48" s="79">
        <v>1E-8</v>
      </c>
      <c r="Z48" s="79">
        <v>1E-8</v>
      </c>
      <c r="AA48" s="79">
        <v>1E-8</v>
      </c>
      <c r="AB48" s="79">
        <v>1E-8</v>
      </c>
      <c r="AC48" s="79">
        <v>1E-8</v>
      </c>
      <c r="AD48" s="4"/>
    </row>
    <row r="49" spans="1:30" x14ac:dyDescent="0.35">
      <c r="A49" s="9" t="s">
        <v>627</v>
      </c>
      <c r="B49" s="44"/>
      <c r="C49" s="91" t="s">
        <v>319</v>
      </c>
      <c r="D49" s="79">
        <v>1E-8</v>
      </c>
      <c r="E49" s="80">
        <v>1E-8</v>
      </c>
      <c r="F49" s="79">
        <v>1E-8</v>
      </c>
      <c r="G49" s="79">
        <v>1E-8</v>
      </c>
      <c r="H49" s="79">
        <v>1E-8</v>
      </c>
      <c r="I49" s="79">
        <v>1E-8</v>
      </c>
      <c r="J49" s="79">
        <v>1E-8</v>
      </c>
      <c r="K49" s="79">
        <v>1E-8</v>
      </c>
      <c r="L49" s="79">
        <v>1E-8</v>
      </c>
      <c r="M49" s="79">
        <v>1E-8</v>
      </c>
      <c r="N49" s="4"/>
      <c r="O49" s="6"/>
      <c r="P49" s="4"/>
      <c r="Q49" s="9" t="s">
        <v>627</v>
      </c>
      <c r="R49" s="44"/>
      <c r="S49" s="91" t="s">
        <v>319</v>
      </c>
      <c r="T49" s="79">
        <v>1E-8</v>
      </c>
      <c r="U49" s="80">
        <v>1E-8</v>
      </c>
      <c r="V49" s="79">
        <v>1E-8</v>
      </c>
      <c r="W49" s="79">
        <v>1E-8</v>
      </c>
      <c r="X49" s="79">
        <v>1E-8</v>
      </c>
      <c r="Y49" s="79">
        <v>1E-8</v>
      </c>
      <c r="Z49" s="79">
        <v>1E-8</v>
      </c>
      <c r="AA49" s="79">
        <v>1E-8</v>
      </c>
      <c r="AB49" s="79">
        <v>1E-8</v>
      </c>
      <c r="AC49" s="79">
        <v>1E-8</v>
      </c>
      <c r="AD49" s="4"/>
    </row>
    <row r="50" spans="1:30" x14ac:dyDescent="0.35">
      <c r="A50" s="71" t="s">
        <v>628</v>
      </c>
      <c r="B50" s="53"/>
      <c r="C50" s="92" t="s">
        <v>320</v>
      </c>
      <c r="D50" s="83">
        <v>1E-8</v>
      </c>
      <c r="E50" s="84">
        <v>1E-8</v>
      </c>
      <c r="F50" s="83">
        <v>1E-8</v>
      </c>
      <c r="G50" s="83">
        <v>1E-8</v>
      </c>
      <c r="H50" s="83">
        <v>1E-8</v>
      </c>
      <c r="I50" s="83">
        <v>1E-8</v>
      </c>
      <c r="J50" s="83">
        <v>1E-8</v>
      </c>
      <c r="K50" s="83">
        <v>1E-8</v>
      </c>
      <c r="L50" s="83">
        <v>1E-8</v>
      </c>
      <c r="M50" s="83">
        <v>1E-8</v>
      </c>
      <c r="N50" s="4"/>
      <c r="O50" s="6"/>
      <c r="P50" s="4"/>
      <c r="Q50" s="71" t="s">
        <v>628</v>
      </c>
      <c r="R50" s="53"/>
      <c r="S50" s="92" t="s">
        <v>320</v>
      </c>
      <c r="T50" s="83">
        <v>1E-8</v>
      </c>
      <c r="U50" s="84">
        <v>1E-8</v>
      </c>
      <c r="V50" s="83">
        <v>1E-8</v>
      </c>
      <c r="W50" s="83">
        <v>1E-8</v>
      </c>
      <c r="X50" s="83">
        <v>1E-8</v>
      </c>
      <c r="Y50" s="83">
        <v>1E-8</v>
      </c>
      <c r="Z50" s="83">
        <v>1E-8</v>
      </c>
      <c r="AA50" s="83">
        <v>1E-8</v>
      </c>
      <c r="AB50" s="83">
        <v>1E-8</v>
      </c>
      <c r="AC50" s="83">
        <v>1E-8</v>
      </c>
      <c r="AD50" s="4"/>
    </row>
    <row r="51" spans="1:30" x14ac:dyDescent="0.35">
      <c r="A51" s="10" t="s">
        <v>282</v>
      </c>
      <c r="B51" s="44"/>
      <c r="C51" s="89" t="s">
        <v>321</v>
      </c>
      <c r="D51" s="73">
        <v>89.221733778767458</v>
      </c>
      <c r="E51" s="74">
        <v>3.9713791192466541</v>
      </c>
      <c r="F51" s="73">
        <v>1E-8</v>
      </c>
      <c r="G51" s="73">
        <v>1E-8</v>
      </c>
      <c r="H51" s="73">
        <v>1E-8</v>
      </c>
      <c r="I51" s="73">
        <v>1E-8</v>
      </c>
      <c r="J51" s="73">
        <v>1E-8</v>
      </c>
      <c r="K51" s="73">
        <v>1E-8</v>
      </c>
      <c r="L51" s="73">
        <v>1E-8</v>
      </c>
      <c r="M51" s="73">
        <v>1E-8</v>
      </c>
      <c r="N51" s="4"/>
      <c r="O51" s="6"/>
      <c r="P51" s="4"/>
      <c r="Q51" s="10" t="s">
        <v>282</v>
      </c>
      <c r="R51" s="44"/>
      <c r="S51" s="89" t="s">
        <v>321</v>
      </c>
      <c r="T51" s="73">
        <v>94.945849217784456</v>
      </c>
      <c r="U51" s="74">
        <v>-3.6963759653376171</v>
      </c>
      <c r="V51" s="73">
        <v>1E-8</v>
      </c>
      <c r="W51" s="73">
        <v>1E-8</v>
      </c>
      <c r="X51" s="73">
        <v>1E-8</v>
      </c>
      <c r="Y51" s="73">
        <v>1E-8</v>
      </c>
      <c r="Z51" s="73">
        <v>1E-8</v>
      </c>
      <c r="AA51" s="73">
        <v>1E-8</v>
      </c>
      <c r="AB51" s="73">
        <v>1E-8</v>
      </c>
      <c r="AC51" s="73">
        <v>1E-8</v>
      </c>
      <c r="AD51" s="4"/>
    </row>
    <row r="52" spans="1:30" x14ac:dyDescent="0.35">
      <c r="A52" s="10" t="s">
        <v>283</v>
      </c>
      <c r="B52" s="44"/>
      <c r="C52" s="89" t="s">
        <v>322</v>
      </c>
      <c r="D52" s="73">
        <v>53.629272867816077</v>
      </c>
      <c r="E52" s="74">
        <v>4.6729775580726107</v>
      </c>
      <c r="F52" s="73">
        <v>1E-8</v>
      </c>
      <c r="G52" s="73">
        <v>1E-8</v>
      </c>
      <c r="H52" s="73">
        <v>1E-8</v>
      </c>
      <c r="I52" s="73">
        <v>1E-8</v>
      </c>
      <c r="J52" s="73">
        <v>1E-8</v>
      </c>
      <c r="K52" s="73">
        <v>1E-8</v>
      </c>
      <c r="L52" s="73">
        <v>1E-8</v>
      </c>
      <c r="M52" s="73">
        <v>1E-8</v>
      </c>
      <c r="N52" s="4"/>
      <c r="O52" s="6"/>
      <c r="P52" s="4"/>
      <c r="Q52" s="10" t="s">
        <v>283</v>
      </c>
      <c r="R52" s="44"/>
      <c r="S52" s="89" t="s">
        <v>322</v>
      </c>
      <c r="T52" s="73">
        <v>80.503778347300283</v>
      </c>
      <c r="U52" s="74">
        <v>-4.25866381777168</v>
      </c>
      <c r="V52" s="73">
        <v>1E-8</v>
      </c>
      <c r="W52" s="73">
        <v>1E-8</v>
      </c>
      <c r="X52" s="73">
        <v>1E-8</v>
      </c>
      <c r="Y52" s="73">
        <v>1E-8</v>
      </c>
      <c r="Z52" s="73">
        <v>1E-8</v>
      </c>
      <c r="AA52" s="73">
        <v>1E-8</v>
      </c>
      <c r="AB52" s="73">
        <v>1E-8</v>
      </c>
      <c r="AC52" s="73">
        <v>1E-8</v>
      </c>
      <c r="AD52" s="4"/>
    </row>
    <row r="53" spans="1:30" x14ac:dyDescent="0.35">
      <c r="A53" s="11" t="s">
        <v>284</v>
      </c>
      <c r="B53" s="44"/>
      <c r="C53" s="90" t="s">
        <v>323</v>
      </c>
      <c r="D53" s="77">
        <v>18.247983091256387</v>
      </c>
      <c r="E53" s="78">
        <v>4.1469423710630116</v>
      </c>
      <c r="F53" s="77">
        <v>1E-8</v>
      </c>
      <c r="G53" s="77">
        <v>1E-8</v>
      </c>
      <c r="H53" s="77">
        <v>1E-8</v>
      </c>
      <c r="I53" s="77">
        <v>1E-8</v>
      </c>
      <c r="J53" s="77">
        <v>1E-8</v>
      </c>
      <c r="K53" s="77">
        <v>1E-8</v>
      </c>
      <c r="L53" s="77">
        <v>1E-8</v>
      </c>
      <c r="M53" s="77">
        <v>1E-8</v>
      </c>
      <c r="N53" s="4"/>
      <c r="O53" s="6"/>
      <c r="P53" s="4"/>
      <c r="Q53" s="11" t="s">
        <v>284</v>
      </c>
      <c r="R53" s="44"/>
      <c r="S53" s="90" t="s">
        <v>323</v>
      </c>
      <c r="T53" s="77">
        <v>0.62507322739037985</v>
      </c>
      <c r="U53" s="78">
        <v>-1.4475640003206669</v>
      </c>
      <c r="V53" s="77">
        <v>1E-8</v>
      </c>
      <c r="W53" s="77">
        <v>1E-8</v>
      </c>
      <c r="X53" s="77">
        <v>1E-8</v>
      </c>
      <c r="Y53" s="77">
        <v>1E-8</v>
      </c>
      <c r="Z53" s="77">
        <v>1E-8</v>
      </c>
      <c r="AA53" s="77">
        <v>1E-8</v>
      </c>
      <c r="AB53" s="77">
        <v>1E-8</v>
      </c>
      <c r="AC53" s="77">
        <v>1E-8</v>
      </c>
      <c r="AD53" s="4"/>
    </row>
    <row r="54" spans="1:30" x14ac:dyDescent="0.35">
      <c r="A54" s="9" t="s">
        <v>629</v>
      </c>
      <c r="B54" s="44"/>
      <c r="C54" s="91" t="s">
        <v>324</v>
      </c>
      <c r="D54" s="79">
        <v>1E-8</v>
      </c>
      <c r="E54" s="80">
        <v>1E-8</v>
      </c>
      <c r="F54" s="79">
        <v>1E-8</v>
      </c>
      <c r="G54" s="79">
        <v>1E-8</v>
      </c>
      <c r="H54" s="79">
        <v>1E-8</v>
      </c>
      <c r="I54" s="79">
        <v>1E-8</v>
      </c>
      <c r="J54" s="79">
        <v>1E-8</v>
      </c>
      <c r="K54" s="79">
        <v>1E-8</v>
      </c>
      <c r="L54" s="79">
        <v>1E-8</v>
      </c>
      <c r="M54" s="79">
        <v>1E-8</v>
      </c>
      <c r="N54" s="4"/>
      <c r="O54" s="6"/>
      <c r="P54" s="4"/>
      <c r="Q54" s="9" t="s">
        <v>629</v>
      </c>
      <c r="R54" s="44"/>
      <c r="S54" s="91" t="s">
        <v>324</v>
      </c>
      <c r="T54" s="79">
        <v>0.10179193578303575</v>
      </c>
      <c r="U54" s="80">
        <v>-0.21212958042943209</v>
      </c>
      <c r="V54" s="79">
        <v>1E-8</v>
      </c>
      <c r="W54" s="79">
        <v>1E-8</v>
      </c>
      <c r="X54" s="79">
        <v>1E-8</v>
      </c>
      <c r="Y54" s="79">
        <v>1E-8</v>
      </c>
      <c r="Z54" s="79">
        <v>1E-8</v>
      </c>
      <c r="AA54" s="79">
        <v>1E-8</v>
      </c>
      <c r="AB54" s="79">
        <v>1E-8</v>
      </c>
      <c r="AC54" s="79">
        <v>1E-8</v>
      </c>
      <c r="AD54" s="4"/>
    </row>
    <row r="55" spans="1:30" x14ac:dyDescent="0.35">
      <c r="A55" s="9" t="s">
        <v>630</v>
      </c>
      <c r="B55" s="44"/>
      <c r="C55" s="91" t="s">
        <v>545</v>
      </c>
      <c r="D55" s="79">
        <v>9.7856475361515045</v>
      </c>
      <c r="E55" s="80">
        <v>1.2581246014804481</v>
      </c>
      <c r="F55" s="79">
        <v>1E-8</v>
      </c>
      <c r="G55" s="79">
        <v>1E-8</v>
      </c>
      <c r="H55" s="79">
        <v>1E-8</v>
      </c>
      <c r="I55" s="79">
        <v>1E-8</v>
      </c>
      <c r="J55" s="79">
        <v>1E-8</v>
      </c>
      <c r="K55" s="79">
        <v>1E-8</v>
      </c>
      <c r="L55" s="79">
        <v>1E-8</v>
      </c>
      <c r="M55" s="79">
        <v>1E-8</v>
      </c>
      <c r="N55" s="4"/>
      <c r="O55" s="6"/>
      <c r="P55" s="4"/>
      <c r="Q55" s="9" t="s">
        <v>630</v>
      </c>
      <c r="R55" s="44"/>
      <c r="S55" s="91" t="s">
        <v>545</v>
      </c>
      <c r="T55" s="79">
        <v>1E-8</v>
      </c>
      <c r="U55" s="80">
        <v>1E-8</v>
      </c>
      <c r="V55" s="79">
        <v>1E-8</v>
      </c>
      <c r="W55" s="79">
        <v>1E-8</v>
      </c>
      <c r="X55" s="79">
        <v>1E-8</v>
      </c>
      <c r="Y55" s="79">
        <v>1E-8</v>
      </c>
      <c r="Z55" s="79">
        <v>1E-8</v>
      </c>
      <c r="AA55" s="79">
        <v>1E-8</v>
      </c>
      <c r="AB55" s="79">
        <v>1E-8</v>
      </c>
      <c r="AC55" s="79">
        <v>1E-8</v>
      </c>
      <c r="AD55" s="4"/>
    </row>
    <row r="56" spans="1:30" x14ac:dyDescent="0.35">
      <c r="A56" s="9" t="s">
        <v>631</v>
      </c>
      <c r="B56" s="44"/>
      <c r="C56" s="91" t="s">
        <v>325</v>
      </c>
      <c r="D56" s="81">
        <v>8.4623355551048824</v>
      </c>
      <c r="E56" s="82">
        <v>6.3448248915707772</v>
      </c>
      <c r="F56" s="81">
        <v>1E-8</v>
      </c>
      <c r="G56" s="81">
        <v>1E-8</v>
      </c>
      <c r="H56" s="81">
        <v>1E-8</v>
      </c>
      <c r="I56" s="81">
        <v>1E-8</v>
      </c>
      <c r="J56" s="81">
        <v>1E-8</v>
      </c>
      <c r="K56" s="81">
        <v>1E-8</v>
      </c>
      <c r="L56" s="81">
        <v>1E-8</v>
      </c>
      <c r="M56" s="81">
        <v>1E-8</v>
      </c>
      <c r="N56" s="4"/>
      <c r="O56" s="6"/>
      <c r="P56" s="4"/>
      <c r="Q56" s="9" t="s">
        <v>631</v>
      </c>
      <c r="R56" s="44"/>
      <c r="S56" s="91" t="s">
        <v>325</v>
      </c>
      <c r="T56" s="81">
        <v>0.52328129160734405</v>
      </c>
      <c r="U56" s="82">
        <v>-1.8550526177888105</v>
      </c>
      <c r="V56" s="81">
        <v>1E-8</v>
      </c>
      <c r="W56" s="81">
        <v>1E-8</v>
      </c>
      <c r="X56" s="81">
        <v>1E-8</v>
      </c>
      <c r="Y56" s="81">
        <v>1E-8</v>
      </c>
      <c r="Z56" s="81">
        <v>1E-8</v>
      </c>
      <c r="AA56" s="81">
        <v>1E-8</v>
      </c>
      <c r="AB56" s="81">
        <v>1E-8</v>
      </c>
      <c r="AC56" s="81">
        <v>1E-8</v>
      </c>
      <c r="AD56" s="4"/>
    </row>
    <row r="57" spans="1:30" x14ac:dyDescent="0.35">
      <c r="A57" s="11" t="s">
        <v>285</v>
      </c>
      <c r="B57" s="44"/>
      <c r="C57" s="90" t="s">
        <v>326</v>
      </c>
      <c r="D57" s="77">
        <v>31.530404537078837</v>
      </c>
      <c r="E57" s="78">
        <v>5.4856846917041624</v>
      </c>
      <c r="F57" s="77">
        <v>1E-8</v>
      </c>
      <c r="G57" s="77">
        <v>1E-8</v>
      </c>
      <c r="H57" s="77">
        <v>1E-8</v>
      </c>
      <c r="I57" s="77">
        <v>1E-8</v>
      </c>
      <c r="J57" s="77">
        <v>1E-8</v>
      </c>
      <c r="K57" s="77">
        <v>1E-8</v>
      </c>
      <c r="L57" s="77">
        <v>1E-8</v>
      </c>
      <c r="M57" s="77">
        <v>1E-8</v>
      </c>
      <c r="N57" s="4"/>
      <c r="O57" s="6"/>
      <c r="P57" s="4"/>
      <c r="Q57" s="11" t="s">
        <v>285</v>
      </c>
      <c r="R57" s="44"/>
      <c r="S57" s="90" t="s">
        <v>326</v>
      </c>
      <c r="T57" s="77">
        <v>79.335170262557497</v>
      </c>
      <c r="U57" s="78">
        <v>-4.2687546324949537</v>
      </c>
      <c r="V57" s="77">
        <v>1E-8</v>
      </c>
      <c r="W57" s="77">
        <v>1E-8</v>
      </c>
      <c r="X57" s="77">
        <v>1E-8</v>
      </c>
      <c r="Y57" s="77">
        <v>1E-8</v>
      </c>
      <c r="Z57" s="77">
        <v>1E-8</v>
      </c>
      <c r="AA57" s="77">
        <v>1E-8</v>
      </c>
      <c r="AB57" s="77">
        <v>1E-8</v>
      </c>
      <c r="AC57" s="77">
        <v>1E-8</v>
      </c>
      <c r="AD57" s="4"/>
    </row>
    <row r="58" spans="1:30" x14ac:dyDescent="0.35">
      <c r="A58" s="9" t="s">
        <v>364</v>
      </c>
      <c r="B58" s="44"/>
      <c r="C58" s="91" t="s">
        <v>327</v>
      </c>
      <c r="D58" s="79">
        <v>16.381927482571804</v>
      </c>
      <c r="E58" s="80">
        <v>7.8298572628120899</v>
      </c>
      <c r="F58" s="79">
        <v>1E-8</v>
      </c>
      <c r="G58" s="79">
        <v>1E-8</v>
      </c>
      <c r="H58" s="79">
        <v>1E-8</v>
      </c>
      <c r="I58" s="79">
        <v>1E-8</v>
      </c>
      <c r="J58" s="79">
        <v>1E-8</v>
      </c>
      <c r="K58" s="79">
        <v>1E-8</v>
      </c>
      <c r="L58" s="79">
        <v>1E-8</v>
      </c>
      <c r="M58" s="79">
        <v>1E-8</v>
      </c>
      <c r="N58" s="4"/>
      <c r="O58" s="6"/>
      <c r="P58" s="4"/>
      <c r="Q58" s="9" t="s">
        <v>364</v>
      </c>
      <c r="R58" s="44"/>
      <c r="S58" s="91" t="s">
        <v>327</v>
      </c>
      <c r="T58" s="79">
        <v>10.559804268139899</v>
      </c>
      <c r="U58" s="80">
        <v>-5.3169817600847269</v>
      </c>
      <c r="V58" s="79">
        <v>1E-8</v>
      </c>
      <c r="W58" s="79">
        <v>1E-8</v>
      </c>
      <c r="X58" s="79">
        <v>1E-8</v>
      </c>
      <c r="Y58" s="79">
        <v>1E-8</v>
      </c>
      <c r="Z58" s="79">
        <v>1E-8</v>
      </c>
      <c r="AA58" s="79">
        <v>1E-8</v>
      </c>
      <c r="AB58" s="79">
        <v>1E-8</v>
      </c>
      <c r="AC58" s="79">
        <v>1E-8</v>
      </c>
      <c r="AD58" s="4"/>
    </row>
    <row r="59" spans="1:30" x14ac:dyDescent="0.35">
      <c r="A59" s="70" t="s">
        <v>632</v>
      </c>
      <c r="B59" s="44"/>
      <c r="C59" s="93" t="s">
        <v>328</v>
      </c>
      <c r="D59" s="85">
        <v>1E-8</v>
      </c>
      <c r="E59" s="86">
        <v>1E-8</v>
      </c>
      <c r="F59" s="85">
        <v>1E-8</v>
      </c>
      <c r="G59" s="85">
        <v>1E-8</v>
      </c>
      <c r="H59" s="85">
        <v>1E-8</v>
      </c>
      <c r="I59" s="85">
        <v>1E-8</v>
      </c>
      <c r="J59" s="85">
        <v>1E-8</v>
      </c>
      <c r="K59" s="85">
        <v>1E-8</v>
      </c>
      <c r="L59" s="85">
        <v>1E-8</v>
      </c>
      <c r="M59" s="85">
        <v>1E-8</v>
      </c>
      <c r="N59" s="4"/>
      <c r="O59" s="6"/>
      <c r="P59" s="4"/>
      <c r="Q59" s="70" t="s">
        <v>632</v>
      </c>
      <c r="R59" s="44"/>
      <c r="S59" s="93" t="s">
        <v>328</v>
      </c>
      <c r="T59" s="85">
        <v>1E-8</v>
      </c>
      <c r="U59" s="86">
        <v>1E-8</v>
      </c>
      <c r="V59" s="85">
        <v>1E-8</v>
      </c>
      <c r="W59" s="85">
        <v>1E-8</v>
      </c>
      <c r="X59" s="85">
        <v>1E-8</v>
      </c>
      <c r="Y59" s="85">
        <v>1E-8</v>
      </c>
      <c r="Z59" s="85">
        <v>1E-8</v>
      </c>
      <c r="AA59" s="85">
        <v>1E-8</v>
      </c>
      <c r="AB59" s="85">
        <v>1E-8</v>
      </c>
      <c r="AC59" s="85">
        <v>1E-8</v>
      </c>
      <c r="AD59" s="4"/>
    </row>
    <row r="60" spans="1:30" x14ac:dyDescent="0.35">
      <c r="A60" s="70" t="s">
        <v>633</v>
      </c>
      <c r="B60" s="44"/>
      <c r="C60" s="93" t="s">
        <v>329</v>
      </c>
      <c r="D60" s="85">
        <v>7.1606881827754584E-2</v>
      </c>
      <c r="E60" s="86">
        <v>0.10274857795775638</v>
      </c>
      <c r="F60" s="85">
        <v>1E-8</v>
      </c>
      <c r="G60" s="85">
        <v>1E-8</v>
      </c>
      <c r="H60" s="85">
        <v>1E-8</v>
      </c>
      <c r="I60" s="85">
        <v>1E-8</v>
      </c>
      <c r="J60" s="85">
        <v>1E-8</v>
      </c>
      <c r="K60" s="85">
        <v>1E-8</v>
      </c>
      <c r="L60" s="85">
        <v>1E-8</v>
      </c>
      <c r="M60" s="85">
        <v>1E-8</v>
      </c>
      <c r="N60" s="4"/>
      <c r="O60" s="6"/>
      <c r="P60" s="4"/>
      <c r="Q60" s="70" t="s">
        <v>633</v>
      </c>
      <c r="R60" s="44"/>
      <c r="S60" s="93" t="s">
        <v>329</v>
      </c>
      <c r="T60" s="85">
        <v>0.89550334545121546</v>
      </c>
      <c r="U60" s="86">
        <v>-2.0343011648590203</v>
      </c>
      <c r="V60" s="85">
        <v>1E-8</v>
      </c>
      <c r="W60" s="85">
        <v>1E-8</v>
      </c>
      <c r="X60" s="85">
        <v>1E-8</v>
      </c>
      <c r="Y60" s="85">
        <v>1E-8</v>
      </c>
      <c r="Z60" s="85">
        <v>1E-8</v>
      </c>
      <c r="AA60" s="85">
        <v>1E-8</v>
      </c>
      <c r="AB60" s="85">
        <v>1E-8</v>
      </c>
      <c r="AC60" s="85">
        <v>1E-8</v>
      </c>
      <c r="AD60" s="4"/>
    </row>
    <row r="61" spans="1:30" x14ac:dyDescent="0.35">
      <c r="A61" s="70" t="s">
        <v>634</v>
      </c>
      <c r="B61" s="44"/>
      <c r="C61" s="93" t="s">
        <v>331</v>
      </c>
      <c r="D61" s="85">
        <v>0.22659788129468827</v>
      </c>
      <c r="E61" s="86">
        <v>19.400258677966221</v>
      </c>
      <c r="F61" s="85">
        <v>1E-8</v>
      </c>
      <c r="G61" s="85">
        <v>1E-8</v>
      </c>
      <c r="H61" s="85">
        <v>1E-8</v>
      </c>
      <c r="I61" s="85">
        <v>1E-8</v>
      </c>
      <c r="J61" s="85">
        <v>1E-8</v>
      </c>
      <c r="K61" s="85">
        <v>1E-8</v>
      </c>
      <c r="L61" s="85">
        <v>1E-8</v>
      </c>
      <c r="M61" s="85">
        <v>1E-8</v>
      </c>
      <c r="N61" s="4"/>
      <c r="O61" s="6"/>
      <c r="P61" s="4"/>
      <c r="Q61" s="70" t="s">
        <v>634</v>
      </c>
      <c r="R61" s="44"/>
      <c r="S61" s="93" t="s">
        <v>331</v>
      </c>
      <c r="T61" s="85">
        <v>0.11249951909782076</v>
      </c>
      <c r="U61" s="86">
        <v>-14.500896241089912</v>
      </c>
      <c r="V61" s="85">
        <v>1E-8</v>
      </c>
      <c r="W61" s="85">
        <v>1E-8</v>
      </c>
      <c r="X61" s="85">
        <v>1E-8</v>
      </c>
      <c r="Y61" s="85">
        <v>1E-8</v>
      </c>
      <c r="Z61" s="85">
        <v>1E-8</v>
      </c>
      <c r="AA61" s="85">
        <v>1E-8</v>
      </c>
      <c r="AB61" s="85">
        <v>1E-8</v>
      </c>
      <c r="AC61" s="85">
        <v>1E-8</v>
      </c>
      <c r="AD61" s="4"/>
    </row>
    <row r="62" spans="1:30" x14ac:dyDescent="0.35">
      <c r="A62" s="70" t="s">
        <v>635</v>
      </c>
      <c r="B62" s="44"/>
      <c r="C62" s="93" t="s">
        <v>332</v>
      </c>
      <c r="D62" s="85">
        <v>1.5059222485073154</v>
      </c>
      <c r="E62" s="86">
        <v>4.8342074531583235</v>
      </c>
      <c r="F62" s="85">
        <v>1E-8</v>
      </c>
      <c r="G62" s="85">
        <v>1E-8</v>
      </c>
      <c r="H62" s="85">
        <v>1E-8</v>
      </c>
      <c r="I62" s="85">
        <v>1E-8</v>
      </c>
      <c r="J62" s="85">
        <v>1E-8</v>
      </c>
      <c r="K62" s="85">
        <v>1E-8</v>
      </c>
      <c r="L62" s="85">
        <v>1E-8</v>
      </c>
      <c r="M62" s="85">
        <v>1E-8</v>
      </c>
      <c r="N62" s="4"/>
      <c r="O62" s="6"/>
      <c r="P62" s="4"/>
      <c r="Q62" s="70" t="s">
        <v>635</v>
      </c>
      <c r="R62" s="44"/>
      <c r="S62" s="93" t="s">
        <v>332</v>
      </c>
      <c r="T62" s="85">
        <v>2.6584718650070416</v>
      </c>
      <c r="U62" s="86">
        <v>-4.5194834506682158</v>
      </c>
      <c r="V62" s="85">
        <v>1E-8</v>
      </c>
      <c r="W62" s="85">
        <v>1E-8</v>
      </c>
      <c r="X62" s="85">
        <v>1E-8</v>
      </c>
      <c r="Y62" s="85">
        <v>1E-8</v>
      </c>
      <c r="Z62" s="85">
        <v>1E-8</v>
      </c>
      <c r="AA62" s="85">
        <v>1E-8</v>
      </c>
      <c r="AB62" s="85">
        <v>1E-8</v>
      </c>
      <c r="AC62" s="85">
        <v>1E-8</v>
      </c>
      <c r="AD62" s="4"/>
    </row>
    <row r="63" spans="1:30" x14ac:dyDescent="0.35">
      <c r="A63" s="70" t="s">
        <v>636</v>
      </c>
      <c r="B63" s="44"/>
      <c r="C63" s="93" t="s">
        <v>330</v>
      </c>
      <c r="D63" s="85">
        <v>0.58692899339181182</v>
      </c>
      <c r="E63" s="86">
        <v>8.4783316377706974</v>
      </c>
      <c r="F63" s="85">
        <v>1E-8</v>
      </c>
      <c r="G63" s="85">
        <v>1E-8</v>
      </c>
      <c r="H63" s="85">
        <v>1E-8</v>
      </c>
      <c r="I63" s="85">
        <v>1E-8</v>
      </c>
      <c r="J63" s="85">
        <v>1E-8</v>
      </c>
      <c r="K63" s="85">
        <v>1E-8</v>
      </c>
      <c r="L63" s="85">
        <v>1E-8</v>
      </c>
      <c r="M63" s="85">
        <v>1E-8</v>
      </c>
      <c r="N63" s="4"/>
      <c r="O63" s="6"/>
      <c r="P63" s="4"/>
      <c r="Q63" s="70" t="s">
        <v>636</v>
      </c>
      <c r="R63" s="44"/>
      <c r="S63" s="93" t="s">
        <v>330</v>
      </c>
      <c r="T63" s="85">
        <v>0.25529831035314232</v>
      </c>
      <c r="U63" s="86">
        <v>-7.0220145371771121</v>
      </c>
      <c r="V63" s="85">
        <v>1E-8</v>
      </c>
      <c r="W63" s="85">
        <v>1E-8</v>
      </c>
      <c r="X63" s="85">
        <v>1E-8</v>
      </c>
      <c r="Y63" s="85">
        <v>1E-8</v>
      </c>
      <c r="Z63" s="85">
        <v>1E-8</v>
      </c>
      <c r="AA63" s="85">
        <v>1E-8</v>
      </c>
      <c r="AB63" s="85">
        <v>1E-8</v>
      </c>
      <c r="AC63" s="85">
        <v>1E-8</v>
      </c>
      <c r="AD63" s="4"/>
    </row>
    <row r="64" spans="1:30" x14ac:dyDescent="0.35">
      <c r="A64" s="70" t="s">
        <v>637</v>
      </c>
      <c r="B64" s="44"/>
      <c r="C64" s="93" t="s">
        <v>333</v>
      </c>
      <c r="D64" s="85">
        <v>4.2928562966931212</v>
      </c>
      <c r="E64" s="86">
        <v>13.815439757635083</v>
      </c>
      <c r="F64" s="85">
        <v>1E-8</v>
      </c>
      <c r="G64" s="85">
        <v>1E-8</v>
      </c>
      <c r="H64" s="85">
        <v>1E-8</v>
      </c>
      <c r="I64" s="85">
        <v>1E-8</v>
      </c>
      <c r="J64" s="85">
        <v>1E-8</v>
      </c>
      <c r="K64" s="85">
        <v>1E-8</v>
      </c>
      <c r="L64" s="85">
        <v>1E-8</v>
      </c>
      <c r="M64" s="85">
        <v>1E-8</v>
      </c>
      <c r="N64" s="4"/>
      <c r="O64" s="6"/>
      <c r="P64" s="4"/>
      <c r="Q64" s="70" t="s">
        <v>637</v>
      </c>
      <c r="R64" s="44"/>
      <c r="S64" s="93" t="s">
        <v>333</v>
      </c>
      <c r="T64" s="85">
        <v>1.822845129526663</v>
      </c>
      <c r="U64" s="86">
        <v>-10.936725246980682</v>
      </c>
      <c r="V64" s="85">
        <v>1E-8</v>
      </c>
      <c r="W64" s="85">
        <v>1E-8</v>
      </c>
      <c r="X64" s="85">
        <v>1E-8</v>
      </c>
      <c r="Y64" s="85">
        <v>1E-8</v>
      </c>
      <c r="Z64" s="85">
        <v>1E-8</v>
      </c>
      <c r="AA64" s="85">
        <v>1E-8</v>
      </c>
      <c r="AB64" s="85">
        <v>1E-8</v>
      </c>
      <c r="AC64" s="85">
        <v>1E-8</v>
      </c>
      <c r="AD64" s="4"/>
    </row>
    <row r="65" spans="1:30" x14ac:dyDescent="0.35">
      <c r="A65" s="70" t="s">
        <v>638</v>
      </c>
      <c r="B65" s="44"/>
      <c r="C65" s="93" t="s">
        <v>546</v>
      </c>
      <c r="D65" s="85">
        <v>0.34001437888210739</v>
      </c>
      <c r="E65" s="86">
        <v>11.692161907029707</v>
      </c>
      <c r="F65" s="85">
        <v>1E-8</v>
      </c>
      <c r="G65" s="85">
        <v>1E-8</v>
      </c>
      <c r="H65" s="85">
        <v>1E-8</v>
      </c>
      <c r="I65" s="85">
        <v>1E-8</v>
      </c>
      <c r="J65" s="85">
        <v>1E-8</v>
      </c>
      <c r="K65" s="85">
        <v>1E-8</v>
      </c>
      <c r="L65" s="85">
        <v>1E-8</v>
      </c>
      <c r="M65" s="85">
        <v>1E-8</v>
      </c>
      <c r="N65" s="4"/>
      <c r="O65" s="6"/>
      <c r="P65" s="4"/>
      <c r="Q65" s="70" t="s">
        <v>638</v>
      </c>
      <c r="R65" s="44"/>
      <c r="S65" s="93" t="s">
        <v>546</v>
      </c>
      <c r="T65" s="85">
        <v>0.21900004994564753</v>
      </c>
      <c r="U65" s="86">
        <v>-10.32987017940542</v>
      </c>
      <c r="V65" s="85">
        <v>1E-8</v>
      </c>
      <c r="W65" s="85">
        <v>1E-8</v>
      </c>
      <c r="X65" s="85">
        <v>1E-8</v>
      </c>
      <c r="Y65" s="85">
        <v>1E-8</v>
      </c>
      <c r="Z65" s="85">
        <v>1E-8</v>
      </c>
      <c r="AA65" s="85">
        <v>1E-8</v>
      </c>
      <c r="AB65" s="85">
        <v>1E-8</v>
      </c>
      <c r="AC65" s="85">
        <v>1E-8</v>
      </c>
      <c r="AD65" s="4"/>
    </row>
    <row r="66" spans="1:30" x14ac:dyDescent="0.35">
      <c r="A66" s="70" t="s">
        <v>639</v>
      </c>
      <c r="B66" s="44"/>
      <c r="C66" s="93" t="s">
        <v>335</v>
      </c>
      <c r="D66" s="85">
        <v>1E-8</v>
      </c>
      <c r="E66" s="86">
        <v>1E-8</v>
      </c>
      <c r="F66" s="85">
        <v>1E-8</v>
      </c>
      <c r="G66" s="85">
        <v>1E-8</v>
      </c>
      <c r="H66" s="85">
        <v>1E-8</v>
      </c>
      <c r="I66" s="85">
        <v>1E-8</v>
      </c>
      <c r="J66" s="85">
        <v>1E-8</v>
      </c>
      <c r="K66" s="85">
        <v>1E-8</v>
      </c>
      <c r="L66" s="85">
        <v>1E-8</v>
      </c>
      <c r="M66" s="85">
        <v>1E-8</v>
      </c>
      <c r="N66" s="4"/>
      <c r="O66" s="6"/>
      <c r="P66" s="4"/>
      <c r="Q66" s="70" t="s">
        <v>639</v>
      </c>
      <c r="R66" s="44"/>
      <c r="S66" s="93" t="s">
        <v>335</v>
      </c>
      <c r="T66" s="85">
        <v>1E-8</v>
      </c>
      <c r="U66" s="86">
        <v>1E-8</v>
      </c>
      <c r="V66" s="85">
        <v>1E-8</v>
      </c>
      <c r="W66" s="85">
        <v>1E-8</v>
      </c>
      <c r="X66" s="85">
        <v>1E-8</v>
      </c>
      <c r="Y66" s="85">
        <v>1E-8</v>
      </c>
      <c r="Z66" s="85">
        <v>1E-8</v>
      </c>
      <c r="AA66" s="85">
        <v>1E-8</v>
      </c>
      <c r="AB66" s="85">
        <v>1E-8</v>
      </c>
      <c r="AC66" s="85">
        <v>1E-8</v>
      </c>
      <c r="AD66" s="4"/>
    </row>
    <row r="67" spans="1:30" x14ac:dyDescent="0.35">
      <c r="A67" s="70" t="s">
        <v>640</v>
      </c>
      <c r="B67" s="44"/>
      <c r="C67" s="93" t="s">
        <v>334</v>
      </c>
      <c r="D67" s="85">
        <v>9.3580008019750061</v>
      </c>
      <c r="E67" s="86">
        <v>5.1680986363023651</v>
      </c>
      <c r="F67" s="85">
        <v>1E-8</v>
      </c>
      <c r="G67" s="85">
        <v>1E-8</v>
      </c>
      <c r="H67" s="85">
        <v>1E-8</v>
      </c>
      <c r="I67" s="85">
        <v>1E-8</v>
      </c>
      <c r="J67" s="85">
        <v>1E-8</v>
      </c>
      <c r="K67" s="85">
        <v>1E-8</v>
      </c>
      <c r="L67" s="85">
        <v>1E-8</v>
      </c>
      <c r="M67" s="85">
        <v>1E-8</v>
      </c>
      <c r="N67" s="4"/>
      <c r="O67" s="6"/>
      <c r="P67" s="4"/>
      <c r="Q67" s="70" t="s">
        <v>640</v>
      </c>
      <c r="R67" s="44"/>
      <c r="S67" s="93" t="s">
        <v>334</v>
      </c>
      <c r="T67" s="85">
        <v>4.5961860487583683</v>
      </c>
      <c r="U67" s="86">
        <v>-3.7300905544435548</v>
      </c>
      <c r="V67" s="85">
        <v>1E-8</v>
      </c>
      <c r="W67" s="85">
        <v>1E-8</v>
      </c>
      <c r="X67" s="85">
        <v>1E-8</v>
      </c>
      <c r="Y67" s="85">
        <v>1E-8</v>
      </c>
      <c r="Z67" s="85">
        <v>1E-8</v>
      </c>
      <c r="AA67" s="85">
        <v>1E-8</v>
      </c>
      <c r="AB67" s="85">
        <v>1E-8</v>
      </c>
      <c r="AC67" s="85">
        <v>1E-8</v>
      </c>
      <c r="AD67" s="4"/>
    </row>
    <row r="68" spans="1:30" x14ac:dyDescent="0.35">
      <c r="A68" s="9" t="s">
        <v>365</v>
      </c>
      <c r="B68" s="44"/>
      <c r="C68" s="91" t="s">
        <v>374</v>
      </c>
      <c r="D68" s="79">
        <v>0.35117743180445049</v>
      </c>
      <c r="E68" s="80">
        <v>7.9542865276023278</v>
      </c>
      <c r="F68" s="79">
        <v>1E-8</v>
      </c>
      <c r="G68" s="79">
        <v>1E-8</v>
      </c>
      <c r="H68" s="79">
        <v>1E-8</v>
      </c>
      <c r="I68" s="79">
        <v>1E-8</v>
      </c>
      <c r="J68" s="79">
        <v>1E-8</v>
      </c>
      <c r="K68" s="79">
        <v>1E-8</v>
      </c>
      <c r="L68" s="79">
        <v>1E-8</v>
      </c>
      <c r="M68" s="79">
        <v>1E-8</v>
      </c>
      <c r="N68" s="4"/>
      <c r="O68" s="6"/>
      <c r="P68" s="4"/>
      <c r="Q68" s="9" t="s">
        <v>365</v>
      </c>
      <c r="R68" s="44"/>
      <c r="S68" s="91" t="s">
        <v>374</v>
      </c>
      <c r="T68" s="79">
        <v>0.39653344363403997</v>
      </c>
      <c r="U68" s="80">
        <v>-5.6928584812204637</v>
      </c>
      <c r="V68" s="79">
        <v>1E-8</v>
      </c>
      <c r="W68" s="79">
        <v>1E-8</v>
      </c>
      <c r="X68" s="79">
        <v>1E-8</v>
      </c>
      <c r="Y68" s="79">
        <v>1E-8</v>
      </c>
      <c r="Z68" s="79">
        <v>1E-8</v>
      </c>
      <c r="AA68" s="79">
        <v>1E-8</v>
      </c>
      <c r="AB68" s="79">
        <v>1E-8</v>
      </c>
      <c r="AC68" s="79">
        <v>1E-8</v>
      </c>
      <c r="AD68" s="4"/>
    </row>
    <row r="69" spans="1:30" x14ac:dyDescent="0.35">
      <c r="A69" s="70" t="s">
        <v>641</v>
      </c>
      <c r="B69" s="44"/>
      <c r="C69" s="93" t="s">
        <v>547</v>
      </c>
      <c r="D69" s="85">
        <v>1E-8</v>
      </c>
      <c r="E69" s="86">
        <v>1E-8</v>
      </c>
      <c r="F69" s="85">
        <v>1E-8</v>
      </c>
      <c r="G69" s="85">
        <v>1E-8</v>
      </c>
      <c r="H69" s="85">
        <v>1E-8</v>
      </c>
      <c r="I69" s="85">
        <v>1E-8</v>
      </c>
      <c r="J69" s="85">
        <v>1E-8</v>
      </c>
      <c r="K69" s="85">
        <v>1E-8</v>
      </c>
      <c r="L69" s="85">
        <v>1E-8</v>
      </c>
      <c r="M69" s="85">
        <v>1E-8</v>
      </c>
      <c r="N69" s="4"/>
      <c r="O69" s="6"/>
      <c r="P69" s="4"/>
      <c r="Q69" s="70" t="s">
        <v>641</v>
      </c>
      <c r="R69" s="44"/>
      <c r="S69" s="93" t="s">
        <v>547</v>
      </c>
      <c r="T69" s="85">
        <v>1E-8</v>
      </c>
      <c r="U69" s="86">
        <v>1E-8</v>
      </c>
      <c r="V69" s="85">
        <v>1E-8</v>
      </c>
      <c r="W69" s="85">
        <v>1E-8</v>
      </c>
      <c r="X69" s="85">
        <v>1E-8</v>
      </c>
      <c r="Y69" s="85">
        <v>1E-8</v>
      </c>
      <c r="Z69" s="85">
        <v>1E-8</v>
      </c>
      <c r="AA69" s="85">
        <v>1E-8</v>
      </c>
      <c r="AB69" s="85">
        <v>1E-8</v>
      </c>
      <c r="AC69" s="85">
        <v>1E-8</v>
      </c>
      <c r="AD69" s="4"/>
    </row>
    <row r="70" spans="1:30" x14ac:dyDescent="0.35">
      <c r="A70" s="70" t="s">
        <v>642</v>
      </c>
      <c r="B70" s="44"/>
      <c r="C70" s="93" t="s">
        <v>336</v>
      </c>
      <c r="D70" s="85">
        <v>0.35117743180445049</v>
      </c>
      <c r="E70" s="86">
        <v>7.9542865276023278</v>
      </c>
      <c r="F70" s="85">
        <v>1E-8</v>
      </c>
      <c r="G70" s="85">
        <v>1E-8</v>
      </c>
      <c r="H70" s="85">
        <v>1E-8</v>
      </c>
      <c r="I70" s="85">
        <v>1E-8</v>
      </c>
      <c r="J70" s="85">
        <v>1E-8</v>
      </c>
      <c r="K70" s="85">
        <v>1E-8</v>
      </c>
      <c r="L70" s="85">
        <v>1E-8</v>
      </c>
      <c r="M70" s="85">
        <v>1E-8</v>
      </c>
      <c r="N70" s="4"/>
      <c r="O70" s="6"/>
      <c r="P70" s="4"/>
      <c r="Q70" s="70" t="s">
        <v>642</v>
      </c>
      <c r="R70" s="44"/>
      <c r="S70" s="93" t="s">
        <v>336</v>
      </c>
      <c r="T70" s="85">
        <v>0.28728651271623123</v>
      </c>
      <c r="U70" s="86">
        <v>-5.806308976053332</v>
      </c>
      <c r="V70" s="85">
        <v>1E-8</v>
      </c>
      <c r="W70" s="85">
        <v>1E-8</v>
      </c>
      <c r="X70" s="85">
        <v>1E-8</v>
      </c>
      <c r="Y70" s="85">
        <v>1E-8</v>
      </c>
      <c r="Z70" s="85">
        <v>1E-8</v>
      </c>
      <c r="AA70" s="85">
        <v>1E-8</v>
      </c>
      <c r="AB70" s="85">
        <v>1E-8</v>
      </c>
      <c r="AC70" s="85">
        <v>1E-8</v>
      </c>
      <c r="AD70" s="4"/>
    </row>
    <row r="71" spans="1:30" x14ac:dyDescent="0.35">
      <c r="A71" s="70" t="s">
        <v>643</v>
      </c>
      <c r="B71" s="44"/>
      <c r="C71" s="93" t="s">
        <v>337</v>
      </c>
      <c r="D71" s="87">
        <v>1E-8</v>
      </c>
      <c r="E71" s="88">
        <v>1E-8</v>
      </c>
      <c r="F71" s="87">
        <v>1E-8</v>
      </c>
      <c r="G71" s="87">
        <v>1E-8</v>
      </c>
      <c r="H71" s="87">
        <v>1E-8</v>
      </c>
      <c r="I71" s="87">
        <v>1E-8</v>
      </c>
      <c r="J71" s="87">
        <v>1E-8</v>
      </c>
      <c r="K71" s="87">
        <v>1E-8</v>
      </c>
      <c r="L71" s="87">
        <v>1E-8</v>
      </c>
      <c r="M71" s="87">
        <v>1E-8</v>
      </c>
      <c r="N71" s="4"/>
      <c r="O71" s="6"/>
      <c r="P71" s="4"/>
      <c r="Q71" s="70" t="s">
        <v>643</v>
      </c>
      <c r="R71" s="44"/>
      <c r="S71" s="93" t="s">
        <v>337</v>
      </c>
      <c r="T71" s="87">
        <v>0.10924693091780872</v>
      </c>
      <c r="U71" s="88">
        <v>-5.3969982839546464</v>
      </c>
      <c r="V71" s="87">
        <v>1E-8</v>
      </c>
      <c r="W71" s="87">
        <v>1E-8</v>
      </c>
      <c r="X71" s="87">
        <v>1E-8</v>
      </c>
      <c r="Y71" s="87">
        <v>1E-8</v>
      </c>
      <c r="Z71" s="87">
        <v>1E-8</v>
      </c>
      <c r="AA71" s="87">
        <v>1E-8</v>
      </c>
      <c r="AB71" s="87">
        <v>1E-8</v>
      </c>
      <c r="AC71" s="87">
        <v>1E-8</v>
      </c>
      <c r="AD71" s="4"/>
    </row>
    <row r="72" spans="1:30" x14ac:dyDescent="0.35">
      <c r="A72" s="9" t="s">
        <v>644</v>
      </c>
      <c r="B72" s="44"/>
      <c r="C72" s="91" t="s">
        <v>338</v>
      </c>
      <c r="D72" s="79">
        <v>1.1556163021952919</v>
      </c>
      <c r="E72" s="80">
        <v>9.71727422936317</v>
      </c>
      <c r="F72" s="79">
        <v>1E-8</v>
      </c>
      <c r="G72" s="79">
        <v>1E-8</v>
      </c>
      <c r="H72" s="79">
        <v>1E-8</v>
      </c>
      <c r="I72" s="79">
        <v>1E-8</v>
      </c>
      <c r="J72" s="79">
        <v>1E-8</v>
      </c>
      <c r="K72" s="79">
        <v>1E-8</v>
      </c>
      <c r="L72" s="79">
        <v>1E-8</v>
      </c>
      <c r="M72" s="79">
        <v>1E-8</v>
      </c>
      <c r="N72" s="4"/>
      <c r="O72" s="6"/>
      <c r="P72" s="4"/>
      <c r="Q72" s="9" t="s">
        <v>644</v>
      </c>
      <c r="R72" s="44"/>
      <c r="S72" s="91" t="s">
        <v>338</v>
      </c>
      <c r="T72" s="79">
        <v>6.3221599910994293</v>
      </c>
      <c r="U72" s="80">
        <v>-1.2200048096292493</v>
      </c>
      <c r="V72" s="79">
        <v>1E-8</v>
      </c>
      <c r="W72" s="79">
        <v>1E-8</v>
      </c>
      <c r="X72" s="79">
        <v>1E-8</v>
      </c>
      <c r="Y72" s="79">
        <v>1E-8</v>
      </c>
      <c r="Z72" s="79">
        <v>1E-8</v>
      </c>
      <c r="AA72" s="79">
        <v>1E-8</v>
      </c>
      <c r="AB72" s="79">
        <v>1E-8</v>
      </c>
      <c r="AC72" s="79">
        <v>1E-8</v>
      </c>
      <c r="AD72" s="4"/>
    </row>
    <row r="73" spans="1:30" x14ac:dyDescent="0.35">
      <c r="A73" s="9" t="s">
        <v>366</v>
      </c>
      <c r="B73" s="44"/>
      <c r="C73" s="91" t="s">
        <v>339</v>
      </c>
      <c r="D73" s="79">
        <v>0.48912788089232179</v>
      </c>
      <c r="E73" s="80">
        <v>10.074022713401408</v>
      </c>
      <c r="F73" s="79">
        <v>1E-8</v>
      </c>
      <c r="G73" s="79">
        <v>1E-8</v>
      </c>
      <c r="H73" s="79">
        <v>1E-8</v>
      </c>
      <c r="I73" s="79">
        <v>1E-8</v>
      </c>
      <c r="J73" s="79">
        <v>1E-8</v>
      </c>
      <c r="K73" s="79">
        <v>1E-8</v>
      </c>
      <c r="L73" s="79">
        <v>1E-8</v>
      </c>
      <c r="M73" s="79">
        <v>1E-8</v>
      </c>
      <c r="N73" s="4"/>
      <c r="O73" s="6"/>
      <c r="P73" s="4"/>
      <c r="Q73" s="9" t="s">
        <v>366</v>
      </c>
      <c r="R73" s="44"/>
      <c r="S73" s="91" t="s">
        <v>339</v>
      </c>
      <c r="T73" s="79">
        <v>1.7427751413322257</v>
      </c>
      <c r="U73" s="80">
        <v>-4.1480049317651151</v>
      </c>
      <c r="V73" s="79">
        <v>1E-8</v>
      </c>
      <c r="W73" s="79">
        <v>1E-8</v>
      </c>
      <c r="X73" s="79">
        <v>1E-8</v>
      </c>
      <c r="Y73" s="79">
        <v>1E-8</v>
      </c>
      <c r="Z73" s="79">
        <v>1E-8</v>
      </c>
      <c r="AA73" s="79">
        <v>1E-8</v>
      </c>
      <c r="AB73" s="79">
        <v>1E-8</v>
      </c>
      <c r="AC73" s="79">
        <v>1E-8</v>
      </c>
      <c r="AD73" s="4"/>
    </row>
    <row r="74" spans="1:30" x14ac:dyDescent="0.35">
      <c r="A74" s="70" t="s">
        <v>645</v>
      </c>
      <c r="B74" s="44"/>
      <c r="C74" s="93" t="s">
        <v>340</v>
      </c>
      <c r="D74" s="85">
        <v>0.22283386091409529</v>
      </c>
      <c r="E74" s="86">
        <v>10.015772846922765</v>
      </c>
      <c r="F74" s="85">
        <v>1E-8</v>
      </c>
      <c r="G74" s="85">
        <v>1E-8</v>
      </c>
      <c r="H74" s="85">
        <v>1E-8</v>
      </c>
      <c r="I74" s="85">
        <v>1E-8</v>
      </c>
      <c r="J74" s="85">
        <v>1E-8</v>
      </c>
      <c r="K74" s="85">
        <v>1E-8</v>
      </c>
      <c r="L74" s="85">
        <v>1E-8</v>
      </c>
      <c r="M74" s="85">
        <v>1E-8</v>
      </c>
      <c r="N74" s="4"/>
      <c r="O74" s="6"/>
      <c r="P74" s="4"/>
      <c r="Q74" s="70" t="s">
        <v>645</v>
      </c>
      <c r="R74" s="44"/>
      <c r="S74" s="93" t="s">
        <v>340</v>
      </c>
      <c r="T74" s="85">
        <v>1.4611740911058719</v>
      </c>
      <c r="U74" s="86">
        <v>-4.0395996595675836</v>
      </c>
      <c r="V74" s="85">
        <v>1E-8</v>
      </c>
      <c r="W74" s="85">
        <v>1E-8</v>
      </c>
      <c r="X74" s="85">
        <v>1E-8</v>
      </c>
      <c r="Y74" s="85">
        <v>1E-8</v>
      </c>
      <c r="Z74" s="85">
        <v>1E-8</v>
      </c>
      <c r="AA74" s="85">
        <v>1E-8</v>
      </c>
      <c r="AB74" s="85">
        <v>1E-8</v>
      </c>
      <c r="AC74" s="85">
        <v>1E-8</v>
      </c>
      <c r="AD74" s="4"/>
    </row>
    <row r="75" spans="1:30" x14ac:dyDescent="0.35">
      <c r="A75" s="70" t="s">
        <v>646</v>
      </c>
      <c r="B75" s="44"/>
      <c r="C75" s="93" t="s">
        <v>548</v>
      </c>
      <c r="D75" s="85">
        <v>0.26629401997822649</v>
      </c>
      <c r="E75" s="86">
        <v>10.12173243147998</v>
      </c>
      <c r="F75" s="85">
        <v>1E-8</v>
      </c>
      <c r="G75" s="85">
        <v>1E-8</v>
      </c>
      <c r="H75" s="85">
        <v>1E-8</v>
      </c>
      <c r="I75" s="85">
        <v>1E-8</v>
      </c>
      <c r="J75" s="85">
        <v>1E-8</v>
      </c>
      <c r="K75" s="85">
        <v>1E-8</v>
      </c>
      <c r="L75" s="85">
        <v>1E-8</v>
      </c>
      <c r="M75" s="85">
        <v>1E-8</v>
      </c>
      <c r="N75" s="4"/>
      <c r="O75" s="6"/>
      <c r="P75" s="4"/>
      <c r="Q75" s="70" t="s">
        <v>646</v>
      </c>
      <c r="R75" s="44"/>
      <c r="S75" s="93" t="s">
        <v>548</v>
      </c>
      <c r="T75" s="85">
        <v>0.28160105022635368</v>
      </c>
      <c r="U75" s="86">
        <v>-4.7244241466537717</v>
      </c>
      <c r="V75" s="85">
        <v>1E-8</v>
      </c>
      <c r="W75" s="85">
        <v>1E-8</v>
      </c>
      <c r="X75" s="85">
        <v>1E-8</v>
      </c>
      <c r="Y75" s="85">
        <v>1E-8</v>
      </c>
      <c r="Z75" s="85">
        <v>1E-8</v>
      </c>
      <c r="AA75" s="85">
        <v>1E-8</v>
      </c>
      <c r="AB75" s="85">
        <v>1E-8</v>
      </c>
      <c r="AC75" s="85">
        <v>1E-8</v>
      </c>
      <c r="AD75" s="4"/>
    </row>
    <row r="76" spans="1:30" x14ac:dyDescent="0.35">
      <c r="A76" s="9" t="s">
        <v>367</v>
      </c>
      <c r="B76" s="44"/>
      <c r="C76" s="91" t="s">
        <v>341</v>
      </c>
      <c r="D76" s="79">
        <v>1.276786305732547</v>
      </c>
      <c r="E76" s="80">
        <v>-33.329407613535601</v>
      </c>
      <c r="F76" s="79">
        <v>1E-8</v>
      </c>
      <c r="G76" s="79">
        <v>1E-8</v>
      </c>
      <c r="H76" s="79">
        <v>1E-8</v>
      </c>
      <c r="I76" s="79">
        <v>1E-8</v>
      </c>
      <c r="J76" s="79">
        <v>1E-8</v>
      </c>
      <c r="K76" s="79">
        <v>1E-8</v>
      </c>
      <c r="L76" s="79">
        <v>1E-8</v>
      </c>
      <c r="M76" s="79">
        <v>1E-8</v>
      </c>
      <c r="N76" s="4"/>
      <c r="O76" s="6"/>
      <c r="P76" s="4"/>
      <c r="Q76" s="9" t="s">
        <v>367</v>
      </c>
      <c r="R76" s="44"/>
      <c r="S76" s="91" t="s">
        <v>341</v>
      </c>
      <c r="T76" s="79">
        <v>27.704964650912373</v>
      </c>
      <c r="U76" s="80">
        <v>-5.5107100930101733</v>
      </c>
      <c r="V76" s="79">
        <v>1E-8</v>
      </c>
      <c r="W76" s="79">
        <v>1E-8</v>
      </c>
      <c r="X76" s="79">
        <v>1E-8</v>
      </c>
      <c r="Y76" s="79">
        <v>1E-8</v>
      </c>
      <c r="Z76" s="79">
        <v>1E-8</v>
      </c>
      <c r="AA76" s="79">
        <v>1E-8</v>
      </c>
      <c r="AB76" s="79">
        <v>1E-8</v>
      </c>
      <c r="AC76" s="79">
        <v>1E-8</v>
      </c>
      <c r="AD76" s="4"/>
    </row>
    <row r="77" spans="1:30" x14ac:dyDescent="0.35">
      <c r="A77" s="70" t="s">
        <v>647</v>
      </c>
      <c r="B77" s="44"/>
      <c r="C77" s="93" t="s">
        <v>342</v>
      </c>
      <c r="D77" s="85">
        <v>2.2714502444419662E-2</v>
      </c>
      <c r="E77" s="86">
        <v>1.4173511453705157</v>
      </c>
      <c r="F77" s="85">
        <v>1E-8</v>
      </c>
      <c r="G77" s="85">
        <v>1E-8</v>
      </c>
      <c r="H77" s="85">
        <v>1E-8</v>
      </c>
      <c r="I77" s="85">
        <v>1E-8</v>
      </c>
      <c r="J77" s="85">
        <v>1E-8</v>
      </c>
      <c r="K77" s="85">
        <v>1E-8</v>
      </c>
      <c r="L77" s="85">
        <v>1E-8</v>
      </c>
      <c r="M77" s="85">
        <v>1E-8</v>
      </c>
      <c r="N77" s="4"/>
      <c r="O77" s="6"/>
      <c r="P77" s="4"/>
      <c r="Q77" s="70" t="s">
        <v>647</v>
      </c>
      <c r="R77" s="44"/>
      <c r="S77" s="93" t="s">
        <v>342</v>
      </c>
      <c r="T77" s="85">
        <v>16.279729816401783</v>
      </c>
      <c r="U77" s="86">
        <v>-0.76646209032061874</v>
      </c>
      <c r="V77" s="85">
        <v>1E-8</v>
      </c>
      <c r="W77" s="85">
        <v>1E-8</v>
      </c>
      <c r="X77" s="85">
        <v>1E-8</v>
      </c>
      <c r="Y77" s="85">
        <v>1E-8</v>
      </c>
      <c r="Z77" s="85">
        <v>1E-8</v>
      </c>
      <c r="AA77" s="85">
        <v>1E-8</v>
      </c>
      <c r="AB77" s="85">
        <v>1E-8</v>
      </c>
      <c r="AC77" s="85">
        <v>1E-8</v>
      </c>
      <c r="AD77" s="4"/>
    </row>
    <row r="78" spans="1:30" x14ac:dyDescent="0.35">
      <c r="A78" s="70" t="s">
        <v>648</v>
      </c>
      <c r="B78" s="44"/>
      <c r="C78" s="93" t="s">
        <v>343</v>
      </c>
      <c r="D78" s="85">
        <v>0.86495554924563745</v>
      </c>
      <c r="E78" s="86">
        <v>-52.118156584314448</v>
      </c>
      <c r="F78" s="85">
        <v>1E-8</v>
      </c>
      <c r="G78" s="85">
        <v>1E-8</v>
      </c>
      <c r="H78" s="85">
        <v>1E-8</v>
      </c>
      <c r="I78" s="85">
        <v>1E-8</v>
      </c>
      <c r="J78" s="85">
        <v>1E-8</v>
      </c>
      <c r="K78" s="85">
        <v>1E-8</v>
      </c>
      <c r="L78" s="85">
        <v>1E-8</v>
      </c>
      <c r="M78" s="85">
        <v>1E-8</v>
      </c>
      <c r="N78" s="4"/>
      <c r="O78" s="6"/>
      <c r="P78" s="4"/>
      <c r="Q78" s="70" t="s">
        <v>648</v>
      </c>
      <c r="R78" s="44"/>
      <c r="S78" s="93" t="s">
        <v>343</v>
      </c>
      <c r="T78" s="85">
        <v>6.0111419384561335</v>
      </c>
      <c r="U78" s="86">
        <v>-22.405362172279041</v>
      </c>
      <c r="V78" s="85">
        <v>1E-8</v>
      </c>
      <c r="W78" s="85">
        <v>1E-8</v>
      </c>
      <c r="X78" s="85">
        <v>1E-8</v>
      </c>
      <c r="Y78" s="85">
        <v>1E-8</v>
      </c>
      <c r="Z78" s="85">
        <v>1E-8</v>
      </c>
      <c r="AA78" s="85">
        <v>1E-8</v>
      </c>
      <c r="AB78" s="85">
        <v>1E-8</v>
      </c>
      <c r="AC78" s="85">
        <v>1E-8</v>
      </c>
      <c r="AD78" s="4"/>
    </row>
    <row r="79" spans="1:30" x14ac:dyDescent="0.35">
      <c r="A79" s="70" t="s">
        <v>649</v>
      </c>
      <c r="B79" s="44"/>
      <c r="C79" s="93" t="s">
        <v>549</v>
      </c>
      <c r="D79" s="85">
        <v>1E-8</v>
      </c>
      <c r="E79" s="86">
        <v>1E-8</v>
      </c>
      <c r="F79" s="85">
        <v>1E-8</v>
      </c>
      <c r="G79" s="85">
        <v>1E-8</v>
      </c>
      <c r="H79" s="85">
        <v>1E-8</v>
      </c>
      <c r="I79" s="85">
        <v>1E-8</v>
      </c>
      <c r="J79" s="85">
        <v>1E-8</v>
      </c>
      <c r="K79" s="85">
        <v>1E-8</v>
      </c>
      <c r="L79" s="85">
        <v>1E-8</v>
      </c>
      <c r="M79" s="85">
        <v>1E-8</v>
      </c>
      <c r="N79" s="4"/>
      <c r="O79" s="6"/>
      <c r="P79" s="4"/>
      <c r="Q79" s="70" t="s">
        <v>649</v>
      </c>
      <c r="R79" s="44"/>
      <c r="S79" s="93" t="s">
        <v>549</v>
      </c>
      <c r="T79" s="85">
        <v>3.4194641858921959</v>
      </c>
      <c r="U79" s="86">
        <v>-2.7754787967531613</v>
      </c>
      <c r="V79" s="85">
        <v>1E-8</v>
      </c>
      <c r="W79" s="85">
        <v>1E-8</v>
      </c>
      <c r="X79" s="85">
        <v>1E-8</v>
      </c>
      <c r="Y79" s="85">
        <v>1E-8</v>
      </c>
      <c r="Z79" s="85">
        <v>1E-8</v>
      </c>
      <c r="AA79" s="85">
        <v>1E-8</v>
      </c>
      <c r="AB79" s="85">
        <v>1E-8</v>
      </c>
      <c r="AC79" s="85">
        <v>1E-8</v>
      </c>
      <c r="AD79" s="4"/>
    </row>
    <row r="80" spans="1:30" x14ac:dyDescent="0.35">
      <c r="A80" s="70" t="s">
        <v>650</v>
      </c>
      <c r="B80" s="44"/>
      <c r="C80" s="93" t="s">
        <v>550</v>
      </c>
      <c r="D80" s="85">
        <v>0.38911625404249001</v>
      </c>
      <c r="E80" s="86">
        <v>6.2671284685404949</v>
      </c>
      <c r="F80" s="85">
        <v>1E-8</v>
      </c>
      <c r="G80" s="85">
        <v>1E-8</v>
      </c>
      <c r="H80" s="85">
        <v>1E-8</v>
      </c>
      <c r="I80" s="85">
        <v>1E-8</v>
      </c>
      <c r="J80" s="85">
        <v>1E-8</v>
      </c>
      <c r="K80" s="85">
        <v>1E-8</v>
      </c>
      <c r="L80" s="85">
        <v>1E-8</v>
      </c>
      <c r="M80" s="85">
        <v>1E-8</v>
      </c>
      <c r="N80" s="4"/>
      <c r="O80" s="6"/>
      <c r="P80" s="4"/>
      <c r="Q80" s="70" t="s">
        <v>650</v>
      </c>
      <c r="R80" s="44"/>
      <c r="S80" s="93" t="s">
        <v>550</v>
      </c>
      <c r="T80" s="85">
        <v>1.99462871016226</v>
      </c>
      <c r="U80" s="86">
        <v>0.20917989758186817</v>
      </c>
      <c r="V80" s="85">
        <v>1E-8</v>
      </c>
      <c r="W80" s="85">
        <v>1E-8</v>
      </c>
      <c r="X80" s="85">
        <v>1E-8</v>
      </c>
      <c r="Y80" s="85">
        <v>1E-8</v>
      </c>
      <c r="Z80" s="85">
        <v>1E-8</v>
      </c>
      <c r="AA80" s="85">
        <v>1E-8</v>
      </c>
      <c r="AB80" s="85">
        <v>1E-8</v>
      </c>
      <c r="AC80" s="85">
        <v>1E-8</v>
      </c>
      <c r="AD80" s="4"/>
    </row>
    <row r="81" spans="1:30" x14ac:dyDescent="0.35">
      <c r="A81" s="9" t="s">
        <v>172</v>
      </c>
      <c r="B81" s="44"/>
      <c r="C81" s="91" t="s">
        <v>551</v>
      </c>
      <c r="D81" s="79">
        <v>1.0652147504874923</v>
      </c>
      <c r="E81" s="80">
        <v>8.6780126117996126</v>
      </c>
      <c r="F81" s="79">
        <v>1E-8</v>
      </c>
      <c r="G81" s="79">
        <v>1E-8</v>
      </c>
      <c r="H81" s="79">
        <v>1E-8</v>
      </c>
      <c r="I81" s="79">
        <v>1E-8</v>
      </c>
      <c r="J81" s="79">
        <v>1E-8</v>
      </c>
      <c r="K81" s="79">
        <v>1E-8</v>
      </c>
      <c r="L81" s="79">
        <v>1E-8</v>
      </c>
      <c r="M81" s="79">
        <v>1E-8</v>
      </c>
      <c r="N81" s="4"/>
      <c r="O81" s="6"/>
      <c r="P81" s="4"/>
      <c r="Q81" s="9" t="s">
        <v>172</v>
      </c>
      <c r="R81" s="44"/>
      <c r="S81" s="91" t="s">
        <v>551</v>
      </c>
      <c r="T81" s="79">
        <v>2.4714983456314261</v>
      </c>
      <c r="U81" s="80">
        <v>-3.9643414423361834</v>
      </c>
      <c r="V81" s="79">
        <v>1E-8</v>
      </c>
      <c r="W81" s="79">
        <v>1E-8</v>
      </c>
      <c r="X81" s="79">
        <v>1E-8</v>
      </c>
      <c r="Y81" s="79">
        <v>1E-8</v>
      </c>
      <c r="Z81" s="79">
        <v>1E-8</v>
      </c>
      <c r="AA81" s="79">
        <v>1E-8</v>
      </c>
      <c r="AB81" s="79">
        <v>1E-8</v>
      </c>
      <c r="AC81" s="79">
        <v>1E-8</v>
      </c>
      <c r="AD81" s="4"/>
    </row>
    <row r="82" spans="1:30" x14ac:dyDescent="0.35">
      <c r="A82" s="70" t="s">
        <v>651</v>
      </c>
      <c r="B82" s="44"/>
      <c r="C82" s="93" t="s">
        <v>344</v>
      </c>
      <c r="D82" s="85">
        <v>8.8873429010024083E-2</v>
      </c>
      <c r="E82" s="86">
        <v>9.7044973970805017</v>
      </c>
      <c r="F82" s="85">
        <v>1E-8</v>
      </c>
      <c r="G82" s="85">
        <v>1E-8</v>
      </c>
      <c r="H82" s="85">
        <v>1E-8</v>
      </c>
      <c r="I82" s="85">
        <v>1E-8</v>
      </c>
      <c r="J82" s="85">
        <v>1E-8</v>
      </c>
      <c r="K82" s="85">
        <v>1E-8</v>
      </c>
      <c r="L82" s="85">
        <v>1E-8</v>
      </c>
      <c r="M82" s="85">
        <v>1E-8</v>
      </c>
      <c r="N82" s="4"/>
      <c r="O82" s="6"/>
      <c r="P82" s="4"/>
      <c r="Q82" s="70" t="s">
        <v>651</v>
      </c>
      <c r="R82" s="44"/>
      <c r="S82" s="93" t="s">
        <v>344</v>
      </c>
      <c r="T82" s="85">
        <v>0.91703276177773496</v>
      </c>
      <c r="U82" s="86">
        <v>-3.1269244999804435</v>
      </c>
      <c r="V82" s="85">
        <v>1E-8</v>
      </c>
      <c r="W82" s="85">
        <v>1E-8</v>
      </c>
      <c r="X82" s="85">
        <v>1E-8</v>
      </c>
      <c r="Y82" s="85">
        <v>1E-8</v>
      </c>
      <c r="Z82" s="85">
        <v>1E-8</v>
      </c>
      <c r="AA82" s="85">
        <v>1E-8</v>
      </c>
      <c r="AB82" s="85">
        <v>1E-8</v>
      </c>
      <c r="AC82" s="85">
        <v>1E-8</v>
      </c>
      <c r="AD82" s="4"/>
    </row>
    <row r="83" spans="1:30" x14ac:dyDescent="0.35">
      <c r="A83" s="70" t="s">
        <v>652</v>
      </c>
      <c r="B83" s="44"/>
      <c r="C83" s="93" t="s">
        <v>552</v>
      </c>
      <c r="D83" s="85">
        <v>0.97634132147746788</v>
      </c>
      <c r="E83" s="86">
        <v>8.5857419333979834</v>
      </c>
      <c r="F83" s="85">
        <v>1E-8</v>
      </c>
      <c r="G83" s="85">
        <v>1E-8</v>
      </c>
      <c r="H83" s="85">
        <v>1E-8</v>
      </c>
      <c r="I83" s="85">
        <v>1E-8</v>
      </c>
      <c r="J83" s="85">
        <v>1E-8</v>
      </c>
      <c r="K83" s="85">
        <v>1E-8</v>
      </c>
      <c r="L83" s="85">
        <v>1E-8</v>
      </c>
      <c r="M83" s="85">
        <v>1E-8</v>
      </c>
      <c r="N83" s="4"/>
      <c r="O83" s="6"/>
      <c r="P83" s="4"/>
      <c r="Q83" s="70" t="s">
        <v>652</v>
      </c>
      <c r="R83" s="44"/>
      <c r="S83" s="93" t="s">
        <v>552</v>
      </c>
      <c r="T83" s="85">
        <v>1.5544655838536914</v>
      </c>
      <c r="U83" s="86">
        <v>-4.439620238917108</v>
      </c>
      <c r="V83" s="85">
        <v>1E-8</v>
      </c>
      <c r="W83" s="85">
        <v>1E-8</v>
      </c>
      <c r="X83" s="85">
        <v>1E-8</v>
      </c>
      <c r="Y83" s="85">
        <v>1E-8</v>
      </c>
      <c r="Z83" s="85">
        <v>1E-8</v>
      </c>
      <c r="AA83" s="85">
        <v>1E-8</v>
      </c>
      <c r="AB83" s="85">
        <v>1E-8</v>
      </c>
      <c r="AC83" s="85">
        <v>1E-8</v>
      </c>
      <c r="AD83" s="4"/>
    </row>
    <row r="84" spans="1:30" x14ac:dyDescent="0.35">
      <c r="A84" s="70" t="s">
        <v>653</v>
      </c>
      <c r="B84" s="44"/>
      <c r="C84" s="93" t="s">
        <v>553</v>
      </c>
      <c r="D84" s="85">
        <v>1E-8</v>
      </c>
      <c r="E84" s="86">
        <v>1E-8</v>
      </c>
      <c r="F84" s="85">
        <v>1E-8</v>
      </c>
      <c r="G84" s="85">
        <v>1E-8</v>
      </c>
      <c r="H84" s="85">
        <v>1E-8</v>
      </c>
      <c r="I84" s="85">
        <v>1E-8</v>
      </c>
      <c r="J84" s="85">
        <v>1E-8</v>
      </c>
      <c r="K84" s="85">
        <v>1E-8</v>
      </c>
      <c r="L84" s="85">
        <v>1E-8</v>
      </c>
      <c r="M84" s="85">
        <v>1E-8</v>
      </c>
      <c r="N84" s="4"/>
      <c r="O84" s="6"/>
      <c r="P84" s="4"/>
      <c r="Q84" s="70" t="s">
        <v>653</v>
      </c>
      <c r="R84" s="44"/>
      <c r="S84" s="93" t="s">
        <v>553</v>
      </c>
      <c r="T84" s="85">
        <v>1E-8</v>
      </c>
      <c r="U84" s="86">
        <v>1E-8</v>
      </c>
      <c r="V84" s="85">
        <v>1E-8</v>
      </c>
      <c r="W84" s="85">
        <v>1E-8</v>
      </c>
      <c r="X84" s="85">
        <v>1E-8</v>
      </c>
      <c r="Y84" s="85">
        <v>1E-8</v>
      </c>
      <c r="Z84" s="85">
        <v>1E-8</v>
      </c>
      <c r="AA84" s="85">
        <v>1E-8</v>
      </c>
      <c r="AB84" s="85">
        <v>1E-8</v>
      </c>
      <c r="AC84" s="85">
        <v>1E-8</v>
      </c>
      <c r="AD84" s="4"/>
    </row>
    <row r="85" spans="1:30" x14ac:dyDescent="0.35">
      <c r="A85" s="9" t="s">
        <v>368</v>
      </c>
      <c r="B85" s="44"/>
      <c r="C85" s="91" t="s">
        <v>345</v>
      </c>
      <c r="D85" s="79">
        <v>8.4872470912033116</v>
      </c>
      <c r="E85" s="80">
        <v>5.3048230960718312</v>
      </c>
      <c r="F85" s="79">
        <v>1E-8</v>
      </c>
      <c r="G85" s="79">
        <v>1E-8</v>
      </c>
      <c r="H85" s="79">
        <v>1E-8</v>
      </c>
      <c r="I85" s="79">
        <v>1E-8</v>
      </c>
      <c r="J85" s="79">
        <v>1E-8</v>
      </c>
      <c r="K85" s="79">
        <v>1E-8</v>
      </c>
      <c r="L85" s="79">
        <v>1E-8</v>
      </c>
      <c r="M85" s="79">
        <v>1E-8</v>
      </c>
      <c r="N85" s="4"/>
      <c r="O85" s="6"/>
      <c r="P85" s="4"/>
      <c r="Q85" s="9" t="s">
        <v>368</v>
      </c>
      <c r="R85" s="44"/>
      <c r="S85" s="91" t="s">
        <v>345</v>
      </c>
      <c r="T85" s="79">
        <v>26.619552458414002</v>
      </c>
      <c r="U85" s="80">
        <v>-2.7810048219968131</v>
      </c>
      <c r="V85" s="79">
        <v>1E-8</v>
      </c>
      <c r="W85" s="79">
        <v>1E-8</v>
      </c>
      <c r="X85" s="79">
        <v>1E-8</v>
      </c>
      <c r="Y85" s="79">
        <v>1E-8</v>
      </c>
      <c r="Z85" s="79">
        <v>1E-8</v>
      </c>
      <c r="AA85" s="79">
        <v>1E-8</v>
      </c>
      <c r="AB85" s="79">
        <v>1E-8</v>
      </c>
      <c r="AC85" s="79">
        <v>1E-8</v>
      </c>
      <c r="AD85" s="4"/>
    </row>
    <row r="86" spans="1:30" x14ac:dyDescent="0.35">
      <c r="A86" s="70" t="s">
        <v>654</v>
      </c>
      <c r="B86" s="44"/>
      <c r="C86" s="93" t="s">
        <v>346</v>
      </c>
      <c r="D86" s="85">
        <v>7.8332737928719931</v>
      </c>
      <c r="E86" s="86">
        <v>5.4587699096426912</v>
      </c>
      <c r="F86" s="85">
        <v>1E-8</v>
      </c>
      <c r="G86" s="85">
        <v>1E-8</v>
      </c>
      <c r="H86" s="85">
        <v>1E-8</v>
      </c>
      <c r="I86" s="85">
        <v>1E-8</v>
      </c>
      <c r="J86" s="85">
        <v>1E-8</v>
      </c>
      <c r="K86" s="85">
        <v>1E-8</v>
      </c>
      <c r="L86" s="85">
        <v>1E-8</v>
      </c>
      <c r="M86" s="85">
        <v>1E-8</v>
      </c>
      <c r="N86" s="4"/>
      <c r="O86" s="6"/>
      <c r="P86" s="4"/>
      <c r="Q86" s="70" t="s">
        <v>654</v>
      </c>
      <c r="R86" s="44"/>
      <c r="S86" s="93" t="s">
        <v>346</v>
      </c>
      <c r="T86" s="85">
        <v>5.7336396841947233</v>
      </c>
      <c r="U86" s="86">
        <v>-2.0204235417877081</v>
      </c>
      <c r="V86" s="85">
        <v>1E-8</v>
      </c>
      <c r="W86" s="85">
        <v>1E-8</v>
      </c>
      <c r="X86" s="85">
        <v>1E-8</v>
      </c>
      <c r="Y86" s="85">
        <v>1E-8</v>
      </c>
      <c r="Z86" s="85">
        <v>1E-8</v>
      </c>
      <c r="AA86" s="85">
        <v>1E-8</v>
      </c>
      <c r="AB86" s="85">
        <v>1E-8</v>
      </c>
      <c r="AC86" s="85">
        <v>1E-8</v>
      </c>
      <c r="AD86" s="4"/>
    </row>
    <row r="87" spans="1:30" x14ac:dyDescent="0.35">
      <c r="A87" s="70" t="s">
        <v>655</v>
      </c>
      <c r="B87" s="44"/>
      <c r="C87" s="93" t="s">
        <v>347</v>
      </c>
      <c r="D87" s="85">
        <v>1E-8</v>
      </c>
      <c r="E87" s="86">
        <v>1E-8</v>
      </c>
      <c r="F87" s="85">
        <v>1E-8</v>
      </c>
      <c r="G87" s="85">
        <v>1E-8</v>
      </c>
      <c r="H87" s="85">
        <v>1E-8</v>
      </c>
      <c r="I87" s="85">
        <v>1E-8</v>
      </c>
      <c r="J87" s="85">
        <v>1E-8</v>
      </c>
      <c r="K87" s="85">
        <v>1E-8</v>
      </c>
      <c r="L87" s="85">
        <v>1E-8</v>
      </c>
      <c r="M87" s="85">
        <v>1E-8</v>
      </c>
      <c r="N87" s="4"/>
      <c r="O87" s="6"/>
      <c r="P87" s="4"/>
      <c r="Q87" s="70" t="s">
        <v>655</v>
      </c>
      <c r="R87" s="44"/>
      <c r="S87" s="93" t="s">
        <v>347</v>
      </c>
      <c r="T87" s="85">
        <v>14.590004464039977</v>
      </c>
      <c r="U87" s="86">
        <v>-2.9982626943070745</v>
      </c>
      <c r="V87" s="85">
        <v>1E-8</v>
      </c>
      <c r="W87" s="85">
        <v>1E-8</v>
      </c>
      <c r="X87" s="85">
        <v>1E-8</v>
      </c>
      <c r="Y87" s="85">
        <v>1E-8</v>
      </c>
      <c r="Z87" s="85">
        <v>1E-8</v>
      </c>
      <c r="AA87" s="85">
        <v>1E-8</v>
      </c>
      <c r="AB87" s="85">
        <v>1E-8</v>
      </c>
      <c r="AC87" s="85">
        <v>1E-8</v>
      </c>
      <c r="AD87" s="4"/>
    </row>
    <row r="88" spans="1:30" x14ac:dyDescent="0.35">
      <c r="A88" s="70" t="s">
        <v>656</v>
      </c>
      <c r="B88" s="44"/>
      <c r="C88" s="93" t="s">
        <v>348</v>
      </c>
      <c r="D88" s="85">
        <v>0.65397329833131956</v>
      </c>
      <c r="E88" s="86">
        <v>3.8010267219055427</v>
      </c>
      <c r="F88" s="85">
        <v>1E-8</v>
      </c>
      <c r="G88" s="85">
        <v>1E-8</v>
      </c>
      <c r="H88" s="85">
        <v>1E-8</v>
      </c>
      <c r="I88" s="85">
        <v>1E-8</v>
      </c>
      <c r="J88" s="85">
        <v>1E-8</v>
      </c>
      <c r="K88" s="85">
        <v>1E-8</v>
      </c>
      <c r="L88" s="85">
        <v>1E-8</v>
      </c>
      <c r="M88" s="85">
        <v>1E-8</v>
      </c>
      <c r="N88" s="4"/>
      <c r="O88" s="6"/>
      <c r="P88" s="4"/>
      <c r="Q88" s="70" t="s">
        <v>656</v>
      </c>
      <c r="R88" s="44"/>
      <c r="S88" s="93" t="s">
        <v>348</v>
      </c>
      <c r="T88" s="85">
        <v>6.2959083101793007</v>
      </c>
      <c r="U88" s="86">
        <v>-3.1008240671931753</v>
      </c>
      <c r="V88" s="85">
        <v>1E-8</v>
      </c>
      <c r="W88" s="85">
        <v>1E-8</v>
      </c>
      <c r="X88" s="85">
        <v>1E-8</v>
      </c>
      <c r="Y88" s="85">
        <v>1E-8</v>
      </c>
      <c r="Z88" s="85">
        <v>1E-8</v>
      </c>
      <c r="AA88" s="85">
        <v>1E-8</v>
      </c>
      <c r="AB88" s="85">
        <v>1E-8</v>
      </c>
      <c r="AC88" s="85">
        <v>1E-8</v>
      </c>
      <c r="AD88" s="4"/>
    </row>
    <row r="89" spans="1:30" x14ac:dyDescent="0.35">
      <c r="A89" s="9" t="s">
        <v>181</v>
      </c>
      <c r="B89" s="44"/>
      <c r="C89" s="91" t="s">
        <v>554</v>
      </c>
      <c r="D89" s="79">
        <v>2.3233072921916165</v>
      </c>
      <c r="E89" s="80">
        <v>7.1712071289055324</v>
      </c>
      <c r="F89" s="79">
        <v>1E-8</v>
      </c>
      <c r="G89" s="79">
        <v>1E-8</v>
      </c>
      <c r="H89" s="79">
        <v>1E-8</v>
      </c>
      <c r="I89" s="79">
        <v>1E-8</v>
      </c>
      <c r="J89" s="79">
        <v>1E-8</v>
      </c>
      <c r="K89" s="79">
        <v>1E-8</v>
      </c>
      <c r="L89" s="79">
        <v>1E-8</v>
      </c>
      <c r="M89" s="79">
        <v>1E-8</v>
      </c>
      <c r="N89" s="4"/>
      <c r="O89" s="6"/>
      <c r="P89" s="4"/>
      <c r="Q89" s="9" t="s">
        <v>181</v>
      </c>
      <c r="R89" s="44"/>
      <c r="S89" s="91" t="s">
        <v>554</v>
      </c>
      <c r="T89" s="79">
        <v>3.5178819633941192</v>
      </c>
      <c r="U89" s="80">
        <v>-3.8578208552424886</v>
      </c>
      <c r="V89" s="79">
        <v>1E-8</v>
      </c>
      <c r="W89" s="79">
        <v>1E-8</v>
      </c>
      <c r="X89" s="79">
        <v>1E-8</v>
      </c>
      <c r="Y89" s="79">
        <v>1E-8</v>
      </c>
      <c r="Z89" s="79">
        <v>1E-8</v>
      </c>
      <c r="AA89" s="79">
        <v>1E-8</v>
      </c>
      <c r="AB89" s="79">
        <v>1E-8</v>
      </c>
      <c r="AC89" s="79">
        <v>1E-8</v>
      </c>
      <c r="AD89" s="4"/>
    </row>
    <row r="90" spans="1:30" x14ac:dyDescent="0.35">
      <c r="A90" s="70" t="s">
        <v>657</v>
      </c>
      <c r="B90" s="44"/>
      <c r="C90" s="93" t="s">
        <v>555</v>
      </c>
      <c r="D90" s="85">
        <v>0.27268809832529989</v>
      </c>
      <c r="E90" s="86">
        <v>16.274220468366842</v>
      </c>
      <c r="F90" s="85">
        <v>1E-8</v>
      </c>
      <c r="G90" s="85">
        <v>1E-8</v>
      </c>
      <c r="H90" s="85">
        <v>1E-8</v>
      </c>
      <c r="I90" s="85">
        <v>1E-8</v>
      </c>
      <c r="J90" s="85">
        <v>1E-8</v>
      </c>
      <c r="K90" s="85">
        <v>1E-8</v>
      </c>
      <c r="L90" s="85">
        <v>1E-8</v>
      </c>
      <c r="M90" s="85">
        <v>1E-8</v>
      </c>
      <c r="N90" s="4"/>
      <c r="O90" s="6"/>
      <c r="P90" s="4"/>
      <c r="Q90" s="70" t="s">
        <v>657</v>
      </c>
      <c r="R90" s="44"/>
      <c r="S90" s="93" t="s">
        <v>555</v>
      </c>
      <c r="T90" s="85">
        <v>0.43489479753034976</v>
      </c>
      <c r="U90" s="86">
        <v>-9.9956698657322374</v>
      </c>
      <c r="V90" s="85">
        <v>1E-8</v>
      </c>
      <c r="W90" s="85">
        <v>1E-8</v>
      </c>
      <c r="X90" s="85">
        <v>1E-8</v>
      </c>
      <c r="Y90" s="85">
        <v>1E-8</v>
      </c>
      <c r="Z90" s="85">
        <v>1E-8</v>
      </c>
      <c r="AA90" s="85">
        <v>1E-8</v>
      </c>
      <c r="AB90" s="85">
        <v>1E-8</v>
      </c>
      <c r="AC90" s="85">
        <v>1E-8</v>
      </c>
      <c r="AD90" s="4"/>
    </row>
    <row r="91" spans="1:30" x14ac:dyDescent="0.35">
      <c r="A91" s="70" t="s">
        <v>658</v>
      </c>
      <c r="B91" s="44"/>
      <c r="C91" s="93" t="s">
        <v>349</v>
      </c>
      <c r="D91" s="85">
        <v>2.0227327656647174</v>
      </c>
      <c r="E91" s="86">
        <v>6.0730456313389469</v>
      </c>
      <c r="F91" s="85">
        <v>1E-8</v>
      </c>
      <c r="G91" s="85">
        <v>1E-8</v>
      </c>
      <c r="H91" s="85">
        <v>1E-8</v>
      </c>
      <c r="I91" s="85">
        <v>1E-8</v>
      </c>
      <c r="J91" s="85">
        <v>1E-8</v>
      </c>
      <c r="K91" s="85">
        <v>1E-8</v>
      </c>
      <c r="L91" s="85">
        <v>1E-8</v>
      </c>
      <c r="M91" s="85">
        <v>1E-8</v>
      </c>
      <c r="N91" s="4"/>
      <c r="O91" s="6"/>
      <c r="P91" s="4"/>
      <c r="Q91" s="70" t="s">
        <v>658</v>
      </c>
      <c r="R91" s="44"/>
      <c r="S91" s="93" t="s">
        <v>349</v>
      </c>
      <c r="T91" s="85">
        <v>2.0408793169123136</v>
      </c>
      <c r="U91" s="86">
        <v>-4.425102924304614</v>
      </c>
      <c r="V91" s="85">
        <v>1E-8</v>
      </c>
      <c r="W91" s="85">
        <v>1E-8</v>
      </c>
      <c r="X91" s="85">
        <v>1E-8</v>
      </c>
      <c r="Y91" s="85">
        <v>1E-8</v>
      </c>
      <c r="Z91" s="85">
        <v>1E-8</v>
      </c>
      <c r="AA91" s="85">
        <v>1E-8</v>
      </c>
      <c r="AB91" s="85">
        <v>1E-8</v>
      </c>
      <c r="AC91" s="85">
        <v>1E-8</v>
      </c>
      <c r="AD91" s="4"/>
    </row>
    <row r="92" spans="1:30" x14ac:dyDescent="0.35">
      <c r="A92" s="70" t="s">
        <v>659</v>
      </c>
      <c r="B92" s="44"/>
      <c r="C92" s="93" t="s">
        <v>556</v>
      </c>
      <c r="D92" s="87">
        <v>2.7886428201599367E-2</v>
      </c>
      <c r="E92" s="88">
        <v>-1.6994114813240091</v>
      </c>
      <c r="F92" s="87">
        <v>1E-8</v>
      </c>
      <c r="G92" s="87">
        <v>1E-8</v>
      </c>
      <c r="H92" s="87">
        <v>1E-8</v>
      </c>
      <c r="I92" s="87">
        <v>1E-8</v>
      </c>
      <c r="J92" s="87">
        <v>1E-8</v>
      </c>
      <c r="K92" s="87">
        <v>1E-8</v>
      </c>
      <c r="L92" s="87">
        <v>1E-8</v>
      </c>
      <c r="M92" s="87">
        <v>1E-8</v>
      </c>
      <c r="N92" s="4"/>
      <c r="O92" s="6"/>
      <c r="P92" s="4"/>
      <c r="Q92" s="70" t="s">
        <v>659</v>
      </c>
      <c r="R92" s="44"/>
      <c r="S92" s="93" t="s">
        <v>556</v>
      </c>
      <c r="T92" s="87">
        <v>1.0421078489514557</v>
      </c>
      <c r="U92" s="88">
        <v>-0.94747428388113342</v>
      </c>
      <c r="V92" s="87">
        <v>1E-8</v>
      </c>
      <c r="W92" s="87">
        <v>1E-8</v>
      </c>
      <c r="X92" s="87">
        <v>1E-8</v>
      </c>
      <c r="Y92" s="87">
        <v>1E-8</v>
      </c>
      <c r="Z92" s="87">
        <v>1E-8</v>
      </c>
      <c r="AA92" s="87">
        <v>1E-8</v>
      </c>
      <c r="AB92" s="87">
        <v>1E-8</v>
      </c>
      <c r="AC92" s="87">
        <v>1E-8</v>
      </c>
      <c r="AD92" s="4"/>
    </row>
    <row r="93" spans="1:30" x14ac:dyDescent="0.35">
      <c r="A93" s="11" t="s">
        <v>286</v>
      </c>
      <c r="B93" s="44"/>
      <c r="C93" s="90" t="s">
        <v>350</v>
      </c>
      <c r="D93" s="77">
        <v>3.8508852394808377</v>
      </c>
      <c r="E93" s="78">
        <v>0.36075730876485856</v>
      </c>
      <c r="F93" s="77">
        <v>1E-8</v>
      </c>
      <c r="G93" s="77">
        <v>1E-8</v>
      </c>
      <c r="H93" s="77">
        <v>1E-8</v>
      </c>
      <c r="I93" s="77">
        <v>1E-8</v>
      </c>
      <c r="J93" s="77">
        <v>1E-8</v>
      </c>
      <c r="K93" s="77">
        <v>1E-8</v>
      </c>
      <c r="L93" s="77">
        <v>1E-8</v>
      </c>
      <c r="M93" s="77">
        <v>1E-8</v>
      </c>
      <c r="N93" s="4"/>
      <c r="O93" s="6"/>
      <c r="P93" s="4"/>
      <c r="Q93" s="11" t="s">
        <v>286</v>
      </c>
      <c r="R93" s="44"/>
      <c r="S93" s="90" t="s">
        <v>350</v>
      </c>
      <c r="T93" s="77">
        <v>0.54353485735239648</v>
      </c>
      <c r="U93" s="78">
        <v>-5.2313234070631376</v>
      </c>
      <c r="V93" s="77">
        <v>1E-8</v>
      </c>
      <c r="W93" s="77">
        <v>1E-8</v>
      </c>
      <c r="X93" s="77">
        <v>1E-8</v>
      </c>
      <c r="Y93" s="77">
        <v>1E-8</v>
      </c>
      <c r="Z93" s="77">
        <v>1E-8</v>
      </c>
      <c r="AA93" s="77">
        <v>1E-8</v>
      </c>
      <c r="AB93" s="77">
        <v>1E-8</v>
      </c>
      <c r="AC93" s="77">
        <v>1E-8</v>
      </c>
      <c r="AD93" s="4"/>
    </row>
    <row r="94" spans="1:30" x14ac:dyDescent="0.35">
      <c r="A94" s="11" t="s">
        <v>369</v>
      </c>
      <c r="B94" s="44"/>
      <c r="C94" s="90" t="s">
        <v>557</v>
      </c>
      <c r="D94" s="77">
        <v>1E-8</v>
      </c>
      <c r="E94" s="78">
        <v>1E-8</v>
      </c>
      <c r="F94" s="77">
        <v>1E-8</v>
      </c>
      <c r="G94" s="77">
        <v>1E-8</v>
      </c>
      <c r="H94" s="77">
        <v>1E-8</v>
      </c>
      <c r="I94" s="77">
        <v>1E-8</v>
      </c>
      <c r="J94" s="77">
        <v>1E-8</v>
      </c>
      <c r="K94" s="77">
        <v>1E-8</v>
      </c>
      <c r="L94" s="77">
        <v>1E-8</v>
      </c>
      <c r="M94" s="77">
        <v>1E-8</v>
      </c>
      <c r="N94" s="4"/>
      <c r="O94" s="6"/>
      <c r="P94" s="4"/>
      <c r="Q94" s="11" t="s">
        <v>369</v>
      </c>
      <c r="R94" s="44"/>
      <c r="S94" s="90" t="s">
        <v>557</v>
      </c>
      <c r="T94" s="77">
        <v>1E-8</v>
      </c>
      <c r="U94" s="78">
        <v>1E-8</v>
      </c>
      <c r="V94" s="77">
        <v>1E-8</v>
      </c>
      <c r="W94" s="77">
        <v>1E-8</v>
      </c>
      <c r="X94" s="77">
        <v>1E-8</v>
      </c>
      <c r="Y94" s="77">
        <v>1E-8</v>
      </c>
      <c r="Z94" s="77">
        <v>1E-8</v>
      </c>
      <c r="AA94" s="77">
        <v>1E-8</v>
      </c>
      <c r="AB94" s="77">
        <v>1E-8</v>
      </c>
      <c r="AC94" s="77">
        <v>1E-8</v>
      </c>
      <c r="AD94" s="4"/>
    </row>
    <row r="95" spans="1:30" x14ac:dyDescent="0.35">
      <c r="A95" s="9" t="s">
        <v>660</v>
      </c>
      <c r="B95" s="44"/>
      <c r="C95" s="91" t="s">
        <v>351</v>
      </c>
      <c r="D95" s="79">
        <v>1E-8</v>
      </c>
      <c r="E95" s="80">
        <v>1E-8</v>
      </c>
      <c r="F95" s="79">
        <v>1E-8</v>
      </c>
      <c r="G95" s="79">
        <v>1E-8</v>
      </c>
      <c r="H95" s="79">
        <v>1E-8</v>
      </c>
      <c r="I95" s="79">
        <v>1E-8</v>
      </c>
      <c r="J95" s="79">
        <v>1E-8</v>
      </c>
      <c r="K95" s="79">
        <v>1E-8</v>
      </c>
      <c r="L95" s="79">
        <v>1E-8</v>
      </c>
      <c r="M95" s="79">
        <v>1E-8</v>
      </c>
      <c r="N95" s="4"/>
      <c r="O95" s="6"/>
      <c r="P95" s="4"/>
      <c r="Q95" s="9" t="s">
        <v>660</v>
      </c>
      <c r="R95" s="44"/>
      <c r="S95" s="91" t="s">
        <v>351</v>
      </c>
      <c r="T95" s="79">
        <v>1E-8</v>
      </c>
      <c r="U95" s="80">
        <v>1E-8</v>
      </c>
      <c r="V95" s="79">
        <v>1E-8</v>
      </c>
      <c r="W95" s="79">
        <v>1E-8</v>
      </c>
      <c r="X95" s="79">
        <v>1E-8</v>
      </c>
      <c r="Y95" s="79">
        <v>1E-8</v>
      </c>
      <c r="Z95" s="79">
        <v>1E-8</v>
      </c>
      <c r="AA95" s="79">
        <v>1E-8</v>
      </c>
      <c r="AB95" s="79">
        <v>1E-8</v>
      </c>
      <c r="AC95" s="79">
        <v>1E-8</v>
      </c>
      <c r="AD95" s="4"/>
    </row>
    <row r="96" spans="1:30" x14ac:dyDescent="0.35">
      <c r="A96" s="9" t="s">
        <v>661</v>
      </c>
      <c r="B96" s="44"/>
      <c r="C96" s="91" t="s">
        <v>352</v>
      </c>
      <c r="D96" s="79">
        <v>1E-8</v>
      </c>
      <c r="E96" s="80">
        <v>1E-8</v>
      </c>
      <c r="F96" s="79">
        <v>1E-8</v>
      </c>
      <c r="G96" s="79">
        <v>1E-8</v>
      </c>
      <c r="H96" s="79">
        <v>1E-8</v>
      </c>
      <c r="I96" s="79">
        <v>1E-8</v>
      </c>
      <c r="J96" s="79">
        <v>1E-8</v>
      </c>
      <c r="K96" s="79">
        <v>1E-8</v>
      </c>
      <c r="L96" s="79">
        <v>1E-8</v>
      </c>
      <c r="M96" s="79">
        <v>1E-8</v>
      </c>
      <c r="N96" s="4"/>
      <c r="O96" s="6"/>
      <c r="P96" s="4"/>
      <c r="Q96" s="9" t="s">
        <v>661</v>
      </c>
      <c r="R96" s="44"/>
      <c r="S96" s="91" t="s">
        <v>352</v>
      </c>
      <c r="T96" s="79">
        <v>1E-8</v>
      </c>
      <c r="U96" s="80">
        <v>1E-8</v>
      </c>
      <c r="V96" s="79">
        <v>1E-8</v>
      </c>
      <c r="W96" s="79">
        <v>1E-8</v>
      </c>
      <c r="X96" s="79">
        <v>1E-8</v>
      </c>
      <c r="Y96" s="79">
        <v>1E-8</v>
      </c>
      <c r="Z96" s="79">
        <v>1E-8</v>
      </c>
      <c r="AA96" s="79">
        <v>1E-8</v>
      </c>
      <c r="AB96" s="79">
        <v>1E-8</v>
      </c>
      <c r="AC96" s="79">
        <v>1E-8</v>
      </c>
      <c r="AD96" s="4"/>
    </row>
    <row r="97" spans="1:30" x14ac:dyDescent="0.35">
      <c r="A97" s="9" t="s">
        <v>662</v>
      </c>
      <c r="B97" s="44"/>
      <c r="C97" s="91" t="s">
        <v>558</v>
      </c>
      <c r="D97" s="79">
        <v>1E-8</v>
      </c>
      <c r="E97" s="80">
        <v>1E-8</v>
      </c>
      <c r="F97" s="79">
        <v>1E-8</v>
      </c>
      <c r="G97" s="79">
        <v>1E-8</v>
      </c>
      <c r="H97" s="79">
        <v>1E-8</v>
      </c>
      <c r="I97" s="79">
        <v>1E-8</v>
      </c>
      <c r="J97" s="79">
        <v>1E-8</v>
      </c>
      <c r="K97" s="79">
        <v>1E-8</v>
      </c>
      <c r="L97" s="79">
        <v>1E-8</v>
      </c>
      <c r="M97" s="79">
        <v>1E-8</v>
      </c>
      <c r="N97" s="4"/>
      <c r="O97" s="6"/>
      <c r="P97" s="4"/>
      <c r="Q97" s="9" t="s">
        <v>662</v>
      </c>
      <c r="R97" s="44"/>
      <c r="S97" s="91" t="s">
        <v>558</v>
      </c>
      <c r="T97" s="79">
        <v>1E-8</v>
      </c>
      <c r="U97" s="80">
        <v>1E-8</v>
      </c>
      <c r="V97" s="79">
        <v>1E-8</v>
      </c>
      <c r="W97" s="79">
        <v>1E-8</v>
      </c>
      <c r="X97" s="79">
        <v>1E-8</v>
      </c>
      <c r="Y97" s="79">
        <v>1E-8</v>
      </c>
      <c r="Z97" s="79">
        <v>1E-8</v>
      </c>
      <c r="AA97" s="79">
        <v>1E-8</v>
      </c>
      <c r="AB97" s="79">
        <v>1E-8</v>
      </c>
      <c r="AC97" s="79">
        <v>1E-8</v>
      </c>
      <c r="AD97" s="4"/>
    </row>
    <row r="98" spans="1:30" x14ac:dyDescent="0.35">
      <c r="A98" s="11" t="s">
        <v>188</v>
      </c>
      <c r="B98" s="44"/>
      <c r="C98" s="90" t="s">
        <v>559</v>
      </c>
      <c r="D98" s="77">
        <v>3.8508852394808377</v>
      </c>
      <c r="E98" s="78">
        <v>0.36075730876485856</v>
      </c>
      <c r="F98" s="77">
        <v>1E-8</v>
      </c>
      <c r="G98" s="77">
        <v>1E-8</v>
      </c>
      <c r="H98" s="77">
        <v>1E-8</v>
      </c>
      <c r="I98" s="77">
        <v>1E-8</v>
      </c>
      <c r="J98" s="77">
        <v>1E-8</v>
      </c>
      <c r="K98" s="77">
        <v>1E-8</v>
      </c>
      <c r="L98" s="77">
        <v>1E-8</v>
      </c>
      <c r="M98" s="77">
        <v>1E-8</v>
      </c>
      <c r="N98" s="4"/>
      <c r="O98" s="6"/>
      <c r="P98" s="4"/>
      <c r="Q98" s="11" t="s">
        <v>188</v>
      </c>
      <c r="R98" s="44"/>
      <c r="S98" s="90" t="s">
        <v>559</v>
      </c>
      <c r="T98" s="77">
        <v>0.54353485735239648</v>
      </c>
      <c r="U98" s="78">
        <v>-5.2313234070631376</v>
      </c>
      <c r="V98" s="77">
        <v>1E-8</v>
      </c>
      <c r="W98" s="77">
        <v>1E-8</v>
      </c>
      <c r="X98" s="77">
        <v>1E-8</v>
      </c>
      <c r="Y98" s="77">
        <v>1E-8</v>
      </c>
      <c r="Z98" s="77">
        <v>1E-8</v>
      </c>
      <c r="AA98" s="77">
        <v>1E-8</v>
      </c>
      <c r="AB98" s="77">
        <v>1E-8</v>
      </c>
      <c r="AC98" s="77">
        <v>1E-8</v>
      </c>
      <c r="AD98" s="4"/>
    </row>
    <row r="99" spans="1:30" x14ac:dyDescent="0.35">
      <c r="A99" s="9" t="s">
        <v>663</v>
      </c>
      <c r="B99" s="44"/>
      <c r="C99" s="91" t="s">
        <v>353</v>
      </c>
      <c r="D99" s="79">
        <v>3.8508852394808377</v>
      </c>
      <c r="E99" s="80">
        <v>0.36075730876485856</v>
      </c>
      <c r="F99" s="79">
        <v>1E-8</v>
      </c>
      <c r="G99" s="79">
        <v>1E-8</v>
      </c>
      <c r="H99" s="79">
        <v>1E-8</v>
      </c>
      <c r="I99" s="79">
        <v>1E-8</v>
      </c>
      <c r="J99" s="79">
        <v>1E-8</v>
      </c>
      <c r="K99" s="79">
        <v>1E-8</v>
      </c>
      <c r="L99" s="79">
        <v>1E-8</v>
      </c>
      <c r="M99" s="79">
        <v>1E-8</v>
      </c>
      <c r="N99" s="4"/>
      <c r="O99" s="6"/>
      <c r="P99" s="4"/>
      <c r="Q99" s="9" t="s">
        <v>663</v>
      </c>
      <c r="R99" s="44"/>
      <c r="S99" s="91" t="s">
        <v>353</v>
      </c>
      <c r="T99" s="79">
        <v>0.54353485735239648</v>
      </c>
      <c r="U99" s="80">
        <v>-5.2313234070631376</v>
      </c>
      <c r="V99" s="79">
        <v>1E-8</v>
      </c>
      <c r="W99" s="79">
        <v>1E-8</v>
      </c>
      <c r="X99" s="79">
        <v>1E-8</v>
      </c>
      <c r="Y99" s="79">
        <v>1E-8</v>
      </c>
      <c r="Z99" s="79">
        <v>1E-8</v>
      </c>
      <c r="AA99" s="79">
        <v>1E-8</v>
      </c>
      <c r="AB99" s="79">
        <v>1E-8</v>
      </c>
      <c r="AC99" s="79">
        <v>1E-8</v>
      </c>
      <c r="AD99" s="4"/>
    </row>
    <row r="100" spans="1:30" x14ac:dyDescent="0.35">
      <c r="A100" s="72" t="s">
        <v>664</v>
      </c>
      <c r="B100" s="53"/>
      <c r="C100" s="94" t="s">
        <v>560</v>
      </c>
      <c r="D100" s="81">
        <v>1E-8</v>
      </c>
      <c r="E100" s="82">
        <v>1E-8</v>
      </c>
      <c r="F100" s="81">
        <v>1E-8</v>
      </c>
      <c r="G100" s="81">
        <v>1E-8</v>
      </c>
      <c r="H100" s="81">
        <v>1E-8</v>
      </c>
      <c r="I100" s="81">
        <v>1E-8</v>
      </c>
      <c r="J100" s="81">
        <v>1E-8</v>
      </c>
      <c r="K100" s="81">
        <v>1E-8</v>
      </c>
      <c r="L100" s="81">
        <v>1E-8</v>
      </c>
      <c r="M100" s="81">
        <v>1E-8</v>
      </c>
      <c r="N100" s="4"/>
      <c r="O100" s="6"/>
      <c r="P100" s="4"/>
      <c r="Q100" s="72" t="s">
        <v>664</v>
      </c>
      <c r="R100" s="53"/>
      <c r="S100" s="94" t="s">
        <v>560</v>
      </c>
      <c r="T100" s="81">
        <v>1E-8</v>
      </c>
      <c r="U100" s="82">
        <v>1E-8</v>
      </c>
      <c r="V100" s="81">
        <v>1E-8</v>
      </c>
      <c r="W100" s="81">
        <v>1E-8</v>
      </c>
      <c r="X100" s="81">
        <v>1E-8</v>
      </c>
      <c r="Y100" s="81">
        <v>1E-8</v>
      </c>
      <c r="Z100" s="81">
        <v>1E-8</v>
      </c>
      <c r="AA100" s="81">
        <v>1E-8</v>
      </c>
      <c r="AB100" s="81">
        <v>1E-8</v>
      </c>
      <c r="AC100" s="81">
        <v>1E-8</v>
      </c>
      <c r="AD100" s="4"/>
    </row>
    <row r="101" spans="1:30" x14ac:dyDescent="0.35">
      <c r="A101" s="5" t="s">
        <v>287</v>
      </c>
      <c r="B101" s="44"/>
      <c r="C101" s="89" t="s">
        <v>354</v>
      </c>
      <c r="D101" s="73">
        <v>35.592460910951409</v>
      </c>
      <c r="E101" s="74">
        <v>2.6696727885239246</v>
      </c>
      <c r="F101" s="73">
        <v>1E-8</v>
      </c>
      <c r="G101" s="73">
        <v>1E-8</v>
      </c>
      <c r="H101" s="73">
        <v>1E-8</v>
      </c>
      <c r="I101" s="73">
        <v>1E-8</v>
      </c>
      <c r="J101" s="73">
        <v>1E-8</v>
      </c>
      <c r="K101" s="73">
        <v>1E-8</v>
      </c>
      <c r="L101" s="73">
        <v>1E-8</v>
      </c>
      <c r="M101" s="73">
        <v>1E-8</v>
      </c>
      <c r="N101" s="4"/>
      <c r="O101" s="6"/>
      <c r="P101" s="4"/>
      <c r="Q101" s="5" t="s">
        <v>287</v>
      </c>
      <c r="R101" s="44"/>
      <c r="S101" s="89" t="s">
        <v>354</v>
      </c>
      <c r="T101" s="73">
        <v>14.442070870484148</v>
      </c>
      <c r="U101" s="74">
        <v>-1.3422908960009639</v>
      </c>
      <c r="V101" s="73">
        <v>1E-8</v>
      </c>
      <c r="W101" s="73">
        <v>1E-8</v>
      </c>
      <c r="X101" s="73">
        <v>1E-8</v>
      </c>
      <c r="Y101" s="73">
        <v>1E-8</v>
      </c>
      <c r="Z101" s="73">
        <v>1E-8</v>
      </c>
      <c r="AA101" s="73">
        <v>1E-8</v>
      </c>
      <c r="AB101" s="73">
        <v>1E-8</v>
      </c>
      <c r="AC101" s="73">
        <v>1E-8</v>
      </c>
      <c r="AD101" s="4"/>
    </row>
    <row r="102" spans="1:30" x14ac:dyDescent="0.35">
      <c r="A102" s="11" t="s">
        <v>370</v>
      </c>
      <c r="B102" s="44"/>
      <c r="C102" s="90" t="s">
        <v>561</v>
      </c>
      <c r="D102" s="77">
        <v>1E-8</v>
      </c>
      <c r="E102" s="78">
        <v>1E-8</v>
      </c>
      <c r="F102" s="77">
        <v>1E-8</v>
      </c>
      <c r="G102" s="77">
        <v>1E-8</v>
      </c>
      <c r="H102" s="77">
        <v>1E-8</v>
      </c>
      <c r="I102" s="77">
        <v>1E-8</v>
      </c>
      <c r="J102" s="77">
        <v>1E-8</v>
      </c>
      <c r="K102" s="77">
        <v>1E-8</v>
      </c>
      <c r="L102" s="77">
        <v>1E-8</v>
      </c>
      <c r="M102" s="77">
        <v>1E-8</v>
      </c>
      <c r="N102" s="4"/>
      <c r="O102" s="6"/>
      <c r="P102" s="4"/>
      <c r="Q102" s="11" t="s">
        <v>370</v>
      </c>
      <c r="R102" s="44"/>
      <c r="S102" s="90" t="s">
        <v>561</v>
      </c>
      <c r="T102" s="77">
        <v>1E-8</v>
      </c>
      <c r="U102" s="78">
        <v>1E-8</v>
      </c>
      <c r="V102" s="77">
        <v>1E-8</v>
      </c>
      <c r="W102" s="77">
        <v>1E-8</v>
      </c>
      <c r="X102" s="77">
        <v>1E-8</v>
      </c>
      <c r="Y102" s="77">
        <v>1E-8</v>
      </c>
      <c r="Z102" s="77">
        <v>1E-8</v>
      </c>
      <c r="AA102" s="77">
        <v>1E-8</v>
      </c>
      <c r="AB102" s="77">
        <v>1E-8</v>
      </c>
      <c r="AC102" s="77">
        <v>1E-8</v>
      </c>
      <c r="AD102" s="4"/>
    </row>
    <row r="103" spans="1:30" x14ac:dyDescent="0.35">
      <c r="A103" s="9" t="s">
        <v>665</v>
      </c>
      <c r="B103" s="44"/>
      <c r="C103" s="91" t="s">
        <v>562</v>
      </c>
      <c r="D103" s="79">
        <v>1E-8</v>
      </c>
      <c r="E103" s="80">
        <v>1E-8</v>
      </c>
      <c r="F103" s="79">
        <v>1E-8</v>
      </c>
      <c r="G103" s="79">
        <v>1E-8</v>
      </c>
      <c r="H103" s="79">
        <v>1E-8</v>
      </c>
      <c r="I103" s="79">
        <v>1E-8</v>
      </c>
      <c r="J103" s="79">
        <v>1E-8</v>
      </c>
      <c r="K103" s="79">
        <v>1E-8</v>
      </c>
      <c r="L103" s="79">
        <v>1E-8</v>
      </c>
      <c r="M103" s="79">
        <v>1E-8</v>
      </c>
      <c r="N103" s="4"/>
      <c r="O103" s="6"/>
      <c r="P103" s="4"/>
      <c r="Q103" s="9" t="s">
        <v>665</v>
      </c>
      <c r="R103" s="44"/>
      <c r="S103" s="91" t="s">
        <v>562</v>
      </c>
      <c r="T103" s="79">
        <v>1E-8</v>
      </c>
      <c r="U103" s="80">
        <v>1E-8</v>
      </c>
      <c r="V103" s="79">
        <v>1E-8</v>
      </c>
      <c r="W103" s="79">
        <v>1E-8</v>
      </c>
      <c r="X103" s="79">
        <v>1E-8</v>
      </c>
      <c r="Y103" s="79">
        <v>1E-8</v>
      </c>
      <c r="Z103" s="79">
        <v>1E-8</v>
      </c>
      <c r="AA103" s="79">
        <v>1E-8</v>
      </c>
      <c r="AB103" s="79">
        <v>1E-8</v>
      </c>
      <c r="AC103" s="79">
        <v>1E-8</v>
      </c>
      <c r="AD103" s="4"/>
    </row>
    <row r="104" spans="1:30" x14ac:dyDescent="0.35">
      <c r="A104" s="9" t="s">
        <v>666</v>
      </c>
      <c r="B104" s="44"/>
      <c r="C104" s="91" t="s">
        <v>563</v>
      </c>
      <c r="D104" s="79">
        <v>1E-8</v>
      </c>
      <c r="E104" s="80">
        <v>1E-8</v>
      </c>
      <c r="F104" s="79">
        <v>1E-8</v>
      </c>
      <c r="G104" s="79">
        <v>1E-8</v>
      </c>
      <c r="H104" s="79">
        <v>1E-8</v>
      </c>
      <c r="I104" s="79">
        <v>1E-8</v>
      </c>
      <c r="J104" s="79">
        <v>1E-8</v>
      </c>
      <c r="K104" s="79">
        <v>1E-8</v>
      </c>
      <c r="L104" s="79">
        <v>1E-8</v>
      </c>
      <c r="M104" s="79">
        <v>1E-8</v>
      </c>
      <c r="N104" s="4"/>
      <c r="O104" s="6"/>
      <c r="P104" s="4"/>
      <c r="Q104" s="9" t="s">
        <v>666</v>
      </c>
      <c r="R104" s="44"/>
      <c r="S104" s="91" t="s">
        <v>563</v>
      </c>
      <c r="T104" s="79">
        <v>1E-8</v>
      </c>
      <c r="U104" s="80">
        <v>1E-8</v>
      </c>
      <c r="V104" s="79">
        <v>1E-8</v>
      </c>
      <c r="W104" s="79">
        <v>1E-8</v>
      </c>
      <c r="X104" s="79">
        <v>1E-8</v>
      </c>
      <c r="Y104" s="79">
        <v>1E-8</v>
      </c>
      <c r="Z104" s="79">
        <v>1E-8</v>
      </c>
      <c r="AA104" s="79">
        <v>1E-8</v>
      </c>
      <c r="AB104" s="79">
        <v>1E-8</v>
      </c>
      <c r="AC104" s="79">
        <v>1E-8</v>
      </c>
      <c r="AD104" s="4"/>
    </row>
    <row r="105" spans="1:30" x14ac:dyDescent="0.35">
      <c r="A105" s="9" t="s">
        <v>667</v>
      </c>
      <c r="B105" s="44"/>
      <c r="C105" s="91" t="s">
        <v>564</v>
      </c>
      <c r="D105" s="79">
        <v>1E-8</v>
      </c>
      <c r="E105" s="80">
        <v>1E-8</v>
      </c>
      <c r="F105" s="79">
        <v>1E-8</v>
      </c>
      <c r="G105" s="79">
        <v>1E-8</v>
      </c>
      <c r="H105" s="79">
        <v>1E-8</v>
      </c>
      <c r="I105" s="79">
        <v>1E-8</v>
      </c>
      <c r="J105" s="79">
        <v>1E-8</v>
      </c>
      <c r="K105" s="79">
        <v>1E-8</v>
      </c>
      <c r="L105" s="79">
        <v>1E-8</v>
      </c>
      <c r="M105" s="79">
        <v>1E-8</v>
      </c>
      <c r="N105" s="4"/>
      <c r="O105" s="6"/>
      <c r="P105" s="4"/>
      <c r="Q105" s="9" t="s">
        <v>667</v>
      </c>
      <c r="R105" s="44"/>
      <c r="S105" s="91" t="s">
        <v>564</v>
      </c>
      <c r="T105" s="79">
        <v>1E-8</v>
      </c>
      <c r="U105" s="80">
        <v>1E-8</v>
      </c>
      <c r="V105" s="79">
        <v>1E-8</v>
      </c>
      <c r="W105" s="79">
        <v>1E-8</v>
      </c>
      <c r="X105" s="79">
        <v>1E-8</v>
      </c>
      <c r="Y105" s="79">
        <v>1E-8</v>
      </c>
      <c r="Z105" s="79">
        <v>1E-8</v>
      </c>
      <c r="AA105" s="79">
        <v>1E-8</v>
      </c>
      <c r="AB105" s="79">
        <v>1E-8</v>
      </c>
      <c r="AC105" s="79">
        <v>1E-8</v>
      </c>
      <c r="AD105" s="4"/>
    </row>
    <row r="106" spans="1:30" x14ac:dyDescent="0.35">
      <c r="A106" s="9" t="s">
        <v>668</v>
      </c>
      <c r="B106" s="44"/>
      <c r="C106" s="91" t="s">
        <v>565</v>
      </c>
      <c r="D106" s="79">
        <v>1E-8</v>
      </c>
      <c r="E106" s="80">
        <v>1E-8</v>
      </c>
      <c r="F106" s="79">
        <v>1E-8</v>
      </c>
      <c r="G106" s="79">
        <v>1E-8</v>
      </c>
      <c r="H106" s="79">
        <v>1E-8</v>
      </c>
      <c r="I106" s="79">
        <v>1E-8</v>
      </c>
      <c r="J106" s="79">
        <v>1E-8</v>
      </c>
      <c r="K106" s="79">
        <v>1E-8</v>
      </c>
      <c r="L106" s="79">
        <v>1E-8</v>
      </c>
      <c r="M106" s="79">
        <v>1E-8</v>
      </c>
      <c r="N106" s="4"/>
      <c r="O106" s="6"/>
      <c r="P106" s="4"/>
      <c r="Q106" s="9" t="s">
        <v>668</v>
      </c>
      <c r="R106" s="44"/>
      <c r="S106" s="91" t="s">
        <v>565</v>
      </c>
      <c r="T106" s="79">
        <v>1E-8</v>
      </c>
      <c r="U106" s="80">
        <v>1E-8</v>
      </c>
      <c r="V106" s="79">
        <v>1E-8</v>
      </c>
      <c r="W106" s="79">
        <v>1E-8</v>
      </c>
      <c r="X106" s="79">
        <v>1E-8</v>
      </c>
      <c r="Y106" s="79">
        <v>1E-8</v>
      </c>
      <c r="Z106" s="79">
        <v>1E-8</v>
      </c>
      <c r="AA106" s="79">
        <v>1E-8</v>
      </c>
      <c r="AB106" s="79">
        <v>1E-8</v>
      </c>
      <c r="AC106" s="79">
        <v>1E-8</v>
      </c>
      <c r="AD106" s="4"/>
    </row>
    <row r="107" spans="1:30" x14ac:dyDescent="0.35">
      <c r="A107" s="11" t="s">
        <v>371</v>
      </c>
      <c r="B107" s="44"/>
      <c r="C107" s="90" t="s">
        <v>566</v>
      </c>
      <c r="D107" s="77">
        <v>10.845055523828623</v>
      </c>
      <c r="E107" s="78">
        <v>0.34195576851097087</v>
      </c>
      <c r="F107" s="77">
        <v>1E-8</v>
      </c>
      <c r="G107" s="77">
        <v>1E-8</v>
      </c>
      <c r="H107" s="77">
        <v>1E-8</v>
      </c>
      <c r="I107" s="77">
        <v>1E-8</v>
      </c>
      <c r="J107" s="77">
        <v>1E-8</v>
      </c>
      <c r="K107" s="77">
        <v>1E-8</v>
      </c>
      <c r="L107" s="77">
        <v>1E-8</v>
      </c>
      <c r="M107" s="77">
        <v>1E-8</v>
      </c>
      <c r="N107" s="4"/>
      <c r="O107" s="6"/>
      <c r="P107" s="4"/>
      <c r="Q107" s="11" t="s">
        <v>371</v>
      </c>
      <c r="R107" s="44"/>
      <c r="S107" s="90" t="s">
        <v>566</v>
      </c>
      <c r="T107" s="77">
        <v>2.172552274112733</v>
      </c>
      <c r="U107" s="78">
        <v>-1.2974817524836979</v>
      </c>
      <c r="V107" s="77">
        <v>1E-8</v>
      </c>
      <c r="W107" s="77">
        <v>1E-8</v>
      </c>
      <c r="X107" s="77">
        <v>1E-8</v>
      </c>
      <c r="Y107" s="77">
        <v>1E-8</v>
      </c>
      <c r="Z107" s="77">
        <v>1E-8</v>
      </c>
      <c r="AA107" s="77">
        <v>1E-8</v>
      </c>
      <c r="AB107" s="77">
        <v>1E-8</v>
      </c>
      <c r="AC107" s="77">
        <v>1E-8</v>
      </c>
      <c r="AD107" s="4"/>
    </row>
    <row r="108" spans="1:30" x14ac:dyDescent="0.35">
      <c r="A108" s="9" t="s">
        <v>669</v>
      </c>
      <c r="B108" s="44"/>
      <c r="C108" s="91" t="s">
        <v>567</v>
      </c>
      <c r="D108" s="79">
        <v>0.7640103547526399</v>
      </c>
      <c r="E108" s="80">
        <v>2.9831954040819619</v>
      </c>
      <c r="F108" s="79">
        <v>1E-8</v>
      </c>
      <c r="G108" s="79">
        <v>1E-8</v>
      </c>
      <c r="H108" s="79">
        <v>1E-8</v>
      </c>
      <c r="I108" s="79">
        <v>1E-8</v>
      </c>
      <c r="J108" s="79">
        <v>1E-8</v>
      </c>
      <c r="K108" s="79">
        <v>1E-8</v>
      </c>
      <c r="L108" s="79">
        <v>1E-8</v>
      </c>
      <c r="M108" s="79">
        <v>1E-8</v>
      </c>
      <c r="N108" s="4"/>
      <c r="O108" s="6"/>
      <c r="P108" s="4"/>
      <c r="Q108" s="9" t="s">
        <v>669</v>
      </c>
      <c r="R108" s="44"/>
      <c r="S108" s="91" t="s">
        <v>567</v>
      </c>
      <c r="T108" s="79">
        <v>1E-8</v>
      </c>
      <c r="U108" s="80">
        <v>1E-8</v>
      </c>
      <c r="V108" s="79">
        <v>1E-8</v>
      </c>
      <c r="W108" s="79">
        <v>1E-8</v>
      </c>
      <c r="X108" s="79">
        <v>1E-8</v>
      </c>
      <c r="Y108" s="79">
        <v>1E-8</v>
      </c>
      <c r="Z108" s="79">
        <v>1E-8</v>
      </c>
      <c r="AA108" s="79">
        <v>1E-8</v>
      </c>
      <c r="AB108" s="79">
        <v>1E-8</v>
      </c>
      <c r="AC108" s="79">
        <v>1E-8</v>
      </c>
      <c r="AD108" s="4"/>
    </row>
    <row r="109" spans="1:30" x14ac:dyDescent="0.35">
      <c r="A109" s="9" t="s">
        <v>670</v>
      </c>
      <c r="B109" s="44"/>
      <c r="C109" s="91" t="s">
        <v>568</v>
      </c>
      <c r="D109" s="79">
        <v>9.5800048404886837</v>
      </c>
      <c r="E109" s="80">
        <v>-7.3666438587216554E-2</v>
      </c>
      <c r="F109" s="79">
        <v>1E-8</v>
      </c>
      <c r="G109" s="79">
        <v>1E-8</v>
      </c>
      <c r="H109" s="79">
        <v>1E-8</v>
      </c>
      <c r="I109" s="79">
        <v>1E-8</v>
      </c>
      <c r="J109" s="79">
        <v>1E-8</v>
      </c>
      <c r="K109" s="79">
        <v>1E-8</v>
      </c>
      <c r="L109" s="79">
        <v>1E-8</v>
      </c>
      <c r="M109" s="79">
        <v>1E-8</v>
      </c>
      <c r="N109" s="4"/>
      <c r="O109" s="6"/>
      <c r="P109" s="4"/>
      <c r="Q109" s="9" t="s">
        <v>670</v>
      </c>
      <c r="R109" s="44"/>
      <c r="S109" s="91" t="s">
        <v>568</v>
      </c>
      <c r="T109" s="79">
        <v>2.1092134654496411</v>
      </c>
      <c r="U109" s="80">
        <v>-1.2382097133942893</v>
      </c>
      <c r="V109" s="79">
        <v>1E-8</v>
      </c>
      <c r="W109" s="79">
        <v>1E-8</v>
      </c>
      <c r="X109" s="79">
        <v>1E-8</v>
      </c>
      <c r="Y109" s="79">
        <v>1E-8</v>
      </c>
      <c r="Z109" s="79">
        <v>1E-8</v>
      </c>
      <c r="AA109" s="79">
        <v>1E-8</v>
      </c>
      <c r="AB109" s="79">
        <v>1E-8</v>
      </c>
      <c r="AC109" s="79">
        <v>1E-8</v>
      </c>
      <c r="AD109" s="4"/>
    </row>
    <row r="110" spans="1:30" x14ac:dyDescent="0.35">
      <c r="A110" s="9" t="s">
        <v>671</v>
      </c>
      <c r="B110" s="44"/>
      <c r="C110" s="91" t="s">
        <v>569</v>
      </c>
      <c r="D110" s="79">
        <v>4.0278941890133972E-2</v>
      </c>
      <c r="E110" s="80">
        <v>4.6178813240646432</v>
      </c>
      <c r="F110" s="79">
        <v>1E-8</v>
      </c>
      <c r="G110" s="79">
        <v>1E-8</v>
      </c>
      <c r="H110" s="79">
        <v>1E-8</v>
      </c>
      <c r="I110" s="79">
        <v>1E-8</v>
      </c>
      <c r="J110" s="79">
        <v>1E-8</v>
      </c>
      <c r="K110" s="79">
        <v>1E-8</v>
      </c>
      <c r="L110" s="79">
        <v>1E-8</v>
      </c>
      <c r="M110" s="79">
        <v>1E-8</v>
      </c>
      <c r="N110" s="4"/>
      <c r="O110" s="6"/>
      <c r="P110" s="4"/>
      <c r="Q110" s="9" t="s">
        <v>671</v>
      </c>
      <c r="R110" s="44"/>
      <c r="S110" s="91" t="s">
        <v>569</v>
      </c>
      <c r="T110" s="79">
        <v>2.8090821954242732E-2</v>
      </c>
      <c r="U110" s="80">
        <v>-3.9921839762214417</v>
      </c>
      <c r="V110" s="79">
        <v>1E-8</v>
      </c>
      <c r="W110" s="79">
        <v>1E-8</v>
      </c>
      <c r="X110" s="79">
        <v>1E-8</v>
      </c>
      <c r="Y110" s="79">
        <v>1E-8</v>
      </c>
      <c r="Z110" s="79">
        <v>1E-8</v>
      </c>
      <c r="AA110" s="79">
        <v>1E-8</v>
      </c>
      <c r="AB110" s="79">
        <v>1E-8</v>
      </c>
      <c r="AC110" s="79">
        <v>1E-8</v>
      </c>
      <c r="AD110" s="4"/>
    </row>
    <row r="111" spans="1:30" x14ac:dyDescent="0.35">
      <c r="A111" s="9" t="s">
        <v>672</v>
      </c>
      <c r="B111" s="44"/>
      <c r="C111" s="91" t="s">
        <v>570</v>
      </c>
      <c r="D111" s="79">
        <v>0.46076138669716515</v>
      </c>
      <c r="E111" s="80">
        <v>4.2300822903948765</v>
      </c>
      <c r="F111" s="79">
        <v>1E-8</v>
      </c>
      <c r="G111" s="79">
        <v>1E-8</v>
      </c>
      <c r="H111" s="79">
        <v>1E-8</v>
      </c>
      <c r="I111" s="79">
        <v>1E-8</v>
      </c>
      <c r="J111" s="79">
        <v>1E-8</v>
      </c>
      <c r="K111" s="79">
        <v>1E-8</v>
      </c>
      <c r="L111" s="79">
        <v>1E-8</v>
      </c>
      <c r="M111" s="79">
        <v>1E-8</v>
      </c>
      <c r="N111" s="4"/>
      <c r="O111" s="6"/>
      <c r="P111" s="4"/>
      <c r="Q111" s="9" t="s">
        <v>672</v>
      </c>
      <c r="R111" s="44"/>
      <c r="S111" s="91" t="s">
        <v>570</v>
      </c>
      <c r="T111" s="79">
        <v>3.5247986708849093E-2</v>
      </c>
      <c r="U111" s="80">
        <v>-2.6967384814610584</v>
      </c>
      <c r="V111" s="79">
        <v>1E-8</v>
      </c>
      <c r="W111" s="79">
        <v>1E-8</v>
      </c>
      <c r="X111" s="79">
        <v>1E-8</v>
      </c>
      <c r="Y111" s="79">
        <v>1E-8</v>
      </c>
      <c r="Z111" s="79">
        <v>1E-8</v>
      </c>
      <c r="AA111" s="79">
        <v>1E-8</v>
      </c>
      <c r="AB111" s="79">
        <v>1E-8</v>
      </c>
      <c r="AC111" s="79">
        <v>1E-8</v>
      </c>
      <c r="AD111" s="4"/>
    </row>
    <row r="112" spans="1:30" x14ac:dyDescent="0.35">
      <c r="A112" s="11" t="s">
        <v>673</v>
      </c>
      <c r="B112" s="44"/>
      <c r="C112" s="90" t="s">
        <v>355</v>
      </c>
      <c r="D112" s="77">
        <v>1E-8</v>
      </c>
      <c r="E112" s="78">
        <v>1E-8</v>
      </c>
      <c r="F112" s="77">
        <v>1E-8</v>
      </c>
      <c r="G112" s="77">
        <v>1E-8</v>
      </c>
      <c r="H112" s="77">
        <v>1E-8</v>
      </c>
      <c r="I112" s="77">
        <v>1E-8</v>
      </c>
      <c r="J112" s="77">
        <v>1E-8</v>
      </c>
      <c r="K112" s="77">
        <v>1E-8</v>
      </c>
      <c r="L112" s="77">
        <v>1E-8</v>
      </c>
      <c r="M112" s="77">
        <v>1E-8</v>
      </c>
      <c r="N112" s="4"/>
      <c r="O112" s="6"/>
      <c r="P112" s="4"/>
      <c r="Q112" s="11" t="s">
        <v>673</v>
      </c>
      <c r="R112" s="44"/>
      <c r="S112" s="90" t="s">
        <v>355</v>
      </c>
      <c r="T112" s="77">
        <v>1E-8</v>
      </c>
      <c r="U112" s="78">
        <v>1E-8</v>
      </c>
      <c r="V112" s="77">
        <v>1E-8</v>
      </c>
      <c r="W112" s="77">
        <v>1E-8</v>
      </c>
      <c r="X112" s="77">
        <v>1E-8</v>
      </c>
      <c r="Y112" s="77">
        <v>1E-8</v>
      </c>
      <c r="Z112" s="77">
        <v>1E-8</v>
      </c>
      <c r="AA112" s="77">
        <v>1E-8</v>
      </c>
      <c r="AB112" s="77">
        <v>1E-8</v>
      </c>
      <c r="AC112" s="77">
        <v>1E-8</v>
      </c>
      <c r="AD112" s="4"/>
    </row>
    <row r="113" spans="1:30" x14ac:dyDescent="0.35">
      <c r="A113" s="11" t="s">
        <v>372</v>
      </c>
      <c r="B113" s="44"/>
      <c r="C113" s="90" t="s">
        <v>571</v>
      </c>
      <c r="D113" s="77">
        <v>1.9202058190733617</v>
      </c>
      <c r="E113" s="78">
        <v>3.1921959533811606</v>
      </c>
      <c r="F113" s="77">
        <v>1E-8</v>
      </c>
      <c r="G113" s="77">
        <v>1E-8</v>
      </c>
      <c r="H113" s="77">
        <v>1E-8</v>
      </c>
      <c r="I113" s="77">
        <v>1E-8</v>
      </c>
      <c r="J113" s="77">
        <v>1E-8</v>
      </c>
      <c r="K113" s="77">
        <v>1E-8</v>
      </c>
      <c r="L113" s="77">
        <v>1E-8</v>
      </c>
      <c r="M113" s="77">
        <v>1E-8</v>
      </c>
      <c r="N113" s="4"/>
      <c r="O113" s="6"/>
      <c r="P113" s="4"/>
      <c r="Q113" s="11" t="s">
        <v>372</v>
      </c>
      <c r="R113" s="44"/>
      <c r="S113" s="90" t="s">
        <v>571</v>
      </c>
      <c r="T113" s="77">
        <v>0.64607799525089982</v>
      </c>
      <c r="U113" s="78">
        <v>-3.3656679166055969</v>
      </c>
      <c r="V113" s="77">
        <v>1E-8</v>
      </c>
      <c r="W113" s="77">
        <v>1E-8</v>
      </c>
      <c r="X113" s="77">
        <v>1E-8</v>
      </c>
      <c r="Y113" s="77">
        <v>1E-8</v>
      </c>
      <c r="Z113" s="77">
        <v>1E-8</v>
      </c>
      <c r="AA113" s="77">
        <v>1E-8</v>
      </c>
      <c r="AB113" s="77">
        <v>1E-8</v>
      </c>
      <c r="AC113" s="77">
        <v>1E-8</v>
      </c>
      <c r="AD113" s="4"/>
    </row>
    <row r="114" spans="1:30" x14ac:dyDescent="0.35">
      <c r="A114" s="9" t="s">
        <v>674</v>
      </c>
      <c r="B114" s="44"/>
      <c r="C114" s="91" t="s">
        <v>572</v>
      </c>
      <c r="D114" s="79">
        <v>0.11600554324796518</v>
      </c>
      <c r="E114" s="80">
        <v>3.5897803925877492</v>
      </c>
      <c r="F114" s="79">
        <v>1E-8</v>
      </c>
      <c r="G114" s="79">
        <v>1E-8</v>
      </c>
      <c r="H114" s="79">
        <v>1E-8</v>
      </c>
      <c r="I114" s="79">
        <v>1E-8</v>
      </c>
      <c r="J114" s="79">
        <v>1E-8</v>
      </c>
      <c r="K114" s="79">
        <v>1E-8</v>
      </c>
      <c r="L114" s="79">
        <v>1E-8</v>
      </c>
      <c r="M114" s="79">
        <v>1E-8</v>
      </c>
      <c r="N114" s="4"/>
      <c r="O114" s="6"/>
      <c r="P114" s="4"/>
      <c r="Q114" s="9" t="s">
        <v>674</v>
      </c>
      <c r="R114" s="44"/>
      <c r="S114" s="91" t="s">
        <v>572</v>
      </c>
      <c r="T114" s="79">
        <v>0.26228116453894607</v>
      </c>
      <c r="U114" s="80">
        <v>-3.2798812298322488</v>
      </c>
      <c r="V114" s="79">
        <v>1E-8</v>
      </c>
      <c r="W114" s="79">
        <v>1E-8</v>
      </c>
      <c r="X114" s="79">
        <v>1E-8</v>
      </c>
      <c r="Y114" s="79">
        <v>1E-8</v>
      </c>
      <c r="Z114" s="79">
        <v>1E-8</v>
      </c>
      <c r="AA114" s="79">
        <v>1E-8</v>
      </c>
      <c r="AB114" s="79">
        <v>1E-8</v>
      </c>
      <c r="AC114" s="79">
        <v>1E-8</v>
      </c>
      <c r="AD114" s="4"/>
    </row>
    <row r="115" spans="1:30" x14ac:dyDescent="0.35">
      <c r="A115" s="9" t="s">
        <v>675</v>
      </c>
      <c r="B115" s="44"/>
      <c r="C115" s="91" t="s">
        <v>356</v>
      </c>
      <c r="D115" s="79">
        <v>1.6938441874813432</v>
      </c>
      <c r="E115" s="80">
        <v>3.0626243811091136</v>
      </c>
      <c r="F115" s="79">
        <v>1E-8</v>
      </c>
      <c r="G115" s="79">
        <v>1E-8</v>
      </c>
      <c r="H115" s="79">
        <v>1E-8</v>
      </c>
      <c r="I115" s="79">
        <v>1E-8</v>
      </c>
      <c r="J115" s="79">
        <v>1E-8</v>
      </c>
      <c r="K115" s="79">
        <v>1E-8</v>
      </c>
      <c r="L115" s="79">
        <v>1E-8</v>
      </c>
      <c r="M115" s="79">
        <v>1E-8</v>
      </c>
      <c r="N115" s="4"/>
      <c r="O115" s="6"/>
      <c r="P115" s="4"/>
      <c r="Q115" s="9" t="s">
        <v>675</v>
      </c>
      <c r="R115" s="44"/>
      <c r="S115" s="91" t="s">
        <v>356</v>
      </c>
      <c r="T115" s="79">
        <v>0.3837968307119537</v>
      </c>
      <c r="U115" s="80">
        <v>-3.424293288959801</v>
      </c>
      <c r="V115" s="79">
        <v>1E-8</v>
      </c>
      <c r="W115" s="79">
        <v>1E-8</v>
      </c>
      <c r="X115" s="79">
        <v>1E-8</v>
      </c>
      <c r="Y115" s="79">
        <v>1E-8</v>
      </c>
      <c r="Z115" s="79">
        <v>1E-8</v>
      </c>
      <c r="AA115" s="79">
        <v>1E-8</v>
      </c>
      <c r="AB115" s="79">
        <v>1E-8</v>
      </c>
      <c r="AC115" s="79">
        <v>1E-8</v>
      </c>
      <c r="AD115" s="4"/>
    </row>
    <row r="116" spans="1:30" x14ac:dyDescent="0.35">
      <c r="A116" s="9" t="s">
        <v>676</v>
      </c>
      <c r="B116" s="44"/>
      <c r="C116" s="91" t="s">
        <v>573</v>
      </c>
      <c r="D116" s="81">
        <v>0.11035608834405325</v>
      </c>
      <c r="E116" s="82">
        <v>4.763038652682372</v>
      </c>
      <c r="F116" s="81">
        <v>1E-8</v>
      </c>
      <c r="G116" s="81">
        <v>1E-8</v>
      </c>
      <c r="H116" s="81">
        <v>1E-8</v>
      </c>
      <c r="I116" s="81">
        <v>1E-8</v>
      </c>
      <c r="J116" s="81">
        <v>1E-8</v>
      </c>
      <c r="K116" s="81">
        <v>1E-8</v>
      </c>
      <c r="L116" s="81">
        <v>1E-8</v>
      </c>
      <c r="M116" s="81">
        <v>1E-8</v>
      </c>
      <c r="N116" s="4"/>
      <c r="O116" s="6"/>
      <c r="P116" s="4"/>
      <c r="Q116" s="9" t="s">
        <v>676</v>
      </c>
      <c r="R116" s="44"/>
      <c r="S116" s="91" t="s">
        <v>573</v>
      </c>
      <c r="T116" s="81">
        <v>1E-8</v>
      </c>
      <c r="U116" s="82">
        <v>1E-8</v>
      </c>
      <c r="V116" s="81">
        <v>1E-8</v>
      </c>
      <c r="W116" s="81">
        <v>1E-8</v>
      </c>
      <c r="X116" s="81">
        <v>1E-8</v>
      </c>
      <c r="Y116" s="81">
        <v>1E-8</v>
      </c>
      <c r="Z116" s="81">
        <v>1E-8</v>
      </c>
      <c r="AA116" s="81">
        <v>1E-8</v>
      </c>
      <c r="AB116" s="81">
        <v>1E-8</v>
      </c>
      <c r="AC116" s="81">
        <v>1E-8</v>
      </c>
      <c r="AD116" s="4"/>
    </row>
    <row r="117" spans="1:30" x14ac:dyDescent="0.35">
      <c r="A117" s="11" t="s">
        <v>373</v>
      </c>
      <c r="B117" s="44"/>
      <c r="C117" s="90" t="s">
        <v>574</v>
      </c>
      <c r="D117" s="77">
        <v>2.5900025042950405</v>
      </c>
      <c r="E117" s="78">
        <v>4.7134848821216213</v>
      </c>
      <c r="F117" s="77">
        <v>1E-8</v>
      </c>
      <c r="G117" s="77">
        <v>1E-8</v>
      </c>
      <c r="H117" s="77">
        <v>1E-8</v>
      </c>
      <c r="I117" s="77">
        <v>1E-8</v>
      </c>
      <c r="J117" s="77">
        <v>1E-8</v>
      </c>
      <c r="K117" s="77">
        <v>1E-8</v>
      </c>
      <c r="L117" s="77">
        <v>1E-8</v>
      </c>
      <c r="M117" s="77">
        <v>1E-8</v>
      </c>
      <c r="N117" s="4"/>
      <c r="O117" s="6"/>
      <c r="P117" s="4"/>
      <c r="Q117" s="11" t="s">
        <v>373</v>
      </c>
      <c r="R117" s="44"/>
      <c r="S117" s="90" t="s">
        <v>574</v>
      </c>
      <c r="T117" s="77">
        <v>0.66724568130129303</v>
      </c>
      <c r="U117" s="78">
        <v>-3.5394250942716532</v>
      </c>
      <c r="V117" s="77">
        <v>1E-8</v>
      </c>
      <c r="W117" s="77">
        <v>1E-8</v>
      </c>
      <c r="X117" s="77">
        <v>1E-8</v>
      </c>
      <c r="Y117" s="77">
        <v>1E-8</v>
      </c>
      <c r="Z117" s="77">
        <v>1E-8</v>
      </c>
      <c r="AA117" s="77">
        <v>1E-8</v>
      </c>
      <c r="AB117" s="77">
        <v>1E-8</v>
      </c>
      <c r="AC117" s="77">
        <v>1E-8</v>
      </c>
      <c r="AD117" s="4"/>
    </row>
    <row r="118" spans="1:30" x14ac:dyDescent="0.35">
      <c r="A118" s="9" t="s">
        <v>677</v>
      </c>
      <c r="B118" s="44"/>
      <c r="C118" s="91" t="s">
        <v>575</v>
      </c>
      <c r="D118" s="79">
        <v>2.4853644407447981</v>
      </c>
      <c r="E118" s="80">
        <v>4.7547483326044304</v>
      </c>
      <c r="F118" s="79">
        <v>1E-8</v>
      </c>
      <c r="G118" s="79">
        <v>1E-8</v>
      </c>
      <c r="H118" s="79">
        <v>1E-8</v>
      </c>
      <c r="I118" s="79">
        <v>1E-8</v>
      </c>
      <c r="J118" s="79">
        <v>1E-8</v>
      </c>
      <c r="K118" s="79">
        <v>1E-8</v>
      </c>
      <c r="L118" s="79">
        <v>1E-8</v>
      </c>
      <c r="M118" s="79">
        <v>1E-8</v>
      </c>
      <c r="N118" s="4"/>
      <c r="O118" s="6"/>
      <c r="P118" s="4"/>
      <c r="Q118" s="9" t="s">
        <v>677</v>
      </c>
      <c r="R118" s="44"/>
      <c r="S118" s="91" t="s">
        <v>575</v>
      </c>
      <c r="T118" s="79">
        <v>0.52450447652636722</v>
      </c>
      <c r="U118" s="80">
        <v>-3.5390621418493029</v>
      </c>
      <c r="V118" s="79">
        <v>1E-8</v>
      </c>
      <c r="W118" s="79">
        <v>1E-8</v>
      </c>
      <c r="X118" s="79">
        <v>1E-8</v>
      </c>
      <c r="Y118" s="79">
        <v>1E-8</v>
      </c>
      <c r="Z118" s="79">
        <v>1E-8</v>
      </c>
      <c r="AA118" s="79">
        <v>1E-8</v>
      </c>
      <c r="AB118" s="79">
        <v>1E-8</v>
      </c>
      <c r="AC118" s="79">
        <v>1E-8</v>
      </c>
      <c r="AD118" s="4"/>
    </row>
    <row r="119" spans="1:30" x14ac:dyDescent="0.35">
      <c r="A119" s="9" t="s">
        <v>678</v>
      </c>
      <c r="B119" s="44"/>
      <c r="C119" s="91" t="s">
        <v>576</v>
      </c>
      <c r="D119" s="79">
        <v>0.10463806355024233</v>
      </c>
      <c r="E119" s="80">
        <v>3.7333949506676456</v>
      </c>
      <c r="F119" s="79">
        <v>1E-8</v>
      </c>
      <c r="G119" s="79">
        <v>1E-8</v>
      </c>
      <c r="H119" s="79">
        <v>1E-8</v>
      </c>
      <c r="I119" s="79">
        <v>1E-8</v>
      </c>
      <c r="J119" s="79">
        <v>1E-8</v>
      </c>
      <c r="K119" s="79">
        <v>1E-8</v>
      </c>
      <c r="L119" s="79">
        <v>1E-8</v>
      </c>
      <c r="M119" s="79">
        <v>1E-8</v>
      </c>
      <c r="N119" s="4"/>
      <c r="O119" s="6"/>
      <c r="P119" s="4"/>
      <c r="Q119" s="9" t="s">
        <v>678</v>
      </c>
      <c r="R119" s="44"/>
      <c r="S119" s="91" t="s">
        <v>576</v>
      </c>
      <c r="T119" s="79">
        <v>0.14274120477492594</v>
      </c>
      <c r="U119" s="80">
        <v>-3.5407587678286556</v>
      </c>
      <c r="V119" s="79">
        <v>1E-8</v>
      </c>
      <c r="W119" s="79">
        <v>1E-8</v>
      </c>
      <c r="X119" s="79">
        <v>1E-8</v>
      </c>
      <c r="Y119" s="79">
        <v>1E-8</v>
      </c>
      <c r="Z119" s="79">
        <v>1E-8</v>
      </c>
      <c r="AA119" s="79">
        <v>1E-8</v>
      </c>
      <c r="AB119" s="79">
        <v>1E-8</v>
      </c>
      <c r="AC119" s="79">
        <v>1E-8</v>
      </c>
      <c r="AD119" s="4"/>
    </row>
    <row r="120" spans="1:30" x14ac:dyDescent="0.35">
      <c r="A120" s="9" t="s">
        <v>679</v>
      </c>
      <c r="B120" s="44"/>
      <c r="C120" s="91" t="s">
        <v>577</v>
      </c>
      <c r="D120" s="79">
        <v>1E-8</v>
      </c>
      <c r="E120" s="80">
        <v>1E-8</v>
      </c>
      <c r="F120" s="79">
        <v>1E-8</v>
      </c>
      <c r="G120" s="79">
        <v>1E-8</v>
      </c>
      <c r="H120" s="79">
        <v>1E-8</v>
      </c>
      <c r="I120" s="79">
        <v>1E-8</v>
      </c>
      <c r="J120" s="79">
        <v>1E-8</v>
      </c>
      <c r="K120" s="79">
        <v>1E-8</v>
      </c>
      <c r="L120" s="79">
        <v>1E-8</v>
      </c>
      <c r="M120" s="79">
        <v>1E-8</v>
      </c>
      <c r="N120" s="4"/>
      <c r="O120" s="6"/>
      <c r="P120" s="4"/>
      <c r="Q120" s="9" t="s">
        <v>679</v>
      </c>
      <c r="R120" s="44"/>
      <c r="S120" s="91" t="s">
        <v>577</v>
      </c>
      <c r="T120" s="79">
        <v>1E-8</v>
      </c>
      <c r="U120" s="80">
        <v>1E-8</v>
      </c>
      <c r="V120" s="79">
        <v>1E-8</v>
      </c>
      <c r="W120" s="79">
        <v>1E-8</v>
      </c>
      <c r="X120" s="79">
        <v>1E-8</v>
      </c>
      <c r="Y120" s="79">
        <v>1E-8</v>
      </c>
      <c r="Z120" s="79">
        <v>1E-8</v>
      </c>
      <c r="AA120" s="79">
        <v>1E-8</v>
      </c>
      <c r="AB120" s="79">
        <v>1E-8</v>
      </c>
      <c r="AC120" s="79">
        <v>1E-8</v>
      </c>
      <c r="AD120" s="4"/>
    </row>
    <row r="121" spans="1:30" x14ac:dyDescent="0.35">
      <c r="A121" s="11" t="s">
        <v>195</v>
      </c>
      <c r="B121" s="44"/>
      <c r="C121" s="90" t="s">
        <v>578</v>
      </c>
      <c r="D121" s="77">
        <v>1E-8</v>
      </c>
      <c r="E121" s="78">
        <v>1E-8</v>
      </c>
      <c r="F121" s="77">
        <v>1E-8</v>
      </c>
      <c r="G121" s="77">
        <v>1E-8</v>
      </c>
      <c r="H121" s="77">
        <v>1E-8</v>
      </c>
      <c r="I121" s="77">
        <v>1E-8</v>
      </c>
      <c r="J121" s="77">
        <v>1E-8</v>
      </c>
      <c r="K121" s="77">
        <v>1E-8</v>
      </c>
      <c r="L121" s="77">
        <v>1E-8</v>
      </c>
      <c r="M121" s="77">
        <v>1E-8</v>
      </c>
      <c r="N121" s="4"/>
      <c r="O121" s="6"/>
      <c r="P121" s="4"/>
      <c r="Q121" s="11" t="s">
        <v>195</v>
      </c>
      <c r="R121" s="44"/>
      <c r="S121" s="90" t="s">
        <v>578</v>
      </c>
      <c r="T121" s="77">
        <v>1E-8</v>
      </c>
      <c r="U121" s="78">
        <v>1E-8</v>
      </c>
      <c r="V121" s="77">
        <v>1E-8</v>
      </c>
      <c r="W121" s="77">
        <v>1E-8</v>
      </c>
      <c r="X121" s="77">
        <v>1E-8</v>
      </c>
      <c r="Y121" s="77">
        <v>1E-8</v>
      </c>
      <c r="Z121" s="77">
        <v>1E-8</v>
      </c>
      <c r="AA121" s="77">
        <v>1E-8</v>
      </c>
      <c r="AB121" s="77">
        <v>1E-8</v>
      </c>
      <c r="AC121" s="77">
        <v>1E-8</v>
      </c>
      <c r="AD121" s="4"/>
    </row>
    <row r="122" spans="1:30" x14ac:dyDescent="0.35">
      <c r="A122" s="9" t="s">
        <v>680</v>
      </c>
      <c r="B122" s="44"/>
      <c r="C122" s="91" t="s">
        <v>579</v>
      </c>
      <c r="D122" s="79">
        <v>1E-8</v>
      </c>
      <c r="E122" s="80">
        <v>1E-8</v>
      </c>
      <c r="F122" s="79">
        <v>1E-8</v>
      </c>
      <c r="G122" s="79">
        <v>1E-8</v>
      </c>
      <c r="H122" s="79">
        <v>1E-8</v>
      </c>
      <c r="I122" s="79">
        <v>1E-8</v>
      </c>
      <c r="J122" s="79">
        <v>1E-8</v>
      </c>
      <c r="K122" s="79">
        <v>1E-8</v>
      </c>
      <c r="L122" s="79">
        <v>1E-8</v>
      </c>
      <c r="M122" s="79">
        <v>1E-8</v>
      </c>
      <c r="N122" s="4"/>
      <c r="O122" s="6"/>
      <c r="P122" s="4"/>
      <c r="Q122" s="9" t="s">
        <v>680</v>
      </c>
      <c r="R122" s="44"/>
      <c r="S122" s="91" t="s">
        <v>579</v>
      </c>
      <c r="T122" s="79">
        <v>1E-8</v>
      </c>
      <c r="U122" s="80">
        <v>1E-8</v>
      </c>
      <c r="V122" s="79">
        <v>1E-8</v>
      </c>
      <c r="W122" s="79">
        <v>1E-8</v>
      </c>
      <c r="X122" s="79">
        <v>1E-8</v>
      </c>
      <c r="Y122" s="79">
        <v>1E-8</v>
      </c>
      <c r="Z122" s="79">
        <v>1E-8</v>
      </c>
      <c r="AA122" s="79">
        <v>1E-8</v>
      </c>
      <c r="AB122" s="79">
        <v>1E-8</v>
      </c>
      <c r="AC122" s="79">
        <v>1E-8</v>
      </c>
      <c r="AD122" s="4"/>
    </row>
    <row r="123" spans="1:30" x14ac:dyDescent="0.35">
      <c r="A123" s="9" t="s">
        <v>681</v>
      </c>
      <c r="B123" s="44"/>
      <c r="C123" s="91" t="s">
        <v>357</v>
      </c>
      <c r="D123" s="79">
        <v>1E-8</v>
      </c>
      <c r="E123" s="80">
        <v>1E-8</v>
      </c>
      <c r="F123" s="79">
        <v>1E-8</v>
      </c>
      <c r="G123" s="79">
        <v>1E-8</v>
      </c>
      <c r="H123" s="79">
        <v>1E-8</v>
      </c>
      <c r="I123" s="79">
        <v>1E-8</v>
      </c>
      <c r="J123" s="79">
        <v>1E-8</v>
      </c>
      <c r="K123" s="79">
        <v>1E-8</v>
      </c>
      <c r="L123" s="79">
        <v>1E-8</v>
      </c>
      <c r="M123" s="79">
        <v>1E-8</v>
      </c>
      <c r="N123" s="4"/>
      <c r="O123" s="6"/>
      <c r="P123" s="4"/>
      <c r="Q123" s="9" t="s">
        <v>681</v>
      </c>
      <c r="R123" s="44"/>
      <c r="S123" s="91" t="s">
        <v>357</v>
      </c>
      <c r="T123" s="79">
        <v>1E-8</v>
      </c>
      <c r="U123" s="80">
        <v>1E-8</v>
      </c>
      <c r="V123" s="79">
        <v>1E-8</v>
      </c>
      <c r="W123" s="79">
        <v>1E-8</v>
      </c>
      <c r="X123" s="79">
        <v>1E-8</v>
      </c>
      <c r="Y123" s="79">
        <v>1E-8</v>
      </c>
      <c r="Z123" s="79">
        <v>1E-8</v>
      </c>
      <c r="AA123" s="79">
        <v>1E-8</v>
      </c>
      <c r="AB123" s="79">
        <v>1E-8</v>
      </c>
      <c r="AC123" s="79">
        <v>1E-8</v>
      </c>
      <c r="AD123" s="4"/>
    </row>
    <row r="124" spans="1:30" x14ac:dyDescent="0.35">
      <c r="A124" s="11" t="s">
        <v>196</v>
      </c>
      <c r="B124" s="44"/>
      <c r="C124" s="90" t="s">
        <v>580</v>
      </c>
      <c r="D124" s="77">
        <v>4.483242316388834</v>
      </c>
      <c r="E124" s="78">
        <v>3.7783634356447715</v>
      </c>
      <c r="F124" s="77">
        <v>1E-8</v>
      </c>
      <c r="G124" s="77">
        <v>1E-8</v>
      </c>
      <c r="H124" s="77">
        <v>1E-8</v>
      </c>
      <c r="I124" s="77">
        <v>1E-8</v>
      </c>
      <c r="J124" s="77">
        <v>1E-8</v>
      </c>
      <c r="K124" s="77">
        <v>1E-8</v>
      </c>
      <c r="L124" s="77">
        <v>1E-8</v>
      </c>
      <c r="M124" s="77">
        <v>1E-8</v>
      </c>
      <c r="N124" s="4"/>
      <c r="O124" s="6"/>
      <c r="P124" s="4"/>
      <c r="Q124" s="11" t="s">
        <v>196</v>
      </c>
      <c r="R124" s="44"/>
      <c r="S124" s="90" t="s">
        <v>580</v>
      </c>
      <c r="T124" s="77">
        <v>3.7564623124393051</v>
      </c>
      <c r="U124" s="78">
        <v>-2.5900060807556469</v>
      </c>
      <c r="V124" s="77">
        <v>1E-8</v>
      </c>
      <c r="W124" s="77">
        <v>1E-8</v>
      </c>
      <c r="X124" s="77">
        <v>1E-8</v>
      </c>
      <c r="Y124" s="77">
        <v>1E-8</v>
      </c>
      <c r="Z124" s="77">
        <v>1E-8</v>
      </c>
      <c r="AA124" s="77">
        <v>1E-8</v>
      </c>
      <c r="AB124" s="77">
        <v>1E-8</v>
      </c>
      <c r="AC124" s="77">
        <v>1E-8</v>
      </c>
      <c r="AD124" s="4"/>
    </row>
    <row r="125" spans="1:30" x14ac:dyDescent="0.35">
      <c r="A125" s="9" t="s">
        <v>682</v>
      </c>
      <c r="B125" s="44"/>
      <c r="C125" s="91" t="s">
        <v>581</v>
      </c>
      <c r="D125" s="79">
        <v>1E-8</v>
      </c>
      <c r="E125" s="80">
        <v>1E-8</v>
      </c>
      <c r="F125" s="79">
        <v>1E-8</v>
      </c>
      <c r="G125" s="79">
        <v>1E-8</v>
      </c>
      <c r="H125" s="79">
        <v>1E-8</v>
      </c>
      <c r="I125" s="79">
        <v>1E-8</v>
      </c>
      <c r="J125" s="79">
        <v>1E-8</v>
      </c>
      <c r="K125" s="79">
        <v>1E-8</v>
      </c>
      <c r="L125" s="79">
        <v>1E-8</v>
      </c>
      <c r="M125" s="79">
        <v>1E-8</v>
      </c>
      <c r="N125" s="4"/>
      <c r="O125" s="6"/>
      <c r="P125" s="4"/>
      <c r="Q125" s="9" t="s">
        <v>682</v>
      </c>
      <c r="R125" s="44"/>
      <c r="S125" s="91" t="s">
        <v>581</v>
      </c>
      <c r="T125" s="79">
        <v>1E-8</v>
      </c>
      <c r="U125" s="80">
        <v>1E-8</v>
      </c>
      <c r="V125" s="79">
        <v>1E-8</v>
      </c>
      <c r="W125" s="79">
        <v>1E-8</v>
      </c>
      <c r="X125" s="79">
        <v>1E-8</v>
      </c>
      <c r="Y125" s="79">
        <v>1E-8</v>
      </c>
      <c r="Z125" s="79">
        <v>1E-8</v>
      </c>
      <c r="AA125" s="79">
        <v>1E-8</v>
      </c>
      <c r="AB125" s="79">
        <v>1E-8</v>
      </c>
      <c r="AC125" s="79">
        <v>1E-8</v>
      </c>
      <c r="AD125" s="4"/>
    </row>
    <row r="126" spans="1:30" x14ac:dyDescent="0.35">
      <c r="A126" s="9" t="s">
        <v>683</v>
      </c>
      <c r="B126" s="44"/>
      <c r="C126" s="91" t="s">
        <v>582</v>
      </c>
      <c r="D126" s="79">
        <v>1E-8</v>
      </c>
      <c r="E126" s="80">
        <v>1E-8</v>
      </c>
      <c r="F126" s="79">
        <v>1E-8</v>
      </c>
      <c r="G126" s="79">
        <v>1E-8</v>
      </c>
      <c r="H126" s="79">
        <v>1E-8</v>
      </c>
      <c r="I126" s="79">
        <v>1E-8</v>
      </c>
      <c r="J126" s="79">
        <v>1E-8</v>
      </c>
      <c r="K126" s="79">
        <v>1E-8</v>
      </c>
      <c r="L126" s="79">
        <v>1E-8</v>
      </c>
      <c r="M126" s="79">
        <v>1E-8</v>
      </c>
      <c r="N126" s="4"/>
      <c r="O126" s="6"/>
      <c r="P126" s="4"/>
      <c r="Q126" s="9" t="s">
        <v>683</v>
      </c>
      <c r="R126" s="44"/>
      <c r="S126" s="91" t="s">
        <v>582</v>
      </c>
      <c r="T126" s="79">
        <v>1.3135202291619699</v>
      </c>
      <c r="U126" s="80">
        <v>-3.5224277641383028</v>
      </c>
      <c r="V126" s="79">
        <v>1E-8</v>
      </c>
      <c r="W126" s="79">
        <v>1E-8</v>
      </c>
      <c r="X126" s="79">
        <v>1E-8</v>
      </c>
      <c r="Y126" s="79">
        <v>1E-8</v>
      </c>
      <c r="Z126" s="79">
        <v>1E-8</v>
      </c>
      <c r="AA126" s="79">
        <v>1E-8</v>
      </c>
      <c r="AB126" s="79">
        <v>1E-8</v>
      </c>
      <c r="AC126" s="79">
        <v>1E-8</v>
      </c>
      <c r="AD126" s="4"/>
    </row>
    <row r="127" spans="1:30" x14ac:dyDescent="0.35">
      <c r="A127" s="9" t="s">
        <v>684</v>
      </c>
      <c r="B127" s="44"/>
      <c r="C127" s="91" t="s">
        <v>583</v>
      </c>
      <c r="D127" s="79">
        <v>1.6487122649407413</v>
      </c>
      <c r="E127" s="80">
        <v>3.9334643447259676</v>
      </c>
      <c r="F127" s="79">
        <v>1E-8</v>
      </c>
      <c r="G127" s="79">
        <v>1E-8</v>
      </c>
      <c r="H127" s="79">
        <v>1E-8</v>
      </c>
      <c r="I127" s="79">
        <v>1E-8</v>
      </c>
      <c r="J127" s="79">
        <v>1E-8</v>
      </c>
      <c r="K127" s="79">
        <v>1E-8</v>
      </c>
      <c r="L127" s="79">
        <v>1E-8</v>
      </c>
      <c r="M127" s="79">
        <v>1E-8</v>
      </c>
      <c r="N127" s="4"/>
      <c r="O127" s="6"/>
      <c r="P127" s="4"/>
      <c r="Q127" s="9" t="s">
        <v>684</v>
      </c>
      <c r="R127" s="44"/>
      <c r="S127" s="91" t="s">
        <v>583</v>
      </c>
      <c r="T127" s="79">
        <v>2.100125287755473</v>
      </c>
      <c r="U127" s="80">
        <v>-1.9624589831279238</v>
      </c>
      <c r="V127" s="79">
        <v>1E-8</v>
      </c>
      <c r="W127" s="79">
        <v>1E-8</v>
      </c>
      <c r="X127" s="79">
        <v>1E-8</v>
      </c>
      <c r="Y127" s="79">
        <v>1E-8</v>
      </c>
      <c r="Z127" s="79">
        <v>1E-8</v>
      </c>
      <c r="AA127" s="79">
        <v>1E-8</v>
      </c>
      <c r="AB127" s="79">
        <v>1E-8</v>
      </c>
      <c r="AC127" s="79">
        <v>1E-8</v>
      </c>
      <c r="AD127" s="4"/>
    </row>
    <row r="128" spans="1:30" x14ac:dyDescent="0.35">
      <c r="A128" s="9" t="s">
        <v>685</v>
      </c>
      <c r="B128" s="44"/>
      <c r="C128" s="91" t="s">
        <v>584</v>
      </c>
      <c r="D128" s="79">
        <v>1E-8</v>
      </c>
      <c r="E128" s="80">
        <v>1E-8</v>
      </c>
      <c r="F128" s="79">
        <v>1E-8</v>
      </c>
      <c r="G128" s="79">
        <v>1E-8</v>
      </c>
      <c r="H128" s="79">
        <v>1E-8</v>
      </c>
      <c r="I128" s="79">
        <v>1E-8</v>
      </c>
      <c r="J128" s="79">
        <v>1E-8</v>
      </c>
      <c r="K128" s="79">
        <v>1E-8</v>
      </c>
      <c r="L128" s="79">
        <v>1E-8</v>
      </c>
      <c r="M128" s="79">
        <v>1E-8</v>
      </c>
      <c r="N128" s="4"/>
      <c r="O128" s="6"/>
      <c r="P128" s="4"/>
      <c r="Q128" s="9" t="s">
        <v>685</v>
      </c>
      <c r="R128" s="44"/>
      <c r="S128" s="91" t="s">
        <v>584</v>
      </c>
      <c r="T128" s="79">
        <v>1E-8</v>
      </c>
      <c r="U128" s="80">
        <v>1E-8</v>
      </c>
      <c r="V128" s="79">
        <v>1E-8</v>
      </c>
      <c r="W128" s="79">
        <v>1E-8</v>
      </c>
      <c r="X128" s="79">
        <v>1E-8</v>
      </c>
      <c r="Y128" s="79">
        <v>1E-8</v>
      </c>
      <c r="Z128" s="79">
        <v>1E-8</v>
      </c>
      <c r="AA128" s="79">
        <v>1E-8</v>
      </c>
      <c r="AB128" s="79">
        <v>1E-8</v>
      </c>
      <c r="AC128" s="79">
        <v>1E-8</v>
      </c>
      <c r="AD128" s="4"/>
    </row>
    <row r="129" spans="1:30" x14ac:dyDescent="0.35">
      <c r="A129" s="9" t="s">
        <v>686</v>
      </c>
      <c r="B129" s="44"/>
      <c r="C129" s="91" t="s">
        <v>585</v>
      </c>
      <c r="D129" s="81">
        <v>2.8345300514480916</v>
      </c>
      <c r="E129" s="82">
        <v>3.6881485617629828</v>
      </c>
      <c r="F129" s="81">
        <v>1E-8</v>
      </c>
      <c r="G129" s="81">
        <v>1E-8</v>
      </c>
      <c r="H129" s="81">
        <v>1E-8</v>
      </c>
      <c r="I129" s="81">
        <v>1E-8</v>
      </c>
      <c r="J129" s="81">
        <v>1E-8</v>
      </c>
      <c r="K129" s="81">
        <v>1E-8</v>
      </c>
      <c r="L129" s="81">
        <v>1E-8</v>
      </c>
      <c r="M129" s="81">
        <v>1E-8</v>
      </c>
      <c r="N129" s="4"/>
      <c r="O129" s="6"/>
      <c r="P129" s="4"/>
      <c r="Q129" s="9" t="s">
        <v>686</v>
      </c>
      <c r="R129" s="44"/>
      <c r="S129" s="91" t="s">
        <v>585</v>
      </c>
      <c r="T129" s="81">
        <v>0.34281679552186195</v>
      </c>
      <c r="U129" s="82">
        <v>-2.8616485616768772</v>
      </c>
      <c r="V129" s="81">
        <v>1E-8</v>
      </c>
      <c r="W129" s="81">
        <v>1E-8</v>
      </c>
      <c r="X129" s="81">
        <v>1E-8</v>
      </c>
      <c r="Y129" s="81">
        <v>1E-8</v>
      </c>
      <c r="Z129" s="81">
        <v>1E-8</v>
      </c>
      <c r="AA129" s="81">
        <v>1E-8</v>
      </c>
      <c r="AB129" s="81">
        <v>1E-8</v>
      </c>
      <c r="AC129" s="81">
        <v>1E-8</v>
      </c>
      <c r="AD129" s="4"/>
    </row>
    <row r="130" spans="1:30" x14ac:dyDescent="0.35">
      <c r="A130" s="11" t="s">
        <v>687</v>
      </c>
      <c r="B130" s="44"/>
      <c r="C130" s="90" t="s">
        <v>358</v>
      </c>
      <c r="D130" s="77">
        <v>15.753954747365551</v>
      </c>
      <c r="E130" s="78">
        <v>3.5568697662032411</v>
      </c>
      <c r="F130" s="77">
        <v>1E-8</v>
      </c>
      <c r="G130" s="77">
        <v>1E-8</v>
      </c>
      <c r="H130" s="77">
        <v>1E-8</v>
      </c>
      <c r="I130" s="77">
        <v>1E-8</v>
      </c>
      <c r="J130" s="77">
        <v>1E-8</v>
      </c>
      <c r="K130" s="77">
        <v>1E-8</v>
      </c>
      <c r="L130" s="77">
        <v>1E-8</v>
      </c>
      <c r="M130" s="77">
        <v>1E-8</v>
      </c>
      <c r="N130" s="4"/>
      <c r="O130" s="6"/>
      <c r="P130" s="4"/>
      <c r="Q130" s="11" t="s">
        <v>687</v>
      </c>
      <c r="R130" s="44"/>
      <c r="S130" s="90" t="s">
        <v>358</v>
      </c>
      <c r="T130" s="77">
        <v>1E-8</v>
      </c>
      <c r="U130" s="78">
        <v>1E-8</v>
      </c>
      <c r="V130" s="77">
        <v>1E-8</v>
      </c>
      <c r="W130" s="77">
        <v>1E-8</v>
      </c>
      <c r="X130" s="77">
        <v>1E-8</v>
      </c>
      <c r="Y130" s="77">
        <v>1E-8</v>
      </c>
      <c r="Z130" s="77">
        <v>1E-8</v>
      </c>
      <c r="AA130" s="77">
        <v>1E-8</v>
      </c>
      <c r="AB130" s="77">
        <v>1E-8</v>
      </c>
      <c r="AC130" s="77">
        <v>1E-8</v>
      </c>
      <c r="AD130" s="4"/>
    </row>
    <row r="131" spans="1:30" x14ac:dyDescent="0.35">
      <c r="A131" s="11" t="s">
        <v>688</v>
      </c>
      <c r="B131" s="44"/>
      <c r="C131" s="90" t="s">
        <v>359</v>
      </c>
      <c r="D131" s="77">
        <v>1E-8</v>
      </c>
      <c r="E131" s="78">
        <v>1E-8</v>
      </c>
      <c r="F131" s="77">
        <v>1E-8</v>
      </c>
      <c r="G131" s="77">
        <v>1E-8</v>
      </c>
      <c r="H131" s="77">
        <v>1E-8</v>
      </c>
      <c r="I131" s="77">
        <v>1E-8</v>
      </c>
      <c r="J131" s="77">
        <v>1E-8</v>
      </c>
      <c r="K131" s="77">
        <v>1E-8</v>
      </c>
      <c r="L131" s="77">
        <v>1E-8</v>
      </c>
      <c r="M131" s="77">
        <v>1E-8</v>
      </c>
      <c r="N131" s="4"/>
      <c r="O131" s="6"/>
      <c r="P131" s="4"/>
      <c r="Q131" s="11" t="s">
        <v>688</v>
      </c>
      <c r="R131" s="44"/>
      <c r="S131" s="90" t="s">
        <v>359</v>
      </c>
      <c r="T131" s="77">
        <v>1E-8</v>
      </c>
      <c r="U131" s="78">
        <v>1E-8</v>
      </c>
      <c r="V131" s="77">
        <v>1E-8</v>
      </c>
      <c r="W131" s="77">
        <v>1E-8</v>
      </c>
      <c r="X131" s="77">
        <v>1E-8</v>
      </c>
      <c r="Y131" s="77">
        <v>1E-8</v>
      </c>
      <c r="Z131" s="77">
        <v>1E-8</v>
      </c>
      <c r="AA131" s="77">
        <v>1E-8</v>
      </c>
      <c r="AB131" s="77">
        <v>1E-8</v>
      </c>
      <c r="AC131" s="77">
        <v>1E-8</v>
      </c>
      <c r="AD131" s="4"/>
    </row>
    <row r="132" spans="1:30" x14ac:dyDescent="0.35">
      <c r="A132" s="11" t="s">
        <v>689</v>
      </c>
      <c r="B132" s="44"/>
      <c r="C132" s="90" t="s">
        <v>360</v>
      </c>
      <c r="D132" s="77">
        <v>1E-8</v>
      </c>
      <c r="E132" s="78">
        <v>1E-8</v>
      </c>
      <c r="F132" s="77">
        <v>1E-8</v>
      </c>
      <c r="G132" s="77">
        <v>1E-8</v>
      </c>
      <c r="H132" s="77">
        <v>1E-8</v>
      </c>
      <c r="I132" s="77">
        <v>1E-8</v>
      </c>
      <c r="J132" s="77">
        <v>1E-8</v>
      </c>
      <c r="K132" s="77">
        <v>1E-8</v>
      </c>
      <c r="L132" s="77">
        <v>1E-8</v>
      </c>
      <c r="M132" s="77">
        <v>1E-8</v>
      </c>
      <c r="N132" s="4"/>
      <c r="O132" s="6"/>
      <c r="P132" s="4"/>
      <c r="Q132" s="11" t="s">
        <v>689</v>
      </c>
      <c r="R132" s="44"/>
      <c r="S132" s="90" t="s">
        <v>360</v>
      </c>
      <c r="T132" s="77">
        <v>1E-8</v>
      </c>
      <c r="U132" s="78">
        <v>1E-8</v>
      </c>
      <c r="V132" s="77">
        <v>1E-8</v>
      </c>
      <c r="W132" s="77">
        <v>1E-8</v>
      </c>
      <c r="X132" s="77">
        <v>1E-8</v>
      </c>
      <c r="Y132" s="77">
        <v>1E-8</v>
      </c>
      <c r="Z132" s="77">
        <v>1E-8</v>
      </c>
      <c r="AA132" s="77">
        <v>1E-8</v>
      </c>
      <c r="AB132" s="77">
        <v>1E-8</v>
      </c>
      <c r="AC132" s="77">
        <v>1E-8</v>
      </c>
      <c r="AD132" s="4"/>
    </row>
    <row r="133" spans="1:30" x14ac:dyDescent="0.35">
      <c r="A133" s="11" t="s">
        <v>205</v>
      </c>
      <c r="B133" s="44"/>
      <c r="C133" s="90" t="s">
        <v>586</v>
      </c>
      <c r="D133" s="77">
        <v>1E-8</v>
      </c>
      <c r="E133" s="78">
        <v>1E-8</v>
      </c>
      <c r="F133" s="77">
        <v>1E-8</v>
      </c>
      <c r="G133" s="77">
        <v>1E-8</v>
      </c>
      <c r="H133" s="77">
        <v>1E-8</v>
      </c>
      <c r="I133" s="77">
        <v>1E-8</v>
      </c>
      <c r="J133" s="77">
        <v>1E-8</v>
      </c>
      <c r="K133" s="77">
        <v>1E-8</v>
      </c>
      <c r="L133" s="77">
        <v>1E-8</v>
      </c>
      <c r="M133" s="77">
        <v>1E-8</v>
      </c>
      <c r="N133" s="4"/>
      <c r="O133" s="6"/>
      <c r="P133" s="4"/>
      <c r="Q133" s="11" t="s">
        <v>205</v>
      </c>
      <c r="R133" s="44"/>
      <c r="S133" s="90" t="s">
        <v>586</v>
      </c>
      <c r="T133" s="77">
        <v>7.1997326073799179</v>
      </c>
      <c r="U133" s="78">
        <v>-0.31963697902098742</v>
      </c>
      <c r="V133" s="77">
        <v>1E-8</v>
      </c>
      <c r="W133" s="77">
        <v>1E-8</v>
      </c>
      <c r="X133" s="77">
        <v>1E-8</v>
      </c>
      <c r="Y133" s="77">
        <v>1E-8</v>
      </c>
      <c r="Z133" s="77">
        <v>1E-8</v>
      </c>
      <c r="AA133" s="77">
        <v>1E-8</v>
      </c>
      <c r="AB133" s="77">
        <v>1E-8</v>
      </c>
      <c r="AC133" s="77">
        <v>1E-8</v>
      </c>
      <c r="AD133" s="4"/>
    </row>
    <row r="134" spans="1:30" x14ac:dyDescent="0.35">
      <c r="A134" s="9" t="s">
        <v>690</v>
      </c>
      <c r="B134" s="44"/>
      <c r="C134" s="91" t="s">
        <v>587</v>
      </c>
      <c r="D134" s="79">
        <v>1E-8</v>
      </c>
      <c r="E134" s="80">
        <v>1E-8</v>
      </c>
      <c r="F134" s="79">
        <v>1E-8</v>
      </c>
      <c r="G134" s="79">
        <v>1E-8</v>
      </c>
      <c r="H134" s="79">
        <v>1E-8</v>
      </c>
      <c r="I134" s="79">
        <v>1E-8</v>
      </c>
      <c r="J134" s="79">
        <v>1E-8</v>
      </c>
      <c r="K134" s="79">
        <v>1E-8</v>
      </c>
      <c r="L134" s="79">
        <v>1E-8</v>
      </c>
      <c r="M134" s="79">
        <v>1E-8</v>
      </c>
      <c r="N134" s="4"/>
      <c r="O134" s="6"/>
      <c r="P134" s="4"/>
      <c r="Q134" s="9" t="s">
        <v>690</v>
      </c>
      <c r="R134" s="44"/>
      <c r="S134" s="91" t="s">
        <v>587</v>
      </c>
      <c r="T134" s="79">
        <v>1E-8</v>
      </c>
      <c r="U134" s="80">
        <v>1E-8</v>
      </c>
      <c r="V134" s="79">
        <v>1E-8</v>
      </c>
      <c r="W134" s="79">
        <v>1E-8</v>
      </c>
      <c r="X134" s="79">
        <v>1E-8</v>
      </c>
      <c r="Y134" s="79">
        <v>1E-8</v>
      </c>
      <c r="Z134" s="79">
        <v>1E-8</v>
      </c>
      <c r="AA134" s="79">
        <v>1E-8</v>
      </c>
      <c r="AB134" s="79">
        <v>1E-8</v>
      </c>
      <c r="AC134" s="79">
        <v>1E-8</v>
      </c>
      <c r="AD134" s="4"/>
    </row>
    <row r="135" spans="1:30" x14ac:dyDescent="0.35">
      <c r="A135" s="9" t="s">
        <v>691</v>
      </c>
      <c r="B135" s="44"/>
      <c r="C135" s="91" t="s">
        <v>588</v>
      </c>
      <c r="D135" s="79">
        <v>1E-8</v>
      </c>
      <c r="E135" s="80">
        <v>1E-8</v>
      </c>
      <c r="F135" s="79">
        <v>1E-8</v>
      </c>
      <c r="G135" s="79">
        <v>1E-8</v>
      </c>
      <c r="H135" s="79">
        <v>1E-8</v>
      </c>
      <c r="I135" s="79">
        <v>1E-8</v>
      </c>
      <c r="J135" s="79">
        <v>1E-8</v>
      </c>
      <c r="K135" s="79">
        <v>1E-8</v>
      </c>
      <c r="L135" s="79">
        <v>1E-8</v>
      </c>
      <c r="M135" s="79">
        <v>1E-8</v>
      </c>
      <c r="N135" s="4"/>
      <c r="O135" s="6"/>
      <c r="P135" s="4"/>
      <c r="Q135" s="9" t="s">
        <v>691</v>
      </c>
      <c r="R135" s="44"/>
      <c r="S135" s="91" t="s">
        <v>588</v>
      </c>
      <c r="T135" s="79">
        <v>1E-8</v>
      </c>
      <c r="U135" s="80">
        <v>1E-8</v>
      </c>
      <c r="V135" s="79">
        <v>1E-8</v>
      </c>
      <c r="W135" s="79">
        <v>1E-8</v>
      </c>
      <c r="X135" s="79">
        <v>1E-8</v>
      </c>
      <c r="Y135" s="79">
        <v>1E-8</v>
      </c>
      <c r="Z135" s="79">
        <v>1E-8</v>
      </c>
      <c r="AA135" s="79">
        <v>1E-8</v>
      </c>
      <c r="AB135" s="79">
        <v>1E-8</v>
      </c>
      <c r="AC135" s="79">
        <v>1E-8</v>
      </c>
      <c r="AD135" s="4"/>
    </row>
    <row r="136" spans="1:30" x14ac:dyDescent="0.35">
      <c r="A136" s="9" t="s">
        <v>692</v>
      </c>
      <c r="B136" s="44"/>
      <c r="C136" s="91" t="s">
        <v>589</v>
      </c>
      <c r="D136" s="79">
        <v>1E-8</v>
      </c>
      <c r="E136" s="80">
        <v>1E-8</v>
      </c>
      <c r="F136" s="79">
        <v>1E-8</v>
      </c>
      <c r="G136" s="79">
        <v>1E-8</v>
      </c>
      <c r="H136" s="79">
        <v>1E-8</v>
      </c>
      <c r="I136" s="79">
        <v>1E-8</v>
      </c>
      <c r="J136" s="79">
        <v>1E-8</v>
      </c>
      <c r="K136" s="79">
        <v>1E-8</v>
      </c>
      <c r="L136" s="79">
        <v>1E-8</v>
      </c>
      <c r="M136" s="79">
        <v>1E-8</v>
      </c>
      <c r="N136" s="4"/>
      <c r="O136" s="6"/>
      <c r="P136" s="4"/>
      <c r="Q136" s="9" t="s">
        <v>692</v>
      </c>
      <c r="R136" s="44"/>
      <c r="S136" s="91" t="s">
        <v>589</v>
      </c>
      <c r="T136" s="79">
        <v>1E-8</v>
      </c>
      <c r="U136" s="80">
        <v>1E-8</v>
      </c>
      <c r="V136" s="79">
        <v>1E-8</v>
      </c>
      <c r="W136" s="79">
        <v>1E-8</v>
      </c>
      <c r="X136" s="79">
        <v>1E-8</v>
      </c>
      <c r="Y136" s="79">
        <v>1E-8</v>
      </c>
      <c r="Z136" s="79">
        <v>1E-8</v>
      </c>
      <c r="AA136" s="79">
        <v>1E-8</v>
      </c>
      <c r="AB136" s="79">
        <v>1E-8</v>
      </c>
      <c r="AC136" s="79">
        <v>1E-8</v>
      </c>
      <c r="AD136" s="4"/>
    </row>
    <row r="137" spans="1:30" x14ac:dyDescent="0.35">
      <c r="A137" s="9" t="s">
        <v>693</v>
      </c>
      <c r="B137" s="44"/>
      <c r="C137" s="91" t="s">
        <v>361</v>
      </c>
      <c r="D137" s="79">
        <v>1E-8</v>
      </c>
      <c r="E137" s="80">
        <v>1E-8</v>
      </c>
      <c r="F137" s="79">
        <v>1E-8</v>
      </c>
      <c r="G137" s="79">
        <v>1E-8</v>
      </c>
      <c r="H137" s="79">
        <v>1E-8</v>
      </c>
      <c r="I137" s="79">
        <v>1E-8</v>
      </c>
      <c r="J137" s="79">
        <v>1E-8</v>
      </c>
      <c r="K137" s="79">
        <v>1E-8</v>
      </c>
      <c r="L137" s="79">
        <v>1E-8</v>
      </c>
      <c r="M137" s="79">
        <v>1E-8</v>
      </c>
      <c r="N137" s="4"/>
      <c r="O137" s="6"/>
      <c r="P137" s="4"/>
      <c r="Q137" s="9" t="s">
        <v>693</v>
      </c>
      <c r="R137" s="44"/>
      <c r="S137" s="91" t="s">
        <v>361</v>
      </c>
      <c r="T137" s="79">
        <v>1E-8</v>
      </c>
      <c r="U137" s="80">
        <v>1E-8</v>
      </c>
      <c r="V137" s="79">
        <v>1E-8</v>
      </c>
      <c r="W137" s="79">
        <v>1E-8</v>
      </c>
      <c r="X137" s="79">
        <v>1E-8</v>
      </c>
      <c r="Y137" s="79">
        <v>1E-8</v>
      </c>
      <c r="Z137" s="79">
        <v>1E-8</v>
      </c>
      <c r="AA137" s="79">
        <v>1E-8</v>
      </c>
      <c r="AB137" s="79">
        <v>1E-8</v>
      </c>
      <c r="AC137" s="79">
        <v>1E-8</v>
      </c>
      <c r="AD137" s="4"/>
    </row>
    <row r="138" spans="1:30" x14ac:dyDescent="0.35">
      <c r="A138" s="9" t="s">
        <v>694</v>
      </c>
      <c r="B138" s="44"/>
      <c r="C138" s="91" t="s">
        <v>590</v>
      </c>
      <c r="D138" s="79">
        <v>1E-8</v>
      </c>
      <c r="E138" s="80">
        <v>1E-8</v>
      </c>
      <c r="F138" s="79">
        <v>1E-8</v>
      </c>
      <c r="G138" s="79">
        <v>1E-8</v>
      </c>
      <c r="H138" s="79">
        <v>1E-8</v>
      </c>
      <c r="I138" s="79">
        <v>1E-8</v>
      </c>
      <c r="J138" s="79">
        <v>1E-8</v>
      </c>
      <c r="K138" s="79">
        <v>1E-8</v>
      </c>
      <c r="L138" s="79">
        <v>1E-8</v>
      </c>
      <c r="M138" s="79">
        <v>1E-8</v>
      </c>
      <c r="N138" s="4"/>
      <c r="O138" s="6"/>
      <c r="P138" s="4"/>
      <c r="Q138" s="9" t="s">
        <v>694</v>
      </c>
      <c r="R138" s="44"/>
      <c r="S138" s="91" t="s">
        <v>590</v>
      </c>
      <c r="T138" s="79">
        <v>1E-8</v>
      </c>
      <c r="U138" s="80">
        <v>1E-8</v>
      </c>
      <c r="V138" s="79">
        <v>1E-8</v>
      </c>
      <c r="W138" s="79">
        <v>1E-8</v>
      </c>
      <c r="X138" s="79">
        <v>1E-8</v>
      </c>
      <c r="Y138" s="79">
        <v>1E-8</v>
      </c>
      <c r="Z138" s="79">
        <v>1E-8</v>
      </c>
      <c r="AA138" s="79">
        <v>1E-8</v>
      </c>
      <c r="AB138" s="79">
        <v>1E-8</v>
      </c>
      <c r="AC138" s="79">
        <v>1E-8</v>
      </c>
      <c r="AD138" s="4"/>
    </row>
    <row r="139" spans="1:30" x14ac:dyDescent="0.35">
      <c r="A139" s="9" t="s">
        <v>695</v>
      </c>
      <c r="B139" s="44"/>
      <c r="C139" s="91" t="s">
        <v>591</v>
      </c>
      <c r="D139" s="79">
        <v>1E-8</v>
      </c>
      <c r="E139" s="80">
        <v>1E-8</v>
      </c>
      <c r="F139" s="79">
        <v>1E-8</v>
      </c>
      <c r="G139" s="79">
        <v>1E-8</v>
      </c>
      <c r="H139" s="79">
        <v>1E-8</v>
      </c>
      <c r="I139" s="79">
        <v>1E-8</v>
      </c>
      <c r="J139" s="79">
        <v>1E-8</v>
      </c>
      <c r="K139" s="79">
        <v>1E-8</v>
      </c>
      <c r="L139" s="79">
        <v>1E-8</v>
      </c>
      <c r="M139" s="79">
        <v>1E-8</v>
      </c>
      <c r="N139" s="4"/>
      <c r="O139" s="6"/>
      <c r="P139" s="4"/>
      <c r="Q139" s="9" t="s">
        <v>695</v>
      </c>
      <c r="R139" s="44"/>
      <c r="S139" s="91" t="s">
        <v>591</v>
      </c>
      <c r="T139" s="79">
        <v>7.1997326073799179</v>
      </c>
      <c r="U139" s="80">
        <v>-0.31963697902098742</v>
      </c>
      <c r="V139" s="79">
        <v>1E-8</v>
      </c>
      <c r="W139" s="79">
        <v>1E-8</v>
      </c>
      <c r="X139" s="79">
        <v>1E-8</v>
      </c>
      <c r="Y139" s="79">
        <v>1E-8</v>
      </c>
      <c r="Z139" s="79">
        <v>1E-8</v>
      </c>
      <c r="AA139" s="79">
        <v>1E-8</v>
      </c>
      <c r="AB139" s="79">
        <v>1E-8</v>
      </c>
      <c r="AC139" s="79">
        <v>1E-8</v>
      </c>
      <c r="AD139" s="4"/>
    </row>
    <row r="140" spans="1:30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</sheetData>
  <sheetProtection sheet="1" objects="1" scenarios="1"/>
  <conditionalFormatting sqref="D6:M139">
    <cfRule type="cellIs" dxfId="42" priority="2" operator="equal">
      <formula>0.00000001</formula>
    </cfRule>
  </conditionalFormatting>
  <conditionalFormatting sqref="T6:AC139">
    <cfRule type="cellIs" dxfId="41" priority="1" operator="equal">
      <formula>0.00000001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CK140"/>
  <sheetViews>
    <sheetView topLeftCell="BS1" zoomScale="130" zoomScaleNormal="130" workbookViewId="0">
      <selection activeCell="CE13" sqref="CE13"/>
    </sheetView>
  </sheetViews>
  <sheetFormatPr defaultColWidth="0" defaultRowHeight="14.5" zeroHeight="1" x14ac:dyDescent="0.35"/>
  <cols>
    <col min="1" max="1" width="27" customWidth="1"/>
    <col min="2" max="3" width="0.453125" customWidth="1"/>
    <col min="4" max="13" width="8.81640625" customWidth="1"/>
    <col min="14" max="16" width="1" customWidth="1"/>
    <col min="17" max="17" width="27" customWidth="1"/>
    <col min="18" max="18" width="0.453125" customWidth="1"/>
    <col min="19" max="28" width="8.81640625" customWidth="1"/>
    <col min="29" max="31" width="1" customWidth="1"/>
    <col min="32" max="32" width="27" customWidth="1"/>
    <col min="33" max="33" width="0.453125" customWidth="1"/>
    <col min="34" max="43" width="8.81640625" customWidth="1"/>
    <col min="44" max="46" width="1" customWidth="1"/>
    <col min="47" max="47" width="27" customWidth="1"/>
    <col min="48" max="48" width="0.453125" customWidth="1"/>
    <col min="49" max="58" width="8.81640625" customWidth="1"/>
    <col min="59" max="61" width="1" customWidth="1"/>
    <col min="62" max="62" width="27" customWidth="1"/>
    <col min="63" max="63" width="0.453125" customWidth="1"/>
    <col min="64" max="73" width="8.81640625" customWidth="1"/>
    <col min="74" max="76" width="1" customWidth="1"/>
    <col min="77" max="77" width="27" customWidth="1"/>
    <col min="78" max="78" width="0.453125" customWidth="1"/>
    <col min="79" max="88" width="8.81640625" customWidth="1"/>
    <col min="89" max="89" width="1" customWidth="1"/>
    <col min="90" max="16384" width="8.81640625" hidden="1"/>
  </cols>
  <sheetData>
    <row r="1" spans="1:89" ht="18.5" x14ac:dyDescent="0.45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</row>
    <row r="3" spans="1:89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</row>
    <row r="4" spans="1:89" x14ac:dyDescent="0.35">
      <c r="A4" s="36" t="s">
        <v>451</v>
      </c>
      <c r="B4" s="34"/>
      <c r="C4" s="34"/>
      <c r="D4" s="34" t="s">
        <v>399</v>
      </c>
      <c r="E4" s="6" t="s">
        <v>400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6" t="s">
        <v>453</v>
      </c>
      <c r="R4" s="34"/>
      <c r="S4" s="34" t="s">
        <v>399</v>
      </c>
      <c r="T4" s="6" t="s">
        <v>400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6" t="s">
        <v>454</v>
      </c>
      <c r="AG4" s="34"/>
      <c r="AH4" s="34" t="s">
        <v>399</v>
      </c>
      <c r="AI4" s="6" t="s">
        <v>400</v>
      </c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6" t="s">
        <v>455</v>
      </c>
      <c r="AV4" s="34"/>
      <c r="AW4" s="34" t="s">
        <v>399</v>
      </c>
      <c r="AX4" s="6" t="s">
        <v>400</v>
      </c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6" t="s">
        <v>456</v>
      </c>
      <c r="BK4" s="34"/>
      <c r="BL4" s="34" t="s">
        <v>399</v>
      </c>
      <c r="BM4" s="6" t="s">
        <v>400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6" t="s">
        <v>409</v>
      </c>
      <c r="BZ4" s="34"/>
      <c r="CA4" s="34" t="s">
        <v>399</v>
      </c>
      <c r="CB4" s="6" t="s">
        <v>400</v>
      </c>
      <c r="CC4" s="34"/>
      <c r="CD4" s="34"/>
      <c r="CE4" s="34"/>
      <c r="CF4" s="34"/>
      <c r="CG4" s="34"/>
      <c r="CH4" s="34"/>
      <c r="CI4" s="34"/>
      <c r="CJ4" s="34"/>
      <c r="CK4" s="34"/>
    </row>
    <row r="5" spans="1:89" x14ac:dyDescent="0.35">
      <c r="A5" s="35" t="s">
        <v>452</v>
      </c>
      <c r="B5" s="30"/>
      <c r="C5" s="30"/>
      <c r="D5" s="33" t="s">
        <v>246</v>
      </c>
      <c r="E5" s="50" t="s">
        <v>890</v>
      </c>
      <c r="F5" s="33" t="s">
        <v>885</v>
      </c>
      <c r="G5" s="33" t="s">
        <v>891</v>
      </c>
      <c r="H5" s="33" t="s">
        <v>886</v>
      </c>
      <c r="I5" s="33" t="s">
        <v>887</v>
      </c>
      <c r="J5" s="33" t="s">
        <v>888</v>
      </c>
      <c r="K5" s="33" t="s">
        <v>889</v>
      </c>
      <c r="L5" s="33" t="s">
        <v>396</v>
      </c>
      <c r="M5" s="33" t="s">
        <v>397</v>
      </c>
      <c r="N5" s="30"/>
      <c r="O5" s="34"/>
      <c r="P5" s="30"/>
      <c r="Q5" s="35"/>
      <c r="R5" s="30"/>
      <c r="S5" s="33" t="s">
        <v>246</v>
      </c>
      <c r="T5" s="50" t="s">
        <v>890</v>
      </c>
      <c r="U5" s="33" t="s">
        <v>885</v>
      </c>
      <c r="V5" s="33" t="s">
        <v>891</v>
      </c>
      <c r="W5" s="33" t="s">
        <v>886</v>
      </c>
      <c r="X5" s="33" t="s">
        <v>887</v>
      </c>
      <c r="Y5" s="33" t="s">
        <v>888</v>
      </c>
      <c r="Z5" s="33" t="s">
        <v>889</v>
      </c>
      <c r="AA5" s="33" t="s">
        <v>396</v>
      </c>
      <c r="AB5" s="33" t="s">
        <v>397</v>
      </c>
      <c r="AC5" s="30"/>
      <c r="AD5" s="34"/>
      <c r="AE5" s="30"/>
      <c r="AF5" s="35"/>
      <c r="AG5" s="30"/>
      <c r="AH5" s="33" t="s">
        <v>246</v>
      </c>
      <c r="AI5" s="50" t="s">
        <v>890</v>
      </c>
      <c r="AJ5" s="33" t="s">
        <v>885</v>
      </c>
      <c r="AK5" s="33" t="s">
        <v>891</v>
      </c>
      <c r="AL5" s="33" t="s">
        <v>886</v>
      </c>
      <c r="AM5" s="33" t="s">
        <v>887</v>
      </c>
      <c r="AN5" s="33" t="s">
        <v>888</v>
      </c>
      <c r="AO5" s="33" t="s">
        <v>889</v>
      </c>
      <c r="AP5" s="33" t="s">
        <v>396</v>
      </c>
      <c r="AQ5" s="33" t="s">
        <v>397</v>
      </c>
      <c r="AR5" s="30"/>
      <c r="AS5" s="34"/>
      <c r="AT5" s="30"/>
      <c r="AU5" s="35"/>
      <c r="AV5" s="30"/>
      <c r="AW5" s="33" t="s">
        <v>246</v>
      </c>
      <c r="AX5" s="50" t="s">
        <v>890</v>
      </c>
      <c r="AY5" s="33" t="s">
        <v>885</v>
      </c>
      <c r="AZ5" s="33" t="s">
        <v>891</v>
      </c>
      <c r="BA5" s="33" t="s">
        <v>886</v>
      </c>
      <c r="BB5" s="33" t="s">
        <v>887</v>
      </c>
      <c r="BC5" s="33" t="s">
        <v>888</v>
      </c>
      <c r="BD5" s="33" t="s">
        <v>889</v>
      </c>
      <c r="BE5" s="33" t="s">
        <v>396</v>
      </c>
      <c r="BF5" s="33" t="s">
        <v>397</v>
      </c>
      <c r="BG5" s="30"/>
      <c r="BH5" s="34"/>
      <c r="BI5" s="30"/>
      <c r="BJ5" s="35"/>
      <c r="BK5" s="30"/>
      <c r="BL5" s="33" t="s">
        <v>246</v>
      </c>
      <c r="BM5" s="50" t="s">
        <v>890</v>
      </c>
      <c r="BN5" s="33" t="s">
        <v>885</v>
      </c>
      <c r="BO5" s="33" t="s">
        <v>891</v>
      </c>
      <c r="BP5" s="33" t="s">
        <v>886</v>
      </c>
      <c r="BQ5" s="33" t="s">
        <v>887</v>
      </c>
      <c r="BR5" s="33" t="s">
        <v>888</v>
      </c>
      <c r="BS5" s="33" t="s">
        <v>889</v>
      </c>
      <c r="BT5" s="33" t="s">
        <v>396</v>
      </c>
      <c r="BU5" s="33" t="s">
        <v>397</v>
      </c>
      <c r="BV5" s="30"/>
      <c r="BW5" s="34"/>
      <c r="BX5" s="30"/>
      <c r="BY5" s="35"/>
      <c r="BZ5" s="30"/>
      <c r="CA5" s="33" t="s">
        <v>246</v>
      </c>
      <c r="CB5" s="50" t="s">
        <v>890</v>
      </c>
      <c r="CC5" s="33" t="s">
        <v>885</v>
      </c>
      <c r="CD5" s="33" t="s">
        <v>891</v>
      </c>
      <c r="CE5" s="33" t="s">
        <v>886</v>
      </c>
      <c r="CF5" s="33" t="s">
        <v>887</v>
      </c>
      <c r="CG5" s="33" t="s">
        <v>888</v>
      </c>
      <c r="CH5" s="33" t="s">
        <v>889</v>
      </c>
      <c r="CI5" s="33" t="s">
        <v>396</v>
      </c>
      <c r="CJ5" s="33" t="s">
        <v>397</v>
      </c>
      <c r="CK5" s="30"/>
    </row>
    <row r="6" spans="1:89" x14ac:dyDescent="0.35">
      <c r="A6" s="5" t="s">
        <v>102</v>
      </c>
      <c r="B6" s="44"/>
      <c r="C6" s="89" t="s">
        <v>288</v>
      </c>
      <c r="D6" s="73">
        <v>100</v>
      </c>
      <c r="E6" s="74">
        <v>0.69420261314159237</v>
      </c>
      <c r="F6" s="73">
        <v>1E-8</v>
      </c>
      <c r="G6" s="73">
        <v>1E-8</v>
      </c>
      <c r="H6" s="73">
        <v>1E-8</v>
      </c>
      <c r="I6" s="73">
        <v>1E-8</v>
      </c>
      <c r="J6" s="73">
        <v>1E-8</v>
      </c>
      <c r="K6" s="73">
        <v>1E-8</v>
      </c>
      <c r="L6" s="73">
        <v>1E-8</v>
      </c>
      <c r="M6" s="73">
        <v>1E-8</v>
      </c>
      <c r="N6" s="44"/>
      <c r="O6" s="34"/>
      <c r="P6" s="5" t="s">
        <v>102</v>
      </c>
      <c r="Q6" s="44"/>
      <c r="R6" s="89" t="s">
        <v>288</v>
      </c>
      <c r="S6" s="73">
        <v>100</v>
      </c>
      <c r="T6" s="74">
        <v>2.1240593992037704</v>
      </c>
      <c r="U6" s="73">
        <v>1E-8</v>
      </c>
      <c r="V6" s="73">
        <v>1E-8</v>
      </c>
      <c r="W6" s="73">
        <v>1E-8</v>
      </c>
      <c r="X6" s="73">
        <v>1E-8</v>
      </c>
      <c r="Y6" s="73">
        <v>1E-8</v>
      </c>
      <c r="Z6" s="73">
        <v>1E-8</v>
      </c>
      <c r="AA6" s="73">
        <v>1E-8</v>
      </c>
      <c r="AB6" s="73">
        <v>1E-8</v>
      </c>
      <c r="AC6" s="44"/>
      <c r="AD6" s="34"/>
      <c r="AE6" s="5" t="s">
        <v>102</v>
      </c>
      <c r="AF6" s="44"/>
      <c r="AG6" s="89" t="s">
        <v>288</v>
      </c>
      <c r="AH6" s="73">
        <v>100</v>
      </c>
      <c r="AI6" s="74">
        <v>7.6748065962995993</v>
      </c>
      <c r="AJ6" s="73">
        <v>1E-8</v>
      </c>
      <c r="AK6" s="73">
        <v>1E-8</v>
      </c>
      <c r="AL6" s="73">
        <v>1E-8</v>
      </c>
      <c r="AM6" s="73">
        <v>1E-8</v>
      </c>
      <c r="AN6" s="73">
        <v>1E-8</v>
      </c>
      <c r="AO6" s="73">
        <v>1E-8</v>
      </c>
      <c r="AP6" s="73">
        <v>1E-8</v>
      </c>
      <c r="AQ6" s="73">
        <v>1E-8</v>
      </c>
      <c r="AR6" s="44"/>
      <c r="AS6" s="34"/>
      <c r="AT6" s="5" t="s">
        <v>102</v>
      </c>
      <c r="AU6" s="44"/>
      <c r="AV6" s="89" t="s">
        <v>288</v>
      </c>
      <c r="AW6" s="73">
        <v>100</v>
      </c>
      <c r="AX6" s="74">
        <v>6.5083668594393851</v>
      </c>
      <c r="AY6" s="73">
        <v>1E-8</v>
      </c>
      <c r="AZ6" s="73">
        <v>1E-8</v>
      </c>
      <c r="BA6" s="73">
        <v>1E-8</v>
      </c>
      <c r="BB6" s="73">
        <v>1E-8</v>
      </c>
      <c r="BC6" s="73">
        <v>1E-8</v>
      </c>
      <c r="BD6" s="73">
        <v>1E-8</v>
      </c>
      <c r="BE6" s="73">
        <v>1E-8</v>
      </c>
      <c r="BF6" s="73">
        <v>1E-8</v>
      </c>
      <c r="BG6" s="44"/>
      <c r="BH6" s="34"/>
      <c r="BI6" s="5" t="s">
        <v>102</v>
      </c>
      <c r="BJ6" s="44"/>
      <c r="BK6" s="89" t="s">
        <v>288</v>
      </c>
      <c r="BL6" s="73">
        <v>100</v>
      </c>
      <c r="BM6" s="74">
        <v>1E-8</v>
      </c>
      <c r="BN6" s="73">
        <v>1E-8</v>
      </c>
      <c r="BO6" s="73">
        <v>1E-8</v>
      </c>
      <c r="BP6" s="73">
        <v>1E-8</v>
      </c>
      <c r="BQ6" s="73">
        <v>1E-8</v>
      </c>
      <c r="BR6" s="73">
        <v>1E-8</v>
      </c>
      <c r="BS6" s="73">
        <v>1E-8</v>
      </c>
      <c r="BT6" s="73">
        <v>1E-8</v>
      </c>
      <c r="BU6" s="73">
        <v>1E-8</v>
      </c>
      <c r="BV6" s="44"/>
      <c r="BW6" s="34"/>
      <c r="BX6" s="5" t="s">
        <v>102</v>
      </c>
      <c r="BY6" s="44"/>
      <c r="BZ6" s="89" t="s">
        <v>288</v>
      </c>
      <c r="CA6" s="73">
        <v>100</v>
      </c>
      <c r="CB6" s="74">
        <v>2.4539386246396289</v>
      </c>
      <c r="CC6" s="73">
        <v>1E-8</v>
      </c>
      <c r="CD6" s="73">
        <v>1E-8</v>
      </c>
      <c r="CE6" s="73">
        <v>1E-8</v>
      </c>
      <c r="CF6" s="73">
        <v>1E-8</v>
      </c>
      <c r="CG6" s="73">
        <v>1E-8</v>
      </c>
      <c r="CH6" s="73">
        <v>1E-8</v>
      </c>
      <c r="CI6" s="73">
        <v>1E-8</v>
      </c>
      <c r="CJ6" s="73">
        <v>1E-8</v>
      </c>
      <c r="CK6" s="44"/>
    </row>
    <row r="7" spans="1:89" x14ac:dyDescent="0.35">
      <c r="A7" s="5" t="s">
        <v>278</v>
      </c>
      <c r="B7" s="44"/>
      <c r="C7" s="89" t="s">
        <v>289</v>
      </c>
      <c r="D7" s="75">
        <v>11.493979120897482</v>
      </c>
      <c r="E7" s="76">
        <v>0.85135807629441729</v>
      </c>
      <c r="F7" s="75">
        <v>1E-8</v>
      </c>
      <c r="G7" s="75">
        <v>1E-8</v>
      </c>
      <c r="H7" s="75">
        <v>1E-8</v>
      </c>
      <c r="I7" s="75">
        <v>1E-8</v>
      </c>
      <c r="J7" s="75">
        <v>1E-8</v>
      </c>
      <c r="K7" s="75">
        <v>1E-8</v>
      </c>
      <c r="L7" s="75">
        <v>1E-8</v>
      </c>
      <c r="M7" s="75">
        <v>1E-8</v>
      </c>
      <c r="N7" s="44"/>
      <c r="O7" s="34"/>
      <c r="P7" s="5" t="s">
        <v>278</v>
      </c>
      <c r="Q7" s="44"/>
      <c r="R7" s="89" t="s">
        <v>289</v>
      </c>
      <c r="S7" s="75">
        <v>9.8958568899048629</v>
      </c>
      <c r="T7" s="76">
        <v>0.50879843656983503</v>
      </c>
      <c r="U7" s="75">
        <v>1E-8</v>
      </c>
      <c r="V7" s="75">
        <v>1E-8</v>
      </c>
      <c r="W7" s="75">
        <v>1E-8</v>
      </c>
      <c r="X7" s="75">
        <v>1E-8</v>
      </c>
      <c r="Y7" s="75">
        <v>1E-8</v>
      </c>
      <c r="Z7" s="75">
        <v>1E-8</v>
      </c>
      <c r="AA7" s="75">
        <v>1E-8</v>
      </c>
      <c r="AB7" s="75">
        <v>1E-8</v>
      </c>
      <c r="AC7" s="44"/>
      <c r="AD7" s="34"/>
      <c r="AE7" s="5" t="s">
        <v>278</v>
      </c>
      <c r="AF7" s="44"/>
      <c r="AG7" s="89" t="s">
        <v>289</v>
      </c>
      <c r="AH7" s="75">
        <v>10.778266221232542</v>
      </c>
      <c r="AI7" s="76">
        <v>6.7870217301612801</v>
      </c>
      <c r="AJ7" s="75">
        <v>1E-8</v>
      </c>
      <c r="AK7" s="75">
        <v>1E-8</v>
      </c>
      <c r="AL7" s="75">
        <v>1E-8</v>
      </c>
      <c r="AM7" s="75">
        <v>1E-8</v>
      </c>
      <c r="AN7" s="75">
        <v>1E-8</v>
      </c>
      <c r="AO7" s="75">
        <v>1E-8</v>
      </c>
      <c r="AP7" s="75">
        <v>1E-8</v>
      </c>
      <c r="AQ7" s="75">
        <v>1E-8</v>
      </c>
      <c r="AR7" s="44"/>
      <c r="AS7" s="34"/>
      <c r="AT7" s="5" t="s">
        <v>278</v>
      </c>
      <c r="AU7" s="44"/>
      <c r="AV7" s="89" t="s">
        <v>289</v>
      </c>
      <c r="AW7" s="75">
        <v>5.0541507822155536</v>
      </c>
      <c r="AX7" s="76">
        <v>6.3156830775558115</v>
      </c>
      <c r="AY7" s="75">
        <v>1E-8</v>
      </c>
      <c r="AZ7" s="75">
        <v>1E-8</v>
      </c>
      <c r="BA7" s="75">
        <v>1E-8</v>
      </c>
      <c r="BB7" s="75">
        <v>1E-8</v>
      </c>
      <c r="BC7" s="75">
        <v>1E-8</v>
      </c>
      <c r="BD7" s="75">
        <v>1E-8</v>
      </c>
      <c r="BE7" s="75">
        <v>1E-8</v>
      </c>
      <c r="BF7" s="75">
        <v>1E-8</v>
      </c>
      <c r="BG7" s="44"/>
      <c r="BH7" s="34"/>
      <c r="BI7" s="5" t="s">
        <v>278</v>
      </c>
      <c r="BJ7" s="44"/>
      <c r="BK7" s="89" t="s">
        <v>289</v>
      </c>
      <c r="BL7" s="75">
        <v>9.8131477605855988</v>
      </c>
      <c r="BM7" s="76">
        <v>1E-8</v>
      </c>
      <c r="BN7" s="75">
        <v>1E-8</v>
      </c>
      <c r="BO7" s="75">
        <v>1E-8</v>
      </c>
      <c r="BP7" s="75">
        <v>1E-8</v>
      </c>
      <c r="BQ7" s="75">
        <v>1E-8</v>
      </c>
      <c r="BR7" s="75">
        <v>1E-8</v>
      </c>
      <c r="BS7" s="75">
        <v>1E-8</v>
      </c>
      <c r="BT7" s="75">
        <v>1E-8</v>
      </c>
      <c r="BU7" s="75">
        <v>1E-8</v>
      </c>
      <c r="BV7" s="44"/>
      <c r="BW7" s="34"/>
      <c r="BX7" s="5" t="s">
        <v>278</v>
      </c>
      <c r="BY7" s="44"/>
      <c r="BZ7" s="89" t="s">
        <v>289</v>
      </c>
      <c r="CA7" s="75">
        <v>5.8862929324062989</v>
      </c>
      <c r="CB7" s="76">
        <v>1E-8</v>
      </c>
      <c r="CC7" s="75">
        <v>1E-8</v>
      </c>
      <c r="CD7" s="75">
        <v>1E-8</v>
      </c>
      <c r="CE7" s="75">
        <v>1E-8</v>
      </c>
      <c r="CF7" s="75">
        <v>1E-8</v>
      </c>
      <c r="CG7" s="75">
        <v>1E-8</v>
      </c>
      <c r="CH7" s="75">
        <v>1E-8</v>
      </c>
      <c r="CI7" s="75">
        <v>1E-8</v>
      </c>
      <c r="CJ7" s="75">
        <v>1E-8</v>
      </c>
      <c r="CK7" s="44"/>
    </row>
    <row r="8" spans="1:89" x14ac:dyDescent="0.35">
      <c r="A8" s="11" t="s">
        <v>279</v>
      </c>
      <c r="B8" s="44"/>
      <c r="C8" s="90" t="s">
        <v>290</v>
      </c>
      <c r="D8" s="77">
        <v>8.8919535317238036</v>
      </c>
      <c r="E8" s="78">
        <v>1.5115202238941139</v>
      </c>
      <c r="F8" s="77">
        <v>1E-8</v>
      </c>
      <c r="G8" s="77">
        <v>1E-8</v>
      </c>
      <c r="H8" s="77">
        <v>1E-8</v>
      </c>
      <c r="I8" s="77">
        <v>1E-8</v>
      </c>
      <c r="J8" s="77">
        <v>1E-8</v>
      </c>
      <c r="K8" s="77">
        <v>1E-8</v>
      </c>
      <c r="L8" s="77">
        <v>1E-8</v>
      </c>
      <c r="M8" s="77">
        <v>1E-8</v>
      </c>
      <c r="N8" s="44"/>
      <c r="O8" s="34"/>
      <c r="P8" s="11" t="s">
        <v>279</v>
      </c>
      <c r="Q8" s="44"/>
      <c r="R8" s="90" t="s">
        <v>290</v>
      </c>
      <c r="S8" s="77">
        <v>7.7018681242860332</v>
      </c>
      <c r="T8" s="78">
        <v>1.217271843898593</v>
      </c>
      <c r="U8" s="77">
        <v>1E-8</v>
      </c>
      <c r="V8" s="77">
        <v>1E-8</v>
      </c>
      <c r="W8" s="77">
        <v>1E-8</v>
      </c>
      <c r="X8" s="77">
        <v>1E-8</v>
      </c>
      <c r="Y8" s="77">
        <v>1E-8</v>
      </c>
      <c r="Z8" s="77">
        <v>1E-8</v>
      </c>
      <c r="AA8" s="77">
        <v>1E-8</v>
      </c>
      <c r="AB8" s="77">
        <v>1E-8</v>
      </c>
      <c r="AC8" s="44"/>
      <c r="AD8" s="34"/>
      <c r="AE8" s="11" t="s">
        <v>279</v>
      </c>
      <c r="AF8" s="44"/>
      <c r="AG8" s="90" t="s">
        <v>290</v>
      </c>
      <c r="AH8" s="77">
        <v>10.100006882995926</v>
      </c>
      <c r="AI8" s="78">
        <v>6.7892339462373164</v>
      </c>
      <c r="AJ8" s="77">
        <v>1E-8</v>
      </c>
      <c r="AK8" s="77">
        <v>1E-8</v>
      </c>
      <c r="AL8" s="77">
        <v>1E-8</v>
      </c>
      <c r="AM8" s="77">
        <v>1E-8</v>
      </c>
      <c r="AN8" s="77">
        <v>1E-8</v>
      </c>
      <c r="AO8" s="77">
        <v>1E-8</v>
      </c>
      <c r="AP8" s="77">
        <v>1E-8</v>
      </c>
      <c r="AQ8" s="77">
        <v>1E-8</v>
      </c>
      <c r="AR8" s="44"/>
      <c r="AS8" s="34"/>
      <c r="AT8" s="11" t="s">
        <v>279</v>
      </c>
      <c r="AU8" s="44"/>
      <c r="AV8" s="90" t="s">
        <v>290</v>
      </c>
      <c r="AW8" s="77">
        <v>4.9634998311279004</v>
      </c>
      <c r="AX8" s="78">
        <v>6.3185111166667696</v>
      </c>
      <c r="AY8" s="77">
        <v>1E-8</v>
      </c>
      <c r="AZ8" s="77">
        <v>1E-8</v>
      </c>
      <c r="BA8" s="77">
        <v>1E-8</v>
      </c>
      <c r="BB8" s="77">
        <v>1E-8</v>
      </c>
      <c r="BC8" s="77">
        <v>1E-8</v>
      </c>
      <c r="BD8" s="77">
        <v>1E-8</v>
      </c>
      <c r="BE8" s="77">
        <v>1E-8</v>
      </c>
      <c r="BF8" s="77">
        <v>1E-8</v>
      </c>
      <c r="BG8" s="44"/>
      <c r="BH8" s="34"/>
      <c r="BI8" s="11" t="s">
        <v>279</v>
      </c>
      <c r="BJ8" s="44"/>
      <c r="BK8" s="90" t="s">
        <v>290</v>
      </c>
      <c r="BL8" s="77">
        <v>9.1978753899750902</v>
      </c>
      <c r="BM8" s="78">
        <v>1E-8</v>
      </c>
      <c r="BN8" s="77">
        <v>1E-8</v>
      </c>
      <c r="BO8" s="77">
        <v>1E-8</v>
      </c>
      <c r="BP8" s="77">
        <v>1E-8</v>
      </c>
      <c r="BQ8" s="77">
        <v>1E-8</v>
      </c>
      <c r="BR8" s="77">
        <v>1E-8</v>
      </c>
      <c r="BS8" s="77">
        <v>1E-8</v>
      </c>
      <c r="BT8" s="77">
        <v>1E-8</v>
      </c>
      <c r="BU8" s="77">
        <v>1E-8</v>
      </c>
      <c r="BV8" s="44"/>
      <c r="BW8" s="34"/>
      <c r="BX8" s="11" t="s">
        <v>279</v>
      </c>
      <c r="BY8" s="44"/>
      <c r="BZ8" s="90" t="s">
        <v>290</v>
      </c>
      <c r="CA8" s="77">
        <v>5.778489195398202</v>
      </c>
      <c r="CB8" s="78">
        <v>1E-8</v>
      </c>
      <c r="CC8" s="77">
        <v>1E-8</v>
      </c>
      <c r="CD8" s="77">
        <v>1E-8</v>
      </c>
      <c r="CE8" s="77">
        <v>1E-8</v>
      </c>
      <c r="CF8" s="77">
        <v>1E-8</v>
      </c>
      <c r="CG8" s="77">
        <v>1E-8</v>
      </c>
      <c r="CH8" s="77">
        <v>1E-8</v>
      </c>
      <c r="CI8" s="77">
        <v>1E-8</v>
      </c>
      <c r="CJ8" s="77">
        <v>1E-8</v>
      </c>
      <c r="CK8" s="44"/>
    </row>
    <row r="9" spans="1:89" x14ac:dyDescent="0.35">
      <c r="A9" s="11" t="s">
        <v>362</v>
      </c>
      <c r="B9" s="44"/>
      <c r="C9" s="90" t="s">
        <v>291</v>
      </c>
      <c r="D9" s="77">
        <v>7.4436714991558848</v>
      </c>
      <c r="E9" s="78">
        <v>1.0514941505178177</v>
      </c>
      <c r="F9" s="77">
        <v>1E-8</v>
      </c>
      <c r="G9" s="77">
        <v>1E-8</v>
      </c>
      <c r="H9" s="77">
        <v>1E-8</v>
      </c>
      <c r="I9" s="77">
        <v>1E-8</v>
      </c>
      <c r="J9" s="77">
        <v>1E-8</v>
      </c>
      <c r="K9" s="77">
        <v>1E-8</v>
      </c>
      <c r="L9" s="77">
        <v>1E-8</v>
      </c>
      <c r="M9" s="77">
        <v>1E-8</v>
      </c>
      <c r="N9" s="44"/>
      <c r="O9" s="34"/>
      <c r="P9" s="11" t="s">
        <v>362</v>
      </c>
      <c r="Q9" s="44"/>
      <c r="R9" s="90" t="s">
        <v>291</v>
      </c>
      <c r="S9" s="77">
        <v>6.9822461497571888</v>
      </c>
      <c r="T9" s="78">
        <v>1.1275078233861979</v>
      </c>
      <c r="U9" s="77">
        <v>1E-8</v>
      </c>
      <c r="V9" s="77">
        <v>1E-8</v>
      </c>
      <c r="W9" s="77">
        <v>1E-8</v>
      </c>
      <c r="X9" s="77">
        <v>1E-8</v>
      </c>
      <c r="Y9" s="77">
        <v>1E-8</v>
      </c>
      <c r="Z9" s="77">
        <v>1E-8</v>
      </c>
      <c r="AA9" s="77">
        <v>1E-8</v>
      </c>
      <c r="AB9" s="77">
        <v>1E-8</v>
      </c>
      <c r="AC9" s="44"/>
      <c r="AD9" s="34"/>
      <c r="AE9" s="11" t="s">
        <v>362</v>
      </c>
      <c r="AF9" s="44"/>
      <c r="AG9" s="90" t="s">
        <v>291</v>
      </c>
      <c r="AH9" s="77">
        <v>3.9642033872417168</v>
      </c>
      <c r="AI9" s="78">
        <v>7.100940912627185</v>
      </c>
      <c r="AJ9" s="77">
        <v>1E-8</v>
      </c>
      <c r="AK9" s="77">
        <v>1E-8</v>
      </c>
      <c r="AL9" s="77">
        <v>1E-8</v>
      </c>
      <c r="AM9" s="77">
        <v>1E-8</v>
      </c>
      <c r="AN9" s="77">
        <v>1E-8</v>
      </c>
      <c r="AO9" s="77">
        <v>1E-8</v>
      </c>
      <c r="AP9" s="77">
        <v>1E-8</v>
      </c>
      <c r="AQ9" s="77">
        <v>1E-8</v>
      </c>
      <c r="AR9" s="44"/>
      <c r="AS9" s="34"/>
      <c r="AT9" s="11" t="s">
        <v>362</v>
      </c>
      <c r="AU9" s="44"/>
      <c r="AV9" s="90" t="s">
        <v>291</v>
      </c>
      <c r="AW9" s="77">
        <v>4.9008532194753753</v>
      </c>
      <c r="AX9" s="78">
        <v>6.316927408608608</v>
      </c>
      <c r="AY9" s="77">
        <v>1E-8</v>
      </c>
      <c r="AZ9" s="77">
        <v>1E-8</v>
      </c>
      <c r="BA9" s="77">
        <v>1E-8</v>
      </c>
      <c r="BB9" s="77">
        <v>1E-8</v>
      </c>
      <c r="BC9" s="77">
        <v>1E-8</v>
      </c>
      <c r="BD9" s="77">
        <v>1E-8</v>
      </c>
      <c r="BE9" s="77">
        <v>1E-8</v>
      </c>
      <c r="BF9" s="77">
        <v>1E-8</v>
      </c>
      <c r="BG9" s="44"/>
      <c r="BH9" s="34"/>
      <c r="BI9" s="11" t="s">
        <v>362</v>
      </c>
      <c r="BJ9" s="44"/>
      <c r="BK9" s="90" t="s">
        <v>291</v>
      </c>
      <c r="BL9" s="77">
        <v>3.7347522774347204</v>
      </c>
      <c r="BM9" s="78">
        <v>1E-8</v>
      </c>
      <c r="BN9" s="77">
        <v>1E-8</v>
      </c>
      <c r="BO9" s="77">
        <v>1E-8</v>
      </c>
      <c r="BP9" s="77">
        <v>1E-8</v>
      </c>
      <c r="BQ9" s="77">
        <v>1E-8</v>
      </c>
      <c r="BR9" s="77">
        <v>1E-8</v>
      </c>
      <c r="BS9" s="77">
        <v>1E-8</v>
      </c>
      <c r="BT9" s="77">
        <v>1E-8</v>
      </c>
      <c r="BU9" s="77">
        <v>1E-8</v>
      </c>
      <c r="BV9" s="44"/>
      <c r="BW9" s="34"/>
      <c r="BX9" s="11" t="s">
        <v>362</v>
      </c>
      <c r="BY9" s="44"/>
      <c r="BZ9" s="90" t="s">
        <v>291</v>
      </c>
      <c r="CA9" s="77">
        <v>5.7008911075519908</v>
      </c>
      <c r="CB9" s="78">
        <v>1E-8</v>
      </c>
      <c r="CC9" s="77">
        <v>1E-8</v>
      </c>
      <c r="CD9" s="77">
        <v>1E-8</v>
      </c>
      <c r="CE9" s="77">
        <v>1E-8</v>
      </c>
      <c r="CF9" s="77">
        <v>1E-8</v>
      </c>
      <c r="CG9" s="77">
        <v>1E-8</v>
      </c>
      <c r="CH9" s="77">
        <v>1E-8</v>
      </c>
      <c r="CI9" s="77">
        <v>1E-8</v>
      </c>
      <c r="CJ9" s="77">
        <v>1E-8</v>
      </c>
      <c r="CK9" s="44"/>
    </row>
    <row r="10" spans="1:89" x14ac:dyDescent="0.35">
      <c r="A10" s="11" t="s">
        <v>363</v>
      </c>
      <c r="B10" s="44"/>
      <c r="C10" s="90" t="s">
        <v>292</v>
      </c>
      <c r="D10" s="77">
        <v>1.448282032567918</v>
      </c>
      <c r="E10" s="78">
        <v>3.8758960113835172</v>
      </c>
      <c r="F10" s="77">
        <v>1E-8</v>
      </c>
      <c r="G10" s="77">
        <v>1E-8</v>
      </c>
      <c r="H10" s="77">
        <v>1E-8</v>
      </c>
      <c r="I10" s="77">
        <v>1E-8</v>
      </c>
      <c r="J10" s="77">
        <v>1E-8</v>
      </c>
      <c r="K10" s="77">
        <v>1E-8</v>
      </c>
      <c r="L10" s="77">
        <v>1E-8</v>
      </c>
      <c r="M10" s="77">
        <v>1E-8</v>
      </c>
      <c r="N10" s="44"/>
      <c r="O10" s="34"/>
      <c r="P10" s="11" t="s">
        <v>363</v>
      </c>
      <c r="Q10" s="44"/>
      <c r="R10" s="90" t="s">
        <v>292</v>
      </c>
      <c r="S10" s="77">
        <v>0.71962197452884125</v>
      </c>
      <c r="T10" s="78">
        <v>2.2152587385354972</v>
      </c>
      <c r="U10" s="77">
        <v>1E-8</v>
      </c>
      <c r="V10" s="77">
        <v>1E-8</v>
      </c>
      <c r="W10" s="77">
        <v>1E-8</v>
      </c>
      <c r="X10" s="77">
        <v>1E-8</v>
      </c>
      <c r="Y10" s="77">
        <v>1E-8</v>
      </c>
      <c r="Z10" s="77">
        <v>1E-8</v>
      </c>
      <c r="AA10" s="77">
        <v>1E-8</v>
      </c>
      <c r="AB10" s="77">
        <v>1E-8</v>
      </c>
      <c r="AC10" s="44"/>
      <c r="AD10" s="34"/>
      <c r="AE10" s="11" t="s">
        <v>363</v>
      </c>
      <c r="AF10" s="44"/>
      <c r="AG10" s="90" t="s">
        <v>292</v>
      </c>
      <c r="AH10" s="77">
        <v>6.1358034957542076</v>
      </c>
      <c r="AI10" s="78">
        <v>6.5878471494070778</v>
      </c>
      <c r="AJ10" s="77">
        <v>1E-8</v>
      </c>
      <c r="AK10" s="77">
        <v>1E-8</v>
      </c>
      <c r="AL10" s="77">
        <v>1E-8</v>
      </c>
      <c r="AM10" s="77">
        <v>1E-8</v>
      </c>
      <c r="AN10" s="77">
        <v>1E-8</v>
      </c>
      <c r="AO10" s="77">
        <v>1E-8</v>
      </c>
      <c r="AP10" s="77">
        <v>1E-8</v>
      </c>
      <c r="AQ10" s="77">
        <v>1E-8</v>
      </c>
      <c r="AR10" s="44"/>
      <c r="AS10" s="34"/>
      <c r="AT10" s="11" t="s">
        <v>363</v>
      </c>
      <c r="AU10" s="44"/>
      <c r="AV10" s="90" t="s">
        <v>292</v>
      </c>
      <c r="AW10" s="77">
        <v>6.2646611652524553E-2</v>
      </c>
      <c r="AX10" s="78">
        <v>6.4444811210086606</v>
      </c>
      <c r="AY10" s="77">
        <v>1E-8</v>
      </c>
      <c r="AZ10" s="77">
        <v>1E-8</v>
      </c>
      <c r="BA10" s="77">
        <v>1E-8</v>
      </c>
      <c r="BB10" s="77">
        <v>1E-8</v>
      </c>
      <c r="BC10" s="77">
        <v>1E-8</v>
      </c>
      <c r="BD10" s="77">
        <v>1E-8</v>
      </c>
      <c r="BE10" s="77">
        <v>1E-8</v>
      </c>
      <c r="BF10" s="77">
        <v>1E-8</v>
      </c>
      <c r="BG10" s="44"/>
      <c r="BH10" s="34"/>
      <c r="BI10" s="11" t="s">
        <v>363</v>
      </c>
      <c r="BJ10" s="44"/>
      <c r="BK10" s="90" t="s">
        <v>292</v>
      </c>
      <c r="BL10" s="77">
        <v>5.4631231125403694</v>
      </c>
      <c r="BM10" s="78">
        <v>1E-8</v>
      </c>
      <c r="BN10" s="77">
        <v>1E-8</v>
      </c>
      <c r="BO10" s="77">
        <v>1E-8</v>
      </c>
      <c r="BP10" s="77">
        <v>1E-8</v>
      </c>
      <c r="BQ10" s="77">
        <v>1E-8</v>
      </c>
      <c r="BR10" s="77">
        <v>1E-8</v>
      </c>
      <c r="BS10" s="77">
        <v>1E-8</v>
      </c>
      <c r="BT10" s="77">
        <v>1E-8</v>
      </c>
      <c r="BU10" s="77">
        <v>1E-8</v>
      </c>
      <c r="BV10" s="44"/>
      <c r="BW10" s="34"/>
      <c r="BX10" s="11" t="s">
        <v>363</v>
      </c>
      <c r="BY10" s="44"/>
      <c r="BZ10" s="90" t="s">
        <v>292</v>
      </c>
      <c r="CA10" s="77">
        <v>7.7598087846211194E-2</v>
      </c>
      <c r="CB10" s="78">
        <v>1E-8</v>
      </c>
      <c r="CC10" s="77">
        <v>1E-8</v>
      </c>
      <c r="CD10" s="77">
        <v>1E-8</v>
      </c>
      <c r="CE10" s="77">
        <v>1E-8</v>
      </c>
      <c r="CF10" s="77">
        <v>1E-8</v>
      </c>
      <c r="CG10" s="77">
        <v>1E-8</v>
      </c>
      <c r="CH10" s="77">
        <v>1E-8</v>
      </c>
      <c r="CI10" s="77">
        <v>1E-8</v>
      </c>
      <c r="CJ10" s="77">
        <v>1E-8</v>
      </c>
      <c r="CK10" s="44"/>
    </row>
    <row r="11" spans="1:89" x14ac:dyDescent="0.35">
      <c r="A11" s="9" t="s">
        <v>592</v>
      </c>
      <c r="B11" s="44"/>
      <c r="C11" s="91" t="s">
        <v>294</v>
      </c>
      <c r="D11" s="79">
        <v>0.42908540121779326</v>
      </c>
      <c r="E11" s="80">
        <v>1.5842592543777068</v>
      </c>
      <c r="F11" s="79">
        <v>1E-8</v>
      </c>
      <c r="G11" s="79">
        <v>1E-8</v>
      </c>
      <c r="H11" s="79">
        <v>1E-8</v>
      </c>
      <c r="I11" s="79">
        <v>1E-8</v>
      </c>
      <c r="J11" s="79">
        <v>1E-8</v>
      </c>
      <c r="K11" s="79">
        <v>1E-8</v>
      </c>
      <c r="L11" s="79">
        <v>1E-8</v>
      </c>
      <c r="M11" s="79">
        <v>1E-8</v>
      </c>
      <c r="N11" s="44"/>
      <c r="O11" s="34"/>
      <c r="P11" s="9" t="s">
        <v>592</v>
      </c>
      <c r="Q11" s="44"/>
      <c r="R11" s="91" t="s">
        <v>294</v>
      </c>
      <c r="S11" s="79">
        <v>0.33098035905991141</v>
      </c>
      <c r="T11" s="80">
        <v>1.4727741683894235</v>
      </c>
      <c r="U11" s="79">
        <v>1E-8</v>
      </c>
      <c r="V11" s="79">
        <v>1E-8</v>
      </c>
      <c r="W11" s="79">
        <v>1E-8</v>
      </c>
      <c r="X11" s="79">
        <v>1E-8</v>
      </c>
      <c r="Y11" s="79">
        <v>1E-8</v>
      </c>
      <c r="Z11" s="79">
        <v>1E-8</v>
      </c>
      <c r="AA11" s="79">
        <v>1E-8</v>
      </c>
      <c r="AB11" s="79">
        <v>1E-8</v>
      </c>
      <c r="AC11" s="44"/>
      <c r="AD11" s="34"/>
      <c r="AE11" s="9" t="s">
        <v>592</v>
      </c>
      <c r="AF11" s="44"/>
      <c r="AG11" s="91" t="s">
        <v>294</v>
      </c>
      <c r="AH11" s="79">
        <v>0.1676427128790656</v>
      </c>
      <c r="AI11" s="80">
        <v>6.6581774041279518</v>
      </c>
      <c r="AJ11" s="79">
        <v>1E-8</v>
      </c>
      <c r="AK11" s="79">
        <v>1E-8</v>
      </c>
      <c r="AL11" s="79">
        <v>1E-8</v>
      </c>
      <c r="AM11" s="79">
        <v>1E-8</v>
      </c>
      <c r="AN11" s="79">
        <v>1E-8</v>
      </c>
      <c r="AO11" s="79">
        <v>1E-8</v>
      </c>
      <c r="AP11" s="79">
        <v>1E-8</v>
      </c>
      <c r="AQ11" s="79">
        <v>1E-8</v>
      </c>
      <c r="AR11" s="44"/>
      <c r="AS11" s="34"/>
      <c r="AT11" s="9" t="s">
        <v>592</v>
      </c>
      <c r="AU11" s="44"/>
      <c r="AV11" s="91" t="s">
        <v>294</v>
      </c>
      <c r="AW11" s="79">
        <v>3.5586236469983303E-2</v>
      </c>
      <c r="AX11" s="80">
        <v>6.4600772233564863</v>
      </c>
      <c r="AY11" s="79">
        <v>1E-8</v>
      </c>
      <c r="AZ11" s="79">
        <v>1E-8</v>
      </c>
      <c r="BA11" s="79">
        <v>1E-8</v>
      </c>
      <c r="BB11" s="79">
        <v>1E-8</v>
      </c>
      <c r="BC11" s="79">
        <v>1E-8</v>
      </c>
      <c r="BD11" s="79">
        <v>1E-8</v>
      </c>
      <c r="BE11" s="79">
        <v>1E-8</v>
      </c>
      <c r="BF11" s="79">
        <v>1E-8</v>
      </c>
      <c r="BG11" s="44"/>
      <c r="BH11" s="34"/>
      <c r="BI11" s="9" t="s">
        <v>592</v>
      </c>
      <c r="BJ11" s="44"/>
      <c r="BK11" s="91" t="s">
        <v>294</v>
      </c>
      <c r="BL11" s="79">
        <v>0.15045289658849603</v>
      </c>
      <c r="BM11" s="80">
        <v>1E-8</v>
      </c>
      <c r="BN11" s="79">
        <v>1E-8</v>
      </c>
      <c r="BO11" s="79">
        <v>1E-8</v>
      </c>
      <c r="BP11" s="79">
        <v>1E-8</v>
      </c>
      <c r="BQ11" s="79">
        <v>1E-8</v>
      </c>
      <c r="BR11" s="79">
        <v>1E-8</v>
      </c>
      <c r="BS11" s="79">
        <v>1E-8</v>
      </c>
      <c r="BT11" s="79">
        <v>1E-8</v>
      </c>
      <c r="BU11" s="79">
        <v>1E-8</v>
      </c>
      <c r="BV11" s="44"/>
      <c r="BW11" s="34"/>
      <c r="BX11" s="9" t="s">
        <v>592</v>
      </c>
      <c r="BY11" s="44"/>
      <c r="BZ11" s="91" t="s">
        <v>294</v>
      </c>
      <c r="CA11" s="79">
        <v>4.4211411450038041E-2</v>
      </c>
      <c r="CB11" s="80">
        <v>1E-8</v>
      </c>
      <c r="CC11" s="79">
        <v>1E-8</v>
      </c>
      <c r="CD11" s="79">
        <v>1E-8</v>
      </c>
      <c r="CE11" s="79">
        <v>1E-8</v>
      </c>
      <c r="CF11" s="79">
        <v>1E-8</v>
      </c>
      <c r="CG11" s="79">
        <v>1E-8</v>
      </c>
      <c r="CH11" s="79">
        <v>1E-8</v>
      </c>
      <c r="CI11" s="79">
        <v>1E-8</v>
      </c>
      <c r="CJ11" s="79">
        <v>1E-8</v>
      </c>
      <c r="CK11" s="44"/>
    </row>
    <row r="12" spans="1:89" x14ac:dyDescent="0.35">
      <c r="A12" s="9" t="s">
        <v>593</v>
      </c>
      <c r="B12" s="44"/>
      <c r="C12" s="91" t="s">
        <v>293</v>
      </c>
      <c r="D12" s="79">
        <v>0.7981370980623631</v>
      </c>
      <c r="E12" s="80">
        <v>1.7304330979262206</v>
      </c>
      <c r="F12" s="79">
        <v>1E-8</v>
      </c>
      <c r="G12" s="79">
        <v>1E-8</v>
      </c>
      <c r="H12" s="79">
        <v>1E-8</v>
      </c>
      <c r="I12" s="79">
        <v>1E-8</v>
      </c>
      <c r="J12" s="79">
        <v>1E-8</v>
      </c>
      <c r="K12" s="79">
        <v>1E-8</v>
      </c>
      <c r="L12" s="79">
        <v>1E-8</v>
      </c>
      <c r="M12" s="79">
        <v>1E-8</v>
      </c>
      <c r="N12" s="44"/>
      <c r="O12" s="34"/>
      <c r="P12" s="9" t="s">
        <v>593</v>
      </c>
      <c r="Q12" s="44"/>
      <c r="R12" s="91" t="s">
        <v>293</v>
      </c>
      <c r="S12" s="79">
        <v>0.74921185289961223</v>
      </c>
      <c r="T12" s="80">
        <v>2.4264211626118692</v>
      </c>
      <c r="U12" s="79">
        <v>1E-8</v>
      </c>
      <c r="V12" s="79">
        <v>1E-8</v>
      </c>
      <c r="W12" s="79">
        <v>1E-8</v>
      </c>
      <c r="X12" s="79">
        <v>1E-8</v>
      </c>
      <c r="Y12" s="79">
        <v>1E-8</v>
      </c>
      <c r="Z12" s="79">
        <v>1E-8</v>
      </c>
      <c r="AA12" s="79">
        <v>1E-8</v>
      </c>
      <c r="AB12" s="79">
        <v>1E-8</v>
      </c>
      <c r="AC12" s="44"/>
      <c r="AD12" s="34"/>
      <c r="AE12" s="9" t="s">
        <v>593</v>
      </c>
      <c r="AF12" s="44"/>
      <c r="AG12" s="91" t="s">
        <v>293</v>
      </c>
      <c r="AH12" s="79">
        <v>1.0015674033045654</v>
      </c>
      <c r="AI12" s="80">
        <v>6.6504406387493109</v>
      </c>
      <c r="AJ12" s="79">
        <v>1E-8</v>
      </c>
      <c r="AK12" s="79">
        <v>1E-8</v>
      </c>
      <c r="AL12" s="79">
        <v>1E-8</v>
      </c>
      <c r="AM12" s="79">
        <v>1E-8</v>
      </c>
      <c r="AN12" s="79">
        <v>1E-8</v>
      </c>
      <c r="AO12" s="79">
        <v>1E-8</v>
      </c>
      <c r="AP12" s="79">
        <v>1E-8</v>
      </c>
      <c r="AQ12" s="79">
        <v>1E-8</v>
      </c>
      <c r="AR12" s="44"/>
      <c r="AS12" s="34"/>
      <c r="AT12" s="9" t="s">
        <v>593</v>
      </c>
      <c r="AU12" s="44"/>
      <c r="AV12" s="91" t="s">
        <v>293</v>
      </c>
      <c r="AW12" s="79">
        <v>0.88193465787517533</v>
      </c>
      <c r="AX12" s="80">
        <v>6.4694977665983311</v>
      </c>
      <c r="AY12" s="79">
        <v>1E-8</v>
      </c>
      <c r="AZ12" s="79">
        <v>1E-8</v>
      </c>
      <c r="BA12" s="79">
        <v>1E-8</v>
      </c>
      <c r="BB12" s="79">
        <v>1E-8</v>
      </c>
      <c r="BC12" s="79">
        <v>1E-8</v>
      </c>
      <c r="BD12" s="79">
        <v>1E-8</v>
      </c>
      <c r="BE12" s="79">
        <v>1E-8</v>
      </c>
      <c r="BF12" s="79">
        <v>1E-8</v>
      </c>
      <c r="BG12" s="44"/>
      <c r="BH12" s="34"/>
      <c r="BI12" s="9" t="s">
        <v>593</v>
      </c>
      <c r="BJ12" s="44"/>
      <c r="BK12" s="91" t="s">
        <v>293</v>
      </c>
      <c r="BL12" s="79">
        <v>0.89808671758127312</v>
      </c>
      <c r="BM12" s="80">
        <v>1E-8</v>
      </c>
      <c r="BN12" s="79">
        <v>1E-8</v>
      </c>
      <c r="BO12" s="79">
        <v>1E-8</v>
      </c>
      <c r="BP12" s="79">
        <v>1E-8</v>
      </c>
      <c r="BQ12" s="79">
        <v>1E-8</v>
      </c>
      <c r="BR12" s="79">
        <v>1E-8</v>
      </c>
      <c r="BS12" s="79">
        <v>1E-8</v>
      </c>
      <c r="BT12" s="79">
        <v>1E-8</v>
      </c>
      <c r="BU12" s="79">
        <v>1E-8</v>
      </c>
      <c r="BV12" s="44"/>
      <c r="BW12" s="34"/>
      <c r="BX12" s="9" t="s">
        <v>593</v>
      </c>
      <c r="BY12" s="44"/>
      <c r="BZ12" s="91" t="s">
        <v>293</v>
      </c>
      <c r="CA12" s="79">
        <v>1.0742487059143255</v>
      </c>
      <c r="CB12" s="80">
        <v>1E-8</v>
      </c>
      <c r="CC12" s="79">
        <v>1E-8</v>
      </c>
      <c r="CD12" s="79">
        <v>1E-8</v>
      </c>
      <c r="CE12" s="79">
        <v>1E-8</v>
      </c>
      <c r="CF12" s="79">
        <v>1E-8</v>
      </c>
      <c r="CG12" s="79">
        <v>1E-8</v>
      </c>
      <c r="CH12" s="79">
        <v>1E-8</v>
      </c>
      <c r="CI12" s="79">
        <v>1E-8</v>
      </c>
      <c r="CJ12" s="79">
        <v>1E-8</v>
      </c>
      <c r="CK12" s="44"/>
    </row>
    <row r="13" spans="1:89" x14ac:dyDescent="0.35">
      <c r="A13" s="9" t="s">
        <v>594</v>
      </c>
      <c r="B13" s="44"/>
      <c r="C13" s="91" t="s">
        <v>296</v>
      </c>
      <c r="D13" s="79">
        <v>3.0532672497605072E-2</v>
      </c>
      <c r="E13" s="80">
        <v>2.0520015905868716</v>
      </c>
      <c r="F13" s="79">
        <v>1E-8</v>
      </c>
      <c r="G13" s="79">
        <v>1E-8</v>
      </c>
      <c r="H13" s="79">
        <v>1E-8</v>
      </c>
      <c r="I13" s="79">
        <v>1E-8</v>
      </c>
      <c r="J13" s="79">
        <v>1E-8</v>
      </c>
      <c r="K13" s="79">
        <v>1E-8</v>
      </c>
      <c r="L13" s="79">
        <v>1E-8</v>
      </c>
      <c r="M13" s="79">
        <v>1E-8</v>
      </c>
      <c r="N13" s="44"/>
      <c r="O13" s="34"/>
      <c r="P13" s="9" t="s">
        <v>594</v>
      </c>
      <c r="Q13" s="44"/>
      <c r="R13" s="91" t="s">
        <v>296</v>
      </c>
      <c r="S13" s="79">
        <v>0.44365296373921703</v>
      </c>
      <c r="T13" s="80">
        <v>6.2084816287689248</v>
      </c>
      <c r="U13" s="79">
        <v>1E-8</v>
      </c>
      <c r="V13" s="79">
        <v>1E-8</v>
      </c>
      <c r="W13" s="79">
        <v>1E-8</v>
      </c>
      <c r="X13" s="79">
        <v>1E-8</v>
      </c>
      <c r="Y13" s="79">
        <v>1E-8</v>
      </c>
      <c r="Z13" s="79">
        <v>1E-8</v>
      </c>
      <c r="AA13" s="79">
        <v>1E-8</v>
      </c>
      <c r="AB13" s="79">
        <v>1E-8</v>
      </c>
      <c r="AC13" s="44"/>
      <c r="AD13" s="34"/>
      <c r="AE13" s="9" t="s">
        <v>594</v>
      </c>
      <c r="AF13" s="44"/>
      <c r="AG13" s="91" t="s">
        <v>296</v>
      </c>
      <c r="AH13" s="79">
        <v>1E-8</v>
      </c>
      <c r="AI13" s="80">
        <v>1E-8</v>
      </c>
      <c r="AJ13" s="79">
        <v>1E-8</v>
      </c>
      <c r="AK13" s="79">
        <v>1E-8</v>
      </c>
      <c r="AL13" s="79">
        <v>1E-8</v>
      </c>
      <c r="AM13" s="79">
        <v>1E-8</v>
      </c>
      <c r="AN13" s="79">
        <v>1E-8</v>
      </c>
      <c r="AO13" s="79">
        <v>1E-8</v>
      </c>
      <c r="AP13" s="79">
        <v>1E-8</v>
      </c>
      <c r="AQ13" s="79">
        <v>1E-8</v>
      </c>
      <c r="AR13" s="44"/>
      <c r="AS13" s="34"/>
      <c r="AT13" s="9" t="s">
        <v>594</v>
      </c>
      <c r="AU13" s="44"/>
      <c r="AV13" s="91" t="s">
        <v>296</v>
      </c>
      <c r="AW13" s="79">
        <v>1.8887962754386545</v>
      </c>
      <c r="AX13" s="80">
        <v>6.4547015617069325</v>
      </c>
      <c r="AY13" s="79">
        <v>1E-8</v>
      </c>
      <c r="AZ13" s="79">
        <v>1E-8</v>
      </c>
      <c r="BA13" s="79">
        <v>1E-8</v>
      </c>
      <c r="BB13" s="79">
        <v>1E-8</v>
      </c>
      <c r="BC13" s="79">
        <v>1E-8</v>
      </c>
      <c r="BD13" s="79">
        <v>1E-8</v>
      </c>
      <c r="BE13" s="79">
        <v>1E-8</v>
      </c>
      <c r="BF13" s="79">
        <v>1E-8</v>
      </c>
      <c r="BG13" s="44"/>
      <c r="BH13" s="34"/>
      <c r="BI13" s="9" t="s">
        <v>594</v>
      </c>
      <c r="BJ13" s="44"/>
      <c r="BK13" s="91" t="s">
        <v>296</v>
      </c>
      <c r="BL13" s="79">
        <v>1E-8</v>
      </c>
      <c r="BM13" s="80">
        <v>1E-8</v>
      </c>
      <c r="BN13" s="79">
        <v>1E-8</v>
      </c>
      <c r="BO13" s="79">
        <v>1E-8</v>
      </c>
      <c r="BP13" s="79">
        <v>1E-8</v>
      </c>
      <c r="BQ13" s="79">
        <v>1E-8</v>
      </c>
      <c r="BR13" s="79">
        <v>1E-8</v>
      </c>
      <c r="BS13" s="79">
        <v>1E-8</v>
      </c>
      <c r="BT13" s="79">
        <v>1E-8</v>
      </c>
      <c r="BU13" s="79">
        <v>1E-8</v>
      </c>
      <c r="BV13" s="44"/>
      <c r="BW13" s="34"/>
      <c r="BX13" s="9" t="s">
        <v>594</v>
      </c>
      <c r="BY13" s="44"/>
      <c r="BZ13" s="91" t="s">
        <v>296</v>
      </c>
      <c r="CA13" s="79">
        <v>2.345141239539537</v>
      </c>
      <c r="CB13" s="80">
        <v>1E-8</v>
      </c>
      <c r="CC13" s="79">
        <v>1E-8</v>
      </c>
      <c r="CD13" s="79">
        <v>1E-8</v>
      </c>
      <c r="CE13" s="79">
        <v>1E-8</v>
      </c>
      <c r="CF13" s="79">
        <v>1E-8</v>
      </c>
      <c r="CG13" s="79">
        <v>1E-8</v>
      </c>
      <c r="CH13" s="79">
        <v>1E-8</v>
      </c>
      <c r="CI13" s="79">
        <v>1E-8</v>
      </c>
      <c r="CJ13" s="79">
        <v>1E-8</v>
      </c>
      <c r="CK13" s="44"/>
    </row>
    <row r="14" spans="1:89" x14ac:dyDescent="0.35">
      <c r="A14" s="9" t="s">
        <v>595</v>
      </c>
      <c r="B14" s="44"/>
      <c r="C14" s="91" t="s">
        <v>295</v>
      </c>
      <c r="D14" s="79">
        <v>0.52928921484057945</v>
      </c>
      <c r="E14" s="80">
        <v>1.5594475416135012</v>
      </c>
      <c r="F14" s="79">
        <v>1E-8</v>
      </c>
      <c r="G14" s="79">
        <v>1E-8</v>
      </c>
      <c r="H14" s="79">
        <v>1E-8</v>
      </c>
      <c r="I14" s="79">
        <v>1E-8</v>
      </c>
      <c r="J14" s="79">
        <v>1E-8</v>
      </c>
      <c r="K14" s="79">
        <v>1E-8</v>
      </c>
      <c r="L14" s="79">
        <v>1E-8</v>
      </c>
      <c r="M14" s="79">
        <v>1E-8</v>
      </c>
      <c r="N14" s="44"/>
      <c r="O14" s="34"/>
      <c r="P14" s="9" t="s">
        <v>595</v>
      </c>
      <c r="Q14" s="44"/>
      <c r="R14" s="91" t="s">
        <v>295</v>
      </c>
      <c r="S14" s="79">
        <v>0.57358293570674523</v>
      </c>
      <c r="T14" s="80">
        <v>2.716592885300706</v>
      </c>
      <c r="U14" s="79">
        <v>1E-8</v>
      </c>
      <c r="V14" s="79">
        <v>1E-8</v>
      </c>
      <c r="W14" s="79">
        <v>1E-8</v>
      </c>
      <c r="X14" s="79">
        <v>1E-8</v>
      </c>
      <c r="Y14" s="79">
        <v>1E-8</v>
      </c>
      <c r="Z14" s="79">
        <v>1E-8</v>
      </c>
      <c r="AA14" s="79">
        <v>1E-8</v>
      </c>
      <c r="AB14" s="79">
        <v>1E-8</v>
      </c>
      <c r="AC14" s="44"/>
      <c r="AD14" s="34"/>
      <c r="AE14" s="9" t="s">
        <v>595</v>
      </c>
      <c r="AF14" s="44"/>
      <c r="AG14" s="91" t="s">
        <v>295</v>
      </c>
      <c r="AH14" s="79">
        <v>0.50611773065442567</v>
      </c>
      <c r="AI14" s="80">
        <v>6.646553471241301</v>
      </c>
      <c r="AJ14" s="79">
        <v>1E-8</v>
      </c>
      <c r="AK14" s="79">
        <v>1E-8</v>
      </c>
      <c r="AL14" s="79">
        <v>1E-8</v>
      </c>
      <c r="AM14" s="79">
        <v>1E-8</v>
      </c>
      <c r="AN14" s="79">
        <v>1E-8</v>
      </c>
      <c r="AO14" s="79">
        <v>1E-8</v>
      </c>
      <c r="AP14" s="79">
        <v>1E-8</v>
      </c>
      <c r="AQ14" s="79">
        <v>1E-8</v>
      </c>
      <c r="AR14" s="44"/>
      <c r="AS14" s="34"/>
      <c r="AT14" s="9" t="s">
        <v>595</v>
      </c>
      <c r="AU14" s="44"/>
      <c r="AV14" s="91" t="s">
        <v>295</v>
      </c>
      <c r="AW14" s="79">
        <v>0.79483230009096373</v>
      </c>
      <c r="AX14" s="80">
        <v>6.4940207861079235</v>
      </c>
      <c r="AY14" s="79">
        <v>1E-8</v>
      </c>
      <c r="AZ14" s="79">
        <v>1E-8</v>
      </c>
      <c r="BA14" s="79">
        <v>1E-8</v>
      </c>
      <c r="BB14" s="79">
        <v>1E-8</v>
      </c>
      <c r="BC14" s="79">
        <v>1E-8</v>
      </c>
      <c r="BD14" s="79">
        <v>1E-8</v>
      </c>
      <c r="BE14" s="79">
        <v>1E-8</v>
      </c>
      <c r="BF14" s="79">
        <v>1E-8</v>
      </c>
      <c r="BG14" s="44"/>
      <c r="BH14" s="34"/>
      <c r="BI14" s="9" t="s">
        <v>595</v>
      </c>
      <c r="BJ14" s="44"/>
      <c r="BK14" s="91" t="s">
        <v>295</v>
      </c>
      <c r="BL14" s="79">
        <v>0.4536278519534388</v>
      </c>
      <c r="BM14" s="80">
        <v>1E-8</v>
      </c>
      <c r="BN14" s="79">
        <v>1E-8</v>
      </c>
      <c r="BO14" s="79">
        <v>1E-8</v>
      </c>
      <c r="BP14" s="79">
        <v>1E-8</v>
      </c>
      <c r="BQ14" s="79">
        <v>1E-8</v>
      </c>
      <c r="BR14" s="79">
        <v>1E-8</v>
      </c>
      <c r="BS14" s="79">
        <v>1E-8</v>
      </c>
      <c r="BT14" s="79">
        <v>1E-8</v>
      </c>
      <c r="BU14" s="79">
        <v>1E-8</v>
      </c>
      <c r="BV14" s="44"/>
      <c r="BW14" s="34"/>
      <c r="BX14" s="9" t="s">
        <v>595</v>
      </c>
      <c r="BY14" s="44"/>
      <c r="BZ14" s="91" t="s">
        <v>295</v>
      </c>
      <c r="CA14" s="79">
        <v>0.73176597499588691</v>
      </c>
      <c r="CB14" s="80">
        <v>1E-8</v>
      </c>
      <c r="CC14" s="79">
        <v>1E-8</v>
      </c>
      <c r="CD14" s="79">
        <v>1E-8</v>
      </c>
      <c r="CE14" s="79">
        <v>1E-8</v>
      </c>
      <c r="CF14" s="79">
        <v>1E-8</v>
      </c>
      <c r="CG14" s="79">
        <v>1E-8</v>
      </c>
      <c r="CH14" s="79">
        <v>1E-8</v>
      </c>
      <c r="CI14" s="79">
        <v>1E-8</v>
      </c>
      <c r="CJ14" s="79">
        <v>1E-8</v>
      </c>
      <c r="CK14" s="44"/>
    </row>
    <row r="15" spans="1:89" x14ac:dyDescent="0.35">
      <c r="A15" s="9" t="s">
        <v>596</v>
      </c>
      <c r="B15" s="44"/>
      <c r="C15" s="91" t="s">
        <v>297</v>
      </c>
      <c r="D15" s="79">
        <v>2.7550680522845155E-3</v>
      </c>
      <c r="E15" s="80">
        <v>1.9539123490054822</v>
      </c>
      <c r="F15" s="79">
        <v>1E-8</v>
      </c>
      <c r="G15" s="79">
        <v>1E-8</v>
      </c>
      <c r="H15" s="79">
        <v>1E-8</v>
      </c>
      <c r="I15" s="79">
        <v>1E-8</v>
      </c>
      <c r="J15" s="79">
        <v>1E-8</v>
      </c>
      <c r="K15" s="79">
        <v>1E-8</v>
      </c>
      <c r="L15" s="79">
        <v>1E-8</v>
      </c>
      <c r="M15" s="79">
        <v>1E-8</v>
      </c>
      <c r="N15" s="44"/>
      <c r="O15" s="34"/>
      <c r="P15" s="9" t="s">
        <v>596</v>
      </c>
      <c r="Q15" s="44"/>
      <c r="R15" s="91" t="s">
        <v>297</v>
      </c>
      <c r="S15" s="79">
        <v>3.1338673247269966E-2</v>
      </c>
      <c r="T15" s="80">
        <v>6.1408803512701393</v>
      </c>
      <c r="U15" s="79">
        <v>1E-8</v>
      </c>
      <c r="V15" s="79">
        <v>1E-8</v>
      </c>
      <c r="W15" s="79">
        <v>1E-8</v>
      </c>
      <c r="X15" s="79">
        <v>1E-8</v>
      </c>
      <c r="Y15" s="79">
        <v>1E-8</v>
      </c>
      <c r="Z15" s="79">
        <v>1E-8</v>
      </c>
      <c r="AA15" s="79">
        <v>1E-8</v>
      </c>
      <c r="AB15" s="79">
        <v>1E-8</v>
      </c>
      <c r="AC15" s="44"/>
      <c r="AD15" s="34"/>
      <c r="AE15" s="9" t="s">
        <v>596</v>
      </c>
      <c r="AF15" s="44"/>
      <c r="AG15" s="91" t="s">
        <v>297</v>
      </c>
      <c r="AH15" s="79">
        <v>1E-8</v>
      </c>
      <c r="AI15" s="80">
        <v>1E-8</v>
      </c>
      <c r="AJ15" s="79">
        <v>1E-8</v>
      </c>
      <c r="AK15" s="79">
        <v>1E-8</v>
      </c>
      <c r="AL15" s="79">
        <v>1E-8</v>
      </c>
      <c r="AM15" s="79">
        <v>1E-8</v>
      </c>
      <c r="AN15" s="79">
        <v>1E-8</v>
      </c>
      <c r="AO15" s="79">
        <v>1E-8</v>
      </c>
      <c r="AP15" s="79">
        <v>1E-8</v>
      </c>
      <c r="AQ15" s="79">
        <v>1E-8</v>
      </c>
      <c r="AR15" s="44"/>
      <c r="AS15" s="34"/>
      <c r="AT15" s="9" t="s">
        <v>596</v>
      </c>
      <c r="AU15" s="44"/>
      <c r="AV15" s="91" t="s">
        <v>297</v>
      </c>
      <c r="AW15" s="79">
        <v>0.13068694061442979</v>
      </c>
      <c r="AX15" s="80">
        <v>6.46424774901182</v>
      </c>
      <c r="AY15" s="79">
        <v>1E-8</v>
      </c>
      <c r="AZ15" s="79">
        <v>1E-8</v>
      </c>
      <c r="BA15" s="79">
        <v>1E-8</v>
      </c>
      <c r="BB15" s="79">
        <v>1E-8</v>
      </c>
      <c r="BC15" s="79">
        <v>1E-8</v>
      </c>
      <c r="BD15" s="79">
        <v>1E-8</v>
      </c>
      <c r="BE15" s="79">
        <v>1E-8</v>
      </c>
      <c r="BF15" s="79">
        <v>1E-8</v>
      </c>
      <c r="BG15" s="44"/>
      <c r="BH15" s="34"/>
      <c r="BI15" s="9" t="s">
        <v>596</v>
      </c>
      <c r="BJ15" s="44"/>
      <c r="BK15" s="91" t="s">
        <v>297</v>
      </c>
      <c r="BL15" s="79">
        <v>1E-8</v>
      </c>
      <c r="BM15" s="80">
        <v>1E-8</v>
      </c>
      <c r="BN15" s="79">
        <v>1E-8</v>
      </c>
      <c r="BO15" s="79">
        <v>1E-8</v>
      </c>
      <c r="BP15" s="79">
        <v>1E-8</v>
      </c>
      <c r="BQ15" s="79">
        <v>1E-8</v>
      </c>
      <c r="BR15" s="79">
        <v>1E-8</v>
      </c>
      <c r="BS15" s="79">
        <v>1E-8</v>
      </c>
      <c r="BT15" s="79">
        <v>1E-8</v>
      </c>
      <c r="BU15" s="79">
        <v>1E-8</v>
      </c>
      <c r="BV15" s="44"/>
      <c r="BW15" s="34"/>
      <c r="BX15" s="9" t="s">
        <v>596</v>
      </c>
      <c r="BY15" s="44"/>
      <c r="BZ15" s="91" t="s">
        <v>297</v>
      </c>
      <c r="CA15" s="79">
        <v>0.16114463259205392</v>
      </c>
      <c r="CB15" s="80">
        <v>1E-8</v>
      </c>
      <c r="CC15" s="79">
        <v>1E-8</v>
      </c>
      <c r="CD15" s="79">
        <v>1E-8</v>
      </c>
      <c r="CE15" s="79">
        <v>1E-8</v>
      </c>
      <c r="CF15" s="79">
        <v>1E-8</v>
      </c>
      <c r="CG15" s="79">
        <v>1E-8</v>
      </c>
      <c r="CH15" s="79">
        <v>1E-8</v>
      </c>
      <c r="CI15" s="79">
        <v>1E-8</v>
      </c>
      <c r="CJ15" s="79">
        <v>1E-8</v>
      </c>
      <c r="CK15" s="44"/>
    </row>
    <row r="16" spans="1:89" x14ac:dyDescent="0.35">
      <c r="A16" s="9" t="s">
        <v>597</v>
      </c>
      <c r="B16" s="44"/>
      <c r="C16" s="91" t="s">
        <v>301</v>
      </c>
      <c r="D16" s="79">
        <v>0.35534064270257487</v>
      </c>
      <c r="E16" s="80">
        <v>1.1295694279047197</v>
      </c>
      <c r="F16" s="79">
        <v>1E-8</v>
      </c>
      <c r="G16" s="79">
        <v>1E-8</v>
      </c>
      <c r="H16" s="79">
        <v>1E-8</v>
      </c>
      <c r="I16" s="79">
        <v>1E-8</v>
      </c>
      <c r="J16" s="79">
        <v>1E-8</v>
      </c>
      <c r="K16" s="79">
        <v>1E-8</v>
      </c>
      <c r="L16" s="79">
        <v>1E-8</v>
      </c>
      <c r="M16" s="79">
        <v>1E-8</v>
      </c>
      <c r="N16" s="44"/>
      <c r="O16" s="34"/>
      <c r="P16" s="9" t="s">
        <v>597</v>
      </c>
      <c r="Q16" s="44"/>
      <c r="R16" s="91" t="s">
        <v>301</v>
      </c>
      <c r="S16" s="79">
        <v>0.34276302786931873</v>
      </c>
      <c r="T16" s="80">
        <v>0.31032307990392916</v>
      </c>
      <c r="U16" s="79">
        <v>1E-8</v>
      </c>
      <c r="V16" s="79">
        <v>1E-8</v>
      </c>
      <c r="W16" s="79">
        <v>1E-8</v>
      </c>
      <c r="X16" s="79">
        <v>1E-8</v>
      </c>
      <c r="Y16" s="79">
        <v>1E-8</v>
      </c>
      <c r="Z16" s="79">
        <v>1E-8</v>
      </c>
      <c r="AA16" s="79">
        <v>1E-8</v>
      </c>
      <c r="AB16" s="79">
        <v>1E-8</v>
      </c>
      <c r="AC16" s="44"/>
      <c r="AD16" s="34"/>
      <c r="AE16" s="9" t="s">
        <v>597</v>
      </c>
      <c r="AF16" s="44"/>
      <c r="AG16" s="91" t="s">
        <v>301</v>
      </c>
      <c r="AH16" s="79">
        <v>0.45639772830909908</v>
      </c>
      <c r="AI16" s="80">
        <v>8.5259998445911691</v>
      </c>
      <c r="AJ16" s="79">
        <v>1E-8</v>
      </c>
      <c r="AK16" s="79">
        <v>1E-8</v>
      </c>
      <c r="AL16" s="79">
        <v>1E-8</v>
      </c>
      <c r="AM16" s="79">
        <v>1E-8</v>
      </c>
      <c r="AN16" s="79">
        <v>1E-8</v>
      </c>
      <c r="AO16" s="79">
        <v>1E-8</v>
      </c>
      <c r="AP16" s="79">
        <v>1E-8</v>
      </c>
      <c r="AQ16" s="79">
        <v>1E-8</v>
      </c>
      <c r="AR16" s="44"/>
      <c r="AS16" s="34"/>
      <c r="AT16" s="9" t="s">
        <v>597</v>
      </c>
      <c r="AU16" s="44"/>
      <c r="AV16" s="91" t="s">
        <v>301</v>
      </c>
      <c r="AW16" s="79">
        <v>0.19464893638089001</v>
      </c>
      <c r="AX16" s="80">
        <v>4.9520246433376824</v>
      </c>
      <c r="AY16" s="79">
        <v>1E-8</v>
      </c>
      <c r="AZ16" s="79">
        <v>1E-8</v>
      </c>
      <c r="BA16" s="79">
        <v>1E-8</v>
      </c>
      <c r="BB16" s="79">
        <v>1E-8</v>
      </c>
      <c r="BC16" s="79">
        <v>1E-8</v>
      </c>
      <c r="BD16" s="79">
        <v>1E-8</v>
      </c>
      <c r="BE16" s="79">
        <v>1E-8</v>
      </c>
      <c r="BF16" s="79">
        <v>1E-8</v>
      </c>
      <c r="BG16" s="44"/>
      <c r="BH16" s="34"/>
      <c r="BI16" s="9" t="s">
        <v>597</v>
      </c>
      <c r="BJ16" s="44"/>
      <c r="BK16" s="91" t="s">
        <v>301</v>
      </c>
      <c r="BL16" s="79">
        <v>0.49558054236359977</v>
      </c>
      <c r="BM16" s="80">
        <v>1E-8</v>
      </c>
      <c r="BN16" s="79">
        <v>1E-8</v>
      </c>
      <c r="BO16" s="79">
        <v>1E-8</v>
      </c>
      <c r="BP16" s="79">
        <v>1E-8</v>
      </c>
      <c r="BQ16" s="79">
        <v>1E-8</v>
      </c>
      <c r="BR16" s="79">
        <v>1E-8</v>
      </c>
      <c r="BS16" s="79">
        <v>1E-8</v>
      </c>
      <c r="BT16" s="79">
        <v>1E-8</v>
      </c>
      <c r="BU16" s="79">
        <v>1E-8</v>
      </c>
      <c r="BV16" s="44"/>
      <c r="BW16" s="34"/>
      <c r="BX16" s="9" t="s">
        <v>597</v>
      </c>
      <c r="BY16" s="44"/>
      <c r="BZ16" s="91" t="s">
        <v>301</v>
      </c>
      <c r="CA16" s="79">
        <v>0.19942033493624348</v>
      </c>
      <c r="CB16" s="80">
        <v>1E-8</v>
      </c>
      <c r="CC16" s="79">
        <v>1E-8</v>
      </c>
      <c r="CD16" s="79">
        <v>1E-8</v>
      </c>
      <c r="CE16" s="79">
        <v>1E-8</v>
      </c>
      <c r="CF16" s="79">
        <v>1E-8</v>
      </c>
      <c r="CG16" s="79">
        <v>1E-8</v>
      </c>
      <c r="CH16" s="79">
        <v>1E-8</v>
      </c>
      <c r="CI16" s="79">
        <v>1E-8</v>
      </c>
      <c r="CJ16" s="79">
        <v>1E-8</v>
      </c>
      <c r="CK16" s="44"/>
    </row>
    <row r="17" spans="1:89" x14ac:dyDescent="0.35">
      <c r="A17" s="9" t="s">
        <v>598</v>
      </c>
      <c r="B17" s="44"/>
      <c r="C17" s="91" t="s">
        <v>302</v>
      </c>
      <c r="D17" s="79">
        <v>9.2873765881410511E-2</v>
      </c>
      <c r="E17" s="80">
        <v>1.1414369333254903</v>
      </c>
      <c r="F17" s="79">
        <v>1E-8</v>
      </c>
      <c r="G17" s="79">
        <v>1E-8</v>
      </c>
      <c r="H17" s="79">
        <v>1E-8</v>
      </c>
      <c r="I17" s="79">
        <v>1E-8</v>
      </c>
      <c r="J17" s="79">
        <v>1E-8</v>
      </c>
      <c r="K17" s="79">
        <v>1E-8</v>
      </c>
      <c r="L17" s="79">
        <v>1E-8</v>
      </c>
      <c r="M17" s="79">
        <v>1E-8</v>
      </c>
      <c r="N17" s="44"/>
      <c r="O17" s="34"/>
      <c r="P17" s="9" t="s">
        <v>598</v>
      </c>
      <c r="Q17" s="44"/>
      <c r="R17" s="91" t="s">
        <v>302</v>
      </c>
      <c r="S17" s="79">
        <v>0.10658786212212484</v>
      </c>
      <c r="T17" s="80">
        <v>5.2624748963814305E-2</v>
      </c>
      <c r="U17" s="79">
        <v>1E-8</v>
      </c>
      <c r="V17" s="79">
        <v>1E-8</v>
      </c>
      <c r="W17" s="79">
        <v>1E-8</v>
      </c>
      <c r="X17" s="79">
        <v>1E-8</v>
      </c>
      <c r="Y17" s="79">
        <v>1E-8</v>
      </c>
      <c r="Z17" s="79">
        <v>1E-8</v>
      </c>
      <c r="AA17" s="79">
        <v>1E-8</v>
      </c>
      <c r="AB17" s="79">
        <v>1E-8</v>
      </c>
      <c r="AC17" s="44"/>
      <c r="AD17" s="34"/>
      <c r="AE17" s="9" t="s">
        <v>598</v>
      </c>
      <c r="AF17" s="44"/>
      <c r="AG17" s="91" t="s">
        <v>302</v>
      </c>
      <c r="AH17" s="79">
        <v>1E-8</v>
      </c>
      <c r="AI17" s="80">
        <v>1E-8</v>
      </c>
      <c r="AJ17" s="79">
        <v>1E-8</v>
      </c>
      <c r="AK17" s="79">
        <v>1E-8</v>
      </c>
      <c r="AL17" s="79">
        <v>1E-8</v>
      </c>
      <c r="AM17" s="79">
        <v>1E-8</v>
      </c>
      <c r="AN17" s="79">
        <v>1E-8</v>
      </c>
      <c r="AO17" s="79">
        <v>1E-8</v>
      </c>
      <c r="AP17" s="79">
        <v>1E-8</v>
      </c>
      <c r="AQ17" s="79">
        <v>1E-8</v>
      </c>
      <c r="AR17" s="44"/>
      <c r="AS17" s="34"/>
      <c r="AT17" s="9" t="s">
        <v>598</v>
      </c>
      <c r="AU17" s="44"/>
      <c r="AV17" s="91" t="s">
        <v>302</v>
      </c>
      <c r="AW17" s="79">
        <v>1E-8</v>
      </c>
      <c r="AX17" s="80">
        <v>1E-8</v>
      </c>
      <c r="AY17" s="79">
        <v>1E-8</v>
      </c>
      <c r="AZ17" s="79">
        <v>1E-8</v>
      </c>
      <c r="BA17" s="79">
        <v>1E-8</v>
      </c>
      <c r="BB17" s="79">
        <v>1E-8</v>
      </c>
      <c r="BC17" s="79">
        <v>1E-8</v>
      </c>
      <c r="BD17" s="79">
        <v>1E-8</v>
      </c>
      <c r="BE17" s="79">
        <v>1E-8</v>
      </c>
      <c r="BF17" s="79">
        <v>1E-8</v>
      </c>
      <c r="BG17" s="44"/>
      <c r="BH17" s="34"/>
      <c r="BI17" s="9" t="s">
        <v>598</v>
      </c>
      <c r="BJ17" s="44"/>
      <c r="BK17" s="91" t="s">
        <v>302</v>
      </c>
      <c r="BL17" s="79">
        <v>1E-8</v>
      </c>
      <c r="BM17" s="80">
        <v>1E-8</v>
      </c>
      <c r="BN17" s="79">
        <v>1E-8</v>
      </c>
      <c r="BO17" s="79">
        <v>1E-8</v>
      </c>
      <c r="BP17" s="79">
        <v>1E-8</v>
      </c>
      <c r="BQ17" s="79">
        <v>1E-8</v>
      </c>
      <c r="BR17" s="79">
        <v>1E-8</v>
      </c>
      <c r="BS17" s="79">
        <v>1E-8</v>
      </c>
      <c r="BT17" s="79">
        <v>1E-8</v>
      </c>
      <c r="BU17" s="79">
        <v>1E-8</v>
      </c>
      <c r="BV17" s="44"/>
      <c r="BW17" s="34"/>
      <c r="BX17" s="9" t="s">
        <v>598</v>
      </c>
      <c r="BY17" s="44"/>
      <c r="BZ17" s="91" t="s">
        <v>302</v>
      </c>
      <c r="CA17" s="79">
        <v>1E-8</v>
      </c>
      <c r="CB17" s="80">
        <v>1E-8</v>
      </c>
      <c r="CC17" s="79">
        <v>1E-8</v>
      </c>
      <c r="CD17" s="79">
        <v>1E-8</v>
      </c>
      <c r="CE17" s="79">
        <v>1E-8</v>
      </c>
      <c r="CF17" s="79">
        <v>1E-8</v>
      </c>
      <c r="CG17" s="79">
        <v>1E-8</v>
      </c>
      <c r="CH17" s="79">
        <v>1E-8</v>
      </c>
      <c r="CI17" s="79">
        <v>1E-8</v>
      </c>
      <c r="CJ17" s="79">
        <v>1E-8</v>
      </c>
      <c r="CK17" s="44"/>
    </row>
    <row r="18" spans="1:89" x14ac:dyDescent="0.35">
      <c r="A18" s="9" t="s">
        <v>599</v>
      </c>
      <c r="B18" s="44"/>
      <c r="C18" s="91" t="s">
        <v>300</v>
      </c>
      <c r="D18" s="79">
        <v>1.0331792033349796</v>
      </c>
      <c r="E18" s="80">
        <v>1.4783548068074026</v>
      </c>
      <c r="F18" s="79">
        <v>1E-8</v>
      </c>
      <c r="G18" s="79">
        <v>1E-8</v>
      </c>
      <c r="H18" s="79">
        <v>1E-8</v>
      </c>
      <c r="I18" s="79">
        <v>1E-8</v>
      </c>
      <c r="J18" s="79">
        <v>1E-8</v>
      </c>
      <c r="K18" s="79">
        <v>1E-8</v>
      </c>
      <c r="L18" s="79">
        <v>1E-8</v>
      </c>
      <c r="M18" s="79">
        <v>1E-8</v>
      </c>
      <c r="N18" s="44"/>
      <c r="O18" s="34"/>
      <c r="P18" s="9" t="s">
        <v>599</v>
      </c>
      <c r="Q18" s="44"/>
      <c r="R18" s="91" t="s">
        <v>300</v>
      </c>
      <c r="S18" s="79">
        <v>0.9390599539811586</v>
      </c>
      <c r="T18" s="80">
        <v>1.6224845221099793</v>
      </c>
      <c r="U18" s="79">
        <v>1E-8</v>
      </c>
      <c r="V18" s="79">
        <v>1E-8</v>
      </c>
      <c r="W18" s="79">
        <v>1E-8</v>
      </c>
      <c r="X18" s="79">
        <v>1E-8</v>
      </c>
      <c r="Y18" s="79">
        <v>1E-8</v>
      </c>
      <c r="Z18" s="79">
        <v>1E-8</v>
      </c>
      <c r="AA18" s="79">
        <v>1E-8</v>
      </c>
      <c r="AB18" s="79">
        <v>1E-8</v>
      </c>
      <c r="AC18" s="44"/>
      <c r="AD18" s="34"/>
      <c r="AE18" s="9" t="s">
        <v>599</v>
      </c>
      <c r="AF18" s="44"/>
      <c r="AG18" s="91" t="s">
        <v>300</v>
      </c>
      <c r="AH18" s="79">
        <v>1E-8</v>
      </c>
      <c r="AI18" s="80">
        <v>1E-8</v>
      </c>
      <c r="AJ18" s="79">
        <v>1E-8</v>
      </c>
      <c r="AK18" s="79">
        <v>1E-8</v>
      </c>
      <c r="AL18" s="79">
        <v>1E-8</v>
      </c>
      <c r="AM18" s="79">
        <v>1E-8</v>
      </c>
      <c r="AN18" s="79">
        <v>1E-8</v>
      </c>
      <c r="AO18" s="79">
        <v>1E-8</v>
      </c>
      <c r="AP18" s="79">
        <v>1E-8</v>
      </c>
      <c r="AQ18" s="79">
        <v>1E-8</v>
      </c>
      <c r="AR18" s="44"/>
      <c r="AS18" s="34"/>
      <c r="AT18" s="9" t="s">
        <v>599</v>
      </c>
      <c r="AU18" s="44"/>
      <c r="AV18" s="91" t="s">
        <v>300</v>
      </c>
      <c r="AW18" s="79">
        <v>0.37580743665026045</v>
      </c>
      <c r="AX18" s="80">
        <v>5.9545898973550671</v>
      </c>
      <c r="AY18" s="79">
        <v>1E-8</v>
      </c>
      <c r="AZ18" s="79">
        <v>1E-8</v>
      </c>
      <c r="BA18" s="79">
        <v>1E-8</v>
      </c>
      <c r="BB18" s="79">
        <v>1E-8</v>
      </c>
      <c r="BC18" s="79">
        <v>1E-8</v>
      </c>
      <c r="BD18" s="79">
        <v>1E-8</v>
      </c>
      <c r="BE18" s="79">
        <v>1E-8</v>
      </c>
      <c r="BF18" s="79">
        <v>1E-8</v>
      </c>
      <c r="BG18" s="44"/>
      <c r="BH18" s="34"/>
      <c r="BI18" s="9" t="s">
        <v>599</v>
      </c>
      <c r="BJ18" s="44"/>
      <c r="BK18" s="91" t="s">
        <v>300</v>
      </c>
      <c r="BL18" s="79">
        <v>1E-8</v>
      </c>
      <c r="BM18" s="80">
        <v>1E-8</v>
      </c>
      <c r="BN18" s="79">
        <v>1E-8</v>
      </c>
      <c r="BO18" s="79">
        <v>1E-8</v>
      </c>
      <c r="BP18" s="79">
        <v>1E-8</v>
      </c>
      <c r="BQ18" s="79">
        <v>1E-8</v>
      </c>
      <c r="BR18" s="79">
        <v>1E-8</v>
      </c>
      <c r="BS18" s="79">
        <v>1E-8</v>
      </c>
      <c r="BT18" s="79">
        <v>1E-8</v>
      </c>
      <c r="BU18" s="79">
        <v>1E-8</v>
      </c>
      <c r="BV18" s="44"/>
      <c r="BW18" s="34"/>
      <c r="BX18" s="9" t="s">
        <v>599</v>
      </c>
      <c r="BY18" s="44"/>
      <c r="BZ18" s="91" t="s">
        <v>300</v>
      </c>
      <c r="CA18" s="79">
        <v>0.4397349943887503</v>
      </c>
      <c r="CB18" s="80">
        <v>1E-8</v>
      </c>
      <c r="CC18" s="79">
        <v>1E-8</v>
      </c>
      <c r="CD18" s="79">
        <v>1E-8</v>
      </c>
      <c r="CE18" s="79">
        <v>1E-8</v>
      </c>
      <c r="CF18" s="79">
        <v>1E-8</v>
      </c>
      <c r="CG18" s="79">
        <v>1E-8</v>
      </c>
      <c r="CH18" s="79">
        <v>1E-8</v>
      </c>
      <c r="CI18" s="79">
        <v>1E-8</v>
      </c>
      <c r="CJ18" s="79">
        <v>1E-8</v>
      </c>
      <c r="CK18" s="44"/>
    </row>
    <row r="19" spans="1:89" x14ac:dyDescent="0.35">
      <c r="A19" s="9" t="s">
        <v>600</v>
      </c>
      <c r="B19" s="44"/>
      <c r="C19" s="91" t="s">
        <v>303</v>
      </c>
      <c r="D19" s="79">
        <v>7.5859391116987543E-2</v>
      </c>
      <c r="E19" s="80">
        <v>1.1472555627575654</v>
      </c>
      <c r="F19" s="79">
        <v>1E-8</v>
      </c>
      <c r="G19" s="79">
        <v>1E-8</v>
      </c>
      <c r="H19" s="79">
        <v>1E-8</v>
      </c>
      <c r="I19" s="79">
        <v>1E-8</v>
      </c>
      <c r="J19" s="79">
        <v>1E-8</v>
      </c>
      <c r="K19" s="79">
        <v>1E-8</v>
      </c>
      <c r="L19" s="79">
        <v>1E-8</v>
      </c>
      <c r="M19" s="79">
        <v>1E-8</v>
      </c>
      <c r="N19" s="44"/>
      <c r="O19" s="34"/>
      <c r="P19" s="9" t="s">
        <v>600</v>
      </c>
      <c r="Q19" s="44"/>
      <c r="R19" s="91" t="s">
        <v>303</v>
      </c>
      <c r="S19" s="79">
        <v>6.279588608641061E-2</v>
      </c>
      <c r="T19" s="80">
        <v>0.92096693260286244</v>
      </c>
      <c r="U19" s="79">
        <v>1E-8</v>
      </c>
      <c r="V19" s="79">
        <v>1E-8</v>
      </c>
      <c r="W19" s="79">
        <v>1E-8</v>
      </c>
      <c r="X19" s="79">
        <v>1E-8</v>
      </c>
      <c r="Y19" s="79">
        <v>1E-8</v>
      </c>
      <c r="Z19" s="79">
        <v>1E-8</v>
      </c>
      <c r="AA19" s="79">
        <v>1E-8</v>
      </c>
      <c r="AB19" s="79">
        <v>1E-8</v>
      </c>
      <c r="AC19" s="44"/>
      <c r="AD19" s="34"/>
      <c r="AE19" s="9" t="s">
        <v>600</v>
      </c>
      <c r="AF19" s="44"/>
      <c r="AG19" s="91" t="s">
        <v>303</v>
      </c>
      <c r="AH19" s="79">
        <v>1E-8</v>
      </c>
      <c r="AI19" s="80">
        <v>1E-8</v>
      </c>
      <c r="AJ19" s="79">
        <v>1E-8</v>
      </c>
      <c r="AK19" s="79">
        <v>1E-8</v>
      </c>
      <c r="AL19" s="79">
        <v>1E-8</v>
      </c>
      <c r="AM19" s="79">
        <v>1E-8</v>
      </c>
      <c r="AN19" s="79">
        <v>1E-8</v>
      </c>
      <c r="AO19" s="79">
        <v>1E-8</v>
      </c>
      <c r="AP19" s="79">
        <v>1E-8</v>
      </c>
      <c r="AQ19" s="79">
        <v>1E-8</v>
      </c>
      <c r="AR19" s="44"/>
      <c r="AS19" s="34"/>
      <c r="AT19" s="9" t="s">
        <v>600</v>
      </c>
      <c r="AU19" s="44"/>
      <c r="AV19" s="91" t="s">
        <v>303</v>
      </c>
      <c r="AW19" s="79">
        <v>1E-8</v>
      </c>
      <c r="AX19" s="80">
        <v>1E-8</v>
      </c>
      <c r="AY19" s="79">
        <v>1E-8</v>
      </c>
      <c r="AZ19" s="79">
        <v>1E-8</v>
      </c>
      <c r="BA19" s="79">
        <v>1E-8</v>
      </c>
      <c r="BB19" s="79">
        <v>1E-8</v>
      </c>
      <c r="BC19" s="79">
        <v>1E-8</v>
      </c>
      <c r="BD19" s="79">
        <v>1E-8</v>
      </c>
      <c r="BE19" s="79">
        <v>1E-8</v>
      </c>
      <c r="BF19" s="79">
        <v>1E-8</v>
      </c>
      <c r="BG19" s="44"/>
      <c r="BH19" s="34"/>
      <c r="BI19" s="9" t="s">
        <v>600</v>
      </c>
      <c r="BJ19" s="44"/>
      <c r="BK19" s="91" t="s">
        <v>303</v>
      </c>
      <c r="BL19" s="79">
        <v>1E-8</v>
      </c>
      <c r="BM19" s="80">
        <v>1E-8</v>
      </c>
      <c r="BN19" s="79">
        <v>1E-8</v>
      </c>
      <c r="BO19" s="79">
        <v>1E-8</v>
      </c>
      <c r="BP19" s="79">
        <v>1E-8</v>
      </c>
      <c r="BQ19" s="79">
        <v>1E-8</v>
      </c>
      <c r="BR19" s="79">
        <v>1E-8</v>
      </c>
      <c r="BS19" s="79">
        <v>1E-8</v>
      </c>
      <c r="BT19" s="79">
        <v>1E-8</v>
      </c>
      <c r="BU19" s="79">
        <v>1E-8</v>
      </c>
      <c r="BV19" s="44"/>
      <c r="BW19" s="34"/>
      <c r="BX19" s="9" t="s">
        <v>600</v>
      </c>
      <c r="BY19" s="44"/>
      <c r="BZ19" s="91" t="s">
        <v>303</v>
      </c>
      <c r="CA19" s="79">
        <v>1E-8</v>
      </c>
      <c r="CB19" s="80">
        <v>1E-8</v>
      </c>
      <c r="CC19" s="79">
        <v>1E-8</v>
      </c>
      <c r="CD19" s="79">
        <v>1E-8</v>
      </c>
      <c r="CE19" s="79">
        <v>1E-8</v>
      </c>
      <c r="CF19" s="79">
        <v>1E-8</v>
      </c>
      <c r="CG19" s="79">
        <v>1E-8</v>
      </c>
      <c r="CH19" s="79">
        <v>1E-8</v>
      </c>
      <c r="CI19" s="79">
        <v>1E-8</v>
      </c>
      <c r="CJ19" s="79">
        <v>1E-8</v>
      </c>
      <c r="CK19" s="44"/>
    </row>
    <row r="20" spans="1:89" x14ac:dyDescent="0.35">
      <c r="A20" s="9" t="s">
        <v>601</v>
      </c>
      <c r="B20" s="44"/>
      <c r="C20" s="91" t="s">
        <v>533</v>
      </c>
      <c r="D20" s="79">
        <v>1.3118935358089934</v>
      </c>
      <c r="E20" s="80">
        <v>0.86773352115609992</v>
      </c>
      <c r="F20" s="79">
        <v>1E-8</v>
      </c>
      <c r="G20" s="79">
        <v>1E-8</v>
      </c>
      <c r="H20" s="79">
        <v>1E-8</v>
      </c>
      <c r="I20" s="79">
        <v>1E-8</v>
      </c>
      <c r="J20" s="79">
        <v>1E-8</v>
      </c>
      <c r="K20" s="79">
        <v>1E-8</v>
      </c>
      <c r="L20" s="79">
        <v>1E-8</v>
      </c>
      <c r="M20" s="79">
        <v>1E-8</v>
      </c>
      <c r="N20" s="44"/>
      <c r="O20" s="34"/>
      <c r="P20" s="9" t="s">
        <v>601</v>
      </c>
      <c r="Q20" s="44"/>
      <c r="R20" s="91" t="s">
        <v>533</v>
      </c>
      <c r="S20" s="79">
        <v>0.99197092028006917</v>
      </c>
      <c r="T20" s="80">
        <v>8.1950637711147856E-2</v>
      </c>
      <c r="U20" s="79">
        <v>1E-8</v>
      </c>
      <c r="V20" s="79">
        <v>1E-8</v>
      </c>
      <c r="W20" s="79">
        <v>1E-8</v>
      </c>
      <c r="X20" s="79">
        <v>1E-8</v>
      </c>
      <c r="Y20" s="79">
        <v>1E-8</v>
      </c>
      <c r="Z20" s="79">
        <v>1E-8</v>
      </c>
      <c r="AA20" s="79">
        <v>1E-8</v>
      </c>
      <c r="AB20" s="79">
        <v>1E-8</v>
      </c>
      <c r="AC20" s="44"/>
      <c r="AD20" s="34"/>
      <c r="AE20" s="9" t="s">
        <v>601</v>
      </c>
      <c r="AF20" s="44"/>
      <c r="AG20" s="91" t="s">
        <v>533</v>
      </c>
      <c r="AH20" s="79">
        <v>1.2647466132651126</v>
      </c>
      <c r="AI20" s="80">
        <v>7.169911922265082</v>
      </c>
      <c r="AJ20" s="79">
        <v>1E-8</v>
      </c>
      <c r="AK20" s="79">
        <v>1E-8</v>
      </c>
      <c r="AL20" s="79">
        <v>1E-8</v>
      </c>
      <c r="AM20" s="79">
        <v>1E-8</v>
      </c>
      <c r="AN20" s="79">
        <v>1E-8</v>
      </c>
      <c r="AO20" s="79">
        <v>1E-8</v>
      </c>
      <c r="AP20" s="79">
        <v>1E-8</v>
      </c>
      <c r="AQ20" s="79">
        <v>1E-8</v>
      </c>
      <c r="AR20" s="44"/>
      <c r="AS20" s="34"/>
      <c r="AT20" s="9" t="s">
        <v>601</v>
      </c>
      <c r="AU20" s="44"/>
      <c r="AV20" s="91" t="s">
        <v>533</v>
      </c>
      <c r="AW20" s="79">
        <v>1E-8</v>
      </c>
      <c r="AX20" s="80">
        <v>1E-8</v>
      </c>
      <c r="AY20" s="79">
        <v>1E-8</v>
      </c>
      <c r="AZ20" s="79">
        <v>1E-8</v>
      </c>
      <c r="BA20" s="79">
        <v>1E-8</v>
      </c>
      <c r="BB20" s="79">
        <v>1E-8</v>
      </c>
      <c r="BC20" s="79">
        <v>1E-8</v>
      </c>
      <c r="BD20" s="79">
        <v>1E-8</v>
      </c>
      <c r="BE20" s="79">
        <v>1E-8</v>
      </c>
      <c r="BF20" s="79">
        <v>1E-8</v>
      </c>
      <c r="BG20" s="44"/>
      <c r="BH20" s="34"/>
      <c r="BI20" s="9" t="s">
        <v>601</v>
      </c>
      <c r="BJ20" s="44"/>
      <c r="BK20" s="91" t="s">
        <v>533</v>
      </c>
      <c r="BL20" s="79">
        <v>1.2003403217168009</v>
      </c>
      <c r="BM20" s="80">
        <v>1E-8</v>
      </c>
      <c r="BN20" s="79">
        <v>1E-8</v>
      </c>
      <c r="BO20" s="79">
        <v>1E-8</v>
      </c>
      <c r="BP20" s="79">
        <v>1E-8</v>
      </c>
      <c r="BQ20" s="79">
        <v>1E-8</v>
      </c>
      <c r="BR20" s="79">
        <v>1E-8</v>
      </c>
      <c r="BS20" s="79">
        <v>1E-8</v>
      </c>
      <c r="BT20" s="79">
        <v>1E-8</v>
      </c>
      <c r="BU20" s="79">
        <v>1E-8</v>
      </c>
      <c r="BV20" s="44"/>
      <c r="BW20" s="34"/>
      <c r="BX20" s="9" t="s">
        <v>601</v>
      </c>
      <c r="BY20" s="44"/>
      <c r="BZ20" s="91" t="s">
        <v>533</v>
      </c>
      <c r="CA20" s="79">
        <v>1E-8</v>
      </c>
      <c r="CB20" s="80">
        <v>1E-8</v>
      </c>
      <c r="CC20" s="79">
        <v>1E-8</v>
      </c>
      <c r="CD20" s="79">
        <v>1E-8</v>
      </c>
      <c r="CE20" s="79">
        <v>1E-8</v>
      </c>
      <c r="CF20" s="79">
        <v>1E-8</v>
      </c>
      <c r="CG20" s="79">
        <v>1E-8</v>
      </c>
      <c r="CH20" s="79">
        <v>1E-8</v>
      </c>
      <c r="CI20" s="79">
        <v>1E-8</v>
      </c>
      <c r="CJ20" s="79">
        <v>1E-8</v>
      </c>
      <c r="CK20" s="44"/>
    </row>
    <row r="21" spans="1:89" x14ac:dyDescent="0.35">
      <c r="A21" s="9" t="s">
        <v>602</v>
      </c>
      <c r="B21" s="44"/>
      <c r="C21" s="91" t="s">
        <v>534</v>
      </c>
      <c r="D21" s="79">
        <v>0.18918523318762637</v>
      </c>
      <c r="E21" s="80">
        <v>0.74398122342864692</v>
      </c>
      <c r="F21" s="79">
        <v>1E-8</v>
      </c>
      <c r="G21" s="79">
        <v>1E-8</v>
      </c>
      <c r="H21" s="79">
        <v>1E-8</v>
      </c>
      <c r="I21" s="79">
        <v>1E-8</v>
      </c>
      <c r="J21" s="79">
        <v>1E-8</v>
      </c>
      <c r="K21" s="79">
        <v>1E-8</v>
      </c>
      <c r="L21" s="79">
        <v>1E-8</v>
      </c>
      <c r="M21" s="79">
        <v>1E-8</v>
      </c>
      <c r="N21" s="44"/>
      <c r="O21" s="34"/>
      <c r="P21" s="9" t="s">
        <v>602</v>
      </c>
      <c r="Q21" s="44"/>
      <c r="R21" s="91" t="s">
        <v>534</v>
      </c>
      <c r="S21" s="79">
        <v>0.15419648808114073</v>
      </c>
      <c r="T21" s="80">
        <v>0.58309662884377111</v>
      </c>
      <c r="U21" s="79">
        <v>1E-8</v>
      </c>
      <c r="V21" s="79">
        <v>1E-8</v>
      </c>
      <c r="W21" s="79">
        <v>1E-8</v>
      </c>
      <c r="X21" s="79">
        <v>1E-8</v>
      </c>
      <c r="Y21" s="79">
        <v>1E-8</v>
      </c>
      <c r="Z21" s="79">
        <v>1E-8</v>
      </c>
      <c r="AA21" s="79">
        <v>1E-8</v>
      </c>
      <c r="AB21" s="79">
        <v>1E-8</v>
      </c>
      <c r="AC21" s="44"/>
      <c r="AD21" s="34"/>
      <c r="AE21" s="9" t="s">
        <v>602</v>
      </c>
      <c r="AF21" s="44"/>
      <c r="AG21" s="91" t="s">
        <v>534</v>
      </c>
      <c r="AH21" s="79">
        <v>1E-8</v>
      </c>
      <c r="AI21" s="80">
        <v>1E-8</v>
      </c>
      <c r="AJ21" s="79">
        <v>1E-8</v>
      </c>
      <c r="AK21" s="79">
        <v>1E-8</v>
      </c>
      <c r="AL21" s="79">
        <v>1E-8</v>
      </c>
      <c r="AM21" s="79">
        <v>1E-8</v>
      </c>
      <c r="AN21" s="79">
        <v>1E-8</v>
      </c>
      <c r="AO21" s="79">
        <v>1E-8</v>
      </c>
      <c r="AP21" s="79">
        <v>1E-8</v>
      </c>
      <c r="AQ21" s="79">
        <v>1E-8</v>
      </c>
      <c r="AR21" s="44"/>
      <c r="AS21" s="34"/>
      <c r="AT21" s="9" t="s">
        <v>602</v>
      </c>
      <c r="AU21" s="44"/>
      <c r="AV21" s="91" t="s">
        <v>534</v>
      </c>
      <c r="AW21" s="79">
        <v>1E-8</v>
      </c>
      <c r="AX21" s="80">
        <v>1E-8</v>
      </c>
      <c r="AY21" s="79">
        <v>1E-8</v>
      </c>
      <c r="AZ21" s="79">
        <v>1E-8</v>
      </c>
      <c r="BA21" s="79">
        <v>1E-8</v>
      </c>
      <c r="BB21" s="79">
        <v>1E-8</v>
      </c>
      <c r="BC21" s="79">
        <v>1E-8</v>
      </c>
      <c r="BD21" s="79">
        <v>1E-8</v>
      </c>
      <c r="BE21" s="79">
        <v>1E-8</v>
      </c>
      <c r="BF21" s="79">
        <v>1E-8</v>
      </c>
      <c r="BG21" s="44"/>
      <c r="BH21" s="34"/>
      <c r="BI21" s="9" t="s">
        <v>602</v>
      </c>
      <c r="BJ21" s="44"/>
      <c r="BK21" s="91" t="s">
        <v>534</v>
      </c>
      <c r="BL21" s="79">
        <v>1E-8</v>
      </c>
      <c r="BM21" s="80">
        <v>1E-8</v>
      </c>
      <c r="BN21" s="79">
        <v>1E-8</v>
      </c>
      <c r="BO21" s="79">
        <v>1E-8</v>
      </c>
      <c r="BP21" s="79">
        <v>1E-8</v>
      </c>
      <c r="BQ21" s="79">
        <v>1E-8</v>
      </c>
      <c r="BR21" s="79">
        <v>1E-8</v>
      </c>
      <c r="BS21" s="79">
        <v>1E-8</v>
      </c>
      <c r="BT21" s="79">
        <v>1E-8</v>
      </c>
      <c r="BU21" s="79">
        <v>1E-8</v>
      </c>
      <c r="BV21" s="44"/>
      <c r="BW21" s="34"/>
      <c r="BX21" s="9" t="s">
        <v>602</v>
      </c>
      <c r="BY21" s="44"/>
      <c r="BZ21" s="91" t="s">
        <v>534</v>
      </c>
      <c r="CA21" s="79">
        <v>1E-8</v>
      </c>
      <c r="CB21" s="80">
        <v>1E-8</v>
      </c>
      <c r="CC21" s="79">
        <v>1E-8</v>
      </c>
      <c r="CD21" s="79">
        <v>1E-8</v>
      </c>
      <c r="CE21" s="79">
        <v>1E-8</v>
      </c>
      <c r="CF21" s="79">
        <v>1E-8</v>
      </c>
      <c r="CG21" s="79">
        <v>1E-8</v>
      </c>
      <c r="CH21" s="79">
        <v>1E-8</v>
      </c>
      <c r="CI21" s="79">
        <v>1E-8</v>
      </c>
      <c r="CJ21" s="79">
        <v>1E-8</v>
      </c>
      <c r="CK21" s="44"/>
    </row>
    <row r="22" spans="1:89" x14ac:dyDescent="0.35">
      <c r="A22" s="9" t="s">
        <v>603</v>
      </c>
      <c r="B22" s="44"/>
      <c r="C22" s="91" t="s">
        <v>304</v>
      </c>
      <c r="D22" s="79">
        <v>1.2707987506286074</v>
      </c>
      <c r="E22" s="80">
        <v>0.82918763373274196</v>
      </c>
      <c r="F22" s="79">
        <v>1E-8</v>
      </c>
      <c r="G22" s="79">
        <v>1E-8</v>
      </c>
      <c r="H22" s="79">
        <v>1E-8</v>
      </c>
      <c r="I22" s="79">
        <v>1E-8</v>
      </c>
      <c r="J22" s="79">
        <v>1E-8</v>
      </c>
      <c r="K22" s="79">
        <v>1E-8</v>
      </c>
      <c r="L22" s="79">
        <v>1E-8</v>
      </c>
      <c r="M22" s="79">
        <v>1E-8</v>
      </c>
      <c r="N22" s="44"/>
      <c r="O22" s="34"/>
      <c r="P22" s="9" t="s">
        <v>603</v>
      </c>
      <c r="Q22" s="44"/>
      <c r="R22" s="91" t="s">
        <v>304</v>
      </c>
      <c r="S22" s="79">
        <v>1.0384463245042368</v>
      </c>
      <c r="T22" s="80">
        <v>0.58438211473816892</v>
      </c>
      <c r="U22" s="79">
        <v>1E-8</v>
      </c>
      <c r="V22" s="79">
        <v>1E-8</v>
      </c>
      <c r="W22" s="79">
        <v>1E-8</v>
      </c>
      <c r="X22" s="79">
        <v>1E-8</v>
      </c>
      <c r="Y22" s="79">
        <v>1E-8</v>
      </c>
      <c r="Z22" s="79">
        <v>1E-8</v>
      </c>
      <c r="AA22" s="79">
        <v>1E-8</v>
      </c>
      <c r="AB22" s="79">
        <v>1E-8</v>
      </c>
      <c r="AC22" s="44"/>
      <c r="AD22" s="34"/>
      <c r="AE22" s="9" t="s">
        <v>603</v>
      </c>
      <c r="AF22" s="44"/>
      <c r="AG22" s="91" t="s">
        <v>304</v>
      </c>
      <c r="AH22" s="79">
        <v>0.31575707268662623</v>
      </c>
      <c r="AI22" s="80">
        <v>7.1260677287881435</v>
      </c>
      <c r="AJ22" s="79">
        <v>1E-8</v>
      </c>
      <c r="AK22" s="79">
        <v>1E-8</v>
      </c>
      <c r="AL22" s="79">
        <v>1E-8</v>
      </c>
      <c r="AM22" s="79">
        <v>1E-8</v>
      </c>
      <c r="AN22" s="79">
        <v>1E-8</v>
      </c>
      <c r="AO22" s="79">
        <v>1E-8</v>
      </c>
      <c r="AP22" s="79">
        <v>1E-8</v>
      </c>
      <c r="AQ22" s="79">
        <v>1E-8</v>
      </c>
      <c r="AR22" s="44"/>
      <c r="AS22" s="34"/>
      <c r="AT22" s="9" t="s">
        <v>603</v>
      </c>
      <c r="AU22" s="44"/>
      <c r="AV22" s="91" t="s">
        <v>304</v>
      </c>
      <c r="AW22" s="79">
        <v>7.3826221431974912E-2</v>
      </c>
      <c r="AX22" s="80">
        <v>6.0257889103717766</v>
      </c>
      <c r="AY22" s="79">
        <v>1E-8</v>
      </c>
      <c r="AZ22" s="79">
        <v>1E-8</v>
      </c>
      <c r="BA22" s="79">
        <v>1E-8</v>
      </c>
      <c r="BB22" s="79">
        <v>1E-8</v>
      </c>
      <c r="BC22" s="79">
        <v>1E-8</v>
      </c>
      <c r="BD22" s="79">
        <v>1E-8</v>
      </c>
      <c r="BE22" s="79">
        <v>1E-8</v>
      </c>
      <c r="BF22" s="79">
        <v>1E-8</v>
      </c>
      <c r="BG22" s="44"/>
      <c r="BH22" s="34"/>
      <c r="BI22" s="9" t="s">
        <v>603</v>
      </c>
      <c r="BJ22" s="44"/>
      <c r="BK22" s="91" t="s">
        <v>304</v>
      </c>
      <c r="BL22" s="79">
        <v>0.29828104239587738</v>
      </c>
      <c r="BM22" s="80">
        <v>1E-8</v>
      </c>
      <c r="BN22" s="79">
        <v>1E-8</v>
      </c>
      <c r="BO22" s="79">
        <v>1E-8</v>
      </c>
      <c r="BP22" s="79">
        <v>1E-8</v>
      </c>
      <c r="BQ22" s="79">
        <v>1E-8</v>
      </c>
      <c r="BR22" s="79">
        <v>1E-8</v>
      </c>
      <c r="BS22" s="79">
        <v>1E-8</v>
      </c>
      <c r="BT22" s="79">
        <v>1E-8</v>
      </c>
      <c r="BU22" s="79">
        <v>1E-8</v>
      </c>
      <c r="BV22" s="44"/>
      <c r="BW22" s="34"/>
      <c r="BX22" s="9" t="s">
        <v>603</v>
      </c>
      <c r="BY22" s="44"/>
      <c r="BZ22" s="91" t="s">
        <v>304</v>
      </c>
      <c r="CA22" s="79">
        <v>8.7073445972632127E-2</v>
      </c>
      <c r="CB22" s="80">
        <v>1E-8</v>
      </c>
      <c r="CC22" s="79">
        <v>1E-8</v>
      </c>
      <c r="CD22" s="79">
        <v>1E-8</v>
      </c>
      <c r="CE22" s="79">
        <v>1E-8</v>
      </c>
      <c r="CF22" s="79">
        <v>1E-8</v>
      </c>
      <c r="CG22" s="79">
        <v>1E-8</v>
      </c>
      <c r="CH22" s="79">
        <v>1E-8</v>
      </c>
      <c r="CI22" s="79">
        <v>1E-8</v>
      </c>
      <c r="CJ22" s="79">
        <v>1E-8</v>
      </c>
      <c r="CK22" s="44"/>
    </row>
    <row r="23" spans="1:89" x14ac:dyDescent="0.35">
      <c r="A23" s="9" t="s">
        <v>604</v>
      </c>
      <c r="B23" s="44"/>
      <c r="C23" s="91" t="s">
        <v>535</v>
      </c>
      <c r="D23" s="79">
        <v>0.73106785583078016</v>
      </c>
      <c r="E23" s="80">
        <v>1.7508086502582287E-2</v>
      </c>
      <c r="F23" s="79">
        <v>1E-8</v>
      </c>
      <c r="G23" s="79">
        <v>1E-8</v>
      </c>
      <c r="H23" s="79">
        <v>1E-8</v>
      </c>
      <c r="I23" s="79">
        <v>1E-8</v>
      </c>
      <c r="J23" s="79">
        <v>1E-8</v>
      </c>
      <c r="K23" s="79">
        <v>1E-8</v>
      </c>
      <c r="L23" s="79">
        <v>1E-8</v>
      </c>
      <c r="M23" s="79">
        <v>1E-8</v>
      </c>
      <c r="N23" s="44"/>
      <c r="O23" s="34"/>
      <c r="P23" s="9" t="s">
        <v>604</v>
      </c>
      <c r="Q23" s="44"/>
      <c r="R23" s="91" t="s">
        <v>535</v>
      </c>
      <c r="S23" s="79">
        <v>0.5718560960387763</v>
      </c>
      <c r="T23" s="80">
        <v>-1.3843905034993664E-2</v>
      </c>
      <c r="U23" s="79">
        <v>1E-8</v>
      </c>
      <c r="V23" s="79">
        <v>1E-8</v>
      </c>
      <c r="W23" s="79">
        <v>1E-8</v>
      </c>
      <c r="X23" s="79">
        <v>1E-8</v>
      </c>
      <c r="Y23" s="79">
        <v>1E-8</v>
      </c>
      <c r="Z23" s="79">
        <v>1E-8</v>
      </c>
      <c r="AA23" s="79">
        <v>1E-8</v>
      </c>
      <c r="AB23" s="79">
        <v>1E-8</v>
      </c>
      <c r="AC23" s="44"/>
      <c r="AD23" s="34"/>
      <c r="AE23" s="9" t="s">
        <v>604</v>
      </c>
      <c r="AF23" s="44"/>
      <c r="AG23" s="91" t="s">
        <v>535</v>
      </c>
      <c r="AH23" s="79">
        <v>1E-8</v>
      </c>
      <c r="AI23" s="80">
        <v>1E-8</v>
      </c>
      <c r="AJ23" s="79">
        <v>1E-8</v>
      </c>
      <c r="AK23" s="79">
        <v>1E-8</v>
      </c>
      <c r="AL23" s="79">
        <v>1E-8</v>
      </c>
      <c r="AM23" s="79">
        <v>1E-8</v>
      </c>
      <c r="AN23" s="79">
        <v>1E-8</v>
      </c>
      <c r="AO23" s="79">
        <v>1E-8</v>
      </c>
      <c r="AP23" s="79">
        <v>1E-8</v>
      </c>
      <c r="AQ23" s="79">
        <v>1E-8</v>
      </c>
      <c r="AR23" s="44"/>
      <c r="AS23" s="34"/>
      <c r="AT23" s="9" t="s">
        <v>604</v>
      </c>
      <c r="AU23" s="44"/>
      <c r="AV23" s="91" t="s">
        <v>535</v>
      </c>
      <c r="AW23" s="79">
        <v>1E-8</v>
      </c>
      <c r="AX23" s="80">
        <v>1E-8</v>
      </c>
      <c r="AY23" s="79">
        <v>1E-8</v>
      </c>
      <c r="AZ23" s="79">
        <v>1E-8</v>
      </c>
      <c r="BA23" s="79">
        <v>1E-8</v>
      </c>
      <c r="BB23" s="79">
        <v>1E-8</v>
      </c>
      <c r="BC23" s="79">
        <v>1E-8</v>
      </c>
      <c r="BD23" s="79">
        <v>1E-8</v>
      </c>
      <c r="BE23" s="79">
        <v>1E-8</v>
      </c>
      <c r="BF23" s="79">
        <v>1E-8</v>
      </c>
      <c r="BG23" s="44"/>
      <c r="BH23" s="34"/>
      <c r="BI23" s="9" t="s">
        <v>604</v>
      </c>
      <c r="BJ23" s="44"/>
      <c r="BK23" s="91" t="s">
        <v>535</v>
      </c>
      <c r="BL23" s="79">
        <v>1E-8</v>
      </c>
      <c r="BM23" s="80">
        <v>1E-8</v>
      </c>
      <c r="BN23" s="79">
        <v>1E-8</v>
      </c>
      <c r="BO23" s="79">
        <v>1E-8</v>
      </c>
      <c r="BP23" s="79">
        <v>1E-8</v>
      </c>
      <c r="BQ23" s="79">
        <v>1E-8</v>
      </c>
      <c r="BR23" s="79">
        <v>1E-8</v>
      </c>
      <c r="BS23" s="79">
        <v>1E-8</v>
      </c>
      <c r="BT23" s="79">
        <v>1E-8</v>
      </c>
      <c r="BU23" s="79">
        <v>1E-8</v>
      </c>
      <c r="BV23" s="44"/>
      <c r="BW23" s="34"/>
      <c r="BX23" s="9" t="s">
        <v>604</v>
      </c>
      <c r="BY23" s="44"/>
      <c r="BZ23" s="91" t="s">
        <v>535</v>
      </c>
      <c r="CA23" s="79">
        <v>1E-8</v>
      </c>
      <c r="CB23" s="80">
        <v>1E-8</v>
      </c>
      <c r="CC23" s="79">
        <v>1E-8</v>
      </c>
      <c r="CD23" s="79">
        <v>1E-8</v>
      </c>
      <c r="CE23" s="79">
        <v>1E-8</v>
      </c>
      <c r="CF23" s="79">
        <v>1E-8</v>
      </c>
      <c r="CG23" s="79">
        <v>1E-8</v>
      </c>
      <c r="CH23" s="79">
        <v>1E-8</v>
      </c>
      <c r="CI23" s="79">
        <v>1E-8</v>
      </c>
      <c r="CJ23" s="79">
        <v>1E-8</v>
      </c>
      <c r="CK23" s="44"/>
    </row>
    <row r="24" spans="1:89" x14ac:dyDescent="0.35">
      <c r="A24" s="9" t="s">
        <v>605</v>
      </c>
      <c r="B24" s="44"/>
      <c r="C24" s="91" t="s">
        <v>536</v>
      </c>
      <c r="D24" s="79">
        <v>7.4014153876788098E-3</v>
      </c>
      <c r="E24" s="80">
        <v>-0.11301215690057154</v>
      </c>
      <c r="F24" s="79">
        <v>1E-8</v>
      </c>
      <c r="G24" s="79">
        <v>1E-8</v>
      </c>
      <c r="H24" s="79">
        <v>1E-8</v>
      </c>
      <c r="I24" s="79">
        <v>1E-8</v>
      </c>
      <c r="J24" s="79">
        <v>1E-8</v>
      </c>
      <c r="K24" s="79">
        <v>1E-8</v>
      </c>
      <c r="L24" s="79">
        <v>1E-8</v>
      </c>
      <c r="M24" s="79">
        <v>1E-8</v>
      </c>
      <c r="N24" s="44"/>
      <c r="O24" s="34"/>
      <c r="P24" s="9" t="s">
        <v>605</v>
      </c>
      <c r="Q24" s="44"/>
      <c r="R24" s="91" t="s">
        <v>536</v>
      </c>
      <c r="S24" s="79">
        <v>6.3034175319528499E-2</v>
      </c>
      <c r="T24" s="80">
        <v>-2.047250092933639</v>
      </c>
      <c r="U24" s="79">
        <v>1E-8</v>
      </c>
      <c r="V24" s="79">
        <v>1E-8</v>
      </c>
      <c r="W24" s="79">
        <v>1E-8</v>
      </c>
      <c r="X24" s="79">
        <v>1E-8</v>
      </c>
      <c r="Y24" s="79">
        <v>1E-8</v>
      </c>
      <c r="Z24" s="79">
        <v>1E-8</v>
      </c>
      <c r="AA24" s="79">
        <v>1E-8</v>
      </c>
      <c r="AB24" s="79">
        <v>1E-8</v>
      </c>
      <c r="AC24" s="44"/>
      <c r="AD24" s="34"/>
      <c r="AE24" s="9" t="s">
        <v>605</v>
      </c>
      <c r="AF24" s="44"/>
      <c r="AG24" s="91" t="s">
        <v>536</v>
      </c>
      <c r="AH24" s="79">
        <v>1E-8</v>
      </c>
      <c r="AI24" s="80">
        <v>1E-8</v>
      </c>
      <c r="AJ24" s="79">
        <v>1E-8</v>
      </c>
      <c r="AK24" s="79">
        <v>1E-8</v>
      </c>
      <c r="AL24" s="79">
        <v>1E-8</v>
      </c>
      <c r="AM24" s="79">
        <v>1E-8</v>
      </c>
      <c r="AN24" s="79">
        <v>1E-8</v>
      </c>
      <c r="AO24" s="79">
        <v>1E-8</v>
      </c>
      <c r="AP24" s="79">
        <v>1E-8</v>
      </c>
      <c r="AQ24" s="79">
        <v>1E-8</v>
      </c>
      <c r="AR24" s="44"/>
      <c r="AS24" s="34"/>
      <c r="AT24" s="9" t="s">
        <v>605</v>
      </c>
      <c r="AU24" s="44"/>
      <c r="AV24" s="91" t="s">
        <v>536</v>
      </c>
      <c r="AW24" s="79">
        <v>1E-8</v>
      </c>
      <c r="AX24" s="80">
        <v>1E-8</v>
      </c>
      <c r="AY24" s="79">
        <v>1E-8</v>
      </c>
      <c r="AZ24" s="79">
        <v>1E-8</v>
      </c>
      <c r="BA24" s="79">
        <v>1E-8</v>
      </c>
      <c r="BB24" s="79">
        <v>1E-8</v>
      </c>
      <c r="BC24" s="79">
        <v>1E-8</v>
      </c>
      <c r="BD24" s="79">
        <v>1E-8</v>
      </c>
      <c r="BE24" s="79">
        <v>1E-8</v>
      </c>
      <c r="BF24" s="79">
        <v>1E-8</v>
      </c>
      <c r="BG24" s="44"/>
      <c r="BH24" s="34"/>
      <c r="BI24" s="9" t="s">
        <v>605</v>
      </c>
      <c r="BJ24" s="44"/>
      <c r="BK24" s="91" t="s">
        <v>536</v>
      </c>
      <c r="BL24" s="79">
        <v>1E-8</v>
      </c>
      <c r="BM24" s="80">
        <v>1E-8</v>
      </c>
      <c r="BN24" s="79">
        <v>1E-8</v>
      </c>
      <c r="BO24" s="79">
        <v>1E-8</v>
      </c>
      <c r="BP24" s="79">
        <v>1E-8</v>
      </c>
      <c r="BQ24" s="79">
        <v>1E-8</v>
      </c>
      <c r="BR24" s="79">
        <v>1E-8</v>
      </c>
      <c r="BS24" s="79">
        <v>1E-8</v>
      </c>
      <c r="BT24" s="79">
        <v>1E-8</v>
      </c>
      <c r="BU24" s="79">
        <v>1E-8</v>
      </c>
      <c r="BV24" s="44"/>
      <c r="BW24" s="34"/>
      <c r="BX24" s="9" t="s">
        <v>605</v>
      </c>
      <c r="BY24" s="44"/>
      <c r="BZ24" s="91" t="s">
        <v>536</v>
      </c>
      <c r="CA24" s="79">
        <v>1E-8</v>
      </c>
      <c r="CB24" s="80">
        <v>1E-8</v>
      </c>
      <c r="CC24" s="79">
        <v>1E-8</v>
      </c>
      <c r="CD24" s="79">
        <v>1E-8</v>
      </c>
      <c r="CE24" s="79">
        <v>1E-8</v>
      </c>
      <c r="CF24" s="79">
        <v>1E-8</v>
      </c>
      <c r="CG24" s="79">
        <v>1E-8</v>
      </c>
      <c r="CH24" s="79">
        <v>1E-8</v>
      </c>
      <c r="CI24" s="79">
        <v>1E-8</v>
      </c>
      <c r="CJ24" s="79">
        <v>1E-8</v>
      </c>
      <c r="CK24" s="44"/>
    </row>
    <row r="25" spans="1:89" x14ac:dyDescent="0.35">
      <c r="A25" s="9" t="s">
        <v>606</v>
      </c>
      <c r="B25" s="44"/>
      <c r="C25" s="91" t="s">
        <v>537</v>
      </c>
      <c r="D25" s="79">
        <v>0.23931216499772953</v>
      </c>
      <c r="E25" s="80">
        <v>3.1790338354720227E-2</v>
      </c>
      <c r="F25" s="79">
        <v>1E-8</v>
      </c>
      <c r="G25" s="79">
        <v>1E-8</v>
      </c>
      <c r="H25" s="79">
        <v>1E-8</v>
      </c>
      <c r="I25" s="79">
        <v>1E-8</v>
      </c>
      <c r="J25" s="79">
        <v>1E-8</v>
      </c>
      <c r="K25" s="79">
        <v>1E-8</v>
      </c>
      <c r="L25" s="79">
        <v>1E-8</v>
      </c>
      <c r="M25" s="79">
        <v>1E-8</v>
      </c>
      <c r="N25" s="44"/>
      <c r="O25" s="34"/>
      <c r="P25" s="9" t="s">
        <v>606</v>
      </c>
      <c r="Q25" s="44"/>
      <c r="R25" s="91" t="s">
        <v>537</v>
      </c>
      <c r="S25" s="79">
        <v>0.19661504441019834</v>
      </c>
      <c r="T25" s="80">
        <v>-0.18995479542494031</v>
      </c>
      <c r="U25" s="79">
        <v>1E-8</v>
      </c>
      <c r="V25" s="79">
        <v>1E-8</v>
      </c>
      <c r="W25" s="79">
        <v>1E-8</v>
      </c>
      <c r="X25" s="79">
        <v>1E-8</v>
      </c>
      <c r="Y25" s="79">
        <v>1E-8</v>
      </c>
      <c r="Z25" s="79">
        <v>1E-8</v>
      </c>
      <c r="AA25" s="79">
        <v>1E-8</v>
      </c>
      <c r="AB25" s="79">
        <v>1E-8</v>
      </c>
      <c r="AC25" s="44"/>
      <c r="AD25" s="34"/>
      <c r="AE25" s="9" t="s">
        <v>606</v>
      </c>
      <c r="AF25" s="44"/>
      <c r="AG25" s="91" t="s">
        <v>537</v>
      </c>
      <c r="AH25" s="79">
        <v>6.3116397549375786E-2</v>
      </c>
      <c r="AI25" s="80">
        <v>7.1789090390431243</v>
      </c>
      <c r="AJ25" s="79">
        <v>1E-8</v>
      </c>
      <c r="AK25" s="79">
        <v>1E-8</v>
      </c>
      <c r="AL25" s="79">
        <v>1E-8</v>
      </c>
      <c r="AM25" s="79">
        <v>1E-8</v>
      </c>
      <c r="AN25" s="79">
        <v>1E-8</v>
      </c>
      <c r="AO25" s="79">
        <v>1E-8</v>
      </c>
      <c r="AP25" s="79">
        <v>1E-8</v>
      </c>
      <c r="AQ25" s="79">
        <v>1E-8</v>
      </c>
      <c r="AR25" s="44"/>
      <c r="AS25" s="34"/>
      <c r="AT25" s="9" t="s">
        <v>606</v>
      </c>
      <c r="AU25" s="44"/>
      <c r="AV25" s="91" t="s">
        <v>537</v>
      </c>
      <c r="AW25" s="79">
        <v>1.4842807828449706E-2</v>
      </c>
      <c r="AX25" s="80">
        <v>5.9790135129113464</v>
      </c>
      <c r="AY25" s="79">
        <v>1E-8</v>
      </c>
      <c r="AZ25" s="79">
        <v>1E-8</v>
      </c>
      <c r="BA25" s="79">
        <v>1E-8</v>
      </c>
      <c r="BB25" s="79">
        <v>1E-8</v>
      </c>
      <c r="BC25" s="79">
        <v>1E-8</v>
      </c>
      <c r="BD25" s="79">
        <v>1E-8</v>
      </c>
      <c r="BE25" s="79">
        <v>1E-8</v>
      </c>
      <c r="BF25" s="79">
        <v>1E-8</v>
      </c>
      <c r="BG25" s="44"/>
      <c r="BH25" s="34"/>
      <c r="BI25" s="9" t="s">
        <v>606</v>
      </c>
      <c r="BJ25" s="44"/>
      <c r="BK25" s="91" t="s">
        <v>537</v>
      </c>
      <c r="BL25" s="79">
        <v>5.9959516987643686E-2</v>
      </c>
      <c r="BM25" s="80">
        <v>1E-8</v>
      </c>
      <c r="BN25" s="79">
        <v>1E-8</v>
      </c>
      <c r="BO25" s="79">
        <v>1E-8</v>
      </c>
      <c r="BP25" s="79">
        <v>1E-8</v>
      </c>
      <c r="BQ25" s="79">
        <v>1E-8</v>
      </c>
      <c r="BR25" s="79">
        <v>1E-8</v>
      </c>
      <c r="BS25" s="79">
        <v>1E-8</v>
      </c>
      <c r="BT25" s="79">
        <v>1E-8</v>
      </c>
      <c r="BU25" s="79">
        <v>1E-8</v>
      </c>
      <c r="BV25" s="44"/>
      <c r="BW25" s="34"/>
      <c r="BX25" s="9" t="s">
        <v>606</v>
      </c>
      <c r="BY25" s="44"/>
      <c r="BZ25" s="91" t="s">
        <v>537</v>
      </c>
      <c r="CA25" s="79">
        <v>1.7420652694657843E-2</v>
      </c>
      <c r="CB25" s="80">
        <v>1E-8</v>
      </c>
      <c r="CC25" s="79">
        <v>1E-8</v>
      </c>
      <c r="CD25" s="79">
        <v>1E-8</v>
      </c>
      <c r="CE25" s="79">
        <v>1E-8</v>
      </c>
      <c r="CF25" s="79">
        <v>1E-8</v>
      </c>
      <c r="CG25" s="79">
        <v>1E-8</v>
      </c>
      <c r="CH25" s="79">
        <v>1E-8</v>
      </c>
      <c r="CI25" s="79">
        <v>1E-8</v>
      </c>
      <c r="CJ25" s="79">
        <v>1E-8</v>
      </c>
      <c r="CK25" s="44"/>
    </row>
    <row r="26" spans="1:89" x14ac:dyDescent="0.35">
      <c r="A26" s="9" t="s">
        <v>607</v>
      </c>
      <c r="B26" s="44"/>
      <c r="C26" s="91" t="s">
        <v>307</v>
      </c>
      <c r="D26" s="79">
        <v>0.20699227862230815</v>
      </c>
      <c r="E26" s="80">
        <v>0.42450417207353652</v>
      </c>
      <c r="F26" s="79">
        <v>1E-8</v>
      </c>
      <c r="G26" s="79">
        <v>1E-8</v>
      </c>
      <c r="H26" s="79">
        <v>1E-8</v>
      </c>
      <c r="I26" s="79">
        <v>1E-8</v>
      </c>
      <c r="J26" s="79">
        <v>1E-8</v>
      </c>
      <c r="K26" s="79">
        <v>1E-8</v>
      </c>
      <c r="L26" s="79">
        <v>1E-8</v>
      </c>
      <c r="M26" s="79">
        <v>1E-8</v>
      </c>
      <c r="N26" s="44"/>
      <c r="O26" s="34"/>
      <c r="P26" s="9" t="s">
        <v>607</v>
      </c>
      <c r="Q26" s="44"/>
      <c r="R26" s="91" t="s">
        <v>307</v>
      </c>
      <c r="S26" s="79">
        <v>0.20936264510011643</v>
      </c>
      <c r="T26" s="80">
        <v>1.2325292349866679</v>
      </c>
      <c r="U26" s="79">
        <v>1E-8</v>
      </c>
      <c r="V26" s="79">
        <v>1E-8</v>
      </c>
      <c r="W26" s="79">
        <v>1E-8</v>
      </c>
      <c r="X26" s="79">
        <v>1E-8</v>
      </c>
      <c r="Y26" s="79">
        <v>1E-8</v>
      </c>
      <c r="Z26" s="79">
        <v>1E-8</v>
      </c>
      <c r="AA26" s="79">
        <v>1E-8</v>
      </c>
      <c r="AB26" s="79">
        <v>1E-8</v>
      </c>
      <c r="AC26" s="44"/>
      <c r="AD26" s="34"/>
      <c r="AE26" s="9" t="s">
        <v>607</v>
      </c>
      <c r="AF26" s="44"/>
      <c r="AG26" s="91" t="s">
        <v>307</v>
      </c>
      <c r="AH26" s="79">
        <v>0.14065927092198072</v>
      </c>
      <c r="AI26" s="80">
        <v>7.1064822565028996</v>
      </c>
      <c r="AJ26" s="79">
        <v>1E-8</v>
      </c>
      <c r="AK26" s="79">
        <v>1E-8</v>
      </c>
      <c r="AL26" s="79">
        <v>1E-8</v>
      </c>
      <c r="AM26" s="79">
        <v>1E-8</v>
      </c>
      <c r="AN26" s="79">
        <v>1E-8</v>
      </c>
      <c r="AO26" s="79">
        <v>1E-8</v>
      </c>
      <c r="AP26" s="79">
        <v>1E-8</v>
      </c>
      <c r="AQ26" s="79">
        <v>1E-8</v>
      </c>
      <c r="AR26" s="44"/>
      <c r="AS26" s="34"/>
      <c r="AT26" s="9" t="s">
        <v>607</v>
      </c>
      <c r="AU26" s="44"/>
      <c r="AV26" s="91" t="s">
        <v>307</v>
      </c>
      <c r="AW26" s="79">
        <v>0.22234069225710207</v>
      </c>
      <c r="AX26" s="80">
        <v>6.0653612233651621</v>
      </c>
      <c r="AY26" s="79">
        <v>1E-8</v>
      </c>
      <c r="AZ26" s="79">
        <v>1E-8</v>
      </c>
      <c r="BA26" s="79">
        <v>1E-8</v>
      </c>
      <c r="BB26" s="79">
        <v>1E-8</v>
      </c>
      <c r="BC26" s="79">
        <v>1E-8</v>
      </c>
      <c r="BD26" s="79">
        <v>1E-8</v>
      </c>
      <c r="BE26" s="79">
        <v>1E-8</v>
      </c>
      <c r="BF26" s="79">
        <v>1E-8</v>
      </c>
      <c r="BG26" s="44"/>
      <c r="BH26" s="34"/>
      <c r="BI26" s="9" t="s">
        <v>607</v>
      </c>
      <c r="BJ26" s="44"/>
      <c r="BK26" s="91" t="s">
        <v>307</v>
      </c>
      <c r="BL26" s="79">
        <v>0.13259642061039598</v>
      </c>
      <c r="BM26" s="80">
        <v>1E-8</v>
      </c>
      <c r="BN26" s="79">
        <v>1E-8</v>
      </c>
      <c r="BO26" s="79">
        <v>1E-8</v>
      </c>
      <c r="BP26" s="79">
        <v>1E-8</v>
      </c>
      <c r="BQ26" s="79">
        <v>1E-8</v>
      </c>
      <c r="BR26" s="79">
        <v>1E-8</v>
      </c>
      <c r="BS26" s="79">
        <v>1E-8</v>
      </c>
      <c r="BT26" s="79">
        <v>1E-8</v>
      </c>
      <c r="BU26" s="79">
        <v>1E-8</v>
      </c>
      <c r="BV26" s="44"/>
      <c r="BW26" s="34"/>
      <c r="BX26" s="9" t="s">
        <v>607</v>
      </c>
      <c r="BY26" s="44"/>
      <c r="BZ26" s="91" t="s">
        <v>307</v>
      </c>
      <c r="CA26" s="79">
        <v>0.25123205217068606</v>
      </c>
      <c r="CB26" s="80">
        <v>1E-8</v>
      </c>
      <c r="CC26" s="79">
        <v>1E-8</v>
      </c>
      <c r="CD26" s="79">
        <v>1E-8</v>
      </c>
      <c r="CE26" s="79">
        <v>1E-8</v>
      </c>
      <c r="CF26" s="79">
        <v>1E-8</v>
      </c>
      <c r="CG26" s="79">
        <v>1E-8</v>
      </c>
      <c r="CH26" s="79">
        <v>1E-8</v>
      </c>
      <c r="CI26" s="79">
        <v>1E-8</v>
      </c>
      <c r="CJ26" s="79">
        <v>1E-8</v>
      </c>
      <c r="CK26" s="44"/>
    </row>
    <row r="27" spans="1:89" x14ac:dyDescent="0.35">
      <c r="A27" s="9" t="s">
        <v>608</v>
      </c>
      <c r="B27" s="44"/>
      <c r="C27" s="91" t="s">
        <v>298</v>
      </c>
      <c r="D27" s="79">
        <v>0.10602732582085253</v>
      </c>
      <c r="E27" s="80">
        <v>2.3963818779741519</v>
      </c>
      <c r="F27" s="79">
        <v>1E-8</v>
      </c>
      <c r="G27" s="79">
        <v>1E-8</v>
      </c>
      <c r="H27" s="79">
        <v>1E-8</v>
      </c>
      <c r="I27" s="79">
        <v>1E-8</v>
      </c>
      <c r="J27" s="79">
        <v>1E-8</v>
      </c>
      <c r="K27" s="79">
        <v>1E-8</v>
      </c>
      <c r="L27" s="79">
        <v>1E-8</v>
      </c>
      <c r="M27" s="79">
        <v>1E-8</v>
      </c>
      <c r="N27" s="44"/>
      <c r="O27" s="34"/>
      <c r="P27" s="9" t="s">
        <v>608</v>
      </c>
      <c r="Q27" s="44"/>
      <c r="R27" s="91" t="s">
        <v>298</v>
      </c>
      <c r="S27" s="79">
        <v>0.10573742596073467</v>
      </c>
      <c r="T27" s="80">
        <v>2.674855586089242</v>
      </c>
      <c r="U27" s="79">
        <v>1E-8</v>
      </c>
      <c r="V27" s="79">
        <v>1E-8</v>
      </c>
      <c r="W27" s="79">
        <v>1E-8</v>
      </c>
      <c r="X27" s="79">
        <v>1E-8</v>
      </c>
      <c r="Y27" s="79">
        <v>1E-8</v>
      </c>
      <c r="Z27" s="79">
        <v>1E-8</v>
      </c>
      <c r="AA27" s="79">
        <v>1E-8</v>
      </c>
      <c r="AB27" s="79">
        <v>1E-8</v>
      </c>
      <c r="AC27" s="44"/>
      <c r="AD27" s="34"/>
      <c r="AE27" s="9" t="s">
        <v>608</v>
      </c>
      <c r="AF27" s="44"/>
      <c r="AG27" s="91" t="s">
        <v>298</v>
      </c>
      <c r="AH27" s="79">
        <v>4.8198457671465994E-2</v>
      </c>
      <c r="AI27" s="80">
        <v>7.1869813674394267</v>
      </c>
      <c r="AJ27" s="79">
        <v>1E-8</v>
      </c>
      <c r="AK27" s="79">
        <v>1E-8</v>
      </c>
      <c r="AL27" s="79">
        <v>1E-8</v>
      </c>
      <c r="AM27" s="79">
        <v>1E-8</v>
      </c>
      <c r="AN27" s="79">
        <v>1E-8</v>
      </c>
      <c r="AO27" s="79">
        <v>1E-8</v>
      </c>
      <c r="AP27" s="79">
        <v>1E-8</v>
      </c>
      <c r="AQ27" s="79">
        <v>1E-8</v>
      </c>
      <c r="AR27" s="44"/>
      <c r="AS27" s="34"/>
      <c r="AT27" s="9" t="s">
        <v>608</v>
      </c>
      <c r="AU27" s="44"/>
      <c r="AV27" s="91" t="s">
        <v>298</v>
      </c>
      <c r="AW27" s="79">
        <v>9.6196536101974817E-2</v>
      </c>
      <c r="AX27" s="80">
        <v>5.9763389317438742</v>
      </c>
      <c r="AY27" s="79">
        <v>1E-8</v>
      </c>
      <c r="AZ27" s="79">
        <v>1E-8</v>
      </c>
      <c r="BA27" s="79">
        <v>1E-8</v>
      </c>
      <c r="BB27" s="79">
        <v>1E-8</v>
      </c>
      <c r="BC27" s="79">
        <v>1E-8</v>
      </c>
      <c r="BD27" s="79">
        <v>1E-8</v>
      </c>
      <c r="BE27" s="79">
        <v>1E-8</v>
      </c>
      <c r="BF27" s="79">
        <v>1E-8</v>
      </c>
      <c r="BG27" s="44"/>
      <c r="BH27" s="34"/>
      <c r="BI27" s="9" t="s">
        <v>608</v>
      </c>
      <c r="BJ27" s="44"/>
      <c r="BK27" s="91" t="s">
        <v>298</v>
      </c>
      <c r="BL27" s="79">
        <v>4.5826967237194954E-2</v>
      </c>
      <c r="BM27" s="80">
        <v>1E-8</v>
      </c>
      <c r="BN27" s="79">
        <v>1E-8</v>
      </c>
      <c r="BO27" s="79">
        <v>1E-8</v>
      </c>
      <c r="BP27" s="79">
        <v>1E-8</v>
      </c>
      <c r="BQ27" s="79">
        <v>1E-8</v>
      </c>
      <c r="BR27" s="79">
        <v>1E-8</v>
      </c>
      <c r="BS27" s="79">
        <v>1E-8</v>
      </c>
      <c r="BT27" s="79">
        <v>1E-8</v>
      </c>
      <c r="BU27" s="79">
        <v>1E-8</v>
      </c>
      <c r="BV27" s="44"/>
      <c r="BW27" s="34"/>
      <c r="BX27" s="9" t="s">
        <v>608</v>
      </c>
      <c r="BY27" s="44"/>
      <c r="BZ27" s="91" t="s">
        <v>298</v>
      </c>
      <c r="CA27" s="79">
        <v>0.11193205302387052</v>
      </c>
      <c r="CB27" s="80">
        <v>1E-8</v>
      </c>
      <c r="CC27" s="79">
        <v>1E-8</v>
      </c>
      <c r="CD27" s="79">
        <v>1E-8</v>
      </c>
      <c r="CE27" s="79">
        <v>1E-8</v>
      </c>
      <c r="CF27" s="79">
        <v>1E-8</v>
      </c>
      <c r="CG27" s="79">
        <v>1E-8</v>
      </c>
      <c r="CH27" s="79">
        <v>1E-8</v>
      </c>
      <c r="CI27" s="79">
        <v>1E-8</v>
      </c>
      <c r="CJ27" s="79">
        <v>1E-8</v>
      </c>
      <c r="CK27" s="44"/>
    </row>
    <row r="28" spans="1:89" x14ac:dyDescent="0.35">
      <c r="A28" s="9" t="s">
        <v>609</v>
      </c>
      <c r="B28" s="44"/>
      <c r="C28" s="91" t="s">
        <v>538</v>
      </c>
      <c r="D28" s="79">
        <v>3.3940481164729024E-2</v>
      </c>
      <c r="E28" s="80">
        <v>1.6626973876541884</v>
      </c>
      <c r="F28" s="79">
        <v>1E-8</v>
      </c>
      <c r="G28" s="79">
        <v>1E-8</v>
      </c>
      <c r="H28" s="79">
        <v>1E-8</v>
      </c>
      <c r="I28" s="79">
        <v>1E-8</v>
      </c>
      <c r="J28" s="79">
        <v>1E-8</v>
      </c>
      <c r="K28" s="79">
        <v>1E-8</v>
      </c>
      <c r="L28" s="79">
        <v>1E-8</v>
      </c>
      <c r="M28" s="79">
        <v>1E-8</v>
      </c>
      <c r="N28" s="44"/>
      <c r="O28" s="34"/>
      <c r="P28" s="9" t="s">
        <v>609</v>
      </c>
      <c r="Q28" s="44"/>
      <c r="R28" s="91" t="s">
        <v>538</v>
      </c>
      <c r="S28" s="79">
        <v>2.8209995723484472E-2</v>
      </c>
      <c r="T28" s="80">
        <v>1.3806534138521398</v>
      </c>
      <c r="U28" s="79">
        <v>1E-8</v>
      </c>
      <c r="V28" s="79">
        <v>1E-8</v>
      </c>
      <c r="W28" s="79">
        <v>1E-8</v>
      </c>
      <c r="X28" s="79">
        <v>1E-8</v>
      </c>
      <c r="Y28" s="79">
        <v>1E-8</v>
      </c>
      <c r="Z28" s="79">
        <v>1E-8</v>
      </c>
      <c r="AA28" s="79">
        <v>1E-8</v>
      </c>
      <c r="AB28" s="79">
        <v>1E-8</v>
      </c>
      <c r="AC28" s="44"/>
      <c r="AD28" s="34"/>
      <c r="AE28" s="9" t="s">
        <v>609</v>
      </c>
      <c r="AF28" s="44"/>
      <c r="AG28" s="91" t="s">
        <v>538</v>
      </c>
      <c r="AH28" s="79">
        <v>1E-8</v>
      </c>
      <c r="AI28" s="80">
        <v>1E-8</v>
      </c>
      <c r="AJ28" s="79">
        <v>1E-8</v>
      </c>
      <c r="AK28" s="79">
        <v>1E-8</v>
      </c>
      <c r="AL28" s="79">
        <v>1E-8</v>
      </c>
      <c r="AM28" s="79">
        <v>1E-8</v>
      </c>
      <c r="AN28" s="79">
        <v>1E-8</v>
      </c>
      <c r="AO28" s="79">
        <v>1E-8</v>
      </c>
      <c r="AP28" s="79">
        <v>1E-8</v>
      </c>
      <c r="AQ28" s="79">
        <v>1E-8</v>
      </c>
      <c r="AR28" s="44"/>
      <c r="AS28" s="34"/>
      <c r="AT28" s="9" t="s">
        <v>609</v>
      </c>
      <c r="AU28" s="44"/>
      <c r="AV28" s="91" t="s">
        <v>538</v>
      </c>
      <c r="AW28" s="79">
        <v>1E-8</v>
      </c>
      <c r="AX28" s="80">
        <v>1E-8</v>
      </c>
      <c r="AY28" s="79">
        <v>1E-8</v>
      </c>
      <c r="AZ28" s="79">
        <v>1E-8</v>
      </c>
      <c r="BA28" s="79">
        <v>1E-8</v>
      </c>
      <c r="BB28" s="79">
        <v>1E-8</v>
      </c>
      <c r="BC28" s="79">
        <v>1E-8</v>
      </c>
      <c r="BD28" s="79">
        <v>1E-8</v>
      </c>
      <c r="BE28" s="79">
        <v>1E-8</v>
      </c>
      <c r="BF28" s="79">
        <v>1E-8</v>
      </c>
      <c r="BG28" s="44"/>
      <c r="BH28" s="34"/>
      <c r="BI28" s="9" t="s">
        <v>609</v>
      </c>
      <c r="BJ28" s="44"/>
      <c r="BK28" s="91" t="s">
        <v>538</v>
      </c>
      <c r="BL28" s="79">
        <v>1E-8</v>
      </c>
      <c r="BM28" s="80">
        <v>1E-8</v>
      </c>
      <c r="BN28" s="79">
        <v>1E-8</v>
      </c>
      <c r="BO28" s="79">
        <v>1E-8</v>
      </c>
      <c r="BP28" s="79">
        <v>1E-8</v>
      </c>
      <c r="BQ28" s="79">
        <v>1E-8</v>
      </c>
      <c r="BR28" s="79">
        <v>1E-8</v>
      </c>
      <c r="BS28" s="79">
        <v>1E-8</v>
      </c>
      <c r="BT28" s="79">
        <v>1E-8</v>
      </c>
      <c r="BU28" s="79">
        <v>1E-8</v>
      </c>
      <c r="BV28" s="44"/>
      <c r="BW28" s="34"/>
      <c r="BX28" s="9" t="s">
        <v>609</v>
      </c>
      <c r="BY28" s="44"/>
      <c r="BZ28" s="91" t="s">
        <v>538</v>
      </c>
      <c r="CA28" s="79">
        <v>1E-8</v>
      </c>
      <c r="CB28" s="80">
        <v>1E-8</v>
      </c>
      <c r="CC28" s="79">
        <v>1E-8</v>
      </c>
      <c r="CD28" s="79">
        <v>1E-8</v>
      </c>
      <c r="CE28" s="79">
        <v>1E-8</v>
      </c>
      <c r="CF28" s="79">
        <v>1E-8</v>
      </c>
      <c r="CG28" s="79">
        <v>1E-8</v>
      </c>
      <c r="CH28" s="79">
        <v>1E-8</v>
      </c>
      <c r="CI28" s="79">
        <v>1E-8</v>
      </c>
      <c r="CJ28" s="79">
        <v>1E-8</v>
      </c>
      <c r="CK28" s="44"/>
    </row>
    <row r="29" spans="1:89" x14ac:dyDescent="0.35">
      <c r="A29" s="9" t="s">
        <v>610</v>
      </c>
      <c r="B29" s="44"/>
      <c r="C29" s="91" t="s">
        <v>299</v>
      </c>
      <c r="D29" s="79">
        <v>1E-8</v>
      </c>
      <c r="E29" s="80">
        <v>1E-8</v>
      </c>
      <c r="F29" s="79">
        <v>1E-8</v>
      </c>
      <c r="G29" s="79">
        <v>1E-8</v>
      </c>
      <c r="H29" s="79">
        <v>1E-8</v>
      </c>
      <c r="I29" s="79">
        <v>1E-8</v>
      </c>
      <c r="J29" s="79">
        <v>1E-8</v>
      </c>
      <c r="K29" s="79">
        <v>1E-8</v>
      </c>
      <c r="L29" s="79">
        <v>1E-8</v>
      </c>
      <c r="M29" s="79">
        <v>1E-8</v>
      </c>
      <c r="N29" s="44"/>
      <c r="O29" s="34"/>
      <c r="P29" s="9" t="s">
        <v>610</v>
      </c>
      <c r="Q29" s="44"/>
      <c r="R29" s="91" t="s">
        <v>299</v>
      </c>
      <c r="S29" s="79">
        <v>4.2843519627135403E-2</v>
      </c>
      <c r="T29" s="80">
        <v>6.4609403928222564</v>
      </c>
      <c r="U29" s="79">
        <v>1E-8</v>
      </c>
      <c r="V29" s="79">
        <v>1E-8</v>
      </c>
      <c r="W29" s="79">
        <v>1E-8</v>
      </c>
      <c r="X29" s="79">
        <v>1E-8</v>
      </c>
      <c r="Y29" s="79">
        <v>1E-8</v>
      </c>
      <c r="Z29" s="79">
        <v>1E-8</v>
      </c>
      <c r="AA29" s="79">
        <v>1E-8</v>
      </c>
      <c r="AB29" s="79">
        <v>1E-8</v>
      </c>
      <c r="AC29" s="44"/>
      <c r="AD29" s="34"/>
      <c r="AE29" s="9" t="s">
        <v>610</v>
      </c>
      <c r="AF29" s="44"/>
      <c r="AG29" s="91" t="s">
        <v>299</v>
      </c>
      <c r="AH29" s="79">
        <v>1E-8</v>
      </c>
      <c r="AI29" s="80">
        <v>1E-8</v>
      </c>
      <c r="AJ29" s="79">
        <v>1E-8</v>
      </c>
      <c r="AK29" s="79">
        <v>1E-8</v>
      </c>
      <c r="AL29" s="79">
        <v>1E-8</v>
      </c>
      <c r="AM29" s="79">
        <v>1E-8</v>
      </c>
      <c r="AN29" s="79">
        <v>1E-8</v>
      </c>
      <c r="AO29" s="79">
        <v>1E-8</v>
      </c>
      <c r="AP29" s="79">
        <v>1E-8</v>
      </c>
      <c r="AQ29" s="79">
        <v>1E-8</v>
      </c>
      <c r="AR29" s="44"/>
      <c r="AS29" s="34"/>
      <c r="AT29" s="9" t="s">
        <v>610</v>
      </c>
      <c r="AU29" s="44"/>
      <c r="AV29" s="91" t="s">
        <v>299</v>
      </c>
      <c r="AW29" s="79">
        <v>0.19135417833551743</v>
      </c>
      <c r="AX29" s="80">
        <v>6.4609403928222564</v>
      </c>
      <c r="AY29" s="79">
        <v>1E-8</v>
      </c>
      <c r="AZ29" s="79">
        <v>1E-8</v>
      </c>
      <c r="BA29" s="79">
        <v>1E-8</v>
      </c>
      <c r="BB29" s="79">
        <v>1E-8</v>
      </c>
      <c r="BC29" s="79">
        <v>1E-8</v>
      </c>
      <c r="BD29" s="79">
        <v>1E-8</v>
      </c>
      <c r="BE29" s="79">
        <v>1E-8</v>
      </c>
      <c r="BF29" s="79">
        <v>1E-8</v>
      </c>
      <c r="BG29" s="44"/>
      <c r="BH29" s="34"/>
      <c r="BI29" s="9" t="s">
        <v>610</v>
      </c>
      <c r="BJ29" s="44"/>
      <c r="BK29" s="91" t="s">
        <v>299</v>
      </c>
      <c r="BL29" s="79">
        <v>1E-8</v>
      </c>
      <c r="BM29" s="80">
        <v>1E-8</v>
      </c>
      <c r="BN29" s="79">
        <v>1E-8</v>
      </c>
      <c r="BO29" s="79">
        <v>1E-8</v>
      </c>
      <c r="BP29" s="79">
        <v>1E-8</v>
      </c>
      <c r="BQ29" s="79">
        <v>1E-8</v>
      </c>
      <c r="BR29" s="79">
        <v>1E-8</v>
      </c>
      <c r="BS29" s="79">
        <v>1E-8</v>
      </c>
      <c r="BT29" s="79">
        <v>1E-8</v>
      </c>
      <c r="BU29" s="79">
        <v>1E-8</v>
      </c>
      <c r="BV29" s="44"/>
      <c r="BW29" s="34"/>
      <c r="BX29" s="9" t="s">
        <v>610</v>
      </c>
      <c r="BY29" s="44"/>
      <c r="BZ29" s="91" t="s">
        <v>299</v>
      </c>
      <c r="CA29" s="79">
        <v>0.23756560987331063</v>
      </c>
      <c r="CB29" s="80">
        <v>1E-8</v>
      </c>
      <c r="CC29" s="79">
        <v>1E-8</v>
      </c>
      <c r="CD29" s="79">
        <v>1E-8</v>
      </c>
      <c r="CE29" s="79">
        <v>1E-8</v>
      </c>
      <c r="CF29" s="79">
        <v>1E-8</v>
      </c>
      <c r="CG29" s="79">
        <v>1E-8</v>
      </c>
      <c r="CH29" s="79">
        <v>1E-8</v>
      </c>
      <c r="CI29" s="79">
        <v>1E-8</v>
      </c>
      <c r="CJ29" s="79">
        <v>1E-8</v>
      </c>
      <c r="CK29" s="44"/>
    </row>
    <row r="30" spans="1:89" x14ac:dyDescent="0.35">
      <c r="A30" s="9" t="s">
        <v>611</v>
      </c>
      <c r="B30" s="44"/>
      <c r="C30" s="91" t="s">
        <v>309</v>
      </c>
      <c r="D30" s="79">
        <v>0.76425710751174392</v>
      </c>
      <c r="E30" s="80">
        <v>4.7213355388339817</v>
      </c>
      <c r="F30" s="79">
        <v>1E-8</v>
      </c>
      <c r="G30" s="79">
        <v>1E-8</v>
      </c>
      <c r="H30" s="79">
        <v>1E-8</v>
      </c>
      <c r="I30" s="79">
        <v>1E-8</v>
      </c>
      <c r="J30" s="79">
        <v>1E-8</v>
      </c>
      <c r="K30" s="79">
        <v>1E-8</v>
      </c>
      <c r="L30" s="79">
        <v>1E-8</v>
      </c>
      <c r="M30" s="79">
        <v>1E-8</v>
      </c>
      <c r="N30" s="44"/>
      <c r="O30" s="34"/>
      <c r="P30" s="9" t="s">
        <v>611</v>
      </c>
      <c r="Q30" s="44"/>
      <c r="R30" s="91" t="s">
        <v>309</v>
      </c>
      <c r="S30" s="79">
        <v>0.23598015689185844</v>
      </c>
      <c r="T30" s="80">
        <v>1.7113621606493101</v>
      </c>
      <c r="U30" s="79">
        <v>1E-8</v>
      </c>
      <c r="V30" s="79">
        <v>1E-8</v>
      </c>
      <c r="W30" s="79">
        <v>1E-8</v>
      </c>
      <c r="X30" s="79">
        <v>1E-8</v>
      </c>
      <c r="Y30" s="79">
        <v>1E-8</v>
      </c>
      <c r="Z30" s="79">
        <v>1E-8</v>
      </c>
      <c r="AA30" s="79">
        <v>1E-8</v>
      </c>
      <c r="AB30" s="79">
        <v>1E-8</v>
      </c>
      <c r="AC30" s="44"/>
      <c r="AD30" s="34"/>
      <c r="AE30" s="9" t="s">
        <v>611</v>
      </c>
      <c r="AF30" s="44"/>
      <c r="AG30" s="91" t="s">
        <v>309</v>
      </c>
      <c r="AH30" s="79">
        <v>5.1989007424736711</v>
      </c>
      <c r="AI30" s="80">
        <v>6.5749284285748777</v>
      </c>
      <c r="AJ30" s="79">
        <v>1E-8</v>
      </c>
      <c r="AK30" s="79">
        <v>1E-8</v>
      </c>
      <c r="AL30" s="79">
        <v>1E-8</v>
      </c>
      <c r="AM30" s="79">
        <v>1E-8</v>
      </c>
      <c r="AN30" s="79">
        <v>1E-8</v>
      </c>
      <c r="AO30" s="79">
        <v>1E-8</v>
      </c>
      <c r="AP30" s="79">
        <v>1E-8</v>
      </c>
      <c r="AQ30" s="79">
        <v>1E-8</v>
      </c>
      <c r="AR30" s="44"/>
      <c r="AS30" s="34"/>
      <c r="AT30" s="9" t="s">
        <v>611</v>
      </c>
      <c r="AU30" s="44"/>
      <c r="AV30" s="91" t="s">
        <v>309</v>
      </c>
      <c r="AW30" s="79">
        <v>1E-8</v>
      </c>
      <c r="AX30" s="80">
        <v>1E-8</v>
      </c>
      <c r="AY30" s="79">
        <v>1E-8</v>
      </c>
      <c r="AZ30" s="79">
        <v>1E-8</v>
      </c>
      <c r="BA30" s="79">
        <v>1E-8</v>
      </c>
      <c r="BB30" s="79">
        <v>1E-8</v>
      </c>
      <c r="BC30" s="79">
        <v>1E-8</v>
      </c>
      <c r="BD30" s="79">
        <v>1E-8</v>
      </c>
      <c r="BE30" s="79">
        <v>1E-8</v>
      </c>
      <c r="BF30" s="79">
        <v>1E-8</v>
      </c>
      <c r="BG30" s="44"/>
      <c r="BH30" s="34"/>
      <c r="BI30" s="9" t="s">
        <v>611</v>
      </c>
      <c r="BJ30" s="44"/>
      <c r="BK30" s="91" t="s">
        <v>309</v>
      </c>
      <c r="BL30" s="79">
        <v>4.6221607247275998</v>
      </c>
      <c r="BM30" s="80">
        <v>1E-8</v>
      </c>
      <c r="BN30" s="79">
        <v>1E-8</v>
      </c>
      <c r="BO30" s="79">
        <v>1E-8</v>
      </c>
      <c r="BP30" s="79">
        <v>1E-8</v>
      </c>
      <c r="BQ30" s="79">
        <v>1E-8</v>
      </c>
      <c r="BR30" s="79">
        <v>1E-8</v>
      </c>
      <c r="BS30" s="79">
        <v>1E-8</v>
      </c>
      <c r="BT30" s="79">
        <v>1E-8</v>
      </c>
      <c r="BU30" s="79">
        <v>1E-8</v>
      </c>
      <c r="BV30" s="44"/>
      <c r="BW30" s="34"/>
      <c r="BX30" s="9" t="s">
        <v>611</v>
      </c>
      <c r="BY30" s="44"/>
      <c r="BZ30" s="91" t="s">
        <v>309</v>
      </c>
      <c r="CA30" s="79">
        <v>1E-8</v>
      </c>
      <c r="CB30" s="80">
        <v>1E-8</v>
      </c>
      <c r="CC30" s="79">
        <v>1E-8</v>
      </c>
      <c r="CD30" s="79">
        <v>1E-8</v>
      </c>
      <c r="CE30" s="79">
        <v>1E-8</v>
      </c>
      <c r="CF30" s="79">
        <v>1E-8</v>
      </c>
      <c r="CG30" s="79">
        <v>1E-8</v>
      </c>
      <c r="CH30" s="79">
        <v>1E-8</v>
      </c>
      <c r="CI30" s="79">
        <v>1E-8</v>
      </c>
      <c r="CJ30" s="79">
        <v>1E-8</v>
      </c>
      <c r="CK30" s="44"/>
    </row>
    <row r="31" spans="1:89" x14ac:dyDescent="0.35">
      <c r="A31" s="9" t="s">
        <v>612</v>
      </c>
      <c r="B31" s="44"/>
      <c r="C31" s="91" t="s">
        <v>308</v>
      </c>
      <c r="D31" s="79">
        <v>0.23477248620339844</v>
      </c>
      <c r="E31" s="80">
        <v>2.8877461448691522</v>
      </c>
      <c r="F31" s="79">
        <v>1E-8</v>
      </c>
      <c r="G31" s="79">
        <v>1E-8</v>
      </c>
      <c r="H31" s="79">
        <v>1E-8</v>
      </c>
      <c r="I31" s="79">
        <v>1E-8</v>
      </c>
      <c r="J31" s="79">
        <v>1E-8</v>
      </c>
      <c r="K31" s="79">
        <v>1E-8</v>
      </c>
      <c r="L31" s="79">
        <v>1E-8</v>
      </c>
      <c r="M31" s="79">
        <v>1E-8</v>
      </c>
      <c r="N31" s="44"/>
      <c r="O31" s="34"/>
      <c r="P31" s="9" t="s">
        <v>612</v>
      </c>
      <c r="Q31" s="44"/>
      <c r="R31" s="91" t="s">
        <v>308</v>
      </c>
      <c r="S31" s="79">
        <v>0.18350385491042118</v>
      </c>
      <c r="T31" s="80">
        <v>2.8269554553019161</v>
      </c>
      <c r="U31" s="79">
        <v>1E-8</v>
      </c>
      <c r="V31" s="79">
        <v>1E-8</v>
      </c>
      <c r="W31" s="79">
        <v>1E-8</v>
      </c>
      <c r="X31" s="79">
        <v>1E-8</v>
      </c>
      <c r="Y31" s="79">
        <v>1E-8</v>
      </c>
      <c r="Z31" s="79">
        <v>1E-8</v>
      </c>
      <c r="AA31" s="79">
        <v>1E-8</v>
      </c>
      <c r="AB31" s="79">
        <v>1E-8</v>
      </c>
      <c r="AC31" s="44"/>
      <c r="AD31" s="34"/>
      <c r="AE31" s="9" t="s">
        <v>612</v>
      </c>
      <c r="AF31" s="44"/>
      <c r="AG31" s="91" t="s">
        <v>308</v>
      </c>
      <c r="AH31" s="79">
        <v>1E-8</v>
      </c>
      <c r="AI31" s="80">
        <v>1E-8</v>
      </c>
      <c r="AJ31" s="79">
        <v>1E-8</v>
      </c>
      <c r="AK31" s="79">
        <v>1E-8</v>
      </c>
      <c r="AL31" s="79">
        <v>1E-8</v>
      </c>
      <c r="AM31" s="79">
        <v>1E-8</v>
      </c>
      <c r="AN31" s="79">
        <v>1E-8</v>
      </c>
      <c r="AO31" s="79">
        <v>1E-8</v>
      </c>
      <c r="AP31" s="79">
        <v>1E-8</v>
      </c>
      <c r="AQ31" s="79">
        <v>1E-8</v>
      </c>
      <c r="AR31" s="44"/>
      <c r="AS31" s="34"/>
      <c r="AT31" s="9" t="s">
        <v>612</v>
      </c>
      <c r="AU31" s="44"/>
      <c r="AV31" s="91" t="s">
        <v>308</v>
      </c>
      <c r="AW31" s="79">
        <v>1E-8</v>
      </c>
      <c r="AX31" s="80">
        <v>1E-8</v>
      </c>
      <c r="AY31" s="79">
        <v>1E-8</v>
      </c>
      <c r="AZ31" s="79">
        <v>1E-8</v>
      </c>
      <c r="BA31" s="79">
        <v>1E-8</v>
      </c>
      <c r="BB31" s="79">
        <v>1E-8</v>
      </c>
      <c r="BC31" s="79">
        <v>1E-8</v>
      </c>
      <c r="BD31" s="79">
        <v>1E-8</v>
      </c>
      <c r="BE31" s="79">
        <v>1E-8</v>
      </c>
      <c r="BF31" s="79">
        <v>1E-8</v>
      </c>
      <c r="BG31" s="44"/>
      <c r="BH31" s="34"/>
      <c r="BI31" s="9" t="s">
        <v>612</v>
      </c>
      <c r="BJ31" s="44"/>
      <c r="BK31" s="91" t="s">
        <v>308</v>
      </c>
      <c r="BL31" s="79">
        <v>1E-8</v>
      </c>
      <c r="BM31" s="80">
        <v>1E-8</v>
      </c>
      <c r="BN31" s="79">
        <v>1E-8</v>
      </c>
      <c r="BO31" s="79">
        <v>1E-8</v>
      </c>
      <c r="BP31" s="79">
        <v>1E-8</v>
      </c>
      <c r="BQ31" s="79">
        <v>1E-8</v>
      </c>
      <c r="BR31" s="79">
        <v>1E-8</v>
      </c>
      <c r="BS31" s="79">
        <v>1E-8</v>
      </c>
      <c r="BT31" s="79">
        <v>1E-8</v>
      </c>
      <c r="BU31" s="79">
        <v>1E-8</v>
      </c>
      <c r="BV31" s="44"/>
      <c r="BW31" s="34"/>
      <c r="BX31" s="9" t="s">
        <v>612</v>
      </c>
      <c r="BY31" s="44"/>
      <c r="BZ31" s="91" t="s">
        <v>308</v>
      </c>
      <c r="CA31" s="79">
        <v>1E-8</v>
      </c>
      <c r="CB31" s="80">
        <v>1E-8</v>
      </c>
      <c r="CC31" s="79">
        <v>1E-8</v>
      </c>
      <c r="CD31" s="79">
        <v>1E-8</v>
      </c>
      <c r="CE31" s="79">
        <v>1E-8</v>
      </c>
      <c r="CF31" s="79">
        <v>1E-8</v>
      </c>
      <c r="CG31" s="79">
        <v>1E-8</v>
      </c>
      <c r="CH31" s="79">
        <v>1E-8</v>
      </c>
      <c r="CI31" s="79">
        <v>1E-8</v>
      </c>
      <c r="CJ31" s="79">
        <v>1E-8</v>
      </c>
      <c r="CK31" s="44"/>
    </row>
    <row r="32" spans="1:89" x14ac:dyDescent="0.35">
      <c r="A32" s="9" t="s">
        <v>613</v>
      </c>
      <c r="B32" s="44"/>
      <c r="C32" s="91" t="s">
        <v>306</v>
      </c>
      <c r="D32" s="79">
        <v>3.9718103600830501E-2</v>
      </c>
      <c r="E32" s="80">
        <v>1.6182767376306417</v>
      </c>
      <c r="F32" s="79">
        <v>1E-8</v>
      </c>
      <c r="G32" s="79">
        <v>1E-8</v>
      </c>
      <c r="H32" s="79">
        <v>1E-8</v>
      </c>
      <c r="I32" s="79">
        <v>1E-8</v>
      </c>
      <c r="J32" s="79">
        <v>1E-8</v>
      </c>
      <c r="K32" s="79">
        <v>1E-8</v>
      </c>
      <c r="L32" s="79">
        <v>1E-8</v>
      </c>
      <c r="M32" s="79">
        <v>1E-8</v>
      </c>
      <c r="N32" s="44"/>
      <c r="O32" s="34"/>
      <c r="P32" s="9" t="s">
        <v>613</v>
      </c>
      <c r="Q32" s="44"/>
      <c r="R32" s="91" t="s">
        <v>306</v>
      </c>
      <c r="S32" s="79">
        <v>3.1018770487319332E-2</v>
      </c>
      <c r="T32" s="80">
        <v>1.5730787610829022</v>
      </c>
      <c r="U32" s="79">
        <v>1E-8</v>
      </c>
      <c r="V32" s="79">
        <v>1E-8</v>
      </c>
      <c r="W32" s="79">
        <v>1E-8</v>
      </c>
      <c r="X32" s="79">
        <v>1E-8</v>
      </c>
      <c r="Y32" s="79">
        <v>1E-8</v>
      </c>
      <c r="Z32" s="79">
        <v>1E-8</v>
      </c>
      <c r="AA32" s="79">
        <v>1E-8</v>
      </c>
      <c r="AB32" s="79">
        <v>1E-8</v>
      </c>
      <c r="AC32" s="44"/>
      <c r="AD32" s="34"/>
      <c r="AE32" s="9" t="s">
        <v>613</v>
      </c>
      <c r="AF32" s="44"/>
      <c r="AG32" s="91" t="s">
        <v>306</v>
      </c>
      <c r="AH32" s="79">
        <v>1E-8</v>
      </c>
      <c r="AI32" s="80">
        <v>1E-8</v>
      </c>
      <c r="AJ32" s="79">
        <v>1E-8</v>
      </c>
      <c r="AK32" s="79">
        <v>1E-8</v>
      </c>
      <c r="AL32" s="79">
        <v>1E-8</v>
      </c>
      <c r="AM32" s="79">
        <v>1E-8</v>
      </c>
      <c r="AN32" s="79">
        <v>1E-8</v>
      </c>
      <c r="AO32" s="79">
        <v>1E-8</v>
      </c>
      <c r="AP32" s="79">
        <v>1E-8</v>
      </c>
      <c r="AQ32" s="79">
        <v>1E-8</v>
      </c>
      <c r="AR32" s="44"/>
      <c r="AS32" s="34"/>
      <c r="AT32" s="9" t="s">
        <v>613</v>
      </c>
      <c r="AU32" s="44"/>
      <c r="AV32" s="91" t="s">
        <v>306</v>
      </c>
      <c r="AW32" s="79">
        <v>1E-8</v>
      </c>
      <c r="AX32" s="80">
        <v>1E-8</v>
      </c>
      <c r="AY32" s="79">
        <v>1E-8</v>
      </c>
      <c r="AZ32" s="79">
        <v>1E-8</v>
      </c>
      <c r="BA32" s="79">
        <v>1E-8</v>
      </c>
      <c r="BB32" s="79">
        <v>1E-8</v>
      </c>
      <c r="BC32" s="79">
        <v>1E-8</v>
      </c>
      <c r="BD32" s="79">
        <v>1E-8</v>
      </c>
      <c r="BE32" s="79">
        <v>1E-8</v>
      </c>
      <c r="BF32" s="79">
        <v>1E-8</v>
      </c>
      <c r="BG32" s="44"/>
      <c r="BH32" s="34"/>
      <c r="BI32" s="9" t="s">
        <v>613</v>
      </c>
      <c r="BJ32" s="44"/>
      <c r="BK32" s="91" t="s">
        <v>306</v>
      </c>
      <c r="BL32" s="79">
        <v>1E-8</v>
      </c>
      <c r="BM32" s="80">
        <v>1E-8</v>
      </c>
      <c r="BN32" s="79">
        <v>1E-8</v>
      </c>
      <c r="BO32" s="79">
        <v>1E-8</v>
      </c>
      <c r="BP32" s="79">
        <v>1E-8</v>
      </c>
      <c r="BQ32" s="79">
        <v>1E-8</v>
      </c>
      <c r="BR32" s="79">
        <v>1E-8</v>
      </c>
      <c r="BS32" s="79">
        <v>1E-8</v>
      </c>
      <c r="BT32" s="79">
        <v>1E-8</v>
      </c>
      <c r="BU32" s="79">
        <v>1E-8</v>
      </c>
      <c r="BV32" s="44"/>
      <c r="BW32" s="34"/>
      <c r="BX32" s="9" t="s">
        <v>613</v>
      </c>
      <c r="BY32" s="44"/>
      <c r="BZ32" s="91" t="s">
        <v>306</v>
      </c>
      <c r="CA32" s="79">
        <v>1E-8</v>
      </c>
      <c r="CB32" s="80">
        <v>1E-8</v>
      </c>
      <c r="CC32" s="79">
        <v>1E-8</v>
      </c>
      <c r="CD32" s="79">
        <v>1E-8</v>
      </c>
      <c r="CE32" s="79">
        <v>1E-8</v>
      </c>
      <c r="CF32" s="79">
        <v>1E-8</v>
      </c>
      <c r="CG32" s="79">
        <v>1E-8</v>
      </c>
      <c r="CH32" s="79">
        <v>1E-8</v>
      </c>
      <c r="CI32" s="79">
        <v>1E-8</v>
      </c>
      <c r="CJ32" s="79">
        <v>1E-8</v>
      </c>
      <c r="CK32" s="44"/>
    </row>
    <row r="33" spans="1:89" x14ac:dyDescent="0.35">
      <c r="A33" s="9" t="s">
        <v>614</v>
      </c>
      <c r="B33" s="44"/>
      <c r="C33" s="91" t="s">
        <v>305</v>
      </c>
      <c r="D33" s="79">
        <v>7.0977950617643851E-2</v>
      </c>
      <c r="E33" s="80">
        <v>2.513319263259195</v>
      </c>
      <c r="F33" s="79">
        <v>1E-8</v>
      </c>
      <c r="G33" s="79">
        <v>1E-8</v>
      </c>
      <c r="H33" s="79">
        <v>1E-8</v>
      </c>
      <c r="I33" s="79">
        <v>1E-8</v>
      </c>
      <c r="J33" s="79">
        <v>1E-8</v>
      </c>
      <c r="K33" s="79">
        <v>1E-8</v>
      </c>
      <c r="L33" s="79">
        <v>1E-8</v>
      </c>
      <c r="M33" s="79">
        <v>1E-8</v>
      </c>
      <c r="N33" s="44"/>
      <c r="O33" s="34"/>
      <c r="P33" s="9" t="s">
        <v>614</v>
      </c>
      <c r="Q33" s="44"/>
      <c r="R33" s="91" t="s">
        <v>305</v>
      </c>
      <c r="S33" s="79">
        <v>4.6292495974852736E-2</v>
      </c>
      <c r="T33" s="80">
        <v>1.6354205283734435</v>
      </c>
      <c r="U33" s="79">
        <v>1E-8</v>
      </c>
      <c r="V33" s="79">
        <v>1E-8</v>
      </c>
      <c r="W33" s="79">
        <v>1E-8</v>
      </c>
      <c r="X33" s="79">
        <v>1E-8</v>
      </c>
      <c r="Y33" s="79">
        <v>1E-8</v>
      </c>
      <c r="Z33" s="79">
        <v>1E-8</v>
      </c>
      <c r="AA33" s="79">
        <v>1E-8</v>
      </c>
      <c r="AB33" s="79">
        <v>1E-8</v>
      </c>
      <c r="AC33" s="44"/>
      <c r="AD33" s="34"/>
      <c r="AE33" s="9" t="s">
        <v>614</v>
      </c>
      <c r="AF33" s="44"/>
      <c r="AG33" s="91" t="s">
        <v>305</v>
      </c>
      <c r="AH33" s="79">
        <v>0.12982434325814587</v>
      </c>
      <c r="AI33" s="80">
        <v>6.6309756129373953</v>
      </c>
      <c r="AJ33" s="79">
        <v>1E-8</v>
      </c>
      <c r="AK33" s="79">
        <v>1E-8</v>
      </c>
      <c r="AL33" s="79">
        <v>1E-8</v>
      </c>
      <c r="AM33" s="79">
        <v>1E-8</v>
      </c>
      <c r="AN33" s="79">
        <v>1E-8</v>
      </c>
      <c r="AO33" s="79">
        <v>1E-8</v>
      </c>
      <c r="AP33" s="79">
        <v>1E-8</v>
      </c>
      <c r="AQ33" s="79">
        <v>1E-8</v>
      </c>
      <c r="AR33" s="44"/>
      <c r="AS33" s="34"/>
      <c r="AT33" s="9" t="s">
        <v>614</v>
      </c>
      <c r="AU33" s="44"/>
      <c r="AV33" s="91" t="s">
        <v>305</v>
      </c>
      <c r="AW33" s="79">
        <v>1E-8</v>
      </c>
      <c r="AX33" s="80">
        <v>1E-8</v>
      </c>
      <c r="AY33" s="79">
        <v>1E-8</v>
      </c>
      <c r="AZ33" s="79">
        <v>1E-8</v>
      </c>
      <c r="BA33" s="79">
        <v>1E-8</v>
      </c>
      <c r="BB33" s="79">
        <v>1E-8</v>
      </c>
      <c r="BC33" s="79">
        <v>1E-8</v>
      </c>
      <c r="BD33" s="79">
        <v>1E-8</v>
      </c>
      <c r="BE33" s="79">
        <v>1E-8</v>
      </c>
      <c r="BF33" s="79">
        <v>1E-8</v>
      </c>
      <c r="BG33" s="44"/>
      <c r="BH33" s="34"/>
      <c r="BI33" s="9" t="s">
        <v>614</v>
      </c>
      <c r="BJ33" s="44"/>
      <c r="BK33" s="91" t="s">
        <v>305</v>
      </c>
      <c r="BL33" s="79">
        <v>0.11615617561424414</v>
      </c>
      <c r="BM33" s="80">
        <v>1E-8</v>
      </c>
      <c r="BN33" s="79">
        <v>1E-8</v>
      </c>
      <c r="BO33" s="79">
        <v>1E-8</v>
      </c>
      <c r="BP33" s="79">
        <v>1E-8</v>
      </c>
      <c r="BQ33" s="79">
        <v>1E-8</v>
      </c>
      <c r="BR33" s="79">
        <v>1E-8</v>
      </c>
      <c r="BS33" s="79">
        <v>1E-8</v>
      </c>
      <c r="BT33" s="79">
        <v>1E-8</v>
      </c>
      <c r="BU33" s="79">
        <v>1E-8</v>
      </c>
      <c r="BV33" s="44"/>
      <c r="BW33" s="34"/>
      <c r="BX33" s="9" t="s">
        <v>614</v>
      </c>
      <c r="BY33" s="44"/>
      <c r="BZ33" s="91" t="s">
        <v>305</v>
      </c>
      <c r="CA33" s="79">
        <v>1E-8</v>
      </c>
      <c r="CB33" s="80">
        <v>1E-8</v>
      </c>
      <c r="CC33" s="79">
        <v>1E-8</v>
      </c>
      <c r="CD33" s="79">
        <v>1E-8</v>
      </c>
      <c r="CE33" s="79">
        <v>1E-8</v>
      </c>
      <c r="CF33" s="79">
        <v>1E-8</v>
      </c>
      <c r="CG33" s="79">
        <v>1E-8</v>
      </c>
      <c r="CH33" s="79">
        <v>1E-8</v>
      </c>
      <c r="CI33" s="79">
        <v>1E-8</v>
      </c>
      <c r="CJ33" s="79">
        <v>1E-8</v>
      </c>
      <c r="CK33" s="44"/>
    </row>
    <row r="34" spans="1:89" x14ac:dyDescent="0.35">
      <c r="A34" s="9" t="s">
        <v>615</v>
      </c>
      <c r="B34" s="44"/>
      <c r="C34" s="91" t="s">
        <v>539</v>
      </c>
      <c r="D34" s="79">
        <v>5.3018949148408032E-2</v>
      </c>
      <c r="E34" s="80">
        <v>6.6605103328943427</v>
      </c>
      <c r="F34" s="79">
        <v>1E-8</v>
      </c>
      <c r="G34" s="79">
        <v>1E-8</v>
      </c>
      <c r="H34" s="79">
        <v>1E-8</v>
      </c>
      <c r="I34" s="79">
        <v>1E-8</v>
      </c>
      <c r="J34" s="79">
        <v>1E-8</v>
      </c>
      <c r="K34" s="79">
        <v>1E-8</v>
      </c>
      <c r="L34" s="79">
        <v>1E-8</v>
      </c>
      <c r="M34" s="79">
        <v>1E-8</v>
      </c>
      <c r="N34" s="44"/>
      <c r="O34" s="34"/>
      <c r="P34" s="9" t="s">
        <v>615</v>
      </c>
      <c r="Q34" s="44"/>
      <c r="R34" s="91" t="s">
        <v>539</v>
      </c>
      <c r="S34" s="79">
        <v>3.8770261502267989E-4</v>
      </c>
      <c r="T34" s="80">
        <v>6.5551342317385686</v>
      </c>
      <c r="U34" s="79">
        <v>1E-8</v>
      </c>
      <c r="V34" s="79">
        <v>1E-8</v>
      </c>
      <c r="W34" s="79">
        <v>1E-8</v>
      </c>
      <c r="X34" s="79">
        <v>1E-8</v>
      </c>
      <c r="Y34" s="79">
        <v>1E-8</v>
      </c>
      <c r="Z34" s="79">
        <v>1E-8</v>
      </c>
      <c r="AA34" s="79">
        <v>1E-8</v>
      </c>
      <c r="AB34" s="79">
        <v>1E-8</v>
      </c>
      <c r="AC34" s="44"/>
      <c r="AD34" s="34"/>
      <c r="AE34" s="9" t="s">
        <v>615</v>
      </c>
      <c r="AF34" s="44"/>
      <c r="AG34" s="91" t="s">
        <v>539</v>
      </c>
      <c r="AH34" s="79">
        <v>0.59530212541265326</v>
      </c>
      <c r="AI34" s="80">
        <v>6.660510332893721</v>
      </c>
      <c r="AJ34" s="79">
        <v>1E-8</v>
      </c>
      <c r="AK34" s="79">
        <v>1E-8</v>
      </c>
      <c r="AL34" s="79">
        <v>1E-8</v>
      </c>
      <c r="AM34" s="79">
        <v>1E-8</v>
      </c>
      <c r="AN34" s="79">
        <v>1E-8</v>
      </c>
      <c r="AO34" s="79">
        <v>1E-8</v>
      </c>
      <c r="AP34" s="79">
        <v>1E-8</v>
      </c>
      <c r="AQ34" s="79">
        <v>1E-8</v>
      </c>
      <c r="AR34" s="44"/>
      <c r="AS34" s="34"/>
      <c r="AT34" s="9" t="s">
        <v>615</v>
      </c>
      <c r="AU34" s="44"/>
      <c r="AV34" s="91" t="s">
        <v>539</v>
      </c>
      <c r="AW34" s="79">
        <v>1E-8</v>
      </c>
      <c r="AX34" s="80">
        <v>1E-8</v>
      </c>
      <c r="AY34" s="79">
        <v>1E-8</v>
      </c>
      <c r="AZ34" s="79">
        <v>1E-8</v>
      </c>
      <c r="BA34" s="79">
        <v>1E-8</v>
      </c>
      <c r="BB34" s="79">
        <v>1E-8</v>
      </c>
      <c r="BC34" s="79">
        <v>1E-8</v>
      </c>
      <c r="BD34" s="79">
        <v>1E-8</v>
      </c>
      <c r="BE34" s="79">
        <v>1E-8</v>
      </c>
      <c r="BF34" s="79">
        <v>1E-8</v>
      </c>
      <c r="BG34" s="44"/>
      <c r="BH34" s="34"/>
      <c r="BI34" s="9" t="s">
        <v>615</v>
      </c>
      <c r="BJ34" s="44"/>
      <c r="BK34" s="91" t="s">
        <v>539</v>
      </c>
      <c r="BL34" s="79">
        <v>0.53440087105610234</v>
      </c>
      <c r="BM34" s="80">
        <v>1E-8</v>
      </c>
      <c r="BN34" s="79">
        <v>1E-8</v>
      </c>
      <c r="BO34" s="79">
        <v>1E-8</v>
      </c>
      <c r="BP34" s="79">
        <v>1E-8</v>
      </c>
      <c r="BQ34" s="79">
        <v>1E-8</v>
      </c>
      <c r="BR34" s="79">
        <v>1E-8</v>
      </c>
      <c r="BS34" s="79">
        <v>1E-8</v>
      </c>
      <c r="BT34" s="79">
        <v>1E-8</v>
      </c>
      <c r="BU34" s="79">
        <v>1E-8</v>
      </c>
      <c r="BV34" s="44"/>
      <c r="BW34" s="34"/>
      <c r="BX34" s="9" t="s">
        <v>615</v>
      </c>
      <c r="BY34" s="44"/>
      <c r="BZ34" s="91" t="s">
        <v>539</v>
      </c>
      <c r="CA34" s="79">
        <v>1E-8</v>
      </c>
      <c r="CB34" s="80">
        <v>1E-8</v>
      </c>
      <c r="CC34" s="79">
        <v>1E-8</v>
      </c>
      <c r="CD34" s="79">
        <v>1E-8</v>
      </c>
      <c r="CE34" s="79">
        <v>1E-8</v>
      </c>
      <c r="CF34" s="79">
        <v>1E-8</v>
      </c>
      <c r="CG34" s="79">
        <v>1E-8</v>
      </c>
      <c r="CH34" s="79">
        <v>1E-8</v>
      </c>
      <c r="CI34" s="79">
        <v>1E-8</v>
      </c>
      <c r="CJ34" s="79">
        <v>1E-8</v>
      </c>
      <c r="CK34" s="44"/>
    </row>
    <row r="35" spans="1:89" x14ac:dyDescent="0.35">
      <c r="A35" s="9" t="s">
        <v>616</v>
      </c>
      <c r="B35" s="44"/>
      <c r="C35" s="91" t="s">
        <v>310</v>
      </c>
      <c r="D35" s="81">
        <v>0.28553743548589317</v>
      </c>
      <c r="E35" s="82">
        <v>2.5611863305100124</v>
      </c>
      <c r="F35" s="81">
        <v>1E-8</v>
      </c>
      <c r="G35" s="81">
        <v>1E-8</v>
      </c>
      <c r="H35" s="81">
        <v>1E-8</v>
      </c>
      <c r="I35" s="81">
        <v>1E-8</v>
      </c>
      <c r="J35" s="81">
        <v>1E-8</v>
      </c>
      <c r="K35" s="81">
        <v>1E-8</v>
      </c>
      <c r="L35" s="81">
        <v>1E-8</v>
      </c>
      <c r="M35" s="81">
        <v>1E-8</v>
      </c>
      <c r="N35" s="44"/>
      <c r="O35" s="34"/>
      <c r="P35" s="9" t="s">
        <v>616</v>
      </c>
      <c r="Q35" s="44"/>
      <c r="R35" s="91" t="s">
        <v>310</v>
      </c>
      <c r="S35" s="81">
        <v>0.2224389936493669</v>
      </c>
      <c r="T35" s="82">
        <v>2.4406571558138301</v>
      </c>
      <c r="U35" s="81">
        <v>1E-8</v>
      </c>
      <c r="V35" s="81">
        <v>1E-8</v>
      </c>
      <c r="W35" s="81">
        <v>1E-8</v>
      </c>
      <c r="X35" s="81">
        <v>1E-8</v>
      </c>
      <c r="Y35" s="81">
        <v>1E-8</v>
      </c>
      <c r="Z35" s="81">
        <v>1E-8</v>
      </c>
      <c r="AA35" s="81">
        <v>1E-8</v>
      </c>
      <c r="AB35" s="81">
        <v>1E-8</v>
      </c>
      <c r="AC35" s="44"/>
      <c r="AD35" s="34"/>
      <c r="AE35" s="9" t="s">
        <v>616</v>
      </c>
      <c r="AF35" s="44"/>
      <c r="AG35" s="91" t="s">
        <v>310</v>
      </c>
      <c r="AH35" s="81">
        <v>0.2117762846097371</v>
      </c>
      <c r="AI35" s="82">
        <v>6.6742943894155582</v>
      </c>
      <c r="AJ35" s="81">
        <v>1E-8</v>
      </c>
      <c r="AK35" s="81">
        <v>1E-8</v>
      </c>
      <c r="AL35" s="81">
        <v>1E-8</v>
      </c>
      <c r="AM35" s="81">
        <v>1E-8</v>
      </c>
      <c r="AN35" s="81">
        <v>1E-8</v>
      </c>
      <c r="AO35" s="81">
        <v>1E-8</v>
      </c>
      <c r="AP35" s="81">
        <v>1E-8</v>
      </c>
      <c r="AQ35" s="81">
        <v>1E-8</v>
      </c>
      <c r="AR35" s="44"/>
      <c r="AS35" s="34"/>
      <c r="AT35" s="9" t="s">
        <v>616</v>
      </c>
      <c r="AU35" s="44"/>
      <c r="AV35" s="91" t="s">
        <v>310</v>
      </c>
      <c r="AW35" s="81">
        <v>6.2646611652524553E-2</v>
      </c>
      <c r="AX35" s="82">
        <v>6.4444811210086606</v>
      </c>
      <c r="AY35" s="81">
        <v>1E-8</v>
      </c>
      <c r="AZ35" s="81">
        <v>1E-8</v>
      </c>
      <c r="BA35" s="81">
        <v>1E-8</v>
      </c>
      <c r="BB35" s="81">
        <v>1E-8</v>
      </c>
      <c r="BC35" s="81">
        <v>1E-8</v>
      </c>
      <c r="BD35" s="81">
        <v>1E-8</v>
      </c>
      <c r="BE35" s="81">
        <v>1E-8</v>
      </c>
      <c r="BF35" s="81">
        <v>1E-8</v>
      </c>
      <c r="BG35" s="44"/>
      <c r="BH35" s="34"/>
      <c r="BI35" s="9" t="s">
        <v>616</v>
      </c>
      <c r="BJ35" s="44"/>
      <c r="BK35" s="91" t="s">
        <v>310</v>
      </c>
      <c r="BL35" s="81">
        <v>0.190405341142423</v>
      </c>
      <c r="BM35" s="82">
        <v>1E-8</v>
      </c>
      <c r="BN35" s="81">
        <v>1E-8</v>
      </c>
      <c r="BO35" s="81">
        <v>1E-8</v>
      </c>
      <c r="BP35" s="81">
        <v>1E-8</v>
      </c>
      <c r="BQ35" s="81">
        <v>1E-8</v>
      </c>
      <c r="BR35" s="81">
        <v>1E-8</v>
      </c>
      <c r="BS35" s="81">
        <v>1E-8</v>
      </c>
      <c r="BT35" s="81">
        <v>1E-8</v>
      </c>
      <c r="BU35" s="81">
        <v>1E-8</v>
      </c>
      <c r="BV35" s="44"/>
      <c r="BW35" s="34"/>
      <c r="BX35" s="9" t="s">
        <v>616</v>
      </c>
      <c r="BY35" s="44"/>
      <c r="BZ35" s="91" t="s">
        <v>310</v>
      </c>
      <c r="CA35" s="81">
        <v>7.7598087846211194E-2</v>
      </c>
      <c r="CB35" s="82">
        <v>1E-8</v>
      </c>
      <c r="CC35" s="81">
        <v>1E-8</v>
      </c>
      <c r="CD35" s="81">
        <v>1E-8</v>
      </c>
      <c r="CE35" s="81">
        <v>1E-8</v>
      </c>
      <c r="CF35" s="81">
        <v>1E-8</v>
      </c>
      <c r="CG35" s="81">
        <v>1E-8</v>
      </c>
      <c r="CH35" s="81">
        <v>1E-8</v>
      </c>
      <c r="CI35" s="81">
        <v>1E-8</v>
      </c>
      <c r="CJ35" s="81">
        <v>1E-8</v>
      </c>
      <c r="CK35" s="44"/>
    </row>
    <row r="36" spans="1:89" x14ac:dyDescent="0.35">
      <c r="A36" s="11" t="s">
        <v>280</v>
      </c>
      <c r="B36" s="44"/>
      <c r="C36" s="90" t="s">
        <v>311</v>
      </c>
      <c r="D36" s="77">
        <v>1.7550643945407955</v>
      </c>
      <c r="E36" s="78">
        <v>-1.7189158096734825</v>
      </c>
      <c r="F36" s="77">
        <v>1E-8</v>
      </c>
      <c r="G36" s="77">
        <v>1E-8</v>
      </c>
      <c r="H36" s="77">
        <v>1E-8</v>
      </c>
      <c r="I36" s="77">
        <v>1E-8</v>
      </c>
      <c r="J36" s="77">
        <v>1E-8</v>
      </c>
      <c r="K36" s="77">
        <v>1E-8</v>
      </c>
      <c r="L36" s="77">
        <v>1E-8</v>
      </c>
      <c r="M36" s="77">
        <v>1E-8</v>
      </c>
      <c r="N36" s="44"/>
      <c r="O36" s="34"/>
      <c r="P36" s="11" t="s">
        <v>280</v>
      </c>
      <c r="Q36" s="44"/>
      <c r="R36" s="90" t="s">
        <v>311</v>
      </c>
      <c r="S36" s="77">
        <v>1.3515663460495244</v>
      </c>
      <c r="T36" s="78">
        <v>-1.8836176037450469</v>
      </c>
      <c r="U36" s="77">
        <v>1E-8</v>
      </c>
      <c r="V36" s="77">
        <v>1E-8</v>
      </c>
      <c r="W36" s="77">
        <v>1E-8</v>
      </c>
      <c r="X36" s="77">
        <v>1E-8</v>
      </c>
      <c r="Y36" s="77">
        <v>1E-8</v>
      </c>
      <c r="Z36" s="77">
        <v>1E-8</v>
      </c>
      <c r="AA36" s="77">
        <v>1E-8</v>
      </c>
      <c r="AB36" s="77">
        <v>1E-8</v>
      </c>
      <c r="AC36" s="44"/>
      <c r="AD36" s="34"/>
      <c r="AE36" s="11" t="s">
        <v>280</v>
      </c>
      <c r="AF36" s="44"/>
      <c r="AG36" s="90" t="s">
        <v>311</v>
      </c>
      <c r="AH36" s="77">
        <v>0.67825933823661688</v>
      </c>
      <c r="AI36" s="78">
        <v>6.7540794670255089</v>
      </c>
      <c r="AJ36" s="77">
        <v>1E-8</v>
      </c>
      <c r="AK36" s="77">
        <v>1E-8</v>
      </c>
      <c r="AL36" s="77">
        <v>1E-8</v>
      </c>
      <c r="AM36" s="77">
        <v>1E-8</v>
      </c>
      <c r="AN36" s="77">
        <v>1E-8</v>
      </c>
      <c r="AO36" s="77">
        <v>1E-8</v>
      </c>
      <c r="AP36" s="77">
        <v>1E-8</v>
      </c>
      <c r="AQ36" s="77">
        <v>1E-8</v>
      </c>
      <c r="AR36" s="44"/>
      <c r="AS36" s="34"/>
      <c r="AT36" s="11" t="s">
        <v>280</v>
      </c>
      <c r="AU36" s="44"/>
      <c r="AV36" s="90" t="s">
        <v>311</v>
      </c>
      <c r="AW36" s="77">
        <v>9.0650951087653739E-2</v>
      </c>
      <c r="AX36" s="78">
        <v>6.1636704463374992</v>
      </c>
      <c r="AY36" s="77">
        <v>1E-8</v>
      </c>
      <c r="AZ36" s="77">
        <v>1E-8</v>
      </c>
      <c r="BA36" s="77">
        <v>1E-8</v>
      </c>
      <c r="BB36" s="77">
        <v>1E-8</v>
      </c>
      <c r="BC36" s="77">
        <v>1E-8</v>
      </c>
      <c r="BD36" s="77">
        <v>1E-8</v>
      </c>
      <c r="BE36" s="77">
        <v>1E-8</v>
      </c>
      <c r="BF36" s="77">
        <v>1E-8</v>
      </c>
      <c r="BG36" s="44"/>
      <c r="BH36" s="34"/>
      <c r="BI36" s="11" t="s">
        <v>280</v>
      </c>
      <c r="BJ36" s="44"/>
      <c r="BK36" s="90" t="s">
        <v>311</v>
      </c>
      <c r="BL36" s="77">
        <v>0.61527237061051065</v>
      </c>
      <c r="BM36" s="78">
        <v>1E-8</v>
      </c>
      <c r="BN36" s="77">
        <v>1E-8</v>
      </c>
      <c r="BO36" s="77">
        <v>1E-8</v>
      </c>
      <c r="BP36" s="77">
        <v>1E-8</v>
      </c>
      <c r="BQ36" s="77">
        <v>1E-8</v>
      </c>
      <c r="BR36" s="77">
        <v>1E-8</v>
      </c>
      <c r="BS36" s="77">
        <v>1E-8</v>
      </c>
      <c r="BT36" s="77">
        <v>1E-8</v>
      </c>
      <c r="BU36" s="77">
        <v>1E-8</v>
      </c>
      <c r="BV36" s="44"/>
      <c r="BW36" s="34"/>
      <c r="BX36" s="11" t="s">
        <v>280</v>
      </c>
      <c r="BY36" s="44"/>
      <c r="BZ36" s="90" t="s">
        <v>311</v>
      </c>
      <c r="CA36" s="77">
        <v>0.10780373700809745</v>
      </c>
      <c r="CB36" s="78">
        <v>1E-8</v>
      </c>
      <c r="CC36" s="77">
        <v>1E-8</v>
      </c>
      <c r="CD36" s="77">
        <v>1E-8</v>
      </c>
      <c r="CE36" s="77">
        <v>1E-8</v>
      </c>
      <c r="CF36" s="77">
        <v>1E-8</v>
      </c>
      <c r="CG36" s="77">
        <v>1E-8</v>
      </c>
      <c r="CH36" s="77">
        <v>1E-8</v>
      </c>
      <c r="CI36" s="77">
        <v>1E-8</v>
      </c>
      <c r="CJ36" s="77">
        <v>1E-8</v>
      </c>
      <c r="CK36" s="44"/>
    </row>
    <row r="37" spans="1:89" x14ac:dyDescent="0.35">
      <c r="A37" s="9" t="s">
        <v>617</v>
      </c>
      <c r="B37" s="44"/>
      <c r="C37" s="91" t="s">
        <v>312</v>
      </c>
      <c r="D37" s="79">
        <v>0.83336923082015013</v>
      </c>
      <c r="E37" s="80">
        <v>-2.4393872081639567</v>
      </c>
      <c r="F37" s="79">
        <v>1E-8</v>
      </c>
      <c r="G37" s="79">
        <v>1E-8</v>
      </c>
      <c r="H37" s="79">
        <v>1E-8</v>
      </c>
      <c r="I37" s="79">
        <v>1E-8</v>
      </c>
      <c r="J37" s="79">
        <v>1E-8</v>
      </c>
      <c r="K37" s="79">
        <v>1E-8</v>
      </c>
      <c r="L37" s="79">
        <v>1E-8</v>
      </c>
      <c r="M37" s="79">
        <v>1E-8</v>
      </c>
      <c r="N37" s="44"/>
      <c r="O37" s="34"/>
      <c r="P37" s="9" t="s">
        <v>617</v>
      </c>
      <c r="Q37" s="44"/>
      <c r="R37" s="91" t="s">
        <v>312</v>
      </c>
      <c r="S37" s="79">
        <v>0.65056516900344807</v>
      </c>
      <c r="T37" s="80">
        <v>-2.4370130891318009</v>
      </c>
      <c r="U37" s="79">
        <v>1E-8</v>
      </c>
      <c r="V37" s="79">
        <v>1E-8</v>
      </c>
      <c r="W37" s="79">
        <v>1E-8</v>
      </c>
      <c r="X37" s="79">
        <v>1E-8</v>
      </c>
      <c r="Y37" s="79">
        <v>1E-8</v>
      </c>
      <c r="Z37" s="79">
        <v>1E-8</v>
      </c>
      <c r="AA37" s="79">
        <v>1E-8</v>
      </c>
      <c r="AB37" s="79">
        <v>1E-8</v>
      </c>
      <c r="AC37" s="44"/>
      <c r="AD37" s="34"/>
      <c r="AE37" s="9" t="s">
        <v>617</v>
      </c>
      <c r="AF37" s="44"/>
      <c r="AG37" s="91" t="s">
        <v>312</v>
      </c>
      <c r="AH37" s="79">
        <v>1E-8</v>
      </c>
      <c r="AI37" s="80">
        <v>1E-8</v>
      </c>
      <c r="AJ37" s="79">
        <v>1E-8</v>
      </c>
      <c r="AK37" s="79">
        <v>1E-8</v>
      </c>
      <c r="AL37" s="79">
        <v>1E-8</v>
      </c>
      <c r="AM37" s="79">
        <v>1E-8</v>
      </c>
      <c r="AN37" s="79">
        <v>1E-8</v>
      </c>
      <c r="AO37" s="79">
        <v>1E-8</v>
      </c>
      <c r="AP37" s="79">
        <v>1E-8</v>
      </c>
      <c r="AQ37" s="79">
        <v>1E-8</v>
      </c>
      <c r="AR37" s="44"/>
      <c r="AS37" s="34"/>
      <c r="AT37" s="9" t="s">
        <v>617</v>
      </c>
      <c r="AU37" s="44"/>
      <c r="AV37" s="91" t="s">
        <v>312</v>
      </c>
      <c r="AW37" s="79">
        <v>1E-8</v>
      </c>
      <c r="AX37" s="80">
        <v>1E-8</v>
      </c>
      <c r="AY37" s="79">
        <v>1E-8</v>
      </c>
      <c r="AZ37" s="79">
        <v>1E-8</v>
      </c>
      <c r="BA37" s="79">
        <v>1E-8</v>
      </c>
      <c r="BB37" s="79">
        <v>1E-8</v>
      </c>
      <c r="BC37" s="79">
        <v>1E-8</v>
      </c>
      <c r="BD37" s="79">
        <v>1E-8</v>
      </c>
      <c r="BE37" s="79">
        <v>1E-8</v>
      </c>
      <c r="BF37" s="79">
        <v>1E-8</v>
      </c>
      <c r="BG37" s="44"/>
      <c r="BH37" s="34"/>
      <c r="BI37" s="9" t="s">
        <v>617</v>
      </c>
      <c r="BJ37" s="44"/>
      <c r="BK37" s="91" t="s">
        <v>312</v>
      </c>
      <c r="BL37" s="79">
        <v>1E-8</v>
      </c>
      <c r="BM37" s="80">
        <v>1E-8</v>
      </c>
      <c r="BN37" s="79">
        <v>1E-8</v>
      </c>
      <c r="BO37" s="79">
        <v>1E-8</v>
      </c>
      <c r="BP37" s="79">
        <v>1E-8</v>
      </c>
      <c r="BQ37" s="79">
        <v>1E-8</v>
      </c>
      <c r="BR37" s="79">
        <v>1E-8</v>
      </c>
      <c r="BS37" s="79">
        <v>1E-8</v>
      </c>
      <c r="BT37" s="79">
        <v>1E-8</v>
      </c>
      <c r="BU37" s="79">
        <v>1E-8</v>
      </c>
      <c r="BV37" s="44"/>
      <c r="BW37" s="34"/>
      <c r="BX37" s="9" t="s">
        <v>617</v>
      </c>
      <c r="BY37" s="44"/>
      <c r="BZ37" s="91" t="s">
        <v>312</v>
      </c>
      <c r="CA37" s="79">
        <v>1E-8</v>
      </c>
      <c r="CB37" s="80">
        <v>1E-8</v>
      </c>
      <c r="CC37" s="79">
        <v>1E-8</v>
      </c>
      <c r="CD37" s="79">
        <v>1E-8</v>
      </c>
      <c r="CE37" s="79">
        <v>1E-8</v>
      </c>
      <c r="CF37" s="79">
        <v>1E-8</v>
      </c>
      <c r="CG37" s="79">
        <v>1E-8</v>
      </c>
      <c r="CH37" s="79">
        <v>1E-8</v>
      </c>
      <c r="CI37" s="79">
        <v>1E-8</v>
      </c>
      <c r="CJ37" s="79">
        <v>1E-8</v>
      </c>
      <c r="CK37" s="44"/>
    </row>
    <row r="38" spans="1:89" x14ac:dyDescent="0.35">
      <c r="A38" s="9" t="s">
        <v>618</v>
      </c>
      <c r="B38" s="44"/>
      <c r="C38" s="91" t="s">
        <v>316</v>
      </c>
      <c r="D38" s="79">
        <v>0.35679054229661811</v>
      </c>
      <c r="E38" s="80">
        <v>-4.080697832888081</v>
      </c>
      <c r="F38" s="79">
        <v>1E-8</v>
      </c>
      <c r="G38" s="79">
        <v>1E-8</v>
      </c>
      <c r="H38" s="79">
        <v>1E-8</v>
      </c>
      <c r="I38" s="79">
        <v>1E-8</v>
      </c>
      <c r="J38" s="79">
        <v>1E-8</v>
      </c>
      <c r="K38" s="79">
        <v>1E-8</v>
      </c>
      <c r="L38" s="79">
        <v>1E-8</v>
      </c>
      <c r="M38" s="79">
        <v>1E-8</v>
      </c>
      <c r="N38" s="44"/>
      <c r="O38" s="34"/>
      <c r="P38" s="9" t="s">
        <v>618</v>
      </c>
      <c r="Q38" s="44"/>
      <c r="R38" s="91" t="s">
        <v>316</v>
      </c>
      <c r="S38" s="79">
        <v>0.27797935573887111</v>
      </c>
      <c r="T38" s="80">
        <v>-4.0624953934030312</v>
      </c>
      <c r="U38" s="79">
        <v>1E-8</v>
      </c>
      <c r="V38" s="79">
        <v>1E-8</v>
      </c>
      <c r="W38" s="79">
        <v>1E-8</v>
      </c>
      <c r="X38" s="79">
        <v>1E-8</v>
      </c>
      <c r="Y38" s="79">
        <v>1E-8</v>
      </c>
      <c r="Z38" s="79">
        <v>1E-8</v>
      </c>
      <c r="AA38" s="79">
        <v>1E-8</v>
      </c>
      <c r="AB38" s="79">
        <v>1E-8</v>
      </c>
      <c r="AC38" s="44"/>
      <c r="AD38" s="34"/>
      <c r="AE38" s="9" t="s">
        <v>618</v>
      </c>
      <c r="AF38" s="44"/>
      <c r="AG38" s="91" t="s">
        <v>316</v>
      </c>
      <c r="AH38" s="79">
        <v>1E-8</v>
      </c>
      <c r="AI38" s="80">
        <v>1E-8</v>
      </c>
      <c r="AJ38" s="79">
        <v>1E-8</v>
      </c>
      <c r="AK38" s="79">
        <v>1E-8</v>
      </c>
      <c r="AL38" s="79">
        <v>1E-8</v>
      </c>
      <c r="AM38" s="79">
        <v>1E-8</v>
      </c>
      <c r="AN38" s="79">
        <v>1E-8</v>
      </c>
      <c r="AO38" s="79">
        <v>1E-8</v>
      </c>
      <c r="AP38" s="79">
        <v>1E-8</v>
      </c>
      <c r="AQ38" s="79">
        <v>1E-8</v>
      </c>
      <c r="AR38" s="44"/>
      <c r="AS38" s="34"/>
      <c r="AT38" s="9" t="s">
        <v>618</v>
      </c>
      <c r="AU38" s="44"/>
      <c r="AV38" s="91" t="s">
        <v>316</v>
      </c>
      <c r="AW38" s="79">
        <v>1E-8</v>
      </c>
      <c r="AX38" s="80">
        <v>1E-8</v>
      </c>
      <c r="AY38" s="79">
        <v>1E-8</v>
      </c>
      <c r="AZ38" s="79">
        <v>1E-8</v>
      </c>
      <c r="BA38" s="79">
        <v>1E-8</v>
      </c>
      <c r="BB38" s="79">
        <v>1E-8</v>
      </c>
      <c r="BC38" s="79">
        <v>1E-8</v>
      </c>
      <c r="BD38" s="79">
        <v>1E-8</v>
      </c>
      <c r="BE38" s="79">
        <v>1E-8</v>
      </c>
      <c r="BF38" s="79">
        <v>1E-8</v>
      </c>
      <c r="BG38" s="44"/>
      <c r="BH38" s="34"/>
      <c r="BI38" s="9" t="s">
        <v>618</v>
      </c>
      <c r="BJ38" s="44"/>
      <c r="BK38" s="91" t="s">
        <v>316</v>
      </c>
      <c r="BL38" s="79">
        <v>1E-8</v>
      </c>
      <c r="BM38" s="80">
        <v>1E-8</v>
      </c>
      <c r="BN38" s="79">
        <v>1E-8</v>
      </c>
      <c r="BO38" s="79">
        <v>1E-8</v>
      </c>
      <c r="BP38" s="79">
        <v>1E-8</v>
      </c>
      <c r="BQ38" s="79">
        <v>1E-8</v>
      </c>
      <c r="BR38" s="79">
        <v>1E-8</v>
      </c>
      <c r="BS38" s="79">
        <v>1E-8</v>
      </c>
      <c r="BT38" s="79">
        <v>1E-8</v>
      </c>
      <c r="BU38" s="79">
        <v>1E-8</v>
      </c>
      <c r="BV38" s="44"/>
      <c r="BW38" s="34"/>
      <c r="BX38" s="9" t="s">
        <v>618</v>
      </c>
      <c r="BY38" s="44"/>
      <c r="BZ38" s="91" t="s">
        <v>316</v>
      </c>
      <c r="CA38" s="79">
        <v>1E-8</v>
      </c>
      <c r="CB38" s="80">
        <v>1E-8</v>
      </c>
      <c r="CC38" s="79">
        <v>1E-8</v>
      </c>
      <c r="CD38" s="79">
        <v>1E-8</v>
      </c>
      <c r="CE38" s="79">
        <v>1E-8</v>
      </c>
      <c r="CF38" s="79">
        <v>1E-8</v>
      </c>
      <c r="CG38" s="79">
        <v>1E-8</v>
      </c>
      <c r="CH38" s="79">
        <v>1E-8</v>
      </c>
      <c r="CI38" s="79">
        <v>1E-8</v>
      </c>
      <c r="CJ38" s="79">
        <v>1E-8</v>
      </c>
      <c r="CK38" s="44"/>
    </row>
    <row r="39" spans="1:89" x14ac:dyDescent="0.35">
      <c r="A39" s="9" t="s">
        <v>619</v>
      </c>
      <c r="B39" s="44"/>
      <c r="C39" s="91" t="s">
        <v>314</v>
      </c>
      <c r="D39" s="79">
        <v>0.12750437870415413</v>
      </c>
      <c r="E39" s="80">
        <v>2.4523655960996038</v>
      </c>
      <c r="F39" s="79">
        <v>1E-8</v>
      </c>
      <c r="G39" s="79">
        <v>1E-8</v>
      </c>
      <c r="H39" s="79">
        <v>1E-8</v>
      </c>
      <c r="I39" s="79">
        <v>1E-8</v>
      </c>
      <c r="J39" s="79">
        <v>1E-8</v>
      </c>
      <c r="K39" s="79">
        <v>1E-8</v>
      </c>
      <c r="L39" s="79">
        <v>1E-8</v>
      </c>
      <c r="M39" s="79">
        <v>1E-8</v>
      </c>
      <c r="N39" s="44"/>
      <c r="O39" s="34"/>
      <c r="P39" s="9" t="s">
        <v>619</v>
      </c>
      <c r="Q39" s="44"/>
      <c r="R39" s="91" t="s">
        <v>314</v>
      </c>
      <c r="S39" s="79">
        <v>9.1954581381373968E-2</v>
      </c>
      <c r="T39" s="80">
        <v>2.0050077607477901</v>
      </c>
      <c r="U39" s="79">
        <v>1E-8</v>
      </c>
      <c r="V39" s="79">
        <v>1E-8</v>
      </c>
      <c r="W39" s="79">
        <v>1E-8</v>
      </c>
      <c r="X39" s="79">
        <v>1E-8</v>
      </c>
      <c r="Y39" s="79">
        <v>1E-8</v>
      </c>
      <c r="Z39" s="79">
        <v>1E-8</v>
      </c>
      <c r="AA39" s="79">
        <v>1E-8</v>
      </c>
      <c r="AB39" s="79">
        <v>1E-8</v>
      </c>
      <c r="AC39" s="44"/>
      <c r="AD39" s="34"/>
      <c r="AE39" s="9" t="s">
        <v>619</v>
      </c>
      <c r="AF39" s="44"/>
      <c r="AG39" s="91" t="s">
        <v>314</v>
      </c>
      <c r="AH39" s="79">
        <v>0.20456086049422667</v>
      </c>
      <c r="AI39" s="80">
        <v>6.6718244934323767</v>
      </c>
      <c r="AJ39" s="79">
        <v>1E-8</v>
      </c>
      <c r="AK39" s="79">
        <v>1E-8</v>
      </c>
      <c r="AL39" s="79">
        <v>1E-8</v>
      </c>
      <c r="AM39" s="79">
        <v>1E-8</v>
      </c>
      <c r="AN39" s="79">
        <v>1E-8</v>
      </c>
      <c r="AO39" s="79">
        <v>1E-8</v>
      </c>
      <c r="AP39" s="79">
        <v>1E-8</v>
      </c>
      <c r="AQ39" s="79">
        <v>1E-8</v>
      </c>
      <c r="AR39" s="44"/>
      <c r="AS39" s="34"/>
      <c r="AT39" s="9" t="s">
        <v>619</v>
      </c>
      <c r="AU39" s="44"/>
      <c r="AV39" s="91" t="s">
        <v>314</v>
      </c>
      <c r="AW39" s="79">
        <v>2.9063020834397109E-2</v>
      </c>
      <c r="AX39" s="80">
        <v>6.4467533822131884</v>
      </c>
      <c r="AY39" s="79">
        <v>1E-8</v>
      </c>
      <c r="AZ39" s="79">
        <v>1E-8</v>
      </c>
      <c r="BA39" s="79">
        <v>1E-8</v>
      </c>
      <c r="BB39" s="79">
        <v>1E-8</v>
      </c>
      <c r="BC39" s="79">
        <v>1E-8</v>
      </c>
      <c r="BD39" s="79">
        <v>1E-8</v>
      </c>
      <c r="BE39" s="79">
        <v>1E-8</v>
      </c>
      <c r="BF39" s="79">
        <v>1E-8</v>
      </c>
      <c r="BG39" s="44"/>
      <c r="BH39" s="34"/>
      <c r="BI39" s="9" t="s">
        <v>619</v>
      </c>
      <c r="BJ39" s="44"/>
      <c r="BK39" s="91" t="s">
        <v>314</v>
      </c>
      <c r="BL39" s="79">
        <v>0.18386708636574595</v>
      </c>
      <c r="BM39" s="80">
        <v>1E-8</v>
      </c>
      <c r="BN39" s="79">
        <v>1E-8</v>
      </c>
      <c r="BO39" s="79">
        <v>1E-8</v>
      </c>
      <c r="BP39" s="79">
        <v>1E-8</v>
      </c>
      <c r="BQ39" s="79">
        <v>1E-8</v>
      </c>
      <c r="BR39" s="79">
        <v>1E-8</v>
      </c>
      <c r="BS39" s="79">
        <v>1E-8</v>
      </c>
      <c r="BT39" s="79">
        <v>1E-8</v>
      </c>
      <c r="BU39" s="79">
        <v>1E-8</v>
      </c>
      <c r="BV39" s="44"/>
      <c r="BW39" s="34"/>
      <c r="BX39" s="9" t="s">
        <v>619</v>
      </c>
      <c r="BY39" s="44"/>
      <c r="BZ39" s="91" t="s">
        <v>314</v>
      </c>
      <c r="CA39" s="79">
        <v>3.6051840670471631E-2</v>
      </c>
      <c r="CB39" s="80">
        <v>1E-8</v>
      </c>
      <c r="CC39" s="79">
        <v>1E-8</v>
      </c>
      <c r="CD39" s="79">
        <v>1E-8</v>
      </c>
      <c r="CE39" s="79">
        <v>1E-8</v>
      </c>
      <c r="CF39" s="79">
        <v>1E-8</v>
      </c>
      <c r="CG39" s="79">
        <v>1E-8</v>
      </c>
      <c r="CH39" s="79">
        <v>1E-8</v>
      </c>
      <c r="CI39" s="79">
        <v>1E-8</v>
      </c>
      <c r="CJ39" s="79">
        <v>1E-8</v>
      </c>
      <c r="CK39" s="44"/>
    </row>
    <row r="40" spans="1:89" x14ac:dyDescent="0.35">
      <c r="A40" s="9" t="s">
        <v>620</v>
      </c>
      <c r="B40" s="44"/>
      <c r="C40" s="91" t="s">
        <v>317</v>
      </c>
      <c r="D40" s="79">
        <v>2.264403958877308E-2</v>
      </c>
      <c r="E40" s="80">
        <v>-0.41265811549425768</v>
      </c>
      <c r="F40" s="79">
        <v>1E-8</v>
      </c>
      <c r="G40" s="79">
        <v>1E-8</v>
      </c>
      <c r="H40" s="79">
        <v>1E-8</v>
      </c>
      <c r="I40" s="79">
        <v>1E-8</v>
      </c>
      <c r="J40" s="79">
        <v>1E-8</v>
      </c>
      <c r="K40" s="79">
        <v>1E-8</v>
      </c>
      <c r="L40" s="79">
        <v>1E-8</v>
      </c>
      <c r="M40" s="79">
        <v>1E-8</v>
      </c>
      <c r="N40" s="44"/>
      <c r="O40" s="34"/>
      <c r="P40" s="9" t="s">
        <v>620</v>
      </c>
      <c r="Q40" s="44"/>
      <c r="R40" s="91" t="s">
        <v>317</v>
      </c>
      <c r="S40" s="79">
        <v>1.7725477125350851E-2</v>
      </c>
      <c r="T40" s="80">
        <v>-0.43995933809203303</v>
      </c>
      <c r="U40" s="79">
        <v>1E-8</v>
      </c>
      <c r="V40" s="79">
        <v>1E-8</v>
      </c>
      <c r="W40" s="79">
        <v>1E-8</v>
      </c>
      <c r="X40" s="79">
        <v>1E-8</v>
      </c>
      <c r="Y40" s="79">
        <v>1E-8</v>
      </c>
      <c r="Z40" s="79">
        <v>1E-8</v>
      </c>
      <c r="AA40" s="79">
        <v>1E-8</v>
      </c>
      <c r="AB40" s="79">
        <v>1E-8</v>
      </c>
      <c r="AC40" s="44"/>
      <c r="AD40" s="34"/>
      <c r="AE40" s="9" t="s">
        <v>620</v>
      </c>
      <c r="AF40" s="44"/>
      <c r="AG40" s="91" t="s">
        <v>317</v>
      </c>
      <c r="AH40" s="79">
        <v>1E-8</v>
      </c>
      <c r="AI40" s="80">
        <v>1E-8</v>
      </c>
      <c r="AJ40" s="79">
        <v>1E-8</v>
      </c>
      <c r="AK40" s="79">
        <v>1E-8</v>
      </c>
      <c r="AL40" s="79">
        <v>1E-8</v>
      </c>
      <c r="AM40" s="79">
        <v>1E-8</v>
      </c>
      <c r="AN40" s="79">
        <v>1E-8</v>
      </c>
      <c r="AO40" s="79">
        <v>1E-8</v>
      </c>
      <c r="AP40" s="79">
        <v>1E-8</v>
      </c>
      <c r="AQ40" s="79">
        <v>1E-8</v>
      </c>
      <c r="AR40" s="44"/>
      <c r="AS40" s="34"/>
      <c r="AT40" s="9" t="s">
        <v>620</v>
      </c>
      <c r="AU40" s="44"/>
      <c r="AV40" s="91" t="s">
        <v>317</v>
      </c>
      <c r="AW40" s="79">
        <v>1E-8</v>
      </c>
      <c r="AX40" s="80">
        <v>1E-8</v>
      </c>
      <c r="AY40" s="79">
        <v>1E-8</v>
      </c>
      <c r="AZ40" s="79">
        <v>1E-8</v>
      </c>
      <c r="BA40" s="79">
        <v>1E-8</v>
      </c>
      <c r="BB40" s="79">
        <v>1E-8</v>
      </c>
      <c r="BC40" s="79">
        <v>1E-8</v>
      </c>
      <c r="BD40" s="79">
        <v>1E-8</v>
      </c>
      <c r="BE40" s="79">
        <v>1E-8</v>
      </c>
      <c r="BF40" s="79">
        <v>1E-8</v>
      </c>
      <c r="BG40" s="44"/>
      <c r="BH40" s="34"/>
      <c r="BI40" s="9" t="s">
        <v>620</v>
      </c>
      <c r="BJ40" s="44"/>
      <c r="BK40" s="91" t="s">
        <v>317</v>
      </c>
      <c r="BL40" s="79">
        <v>1E-8</v>
      </c>
      <c r="BM40" s="80">
        <v>1E-8</v>
      </c>
      <c r="BN40" s="79">
        <v>1E-8</v>
      </c>
      <c r="BO40" s="79">
        <v>1E-8</v>
      </c>
      <c r="BP40" s="79">
        <v>1E-8</v>
      </c>
      <c r="BQ40" s="79">
        <v>1E-8</v>
      </c>
      <c r="BR40" s="79">
        <v>1E-8</v>
      </c>
      <c r="BS40" s="79">
        <v>1E-8</v>
      </c>
      <c r="BT40" s="79">
        <v>1E-8</v>
      </c>
      <c r="BU40" s="79">
        <v>1E-8</v>
      </c>
      <c r="BV40" s="44"/>
      <c r="BW40" s="34"/>
      <c r="BX40" s="9" t="s">
        <v>620</v>
      </c>
      <c r="BY40" s="44"/>
      <c r="BZ40" s="91" t="s">
        <v>317</v>
      </c>
      <c r="CA40" s="79">
        <v>1E-8</v>
      </c>
      <c r="CB40" s="80">
        <v>1E-8</v>
      </c>
      <c r="CC40" s="79">
        <v>1E-8</v>
      </c>
      <c r="CD40" s="79">
        <v>1E-8</v>
      </c>
      <c r="CE40" s="79">
        <v>1E-8</v>
      </c>
      <c r="CF40" s="79">
        <v>1E-8</v>
      </c>
      <c r="CG40" s="79">
        <v>1E-8</v>
      </c>
      <c r="CH40" s="79">
        <v>1E-8</v>
      </c>
      <c r="CI40" s="79">
        <v>1E-8</v>
      </c>
      <c r="CJ40" s="79">
        <v>1E-8</v>
      </c>
      <c r="CK40" s="44"/>
    </row>
    <row r="41" spans="1:89" x14ac:dyDescent="0.35">
      <c r="A41" s="9" t="s">
        <v>621</v>
      </c>
      <c r="B41" s="44"/>
      <c r="C41" s="91" t="s">
        <v>313</v>
      </c>
      <c r="D41" s="79">
        <v>0.23529513208818464</v>
      </c>
      <c r="E41" s="80">
        <v>-0.71749834583566541</v>
      </c>
      <c r="F41" s="79">
        <v>1E-8</v>
      </c>
      <c r="G41" s="79">
        <v>1E-8</v>
      </c>
      <c r="H41" s="79">
        <v>1E-8</v>
      </c>
      <c r="I41" s="79">
        <v>1E-8</v>
      </c>
      <c r="J41" s="79">
        <v>1E-8</v>
      </c>
      <c r="K41" s="79">
        <v>1E-8</v>
      </c>
      <c r="L41" s="79">
        <v>1E-8</v>
      </c>
      <c r="M41" s="79">
        <v>1E-8</v>
      </c>
      <c r="N41" s="44"/>
      <c r="O41" s="34"/>
      <c r="P41" s="9" t="s">
        <v>621</v>
      </c>
      <c r="Q41" s="44"/>
      <c r="R41" s="91" t="s">
        <v>313</v>
      </c>
      <c r="S41" s="79">
        <v>0.18362845245533688</v>
      </c>
      <c r="T41" s="80">
        <v>-0.7356916607453301</v>
      </c>
      <c r="U41" s="79">
        <v>1E-8</v>
      </c>
      <c r="V41" s="79">
        <v>1E-8</v>
      </c>
      <c r="W41" s="79">
        <v>1E-8</v>
      </c>
      <c r="X41" s="79">
        <v>1E-8</v>
      </c>
      <c r="Y41" s="79">
        <v>1E-8</v>
      </c>
      <c r="Z41" s="79">
        <v>1E-8</v>
      </c>
      <c r="AA41" s="79">
        <v>1E-8</v>
      </c>
      <c r="AB41" s="79">
        <v>1E-8</v>
      </c>
      <c r="AC41" s="44"/>
      <c r="AD41" s="34"/>
      <c r="AE41" s="9" t="s">
        <v>621</v>
      </c>
      <c r="AF41" s="44"/>
      <c r="AG41" s="91" t="s">
        <v>313</v>
      </c>
      <c r="AH41" s="79">
        <v>1E-8</v>
      </c>
      <c r="AI41" s="80">
        <v>1E-8</v>
      </c>
      <c r="AJ41" s="79">
        <v>1E-8</v>
      </c>
      <c r="AK41" s="79">
        <v>1E-8</v>
      </c>
      <c r="AL41" s="79">
        <v>1E-8</v>
      </c>
      <c r="AM41" s="79">
        <v>1E-8</v>
      </c>
      <c r="AN41" s="79">
        <v>1E-8</v>
      </c>
      <c r="AO41" s="79">
        <v>1E-8</v>
      </c>
      <c r="AP41" s="79">
        <v>1E-8</v>
      </c>
      <c r="AQ41" s="79">
        <v>1E-8</v>
      </c>
      <c r="AR41" s="44"/>
      <c r="AS41" s="34"/>
      <c r="AT41" s="9" t="s">
        <v>621</v>
      </c>
      <c r="AU41" s="44"/>
      <c r="AV41" s="91" t="s">
        <v>313</v>
      </c>
      <c r="AW41" s="79">
        <v>1E-8</v>
      </c>
      <c r="AX41" s="80">
        <v>1E-8</v>
      </c>
      <c r="AY41" s="79">
        <v>1E-8</v>
      </c>
      <c r="AZ41" s="79">
        <v>1E-8</v>
      </c>
      <c r="BA41" s="79">
        <v>1E-8</v>
      </c>
      <c r="BB41" s="79">
        <v>1E-8</v>
      </c>
      <c r="BC41" s="79">
        <v>1E-8</v>
      </c>
      <c r="BD41" s="79">
        <v>1E-8</v>
      </c>
      <c r="BE41" s="79">
        <v>1E-8</v>
      </c>
      <c r="BF41" s="79">
        <v>1E-8</v>
      </c>
      <c r="BG41" s="44"/>
      <c r="BH41" s="34"/>
      <c r="BI41" s="9" t="s">
        <v>621</v>
      </c>
      <c r="BJ41" s="44"/>
      <c r="BK41" s="91" t="s">
        <v>313</v>
      </c>
      <c r="BL41" s="79">
        <v>1E-8</v>
      </c>
      <c r="BM41" s="80">
        <v>1E-8</v>
      </c>
      <c r="BN41" s="79">
        <v>1E-8</v>
      </c>
      <c r="BO41" s="79">
        <v>1E-8</v>
      </c>
      <c r="BP41" s="79">
        <v>1E-8</v>
      </c>
      <c r="BQ41" s="79">
        <v>1E-8</v>
      </c>
      <c r="BR41" s="79">
        <v>1E-8</v>
      </c>
      <c r="BS41" s="79">
        <v>1E-8</v>
      </c>
      <c r="BT41" s="79">
        <v>1E-8</v>
      </c>
      <c r="BU41" s="79">
        <v>1E-8</v>
      </c>
      <c r="BV41" s="44"/>
      <c r="BW41" s="34"/>
      <c r="BX41" s="9" t="s">
        <v>621</v>
      </c>
      <c r="BY41" s="44"/>
      <c r="BZ41" s="91" t="s">
        <v>313</v>
      </c>
      <c r="CA41" s="79">
        <v>1E-8</v>
      </c>
      <c r="CB41" s="80">
        <v>1E-8</v>
      </c>
      <c r="CC41" s="79">
        <v>1E-8</v>
      </c>
      <c r="CD41" s="79">
        <v>1E-8</v>
      </c>
      <c r="CE41" s="79">
        <v>1E-8</v>
      </c>
      <c r="CF41" s="79">
        <v>1E-8</v>
      </c>
      <c r="CG41" s="79">
        <v>1E-8</v>
      </c>
      <c r="CH41" s="79">
        <v>1E-8</v>
      </c>
      <c r="CI41" s="79">
        <v>1E-8</v>
      </c>
      <c r="CJ41" s="79">
        <v>1E-8</v>
      </c>
      <c r="CK41" s="44"/>
    </row>
    <row r="42" spans="1:89" x14ac:dyDescent="0.35">
      <c r="A42" s="9" t="s">
        <v>622</v>
      </c>
      <c r="B42" s="44"/>
      <c r="C42" s="91" t="s">
        <v>315</v>
      </c>
      <c r="D42" s="79">
        <v>0.13927564498581424</v>
      </c>
      <c r="E42" s="80">
        <v>0.70552636471090668</v>
      </c>
      <c r="F42" s="79">
        <v>1E-8</v>
      </c>
      <c r="G42" s="79">
        <v>1E-8</v>
      </c>
      <c r="H42" s="79">
        <v>1E-8</v>
      </c>
      <c r="I42" s="79">
        <v>1E-8</v>
      </c>
      <c r="J42" s="79">
        <v>1E-8</v>
      </c>
      <c r="K42" s="79">
        <v>1E-8</v>
      </c>
      <c r="L42" s="79">
        <v>1E-8</v>
      </c>
      <c r="M42" s="79">
        <v>1E-8</v>
      </c>
      <c r="N42" s="44"/>
      <c r="O42" s="34"/>
      <c r="P42" s="9" t="s">
        <v>622</v>
      </c>
      <c r="Q42" s="44"/>
      <c r="R42" s="91" t="s">
        <v>315</v>
      </c>
      <c r="S42" s="79">
        <v>0.11547414130747781</v>
      </c>
      <c r="T42" s="80">
        <v>0.30811081244999095</v>
      </c>
      <c r="U42" s="79">
        <v>1E-8</v>
      </c>
      <c r="V42" s="79">
        <v>1E-8</v>
      </c>
      <c r="W42" s="79">
        <v>1E-8</v>
      </c>
      <c r="X42" s="79">
        <v>1E-8</v>
      </c>
      <c r="Y42" s="79">
        <v>1E-8</v>
      </c>
      <c r="Z42" s="79">
        <v>1E-8</v>
      </c>
      <c r="AA42" s="79">
        <v>1E-8</v>
      </c>
      <c r="AB42" s="79">
        <v>1E-8</v>
      </c>
      <c r="AC42" s="44"/>
      <c r="AD42" s="34"/>
      <c r="AE42" s="9" t="s">
        <v>622</v>
      </c>
      <c r="AF42" s="44"/>
      <c r="AG42" s="91" t="s">
        <v>315</v>
      </c>
      <c r="AH42" s="79">
        <v>7.9486785351438757E-2</v>
      </c>
      <c r="AI42" s="80">
        <v>7.3584997862575774</v>
      </c>
      <c r="AJ42" s="79">
        <v>1E-8</v>
      </c>
      <c r="AK42" s="79">
        <v>1E-8</v>
      </c>
      <c r="AL42" s="79">
        <v>1E-8</v>
      </c>
      <c r="AM42" s="79">
        <v>1E-8</v>
      </c>
      <c r="AN42" s="79">
        <v>1E-8</v>
      </c>
      <c r="AO42" s="79">
        <v>1E-8</v>
      </c>
      <c r="AP42" s="79">
        <v>1E-8</v>
      </c>
      <c r="AQ42" s="79">
        <v>1E-8</v>
      </c>
      <c r="AR42" s="44"/>
      <c r="AS42" s="34"/>
      <c r="AT42" s="9" t="s">
        <v>622</v>
      </c>
      <c r="AU42" s="44"/>
      <c r="AV42" s="91" t="s">
        <v>315</v>
      </c>
      <c r="AW42" s="79">
        <v>1.7779833247302135E-2</v>
      </c>
      <c r="AX42" s="80">
        <v>5.850894513115934</v>
      </c>
      <c r="AY42" s="79">
        <v>1E-8</v>
      </c>
      <c r="AZ42" s="79">
        <v>1E-8</v>
      </c>
      <c r="BA42" s="79">
        <v>1E-8</v>
      </c>
      <c r="BB42" s="79">
        <v>1E-8</v>
      </c>
      <c r="BC42" s="79">
        <v>1E-8</v>
      </c>
      <c r="BD42" s="79">
        <v>1E-8</v>
      </c>
      <c r="BE42" s="79">
        <v>1E-8</v>
      </c>
      <c r="BF42" s="79">
        <v>1E-8</v>
      </c>
      <c r="BG42" s="44"/>
      <c r="BH42" s="34"/>
      <c r="BI42" s="9" t="s">
        <v>622</v>
      </c>
      <c r="BJ42" s="44"/>
      <c r="BK42" s="91" t="s">
        <v>315</v>
      </c>
      <c r="BL42" s="79">
        <v>7.6950912614272227E-2</v>
      </c>
      <c r="BM42" s="80">
        <v>1E-8</v>
      </c>
      <c r="BN42" s="79">
        <v>1E-8</v>
      </c>
      <c r="BO42" s="79">
        <v>1E-8</v>
      </c>
      <c r="BP42" s="79">
        <v>1E-8</v>
      </c>
      <c r="BQ42" s="79">
        <v>1E-8</v>
      </c>
      <c r="BR42" s="79">
        <v>1E-8</v>
      </c>
      <c r="BS42" s="79">
        <v>1E-8</v>
      </c>
      <c r="BT42" s="79">
        <v>1E-8</v>
      </c>
      <c r="BU42" s="79">
        <v>1E-8</v>
      </c>
      <c r="BV42" s="44"/>
      <c r="BW42" s="34"/>
      <c r="BX42" s="9" t="s">
        <v>622</v>
      </c>
      <c r="BY42" s="44"/>
      <c r="BZ42" s="91" t="s">
        <v>315</v>
      </c>
      <c r="CA42" s="79">
        <v>1.9756689815123556E-2</v>
      </c>
      <c r="CB42" s="80">
        <v>1E-8</v>
      </c>
      <c r="CC42" s="79">
        <v>1E-8</v>
      </c>
      <c r="CD42" s="79">
        <v>1E-8</v>
      </c>
      <c r="CE42" s="79">
        <v>1E-8</v>
      </c>
      <c r="CF42" s="79">
        <v>1E-8</v>
      </c>
      <c r="CG42" s="79">
        <v>1E-8</v>
      </c>
      <c r="CH42" s="79">
        <v>1E-8</v>
      </c>
      <c r="CI42" s="79">
        <v>1E-8</v>
      </c>
      <c r="CJ42" s="79">
        <v>1E-8</v>
      </c>
      <c r="CK42" s="44"/>
    </row>
    <row r="43" spans="1:89" x14ac:dyDescent="0.35">
      <c r="A43" s="9" t="s">
        <v>623</v>
      </c>
      <c r="B43" s="44"/>
      <c r="C43" s="91" t="s">
        <v>540</v>
      </c>
      <c r="D43" s="79">
        <v>4.93436856733891E-3</v>
      </c>
      <c r="E43" s="80">
        <v>1.1138321753861868</v>
      </c>
      <c r="F43" s="79">
        <v>1E-8</v>
      </c>
      <c r="G43" s="79">
        <v>1E-8</v>
      </c>
      <c r="H43" s="79">
        <v>1E-8</v>
      </c>
      <c r="I43" s="79">
        <v>1E-8</v>
      </c>
      <c r="J43" s="79">
        <v>1E-8</v>
      </c>
      <c r="K43" s="79">
        <v>1E-8</v>
      </c>
      <c r="L43" s="79">
        <v>1E-8</v>
      </c>
      <c r="M43" s="79">
        <v>1E-8</v>
      </c>
      <c r="N43" s="44"/>
      <c r="O43" s="34"/>
      <c r="P43" s="9" t="s">
        <v>623</v>
      </c>
      <c r="Q43" s="44"/>
      <c r="R43" s="91" t="s">
        <v>540</v>
      </c>
      <c r="S43" s="79">
        <v>1.1609097316507831E-2</v>
      </c>
      <c r="T43" s="80">
        <v>4.1720634887407293</v>
      </c>
      <c r="U43" s="79">
        <v>1E-8</v>
      </c>
      <c r="V43" s="79">
        <v>1E-8</v>
      </c>
      <c r="W43" s="79">
        <v>1E-8</v>
      </c>
      <c r="X43" s="79">
        <v>1E-8</v>
      </c>
      <c r="Y43" s="79">
        <v>1E-8</v>
      </c>
      <c r="Z43" s="79">
        <v>1E-8</v>
      </c>
      <c r="AA43" s="79">
        <v>1E-8</v>
      </c>
      <c r="AB43" s="79">
        <v>1E-8</v>
      </c>
      <c r="AC43" s="44"/>
      <c r="AD43" s="34"/>
      <c r="AE43" s="9" t="s">
        <v>623</v>
      </c>
      <c r="AF43" s="44"/>
      <c r="AG43" s="91" t="s">
        <v>540</v>
      </c>
      <c r="AH43" s="79">
        <v>1E-8</v>
      </c>
      <c r="AI43" s="80">
        <v>1E-8</v>
      </c>
      <c r="AJ43" s="79">
        <v>1E-8</v>
      </c>
      <c r="AK43" s="79">
        <v>1E-8</v>
      </c>
      <c r="AL43" s="79">
        <v>1E-8</v>
      </c>
      <c r="AM43" s="79">
        <v>1E-8</v>
      </c>
      <c r="AN43" s="79">
        <v>1E-8</v>
      </c>
      <c r="AO43" s="79">
        <v>1E-8</v>
      </c>
      <c r="AP43" s="79">
        <v>1E-8</v>
      </c>
      <c r="AQ43" s="79">
        <v>1E-8</v>
      </c>
      <c r="AR43" s="44"/>
      <c r="AS43" s="34"/>
      <c r="AT43" s="9" t="s">
        <v>623</v>
      </c>
      <c r="AU43" s="44"/>
      <c r="AV43" s="91" t="s">
        <v>540</v>
      </c>
      <c r="AW43" s="79">
        <v>3.3833781037020838E-2</v>
      </c>
      <c r="AX43" s="80">
        <v>6.021497023517175</v>
      </c>
      <c r="AY43" s="79">
        <v>1E-8</v>
      </c>
      <c r="AZ43" s="79">
        <v>1E-8</v>
      </c>
      <c r="BA43" s="79">
        <v>1E-8</v>
      </c>
      <c r="BB43" s="79">
        <v>1E-8</v>
      </c>
      <c r="BC43" s="79">
        <v>1E-8</v>
      </c>
      <c r="BD43" s="79">
        <v>1E-8</v>
      </c>
      <c r="BE43" s="79">
        <v>1E-8</v>
      </c>
      <c r="BF43" s="79">
        <v>1E-8</v>
      </c>
      <c r="BG43" s="44"/>
      <c r="BH43" s="34"/>
      <c r="BI43" s="9" t="s">
        <v>623</v>
      </c>
      <c r="BJ43" s="44"/>
      <c r="BK43" s="91" t="s">
        <v>540</v>
      </c>
      <c r="BL43" s="79">
        <v>1E-8</v>
      </c>
      <c r="BM43" s="80">
        <v>1E-8</v>
      </c>
      <c r="BN43" s="79">
        <v>1E-8</v>
      </c>
      <c r="BO43" s="79">
        <v>1E-8</v>
      </c>
      <c r="BP43" s="79">
        <v>1E-8</v>
      </c>
      <c r="BQ43" s="79">
        <v>1E-8</v>
      </c>
      <c r="BR43" s="79">
        <v>1E-8</v>
      </c>
      <c r="BS43" s="79">
        <v>1E-8</v>
      </c>
      <c r="BT43" s="79">
        <v>1E-8</v>
      </c>
      <c r="BU43" s="79">
        <v>1E-8</v>
      </c>
      <c r="BV43" s="44"/>
      <c r="BW43" s="34"/>
      <c r="BX43" s="9" t="s">
        <v>623</v>
      </c>
      <c r="BY43" s="44"/>
      <c r="BZ43" s="91" t="s">
        <v>540</v>
      </c>
      <c r="CA43" s="79">
        <v>3.9893211788910213E-2</v>
      </c>
      <c r="CB43" s="80">
        <v>1E-8</v>
      </c>
      <c r="CC43" s="79">
        <v>1E-8</v>
      </c>
      <c r="CD43" s="79">
        <v>1E-8</v>
      </c>
      <c r="CE43" s="79">
        <v>1E-8</v>
      </c>
      <c r="CF43" s="79">
        <v>1E-8</v>
      </c>
      <c r="CG43" s="79">
        <v>1E-8</v>
      </c>
      <c r="CH43" s="79">
        <v>1E-8</v>
      </c>
      <c r="CI43" s="79">
        <v>1E-8</v>
      </c>
      <c r="CJ43" s="79">
        <v>1E-8</v>
      </c>
      <c r="CK43" s="44"/>
    </row>
    <row r="44" spans="1:89" x14ac:dyDescent="0.35">
      <c r="A44" s="9" t="s">
        <v>624</v>
      </c>
      <c r="B44" s="44"/>
      <c r="C44" s="91" t="s">
        <v>541</v>
      </c>
      <c r="D44" s="81">
        <v>3.5251057489762497E-2</v>
      </c>
      <c r="E44" s="82">
        <v>6.6318227327144097</v>
      </c>
      <c r="F44" s="81">
        <v>1E-8</v>
      </c>
      <c r="G44" s="81">
        <v>1E-8</v>
      </c>
      <c r="H44" s="81">
        <v>1E-8</v>
      </c>
      <c r="I44" s="81">
        <v>1E-8</v>
      </c>
      <c r="J44" s="81">
        <v>1E-8</v>
      </c>
      <c r="K44" s="81">
        <v>1E-8</v>
      </c>
      <c r="L44" s="81">
        <v>1E-8</v>
      </c>
      <c r="M44" s="81">
        <v>1E-8</v>
      </c>
      <c r="N44" s="44"/>
      <c r="O44" s="34"/>
      <c r="P44" s="9" t="s">
        <v>624</v>
      </c>
      <c r="Q44" s="44"/>
      <c r="R44" s="91" t="s">
        <v>541</v>
      </c>
      <c r="S44" s="81">
        <v>2.6300717211579657E-3</v>
      </c>
      <c r="T44" s="82">
        <v>5.9899679000430694</v>
      </c>
      <c r="U44" s="81">
        <v>1E-8</v>
      </c>
      <c r="V44" s="81">
        <v>1E-8</v>
      </c>
      <c r="W44" s="81">
        <v>1E-8</v>
      </c>
      <c r="X44" s="81">
        <v>1E-8</v>
      </c>
      <c r="Y44" s="81">
        <v>1E-8</v>
      </c>
      <c r="Z44" s="81">
        <v>1E-8</v>
      </c>
      <c r="AA44" s="81">
        <v>1E-8</v>
      </c>
      <c r="AB44" s="81">
        <v>1E-8</v>
      </c>
      <c r="AC44" s="44"/>
      <c r="AD44" s="34"/>
      <c r="AE44" s="9" t="s">
        <v>624</v>
      </c>
      <c r="AF44" s="44"/>
      <c r="AG44" s="91" t="s">
        <v>541</v>
      </c>
      <c r="AH44" s="81">
        <v>0.39421169239095138</v>
      </c>
      <c r="AI44" s="82">
        <v>6.6748903394545422</v>
      </c>
      <c r="AJ44" s="81">
        <v>1E-8</v>
      </c>
      <c r="AK44" s="81">
        <v>1E-8</v>
      </c>
      <c r="AL44" s="81">
        <v>1E-8</v>
      </c>
      <c r="AM44" s="81">
        <v>1E-8</v>
      </c>
      <c r="AN44" s="81">
        <v>1E-8</v>
      </c>
      <c r="AO44" s="81">
        <v>1E-8</v>
      </c>
      <c r="AP44" s="81">
        <v>1E-8</v>
      </c>
      <c r="AQ44" s="81">
        <v>1E-8</v>
      </c>
      <c r="AR44" s="44"/>
      <c r="AS44" s="34"/>
      <c r="AT44" s="9" t="s">
        <v>624</v>
      </c>
      <c r="AU44" s="44"/>
      <c r="AV44" s="91" t="s">
        <v>541</v>
      </c>
      <c r="AW44" s="81">
        <v>9.9743159689336548E-3</v>
      </c>
      <c r="AX44" s="82">
        <v>6.4462353901208136</v>
      </c>
      <c r="AY44" s="81">
        <v>1E-8</v>
      </c>
      <c r="AZ44" s="81">
        <v>1E-8</v>
      </c>
      <c r="BA44" s="81">
        <v>1E-8</v>
      </c>
      <c r="BB44" s="81">
        <v>1E-8</v>
      </c>
      <c r="BC44" s="81">
        <v>1E-8</v>
      </c>
      <c r="BD44" s="81">
        <v>1E-8</v>
      </c>
      <c r="BE44" s="81">
        <v>1E-8</v>
      </c>
      <c r="BF44" s="81">
        <v>1E-8</v>
      </c>
      <c r="BG44" s="44"/>
      <c r="BH44" s="34"/>
      <c r="BI44" s="9" t="s">
        <v>624</v>
      </c>
      <c r="BJ44" s="44"/>
      <c r="BK44" s="91" t="s">
        <v>541</v>
      </c>
      <c r="BL44" s="81">
        <v>0.35445437163049248</v>
      </c>
      <c r="BM44" s="82">
        <v>1E-8</v>
      </c>
      <c r="BN44" s="81">
        <v>1E-8</v>
      </c>
      <c r="BO44" s="81">
        <v>1E-8</v>
      </c>
      <c r="BP44" s="81">
        <v>1E-8</v>
      </c>
      <c r="BQ44" s="81">
        <v>1E-8</v>
      </c>
      <c r="BR44" s="81">
        <v>1E-8</v>
      </c>
      <c r="BS44" s="81">
        <v>1E-8</v>
      </c>
      <c r="BT44" s="81">
        <v>1E-8</v>
      </c>
      <c r="BU44" s="81">
        <v>1E-8</v>
      </c>
      <c r="BV44" s="44"/>
      <c r="BW44" s="34"/>
      <c r="BX44" s="9" t="s">
        <v>624</v>
      </c>
      <c r="BY44" s="44"/>
      <c r="BZ44" s="91" t="s">
        <v>541</v>
      </c>
      <c r="CA44" s="81">
        <v>1.2101994733592048E-2</v>
      </c>
      <c r="CB44" s="82">
        <v>1E-8</v>
      </c>
      <c r="CC44" s="81">
        <v>1E-8</v>
      </c>
      <c r="CD44" s="81">
        <v>1E-8</v>
      </c>
      <c r="CE44" s="81">
        <v>1E-8</v>
      </c>
      <c r="CF44" s="81">
        <v>1E-8</v>
      </c>
      <c r="CG44" s="81">
        <v>1E-8</v>
      </c>
      <c r="CH44" s="81">
        <v>1E-8</v>
      </c>
      <c r="CI44" s="81">
        <v>1E-8</v>
      </c>
      <c r="CJ44" s="81">
        <v>1E-8</v>
      </c>
      <c r="CK44" s="44"/>
    </row>
    <row r="45" spans="1:89" x14ac:dyDescent="0.35">
      <c r="A45" s="11" t="s">
        <v>281</v>
      </c>
      <c r="B45" s="44"/>
      <c r="C45" s="90" t="s">
        <v>318</v>
      </c>
      <c r="D45" s="77">
        <v>0.84696119463288233</v>
      </c>
      <c r="E45" s="78">
        <v>-0.7533612036345283</v>
      </c>
      <c r="F45" s="77">
        <v>1E-8</v>
      </c>
      <c r="G45" s="77">
        <v>1E-8</v>
      </c>
      <c r="H45" s="77">
        <v>1E-8</v>
      </c>
      <c r="I45" s="77">
        <v>1E-8</v>
      </c>
      <c r="J45" s="77">
        <v>1E-8</v>
      </c>
      <c r="K45" s="77">
        <v>1E-8</v>
      </c>
      <c r="L45" s="77">
        <v>1E-8</v>
      </c>
      <c r="M45" s="77">
        <v>1E-8</v>
      </c>
      <c r="N45" s="44"/>
      <c r="O45" s="34"/>
      <c r="P45" s="11" t="s">
        <v>281</v>
      </c>
      <c r="Q45" s="44"/>
      <c r="R45" s="90" t="s">
        <v>318</v>
      </c>
      <c r="S45" s="77">
        <v>0.84242241956930741</v>
      </c>
      <c r="T45" s="78">
        <v>-1.4361442393412971</v>
      </c>
      <c r="U45" s="77">
        <v>1E-8</v>
      </c>
      <c r="V45" s="77">
        <v>1E-8</v>
      </c>
      <c r="W45" s="77">
        <v>1E-8</v>
      </c>
      <c r="X45" s="77">
        <v>1E-8</v>
      </c>
      <c r="Y45" s="77">
        <v>1E-8</v>
      </c>
      <c r="Z45" s="77">
        <v>1E-8</v>
      </c>
      <c r="AA45" s="77">
        <v>1E-8</v>
      </c>
      <c r="AB45" s="77">
        <v>1E-8</v>
      </c>
      <c r="AC45" s="44"/>
      <c r="AD45" s="34"/>
      <c r="AE45" s="11" t="s">
        <v>281</v>
      </c>
      <c r="AF45" s="44"/>
      <c r="AG45" s="90" t="s">
        <v>318</v>
      </c>
      <c r="AH45" s="77">
        <v>1E-8</v>
      </c>
      <c r="AI45" s="78">
        <v>1E-8</v>
      </c>
      <c r="AJ45" s="77">
        <v>1E-8</v>
      </c>
      <c r="AK45" s="77">
        <v>1E-8</v>
      </c>
      <c r="AL45" s="77">
        <v>1E-8</v>
      </c>
      <c r="AM45" s="77">
        <v>1E-8</v>
      </c>
      <c r="AN45" s="77">
        <v>1E-8</v>
      </c>
      <c r="AO45" s="77">
        <v>1E-8</v>
      </c>
      <c r="AP45" s="77">
        <v>1E-8</v>
      </c>
      <c r="AQ45" s="77">
        <v>1E-8</v>
      </c>
      <c r="AR45" s="44"/>
      <c r="AS45" s="34"/>
      <c r="AT45" s="11" t="s">
        <v>281</v>
      </c>
      <c r="AU45" s="44"/>
      <c r="AV45" s="90" t="s">
        <v>318</v>
      </c>
      <c r="AW45" s="77">
        <v>1E-8</v>
      </c>
      <c r="AX45" s="78">
        <v>1E-8</v>
      </c>
      <c r="AY45" s="77">
        <v>1E-8</v>
      </c>
      <c r="AZ45" s="77">
        <v>1E-8</v>
      </c>
      <c r="BA45" s="77">
        <v>1E-8</v>
      </c>
      <c r="BB45" s="77">
        <v>1E-8</v>
      </c>
      <c r="BC45" s="77">
        <v>1E-8</v>
      </c>
      <c r="BD45" s="77">
        <v>1E-8</v>
      </c>
      <c r="BE45" s="77">
        <v>1E-8</v>
      </c>
      <c r="BF45" s="77">
        <v>1E-8</v>
      </c>
      <c r="BG45" s="44"/>
      <c r="BH45" s="34"/>
      <c r="BI45" s="11" t="s">
        <v>281</v>
      </c>
      <c r="BJ45" s="44"/>
      <c r="BK45" s="90" t="s">
        <v>318</v>
      </c>
      <c r="BL45" s="77">
        <v>1E-8</v>
      </c>
      <c r="BM45" s="78">
        <v>1E-8</v>
      </c>
      <c r="BN45" s="77">
        <v>1E-8</v>
      </c>
      <c r="BO45" s="77">
        <v>1E-8</v>
      </c>
      <c r="BP45" s="77">
        <v>1E-8</v>
      </c>
      <c r="BQ45" s="77">
        <v>1E-8</v>
      </c>
      <c r="BR45" s="77">
        <v>1E-8</v>
      </c>
      <c r="BS45" s="77">
        <v>1E-8</v>
      </c>
      <c r="BT45" s="77">
        <v>1E-8</v>
      </c>
      <c r="BU45" s="77">
        <v>1E-8</v>
      </c>
      <c r="BV45" s="44"/>
      <c r="BW45" s="34"/>
      <c r="BX45" s="11" t="s">
        <v>281</v>
      </c>
      <c r="BY45" s="44"/>
      <c r="BZ45" s="90" t="s">
        <v>318</v>
      </c>
      <c r="CA45" s="77">
        <v>1E-8</v>
      </c>
      <c r="CB45" s="78">
        <v>1E-8</v>
      </c>
      <c r="CC45" s="77">
        <v>1E-8</v>
      </c>
      <c r="CD45" s="77">
        <v>1E-8</v>
      </c>
      <c r="CE45" s="77">
        <v>1E-8</v>
      </c>
      <c r="CF45" s="77">
        <v>1E-8</v>
      </c>
      <c r="CG45" s="77">
        <v>1E-8</v>
      </c>
      <c r="CH45" s="77">
        <v>1E-8</v>
      </c>
      <c r="CI45" s="77">
        <v>1E-8</v>
      </c>
      <c r="CJ45" s="77">
        <v>1E-8</v>
      </c>
      <c r="CK45" s="44"/>
    </row>
    <row r="46" spans="1:89" x14ac:dyDescent="0.35">
      <c r="A46" s="11" t="s">
        <v>135</v>
      </c>
      <c r="B46" s="44"/>
      <c r="C46" s="90" t="s">
        <v>542</v>
      </c>
      <c r="D46" s="77">
        <v>0.56935706235743255</v>
      </c>
      <c r="E46" s="78">
        <v>-0.93650882875713215</v>
      </c>
      <c r="F46" s="77">
        <v>1E-8</v>
      </c>
      <c r="G46" s="77">
        <v>1E-8</v>
      </c>
      <c r="H46" s="77">
        <v>1E-8</v>
      </c>
      <c r="I46" s="77">
        <v>1E-8</v>
      </c>
      <c r="J46" s="77">
        <v>1E-8</v>
      </c>
      <c r="K46" s="77">
        <v>1E-8</v>
      </c>
      <c r="L46" s="77">
        <v>1E-8</v>
      </c>
      <c r="M46" s="77">
        <v>1E-8</v>
      </c>
      <c r="N46" s="44"/>
      <c r="O46" s="34"/>
      <c r="P46" s="11" t="s">
        <v>135</v>
      </c>
      <c r="Q46" s="44"/>
      <c r="R46" s="90" t="s">
        <v>542</v>
      </c>
      <c r="S46" s="77">
        <v>0.61176573759065744</v>
      </c>
      <c r="T46" s="78">
        <v>-1.6187507432086523</v>
      </c>
      <c r="U46" s="77">
        <v>1E-8</v>
      </c>
      <c r="V46" s="77">
        <v>1E-8</v>
      </c>
      <c r="W46" s="77">
        <v>1E-8</v>
      </c>
      <c r="X46" s="77">
        <v>1E-8</v>
      </c>
      <c r="Y46" s="77">
        <v>1E-8</v>
      </c>
      <c r="Z46" s="77">
        <v>1E-8</v>
      </c>
      <c r="AA46" s="77">
        <v>1E-8</v>
      </c>
      <c r="AB46" s="77">
        <v>1E-8</v>
      </c>
      <c r="AC46" s="44"/>
      <c r="AD46" s="34"/>
      <c r="AE46" s="11" t="s">
        <v>135</v>
      </c>
      <c r="AF46" s="44"/>
      <c r="AG46" s="90" t="s">
        <v>542</v>
      </c>
      <c r="AH46" s="77">
        <v>1E-8</v>
      </c>
      <c r="AI46" s="78">
        <v>1E-8</v>
      </c>
      <c r="AJ46" s="77">
        <v>1E-8</v>
      </c>
      <c r="AK46" s="77">
        <v>1E-8</v>
      </c>
      <c r="AL46" s="77">
        <v>1E-8</v>
      </c>
      <c r="AM46" s="77">
        <v>1E-8</v>
      </c>
      <c r="AN46" s="77">
        <v>1E-8</v>
      </c>
      <c r="AO46" s="77">
        <v>1E-8</v>
      </c>
      <c r="AP46" s="77">
        <v>1E-8</v>
      </c>
      <c r="AQ46" s="77">
        <v>1E-8</v>
      </c>
      <c r="AR46" s="44"/>
      <c r="AS46" s="34"/>
      <c r="AT46" s="11" t="s">
        <v>135</v>
      </c>
      <c r="AU46" s="44"/>
      <c r="AV46" s="90" t="s">
        <v>542</v>
      </c>
      <c r="AW46" s="77">
        <v>1E-8</v>
      </c>
      <c r="AX46" s="78">
        <v>1E-8</v>
      </c>
      <c r="AY46" s="77">
        <v>1E-8</v>
      </c>
      <c r="AZ46" s="77">
        <v>1E-8</v>
      </c>
      <c r="BA46" s="77">
        <v>1E-8</v>
      </c>
      <c r="BB46" s="77">
        <v>1E-8</v>
      </c>
      <c r="BC46" s="77">
        <v>1E-8</v>
      </c>
      <c r="BD46" s="77">
        <v>1E-8</v>
      </c>
      <c r="BE46" s="77">
        <v>1E-8</v>
      </c>
      <c r="BF46" s="77">
        <v>1E-8</v>
      </c>
      <c r="BG46" s="44"/>
      <c r="BH46" s="34"/>
      <c r="BI46" s="11" t="s">
        <v>135</v>
      </c>
      <c r="BJ46" s="44"/>
      <c r="BK46" s="90" t="s">
        <v>542</v>
      </c>
      <c r="BL46" s="77">
        <v>1E-8</v>
      </c>
      <c r="BM46" s="78">
        <v>1E-8</v>
      </c>
      <c r="BN46" s="77">
        <v>1E-8</v>
      </c>
      <c r="BO46" s="77">
        <v>1E-8</v>
      </c>
      <c r="BP46" s="77">
        <v>1E-8</v>
      </c>
      <c r="BQ46" s="77">
        <v>1E-8</v>
      </c>
      <c r="BR46" s="77">
        <v>1E-8</v>
      </c>
      <c r="BS46" s="77">
        <v>1E-8</v>
      </c>
      <c r="BT46" s="77">
        <v>1E-8</v>
      </c>
      <c r="BU46" s="77">
        <v>1E-8</v>
      </c>
      <c r="BV46" s="44"/>
      <c r="BW46" s="34"/>
      <c r="BX46" s="11" t="s">
        <v>135</v>
      </c>
      <c r="BY46" s="44"/>
      <c r="BZ46" s="90" t="s">
        <v>542</v>
      </c>
      <c r="CA46" s="77">
        <v>1E-8</v>
      </c>
      <c r="CB46" s="78">
        <v>1E-8</v>
      </c>
      <c r="CC46" s="77">
        <v>1E-8</v>
      </c>
      <c r="CD46" s="77">
        <v>1E-8</v>
      </c>
      <c r="CE46" s="77">
        <v>1E-8</v>
      </c>
      <c r="CF46" s="77">
        <v>1E-8</v>
      </c>
      <c r="CG46" s="77">
        <v>1E-8</v>
      </c>
      <c r="CH46" s="77">
        <v>1E-8</v>
      </c>
      <c r="CI46" s="77">
        <v>1E-8</v>
      </c>
      <c r="CJ46" s="77">
        <v>1E-8</v>
      </c>
      <c r="CK46" s="44"/>
    </row>
    <row r="47" spans="1:89" x14ac:dyDescent="0.35">
      <c r="A47" s="9" t="s">
        <v>625</v>
      </c>
      <c r="B47" s="44"/>
      <c r="C47" s="91" t="s">
        <v>543</v>
      </c>
      <c r="D47" s="79">
        <v>0.36982146986483649</v>
      </c>
      <c r="E47" s="80">
        <v>-0.47898531131634892</v>
      </c>
      <c r="F47" s="79">
        <v>1E-8</v>
      </c>
      <c r="G47" s="79">
        <v>1E-8</v>
      </c>
      <c r="H47" s="79">
        <v>1E-8</v>
      </c>
      <c r="I47" s="79">
        <v>1E-8</v>
      </c>
      <c r="J47" s="79">
        <v>1E-8</v>
      </c>
      <c r="K47" s="79">
        <v>1E-8</v>
      </c>
      <c r="L47" s="79">
        <v>1E-8</v>
      </c>
      <c r="M47" s="79">
        <v>1E-8</v>
      </c>
      <c r="N47" s="44"/>
      <c r="O47" s="34"/>
      <c r="P47" s="9" t="s">
        <v>625</v>
      </c>
      <c r="Q47" s="44"/>
      <c r="R47" s="91" t="s">
        <v>543</v>
      </c>
      <c r="S47" s="79">
        <v>0.30855525189292987</v>
      </c>
      <c r="T47" s="80">
        <v>-0.61076050161805728</v>
      </c>
      <c r="U47" s="79">
        <v>1E-8</v>
      </c>
      <c r="V47" s="79">
        <v>1E-8</v>
      </c>
      <c r="W47" s="79">
        <v>1E-8</v>
      </c>
      <c r="X47" s="79">
        <v>1E-8</v>
      </c>
      <c r="Y47" s="79">
        <v>1E-8</v>
      </c>
      <c r="Z47" s="79">
        <v>1E-8</v>
      </c>
      <c r="AA47" s="79">
        <v>1E-8</v>
      </c>
      <c r="AB47" s="79">
        <v>1E-8</v>
      </c>
      <c r="AC47" s="44"/>
      <c r="AD47" s="34"/>
      <c r="AE47" s="9" t="s">
        <v>625</v>
      </c>
      <c r="AF47" s="44"/>
      <c r="AG47" s="91" t="s">
        <v>543</v>
      </c>
      <c r="AH47" s="79">
        <v>1E-8</v>
      </c>
      <c r="AI47" s="80">
        <v>1E-8</v>
      </c>
      <c r="AJ47" s="79">
        <v>1E-8</v>
      </c>
      <c r="AK47" s="79">
        <v>1E-8</v>
      </c>
      <c r="AL47" s="79">
        <v>1E-8</v>
      </c>
      <c r="AM47" s="79">
        <v>1E-8</v>
      </c>
      <c r="AN47" s="79">
        <v>1E-8</v>
      </c>
      <c r="AO47" s="79">
        <v>1E-8</v>
      </c>
      <c r="AP47" s="79">
        <v>1E-8</v>
      </c>
      <c r="AQ47" s="79">
        <v>1E-8</v>
      </c>
      <c r="AR47" s="44"/>
      <c r="AS47" s="34"/>
      <c r="AT47" s="9" t="s">
        <v>625</v>
      </c>
      <c r="AU47" s="44"/>
      <c r="AV47" s="91" t="s">
        <v>543</v>
      </c>
      <c r="AW47" s="79">
        <v>1E-8</v>
      </c>
      <c r="AX47" s="80">
        <v>1E-8</v>
      </c>
      <c r="AY47" s="79">
        <v>1E-8</v>
      </c>
      <c r="AZ47" s="79">
        <v>1E-8</v>
      </c>
      <c r="BA47" s="79">
        <v>1E-8</v>
      </c>
      <c r="BB47" s="79">
        <v>1E-8</v>
      </c>
      <c r="BC47" s="79">
        <v>1E-8</v>
      </c>
      <c r="BD47" s="79">
        <v>1E-8</v>
      </c>
      <c r="BE47" s="79">
        <v>1E-8</v>
      </c>
      <c r="BF47" s="79">
        <v>1E-8</v>
      </c>
      <c r="BG47" s="44"/>
      <c r="BH47" s="34"/>
      <c r="BI47" s="9" t="s">
        <v>625</v>
      </c>
      <c r="BJ47" s="44"/>
      <c r="BK47" s="91" t="s">
        <v>543</v>
      </c>
      <c r="BL47" s="79">
        <v>1E-8</v>
      </c>
      <c r="BM47" s="80">
        <v>1E-8</v>
      </c>
      <c r="BN47" s="79">
        <v>1E-8</v>
      </c>
      <c r="BO47" s="79">
        <v>1E-8</v>
      </c>
      <c r="BP47" s="79">
        <v>1E-8</v>
      </c>
      <c r="BQ47" s="79">
        <v>1E-8</v>
      </c>
      <c r="BR47" s="79">
        <v>1E-8</v>
      </c>
      <c r="BS47" s="79">
        <v>1E-8</v>
      </c>
      <c r="BT47" s="79">
        <v>1E-8</v>
      </c>
      <c r="BU47" s="79">
        <v>1E-8</v>
      </c>
      <c r="BV47" s="44"/>
      <c r="BW47" s="34"/>
      <c r="BX47" s="9" t="s">
        <v>625</v>
      </c>
      <c r="BY47" s="44"/>
      <c r="BZ47" s="91" t="s">
        <v>543</v>
      </c>
      <c r="CA47" s="79">
        <v>1E-8</v>
      </c>
      <c r="CB47" s="80">
        <v>1E-8</v>
      </c>
      <c r="CC47" s="79">
        <v>1E-8</v>
      </c>
      <c r="CD47" s="79">
        <v>1E-8</v>
      </c>
      <c r="CE47" s="79">
        <v>1E-8</v>
      </c>
      <c r="CF47" s="79">
        <v>1E-8</v>
      </c>
      <c r="CG47" s="79">
        <v>1E-8</v>
      </c>
      <c r="CH47" s="79">
        <v>1E-8</v>
      </c>
      <c r="CI47" s="79">
        <v>1E-8</v>
      </c>
      <c r="CJ47" s="79">
        <v>1E-8</v>
      </c>
      <c r="CK47" s="44"/>
    </row>
    <row r="48" spans="1:89" x14ac:dyDescent="0.35">
      <c r="A48" s="9" t="s">
        <v>626</v>
      </c>
      <c r="B48" s="44"/>
      <c r="C48" s="91" t="s">
        <v>544</v>
      </c>
      <c r="D48" s="79">
        <v>3.4364156098188589E-2</v>
      </c>
      <c r="E48" s="80">
        <v>-0.83278773629043013</v>
      </c>
      <c r="F48" s="79">
        <v>1E-8</v>
      </c>
      <c r="G48" s="79">
        <v>1E-8</v>
      </c>
      <c r="H48" s="79">
        <v>1E-8</v>
      </c>
      <c r="I48" s="79">
        <v>1E-8</v>
      </c>
      <c r="J48" s="79">
        <v>1E-8</v>
      </c>
      <c r="K48" s="79">
        <v>1E-8</v>
      </c>
      <c r="L48" s="79">
        <v>1E-8</v>
      </c>
      <c r="M48" s="79">
        <v>1E-8</v>
      </c>
      <c r="N48" s="44"/>
      <c r="O48" s="34"/>
      <c r="P48" s="9" t="s">
        <v>626</v>
      </c>
      <c r="Q48" s="44"/>
      <c r="R48" s="91" t="s">
        <v>544</v>
      </c>
      <c r="S48" s="79">
        <v>0.13755408116487666</v>
      </c>
      <c r="T48" s="80">
        <v>-1.9627796494127936</v>
      </c>
      <c r="U48" s="79">
        <v>1E-8</v>
      </c>
      <c r="V48" s="79">
        <v>1E-8</v>
      </c>
      <c r="W48" s="79">
        <v>1E-8</v>
      </c>
      <c r="X48" s="79">
        <v>1E-8</v>
      </c>
      <c r="Y48" s="79">
        <v>1E-8</v>
      </c>
      <c r="Z48" s="79">
        <v>1E-8</v>
      </c>
      <c r="AA48" s="79">
        <v>1E-8</v>
      </c>
      <c r="AB48" s="79">
        <v>1E-8</v>
      </c>
      <c r="AC48" s="44"/>
      <c r="AD48" s="34"/>
      <c r="AE48" s="9" t="s">
        <v>626</v>
      </c>
      <c r="AF48" s="44"/>
      <c r="AG48" s="91" t="s">
        <v>544</v>
      </c>
      <c r="AH48" s="79">
        <v>1E-8</v>
      </c>
      <c r="AI48" s="80">
        <v>1E-8</v>
      </c>
      <c r="AJ48" s="79">
        <v>1E-8</v>
      </c>
      <c r="AK48" s="79">
        <v>1E-8</v>
      </c>
      <c r="AL48" s="79">
        <v>1E-8</v>
      </c>
      <c r="AM48" s="79">
        <v>1E-8</v>
      </c>
      <c r="AN48" s="79">
        <v>1E-8</v>
      </c>
      <c r="AO48" s="79">
        <v>1E-8</v>
      </c>
      <c r="AP48" s="79">
        <v>1E-8</v>
      </c>
      <c r="AQ48" s="79">
        <v>1E-8</v>
      </c>
      <c r="AR48" s="44"/>
      <c r="AS48" s="34"/>
      <c r="AT48" s="9" t="s">
        <v>626</v>
      </c>
      <c r="AU48" s="44"/>
      <c r="AV48" s="91" t="s">
        <v>544</v>
      </c>
      <c r="AW48" s="79">
        <v>1E-8</v>
      </c>
      <c r="AX48" s="80">
        <v>1E-8</v>
      </c>
      <c r="AY48" s="79">
        <v>1E-8</v>
      </c>
      <c r="AZ48" s="79">
        <v>1E-8</v>
      </c>
      <c r="BA48" s="79">
        <v>1E-8</v>
      </c>
      <c r="BB48" s="79">
        <v>1E-8</v>
      </c>
      <c r="BC48" s="79">
        <v>1E-8</v>
      </c>
      <c r="BD48" s="79">
        <v>1E-8</v>
      </c>
      <c r="BE48" s="79">
        <v>1E-8</v>
      </c>
      <c r="BF48" s="79">
        <v>1E-8</v>
      </c>
      <c r="BG48" s="44"/>
      <c r="BH48" s="34"/>
      <c r="BI48" s="9" t="s">
        <v>626</v>
      </c>
      <c r="BJ48" s="44"/>
      <c r="BK48" s="91" t="s">
        <v>544</v>
      </c>
      <c r="BL48" s="79">
        <v>1E-8</v>
      </c>
      <c r="BM48" s="80">
        <v>1E-8</v>
      </c>
      <c r="BN48" s="79">
        <v>1E-8</v>
      </c>
      <c r="BO48" s="79">
        <v>1E-8</v>
      </c>
      <c r="BP48" s="79">
        <v>1E-8</v>
      </c>
      <c r="BQ48" s="79">
        <v>1E-8</v>
      </c>
      <c r="BR48" s="79">
        <v>1E-8</v>
      </c>
      <c r="BS48" s="79">
        <v>1E-8</v>
      </c>
      <c r="BT48" s="79">
        <v>1E-8</v>
      </c>
      <c r="BU48" s="79">
        <v>1E-8</v>
      </c>
      <c r="BV48" s="44"/>
      <c r="BW48" s="34"/>
      <c r="BX48" s="9" t="s">
        <v>626</v>
      </c>
      <c r="BY48" s="44"/>
      <c r="BZ48" s="91" t="s">
        <v>544</v>
      </c>
      <c r="CA48" s="79">
        <v>1E-8</v>
      </c>
      <c r="CB48" s="80">
        <v>1E-8</v>
      </c>
      <c r="CC48" s="79">
        <v>1E-8</v>
      </c>
      <c r="CD48" s="79">
        <v>1E-8</v>
      </c>
      <c r="CE48" s="79">
        <v>1E-8</v>
      </c>
      <c r="CF48" s="79">
        <v>1E-8</v>
      </c>
      <c r="CG48" s="79">
        <v>1E-8</v>
      </c>
      <c r="CH48" s="79">
        <v>1E-8</v>
      </c>
      <c r="CI48" s="79">
        <v>1E-8</v>
      </c>
      <c r="CJ48" s="79">
        <v>1E-8</v>
      </c>
      <c r="CK48" s="44"/>
    </row>
    <row r="49" spans="1:89" x14ac:dyDescent="0.35">
      <c r="A49" s="9" t="s">
        <v>627</v>
      </c>
      <c r="B49" s="44"/>
      <c r="C49" s="91" t="s">
        <v>319</v>
      </c>
      <c r="D49" s="79">
        <v>0.16517143639440754</v>
      </c>
      <c r="E49" s="80">
        <v>-1.9824905753670019</v>
      </c>
      <c r="F49" s="79">
        <v>1E-8</v>
      </c>
      <c r="G49" s="79">
        <v>1E-8</v>
      </c>
      <c r="H49" s="79">
        <v>1E-8</v>
      </c>
      <c r="I49" s="79">
        <v>1E-8</v>
      </c>
      <c r="J49" s="79">
        <v>1E-8</v>
      </c>
      <c r="K49" s="79">
        <v>1E-8</v>
      </c>
      <c r="L49" s="79">
        <v>1E-8</v>
      </c>
      <c r="M49" s="79">
        <v>1E-8</v>
      </c>
      <c r="N49" s="44"/>
      <c r="O49" s="34"/>
      <c r="P49" s="9" t="s">
        <v>627</v>
      </c>
      <c r="Q49" s="44"/>
      <c r="R49" s="91" t="s">
        <v>319</v>
      </c>
      <c r="S49" s="79">
        <v>0.16565640453285094</v>
      </c>
      <c r="T49" s="80">
        <v>-2.0405031804641705</v>
      </c>
      <c r="U49" s="79">
        <v>1E-8</v>
      </c>
      <c r="V49" s="79">
        <v>1E-8</v>
      </c>
      <c r="W49" s="79">
        <v>1E-8</v>
      </c>
      <c r="X49" s="79">
        <v>1E-8</v>
      </c>
      <c r="Y49" s="79">
        <v>1E-8</v>
      </c>
      <c r="Z49" s="79">
        <v>1E-8</v>
      </c>
      <c r="AA49" s="79">
        <v>1E-8</v>
      </c>
      <c r="AB49" s="79">
        <v>1E-8</v>
      </c>
      <c r="AC49" s="44"/>
      <c r="AD49" s="34"/>
      <c r="AE49" s="9" t="s">
        <v>627</v>
      </c>
      <c r="AF49" s="44"/>
      <c r="AG49" s="91" t="s">
        <v>319</v>
      </c>
      <c r="AH49" s="79">
        <v>1E-8</v>
      </c>
      <c r="AI49" s="80">
        <v>1E-8</v>
      </c>
      <c r="AJ49" s="79">
        <v>1E-8</v>
      </c>
      <c r="AK49" s="79">
        <v>1E-8</v>
      </c>
      <c r="AL49" s="79">
        <v>1E-8</v>
      </c>
      <c r="AM49" s="79">
        <v>1E-8</v>
      </c>
      <c r="AN49" s="79">
        <v>1E-8</v>
      </c>
      <c r="AO49" s="79">
        <v>1E-8</v>
      </c>
      <c r="AP49" s="79">
        <v>1E-8</v>
      </c>
      <c r="AQ49" s="79">
        <v>1E-8</v>
      </c>
      <c r="AR49" s="44"/>
      <c r="AS49" s="34"/>
      <c r="AT49" s="9" t="s">
        <v>627</v>
      </c>
      <c r="AU49" s="44"/>
      <c r="AV49" s="91" t="s">
        <v>319</v>
      </c>
      <c r="AW49" s="79">
        <v>1E-8</v>
      </c>
      <c r="AX49" s="80">
        <v>1E-8</v>
      </c>
      <c r="AY49" s="79">
        <v>1E-8</v>
      </c>
      <c r="AZ49" s="79">
        <v>1E-8</v>
      </c>
      <c r="BA49" s="79">
        <v>1E-8</v>
      </c>
      <c r="BB49" s="79">
        <v>1E-8</v>
      </c>
      <c r="BC49" s="79">
        <v>1E-8</v>
      </c>
      <c r="BD49" s="79">
        <v>1E-8</v>
      </c>
      <c r="BE49" s="79">
        <v>1E-8</v>
      </c>
      <c r="BF49" s="79">
        <v>1E-8</v>
      </c>
      <c r="BG49" s="44"/>
      <c r="BH49" s="34"/>
      <c r="BI49" s="9" t="s">
        <v>627</v>
      </c>
      <c r="BJ49" s="44"/>
      <c r="BK49" s="91" t="s">
        <v>319</v>
      </c>
      <c r="BL49" s="79">
        <v>1E-8</v>
      </c>
      <c r="BM49" s="80">
        <v>1E-8</v>
      </c>
      <c r="BN49" s="79">
        <v>1E-8</v>
      </c>
      <c r="BO49" s="79">
        <v>1E-8</v>
      </c>
      <c r="BP49" s="79">
        <v>1E-8</v>
      </c>
      <c r="BQ49" s="79">
        <v>1E-8</v>
      </c>
      <c r="BR49" s="79">
        <v>1E-8</v>
      </c>
      <c r="BS49" s="79">
        <v>1E-8</v>
      </c>
      <c r="BT49" s="79">
        <v>1E-8</v>
      </c>
      <c r="BU49" s="79">
        <v>1E-8</v>
      </c>
      <c r="BV49" s="44"/>
      <c r="BW49" s="34"/>
      <c r="BX49" s="9" t="s">
        <v>627</v>
      </c>
      <c r="BY49" s="44"/>
      <c r="BZ49" s="91" t="s">
        <v>319</v>
      </c>
      <c r="CA49" s="79">
        <v>1E-8</v>
      </c>
      <c r="CB49" s="80">
        <v>1E-8</v>
      </c>
      <c r="CC49" s="79">
        <v>1E-8</v>
      </c>
      <c r="CD49" s="79">
        <v>1E-8</v>
      </c>
      <c r="CE49" s="79">
        <v>1E-8</v>
      </c>
      <c r="CF49" s="79">
        <v>1E-8</v>
      </c>
      <c r="CG49" s="79">
        <v>1E-8</v>
      </c>
      <c r="CH49" s="79">
        <v>1E-8</v>
      </c>
      <c r="CI49" s="79">
        <v>1E-8</v>
      </c>
      <c r="CJ49" s="79">
        <v>1E-8</v>
      </c>
      <c r="CK49" s="44"/>
    </row>
    <row r="50" spans="1:89" x14ac:dyDescent="0.35">
      <c r="A50" s="71" t="s">
        <v>628</v>
      </c>
      <c r="B50" s="53"/>
      <c r="C50" s="92" t="s">
        <v>320</v>
      </c>
      <c r="D50" s="83">
        <v>0.27760413227544967</v>
      </c>
      <c r="E50" s="84">
        <v>-0.37773137073966456</v>
      </c>
      <c r="F50" s="83">
        <v>1E-8</v>
      </c>
      <c r="G50" s="83">
        <v>1E-8</v>
      </c>
      <c r="H50" s="83">
        <v>1E-8</v>
      </c>
      <c r="I50" s="83">
        <v>1E-8</v>
      </c>
      <c r="J50" s="83">
        <v>1E-8</v>
      </c>
      <c r="K50" s="83">
        <v>1E-8</v>
      </c>
      <c r="L50" s="83">
        <v>1E-8</v>
      </c>
      <c r="M50" s="83">
        <v>1E-8</v>
      </c>
      <c r="N50" s="44"/>
      <c r="O50" s="34"/>
      <c r="P50" s="71" t="s">
        <v>628</v>
      </c>
      <c r="Q50" s="53"/>
      <c r="R50" s="92" t="s">
        <v>320</v>
      </c>
      <c r="S50" s="83">
        <v>0.23065668197864991</v>
      </c>
      <c r="T50" s="84">
        <v>-0.507920200318146</v>
      </c>
      <c r="U50" s="83">
        <v>1E-8</v>
      </c>
      <c r="V50" s="83">
        <v>1E-8</v>
      </c>
      <c r="W50" s="83">
        <v>1E-8</v>
      </c>
      <c r="X50" s="83">
        <v>1E-8</v>
      </c>
      <c r="Y50" s="83">
        <v>1E-8</v>
      </c>
      <c r="Z50" s="83">
        <v>1E-8</v>
      </c>
      <c r="AA50" s="83">
        <v>1E-8</v>
      </c>
      <c r="AB50" s="83">
        <v>1E-8</v>
      </c>
      <c r="AC50" s="44"/>
      <c r="AD50" s="34"/>
      <c r="AE50" s="71" t="s">
        <v>628</v>
      </c>
      <c r="AF50" s="53"/>
      <c r="AG50" s="92" t="s">
        <v>320</v>
      </c>
      <c r="AH50" s="83">
        <v>1E-8</v>
      </c>
      <c r="AI50" s="84">
        <v>1E-8</v>
      </c>
      <c r="AJ50" s="83">
        <v>1E-8</v>
      </c>
      <c r="AK50" s="83">
        <v>1E-8</v>
      </c>
      <c r="AL50" s="83">
        <v>1E-8</v>
      </c>
      <c r="AM50" s="83">
        <v>1E-8</v>
      </c>
      <c r="AN50" s="83">
        <v>1E-8</v>
      </c>
      <c r="AO50" s="83">
        <v>1E-8</v>
      </c>
      <c r="AP50" s="83">
        <v>1E-8</v>
      </c>
      <c r="AQ50" s="83">
        <v>1E-8</v>
      </c>
      <c r="AR50" s="44"/>
      <c r="AS50" s="34"/>
      <c r="AT50" s="71" t="s">
        <v>628</v>
      </c>
      <c r="AU50" s="53"/>
      <c r="AV50" s="92" t="s">
        <v>320</v>
      </c>
      <c r="AW50" s="83">
        <v>1E-8</v>
      </c>
      <c r="AX50" s="84">
        <v>1E-8</v>
      </c>
      <c r="AY50" s="83">
        <v>1E-8</v>
      </c>
      <c r="AZ50" s="83">
        <v>1E-8</v>
      </c>
      <c r="BA50" s="83">
        <v>1E-8</v>
      </c>
      <c r="BB50" s="83">
        <v>1E-8</v>
      </c>
      <c r="BC50" s="83">
        <v>1E-8</v>
      </c>
      <c r="BD50" s="83">
        <v>1E-8</v>
      </c>
      <c r="BE50" s="83">
        <v>1E-8</v>
      </c>
      <c r="BF50" s="83">
        <v>1E-8</v>
      </c>
      <c r="BG50" s="44"/>
      <c r="BH50" s="34"/>
      <c r="BI50" s="71" t="s">
        <v>628</v>
      </c>
      <c r="BJ50" s="53"/>
      <c r="BK50" s="92" t="s">
        <v>320</v>
      </c>
      <c r="BL50" s="83">
        <v>1E-8</v>
      </c>
      <c r="BM50" s="84">
        <v>1E-8</v>
      </c>
      <c r="BN50" s="83">
        <v>1E-8</v>
      </c>
      <c r="BO50" s="83">
        <v>1E-8</v>
      </c>
      <c r="BP50" s="83">
        <v>1E-8</v>
      </c>
      <c r="BQ50" s="83">
        <v>1E-8</v>
      </c>
      <c r="BR50" s="83">
        <v>1E-8</v>
      </c>
      <c r="BS50" s="83">
        <v>1E-8</v>
      </c>
      <c r="BT50" s="83">
        <v>1E-8</v>
      </c>
      <c r="BU50" s="83">
        <v>1E-8</v>
      </c>
      <c r="BV50" s="44"/>
      <c r="BW50" s="34"/>
      <c r="BX50" s="71" t="s">
        <v>628</v>
      </c>
      <c r="BY50" s="53"/>
      <c r="BZ50" s="92" t="s">
        <v>320</v>
      </c>
      <c r="CA50" s="83">
        <v>1E-8</v>
      </c>
      <c r="CB50" s="84">
        <v>1E-8</v>
      </c>
      <c r="CC50" s="83">
        <v>1E-8</v>
      </c>
      <c r="CD50" s="83">
        <v>1E-8</v>
      </c>
      <c r="CE50" s="83">
        <v>1E-8</v>
      </c>
      <c r="CF50" s="83">
        <v>1E-8</v>
      </c>
      <c r="CG50" s="83">
        <v>1E-8</v>
      </c>
      <c r="CH50" s="83">
        <v>1E-8</v>
      </c>
      <c r="CI50" s="83">
        <v>1E-8</v>
      </c>
      <c r="CJ50" s="83">
        <v>1E-8</v>
      </c>
      <c r="CK50" s="44"/>
    </row>
    <row r="51" spans="1:89" x14ac:dyDescent="0.35">
      <c r="A51" s="10" t="s">
        <v>282</v>
      </c>
      <c r="B51" s="44"/>
      <c r="C51" s="89" t="s">
        <v>321</v>
      </c>
      <c r="D51" s="73">
        <v>88.506020879102493</v>
      </c>
      <c r="E51" s="74">
        <v>0.67379336194854922</v>
      </c>
      <c r="F51" s="73">
        <v>1E-8</v>
      </c>
      <c r="G51" s="73">
        <v>1E-8</v>
      </c>
      <c r="H51" s="73">
        <v>1E-8</v>
      </c>
      <c r="I51" s="73">
        <v>1E-8</v>
      </c>
      <c r="J51" s="73">
        <v>1E-8</v>
      </c>
      <c r="K51" s="73">
        <v>1E-8</v>
      </c>
      <c r="L51" s="73">
        <v>1E-8</v>
      </c>
      <c r="M51" s="73">
        <v>1E-8</v>
      </c>
      <c r="N51" s="44"/>
      <c r="O51" s="34"/>
      <c r="P51" s="10" t="s">
        <v>282</v>
      </c>
      <c r="Q51" s="44"/>
      <c r="R51" s="89" t="s">
        <v>321</v>
      </c>
      <c r="S51" s="73">
        <v>90.104143110095137</v>
      </c>
      <c r="T51" s="74">
        <v>2.2802027510927525</v>
      </c>
      <c r="U51" s="73">
        <v>1E-8</v>
      </c>
      <c r="V51" s="73">
        <v>1E-8</v>
      </c>
      <c r="W51" s="73">
        <v>1E-8</v>
      </c>
      <c r="X51" s="73">
        <v>1E-8</v>
      </c>
      <c r="Y51" s="73">
        <v>1E-8</v>
      </c>
      <c r="Z51" s="73">
        <v>1E-8</v>
      </c>
      <c r="AA51" s="73">
        <v>1E-8</v>
      </c>
      <c r="AB51" s="73">
        <v>1E-8</v>
      </c>
      <c r="AC51" s="44"/>
      <c r="AD51" s="34"/>
      <c r="AE51" s="10" t="s">
        <v>282</v>
      </c>
      <c r="AF51" s="44"/>
      <c r="AG51" s="89" t="s">
        <v>321</v>
      </c>
      <c r="AH51" s="73">
        <v>89.221733778767458</v>
      </c>
      <c r="AI51" s="74">
        <v>7.7820538019876651</v>
      </c>
      <c r="AJ51" s="73">
        <v>1E-8</v>
      </c>
      <c r="AK51" s="73">
        <v>1E-8</v>
      </c>
      <c r="AL51" s="73">
        <v>1E-8</v>
      </c>
      <c r="AM51" s="73">
        <v>1E-8</v>
      </c>
      <c r="AN51" s="73">
        <v>1E-8</v>
      </c>
      <c r="AO51" s="73">
        <v>1E-8</v>
      </c>
      <c r="AP51" s="73">
        <v>1E-8</v>
      </c>
      <c r="AQ51" s="73">
        <v>1E-8</v>
      </c>
      <c r="AR51" s="44"/>
      <c r="AS51" s="34"/>
      <c r="AT51" s="10" t="s">
        <v>282</v>
      </c>
      <c r="AU51" s="44"/>
      <c r="AV51" s="89" t="s">
        <v>321</v>
      </c>
      <c r="AW51" s="73">
        <v>94.945849217784456</v>
      </c>
      <c r="AX51" s="74">
        <v>6.5142683400708723</v>
      </c>
      <c r="AY51" s="73">
        <v>1E-8</v>
      </c>
      <c r="AZ51" s="73">
        <v>1E-8</v>
      </c>
      <c r="BA51" s="73">
        <v>1E-8</v>
      </c>
      <c r="BB51" s="73">
        <v>1E-8</v>
      </c>
      <c r="BC51" s="73">
        <v>1E-8</v>
      </c>
      <c r="BD51" s="73">
        <v>1E-8</v>
      </c>
      <c r="BE51" s="73">
        <v>1E-8</v>
      </c>
      <c r="BF51" s="73">
        <v>1E-8</v>
      </c>
      <c r="BG51" s="44"/>
      <c r="BH51" s="34"/>
      <c r="BI51" s="10" t="s">
        <v>282</v>
      </c>
      <c r="BJ51" s="44"/>
      <c r="BK51" s="89" t="s">
        <v>321</v>
      </c>
      <c r="BL51" s="73">
        <v>90.186852239414421</v>
      </c>
      <c r="BM51" s="74">
        <v>1E-8</v>
      </c>
      <c r="BN51" s="73">
        <v>1E-8</v>
      </c>
      <c r="BO51" s="73">
        <v>1E-8</v>
      </c>
      <c r="BP51" s="73">
        <v>1E-8</v>
      </c>
      <c r="BQ51" s="73">
        <v>1E-8</v>
      </c>
      <c r="BR51" s="73">
        <v>1E-8</v>
      </c>
      <c r="BS51" s="73">
        <v>1E-8</v>
      </c>
      <c r="BT51" s="73">
        <v>1E-8</v>
      </c>
      <c r="BU51" s="73">
        <v>1E-8</v>
      </c>
      <c r="BV51" s="44"/>
      <c r="BW51" s="34"/>
      <c r="BX51" s="10" t="s">
        <v>282</v>
      </c>
      <c r="BY51" s="44"/>
      <c r="BZ51" s="89" t="s">
        <v>321</v>
      </c>
      <c r="CA51" s="73">
        <v>94.113707067593666</v>
      </c>
      <c r="CB51" s="74">
        <v>2.5711457132907123</v>
      </c>
      <c r="CC51" s="73">
        <v>1E-8</v>
      </c>
      <c r="CD51" s="73">
        <v>1E-8</v>
      </c>
      <c r="CE51" s="73">
        <v>1E-8</v>
      </c>
      <c r="CF51" s="73">
        <v>1E-8</v>
      </c>
      <c r="CG51" s="73">
        <v>1E-8</v>
      </c>
      <c r="CH51" s="73">
        <v>1E-8</v>
      </c>
      <c r="CI51" s="73">
        <v>1E-8</v>
      </c>
      <c r="CJ51" s="73">
        <v>1E-8</v>
      </c>
      <c r="CK51" s="44"/>
    </row>
    <row r="52" spans="1:89" x14ac:dyDescent="0.35">
      <c r="A52" s="10" t="s">
        <v>283</v>
      </c>
      <c r="B52" s="44"/>
      <c r="C52" s="89" t="s">
        <v>322</v>
      </c>
      <c r="D52" s="73">
        <v>30.037348451637065</v>
      </c>
      <c r="E52" s="74">
        <v>2.8282337934406598</v>
      </c>
      <c r="F52" s="73">
        <v>1E-8</v>
      </c>
      <c r="G52" s="73">
        <v>1E-8</v>
      </c>
      <c r="H52" s="73">
        <v>1E-8</v>
      </c>
      <c r="I52" s="73">
        <v>1E-8</v>
      </c>
      <c r="J52" s="73">
        <v>1E-8</v>
      </c>
      <c r="K52" s="73">
        <v>1E-8</v>
      </c>
      <c r="L52" s="73">
        <v>1E-8</v>
      </c>
      <c r="M52" s="73">
        <v>1E-8</v>
      </c>
      <c r="N52" s="44"/>
      <c r="O52" s="34"/>
      <c r="P52" s="10" t="s">
        <v>283</v>
      </c>
      <c r="Q52" s="44"/>
      <c r="R52" s="89" t="s">
        <v>322</v>
      </c>
      <c r="S52" s="73">
        <v>42.737313577011903</v>
      </c>
      <c r="T52" s="74">
        <v>4.0049952815875534</v>
      </c>
      <c r="U52" s="73">
        <v>1E-8</v>
      </c>
      <c r="V52" s="73">
        <v>1E-8</v>
      </c>
      <c r="W52" s="73">
        <v>1E-8</v>
      </c>
      <c r="X52" s="73">
        <v>1E-8</v>
      </c>
      <c r="Y52" s="73">
        <v>1E-8</v>
      </c>
      <c r="Z52" s="73">
        <v>1E-8</v>
      </c>
      <c r="AA52" s="73">
        <v>1E-8</v>
      </c>
      <c r="AB52" s="73">
        <v>1E-8</v>
      </c>
      <c r="AC52" s="44"/>
      <c r="AD52" s="34"/>
      <c r="AE52" s="10" t="s">
        <v>283</v>
      </c>
      <c r="AF52" s="44"/>
      <c r="AG52" s="89" t="s">
        <v>322</v>
      </c>
      <c r="AH52" s="73">
        <v>53.629272867816077</v>
      </c>
      <c r="AI52" s="74">
        <v>8.594050649533159</v>
      </c>
      <c r="AJ52" s="73">
        <v>1E-8</v>
      </c>
      <c r="AK52" s="73">
        <v>1E-8</v>
      </c>
      <c r="AL52" s="73">
        <v>1E-8</v>
      </c>
      <c r="AM52" s="73">
        <v>1E-8</v>
      </c>
      <c r="AN52" s="73">
        <v>1E-8</v>
      </c>
      <c r="AO52" s="73">
        <v>1E-8</v>
      </c>
      <c r="AP52" s="73">
        <v>1E-8</v>
      </c>
      <c r="AQ52" s="73">
        <v>1E-8</v>
      </c>
      <c r="AR52" s="44"/>
      <c r="AS52" s="34"/>
      <c r="AT52" s="10" t="s">
        <v>283</v>
      </c>
      <c r="AU52" s="44"/>
      <c r="AV52" s="89" t="s">
        <v>322</v>
      </c>
      <c r="AW52" s="73">
        <v>80.503778347300283</v>
      </c>
      <c r="AX52" s="74">
        <v>6.5101557511746622</v>
      </c>
      <c r="AY52" s="73">
        <v>1E-8</v>
      </c>
      <c r="AZ52" s="73">
        <v>1E-8</v>
      </c>
      <c r="BA52" s="73">
        <v>1E-8</v>
      </c>
      <c r="BB52" s="73">
        <v>1E-8</v>
      </c>
      <c r="BC52" s="73">
        <v>1E-8</v>
      </c>
      <c r="BD52" s="73">
        <v>1E-8</v>
      </c>
      <c r="BE52" s="73">
        <v>1E-8</v>
      </c>
      <c r="BF52" s="73">
        <v>1E-8</v>
      </c>
      <c r="BG52" s="44"/>
      <c r="BH52" s="34"/>
      <c r="BI52" s="10" t="s">
        <v>283</v>
      </c>
      <c r="BJ52" s="44"/>
      <c r="BK52" s="89" t="s">
        <v>322</v>
      </c>
      <c r="BL52" s="73">
        <v>58.601565918722699</v>
      </c>
      <c r="BM52" s="74">
        <v>1E-8</v>
      </c>
      <c r="BN52" s="73">
        <v>1E-8</v>
      </c>
      <c r="BO52" s="73">
        <v>1E-8</v>
      </c>
      <c r="BP52" s="73">
        <v>1E-8</v>
      </c>
      <c r="BQ52" s="73">
        <v>1E-8</v>
      </c>
      <c r="BR52" s="73">
        <v>1E-8</v>
      </c>
      <c r="BS52" s="73">
        <v>1E-8</v>
      </c>
      <c r="BT52" s="73">
        <v>1E-8</v>
      </c>
      <c r="BU52" s="73">
        <v>1E-8</v>
      </c>
      <c r="BV52" s="44"/>
      <c r="BW52" s="34"/>
      <c r="BX52" s="10" t="s">
        <v>283</v>
      </c>
      <c r="BY52" s="44"/>
      <c r="BZ52" s="89" t="s">
        <v>322</v>
      </c>
      <c r="CA52" s="73">
        <v>75.968224424887097</v>
      </c>
      <c r="CB52" s="74">
        <v>3.0354669077658158</v>
      </c>
      <c r="CC52" s="73">
        <v>1E-8</v>
      </c>
      <c r="CD52" s="73">
        <v>1E-8</v>
      </c>
      <c r="CE52" s="73">
        <v>1E-8</v>
      </c>
      <c r="CF52" s="73">
        <v>1E-8</v>
      </c>
      <c r="CG52" s="73">
        <v>1E-8</v>
      </c>
      <c r="CH52" s="73">
        <v>1E-8</v>
      </c>
      <c r="CI52" s="73">
        <v>1E-8</v>
      </c>
      <c r="CJ52" s="73">
        <v>1E-8</v>
      </c>
      <c r="CK52" s="44"/>
    </row>
    <row r="53" spans="1:89" x14ac:dyDescent="0.35">
      <c r="A53" s="11" t="s">
        <v>284</v>
      </c>
      <c r="B53" s="44"/>
      <c r="C53" s="90" t="s">
        <v>323</v>
      </c>
      <c r="D53" s="77">
        <v>2.3064184779358596</v>
      </c>
      <c r="E53" s="78">
        <v>6.993672121798955</v>
      </c>
      <c r="F53" s="77">
        <v>1E-8</v>
      </c>
      <c r="G53" s="77">
        <v>1E-8</v>
      </c>
      <c r="H53" s="77">
        <v>1E-8</v>
      </c>
      <c r="I53" s="77">
        <v>1E-8</v>
      </c>
      <c r="J53" s="77">
        <v>1E-8</v>
      </c>
      <c r="K53" s="77">
        <v>1E-8</v>
      </c>
      <c r="L53" s="77">
        <v>1E-8</v>
      </c>
      <c r="M53" s="77">
        <v>1E-8</v>
      </c>
      <c r="N53" s="44"/>
      <c r="O53" s="34"/>
      <c r="P53" s="11" t="s">
        <v>284</v>
      </c>
      <c r="Q53" s="44"/>
      <c r="R53" s="90" t="s">
        <v>323</v>
      </c>
      <c r="S53" s="77">
        <v>1.1018770862659453</v>
      </c>
      <c r="T53" s="78">
        <v>-0.50711739145760104</v>
      </c>
      <c r="U53" s="77">
        <v>1E-8</v>
      </c>
      <c r="V53" s="77">
        <v>1E-8</v>
      </c>
      <c r="W53" s="77">
        <v>1E-8</v>
      </c>
      <c r="X53" s="77">
        <v>1E-8</v>
      </c>
      <c r="Y53" s="77">
        <v>1E-8</v>
      </c>
      <c r="Z53" s="77">
        <v>1E-8</v>
      </c>
      <c r="AA53" s="77">
        <v>1E-8</v>
      </c>
      <c r="AB53" s="77">
        <v>1E-8</v>
      </c>
      <c r="AC53" s="44"/>
      <c r="AD53" s="34"/>
      <c r="AE53" s="11" t="s">
        <v>284</v>
      </c>
      <c r="AF53" s="44"/>
      <c r="AG53" s="90" t="s">
        <v>323</v>
      </c>
      <c r="AH53" s="77">
        <v>18.247983091256387</v>
      </c>
      <c r="AI53" s="78">
        <v>9.9812353583166313</v>
      </c>
      <c r="AJ53" s="77">
        <v>1E-8</v>
      </c>
      <c r="AK53" s="77">
        <v>1E-8</v>
      </c>
      <c r="AL53" s="77">
        <v>1E-8</v>
      </c>
      <c r="AM53" s="77">
        <v>1E-8</v>
      </c>
      <c r="AN53" s="77">
        <v>1E-8</v>
      </c>
      <c r="AO53" s="77">
        <v>1E-8</v>
      </c>
      <c r="AP53" s="77">
        <v>1E-8</v>
      </c>
      <c r="AQ53" s="77">
        <v>1E-8</v>
      </c>
      <c r="AR53" s="44"/>
      <c r="AS53" s="34"/>
      <c r="AT53" s="11" t="s">
        <v>284</v>
      </c>
      <c r="AU53" s="44"/>
      <c r="AV53" s="90" t="s">
        <v>323</v>
      </c>
      <c r="AW53" s="77">
        <v>0.62507322739037985</v>
      </c>
      <c r="AX53" s="78">
        <v>3.3124369210841387</v>
      </c>
      <c r="AY53" s="77">
        <v>1E-8</v>
      </c>
      <c r="AZ53" s="77">
        <v>1E-8</v>
      </c>
      <c r="BA53" s="77">
        <v>1E-8</v>
      </c>
      <c r="BB53" s="77">
        <v>1E-8</v>
      </c>
      <c r="BC53" s="77">
        <v>1E-8</v>
      </c>
      <c r="BD53" s="77">
        <v>1E-8</v>
      </c>
      <c r="BE53" s="77">
        <v>1E-8</v>
      </c>
      <c r="BF53" s="77">
        <v>1E-8</v>
      </c>
      <c r="BG53" s="44"/>
      <c r="BH53" s="34"/>
      <c r="BI53" s="11" t="s">
        <v>284</v>
      </c>
      <c r="BJ53" s="44"/>
      <c r="BK53" s="90" t="s">
        <v>323</v>
      </c>
      <c r="BL53" s="77">
        <v>22.492994815692867</v>
      </c>
      <c r="BM53" s="78">
        <v>1E-8</v>
      </c>
      <c r="BN53" s="77">
        <v>1E-8</v>
      </c>
      <c r="BO53" s="77">
        <v>1E-8</v>
      </c>
      <c r="BP53" s="77">
        <v>1E-8</v>
      </c>
      <c r="BQ53" s="77">
        <v>1E-8</v>
      </c>
      <c r="BR53" s="77">
        <v>1E-8</v>
      </c>
      <c r="BS53" s="77">
        <v>1E-8</v>
      </c>
      <c r="BT53" s="77">
        <v>1E-8</v>
      </c>
      <c r="BU53" s="77">
        <v>1E-8</v>
      </c>
      <c r="BV53" s="44"/>
      <c r="BW53" s="34"/>
      <c r="BX53" s="11" t="s">
        <v>284</v>
      </c>
      <c r="BY53" s="44"/>
      <c r="BZ53" s="90" t="s">
        <v>323</v>
      </c>
      <c r="CA53" s="77">
        <v>0.50472916739995144</v>
      </c>
      <c r="CB53" s="78">
        <v>1E-8</v>
      </c>
      <c r="CC53" s="77">
        <v>1E-8</v>
      </c>
      <c r="CD53" s="77">
        <v>1E-8</v>
      </c>
      <c r="CE53" s="77">
        <v>1E-8</v>
      </c>
      <c r="CF53" s="77">
        <v>1E-8</v>
      </c>
      <c r="CG53" s="77">
        <v>1E-8</v>
      </c>
      <c r="CH53" s="77">
        <v>1E-8</v>
      </c>
      <c r="CI53" s="77">
        <v>1E-8</v>
      </c>
      <c r="CJ53" s="77">
        <v>1E-8</v>
      </c>
      <c r="CK53" s="44"/>
    </row>
    <row r="54" spans="1:89" x14ac:dyDescent="0.35">
      <c r="A54" s="9" t="s">
        <v>629</v>
      </c>
      <c r="B54" s="44"/>
      <c r="C54" s="91" t="s">
        <v>324</v>
      </c>
      <c r="D54" s="79">
        <v>6.5757190125475585E-4</v>
      </c>
      <c r="E54" s="80">
        <v>3.0247774642471859</v>
      </c>
      <c r="F54" s="79">
        <v>1E-8</v>
      </c>
      <c r="G54" s="79">
        <v>1E-8</v>
      </c>
      <c r="H54" s="79">
        <v>1E-8</v>
      </c>
      <c r="I54" s="79">
        <v>1E-8</v>
      </c>
      <c r="J54" s="79">
        <v>1E-8</v>
      </c>
      <c r="K54" s="79">
        <v>1E-8</v>
      </c>
      <c r="L54" s="79">
        <v>1E-8</v>
      </c>
      <c r="M54" s="79">
        <v>1E-8</v>
      </c>
      <c r="N54" s="44"/>
      <c r="O54" s="34"/>
      <c r="P54" s="9" t="s">
        <v>629</v>
      </c>
      <c r="Q54" s="44"/>
      <c r="R54" s="91" t="s">
        <v>324</v>
      </c>
      <c r="S54" s="79">
        <v>2.318081663140396E-2</v>
      </c>
      <c r="T54" s="80">
        <v>6.2902417504688612</v>
      </c>
      <c r="U54" s="79">
        <v>1E-8</v>
      </c>
      <c r="V54" s="79">
        <v>1E-8</v>
      </c>
      <c r="W54" s="79">
        <v>1E-8</v>
      </c>
      <c r="X54" s="79">
        <v>1E-8</v>
      </c>
      <c r="Y54" s="79">
        <v>1E-8</v>
      </c>
      <c r="Z54" s="79">
        <v>1E-8</v>
      </c>
      <c r="AA54" s="79">
        <v>1E-8</v>
      </c>
      <c r="AB54" s="79">
        <v>1E-8</v>
      </c>
      <c r="AC54" s="44"/>
      <c r="AD54" s="34"/>
      <c r="AE54" s="9" t="s">
        <v>629</v>
      </c>
      <c r="AF54" s="44"/>
      <c r="AG54" s="91" t="s">
        <v>324</v>
      </c>
      <c r="AH54" s="79">
        <v>1E-8</v>
      </c>
      <c r="AI54" s="80">
        <v>1E-8</v>
      </c>
      <c r="AJ54" s="79">
        <v>1E-8</v>
      </c>
      <c r="AK54" s="79">
        <v>1E-8</v>
      </c>
      <c r="AL54" s="79">
        <v>1E-8</v>
      </c>
      <c r="AM54" s="79">
        <v>1E-8</v>
      </c>
      <c r="AN54" s="79">
        <v>1E-8</v>
      </c>
      <c r="AO54" s="79">
        <v>1E-8</v>
      </c>
      <c r="AP54" s="79">
        <v>1E-8</v>
      </c>
      <c r="AQ54" s="79">
        <v>1E-8</v>
      </c>
      <c r="AR54" s="44"/>
      <c r="AS54" s="34"/>
      <c r="AT54" s="9" t="s">
        <v>629</v>
      </c>
      <c r="AU54" s="44"/>
      <c r="AV54" s="91" t="s">
        <v>324</v>
      </c>
      <c r="AW54" s="79">
        <v>0.10179193578303575</v>
      </c>
      <c r="AX54" s="80">
        <v>6.3722013542911515</v>
      </c>
      <c r="AY54" s="79">
        <v>1E-8</v>
      </c>
      <c r="AZ54" s="79">
        <v>1E-8</v>
      </c>
      <c r="BA54" s="79">
        <v>1E-8</v>
      </c>
      <c r="BB54" s="79">
        <v>1E-8</v>
      </c>
      <c r="BC54" s="79">
        <v>1E-8</v>
      </c>
      <c r="BD54" s="79">
        <v>1E-8</v>
      </c>
      <c r="BE54" s="79">
        <v>1E-8</v>
      </c>
      <c r="BF54" s="79">
        <v>1E-8</v>
      </c>
      <c r="BG54" s="44"/>
      <c r="BH54" s="34"/>
      <c r="BI54" s="9" t="s">
        <v>629</v>
      </c>
      <c r="BJ54" s="44"/>
      <c r="BK54" s="91" t="s">
        <v>324</v>
      </c>
      <c r="BL54" s="79">
        <v>1E-8</v>
      </c>
      <c r="BM54" s="80">
        <v>1E-8</v>
      </c>
      <c r="BN54" s="79">
        <v>1E-8</v>
      </c>
      <c r="BO54" s="79">
        <v>1E-8</v>
      </c>
      <c r="BP54" s="79">
        <v>1E-8</v>
      </c>
      <c r="BQ54" s="79">
        <v>1E-8</v>
      </c>
      <c r="BR54" s="79">
        <v>1E-8</v>
      </c>
      <c r="BS54" s="79">
        <v>1E-8</v>
      </c>
      <c r="BT54" s="79">
        <v>1E-8</v>
      </c>
      <c r="BU54" s="79">
        <v>1E-8</v>
      </c>
      <c r="BV54" s="44"/>
      <c r="BW54" s="34"/>
      <c r="BX54" s="9" t="s">
        <v>629</v>
      </c>
      <c r="BY54" s="44"/>
      <c r="BZ54" s="91" t="s">
        <v>324</v>
      </c>
      <c r="CA54" s="79">
        <v>0.12518626006378494</v>
      </c>
      <c r="CB54" s="80">
        <v>1E-8</v>
      </c>
      <c r="CC54" s="79">
        <v>1E-8</v>
      </c>
      <c r="CD54" s="79">
        <v>1E-8</v>
      </c>
      <c r="CE54" s="79">
        <v>1E-8</v>
      </c>
      <c r="CF54" s="79">
        <v>1E-8</v>
      </c>
      <c r="CG54" s="79">
        <v>1E-8</v>
      </c>
      <c r="CH54" s="79">
        <v>1E-8</v>
      </c>
      <c r="CI54" s="79">
        <v>1E-8</v>
      </c>
      <c r="CJ54" s="79">
        <v>1E-8</v>
      </c>
      <c r="CK54" s="44"/>
    </row>
    <row r="55" spans="1:89" x14ac:dyDescent="0.35">
      <c r="A55" s="9" t="s">
        <v>630</v>
      </c>
      <c r="B55" s="44"/>
      <c r="C55" s="91" t="s">
        <v>545</v>
      </c>
      <c r="D55" s="79">
        <v>0.86363092111901507</v>
      </c>
      <c r="E55" s="80">
        <v>7.6071452300749076</v>
      </c>
      <c r="F55" s="79">
        <v>1E-8</v>
      </c>
      <c r="G55" s="79">
        <v>1E-8</v>
      </c>
      <c r="H55" s="79">
        <v>1E-8</v>
      </c>
      <c r="I55" s="79">
        <v>1E-8</v>
      </c>
      <c r="J55" s="79">
        <v>1E-8</v>
      </c>
      <c r="K55" s="79">
        <v>1E-8</v>
      </c>
      <c r="L55" s="79">
        <v>1E-8</v>
      </c>
      <c r="M55" s="79">
        <v>1E-8</v>
      </c>
      <c r="N55" s="44"/>
      <c r="O55" s="34"/>
      <c r="P55" s="9" t="s">
        <v>630</v>
      </c>
      <c r="Q55" s="44"/>
      <c r="R55" s="91" t="s">
        <v>545</v>
      </c>
      <c r="S55" s="79">
        <v>1E-8</v>
      </c>
      <c r="T55" s="80">
        <v>1E-8</v>
      </c>
      <c r="U55" s="79">
        <v>1E-8</v>
      </c>
      <c r="V55" s="79">
        <v>1E-8</v>
      </c>
      <c r="W55" s="79">
        <v>1E-8</v>
      </c>
      <c r="X55" s="79">
        <v>1E-8</v>
      </c>
      <c r="Y55" s="79">
        <v>1E-8</v>
      </c>
      <c r="Z55" s="79">
        <v>1E-8</v>
      </c>
      <c r="AA55" s="79">
        <v>1E-8</v>
      </c>
      <c r="AB55" s="79">
        <v>1E-8</v>
      </c>
      <c r="AC55" s="44"/>
      <c r="AD55" s="34"/>
      <c r="AE55" s="9" t="s">
        <v>630</v>
      </c>
      <c r="AF55" s="44"/>
      <c r="AG55" s="91" t="s">
        <v>545</v>
      </c>
      <c r="AH55" s="79">
        <v>9.7856475361515045</v>
      </c>
      <c r="AI55" s="80">
        <v>7.6071452300749964</v>
      </c>
      <c r="AJ55" s="79">
        <v>1E-8</v>
      </c>
      <c r="AK55" s="79">
        <v>1E-8</v>
      </c>
      <c r="AL55" s="79">
        <v>1E-8</v>
      </c>
      <c r="AM55" s="79">
        <v>1E-8</v>
      </c>
      <c r="AN55" s="79">
        <v>1E-8</v>
      </c>
      <c r="AO55" s="79">
        <v>1E-8</v>
      </c>
      <c r="AP55" s="79">
        <v>1E-8</v>
      </c>
      <c r="AQ55" s="79">
        <v>1E-8</v>
      </c>
      <c r="AR55" s="44"/>
      <c r="AS55" s="34"/>
      <c r="AT55" s="9" t="s">
        <v>630</v>
      </c>
      <c r="AU55" s="44"/>
      <c r="AV55" s="91" t="s">
        <v>545</v>
      </c>
      <c r="AW55" s="79">
        <v>1E-8</v>
      </c>
      <c r="AX55" s="80">
        <v>1E-8</v>
      </c>
      <c r="AY55" s="79">
        <v>1E-8</v>
      </c>
      <c r="AZ55" s="79">
        <v>1E-8</v>
      </c>
      <c r="BA55" s="79">
        <v>1E-8</v>
      </c>
      <c r="BB55" s="79">
        <v>1E-8</v>
      </c>
      <c r="BC55" s="79">
        <v>1E-8</v>
      </c>
      <c r="BD55" s="79">
        <v>1E-8</v>
      </c>
      <c r="BE55" s="79">
        <v>1E-8</v>
      </c>
      <c r="BF55" s="79">
        <v>1E-8</v>
      </c>
      <c r="BG55" s="44"/>
      <c r="BH55" s="34"/>
      <c r="BI55" s="9" t="s">
        <v>630</v>
      </c>
      <c r="BJ55" s="44"/>
      <c r="BK55" s="91" t="s">
        <v>545</v>
      </c>
      <c r="BL55" s="79">
        <v>9.718866321964013</v>
      </c>
      <c r="BM55" s="80">
        <v>1E-8</v>
      </c>
      <c r="BN55" s="79">
        <v>1E-8</v>
      </c>
      <c r="BO55" s="79">
        <v>1E-8</v>
      </c>
      <c r="BP55" s="79">
        <v>1E-8</v>
      </c>
      <c r="BQ55" s="79">
        <v>1E-8</v>
      </c>
      <c r="BR55" s="79">
        <v>1E-8</v>
      </c>
      <c r="BS55" s="79">
        <v>1E-8</v>
      </c>
      <c r="BT55" s="79">
        <v>1E-8</v>
      </c>
      <c r="BU55" s="79">
        <v>1E-8</v>
      </c>
      <c r="BV55" s="44"/>
      <c r="BW55" s="34"/>
      <c r="BX55" s="9" t="s">
        <v>630</v>
      </c>
      <c r="BY55" s="44"/>
      <c r="BZ55" s="91" t="s">
        <v>545</v>
      </c>
      <c r="CA55" s="79">
        <v>1E-8</v>
      </c>
      <c r="CB55" s="80">
        <v>1E-8</v>
      </c>
      <c r="CC55" s="79">
        <v>1E-8</v>
      </c>
      <c r="CD55" s="79">
        <v>1E-8</v>
      </c>
      <c r="CE55" s="79">
        <v>1E-8</v>
      </c>
      <c r="CF55" s="79">
        <v>1E-8</v>
      </c>
      <c r="CG55" s="79">
        <v>1E-8</v>
      </c>
      <c r="CH55" s="79">
        <v>1E-8</v>
      </c>
      <c r="CI55" s="79">
        <v>1E-8</v>
      </c>
      <c r="CJ55" s="79">
        <v>1E-8</v>
      </c>
      <c r="CK55" s="44"/>
    </row>
    <row r="56" spans="1:89" x14ac:dyDescent="0.35">
      <c r="A56" s="9" t="s">
        <v>631</v>
      </c>
      <c r="B56" s="44"/>
      <c r="C56" s="91" t="s">
        <v>325</v>
      </c>
      <c r="D56" s="81">
        <v>1.44212998491559</v>
      </c>
      <c r="E56" s="82">
        <v>6.6280986176830314</v>
      </c>
      <c r="F56" s="81">
        <v>1E-8</v>
      </c>
      <c r="G56" s="81">
        <v>1E-8</v>
      </c>
      <c r="H56" s="81">
        <v>1E-8</v>
      </c>
      <c r="I56" s="81">
        <v>1E-8</v>
      </c>
      <c r="J56" s="81">
        <v>1E-8</v>
      </c>
      <c r="K56" s="81">
        <v>1E-8</v>
      </c>
      <c r="L56" s="81">
        <v>1E-8</v>
      </c>
      <c r="M56" s="81">
        <v>1E-8</v>
      </c>
      <c r="N56" s="44"/>
      <c r="O56" s="34"/>
      <c r="P56" s="9" t="s">
        <v>631</v>
      </c>
      <c r="Q56" s="44"/>
      <c r="R56" s="91" t="s">
        <v>325</v>
      </c>
      <c r="S56" s="81">
        <v>1.0786962696345412</v>
      </c>
      <c r="T56" s="82">
        <v>-0.59289079325046679</v>
      </c>
      <c r="U56" s="81">
        <v>1E-8</v>
      </c>
      <c r="V56" s="81">
        <v>1E-8</v>
      </c>
      <c r="W56" s="81">
        <v>1E-8</v>
      </c>
      <c r="X56" s="81">
        <v>1E-8</v>
      </c>
      <c r="Y56" s="81">
        <v>1E-8</v>
      </c>
      <c r="Z56" s="81">
        <v>1E-8</v>
      </c>
      <c r="AA56" s="81">
        <v>1E-8</v>
      </c>
      <c r="AB56" s="81">
        <v>1E-8</v>
      </c>
      <c r="AC56" s="44"/>
      <c r="AD56" s="34"/>
      <c r="AE56" s="9" t="s">
        <v>631</v>
      </c>
      <c r="AF56" s="44"/>
      <c r="AG56" s="91" t="s">
        <v>325</v>
      </c>
      <c r="AH56" s="81">
        <v>8.4623355551048824</v>
      </c>
      <c r="AI56" s="82">
        <v>12.72657783058655</v>
      </c>
      <c r="AJ56" s="81">
        <v>1E-8</v>
      </c>
      <c r="AK56" s="81">
        <v>1E-8</v>
      </c>
      <c r="AL56" s="81">
        <v>1E-8</v>
      </c>
      <c r="AM56" s="81">
        <v>1E-8</v>
      </c>
      <c r="AN56" s="81">
        <v>1E-8</v>
      </c>
      <c r="AO56" s="81">
        <v>1E-8</v>
      </c>
      <c r="AP56" s="81">
        <v>1E-8</v>
      </c>
      <c r="AQ56" s="81">
        <v>1E-8</v>
      </c>
      <c r="AR56" s="44"/>
      <c r="AS56" s="34"/>
      <c r="AT56" s="9" t="s">
        <v>631</v>
      </c>
      <c r="AU56" s="44"/>
      <c r="AV56" s="91" t="s">
        <v>325</v>
      </c>
      <c r="AW56" s="81">
        <v>0.52328129160734405</v>
      </c>
      <c r="AX56" s="82">
        <v>2.9582905311663188</v>
      </c>
      <c r="AY56" s="81">
        <v>1E-8</v>
      </c>
      <c r="AZ56" s="81">
        <v>1E-8</v>
      </c>
      <c r="BA56" s="81">
        <v>1E-8</v>
      </c>
      <c r="BB56" s="81">
        <v>1E-8</v>
      </c>
      <c r="BC56" s="81">
        <v>1E-8</v>
      </c>
      <c r="BD56" s="81">
        <v>1E-8</v>
      </c>
      <c r="BE56" s="81">
        <v>1E-8</v>
      </c>
      <c r="BF56" s="81">
        <v>1E-8</v>
      </c>
      <c r="BG56" s="44"/>
      <c r="BH56" s="34"/>
      <c r="BI56" s="9" t="s">
        <v>631</v>
      </c>
      <c r="BJ56" s="44"/>
      <c r="BK56" s="91" t="s">
        <v>325</v>
      </c>
      <c r="BL56" s="81">
        <v>12.774128493728853</v>
      </c>
      <c r="BM56" s="82">
        <v>1E-8</v>
      </c>
      <c r="BN56" s="81">
        <v>1E-8</v>
      </c>
      <c r="BO56" s="81">
        <v>1E-8</v>
      </c>
      <c r="BP56" s="81">
        <v>1E-8</v>
      </c>
      <c r="BQ56" s="81">
        <v>1E-8</v>
      </c>
      <c r="BR56" s="81">
        <v>1E-8</v>
      </c>
      <c r="BS56" s="81">
        <v>1E-8</v>
      </c>
      <c r="BT56" s="81">
        <v>1E-8</v>
      </c>
      <c r="BU56" s="81">
        <v>1E-8</v>
      </c>
      <c r="BV56" s="44"/>
      <c r="BW56" s="34"/>
      <c r="BX56" s="9" t="s">
        <v>631</v>
      </c>
      <c r="BY56" s="44"/>
      <c r="BZ56" s="91" t="s">
        <v>325</v>
      </c>
      <c r="CA56" s="81">
        <v>0.37954290733616652</v>
      </c>
      <c r="CB56" s="82">
        <v>1E-8</v>
      </c>
      <c r="CC56" s="81">
        <v>1E-8</v>
      </c>
      <c r="CD56" s="81">
        <v>1E-8</v>
      </c>
      <c r="CE56" s="81">
        <v>1E-8</v>
      </c>
      <c r="CF56" s="81">
        <v>1E-8</v>
      </c>
      <c r="CG56" s="81">
        <v>1E-8</v>
      </c>
      <c r="CH56" s="81">
        <v>1E-8</v>
      </c>
      <c r="CI56" s="81">
        <v>1E-8</v>
      </c>
      <c r="CJ56" s="81">
        <v>1E-8</v>
      </c>
      <c r="CK56" s="44"/>
    </row>
    <row r="57" spans="1:89" x14ac:dyDescent="0.35">
      <c r="A57" s="11" t="s">
        <v>285</v>
      </c>
      <c r="B57" s="44"/>
      <c r="C57" s="90" t="s">
        <v>326</v>
      </c>
      <c r="D57" s="77">
        <v>13.39461703538297</v>
      </c>
      <c r="E57" s="78">
        <v>4.2880430781671253</v>
      </c>
      <c r="F57" s="77">
        <v>1E-8</v>
      </c>
      <c r="G57" s="77">
        <v>1E-8</v>
      </c>
      <c r="H57" s="77">
        <v>1E-8</v>
      </c>
      <c r="I57" s="77">
        <v>1E-8</v>
      </c>
      <c r="J57" s="77">
        <v>1E-8</v>
      </c>
      <c r="K57" s="77">
        <v>1E-8</v>
      </c>
      <c r="L57" s="77">
        <v>1E-8</v>
      </c>
      <c r="M57" s="77">
        <v>1E-8</v>
      </c>
      <c r="N57" s="44"/>
      <c r="O57" s="34"/>
      <c r="P57" s="11" t="s">
        <v>285</v>
      </c>
      <c r="Q57" s="44"/>
      <c r="R57" s="90" t="s">
        <v>326</v>
      </c>
      <c r="S57" s="77">
        <v>30.268951446307486</v>
      </c>
      <c r="T57" s="78">
        <v>4.8311998787897714</v>
      </c>
      <c r="U57" s="77">
        <v>1E-8</v>
      </c>
      <c r="V57" s="77">
        <v>1E-8</v>
      </c>
      <c r="W57" s="77">
        <v>1E-8</v>
      </c>
      <c r="X57" s="77">
        <v>1E-8</v>
      </c>
      <c r="Y57" s="77">
        <v>1E-8</v>
      </c>
      <c r="Z57" s="77">
        <v>1E-8</v>
      </c>
      <c r="AA57" s="77">
        <v>1E-8</v>
      </c>
      <c r="AB57" s="77">
        <v>1E-8</v>
      </c>
      <c r="AC57" s="44"/>
      <c r="AD57" s="34"/>
      <c r="AE57" s="11" t="s">
        <v>285</v>
      </c>
      <c r="AF57" s="44"/>
      <c r="AG57" s="90" t="s">
        <v>326</v>
      </c>
      <c r="AH57" s="77">
        <v>31.530404537078837</v>
      </c>
      <c r="AI57" s="78">
        <v>8.0398262157353351</v>
      </c>
      <c r="AJ57" s="77">
        <v>1E-8</v>
      </c>
      <c r="AK57" s="77">
        <v>1E-8</v>
      </c>
      <c r="AL57" s="77">
        <v>1E-8</v>
      </c>
      <c r="AM57" s="77">
        <v>1E-8</v>
      </c>
      <c r="AN57" s="77">
        <v>1E-8</v>
      </c>
      <c r="AO57" s="77">
        <v>1E-8</v>
      </c>
      <c r="AP57" s="77">
        <v>1E-8</v>
      </c>
      <c r="AQ57" s="77">
        <v>1E-8</v>
      </c>
      <c r="AR57" s="44"/>
      <c r="AS57" s="34"/>
      <c r="AT57" s="11" t="s">
        <v>285</v>
      </c>
      <c r="AU57" s="44"/>
      <c r="AV57" s="90" t="s">
        <v>326</v>
      </c>
      <c r="AW57" s="77">
        <v>79.335170262557497</v>
      </c>
      <c r="AX57" s="78">
        <v>6.5310980242399008</v>
      </c>
      <c r="AY57" s="77">
        <v>1E-8</v>
      </c>
      <c r="AZ57" s="77">
        <v>1E-8</v>
      </c>
      <c r="BA57" s="77">
        <v>1E-8</v>
      </c>
      <c r="BB57" s="77">
        <v>1E-8</v>
      </c>
      <c r="BC57" s="77">
        <v>1E-8</v>
      </c>
      <c r="BD57" s="77">
        <v>1E-8</v>
      </c>
      <c r="BE57" s="77">
        <v>1E-8</v>
      </c>
      <c r="BF57" s="77">
        <v>1E-8</v>
      </c>
      <c r="BG57" s="44"/>
      <c r="BH57" s="34"/>
      <c r="BI57" s="11" t="s">
        <v>285</v>
      </c>
      <c r="BJ57" s="44"/>
      <c r="BK57" s="90" t="s">
        <v>326</v>
      </c>
      <c r="BL57" s="77">
        <v>32.691237494616622</v>
      </c>
      <c r="BM57" s="78">
        <v>1E-8</v>
      </c>
      <c r="BN57" s="77">
        <v>1E-8</v>
      </c>
      <c r="BO57" s="77">
        <v>1E-8</v>
      </c>
      <c r="BP57" s="77">
        <v>1E-8</v>
      </c>
      <c r="BQ57" s="77">
        <v>1E-8</v>
      </c>
      <c r="BR57" s="77">
        <v>1E-8</v>
      </c>
      <c r="BS57" s="77">
        <v>1E-8</v>
      </c>
      <c r="BT57" s="77">
        <v>1E-8</v>
      </c>
      <c r="BU57" s="77">
        <v>1E-8</v>
      </c>
      <c r="BV57" s="44"/>
      <c r="BW57" s="34"/>
      <c r="BX57" s="11" t="s">
        <v>285</v>
      </c>
      <c r="BY57" s="44"/>
      <c r="BZ57" s="90" t="s">
        <v>326</v>
      </c>
      <c r="CA57" s="77">
        <v>74.780576863815526</v>
      </c>
      <c r="CB57" s="78">
        <v>3.0718943048600789</v>
      </c>
      <c r="CC57" s="77">
        <v>1E-8</v>
      </c>
      <c r="CD57" s="77">
        <v>1E-8</v>
      </c>
      <c r="CE57" s="77">
        <v>1E-8</v>
      </c>
      <c r="CF57" s="77">
        <v>1E-8</v>
      </c>
      <c r="CG57" s="77">
        <v>1E-8</v>
      </c>
      <c r="CH57" s="77">
        <v>1E-8</v>
      </c>
      <c r="CI57" s="77">
        <v>1E-8</v>
      </c>
      <c r="CJ57" s="77">
        <v>1E-8</v>
      </c>
      <c r="CK57" s="44"/>
    </row>
    <row r="58" spans="1:89" x14ac:dyDescent="0.35">
      <c r="A58" s="9" t="s">
        <v>364</v>
      </c>
      <c r="B58" s="44"/>
      <c r="C58" s="91" t="s">
        <v>327</v>
      </c>
      <c r="D58" s="79">
        <v>6.017932931294955</v>
      </c>
      <c r="E58" s="80">
        <v>2.5659393147153153</v>
      </c>
      <c r="F58" s="79">
        <v>1E-8</v>
      </c>
      <c r="G58" s="79">
        <v>1E-8</v>
      </c>
      <c r="H58" s="79">
        <v>1E-8</v>
      </c>
      <c r="I58" s="79">
        <v>1E-8</v>
      </c>
      <c r="J58" s="79">
        <v>1E-8</v>
      </c>
      <c r="K58" s="79">
        <v>1E-8</v>
      </c>
      <c r="L58" s="79">
        <v>1E-8</v>
      </c>
      <c r="M58" s="79">
        <v>1E-8</v>
      </c>
      <c r="N58" s="44"/>
      <c r="O58" s="34"/>
      <c r="P58" s="9" t="s">
        <v>364</v>
      </c>
      <c r="Q58" s="44"/>
      <c r="R58" s="91" t="s">
        <v>327</v>
      </c>
      <c r="S58" s="79">
        <v>6.4797955299607439</v>
      </c>
      <c r="T58" s="80">
        <v>3.5469476537603351</v>
      </c>
      <c r="U58" s="79">
        <v>1E-8</v>
      </c>
      <c r="V58" s="79">
        <v>1E-8</v>
      </c>
      <c r="W58" s="79">
        <v>1E-8</v>
      </c>
      <c r="X58" s="79">
        <v>1E-8</v>
      </c>
      <c r="Y58" s="79">
        <v>1E-8</v>
      </c>
      <c r="Z58" s="79">
        <v>1E-8</v>
      </c>
      <c r="AA58" s="79">
        <v>1E-8</v>
      </c>
      <c r="AB58" s="79">
        <v>1E-8</v>
      </c>
      <c r="AC58" s="44"/>
      <c r="AD58" s="34"/>
      <c r="AE58" s="9" t="s">
        <v>364</v>
      </c>
      <c r="AF58" s="44"/>
      <c r="AG58" s="91" t="s">
        <v>327</v>
      </c>
      <c r="AH58" s="79">
        <v>16.381927482571804</v>
      </c>
      <c r="AI58" s="80">
        <v>7.1535063432964341</v>
      </c>
      <c r="AJ58" s="79">
        <v>1E-8</v>
      </c>
      <c r="AK58" s="79">
        <v>1E-8</v>
      </c>
      <c r="AL58" s="79">
        <v>1E-8</v>
      </c>
      <c r="AM58" s="79">
        <v>1E-8</v>
      </c>
      <c r="AN58" s="79">
        <v>1E-8</v>
      </c>
      <c r="AO58" s="79">
        <v>1E-8</v>
      </c>
      <c r="AP58" s="79">
        <v>1E-8</v>
      </c>
      <c r="AQ58" s="79">
        <v>1E-8</v>
      </c>
      <c r="AR58" s="44"/>
      <c r="AS58" s="34"/>
      <c r="AT58" s="9" t="s">
        <v>364</v>
      </c>
      <c r="AU58" s="44"/>
      <c r="AV58" s="91" t="s">
        <v>327</v>
      </c>
      <c r="AW58" s="79">
        <v>10.559804268139899</v>
      </c>
      <c r="AX58" s="80">
        <v>6.086315553470989</v>
      </c>
      <c r="AY58" s="79">
        <v>1E-8</v>
      </c>
      <c r="AZ58" s="79">
        <v>1E-8</v>
      </c>
      <c r="BA58" s="79">
        <v>1E-8</v>
      </c>
      <c r="BB58" s="79">
        <v>1E-8</v>
      </c>
      <c r="BC58" s="79">
        <v>1E-8</v>
      </c>
      <c r="BD58" s="79">
        <v>1E-8</v>
      </c>
      <c r="BE58" s="79">
        <v>1E-8</v>
      </c>
      <c r="BF58" s="79">
        <v>1E-8</v>
      </c>
      <c r="BG58" s="44"/>
      <c r="BH58" s="34"/>
      <c r="BI58" s="9" t="s">
        <v>364</v>
      </c>
      <c r="BJ58" s="44"/>
      <c r="BK58" s="91" t="s">
        <v>327</v>
      </c>
      <c r="BL58" s="79">
        <v>15.520582925269258</v>
      </c>
      <c r="BM58" s="80">
        <v>1E-8</v>
      </c>
      <c r="BN58" s="79">
        <v>1E-8</v>
      </c>
      <c r="BO58" s="79">
        <v>1E-8</v>
      </c>
      <c r="BP58" s="79">
        <v>1E-8</v>
      </c>
      <c r="BQ58" s="79">
        <v>1E-8</v>
      </c>
      <c r="BR58" s="79">
        <v>1E-8</v>
      </c>
      <c r="BS58" s="79">
        <v>1E-8</v>
      </c>
      <c r="BT58" s="79">
        <v>1E-8</v>
      </c>
      <c r="BU58" s="79">
        <v>1E-8</v>
      </c>
      <c r="BV58" s="44"/>
      <c r="BW58" s="34"/>
      <c r="BX58" s="9" t="s">
        <v>364</v>
      </c>
      <c r="BY58" s="44"/>
      <c r="BZ58" s="91" t="s">
        <v>327</v>
      </c>
      <c r="CA58" s="79">
        <v>11.50736133900995</v>
      </c>
      <c r="CB58" s="80">
        <v>1E-8</v>
      </c>
      <c r="CC58" s="79">
        <v>1E-8</v>
      </c>
      <c r="CD58" s="79">
        <v>1E-8</v>
      </c>
      <c r="CE58" s="79">
        <v>1E-8</v>
      </c>
      <c r="CF58" s="79">
        <v>1E-8</v>
      </c>
      <c r="CG58" s="79">
        <v>1E-8</v>
      </c>
      <c r="CH58" s="79">
        <v>1E-8</v>
      </c>
      <c r="CI58" s="79">
        <v>1E-8</v>
      </c>
      <c r="CJ58" s="79">
        <v>1E-8</v>
      </c>
      <c r="CK58" s="44"/>
    </row>
    <row r="59" spans="1:89" x14ac:dyDescent="0.35">
      <c r="A59" s="70" t="s">
        <v>632</v>
      </c>
      <c r="B59" s="44"/>
      <c r="C59" s="93" t="s">
        <v>328</v>
      </c>
      <c r="D59" s="85">
        <v>0.85918423248074682</v>
      </c>
      <c r="E59" s="86">
        <v>-0.82173668836178493</v>
      </c>
      <c r="F59" s="85">
        <v>1E-8</v>
      </c>
      <c r="G59" s="85">
        <v>1E-8</v>
      </c>
      <c r="H59" s="85">
        <v>1E-8</v>
      </c>
      <c r="I59" s="85">
        <v>1E-8</v>
      </c>
      <c r="J59" s="85">
        <v>1E-8</v>
      </c>
      <c r="K59" s="85">
        <v>1E-8</v>
      </c>
      <c r="L59" s="85">
        <v>1E-8</v>
      </c>
      <c r="M59" s="85">
        <v>1E-8</v>
      </c>
      <c r="N59" s="44"/>
      <c r="O59" s="34"/>
      <c r="P59" s="70" t="s">
        <v>632</v>
      </c>
      <c r="Q59" s="44"/>
      <c r="R59" s="93" t="s">
        <v>328</v>
      </c>
      <c r="S59" s="85">
        <v>0.71233373049860194</v>
      </c>
      <c r="T59" s="86">
        <v>-0.91602258876893883</v>
      </c>
      <c r="U59" s="85">
        <v>1E-8</v>
      </c>
      <c r="V59" s="85">
        <v>1E-8</v>
      </c>
      <c r="W59" s="85">
        <v>1E-8</v>
      </c>
      <c r="X59" s="85">
        <v>1E-8</v>
      </c>
      <c r="Y59" s="85">
        <v>1E-8</v>
      </c>
      <c r="Z59" s="85">
        <v>1E-8</v>
      </c>
      <c r="AA59" s="85">
        <v>1E-8</v>
      </c>
      <c r="AB59" s="85">
        <v>1E-8</v>
      </c>
      <c r="AC59" s="44"/>
      <c r="AD59" s="34"/>
      <c r="AE59" s="70" t="s">
        <v>632</v>
      </c>
      <c r="AF59" s="44"/>
      <c r="AG59" s="93" t="s">
        <v>328</v>
      </c>
      <c r="AH59" s="85">
        <v>1E-8</v>
      </c>
      <c r="AI59" s="86">
        <v>1E-8</v>
      </c>
      <c r="AJ59" s="85">
        <v>1E-8</v>
      </c>
      <c r="AK59" s="85">
        <v>1E-8</v>
      </c>
      <c r="AL59" s="85">
        <v>1E-8</v>
      </c>
      <c r="AM59" s="85">
        <v>1E-8</v>
      </c>
      <c r="AN59" s="85">
        <v>1E-8</v>
      </c>
      <c r="AO59" s="85">
        <v>1E-8</v>
      </c>
      <c r="AP59" s="85">
        <v>1E-8</v>
      </c>
      <c r="AQ59" s="85">
        <v>1E-8</v>
      </c>
      <c r="AR59" s="44"/>
      <c r="AS59" s="34"/>
      <c r="AT59" s="70" t="s">
        <v>632</v>
      </c>
      <c r="AU59" s="44"/>
      <c r="AV59" s="93" t="s">
        <v>328</v>
      </c>
      <c r="AW59" s="85">
        <v>1E-8</v>
      </c>
      <c r="AX59" s="86">
        <v>1E-8</v>
      </c>
      <c r="AY59" s="85">
        <v>1E-8</v>
      </c>
      <c r="AZ59" s="85">
        <v>1E-8</v>
      </c>
      <c r="BA59" s="85">
        <v>1E-8</v>
      </c>
      <c r="BB59" s="85">
        <v>1E-8</v>
      </c>
      <c r="BC59" s="85">
        <v>1E-8</v>
      </c>
      <c r="BD59" s="85">
        <v>1E-8</v>
      </c>
      <c r="BE59" s="85">
        <v>1E-8</v>
      </c>
      <c r="BF59" s="85">
        <v>1E-8</v>
      </c>
      <c r="BG59" s="44"/>
      <c r="BH59" s="34"/>
      <c r="BI59" s="70" t="s">
        <v>632</v>
      </c>
      <c r="BJ59" s="44"/>
      <c r="BK59" s="93" t="s">
        <v>328</v>
      </c>
      <c r="BL59" s="85">
        <v>1E-8</v>
      </c>
      <c r="BM59" s="86">
        <v>1E-8</v>
      </c>
      <c r="BN59" s="85">
        <v>1E-8</v>
      </c>
      <c r="BO59" s="85">
        <v>1E-8</v>
      </c>
      <c r="BP59" s="85">
        <v>1E-8</v>
      </c>
      <c r="BQ59" s="85">
        <v>1E-8</v>
      </c>
      <c r="BR59" s="85">
        <v>1E-8</v>
      </c>
      <c r="BS59" s="85">
        <v>1E-8</v>
      </c>
      <c r="BT59" s="85">
        <v>1E-8</v>
      </c>
      <c r="BU59" s="85">
        <v>1E-8</v>
      </c>
      <c r="BV59" s="44"/>
      <c r="BW59" s="34"/>
      <c r="BX59" s="70" t="s">
        <v>632</v>
      </c>
      <c r="BY59" s="44"/>
      <c r="BZ59" s="93" t="s">
        <v>328</v>
      </c>
      <c r="CA59" s="85">
        <v>1E-8</v>
      </c>
      <c r="CB59" s="86">
        <v>1E-8</v>
      </c>
      <c r="CC59" s="85">
        <v>1E-8</v>
      </c>
      <c r="CD59" s="85">
        <v>1E-8</v>
      </c>
      <c r="CE59" s="85">
        <v>1E-8</v>
      </c>
      <c r="CF59" s="85">
        <v>1E-8</v>
      </c>
      <c r="CG59" s="85">
        <v>1E-8</v>
      </c>
      <c r="CH59" s="85">
        <v>1E-8</v>
      </c>
      <c r="CI59" s="85">
        <v>1E-8</v>
      </c>
      <c r="CJ59" s="85">
        <v>1E-8</v>
      </c>
      <c r="CK59" s="44"/>
    </row>
    <row r="60" spans="1:89" x14ac:dyDescent="0.35">
      <c r="A60" s="70" t="s">
        <v>633</v>
      </c>
      <c r="B60" s="44"/>
      <c r="C60" s="93" t="s">
        <v>329</v>
      </c>
      <c r="D60" s="85">
        <v>6.7231051649697775E-3</v>
      </c>
      <c r="E60" s="86">
        <v>7.1913826173672701</v>
      </c>
      <c r="F60" s="85">
        <v>1E-8</v>
      </c>
      <c r="G60" s="85">
        <v>1E-8</v>
      </c>
      <c r="H60" s="85">
        <v>1E-8</v>
      </c>
      <c r="I60" s="85">
        <v>1E-8</v>
      </c>
      <c r="J60" s="85">
        <v>1E-8</v>
      </c>
      <c r="K60" s="85">
        <v>1E-8</v>
      </c>
      <c r="L60" s="85">
        <v>1E-8</v>
      </c>
      <c r="M60" s="85">
        <v>1E-8</v>
      </c>
      <c r="N60" s="44"/>
      <c r="O60" s="34"/>
      <c r="P60" s="70" t="s">
        <v>633</v>
      </c>
      <c r="Q60" s="44"/>
      <c r="R60" s="93" t="s">
        <v>329</v>
      </c>
      <c r="S60" s="85">
        <v>0.20163001234580355</v>
      </c>
      <c r="T60" s="86">
        <v>6.0216413392491175</v>
      </c>
      <c r="U60" s="85">
        <v>1E-8</v>
      </c>
      <c r="V60" s="85">
        <v>1E-8</v>
      </c>
      <c r="W60" s="85">
        <v>1E-8</v>
      </c>
      <c r="X60" s="85">
        <v>1E-8</v>
      </c>
      <c r="Y60" s="85">
        <v>1E-8</v>
      </c>
      <c r="Z60" s="85">
        <v>1E-8</v>
      </c>
      <c r="AA60" s="85">
        <v>1E-8</v>
      </c>
      <c r="AB60" s="85">
        <v>1E-8</v>
      </c>
      <c r="AC60" s="44"/>
      <c r="AD60" s="34"/>
      <c r="AE60" s="70" t="s">
        <v>633</v>
      </c>
      <c r="AF60" s="44"/>
      <c r="AG60" s="93" t="s">
        <v>329</v>
      </c>
      <c r="AH60" s="85">
        <v>7.1606881827754584E-2</v>
      </c>
      <c r="AI60" s="86">
        <v>7.1202632651699016</v>
      </c>
      <c r="AJ60" s="85">
        <v>1E-8</v>
      </c>
      <c r="AK60" s="85">
        <v>1E-8</v>
      </c>
      <c r="AL60" s="85">
        <v>1E-8</v>
      </c>
      <c r="AM60" s="85">
        <v>1E-8</v>
      </c>
      <c r="AN60" s="85">
        <v>1E-8</v>
      </c>
      <c r="AO60" s="85">
        <v>1E-8</v>
      </c>
      <c r="AP60" s="85">
        <v>1E-8</v>
      </c>
      <c r="AQ60" s="85">
        <v>1E-8</v>
      </c>
      <c r="AR60" s="44"/>
      <c r="AS60" s="34"/>
      <c r="AT60" s="70" t="s">
        <v>633</v>
      </c>
      <c r="AU60" s="44"/>
      <c r="AV60" s="93" t="s">
        <v>329</v>
      </c>
      <c r="AW60" s="85">
        <v>0.89550334545121546</v>
      </c>
      <c r="AX60" s="86">
        <v>6.0563899059843607</v>
      </c>
      <c r="AY60" s="85">
        <v>1E-8</v>
      </c>
      <c r="AZ60" s="85">
        <v>1E-8</v>
      </c>
      <c r="BA60" s="85">
        <v>1E-8</v>
      </c>
      <c r="BB60" s="85">
        <v>1E-8</v>
      </c>
      <c r="BC60" s="85">
        <v>1E-8</v>
      </c>
      <c r="BD60" s="85">
        <v>1E-8</v>
      </c>
      <c r="BE60" s="85">
        <v>1E-8</v>
      </c>
      <c r="BF60" s="85">
        <v>1E-8</v>
      </c>
      <c r="BG60" s="44"/>
      <c r="BH60" s="34"/>
      <c r="BI60" s="70" t="s">
        <v>633</v>
      </c>
      <c r="BJ60" s="44"/>
      <c r="BK60" s="93" t="s">
        <v>329</v>
      </c>
      <c r="BL60" s="85">
        <v>6.7601773857341868E-2</v>
      </c>
      <c r="BM60" s="86">
        <v>1E-8</v>
      </c>
      <c r="BN60" s="85">
        <v>1E-8</v>
      </c>
      <c r="BO60" s="85">
        <v>1E-8</v>
      </c>
      <c r="BP60" s="85">
        <v>1E-8</v>
      </c>
      <c r="BQ60" s="85">
        <v>1E-8</v>
      </c>
      <c r="BR60" s="85">
        <v>1E-8</v>
      </c>
      <c r="BS60" s="85">
        <v>1E-8</v>
      </c>
      <c r="BT60" s="85">
        <v>1E-8</v>
      </c>
      <c r="BU60" s="85">
        <v>1E-8</v>
      </c>
      <c r="BV60" s="44"/>
      <c r="BW60" s="34"/>
      <c r="BX60" s="70" t="s">
        <v>633</v>
      </c>
      <c r="BY60" s="44"/>
      <c r="BZ60" s="93" t="s">
        <v>329</v>
      </c>
      <c r="CA60" s="85">
        <v>1.0010392352174089</v>
      </c>
      <c r="CB60" s="86">
        <v>1E-8</v>
      </c>
      <c r="CC60" s="85">
        <v>1E-8</v>
      </c>
      <c r="CD60" s="85">
        <v>1E-8</v>
      </c>
      <c r="CE60" s="85">
        <v>1E-8</v>
      </c>
      <c r="CF60" s="85">
        <v>1E-8</v>
      </c>
      <c r="CG60" s="85">
        <v>1E-8</v>
      </c>
      <c r="CH60" s="85">
        <v>1E-8</v>
      </c>
      <c r="CI60" s="85">
        <v>1E-8</v>
      </c>
      <c r="CJ60" s="85">
        <v>1E-8</v>
      </c>
      <c r="CK60" s="44"/>
    </row>
    <row r="61" spans="1:89" x14ac:dyDescent="0.35">
      <c r="A61" s="70" t="s">
        <v>634</v>
      </c>
      <c r="B61" s="44"/>
      <c r="C61" s="93" t="s">
        <v>331</v>
      </c>
      <c r="D61" s="85">
        <v>0.19818490098705227</v>
      </c>
      <c r="E61" s="86">
        <v>2.0705063720475314</v>
      </c>
      <c r="F61" s="85">
        <v>1E-8</v>
      </c>
      <c r="G61" s="85">
        <v>1E-8</v>
      </c>
      <c r="H61" s="85">
        <v>1E-8</v>
      </c>
      <c r="I61" s="85">
        <v>1E-8</v>
      </c>
      <c r="J61" s="85">
        <v>1E-8</v>
      </c>
      <c r="K61" s="85">
        <v>1E-8</v>
      </c>
      <c r="L61" s="85">
        <v>1E-8</v>
      </c>
      <c r="M61" s="85">
        <v>1E-8</v>
      </c>
      <c r="N61" s="44"/>
      <c r="O61" s="34"/>
      <c r="P61" s="70" t="s">
        <v>634</v>
      </c>
      <c r="Q61" s="44"/>
      <c r="R61" s="93" t="s">
        <v>331</v>
      </c>
      <c r="S61" s="85">
        <v>0.17553848754938992</v>
      </c>
      <c r="T61" s="86">
        <v>1.8566335970485515</v>
      </c>
      <c r="U61" s="85">
        <v>1E-8</v>
      </c>
      <c r="V61" s="85">
        <v>1E-8</v>
      </c>
      <c r="W61" s="85">
        <v>1E-8</v>
      </c>
      <c r="X61" s="85">
        <v>1E-8</v>
      </c>
      <c r="Y61" s="85">
        <v>1E-8</v>
      </c>
      <c r="Z61" s="85">
        <v>1E-8</v>
      </c>
      <c r="AA61" s="85">
        <v>1E-8</v>
      </c>
      <c r="AB61" s="85">
        <v>1E-8</v>
      </c>
      <c r="AC61" s="44"/>
      <c r="AD61" s="34"/>
      <c r="AE61" s="70" t="s">
        <v>634</v>
      </c>
      <c r="AF61" s="44"/>
      <c r="AG61" s="93" t="s">
        <v>331</v>
      </c>
      <c r="AH61" s="85">
        <v>0.22659788129468827</v>
      </c>
      <c r="AI61" s="86">
        <v>7.1453942921752889</v>
      </c>
      <c r="AJ61" s="85">
        <v>1E-8</v>
      </c>
      <c r="AK61" s="85">
        <v>1E-8</v>
      </c>
      <c r="AL61" s="85">
        <v>1E-8</v>
      </c>
      <c r="AM61" s="85">
        <v>1E-8</v>
      </c>
      <c r="AN61" s="85">
        <v>1E-8</v>
      </c>
      <c r="AO61" s="85">
        <v>1E-8</v>
      </c>
      <c r="AP61" s="85">
        <v>1E-8</v>
      </c>
      <c r="AQ61" s="85">
        <v>1E-8</v>
      </c>
      <c r="AR61" s="44"/>
      <c r="AS61" s="34"/>
      <c r="AT61" s="70" t="s">
        <v>634</v>
      </c>
      <c r="AU61" s="44"/>
      <c r="AV61" s="93" t="s">
        <v>331</v>
      </c>
      <c r="AW61" s="85">
        <v>0.11249951909782076</v>
      </c>
      <c r="AX61" s="86">
        <v>6.0300375614879664</v>
      </c>
      <c r="AY61" s="85">
        <v>1E-8</v>
      </c>
      <c r="AZ61" s="85">
        <v>1E-8</v>
      </c>
      <c r="BA61" s="85">
        <v>1E-8</v>
      </c>
      <c r="BB61" s="85">
        <v>1E-8</v>
      </c>
      <c r="BC61" s="85">
        <v>1E-8</v>
      </c>
      <c r="BD61" s="85">
        <v>1E-8</v>
      </c>
      <c r="BE61" s="85">
        <v>1E-8</v>
      </c>
      <c r="BF61" s="85">
        <v>1E-8</v>
      </c>
      <c r="BG61" s="44"/>
      <c r="BH61" s="34"/>
      <c r="BI61" s="70" t="s">
        <v>634</v>
      </c>
      <c r="BJ61" s="44"/>
      <c r="BK61" s="93" t="s">
        <v>331</v>
      </c>
      <c r="BL61" s="85">
        <v>0.21449820213782422</v>
      </c>
      <c r="BM61" s="86">
        <v>1E-8</v>
      </c>
      <c r="BN61" s="85">
        <v>1E-8</v>
      </c>
      <c r="BO61" s="85">
        <v>1E-8</v>
      </c>
      <c r="BP61" s="85">
        <v>1E-8</v>
      </c>
      <c r="BQ61" s="85">
        <v>1E-8</v>
      </c>
      <c r="BR61" s="85">
        <v>1E-8</v>
      </c>
      <c r="BS61" s="85">
        <v>1E-8</v>
      </c>
      <c r="BT61" s="85">
        <v>1E-8</v>
      </c>
      <c r="BU61" s="85">
        <v>1E-8</v>
      </c>
      <c r="BV61" s="44"/>
      <c r="BW61" s="34"/>
      <c r="BX61" s="70" t="s">
        <v>634</v>
      </c>
      <c r="BY61" s="44"/>
      <c r="BZ61" s="93" t="s">
        <v>331</v>
      </c>
      <c r="CA61" s="85">
        <v>0.12708080839112709</v>
      </c>
      <c r="CB61" s="86">
        <v>1E-8</v>
      </c>
      <c r="CC61" s="85">
        <v>1E-8</v>
      </c>
      <c r="CD61" s="85">
        <v>1E-8</v>
      </c>
      <c r="CE61" s="85">
        <v>1E-8</v>
      </c>
      <c r="CF61" s="85">
        <v>1E-8</v>
      </c>
      <c r="CG61" s="85">
        <v>1E-8</v>
      </c>
      <c r="CH61" s="85">
        <v>1E-8</v>
      </c>
      <c r="CI61" s="85">
        <v>1E-8</v>
      </c>
      <c r="CJ61" s="85">
        <v>1E-8</v>
      </c>
      <c r="CK61" s="44"/>
    </row>
    <row r="62" spans="1:89" x14ac:dyDescent="0.35">
      <c r="A62" s="70" t="s">
        <v>635</v>
      </c>
      <c r="B62" s="44"/>
      <c r="C62" s="93" t="s">
        <v>332</v>
      </c>
      <c r="D62" s="85">
        <v>0.13907065258613474</v>
      </c>
      <c r="E62" s="86">
        <v>7.0090906455626323</v>
      </c>
      <c r="F62" s="85">
        <v>1E-8</v>
      </c>
      <c r="G62" s="85">
        <v>1E-8</v>
      </c>
      <c r="H62" s="85">
        <v>1E-8</v>
      </c>
      <c r="I62" s="85">
        <v>1E-8</v>
      </c>
      <c r="J62" s="85">
        <v>1E-8</v>
      </c>
      <c r="K62" s="85">
        <v>1E-8</v>
      </c>
      <c r="L62" s="85">
        <v>1E-8</v>
      </c>
      <c r="M62" s="85">
        <v>1E-8</v>
      </c>
      <c r="N62" s="44"/>
      <c r="O62" s="34"/>
      <c r="P62" s="70" t="s">
        <v>635</v>
      </c>
      <c r="Q62" s="44"/>
      <c r="R62" s="93" t="s">
        <v>332</v>
      </c>
      <c r="S62" s="85">
        <v>0.66997112624672539</v>
      </c>
      <c r="T62" s="86">
        <v>6.1244610988193227</v>
      </c>
      <c r="U62" s="85">
        <v>1E-8</v>
      </c>
      <c r="V62" s="85">
        <v>1E-8</v>
      </c>
      <c r="W62" s="85">
        <v>1E-8</v>
      </c>
      <c r="X62" s="85">
        <v>1E-8</v>
      </c>
      <c r="Y62" s="85">
        <v>1E-8</v>
      </c>
      <c r="Z62" s="85">
        <v>1E-8</v>
      </c>
      <c r="AA62" s="85">
        <v>1E-8</v>
      </c>
      <c r="AB62" s="85">
        <v>1E-8</v>
      </c>
      <c r="AC62" s="44"/>
      <c r="AD62" s="34"/>
      <c r="AE62" s="70" t="s">
        <v>635</v>
      </c>
      <c r="AF62" s="44"/>
      <c r="AG62" s="93" t="s">
        <v>332</v>
      </c>
      <c r="AH62" s="85">
        <v>1.5059222485073154</v>
      </c>
      <c r="AI62" s="86">
        <v>6.9667427790252257</v>
      </c>
      <c r="AJ62" s="85">
        <v>1E-8</v>
      </c>
      <c r="AK62" s="85">
        <v>1E-8</v>
      </c>
      <c r="AL62" s="85">
        <v>1E-8</v>
      </c>
      <c r="AM62" s="85">
        <v>1E-8</v>
      </c>
      <c r="AN62" s="85">
        <v>1E-8</v>
      </c>
      <c r="AO62" s="85">
        <v>1E-8</v>
      </c>
      <c r="AP62" s="85">
        <v>1E-8</v>
      </c>
      <c r="AQ62" s="85">
        <v>1E-8</v>
      </c>
      <c r="AR62" s="44"/>
      <c r="AS62" s="34"/>
      <c r="AT62" s="70" t="s">
        <v>635</v>
      </c>
      <c r="AU62" s="44"/>
      <c r="AV62" s="93" t="s">
        <v>332</v>
      </c>
      <c r="AW62" s="85">
        <v>2.6584718650070416</v>
      </c>
      <c r="AX62" s="86">
        <v>6.1975602355521797</v>
      </c>
      <c r="AY62" s="85">
        <v>1E-8</v>
      </c>
      <c r="AZ62" s="85">
        <v>1E-8</v>
      </c>
      <c r="BA62" s="85">
        <v>1E-8</v>
      </c>
      <c r="BB62" s="85">
        <v>1E-8</v>
      </c>
      <c r="BC62" s="85">
        <v>1E-8</v>
      </c>
      <c r="BD62" s="85">
        <v>1E-8</v>
      </c>
      <c r="BE62" s="85">
        <v>1E-8</v>
      </c>
      <c r="BF62" s="85">
        <v>1E-8</v>
      </c>
      <c r="BG62" s="44"/>
      <c r="BH62" s="34"/>
      <c r="BI62" s="70" t="s">
        <v>635</v>
      </c>
      <c r="BJ62" s="44"/>
      <c r="BK62" s="93" t="s">
        <v>332</v>
      </c>
      <c r="BL62" s="85">
        <v>1.398375092406144</v>
      </c>
      <c r="BM62" s="86">
        <v>1E-8</v>
      </c>
      <c r="BN62" s="85">
        <v>1E-8</v>
      </c>
      <c r="BO62" s="85">
        <v>1E-8</v>
      </c>
      <c r="BP62" s="85">
        <v>1E-8</v>
      </c>
      <c r="BQ62" s="85">
        <v>1E-8</v>
      </c>
      <c r="BR62" s="85">
        <v>1E-8</v>
      </c>
      <c r="BS62" s="85">
        <v>1E-8</v>
      </c>
      <c r="BT62" s="85">
        <v>1E-8</v>
      </c>
      <c r="BU62" s="85">
        <v>1E-8</v>
      </c>
      <c r="BV62" s="44"/>
      <c r="BW62" s="34"/>
      <c r="BX62" s="70" t="s">
        <v>635</v>
      </c>
      <c r="BY62" s="44"/>
      <c r="BZ62" s="93" t="s">
        <v>332</v>
      </c>
      <c r="CA62" s="85">
        <v>2.9280198610659403</v>
      </c>
      <c r="CB62" s="86">
        <v>1E-8</v>
      </c>
      <c r="CC62" s="85">
        <v>1E-8</v>
      </c>
      <c r="CD62" s="85">
        <v>1E-8</v>
      </c>
      <c r="CE62" s="85">
        <v>1E-8</v>
      </c>
      <c r="CF62" s="85">
        <v>1E-8</v>
      </c>
      <c r="CG62" s="85">
        <v>1E-8</v>
      </c>
      <c r="CH62" s="85">
        <v>1E-8</v>
      </c>
      <c r="CI62" s="85">
        <v>1E-8</v>
      </c>
      <c r="CJ62" s="85">
        <v>1E-8</v>
      </c>
      <c r="CK62" s="44"/>
    </row>
    <row r="63" spans="1:89" x14ac:dyDescent="0.35">
      <c r="A63" s="70" t="s">
        <v>636</v>
      </c>
      <c r="B63" s="44"/>
      <c r="C63" s="93" t="s">
        <v>330</v>
      </c>
      <c r="D63" s="85">
        <v>9.3863930811052002E-2</v>
      </c>
      <c r="E63" s="86">
        <v>5.8961493734183579</v>
      </c>
      <c r="F63" s="85">
        <v>1E-8</v>
      </c>
      <c r="G63" s="85">
        <v>1E-8</v>
      </c>
      <c r="H63" s="85">
        <v>1E-8</v>
      </c>
      <c r="I63" s="85">
        <v>1E-8</v>
      </c>
      <c r="J63" s="85">
        <v>1E-8</v>
      </c>
      <c r="K63" s="85">
        <v>1E-8</v>
      </c>
      <c r="L63" s="85">
        <v>1E-8</v>
      </c>
      <c r="M63" s="85">
        <v>1E-8</v>
      </c>
      <c r="N63" s="44"/>
      <c r="O63" s="34"/>
      <c r="P63" s="70" t="s">
        <v>636</v>
      </c>
      <c r="Q63" s="44"/>
      <c r="R63" s="93" t="s">
        <v>330</v>
      </c>
      <c r="S63" s="85">
        <v>9.6022271179405566E-2</v>
      </c>
      <c r="T63" s="86">
        <v>5.4128446704752253</v>
      </c>
      <c r="U63" s="85">
        <v>1E-8</v>
      </c>
      <c r="V63" s="85">
        <v>1E-8</v>
      </c>
      <c r="W63" s="85">
        <v>1E-8</v>
      </c>
      <c r="X63" s="85">
        <v>1E-8</v>
      </c>
      <c r="Y63" s="85">
        <v>1E-8</v>
      </c>
      <c r="Z63" s="85">
        <v>1E-8</v>
      </c>
      <c r="AA63" s="85">
        <v>1E-8</v>
      </c>
      <c r="AB63" s="85">
        <v>1E-8</v>
      </c>
      <c r="AC63" s="44"/>
      <c r="AD63" s="34"/>
      <c r="AE63" s="70" t="s">
        <v>636</v>
      </c>
      <c r="AF63" s="44"/>
      <c r="AG63" s="93" t="s">
        <v>330</v>
      </c>
      <c r="AH63" s="85">
        <v>0.58692899339181182</v>
      </c>
      <c r="AI63" s="86">
        <v>6.9540009515451473</v>
      </c>
      <c r="AJ63" s="85">
        <v>1E-8</v>
      </c>
      <c r="AK63" s="85">
        <v>1E-8</v>
      </c>
      <c r="AL63" s="85">
        <v>1E-8</v>
      </c>
      <c r="AM63" s="85">
        <v>1E-8</v>
      </c>
      <c r="AN63" s="85">
        <v>1E-8</v>
      </c>
      <c r="AO63" s="85">
        <v>1E-8</v>
      </c>
      <c r="AP63" s="85">
        <v>1E-8</v>
      </c>
      <c r="AQ63" s="85">
        <v>1E-8</v>
      </c>
      <c r="AR63" s="44"/>
      <c r="AS63" s="34"/>
      <c r="AT63" s="70" t="s">
        <v>636</v>
      </c>
      <c r="AU63" s="44"/>
      <c r="AV63" s="93" t="s">
        <v>330</v>
      </c>
      <c r="AW63" s="85">
        <v>0.25529831035314232</v>
      </c>
      <c r="AX63" s="86">
        <v>6.2056924266108204</v>
      </c>
      <c r="AY63" s="85">
        <v>1E-8</v>
      </c>
      <c r="AZ63" s="85">
        <v>1E-8</v>
      </c>
      <c r="BA63" s="85">
        <v>1E-8</v>
      </c>
      <c r="BB63" s="85">
        <v>1E-8</v>
      </c>
      <c r="BC63" s="85">
        <v>1E-8</v>
      </c>
      <c r="BD63" s="85">
        <v>1E-8</v>
      </c>
      <c r="BE63" s="85">
        <v>1E-8</v>
      </c>
      <c r="BF63" s="85">
        <v>1E-8</v>
      </c>
      <c r="BG63" s="44"/>
      <c r="BH63" s="34"/>
      <c r="BI63" s="70" t="s">
        <v>636</v>
      </c>
      <c r="BJ63" s="44"/>
      <c r="BK63" s="93" t="s">
        <v>330</v>
      </c>
      <c r="BL63" s="85">
        <v>0.54425849440144758</v>
      </c>
      <c r="BM63" s="86">
        <v>1E-8</v>
      </c>
      <c r="BN63" s="85">
        <v>1E-8</v>
      </c>
      <c r="BO63" s="85">
        <v>1E-8</v>
      </c>
      <c r="BP63" s="85">
        <v>1E-8</v>
      </c>
      <c r="BQ63" s="85">
        <v>1E-8</v>
      </c>
      <c r="BR63" s="85">
        <v>1E-8</v>
      </c>
      <c r="BS63" s="85">
        <v>1E-8</v>
      </c>
      <c r="BT63" s="85">
        <v>1E-8</v>
      </c>
      <c r="BU63" s="85">
        <v>1E-8</v>
      </c>
      <c r="BV63" s="44"/>
      <c r="BW63" s="34"/>
      <c r="BX63" s="70" t="s">
        <v>636</v>
      </c>
      <c r="BY63" s="44"/>
      <c r="BZ63" s="93" t="s">
        <v>330</v>
      </c>
      <c r="CA63" s="85">
        <v>0.28527296907777</v>
      </c>
      <c r="CB63" s="86">
        <v>1E-8</v>
      </c>
      <c r="CC63" s="85">
        <v>1E-8</v>
      </c>
      <c r="CD63" s="85">
        <v>1E-8</v>
      </c>
      <c r="CE63" s="85">
        <v>1E-8</v>
      </c>
      <c r="CF63" s="85">
        <v>1E-8</v>
      </c>
      <c r="CG63" s="85">
        <v>1E-8</v>
      </c>
      <c r="CH63" s="85">
        <v>1E-8</v>
      </c>
      <c r="CI63" s="85">
        <v>1E-8</v>
      </c>
      <c r="CJ63" s="85">
        <v>1E-8</v>
      </c>
      <c r="CK63" s="44"/>
    </row>
    <row r="64" spans="1:89" x14ac:dyDescent="0.35">
      <c r="A64" s="70" t="s">
        <v>637</v>
      </c>
      <c r="B64" s="44"/>
      <c r="C64" s="93" t="s">
        <v>333</v>
      </c>
      <c r="D64" s="85">
        <v>3.0869896646850448</v>
      </c>
      <c r="E64" s="86">
        <v>2.5263237556039764</v>
      </c>
      <c r="F64" s="85">
        <v>1E-8</v>
      </c>
      <c r="G64" s="85">
        <v>1E-8</v>
      </c>
      <c r="H64" s="85">
        <v>1E-8</v>
      </c>
      <c r="I64" s="85">
        <v>1E-8</v>
      </c>
      <c r="J64" s="85">
        <v>1E-8</v>
      </c>
      <c r="K64" s="85">
        <v>1E-8</v>
      </c>
      <c r="L64" s="85">
        <v>1E-8</v>
      </c>
      <c r="M64" s="85">
        <v>1E-8</v>
      </c>
      <c r="N64" s="44"/>
      <c r="O64" s="34"/>
      <c r="P64" s="70" t="s">
        <v>637</v>
      </c>
      <c r="Q64" s="44"/>
      <c r="R64" s="93" t="s">
        <v>333</v>
      </c>
      <c r="S64" s="85">
        <v>2.7460188347912897</v>
      </c>
      <c r="T64" s="86">
        <v>2.2065682816666321</v>
      </c>
      <c r="U64" s="85">
        <v>1E-8</v>
      </c>
      <c r="V64" s="85">
        <v>1E-8</v>
      </c>
      <c r="W64" s="85">
        <v>1E-8</v>
      </c>
      <c r="X64" s="85">
        <v>1E-8</v>
      </c>
      <c r="Y64" s="85">
        <v>1E-8</v>
      </c>
      <c r="Z64" s="85">
        <v>1E-8</v>
      </c>
      <c r="AA64" s="85">
        <v>1E-8</v>
      </c>
      <c r="AB64" s="85">
        <v>1E-8</v>
      </c>
      <c r="AC64" s="44"/>
      <c r="AD64" s="34"/>
      <c r="AE64" s="70" t="s">
        <v>637</v>
      </c>
      <c r="AF64" s="44"/>
      <c r="AG64" s="93" t="s">
        <v>333</v>
      </c>
      <c r="AH64" s="85">
        <v>4.2928562966931212</v>
      </c>
      <c r="AI64" s="86">
        <v>7.156129103079234</v>
      </c>
      <c r="AJ64" s="85">
        <v>1E-8</v>
      </c>
      <c r="AK64" s="85">
        <v>1E-8</v>
      </c>
      <c r="AL64" s="85">
        <v>1E-8</v>
      </c>
      <c r="AM64" s="85">
        <v>1E-8</v>
      </c>
      <c r="AN64" s="85">
        <v>1E-8</v>
      </c>
      <c r="AO64" s="85">
        <v>1E-8</v>
      </c>
      <c r="AP64" s="85">
        <v>1E-8</v>
      </c>
      <c r="AQ64" s="85">
        <v>1E-8</v>
      </c>
      <c r="AR64" s="44"/>
      <c r="AS64" s="34"/>
      <c r="AT64" s="70" t="s">
        <v>637</v>
      </c>
      <c r="AU64" s="44"/>
      <c r="AV64" s="93" t="s">
        <v>333</v>
      </c>
      <c r="AW64" s="85">
        <v>1.822845129526663</v>
      </c>
      <c r="AX64" s="86">
        <v>6.0590438972116578</v>
      </c>
      <c r="AY64" s="85">
        <v>1E-8</v>
      </c>
      <c r="AZ64" s="85">
        <v>1E-8</v>
      </c>
      <c r="BA64" s="85">
        <v>1E-8</v>
      </c>
      <c r="BB64" s="85">
        <v>1E-8</v>
      </c>
      <c r="BC64" s="85">
        <v>1E-8</v>
      </c>
      <c r="BD64" s="85">
        <v>1E-8</v>
      </c>
      <c r="BE64" s="85">
        <v>1E-8</v>
      </c>
      <c r="BF64" s="85">
        <v>1E-8</v>
      </c>
      <c r="BG64" s="44"/>
      <c r="BH64" s="34"/>
      <c r="BI64" s="70" t="s">
        <v>637</v>
      </c>
      <c r="BJ64" s="44"/>
      <c r="BK64" s="93" t="s">
        <v>333</v>
      </c>
      <c r="BL64" s="85">
        <v>4.068278026203985</v>
      </c>
      <c r="BM64" s="86">
        <v>1E-8</v>
      </c>
      <c r="BN64" s="85">
        <v>1E-8</v>
      </c>
      <c r="BO64" s="85">
        <v>1E-8</v>
      </c>
      <c r="BP64" s="85">
        <v>1E-8</v>
      </c>
      <c r="BQ64" s="85">
        <v>1E-8</v>
      </c>
      <c r="BR64" s="85">
        <v>1E-8</v>
      </c>
      <c r="BS64" s="85">
        <v>1E-8</v>
      </c>
      <c r="BT64" s="85">
        <v>1E-8</v>
      </c>
      <c r="BU64" s="85">
        <v>1E-8</v>
      </c>
      <c r="BV64" s="44"/>
      <c r="BW64" s="34"/>
      <c r="BX64" s="70" t="s">
        <v>637</v>
      </c>
      <c r="BY64" s="44"/>
      <c r="BZ64" s="93" t="s">
        <v>333</v>
      </c>
      <c r="CA64" s="85">
        <v>1.9078291297614907</v>
      </c>
      <c r="CB64" s="86">
        <v>1E-8</v>
      </c>
      <c r="CC64" s="85">
        <v>1E-8</v>
      </c>
      <c r="CD64" s="85">
        <v>1E-8</v>
      </c>
      <c r="CE64" s="85">
        <v>1E-8</v>
      </c>
      <c r="CF64" s="85">
        <v>1E-8</v>
      </c>
      <c r="CG64" s="85">
        <v>1E-8</v>
      </c>
      <c r="CH64" s="85">
        <v>1E-8</v>
      </c>
      <c r="CI64" s="85">
        <v>1E-8</v>
      </c>
      <c r="CJ64" s="85">
        <v>1E-8</v>
      </c>
      <c r="CK64" s="44"/>
    </row>
    <row r="65" spans="1:89" x14ac:dyDescent="0.35">
      <c r="A65" s="70" t="s">
        <v>638</v>
      </c>
      <c r="B65" s="44"/>
      <c r="C65" s="93" t="s">
        <v>546</v>
      </c>
      <c r="D65" s="85">
        <v>0.63896171643895949</v>
      </c>
      <c r="E65" s="86">
        <v>1.2942839369768588</v>
      </c>
      <c r="F65" s="85">
        <v>1E-8</v>
      </c>
      <c r="G65" s="85">
        <v>1E-8</v>
      </c>
      <c r="H65" s="85">
        <v>1E-8</v>
      </c>
      <c r="I65" s="85">
        <v>1E-8</v>
      </c>
      <c r="J65" s="85">
        <v>1E-8</v>
      </c>
      <c r="K65" s="85">
        <v>1E-8</v>
      </c>
      <c r="L65" s="85">
        <v>1E-8</v>
      </c>
      <c r="M65" s="85">
        <v>1E-8</v>
      </c>
      <c r="N65" s="44"/>
      <c r="O65" s="34"/>
      <c r="P65" s="70" t="s">
        <v>638</v>
      </c>
      <c r="Q65" s="44"/>
      <c r="R65" s="93" t="s">
        <v>546</v>
      </c>
      <c r="S65" s="85">
        <v>0.56377504308492088</v>
      </c>
      <c r="T65" s="86">
        <v>1.2431770487620897</v>
      </c>
      <c r="U65" s="85">
        <v>1E-8</v>
      </c>
      <c r="V65" s="85">
        <v>1E-8</v>
      </c>
      <c r="W65" s="85">
        <v>1E-8</v>
      </c>
      <c r="X65" s="85">
        <v>1E-8</v>
      </c>
      <c r="Y65" s="85">
        <v>1E-8</v>
      </c>
      <c r="Z65" s="85">
        <v>1E-8</v>
      </c>
      <c r="AA65" s="85">
        <v>1E-8</v>
      </c>
      <c r="AB65" s="85">
        <v>1E-8</v>
      </c>
      <c r="AC65" s="44"/>
      <c r="AD65" s="34"/>
      <c r="AE65" s="70" t="s">
        <v>638</v>
      </c>
      <c r="AF65" s="44"/>
      <c r="AG65" s="93" t="s">
        <v>546</v>
      </c>
      <c r="AH65" s="85">
        <v>0.34001437888210739</v>
      </c>
      <c r="AI65" s="86">
        <v>7.0889373838870728</v>
      </c>
      <c r="AJ65" s="85">
        <v>1E-8</v>
      </c>
      <c r="AK65" s="85">
        <v>1E-8</v>
      </c>
      <c r="AL65" s="85">
        <v>1E-8</v>
      </c>
      <c r="AM65" s="85">
        <v>1E-8</v>
      </c>
      <c r="AN65" s="85">
        <v>1E-8</v>
      </c>
      <c r="AO65" s="85">
        <v>1E-8</v>
      </c>
      <c r="AP65" s="85">
        <v>1E-8</v>
      </c>
      <c r="AQ65" s="85">
        <v>1E-8</v>
      </c>
      <c r="AR65" s="44"/>
      <c r="AS65" s="34"/>
      <c r="AT65" s="70" t="s">
        <v>638</v>
      </c>
      <c r="AU65" s="44"/>
      <c r="AV65" s="93" t="s">
        <v>546</v>
      </c>
      <c r="AW65" s="85">
        <v>0.21900004994564753</v>
      </c>
      <c r="AX65" s="86">
        <v>6.0931417244704411</v>
      </c>
      <c r="AY65" s="85">
        <v>1E-8</v>
      </c>
      <c r="AZ65" s="85">
        <v>1E-8</v>
      </c>
      <c r="BA65" s="85">
        <v>1E-8</v>
      </c>
      <c r="BB65" s="85">
        <v>1E-8</v>
      </c>
      <c r="BC65" s="85">
        <v>1E-8</v>
      </c>
      <c r="BD65" s="85">
        <v>1E-8</v>
      </c>
      <c r="BE65" s="85">
        <v>1E-8</v>
      </c>
      <c r="BF65" s="85">
        <v>1E-8</v>
      </c>
      <c r="BG65" s="44"/>
      <c r="BH65" s="34"/>
      <c r="BI65" s="70" t="s">
        <v>638</v>
      </c>
      <c r="BJ65" s="44"/>
      <c r="BK65" s="93" t="s">
        <v>546</v>
      </c>
      <c r="BL65" s="85">
        <v>0.31992243582534352</v>
      </c>
      <c r="BM65" s="86">
        <v>1E-8</v>
      </c>
      <c r="BN65" s="85">
        <v>1E-8</v>
      </c>
      <c r="BO65" s="85">
        <v>1E-8</v>
      </c>
      <c r="BP65" s="85">
        <v>1E-8</v>
      </c>
      <c r="BQ65" s="85">
        <v>1E-8</v>
      </c>
      <c r="BR65" s="85">
        <v>1E-8</v>
      </c>
      <c r="BS65" s="85">
        <v>1E-8</v>
      </c>
      <c r="BT65" s="85">
        <v>1E-8</v>
      </c>
      <c r="BU65" s="85">
        <v>1E-8</v>
      </c>
      <c r="BV65" s="44"/>
      <c r="BW65" s="34"/>
      <c r="BX65" s="70" t="s">
        <v>638</v>
      </c>
      <c r="BY65" s="44"/>
      <c r="BZ65" s="93" t="s">
        <v>546</v>
      </c>
      <c r="CA65" s="85">
        <v>0.24095303457063763</v>
      </c>
      <c r="CB65" s="86">
        <v>1E-8</v>
      </c>
      <c r="CC65" s="85">
        <v>1E-8</v>
      </c>
      <c r="CD65" s="85">
        <v>1E-8</v>
      </c>
      <c r="CE65" s="85">
        <v>1E-8</v>
      </c>
      <c r="CF65" s="85">
        <v>1E-8</v>
      </c>
      <c r="CG65" s="85">
        <v>1E-8</v>
      </c>
      <c r="CH65" s="85">
        <v>1E-8</v>
      </c>
      <c r="CI65" s="85">
        <v>1E-8</v>
      </c>
      <c r="CJ65" s="85">
        <v>1E-8</v>
      </c>
      <c r="CK65" s="44"/>
    </row>
    <row r="66" spans="1:89" x14ac:dyDescent="0.35">
      <c r="A66" s="70" t="s">
        <v>639</v>
      </c>
      <c r="B66" s="44"/>
      <c r="C66" s="93" t="s">
        <v>335</v>
      </c>
      <c r="D66" s="85">
        <v>8.1735487179318098E-2</v>
      </c>
      <c r="E66" s="86">
        <v>-2.6091637375836307</v>
      </c>
      <c r="F66" s="85">
        <v>1E-8</v>
      </c>
      <c r="G66" s="85">
        <v>1E-8</v>
      </c>
      <c r="H66" s="85">
        <v>1E-8</v>
      </c>
      <c r="I66" s="85">
        <v>1E-8</v>
      </c>
      <c r="J66" s="85">
        <v>1E-8</v>
      </c>
      <c r="K66" s="85">
        <v>1E-8</v>
      </c>
      <c r="L66" s="85">
        <v>1E-8</v>
      </c>
      <c r="M66" s="85">
        <v>1E-8</v>
      </c>
      <c r="N66" s="44"/>
      <c r="O66" s="34"/>
      <c r="P66" s="70" t="s">
        <v>639</v>
      </c>
      <c r="Q66" s="44"/>
      <c r="R66" s="93" t="s">
        <v>335</v>
      </c>
      <c r="S66" s="85">
        <v>7.0772162926921234E-2</v>
      </c>
      <c r="T66" s="86">
        <v>-2.5836509264675178</v>
      </c>
      <c r="U66" s="85">
        <v>1E-8</v>
      </c>
      <c r="V66" s="85">
        <v>1E-8</v>
      </c>
      <c r="W66" s="85">
        <v>1E-8</v>
      </c>
      <c r="X66" s="85">
        <v>1E-8</v>
      </c>
      <c r="Y66" s="85">
        <v>1E-8</v>
      </c>
      <c r="Z66" s="85">
        <v>1E-8</v>
      </c>
      <c r="AA66" s="85">
        <v>1E-8</v>
      </c>
      <c r="AB66" s="85">
        <v>1E-8</v>
      </c>
      <c r="AC66" s="44"/>
      <c r="AD66" s="34"/>
      <c r="AE66" s="70" t="s">
        <v>639</v>
      </c>
      <c r="AF66" s="44"/>
      <c r="AG66" s="93" t="s">
        <v>335</v>
      </c>
      <c r="AH66" s="85">
        <v>1E-8</v>
      </c>
      <c r="AI66" s="86">
        <v>1E-8</v>
      </c>
      <c r="AJ66" s="85">
        <v>1E-8</v>
      </c>
      <c r="AK66" s="85">
        <v>1E-8</v>
      </c>
      <c r="AL66" s="85">
        <v>1E-8</v>
      </c>
      <c r="AM66" s="85">
        <v>1E-8</v>
      </c>
      <c r="AN66" s="85">
        <v>1E-8</v>
      </c>
      <c r="AO66" s="85">
        <v>1E-8</v>
      </c>
      <c r="AP66" s="85">
        <v>1E-8</v>
      </c>
      <c r="AQ66" s="85">
        <v>1E-8</v>
      </c>
      <c r="AR66" s="44"/>
      <c r="AS66" s="34"/>
      <c r="AT66" s="70" t="s">
        <v>639</v>
      </c>
      <c r="AU66" s="44"/>
      <c r="AV66" s="93" t="s">
        <v>335</v>
      </c>
      <c r="AW66" s="85">
        <v>1E-8</v>
      </c>
      <c r="AX66" s="86">
        <v>1E-8</v>
      </c>
      <c r="AY66" s="85">
        <v>1E-8</v>
      </c>
      <c r="AZ66" s="85">
        <v>1E-8</v>
      </c>
      <c r="BA66" s="85">
        <v>1E-8</v>
      </c>
      <c r="BB66" s="85">
        <v>1E-8</v>
      </c>
      <c r="BC66" s="85">
        <v>1E-8</v>
      </c>
      <c r="BD66" s="85">
        <v>1E-8</v>
      </c>
      <c r="BE66" s="85">
        <v>1E-8</v>
      </c>
      <c r="BF66" s="85">
        <v>1E-8</v>
      </c>
      <c r="BG66" s="44"/>
      <c r="BH66" s="34"/>
      <c r="BI66" s="70" t="s">
        <v>639</v>
      </c>
      <c r="BJ66" s="44"/>
      <c r="BK66" s="93" t="s">
        <v>335</v>
      </c>
      <c r="BL66" s="85">
        <v>1E-8</v>
      </c>
      <c r="BM66" s="86">
        <v>1E-8</v>
      </c>
      <c r="BN66" s="85">
        <v>1E-8</v>
      </c>
      <c r="BO66" s="85">
        <v>1E-8</v>
      </c>
      <c r="BP66" s="85">
        <v>1E-8</v>
      </c>
      <c r="BQ66" s="85">
        <v>1E-8</v>
      </c>
      <c r="BR66" s="85">
        <v>1E-8</v>
      </c>
      <c r="BS66" s="85">
        <v>1E-8</v>
      </c>
      <c r="BT66" s="85">
        <v>1E-8</v>
      </c>
      <c r="BU66" s="85">
        <v>1E-8</v>
      </c>
      <c r="BV66" s="44"/>
      <c r="BW66" s="34"/>
      <c r="BX66" s="70" t="s">
        <v>639</v>
      </c>
      <c r="BY66" s="44"/>
      <c r="BZ66" s="93" t="s">
        <v>335</v>
      </c>
      <c r="CA66" s="85">
        <v>1E-8</v>
      </c>
      <c r="CB66" s="86">
        <v>1E-8</v>
      </c>
      <c r="CC66" s="85">
        <v>1E-8</v>
      </c>
      <c r="CD66" s="85">
        <v>1E-8</v>
      </c>
      <c r="CE66" s="85">
        <v>1E-8</v>
      </c>
      <c r="CF66" s="85">
        <v>1E-8</v>
      </c>
      <c r="CG66" s="85">
        <v>1E-8</v>
      </c>
      <c r="CH66" s="85">
        <v>1E-8</v>
      </c>
      <c r="CI66" s="85">
        <v>1E-8</v>
      </c>
      <c r="CJ66" s="85">
        <v>1E-8</v>
      </c>
      <c r="CK66" s="44"/>
    </row>
    <row r="67" spans="1:89" x14ac:dyDescent="0.35">
      <c r="A67" s="70" t="s">
        <v>640</v>
      </c>
      <c r="B67" s="44"/>
      <c r="C67" s="93" t="s">
        <v>334</v>
      </c>
      <c r="D67" s="85">
        <v>0.91321924096167806</v>
      </c>
      <c r="E67" s="86">
        <v>6.294562817965188</v>
      </c>
      <c r="F67" s="85">
        <v>1E-8</v>
      </c>
      <c r="G67" s="85">
        <v>1E-8</v>
      </c>
      <c r="H67" s="85">
        <v>1E-8</v>
      </c>
      <c r="I67" s="85">
        <v>1E-8</v>
      </c>
      <c r="J67" s="85">
        <v>1E-8</v>
      </c>
      <c r="K67" s="85">
        <v>1E-8</v>
      </c>
      <c r="L67" s="85">
        <v>1E-8</v>
      </c>
      <c r="M67" s="85">
        <v>1E-8</v>
      </c>
      <c r="N67" s="44"/>
      <c r="O67" s="34"/>
      <c r="P67" s="70" t="s">
        <v>640</v>
      </c>
      <c r="Q67" s="44"/>
      <c r="R67" s="93" t="s">
        <v>334</v>
      </c>
      <c r="S67" s="85">
        <v>1.2437338613376863</v>
      </c>
      <c r="T67" s="86">
        <v>5.3147589327773526</v>
      </c>
      <c r="U67" s="85">
        <v>1E-8</v>
      </c>
      <c r="V67" s="85">
        <v>1E-8</v>
      </c>
      <c r="W67" s="85">
        <v>1E-8</v>
      </c>
      <c r="X67" s="85">
        <v>1E-8</v>
      </c>
      <c r="Y67" s="85">
        <v>1E-8</v>
      </c>
      <c r="Z67" s="85">
        <v>1E-8</v>
      </c>
      <c r="AA67" s="85">
        <v>1E-8</v>
      </c>
      <c r="AB67" s="85">
        <v>1E-8</v>
      </c>
      <c r="AC67" s="44"/>
      <c r="AD67" s="34"/>
      <c r="AE67" s="70" t="s">
        <v>640</v>
      </c>
      <c r="AF67" s="44"/>
      <c r="AG67" s="93" t="s">
        <v>334</v>
      </c>
      <c r="AH67" s="85">
        <v>9.3580008019750061</v>
      </c>
      <c r="AI67" s="86">
        <v>7.1976675658367073</v>
      </c>
      <c r="AJ67" s="85">
        <v>1E-8</v>
      </c>
      <c r="AK67" s="85">
        <v>1E-8</v>
      </c>
      <c r="AL67" s="85">
        <v>1E-8</v>
      </c>
      <c r="AM67" s="85">
        <v>1E-8</v>
      </c>
      <c r="AN67" s="85">
        <v>1E-8</v>
      </c>
      <c r="AO67" s="85">
        <v>1E-8</v>
      </c>
      <c r="AP67" s="85">
        <v>1E-8</v>
      </c>
      <c r="AQ67" s="85">
        <v>1E-8</v>
      </c>
      <c r="AR67" s="44"/>
      <c r="AS67" s="34"/>
      <c r="AT67" s="70" t="s">
        <v>640</v>
      </c>
      <c r="AU67" s="44"/>
      <c r="AV67" s="93" t="s">
        <v>334</v>
      </c>
      <c r="AW67" s="85">
        <v>4.5961860487583683</v>
      </c>
      <c r="AX67" s="86">
        <v>5.9981506582309496</v>
      </c>
      <c r="AY67" s="85">
        <v>1E-8</v>
      </c>
      <c r="AZ67" s="85">
        <v>1E-8</v>
      </c>
      <c r="BA67" s="85">
        <v>1E-8</v>
      </c>
      <c r="BB67" s="85">
        <v>1E-8</v>
      </c>
      <c r="BC67" s="85">
        <v>1E-8</v>
      </c>
      <c r="BD67" s="85">
        <v>1E-8</v>
      </c>
      <c r="BE67" s="85">
        <v>1E-8</v>
      </c>
      <c r="BF67" s="85">
        <v>1E-8</v>
      </c>
      <c r="BG67" s="44"/>
      <c r="BH67" s="34"/>
      <c r="BI67" s="70" t="s">
        <v>640</v>
      </c>
      <c r="BJ67" s="44"/>
      <c r="BK67" s="93" t="s">
        <v>334</v>
      </c>
      <c r="BL67" s="85">
        <v>8.9076489004371719</v>
      </c>
      <c r="BM67" s="86">
        <v>1E-8</v>
      </c>
      <c r="BN67" s="85">
        <v>1E-8</v>
      </c>
      <c r="BO67" s="85">
        <v>1E-8</v>
      </c>
      <c r="BP67" s="85">
        <v>1E-8</v>
      </c>
      <c r="BQ67" s="85">
        <v>1E-8</v>
      </c>
      <c r="BR67" s="85">
        <v>1E-8</v>
      </c>
      <c r="BS67" s="85">
        <v>1E-8</v>
      </c>
      <c r="BT67" s="85">
        <v>1E-8</v>
      </c>
      <c r="BU67" s="85">
        <v>1E-8</v>
      </c>
      <c r="BV67" s="44"/>
      <c r="BW67" s="34"/>
      <c r="BX67" s="70" t="s">
        <v>640</v>
      </c>
      <c r="BY67" s="44"/>
      <c r="BZ67" s="93" t="s">
        <v>334</v>
      </c>
      <c r="CA67" s="85">
        <v>5.0171663009255765</v>
      </c>
      <c r="CB67" s="86">
        <v>1E-8</v>
      </c>
      <c r="CC67" s="85">
        <v>1E-8</v>
      </c>
      <c r="CD67" s="85">
        <v>1E-8</v>
      </c>
      <c r="CE67" s="85">
        <v>1E-8</v>
      </c>
      <c r="CF67" s="85">
        <v>1E-8</v>
      </c>
      <c r="CG67" s="85">
        <v>1E-8</v>
      </c>
      <c r="CH67" s="85">
        <v>1E-8</v>
      </c>
      <c r="CI67" s="85">
        <v>1E-8</v>
      </c>
      <c r="CJ67" s="85">
        <v>1E-8</v>
      </c>
      <c r="CK67" s="44"/>
    </row>
    <row r="68" spans="1:89" x14ac:dyDescent="0.35">
      <c r="A68" s="9" t="s">
        <v>365</v>
      </c>
      <c r="B68" s="44"/>
      <c r="C68" s="91" t="s">
        <v>374</v>
      </c>
      <c r="D68" s="79">
        <v>2.4185359806646933</v>
      </c>
      <c r="E68" s="80">
        <v>0.61600602884901434</v>
      </c>
      <c r="F68" s="79">
        <v>1E-8</v>
      </c>
      <c r="G68" s="79">
        <v>1E-8</v>
      </c>
      <c r="H68" s="79">
        <v>1E-8</v>
      </c>
      <c r="I68" s="79">
        <v>1E-8</v>
      </c>
      <c r="J68" s="79">
        <v>1E-8</v>
      </c>
      <c r="K68" s="79">
        <v>1E-8</v>
      </c>
      <c r="L68" s="79">
        <v>1E-8</v>
      </c>
      <c r="M68" s="79">
        <v>1E-8</v>
      </c>
      <c r="N68" s="44"/>
      <c r="O68" s="34"/>
      <c r="P68" s="9" t="s">
        <v>365</v>
      </c>
      <c r="Q68" s="44"/>
      <c r="R68" s="91" t="s">
        <v>374</v>
      </c>
      <c r="S68" s="79">
        <v>3.1232735325578851</v>
      </c>
      <c r="T68" s="80">
        <v>0.48998209541752935</v>
      </c>
      <c r="U68" s="79">
        <v>1E-8</v>
      </c>
      <c r="V68" s="79">
        <v>1E-8</v>
      </c>
      <c r="W68" s="79">
        <v>1E-8</v>
      </c>
      <c r="X68" s="79">
        <v>1E-8</v>
      </c>
      <c r="Y68" s="79">
        <v>1E-8</v>
      </c>
      <c r="Z68" s="79">
        <v>1E-8</v>
      </c>
      <c r="AA68" s="79">
        <v>1E-8</v>
      </c>
      <c r="AB68" s="79">
        <v>1E-8</v>
      </c>
      <c r="AC68" s="44"/>
      <c r="AD68" s="34"/>
      <c r="AE68" s="9" t="s">
        <v>365</v>
      </c>
      <c r="AF68" s="44"/>
      <c r="AG68" s="91" t="s">
        <v>374</v>
      </c>
      <c r="AH68" s="79">
        <v>0.35117743180445049</v>
      </c>
      <c r="AI68" s="80">
        <v>7.6990175142653827</v>
      </c>
      <c r="AJ68" s="79">
        <v>1E-8</v>
      </c>
      <c r="AK68" s="79">
        <v>1E-8</v>
      </c>
      <c r="AL68" s="79">
        <v>1E-8</v>
      </c>
      <c r="AM68" s="79">
        <v>1E-8</v>
      </c>
      <c r="AN68" s="79">
        <v>1E-8</v>
      </c>
      <c r="AO68" s="79">
        <v>1E-8</v>
      </c>
      <c r="AP68" s="79">
        <v>1E-8</v>
      </c>
      <c r="AQ68" s="79">
        <v>1E-8</v>
      </c>
      <c r="AR68" s="44"/>
      <c r="AS68" s="34"/>
      <c r="AT68" s="9" t="s">
        <v>365</v>
      </c>
      <c r="AU68" s="44"/>
      <c r="AV68" s="91" t="s">
        <v>374</v>
      </c>
      <c r="AW68" s="79">
        <v>0.39653344363403997</v>
      </c>
      <c r="AX68" s="80">
        <v>5.4716349398919562</v>
      </c>
      <c r="AY68" s="79">
        <v>1E-8</v>
      </c>
      <c r="AZ68" s="79">
        <v>1E-8</v>
      </c>
      <c r="BA68" s="79">
        <v>1E-8</v>
      </c>
      <c r="BB68" s="79">
        <v>1E-8</v>
      </c>
      <c r="BC68" s="79">
        <v>1E-8</v>
      </c>
      <c r="BD68" s="79">
        <v>1E-8</v>
      </c>
      <c r="BE68" s="79">
        <v>1E-8</v>
      </c>
      <c r="BF68" s="79">
        <v>1E-8</v>
      </c>
      <c r="BG68" s="44"/>
      <c r="BH68" s="34"/>
      <c r="BI68" s="9" t="s">
        <v>365</v>
      </c>
      <c r="BJ68" s="44"/>
      <c r="BK68" s="91" t="s">
        <v>374</v>
      </c>
      <c r="BL68" s="79">
        <v>0.35203498650868364</v>
      </c>
      <c r="BM68" s="80">
        <v>1E-8</v>
      </c>
      <c r="BN68" s="79">
        <v>1E-8</v>
      </c>
      <c r="BO68" s="79">
        <v>1E-8</v>
      </c>
      <c r="BP68" s="79">
        <v>1E-8</v>
      </c>
      <c r="BQ68" s="79">
        <v>1E-8</v>
      </c>
      <c r="BR68" s="79">
        <v>1E-8</v>
      </c>
      <c r="BS68" s="79">
        <v>1E-8</v>
      </c>
      <c r="BT68" s="79">
        <v>1E-8</v>
      </c>
      <c r="BU68" s="79">
        <v>1E-8</v>
      </c>
      <c r="BV68" s="44"/>
      <c r="BW68" s="34"/>
      <c r="BX68" s="9" t="s">
        <v>365</v>
      </c>
      <c r="BY68" s="44"/>
      <c r="BZ68" s="91" t="s">
        <v>374</v>
      </c>
      <c r="CA68" s="79">
        <v>0.42715663943046039</v>
      </c>
      <c r="CB68" s="80">
        <v>1E-8</v>
      </c>
      <c r="CC68" s="79">
        <v>1E-8</v>
      </c>
      <c r="CD68" s="79">
        <v>1E-8</v>
      </c>
      <c r="CE68" s="79">
        <v>1E-8</v>
      </c>
      <c r="CF68" s="79">
        <v>1E-8</v>
      </c>
      <c r="CG68" s="79">
        <v>1E-8</v>
      </c>
      <c r="CH68" s="79">
        <v>1E-8</v>
      </c>
      <c r="CI68" s="79">
        <v>1E-8</v>
      </c>
      <c r="CJ68" s="79">
        <v>1E-8</v>
      </c>
      <c r="CK68" s="44"/>
    </row>
    <row r="69" spans="1:89" x14ac:dyDescent="0.35">
      <c r="A69" s="70" t="s">
        <v>641</v>
      </c>
      <c r="B69" s="44"/>
      <c r="C69" s="93" t="s">
        <v>547</v>
      </c>
      <c r="D69" s="85">
        <v>1.8925691844623338</v>
      </c>
      <c r="E69" s="86">
        <v>0.47597947845960942</v>
      </c>
      <c r="F69" s="85">
        <v>1E-8</v>
      </c>
      <c r="G69" s="85">
        <v>1E-8</v>
      </c>
      <c r="H69" s="85">
        <v>1E-8</v>
      </c>
      <c r="I69" s="85">
        <v>1E-8</v>
      </c>
      <c r="J69" s="85">
        <v>1E-8</v>
      </c>
      <c r="K69" s="85">
        <v>1E-8</v>
      </c>
      <c r="L69" s="85">
        <v>1E-8</v>
      </c>
      <c r="M69" s="85">
        <v>1E-8</v>
      </c>
      <c r="N69" s="44"/>
      <c r="O69" s="34"/>
      <c r="P69" s="70" t="s">
        <v>641</v>
      </c>
      <c r="Q69" s="44"/>
      <c r="R69" s="93" t="s">
        <v>547</v>
      </c>
      <c r="S69" s="85">
        <v>2.3516963343943558</v>
      </c>
      <c r="T69" s="86">
        <v>3.636397795867552E-2</v>
      </c>
      <c r="U69" s="85">
        <v>1E-8</v>
      </c>
      <c r="V69" s="85">
        <v>1E-8</v>
      </c>
      <c r="W69" s="85">
        <v>1E-8</v>
      </c>
      <c r="X69" s="85">
        <v>1E-8</v>
      </c>
      <c r="Y69" s="85">
        <v>1E-8</v>
      </c>
      <c r="Z69" s="85">
        <v>1E-8</v>
      </c>
      <c r="AA69" s="85">
        <v>1E-8</v>
      </c>
      <c r="AB69" s="85">
        <v>1E-8</v>
      </c>
      <c r="AC69" s="44"/>
      <c r="AD69" s="34"/>
      <c r="AE69" s="70" t="s">
        <v>641</v>
      </c>
      <c r="AF69" s="44"/>
      <c r="AG69" s="93" t="s">
        <v>547</v>
      </c>
      <c r="AH69" s="85">
        <v>1E-8</v>
      </c>
      <c r="AI69" s="86">
        <v>1E-8</v>
      </c>
      <c r="AJ69" s="85">
        <v>1E-8</v>
      </c>
      <c r="AK69" s="85">
        <v>1E-8</v>
      </c>
      <c r="AL69" s="85">
        <v>1E-8</v>
      </c>
      <c r="AM69" s="85">
        <v>1E-8</v>
      </c>
      <c r="AN69" s="85">
        <v>1E-8</v>
      </c>
      <c r="AO69" s="85">
        <v>1E-8</v>
      </c>
      <c r="AP69" s="85">
        <v>1E-8</v>
      </c>
      <c r="AQ69" s="85">
        <v>1E-8</v>
      </c>
      <c r="AR69" s="44"/>
      <c r="AS69" s="34"/>
      <c r="AT69" s="70" t="s">
        <v>641</v>
      </c>
      <c r="AU69" s="44"/>
      <c r="AV69" s="93" t="s">
        <v>547</v>
      </c>
      <c r="AW69" s="85">
        <v>1E-8</v>
      </c>
      <c r="AX69" s="86">
        <v>1E-8</v>
      </c>
      <c r="AY69" s="85">
        <v>1E-8</v>
      </c>
      <c r="AZ69" s="85">
        <v>1E-8</v>
      </c>
      <c r="BA69" s="85">
        <v>1E-8</v>
      </c>
      <c r="BB69" s="85">
        <v>1E-8</v>
      </c>
      <c r="BC69" s="85">
        <v>1E-8</v>
      </c>
      <c r="BD69" s="85">
        <v>1E-8</v>
      </c>
      <c r="BE69" s="85">
        <v>1E-8</v>
      </c>
      <c r="BF69" s="85">
        <v>1E-8</v>
      </c>
      <c r="BG69" s="44"/>
      <c r="BH69" s="34"/>
      <c r="BI69" s="70" t="s">
        <v>641</v>
      </c>
      <c r="BJ69" s="44"/>
      <c r="BK69" s="93" t="s">
        <v>547</v>
      </c>
      <c r="BL69" s="85">
        <v>1E-8</v>
      </c>
      <c r="BM69" s="86">
        <v>1E-8</v>
      </c>
      <c r="BN69" s="85">
        <v>1E-8</v>
      </c>
      <c r="BO69" s="85">
        <v>1E-8</v>
      </c>
      <c r="BP69" s="85">
        <v>1E-8</v>
      </c>
      <c r="BQ69" s="85">
        <v>1E-8</v>
      </c>
      <c r="BR69" s="85">
        <v>1E-8</v>
      </c>
      <c r="BS69" s="85">
        <v>1E-8</v>
      </c>
      <c r="BT69" s="85">
        <v>1E-8</v>
      </c>
      <c r="BU69" s="85">
        <v>1E-8</v>
      </c>
      <c r="BV69" s="44"/>
      <c r="BW69" s="34"/>
      <c r="BX69" s="70" t="s">
        <v>641</v>
      </c>
      <c r="BY69" s="44"/>
      <c r="BZ69" s="93" t="s">
        <v>547</v>
      </c>
      <c r="CA69" s="85">
        <v>1E-8</v>
      </c>
      <c r="CB69" s="86">
        <v>1E-8</v>
      </c>
      <c r="CC69" s="85">
        <v>1E-8</v>
      </c>
      <c r="CD69" s="85">
        <v>1E-8</v>
      </c>
      <c r="CE69" s="85">
        <v>1E-8</v>
      </c>
      <c r="CF69" s="85">
        <v>1E-8</v>
      </c>
      <c r="CG69" s="85">
        <v>1E-8</v>
      </c>
      <c r="CH69" s="85">
        <v>1E-8</v>
      </c>
      <c r="CI69" s="85">
        <v>1E-8</v>
      </c>
      <c r="CJ69" s="85">
        <v>1E-8</v>
      </c>
      <c r="CK69" s="44"/>
    </row>
    <row r="70" spans="1:89" x14ac:dyDescent="0.35">
      <c r="A70" s="70" t="s">
        <v>642</v>
      </c>
      <c r="B70" s="44"/>
      <c r="C70" s="93" t="s">
        <v>336</v>
      </c>
      <c r="D70" s="85">
        <v>0.51407714117418335</v>
      </c>
      <c r="E70" s="86">
        <v>1.1439755986429656</v>
      </c>
      <c r="F70" s="85">
        <v>1E-8</v>
      </c>
      <c r="G70" s="85">
        <v>1E-8</v>
      </c>
      <c r="H70" s="85">
        <v>1E-8</v>
      </c>
      <c r="I70" s="85">
        <v>1E-8</v>
      </c>
      <c r="J70" s="85">
        <v>1E-8</v>
      </c>
      <c r="K70" s="85">
        <v>1E-8</v>
      </c>
      <c r="L70" s="85">
        <v>1E-8</v>
      </c>
      <c r="M70" s="85">
        <v>1E-8</v>
      </c>
      <c r="N70" s="44"/>
      <c r="O70" s="34"/>
      <c r="P70" s="70" t="s">
        <v>642</v>
      </c>
      <c r="Q70" s="44"/>
      <c r="R70" s="93" t="s">
        <v>336</v>
      </c>
      <c r="S70" s="85">
        <v>0.65362803085447563</v>
      </c>
      <c r="T70" s="86">
        <v>0.89821288159901425</v>
      </c>
      <c r="U70" s="85">
        <v>1E-8</v>
      </c>
      <c r="V70" s="85">
        <v>1E-8</v>
      </c>
      <c r="W70" s="85">
        <v>1E-8</v>
      </c>
      <c r="X70" s="85">
        <v>1E-8</v>
      </c>
      <c r="Y70" s="85">
        <v>1E-8</v>
      </c>
      <c r="Z70" s="85">
        <v>1E-8</v>
      </c>
      <c r="AA70" s="85">
        <v>1E-8</v>
      </c>
      <c r="AB70" s="85">
        <v>1E-8</v>
      </c>
      <c r="AC70" s="44"/>
      <c r="AD70" s="34"/>
      <c r="AE70" s="70" t="s">
        <v>642</v>
      </c>
      <c r="AF70" s="44"/>
      <c r="AG70" s="93" t="s">
        <v>336</v>
      </c>
      <c r="AH70" s="85">
        <v>0.35117743180445049</v>
      </c>
      <c r="AI70" s="86">
        <v>7.6990175142653827</v>
      </c>
      <c r="AJ70" s="85">
        <v>1E-8</v>
      </c>
      <c r="AK70" s="85">
        <v>1E-8</v>
      </c>
      <c r="AL70" s="85">
        <v>1E-8</v>
      </c>
      <c r="AM70" s="85">
        <v>1E-8</v>
      </c>
      <c r="AN70" s="85">
        <v>1E-8</v>
      </c>
      <c r="AO70" s="85">
        <v>1E-8</v>
      </c>
      <c r="AP70" s="85">
        <v>1E-8</v>
      </c>
      <c r="AQ70" s="85">
        <v>1E-8</v>
      </c>
      <c r="AR70" s="44"/>
      <c r="AS70" s="34"/>
      <c r="AT70" s="70" t="s">
        <v>642</v>
      </c>
      <c r="AU70" s="44"/>
      <c r="AV70" s="93" t="s">
        <v>336</v>
      </c>
      <c r="AW70" s="85">
        <v>0.28728651271623123</v>
      </c>
      <c r="AX70" s="86">
        <v>5.5451840937520203</v>
      </c>
      <c r="AY70" s="85">
        <v>1E-8</v>
      </c>
      <c r="AZ70" s="85">
        <v>1E-8</v>
      </c>
      <c r="BA70" s="85">
        <v>1E-8</v>
      </c>
      <c r="BB70" s="85">
        <v>1E-8</v>
      </c>
      <c r="BC70" s="85">
        <v>1E-8</v>
      </c>
      <c r="BD70" s="85">
        <v>1E-8</v>
      </c>
      <c r="BE70" s="85">
        <v>1E-8</v>
      </c>
      <c r="BF70" s="85">
        <v>1E-8</v>
      </c>
      <c r="BG70" s="44"/>
      <c r="BH70" s="34"/>
      <c r="BI70" s="70" t="s">
        <v>642</v>
      </c>
      <c r="BJ70" s="44"/>
      <c r="BK70" s="93" t="s">
        <v>336</v>
      </c>
      <c r="BL70" s="85">
        <v>0.35203498650868364</v>
      </c>
      <c r="BM70" s="86">
        <v>1E-8</v>
      </c>
      <c r="BN70" s="85">
        <v>1E-8</v>
      </c>
      <c r="BO70" s="85">
        <v>1E-8</v>
      </c>
      <c r="BP70" s="85">
        <v>1E-8</v>
      </c>
      <c r="BQ70" s="85">
        <v>1E-8</v>
      </c>
      <c r="BR70" s="85">
        <v>1E-8</v>
      </c>
      <c r="BS70" s="85">
        <v>1E-8</v>
      </c>
      <c r="BT70" s="85">
        <v>1E-8</v>
      </c>
      <c r="BU70" s="85">
        <v>1E-8</v>
      </c>
      <c r="BV70" s="44"/>
      <c r="BW70" s="34"/>
      <c r="BX70" s="70" t="s">
        <v>642</v>
      </c>
      <c r="BY70" s="44"/>
      <c r="BZ70" s="93" t="s">
        <v>336</v>
      </c>
      <c r="CA70" s="85">
        <v>0.30875970270238745</v>
      </c>
      <c r="CB70" s="86">
        <v>1E-8</v>
      </c>
      <c r="CC70" s="85">
        <v>1E-8</v>
      </c>
      <c r="CD70" s="85">
        <v>1E-8</v>
      </c>
      <c r="CE70" s="85">
        <v>1E-8</v>
      </c>
      <c r="CF70" s="85">
        <v>1E-8</v>
      </c>
      <c r="CG70" s="85">
        <v>1E-8</v>
      </c>
      <c r="CH70" s="85">
        <v>1E-8</v>
      </c>
      <c r="CI70" s="85">
        <v>1E-8</v>
      </c>
      <c r="CJ70" s="85">
        <v>1E-8</v>
      </c>
      <c r="CK70" s="44"/>
    </row>
    <row r="71" spans="1:89" x14ac:dyDescent="0.35">
      <c r="A71" s="70" t="s">
        <v>643</v>
      </c>
      <c r="B71" s="44"/>
      <c r="C71" s="93" t="s">
        <v>337</v>
      </c>
      <c r="D71" s="87">
        <v>1.1889655028176073E-2</v>
      </c>
      <c r="E71" s="88">
        <v>7.7121361640286601E-2</v>
      </c>
      <c r="F71" s="87">
        <v>1E-8</v>
      </c>
      <c r="G71" s="87">
        <v>1E-8</v>
      </c>
      <c r="H71" s="87">
        <v>1E-8</v>
      </c>
      <c r="I71" s="87">
        <v>1E-8</v>
      </c>
      <c r="J71" s="87">
        <v>1E-8</v>
      </c>
      <c r="K71" s="87">
        <v>1E-8</v>
      </c>
      <c r="L71" s="87">
        <v>1E-8</v>
      </c>
      <c r="M71" s="87">
        <v>1E-8</v>
      </c>
      <c r="N71" s="44"/>
      <c r="O71" s="34"/>
      <c r="P71" s="70" t="s">
        <v>643</v>
      </c>
      <c r="Q71" s="44"/>
      <c r="R71" s="93" t="s">
        <v>337</v>
      </c>
      <c r="S71" s="87">
        <v>0.11794916730905348</v>
      </c>
      <c r="T71" s="88">
        <v>2.4468816193440546</v>
      </c>
      <c r="U71" s="87">
        <v>1E-8</v>
      </c>
      <c r="V71" s="87">
        <v>1E-8</v>
      </c>
      <c r="W71" s="87">
        <v>1E-8</v>
      </c>
      <c r="X71" s="87">
        <v>1E-8</v>
      </c>
      <c r="Y71" s="87">
        <v>1E-8</v>
      </c>
      <c r="Z71" s="87">
        <v>1E-8</v>
      </c>
      <c r="AA71" s="87">
        <v>1E-8</v>
      </c>
      <c r="AB71" s="87">
        <v>1E-8</v>
      </c>
      <c r="AC71" s="44"/>
      <c r="AD71" s="34"/>
      <c r="AE71" s="70" t="s">
        <v>643</v>
      </c>
      <c r="AF71" s="44"/>
      <c r="AG71" s="93" t="s">
        <v>337</v>
      </c>
      <c r="AH71" s="87">
        <v>1E-8</v>
      </c>
      <c r="AI71" s="88">
        <v>1E-8</v>
      </c>
      <c r="AJ71" s="87">
        <v>1E-8</v>
      </c>
      <c r="AK71" s="87">
        <v>1E-8</v>
      </c>
      <c r="AL71" s="87">
        <v>1E-8</v>
      </c>
      <c r="AM71" s="87">
        <v>1E-8</v>
      </c>
      <c r="AN71" s="87">
        <v>1E-8</v>
      </c>
      <c r="AO71" s="87">
        <v>1E-8</v>
      </c>
      <c r="AP71" s="87">
        <v>1E-8</v>
      </c>
      <c r="AQ71" s="87">
        <v>1E-8</v>
      </c>
      <c r="AR71" s="44"/>
      <c r="AS71" s="34"/>
      <c r="AT71" s="70" t="s">
        <v>643</v>
      </c>
      <c r="AU71" s="44"/>
      <c r="AV71" s="93" t="s">
        <v>337</v>
      </c>
      <c r="AW71" s="87">
        <v>0.10924693091780872</v>
      </c>
      <c r="AX71" s="88">
        <v>5.3606446933846197</v>
      </c>
      <c r="AY71" s="87">
        <v>1E-8</v>
      </c>
      <c r="AZ71" s="87">
        <v>1E-8</v>
      </c>
      <c r="BA71" s="87">
        <v>1E-8</v>
      </c>
      <c r="BB71" s="87">
        <v>1E-8</v>
      </c>
      <c r="BC71" s="87">
        <v>1E-8</v>
      </c>
      <c r="BD71" s="87">
        <v>1E-8</v>
      </c>
      <c r="BE71" s="87">
        <v>1E-8</v>
      </c>
      <c r="BF71" s="87">
        <v>1E-8</v>
      </c>
      <c r="BG71" s="44"/>
      <c r="BH71" s="34"/>
      <c r="BI71" s="70" t="s">
        <v>643</v>
      </c>
      <c r="BJ71" s="44"/>
      <c r="BK71" s="93" t="s">
        <v>337</v>
      </c>
      <c r="BL71" s="87">
        <v>1E-8</v>
      </c>
      <c r="BM71" s="88">
        <v>1E-8</v>
      </c>
      <c r="BN71" s="87">
        <v>1E-8</v>
      </c>
      <c r="BO71" s="87">
        <v>1E-8</v>
      </c>
      <c r="BP71" s="87">
        <v>1E-8</v>
      </c>
      <c r="BQ71" s="87">
        <v>1E-8</v>
      </c>
      <c r="BR71" s="87">
        <v>1E-8</v>
      </c>
      <c r="BS71" s="87">
        <v>1E-8</v>
      </c>
      <c r="BT71" s="87">
        <v>1E-8</v>
      </c>
      <c r="BU71" s="87">
        <v>1E-8</v>
      </c>
      <c r="BV71" s="44"/>
      <c r="BW71" s="34"/>
      <c r="BX71" s="70" t="s">
        <v>643</v>
      </c>
      <c r="BY71" s="44"/>
      <c r="BZ71" s="93" t="s">
        <v>337</v>
      </c>
      <c r="CA71" s="87">
        <v>0.11839693672807294</v>
      </c>
      <c r="CB71" s="88">
        <v>1E-8</v>
      </c>
      <c r="CC71" s="87">
        <v>1E-8</v>
      </c>
      <c r="CD71" s="87">
        <v>1E-8</v>
      </c>
      <c r="CE71" s="87">
        <v>1E-8</v>
      </c>
      <c r="CF71" s="87">
        <v>1E-8</v>
      </c>
      <c r="CG71" s="87">
        <v>1E-8</v>
      </c>
      <c r="CH71" s="87">
        <v>1E-8</v>
      </c>
      <c r="CI71" s="87">
        <v>1E-8</v>
      </c>
      <c r="CJ71" s="87">
        <v>1E-8</v>
      </c>
      <c r="CK71" s="44"/>
    </row>
    <row r="72" spans="1:89" x14ac:dyDescent="0.35">
      <c r="A72" s="9" t="s">
        <v>644</v>
      </c>
      <c r="B72" s="44"/>
      <c r="C72" s="91" t="s">
        <v>338</v>
      </c>
      <c r="D72" s="79">
        <v>0.57168501622017664</v>
      </c>
      <c r="E72" s="80">
        <v>2.5224149604835766</v>
      </c>
      <c r="F72" s="79">
        <v>1E-8</v>
      </c>
      <c r="G72" s="79">
        <v>1E-8</v>
      </c>
      <c r="H72" s="79">
        <v>1E-8</v>
      </c>
      <c r="I72" s="79">
        <v>1E-8</v>
      </c>
      <c r="J72" s="79">
        <v>1E-8</v>
      </c>
      <c r="K72" s="79">
        <v>1E-8</v>
      </c>
      <c r="L72" s="79">
        <v>1E-8</v>
      </c>
      <c r="M72" s="79">
        <v>1E-8</v>
      </c>
      <c r="N72" s="44"/>
      <c r="O72" s="34"/>
      <c r="P72" s="9" t="s">
        <v>644</v>
      </c>
      <c r="Q72" s="44"/>
      <c r="R72" s="91" t="s">
        <v>338</v>
      </c>
      <c r="S72" s="79">
        <v>2.5360034530537723</v>
      </c>
      <c r="T72" s="80">
        <v>0.17466893833906205</v>
      </c>
      <c r="U72" s="79">
        <v>1E-8</v>
      </c>
      <c r="V72" s="79">
        <v>1E-8</v>
      </c>
      <c r="W72" s="79">
        <v>1E-8</v>
      </c>
      <c r="X72" s="79">
        <v>1E-8</v>
      </c>
      <c r="Y72" s="79">
        <v>1E-8</v>
      </c>
      <c r="Z72" s="79">
        <v>1E-8</v>
      </c>
      <c r="AA72" s="79">
        <v>1E-8</v>
      </c>
      <c r="AB72" s="79">
        <v>1E-8</v>
      </c>
      <c r="AC72" s="44"/>
      <c r="AD72" s="34"/>
      <c r="AE72" s="9" t="s">
        <v>644</v>
      </c>
      <c r="AF72" s="44"/>
      <c r="AG72" s="91" t="s">
        <v>338</v>
      </c>
      <c r="AH72" s="79">
        <v>1.1556163021952919</v>
      </c>
      <c r="AI72" s="80">
        <v>18.007771316297539</v>
      </c>
      <c r="AJ72" s="79">
        <v>1E-8</v>
      </c>
      <c r="AK72" s="79">
        <v>1E-8</v>
      </c>
      <c r="AL72" s="79">
        <v>1E-8</v>
      </c>
      <c r="AM72" s="79">
        <v>1E-8</v>
      </c>
      <c r="AN72" s="79">
        <v>1E-8</v>
      </c>
      <c r="AO72" s="79">
        <v>1E-8</v>
      </c>
      <c r="AP72" s="79">
        <v>1E-8</v>
      </c>
      <c r="AQ72" s="79">
        <v>1E-8</v>
      </c>
      <c r="AR72" s="44"/>
      <c r="AS72" s="34"/>
      <c r="AT72" s="9" t="s">
        <v>644</v>
      </c>
      <c r="AU72" s="44"/>
      <c r="AV72" s="91" t="s">
        <v>338</v>
      </c>
      <c r="AW72" s="79">
        <v>6.3221599910994293</v>
      </c>
      <c r="AX72" s="80">
        <v>1.6434491033355814</v>
      </c>
      <c r="AY72" s="79">
        <v>1E-8</v>
      </c>
      <c r="AZ72" s="79">
        <v>1E-8</v>
      </c>
      <c r="BA72" s="79">
        <v>1E-8</v>
      </c>
      <c r="BB72" s="79">
        <v>1E-8</v>
      </c>
      <c r="BC72" s="79">
        <v>1E-8</v>
      </c>
      <c r="BD72" s="79">
        <v>1E-8</v>
      </c>
      <c r="BE72" s="79">
        <v>1E-8</v>
      </c>
      <c r="BF72" s="79">
        <v>1E-8</v>
      </c>
      <c r="BG72" s="44"/>
      <c r="BH72" s="34"/>
      <c r="BI72" s="9" t="s">
        <v>644</v>
      </c>
      <c r="BJ72" s="44"/>
      <c r="BK72" s="91" t="s">
        <v>338</v>
      </c>
      <c r="BL72" s="79">
        <v>2.3599936686867227</v>
      </c>
      <c r="BM72" s="80">
        <v>1E-8</v>
      </c>
      <c r="BN72" s="79">
        <v>1E-8</v>
      </c>
      <c r="BO72" s="79">
        <v>1E-8</v>
      </c>
      <c r="BP72" s="79">
        <v>1E-8</v>
      </c>
      <c r="BQ72" s="79">
        <v>1E-8</v>
      </c>
      <c r="BR72" s="79">
        <v>1E-8</v>
      </c>
      <c r="BS72" s="79">
        <v>1E-8</v>
      </c>
      <c r="BT72" s="79">
        <v>1E-8</v>
      </c>
      <c r="BU72" s="79">
        <v>1E-8</v>
      </c>
      <c r="BV72" s="44"/>
      <c r="BW72" s="34"/>
      <c r="BX72" s="9" t="s">
        <v>644</v>
      </c>
      <c r="BY72" s="44"/>
      <c r="BZ72" s="91" t="s">
        <v>338</v>
      </c>
      <c r="CA72" s="79">
        <v>3.0385586906673594</v>
      </c>
      <c r="CB72" s="80">
        <v>1E-8</v>
      </c>
      <c r="CC72" s="79">
        <v>1E-8</v>
      </c>
      <c r="CD72" s="79">
        <v>1E-8</v>
      </c>
      <c r="CE72" s="79">
        <v>1E-8</v>
      </c>
      <c r="CF72" s="79">
        <v>1E-8</v>
      </c>
      <c r="CG72" s="79">
        <v>1E-8</v>
      </c>
      <c r="CH72" s="79">
        <v>1E-8</v>
      </c>
      <c r="CI72" s="79">
        <v>1E-8</v>
      </c>
      <c r="CJ72" s="79">
        <v>1E-8</v>
      </c>
      <c r="CK72" s="44"/>
    </row>
    <row r="73" spans="1:89" x14ac:dyDescent="0.35">
      <c r="A73" s="9" t="s">
        <v>366</v>
      </c>
      <c r="B73" s="44"/>
      <c r="C73" s="91" t="s">
        <v>339</v>
      </c>
      <c r="D73" s="79">
        <v>0.63625302431512443</v>
      </c>
      <c r="E73" s="80">
        <v>4.8091239983875766</v>
      </c>
      <c r="F73" s="79">
        <v>1E-8</v>
      </c>
      <c r="G73" s="79">
        <v>1E-8</v>
      </c>
      <c r="H73" s="79">
        <v>1E-8</v>
      </c>
      <c r="I73" s="79">
        <v>1E-8</v>
      </c>
      <c r="J73" s="79">
        <v>1E-8</v>
      </c>
      <c r="K73" s="79">
        <v>1E-8</v>
      </c>
      <c r="L73" s="79">
        <v>1E-8</v>
      </c>
      <c r="M73" s="79">
        <v>1E-8</v>
      </c>
      <c r="N73" s="44"/>
      <c r="O73" s="34"/>
      <c r="P73" s="9" t="s">
        <v>366</v>
      </c>
      <c r="Q73" s="44"/>
      <c r="R73" s="91" t="s">
        <v>339</v>
      </c>
      <c r="S73" s="79">
        <v>0.92804457126187034</v>
      </c>
      <c r="T73" s="80">
        <v>4.8234506882471884</v>
      </c>
      <c r="U73" s="79">
        <v>1E-8</v>
      </c>
      <c r="V73" s="79">
        <v>1E-8</v>
      </c>
      <c r="W73" s="79">
        <v>1E-8</v>
      </c>
      <c r="X73" s="79">
        <v>1E-8</v>
      </c>
      <c r="Y73" s="79">
        <v>1E-8</v>
      </c>
      <c r="Z73" s="79">
        <v>1E-8</v>
      </c>
      <c r="AA73" s="79">
        <v>1E-8</v>
      </c>
      <c r="AB73" s="79">
        <v>1E-8</v>
      </c>
      <c r="AC73" s="44"/>
      <c r="AD73" s="34"/>
      <c r="AE73" s="9" t="s">
        <v>366</v>
      </c>
      <c r="AF73" s="44"/>
      <c r="AG73" s="91" t="s">
        <v>339</v>
      </c>
      <c r="AH73" s="79">
        <v>0.48912788089232179</v>
      </c>
      <c r="AI73" s="80">
        <v>7.3668812102918091</v>
      </c>
      <c r="AJ73" s="79">
        <v>1E-8</v>
      </c>
      <c r="AK73" s="79">
        <v>1E-8</v>
      </c>
      <c r="AL73" s="79">
        <v>1E-8</v>
      </c>
      <c r="AM73" s="79">
        <v>1E-8</v>
      </c>
      <c r="AN73" s="79">
        <v>1E-8</v>
      </c>
      <c r="AO73" s="79">
        <v>1E-8</v>
      </c>
      <c r="AP73" s="79">
        <v>1E-8</v>
      </c>
      <c r="AQ73" s="79">
        <v>1E-8</v>
      </c>
      <c r="AR73" s="44"/>
      <c r="AS73" s="34"/>
      <c r="AT73" s="9" t="s">
        <v>366</v>
      </c>
      <c r="AU73" s="44"/>
      <c r="AV73" s="91" t="s">
        <v>339</v>
      </c>
      <c r="AW73" s="79">
        <v>1.7427751413322257</v>
      </c>
      <c r="AX73" s="80">
        <v>5.9154888559230345</v>
      </c>
      <c r="AY73" s="79">
        <v>1E-8</v>
      </c>
      <c r="AZ73" s="79">
        <v>1E-8</v>
      </c>
      <c r="BA73" s="79">
        <v>1E-8</v>
      </c>
      <c r="BB73" s="79">
        <v>1E-8</v>
      </c>
      <c r="BC73" s="79">
        <v>1E-8</v>
      </c>
      <c r="BD73" s="79">
        <v>1E-8</v>
      </c>
      <c r="BE73" s="79">
        <v>1E-8</v>
      </c>
      <c r="BF73" s="79">
        <v>1E-8</v>
      </c>
      <c r="BG73" s="44"/>
      <c r="BH73" s="34"/>
      <c r="BI73" s="9" t="s">
        <v>366</v>
      </c>
      <c r="BJ73" s="44"/>
      <c r="BK73" s="91" t="s">
        <v>339</v>
      </c>
      <c r="BL73" s="79">
        <v>0.47393668750758072</v>
      </c>
      <c r="BM73" s="80">
        <v>1E-8</v>
      </c>
      <c r="BN73" s="79">
        <v>1E-8</v>
      </c>
      <c r="BO73" s="79">
        <v>1E-8</v>
      </c>
      <c r="BP73" s="79">
        <v>1E-8</v>
      </c>
      <c r="BQ73" s="79">
        <v>1E-8</v>
      </c>
      <c r="BR73" s="79">
        <v>1E-8</v>
      </c>
      <c r="BS73" s="79">
        <v>1E-8</v>
      </c>
      <c r="BT73" s="79">
        <v>1E-8</v>
      </c>
      <c r="BU73" s="79">
        <v>1E-8</v>
      </c>
      <c r="BV73" s="44"/>
      <c r="BW73" s="34"/>
      <c r="BX73" s="9" t="s">
        <v>366</v>
      </c>
      <c r="BY73" s="44"/>
      <c r="BZ73" s="91" t="s">
        <v>339</v>
      </c>
      <c r="CA73" s="79">
        <v>1.9192872025742787</v>
      </c>
      <c r="CB73" s="80">
        <v>1E-8</v>
      </c>
      <c r="CC73" s="79">
        <v>1E-8</v>
      </c>
      <c r="CD73" s="79">
        <v>1E-8</v>
      </c>
      <c r="CE73" s="79">
        <v>1E-8</v>
      </c>
      <c r="CF73" s="79">
        <v>1E-8</v>
      </c>
      <c r="CG73" s="79">
        <v>1E-8</v>
      </c>
      <c r="CH73" s="79">
        <v>1E-8</v>
      </c>
      <c r="CI73" s="79">
        <v>1E-8</v>
      </c>
      <c r="CJ73" s="79">
        <v>1E-8</v>
      </c>
      <c r="CK73" s="44"/>
    </row>
    <row r="74" spans="1:89" x14ac:dyDescent="0.35">
      <c r="A74" s="70" t="s">
        <v>645</v>
      </c>
      <c r="B74" s="44"/>
      <c r="C74" s="93" t="s">
        <v>340</v>
      </c>
      <c r="D74" s="85">
        <v>0.38654703145731184</v>
      </c>
      <c r="E74" s="86">
        <v>4.9067015822725102</v>
      </c>
      <c r="F74" s="85">
        <v>1E-8</v>
      </c>
      <c r="G74" s="85">
        <v>1E-8</v>
      </c>
      <c r="H74" s="85">
        <v>1E-8</v>
      </c>
      <c r="I74" s="85">
        <v>1E-8</v>
      </c>
      <c r="J74" s="85">
        <v>1E-8</v>
      </c>
      <c r="K74" s="85">
        <v>1E-8</v>
      </c>
      <c r="L74" s="85">
        <v>1E-8</v>
      </c>
      <c r="M74" s="85">
        <v>1E-8</v>
      </c>
      <c r="N74" s="44"/>
      <c r="O74" s="34"/>
      <c r="P74" s="70" t="s">
        <v>645</v>
      </c>
      <c r="Q74" s="44"/>
      <c r="R74" s="93" t="s">
        <v>340</v>
      </c>
      <c r="S74" s="85">
        <v>0.6672445729569072</v>
      </c>
      <c r="T74" s="86">
        <v>5.0608835287265341</v>
      </c>
      <c r="U74" s="85">
        <v>1E-8</v>
      </c>
      <c r="V74" s="85">
        <v>1E-8</v>
      </c>
      <c r="W74" s="85">
        <v>1E-8</v>
      </c>
      <c r="X74" s="85">
        <v>1E-8</v>
      </c>
      <c r="Y74" s="85">
        <v>1E-8</v>
      </c>
      <c r="Z74" s="85">
        <v>1E-8</v>
      </c>
      <c r="AA74" s="85">
        <v>1E-8</v>
      </c>
      <c r="AB74" s="85">
        <v>1E-8</v>
      </c>
      <c r="AC74" s="44"/>
      <c r="AD74" s="34"/>
      <c r="AE74" s="70" t="s">
        <v>645</v>
      </c>
      <c r="AF74" s="44"/>
      <c r="AG74" s="93" t="s">
        <v>340</v>
      </c>
      <c r="AH74" s="85">
        <v>0.22283386091409529</v>
      </c>
      <c r="AI74" s="86">
        <v>7.2548991869805457</v>
      </c>
      <c r="AJ74" s="85">
        <v>1E-8</v>
      </c>
      <c r="AK74" s="85">
        <v>1E-8</v>
      </c>
      <c r="AL74" s="85">
        <v>1E-8</v>
      </c>
      <c r="AM74" s="85">
        <v>1E-8</v>
      </c>
      <c r="AN74" s="85">
        <v>1E-8</v>
      </c>
      <c r="AO74" s="85">
        <v>1E-8</v>
      </c>
      <c r="AP74" s="85">
        <v>1E-8</v>
      </c>
      <c r="AQ74" s="85">
        <v>1E-8</v>
      </c>
      <c r="AR74" s="44"/>
      <c r="AS74" s="34"/>
      <c r="AT74" s="70" t="s">
        <v>645</v>
      </c>
      <c r="AU74" s="44"/>
      <c r="AV74" s="93" t="s">
        <v>340</v>
      </c>
      <c r="AW74" s="85">
        <v>1.4611740911058719</v>
      </c>
      <c r="AX74" s="86">
        <v>5.941677671319856</v>
      </c>
      <c r="AY74" s="85">
        <v>1E-8</v>
      </c>
      <c r="AZ74" s="85">
        <v>1E-8</v>
      </c>
      <c r="BA74" s="85">
        <v>1E-8</v>
      </c>
      <c r="BB74" s="85">
        <v>1E-8</v>
      </c>
      <c r="BC74" s="85">
        <v>1E-8</v>
      </c>
      <c r="BD74" s="85">
        <v>1E-8</v>
      </c>
      <c r="BE74" s="85">
        <v>1E-8</v>
      </c>
      <c r="BF74" s="85">
        <v>1E-8</v>
      </c>
      <c r="BG74" s="44"/>
      <c r="BH74" s="34"/>
      <c r="BI74" s="70" t="s">
        <v>645</v>
      </c>
      <c r="BJ74" s="44"/>
      <c r="BK74" s="93" t="s">
        <v>340</v>
      </c>
      <c r="BL74" s="85">
        <v>0.21339632316000348</v>
      </c>
      <c r="BM74" s="86">
        <v>1E-8</v>
      </c>
      <c r="BN74" s="85">
        <v>1E-8</v>
      </c>
      <c r="BO74" s="85">
        <v>1E-8</v>
      </c>
      <c r="BP74" s="85">
        <v>1E-8</v>
      </c>
      <c r="BQ74" s="85">
        <v>1E-8</v>
      </c>
      <c r="BR74" s="85">
        <v>1E-8</v>
      </c>
      <c r="BS74" s="85">
        <v>1E-8</v>
      </c>
      <c r="BT74" s="85">
        <v>1E-8</v>
      </c>
      <c r="BU74" s="85">
        <v>1E-8</v>
      </c>
      <c r="BV74" s="44"/>
      <c r="BW74" s="34"/>
      <c r="BX74" s="70" t="s">
        <v>645</v>
      </c>
      <c r="BY74" s="44"/>
      <c r="BZ74" s="93" t="s">
        <v>340</v>
      </c>
      <c r="CA74" s="85">
        <v>1.6154708882576374</v>
      </c>
      <c r="CB74" s="86">
        <v>1E-8</v>
      </c>
      <c r="CC74" s="85">
        <v>1E-8</v>
      </c>
      <c r="CD74" s="85">
        <v>1E-8</v>
      </c>
      <c r="CE74" s="85">
        <v>1E-8</v>
      </c>
      <c r="CF74" s="85">
        <v>1E-8</v>
      </c>
      <c r="CG74" s="85">
        <v>1E-8</v>
      </c>
      <c r="CH74" s="85">
        <v>1E-8</v>
      </c>
      <c r="CI74" s="85">
        <v>1E-8</v>
      </c>
      <c r="CJ74" s="85">
        <v>1E-8</v>
      </c>
      <c r="CK74" s="44"/>
    </row>
    <row r="75" spans="1:89" x14ac:dyDescent="0.35">
      <c r="A75" s="70" t="s">
        <v>646</v>
      </c>
      <c r="B75" s="44"/>
      <c r="C75" s="93" t="s">
        <v>548</v>
      </c>
      <c r="D75" s="85">
        <v>0.24970599285781256</v>
      </c>
      <c r="E75" s="86">
        <v>4.6580730566147421</v>
      </c>
      <c r="F75" s="85">
        <v>1E-8</v>
      </c>
      <c r="G75" s="85">
        <v>1E-8</v>
      </c>
      <c r="H75" s="85">
        <v>1E-8</v>
      </c>
      <c r="I75" s="85">
        <v>1E-8</v>
      </c>
      <c r="J75" s="85">
        <v>1E-8</v>
      </c>
      <c r="K75" s="85">
        <v>1E-8</v>
      </c>
      <c r="L75" s="85">
        <v>1E-8</v>
      </c>
      <c r="M75" s="85">
        <v>1E-8</v>
      </c>
      <c r="N75" s="44"/>
      <c r="O75" s="34"/>
      <c r="P75" s="70" t="s">
        <v>646</v>
      </c>
      <c r="Q75" s="44"/>
      <c r="R75" s="93" t="s">
        <v>548</v>
      </c>
      <c r="S75" s="85">
        <v>0.26079999830496325</v>
      </c>
      <c r="T75" s="86">
        <v>4.2021614508986227</v>
      </c>
      <c r="U75" s="85">
        <v>1E-8</v>
      </c>
      <c r="V75" s="85">
        <v>1E-8</v>
      </c>
      <c r="W75" s="85">
        <v>1E-8</v>
      </c>
      <c r="X75" s="85">
        <v>1E-8</v>
      </c>
      <c r="Y75" s="85">
        <v>1E-8</v>
      </c>
      <c r="Z75" s="85">
        <v>1E-8</v>
      </c>
      <c r="AA75" s="85">
        <v>1E-8</v>
      </c>
      <c r="AB75" s="85">
        <v>1E-8</v>
      </c>
      <c r="AC75" s="44"/>
      <c r="AD75" s="34"/>
      <c r="AE75" s="70" t="s">
        <v>646</v>
      </c>
      <c r="AF75" s="44"/>
      <c r="AG75" s="93" t="s">
        <v>548</v>
      </c>
      <c r="AH75" s="85">
        <v>0.26629401997822649</v>
      </c>
      <c r="AI75" s="86">
        <v>7.4605873573899029</v>
      </c>
      <c r="AJ75" s="85">
        <v>1E-8</v>
      </c>
      <c r="AK75" s="85">
        <v>1E-8</v>
      </c>
      <c r="AL75" s="85">
        <v>1E-8</v>
      </c>
      <c r="AM75" s="85">
        <v>1E-8</v>
      </c>
      <c r="AN75" s="85">
        <v>1E-8</v>
      </c>
      <c r="AO75" s="85">
        <v>1E-8</v>
      </c>
      <c r="AP75" s="85">
        <v>1E-8</v>
      </c>
      <c r="AQ75" s="85">
        <v>1E-8</v>
      </c>
      <c r="AR75" s="44"/>
      <c r="AS75" s="34"/>
      <c r="AT75" s="70" t="s">
        <v>646</v>
      </c>
      <c r="AU75" s="44"/>
      <c r="AV75" s="93" t="s">
        <v>548</v>
      </c>
      <c r="AW75" s="85">
        <v>0.28160105022635368</v>
      </c>
      <c r="AX75" s="86">
        <v>5.7813370933672337</v>
      </c>
      <c r="AY75" s="85">
        <v>1E-8</v>
      </c>
      <c r="AZ75" s="85">
        <v>1E-8</v>
      </c>
      <c r="BA75" s="85">
        <v>1E-8</v>
      </c>
      <c r="BB75" s="85">
        <v>1E-8</v>
      </c>
      <c r="BC75" s="85">
        <v>1E-8</v>
      </c>
      <c r="BD75" s="85">
        <v>1E-8</v>
      </c>
      <c r="BE75" s="85">
        <v>1E-8</v>
      </c>
      <c r="BF75" s="85">
        <v>1E-8</v>
      </c>
      <c r="BG75" s="44"/>
      <c r="BH75" s="34"/>
      <c r="BI75" s="70" t="s">
        <v>646</v>
      </c>
      <c r="BJ75" s="44"/>
      <c r="BK75" s="93" t="s">
        <v>548</v>
      </c>
      <c r="BL75" s="85">
        <v>0.26054036434757721</v>
      </c>
      <c r="BM75" s="86">
        <v>1E-8</v>
      </c>
      <c r="BN75" s="85">
        <v>1E-8</v>
      </c>
      <c r="BO75" s="85">
        <v>1E-8</v>
      </c>
      <c r="BP75" s="85">
        <v>1E-8</v>
      </c>
      <c r="BQ75" s="85">
        <v>1E-8</v>
      </c>
      <c r="BR75" s="85">
        <v>1E-8</v>
      </c>
      <c r="BS75" s="85">
        <v>1E-8</v>
      </c>
      <c r="BT75" s="85">
        <v>1E-8</v>
      </c>
      <c r="BU75" s="85">
        <v>1E-8</v>
      </c>
      <c r="BV75" s="44"/>
      <c r="BW75" s="34"/>
      <c r="BX75" s="70" t="s">
        <v>646</v>
      </c>
      <c r="BY75" s="44"/>
      <c r="BZ75" s="93" t="s">
        <v>548</v>
      </c>
      <c r="CA75" s="85">
        <v>0.30381631431664119</v>
      </c>
      <c r="CB75" s="86">
        <v>1E-8</v>
      </c>
      <c r="CC75" s="85">
        <v>1E-8</v>
      </c>
      <c r="CD75" s="85">
        <v>1E-8</v>
      </c>
      <c r="CE75" s="85">
        <v>1E-8</v>
      </c>
      <c r="CF75" s="85">
        <v>1E-8</v>
      </c>
      <c r="CG75" s="85">
        <v>1E-8</v>
      </c>
      <c r="CH75" s="85">
        <v>1E-8</v>
      </c>
      <c r="CI75" s="85">
        <v>1E-8</v>
      </c>
      <c r="CJ75" s="85">
        <v>1E-8</v>
      </c>
      <c r="CK75" s="44"/>
    </row>
    <row r="76" spans="1:89" x14ac:dyDescent="0.35">
      <c r="A76" s="9" t="s">
        <v>367</v>
      </c>
      <c r="B76" s="44"/>
      <c r="C76" s="91" t="s">
        <v>341</v>
      </c>
      <c r="D76" s="79">
        <v>0.93435836728667143</v>
      </c>
      <c r="E76" s="80">
        <v>27.147773153513775</v>
      </c>
      <c r="F76" s="79">
        <v>1E-8</v>
      </c>
      <c r="G76" s="79">
        <v>1E-8</v>
      </c>
      <c r="H76" s="79">
        <v>1E-8</v>
      </c>
      <c r="I76" s="79">
        <v>1E-8</v>
      </c>
      <c r="J76" s="79">
        <v>1E-8</v>
      </c>
      <c r="K76" s="79">
        <v>1E-8</v>
      </c>
      <c r="L76" s="79">
        <v>1E-8</v>
      </c>
      <c r="M76" s="79">
        <v>1E-8</v>
      </c>
      <c r="N76" s="44"/>
      <c r="O76" s="34"/>
      <c r="P76" s="9" t="s">
        <v>367</v>
      </c>
      <c r="Q76" s="44"/>
      <c r="R76" s="91" t="s">
        <v>341</v>
      </c>
      <c r="S76" s="79">
        <v>7.4812203400830404</v>
      </c>
      <c r="T76" s="80">
        <v>15.460661573538204</v>
      </c>
      <c r="U76" s="79">
        <v>1E-8</v>
      </c>
      <c r="V76" s="79">
        <v>1E-8</v>
      </c>
      <c r="W76" s="79">
        <v>1E-8</v>
      </c>
      <c r="X76" s="79">
        <v>1E-8</v>
      </c>
      <c r="Y76" s="79">
        <v>1E-8</v>
      </c>
      <c r="Z76" s="79">
        <v>1E-8</v>
      </c>
      <c r="AA76" s="79">
        <v>1E-8</v>
      </c>
      <c r="AB76" s="79">
        <v>1E-8</v>
      </c>
      <c r="AC76" s="44"/>
      <c r="AD76" s="34"/>
      <c r="AE76" s="9" t="s">
        <v>367</v>
      </c>
      <c r="AF76" s="44"/>
      <c r="AG76" s="91" t="s">
        <v>341</v>
      </c>
      <c r="AH76" s="79">
        <v>1.276786305732547</v>
      </c>
      <c r="AI76" s="80">
        <v>8.8678398251472288</v>
      </c>
      <c r="AJ76" s="79">
        <v>1E-8</v>
      </c>
      <c r="AK76" s="79">
        <v>1E-8</v>
      </c>
      <c r="AL76" s="79">
        <v>1E-8</v>
      </c>
      <c r="AM76" s="79">
        <v>1E-8</v>
      </c>
      <c r="AN76" s="79">
        <v>1E-8</v>
      </c>
      <c r="AO76" s="79">
        <v>1E-8</v>
      </c>
      <c r="AP76" s="79">
        <v>1E-8</v>
      </c>
      <c r="AQ76" s="79">
        <v>1E-8</v>
      </c>
      <c r="AR76" s="44"/>
      <c r="AS76" s="34"/>
      <c r="AT76" s="9" t="s">
        <v>367</v>
      </c>
      <c r="AU76" s="44"/>
      <c r="AV76" s="91" t="s">
        <v>341</v>
      </c>
      <c r="AW76" s="79">
        <v>27.704964650912373</v>
      </c>
      <c r="AX76" s="80">
        <v>15.32887427591354</v>
      </c>
      <c r="AY76" s="79">
        <v>1E-8</v>
      </c>
      <c r="AZ76" s="79">
        <v>1E-8</v>
      </c>
      <c r="BA76" s="79">
        <v>1E-8</v>
      </c>
      <c r="BB76" s="79">
        <v>1E-8</v>
      </c>
      <c r="BC76" s="79">
        <v>1E-8</v>
      </c>
      <c r="BD76" s="79">
        <v>1E-8</v>
      </c>
      <c r="BE76" s="79">
        <v>1E-8</v>
      </c>
      <c r="BF76" s="79">
        <v>1E-8</v>
      </c>
      <c r="BG76" s="44"/>
      <c r="BH76" s="34"/>
      <c r="BI76" s="9" t="s">
        <v>367</v>
      </c>
      <c r="BJ76" s="44"/>
      <c r="BK76" s="91" t="s">
        <v>341</v>
      </c>
      <c r="BL76" s="79">
        <v>1.430422922486253</v>
      </c>
      <c r="BM76" s="80">
        <v>1E-8</v>
      </c>
      <c r="BN76" s="79">
        <v>1E-8</v>
      </c>
      <c r="BO76" s="79">
        <v>1E-8</v>
      </c>
      <c r="BP76" s="79">
        <v>1E-8</v>
      </c>
      <c r="BQ76" s="79">
        <v>1E-8</v>
      </c>
      <c r="BR76" s="79">
        <v>1E-8</v>
      </c>
      <c r="BS76" s="79">
        <v>1E-8</v>
      </c>
      <c r="BT76" s="79">
        <v>1E-8</v>
      </c>
      <c r="BU76" s="79">
        <v>1E-8</v>
      </c>
      <c r="BV76" s="44"/>
      <c r="BW76" s="34"/>
      <c r="BX76" s="9" t="s">
        <v>367</v>
      </c>
      <c r="BY76" s="44"/>
      <c r="BZ76" s="91" t="s">
        <v>341</v>
      </c>
      <c r="CA76" s="79">
        <v>27.808495395283924</v>
      </c>
      <c r="CB76" s="80">
        <v>11.981906339651861</v>
      </c>
      <c r="CC76" s="79">
        <v>1E-8</v>
      </c>
      <c r="CD76" s="79">
        <v>1E-8</v>
      </c>
      <c r="CE76" s="79">
        <v>1E-8</v>
      </c>
      <c r="CF76" s="79">
        <v>1E-8</v>
      </c>
      <c r="CG76" s="79">
        <v>1E-8</v>
      </c>
      <c r="CH76" s="79">
        <v>1E-8</v>
      </c>
      <c r="CI76" s="79">
        <v>1E-8</v>
      </c>
      <c r="CJ76" s="79">
        <v>1E-8</v>
      </c>
      <c r="CK76" s="44"/>
    </row>
    <row r="77" spans="1:89" x14ac:dyDescent="0.35">
      <c r="A77" s="70" t="s">
        <v>647</v>
      </c>
      <c r="B77" s="44"/>
      <c r="C77" s="93" t="s">
        <v>342</v>
      </c>
      <c r="D77" s="85">
        <v>2.409418395313188E-3</v>
      </c>
      <c r="E77" s="86">
        <v>7.6790471394671433</v>
      </c>
      <c r="F77" s="85">
        <v>1E-8</v>
      </c>
      <c r="G77" s="85">
        <v>1E-8</v>
      </c>
      <c r="H77" s="85">
        <v>1E-8</v>
      </c>
      <c r="I77" s="85">
        <v>1E-8</v>
      </c>
      <c r="J77" s="85">
        <v>1E-8</v>
      </c>
      <c r="K77" s="85">
        <v>1E-8</v>
      </c>
      <c r="L77" s="85">
        <v>1E-8</v>
      </c>
      <c r="M77" s="85">
        <v>1E-8</v>
      </c>
      <c r="N77" s="44"/>
      <c r="O77" s="34"/>
      <c r="P77" s="70" t="s">
        <v>647</v>
      </c>
      <c r="Q77" s="44"/>
      <c r="R77" s="93" t="s">
        <v>342</v>
      </c>
      <c r="S77" s="85">
        <v>3.9381985434906825</v>
      </c>
      <c r="T77" s="86">
        <v>5.084983501474416</v>
      </c>
      <c r="U77" s="85">
        <v>1E-8</v>
      </c>
      <c r="V77" s="85">
        <v>1E-8</v>
      </c>
      <c r="W77" s="85">
        <v>1E-8</v>
      </c>
      <c r="X77" s="85">
        <v>1E-8</v>
      </c>
      <c r="Y77" s="85">
        <v>1E-8</v>
      </c>
      <c r="Z77" s="85">
        <v>1E-8</v>
      </c>
      <c r="AA77" s="85">
        <v>1E-8</v>
      </c>
      <c r="AB77" s="85">
        <v>1E-8</v>
      </c>
      <c r="AC77" s="44"/>
      <c r="AD77" s="34"/>
      <c r="AE77" s="70" t="s">
        <v>647</v>
      </c>
      <c r="AF77" s="44"/>
      <c r="AG77" s="93" t="s">
        <v>342</v>
      </c>
      <c r="AH77" s="85">
        <v>2.2714502444419662E-2</v>
      </c>
      <c r="AI77" s="86">
        <v>8.3350131062131396</v>
      </c>
      <c r="AJ77" s="85">
        <v>1E-8</v>
      </c>
      <c r="AK77" s="85">
        <v>1E-8</v>
      </c>
      <c r="AL77" s="85">
        <v>1E-8</v>
      </c>
      <c r="AM77" s="85">
        <v>1E-8</v>
      </c>
      <c r="AN77" s="85">
        <v>1E-8</v>
      </c>
      <c r="AO77" s="85">
        <v>1E-8</v>
      </c>
      <c r="AP77" s="85">
        <v>1E-8</v>
      </c>
      <c r="AQ77" s="85">
        <v>1E-8</v>
      </c>
      <c r="AR77" s="44"/>
      <c r="AS77" s="34"/>
      <c r="AT77" s="70" t="s">
        <v>647</v>
      </c>
      <c r="AU77" s="44"/>
      <c r="AV77" s="93" t="s">
        <v>342</v>
      </c>
      <c r="AW77" s="85">
        <v>16.279729816401783</v>
      </c>
      <c r="AX77" s="86">
        <v>5.0850435182558495</v>
      </c>
      <c r="AY77" s="85">
        <v>1E-8</v>
      </c>
      <c r="AZ77" s="85">
        <v>1E-8</v>
      </c>
      <c r="BA77" s="85">
        <v>1E-8</v>
      </c>
      <c r="BB77" s="85">
        <v>1E-8</v>
      </c>
      <c r="BC77" s="85">
        <v>1E-8</v>
      </c>
      <c r="BD77" s="85">
        <v>1E-8</v>
      </c>
      <c r="BE77" s="85">
        <v>1E-8</v>
      </c>
      <c r="BF77" s="85">
        <v>1E-8</v>
      </c>
      <c r="BG77" s="44"/>
      <c r="BH77" s="34"/>
      <c r="BI77" s="70" t="s">
        <v>647</v>
      </c>
      <c r="BJ77" s="44"/>
      <c r="BK77" s="93" t="s">
        <v>342</v>
      </c>
      <c r="BL77" s="85">
        <v>2.4227042934916496E-2</v>
      </c>
      <c r="BM77" s="86">
        <v>1E-8</v>
      </c>
      <c r="BN77" s="85">
        <v>1E-8</v>
      </c>
      <c r="BO77" s="85">
        <v>1E-8</v>
      </c>
      <c r="BP77" s="85">
        <v>1E-8</v>
      </c>
      <c r="BQ77" s="85">
        <v>1E-8</v>
      </c>
      <c r="BR77" s="85">
        <v>1E-8</v>
      </c>
      <c r="BS77" s="85">
        <v>1E-8</v>
      </c>
      <c r="BT77" s="85">
        <v>1E-8</v>
      </c>
      <c r="BU77" s="85">
        <v>1E-8</v>
      </c>
      <c r="BV77" s="44"/>
      <c r="BW77" s="34"/>
      <c r="BX77" s="70" t="s">
        <v>647</v>
      </c>
      <c r="BY77" s="44"/>
      <c r="BZ77" s="93" t="s">
        <v>342</v>
      </c>
      <c r="CA77" s="85">
        <v>16.964826254991621</v>
      </c>
      <c r="CB77" s="86">
        <v>1E-8</v>
      </c>
      <c r="CC77" s="85">
        <v>1E-8</v>
      </c>
      <c r="CD77" s="85">
        <v>1E-8</v>
      </c>
      <c r="CE77" s="85">
        <v>1E-8</v>
      </c>
      <c r="CF77" s="85">
        <v>1E-8</v>
      </c>
      <c r="CG77" s="85">
        <v>1E-8</v>
      </c>
      <c r="CH77" s="85">
        <v>1E-8</v>
      </c>
      <c r="CI77" s="85">
        <v>1E-8</v>
      </c>
      <c r="CJ77" s="85">
        <v>1E-8</v>
      </c>
      <c r="CK77" s="44"/>
    </row>
    <row r="78" spans="1:89" x14ac:dyDescent="0.35">
      <c r="A78" s="70" t="s">
        <v>648</v>
      </c>
      <c r="B78" s="44"/>
      <c r="C78" s="93" t="s">
        <v>343</v>
      </c>
      <c r="D78" s="85">
        <v>0.59217910623533954</v>
      </c>
      <c r="E78" s="86">
        <v>38.665355626430539</v>
      </c>
      <c r="F78" s="85">
        <v>1E-8</v>
      </c>
      <c r="G78" s="85">
        <v>1E-8</v>
      </c>
      <c r="H78" s="85">
        <v>1E-8</v>
      </c>
      <c r="I78" s="85">
        <v>1E-8</v>
      </c>
      <c r="J78" s="85">
        <v>1E-8</v>
      </c>
      <c r="K78" s="85">
        <v>1E-8</v>
      </c>
      <c r="L78" s="85">
        <v>1E-8</v>
      </c>
      <c r="M78" s="85">
        <v>1E-8</v>
      </c>
      <c r="N78" s="44"/>
      <c r="O78" s="34"/>
      <c r="P78" s="70" t="s">
        <v>648</v>
      </c>
      <c r="Q78" s="44"/>
      <c r="R78" s="93" t="s">
        <v>343</v>
      </c>
      <c r="S78" s="85">
        <v>1.9503608618699602</v>
      </c>
      <c r="T78" s="86">
        <v>41.665394294171399</v>
      </c>
      <c r="U78" s="85">
        <v>1E-8</v>
      </c>
      <c r="V78" s="85">
        <v>1E-8</v>
      </c>
      <c r="W78" s="85">
        <v>1E-8</v>
      </c>
      <c r="X78" s="85">
        <v>1E-8</v>
      </c>
      <c r="Y78" s="85">
        <v>1E-8</v>
      </c>
      <c r="Z78" s="85">
        <v>1E-8</v>
      </c>
      <c r="AA78" s="85">
        <v>1E-8</v>
      </c>
      <c r="AB78" s="85">
        <v>1E-8</v>
      </c>
      <c r="AC78" s="44"/>
      <c r="AD78" s="34"/>
      <c r="AE78" s="70" t="s">
        <v>648</v>
      </c>
      <c r="AF78" s="44"/>
      <c r="AG78" s="93" t="s">
        <v>343</v>
      </c>
      <c r="AH78" s="85">
        <v>0.86495554924563745</v>
      </c>
      <c r="AI78" s="86">
        <v>8.8570100666654827</v>
      </c>
      <c r="AJ78" s="85">
        <v>1E-8</v>
      </c>
      <c r="AK78" s="85">
        <v>1E-8</v>
      </c>
      <c r="AL78" s="85">
        <v>1E-8</v>
      </c>
      <c r="AM78" s="85">
        <v>1E-8</v>
      </c>
      <c r="AN78" s="85">
        <v>1E-8</v>
      </c>
      <c r="AO78" s="85">
        <v>1E-8</v>
      </c>
      <c r="AP78" s="85">
        <v>1E-8</v>
      </c>
      <c r="AQ78" s="85">
        <v>1E-8</v>
      </c>
      <c r="AR78" s="44"/>
      <c r="AS78" s="34"/>
      <c r="AT78" s="70" t="s">
        <v>648</v>
      </c>
      <c r="AU78" s="44"/>
      <c r="AV78" s="93" t="s">
        <v>343</v>
      </c>
      <c r="AW78" s="85">
        <v>6.0111419384561335</v>
      </c>
      <c r="AX78" s="86">
        <v>46.984778054632123</v>
      </c>
      <c r="AY78" s="85">
        <v>1E-8</v>
      </c>
      <c r="AZ78" s="85">
        <v>1E-8</v>
      </c>
      <c r="BA78" s="85">
        <v>1E-8</v>
      </c>
      <c r="BB78" s="85">
        <v>1E-8</v>
      </c>
      <c r="BC78" s="85">
        <v>1E-8</v>
      </c>
      <c r="BD78" s="85">
        <v>1E-8</v>
      </c>
      <c r="BE78" s="85">
        <v>1E-8</v>
      </c>
      <c r="BF78" s="85">
        <v>1E-8</v>
      </c>
      <c r="BG78" s="44"/>
      <c r="BH78" s="34"/>
      <c r="BI78" s="70" t="s">
        <v>648</v>
      </c>
      <c r="BJ78" s="44"/>
      <c r="BK78" s="93" t="s">
        <v>343</v>
      </c>
      <c r="BL78" s="85">
        <v>0.96809148141100998</v>
      </c>
      <c r="BM78" s="86">
        <v>1E-8</v>
      </c>
      <c r="BN78" s="85">
        <v>1E-8</v>
      </c>
      <c r="BO78" s="85">
        <v>1E-8</v>
      </c>
      <c r="BP78" s="85">
        <v>1E-8</v>
      </c>
      <c r="BQ78" s="85">
        <v>1E-8</v>
      </c>
      <c r="BR78" s="85">
        <v>1E-8</v>
      </c>
      <c r="BS78" s="85">
        <v>1E-8</v>
      </c>
      <c r="BT78" s="85">
        <v>1E-8</v>
      </c>
      <c r="BU78" s="85">
        <v>1E-8</v>
      </c>
      <c r="BV78" s="44"/>
      <c r="BW78" s="34"/>
      <c r="BX78" s="70" t="s">
        <v>648</v>
      </c>
      <c r="BY78" s="44"/>
      <c r="BZ78" s="93" t="s">
        <v>343</v>
      </c>
      <c r="CA78" s="85">
        <v>5.8855840699149837</v>
      </c>
      <c r="CB78" s="86">
        <v>50</v>
      </c>
      <c r="CC78" s="85">
        <v>1E-8</v>
      </c>
      <c r="CD78" s="85">
        <v>1E-8</v>
      </c>
      <c r="CE78" s="85">
        <v>1E-8</v>
      </c>
      <c r="CF78" s="85">
        <v>1E-8</v>
      </c>
      <c r="CG78" s="85">
        <v>1E-8</v>
      </c>
      <c r="CH78" s="85">
        <v>1E-8</v>
      </c>
      <c r="CI78" s="85">
        <v>1E-8</v>
      </c>
      <c r="CJ78" s="85">
        <v>1E-8</v>
      </c>
      <c r="CK78" s="44"/>
    </row>
    <row r="79" spans="1:89" x14ac:dyDescent="0.35">
      <c r="A79" s="70" t="s">
        <v>649</v>
      </c>
      <c r="B79" s="44"/>
      <c r="C79" s="93" t="s">
        <v>549</v>
      </c>
      <c r="D79" s="85">
        <v>4.6033055701470219E-2</v>
      </c>
      <c r="E79" s="86">
        <v>6.0167293444618908</v>
      </c>
      <c r="F79" s="85">
        <v>1E-8</v>
      </c>
      <c r="G79" s="85">
        <v>1E-8</v>
      </c>
      <c r="H79" s="85">
        <v>1E-8</v>
      </c>
      <c r="I79" s="85">
        <v>1E-8</v>
      </c>
      <c r="J79" s="85">
        <v>1E-8</v>
      </c>
      <c r="K79" s="85">
        <v>1E-8</v>
      </c>
      <c r="L79" s="85">
        <v>1E-8</v>
      </c>
      <c r="M79" s="85">
        <v>1E-8</v>
      </c>
      <c r="N79" s="44"/>
      <c r="O79" s="34"/>
      <c r="P79" s="70" t="s">
        <v>649</v>
      </c>
      <c r="Q79" s="44"/>
      <c r="R79" s="93" t="s">
        <v>549</v>
      </c>
      <c r="S79" s="85">
        <v>0.82263242124402913</v>
      </c>
      <c r="T79" s="86">
        <v>4.1498304837108924</v>
      </c>
      <c r="U79" s="85">
        <v>1E-8</v>
      </c>
      <c r="V79" s="85">
        <v>1E-8</v>
      </c>
      <c r="W79" s="85">
        <v>1E-8</v>
      </c>
      <c r="X79" s="85">
        <v>1E-8</v>
      </c>
      <c r="Y79" s="85">
        <v>1E-8</v>
      </c>
      <c r="Z79" s="85">
        <v>1E-8</v>
      </c>
      <c r="AA79" s="85">
        <v>1E-8</v>
      </c>
      <c r="AB79" s="85">
        <v>1E-8</v>
      </c>
      <c r="AC79" s="44"/>
      <c r="AD79" s="34"/>
      <c r="AE79" s="70" t="s">
        <v>649</v>
      </c>
      <c r="AF79" s="44"/>
      <c r="AG79" s="93" t="s">
        <v>549</v>
      </c>
      <c r="AH79" s="85">
        <v>1E-8</v>
      </c>
      <c r="AI79" s="86">
        <v>1E-8</v>
      </c>
      <c r="AJ79" s="85">
        <v>1E-8</v>
      </c>
      <c r="AK79" s="85">
        <v>1E-8</v>
      </c>
      <c r="AL79" s="85">
        <v>1E-8</v>
      </c>
      <c r="AM79" s="85">
        <v>1E-8</v>
      </c>
      <c r="AN79" s="85">
        <v>1E-8</v>
      </c>
      <c r="AO79" s="85">
        <v>1E-8</v>
      </c>
      <c r="AP79" s="85">
        <v>1E-8</v>
      </c>
      <c r="AQ79" s="85">
        <v>1E-8</v>
      </c>
      <c r="AR79" s="44"/>
      <c r="AS79" s="34"/>
      <c r="AT79" s="70" t="s">
        <v>649</v>
      </c>
      <c r="AU79" s="44"/>
      <c r="AV79" s="93" t="s">
        <v>549</v>
      </c>
      <c r="AW79" s="85">
        <v>3.4194641858921959</v>
      </c>
      <c r="AX79" s="86">
        <v>4.2168081492257592</v>
      </c>
      <c r="AY79" s="85">
        <v>1E-8</v>
      </c>
      <c r="AZ79" s="85">
        <v>1E-8</v>
      </c>
      <c r="BA79" s="85">
        <v>1E-8</v>
      </c>
      <c r="BB79" s="85">
        <v>1E-8</v>
      </c>
      <c r="BC79" s="85">
        <v>1E-8</v>
      </c>
      <c r="BD79" s="85">
        <v>1E-8</v>
      </c>
      <c r="BE79" s="85">
        <v>1E-8</v>
      </c>
      <c r="BF79" s="85">
        <v>1E-8</v>
      </c>
      <c r="BG79" s="44"/>
      <c r="BH79" s="34"/>
      <c r="BI79" s="70" t="s">
        <v>649</v>
      </c>
      <c r="BJ79" s="44"/>
      <c r="BK79" s="93" t="s">
        <v>549</v>
      </c>
      <c r="BL79" s="85">
        <v>1E-8</v>
      </c>
      <c r="BM79" s="86">
        <v>1E-8</v>
      </c>
      <c r="BN79" s="85">
        <v>1E-8</v>
      </c>
      <c r="BO79" s="85">
        <v>1E-8</v>
      </c>
      <c r="BP79" s="85">
        <v>1E-8</v>
      </c>
      <c r="BQ79" s="85">
        <v>1E-8</v>
      </c>
      <c r="BR79" s="85">
        <v>1E-8</v>
      </c>
      <c r="BS79" s="85">
        <v>1E-8</v>
      </c>
      <c r="BT79" s="85">
        <v>1E-8</v>
      </c>
      <c r="BU79" s="85">
        <v>1E-8</v>
      </c>
      <c r="BV79" s="44"/>
      <c r="BW79" s="34"/>
      <c r="BX79" s="70" t="s">
        <v>649</v>
      </c>
      <c r="BY79" s="44"/>
      <c r="BZ79" s="93" t="s">
        <v>549</v>
      </c>
      <c r="CA79" s="85">
        <v>3.1528392563392607</v>
      </c>
      <c r="CB79" s="86">
        <v>1E-8</v>
      </c>
      <c r="CC79" s="85">
        <v>1E-8</v>
      </c>
      <c r="CD79" s="85">
        <v>1E-8</v>
      </c>
      <c r="CE79" s="85">
        <v>1E-8</v>
      </c>
      <c r="CF79" s="85">
        <v>1E-8</v>
      </c>
      <c r="CG79" s="85">
        <v>1E-8</v>
      </c>
      <c r="CH79" s="85">
        <v>1E-8</v>
      </c>
      <c r="CI79" s="85">
        <v>1E-8</v>
      </c>
      <c r="CJ79" s="85">
        <v>1E-8</v>
      </c>
      <c r="CK79" s="44"/>
    </row>
    <row r="80" spans="1:89" x14ac:dyDescent="0.35">
      <c r="A80" s="70" t="s">
        <v>650</v>
      </c>
      <c r="B80" s="44"/>
      <c r="C80" s="93" t="s">
        <v>550</v>
      </c>
      <c r="D80" s="85">
        <v>0.29373678695454863</v>
      </c>
      <c r="E80" s="86">
        <v>7.3993550828231003</v>
      </c>
      <c r="F80" s="85">
        <v>1E-8</v>
      </c>
      <c r="G80" s="85">
        <v>1E-8</v>
      </c>
      <c r="H80" s="85">
        <v>1E-8</v>
      </c>
      <c r="I80" s="85">
        <v>1E-8</v>
      </c>
      <c r="J80" s="85">
        <v>1E-8</v>
      </c>
      <c r="K80" s="85">
        <v>1E-8</v>
      </c>
      <c r="L80" s="85">
        <v>1E-8</v>
      </c>
      <c r="M80" s="85">
        <v>1E-8</v>
      </c>
      <c r="N80" s="44"/>
      <c r="O80" s="34"/>
      <c r="P80" s="70" t="s">
        <v>650</v>
      </c>
      <c r="Q80" s="44"/>
      <c r="R80" s="93" t="s">
        <v>550</v>
      </c>
      <c r="S80" s="85">
        <v>0.77002851347836931</v>
      </c>
      <c r="T80" s="86">
        <v>4.7222853930695585</v>
      </c>
      <c r="U80" s="85">
        <v>1E-8</v>
      </c>
      <c r="V80" s="85">
        <v>1E-8</v>
      </c>
      <c r="W80" s="85">
        <v>1E-8</v>
      </c>
      <c r="X80" s="85">
        <v>1E-8</v>
      </c>
      <c r="Y80" s="85">
        <v>1E-8</v>
      </c>
      <c r="Z80" s="85">
        <v>1E-8</v>
      </c>
      <c r="AA80" s="85">
        <v>1E-8</v>
      </c>
      <c r="AB80" s="85">
        <v>1E-8</v>
      </c>
      <c r="AC80" s="44"/>
      <c r="AD80" s="34"/>
      <c r="AE80" s="70" t="s">
        <v>650</v>
      </c>
      <c r="AF80" s="44"/>
      <c r="AG80" s="93" t="s">
        <v>550</v>
      </c>
      <c r="AH80" s="85">
        <v>0.38911625404249001</v>
      </c>
      <c r="AI80" s="86">
        <v>8.9230165320629773</v>
      </c>
      <c r="AJ80" s="85">
        <v>1E-8</v>
      </c>
      <c r="AK80" s="85">
        <v>1E-8</v>
      </c>
      <c r="AL80" s="85">
        <v>1E-8</v>
      </c>
      <c r="AM80" s="85">
        <v>1E-8</v>
      </c>
      <c r="AN80" s="85">
        <v>1E-8</v>
      </c>
      <c r="AO80" s="85">
        <v>1E-8</v>
      </c>
      <c r="AP80" s="85">
        <v>1E-8</v>
      </c>
      <c r="AQ80" s="85">
        <v>1E-8</v>
      </c>
      <c r="AR80" s="44"/>
      <c r="AS80" s="34"/>
      <c r="AT80" s="70" t="s">
        <v>650</v>
      </c>
      <c r="AU80" s="44"/>
      <c r="AV80" s="93" t="s">
        <v>550</v>
      </c>
      <c r="AW80" s="85">
        <v>1.99462871016226</v>
      </c>
      <c r="AX80" s="86">
        <v>4.7940158081207329</v>
      </c>
      <c r="AY80" s="85">
        <v>1E-8</v>
      </c>
      <c r="AZ80" s="85">
        <v>1E-8</v>
      </c>
      <c r="BA80" s="85">
        <v>1E-8</v>
      </c>
      <c r="BB80" s="85">
        <v>1E-8</v>
      </c>
      <c r="BC80" s="85">
        <v>1E-8</v>
      </c>
      <c r="BD80" s="85">
        <v>1E-8</v>
      </c>
      <c r="BE80" s="85">
        <v>1E-8</v>
      </c>
      <c r="BF80" s="85">
        <v>1E-8</v>
      </c>
      <c r="BG80" s="44"/>
      <c r="BH80" s="34"/>
      <c r="BI80" s="70" t="s">
        <v>650</v>
      </c>
      <c r="BJ80" s="44"/>
      <c r="BK80" s="93" t="s">
        <v>550</v>
      </c>
      <c r="BL80" s="85">
        <v>0.43810439814032653</v>
      </c>
      <c r="BM80" s="86">
        <v>1E-8</v>
      </c>
      <c r="BN80" s="85">
        <v>1E-8</v>
      </c>
      <c r="BO80" s="85">
        <v>1E-8</v>
      </c>
      <c r="BP80" s="85">
        <v>1E-8</v>
      </c>
      <c r="BQ80" s="85">
        <v>1E-8</v>
      </c>
      <c r="BR80" s="85">
        <v>1E-8</v>
      </c>
      <c r="BS80" s="85">
        <v>1E-8</v>
      </c>
      <c r="BT80" s="85">
        <v>1E-8</v>
      </c>
      <c r="BU80" s="85">
        <v>1E-8</v>
      </c>
      <c r="BV80" s="44"/>
      <c r="BW80" s="34"/>
      <c r="BX80" s="70" t="s">
        <v>650</v>
      </c>
      <c r="BY80" s="44"/>
      <c r="BZ80" s="93" t="s">
        <v>550</v>
      </c>
      <c r="CA80" s="85">
        <v>1.8052458140380552</v>
      </c>
      <c r="CB80" s="86">
        <v>1E-8</v>
      </c>
      <c r="CC80" s="85">
        <v>1E-8</v>
      </c>
      <c r="CD80" s="85">
        <v>1E-8</v>
      </c>
      <c r="CE80" s="85">
        <v>1E-8</v>
      </c>
      <c r="CF80" s="85">
        <v>1E-8</v>
      </c>
      <c r="CG80" s="85">
        <v>1E-8</v>
      </c>
      <c r="CH80" s="85">
        <v>1E-8</v>
      </c>
      <c r="CI80" s="85">
        <v>1E-8</v>
      </c>
      <c r="CJ80" s="85">
        <v>1E-8</v>
      </c>
      <c r="CK80" s="44"/>
    </row>
    <row r="81" spans="1:89" x14ac:dyDescent="0.35">
      <c r="A81" s="9" t="s">
        <v>172</v>
      </c>
      <c r="B81" s="44"/>
      <c r="C81" s="91" t="s">
        <v>551</v>
      </c>
      <c r="D81" s="79">
        <v>0.82178132426028472</v>
      </c>
      <c r="E81" s="80">
        <v>0.95233057404777721</v>
      </c>
      <c r="F81" s="79">
        <v>1E-8</v>
      </c>
      <c r="G81" s="79">
        <v>1E-8</v>
      </c>
      <c r="H81" s="79">
        <v>1E-8</v>
      </c>
      <c r="I81" s="79">
        <v>1E-8</v>
      </c>
      <c r="J81" s="79">
        <v>1E-8</v>
      </c>
      <c r="K81" s="79">
        <v>1E-8</v>
      </c>
      <c r="L81" s="79">
        <v>1E-8</v>
      </c>
      <c r="M81" s="79">
        <v>1E-8</v>
      </c>
      <c r="N81" s="44"/>
      <c r="O81" s="34"/>
      <c r="P81" s="9" t="s">
        <v>172</v>
      </c>
      <c r="Q81" s="44"/>
      <c r="R81" s="91" t="s">
        <v>551</v>
      </c>
      <c r="S81" s="79">
        <v>1.3909273786822596</v>
      </c>
      <c r="T81" s="80">
        <v>1.8198033080149445</v>
      </c>
      <c r="U81" s="79">
        <v>1E-8</v>
      </c>
      <c r="V81" s="79">
        <v>1E-8</v>
      </c>
      <c r="W81" s="79">
        <v>1E-8</v>
      </c>
      <c r="X81" s="79">
        <v>1E-8</v>
      </c>
      <c r="Y81" s="79">
        <v>1E-8</v>
      </c>
      <c r="Z81" s="79">
        <v>1E-8</v>
      </c>
      <c r="AA81" s="79">
        <v>1E-8</v>
      </c>
      <c r="AB81" s="79">
        <v>1E-8</v>
      </c>
      <c r="AC81" s="44"/>
      <c r="AD81" s="34"/>
      <c r="AE81" s="9" t="s">
        <v>172</v>
      </c>
      <c r="AF81" s="44"/>
      <c r="AG81" s="91" t="s">
        <v>551</v>
      </c>
      <c r="AH81" s="79">
        <v>1.0652147504874923</v>
      </c>
      <c r="AI81" s="80">
        <v>8.5991072434325808</v>
      </c>
      <c r="AJ81" s="79">
        <v>1E-8</v>
      </c>
      <c r="AK81" s="79">
        <v>1E-8</v>
      </c>
      <c r="AL81" s="79">
        <v>1E-8</v>
      </c>
      <c r="AM81" s="79">
        <v>1E-8</v>
      </c>
      <c r="AN81" s="79">
        <v>1E-8</v>
      </c>
      <c r="AO81" s="79">
        <v>1E-8</v>
      </c>
      <c r="AP81" s="79">
        <v>1E-8</v>
      </c>
      <c r="AQ81" s="79">
        <v>1E-8</v>
      </c>
      <c r="AR81" s="44"/>
      <c r="AS81" s="34"/>
      <c r="AT81" s="9" t="s">
        <v>172</v>
      </c>
      <c r="AU81" s="44"/>
      <c r="AV81" s="91" t="s">
        <v>551</v>
      </c>
      <c r="AW81" s="79">
        <v>2.4714983456314261</v>
      </c>
      <c r="AX81" s="80">
        <v>4.9546651926260399</v>
      </c>
      <c r="AY81" s="79">
        <v>1E-8</v>
      </c>
      <c r="AZ81" s="79">
        <v>1E-8</v>
      </c>
      <c r="BA81" s="79">
        <v>1E-8</v>
      </c>
      <c r="BB81" s="79">
        <v>1E-8</v>
      </c>
      <c r="BC81" s="79">
        <v>1E-8</v>
      </c>
      <c r="BD81" s="79">
        <v>1E-8</v>
      </c>
      <c r="BE81" s="79">
        <v>1E-8</v>
      </c>
      <c r="BF81" s="79">
        <v>1E-8</v>
      </c>
      <c r="BG81" s="44"/>
      <c r="BH81" s="34"/>
      <c r="BI81" s="9" t="s">
        <v>172</v>
      </c>
      <c r="BJ81" s="44"/>
      <c r="BK81" s="91" t="s">
        <v>551</v>
      </c>
      <c r="BL81" s="79">
        <v>1.1645205032395907</v>
      </c>
      <c r="BM81" s="80">
        <v>1E-8</v>
      </c>
      <c r="BN81" s="79">
        <v>1E-8</v>
      </c>
      <c r="BO81" s="79">
        <v>1E-8</v>
      </c>
      <c r="BP81" s="79">
        <v>1E-8</v>
      </c>
      <c r="BQ81" s="79">
        <v>1E-8</v>
      </c>
      <c r="BR81" s="79">
        <v>1E-8</v>
      </c>
      <c r="BS81" s="79">
        <v>1E-8</v>
      </c>
      <c r="BT81" s="79">
        <v>1E-8</v>
      </c>
      <c r="BU81" s="79">
        <v>1E-8</v>
      </c>
      <c r="BV81" s="44"/>
      <c r="BW81" s="34"/>
      <c r="BX81" s="9" t="s">
        <v>172</v>
      </c>
      <c r="BY81" s="44"/>
      <c r="BZ81" s="91" t="s">
        <v>551</v>
      </c>
      <c r="CA81" s="79">
        <v>2.4288107664919938</v>
      </c>
      <c r="CB81" s="80">
        <v>1E-8</v>
      </c>
      <c r="CC81" s="79">
        <v>1E-8</v>
      </c>
      <c r="CD81" s="79">
        <v>1E-8</v>
      </c>
      <c r="CE81" s="79">
        <v>1E-8</v>
      </c>
      <c r="CF81" s="79">
        <v>1E-8</v>
      </c>
      <c r="CG81" s="79">
        <v>1E-8</v>
      </c>
      <c r="CH81" s="79">
        <v>1E-8</v>
      </c>
      <c r="CI81" s="79">
        <v>1E-8</v>
      </c>
      <c r="CJ81" s="79">
        <v>1E-8</v>
      </c>
      <c r="CK81" s="44"/>
    </row>
    <row r="82" spans="1:89" x14ac:dyDescent="0.35">
      <c r="A82" s="70" t="s">
        <v>651</v>
      </c>
      <c r="B82" s="44"/>
      <c r="C82" s="93" t="s">
        <v>344</v>
      </c>
      <c r="D82" s="85">
        <v>6.4454219204729532E-2</v>
      </c>
      <c r="E82" s="86">
        <v>5.8713691757690478</v>
      </c>
      <c r="F82" s="85">
        <v>1E-8</v>
      </c>
      <c r="G82" s="85">
        <v>1E-8</v>
      </c>
      <c r="H82" s="85">
        <v>1E-8</v>
      </c>
      <c r="I82" s="85">
        <v>1E-8</v>
      </c>
      <c r="J82" s="85">
        <v>1E-8</v>
      </c>
      <c r="K82" s="85">
        <v>1E-8</v>
      </c>
      <c r="L82" s="85">
        <v>1E-8</v>
      </c>
      <c r="M82" s="85">
        <v>1E-8</v>
      </c>
      <c r="N82" s="44"/>
      <c r="O82" s="34"/>
      <c r="P82" s="70" t="s">
        <v>651</v>
      </c>
      <c r="Q82" s="44"/>
      <c r="R82" s="93" t="s">
        <v>344</v>
      </c>
      <c r="S82" s="85">
        <v>0.27738719895171132</v>
      </c>
      <c r="T82" s="86">
        <v>4.6944926491229166</v>
      </c>
      <c r="U82" s="85">
        <v>1E-8</v>
      </c>
      <c r="V82" s="85">
        <v>1E-8</v>
      </c>
      <c r="W82" s="85">
        <v>1E-8</v>
      </c>
      <c r="X82" s="85">
        <v>1E-8</v>
      </c>
      <c r="Y82" s="85">
        <v>1E-8</v>
      </c>
      <c r="Z82" s="85">
        <v>1E-8</v>
      </c>
      <c r="AA82" s="85">
        <v>1E-8</v>
      </c>
      <c r="AB82" s="85">
        <v>1E-8</v>
      </c>
      <c r="AC82" s="44"/>
      <c r="AD82" s="34"/>
      <c r="AE82" s="70" t="s">
        <v>651</v>
      </c>
      <c r="AF82" s="44"/>
      <c r="AG82" s="93" t="s">
        <v>344</v>
      </c>
      <c r="AH82" s="85">
        <v>8.8873429010024083E-2</v>
      </c>
      <c r="AI82" s="86">
        <v>8.4748816797420865</v>
      </c>
      <c r="AJ82" s="85">
        <v>1E-8</v>
      </c>
      <c r="AK82" s="85">
        <v>1E-8</v>
      </c>
      <c r="AL82" s="85">
        <v>1E-8</v>
      </c>
      <c r="AM82" s="85">
        <v>1E-8</v>
      </c>
      <c r="AN82" s="85">
        <v>1E-8</v>
      </c>
      <c r="AO82" s="85">
        <v>1E-8</v>
      </c>
      <c r="AP82" s="85">
        <v>1E-8</v>
      </c>
      <c r="AQ82" s="85">
        <v>1E-8</v>
      </c>
      <c r="AR82" s="44"/>
      <c r="AS82" s="34"/>
      <c r="AT82" s="70" t="s">
        <v>651</v>
      </c>
      <c r="AU82" s="44"/>
      <c r="AV82" s="93" t="s">
        <v>344</v>
      </c>
      <c r="AW82" s="85">
        <v>0.91703276177773496</v>
      </c>
      <c r="AX82" s="86">
        <v>5.0563649912309883</v>
      </c>
      <c r="AY82" s="85">
        <v>1E-8</v>
      </c>
      <c r="AZ82" s="85">
        <v>1E-8</v>
      </c>
      <c r="BA82" s="85">
        <v>1E-8</v>
      </c>
      <c r="BB82" s="85">
        <v>1E-8</v>
      </c>
      <c r="BC82" s="85">
        <v>1E-8</v>
      </c>
      <c r="BD82" s="85">
        <v>1E-8</v>
      </c>
      <c r="BE82" s="85">
        <v>1E-8</v>
      </c>
      <c r="BF82" s="85">
        <v>1E-8</v>
      </c>
      <c r="BG82" s="44"/>
      <c r="BH82" s="34"/>
      <c r="BI82" s="70" t="s">
        <v>651</v>
      </c>
      <c r="BJ82" s="44"/>
      <c r="BK82" s="93" t="s">
        <v>344</v>
      </c>
      <c r="BL82" s="85">
        <v>9.6045204099255113E-2</v>
      </c>
      <c r="BM82" s="86">
        <v>1E-8</v>
      </c>
      <c r="BN82" s="85">
        <v>1E-8</v>
      </c>
      <c r="BO82" s="85">
        <v>1E-8</v>
      </c>
      <c r="BP82" s="85">
        <v>1E-8</v>
      </c>
      <c r="BQ82" s="85">
        <v>1E-8</v>
      </c>
      <c r="BR82" s="85">
        <v>1E-8</v>
      </c>
      <c r="BS82" s="85">
        <v>1E-8</v>
      </c>
      <c r="BT82" s="85">
        <v>1E-8</v>
      </c>
      <c r="BU82" s="85">
        <v>1E-8</v>
      </c>
      <c r="BV82" s="44"/>
      <c r="BW82" s="34"/>
      <c r="BX82" s="70" t="s">
        <v>651</v>
      </c>
      <c r="BY82" s="44"/>
      <c r="BZ82" s="93" t="s">
        <v>344</v>
      </c>
      <c r="CA82" s="85">
        <v>0.87938295522783427</v>
      </c>
      <c r="CB82" s="86">
        <v>1E-8</v>
      </c>
      <c r="CC82" s="85">
        <v>1E-8</v>
      </c>
      <c r="CD82" s="85">
        <v>1E-8</v>
      </c>
      <c r="CE82" s="85">
        <v>1E-8</v>
      </c>
      <c r="CF82" s="85">
        <v>1E-8</v>
      </c>
      <c r="CG82" s="85">
        <v>1E-8</v>
      </c>
      <c r="CH82" s="85">
        <v>1E-8</v>
      </c>
      <c r="CI82" s="85">
        <v>1E-8</v>
      </c>
      <c r="CJ82" s="85">
        <v>1E-8</v>
      </c>
      <c r="CK82" s="44"/>
    </row>
    <row r="83" spans="1:89" x14ac:dyDescent="0.35">
      <c r="A83" s="70" t="s">
        <v>652</v>
      </c>
      <c r="B83" s="44"/>
      <c r="C83" s="93" t="s">
        <v>552</v>
      </c>
      <c r="D83" s="85">
        <v>0.55677915976236925</v>
      </c>
      <c r="E83" s="86">
        <v>5.7864924435526488</v>
      </c>
      <c r="F83" s="85">
        <v>1E-8</v>
      </c>
      <c r="G83" s="85">
        <v>1E-8</v>
      </c>
      <c r="H83" s="85">
        <v>1E-8</v>
      </c>
      <c r="I83" s="85">
        <v>1E-8</v>
      </c>
      <c r="J83" s="85">
        <v>1E-8</v>
      </c>
      <c r="K83" s="85">
        <v>1E-8</v>
      </c>
      <c r="L83" s="85">
        <v>1E-8</v>
      </c>
      <c r="M83" s="85">
        <v>1E-8</v>
      </c>
      <c r="N83" s="44"/>
      <c r="O83" s="34"/>
      <c r="P83" s="70" t="s">
        <v>652</v>
      </c>
      <c r="Q83" s="44"/>
      <c r="R83" s="93" t="s">
        <v>552</v>
      </c>
      <c r="S83" s="85">
        <v>0.89041145895998963</v>
      </c>
      <c r="T83" s="86">
        <v>4.1273424072622689</v>
      </c>
      <c r="U83" s="85">
        <v>1E-8</v>
      </c>
      <c r="V83" s="85">
        <v>1E-8</v>
      </c>
      <c r="W83" s="85">
        <v>1E-8</v>
      </c>
      <c r="X83" s="85">
        <v>1E-8</v>
      </c>
      <c r="Y83" s="85">
        <v>1E-8</v>
      </c>
      <c r="Z83" s="85">
        <v>1E-8</v>
      </c>
      <c r="AA83" s="85">
        <v>1E-8</v>
      </c>
      <c r="AB83" s="85">
        <v>1E-8</v>
      </c>
      <c r="AC83" s="44"/>
      <c r="AD83" s="34"/>
      <c r="AE83" s="70" t="s">
        <v>652</v>
      </c>
      <c r="AF83" s="44"/>
      <c r="AG83" s="93" t="s">
        <v>552</v>
      </c>
      <c r="AH83" s="85">
        <v>0.97634132147746788</v>
      </c>
      <c r="AI83" s="86">
        <v>8.6104151247779583</v>
      </c>
      <c r="AJ83" s="85">
        <v>1E-8</v>
      </c>
      <c r="AK83" s="85">
        <v>1E-8</v>
      </c>
      <c r="AL83" s="85">
        <v>1E-8</v>
      </c>
      <c r="AM83" s="85">
        <v>1E-8</v>
      </c>
      <c r="AN83" s="85">
        <v>1E-8</v>
      </c>
      <c r="AO83" s="85">
        <v>1E-8</v>
      </c>
      <c r="AP83" s="85">
        <v>1E-8</v>
      </c>
      <c r="AQ83" s="85">
        <v>1E-8</v>
      </c>
      <c r="AR83" s="44"/>
      <c r="AS83" s="34"/>
      <c r="AT83" s="70" t="s">
        <v>652</v>
      </c>
      <c r="AU83" s="44"/>
      <c r="AV83" s="93" t="s">
        <v>552</v>
      </c>
      <c r="AW83" s="85">
        <v>1.5544655838536914</v>
      </c>
      <c r="AX83" s="86">
        <v>4.8916656072100384</v>
      </c>
      <c r="AY83" s="85">
        <v>1E-8</v>
      </c>
      <c r="AZ83" s="85">
        <v>1E-8</v>
      </c>
      <c r="BA83" s="85">
        <v>1E-8</v>
      </c>
      <c r="BB83" s="85">
        <v>1E-8</v>
      </c>
      <c r="BC83" s="85">
        <v>1E-8</v>
      </c>
      <c r="BD83" s="85">
        <v>1E-8</v>
      </c>
      <c r="BE83" s="85">
        <v>1E-8</v>
      </c>
      <c r="BF83" s="85">
        <v>1E-8</v>
      </c>
      <c r="BG83" s="44"/>
      <c r="BH83" s="34"/>
      <c r="BI83" s="70" t="s">
        <v>652</v>
      </c>
      <c r="BJ83" s="44"/>
      <c r="BK83" s="93" t="s">
        <v>552</v>
      </c>
      <c r="BL83" s="85">
        <v>1.0684752991403357</v>
      </c>
      <c r="BM83" s="86">
        <v>1E-8</v>
      </c>
      <c r="BN83" s="85">
        <v>1E-8</v>
      </c>
      <c r="BO83" s="85">
        <v>1E-8</v>
      </c>
      <c r="BP83" s="85">
        <v>1E-8</v>
      </c>
      <c r="BQ83" s="85">
        <v>1E-8</v>
      </c>
      <c r="BR83" s="85">
        <v>1E-8</v>
      </c>
      <c r="BS83" s="85">
        <v>1E-8</v>
      </c>
      <c r="BT83" s="85">
        <v>1E-8</v>
      </c>
      <c r="BU83" s="85">
        <v>1E-8</v>
      </c>
      <c r="BV83" s="44"/>
      <c r="BW83" s="34"/>
      <c r="BX83" s="70" t="s">
        <v>652</v>
      </c>
      <c r="BY83" s="44"/>
      <c r="BZ83" s="93" t="s">
        <v>552</v>
      </c>
      <c r="CA83" s="85">
        <v>1.5494278112641593</v>
      </c>
      <c r="CB83" s="86">
        <v>1E-8</v>
      </c>
      <c r="CC83" s="85">
        <v>1E-8</v>
      </c>
      <c r="CD83" s="85">
        <v>1E-8</v>
      </c>
      <c r="CE83" s="85">
        <v>1E-8</v>
      </c>
      <c r="CF83" s="85">
        <v>1E-8</v>
      </c>
      <c r="CG83" s="85">
        <v>1E-8</v>
      </c>
      <c r="CH83" s="85">
        <v>1E-8</v>
      </c>
      <c r="CI83" s="85">
        <v>1E-8</v>
      </c>
      <c r="CJ83" s="85">
        <v>1E-8</v>
      </c>
      <c r="CK83" s="44"/>
    </row>
    <row r="84" spans="1:89" x14ac:dyDescent="0.35">
      <c r="A84" s="70" t="s">
        <v>653</v>
      </c>
      <c r="B84" s="44"/>
      <c r="C84" s="93" t="s">
        <v>553</v>
      </c>
      <c r="D84" s="85">
        <v>0.20054794529318579</v>
      </c>
      <c r="E84" s="86">
        <v>-14.049635024610973</v>
      </c>
      <c r="F84" s="85">
        <v>1E-8</v>
      </c>
      <c r="G84" s="85">
        <v>1E-8</v>
      </c>
      <c r="H84" s="85">
        <v>1E-8</v>
      </c>
      <c r="I84" s="85">
        <v>1E-8</v>
      </c>
      <c r="J84" s="85">
        <v>1E-8</v>
      </c>
      <c r="K84" s="85">
        <v>1E-8</v>
      </c>
      <c r="L84" s="85">
        <v>1E-8</v>
      </c>
      <c r="M84" s="85">
        <v>1E-8</v>
      </c>
      <c r="N84" s="44"/>
      <c r="O84" s="34"/>
      <c r="P84" s="70" t="s">
        <v>653</v>
      </c>
      <c r="Q84" s="44"/>
      <c r="R84" s="93" t="s">
        <v>553</v>
      </c>
      <c r="S84" s="85">
        <v>0.22312872077055834</v>
      </c>
      <c r="T84" s="86">
        <v>-10.803332407814825</v>
      </c>
      <c r="U84" s="85">
        <v>1E-8</v>
      </c>
      <c r="V84" s="85">
        <v>1E-8</v>
      </c>
      <c r="W84" s="85">
        <v>1E-8</v>
      </c>
      <c r="X84" s="85">
        <v>1E-8</v>
      </c>
      <c r="Y84" s="85">
        <v>1E-8</v>
      </c>
      <c r="Z84" s="85">
        <v>1E-8</v>
      </c>
      <c r="AA84" s="85">
        <v>1E-8</v>
      </c>
      <c r="AB84" s="85">
        <v>1E-8</v>
      </c>
      <c r="AC84" s="44"/>
      <c r="AD84" s="34"/>
      <c r="AE84" s="70" t="s">
        <v>653</v>
      </c>
      <c r="AF84" s="44"/>
      <c r="AG84" s="93" t="s">
        <v>553</v>
      </c>
      <c r="AH84" s="85">
        <v>1E-8</v>
      </c>
      <c r="AI84" s="86">
        <v>1E-8</v>
      </c>
      <c r="AJ84" s="85">
        <v>1E-8</v>
      </c>
      <c r="AK84" s="85">
        <v>1E-8</v>
      </c>
      <c r="AL84" s="85">
        <v>1E-8</v>
      </c>
      <c r="AM84" s="85">
        <v>1E-8</v>
      </c>
      <c r="AN84" s="85">
        <v>1E-8</v>
      </c>
      <c r="AO84" s="85">
        <v>1E-8</v>
      </c>
      <c r="AP84" s="85">
        <v>1E-8</v>
      </c>
      <c r="AQ84" s="85">
        <v>1E-8</v>
      </c>
      <c r="AR84" s="44"/>
      <c r="AS84" s="34"/>
      <c r="AT84" s="70" t="s">
        <v>653</v>
      </c>
      <c r="AU84" s="44"/>
      <c r="AV84" s="93" t="s">
        <v>553</v>
      </c>
      <c r="AW84" s="85">
        <v>1E-8</v>
      </c>
      <c r="AX84" s="86">
        <v>1E-8</v>
      </c>
      <c r="AY84" s="85">
        <v>1E-8</v>
      </c>
      <c r="AZ84" s="85">
        <v>1E-8</v>
      </c>
      <c r="BA84" s="85">
        <v>1E-8</v>
      </c>
      <c r="BB84" s="85">
        <v>1E-8</v>
      </c>
      <c r="BC84" s="85">
        <v>1E-8</v>
      </c>
      <c r="BD84" s="85">
        <v>1E-8</v>
      </c>
      <c r="BE84" s="85">
        <v>1E-8</v>
      </c>
      <c r="BF84" s="85">
        <v>1E-8</v>
      </c>
      <c r="BG84" s="44"/>
      <c r="BH84" s="34"/>
      <c r="BI84" s="70" t="s">
        <v>653</v>
      </c>
      <c r="BJ84" s="44"/>
      <c r="BK84" s="93" t="s">
        <v>553</v>
      </c>
      <c r="BL84" s="85">
        <v>1E-8</v>
      </c>
      <c r="BM84" s="86">
        <v>1E-8</v>
      </c>
      <c r="BN84" s="85">
        <v>1E-8</v>
      </c>
      <c r="BO84" s="85">
        <v>1E-8</v>
      </c>
      <c r="BP84" s="85">
        <v>1E-8</v>
      </c>
      <c r="BQ84" s="85">
        <v>1E-8</v>
      </c>
      <c r="BR84" s="85">
        <v>1E-8</v>
      </c>
      <c r="BS84" s="85">
        <v>1E-8</v>
      </c>
      <c r="BT84" s="85">
        <v>1E-8</v>
      </c>
      <c r="BU84" s="85">
        <v>1E-8</v>
      </c>
      <c r="BV84" s="44"/>
      <c r="BW84" s="34"/>
      <c r="BX84" s="70" t="s">
        <v>653</v>
      </c>
      <c r="BY84" s="44"/>
      <c r="BZ84" s="93" t="s">
        <v>553</v>
      </c>
      <c r="CA84" s="85">
        <v>1E-8</v>
      </c>
      <c r="CB84" s="86">
        <v>1E-8</v>
      </c>
      <c r="CC84" s="85">
        <v>1E-8</v>
      </c>
      <c r="CD84" s="85">
        <v>1E-8</v>
      </c>
      <c r="CE84" s="85">
        <v>1E-8</v>
      </c>
      <c r="CF84" s="85">
        <v>1E-8</v>
      </c>
      <c r="CG84" s="85">
        <v>1E-8</v>
      </c>
      <c r="CH84" s="85">
        <v>1E-8</v>
      </c>
      <c r="CI84" s="85">
        <v>1E-8</v>
      </c>
      <c r="CJ84" s="85">
        <v>1E-8</v>
      </c>
      <c r="CK84" s="44"/>
    </row>
    <row r="85" spans="1:89" x14ac:dyDescent="0.35">
      <c r="A85" s="9" t="s">
        <v>368</v>
      </c>
      <c r="B85" s="44"/>
      <c r="C85" s="91" t="s">
        <v>345</v>
      </c>
      <c r="D85" s="79">
        <v>1.3029470168972499</v>
      </c>
      <c r="E85" s="80">
        <v>4.5475638351642145</v>
      </c>
      <c r="F85" s="79">
        <v>1E-8</v>
      </c>
      <c r="G85" s="79">
        <v>1E-8</v>
      </c>
      <c r="H85" s="79">
        <v>1E-8</v>
      </c>
      <c r="I85" s="79">
        <v>1E-8</v>
      </c>
      <c r="J85" s="79">
        <v>1E-8</v>
      </c>
      <c r="K85" s="79">
        <v>1E-8</v>
      </c>
      <c r="L85" s="79">
        <v>1E-8</v>
      </c>
      <c r="M85" s="79">
        <v>1E-8</v>
      </c>
      <c r="N85" s="44"/>
      <c r="O85" s="34"/>
      <c r="P85" s="9" t="s">
        <v>368</v>
      </c>
      <c r="Q85" s="44"/>
      <c r="R85" s="91" t="s">
        <v>345</v>
      </c>
      <c r="S85" s="79">
        <v>7.0704638385189922</v>
      </c>
      <c r="T85" s="80">
        <v>3.6964517387222173</v>
      </c>
      <c r="U85" s="79">
        <v>1E-8</v>
      </c>
      <c r="V85" s="79">
        <v>1E-8</v>
      </c>
      <c r="W85" s="79">
        <v>1E-8</v>
      </c>
      <c r="X85" s="79">
        <v>1E-8</v>
      </c>
      <c r="Y85" s="79">
        <v>1E-8</v>
      </c>
      <c r="Z85" s="79">
        <v>1E-8</v>
      </c>
      <c r="AA85" s="79">
        <v>1E-8</v>
      </c>
      <c r="AB85" s="79">
        <v>1E-8</v>
      </c>
      <c r="AC85" s="44"/>
      <c r="AD85" s="34"/>
      <c r="AE85" s="9" t="s">
        <v>368</v>
      </c>
      <c r="AF85" s="44"/>
      <c r="AG85" s="91" t="s">
        <v>345</v>
      </c>
      <c r="AH85" s="79">
        <v>8.4872470912033116</v>
      </c>
      <c r="AI85" s="80">
        <v>8.2793105632937181</v>
      </c>
      <c r="AJ85" s="79">
        <v>1E-8</v>
      </c>
      <c r="AK85" s="79">
        <v>1E-8</v>
      </c>
      <c r="AL85" s="79">
        <v>1E-8</v>
      </c>
      <c r="AM85" s="79">
        <v>1E-8</v>
      </c>
      <c r="AN85" s="79">
        <v>1E-8</v>
      </c>
      <c r="AO85" s="79">
        <v>1E-8</v>
      </c>
      <c r="AP85" s="79">
        <v>1E-8</v>
      </c>
      <c r="AQ85" s="79">
        <v>1E-8</v>
      </c>
      <c r="AR85" s="44"/>
      <c r="AS85" s="34"/>
      <c r="AT85" s="9" t="s">
        <v>368</v>
      </c>
      <c r="AU85" s="44"/>
      <c r="AV85" s="91" t="s">
        <v>345</v>
      </c>
      <c r="AW85" s="79">
        <v>26.619552458414002</v>
      </c>
      <c r="AX85" s="80">
        <v>4.2024151815832189</v>
      </c>
      <c r="AY85" s="79">
        <v>1E-8</v>
      </c>
      <c r="AZ85" s="79">
        <v>1E-8</v>
      </c>
      <c r="BA85" s="79">
        <v>1E-8</v>
      </c>
      <c r="BB85" s="79">
        <v>1E-8</v>
      </c>
      <c r="BC85" s="79">
        <v>1E-8</v>
      </c>
      <c r="BD85" s="79">
        <v>1E-8</v>
      </c>
      <c r="BE85" s="79">
        <v>1E-8</v>
      </c>
      <c r="BF85" s="79">
        <v>1E-8</v>
      </c>
      <c r="BG85" s="44"/>
      <c r="BH85" s="34"/>
      <c r="BI85" s="9" t="s">
        <v>368</v>
      </c>
      <c r="BJ85" s="44"/>
      <c r="BK85" s="91" t="s">
        <v>345</v>
      </c>
      <c r="BL85" s="79">
        <v>9.0047228145615037</v>
      </c>
      <c r="BM85" s="80">
        <v>1E-8</v>
      </c>
      <c r="BN85" s="79">
        <v>1E-8</v>
      </c>
      <c r="BO85" s="79">
        <v>1E-8</v>
      </c>
      <c r="BP85" s="79">
        <v>1E-8</v>
      </c>
      <c r="BQ85" s="79">
        <v>1E-8</v>
      </c>
      <c r="BR85" s="79">
        <v>1E-8</v>
      </c>
      <c r="BS85" s="79">
        <v>1E-8</v>
      </c>
      <c r="BT85" s="79">
        <v>1E-8</v>
      </c>
      <c r="BU85" s="79">
        <v>1E-8</v>
      </c>
      <c r="BV85" s="44"/>
      <c r="BW85" s="34"/>
      <c r="BX85" s="9" t="s">
        <v>368</v>
      </c>
      <c r="BY85" s="44"/>
      <c r="BZ85" s="91" t="s">
        <v>345</v>
      </c>
      <c r="CA85" s="79">
        <v>23.783026444362314</v>
      </c>
      <c r="CB85" s="80">
        <v>1E-8</v>
      </c>
      <c r="CC85" s="79">
        <v>1E-8</v>
      </c>
      <c r="CD85" s="79">
        <v>1E-8</v>
      </c>
      <c r="CE85" s="79">
        <v>1E-8</v>
      </c>
      <c r="CF85" s="79">
        <v>1E-8</v>
      </c>
      <c r="CG85" s="79">
        <v>1E-8</v>
      </c>
      <c r="CH85" s="79">
        <v>1E-8</v>
      </c>
      <c r="CI85" s="79">
        <v>1E-8</v>
      </c>
      <c r="CJ85" s="79">
        <v>1E-8</v>
      </c>
      <c r="CK85" s="44"/>
    </row>
    <row r="86" spans="1:89" x14ac:dyDescent="0.35">
      <c r="A86" s="70" t="s">
        <v>654</v>
      </c>
      <c r="B86" s="44"/>
      <c r="C86" s="93" t="s">
        <v>346</v>
      </c>
      <c r="D86" s="85">
        <v>1.1054299733762878</v>
      </c>
      <c r="E86" s="86">
        <v>4.8421501268320233</v>
      </c>
      <c r="F86" s="85">
        <v>1E-8</v>
      </c>
      <c r="G86" s="85">
        <v>1E-8</v>
      </c>
      <c r="H86" s="85">
        <v>1E-8</v>
      </c>
      <c r="I86" s="85">
        <v>1E-8</v>
      </c>
      <c r="J86" s="85">
        <v>1E-8</v>
      </c>
      <c r="K86" s="85">
        <v>1E-8</v>
      </c>
      <c r="L86" s="85">
        <v>1E-8</v>
      </c>
      <c r="M86" s="85">
        <v>1E-8</v>
      </c>
      <c r="N86" s="44"/>
      <c r="O86" s="34"/>
      <c r="P86" s="70" t="s">
        <v>654</v>
      </c>
      <c r="Q86" s="44"/>
      <c r="R86" s="93" t="s">
        <v>346</v>
      </c>
      <c r="S86" s="85">
        <v>1.8037594700323807</v>
      </c>
      <c r="T86" s="86">
        <v>3.7246862285572835</v>
      </c>
      <c r="U86" s="85">
        <v>1E-8</v>
      </c>
      <c r="V86" s="85">
        <v>1E-8</v>
      </c>
      <c r="W86" s="85">
        <v>1E-8</v>
      </c>
      <c r="X86" s="85">
        <v>1E-8</v>
      </c>
      <c r="Y86" s="85">
        <v>1E-8</v>
      </c>
      <c r="Z86" s="85">
        <v>1E-8</v>
      </c>
      <c r="AA86" s="85">
        <v>1E-8</v>
      </c>
      <c r="AB86" s="85">
        <v>1E-8</v>
      </c>
      <c r="AC86" s="44"/>
      <c r="AD86" s="34"/>
      <c r="AE86" s="70" t="s">
        <v>654</v>
      </c>
      <c r="AF86" s="44"/>
      <c r="AG86" s="93" t="s">
        <v>346</v>
      </c>
      <c r="AH86" s="85">
        <v>7.8332737928719931</v>
      </c>
      <c r="AI86" s="86">
        <v>8.099099936781041</v>
      </c>
      <c r="AJ86" s="85">
        <v>1E-8</v>
      </c>
      <c r="AK86" s="85">
        <v>1E-8</v>
      </c>
      <c r="AL86" s="85">
        <v>1E-8</v>
      </c>
      <c r="AM86" s="85">
        <v>1E-8</v>
      </c>
      <c r="AN86" s="85">
        <v>1E-8</v>
      </c>
      <c r="AO86" s="85">
        <v>1E-8</v>
      </c>
      <c r="AP86" s="85">
        <v>1E-8</v>
      </c>
      <c r="AQ86" s="85">
        <v>1E-8</v>
      </c>
      <c r="AR86" s="44"/>
      <c r="AS86" s="34"/>
      <c r="AT86" s="70" t="s">
        <v>654</v>
      </c>
      <c r="AU86" s="44"/>
      <c r="AV86" s="93" t="s">
        <v>346</v>
      </c>
      <c r="AW86" s="85">
        <v>5.7336396841947233</v>
      </c>
      <c r="AX86" s="86">
        <v>5.2970930325061838</v>
      </c>
      <c r="AY86" s="85">
        <v>1E-8</v>
      </c>
      <c r="AZ86" s="85">
        <v>1E-8</v>
      </c>
      <c r="BA86" s="85">
        <v>1E-8</v>
      </c>
      <c r="BB86" s="85">
        <v>1E-8</v>
      </c>
      <c r="BC86" s="85">
        <v>1E-8</v>
      </c>
      <c r="BD86" s="85">
        <v>1E-8</v>
      </c>
      <c r="BE86" s="85">
        <v>1E-8</v>
      </c>
      <c r="BF86" s="85">
        <v>1E-8</v>
      </c>
      <c r="BG86" s="44"/>
      <c r="BH86" s="34"/>
      <c r="BI86" s="70" t="s">
        <v>654</v>
      </c>
      <c r="BJ86" s="44"/>
      <c r="BK86" s="93" t="s">
        <v>346</v>
      </c>
      <c r="BL86" s="85">
        <v>8.168496555485131</v>
      </c>
      <c r="BM86" s="86">
        <v>1E-8</v>
      </c>
      <c r="BN86" s="85">
        <v>1E-8</v>
      </c>
      <c r="BO86" s="85">
        <v>1E-8</v>
      </c>
      <c r="BP86" s="85">
        <v>1E-8</v>
      </c>
      <c r="BQ86" s="85">
        <v>1E-8</v>
      </c>
      <c r="BR86" s="85">
        <v>1E-8</v>
      </c>
      <c r="BS86" s="85">
        <v>1E-8</v>
      </c>
      <c r="BT86" s="85">
        <v>1E-8</v>
      </c>
      <c r="BU86" s="85">
        <v>1E-8</v>
      </c>
      <c r="BV86" s="44"/>
      <c r="BW86" s="34"/>
      <c r="BX86" s="70" t="s">
        <v>654</v>
      </c>
      <c r="BY86" s="44"/>
      <c r="BZ86" s="93" t="s">
        <v>346</v>
      </c>
      <c r="CA86" s="85">
        <v>5.8047049753821831</v>
      </c>
      <c r="CB86" s="86">
        <v>1E-8</v>
      </c>
      <c r="CC86" s="85">
        <v>1E-8</v>
      </c>
      <c r="CD86" s="85">
        <v>1E-8</v>
      </c>
      <c r="CE86" s="85">
        <v>1E-8</v>
      </c>
      <c r="CF86" s="85">
        <v>1E-8</v>
      </c>
      <c r="CG86" s="85">
        <v>1E-8</v>
      </c>
      <c r="CH86" s="85">
        <v>1E-8</v>
      </c>
      <c r="CI86" s="85">
        <v>1E-8</v>
      </c>
      <c r="CJ86" s="85">
        <v>1E-8</v>
      </c>
      <c r="CK86" s="44"/>
    </row>
    <row r="87" spans="1:89" x14ac:dyDescent="0.35">
      <c r="A87" s="70" t="s">
        <v>655</v>
      </c>
      <c r="B87" s="44"/>
      <c r="C87" s="93" t="s">
        <v>347</v>
      </c>
      <c r="D87" s="85">
        <v>0.11435299677059531</v>
      </c>
      <c r="E87" s="86">
        <v>-0.64421607088344102</v>
      </c>
      <c r="F87" s="85">
        <v>1E-8</v>
      </c>
      <c r="G87" s="85">
        <v>1E-8</v>
      </c>
      <c r="H87" s="85">
        <v>1E-8</v>
      </c>
      <c r="I87" s="85">
        <v>1E-8</v>
      </c>
      <c r="J87" s="85">
        <v>1E-8</v>
      </c>
      <c r="K87" s="85">
        <v>1E-8</v>
      </c>
      <c r="L87" s="85">
        <v>1E-8</v>
      </c>
      <c r="M87" s="85">
        <v>1E-8</v>
      </c>
      <c r="N87" s="44"/>
      <c r="O87" s="34"/>
      <c r="P87" s="70" t="s">
        <v>655</v>
      </c>
      <c r="Q87" s="44"/>
      <c r="R87" s="93" t="s">
        <v>347</v>
      </c>
      <c r="S87" s="85">
        <v>3.6120149323284472</v>
      </c>
      <c r="T87" s="86">
        <v>3.9218191111391132</v>
      </c>
      <c r="U87" s="85">
        <v>1E-8</v>
      </c>
      <c r="V87" s="85">
        <v>1E-8</v>
      </c>
      <c r="W87" s="85">
        <v>1E-8</v>
      </c>
      <c r="X87" s="85">
        <v>1E-8</v>
      </c>
      <c r="Y87" s="85">
        <v>1E-8</v>
      </c>
      <c r="Z87" s="85">
        <v>1E-8</v>
      </c>
      <c r="AA87" s="85">
        <v>1E-8</v>
      </c>
      <c r="AB87" s="85">
        <v>1E-8</v>
      </c>
      <c r="AC87" s="44"/>
      <c r="AD87" s="34"/>
      <c r="AE87" s="70" t="s">
        <v>655</v>
      </c>
      <c r="AF87" s="44"/>
      <c r="AG87" s="93" t="s">
        <v>347</v>
      </c>
      <c r="AH87" s="85">
        <v>1E-8</v>
      </c>
      <c r="AI87" s="86">
        <v>1E-8</v>
      </c>
      <c r="AJ87" s="85">
        <v>1E-8</v>
      </c>
      <c r="AK87" s="85">
        <v>1E-8</v>
      </c>
      <c r="AL87" s="85">
        <v>1E-8</v>
      </c>
      <c r="AM87" s="85">
        <v>1E-8</v>
      </c>
      <c r="AN87" s="85">
        <v>1E-8</v>
      </c>
      <c r="AO87" s="85">
        <v>1E-8</v>
      </c>
      <c r="AP87" s="85">
        <v>1E-8</v>
      </c>
      <c r="AQ87" s="85">
        <v>1E-8</v>
      </c>
      <c r="AR87" s="44"/>
      <c r="AS87" s="34"/>
      <c r="AT87" s="70" t="s">
        <v>655</v>
      </c>
      <c r="AU87" s="44"/>
      <c r="AV87" s="93" t="s">
        <v>347</v>
      </c>
      <c r="AW87" s="85">
        <v>14.590004464039977</v>
      </c>
      <c r="AX87" s="86">
        <v>4.2709526513425189</v>
      </c>
      <c r="AY87" s="85">
        <v>1E-8</v>
      </c>
      <c r="AZ87" s="85">
        <v>1E-8</v>
      </c>
      <c r="BA87" s="85">
        <v>1E-8</v>
      </c>
      <c r="BB87" s="85">
        <v>1E-8</v>
      </c>
      <c r="BC87" s="85">
        <v>1E-8</v>
      </c>
      <c r="BD87" s="85">
        <v>1E-8</v>
      </c>
      <c r="BE87" s="85">
        <v>1E-8</v>
      </c>
      <c r="BF87" s="85">
        <v>1E-8</v>
      </c>
      <c r="BG87" s="44"/>
      <c r="BH87" s="34"/>
      <c r="BI87" s="70" t="s">
        <v>655</v>
      </c>
      <c r="BJ87" s="44"/>
      <c r="BK87" s="93" t="s">
        <v>347</v>
      </c>
      <c r="BL87" s="85">
        <v>1E-8</v>
      </c>
      <c r="BM87" s="86">
        <v>1E-8</v>
      </c>
      <c r="BN87" s="85">
        <v>1E-8</v>
      </c>
      <c r="BO87" s="85">
        <v>1E-8</v>
      </c>
      <c r="BP87" s="85">
        <v>1E-8</v>
      </c>
      <c r="BQ87" s="85">
        <v>1E-8</v>
      </c>
      <c r="BR87" s="85">
        <v>1E-8</v>
      </c>
      <c r="BS87" s="85">
        <v>1E-8</v>
      </c>
      <c r="BT87" s="85">
        <v>1E-8</v>
      </c>
      <c r="BU87" s="85">
        <v>1E-8</v>
      </c>
      <c r="BV87" s="44"/>
      <c r="BW87" s="34"/>
      <c r="BX87" s="70" t="s">
        <v>655</v>
      </c>
      <c r="BY87" s="44"/>
      <c r="BZ87" s="93" t="s">
        <v>347</v>
      </c>
      <c r="CA87" s="85">
        <v>13.015263184677547</v>
      </c>
      <c r="CB87" s="86">
        <v>1E-8</v>
      </c>
      <c r="CC87" s="85">
        <v>1E-8</v>
      </c>
      <c r="CD87" s="85">
        <v>1E-8</v>
      </c>
      <c r="CE87" s="85">
        <v>1E-8</v>
      </c>
      <c r="CF87" s="85">
        <v>1E-8</v>
      </c>
      <c r="CG87" s="85">
        <v>1E-8</v>
      </c>
      <c r="CH87" s="85">
        <v>1E-8</v>
      </c>
      <c r="CI87" s="85">
        <v>1E-8</v>
      </c>
      <c r="CJ87" s="85">
        <v>1E-8</v>
      </c>
      <c r="CK87" s="44"/>
    </row>
    <row r="88" spans="1:89" x14ac:dyDescent="0.35">
      <c r="A88" s="70" t="s">
        <v>656</v>
      </c>
      <c r="B88" s="44"/>
      <c r="C88" s="93" t="s">
        <v>348</v>
      </c>
      <c r="D88" s="85">
        <v>8.3164046750366954E-2</v>
      </c>
      <c r="E88" s="86">
        <v>7.7707243804795212</v>
      </c>
      <c r="F88" s="85">
        <v>1E-8</v>
      </c>
      <c r="G88" s="85">
        <v>1E-8</v>
      </c>
      <c r="H88" s="85">
        <v>1E-8</v>
      </c>
      <c r="I88" s="85">
        <v>1E-8</v>
      </c>
      <c r="J88" s="85">
        <v>1E-8</v>
      </c>
      <c r="K88" s="85">
        <v>1E-8</v>
      </c>
      <c r="L88" s="85">
        <v>1E-8</v>
      </c>
      <c r="M88" s="85">
        <v>1E-8</v>
      </c>
      <c r="N88" s="44"/>
      <c r="O88" s="34"/>
      <c r="P88" s="70" t="s">
        <v>656</v>
      </c>
      <c r="Q88" s="44"/>
      <c r="R88" s="93" t="s">
        <v>348</v>
      </c>
      <c r="S88" s="85">
        <v>1.6546894361581637</v>
      </c>
      <c r="T88" s="86">
        <v>3.4998986530745846</v>
      </c>
      <c r="U88" s="85">
        <v>1E-8</v>
      </c>
      <c r="V88" s="85">
        <v>1E-8</v>
      </c>
      <c r="W88" s="85">
        <v>1E-8</v>
      </c>
      <c r="X88" s="85">
        <v>1E-8</v>
      </c>
      <c r="Y88" s="85">
        <v>1E-8</v>
      </c>
      <c r="Z88" s="85">
        <v>1E-8</v>
      </c>
      <c r="AA88" s="85">
        <v>1E-8</v>
      </c>
      <c r="AB88" s="85">
        <v>1E-8</v>
      </c>
      <c r="AC88" s="44"/>
      <c r="AD88" s="34"/>
      <c r="AE88" s="70" t="s">
        <v>656</v>
      </c>
      <c r="AF88" s="44"/>
      <c r="AG88" s="93" t="s">
        <v>348</v>
      </c>
      <c r="AH88" s="85">
        <v>0.65397329833131956</v>
      </c>
      <c r="AI88" s="86">
        <v>10.437868384324966</v>
      </c>
      <c r="AJ88" s="85">
        <v>1E-8</v>
      </c>
      <c r="AK88" s="85">
        <v>1E-8</v>
      </c>
      <c r="AL88" s="85">
        <v>1E-8</v>
      </c>
      <c r="AM88" s="85">
        <v>1E-8</v>
      </c>
      <c r="AN88" s="85">
        <v>1E-8</v>
      </c>
      <c r="AO88" s="85">
        <v>1E-8</v>
      </c>
      <c r="AP88" s="85">
        <v>1E-8</v>
      </c>
      <c r="AQ88" s="85">
        <v>1E-8</v>
      </c>
      <c r="AR88" s="44"/>
      <c r="AS88" s="34"/>
      <c r="AT88" s="70" t="s">
        <v>656</v>
      </c>
      <c r="AU88" s="44"/>
      <c r="AV88" s="93" t="s">
        <v>348</v>
      </c>
      <c r="AW88" s="85">
        <v>6.2959083101793007</v>
      </c>
      <c r="AX88" s="86">
        <v>3.9138114903426446</v>
      </c>
      <c r="AY88" s="85">
        <v>1E-8</v>
      </c>
      <c r="AZ88" s="85">
        <v>1E-8</v>
      </c>
      <c r="BA88" s="85">
        <v>1E-8</v>
      </c>
      <c r="BB88" s="85">
        <v>1E-8</v>
      </c>
      <c r="BC88" s="85">
        <v>1E-8</v>
      </c>
      <c r="BD88" s="85">
        <v>1E-8</v>
      </c>
      <c r="BE88" s="85">
        <v>1E-8</v>
      </c>
      <c r="BF88" s="85">
        <v>1E-8</v>
      </c>
      <c r="BG88" s="44"/>
      <c r="BH88" s="34"/>
      <c r="BI88" s="70" t="s">
        <v>656</v>
      </c>
      <c r="BJ88" s="44"/>
      <c r="BK88" s="93" t="s">
        <v>348</v>
      </c>
      <c r="BL88" s="85">
        <v>0.83622625907637216</v>
      </c>
      <c r="BM88" s="86">
        <v>1E-8</v>
      </c>
      <c r="BN88" s="85">
        <v>1E-8</v>
      </c>
      <c r="BO88" s="85">
        <v>1E-8</v>
      </c>
      <c r="BP88" s="85">
        <v>1E-8</v>
      </c>
      <c r="BQ88" s="85">
        <v>1E-8</v>
      </c>
      <c r="BR88" s="85">
        <v>1E-8</v>
      </c>
      <c r="BS88" s="85">
        <v>1E-8</v>
      </c>
      <c r="BT88" s="85">
        <v>1E-8</v>
      </c>
      <c r="BU88" s="85">
        <v>1E-8</v>
      </c>
      <c r="BV88" s="44"/>
      <c r="BW88" s="34"/>
      <c r="BX88" s="70" t="s">
        <v>656</v>
      </c>
      <c r="BY88" s="44"/>
      <c r="BZ88" s="93" t="s">
        <v>348</v>
      </c>
      <c r="CA88" s="85">
        <v>4.9630582843025861</v>
      </c>
      <c r="CB88" s="86">
        <v>1E-8</v>
      </c>
      <c r="CC88" s="85">
        <v>1E-8</v>
      </c>
      <c r="CD88" s="85">
        <v>1E-8</v>
      </c>
      <c r="CE88" s="85">
        <v>1E-8</v>
      </c>
      <c r="CF88" s="85">
        <v>1E-8</v>
      </c>
      <c r="CG88" s="85">
        <v>1E-8</v>
      </c>
      <c r="CH88" s="85">
        <v>1E-8</v>
      </c>
      <c r="CI88" s="85">
        <v>1E-8</v>
      </c>
      <c r="CJ88" s="85">
        <v>1E-8</v>
      </c>
      <c r="CK88" s="44"/>
    </row>
    <row r="89" spans="1:89" x14ac:dyDescent="0.35">
      <c r="A89" s="9" t="s">
        <v>181</v>
      </c>
      <c r="B89" s="44"/>
      <c r="C89" s="91" t="s">
        <v>554</v>
      </c>
      <c r="D89" s="79">
        <v>0.69112337444381389</v>
      </c>
      <c r="E89" s="80">
        <v>5.6860668055289443</v>
      </c>
      <c r="F89" s="79">
        <v>1E-8</v>
      </c>
      <c r="G89" s="79">
        <v>1E-8</v>
      </c>
      <c r="H89" s="79">
        <v>1E-8</v>
      </c>
      <c r="I89" s="79">
        <v>1E-8</v>
      </c>
      <c r="J89" s="79">
        <v>1E-8</v>
      </c>
      <c r="K89" s="79">
        <v>1E-8</v>
      </c>
      <c r="L89" s="79">
        <v>1E-8</v>
      </c>
      <c r="M89" s="79">
        <v>1E-8</v>
      </c>
      <c r="N89" s="44"/>
      <c r="O89" s="34"/>
      <c r="P89" s="9" t="s">
        <v>181</v>
      </c>
      <c r="Q89" s="44"/>
      <c r="R89" s="91" t="s">
        <v>554</v>
      </c>
      <c r="S89" s="79">
        <v>1.2592228021889191</v>
      </c>
      <c r="T89" s="80">
        <v>4.9006746970083004</v>
      </c>
      <c r="U89" s="79">
        <v>1E-8</v>
      </c>
      <c r="V89" s="79">
        <v>1E-8</v>
      </c>
      <c r="W89" s="79">
        <v>1E-8</v>
      </c>
      <c r="X89" s="79">
        <v>1E-8</v>
      </c>
      <c r="Y89" s="79">
        <v>1E-8</v>
      </c>
      <c r="Z89" s="79">
        <v>1E-8</v>
      </c>
      <c r="AA89" s="79">
        <v>1E-8</v>
      </c>
      <c r="AB89" s="79">
        <v>1E-8</v>
      </c>
      <c r="AC89" s="44"/>
      <c r="AD89" s="34"/>
      <c r="AE89" s="9" t="s">
        <v>181</v>
      </c>
      <c r="AF89" s="44"/>
      <c r="AG89" s="91" t="s">
        <v>554</v>
      </c>
      <c r="AH89" s="79">
        <v>2.3233072921916165</v>
      </c>
      <c r="AI89" s="80">
        <v>7.938175795759661</v>
      </c>
      <c r="AJ89" s="79">
        <v>1E-8</v>
      </c>
      <c r="AK89" s="79">
        <v>1E-8</v>
      </c>
      <c r="AL89" s="79">
        <v>1E-8</v>
      </c>
      <c r="AM89" s="79">
        <v>1E-8</v>
      </c>
      <c r="AN89" s="79">
        <v>1E-8</v>
      </c>
      <c r="AO89" s="79">
        <v>1E-8</v>
      </c>
      <c r="AP89" s="79">
        <v>1E-8</v>
      </c>
      <c r="AQ89" s="79">
        <v>1E-8</v>
      </c>
      <c r="AR89" s="44"/>
      <c r="AS89" s="34"/>
      <c r="AT89" s="9" t="s">
        <v>181</v>
      </c>
      <c r="AU89" s="44"/>
      <c r="AV89" s="91" t="s">
        <v>554</v>
      </c>
      <c r="AW89" s="79">
        <v>3.5178819633941192</v>
      </c>
      <c r="AX89" s="80">
        <v>5.7077930727228665</v>
      </c>
      <c r="AY89" s="79">
        <v>1E-8</v>
      </c>
      <c r="AZ89" s="79">
        <v>1E-8</v>
      </c>
      <c r="BA89" s="79">
        <v>1E-8</v>
      </c>
      <c r="BB89" s="79">
        <v>1E-8</v>
      </c>
      <c r="BC89" s="79">
        <v>1E-8</v>
      </c>
      <c r="BD89" s="79">
        <v>1E-8</v>
      </c>
      <c r="BE89" s="79">
        <v>1E-8</v>
      </c>
      <c r="BF89" s="79">
        <v>1E-8</v>
      </c>
      <c r="BG89" s="44"/>
      <c r="BH89" s="34"/>
      <c r="BI89" s="9" t="s">
        <v>181</v>
      </c>
      <c r="BJ89" s="44"/>
      <c r="BK89" s="91" t="s">
        <v>554</v>
      </c>
      <c r="BL89" s="79">
        <v>2.3850229863570269</v>
      </c>
      <c r="BM89" s="80">
        <v>1E-8</v>
      </c>
      <c r="BN89" s="79">
        <v>1E-8</v>
      </c>
      <c r="BO89" s="79">
        <v>1E-8</v>
      </c>
      <c r="BP89" s="79">
        <v>1E-8</v>
      </c>
      <c r="BQ89" s="79">
        <v>1E-8</v>
      </c>
      <c r="BR89" s="79">
        <v>1E-8</v>
      </c>
      <c r="BS89" s="79">
        <v>1E-8</v>
      </c>
      <c r="BT89" s="79">
        <v>1E-8</v>
      </c>
      <c r="BU89" s="79">
        <v>1E-8</v>
      </c>
      <c r="BV89" s="44"/>
      <c r="BW89" s="34"/>
      <c r="BX89" s="9" t="s">
        <v>181</v>
      </c>
      <c r="BY89" s="44"/>
      <c r="BZ89" s="91" t="s">
        <v>554</v>
      </c>
      <c r="CA89" s="79">
        <v>3.8678803859952442</v>
      </c>
      <c r="CB89" s="80">
        <v>1E-8</v>
      </c>
      <c r="CC89" s="79">
        <v>1E-8</v>
      </c>
      <c r="CD89" s="79">
        <v>1E-8</v>
      </c>
      <c r="CE89" s="79">
        <v>1E-8</v>
      </c>
      <c r="CF89" s="79">
        <v>1E-8</v>
      </c>
      <c r="CG89" s="79">
        <v>1E-8</v>
      </c>
      <c r="CH89" s="79">
        <v>1E-8</v>
      </c>
      <c r="CI89" s="79">
        <v>1E-8</v>
      </c>
      <c r="CJ89" s="79">
        <v>1E-8</v>
      </c>
      <c r="CK89" s="44"/>
    </row>
    <row r="90" spans="1:89" x14ac:dyDescent="0.35">
      <c r="A90" s="70" t="s">
        <v>657</v>
      </c>
      <c r="B90" s="44"/>
      <c r="C90" s="93" t="s">
        <v>555</v>
      </c>
      <c r="D90" s="85">
        <v>0.26158332644107424</v>
      </c>
      <c r="E90" s="86">
        <v>3.9241703451073917</v>
      </c>
      <c r="F90" s="85">
        <v>1E-8</v>
      </c>
      <c r="G90" s="85">
        <v>1E-8</v>
      </c>
      <c r="H90" s="85">
        <v>1E-8</v>
      </c>
      <c r="I90" s="85">
        <v>1E-8</v>
      </c>
      <c r="J90" s="85">
        <v>1E-8</v>
      </c>
      <c r="K90" s="85">
        <v>1E-8</v>
      </c>
      <c r="L90" s="85">
        <v>1E-8</v>
      </c>
      <c r="M90" s="85">
        <v>1E-8</v>
      </c>
      <c r="N90" s="44"/>
      <c r="O90" s="34"/>
      <c r="P90" s="70" t="s">
        <v>657</v>
      </c>
      <c r="Q90" s="44"/>
      <c r="R90" s="93" t="s">
        <v>555</v>
      </c>
      <c r="S90" s="85">
        <v>0.32729264462621982</v>
      </c>
      <c r="T90" s="86">
        <v>3.5684855290156969</v>
      </c>
      <c r="U90" s="85">
        <v>1E-8</v>
      </c>
      <c r="V90" s="85">
        <v>1E-8</v>
      </c>
      <c r="W90" s="85">
        <v>1E-8</v>
      </c>
      <c r="X90" s="85">
        <v>1E-8</v>
      </c>
      <c r="Y90" s="85">
        <v>1E-8</v>
      </c>
      <c r="Z90" s="85">
        <v>1E-8</v>
      </c>
      <c r="AA90" s="85">
        <v>1E-8</v>
      </c>
      <c r="AB90" s="85">
        <v>1E-8</v>
      </c>
      <c r="AC90" s="44"/>
      <c r="AD90" s="34"/>
      <c r="AE90" s="70" t="s">
        <v>657</v>
      </c>
      <c r="AF90" s="44"/>
      <c r="AG90" s="93" t="s">
        <v>555</v>
      </c>
      <c r="AH90" s="85">
        <v>0.27268809832529989</v>
      </c>
      <c r="AI90" s="86">
        <v>7.7808237572311478</v>
      </c>
      <c r="AJ90" s="85">
        <v>1E-8</v>
      </c>
      <c r="AK90" s="85">
        <v>1E-8</v>
      </c>
      <c r="AL90" s="85">
        <v>1E-8</v>
      </c>
      <c r="AM90" s="85">
        <v>1E-8</v>
      </c>
      <c r="AN90" s="85">
        <v>1E-8</v>
      </c>
      <c r="AO90" s="85">
        <v>1E-8</v>
      </c>
      <c r="AP90" s="85">
        <v>1E-8</v>
      </c>
      <c r="AQ90" s="85">
        <v>1E-8</v>
      </c>
      <c r="AR90" s="44"/>
      <c r="AS90" s="34"/>
      <c r="AT90" s="70" t="s">
        <v>657</v>
      </c>
      <c r="AU90" s="44"/>
      <c r="AV90" s="93" t="s">
        <v>555</v>
      </c>
      <c r="AW90" s="85">
        <v>0.43489479753034976</v>
      </c>
      <c r="AX90" s="86">
        <v>5.5984930566951308</v>
      </c>
      <c r="AY90" s="85">
        <v>1E-8</v>
      </c>
      <c r="AZ90" s="85">
        <v>1E-8</v>
      </c>
      <c r="BA90" s="85">
        <v>1E-8</v>
      </c>
      <c r="BB90" s="85">
        <v>1E-8</v>
      </c>
      <c r="BC90" s="85">
        <v>1E-8</v>
      </c>
      <c r="BD90" s="85">
        <v>1E-8</v>
      </c>
      <c r="BE90" s="85">
        <v>1E-8</v>
      </c>
      <c r="BF90" s="85">
        <v>1E-8</v>
      </c>
      <c r="BG90" s="44"/>
      <c r="BH90" s="34"/>
      <c r="BI90" s="70" t="s">
        <v>657</v>
      </c>
      <c r="BJ90" s="44"/>
      <c r="BK90" s="93" t="s">
        <v>555</v>
      </c>
      <c r="BL90" s="85">
        <v>0.2756039560689662</v>
      </c>
      <c r="BM90" s="86">
        <v>1E-8</v>
      </c>
      <c r="BN90" s="85">
        <v>1E-8</v>
      </c>
      <c r="BO90" s="85">
        <v>1E-8</v>
      </c>
      <c r="BP90" s="85">
        <v>1E-8</v>
      </c>
      <c r="BQ90" s="85">
        <v>1E-8</v>
      </c>
      <c r="BR90" s="85">
        <v>1E-8</v>
      </c>
      <c r="BS90" s="85">
        <v>1E-8</v>
      </c>
      <c r="BT90" s="85">
        <v>1E-8</v>
      </c>
      <c r="BU90" s="85">
        <v>1E-8</v>
      </c>
      <c r="BV90" s="44"/>
      <c r="BW90" s="34"/>
      <c r="BX90" s="70" t="s">
        <v>657</v>
      </c>
      <c r="BY90" s="44"/>
      <c r="BZ90" s="93" t="s">
        <v>555</v>
      </c>
      <c r="CA90" s="85">
        <v>0.42351816603404568</v>
      </c>
      <c r="CB90" s="86">
        <v>1E-8</v>
      </c>
      <c r="CC90" s="85">
        <v>1E-8</v>
      </c>
      <c r="CD90" s="85">
        <v>1E-8</v>
      </c>
      <c r="CE90" s="85">
        <v>1E-8</v>
      </c>
      <c r="CF90" s="85">
        <v>1E-8</v>
      </c>
      <c r="CG90" s="85">
        <v>1E-8</v>
      </c>
      <c r="CH90" s="85">
        <v>1E-8</v>
      </c>
      <c r="CI90" s="85">
        <v>1E-8</v>
      </c>
      <c r="CJ90" s="85">
        <v>1E-8</v>
      </c>
      <c r="CK90" s="44"/>
    </row>
    <row r="91" spans="1:89" x14ac:dyDescent="0.35">
      <c r="A91" s="70" t="s">
        <v>658</v>
      </c>
      <c r="B91" s="44"/>
      <c r="C91" s="93" t="s">
        <v>349</v>
      </c>
      <c r="D91" s="85">
        <v>0.42707893527764978</v>
      </c>
      <c r="E91" s="86">
        <v>6.7601900423155836</v>
      </c>
      <c r="F91" s="85">
        <v>1E-8</v>
      </c>
      <c r="G91" s="85">
        <v>1E-8</v>
      </c>
      <c r="H91" s="85">
        <v>1E-8</v>
      </c>
      <c r="I91" s="85">
        <v>1E-8</v>
      </c>
      <c r="J91" s="85">
        <v>1E-8</v>
      </c>
      <c r="K91" s="85">
        <v>1E-8</v>
      </c>
      <c r="L91" s="85">
        <v>1E-8</v>
      </c>
      <c r="M91" s="85">
        <v>1E-8</v>
      </c>
      <c r="N91" s="44"/>
      <c r="O91" s="34"/>
      <c r="P91" s="70" t="s">
        <v>658</v>
      </c>
      <c r="Q91" s="44"/>
      <c r="R91" s="93" t="s">
        <v>349</v>
      </c>
      <c r="S91" s="85">
        <v>0.70358671334030587</v>
      </c>
      <c r="T91" s="86">
        <v>5.0831145977216163</v>
      </c>
      <c r="U91" s="85">
        <v>1E-8</v>
      </c>
      <c r="V91" s="85">
        <v>1E-8</v>
      </c>
      <c r="W91" s="85">
        <v>1E-8</v>
      </c>
      <c r="X91" s="85">
        <v>1E-8</v>
      </c>
      <c r="Y91" s="85">
        <v>1E-8</v>
      </c>
      <c r="Z91" s="85">
        <v>1E-8</v>
      </c>
      <c r="AA91" s="85">
        <v>1E-8</v>
      </c>
      <c r="AB91" s="85">
        <v>1E-8</v>
      </c>
      <c r="AC91" s="44"/>
      <c r="AD91" s="34"/>
      <c r="AE91" s="70" t="s">
        <v>658</v>
      </c>
      <c r="AF91" s="44"/>
      <c r="AG91" s="93" t="s">
        <v>349</v>
      </c>
      <c r="AH91" s="85">
        <v>2.0227327656647174</v>
      </c>
      <c r="AI91" s="86">
        <v>7.9784086472628024</v>
      </c>
      <c r="AJ91" s="85">
        <v>1E-8</v>
      </c>
      <c r="AK91" s="85">
        <v>1E-8</v>
      </c>
      <c r="AL91" s="85">
        <v>1E-8</v>
      </c>
      <c r="AM91" s="85">
        <v>1E-8</v>
      </c>
      <c r="AN91" s="85">
        <v>1E-8</v>
      </c>
      <c r="AO91" s="85">
        <v>1E-8</v>
      </c>
      <c r="AP91" s="85">
        <v>1E-8</v>
      </c>
      <c r="AQ91" s="85">
        <v>1E-8</v>
      </c>
      <c r="AR91" s="44"/>
      <c r="AS91" s="34"/>
      <c r="AT91" s="70" t="s">
        <v>658</v>
      </c>
      <c r="AU91" s="44"/>
      <c r="AV91" s="93" t="s">
        <v>349</v>
      </c>
      <c r="AW91" s="85">
        <v>2.0408793169123136</v>
      </c>
      <c r="AX91" s="86">
        <v>5.3666045136577356</v>
      </c>
      <c r="AY91" s="85">
        <v>1E-8</v>
      </c>
      <c r="AZ91" s="85">
        <v>1E-8</v>
      </c>
      <c r="BA91" s="85">
        <v>1E-8</v>
      </c>
      <c r="BB91" s="85">
        <v>1E-8</v>
      </c>
      <c r="BC91" s="85">
        <v>1E-8</v>
      </c>
      <c r="BD91" s="85">
        <v>1E-8</v>
      </c>
      <c r="BE91" s="85">
        <v>1E-8</v>
      </c>
      <c r="BF91" s="85">
        <v>1E-8</v>
      </c>
      <c r="BG91" s="44"/>
      <c r="BH91" s="34"/>
      <c r="BI91" s="70" t="s">
        <v>658</v>
      </c>
      <c r="BJ91" s="44"/>
      <c r="BK91" s="93" t="s">
        <v>349</v>
      </c>
      <c r="BL91" s="85">
        <v>2.084672193551691</v>
      </c>
      <c r="BM91" s="86">
        <v>1E-8</v>
      </c>
      <c r="BN91" s="85">
        <v>1E-8</v>
      </c>
      <c r="BO91" s="85">
        <v>1E-8</v>
      </c>
      <c r="BP91" s="85">
        <v>1E-8</v>
      </c>
      <c r="BQ91" s="85">
        <v>1E-8</v>
      </c>
      <c r="BR91" s="85">
        <v>1E-8</v>
      </c>
      <c r="BS91" s="85">
        <v>1E-8</v>
      </c>
      <c r="BT91" s="85">
        <v>1E-8</v>
      </c>
      <c r="BU91" s="85">
        <v>1E-8</v>
      </c>
      <c r="BV91" s="44"/>
      <c r="BW91" s="34"/>
      <c r="BX91" s="70" t="s">
        <v>658</v>
      </c>
      <c r="BY91" s="44"/>
      <c r="BZ91" s="93" t="s">
        <v>349</v>
      </c>
      <c r="CA91" s="85">
        <v>2.1350172743487752</v>
      </c>
      <c r="CB91" s="86">
        <v>1E-8</v>
      </c>
      <c r="CC91" s="85">
        <v>1E-8</v>
      </c>
      <c r="CD91" s="85">
        <v>1E-8</v>
      </c>
      <c r="CE91" s="85">
        <v>1E-8</v>
      </c>
      <c r="CF91" s="85">
        <v>1E-8</v>
      </c>
      <c r="CG91" s="85">
        <v>1E-8</v>
      </c>
      <c r="CH91" s="85">
        <v>1E-8</v>
      </c>
      <c r="CI91" s="85">
        <v>1E-8</v>
      </c>
      <c r="CJ91" s="85">
        <v>1E-8</v>
      </c>
      <c r="CK91" s="44"/>
    </row>
    <row r="92" spans="1:89" x14ac:dyDescent="0.35">
      <c r="A92" s="70" t="s">
        <v>659</v>
      </c>
      <c r="B92" s="44"/>
      <c r="C92" s="93" t="s">
        <v>556</v>
      </c>
      <c r="D92" s="87">
        <v>2.4611127250898407E-3</v>
      </c>
      <c r="E92" s="88">
        <v>6.5585699688868404</v>
      </c>
      <c r="F92" s="87">
        <v>1E-8</v>
      </c>
      <c r="G92" s="87">
        <v>1E-8</v>
      </c>
      <c r="H92" s="87">
        <v>1E-8</v>
      </c>
      <c r="I92" s="87">
        <v>1E-8</v>
      </c>
      <c r="J92" s="87">
        <v>1E-8</v>
      </c>
      <c r="K92" s="87">
        <v>1E-8</v>
      </c>
      <c r="L92" s="87">
        <v>1E-8</v>
      </c>
      <c r="M92" s="87">
        <v>1E-8</v>
      </c>
      <c r="N92" s="44"/>
      <c r="O92" s="34"/>
      <c r="P92" s="70" t="s">
        <v>659</v>
      </c>
      <c r="Q92" s="44"/>
      <c r="R92" s="93" t="s">
        <v>556</v>
      </c>
      <c r="S92" s="87">
        <v>0.22834344422239325</v>
      </c>
      <c r="T92" s="88">
        <v>6.5585699688867294</v>
      </c>
      <c r="U92" s="87">
        <v>1E-8</v>
      </c>
      <c r="V92" s="87">
        <v>1E-8</v>
      </c>
      <c r="W92" s="87">
        <v>1E-8</v>
      </c>
      <c r="X92" s="87">
        <v>1E-8</v>
      </c>
      <c r="Y92" s="87">
        <v>1E-8</v>
      </c>
      <c r="Z92" s="87">
        <v>1E-8</v>
      </c>
      <c r="AA92" s="87">
        <v>1E-8</v>
      </c>
      <c r="AB92" s="87">
        <v>1E-8</v>
      </c>
      <c r="AC92" s="44"/>
      <c r="AD92" s="34"/>
      <c r="AE92" s="70" t="s">
        <v>659</v>
      </c>
      <c r="AF92" s="44"/>
      <c r="AG92" s="93" t="s">
        <v>556</v>
      </c>
      <c r="AH92" s="87">
        <v>2.7886428201599367E-2</v>
      </c>
      <c r="AI92" s="88">
        <v>6.558569968886796</v>
      </c>
      <c r="AJ92" s="87">
        <v>1E-8</v>
      </c>
      <c r="AK92" s="87">
        <v>1E-8</v>
      </c>
      <c r="AL92" s="87">
        <v>1E-8</v>
      </c>
      <c r="AM92" s="87">
        <v>1E-8</v>
      </c>
      <c r="AN92" s="87">
        <v>1E-8</v>
      </c>
      <c r="AO92" s="87">
        <v>1E-8</v>
      </c>
      <c r="AP92" s="87">
        <v>1E-8</v>
      </c>
      <c r="AQ92" s="87">
        <v>1E-8</v>
      </c>
      <c r="AR92" s="44"/>
      <c r="AS92" s="34"/>
      <c r="AT92" s="70" t="s">
        <v>659</v>
      </c>
      <c r="AU92" s="44"/>
      <c r="AV92" s="93" t="s">
        <v>556</v>
      </c>
      <c r="AW92" s="87">
        <v>1.0421078489514557</v>
      </c>
      <c r="AX92" s="88">
        <v>6.558569968886796</v>
      </c>
      <c r="AY92" s="87">
        <v>1E-8</v>
      </c>
      <c r="AZ92" s="87">
        <v>1E-8</v>
      </c>
      <c r="BA92" s="87">
        <v>1E-8</v>
      </c>
      <c r="BB92" s="87">
        <v>1E-8</v>
      </c>
      <c r="BC92" s="87">
        <v>1E-8</v>
      </c>
      <c r="BD92" s="87">
        <v>1E-8</v>
      </c>
      <c r="BE92" s="87">
        <v>1E-8</v>
      </c>
      <c r="BF92" s="87">
        <v>1E-8</v>
      </c>
      <c r="BG92" s="44"/>
      <c r="BH92" s="34"/>
      <c r="BI92" s="70" t="s">
        <v>659</v>
      </c>
      <c r="BJ92" s="44"/>
      <c r="BK92" s="93" t="s">
        <v>556</v>
      </c>
      <c r="BL92" s="87">
        <v>2.4746836736369529E-2</v>
      </c>
      <c r="BM92" s="88">
        <v>1E-8</v>
      </c>
      <c r="BN92" s="87">
        <v>1E-8</v>
      </c>
      <c r="BO92" s="87">
        <v>1E-8</v>
      </c>
      <c r="BP92" s="87">
        <v>1E-8</v>
      </c>
      <c r="BQ92" s="87">
        <v>1E-8</v>
      </c>
      <c r="BR92" s="87">
        <v>1E-8</v>
      </c>
      <c r="BS92" s="87">
        <v>1E-8</v>
      </c>
      <c r="BT92" s="87">
        <v>1E-8</v>
      </c>
      <c r="BU92" s="87">
        <v>1E-8</v>
      </c>
      <c r="BV92" s="44"/>
      <c r="BW92" s="34"/>
      <c r="BX92" s="70" t="s">
        <v>659</v>
      </c>
      <c r="BY92" s="44"/>
      <c r="BZ92" s="93" t="s">
        <v>556</v>
      </c>
      <c r="CA92" s="87">
        <v>1.3093449456124233</v>
      </c>
      <c r="CB92" s="88">
        <v>1E-8</v>
      </c>
      <c r="CC92" s="87">
        <v>1E-8</v>
      </c>
      <c r="CD92" s="87">
        <v>1E-8</v>
      </c>
      <c r="CE92" s="87">
        <v>1E-8</v>
      </c>
      <c r="CF92" s="87">
        <v>1E-8</v>
      </c>
      <c r="CG92" s="87">
        <v>1E-8</v>
      </c>
      <c r="CH92" s="87">
        <v>1E-8</v>
      </c>
      <c r="CI92" s="87">
        <v>1E-8</v>
      </c>
      <c r="CJ92" s="87">
        <v>1E-8</v>
      </c>
      <c r="CK92" s="44"/>
    </row>
    <row r="93" spans="1:89" x14ac:dyDescent="0.35">
      <c r="A93" s="11" t="s">
        <v>286</v>
      </c>
      <c r="B93" s="44"/>
      <c r="C93" s="90" t="s">
        <v>350</v>
      </c>
      <c r="D93" s="77">
        <v>14.33631293831824</v>
      </c>
      <c r="E93" s="78">
        <v>0.79418010276719464</v>
      </c>
      <c r="F93" s="77">
        <v>1E-8</v>
      </c>
      <c r="G93" s="77">
        <v>1E-8</v>
      </c>
      <c r="H93" s="77">
        <v>1E-8</v>
      </c>
      <c r="I93" s="77">
        <v>1E-8</v>
      </c>
      <c r="J93" s="77">
        <v>1E-8</v>
      </c>
      <c r="K93" s="77">
        <v>1E-8</v>
      </c>
      <c r="L93" s="77">
        <v>1E-8</v>
      </c>
      <c r="M93" s="77">
        <v>1E-8</v>
      </c>
      <c r="N93" s="44"/>
      <c r="O93" s="34"/>
      <c r="P93" s="11" t="s">
        <v>286</v>
      </c>
      <c r="Q93" s="44"/>
      <c r="R93" s="90" t="s">
        <v>350</v>
      </c>
      <c r="S93" s="77">
        <v>11.366485044438472</v>
      </c>
      <c r="T93" s="78">
        <v>0.71393785785409669</v>
      </c>
      <c r="U93" s="77">
        <v>1E-8</v>
      </c>
      <c r="V93" s="77">
        <v>1E-8</v>
      </c>
      <c r="W93" s="77">
        <v>1E-8</v>
      </c>
      <c r="X93" s="77">
        <v>1E-8</v>
      </c>
      <c r="Y93" s="77">
        <v>1E-8</v>
      </c>
      <c r="Z93" s="77">
        <v>1E-8</v>
      </c>
      <c r="AA93" s="77">
        <v>1E-8</v>
      </c>
      <c r="AB93" s="77">
        <v>1E-8</v>
      </c>
      <c r="AC93" s="44"/>
      <c r="AD93" s="34"/>
      <c r="AE93" s="11" t="s">
        <v>286</v>
      </c>
      <c r="AF93" s="44"/>
      <c r="AG93" s="90" t="s">
        <v>350</v>
      </c>
      <c r="AH93" s="77">
        <v>3.8508852394808377</v>
      </c>
      <c r="AI93" s="78">
        <v>6.558569968886796</v>
      </c>
      <c r="AJ93" s="77">
        <v>1E-8</v>
      </c>
      <c r="AK93" s="77">
        <v>1E-8</v>
      </c>
      <c r="AL93" s="77">
        <v>1E-8</v>
      </c>
      <c r="AM93" s="77">
        <v>1E-8</v>
      </c>
      <c r="AN93" s="77">
        <v>1E-8</v>
      </c>
      <c r="AO93" s="77">
        <v>1E-8</v>
      </c>
      <c r="AP93" s="77">
        <v>1E-8</v>
      </c>
      <c r="AQ93" s="77">
        <v>1E-8</v>
      </c>
      <c r="AR93" s="44"/>
      <c r="AS93" s="34"/>
      <c r="AT93" s="11" t="s">
        <v>286</v>
      </c>
      <c r="AU93" s="44"/>
      <c r="AV93" s="90" t="s">
        <v>350</v>
      </c>
      <c r="AW93" s="77">
        <v>0.54353485735239648</v>
      </c>
      <c r="AX93" s="78">
        <v>6.558569968886796</v>
      </c>
      <c r="AY93" s="77">
        <v>1E-8</v>
      </c>
      <c r="AZ93" s="77">
        <v>1E-8</v>
      </c>
      <c r="BA93" s="77">
        <v>1E-8</v>
      </c>
      <c r="BB93" s="77">
        <v>1E-8</v>
      </c>
      <c r="BC93" s="77">
        <v>1E-8</v>
      </c>
      <c r="BD93" s="77">
        <v>1E-8</v>
      </c>
      <c r="BE93" s="77">
        <v>1E-8</v>
      </c>
      <c r="BF93" s="77">
        <v>1E-8</v>
      </c>
      <c r="BG93" s="44"/>
      <c r="BH93" s="34"/>
      <c r="BI93" s="11" t="s">
        <v>286</v>
      </c>
      <c r="BJ93" s="44"/>
      <c r="BK93" s="90" t="s">
        <v>350</v>
      </c>
      <c r="BL93" s="77">
        <v>3.4173336084132138</v>
      </c>
      <c r="BM93" s="78">
        <v>1E-8</v>
      </c>
      <c r="BN93" s="77">
        <v>1E-8</v>
      </c>
      <c r="BO93" s="77">
        <v>1E-8</v>
      </c>
      <c r="BP93" s="77">
        <v>1E-8</v>
      </c>
      <c r="BQ93" s="77">
        <v>1E-8</v>
      </c>
      <c r="BR93" s="77">
        <v>1E-8</v>
      </c>
      <c r="BS93" s="77">
        <v>1E-8</v>
      </c>
      <c r="BT93" s="77">
        <v>1E-8</v>
      </c>
      <c r="BU93" s="77">
        <v>1E-8</v>
      </c>
      <c r="BV93" s="44"/>
      <c r="BW93" s="34"/>
      <c r="BX93" s="11" t="s">
        <v>286</v>
      </c>
      <c r="BY93" s="44"/>
      <c r="BZ93" s="90" t="s">
        <v>350</v>
      </c>
      <c r="CA93" s="77">
        <v>0.68291839367163409</v>
      </c>
      <c r="CB93" s="78">
        <v>1E-8</v>
      </c>
      <c r="CC93" s="77">
        <v>1E-8</v>
      </c>
      <c r="CD93" s="77">
        <v>1E-8</v>
      </c>
      <c r="CE93" s="77">
        <v>1E-8</v>
      </c>
      <c r="CF93" s="77">
        <v>1E-8</v>
      </c>
      <c r="CG93" s="77">
        <v>1E-8</v>
      </c>
      <c r="CH93" s="77">
        <v>1E-8</v>
      </c>
      <c r="CI93" s="77">
        <v>1E-8</v>
      </c>
      <c r="CJ93" s="77">
        <v>1E-8</v>
      </c>
      <c r="CK93" s="44"/>
    </row>
    <row r="94" spans="1:89" x14ac:dyDescent="0.35">
      <c r="A94" s="11" t="s">
        <v>369</v>
      </c>
      <c r="B94" s="44"/>
      <c r="C94" s="90" t="s">
        <v>557</v>
      </c>
      <c r="D94" s="77">
        <v>2.1018530569413918</v>
      </c>
      <c r="E94" s="78">
        <v>0.82768876113707979</v>
      </c>
      <c r="F94" s="77">
        <v>1E-8</v>
      </c>
      <c r="G94" s="77">
        <v>1E-8</v>
      </c>
      <c r="H94" s="77">
        <v>1E-8</v>
      </c>
      <c r="I94" s="77">
        <v>1E-8</v>
      </c>
      <c r="J94" s="77">
        <v>1E-8</v>
      </c>
      <c r="K94" s="77">
        <v>1E-8</v>
      </c>
      <c r="L94" s="77">
        <v>1E-8</v>
      </c>
      <c r="M94" s="77">
        <v>1E-8</v>
      </c>
      <c r="N94" s="44"/>
      <c r="O94" s="34"/>
      <c r="P94" s="11" t="s">
        <v>369</v>
      </c>
      <c r="Q94" s="44"/>
      <c r="R94" s="90" t="s">
        <v>557</v>
      </c>
      <c r="S94" s="77">
        <v>1.5697409953838601</v>
      </c>
      <c r="T94" s="78">
        <v>0.83457037684018243</v>
      </c>
      <c r="U94" s="77">
        <v>1E-8</v>
      </c>
      <c r="V94" s="77">
        <v>1E-8</v>
      </c>
      <c r="W94" s="77">
        <v>1E-8</v>
      </c>
      <c r="X94" s="77">
        <v>1E-8</v>
      </c>
      <c r="Y94" s="77">
        <v>1E-8</v>
      </c>
      <c r="Z94" s="77">
        <v>1E-8</v>
      </c>
      <c r="AA94" s="77">
        <v>1E-8</v>
      </c>
      <c r="AB94" s="77">
        <v>1E-8</v>
      </c>
      <c r="AC94" s="44"/>
      <c r="AD94" s="34"/>
      <c r="AE94" s="11" t="s">
        <v>369</v>
      </c>
      <c r="AF94" s="44"/>
      <c r="AG94" s="90" t="s">
        <v>557</v>
      </c>
      <c r="AH94" s="77">
        <v>1E-8</v>
      </c>
      <c r="AI94" s="78">
        <v>1E-8</v>
      </c>
      <c r="AJ94" s="77">
        <v>1E-8</v>
      </c>
      <c r="AK94" s="77">
        <v>1E-8</v>
      </c>
      <c r="AL94" s="77">
        <v>1E-8</v>
      </c>
      <c r="AM94" s="77">
        <v>1E-8</v>
      </c>
      <c r="AN94" s="77">
        <v>1E-8</v>
      </c>
      <c r="AO94" s="77">
        <v>1E-8</v>
      </c>
      <c r="AP94" s="77">
        <v>1E-8</v>
      </c>
      <c r="AQ94" s="77">
        <v>1E-8</v>
      </c>
      <c r="AR94" s="44"/>
      <c r="AS94" s="34"/>
      <c r="AT94" s="11" t="s">
        <v>369</v>
      </c>
      <c r="AU94" s="44"/>
      <c r="AV94" s="90" t="s">
        <v>557</v>
      </c>
      <c r="AW94" s="77">
        <v>1E-8</v>
      </c>
      <c r="AX94" s="78">
        <v>1E-8</v>
      </c>
      <c r="AY94" s="77">
        <v>1E-8</v>
      </c>
      <c r="AZ94" s="77">
        <v>1E-8</v>
      </c>
      <c r="BA94" s="77">
        <v>1E-8</v>
      </c>
      <c r="BB94" s="77">
        <v>1E-8</v>
      </c>
      <c r="BC94" s="77">
        <v>1E-8</v>
      </c>
      <c r="BD94" s="77">
        <v>1E-8</v>
      </c>
      <c r="BE94" s="77">
        <v>1E-8</v>
      </c>
      <c r="BF94" s="77">
        <v>1E-8</v>
      </c>
      <c r="BG94" s="44"/>
      <c r="BH94" s="34"/>
      <c r="BI94" s="11" t="s">
        <v>369</v>
      </c>
      <c r="BJ94" s="44"/>
      <c r="BK94" s="90" t="s">
        <v>557</v>
      </c>
      <c r="BL94" s="77">
        <v>1E-8</v>
      </c>
      <c r="BM94" s="78">
        <v>1E-8</v>
      </c>
      <c r="BN94" s="77">
        <v>1E-8</v>
      </c>
      <c r="BO94" s="77">
        <v>1E-8</v>
      </c>
      <c r="BP94" s="77">
        <v>1E-8</v>
      </c>
      <c r="BQ94" s="77">
        <v>1E-8</v>
      </c>
      <c r="BR94" s="77">
        <v>1E-8</v>
      </c>
      <c r="BS94" s="77">
        <v>1E-8</v>
      </c>
      <c r="BT94" s="77">
        <v>1E-8</v>
      </c>
      <c r="BU94" s="77">
        <v>1E-8</v>
      </c>
      <c r="BV94" s="44"/>
      <c r="BW94" s="34"/>
      <c r="BX94" s="11" t="s">
        <v>369</v>
      </c>
      <c r="BY94" s="44"/>
      <c r="BZ94" s="90" t="s">
        <v>557</v>
      </c>
      <c r="CA94" s="77">
        <v>1E-8</v>
      </c>
      <c r="CB94" s="78">
        <v>1E-8</v>
      </c>
      <c r="CC94" s="77">
        <v>1E-8</v>
      </c>
      <c r="CD94" s="77">
        <v>1E-8</v>
      </c>
      <c r="CE94" s="77">
        <v>1E-8</v>
      </c>
      <c r="CF94" s="77">
        <v>1E-8</v>
      </c>
      <c r="CG94" s="77">
        <v>1E-8</v>
      </c>
      <c r="CH94" s="77">
        <v>1E-8</v>
      </c>
      <c r="CI94" s="77">
        <v>1E-8</v>
      </c>
      <c r="CJ94" s="77">
        <v>1E-8</v>
      </c>
      <c r="CK94" s="44"/>
    </row>
    <row r="95" spans="1:89" x14ac:dyDescent="0.35">
      <c r="A95" s="9" t="s">
        <v>660</v>
      </c>
      <c r="B95" s="44"/>
      <c r="C95" s="91" t="s">
        <v>351</v>
      </c>
      <c r="D95" s="79">
        <v>1.5564840444234163</v>
      </c>
      <c r="E95" s="80">
        <v>1.0721074563285748</v>
      </c>
      <c r="F95" s="79">
        <v>1E-8</v>
      </c>
      <c r="G95" s="79">
        <v>1E-8</v>
      </c>
      <c r="H95" s="79">
        <v>1E-8</v>
      </c>
      <c r="I95" s="79">
        <v>1E-8</v>
      </c>
      <c r="J95" s="79">
        <v>1E-8</v>
      </c>
      <c r="K95" s="79">
        <v>1E-8</v>
      </c>
      <c r="L95" s="79">
        <v>1E-8</v>
      </c>
      <c r="M95" s="79">
        <v>1E-8</v>
      </c>
      <c r="N95" s="44"/>
      <c r="O95" s="34"/>
      <c r="P95" s="9" t="s">
        <v>660</v>
      </c>
      <c r="Q95" s="44"/>
      <c r="R95" s="91" t="s">
        <v>351</v>
      </c>
      <c r="S95" s="79">
        <v>1.1654904098617302</v>
      </c>
      <c r="T95" s="80">
        <v>1.0721074563285304</v>
      </c>
      <c r="U95" s="79">
        <v>1E-8</v>
      </c>
      <c r="V95" s="79">
        <v>1E-8</v>
      </c>
      <c r="W95" s="79">
        <v>1E-8</v>
      </c>
      <c r="X95" s="79">
        <v>1E-8</v>
      </c>
      <c r="Y95" s="79">
        <v>1E-8</v>
      </c>
      <c r="Z95" s="79">
        <v>1E-8</v>
      </c>
      <c r="AA95" s="79">
        <v>1E-8</v>
      </c>
      <c r="AB95" s="79">
        <v>1E-8</v>
      </c>
      <c r="AC95" s="44"/>
      <c r="AD95" s="34"/>
      <c r="AE95" s="9" t="s">
        <v>660</v>
      </c>
      <c r="AF95" s="44"/>
      <c r="AG95" s="91" t="s">
        <v>351</v>
      </c>
      <c r="AH95" s="79">
        <v>1E-8</v>
      </c>
      <c r="AI95" s="80">
        <v>1E-8</v>
      </c>
      <c r="AJ95" s="79">
        <v>1E-8</v>
      </c>
      <c r="AK95" s="79">
        <v>1E-8</v>
      </c>
      <c r="AL95" s="79">
        <v>1E-8</v>
      </c>
      <c r="AM95" s="79">
        <v>1E-8</v>
      </c>
      <c r="AN95" s="79">
        <v>1E-8</v>
      </c>
      <c r="AO95" s="79">
        <v>1E-8</v>
      </c>
      <c r="AP95" s="79">
        <v>1E-8</v>
      </c>
      <c r="AQ95" s="79">
        <v>1E-8</v>
      </c>
      <c r="AR95" s="44"/>
      <c r="AS95" s="34"/>
      <c r="AT95" s="9" t="s">
        <v>660</v>
      </c>
      <c r="AU95" s="44"/>
      <c r="AV95" s="91" t="s">
        <v>351</v>
      </c>
      <c r="AW95" s="79">
        <v>1E-8</v>
      </c>
      <c r="AX95" s="80">
        <v>1E-8</v>
      </c>
      <c r="AY95" s="79">
        <v>1E-8</v>
      </c>
      <c r="AZ95" s="79">
        <v>1E-8</v>
      </c>
      <c r="BA95" s="79">
        <v>1E-8</v>
      </c>
      <c r="BB95" s="79">
        <v>1E-8</v>
      </c>
      <c r="BC95" s="79">
        <v>1E-8</v>
      </c>
      <c r="BD95" s="79">
        <v>1E-8</v>
      </c>
      <c r="BE95" s="79">
        <v>1E-8</v>
      </c>
      <c r="BF95" s="79">
        <v>1E-8</v>
      </c>
      <c r="BG95" s="44"/>
      <c r="BH95" s="34"/>
      <c r="BI95" s="9" t="s">
        <v>660</v>
      </c>
      <c r="BJ95" s="44"/>
      <c r="BK95" s="91" t="s">
        <v>351</v>
      </c>
      <c r="BL95" s="79">
        <v>1E-8</v>
      </c>
      <c r="BM95" s="80">
        <v>1E-8</v>
      </c>
      <c r="BN95" s="79">
        <v>1E-8</v>
      </c>
      <c r="BO95" s="79">
        <v>1E-8</v>
      </c>
      <c r="BP95" s="79">
        <v>1E-8</v>
      </c>
      <c r="BQ95" s="79">
        <v>1E-8</v>
      </c>
      <c r="BR95" s="79">
        <v>1E-8</v>
      </c>
      <c r="BS95" s="79">
        <v>1E-8</v>
      </c>
      <c r="BT95" s="79">
        <v>1E-8</v>
      </c>
      <c r="BU95" s="79">
        <v>1E-8</v>
      </c>
      <c r="BV95" s="44"/>
      <c r="BW95" s="34"/>
      <c r="BX95" s="9" t="s">
        <v>660</v>
      </c>
      <c r="BY95" s="44"/>
      <c r="BZ95" s="91" t="s">
        <v>351</v>
      </c>
      <c r="CA95" s="79">
        <v>1E-8</v>
      </c>
      <c r="CB95" s="80">
        <v>1E-8</v>
      </c>
      <c r="CC95" s="79">
        <v>1E-8</v>
      </c>
      <c r="CD95" s="79">
        <v>1E-8</v>
      </c>
      <c r="CE95" s="79">
        <v>1E-8</v>
      </c>
      <c r="CF95" s="79">
        <v>1E-8</v>
      </c>
      <c r="CG95" s="79">
        <v>1E-8</v>
      </c>
      <c r="CH95" s="79">
        <v>1E-8</v>
      </c>
      <c r="CI95" s="79">
        <v>1E-8</v>
      </c>
      <c r="CJ95" s="79">
        <v>1E-8</v>
      </c>
      <c r="CK95" s="44"/>
    </row>
    <row r="96" spans="1:89" x14ac:dyDescent="0.35">
      <c r="A96" s="9" t="s">
        <v>661</v>
      </c>
      <c r="B96" s="44"/>
      <c r="C96" s="91" t="s">
        <v>352</v>
      </c>
      <c r="D96" s="79">
        <v>0.46364076087026468</v>
      </c>
      <c r="E96" s="80">
        <v>-2.6640249910925284E-2</v>
      </c>
      <c r="F96" s="79">
        <v>1E-8</v>
      </c>
      <c r="G96" s="79">
        <v>1E-8</v>
      </c>
      <c r="H96" s="79">
        <v>1E-8</v>
      </c>
      <c r="I96" s="79">
        <v>1E-8</v>
      </c>
      <c r="J96" s="79">
        <v>1E-8</v>
      </c>
      <c r="K96" s="79">
        <v>1E-8</v>
      </c>
      <c r="L96" s="79">
        <v>1E-8</v>
      </c>
      <c r="M96" s="79">
        <v>1E-8</v>
      </c>
      <c r="N96" s="44"/>
      <c r="O96" s="34"/>
      <c r="P96" s="9" t="s">
        <v>661</v>
      </c>
      <c r="Q96" s="44"/>
      <c r="R96" s="91" t="s">
        <v>352</v>
      </c>
      <c r="S96" s="79">
        <v>0.34123068950444779</v>
      </c>
      <c r="T96" s="80">
        <v>-2.6640249910958591E-2</v>
      </c>
      <c r="U96" s="79">
        <v>1E-8</v>
      </c>
      <c r="V96" s="79">
        <v>1E-8</v>
      </c>
      <c r="W96" s="79">
        <v>1E-8</v>
      </c>
      <c r="X96" s="79">
        <v>1E-8</v>
      </c>
      <c r="Y96" s="79">
        <v>1E-8</v>
      </c>
      <c r="Z96" s="79">
        <v>1E-8</v>
      </c>
      <c r="AA96" s="79">
        <v>1E-8</v>
      </c>
      <c r="AB96" s="79">
        <v>1E-8</v>
      </c>
      <c r="AC96" s="44"/>
      <c r="AD96" s="34"/>
      <c r="AE96" s="9" t="s">
        <v>661</v>
      </c>
      <c r="AF96" s="44"/>
      <c r="AG96" s="91" t="s">
        <v>352</v>
      </c>
      <c r="AH96" s="79">
        <v>1E-8</v>
      </c>
      <c r="AI96" s="80">
        <v>1E-8</v>
      </c>
      <c r="AJ96" s="79">
        <v>1E-8</v>
      </c>
      <c r="AK96" s="79">
        <v>1E-8</v>
      </c>
      <c r="AL96" s="79">
        <v>1E-8</v>
      </c>
      <c r="AM96" s="79">
        <v>1E-8</v>
      </c>
      <c r="AN96" s="79">
        <v>1E-8</v>
      </c>
      <c r="AO96" s="79">
        <v>1E-8</v>
      </c>
      <c r="AP96" s="79">
        <v>1E-8</v>
      </c>
      <c r="AQ96" s="79">
        <v>1E-8</v>
      </c>
      <c r="AR96" s="44"/>
      <c r="AS96" s="34"/>
      <c r="AT96" s="9" t="s">
        <v>661</v>
      </c>
      <c r="AU96" s="44"/>
      <c r="AV96" s="91" t="s">
        <v>352</v>
      </c>
      <c r="AW96" s="79">
        <v>1E-8</v>
      </c>
      <c r="AX96" s="80">
        <v>1E-8</v>
      </c>
      <c r="AY96" s="79">
        <v>1E-8</v>
      </c>
      <c r="AZ96" s="79">
        <v>1E-8</v>
      </c>
      <c r="BA96" s="79">
        <v>1E-8</v>
      </c>
      <c r="BB96" s="79">
        <v>1E-8</v>
      </c>
      <c r="BC96" s="79">
        <v>1E-8</v>
      </c>
      <c r="BD96" s="79">
        <v>1E-8</v>
      </c>
      <c r="BE96" s="79">
        <v>1E-8</v>
      </c>
      <c r="BF96" s="79">
        <v>1E-8</v>
      </c>
      <c r="BG96" s="44"/>
      <c r="BH96" s="34"/>
      <c r="BI96" s="9" t="s">
        <v>661</v>
      </c>
      <c r="BJ96" s="44"/>
      <c r="BK96" s="91" t="s">
        <v>352</v>
      </c>
      <c r="BL96" s="79">
        <v>1E-8</v>
      </c>
      <c r="BM96" s="80">
        <v>1E-8</v>
      </c>
      <c r="BN96" s="79">
        <v>1E-8</v>
      </c>
      <c r="BO96" s="79">
        <v>1E-8</v>
      </c>
      <c r="BP96" s="79">
        <v>1E-8</v>
      </c>
      <c r="BQ96" s="79">
        <v>1E-8</v>
      </c>
      <c r="BR96" s="79">
        <v>1E-8</v>
      </c>
      <c r="BS96" s="79">
        <v>1E-8</v>
      </c>
      <c r="BT96" s="79">
        <v>1E-8</v>
      </c>
      <c r="BU96" s="79">
        <v>1E-8</v>
      </c>
      <c r="BV96" s="44"/>
      <c r="BW96" s="34"/>
      <c r="BX96" s="9" t="s">
        <v>661</v>
      </c>
      <c r="BY96" s="44"/>
      <c r="BZ96" s="91" t="s">
        <v>352</v>
      </c>
      <c r="CA96" s="79">
        <v>1E-8</v>
      </c>
      <c r="CB96" s="80">
        <v>1E-8</v>
      </c>
      <c r="CC96" s="79">
        <v>1E-8</v>
      </c>
      <c r="CD96" s="79">
        <v>1E-8</v>
      </c>
      <c r="CE96" s="79">
        <v>1E-8</v>
      </c>
      <c r="CF96" s="79">
        <v>1E-8</v>
      </c>
      <c r="CG96" s="79">
        <v>1E-8</v>
      </c>
      <c r="CH96" s="79">
        <v>1E-8</v>
      </c>
      <c r="CI96" s="79">
        <v>1E-8</v>
      </c>
      <c r="CJ96" s="79">
        <v>1E-8</v>
      </c>
      <c r="CK96" s="44"/>
    </row>
    <row r="97" spans="1:89" x14ac:dyDescent="0.35">
      <c r="A97" s="9" t="s">
        <v>662</v>
      </c>
      <c r="B97" s="44"/>
      <c r="C97" s="91" t="s">
        <v>558</v>
      </c>
      <c r="D97" s="79">
        <v>8.1728251647710679E-2</v>
      </c>
      <c r="E97" s="80">
        <v>1.0193966855768233</v>
      </c>
      <c r="F97" s="79">
        <v>1E-8</v>
      </c>
      <c r="G97" s="79">
        <v>1E-8</v>
      </c>
      <c r="H97" s="79">
        <v>1E-8</v>
      </c>
      <c r="I97" s="79">
        <v>1E-8</v>
      </c>
      <c r="J97" s="79">
        <v>1E-8</v>
      </c>
      <c r="K97" s="79">
        <v>1E-8</v>
      </c>
      <c r="L97" s="79">
        <v>1E-8</v>
      </c>
      <c r="M97" s="79">
        <v>1E-8</v>
      </c>
      <c r="N97" s="44"/>
      <c r="O97" s="34"/>
      <c r="P97" s="9" t="s">
        <v>662</v>
      </c>
      <c r="Q97" s="44"/>
      <c r="R97" s="91" t="s">
        <v>558</v>
      </c>
      <c r="S97" s="79">
        <v>6.3019896017682278E-2</v>
      </c>
      <c r="T97" s="80">
        <v>1.0193966855768011</v>
      </c>
      <c r="U97" s="79">
        <v>1E-8</v>
      </c>
      <c r="V97" s="79">
        <v>1E-8</v>
      </c>
      <c r="W97" s="79">
        <v>1E-8</v>
      </c>
      <c r="X97" s="79">
        <v>1E-8</v>
      </c>
      <c r="Y97" s="79">
        <v>1E-8</v>
      </c>
      <c r="Z97" s="79">
        <v>1E-8</v>
      </c>
      <c r="AA97" s="79">
        <v>1E-8</v>
      </c>
      <c r="AB97" s="79">
        <v>1E-8</v>
      </c>
      <c r="AC97" s="44"/>
      <c r="AD97" s="34"/>
      <c r="AE97" s="9" t="s">
        <v>662</v>
      </c>
      <c r="AF97" s="44"/>
      <c r="AG97" s="91" t="s">
        <v>558</v>
      </c>
      <c r="AH97" s="79">
        <v>1E-8</v>
      </c>
      <c r="AI97" s="80">
        <v>1E-8</v>
      </c>
      <c r="AJ97" s="79">
        <v>1E-8</v>
      </c>
      <c r="AK97" s="79">
        <v>1E-8</v>
      </c>
      <c r="AL97" s="79">
        <v>1E-8</v>
      </c>
      <c r="AM97" s="79">
        <v>1E-8</v>
      </c>
      <c r="AN97" s="79">
        <v>1E-8</v>
      </c>
      <c r="AO97" s="79">
        <v>1E-8</v>
      </c>
      <c r="AP97" s="79">
        <v>1E-8</v>
      </c>
      <c r="AQ97" s="79">
        <v>1E-8</v>
      </c>
      <c r="AR97" s="44"/>
      <c r="AS97" s="34"/>
      <c r="AT97" s="9" t="s">
        <v>662</v>
      </c>
      <c r="AU97" s="44"/>
      <c r="AV97" s="91" t="s">
        <v>558</v>
      </c>
      <c r="AW97" s="79">
        <v>1E-8</v>
      </c>
      <c r="AX97" s="80">
        <v>1E-8</v>
      </c>
      <c r="AY97" s="79">
        <v>1E-8</v>
      </c>
      <c r="AZ97" s="79">
        <v>1E-8</v>
      </c>
      <c r="BA97" s="79">
        <v>1E-8</v>
      </c>
      <c r="BB97" s="79">
        <v>1E-8</v>
      </c>
      <c r="BC97" s="79">
        <v>1E-8</v>
      </c>
      <c r="BD97" s="79">
        <v>1E-8</v>
      </c>
      <c r="BE97" s="79">
        <v>1E-8</v>
      </c>
      <c r="BF97" s="79">
        <v>1E-8</v>
      </c>
      <c r="BG97" s="44"/>
      <c r="BH97" s="34"/>
      <c r="BI97" s="9" t="s">
        <v>662</v>
      </c>
      <c r="BJ97" s="44"/>
      <c r="BK97" s="91" t="s">
        <v>558</v>
      </c>
      <c r="BL97" s="79">
        <v>1E-8</v>
      </c>
      <c r="BM97" s="80">
        <v>1E-8</v>
      </c>
      <c r="BN97" s="79">
        <v>1E-8</v>
      </c>
      <c r="BO97" s="79">
        <v>1E-8</v>
      </c>
      <c r="BP97" s="79">
        <v>1E-8</v>
      </c>
      <c r="BQ97" s="79">
        <v>1E-8</v>
      </c>
      <c r="BR97" s="79">
        <v>1E-8</v>
      </c>
      <c r="BS97" s="79">
        <v>1E-8</v>
      </c>
      <c r="BT97" s="79">
        <v>1E-8</v>
      </c>
      <c r="BU97" s="79">
        <v>1E-8</v>
      </c>
      <c r="BV97" s="44"/>
      <c r="BW97" s="34"/>
      <c r="BX97" s="9" t="s">
        <v>662</v>
      </c>
      <c r="BY97" s="44"/>
      <c r="BZ97" s="91" t="s">
        <v>558</v>
      </c>
      <c r="CA97" s="79">
        <v>1E-8</v>
      </c>
      <c r="CB97" s="80">
        <v>1E-8</v>
      </c>
      <c r="CC97" s="79">
        <v>1E-8</v>
      </c>
      <c r="CD97" s="79">
        <v>1E-8</v>
      </c>
      <c r="CE97" s="79">
        <v>1E-8</v>
      </c>
      <c r="CF97" s="79">
        <v>1E-8</v>
      </c>
      <c r="CG97" s="79">
        <v>1E-8</v>
      </c>
      <c r="CH97" s="79">
        <v>1E-8</v>
      </c>
      <c r="CI97" s="79">
        <v>1E-8</v>
      </c>
      <c r="CJ97" s="79">
        <v>1E-8</v>
      </c>
      <c r="CK97" s="44"/>
    </row>
    <row r="98" spans="1:89" x14ac:dyDescent="0.35">
      <c r="A98" s="11" t="s">
        <v>188</v>
      </c>
      <c r="B98" s="44"/>
      <c r="C98" s="90" t="s">
        <v>559</v>
      </c>
      <c r="D98" s="77">
        <v>12.234459881376848</v>
      </c>
      <c r="E98" s="78">
        <v>0.7884233896215731</v>
      </c>
      <c r="F98" s="77">
        <v>1E-8</v>
      </c>
      <c r="G98" s="77">
        <v>1E-8</v>
      </c>
      <c r="H98" s="77">
        <v>1E-8</v>
      </c>
      <c r="I98" s="77">
        <v>1E-8</v>
      </c>
      <c r="J98" s="77">
        <v>1E-8</v>
      </c>
      <c r="K98" s="77">
        <v>1E-8</v>
      </c>
      <c r="L98" s="77">
        <v>1E-8</v>
      </c>
      <c r="M98" s="77">
        <v>1E-8</v>
      </c>
      <c r="N98" s="44"/>
      <c r="O98" s="34"/>
      <c r="P98" s="11" t="s">
        <v>188</v>
      </c>
      <c r="Q98" s="44"/>
      <c r="R98" s="90" t="s">
        <v>559</v>
      </c>
      <c r="S98" s="77">
        <v>9.7967440490546114</v>
      </c>
      <c r="T98" s="78">
        <v>0.69618175131027638</v>
      </c>
      <c r="U98" s="77">
        <v>1E-8</v>
      </c>
      <c r="V98" s="77">
        <v>1E-8</v>
      </c>
      <c r="W98" s="77">
        <v>1E-8</v>
      </c>
      <c r="X98" s="77">
        <v>1E-8</v>
      </c>
      <c r="Y98" s="77">
        <v>1E-8</v>
      </c>
      <c r="Z98" s="77">
        <v>1E-8</v>
      </c>
      <c r="AA98" s="77">
        <v>1E-8</v>
      </c>
      <c r="AB98" s="77">
        <v>1E-8</v>
      </c>
      <c r="AC98" s="44"/>
      <c r="AD98" s="34"/>
      <c r="AE98" s="11" t="s">
        <v>188</v>
      </c>
      <c r="AF98" s="44"/>
      <c r="AG98" s="90" t="s">
        <v>559</v>
      </c>
      <c r="AH98" s="77">
        <v>3.8508852394808377</v>
      </c>
      <c r="AI98" s="78">
        <v>6.558569968886796</v>
      </c>
      <c r="AJ98" s="77">
        <v>1E-8</v>
      </c>
      <c r="AK98" s="77">
        <v>1E-8</v>
      </c>
      <c r="AL98" s="77">
        <v>1E-8</v>
      </c>
      <c r="AM98" s="77">
        <v>1E-8</v>
      </c>
      <c r="AN98" s="77">
        <v>1E-8</v>
      </c>
      <c r="AO98" s="77">
        <v>1E-8</v>
      </c>
      <c r="AP98" s="77">
        <v>1E-8</v>
      </c>
      <c r="AQ98" s="77">
        <v>1E-8</v>
      </c>
      <c r="AR98" s="44"/>
      <c r="AS98" s="34"/>
      <c r="AT98" s="11" t="s">
        <v>188</v>
      </c>
      <c r="AU98" s="44"/>
      <c r="AV98" s="90" t="s">
        <v>559</v>
      </c>
      <c r="AW98" s="77">
        <v>0.54353485735239648</v>
      </c>
      <c r="AX98" s="78">
        <v>6.558569968886796</v>
      </c>
      <c r="AY98" s="77">
        <v>1E-8</v>
      </c>
      <c r="AZ98" s="77">
        <v>1E-8</v>
      </c>
      <c r="BA98" s="77">
        <v>1E-8</v>
      </c>
      <c r="BB98" s="77">
        <v>1E-8</v>
      </c>
      <c r="BC98" s="77">
        <v>1E-8</v>
      </c>
      <c r="BD98" s="77">
        <v>1E-8</v>
      </c>
      <c r="BE98" s="77">
        <v>1E-8</v>
      </c>
      <c r="BF98" s="77">
        <v>1E-8</v>
      </c>
      <c r="BG98" s="44"/>
      <c r="BH98" s="34"/>
      <c r="BI98" s="11" t="s">
        <v>188</v>
      </c>
      <c r="BJ98" s="44"/>
      <c r="BK98" s="90" t="s">
        <v>559</v>
      </c>
      <c r="BL98" s="77">
        <v>3.4173336084132138</v>
      </c>
      <c r="BM98" s="78">
        <v>1E-8</v>
      </c>
      <c r="BN98" s="77">
        <v>1E-8</v>
      </c>
      <c r="BO98" s="77">
        <v>1E-8</v>
      </c>
      <c r="BP98" s="77">
        <v>1E-8</v>
      </c>
      <c r="BQ98" s="77">
        <v>1E-8</v>
      </c>
      <c r="BR98" s="77">
        <v>1E-8</v>
      </c>
      <c r="BS98" s="77">
        <v>1E-8</v>
      </c>
      <c r="BT98" s="77">
        <v>1E-8</v>
      </c>
      <c r="BU98" s="77">
        <v>1E-8</v>
      </c>
      <c r="BV98" s="44"/>
      <c r="BW98" s="34"/>
      <c r="BX98" s="11" t="s">
        <v>188</v>
      </c>
      <c r="BY98" s="44"/>
      <c r="BZ98" s="90" t="s">
        <v>559</v>
      </c>
      <c r="CA98" s="77">
        <v>0.68291839367163409</v>
      </c>
      <c r="CB98" s="78">
        <v>1E-8</v>
      </c>
      <c r="CC98" s="77">
        <v>1E-8</v>
      </c>
      <c r="CD98" s="77">
        <v>1E-8</v>
      </c>
      <c r="CE98" s="77">
        <v>1E-8</v>
      </c>
      <c r="CF98" s="77">
        <v>1E-8</v>
      </c>
      <c r="CG98" s="77">
        <v>1E-8</v>
      </c>
      <c r="CH98" s="77">
        <v>1E-8</v>
      </c>
      <c r="CI98" s="77">
        <v>1E-8</v>
      </c>
      <c r="CJ98" s="77">
        <v>1E-8</v>
      </c>
      <c r="CK98" s="44"/>
    </row>
    <row r="99" spans="1:89" x14ac:dyDescent="0.35">
      <c r="A99" s="9" t="s">
        <v>663</v>
      </c>
      <c r="B99" s="44"/>
      <c r="C99" s="91" t="s">
        <v>353</v>
      </c>
      <c r="D99" s="79">
        <v>12.234459881376848</v>
      </c>
      <c r="E99" s="80">
        <v>0.7884233896215731</v>
      </c>
      <c r="F99" s="79">
        <v>1E-8</v>
      </c>
      <c r="G99" s="79">
        <v>1E-8</v>
      </c>
      <c r="H99" s="79">
        <v>1E-8</v>
      </c>
      <c r="I99" s="79">
        <v>1E-8</v>
      </c>
      <c r="J99" s="79">
        <v>1E-8</v>
      </c>
      <c r="K99" s="79">
        <v>1E-8</v>
      </c>
      <c r="L99" s="79">
        <v>1E-8</v>
      </c>
      <c r="M99" s="79">
        <v>1E-8</v>
      </c>
      <c r="N99" s="44"/>
      <c r="O99" s="34"/>
      <c r="P99" s="9" t="s">
        <v>663</v>
      </c>
      <c r="Q99" s="44"/>
      <c r="R99" s="91" t="s">
        <v>353</v>
      </c>
      <c r="S99" s="79">
        <v>9.7967440490546114</v>
      </c>
      <c r="T99" s="80">
        <v>0.69618175131027638</v>
      </c>
      <c r="U99" s="79">
        <v>1E-8</v>
      </c>
      <c r="V99" s="79">
        <v>1E-8</v>
      </c>
      <c r="W99" s="79">
        <v>1E-8</v>
      </c>
      <c r="X99" s="79">
        <v>1E-8</v>
      </c>
      <c r="Y99" s="79">
        <v>1E-8</v>
      </c>
      <c r="Z99" s="79">
        <v>1E-8</v>
      </c>
      <c r="AA99" s="79">
        <v>1E-8</v>
      </c>
      <c r="AB99" s="79">
        <v>1E-8</v>
      </c>
      <c r="AC99" s="44"/>
      <c r="AD99" s="34"/>
      <c r="AE99" s="9" t="s">
        <v>663</v>
      </c>
      <c r="AF99" s="44"/>
      <c r="AG99" s="91" t="s">
        <v>353</v>
      </c>
      <c r="AH99" s="79">
        <v>3.8508852394808377</v>
      </c>
      <c r="AI99" s="80">
        <v>6.558569968886796</v>
      </c>
      <c r="AJ99" s="79">
        <v>1E-8</v>
      </c>
      <c r="AK99" s="79">
        <v>1E-8</v>
      </c>
      <c r="AL99" s="79">
        <v>1E-8</v>
      </c>
      <c r="AM99" s="79">
        <v>1E-8</v>
      </c>
      <c r="AN99" s="79">
        <v>1E-8</v>
      </c>
      <c r="AO99" s="79">
        <v>1E-8</v>
      </c>
      <c r="AP99" s="79">
        <v>1E-8</v>
      </c>
      <c r="AQ99" s="79">
        <v>1E-8</v>
      </c>
      <c r="AR99" s="44"/>
      <c r="AS99" s="34"/>
      <c r="AT99" s="9" t="s">
        <v>663</v>
      </c>
      <c r="AU99" s="44"/>
      <c r="AV99" s="91" t="s">
        <v>353</v>
      </c>
      <c r="AW99" s="79">
        <v>0.54353485735239648</v>
      </c>
      <c r="AX99" s="80">
        <v>6.558569968886796</v>
      </c>
      <c r="AY99" s="79">
        <v>1E-8</v>
      </c>
      <c r="AZ99" s="79">
        <v>1E-8</v>
      </c>
      <c r="BA99" s="79">
        <v>1E-8</v>
      </c>
      <c r="BB99" s="79">
        <v>1E-8</v>
      </c>
      <c r="BC99" s="79">
        <v>1E-8</v>
      </c>
      <c r="BD99" s="79">
        <v>1E-8</v>
      </c>
      <c r="BE99" s="79">
        <v>1E-8</v>
      </c>
      <c r="BF99" s="79">
        <v>1E-8</v>
      </c>
      <c r="BG99" s="44"/>
      <c r="BH99" s="34"/>
      <c r="BI99" s="9" t="s">
        <v>663</v>
      </c>
      <c r="BJ99" s="44"/>
      <c r="BK99" s="91" t="s">
        <v>353</v>
      </c>
      <c r="BL99" s="79">
        <v>3.4173336084132138</v>
      </c>
      <c r="BM99" s="80">
        <v>1E-8</v>
      </c>
      <c r="BN99" s="79">
        <v>1E-8</v>
      </c>
      <c r="BO99" s="79">
        <v>1E-8</v>
      </c>
      <c r="BP99" s="79">
        <v>1E-8</v>
      </c>
      <c r="BQ99" s="79">
        <v>1E-8</v>
      </c>
      <c r="BR99" s="79">
        <v>1E-8</v>
      </c>
      <c r="BS99" s="79">
        <v>1E-8</v>
      </c>
      <c r="BT99" s="79">
        <v>1E-8</v>
      </c>
      <c r="BU99" s="79">
        <v>1E-8</v>
      </c>
      <c r="BV99" s="44"/>
      <c r="BW99" s="34"/>
      <c r="BX99" s="9" t="s">
        <v>663</v>
      </c>
      <c r="BY99" s="44"/>
      <c r="BZ99" s="91" t="s">
        <v>353</v>
      </c>
      <c r="CA99" s="79">
        <v>0.68291839367163409</v>
      </c>
      <c r="CB99" s="80">
        <v>1E-8</v>
      </c>
      <c r="CC99" s="79">
        <v>1E-8</v>
      </c>
      <c r="CD99" s="79">
        <v>1E-8</v>
      </c>
      <c r="CE99" s="79">
        <v>1E-8</v>
      </c>
      <c r="CF99" s="79">
        <v>1E-8</v>
      </c>
      <c r="CG99" s="79">
        <v>1E-8</v>
      </c>
      <c r="CH99" s="79">
        <v>1E-8</v>
      </c>
      <c r="CI99" s="79">
        <v>1E-8</v>
      </c>
      <c r="CJ99" s="79">
        <v>1E-8</v>
      </c>
      <c r="CK99" s="44"/>
    </row>
    <row r="100" spans="1:89" x14ac:dyDescent="0.35">
      <c r="A100" s="72" t="s">
        <v>664</v>
      </c>
      <c r="B100" s="53"/>
      <c r="C100" s="94" t="s">
        <v>560</v>
      </c>
      <c r="D100" s="81">
        <v>1E-8</v>
      </c>
      <c r="E100" s="82">
        <v>1E-8</v>
      </c>
      <c r="F100" s="81">
        <v>1E-8</v>
      </c>
      <c r="G100" s="81">
        <v>1E-8</v>
      </c>
      <c r="H100" s="81">
        <v>1E-8</v>
      </c>
      <c r="I100" s="81">
        <v>1E-8</v>
      </c>
      <c r="J100" s="81">
        <v>1E-8</v>
      </c>
      <c r="K100" s="81">
        <v>1E-8</v>
      </c>
      <c r="L100" s="81">
        <v>1E-8</v>
      </c>
      <c r="M100" s="81">
        <v>1E-8</v>
      </c>
      <c r="N100" s="44"/>
      <c r="O100" s="34"/>
      <c r="P100" s="72" t="s">
        <v>664</v>
      </c>
      <c r="Q100" s="53"/>
      <c r="R100" s="94" t="s">
        <v>560</v>
      </c>
      <c r="S100" s="81">
        <v>1E-8</v>
      </c>
      <c r="T100" s="82">
        <v>1E-8</v>
      </c>
      <c r="U100" s="81">
        <v>1E-8</v>
      </c>
      <c r="V100" s="81">
        <v>1E-8</v>
      </c>
      <c r="W100" s="81">
        <v>1E-8</v>
      </c>
      <c r="X100" s="81">
        <v>1E-8</v>
      </c>
      <c r="Y100" s="81">
        <v>1E-8</v>
      </c>
      <c r="Z100" s="81">
        <v>1E-8</v>
      </c>
      <c r="AA100" s="81">
        <v>1E-8</v>
      </c>
      <c r="AB100" s="81">
        <v>1E-8</v>
      </c>
      <c r="AC100" s="44"/>
      <c r="AD100" s="34"/>
      <c r="AE100" s="72" t="s">
        <v>664</v>
      </c>
      <c r="AF100" s="53"/>
      <c r="AG100" s="94" t="s">
        <v>560</v>
      </c>
      <c r="AH100" s="81">
        <v>1E-8</v>
      </c>
      <c r="AI100" s="82">
        <v>1E-8</v>
      </c>
      <c r="AJ100" s="81">
        <v>1E-8</v>
      </c>
      <c r="AK100" s="81">
        <v>1E-8</v>
      </c>
      <c r="AL100" s="81">
        <v>1E-8</v>
      </c>
      <c r="AM100" s="81">
        <v>1E-8</v>
      </c>
      <c r="AN100" s="81">
        <v>1E-8</v>
      </c>
      <c r="AO100" s="81">
        <v>1E-8</v>
      </c>
      <c r="AP100" s="81">
        <v>1E-8</v>
      </c>
      <c r="AQ100" s="81">
        <v>1E-8</v>
      </c>
      <c r="AR100" s="44"/>
      <c r="AS100" s="34"/>
      <c r="AT100" s="72" t="s">
        <v>664</v>
      </c>
      <c r="AU100" s="53"/>
      <c r="AV100" s="94" t="s">
        <v>560</v>
      </c>
      <c r="AW100" s="81">
        <v>1E-8</v>
      </c>
      <c r="AX100" s="82">
        <v>1E-8</v>
      </c>
      <c r="AY100" s="81">
        <v>1E-8</v>
      </c>
      <c r="AZ100" s="81">
        <v>1E-8</v>
      </c>
      <c r="BA100" s="81">
        <v>1E-8</v>
      </c>
      <c r="BB100" s="81">
        <v>1E-8</v>
      </c>
      <c r="BC100" s="81">
        <v>1E-8</v>
      </c>
      <c r="BD100" s="81">
        <v>1E-8</v>
      </c>
      <c r="BE100" s="81">
        <v>1E-8</v>
      </c>
      <c r="BF100" s="81">
        <v>1E-8</v>
      </c>
      <c r="BG100" s="44"/>
      <c r="BH100" s="34"/>
      <c r="BI100" s="72" t="s">
        <v>664</v>
      </c>
      <c r="BJ100" s="53"/>
      <c r="BK100" s="94" t="s">
        <v>560</v>
      </c>
      <c r="BL100" s="81">
        <v>1E-8</v>
      </c>
      <c r="BM100" s="82">
        <v>1E-8</v>
      </c>
      <c r="BN100" s="81">
        <v>1E-8</v>
      </c>
      <c r="BO100" s="81">
        <v>1E-8</v>
      </c>
      <c r="BP100" s="81">
        <v>1E-8</v>
      </c>
      <c r="BQ100" s="81">
        <v>1E-8</v>
      </c>
      <c r="BR100" s="81">
        <v>1E-8</v>
      </c>
      <c r="BS100" s="81">
        <v>1E-8</v>
      </c>
      <c r="BT100" s="81">
        <v>1E-8</v>
      </c>
      <c r="BU100" s="81">
        <v>1E-8</v>
      </c>
      <c r="BV100" s="44"/>
      <c r="BW100" s="34"/>
      <c r="BX100" s="72" t="s">
        <v>664</v>
      </c>
      <c r="BY100" s="53"/>
      <c r="BZ100" s="94" t="s">
        <v>560</v>
      </c>
      <c r="CA100" s="81">
        <v>1E-8</v>
      </c>
      <c r="CB100" s="82">
        <v>1E-8</v>
      </c>
      <c r="CC100" s="81">
        <v>1E-8</v>
      </c>
      <c r="CD100" s="81">
        <v>1E-8</v>
      </c>
      <c r="CE100" s="81">
        <v>1E-8</v>
      </c>
      <c r="CF100" s="81">
        <v>1E-8</v>
      </c>
      <c r="CG100" s="81">
        <v>1E-8</v>
      </c>
      <c r="CH100" s="81">
        <v>1E-8</v>
      </c>
      <c r="CI100" s="81">
        <v>1E-8</v>
      </c>
      <c r="CJ100" s="81">
        <v>1E-8</v>
      </c>
      <c r="CK100" s="44"/>
    </row>
    <row r="101" spans="1:89" x14ac:dyDescent="0.35">
      <c r="A101" s="5" t="s">
        <v>287</v>
      </c>
      <c r="B101" s="44"/>
      <c r="C101" s="89" t="s">
        <v>354</v>
      </c>
      <c r="D101" s="73">
        <v>58.468672427465421</v>
      </c>
      <c r="E101" s="74">
        <v>-0.43301606731126485</v>
      </c>
      <c r="F101" s="73">
        <v>1E-8</v>
      </c>
      <c r="G101" s="73">
        <v>1E-8</v>
      </c>
      <c r="H101" s="73">
        <v>1E-8</v>
      </c>
      <c r="I101" s="73">
        <v>1E-8</v>
      </c>
      <c r="J101" s="73">
        <v>1E-8</v>
      </c>
      <c r="K101" s="73">
        <v>1E-8</v>
      </c>
      <c r="L101" s="73">
        <v>1E-8</v>
      </c>
      <c r="M101" s="73">
        <v>1E-8</v>
      </c>
      <c r="N101" s="44"/>
      <c r="O101" s="34"/>
      <c r="P101" s="5" t="s">
        <v>287</v>
      </c>
      <c r="Q101" s="44"/>
      <c r="R101" s="89" t="s">
        <v>354</v>
      </c>
      <c r="S101" s="73">
        <v>47.366829533083262</v>
      </c>
      <c r="T101" s="74">
        <v>-0.22954781841800775</v>
      </c>
      <c r="U101" s="73">
        <v>1E-8</v>
      </c>
      <c r="V101" s="73">
        <v>1E-8</v>
      </c>
      <c r="W101" s="73">
        <v>1E-8</v>
      </c>
      <c r="X101" s="73">
        <v>1E-8</v>
      </c>
      <c r="Y101" s="73">
        <v>1E-8</v>
      </c>
      <c r="Z101" s="73">
        <v>1E-8</v>
      </c>
      <c r="AA101" s="73">
        <v>1E-8</v>
      </c>
      <c r="AB101" s="73">
        <v>1E-8</v>
      </c>
      <c r="AC101" s="44"/>
      <c r="AD101" s="34"/>
      <c r="AE101" s="5" t="s">
        <v>287</v>
      </c>
      <c r="AF101" s="44"/>
      <c r="AG101" s="89" t="s">
        <v>354</v>
      </c>
      <c r="AH101" s="73">
        <v>35.592460910951409</v>
      </c>
      <c r="AI101" s="74">
        <v>6.558569968886796</v>
      </c>
      <c r="AJ101" s="73">
        <v>1E-8</v>
      </c>
      <c r="AK101" s="73">
        <v>1E-8</v>
      </c>
      <c r="AL101" s="73">
        <v>1E-8</v>
      </c>
      <c r="AM101" s="73">
        <v>1E-8</v>
      </c>
      <c r="AN101" s="73">
        <v>1E-8</v>
      </c>
      <c r="AO101" s="73">
        <v>1E-8</v>
      </c>
      <c r="AP101" s="73">
        <v>1E-8</v>
      </c>
      <c r="AQ101" s="73">
        <v>1E-8</v>
      </c>
      <c r="AR101" s="44"/>
      <c r="AS101" s="34"/>
      <c r="AT101" s="5" t="s">
        <v>287</v>
      </c>
      <c r="AU101" s="44"/>
      <c r="AV101" s="89" t="s">
        <v>354</v>
      </c>
      <c r="AW101" s="73">
        <v>14.442070870484148</v>
      </c>
      <c r="AX101" s="74">
        <v>6.558569968886796</v>
      </c>
      <c r="AY101" s="73">
        <v>1E-8</v>
      </c>
      <c r="AZ101" s="73">
        <v>1E-8</v>
      </c>
      <c r="BA101" s="73">
        <v>1E-8</v>
      </c>
      <c r="BB101" s="73">
        <v>1E-8</v>
      </c>
      <c r="BC101" s="73">
        <v>1E-8</v>
      </c>
      <c r="BD101" s="73">
        <v>1E-8</v>
      </c>
      <c r="BE101" s="73">
        <v>1E-8</v>
      </c>
      <c r="BF101" s="73">
        <v>1E-8</v>
      </c>
      <c r="BG101" s="44"/>
      <c r="BH101" s="34"/>
      <c r="BI101" s="5" t="s">
        <v>287</v>
      </c>
      <c r="BJ101" s="44"/>
      <c r="BK101" s="89" t="s">
        <v>354</v>
      </c>
      <c r="BL101" s="73">
        <v>31.58528632069174</v>
      </c>
      <c r="BM101" s="74">
        <v>1E-8</v>
      </c>
      <c r="BN101" s="73">
        <v>1E-8</v>
      </c>
      <c r="BO101" s="73">
        <v>1E-8</v>
      </c>
      <c r="BP101" s="73">
        <v>1E-8</v>
      </c>
      <c r="BQ101" s="73">
        <v>1E-8</v>
      </c>
      <c r="BR101" s="73">
        <v>1E-8</v>
      </c>
      <c r="BS101" s="73">
        <v>1E-8</v>
      </c>
      <c r="BT101" s="73">
        <v>1E-8</v>
      </c>
      <c r="BU101" s="73">
        <v>1E-8</v>
      </c>
      <c r="BV101" s="44"/>
      <c r="BW101" s="34"/>
      <c r="BX101" s="5" t="s">
        <v>287</v>
      </c>
      <c r="BY101" s="44"/>
      <c r="BZ101" s="89" t="s">
        <v>354</v>
      </c>
      <c r="CA101" s="73">
        <v>18.145482642706554</v>
      </c>
      <c r="CB101" s="74">
        <v>1E-8</v>
      </c>
      <c r="CC101" s="73">
        <v>1E-8</v>
      </c>
      <c r="CD101" s="73">
        <v>1E-8</v>
      </c>
      <c r="CE101" s="73">
        <v>1E-8</v>
      </c>
      <c r="CF101" s="73">
        <v>1E-8</v>
      </c>
      <c r="CG101" s="73">
        <v>1E-8</v>
      </c>
      <c r="CH101" s="73">
        <v>1E-8</v>
      </c>
      <c r="CI101" s="73">
        <v>1E-8</v>
      </c>
      <c r="CJ101" s="73">
        <v>1E-8</v>
      </c>
      <c r="CK101" s="44"/>
    </row>
    <row r="102" spans="1:89" x14ac:dyDescent="0.35">
      <c r="A102" s="11" t="s">
        <v>370</v>
      </c>
      <c r="B102" s="44"/>
      <c r="C102" s="90" t="s">
        <v>561</v>
      </c>
      <c r="D102" s="77">
        <v>10.499579451684317</v>
      </c>
      <c r="E102" s="78">
        <v>-1.8625491297955099</v>
      </c>
      <c r="F102" s="77">
        <v>1E-8</v>
      </c>
      <c r="G102" s="77">
        <v>1E-8</v>
      </c>
      <c r="H102" s="77">
        <v>1E-8</v>
      </c>
      <c r="I102" s="77">
        <v>1E-8</v>
      </c>
      <c r="J102" s="77">
        <v>1E-8</v>
      </c>
      <c r="K102" s="77">
        <v>1E-8</v>
      </c>
      <c r="L102" s="77">
        <v>1E-8</v>
      </c>
      <c r="M102" s="77">
        <v>1E-8</v>
      </c>
      <c r="N102" s="44"/>
      <c r="O102" s="34"/>
      <c r="P102" s="11" t="s">
        <v>370</v>
      </c>
      <c r="Q102" s="44"/>
      <c r="R102" s="90" t="s">
        <v>561</v>
      </c>
      <c r="S102" s="77">
        <v>8.0983500266069441</v>
      </c>
      <c r="T102" s="78">
        <v>-1.8580405985928139</v>
      </c>
      <c r="U102" s="77">
        <v>1E-8</v>
      </c>
      <c r="V102" s="77">
        <v>1E-8</v>
      </c>
      <c r="W102" s="77">
        <v>1E-8</v>
      </c>
      <c r="X102" s="77">
        <v>1E-8</v>
      </c>
      <c r="Y102" s="77">
        <v>1E-8</v>
      </c>
      <c r="Z102" s="77">
        <v>1E-8</v>
      </c>
      <c r="AA102" s="77">
        <v>1E-8</v>
      </c>
      <c r="AB102" s="77">
        <v>1E-8</v>
      </c>
      <c r="AC102" s="44"/>
      <c r="AD102" s="34"/>
      <c r="AE102" s="11" t="s">
        <v>370</v>
      </c>
      <c r="AF102" s="44"/>
      <c r="AG102" s="90" t="s">
        <v>561</v>
      </c>
      <c r="AH102" s="77">
        <v>1E-8</v>
      </c>
      <c r="AI102" s="78">
        <v>1E-8</v>
      </c>
      <c r="AJ102" s="77">
        <v>1E-8</v>
      </c>
      <c r="AK102" s="77">
        <v>1E-8</v>
      </c>
      <c r="AL102" s="77">
        <v>1E-8</v>
      </c>
      <c r="AM102" s="77">
        <v>1E-8</v>
      </c>
      <c r="AN102" s="77">
        <v>1E-8</v>
      </c>
      <c r="AO102" s="77">
        <v>1E-8</v>
      </c>
      <c r="AP102" s="77">
        <v>1E-8</v>
      </c>
      <c r="AQ102" s="77">
        <v>1E-8</v>
      </c>
      <c r="AR102" s="44"/>
      <c r="AS102" s="34"/>
      <c r="AT102" s="11" t="s">
        <v>370</v>
      </c>
      <c r="AU102" s="44"/>
      <c r="AV102" s="90" t="s">
        <v>561</v>
      </c>
      <c r="AW102" s="77">
        <v>1E-8</v>
      </c>
      <c r="AX102" s="78">
        <v>1E-8</v>
      </c>
      <c r="AY102" s="77">
        <v>1E-8</v>
      </c>
      <c r="AZ102" s="77">
        <v>1E-8</v>
      </c>
      <c r="BA102" s="77">
        <v>1E-8</v>
      </c>
      <c r="BB102" s="77">
        <v>1E-8</v>
      </c>
      <c r="BC102" s="77">
        <v>1E-8</v>
      </c>
      <c r="BD102" s="77">
        <v>1E-8</v>
      </c>
      <c r="BE102" s="77">
        <v>1E-8</v>
      </c>
      <c r="BF102" s="77">
        <v>1E-8</v>
      </c>
      <c r="BG102" s="44"/>
      <c r="BH102" s="34"/>
      <c r="BI102" s="11" t="s">
        <v>370</v>
      </c>
      <c r="BJ102" s="44"/>
      <c r="BK102" s="90" t="s">
        <v>561</v>
      </c>
      <c r="BL102" s="77">
        <v>1E-8</v>
      </c>
      <c r="BM102" s="78">
        <v>1E-8</v>
      </c>
      <c r="BN102" s="77">
        <v>1E-8</v>
      </c>
      <c r="BO102" s="77">
        <v>1E-8</v>
      </c>
      <c r="BP102" s="77">
        <v>1E-8</v>
      </c>
      <c r="BQ102" s="77">
        <v>1E-8</v>
      </c>
      <c r="BR102" s="77">
        <v>1E-8</v>
      </c>
      <c r="BS102" s="77">
        <v>1E-8</v>
      </c>
      <c r="BT102" s="77">
        <v>1E-8</v>
      </c>
      <c r="BU102" s="77">
        <v>1E-8</v>
      </c>
      <c r="BV102" s="44"/>
      <c r="BW102" s="34"/>
      <c r="BX102" s="11" t="s">
        <v>370</v>
      </c>
      <c r="BY102" s="44"/>
      <c r="BZ102" s="90" t="s">
        <v>561</v>
      </c>
      <c r="CA102" s="77">
        <v>1E-8</v>
      </c>
      <c r="CB102" s="78">
        <v>1E-8</v>
      </c>
      <c r="CC102" s="77">
        <v>1E-8</v>
      </c>
      <c r="CD102" s="77">
        <v>1E-8</v>
      </c>
      <c r="CE102" s="77">
        <v>1E-8</v>
      </c>
      <c r="CF102" s="77">
        <v>1E-8</v>
      </c>
      <c r="CG102" s="77">
        <v>1E-8</v>
      </c>
      <c r="CH102" s="77">
        <v>1E-8</v>
      </c>
      <c r="CI102" s="77">
        <v>1E-8</v>
      </c>
      <c r="CJ102" s="77">
        <v>1E-8</v>
      </c>
      <c r="CK102" s="44"/>
    </row>
    <row r="103" spans="1:89" x14ac:dyDescent="0.35">
      <c r="A103" s="9" t="s">
        <v>665</v>
      </c>
      <c r="B103" s="44"/>
      <c r="C103" s="91" t="s">
        <v>562</v>
      </c>
      <c r="D103" s="79">
        <v>0.46216884168261685</v>
      </c>
      <c r="E103" s="80">
        <v>6.3308729315499246</v>
      </c>
      <c r="F103" s="79">
        <v>1E-8</v>
      </c>
      <c r="G103" s="79">
        <v>1E-8</v>
      </c>
      <c r="H103" s="79">
        <v>1E-8</v>
      </c>
      <c r="I103" s="79">
        <v>1E-8</v>
      </c>
      <c r="J103" s="79">
        <v>1E-8</v>
      </c>
      <c r="K103" s="79">
        <v>1E-8</v>
      </c>
      <c r="L103" s="79">
        <v>1E-8</v>
      </c>
      <c r="M103" s="79">
        <v>1E-8</v>
      </c>
      <c r="N103" s="44"/>
      <c r="O103" s="34"/>
      <c r="P103" s="9" t="s">
        <v>665</v>
      </c>
      <c r="Q103" s="44"/>
      <c r="R103" s="91" t="s">
        <v>562</v>
      </c>
      <c r="S103" s="79">
        <v>0.3585959002649271</v>
      </c>
      <c r="T103" s="80">
        <v>6.3308729315499246</v>
      </c>
      <c r="U103" s="79">
        <v>1E-8</v>
      </c>
      <c r="V103" s="79">
        <v>1E-8</v>
      </c>
      <c r="W103" s="79">
        <v>1E-8</v>
      </c>
      <c r="X103" s="79">
        <v>1E-8</v>
      </c>
      <c r="Y103" s="79">
        <v>1E-8</v>
      </c>
      <c r="Z103" s="79">
        <v>1E-8</v>
      </c>
      <c r="AA103" s="79">
        <v>1E-8</v>
      </c>
      <c r="AB103" s="79">
        <v>1E-8</v>
      </c>
      <c r="AC103" s="44"/>
      <c r="AD103" s="34"/>
      <c r="AE103" s="9" t="s">
        <v>665</v>
      </c>
      <c r="AF103" s="44"/>
      <c r="AG103" s="91" t="s">
        <v>562</v>
      </c>
      <c r="AH103" s="79">
        <v>1E-8</v>
      </c>
      <c r="AI103" s="80">
        <v>1E-8</v>
      </c>
      <c r="AJ103" s="79">
        <v>1E-8</v>
      </c>
      <c r="AK103" s="79">
        <v>1E-8</v>
      </c>
      <c r="AL103" s="79">
        <v>1E-8</v>
      </c>
      <c r="AM103" s="79">
        <v>1E-8</v>
      </c>
      <c r="AN103" s="79">
        <v>1E-8</v>
      </c>
      <c r="AO103" s="79">
        <v>1E-8</v>
      </c>
      <c r="AP103" s="79">
        <v>1E-8</v>
      </c>
      <c r="AQ103" s="79">
        <v>1E-8</v>
      </c>
      <c r="AR103" s="44"/>
      <c r="AS103" s="34"/>
      <c r="AT103" s="9" t="s">
        <v>665</v>
      </c>
      <c r="AU103" s="44"/>
      <c r="AV103" s="91" t="s">
        <v>562</v>
      </c>
      <c r="AW103" s="79">
        <v>1E-8</v>
      </c>
      <c r="AX103" s="80">
        <v>1E-8</v>
      </c>
      <c r="AY103" s="79">
        <v>1E-8</v>
      </c>
      <c r="AZ103" s="79">
        <v>1E-8</v>
      </c>
      <c r="BA103" s="79">
        <v>1E-8</v>
      </c>
      <c r="BB103" s="79">
        <v>1E-8</v>
      </c>
      <c r="BC103" s="79">
        <v>1E-8</v>
      </c>
      <c r="BD103" s="79">
        <v>1E-8</v>
      </c>
      <c r="BE103" s="79">
        <v>1E-8</v>
      </c>
      <c r="BF103" s="79">
        <v>1E-8</v>
      </c>
      <c r="BG103" s="44"/>
      <c r="BH103" s="34"/>
      <c r="BI103" s="9" t="s">
        <v>665</v>
      </c>
      <c r="BJ103" s="44"/>
      <c r="BK103" s="91" t="s">
        <v>562</v>
      </c>
      <c r="BL103" s="79">
        <v>1E-8</v>
      </c>
      <c r="BM103" s="80">
        <v>1E-8</v>
      </c>
      <c r="BN103" s="79">
        <v>1E-8</v>
      </c>
      <c r="BO103" s="79">
        <v>1E-8</v>
      </c>
      <c r="BP103" s="79">
        <v>1E-8</v>
      </c>
      <c r="BQ103" s="79">
        <v>1E-8</v>
      </c>
      <c r="BR103" s="79">
        <v>1E-8</v>
      </c>
      <c r="BS103" s="79">
        <v>1E-8</v>
      </c>
      <c r="BT103" s="79">
        <v>1E-8</v>
      </c>
      <c r="BU103" s="79">
        <v>1E-8</v>
      </c>
      <c r="BV103" s="44"/>
      <c r="BW103" s="34"/>
      <c r="BX103" s="9" t="s">
        <v>665</v>
      </c>
      <c r="BY103" s="44"/>
      <c r="BZ103" s="91" t="s">
        <v>562</v>
      </c>
      <c r="CA103" s="79">
        <v>1E-8</v>
      </c>
      <c r="CB103" s="80">
        <v>1E-8</v>
      </c>
      <c r="CC103" s="79">
        <v>1E-8</v>
      </c>
      <c r="CD103" s="79">
        <v>1E-8</v>
      </c>
      <c r="CE103" s="79">
        <v>1E-8</v>
      </c>
      <c r="CF103" s="79">
        <v>1E-8</v>
      </c>
      <c r="CG103" s="79">
        <v>1E-8</v>
      </c>
      <c r="CH103" s="79">
        <v>1E-8</v>
      </c>
      <c r="CI103" s="79">
        <v>1E-8</v>
      </c>
      <c r="CJ103" s="79">
        <v>1E-8</v>
      </c>
      <c r="CK103" s="44"/>
    </row>
    <row r="104" spans="1:89" x14ac:dyDescent="0.35">
      <c r="A104" s="9" t="s">
        <v>666</v>
      </c>
      <c r="B104" s="44"/>
      <c r="C104" s="91" t="s">
        <v>563</v>
      </c>
      <c r="D104" s="79">
        <v>8.2308033869600339E-2</v>
      </c>
      <c r="E104" s="80">
        <v>-45.309588728907933</v>
      </c>
      <c r="F104" s="79">
        <v>1E-8</v>
      </c>
      <c r="G104" s="79">
        <v>1E-8</v>
      </c>
      <c r="H104" s="79">
        <v>1E-8</v>
      </c>
      <c r="I104" s="79">
        <v>1E-8</v>
      </c>
      <c r="J104" s="79">
        <v>1E-8</v>
      </c>
      <c r="K104" s="79">
        <v>1E-8</v>
      </c>
      <c r="L104" s="79">
        <v>1E-8</v>
      </c>
      <c r="M104" s="79">
        <v>1E-8</v>
      </c>
      <c r="N104" s="44"/>
      <c r="O104" s="34"/>
      <c r="P104" s="9" t="s">
        <v>666</v>
      </c>
      <c r="Q104" s="44"/>
      <c r="R104" s="91" t="s">
        <v>563</v>
      </c>
      <c r="S104" s="79">
        <v>6.3466960705837822E-2</v>
      </c>
      <c r="T104" s="80">
        <v>-45.309588728907904</v>
      </c>
      <c r="U104" s="79">
        <v>1E-8</v>
      </c>
      <c r="V104" s="79">
        <v>1E-8</v>
      </c>
      <c r="W104" s="79">
        <v>1E-8</v>
      </c>
      <c r="X104" s="79">
        <v>1E-8</v>
      </c>
      <c r="Y104" s="79">
        <v>1E-8</v>
      </c>
      <c r="Z104" s="79">
        <v>1E-8</v>
      </c>
      <c r="AA104" s="79">
        <v>1E-8</v>
      </c>
      <c r="AB104" s="79">
        <v>1E-8</v>
      </c>
      <c r="AC104" s="44"/>
      <c r="AD104" s="34"/>
      <c r="AE104" s="9" t="s">
        <v>666</v>
      </c>
      <c r="AF104" s="44"/>
      <c r="AG104" s="91" t="s">
        <v>563</v>
      </c>
      <c r="AH104" s="79">
        <v>1E-8</v>
      </c>
      <c r="AI104" s="80">
        <v>1E-8</v>
      </c>
      <c r="AJ104" s="79">
        <v>1E-8</v>
      </c>
      <c r="AK104" s="79">
        <v>1E-8</v>
      </c>
      <c r="AL104" s="79">
        <v>1E-8</v>
      </c>
      <c r="AM104" s="79">
        <v>1E-8</v>
      </c>
      <c r="AN104" s="79">
        <v>1E-8</v>
      </c>
      <c r="AO104" s="79">
        <v>1E-8</v>
      </c>
      <c r="AP104" s="79">
        <v>1E-8</v>
      </c>
      <c r="AQ104" s="79">
        <v>1E-8</v>
      </c>
      <c r="AR104" s="44"/>
      <c r="AS104" s="34"/>
      <c r="AT104" s="9" t="s">
        <v>666</v>
      </c>
      <c r="AU104" s="44"/>
      <c r="AV104" s="91" t="s">
        <v>563</v>
      </c>
      <c r="AW104" s="79">
        <v>1E-8</v>
      </c>
      <c r="AX104" s="80">
        <v>1E-8</v>
      </c>
      <c r="AY104" s="79">
        <v>1E-8</v>
      </c>
      <c r="AZ104" s="79">
        <v>1E-8</v>
      </c>
      <c r="BA104" s="79">
        <v>1E-8</v>
      </c>
      <c r="BB104" s="79">
        <v>1E-8</v>
      </c>
      <c r="BC104" s="79">
        <v>1E-8</v>
      </c>
      <c r="BD104" s="79">
        <v>1E-8</v>
      </c>
      <c r="BE104" s="79">
        <v>1E-8</v>
      </c>
      <c r="BF104" s="79">
        <v>1E-8</v>
      </c>
      <c r="BG104" s="44"/>
      <c r="BH104" s="34"/>
      <c r="BI104" s="9" t="s">
        <v>666</v>
      </c>
      <c r="BJ104" s="44"/>
      <c r="BK104" s="91" t="s">
        <v>563</v>
      </c>
      <c r="BL104" s="79">
        <v>1E-8</v>
      </c>
      <c r="BM104" s="80">
        <v>1E-8</v>
      </c>
      <c r="BN104" s="79">
        <v>1E-8</v>
      </c>
      <c r="BO104" s="79">
        <v>1E-8</v>
      </c>
      <c r="BP104" s="79">
        <v>1E-8</v>
      </c>
      <c r="BQ104" s="79">
        <v>1E-8</v>
      </c>
      <c r="BR104" s="79">
        <v>1E-8</v>
      </c>
      <c r="BS104" s="79">
        <v>1E-8</v>
      </c>
      <c r="BT104" s="79">
        <v>1E-8</v>
      </c>
      <c r="BU104" s="79">
        <v>1E-8</v>
      </c>
      <c r="BV104" s="44"/>
      <c r="BW104" s="34"/>
      <c r="BX104" s="9" t="s">
        <v>666</v>
      </c>
      <c r="BY104" s="44"/>
      <c r="BZ104" s="91" t="s">
        <v>563</v>
      </c>
      <c r="CA104" s="79">
        <v>1E-8</v>
      </c>
      <c r="CB104" s="80">
        <v>1E-8</v>
      </c>
      <c r="CC104" s="79">
        <v>1E-8</v>
      </c>
      <c r="CD104" s="79">
        <v>1E-8</v>
      </c>
      <c r="CE104" s="79">
        <v>1E-8</v>
      </c>
      <c r="CF104" s="79">
        <v>1E-8</v>
      </c>
      <c r="CG104" s="79">
        <v>1E-8</v>
      </c>
      <c r="CH104" s="79">
        <v>1E-8</v>
      </c>
      <c r="CI104" s="79">
        <v>1E-8</v>
      </c>
      <c r="CJ104" s="79">
        <v>1E-8</v>
      </c>
      <c r="CK104" s="44"/>
    </row>
    <row r="105" spans="1:89" x14ac:dyDescent="0.35">
      <c r="A105" s="9" t="s">
        <v>667</v>
      </c>
      <c r="B105" s="44"/>
      <c r="C105" s="91" t="s">
        <v>564</v>
      </c>
      <c r="D105" s="79">
        <v>3.4993795514783654</v>
      </c>
      <c r="E105" s="80">
        <v>-1.5547697592603327</v>
      </c>
      <c r="F105" s="79">
        <v>1E-8</v>
      </c>
      <c r="G105" s="79">
        <v>1E-8</v>
      </c>
      <c r="H105" s="79">
        <v>1E-8</v>
      </c>
      <c r="I105" s="79">
        <v>1E-8</v>
      </c>
      <c r="J105" s="79">
        <v>1E-8</v>
      </c>
      <c r="K105" s="79">
        <v>1E-8</v>
      </c>
      <c r="L105" s="79">
        <v>1E-8</v>
      </c>
      <c r="M105" s="79">
        <v>1E-8</v>
      </c>
      <c r="N105" s="44"/>
      <c r="O105" s="34"/>
      <c r="P105" s="9" t="s">
        <v>667</v>
      </c>
      <c r="Q105" s="44"/>
      <c r="R105" s="91" t="s">
        <v>564</v>
      </c>
      <c r="S105" s="79">
        <v>2.698339081217179</v>
      </c>
      <c r="T105" s="80">
        <v>-1.5547697592603216</v>
      </c>
      <c r="U105" s="79">
        <v>1E-8</v>
      </c>
      <c r="V105" s="79">
        <v>1E-8</v>
      </c>
      <c r="W105" s="79">
        <v>1E-8</v>
      </c>
      <c r="X105" s="79">
        <v>1E-8</v>
      </c>
      <c r="Y105" s="79">
        <v>1E-8</v>
      </c>
      <c r="Z105" s="79">
        <v>1E-8</v>
      </c>
      <c r="AA105" s="79">
        <v>1E-8</v>
      </c>
      <c r="AB105" s="79">
        <v>1E-8</v>
      </c>
      <c r="AC105" s="44"/>
      <c r="AD105" s="34"/>
      <c r="AE105" s="9" t="s">
        <v>667</v>
      </c>
      <c r="AF105" s="44"/>
      <c r="AG105" s="91" t="s">
        <v>564</v>
      </c>
      <c r="AH105" s="79">
        <v>1E-8</v>
      </c>
      <c r="AI105" s="80">
        <v>1E-8</v>
      </c>
      <c r="AJ105" s="79">
        <v>1E-8</v>
      </c>
      <c r="AK105" s="79">
        <v>1E-8</v>
      </c>
      <c r="AL105" s="79">
        <v>1E-8</v>
      </c>
      <c r="AM105" s="79">
        <v>1E-8</v>
      </c>
      <c r="AN105" s="79">
        <v>1E-8</v>
      </c>
      <c r="AO105" s="79">
        <v>1E-8</v>
      </c>
      <c r="AP105" s="79">
        <v>1E-8</v>
      </c>
      <c r="AQ105" s="79">
        <v>1E-8</v>
      </c>
      <c r="AR105" s="44"/>
      <c r="AS105" s="34"/>
      <c r="AT105" s="9" t="s">
        <v>667</v>
      </c>
      <c r="AU105" s="44"/>
      <c r="AV105" s="91" t="s">
        <v>564</v>
      </c>
      <c r="AW105" s="79">
        <v>1E-8</v>
      </c>
      <c r="AX105" s="80">
        <v>1E-8</v>
      </c>
      <c r="AY105" s="79">
        <v>1E-8</v>
      </c>
      <c r="AZ105" s="79">
        <v>1E-8</v>
      </c>
      <c r="BA105" s="79">
        <v>1E-8</v>
      </c>
      <c r="BB105" s="79">
        <v>1E-8</v>
      </c>
      <c r="BC105" s="79">
        <v>1E-8</v>
      </c>
      <c r="BD105" s="79">
        <v>1E-8</v>
      </c>
      <c r="BE105" s="79">
        <v>1E-8</v>
      </c>
      <c r="BF105" s="79">
        <v>1E-8</v>
      </c>
      <c r="BG105" s="44"/>
      <c r="BH105" s="34"/>
      <c r="BI105" s="9" t="s">
        <v>667</v>
      </c>
      <c r="BJ105" s="44"/>
      <c r="BK105" s="91" t="s">
        <v>564</v>
      </c>
      <c r="BL105" s="79">
        <v>1E-8</v>
      </c>
      <c r="BM105" s="80">
        <v>1E-8</v>
      </c>
      <c r="BN105" s="79">
        <v>1E-8</v>
      </c>
      <c r="BO105" s="79">
        <v>1E-8</v>
      </c>
      <c r="BP105" s="79">
        <v>1E-8</v>
      </c>
      <c r="BQ105" s="79">
        <v>1E-8</v>
      </c>
      <c r="BR105" s="79">
        <v>1E-8</v>
      </c>
      <c r="BS105" s="79">
        <v>1E-8</v>
      </c>
      <c r="BT105" s="79">
        <v>1E-8</v>
      </c>
      <c r="BU105" s="79">
        <v>1E-8</v>
      </c>
      <c r="BV105" s="44"/>
      <c r="BW105" s="34"/>
      <c r="BX105" s="9" t="s">
        <v>667</v>
      </c>
      <c r="BY105" s="44"/>
      <c r="BZ105" s="91" t="s">
        <v>564</v>
      </c>
      <c r="CA105" s="79">
        <v>1E-8</v>
      </c>
      <c r="CB105" s="80">
        <v>1E-8</v>
      </c>
      <c r="CC105" s="79">
        <v>1E-8</v>
      </c>
      <c r="CD105" s="79">
        <v>1E-8</v>
      </c>
      <c r="CE105" s="79">
        <v>1E-8</v>
      </c>
      <c r="CF105" s="79">
        <v>1E-8</v>
      </c>
      <c r="CG105" s="79">
        <v>1E-8</v>
      </c>
      <c r="CH105" s="79">
        <v>1E-8</v>
      </c>
      <c r="CI105" s="79">
        <v>1E-8</v>
      </c>
      <c r="CJ105" s="79">
        <v>1E-8</v>
      </c>
      <c r="CK105" s="44"/>
    </row>
    <row r="106" spans="1:89" x14ac:dyDescent="0.35">
      <c r="A106" s="9" t="s">
        <v>668</v>
      </c>
      <c r="B106" s="44"/>
      <c r="C106" s="91" t="s">
        <v>565</v>
      </c>
      <c r="D106" s="79">
        <v>6.455723024653734</v>
      </c>
      <c r="E106" s="80">
        <v>-2.0620218778287125</v>
      </c>
      <c r="F106" s="79">
        <v>1E-8</v>
      </c>
      <c r="G106" s="79">
        <v>1E-8</v>
      </c>
      <c r="H106" s="79">
        <v>1E-8</v>
      </c>
      <c r="I106" s="79">
        <v>1E-8</v>
      </c>
      <c r="J106" s="79">
        <v>1E-8</v>
      </c>
      <c r="K106" s="79">
        <v>1E-8</v>
      </c>
      <c r="L106" s="79">
        <v>1E-8</v>
      </c>
      <c r="M106" s="79">
        <v>1E-8</v>
      </c>
      <c r="N106" s="44"/>
      <c r="O106" s="34"/>
      <c r="P106" s="9" t="s">
        <v>668</v>
      </c>
      <c r="Q106" s="44"/>
      <c r="R106" s="91" t="s">
        <v>565</v>
      </c>
      <c r="S106" s="79">
        <v>4.9779480844189994</v>
      </c>
      <c r="T106" s="80">
        <v>-2.0620218778286903</v>
      </c>
      <c r="U106" s="79">
        <v>1E-8</v>
      </c>
      <c r="V106" s="79">
        <v>1E-8</v>
      </c>
      <c r="W106" s="79">
        <v>1E-8</v>
      </c>
      <c r="X106" s="79">
        <v>1E-8</v>
      </c>
      <c r="Y106" s="79">
        <v>1E-8</v>
      </c>
      <c r="Z106" s="79">
        <v>1E-8</v>
      </c>
      <c r="AA106" s="79">
        <v>1E-8</v>
      </c>
      <c r="AB106" s="79">
        <v>1E-8</v>
      </c>
      <c r="AC106" s="44"/>
      <c r="AD106" s="34"/>
      <c r="AE106" s="9" t="s">
        <v>668</v>
      </c>
      <c r="AF106" s="44"/>
      <c r="AG106" s="91" t="s">
        <v>565</v>
      </c>
      <c r="AH106" s="79">
        <v>1E-8</v>
      </c>
      <c r="AI106" s="80">
        <v>1E-8</v>
      </c>
      <c r="AJ106" s="79">
        <v>1E-8</v>
      </c>
      <c r="AK106" s="79">
        <v>1E-8</v>
      </c>
      <c r="AL106" s="79">
        <v>1E-8</v>
      </c>
      <c r="AM106" s="79">
        <v>1E-8</v>
      </c>
      <c r="AN106" s="79">
        <v>1E-8</v>
      </c>
      <c r="AO106" s="79">
        <v>1E-8</v>
      </c>
      <c r="AP106" s="79">
        <v>1E-8</v>
      </c>
      <c r="AQ106" s="79">
        <v>1E-8</v>
      </c>
      <c r="AR106" s="44"/>
      <c r="AS106" s="34"/>
      <c r="AT106" s="9" t="s">
        <v>668</v>
      </c>
      <c r="AU106" s="44"/>
      <c r="AV106" s="91" t="s">
        <v>565</v>
      </c>
      <c r="AW106" s="79">
        <v>1E-8</v>
      </c>
      <c r="AX106" s="80">
        <v>1E-8</v>
      </c>
      <c r="AY106" s="79">
        <v>1E-8</v>
      </c>
      <c r="AZ106" s="79">
        <v>1E-8</v>
      </c>
      <c r="BA106" s="79">
        <v>1E-8</v>
      </c>
      <c r="BB106" s="79">
        <v>1E-8</v>
      </c>
      <c r="BC106" s="79">
        <v>1E-8</v>
      </c>
      <c r="BD106" s="79">
        <v>1E-8</v>
      </c>
      <c r="BE106" s="79">
        <v>1E-8</v>
      </c>
      <c r="BF106" s="79">
        <v>1E-8</v>
      </c>
      <c r="BG106" s="44"/>
      <c r="BH106" s="34"/>
      <c r="BI106" s="9" t="s">
        <v>668</v>
      </c>
      <c r="BJ106" s="44"/>
      <c r="BK106" s="91" t="s">
        <v>565</v>
      </c>
      <c r="BL106" s="79">
        <v>1E-8</v>
      </c>
      <c r="BM106" s="80">
        <v>1E-8</v>
      </c>
      <c r="BN106" s="79">
        <v>1E-8</v>
      </c>
      <c r="BO106" s="79">
        <v>1E-8</v>
      </c>
      <c r="BP106" s="79">
        <v>1E-8</v>
      </c>
      <c r="BQ106" s="79">
        <v>1E-8</v>
      </c>
      <c r="BR106" s="79">
        <v>1E-8</v>
      </c>
      <c r="BS106" s="79">
        <v>1E-8</v>
      </c>
      <c r="BT106" s="79">
        <v>1E-8</v>
      </c>
      <c r="BU106" s="79">
        <v>1E-8</v>
      </c>
      <c r="BV106" s="44"/>
      <c r="BW106" s="34"/>
      <c r="BX106" s="9" t="s">
        <v>668</v>
      </c>
      <c r="BY106" s="44"/>
      <c r="BZ106" s="91" t="s">
        <v>565</v>
      </c>
      <c r="CA106" s="79">
        <v>1E-8</v>
      </c>
      <c r="CB106" s="80">
        <v>1E-8</v>
      </c>
      <c r="CC106" s="79">
        <v>1E-8</v>
      </c>
      <c r="CD106" s="79">
        <v>1E-8</v>
      </c>
      <c r="CE106" s="79">
        <v>1E-8</v>
      </c>
      <c r="CF106" s="79">
        <v>1E-8</v>
      </c>
      <c r="CG106" s="79">
        <v>1E-8</v>
      </c>
      <c r="CH106" s="79">
        <v>1E-8</v>
      </c>
      <c r="CI106" s="79">
        <v>1E-8</v>
      </c>
      <c r="CJ106" s="79">
        <v>1E-8</v>
      </c>
      <c r="CK106" s="44"/>
    </row>
    <row r="107" spans="1:89" x14ac:dyDescent="0.35">
      <c r="A107" s="11" t="s">
        <v>371</v>
      </c>
      <c r="B107" s="44"/>
      <c r="C107" s="90" t="s">
        <v>566</v>
      </c>
      <c r="D107" s="77">
        <v>5.4864900013185451</v>
      </c>
      <c r="E107" s="78">
        <v>0.8144323104374962</v>
      </c>
      <c r="F107" s="77">
        <v>1E-8</v>
      </c>
      <c r="G107" s="77">
        <v>1E-8</v>
      </c>
      <c r="H107" s="77">
        <v>1E-8</v>
      </c>
      <c r="I107" s="77">
        <v>1E-8</v>
      </c>
      <c r="J107" s="77">
        <v>1E-8</v>
      </c>
      <c r="K107" s="77">
        <v>1E-8</v>
      </c>
      <c r="L107" s="77">
        <v>1E-8</v>
      </c>
      <c r="M107" s="77">
        <v>1E-8</v>
      </c>
      <c r="N107" s="44"/>
      <c r="O107" s="34"/>
      <c r="P107" s="11" t="s">
        <v>371</v>
      </c>
      <c r="Q107" s="44"/>
      <c r="R107" s="90" t="s">
        <v>566</v>
      </c>
      <c r="S107" s="77">
        <v>4.2701402543130236</v>
      </c>
      <c r="T107" s="78">
        <v>0.35108483335728469</v>
      </c>
      <c r="U107" s="77">
        <v>1E-8</v>
      </c>
      <c r="V107" s="77">
        <v>1E-8</v>
      </c>
      <c r="W107" s="77">
        <v>1E-8</v>
      </c>
      <c r="X107" s="77">
        <v>1E-8</v>
      </c>
      <c r="Y107" s="77">
        <v>1E-8</v>
      </c>
      <c r="Z107" s="77">
        <v>1E-8</v>
      </c>
      <c r="AA107" s="77">
        <v>1E-8</v>
      </c>
      <c r="AB107" s="77">
        <v>1E-8</v>
      </c>
      <c r="AC107" s="44"/>
      <c r="AD107" s="34"/>
      <c r="AE107" s="11" t="s">
        <v>371</v>
      </c>
      <c r="AF107" s="44"/>
      <c r="AG107" s="90" t="s">
        <v>566</v>
      </c>
      <c r="AH107" s="77">
        <v>10.845055523828623</v>
      </c>
      <c r="AI107" s="78">
        <v>6.5585699688868182</v>
      </c>
      <c r="AJ107" s="77">
        <v>1E-8</v>
      </c>
      <c r="AK107" s="77">
        <v>1E-8</v>
      </c>
      <c r="AL107" s="77">
        <v>1E-8</v>
      </c>
      <c r="AM107" s="77">
        <v>1E-8</v>
      </c>
      <c r="AN107" s="77">
        <v>1E-8</v>
      </c>
      <c r="AO107" s="77">
        <v>1E-8</v>
      </c>
      <c r="AP107" s="77">
        <v>1E-8</v>
      </c>
      <c r="AQ107" s="77">
        <v>1E-8</v>
      </c>
      <c r="AR107" s="44"/>
      <c r="AS107" s="34"/>
      <c r="AT107" s="11" t="s">
        <v>371</v>
      </c>
      <c r="AU107" s="44"/>
      <c r="AV107" s="90" t="s">
        <v>566</v>
      </c>
      <c r="AW107" s="77">
        <v>2.172552274112733</v>
      </c>
      <c r="AX107" s="78">
        <v>6.5585699688868182</v>
      </c>
      <c r="AY107" s="77">
        <v>1E-8</v>
      </c>
      <c r="AZ107" s="77">
        <v>1E-8</v>
      </c>
      <c r="BA107" s="77">
        <v>1E-8</v>
      </c>
      <c r="BB107" s="77">
        <v>1E-8</v>
      </c>
      <c r="BC107" s="77">
        <v>1E-8</v>
      </c>
      <c r="BD107" s="77">
        <v>1E-8</v>
      </c>
      <c r="BE107" s="77">
        <v>1E-8</v>
      </c>
      <c r="BF107" s="77">
        <v>1E-8</v>
      </c>
      <c r="BG107" s="44"/>
      <c r="BH107" s="34"/>
      <c r="BI107" s="11" t="s">
        <v>371</v>
      </c>
      <c r="BJ107" s="44"/>
      <c r="BK107" s="90" t="s">
        <v>566</v>
      </c>
      <c r="BL107" s="77">
        <v>9.6240657464213015</v>
      </c>
      <c r="BM107" s="78">
        <v>1E-8</v>
      </c>
      <c r="BN107" s="77">
        <v>1E-8</v>
      </c>
      <c r="BO107" s="77">
        <v>1E-8</v>
      </c>
      <c r="BP107" s="77">
        <v>1E-8</v>
      </c>
      <c r="BQ107" s="77">
        <v>1E-8</v>
      </c>
      <c r="BR107" s="77">
        <v>1E-8</v>
      </c>
      <c r="BS107" s="77">
        <v>1E-8</v>
      </c>
      <c r="BT107" s="77">
        <v>1E-8</v>
      </c>
      <c r="BU107" s="77">
        <v>1E-8</v>
      </c>
      <c r="BV107" s="44"/>
      <c r="BW107" s="34"/>
      <c r="BX107" s="11" t="s">
        <v>371</v>
      </c>
      <c r="BY107" s="44"/>
      <c r="BZ107" s="90" t="s">
        <v>566</v>
      </c>
      <c r="CA107" s="77">
        <v>2.7296794108694922</v>
      </c>
      <c r="CB107" s="78">
        <v>1E-8</v>
      </c>
      <c r="CC107" s="77">
        <v>1E-8</v>
      </c>
      <c r="CD107" s="77">
        <v>1E-8</v>
      </c>
      <c r="CE107" s="77">
        <v>1E-8</v>
      </c>
      <c r="CF107" s="77">
        <v>1E-8</v>
      </c>
      <c r="CG107" s="77">
        <v>1E-8</v>
      </c>
      <c r="CH107" s="77">
        <v>1E-8</v>
      </c>
      <c r="CI107" s="77">
        <v>1E-8</v>
      </c>
      <c r="CJ107" s="77">
        <v>1E-8</v>
      </c>
      <c r="CK107" s="44"/>
    </row>
    <row r="108" spans="1:89" x14ac:dyDescent="0.35">
      <c r="A108" s="9" t="s">
        <v>669</v>
      </c>
      <c r="B108" s="44"/>
      <c r="C108" s="91" t="s">
        <v>567</v>
      </c>
      <c r="D108" s="79">
        <v>4.1629070131436006</v>
      </c>
      <c r="E108" s="80">
        <v>-0.24676843304559659</v>
      </c>
      <c r="F108" s="79">
        <v>1E-8</v>
      </c>
      <c r="G108" s="79">
        <v>1E-8</v>
      </c>
      <c r="H108" s="79">
        <v>1E-8</v>
      </c>
      <c r="I108" s="79">
        <v>1E-8</v>
      </c>
      <c r="J108" s="79">
        <v>1E-8</v>
      </c>
      <c r="K108" s="79">
        <v>1E-8</v>
      </c>
      <c r="L108" s="79">
        <v>1E-8</v>
      </c>
      <c r="M108" s="79">
        <v>1E-8</v>
      </c>
      <c r="N108" s="44"/>
      <c r="O108" s="34"/>
      <c r="P108" s="9" t="s">
        <v>669</v>
      </c>
      <c r="Q108" s="44"/>
      <c r="R108" s="91" t="s">
        <v>567</v>
      </c>
      <c r="S108" s="79">
        <v>3.4456405420800618</v>
      </c>
      <c r="T108" s="80">
        <v>-0.36073324562985176</v>
      </c>
      <c r="U108" s="79">
        <v>1E-8</v>
      </c>
      <c r="V108" s="79">
        <v>1E-8</v>
      </c>
      <c r="W108" s="79">
        <v>1E-8</v>
      </c>
      <c r="X108" s="79">
        <v>1E-8</v>
      </c>
      <c r="Y108" s="79">
        <v>1E-8</v>
      </c>
      <c r="Z108" s="79">
        <v>1E-8</v>
      </c>
      <c r="AA108" s="79">
        <v>1E-8</v>
      </c>
      <c r="AB108" s="79">
        <v>1E-8</v>
      </c>
      <c r="AC108" s="44"/>
      <c r="AD108" s="34"/>
      <c r="AE108" s="9" t="s">
        <v>669</v>
      </c>
      <c r="AF108" s="44"/>
      <c r="AG108" s="91" t="s">
        <v>567</v>
      </c>
      <c r="AH108" s="79">
        <v>0.7640103547526399</v>
      </c>
      <c r="AI108" s="80">
        <v>6.558569968886796</v>
      </c>
      <c r="AJ108" s="79">
        <v>1E-8</v>
      </c>
      <c r="AK108" s="79">
        <v>1E-8</v>
      </c>
      <c r="AL108" s="79">
        <v>1E-8</v>
      </c>
      <c r="AM108" s="79">
        <v>1E-8</v>
      </c>
      <c r="AN108" s="79">
        <v>1E-8</v>
      </c>
      <c r="AO108" s="79">
        <v>1E-8</v>
      </c>
      <c r="AP108" s="79">
        <v>1E-8</v>
      </c>
      <c r="AQ108" s="79">
        <v>1E-8</v>
      </c>
      <c r="AR108" s="44"/>
      <c r="AS108" s="34"/>
      <c r="AT108" s="9" t="s">
        <v>669</v>
      </c>
      <c r="AU108" s="44"/>
      <c r="AV108" s="91" t="s">
        <v>567</v>
      </c>
      <c r="AW108" s="79">
        <v>1E-8</v>
      </c>
      <c r="AX108" s="80">
        <v>1E-8</v>
      </c>
      <c r="AY108" s="79">
        <v>1E-8</v>
      </c>
      <c r="AZ108" s="79">
        <v>1E-8</v>
      </c>
      <c r="BA108" s="79">
        <v>1E-8</v>
      </c>
      <c r="BB108" s="79">
        <v>1E-8</v>
      </c>
      <c r="BC108" s="79">
        <v>1E-8</v>
      </c>
      <c r="BD108" s="79">
        <v>1E-8</v>
      </c>
      <c r="BE108" s="79">
        <v>1E-8</v>
      </c>
      <c r="BF108" s="79">
        <v>1E-8</v>
      </c>
      <c r="BG108" s="44"/>
      <c r="BH108" s="34"/>
      <c r="BI108" s="9" t="s">
        <v>669</v>
      </c>
      <c r="BJ108" s="44"/>
      <c r="BK108" s="91" t="s">
        <v>567</v>
      </c>
      <c r="BL108" s="79">
        <v>0.67799430523249948</v>
      </c>
      <c r="BM108" s="80">
        <v>1E-8</v>
      </c>
      <c r="BN108" s="79">
        <v>1E-8</v>
      </c>
      <c r="BO108" s="79">
        <v>1E-8</v>
      </c>
      <c r="BP108" s="79">
        <v>1E-8</v>
      </c>
      <c r="BQ108" s="79">
        <v>1E-8</v>
      </c>
      <c r="BR108" s="79">
        <v>1E-8</v>
      </c>
      <c r="BS108" s="79">
        <v>1E-8</v>
      </c>
      <c r="BT108" s="79">
        <v>1E-8</v>
      </c>
      <c r="BU108" s="79">
        <v>1E-8</v>
      </c>
      <c r="BV108" s="44"/>
      <c r="BW108" s="34"/>
      <c r="BX108" s="9" t="s">
        <v>669</v>
      </c>
      <c r="BY108" s="44"/>
      <c r="BZ108" s="91" t="s">
        <v>567</v>
      </c>
      <c r="CA108" s="79">
        <v>1E-8</v>
      </c>
      <c r="CB108" s="80">
        <v>1E-8</v>
      </c>
      <c r="CC108" s="79">
        <v>1E-8</v>
      </c>
      <c r="CD108" s="79">
        <v>1E-8</v>
      </c>
      <c r="CE108" s="79">
        <v>1E-8</v>
      </c>
      <c r="CF108" s="79">
        <v>1E-8</v>
      </c>
      <c r="CG108" s="79">
        <v>1E-8</v>
      </c>
      <c r="CH108" s="79">
        <v>1E-8</v>
      </c>
      <c r="CI108" s="79">
        <v>1E-8</v>
      </c>
      <c r="CJ108" s="79">
        <v>1E-8</v>
      </c>
      <c r="CK108" s="44"/>
    </row>
    <row r="109" spans="1:89" x14ac:dyDescent="0.35">
      <c r="A109" s="9" t="s">
        <v>670</v>
      </c>
      <c r="B109" s="44"/>
      <c r="C109" s="91" t="s">
        <v>568</v>
      </c>
      <c r="D109" s="79">
        <v>0.91462831112451914</v>
      </c>
      <c r="E109" s="80">
        <v>6.464940080109316</v>
      </c>
      <c r="F109" s="79">
        <v>1E-8</v>
      </c>
      <c r="G109" s="79">
        <v>1E-8</v>
      </c>
      <c r="H109" s="79">
        <v>1E-8</v>
      </c>
      <c r="I109" s="79">
        <v>1E-8</v>
      </c>
      <c r="J109" s="79">
        <v>1E-8</v>
      </c>
      <c r="K109" s="79">
        <v>1E-8</v>
      </c>
      <c r="L109" s="79">
        <v>1E-8</v>
      </c>
      <c r="M109" s="79">
        <v>1E-8</v>
      </c>
      <c r="N109" s="44"/>
      <c r="O109" s="34"/>
      <c r="P109" s="9" t="s">
        <v>670</v>
      </c>
      <c r="Q109" s="44"/>
      <c r="R109" s="91" t="s">
        <v>568</v>
      </c>
      <c r="S109" s="79">
        <v>0.52554099117424169</v>
      </c>
      <c r="T109" s="80">
        <v>6.4297851796777161</v>
      </c>
      <c r="U109" s="79">
        <v>1E-8</v>
      </c>
      <c r="V109" s="79">
        <v>1E-8</v>
      </c>
      <c r="W109" s="79">
        <v>1E-8</v>
      </c>
      <c r="X109" s="79">
        <v>1E-8</v>
      </c>
      <c r="Y109" s="79">
        <v>1E-8</v>
      </c>
      <c r="Z109" s="79">
        <v>1E-8</v>
      </c>
      <c r="AA109" s="79">
        <v>1E-8</v>
      </c>
      <c r="AB109" s="79">
        <v>1E-8</v>
      </c>
      <c r="AC109" s="44"/>
      <c r="AD109" s="34"/>
      <c r="AE109" s="9" t="s">
        <v>670</v>
      </c>
      <c r="AF109" s="44"/>
      <c r="AG109" s="91" t="s">
        <v>568</v>
      </c>
      <c r="AH109" s="79">
        <v>9.5800048404886837</v>
      </c>
      <c r="AI109" s="80">
        <v>6.558569968886796</v>
      </c>
      <c r="AJ109" s="79">
        <v>1E-8</v>
      </c>
      <c r="AK109" s="79">
        <v>1E-8</v>
      </c>
      <c r="AL109" s="79">
        <v>1E-8</v>
      </c>
      <c r="AM109" s="79">
        <v>1E-8</v>
      </c>
      <c r="AN109" s="79">
        <v>1E-8</v>
      </c>
      <c r="AO109" s="79">
        <v>1E-8</v>
      </c>
      <c r="AP109" s="79">
        <v>1E-8</v>
      </c>
      <c r="AQ109" s="79">
        <v>1E-8</v>
      </c>
      <c r="AR109" s="44"/>
      <c r="AS109" s="34"/>
      <c r="AT109" s="9" t="s">
        <v>670</v>
      </c>
      <c r="AU109" s="44"/>
      <c r="AV109" s="91" t="s">
        <v>568</v>
      </c>
      <c r="AW109" s="79">
        <v>2.1092134654496411</v>
      </c>
      <c r="AX109" s="80">
        <v>6.558569968886796</v>
      </c>
      <c r="AY109" s="79">
        <v>1E-8</v>
      </c>
      <c r="AZ109" s="79">
        <v>1E-8</v>
      </c>
      <c r="BA109" s="79">
        <v>1E-8</v>
      </c>
      <c r="BB109" s="79">
        <v>1E-8</v>
      </c>
      <c r="BC109" s="79">
        <v>1E-8</v>
      </c>
      <c r="BD109" s="79">
        <v>1E-8</v>
      </c>
      <c r="BE109" s="79">
        <v>1E-8</v>
      </c>
      <c r="BF109" s="79">
        <v>1E-8</v>
      </c>
      <c r="BG109" s="44"/>
      <c r="BH109" s="34"/>
      <c r="BI109" s="9" t="s">
        <v>670</v>
      </c>
      <c r="BJ109" s="44"/>
      <c r="BK109" s="91" t="s">
        <v>568</v>
      </c>
      <c r="BL109" s="79">
        <v>8.5014407010936726</v>
      </c>
      <c r="BM109" s="80">
        <v>1E-8</v>
      </c>
      <c r="BN109" s="79">
        <v>1E-8</v>
      </c>
      <c r="BO109" s="79">
        <v>1E-8</v>
      </c>
      <c r="BP109" s="79">
        <v>1E-8</v>
      </c>
      <c r="BQ109" s="79">
        <v>1E-8</v>
      </c>
      <c r="BR109" s="79">
        <v>1E-8</v>
      </c>
      <c r="BS109" s="79">
        <v>1E-8</v>
      </c>
      <c r="BT109" s="79">
        <v>1E-8</v>
      </c>
      <c r="BU109" s="79">
        <v>1E-8</v>
      </c>
      <c r="BV109" s="44"/>
      <c r="BW109" s="34"/>
      <c r="BX109" s="9" t="s">
        <v>670</v>
      </c>
      <c r="BY109" s="44"/>
      <c r="BZ109" s="91" t="s">
        <v>568</v>
      </c>
      <c r="CA109" s="79">
        <v>2.6500980613310769</v>
      </c>
      <c r="CB109" s="80">
        <v>1E-8</v>
      </c>
      <c r="CC109" s="79">
        <v>1E-8</v>
      </c>
      <c r="CD109" s="79">
        <v>1E-8</v>
      </c>
      <c r="CE109" s="79">
        <v>1E-8</v>
      </c>
      <c r="CF109" s="79">
        <v>1E-8</v>
      </c>
      <c r="CG109" s="79">
        <v>1E-8</v>
      </c>
      <c r="CH109" s="79">
        <v>1E-8</v>
      </c>
      <c r="CI109" s="79">
        <v>1E-8</v>
      </c>
      <c r="CJ109" s="79">
        <v>1E-8</v>
      </c>
      <c r="CK109" s="44"/>
    </row>
    <row r="110" spans="1:89" x14ac:dyDescent="0.35">
      <c r="A110" s="9" t="s">
        <v>671</v>
      </c>
      <c r="B110" s="44"/>
      <c r="C110" s="91" t="s">
        <v>569</v>
      </c>
      <c r="D110" s="79">
        <v>0.31169004055446226</v>
      </c>
      <c r="E110" s="80">
        <v>-2.1090119164353771</v>
      </c>
      <c r="F110" s="79">
        <v>1E-8</v>
      </c>
      <c r="G110" s="79">
        <v>1E-8</v>
      </c>
      <c r="H110" s="79">
        <v>1E-8</v>
      </c>
      <c r="I110" s="79">
        <v>1E-8</v>
      </c>
      <c r="J110" s="79">
        <v>1E-8</v>
      </c>
      <c r="K110" s="79">
        <v>1E-8</v>
      </c>
      <c r="L110" s="79">
        <v>1E-8</v>
      </c>
      <c r="M110" s="79">
        <v>1E-8</v>
      </c>
      <c r="N110" s="44"/>
      <c r="O110" s="34"/>
      <c r="P110" s="9" t="s">
        <v>671</v>
      </c>
      <c r="Q110" s="44"/>
      <c r="R110" s="91" t="s">
        <v>569</v>
      </c>
      <c r="S110" s="79">
        <v>0.24759139779646994</v>
      </c>
      <c r="T110" s="80">
        <v>-1.9943986200197217</v>
      </c>
      <c r="U110" s="79">
        <v>1E-8</v>
      </c>
      <c r="V110" s="79">
        <v>1E-8</v>
      </c>
      <c r="W110" s="79">
        <v>1E-8</v>
      </c>
      <c r="X110" s="79">
        <v>1E-8</v>
      </c>
      <c r="Y110" s="79">
        <v>1E-8</v>
      </c>
      <c r="Z110" s="79">
        <v>1E-8</v>
      </c>
      <c r="AA110" s="79">
        <v>1E-8</v>
      </c>
      <c r="AB110" s="79">
        <v>1E-8</v>
      </c>
      <c r="AC110" s="44"/>
      <c r="AD110" s="34"/>
      <c r="AE110" s="9" t="s">
        <v>671</v>
      </c>
      <c r="AF110" s="44"/>
      <c r="AG110" s="91" t="s">
        <v>569</v>
      </c>
      <c r="AH110" s="79">
        <v>4.0278941890133972E-2</v>
      </c>
      <c r="AI110" s="80">
        <v>6.558569968886796</v>
      </c>
      <c r="AJ110" s="79">
        <v>1E-8</v>
      </c>
      <c r="AK110" s="79">
        <v>1E-8</v>
      </c>
      <c r="AL110" s="79">
        <v>1E-8</v>
      </c>
      <c r="AM110" s="79">
        <v>1E-8</v>
      </c>
      <c r="AN110" s="79">
        <v>1E-8</v>
      </c>
      <c r="AO110" s="79">
        <v>1E-8</v>
      </c>
      <c r="AP110" s="79">
        <v>1E-8</v>
      </c>
      <c r="AQ110" s="79">
        <v>1E-8</v>
      </c>
      <c r="AR110" s="44"/>
      <c r="AS110" s="34"/>
      <c r="AT110" s="9" t="s">
        <v>671</v>
      </c>
      <c r="AU110" s="44"/>
      <c r="AV110" s="91" t="s">
        <v>569</v>
      </c>
      <c r="AW110" s="79">
        <v>2.8090821954242732E-2</v>
      </c>
      <c r="AX110" s="80">
        <v>6.558569968886796</v>
      </c>
      <c r="AY110" s="79">
        <v>1E-8</v>
      </c>
      <c r="AZ110" s="79">
        <v>1E-8</v>
      </c>
      <c r="BA110" s="79">
        <v>1E-8</v>
      </c>
      <c r="BB110" s="79">
        <v>1E-8</v>
      </c>
      <c r="BC110" s="79">
        <v>1E-8</v>
      </c>
      <c r="BD110" s="79">
        <v>1E-8</v>
      </c>
      <c r="BE110" s="79">
        <v>1E-8</v>
      </c>
      <c r="BF110" s="79">
        <v>1E-8</v>
      </c>
      <c r="BG110" s="44"/>
      <c r="BH110" s="34"/>
      <c r="BI110" s="9" t="s">
        <v>671</v>
      </c>
      <c r="BJ110" s="44"/>
      <c r="BK110" s="91" t="s">
        <v>569</v>
      </c>
      <c r="BL110" s="79">
        <v>3.5744140183994341E-2</v>
      </c>
      <c r="BM110" s="80">
        <v>1E-8</v>
      </c>
      <c r="BN110" s="79">
        <v>1E-8</v>
      </c>
      <c r="BO110" s="79">
        <v>1E-8</v>
      </c>
      <c r="BP110" s="79">
        <v>1E-8</v>
      </c>
      <c r="BQ110" s="79">
        <v>1E-8</v>
      </c>
      <c r="BR110" s="79">
        <v>1E-8</v>
      </c>
      <c r="BS110" s="79">
        <v>1E-8</v>
      </c>
      <c r="BT110" s="79">
        <v>1E-8</v>
      </c>
      <c r="BU110" s="79">
        <v>1E-8</v>
      </c>
      <c r="BV110" s="44"/>
      <c r="BW110" s="34"/>
      <c r="BX110" s="9" t="s">
        <v>671</v>
      </c>
      <c r="BY110" s="44"/>
      <c r="BZ110" s="91" t="s">
        <v>569</v>
      </c>
      <c r="CA110" s="79">
        <v>3.5294404298839101E-2</v>
      </c>
      <c r="CB110" s="80">
        <v>1E-8</v>
      </c>
      <c r="CC110" s="79">
        <v>1E-8</v>
      </c>
      <c r="CD110" s="79">
        <v>1E-8</v>
      </c>
      <c r="CE110" s="79">
        <v>1E-8</v>
      </c>
      <c r="CF110" s="79">
        <v>1E-8</v>
      </c>
      <c r="CG110" s="79">
        <v>1E-8</v>
      </c>
      <c r="CH110" s="79">
        <v>1E-8</v>
      </c>
      <c r="CI110" s="79">
        <v>1E-8</v>
      </c>
      <c r="CJ110" s="79">
        <v>1E-8</v>
      </c>
      <c r="CK110" s="44"/>
    </row>
    <row r="111" spans="1:89" x14ac:dyDescent="0.35">
      <c r="A111" s="9" t="s">
        <v>672</v>
      </c>
      <c r="B111" s="44"/>
      <c r="C111" s="91" t="s">
        <v>570</v>
      </c>
      <c r="D111" s="79">
        <v>9.7264636495962273E-2</v>
      </c>
      <c r="E111" s="80">
        <v>2.4673875308843352</v>
      </c>
      <c r="F111" s="79">
        <v>1E-8</v>
      </c>
      <c r="G111" s="79">
        <v>1E-8</v>
      </c>
      <c r="H111" s="79">
        <v>1E-8</v>
      </c>
      <c r="I111" s="79">
        <v>1E-8</v>
      </c>
      <c r="J111" s="79">
        <v>1E-8</v>
      </c>
      <c r="K111" s="79">
        <v>1E-8</v>
      </c>
      <c r="L111" s="79">
        <v>1E-8</v>
      </c>
      <c r="M111" s="79">
        <v>1E-8</v>
      </c>
      <c r="N111" s="44"/>
      <c r="O111" s="34"/>
      <c r="P111" s="9" t="s">
        <v>672</v>
      </c>
      <c r="Q111" s="44"/>
      <c r="R111" s="91" t="s">
        <v>570</v>
      </c>
      <c r="S111" s="79">
        <v>5.1367323262249263E-2</v>
      </c>
      <c r="T111" s="80">
        <v>0.52621519554936214</v>
      </c>
      <c r="U111" s="79">
        <v>1E-8</v>
      </c>
      <c r="V111" s="79">
        <v>1E-8</v>
      </c>
      <c r="W111" s="79">
        <v>1E-8</v>
      </c>
      <c r="X111" s="79">
        <v>1E-8</v>
      </c>
      <c r="Y111" s="79">
        <v>1E-8</v>
      </c>
      <c r="Z111" s="79">
        <v>1E-8</v>
      </c>
      <c r="AA111" s="79">
        <v>1E-8</v>
      </c>
      <c r="AB111" s="79">
        <v>1E-8</v>
      </c>
      <c r="AC111" s="44"/>
      <c r="AD111" s="34"/>
      <c r="AE111" s="9" t="s">
        <v>672</v>
      </c>
      <c r="AF111" s="44"/>
      <c r="AG111" s="91" t="s">
        <v>570</v>
      </c>
      <c r="AH111" s="79">
        <v>0.46076138669716515</v>
      </c>
      <c r="AI111" s="80">
        <v>6.558569968886796</v>
      </c>
      <c r="AJ111" s="79">
        <v>1E-8</v>
      </c>
      <c r="AK111" s="79">
        <v>1E-8</v>
      </c>
      <c r="AL111" s="79">
        <v>1E-8</v>
      </c>
      <c r="AM111" s="79">
        <v>1E-8</v>
      </c>
      <c r="AN111" s="79">
        <v>1E-8</v>
      </c>
      <c r="AO111" s="79">
        <v>1E-8</v>
      </c>
      <c r="AP111" s="79">
        <v>1E-8</v>
      </c>
      <c r="AQ111" s="79">
        <v>1E-8</v>
      </c>
      <c r="AR111" s="44"/>
      <c r="AS111" s="34"/>
      <c r="AT111" s="9" t="s">
        <v>672</v>
      </c>
      <c r="AU111" s="44"/>
      <c r="AV111" s="91" t="s">
        <v>570</v>
      </c>
      <c r="AW111" s="79">
        <v>3.5247986708849093E-2</v>
      </c>
      <c r="AX111" s="80">
        <v>6.558569968886796</v>
      </c>
      <c r="AY111" s="79">
        <v>1E-8</v>
      </c>
      <c r="AZ111" s="79">
        <v>1E-8</v>
      </c>
      <c r="BA111" s="79">
        <v>1E-8</v>
      </c>
      <c r="BB111" s="79">
        <v>1E-8</v>
      </c>
      <c r="BC111" s="79">
        <v>1E-8</v>
      </c>
      <c r="BD111" s="79">
        <v>1E-8</v>
      </c>
      <c r="BE111" s="79">
        <v>1E-8</v>
      </c>
      <c r="BF111" s="79">
        <v>1E-8</v>
      </c>
      <c r="BG111" s="44"/>
      <c r="BH111" s="34"/>
      <c r="BI111" s="9" t="s">
        <v>672</v>
      </c>
      <c r="BJ111" s="44"/>
      <c r="BK111" s="91" t="s">
        <v>570</v>
      </c>
      <c r="BL111" s="79">
        <v>0.40888659991113574</v>
      </c>
      <c r="BM111" s="80">
        <v>1E-8</v>
      </c>
      <c r="BN111" s="79">
        <v>1E-8</v>
      </c>
      <c r="BO111" s="79">
        <v>1E-8</v>
      </c>
      <c r="BP111" s="79">
        <v>1E-8</v>
      </c>
      <c r="BQ111" s="79">
        <v>1E-8</v>
      </c>
      <c r="BR111" s="79">
        <v>1E-8</v>
      </c>
      <c r="BS111" s="79">
        <v>1E-8</v>
      </c>
      <c r="BT111" s="79">
        <v>1E-8</v>
      </c>
      <c r="BU111" s="79">
        <v>1E-8</v>
      </c>
      <c r="BV111" s="44"/>
      <c r="BW111" s="34"/>
      <c r="BX111" s="9" t="s">
        <v>672</v>
      </c>
      <c r="BY111" s="44"/>
      <c r="BZ111" s="91" t="s">
        <v>570</v>
      </c>
      <c r="CA111" s="79">
        <v>4.4286945239575985E-2</v>
      </c>
      <c r="CB111" s="80">
        <v>1E-8</v>
      </c>
      <c r="CC111" s="79">
        <v>1E-8</v>
      </c>
      <c r="CD111" s="79">
        <v>1E-8</v>
      </c>
      <c r="CE111" s="79">
        <v>1E-8</v>
      </c>
      <c r="CF111" s="79">
        <v>1E-8</v>
      </c>
      <c r="CG111" s="79">
        <v>1E-8</v>
      </c>
      <c r="CH111" s="79">
        <v>1E-8</v>
      </c>
      <c r="CI111" s="79">
        <v>1E-8</v>
      </c>
      <c r="CJ111" s="79">
        <v>1E-8</v>
      </c>
      <c r="CK111" s="44"/>
    </row>
    <row r="112" spans="1:89" x14ac:dyDescent="0.35">
      <c r="A112" s="11" t="s">
        <v>673</v>
      </c>
      <c r="B112" s="44"/>
      <c r="C112" s="90" t="s">
        <v>355</v>
      </c>
      <c r="D112" s="77">
        <v>4.9177492389887147</v>
      </c>
      <c r="E112" s="78">
        <v>0.28424280911418798</v>
      </c>
      <c r="F112" s="77">
        <v>1E-8</v>
      </c>
      <c r="G112" s="77">
        <v>1E-8</v>
      </c>
      <c r="H112" s="77">
        <v>1E-8</v>
      </c>
      <c r="I112" s="77">
        <v>1E-8</v>
      </c>
      <c r="J112" s="77">
        <v>1E-8</v>
      </c>
      <c r="K112" s="77">
        <v>1E-8</v>
      </c>
      <c r="L112" s="77">
        <v>1E-8</v>
      </c>
      <c r="M112" s="77">
        <v>1E-8</v>
      </c>
      <c r="N112" s="44"/>
      <c r="O112" s="34"/>
      <c r="P112" s="11" t="s">
        <v>673</v>
      </c>
      <c r="Q112" s="44"/>
      <c r="R112" s="90" t="s">
        <v>355</v>
      </c>
      <c r="S112" s="77">
        <v>3.821363717867996</v>
      </c>
      <c r="T112" s="78">
        <v>0.28424280911412136</v>
      </c>
      <c r="U112" s="77">
        <v>1E-8</v>
      </c>
      <c r="V112" s="77">
        <v>1E-8</v>
      </c>
      <c r="W112" s="77">
        <v>1E-8</v>
      </c>
      <c r="X112" s="77">
        <v>1E-8</v>
      </c>
      <c r="Y112" s="77">
        <v>1E-8</v>
      </c>
      <c r="Z112" s="77">
        <v>1E-8</v>
      </c>
      <c r="AA112" s="77">
        <v>1E-8</v>
      </c>
      <c r="AB112" s="77">
        <v>1E-8</v>
      </c>
      <c r="AC112" s="44"/>
      <c r="AD112" s="34"/>
      <c r="AE112" s="11" t="s">
        <v>673</v>
      </c>
      <c r="AF112" s="44"/>
      <c r="AG112" s="90" t="s">
        <v>355</v>
      </c>
      <c r="AH112" s="77">
        <v>1E-8</v>
      </c>
      <c r="AI112" s="78">
        <v>1E-8</v>
      </c>
      <c r="AJ112" s="77">
        <v>1E-8</v>
      </c>
      <c r="AK112" s="77">
        <v>1E-8</v>
      </c>
      <c r="AL112" s="77">
        <v>1E-8</v>
      </c>
      <c r="AM112" s="77">
        <v>1E-8</v>
      </c>
      <c r="AN112" s="77">
        <v>1E-8</v>
      </c>
      <c r="AO112" s="77">
        <v>1E-8</v>
      </c>
      <c r="AP112" s="77">
        <v>1E-8</v>
      </c>
      <c r="AQ112" s="77">
        <v>1E-8</v>
      </c>
      <c r="AR112" s="44"/>
      <c r="AS112" s="34"/>
      <c r="AT112" s="11" t="s">
        <v>673</v>
      </c>
      <c r="AU112" s="44"/>
      <c r="AV112" s="90" t="s">
        <v>355</v>
      </c>
      <c r="AW112" s="77">
        <v>1E-8</v>
      </c>
      <c r="AX112" s="78">
        <v>1E-8</v>
      </c>
      <c r="AY112" s="77">
        <v>1E-8</v>
      </c>
      <c r="AZ112" s="77">
        <v>1E-8</v>
      </c>
      <c r="BA112" s="77">
        <v>1E-8</v>
      </c>
      <c r="BB112" s="77">
        <v>1E-8</v>
      </c>
      <c r="BC112" s="77">
        <v>1E-8</v>
      </c>
      <c r="BD112" s="77">
        <v>1E-8</v>
      </c>
      <c r="BE112" s="77">
        <v>1E-8</v>
      </c>
      <c r="BF112" s="77">
        <v>1E-8</v>
      </c>
      <c r="BG112" s="44"/>
      <c r="BH112" s="34"/>
      <c r="BI112" s="11" t="s">
        <v>673</v>
      </c>
      <c r="BJ112" s="44"/>
      <c r="BK112" s="90" t="s">
        <v>355</v>
      </c>
      <c r="BL112" s="77">
        <v>1E-8</v>
      </c>
      <c r="BM112" s="78">
        <v>1E-8</v>
      </c>
      <c r="BN112" s="77">
        <v>1E-8</v>
      </c>
      <c r="BO112" s="77">
        <v>1E-8</v>
      </c>
      <c r="BP112" s="77">
        <v>1E-8</v>
      </c>
      <c r="BQ112" s="77">
        <v>1E-8</v>
      </c>
      <c r="BR112" s="77">
        <v>1E-8</v>
      </c>
      <c r="BS112" s="77">
        <v>1E-8</v>
      </c>
      <c r="BT112" s="77">
        <v>1E-8</v>
      </c>
      <c r="BU112" s="77">
        <v>1E-8</v>
      </c>
      <c r="BV112" s="44"/>
      <c r="BW112" s="34"/>
      <c r="BX112" s="11" t="s">
        <v>673</v>
      </c>
      <c r="BY112" s="44"/>
      <c r="BZ112" s="90" t="s">
        <v>355</v>
      </c>
      <c r="CA112" s="77">
        <v>1E-8</v>
      </c>
      <c r="CB112" s="78">
        <v>1E-8</v>
      </c>
      <c r="CC112" s="77">
        <v>1E-8</v>
      </c>
      <c r="CD112" s="77">
        <v>1E-8</v>
      </c>
      <c r="CE112" s="77">
        <v>1E-8</v>
      </c>
      <c r="CF112" s="77">
        <v>1E-8</v>
      </c>
      <c r="CG112" s="77">
        <v>1E-8</v>
      </c>
      <c r="CH112" s="77">
        <v>1E-8</v>
      </c>
      <c r="CI112" s="77">
        <v>1E-8</v>
      </c>
      <c r="CJ112" s="77">
        <v>1E-8</v>
      </c>
      <c r="CK112" s="44"/>
    </row>
    <row r="113" spans="1:89" x14ac:dyDescent="0.35">
      <c r="A113" s="11" t="s">
        <v>372</v>
      </c>
      <c r="B113" s="44"/>
      <c r="C113" s="90" t="s">
        <v>571</v>
      </c>
      <c r="D113" s="77">
        <v>1.9134159319014286</v>
      </c>
      <c r="E113" s="78">
        <v>-9.5703363225352334E-2</v>
      </c>
      <c r="F113" s="77">
        <v>1E-8</v>
      </c>
      <c r="G113" s="77">
        <v>1E-8</v>
      </c>
      <c r="H113" s="77">
        <v>1E-8</v>
      </c>
      <c r="I113" s="77">
        <v>1E-8</v>
      </c>
      <c r="J113" s="77">
        <v>1E-8</v>
      </c>
      <c r="K113" s="77">
        <v>1E-8</v>
      </c>
      <c r="L113" s="77">
        <v>1E-8</v>
      </c>
      <c r="M113" s="77">
        <v>1E-8</v>
      </c>
      <c r="N113" s="44"/>
      <c r="O113" s="34"/>
      <c r="P113" s="11" t="s">
        <v>372</v>
      </c>
      <c r="Q113" s="44"/>
      <c r="R113" s="90" t="s">
        <v>571</v>
      </c>
      <c r="S113" s="77">
        <v>1.7796183549272711</v>
      </c>
      <c r="T113" s="78">
        <v>3.1917129447811554E-2</v>
      </c>
      <c r="U113" s="77">
        <v>1E-8</v>
      </c>
      <c r="V113" s="77">
        <v>1E-8</v>
      </c>
      <c r="W113" s="77">
        <v>1E-8</v>
      </c>
      <c r="X113" s="77">
        <v>1E-8</v>
      </c>
      <c r="Y113" s="77">
        <v>1E-8</v>
      </c>
      <c r="Z113" s="77">
        <v>1E-8</v>
      </c>
      <c r="AA113" s="77">
        <v>1E-8</v>
      </c>
      <c r="AB113" s="77">
        <v>1E-8</v>
      </c>
      <c r="AC113" s="44"/>
      <c r="AD113" s="34"/>
      <c r="AE113" s="11" t="s">
        <v>372</v>
      </c>
      <c r="AF113" s="44"/>
      <c r="AG113" s="90" t="s">
        <v>571</v>
      </c>
      <c r="AH113" s="77">
        <v>1.9202058190733617</v>
      </c>
      <c r="AI113" s="78">
        <v>6.5585699688868182</v>
      </c>
      <c r="AJ113" s="77">
        <v>1E-8</v>
      </c>
      <c r="AK113" s="77">
        <v>1E-8</v>
      </c>
      <c r="AL113" s="77">
        <v>1E-8</v>
      </c>
      <c r="AM113" s="77">
        <v>1E-8</v>
      </c>
      <c r="AN113" s="77">
        <v>1E-8</v>
      </c>
      <c r="AO113" s="77">
        <v>1E-8</v>
      </c>
      <c r="AP113" s="77">
        <v>1E-8</v>
      </c>
      <c r="AQ113" s="77">
        <v>1E-8</v>
      </c>
      <c r="AR113" s="44"/>
      <c r="AS113" s="34"/>
      <c r="AT113" s="11" t="s">
        <v>372</v>
      </c>
      <c r="AU113" s="44"/>
      <c r="AV113" s="90" t="s">
        <v>571</v>
      </c>
      <c r="AW113" s="77">
        <v>0.64607799525089982</v>
      </c>
      <c r="AX113" s="78">
        <v>6.558569968886796</v>
      </c>
      <c r="AY113" s="77">
        <v>1E-8</v>
      </c>
      <c r="AZ113" s="77">
        <v>1E-8</v>
      </c>
      <c r="BA113" s="77">
        <v>1E-8</v>
      </c>
      <c r="BB113" s="77">
        <v>1E-8</v>
      </c>
      <c r="BC113" s="77">
        <v>1E-8</v>
      </c>
      <c r="BD113" s="77">
        <v>1E-8</v>
      </c>
      <c r="BE113" s="77">
        <v>1E-8</v>
      </c>
      <c r="BF113" s="77">
        <v>1E-8</v>
      </c>
      <c r="BG113" s="44"/>
      <c r="BH113" s="34"/>
      <c r="BI113" s="11" t="s">
        <v>372</v>
      </c>
      <c r="BJ113" s="44"/>
      <c r="BK113" s="90" t="s">
        <v>571</v>
      </c>
      <c r="BL113" s="77">
        <v>1.7040195883569575</v>
      </c>
      <c r="BM113" s="78">
        <v>1E-8</v>
      </c>
      <c r="BN113" s="77">
        <v>1E-8</v>
      </c>
      <c r="BO113" s="77">
        <v>1E-8</v>
      </c>
      <c r="BP113" s="77">
        <v>1E-8</v>
      </c>
      <c r="BQ113" s="77">
        <v>1E-8</v>
      </c>
      <c r="BR113" s="77">
        <v>1E-8</v>
      </c>
      <c r="BS113" s="77">
        <v>1E-8</v>
      </c>
      <c r="BT113" s="77">
        <v>1E-8</v>
      </c>
      <c r="BU113" s="77">
        <v>1E-8</v>
      </c>
      <c r="BV113" s="44"/>
      <c r="BW113" s="34"/>
      <c r="BX113" s="11" t="s">
        <v>372</v>
      </c>
      <c r="BY113" s="44"/>
      <c r="BZ113" s="90" t="s">
        <v>571</v>
      </c>
      <c r="CA113" s="77">
        <v>0.81175759150488769</v>
      </c>
      <c r="CB113" s="78">
        <v>1E-8</v>
      </c>
      <c r="CC113" s="77">
        <v>1E-8</v>
      </c>
      <c r="CD113" s="77">
        <v>1E-8</v>
      </c>
      <c r="CE113" s="77">
        <v>1E-8</v>
      </c>
      <c r="CF113" s="77">
        <v>1E-8</v>
      </c>
      <c r="CG113" s="77">
        <v>1E-8</v>
      </c>
      <c r="CH113" s="77">
        <v>1E-8</v>
      </c>
      <c r="CI113" s="77">
        <v>1E-8</v>
      </c>
      <c r="CJ113" s="77">
        <v>1E-8</v>
      </c>
      <c r="CK113" s="44"/>
    </row>
    <row r="114" spans="1:89" x14ac:dyDescent="0.35">
      <c r="A114" s="9" t="s">
        <v>674</v>
      </c>
      <c r="B114" s="44"/>
      <c r="C114" s="91" t="s">
        <v>572</v>
      </c>
      <c r="D114" s="79">
        <v>0.28204609787041157</v>
      </c>
      <c r="E114" s="80">
        <v>-0.24712877468866523</v>
      </c>
      <c r="F114" s="79">
        <v>1E-8</v>
      </c>
      <c r="G114" s="79">
        <v>1E-8</v>
      </c>
      <c r="H114" s="79">
        <v>1E-8</v>
      </c>
      <c r="I114" s="79">
        <v>1E-8</v>
      </c>
      <c r="J114" s="79">
        <v>1E-8</v>
      </c>
      <c r="K114" s="79">
        <v>1E-8</v>
      </c>
      <c r="L114" s="79">
        <v>1E-8</v>
      </c>
      <c r="M114" s="79">
        <v>1E-8</v>
      </c>
      <c r="N114" s="44"/>
      <c r="O114" s="34"/>
      <c r="P114" s="9" t="s">
        <v>674</v>
      </c>
      <c r="Q114" s="44"/>
      <c r="R114" s="91" t="s">
        <v>572</v>
      </c>
      <c r="S114" s="79">
        <v>0.28773126817441708</v>
      </c>
      <c r="T114" s="80">
        <v>0.9922564919294885</v>
      </c>
      <c r="U114" s="79">
        <v>1E-8</v>
      </c>
      <c r="V114" s="79">
        <v>1E-8</v>
      </c>
      <c r="W114" s="79">
        <v>1E-8</v>
      </c>
      <c r="X114" s="79">
        <v>1E-8</v>
      </c>
      <c r="Y114" s="79">
        <v>1E-8</v>
      </c>
      <c r="Z114" s="79">
        <v>1E-8</v>
      </c>
      <c r="AA114" s="79">
        <v>1E-8</v>
      </c>
      <c r="AB114" s="79">
        <v>1E-8</v>
      </c>
      <c r="AC114" s="44"/>
      <c r="AD114" s="34"/>
      <c r="AE114" s="9" t="s">
        <v>674</v>
      </c>
      <c r="AF114" s="44"/>
      <c r="AG114" s="91" t="s">
        <v>572</v>
      </c>
      <c r="AH114" s="79">
        <v>0.11600554324796518</v>
      </c>
      <c r="AI114" s="80">
        <v>6.558569968886796</v>
      </c>
      <c r="AJ114" s="79">
        <v>1E-8</v>
      </c>
      <c r="AK114" s="79">
        <v>1E-8</v>
      </c>
      <c r="AL114" s="79">
        <v>1E-8</v>
      </c>
      <c r="AM114" s="79">
        <v>1E-8</v>
      </c>
      <c r="AN114" s="79">
        <v>1E-8</v>
      </c>
      <c r="AO114" s="79">
        <v>1E-8</v>
      </c>
      <c r="AP114" s="79">
        <v>1E-8</v>
      </c>
      <c r="AQ114" s="79">
        <v>1E-8</v>
      </c>
      <c r="AR114" s="44"/>
      <c r="AS114" s="34"/>
      <c r="AT114" s="9" t="s">
        <v>674</v>
      </c>
      <c r="AU114" s="44"/>
      <c r="AV114" s="91" t="s">
        <v>572</v>
      </c>
      <c r="AW114" s="79">
        <v>0.26228116453894607</v>
      </c>
      <c r="AX114" s="80">
        <v>6.558569968886796</v>
      </c>
      <c r="AY114" s="79">
        <v>1E-8</v>
      </c>
      <c r="AZ114" s="79">
        <v>1E-8</v>
      </c>
      <c r="BA114" s="79">
        <v>1E-8</v>
      </c>
      <c r="BB114" s="79">
        <v>1E-8</v>
      </c>
      <c r="BC114" s="79">
        <v>1E-8</v>
      </c>
      <c r="BD114" s="79">
        <v>1E-8</v>
      </c>
      <c r="BE114" s="79">
        <v>1E-8</v>
      </c>
      <c r="BF114" s="79">
        <v>1E-8</v>
      </c>
      <c r="BG114" s="44"/>
      <c r="BH114" s="34"/>
      <c r="BI114" s="9" t="s">
        <v>674</v>
      </c>
      <c r="BJ114" s="44"/>
      <c r="BK114" s="91" t="s">
        <v>572</v>
      </c>
      <c r="BL114" s="79">
        <v>0.10294506770525032</v>
      </c>
      <c r="BM114" s="80">
        <v>1E-8</v>
      </c>
      <c r="BN114" s="79">
        <v>1E-8</v>
      </c>
      <c r="BO114" s="79">
        <v>1E-8</v>
      </c>
      <c r="BP114" s="79">
        <v>1E-8</v>
      </c>
      <c r="BQ114" s="79">
        <v>1E-8</v>
      </c>
      <c r="BR114" s="79">
        <v>1E-8</v>
      </c>
      <c r="BS114" s="79">
        <v>1E-8</v>
      </c>
      <c r="BT114" s="79">
        <v>1E-8</v>
      </c>
      <c r="BU114" s="79">
        <v>1E-8</v>
      </c>
      <c r="BV114" s="44"/>
      <c r="BW114" s="34"/>
      <c r="BX114" s="9" t="s">
        <v>674</v>
      </c>
      <c r="BY114" s="44"/>
      <c r="BZ114" s="91" t="s">
        <v>572</v>
      </c>
      <c r="CA114" s="79">
        <v>0.32954028459141443</v>
      </c>
      <c r="CB114" s="80">
        <v>1E-8</v>
      </c>
      <c r="CC114" s="79">
        <v>1E-8</v>
      </c>
      <c r="CD114" s="79">
        <v>1E-8</v>
      </c>
      <c r="CE114" s="79">
        <v>1E-8</v>
      </c>
      <c r="CF114" s="79">
        <v>1E-8</v>
      </c>
      <c r="CG114" s="79">
        <v>1E-8</v>
      </c>
      <c r="CH114" s="79">
        <v>1E-8</v>
      </c>
      <c r="CI114" s="79">
        <v>1E-8</v>
      </c>
      <c r="CJ114" s="79">
        <v>1E-8</v>
      </c>
      <c r="CK114" s="44"/>
    </row>
    <row r="115" spans="1:89" x14ac:dyDescent="0.35">
      <c r="A115" s="9" t="s">
        <v>675</v>
      </c>
      <c r="B115" s="44"/>
      <c r="C115" s="91" t="s">
        <v>356</v>
      </c>
      <c r="D115" s="79">
        <v>1.2117931987302446</v>
      </c>
      <c r="E115" s="80">
        <v>0.69098053468550358</v>
      </c>
      <c r="F115" s="79">
        <v>1E-8</v>
      </c>
      <c r="G115" s="79">
        <v>1E-8</v>
      </c>
      <c r="H115" s="79">
        <v>1E-8</v>
      </c>
      <c r="I115" s="79">
        <v>1E-8</v>
      </c>
      <c r="J115" s="79">
        <v>1E-8</v>
      </c>
      <c r="K115" s="79">
        <v>1E-8</v>
      </c>
      <c r="L115" s="79">
        <v>1E-8</v>
      </c>
      <c r="M115" s="79">
        <v>1E-8</v>
      </c>
      <c r="N115" s="44"/>
      <c r="O115" s="34"/>
      <c r="P115" s="9" t="s">
        <v>675</v>
      </c>
      <c r="Q115" s="44"/>
      <c r="R115" s="91" t="s">
        <v>356</v>
      </c>
      <c r="S115" s="79">
        <v>1.149188576108509</v>
      </c>
      <c r="T115" s="80">
        <v>0.46686976733050223</v>
      </c>
      <c r="U115" s="79">
        <v>1E-8</v>
      </c>
      <c r="V115" s="79">
        <v>1E-8</v>
      </c>
      <c r="W115" s="79">
        <v>1E-8</v>
      </c>
      <c r="X115" s="79">
        <v>1E-8</v>
      </c>
      <c r="Y115" s="79">
        <v>1E-8</v>
      </c>
      <c r="Z115" s="79">
        <v>1E-8</v>
      </c>
      <c r="AA115" s="79">
        <v>1E-8</v>
      </c>
      <c r="AB115" s="79">
        <v>1E-8</v>
      </c>
      <c r="AC115" s="44"/>
      <c r="AD115" s="34"/>
      <c r="AE115" s="9" t="s">
        <v>675</v>
      </c>
      <c r="AF115" s="44"/>
      <c r="AG115" s="91" t="s">
        <v>356</v>
      </c>
      <c r="AH115" s="79">
        <v>1.6938441874813432</v>
      </c>
      <c r="AI115" s="80">
        <v>6.558569968886796</v>
      </c>
      <c r="AJ115" s="79">
        <v>1E-8</v>
      </c>
      <c r="AK115" s="79">
        <v>1E-8</v>
      </c>
      <c r="AL115" s="79">
        <v>1E-8</v>
      </c>
      <c r="AM115" s="79">
        <v>1E-8</v>
      </c>
      <c r="AN115" s="79">
        <v>1E-8</v>
      </c>
      <c r="AO115" s="79">
        <v>1E-8</v>
      </c>
      <c r="AP115" s="79">
        <v>1E-8</v>
      </c>
      <c r="AQ115" s="79">
        <v>1E-8</v>
      </c>
      <c r="AR115" s="44"/>
      <c r="AS115" s="34"/>
      <c r="AT115" s="9" t="s">
        <v>675</v>
      </c>
      <c r="AU115" s="44"/>
      <c r="AV115" s="91" t="s">
        <v>356</v>
      </c>
      <c r="AW115" s="79">
        <v>0.3837968307119537</v>
      </c>
      <c r="AX115" s="80">
        <v>6.558569968886796</v>
      </c>
      <c r="AY115" s="79">
        <v>1E-8</v>
      </c>
      <c r="AZ115" s="79">
        <v>1E-8</v>
      </c>
      <c r="BA115" s="79">
        <v>1E-8</v>
      </c>
      <c r="BB115" s="79">
        <v>1E-8</v>
      </c>
      <c r="BC115" s="79">
        <v>1E-8</v>
      </c>
      <c r="BD115" s="79">
        <v>1E-8</v>
      </c>
      <c r="BE115" s="79">
        <v>1E-8</v>
      </c>
      <c r="BF115" s="79">
        <v>1E-8</v>
      </c>
      <c r="BG115" s="44"/>
      <c r="BH115" s="34"/>
      <c r="BI115" s="9" t="s">
        <v>675</v>
      </c>
      <c r="BJ115" s="44"/>
      <c r="BK115" s="91" t="s">
        <v>356</v>
      </c>
      <c r="BL115" s="79">
        <v>1.5031428643860967</v>
      </c>
      <c r="BM115" s="80">
        <v>1E-8</v>
      </c>
      <c r="BN115" s="79">
        <v>1E-8</v>
      </c>
      <c r="BO115" s="79">
        <v>1E-8</v>
      </c>
      <c r="BP115" s="79">
        <v>1E-8</v>
      </c>
      <c r="BQ115" s="79">
        <v>1E-8</v>
      </c>
      <c r="BR115" s="79">
        <v>1E-8</v>
      </c>
      <c r="BS115" s="79">
        <v>1E-8</v>
      </c>
      <c r="BT115" s="79">
        <v>1E-8</v>
      </c>
      <c r="BU115" s="79">
        <v>1E-8</v>
      </c>
      <c r="BV115" s="44"/>
      <c r="BW115" s="34"/>
      <c r="BX115" s="9" t="s">
        <v>675</v>
      </c>
      <c r="BY115" s="44"/>
      <c r="BZ115" s="91" t="s">
        <v>356</v>
      </c>
      <c r="CA115" s="79">
        <v>0.48221730691347325</v>
      </c>
      <c r="CB115" s="80">
        <v>1E-8</v>
      </c>
      <c r="CC115" s="79">
        <v>1E-8</v>
      </c>
      <c r="CD115" s="79">
        <v>1E-8</v>
      </c>
      <c r="CE115" s="79">
        <v>1E-8</v>
      </c>
      <c r="CF115" s="79">
        <v>1E-8</v>
      </c>
      <c r="CG115" s="79">
        <v>1E-8</v>
      </c>
      <c r="CH115" s="79">
        <v>1E-8</v>
      </c>
      <c r="CI115" s="79">
        <v>1E-8</v>
      </c>
      <c r="CJ115" s="79">
        <v>1E-8</v>
      </c>
      <c r="CK115" s="44"/>
    </row>
    <row r="116" spans="1:89" x14ac:dyDescent="0.35">
      <c r="A116" s="9" t="s">
        <v>676</v>
      </c>
      <c r="B116" s="44"/>
      <c r="C116" s="91" t="s">
        <v>573</v>
      </c>
      <c r="D116" s="81">
        <v>0.41957663530077227</v>
      </c>
      <c r="E116" s="82">
        <v>-2.2659606511807762</v>
      </c>
      <c r="F116" s="81">
        <v>1E-8</v>
      </c>
      <c r="G116" s="81">
        <v>1E-8</v>
      </c>
      <c r="H116" s="81">
        <v>1E-8</v>
      </c>
      <c r="I116" s="81">
        <v>1E-8</v>
      </c>
      <c r="J116" s="81">
        <v>1E-8</v>
      </c>
      <c r="K116" s="81">
        <v>1E-8</v>
      </c>
      <c r="L116" s="81">
        <v>1E-8</v>
      </c>
      <c r="M116" s="81">
        <v>1E-8</v>
      </c>
      <c r="N116" s="44"/>
      <c r="O116" s="34"/>
      <c r="P116" s="9" t="s">
        <v>676</v>
      </c>
      <c r="Q116" s="44"/>
      <c r="R116" s="91" t="s">
        <v>573</v>
      </c>
      <c r="S116" s="81">
        <v>0.34269851064434514</v>
      </c>
      <c r="T116" s="82">
        <v>-2.480451238716519</v>
      </c>
      <c r="U116" s="81">
        <v>1E-8</v>
      </c>
      <c r="V116" s="81">
        <v>1E-8</v>
      </c>
      <c r="W116" s="81">
        <v>1E-8</v>
      </c>
      <c r="X116" s="81">
        <v>1E-8</v>
      </c>
      <c r="Y116" s="81">
        <v>1E-8</v>
      </c>
      <c r="Z116" s="81">
        <v>1E-8</v>
      </c>
      <c r="AA116" s="81">
        <v>1E-8</v>
      </c>
      <c r="AB116" s="81">
        <v>1E-8</v>
      </c>
      <c r="AC116" s="44"/>
      <c r="AD116" s="34"/>
      <c r="AE116" s="9" t="s">
        <v>676</v>
      </c>
      <c r="AF116" s="44"/>
      <c r="AG116" s="91" t="s">
        <v>573</v>
      </c>
      <c r="AH116" s="81">
        <v>0.11035608834405325</v>
      </c>
      <c r="AI116" s="82">
        <v>6.558569968886796</v>
      </c>
      <c r="AJ116" s="81">
        <v>1E-8</v>
      </c>
      <c r="AK116" s="81">
        <v>1E-8</v>
      </c>
      <c r="AL116" s="81">
        <v>1E-8</v>
      </c>
      <c r="AM116" s="81">
        <v>1E-8</v>
      </c>
      <c r="AN116" s="81">
        <v>1E-8</v>
      </c>
      <c r="AO116" s="81">
        <v>1E-8</v>
      </c>
      <c r="AP116" s="81">
        <v>1E-8</v>
      </c>
      <c r="AQ116" s="81">
        <v>1E-8</v>
      </c>
      <c r="AR116" s="44"/>
      <c r="AS116" s="34"/>
      <c r="AT116" s="9" t="s">
        <v>676</v>
      </c>
      <c r="AU116" s="44"/>
      <c r="AV116" s="91" t="s">
        <v>573</v>
      </c>
      <c r="AW116" s="81">
        <v>1E-8</v>
      </c>
      <c r="AX116" s="82">
        <v>1E-8</v>
      </c>
      <c r="AY116" s="81">
        <v>1E-8</v>
      </c>
      <c r="AZ116" s="81">
        <v>1E-8</v>
      </c>
      <c r="BA116" s="81">
        <v>1E-8</v>
      </c>
      <c r="BB116" s="81">
        <v>1E-8</v>
      </c>
      <c r="BC116" s="81">
        <v>1E-8</v>
      </c>
      <c r="BD116" s="81">
        <v>1E-8</v>
      </c>
      <c r="BE116" s="81">
        <v>1E-8</v>
      </c>
      <c r="BF116" s="81">
        <v>1E-8</v>
      </c>
      <c r="BG116" s="44"/>
      <c r="BH116" s="34"/>
      <c r="BI116" s="9" t="s">
        <v>676</v>
      </c>
      <c r="BJ116" s="44"/>
      <c r="BK116" s="91" t="s">
        <v>573</v>
      </c>
      <c r="BL116" s="81">
        <v>9.7931656265610581E-2</v>
      </c>
      <c r="BM116" s="82">
        <v>1E-8</v>
      </c>
      <c r="BN116" s="81">
        <v>1E-8</v>
      </c>
      <c r="BO116" s="81">
        <v>1E-8</v>
      </c>
      <c r="BP116" s="81">
        <v>1E-8</v>
      </c>
      <c r="BQ116" s="81">
        <v>1E-8</v>
      </c>
      <c r="BR116" s="81">
        <v>1E-8</v>
      </c>
      <c r="BS116" s="81">
        <v>1E-8</v>
      </c>
      <c r="BT116" s="81">
        <v>1E-8</v>
      </c>
      <c r="BU116" s="81">
        <v>1E-8</v>
      </c>
      <c r="BV116" s="44"/>
      <c r="BW116" s="34"/>
      <c r="BX116" s="9" t="s">
        <v>676</v>
      </c>
      <c r="BY116" s="44"/>
      <c r="BZ116" s="91" t="s">
        <v>573</v>
      </c>
      <c r="CA116" s="81">
        <v>1E-8</v>
      </c>
      <c r="CB116" s="82">
        <v>1E-8</v>
      </c>
      <c r="CC116" s="81">
        <v>1E-8</v>
      </c>
      <c r="CD116" s="81">
        <v>1E-8</v>
      </c>
      <c r="CE116" s="81">
        <v>1E-8</v>
      </c>
      <c r="CF116" s="81">
        <v>1E-8</v>
      </c>
      <c r="CG116" s="81">
        <v>1E-8</v>
      </c>
      <c r="CH116" s="81">
        <v>1E-8</v>
      </c>
      <c r="CI116" s="81">
        <v>1E-8</v>
      </c>
      <c r="CJ116" s="81">
        <v>1E-8</v>
      </c>
      <c r="CK116" s="44"/>
    </row>
    <row r="117" spans="1:89" x14ac:dyDescent="0.35">
      <c r="A117" s="11" t="s">
        <v>373</v>
      </c>
      <c r="B117" s="44"/>
      <c r="C117" s="90" t="s">
        <v>574</v>
      </c>
      <c r="D117" s="77">
        <v>3.0365706225661206</v>
      </c>
      <c r="E117" s="78">
        <v>-0.51095317562570575</v>
      </c>
      <c r="F117" s="77">
        <v>1E-8</v>
      </c>
      <c r="G117" s="77">
        <v>1E-8</v>
      </c>
      <c r="H117" s="77">
        <v>1E-8</v>
      </c>
      <c r="I117" s="77">
        <v>1E-8</v>
      </c>
      <c r="J117" s="77">
        <v>1E-8</v>
      </c>
      <c r="K117" s="77">
        <v>1E-8</v>
      </c>
      <c r="L117" s="77">
        <v>1E-8</v>
      </c>
      <c r="M117" s="77">
        <v>1E-8</v>
      </c>
      <c r="N117" s="44"/>
      <c r="O117" s="34"/>
      <c r="P117" s="11" t="s">
        <v>373</v>
      </c>
      <c r="Q117" s="44"/>
      <c r="R117" s="90" t="s">
        <v>574</v>
      </c>
      <c r="S117" s="77">
        <v>2.3954952975775416</v>
      </c>
      <c r="T117" s="78">
        <v>-0.61281467554226143</v>
      </c>
      <c r="U117" s="77">
        <v>1E-8</v>
      </c>
      <c r="V117" s="77">
        <v>1E-8</v>
      </c>
      <c r="W117" s="77">
        <v>1E-8</v>
      </c>
      <c r="X117" s="77">
        <v>1E-8</v>
      </c>
      <c r="Y117" s="77">
        <v>1E-8</v>
      </c>
      <c r="Z117" s="77">
        <v>1E-8</v>
      </c>
      <c r="AA117" s="77">
        <v>1E-8</v>
      </c>
      <c r="AB117" s="77">
        <v>1E-8</v>
      </c>
      <c r="AC117" s="44"/>
      <c r="AD117" s="34"/>
      <c r="AE117" s="11" t="s">
        <v>373</v>
      </c>
      <c r="AF117" s="44"/>
      <c r="AG117" s="90" t="s">
        <v>574</v>
      </c>
      <c r="AH117" s="77">
        <v>2.5900025042950405</v>
      </c>
      <c r="AI117" s="78">
        <v>6.558569968886796</v>
      </c>
      <c r="AJ117" s="77">
        <v>1E-8</v>
      </c>
      <c r="AK117" s="77">
        <v>1E-8</v>
      </c>
      <c r="AL117" s="77">
        <v>1E-8</v>
      </c>
      <c r="AM117" s="77">
        <v>1E-8</v>
      </c>
      <c r="AN117" s="77">
        <v>1E-8</v>
      </c>
      <c r="AO117" s="77">
        <v>1E-8</v>
      </c>
      <c r="AP117" s="77">
        <v>1E-8</v>
      </c>
      <c r="AQ117" s="77">
        <v>1E-8</v>
      </c>
      <c r="AR117" s="44"/>
      <c r="AS117" s="34"/>
      <c r="AT117" s="11" t="s">
        <v>373</v>
      </c>
      <c r="AU117" s="44"/>
      <c r="AV117" s="90" t="s">
        <v>574</v>
      </c>
      <c r="AW117" s="77">
        <v>0.66724568130129303</v>
      </c>
      <c r="AX117" s="78">
        <v>6.558569968886796</v>
      </c>
      <c r="AY117" s="77">
        <v>1E-8</v>
      </c>
      <c r="AZ117" s="77">
        <v>1E-8</v>
      </c>
      <c r="BA117" s="77">
        <v>1E-8</v>
      </c>
      <c r="BB117" s="77">
        <v>1E-8</v>
      </c>
      <c r="BC117" s="77">
        <v>1E-8</v>
      </c>
      <c r="BD117" s="77">
        <v>1E-8</v>
      </c>
      <c r="BE117" s="77">
        <v>1E-8</v>
      </c>
      <c r="BF117" s="77">
        <v>1E-8</v>
      </c>
      <c r="BG117" s="44"/>
      <c r="BH117" s="34"/>
      <c r="BI117" s="11" t="s">
        <v>373</v>
      </c>
      <c r="BJ117" s="44"/>
      <c r="BK117" s="90" t="s">
        <v>574</v>
      </c>
      <c r="BL117" s="77">
        <v>2.2984072631037629</v>
      </c>
      <c r="BM117" s="78">
        <v>1E-8</v>
      </c>
      <c r="BN117" s="77">
        <v>1E-8</v>
      </c>
      <c r="BO117" s="77">
        <v>1E-8</v>
      </c>
      <c r="BP117" s="77">
        <v>1E-8</v>
      </c>
      <c r="BQ117" s="77">
        <v>1E-8</v>
      </c>
      <c r="BR117" s="77">
        <v>1E-8</v>
      </c>
      <c r="BS117" s="77">
        <v>1E-8</v>
      </c>
      <c r="BT117" s="77">
        <v>1E-8</v>
      </c>
      <c r="BU117" s="77">
        <v>1E-8</v>
      </c>
      <c r="BV117" s="44"/>
      <c r="BW117" s="34"/>
      <c r="BX117" s="11" t="s">
        <v>373</v>
      </c>
      <c r="BY117" s="44"/>
      <c r="BZ117" s="90" t="s">
        <v>574</v>
      </c>
      <c r="CA117" s="77">
        <v>0.83835349783865154</v>
      </c>
      <c r="CB117" s="78">
        <v>1E-8</v>
      </c>
      <c r="CC117" s="77">
        <v>1E-8</v>
      </c>
      <c r="CD117" s="77">
        <v>1E-8</v>
      </c>
      <c r="CE117" s="77">
        <v>1E-8</v>
      </c>
      <c r="CF117" s="77">
        <v>1E-8</v>
      </c>
      <c r="CG117" s="77">
        <v>1E-8</v>
      </c>
      <c r="CH117" s="77">
        <v>1E-8</v>
      </c>
      <c r="CI117" s="77">
        <v>1E-8</v>
      </c>
      <c r="CJ117" s="77">
        <v>1E-8</v>
      </c>
      <c r="CK117" s="44"/>
    </row>
    <row r="118" spans="1:89" x14ac:dyDescent="0.35">
      <c r="A118" s="9" t="s">
        <v>677</v>
      </c>
      <c r="B118" s="44"/>
      <c r="C118" s="91" t="s">
        <v>575</v>
      </c>
      <c r="D118" s="79">
        <v>1.0996070501346205</v>
      </c>
      <c r="E118" s="80">
        <v>-0.16691561312063286</v>
      </c>
      <c r="F118" s="79">
        <v>1E-8</v>
      </c>
      <c r="G118" s="79">
        <v>1E-8</v>
      </c>
      <c r="H118" s="79">
        <v>1E-8</v>
      </c>
      <c r="I118" s="79">
        <v>1E-8</v>
      </c>
      <c r="J118" s="79">
        <v>1E-8</v>
      </c>
      <c r="K118" s="79">
        <v>1E-8</v>
      </c>
      <c r="L118" s="79">
        <v>1E-8</v>
      </c>
      <c r="M118" s="79">
        <v>1E-8</v>
      </c>
      <c r="N118" s="44"/>
      <c r="O118" s="34"/>
      <c r="P118" s="9" t="s">
        <v>677</v>
      </c>
      <c r="Q118" s="44"/>
      <c r="R118" s="91" t="s">
        <v>575</v>
      </c>
      <c r="S118" s="79">
        <v>0.79368931809817922</v>
      </c>
      <c r="T118" s="80">
        <v>-0.67795590611388068</v>
      </c>
      <c r="U118" s="79">
        <v>1E-8</v>
      </c>
      <c r="V118" s="79">
        <v>1E-8</v>
      </c>
      <c r="W118" s="79">
        <v>1E-8</v>
      </c>
      <c r="X118" s="79">
        <v>1E-8</v>
      </c>
      <c r="Y118" s="79">
        <v>1E-8</v>
      </c>
      <c r="Z118" s="79">
        <v>1E-8</v>
      </c>
      <c r="AA118" s="79">
        <v>1E-8</v>
      </c>
      <c r="AB118" s="79">
        <v>1E-8</v>
      </c>
      <c r="AC118" s="44"/>
      <c r="AD118" s="34"/>
      <c r="AE118" s="9" t="s">
        <v>677</v>
      </c>
      <c r="AF118" s="44"/>
      <c r="AG118" s="91" t="s">
        <v>575</v>
      </c>
      <c r="AH118" s="79">
        <v>2.4853644407447981</v>
      </c>
      <c r="AI118" s="80">
        <v>6.558569968886796</v>
      </c>
      <c r="AJ118" s="79">
        <v>1E-8</v>
      </c>
      <c r="AK118" s="79">
        <v>1E-8</v>
      </c>
      <c r="AL118" s="79">
        <v>1E-8</v>
      </c>
      <c r="AM118" s="79">
        <v>1E-8</v>
      </c>
      <c r="AN118" s="79">
        <v>1E-8</v>
      </c>
      <c r="AO118" s="79">
        <v>1E-8</v>
      </c>
      <c r="AP118" s="79">
        <v>1E-8</v>
      </c>
      <c r="AQ118" s="79">
        <v>1E-8</v>
      </c>
      <c r="AR118" s="44"/>
      <c r="AS118" s="34"/>
      <c r="AT118" s="9" t="s">
        <v>677</v>
      </c>
      <c r="AU118" s="44"/>
      <c r="AV118" s="91" t="s">
        <v>575</v>
      </c>
      <c r="AW118" s="79">
        <v>0.52450447652636722</v>
      </c>
      <c r="AX118" s="80">
        <v>6.558569968886796</v>
      </c>
      <c r="AY118" s="79">
        <v>1E-8</v>
      </c>
      <c r="AZ118" s="79">
        <v>1E-8</v>
      </c>
      <c r="BA118" s="79">
        <v>1E-8</v>
      </c>
      <c r="BB118" s="79">
        <v>1E-8</v>
      </c>
      <c r="BC118" s="79">
        <v>1E-8</v>
      </c>
      <c r="BD118" s="79">
        <v>1E-8</v>
      </c>
      <c r="BE118" s="79">
        <v>1E-8</v>
      </c>
      <c r="BF118" s="79">
        <v>1E-8</v>
      </c>
      <c r="BG118" s="44"/>
      <c r="BH118" s="34"/>
      <c r="BI118" s="9" t="s">
        <v>677</v>
      </c>
      <c r="BJ118" s="44"/>
      <c r="BK118" s="91" t="s">
        <v>575</v>
      </c>
      <c r="BL118" s="79">
        <v>2.205549868231687</v>
      </c>
      <c r="BM118" s="80">
        <v>1E-8</v>
      </c>
      <c r="BN118" s="79">
        <v>1E-8</v>
      </c>
      <c r="BO118" s="79">
        <v>1E-8</v>
      </c>
      <c r="BP118" s="79">
        <v>1E-8</v>
      </c>
      <c r="BQ118" s="79">
        <v>1E-8</v>
      </c>
      <c r="BR118" s="79">
        <v>1E-8</v>
      </c>
      <c r="BS118" s="79">
        <v>1E-8</v>
      </c>
      <c r="BT118" s="79">
        <v>1E-8</v>
      </c>
      <c r="BU118" s="79">
        <v>1E-8</v>
      </c>
      <c r="BV118" s="44"/>
      <c r="BW118" s="34"/>
      <c r="BX118" s="9" t="s">
        <v>677</v>
      </c>
      <c r="BY118" s="44"/>
      <c r="BZ118" s="91" t="s">
        <v>575</v>
      </c>
      <c r="CA118" s="79">
        <v>0.65900788098073326</v>
      </c>
      <c r="CB118" s="80">
        <v>1E-8</v>
      </c>
      <c r="CC118" s="79">
        <v>1E-8</v>
      </c>
      <c r="CD118" s="79">
        <v>1E-8</v>
      </c>
      <c r="CE118" s="79">
        <v>1E-8</v>
      </c>
      <c r="CF118" s="79">
        <v>1E-8</v>
      </c>
      <c r="CG118" s="79">
        <v>1E-8</v>
      </c>
      <c r="CH118" s="79">
        <v>1E-8</v>
      </c>
      <c r="CI118" s="79">
        <v>1E-8</v>
      </c>
      <c r="CJ118" s="79">
        <v>1E-8</v>
      </c>
      <c r="CK118" s="44"/>
    </row>
    <row r="119" spans="1:89" x14ac:dyDescent="0.35">
      <c r="A119" s="9" t="s">
        <v>678</v>
      </c>
      <c r="B119" s="44"/>
      <c r="C119" s="91" t="s">
        <v>576</v>
      </c>
      <c r="D119" s="79">
        <v>0.46241348504231</v>
      </c>
      <c r="E119" s="80">
        <v>-0.76174637942082457</v>
      </c>
      <c r="F119" s="79">
        <v>1E-8</v>
      </c>
      <c r="G119" s="79">
        <v>1E-8</v>
      </c>
      <c r="H119" s="79">
        <v>1E-8</v>
      </c>
      <c r="I119" s="79">
        <v>1E-8</v>
      </c>
      <c r="J119" s="79">
        <v>1E-8</v>
      </c>
      <c r="K119" s="79">
        <v>1E-8</v>
      </c>
      <c r="L119" s="79">
        <v>1E-8</v>
      </c>
      <c r="M119" s="79">
        <v>1E-8</v>
      </c>
      <c r="N119" s="44"/>
      <c r="O119" s="34"/>
      <c r="P119" s="9" t="s">
        <v>678</v>
      </c>
      <c r="Q119" s="44"/>
      <c r="R119" s="91" t="s">
        <v>576</v>
      </c>
      <c r="S119" s="79">
        <v>0.42583410137217853</v>
      </c>
      <c r="T119" s="80">
        <v>-0.31006952620765693</v>
      </c>
      <c r="U119" s="79">
        <v>1E-8</v>
      </c>
      <c r="V119" s="79">
        <v>1E-8</v>
      </c>
      <c r="W119" s="79">
        <v>1E-8</v>
      </c>
      <c r="X119" s="79">
        <v>1E-8</v>
      </c>
      <c r="Y119" s="79">
        <v>1E-8</v>
      </c>
      <c r="Z119" s="79">
        <v>1E-8</v>
      </c>
      <c r="AA119" s="79">
        <v>1E-8</v>
      </c>
      <c r="AB119" s="79">
        <v>1E-8</v>
      </c>
      <c r="AC119" s="44"/>
      <c r="AD119" s="34"/>
      <c r="AE119" s="9" t="s">
        <v>678</v>
      </c>
      <c r="AF119" s="44"/>
      <c r="AG119" s="91" t="s">
        <v>576</v>
      </c>
      <c r="AH119" s="79">
        <v>0.10463806355024233</v>
      </c>
      <c r="AI119" s="80">
        <v>6.558569968886796</v>
      </c>
      <c r="AJ119" s="79">
        <v>1E-8</v>
      </c>
      <c r="AK119" s="79">
        <v>1E-8</v>
      </c>
      <c r="AL119" s="79">
        <v>1E-8</v>
      </c>
      <c r="AM119" s="79">
        <v>1E-8</v>
      </c>
      <c r="AN119" s="79">
        <v>1E-8</v>
      </c>
      <c r="AO119" s="79">
        <v>1E-8</v>
      </c>
      <c r="AP119" s="79">
        <v>1E-8</v>
      </c>
      <c r="AQ119" s="79">
        <v>1E-8</v>
      </c>
      <c r="AR119" s="44"/>
      <c r="AS119" s="34"/>
      <c r="AT119" s="9" t="s">
        <v>678</v>
      </c>
      <c r="AU119" s="44"/>
      <c r="AV119" s="91" t="s">
        <v>576</v>
      </c>
      <c r="AW119" s="79">
        <v>0.14274120477492594</v>
      </c>
      <c r="AX119" s="80">
        <v>6.558569968886796</v>
      </c>
      <c r="AY119" s="79">
        <v>1E-8</v>
      </c>
      <c r="AZ119" s="79">
        <v>1E-8</v>
      </c>
      <c r="BA119" s="79">
        <v>1E-8</v>
      </c>
      <c r="BB119" s="79">
        <v>1E-8</v>
      </c>
      <c r="BC119" s="79">
        <v>1E-8</v>
      </c>
      <c r="BD119" s="79">
        <v>1E-8</v>
      </c>
      <c r="BE119" s="79">
        <v>1E-8</v>
      </c>
      <c r="BF119" s="79">
        <v>1E-8</v>
      </c>
      <c r="BG119" s="44"/>
      <c r="BH119" s="34"/>
      <c r="BI119" s="9" t="s">
        <v>678</v>
      </c>
      <c r="BJ119" s="44"/>
      <c r="BK119" s="91" t="s">
        <v>576</v>
      </c>
      <c r="BL119" s="79">
        <v>9.2857394872075921E-2</v>
      </c>
      <c r="BM119" s="80">
        <v>1E-8</v>
      </c>
      <c r="BN119" s="79">
        <v>1E-8</v>
      </c>
      <c r="BO119" s="79">
        <v>1E-8</v>
      </c>
      <c r="BP119" s="79">
        <v>1E-8</v>
      </c>
      <c r="BQ119" s="79">
        <v>1E-8</v>
      </c>
      <c r="BR119" s="79">
        <v>1E-8</v>
      </c>
      <c r="BS119" s="79">
        <v>1E-8</v>
      </c>
      <c r="BT119" s="79">
        <v>1E-8</v>
      </c>
      <c r="BU119" s="79">
        <v>1E-8</v>
      </c>
      <c r="BV119" s="44"/>
      <c r="BW119" s="34"/>
      <c r="BX119" s="9" t="s">
        <v>678</v>
      </c>
      <c r="BY119" s="44"/>
      <c r="BZ119" s="91" t="s">
        <v>576</v>
      </c>
      <c r="CA119" s="79">
        <v>0.17934561685791836</v>
      </c>
      <c r="CB119" s="80">
        <v>1E-8</v>
      </c>
      <c r="CC119" s="79">
        <v>1E-8</v>
      </c>
      <c r="CD119" s="79">
        <v>1E-8</v>
      </c>
      <c r="CE119" s="79">
        <v>1E-8</v>
      </c>
      <c r="CF119" s="79">
        <v>1E-8</v>
      </c>
      <c r="CG119" s="79">
        <v>1E-8</v>
      </c>
      <c r="CH119" s="79">
        <v>1E-8</v>
      </c>
      <c r="CI119" s="79">
        <v>1E-8</v>
      </c>
      <c r="CJ119" s="79">
        <v>1E-8</v>
      </c>
      <c r="CK119" s="44"/>
    </row>
    <row r="120" spans="1:89" x14ac:dyDescent="0.35">
      <c r="A120" s="9" t="s">
        <v>679</v>
      </c>
      <c r="B120" s="44"/>
      <c r="C120" s="91" t="s">
        <v>577</v>
      </c>
      <c r="D120" s="79">
        <v>1.4745500873891901</v>
      </c>
      <c r="E120" s="80">
        <v>-0.68886233726996871</v>
      </c>
      <c r="F120" s="79">
        <v>1E-8</v>
      </c>
      <c r="G120" s="79">
        <v>1E-8</v>
      </c>
      <c r="H120" s="79">
        <v>1E-8</v>
      </c>
      <c r="I120" s="79">
        <v>1E-8</v>
      </c>
      <c r="J120" s="79">
        <v>1E-8</v>
      </c>
      <c r="K120" s="79">
        <v>1E-8</v>
      </c>
      <c r="L120" s="79">
        <v>1E-8</v>
      </c>
      <c r="M120" s="79">
        <v>1E-8</v>
      </c>
      <c r="N120" s="44"/>
      <c r="O120" s="34"/>
      <c r="P120" s="9" t="s">
        <v>679</v>
      </c>
      <c r="Q120" s="44"/>
      <c r="R120" s="91" t="s">
        <v>577</v>
      </c>
      <c r="S120" s="79">
        <v>1.1759718781071837</v>
      </c>
      <c r="T120" s="80">
        <v>-0.68886233726997981</v>
      </c>
      <c r="U120" s="79">
        <v>1E-8</v>
      </c>
      <c r="V120" s="79">
        <v>1E-8</v>
      </c>
      <c r="W120" s="79">
        <v>1E-8</v>
      </c>
      <c r="X120" s="79">
        <v>1E-8</v>
      </c>
      <c r="Y120" s="79">
        <v>1E-8</v>
      </c>
      <c r="Z120" s="79">
        <v>1E-8</v>
      </c>
      <c r="AA120" s="79">
        <v>1E-8</v>
      </c>
      <c r="AB120" s="79">
        <v>1E-8</v>
      </c>
      <c r="AC120" s="44"/>
      <c r="AD120" s="34"/>
      <c r="AE120" s="9" t="s">
        <v>679</v>
      </c>
      <c r="AF120" s="44"/>
      <c r="AG120" s="91" t="s">
        <v>577</v>
      </c>
      <c r="AH120" s="79">
        <v>1E-8</v>
      </c>
      <c r="AI120" s="80">
        <v>1E-8</v>
      </c>
      <c r="AJ120" s="79">
        <v>1E-8</v>
      </c>
      <c r="AK120" s="79">
        <v>1E-8</v>
      </c>
      <c r="AL120" s="79">
        <v>1E-8</v>
      </c>
      <c r="AM120" s="79">
        <v>1E-8</v>
      </c>
      <c r="AN120" s="79">
        <v>1E-8</v>
      </c>
      <c r="AO120" s="79">
        <v>1E-8</v>
      </c>
      <c r="AP120" s="79">
        <v>1E-8</v>
      </c>
      <c r="AQ120" s="79">
        <v>1E-8</v>
      </c>
      <c r="AR120" s="44"/>
      <c r="AS120" s="34"/>
      <c r="AT120" s="9" t="s">
        <v>679</v>
      </c>
      <c r="AU120" s="44"/>
      <c r="AV120" s="91" t="s">
        <v>577</v>
      </c>
      <c r="AW120" s="79">
        <v>1E-8</v>
      </c>
      <c r="AX120" s="80">
        <v>1E-8</v>
      </c>
      <c r="AY120" s="79">
        <v>1E-8</v>
      </c>
      <c r="AZ120" s="79">
        <v>1E-8</v>
      </c>
      <c r="BA120" s="79">
        <v>1E-8</v>
      </c>
      <c r="BB120" s="79">
        <v>1E-8</v>
      </c>
      <c r="BC120" s="79">
        <v>1E-8</v>
      </c>
      <c r="BD120" s="79">
        <v>1E-8</v>
      </c>
      <c r="BE120" s="79">
        <v>1E-8</v>
      </c>
      <c r="BF120" s="79">
        <v>1E-8</v>
      </c>
      <c r="BG120" s="44"/>
      <c r="BH120" s="34"/>
      <c r="BI120" s="9" t="s">
        <v>679</v>
      </c>
      <c r="BJ120" s="44"/>
      <c r="BK120" s="91" t="s">
        <v>577</v>
      </c>
      <c r="BL120" s="79">
        <v>1E-8</v>
      </c>
      <c r="BM120" s="80">
        <v>1E-8</v>
      </c>
      <c r="BN120" s="79">
        <v>1E-8</v>
      </c>
      <c r="BO120" s="79">
        <v>1E-8</v>
      </c>
      <c r="BP120" s="79">
        <v>1E-8</v>
      </c>
      <c r="BQ120" s="79">
        <v>1E-8</v>
      </c>
      <c r="BR120" s="79">
        <v>1E-8</v>
      </c>
      <c r="BS120" s="79">
        <v>1E-8</v>
      </c>
      <c r="BT120" s="79">
        <v>1E-8</v>
      </c>
      <c r="BU120" s="79">
        <v>1E-8</v>
      </c>
      <c r="BV120" s="44"/>
      <c r="BW120" s="34"/>
      <c r="BX120" s="9" t="s">
        <v>679</v>
      </c>
      <c r="BY120" s="44"/>
      <c r="BZ120" s="91" t="s">
        <v>577</v>
      </c>
      <c r="CA120" s="79">
        <v>1E-8</v>
      </c>
      <c r="CB120" s="80">
        <v>1E-8</v>
      </c>
      <c r="CC120" s="79">
        <v>1E-8</v>
      </c>
      <c r="CD120" s="79">
        <v>1E-8</v>
      </c>
      <c r="CE120" s="79">
        <v>1E-8</v>
      </c>
      <c r="CF120" s="79">
        <v>1E-8</v>
      </c>
      <c r="CG120" s="79">
        <v>1E-8</v>
      </c>
      <c r="CH120" s="79">
        <v>1E-8</v>
      </c>
      <c r="CI120" s="79">
        <v>1E-8</v>
      </c>
      <c r="CJ120" s="79">
        <v>1E-8</v>
      </c>
      <c r="CK120" s="44"/>
    </row>
    <row r="121" spans="1:89" x14ac:dyDescent="0.35">
      <c r="A121" s="11" t="s">
        <v>195</v>
      </c>
      <c r="B121" s="44"/>
      <c r="C121" s="90" t="s">
        <v>578</v>
      </c>
      <c r="D121" s="77">
        <v>5.7162273716927361</v>
      </c>
      <c r="E121" s="78">
        <v>-1.9176891205995417</v>
      </c>
      <c r="F121" s="77">
        <v>1E-8</v>
      </c>
      <c r="G121" s="77">
        <v>1E-8</v>
      </c>
      <c r="H121" s="77">
        <v>1E-8</v>
      </c>
      <c r="I121" s="77">
        <v>1E-8</v>
      </c>
      <c r="J121" s="77">
        <v>1E-8</v>
      </c>
      <c r="K121" s="77">
        <v>1E-8</v>
      </c>
      <c r="L121" s="77">
        <v>1E-8</v>
      </c>
      <c r="M121" s="77">
        <v>1E-8</v>
      </c>
      <c r="N121" s="44"/>
      <c r="O121" s="34"/>
      <c r="P121" s="11" t="s">
        <v>195</v>
      </c>
      <c r="Q121" s="44"/>
      <c r="R121" s="90" t="s">
        <v>578</v>
      </c>
      <c r="S121" s="77">
        <v>4.4336488761297801</v>
      </c>
      <c r="T121" s="78">
        <v>-1.9488000334541566</v>
      </c>
      <c r="U121" s="77">
        <v>1E-8</v>
      </c>
      <c r="V121" s="77">
        <v>1E-8</v>
      </c>
      <c r="W121" s="77">
        <v>1E-8</v>
      </c>
      <c r="X121" s="77">
        <v>1E-8</v>
      </c>
      <c r="Y121" s="77">
        <v>1E-8</v>
      </c>
      <c r="Z121" s="77">
        <v>1E-8</v>
      </c>
      <c r="AA121" s="77">
        <v>1E-8</v>
      </c>
      <c r="AB121" s="77">
        <v>1E-8</v>
      </c>
      <c r="AC121" s="44"/>
      <c r="AD121" s="34"/>
      <c r="AE121" s="11" t="s">
        <v>195</v>
      </c>
      <c r="AF121" s="44"/>
      <c r="AG121" s="90" t="s">
        <v>578</v>
      </c>
      <c r="AH121" s="77">
        <v>1E-8</v>
      </c>
      <c r="AI121" s="78">
        <v>1E-8</v>
      </c>
      <c r="AJ121" s="77">
        <v>1E-8</v>
      </c>
      <c r="AK121" s="77">
        <v>1E-8</v>
      </c>
      <c r="AL121" s="77">
        <v>1E-8</v>
      </c>
      <c r="AM121" s="77">
        <v>1E-8</v>
      </c>
      <c r="AN121" s="77">
        <v>1E-8</v>
      </c>
      <c r="AO121" s="77">
        <v>1E-8</v>
      </c>
      <c r="AP121" s="77">
        <v>1E-8</v>
      </c>
      <c r="AQ121" s="77">
        <v>1E-8</v>
      </c>
      <c r="AR121" s="44"/>
      <c r="AS121" s="34"/>
      <c r="AT121" s="11" t="s">
        <v>195</v>
      </c>
      <c r="AU121" s="44"/>
      <c r="AV121" s="90" t="s">
        <v>578</v>
      </c>
      <c r="AW121" s="77">
        <v>1E-8</v>
      </c>
      <c r="AX121" s="78">
        <v>1E-8</v>
      </c>
      <c r="AY121" s="77">
        <v>1E-8</v>
      </c>
      <c r="AZ121" s="77">
        <v>1E-8</v>
      </c>
      <c r="BA121" s="77">
        <v>1E-8</v>
      </c>
      <c r="BB121" s="77">
        <v>1E-8</v>
      </c>
      <c r="BC121" s="77">
        <v>1E-8</v>
      </c>
      <c r="BD121" s="77">
        <v>1E-8</v>
      </c>
      <c r="BE121" s="77">
        <v>1E-8</v>
      </c>
      <c r="BF121" s="77">
        <v>1E-8</v>
      </c>
      <c r="BG121" s="44"/>
      <c r="BH121" s="34"/>
      <c r="BI121" s="11" t="s">
        <v>195</v>
      </c>
      <c r="BJ121" s="44"/>
      <c r="BK121" s="90" t="s">
        <v>578</v>
      </c>
      <c r="BL121" s="77">
        <v>1E-8</v>
      </c>
      <c r="BM121" s="78">
        <v>1E-8</v>
      </c>
      <c r="BN121" s="77">
        <v>1E-8</v>
      </c>
      <c r="BO121" s="77">
        <v>1E-8</v>
      </c>
      <c r="BP121" s="77">
        <v>1E-8</v>
      </c>
      <c r="BQ121" s="77">
        <v>1E-8</v>
      </c>
      <c r="BR121" s="77">
        <v>1E-8</v>
      </c>
      <c r="BS121" s="77">
        <v>1E-8</v>
      </c>
      <c r="BT121" s="77">
        <v>1E-8</v>
      </c>
      <c r="BU121" s="77">
        <v>1E-8</v>
      </c>
      <c r="BV121" s="44"/>
      <c r="BW121" s="34"/>
      <c r="BX121" s="11" t="s">
        <v>195</v>
      </c>
      <c r="BY121" s="44"/>
      <c r="BZ121" s="90" t="s">
        <v>578</v>
      </c>
      <c r="CA121" s="77">
        <v>1E-8</v>
      </c>
      <c r="CB121" s="78">
        <v>1E-8</v>
      </c>
      <c r="CC121" s="77">
        <v>1E-8</v>
      </c>
      <c r="CD121" s="77">
        <v>1E-8</v>
      </c>
      <c r="CE121" s="77">
        <v>1E-8</v>
      </c>
      <c r="CF121" s="77">
        <v>1E-8</v>
      </c>
      <c r="CG121" s="77">
        <v>1E-8</v>
      </c>
      <c r="CH121" s="77">
        <v>1E-8</v>
      </c>
      <c r="CI121" s="77">
        <v>1E-8</v>
      </c>
      <c r="CJ121" s="77">
        <v>1E-8</v>
      </c>
      <c r="CK121" s="44"/>
    </row>
    <row r="122" spans="1:89" x14ac:dyDescent="0.35">
      <c r="A122" s="9" t="s">
        <v>680</v>
      </c>
      <c r="B122" s="44"/>
      <c r="C122" s="91" t="s">
        <v>579</v>
      </c>
      <c r="D122" s="79">
        <v>3.9295480463305119</v>
      </c>
      <c r="E122" s="80">
        <v>-0.71198090995739927</v>
      </c>
      <c r="F122" s="79">
        <v>1E-8</v>
      </c>
      <c r="G122" s="79">
        <v>1E-8</v>
      </c>
      <c r="H122" s="79">
        <v>1E-8</v>
      </c>
      <c r="I122" s="79">
        <v>1E-8</v>
      </c>
      <c r="J122" s="79">
        <v>1E-8</v>
      </c>
      <c r="K122" s="79">
        <v>1E-8</v>
      </c>
      <c r="L122" s="79">
        <v>1E-8</v>
      </c>
      <c r="M122" s="79">
        <v>1E-8</v>
      </c>
      <c r="N122" s="44"/>
      <c r="O122" s="34"/>
      <c r="P122" s="9" t="s">
        <v>680</v>
      </c>
      <c r="Q122" s="44"/>
      <c r="R122" s="91" t="s">
        <v>579</v>
      </c>
      <c r="S122" s="79">
        <v>3.0300380135829337</v>
      </c>
      <c r="T122" s="80">
        <v>-0.71198090995741037</v>
      </c>
      <c r="U122" s="79">
        <v>1E-8</v>
      </c>
      <c r="V122" s="79">
        <v>1E-8</v>
      </c>
      <c r="W122" s="79">
        <v>1E-8</v>
      </c>
      <c r="X122" s="79">
        <v>1E-8</v>
      </c>
      <c r="Y122" s="79">
        <v>1E-8</v>
      </c>
      <c r="Z122" s="79">
        <v>1E-8</v>
      </c>
      <c r="AA122" s="79">
        <v>1E-8</v>
      </c>
      <c r="AB122" s="79">
        <v>1E-8</v>
      </c>
      <c r="AC122" s="44"/>
      <c r="AD122" s="34"/>
      <c r="AE122" s="9" t="s">
        <v>680</v>
      </c>
      <c r="AF122" s="44"/>
      <c r="AG122" s="91" t="s">
        <v>579</v>
      </c>
      <c r="AH122" s="79">
        <v>1E-8</v>
      </c>
      <c r="AI122" s="80">
        <v>1E-8</v>
      </c>
      <c r="AJ122" s="79">
        <v>1E-8</v>
      </c>
      <c r="AK122" s="79">
        <v>1E-8</v>
      </c>
      <c r="AL122" s="79">
        <v>1E-8</v>
      </c>
      <c r="AM122" s="79">
        <v>1E-8</v>
      </c>
      <c r="AN122" s="79">
        <v>1E-8</v>
      </c>
      <c r="AO122" s="79">
        <v>1E-8</v>
      </c>
      <c r="AP122" s="79">
        <v>1E-8</v>
      </c>
      <c r="AQ122" s="79">
        <v>1E-8</v>
      </c>
      <c r="AR122" s="44"/>
      <c r="AS122" s="34"/>
      <c r="AT122" s="9" t="s">
        <v>680</v>
      </c>
      <c r="AU122" s="44"/>
      <c r="AV122" s="91" t="s">
        <v>579</v>
      </c>
      <c r="AW122" s="79">
        <v>1E-8</v>
      </c>
      <c r="AX122" s="80">
        <v>1E-8</v>
      </c>
      <c r="AY122" s="79">
        <v>1E-8</v>
      </c>
      <c r="AZ122" s="79">
        <v>1E-8</v>
      </c>
      <c r="BA122" s="79">
        <v>1E-8</v>
      </c>
      <c r="BB122" s="79">
        <v>1E-8</v>
      </c>
      <c r="BC122" s="79">
        <v>1E-8</v>
      </c>
      <c r="BD122" s="79">
        <v>1E-8</v>
      </c>
      <c r="BE122" s="79">
        <v>1E-8</v>
      </c>
      <c r="BF122" s="79">
        <v>1E-8</v>
      </c>
      <c r="BG122" s="44"/>
      <c r="BH122" s="34"/>
      <c r="BI122" s="9" t="s">
        <v>680</v>
      </c>
      <c r="BJ122" s="44"/>
      <c r="BK122" s="91" t="s">
        <v>579</v>
      </c>
      <c r="BL122" s="79">
        <v>1E-8</v>
      </c>
      <c r="BM122" s="80">
        <v>1E-8</v>
      </c>
      <c r="BN122" s="79">
        <v>1E-8</v>
      </c>
      <c r="BO122" s="79">
        <v>1E-8</v>
      </c>
      <c r="BP122" s="79">
        <v>1E-8</v>
      </c>
      <c r="BQ122" s="79">
        <v>1E-8</v>
      </c>
      <c r="BR122" s="79">
        <v>1E-8</v>
      </c>
      <c r="BS122" s="79">
        <v>1E-8</v>
      </c>
      <c r="BT122" s="79">
        <v>1E-8</v>
      </c>
      <c r="BU122" s="79">
        <v>1E-8</v>
      </c>
      <c r="BV122" s="44"/>
      <c r="BW122" s="34"/>
      <c r="BX122" s="9" t="s">
        <v>680</v>
      </c>
      <c r="BY122" s="44"/>
      <c r="BZ122" s="91" t="s">
        <v>579</v>
      </c>
      <c r="CA122" s="79">
        <v>1E-8</v>
      </c>
      <c r="CB122" s="80">
        <v>1E-8</v>
      </c>
      <c r="CC122" s="79">
        <v>1E-8</v>
      </c>
      <c r="CD122" s="79">
        <v>1E-8</v>
      </c>
      <c r="CE122" s="79">
        <v>1E-8</v>
      </c>
      <c r="CF122" s="79">
        <v>1E-8</v>
      </c>
      <c r="CG122" s="79">
        <v>1E-8</v>
      </c>
      <c r="CH122" s="79">
        <v>1E-8</v>
      </c>
      <c r="CI122" s="79">
        <v>1E-8</v>
      </c>
      <c r="CJ122" s="79">
        <v>1E-8</v>
      </c>
      <c r="CK122" s="44"/>
    </row>
    <row r="123" spans="1:89" x14ac:dyDescent="0.35">
      <c r="A123" s="9" t="s">
        <v>681</v>
      </c>
      <c r="B123" s="44"/>
      <c r="C123" s="91" t="s">
        <v>357</v>
      </c>
      <c r="D123" s="79">
        <v>1.7866793253622244</v>
      </c>
      <c r="E123" s="80">
        <v>-4.5694735098396162</v>
      </c>
      <c r="F123" s="79">
        <v>1E-8</v>
      </c>
      <c r="G123" s="79">
        <v>1E-8</v>
      </c>
      <c r="H123" s="79">
        <v>1E-8</v>
      </c>
      <c r="I123" s="79">
        <v>1E-8</v>
      </c>
      <c r="J123" s="79">
        <v>1E-8</v>
      </c>
      <c r="K123" s="79">
        <v>1E-8</v>
      </c>
      <c r="L123" s="79">
        <v>1E-8</v>
      </c>
      <c r="M123" s="79">
        <v>1E-8</v>
      </c>
      <c r="N123" s="44"/>
      <c r="O123" s="34"/>
      <c r="P123" s="9" t="s">
        <v>681</v>
      </c>
      <c r="Q123" s="44"/>
      <c r="R123" s="91" t="s">
        <v>357</v>
      </c>
      <c r="S123" s="79">
        <v>1.4036108625468466</v>
      </c>
      <c r="T123" s="80">
        <v>-4.5694735098396055</v>
      </c>
      <c r="U123" s="79">
        <v>1E-8</v>
      </c>
      <c r="V123" s="79">
        <v>1E-8</v>
      </c>
      <c r="W123" s="79">
        <v>1E-8</v>
      </c>
      <c r="X123" s="79">
        <v>1E-8</v>
      </c>
      <c r="Y123" s="79">
        <v>1E-8</v>
      </c>
      <c r="Z123" s="79">
        <v>1E-8</v>
      </c>
      <c r="AA123" s="79">
        <v>1E-8</v>
      </c>
      <c r="AB123" s="79">
        <v>1E-8</v>
      </c>
      <c r="AC123" s="44"/>
      <c r="AD123" s="34"/>
      <c r="AE123" s="9" t="s">
        <v>681</v>
      </c>
      <c r="AF123" s="44"/>
      <c r="AG123" s="91" t="s">
        <v>357</v>
      </c>
      <c r="AH123" s="79">
        <v>1E-8</v>
      </c>
      <c r="AI123" s="80">
        <v>1E-8</v>
      </c>
      <c r="AJ123" s="79">
        <v>1E-8</v>
      </c>
      <c r="AK123" s="79">
        <v>1E-8</v>
      </c>
      <c r="AL123" s="79">
        <v>1E-8</v>
      </c>
      <c r="AM123" s="79">
        <v>1E-8</v>
      </c>
      <c r="AN123" s="79">
        <v>1E-8</v>
      </c>
      <c r="AO123" s="79">
        <v>1E-8</v>
      </c>
      <c r="AP123" s="79">
        <v>1E-8</v>
      </c>
      <c r="AQ123" s="79">
        <v>1E-8</v>
      </c>
      <c r="AR123" s="44"/>
      <c r="AS123" s="34"/>
      <c r="AT123" s="9" t="s">
        <v>681</v>
      </c>
      <c r="AU123" s="44"/>
      <c r="AV123" s="91" t="s">
        <v>357</v>
      </c>
      <c r="AW123" s="79">
        <v>1E-8</v>
      </c>
      <c r="AX123" s="80">
        <v>1E-8</v>
      </c>
      <c r="AY123" s="79">
        <v>1E-8</v>
      </c>
      <c r="AZ123" s="79">
        <v>1E-8</v>
      </c>
      <c r="BA123" s="79">
        <v>1E-8</v>
      </c>
      <c r="BB123" s="79">
        <v>1E-8</v>
      </c>
      <c r="BC123" s="79">
        <v>1E-8</v>
      </c>
      <c r="BD123" s="79">
        <v>1E-8</v>
      </c>
      <c r="BE123" s="79">
        <v>1E-8</v>
      </c>
      <c r="BF123" s="79">
        <v>1E-8</v>
      </c>
      <c r="BG123" s="44"/>
      <c r="BH123" s="34"/>
      <c r="BI123" s="9" t="s">
        <v>681</v>
      </c>
      <c r="BJ123" s="44"/>
      <c r="BK123" s="91" t="s">
        <v>357</v>
      </c>
      <c r="BL123" s="79">
        <v>1E-8</v>
      </c>
      <c r="BM123" s="80">
        <v>1E-8</v>
      </c>
      <c r="BN123" s="79">
        <v>1E-8</v>
      </c>
      <c r="BO123" s="79">
        <v>1E-8</v>
      </c>
      <c r="BP123" s="79">
        <v>1E-8</v>
      </c>
      <c r="BQ123" s="79">
        <v>1E-8</v>
      </c>
      <c r="BR123" s="79">
        <v>1E-8</v>
      </c>
      <c r="BS123" s="79">
        <v>1E-8</v>
      </c>
      <c r="BT123" s="79">
        <v>1E-8</v>
      </c>
      <c r="BU123" s="79">
        <v>1E-8</v>
      </c>
      <c r="BV123" s="44"/>
      <c r="BW123" s="34"/>
      <c r="BX123" s="9" t="s">
        <v>681</v>
      </c>
      <c r="BY123" s="44"/>
      <c r="BZ123" s="91" t="s">
        <v>357</v>
      </c>
      <c r="CA123" s="79">
        <v>1E-8</v>
      </c>
      <c r="CB123" s="80">
        <v>1E-8</v>
      </c>
      <c r="CC123" s="79">
        <v>1E-8</v>
      </c>
      <c r="CD123" s="79">
        <v>1E-8</v>
      </c>
      <c r="CE123" s="79">
        <v>1E-8</v>
      </c>
      <c r="CF123" s="79">
        <v>1E-8</v>
      </c>
      <c r="CG123" s="79">
        <v>1E-8</v>
      </c>
      <c r="CH123" s="79">
        <v>1E-8</v>
      </c>
      <c r="CI123" s="79">
        <v>1E-8</v>
      </c>
      <c r="CJ123" s="79">
        <v>1E-8</v>
      </c>
      <c r="CK123" s="44"/>
    </row>
    <row r="124" spans="1:89" x14ac:dyDescent="0.35">
      <c r="A124" s="11" t="s">
        <v>196</v>
      </c>
      <c r="B124" s="44"/>
      <c r="C124" s="90" t="s">
        <v>580</v>
      </c>
      <c r="D124" s="77">
        <v>5.1727419763108182</v>
      </c>
      <c r="E124" s="78">
        <v>0.19493394303455869</v>
      </c>
      <c r="F124" s="77">
        <v>1E-8</v>
      </c>
      <c r="G124" s="77">
        <v>1E-8</v>
      </c>
      <c r="H124" s="77">
        <v>1E-8</v>
      </c>
      <c r="I124" s="77">
        <v>1E-8</v>
      </c>
      <c r="J124" s="77">
        <v>1E-8</v>
      </c>
      <c r="K124" s="77">
        <v>1E-8</v>
      </c>
      <c r="L124" s="77">
        <v>1E-8</v>
      </c>
      <c r="M124" s="77">
        <v>1E-8</v>
      </c>
      <c r="N124" s="44"/>
      <c r="O124" s="34"/>
      <c r="P124" s="11" t="s">
        <v>196</v>
      </c>
      <c r="Q124" s="44"/>
      <c r="R124" s="90" t="s">
        <v>580</v>
      </c>
      <c r="S124" s="77">
        <v>5.1674953303791549</v>
      </c>
      <c r="T124" s="78">
        <v>1.3319220473277715</v>
      </c>
      <c r="U124" s="77">
        <v>1E-8</v>
      </c>
      <c r="V124" s="77">
        <v>1E-8</v>
      </c>
      <c r="W124" s="77">
        <v>1E-8</v>
      </c>
      <c r="X124" s="77">
        <v>1E-8</v>
      </c>
      <c r="Y124" s="77">
        <v>1E-8</v>
      </c>
      <c r="Z124" s="77">
        <v>1E-8</v>
      </c>
      <c r="AA124" s="77">
        <v>1E-8</v>
      </c>
      <c r="AB124" s="77">
        <v>1E-8</v>
      </c>
      <c r="AC124" s="44"/>
      <c r="AD124" s="34"/>
      <c r="AE124" s="11" t="s">
        <v>196</v>
      </c>
      <c r="AF124" s="44"/>
      <c r="AG124" s="90" t="s">
        <v>580</v>
      </c>
      <c r="AH124" s="77">
        <v>4.483242316388834</v>
      </c>
      <c r="AI124" s="78">
        <v>6.5585699688868182</v>
      </c>
      <c r="AJ124" s="77">
        <v>1E-8</v>
      </c>
      <c r="AK124" s="77">
        <v>1E-8</v>
      </c>
      <c r="AL124" s="77">
        <v>1E-8</v>
      </c>
      <c r="AM124" s="77">
        <v>1E-8</v>
      </c>
      <c r="AN124" s="77">
        <v>1E-8</v>
      </c>
      <c r="AO124" s="77">
        <v>1E-8</v>
      </c>
      <c r="AP124" s="77">
        <v>1E-8</v>
      </c>
      <c r="AQ124" s="77">
        <v>1E-8</v>
      </c>
      <c r="AR124" s="44"/>
      <c r="AS124" s="34"/>
      <c r="AT124" s="11" t="s">
        <v>196</v>
      </c>
      <c r="AU124" s="44"/>
      <c r="AV124" s="90" t="s">
        <v>580</v>
      </c>
      <c r="AW124" s="77">
        <v>3.7564623124393051</v>
      </c>
      <c r="AX124" s="78">
        <v>6.558569968886796</v>
      </c>
      <c r="AY124" s="77">
        <v>1E-8</v>
      </c>
      <c r="AZ124" s="77">
        <v>1E-8</v>
      </c>
      <c r="BA124" s="77">
        <v>1E-8</v>
      </c>
      <c r="BB124" s="77">
        <v>1E-8</v>
      </c>
      <c r="BC124" s="77">
        <v>1E-8</v>
      </c>
      <c r="BD124" s="77">
        <v>1E-8</v>
      </c>
      <c r="BE124" s="77">
        <v>1E-8</v>
      </c>
      <c r="BF124" s="77">
        <v>1E-8</v>
      </c>
      <c r="BG124" s="44"/>
      <c r="BH124" s="34"/>
      <c r="BI124" s="11" t="s">
        <v>196</v>
      </c>
      <c r="BJ124" s="44"/>
      <c r="BK124" s="90" t="s">
        <v>580</v>
      </c>
      <c r="BL124" s="77">
        <v>3.9784968103908884</v>
      </c>
      <c r="BM124" s="78">
        <v>1E-8</v>
      </c>
      <c r="BN124" s="77">
        <v>1E-8</v>
      </c>
      <c r="BO124" s="77">
        <v>1E-8</v>
      </c>
      <c r="BP124" s="77">
        <v>1E-8</v>
      </c>
      <c r="BQ124" s="77">
        <v>1E-8</v>
      </c>
      <c r="BR124" s="77">
        <v>1E-8</v>
      </c>
      <c r="BS124" s="77">
        <v>1E-8</v>
      </c>
      <c r="BT124" s="77">
        <v>1E-8</v>
      </c>
      <c r="BU124" s="77">
        <v>1E-8</v>
      </c>
      <c r="BV124" s="44"/>
      <c r="BW124" s="34"/>
      <c r="BX124" s="11" t="s">
        <v>196</v>
      </c>
      <c r="BY124" s="44"/>
      <c r="BZ124" s="90" t="s">
        <v>580</v>
      </c>
      <c r="CA124" s="77">
        <v>4.7196672913046465</v>
      </c>
      <c r="CB124" s="78">
        <v>1E-8</v>
      </c>
      <c r="CC124" s="77">
        <v>1E-8</v>
      </c>
      <c r="CD124" s="77">
        <v>1E-8</v>
      </c>
      <c r="CE124" s="77">
        <v>1E-8</v>
      </c>
      <c r="CF124" s="77">
        <v>1E-8</v>
      </c>
      <c r="CG124" s="77">
        <v>1E-8</v>
      </c>
      <c r="CH124" s="77">
        <v>1E-8</v>
      </c>
      <c r="CI124" s="77">
        <v>1E-8</v>
      </c>
      <c r="CJ124" s="77">
        <v>1E-8</v>
      </c>
      <c r="CK124" s="44"/>
    </row>
    <row r="125" spans="1:89" x14ac:dyDescent="0.35">
      <c r="A125" s="9" t="s">
        <v>682</v>
      </c>
      <c r="B125" s="44"/>
      <c r="C125" s="91" t="s">
        <v>581</v>
      </c>
      <c r="D125" s="79">
        <v>0.57760612222078878</v>
      </c>
      <c r="E125" s="80">
        <v>-2.4889089200914261</v>
      </c>
      <c r="F125" s="79">
        <v>1E-8</v>
      </c>
      <c r="G125" s="79">
        <v>1E-8</v>
      </c>
      <c r="H125" s="79">
        <v>1E-8</v>
      </c>
      <c r="I125" s="79">
        <v>1E-8</v>
      </c>
      <c r="J125" s="79">
        <v>1E-8</v>
      </c>
      <c r="K125" s="79">
        <v>1E-8</v>
      </c>
      <c r="L125" s="79">
        <v>1E-8</v>
      </c>
      <c r="M125" s="79">
        <v>1E-8</v>
      </c>
      <c r="N125" s="44"/>
      <c r="O125" s="34"/>
      <c r="P125" s="9" t="s">
        <v>682</v>
      </c>
      <c r="Q125" s="44"/>
      <c r="R125" s="91" t="s">
        <v>581</v>
      </c>
      <c r="S125" s="79">
        <v>0.46541772033803896</v>
      </c>
      <c r="T125" s="80">
        <v>-2.4889089200914039</v>
      </c>
      <c r="U125" s="79">
        <v>1E-8</v>
      </c>
      <c r="V125" s="79">
        <v>1E-8</v>
      </c>
      <c r="W125" s="79">
        <v>1E-8</v>
      </c>
      <c r="X125" s="79">
        <v>1E-8</v>
      </c>
      <c r="Y125" s="79">
        <v>1E-8</v>
      </c>
      <c r="Z125" s="79">
        <v>1E-8</v>
      </c>
      <c r="AA125" s="79">
        <v>1E-8</v>
      </c>
      <c r="AB125" s="79">
        <v>1E-8</v>
      </c>
      <c r="AC125" s="44"/>
      <c r="AD125" s="34"/>
      <c r="AE125" s="9" t="s">
        <v>682</v>
      </c>
      <c r="AF125" s="44"/>
      <c r="AG125" s="91" t="s">
        <v>581</v>
      </c>
      <c r="AH125" s="79">
        <v>1E-8</v>
      </c>
      <c r="AI125" s="80">
        <v>1E-8</v>
      </c>
      <c r="AJ125" s="79">
        <v>1E-8</v>
      </c>
      <c r="AK125" s="79">
        <v>1E-8</v>
      </c>
      <c r="AL125" s="79">
        <v>1E-8</v>
      </c>
      <c r="AM125" s="79">
        <v>1E-8</v>
      </c>
      <c r="AN125" s="79">
        <v>1E-8</v>
      </c>
      <c r="AO125" s="79">
        <v>1E-8</v>
      </c>
      <c r="AP125" s="79">
        <v>1E-8</v>
      </c>
      <c r="AQ125" s="79">
        <v>1E-8</v>
      </c>
      <c r="AR125" s="44"/>
      <c r="AS125" s="34"/>
      <c r="AT125" s="9" t="s">
        <v>682</v>
      </c>
      <c r="AU125" s="44"/>
      <c r="AV125" s="91" t="s">
        <v>581</v>
      </c>
      <c r="AW125" s="79">
        <v>1E-8</v>
      </c>
      <c r="AX125" s="80">
        <v>1E-8</v>
      </c>
      <c r="AY125" s="79">
        <v>1E-8</v>
      </c>
      <c r="AZ125" s="79">
        <v>1E-8</v>
      </c>
      <c r="BA125" s="79">
        <v>1E-8</v>
      </c>
      <c r="BB125" s="79">
        <v>1E-8</v>
      </c>
      <c r="BC125" s="79">
        <v>1E-8</v>
      </c>
      <c r="BD125" s="79">
        <v>1E-8</v>
      </c>
      <c r="BE125" s="79">
        <v>1E-8</v>
      </c>
      <c r="BF125" s="79">
        <v>1E-8</v>
      </c>
      <c r="BG125" s="44"/>
      <c r="BH125" s="34"/>
      <c r="BI125" s="9" t="s">
        <v>682</v>
      </c>
      <c r="BJ125" s="44"/>
      <c r="BK125" s="91" t="s">
        <v>581</v>
      </c>
      <c r="BL125" s="79">
        <v>1E-8</v>
      </c>
      <c r="BM125" s="80">
        <v>1E-8</v>
      </c>
      <c r="BN125" s="79">
        <v>1E-8</v>
      </c>
      <c r="BO125" s="79">
        <v>1E-8</v>
      </c>
      <c r="BP125" s="79">
        <v>1E-8</v>
      </c>
      <c r="BQ125" s="79">
        <v>1E-8</v>
      </c>
      <c r="BR125" s="79">
        <v>1E-8</v>
      </c>
      <c r="BS125" s="79">
        <v>1E-8</v>
      </c>
      <c r="BT125" s="79">
        <v>1E-8</v>
      </c>
      <c r="BU125" s="79">
        <v>1E-8</v>
      </c>
      <c r="BV125" s="44"/>
      <c r="BW125" s="34"/>
      <c r="BX125" s="9" t="s">
        <v>682</v>
      </c>
      <c r="BY125" s="44"/>
      <c r="BZ125" s="91" t="s">
        <v>581</v>
      </c>
      <c r="CA125" s="79">
        <v>1E-8</v>
      </c>
      <c r="CB125" s="80">
        <v>1E-8</v>
      </c>
      <c r="CC125" s="79">
        <v>1E-8</v>
      </c>
      <c r="CD125" s="79">
        <v>1E-8</v>
      </c>
      <c r="CE125" s="79">
        <v>1E-8</v>
      </c>
      <c r="CF125" s="79">
        <v>1E-8</v>
      </c>
      <c r="CG125" s="79">
        <v>1E-8</v>
      </c>
      <c r="CH125" s="79">
        <v>1E-8</v>
      </c>
      <c r="CI125" s="79">
        <v>1E-8</v>
      </c>
      <c r="CJ125" s="79">
        <v>1E-8</v>
      </c>
      <c r="CK125" s="44"/>
    </row>
    <row r="126" spans="1:89" x14ac:dyDescent="0.35">
      <c r="A126" s="9" t="s">
        <v>683</v>
      </c>
      <c r="B126" s="44"/>
      <c r="C126" s="91" t="s">
        <v>582</v>
      </c>
      <c r="D126" s="79">
        <v>0.18748779788535358</v>
      </c>
      <c r="E126" s="80">
        <v>-0.58226498766276169</v>
      </c>
      <c r="F126" s="79">
        <v>1E-8</v>
      </c>
      <c r="G126" s="79">
        <v>1E-8</v>
      </c>
      <c r="H126" s="79">
        <v>1E-8</v>
      </c>
      <c r="I126" s="79">
        <v>1E-8</v>
      </c>
      <c r="J126" s="79">
        <v>1E-8</v>
      </c>
      <c r="K126" s="79">
        <v>1E-8</v>
      </c>
      <c r="L126" s="79">
        <v>1E-8</v>
      </c>
      <c r="M126" s="79">
        <v>1E-8</v>
      </c>
      <c r="N126" s="44"/>
      <c r="O126" s="34"/>
      <c r="P126" s="9" t="s">
        <v>683</v>
      </c>
      <c r="Q126" s="44"/>
      <c r="R126" s="91" t="s">
        <v>582</v>
      </c>
      <c r="S126" s="79">
        <v>0.46210934341695886</v>
      </c>
      <c r="T126" s="80">
        <v>4.1434365753231228</v>
      </c>
      <c r="U126" s="79">
        <v>1E-8</v>
      </c>
      <c r="V126" s="79">
        <v>1E-8</v>
      </c>
      <c r="W126" s="79">
        <v>1E-8</v>
      </c>
      <c r="X126" s="79">
        <v>1E-8</v>
      </c>
      <c r="Y126" s="79">
        <v>1E-8</v>
      </c>
      <c r="Z126" s="79">
        <v>1E-8</v>
      </c>
      <c r="AA126" s="79">
        <v>1E-8</v>
      </c>
      <c r="AB126" s="79">
        <v>1E-8</v>
      </c>
      <c r="AC126" s="44"/>
      <c r="AD126" s="34"/>
      <c r="AE126" s="9" t="s">
        <v>683</v>
      </c>
      <c r="AF126" s="44"/>
      <c r="AG126" s="91" t="s">
        <v>582</v>
      </c>
      <c r="AH126" s="79">
        <v>1E-8</v>
      </c>
      <c r="AI126" s="80">
        <v>1E-8</v>
      </c>
      <c r="AJ126" s="79">
        <v>1E-8</v>
      </c>
      <c r="AK126" s="79">
        <v>1E-8</v>
      </c>
      <c r="AL126" s="79">
        <v>1E-8</v>
      </c>
      <c r="AM126" s="79">
        <v>1E-8</v>
      </c>
      <c r="AN126" s="79">
        <v>1E-8</v>
      </c>
      <c r="AO126" s="79">
        <v>1E-8</v>
      </c>
      <c r="AP126" s="79">
        <v>1E-8</v>
      </c>
      <c r="AQ126" s="79">
        <v>1E-8</v>
      </c>
      <c r="AR126" s="44"/>
      <c r="AS126" s="34"/>
      <c r="AT126" s="9" t="s">
        <v>683</v>
      </c>
      <c r="AU126" s="44"/>
      <c r="AV126" s="91" t="s">
        <v>582</v>
      </c>
      <c r="AW126" s="79">
        <v>1.3135202291619699</v>
      </c>
      <c r="AX126" s="80">
        <v>6.558569968886796</v>
      </c>
      <c r="AY126" s="79">
        <v>1E-8</v>
      </c>
      <c r="AZ126" s="79">
        <v>1E-8</v>
      </c>
      <c r="BA126" s="79">
        <v>1E-8</v>
      </c>
      <c r="BB126" s="79">
        <v>1E-8</v>
      </c>
      <c r="BC126" s="79">
        <v>1E-8</v>
      </c>
      <c r="BD126" s="79">
        <v>1E-8</v>
      </c>
      <c r="BE126" s="79">
        <v>1E-8</v>
      </c>
      <c r="BF126" s="79">
        <v>1E-8</v>
      </c>
      <c r="BG126" s="44"/>
      <c r="BH126" s="34"/>
      <c r="BI126" s="9" t="s">
        <v>683</v>
      </c>
      <c r="BJ126" s="44"/>
      <c r="BK126" s="91" t="s">
        <v>582</v>
      </c>
      <c r="BL126" s="79">
        <v>1E-8</v>
      </c>
      <c r="BM126" s="80">
        <v>1E-8</v>
      </c>
      <c r="BN126" s="79">
        <v>1E-8</v>
      </c>
      <c r="BO126" s="79">
        <v>1E-8</v>
      </c>
      <c r="BP126" s="79">
        <v>1E-8</v>
      </c>
      <c r="BQ126" s="79">
        <v>1E-8</v>
      </c>
      <c r="BR126" s="79">
        <v>1E-8</v>
      </c>
      <c r="BS126" s="79">
        <v>1E-8</v>
      </c>
      <c r="BT126" s="79">
        <v>1E-8</v>
      </c>
      <c r="BU126" s="79">
        <v>1E-8</v>
      </c>
      <c r="BV126" s="44"/>
      <c r="BW126" s="34"/>
      <c r="BX126" s="9" t="s">
        <v>683</v>
      </c>
      <c r="BY126" s="44"/>
      <c r="BZ126" s="91" t="s">
        <v>582</v>
      </c>
      <c r="CA126" s="79">
        <v>1.6503580457083893</v>
      </c>
      <c r="CB126" s="80">
        <v>1E-8</v>
      </c>
      <c r="CC126" s="79">
        <v>1E-8</v>
      </c>
      <c r="CD126" s="79">
        <v>1E-8</v>
      </c>
      <c r="CE126" s="79">
        <v>1E-8</v>
      </c>
      <c r="CF126" s="79">
        <v>1E-8</v>
      </c>
      <c r="CG126" s="79">
        <v>1E-8</v>
      </c>
      <c r="CH126" s="79">
        <v>1E-8</v>
      </c>
      <c r="CI126" s="79">
        <v>1E-8</v>
      </c>
      <c r="CJ126" s="79">
        <v>1E-8</v>
      </c>
      <c r="CK126" s="44"/>
    </row>
    <row r="127" spans="1:89" x14ac:dyDescent="0.35">
      <c r="A127" s="9" t="s">
        <v>684</v>
      </c>
      <c r="B127" s="44"/>
      <c r="C127" s="91" t="s">
        <v>583</v>
      </c>
      <c r="D127" s="79">
        <v>1.0852628080478712</v>
      </c>
      <c r="E127" s="80">
        <v>1.3345854570705695</v>
      </c>
      <c r="F127" s="79">
        <v>1E-8</v>
      </c>
      <c r="G127" s="79">
        <v>1E-8</v>
      </c>
      <c r="H127" s="79">
        <v>1E-8</v>
      </c>
      <c r="I127" s="79">
        <v>1E-8</v>
      </c>
      <c r="J127" s="79">
        <v>1E-8</v>
      </c>
      <c r="K127" s="79">
        <v>1E-8</v>
      </c>
      <c r="L127" s="79">
        <v>1E-8</v>
      </c>
      <c r="M127" s="79">
        <v>1E-8</v>
      </c>
      <c r="N127" s="44"/>
      <c r="O127" s="34"/>
      <c r="P127" s="9" t="s">
        <v>684</v>
      </c>
      <c r="Q127" s="44"/>
      <c r="R127" s="91" t="s">
        <v>583</v>
      </c>
      <c r="S127" s="79">
        <v>1.7349936736807618</v>
      </c>
      <c r="T127" s="80">
        <v>2.8405457260403333</v>
      </c>
      <c r="U127" s="79">
        <v>1E-8</v>
      </c>
      <c r="V127" s="79">
        <v>1E-8</v>
      </c>
      <c r="W127" s="79">
        <v>1E-8</v>
      </c>
      <c r="X127" s="79">
        <v>1E-8</v>
      </c>
      <c r="Y127" s="79">
        <v>1E-8</v>
      </c>
      <c r="Z127" s="79">
        <v>1E-8</v>
      </c>
      <c r="AA127" s="79">
        <v>1E-8</v>
      </c>
      <c r="AB127" s="79">
        <v>1E-8</v>
      </c>
      <c r="AC127" s="44"/>
      <c r="AD127" s="34"/>
      <c r="AE127" s="9" t="s">
        <v>684</v>
      </c>
      <c r="AF127" s="44"/>
      <c r="AG127" s="91" t="s">
        <v>583</v>
      </c>
      <c r="AH127" s="79">
        <v>1.6487122649407413</v>
      </c>
      <c r="AI127" s="80">
        <v>6.558569968886796</v>
      </c>
      <c r="AJ127" s="79">
        <v>1E-8</v>
      </c>
      <c r="AK127" s="79">
        <v>1E-8</v>
      </c>
      <c r="AL127" s="79">
        <v>1E-8</v>
      </c>
      <c r="AM127" s="79">
        <v>1E-8</v>
      </c>
      <c r="AN127" s="79">
        <v>1E-8</v>
      </c>
      <c r="AO127" s="79">
        <v>1E-8</v>
      </c>
      <c r="AP127" s="79">
        <v>1E-8</v>
      </c>
      <c r="AQ127" s="79">
        <v>1E-8</v>
      </c>
      <c r="AR127" s="44"/>
      <c r="AS127" s="34"/>
      <c r="AT127" s="9" t="s">
        <v>684</v>
      </c>
      <c r="AU127" s="44"/>
      <c r="AV127" s="91" t="s">
        <v>583</v>
      </c>
      <c r="AW127" s="79">
        <v>2.100125287755473</v>
      </c>
      <c r="AX127" s="80">
        <v>6.558569968886796</v>
      </c>
      <c r="AY127" s="79">
        <v>1E-8</v>
      </c>
      <c r="AZ127" s="79">
        <v>1E-8</v>
      </c>
      <c r="BA127" s="79">
        <v>1E-8</v>
      </c>
      <c r="BB127" s="79">
        <v>1E-8</v>
      </c>
      <c r="BC127" s="79">
        <v>1E-8</v>
      </c>
      <c r="BD127" s="79">
        <v>1E-8</v>
      </c>
      <c r="BE127" s="79">
        <v>1E-8</v>
      </c>
      <c r="BF127" s="79">
        <v>1E-8</v>
      </c>
      <c r="BG127" s="44"/>
      <c r="BH127" s="34"/>
      <c r="BI127" s="9" t="s">
        <v>684</v>
      </c>
      <c r="BJ127" s="44"/>
      <c r="BK127" s="91" t="s">
        <v>583</v>
      </c>
      <c r="BL127" s="79">
        <v>1.4630921160207433</v>
      </c>
      <c r="BM127" s="80">
        <v>1E-8</v>
      </c>
      <c r="BN127" s="79">
        <v>1E-8</v>
      </c>
      <c r="BO127" s="79">
        <v>1E-8</v>
      </c>
      <c r="BP127" s="79">
        <v>1E-8</v>
      </c>
      <c r="BQ127" s="79">
        <v>1E-8</v>
      </c>
      <c r="BR127" s="79">
        <v>1E-8</v>
      </c>
      <c r="BS127" s="79">
        <v>1E-8</v>
      </c>
      <c r="BT127" s="79">
        <v>1E-8</v>
      </c>
      <c r="BU127" s="79">
        <v>1E-8</v>
      </c>
      <c r="BV127" s="44"/>
      <c r="BW127" s="34"/>
      <c r="BX127" s="9" t="s">
        <v>684</v>
      </c>
      <c r="BY127" s="44"/>
      <c r="BZ127" s="91" t="s">
        <v>583</v>
      </c>
      <c r="CA127" s="79">
        <v>2.6385808531949952</v>
      </c>
      <c r="CB127" s="80">
        <v>1E-8</v>
      </c>
      <c r="CC127" s="79">
        <v>1E-8</v>
      </c>
      <c r="CD127" s="79">
        <v>1E-8</v>
      </c>
      <c r="CE127" s="79">
        <v>1E-8</v>
      </c>
      <c r="CF127" s="79">
        <v>1E-8</v>
      </c>
      <c r="CG127" s="79">
        <v>1E-8</v>
      </c>
      <c r="CH127" s="79">
        <v>1E-8</v>
      </c>
      <c r="CI127" s="79">
        <v>1E-8</v>
      </c>
      <c r="CJ127" s="79">
        <v>1E-8</v>
      </c>
      <c r="CK127" s="44"/>
    </row>
    <row r="128" spans="1:89" x14ac:dyDescent="0.35">
      <c r="A128" s="9" t="s">
        <v>685</v>
      </c>
      <c r="B128" s="44"/>
      <c r="C128" s="91" t="s">
        <v>584</v>
      </c>
      <c r="D128" s="79">
        <v>0.32192178447643849</v>
      </c>
      <c r="E128" s="80">
        <v>-0.26415230460742345</v>
      </c>
      <c r="F128" s="79">
        <v>1E-8</v>
      </c>
      <c r="G128" s="79">
        <v>1E-8</v>
      </c>
      <c r="H128" s="79">
        <v>1E-8</v>
      </c>
      <c r="I128" s="79">
        <v>1E-8</v>
      </c>
      <c r="J128" s="79">
        <v>1E-8</v>
      </c>
      <c r="K128" s="79">
        <v>1E-8</v>
      </c>
      <c r="L128" s="79">
        <v>1E-8</v>
      </c>
      <c r="M128" s="79">
        <v>1E-8</v>
      </c>
      <c r="N128" s="44"/>
      <c r="O128" s="34"/>
      <c r="P128" s="9" t="s">
        <v>685</v>
      </c>
      <c r="Q128" s="44"/>
      <c r="R128" s="91" t="s">
        <v>584</v>
      </c>
      <c r="S128" s="79">
        <v>0.25366348395967719</v>
      </c>
      <c r="T128" s="80">
        <v>-0.26415230460740124</v>
      </c>
      <c r="U128" s="79">
        <v>1E-8</v>
      </c>
      <c r="V128" s="79">
        <v>1E-8</v>
      </c>
      <c r="W128" s="79">
        <v>1E-8</v>
      </c>
      <c r="X128" s="79">
        <v>1E-8</v>
      </c>
      <c r="Y128" s="79">
        <v>1E-8</v>
      </c>
      <c r="Z128" s="79">
        <v>1E-8</v>
      </c>
      <c r="AA128" s="79">
        <v>1E-8</v>
      </c>
      <c r="AB128" s="79">
        <v>1E-8</v>
      </c>
      <c r="AC128" s="44"/>
      <c r="AD128" s="34"/>
      <c r="AE128" s="9" t="s">
        <v>685</v>
      </c>
      <c r="AF128" s="44"/>
      <c r="AG128" s="91" t="s">
        <v>584</v>
      </c>
      <c r="AH128" s="79">
        <v>1E-8</v>
      </c>
      <c r="AI128" s="80">
        <v>1E-8</v>
      </c>
      <c r="AJ128" s="79">
        <v>1E-8</v>
      </c>
      <c r="AK128" s="79">
        <v>1E-8</v>
      </c>
      <c r="AL128" s="79">
        <v>1E-8</v>
      </c>
      <c r="AM128" s="79">
        <v>1E-8</v>
      </c>
      <c r="AN128" s="79">
        <v>1E-8</v>
      </c>
      <c r="AO128" s="79">
        <v>1E-8</v>
      </c>
      <c r="AP128" s="79">
        <v>1E-8</v>
      </c>
      <c r="AQ128" s="79">
        <v>1E-8</v>
      </c>
      <c r="AR128" s="44"/>
      <c r="AS128" s="34"/>
      <c r="AT128" s="9" t="s">
        <v>685</v>
      </c>
      <c r="AU128" s="44"/>
      <c r="AV128" s="91" t="s">
        <v>584</v>
      </c>
      <c r="AW128" s="79">
        <v>1E-8</v>
      </c>
      <c r="AX128" s="80">
        <v>1E-8</v>
      </c>
      <c r="AY128" s="79">
        <v>1E-8</v>
      </c>
      <c r="AZ128" s="79">
        <v>1E-8</v>
      </c>
      <c r="BA128" s="79">
        <v>1E-8</v>
      </c>
      <c r="BB128" s="79">
        <v>1E-8</v>
      </c>
      <c r="BC128" s="79">
        <v>1E-8</v>
      </c>
      <c r="BD128" s="79">
        <v>1E-8</v>
      </c>
      <c r="BE128" s="79">
        <v>1E-8</v>
      </c>
      <c r="BF128" s="79">
        <v>1E-8</v>
      </c>
      <c r="BG128" s="44"/>
      <c r="BH128" s="34"/>
      <c r="BI128" s="9" t="s">
        <v>685</v>
      </c>
      <c r="BJ128" s="44"/>
      <c r="BK128" s="91" t="s">
        <v>584</v>
      </c>
      <c r="BL128" s="79">
        <v>1E-8</v>
      </c>
      <c r="BM128" s="80">
        <v>1E-8</v>
      </c>
      <c r="BN128" s="79">
        <v>1E-8</v>
      </c>
      <c r="BO128" s="79">
        <v>1E-8</v>
      </c>
      <c r="BP128" s="79">
        <v>1E-8</v>
      </c>
      <c r="BQ128" s="79">
        <v>1E-8</v>
      </c>
      <c r="BR128" s="79">
        <v>1E-8</v>
      </c>
      <c r="BS128" s="79">
        <v>1E-8</v>
      </c>
      <c r="BT128" s="79">
        <v>1E-8</v>
      </c>
      <c r="BU128" s="79">
        <v>1E-8</v>
      </c>
      <c r="BV128" s="44"/>
      <c r="BW128" s="34"/>
      <c r="BX128" s="9" t="s">
        <v>685</v>
      </c>
      <c r="BY128" s="44"/>
      <c r="BZ128" s="91" t="s">
        <v>584</v>
      </c>
      <c r="CA128" s="79">
        <v>1E-8</v>
      </c>
      <c r="CB128" s="80">
        <v>1E-8</v>
      </c>
      <c r="CC128" s="79">
        <v>1E-8</v>
      </c>
      <c r="CD128" s="79">
        <v>1E-8</v>
      </c>
      <c r="CE128" s="79">
        <v>1E-8</v>
      </c>
      <c r="CF128" s="79">
        <v>1E-8</v>
      </c>
      <c r="CG128" s="79">
        <v>1E-8</v>
      </c>
      <c r="CH128" s="79">
        <v>1E-8</v>
      </c>
      <c r="CI128" s="79">
        <v>1E-8</v>
      </c>
      <c r="CJ128" s="79">
        <v>1E-8</v>
      </c>
      <c r="CK128" s="44"/>
    </row>
    <row r="129" spans="1:89" x14ac:dyDescent="0.35">
      <c r="A129" s="9" t="s">
        <v>686</v>
      </c>
      <c r="B129" s="44"/>
      <c r="C129" s="91" t="s">
        <v>585</v>
      </c>
      <c r="D129" s="81">
        <v>3.0004634636803664</v>
      </c>
      <c r="E129" s="82">
        <v>0.39719864445564301</v>
      </c>
      <c r="F129" s="81">
        <v>1E-8</v>
      </c>
      <c r="G129" s="81">
        <v>1E-8</v>
      </c>
      <c r="H129" s="81">
        <v>1E-8</v>
      </c>
      <c r="I129" s="81">
        <v>1E-8</v>
      </c>
      <c r="J129" s="81">
        <v>1E-8</v>
      </c>
      <c r="K129" s="81">
        <v>1E-8</v>
      </c>
      <c r="L129" s="81">
        <v>1E-8</v>
      </c>
      <c r="M129" s="81">
        <v>1E-8</v>
      </c>
      <c r="N129" s="44"/>
      <c r="O129" s="34"/>
      <c r="P129" s="9" t="s">
        <v>686</v>
      </c>
      <c r="Q129" s="44"/>
      <c r="R129" s="91" t="s">
        <v>585</v>
      </c>
      <c r="S129" s="81">
        <v>2.2513111089837183</v>
      </c>
      <c r="T129" s="82">
        <v>5.4088089629766856E-2</v>
      </c>
      <c r="U129" s="81">
        <v>1E-8</v>
      </c>
      <c r="V129" s="81">
        <v>1E-8</v>
      </c>
      <c r="W129" s="81">
        <v>1E-8</v>
      </c>
      <c r="X129" s="81">
        <v>1E-8</v>
      </c>
      <c r="Y129" s="81">
        <v>1E-8</v>
      </c>
      <c r="Z129" s="81">
        <v>1E-8</v>
      </c>
      <c r="AA129" s="81">
        <v>1E-8</v>
      </c>
      <c r="AB129" s="81">
        <v>1E-8</v>
      </c>
      <c r="AC129" s="44"/>
      <c r="AD129" s="34"/>
      <c r="AE129" s="9" t="s">
        <v>686</v>
      </c>
      <c r="AF129" s="44"/>
      <c r="AG129" s="91" t="s">
        <v>585</v>
      </c>
      <c r="AH129" s="81">
        <v>2.8345300514480916</v>
      </c>
      <c r="AI129" s="82">
        <v>6.558569968886796</v>
      </c>
      <c r="AJ129" s="81">
        <v>1E-8</v>
      </c>
      <c r="AK129" s="81">
        <v>1E-8</v>
      </c>
      <c r="AL129" s="81">
        <v>1E-8</v>
      </c>
      <c r="AM129" s="81">
        <v>1E-8</v>
      </c>
      <c r="AN129" s="81">
        <v>1E-8</v>
      </c>
      <c r="AO129" s="81">
        <v>1E-8</v>
      </c>
      <c r="AP129" s="81">
        <v>1E-8</v>
      </c>
      <c r="AQ129" s="81">
        <v>1E-8</v>
      </c>
      <c r="AR129" s="44"/>
      <c r="AS129" s="34"/>
      <c r="AT129" s="9" t="s">
        <v>686</v>
      </c>
      <c r="AU129" s="44"/>
      <c r="AV129" s="91" t="s">
        <v>585</v>
      </c>
      <c r="AW129" s="81">
        <v>0.34281679552186195</v>
      </c>
      <c r="AX129" s="82">
        <v>6.558569968886796</v>
      </c>
      <c r="AY129" s="81">
        <v>1E-8</v>
      </c>
      <c r="AZ129" s="81">
        <v>1E-8</v>
      </c>
      <c r="BA129" s="81">
        <v>1E-8</v>
      </c>
      <c r="BB129" s="81">
        <v>1E-8</v>
      </c>
      <c r="BC129" s="81">
        <v>1E-8</v>
      </c>
      <c r="BD129" s="81">
        <v>1E-8</v>
      </c>
      <c r="BE129" s="81">
        <v>1E-8</v>
      </c>
      <c r="BF129" s="81">
        <v>1E-8</v>
      </c>
      <c r="BG129" s="44"/>
      <c r="BH129" s="34"/>
      <c r="BI129" s="9" t="s">
        <v>686</v>
      </c>
      <c r="BJ129" s="44"/>
      <c r="BK129" s="91" t="s">
        <v>585</v>
      </c>
      <c r="BL129" s="81">
        <v>2.5154046943701451</v>
      </c>
      <c r="BM129" s="82">
        <v>1E-8</v>
      </c>
      <c r="BN129" s="81">
        <v>1E-8</v>
      </c>
      <c r="BO129" s="81">
        <v>1E-8</v>
      </c>
      <c r="BP129" s="81">
        <v>1E-8</v>
      </c>
      <c r="BQ129" s="81">
        <v>1E-8</v>
      </c>
      <c r="BR129" s="81">
        <v>1E-8</v>
      </c>
      <c r="BS129" s="81">
        <v>1E-8</v>
      </c>
      <c r="BT129" s="81">
        <v>1E-8</v>
      </c>
      <c r="BU129" s="81">
        <v>1E-8</v>
      </c>
      <c r="BV129" s="44"/>
      <c r="BW129" s="34"/>
      <c r="BX129" s="9" t="s">
        <v>686</v>
      </c>
      <c r="BY129" s="44"/>
      <c r="BZ129" s="91" t="s">
        <v>585</v>
      </c>
      <c r="CA129" s="81">
        <v>0.43072839240126193</v>
      </c>
      <c r="CB129" s="82">
        <v>1E-8</v>
      </c>
      <c r="CC129" s="81">
        <v>1E-8</v>
      </c>
      <c r="CD129" s="81">
        <v>1E-8</v>
      </c>
      <c r="CE129" s="81">
        <v>1E-8</v>
      </c>
      <c r="CF129" s="81">
        <v>1E-8</v>
      </c>
      <c r="CG129" s="81">
        <v>1E-8</v>
      </c>
      <c r="CH129" s="81">
        <v>1E-8</v>
      </c>
      <c r="CI129" s="81">
        <v>1E-8</v>
      </c>
      <c r="CJ129" s="81">
        <v>1E-8</v>
      </c>
      <c r="CK129" s="44"/>
    </row>
    <row r="130" spans="1:89" x14ac:dyDescent="0.35">
      <c r="A130" s="11" t="s">
        <v>687</v>
      </c>
      <c r="B130" s="44"/>
      <c r="C130" s="90" t="s">
        <v>358</v>
      </c>
      <c r="D130" s="77">
        <v>10.525207154585575</v>
      </c>
      <c r="E130" s="78">
        <v>0.27904443919755106</v>
      </c>
      <c r="F130" s="77">
        <v>1E-8</v>
      </c>
      <c r="G130" s="77">
        <v>1E-8</v>
      </c>
      <c r="H130" s="77">
        <v>1E-8</v>
      </c>
      <c r="I130" s="77">
        <v>1E-8</v>
      </c>
      <c r="J130" s="77">
        <v>1E-8</v>
      </c>
      <c r="K130" s="77">
        <v>1E-8</v>
      </c>
      <c r="L130" s="77">
        <v>1E-8</v>
      </c>
      <c r="M130" s="77">
        <v>1E-8</v>
      </c>
      <c r="N130" s="44"/>
      <c r="O130" s="34"/>
      <c r="P130" s="11" t="s">
        <v>687</v>
      </c>
      <c r="Q130" s="44"/>
      <c r="R130" s="90" t="s">
        <v>358</v>
      </c>
      <c r="S130" s="77">
        <v>7.0437934981583084</v>
      </c>
      <c r="T130" s="78">
        <v>-0.69390057960815321</v>
      </c>
      <c r="U130" s="77">
        <v>1E-8</v>
      </c>
      <c r="V130" s="77">
        <v>1E-8</v>
      </c>
      <c r="W130" s="77">
        <v>1E-8</v>
      </c>
      <c r="X130" s="77">
        <v>1E-8</v>
      </c>
      <c r="Y130" s="77">
        <v>1E-8</v>
      </c>
      <c r="Z130" s="77">
        <v>1E-8</v>
      </c>
      <c r="AA130" s="77">
        <v>1E-8</v>
      </c>
      <c r="AB130" s="77">
        <v>1E-8</v>
      </c>
      <c r="AC130" s="44"/>
      <c r="AD130" s="34"/>
      <c r="AE130" s="11" t="s">
        <v>687</v>
      </c>
      <c r="AF130" s="44"/>
      <c r="AG130" s="90" t="s">
        <v>358</v>
      </c>
      <c r="AH130" s="77">
        <v>15.753954747365551</v>
      </c>
      <c r="AI130" s="78">
        <v>6.558569968886796</v>
      </c>
      <c r="AJ130" s="77">
        <v>1E-8</v>
      </c>
      <c r="AK130" s="77">
        <v>1E-8</v>
      </c>
      <c r="AL130" s="77">
        <v>1E-8</v>
      </c>
      <c r="AM130" s="77">
        <v>1E-8</v>
      </c>
      <c r="AN130" s="77">
        <v>1E-8</v>
      </c>
      <c r="AO130" s="77">
        <v>1E-8</v>
      </c>
      <c r="AP130" s="77">
        <v>1E-8</v>
      </c>
      <c r="AQ130" s="77">
        <v>1E-8</v>
      </c>
      <c r="AR130" s="44"/>
      <c r="AS130" s="34"/>
      <c r="AT130" s="11" t="s">
        <v>687</v>
      </c>
      <c r="AU130" s="44"/>
      <c r="AV130" s="90" t="s">
        <v>358</v>
      </c>
      <c r="AW130" s="77">
        <v>1E-8</v>
      </c>
      <c r="AX130" s="78">
        <v>1E-8</v>
      </c>
      <c r="AY130" s="77">
        <v>1E-8</v>
      </c>
      <c r="AZ130" s="77">
        <v>1E-8</v>
      </c>
      <c r="BA130" s="77">
        <v>1E-8</v>
      </c>
      <c r="BB130" s="77">
        <v>1E-8</v>
      </c>
      <c r="BC130" s="77">
        <v>1E-8</v>
      </c>
      <c r="BD130" s="77">
        <v>1E-8</v>
      </c>
      <c r="BE130" s="77">
        <v>1E-8</v>
      </c>
      <c r="BF130" s="77">
        <v>1E-8</v>
      </c>
      <c r="BG130" s="44"/>
      <c r="BH130" s="34"/>
      <c r="BI130" s="11" t="s">
        <v>687</v>
      </c>
      <c r="BJ130" s="44"/>
      <c r="BK130" s="90" t="s">
        <v>358</v>
      </c>
      <c r="BL130" s="77">
        <v>13.980296912418828</v>
      </c>
      <c r="BM130" s="78">
        <v>1E-8</v>
      </c>
      <c r="BN130" s="77">
        <v>1E-8</v>
      </c>
      <c r="BO130" s="77">
        <v>1E-8</v>
      </c>
      <c r="BP130" s="77">
        <v>1E-8</v>
      </c>
      <c r="BQ130" s="77">
        <v>1E-8</v>
      </c>
      <c r="BR130" s="77">
        <v>1E-8</v>
      </c>
      <c r="BS130" s="77">
        <v>1E-8</v>
      </c>
      <c r="BT130" s="77">
        <v>1E-8</v>
      </c>
      <c r="BU130" s="77">
        <v>1E-8</v>
      </c>
      <c r="BV130" s="44"/>
      <c r="BW130" s="34"/>
      <c r="BX130" s="11" t="s">
        <v>687</v>
      </c>
      <c r="BY130" s="44"/>
      <c r="BZ130" s="90" t="s">
        <v>358</v>
      </c>
      <c r="CA130" s="77">
        <v>1E-8</v>
      </c>
      <c r="CB130" s="78">
        <v>1E-8</v>
      </c>
      <c r="CC130" s="77">
        <v>1E-8</v>
      </c>
      <c r="CD130" s="77">
        <v>1E-8</v>
      </c>
      <c r="CE130" s="77">
        <v>1E-8</v>
      </c>
      <c r="CF130" s="77">
        <v>1E-8</v>
      </c>
      <c r="CG130" s="77">
        <v>1E-8</v>
      </c>
      <c r="CH130" s="77">
        <v>1E-8</v>
      </c>
      <c r="CI130" s="77">
        <v>1E-8</v>
      </c>
      <c r="CJ130" s="77">
        <v>1E-8</v>
      </c>
      <c r="CK130" s="44"/>
    </row>
    <row r="131" spans="1:89" x14ac:dyDescent="0.35">
      <c r="A131" s="11" t="s">
        <v>688</v>
      </c>
      <c r="B131" s="44"/>
      <c r="C131" s="90" t="s">
        <v>359</v>
      </c>
      <c r="D131" s="77">
        <v>3.4065815838146323</v>
      </c>
      <c r="E131" s="78">
        <v>-0.33511902714337127</v>
      </c>
      <c r="F131" s="77">
        <v>1E-8</v>
      </c>
      <c r="G131" s="77">
        <v>1E-8</v>
      </c>
      <c r="H131" s="77">
        <v>1E-8</v>
      </c>
      <c r="I131" s="77">
        <v>1E-8</v>
      </c>
      <c r="J131" s="77">
        <v>1E-8</v>
      </c>
      <c r="K131" s="77">
        <v>1E-8</v>
      </c>
      <c r="L131" s="77">
        <v>1E-8</v>
      </c>
      <c r="M131" s="77">
        <v>1E-8</v>
      </c>
      <c r="N131" s="44"/>
      <c r="O131" s="34"/>
      <c r="P131" s="11" t="s">
        <v>688</v>
      </c>
      <c r="Q131" s="44"/>
      <c r="R131" s="90" t="s">
        <v>359</v>
      </c>
      <c r="S131" s="77">
        <v>2.6292129590341147</v>
      </c>
      <c r="T131" s="78">
        <v>-0.33511902714339348</v>
      </c>
      <c r="U131" s="77">
        <v>1E-8</v>
      </c>
      <c r="V131" s="77">
        <v>1E-8</v>
      </c>
      <c r="W131" s="77">
        <v>1E-8</v>
      </c>
      <c r="X131" s="77">
        <v>1E-8</v>
      </c>
      <c r="Y131" s="77">
        <v>1E-8</v>
      </c>
      <c r="Z131" s="77">
        <v>1E-8</v>
      </c>
      <c r="AA131" s="77">
        <v>1E-8</v>
      </c>
      <c r="AB131" s="77">
        <v>1E-8</v>
      </c>
      <c r="AC131" s="44"/>
      <c r="AD131" s="34"/>
      <c r="AE131" s="11" t="s">
        <v>688</v>
      </c>
      <c r="AF131" s="44"/>
      <c r="AG131" s="90" t="s">
        <v>359</v>
      </c>
      <c r="AH131" s="77">
        <v>1E-8</v>
      </c>
      <c r="AI131" s="78">
        <v>1E-8</v>
      </c>
      <c r="AJ131" s="77">
        <v>1E-8</v>
      </c>
      <c r="AK131" s="77">
        <v>1E-8</v>
      </c>
      <c r="AL131" s="77">
        <v>1E-8</v>
      </c>
      <c r="AM131" s="77">
        <v>1E-8</v>
      </c>
      <c r="AN131" s="77">
        <v>1E-8</v>
      </c>
      <c r="AO131" s="77">
        <v>1E-8</v>
      </c>
      <c r="AP131" s="77">
        <v>1E-8</v>
      </c>
      <c r="AQ131" s="77">
        <v>1E-8</v>
      </c>
      <c r="AR131" s="44"/>
      <c r="AS131" s="34"/>
      <c r="AT131" s="11" t="s">
        <v>688</v>
      </c>
      <c r="AU131" s="44"/>
      <c r="AV131" s="90" t="s">
        <v>359</v>
      </c>
      <c r="AW131" s="77">
        <v>1E-8</v>
      </c>
      <c r="AX131" s="78">
        <v>1E-8</v>
      </c>
      <c r="AY131" s="77">
        <v>1E-8</v>
      </c>
      <c r="AZ131" s="77">
        <v>1E-8</v>
      </c>
      <c r="BA131" s="77">
        <v>1E-8</v>
      </c>
      <c r="BB131" s="77">
        <v>1E-8</v>
      </c>
      <c r="BC131" s="77">
        <v>1E-8</v>
      </c>
      <c r="BD131" s="77">
        <v>1E-8</v>
      </c>
      <c r="BE131" s="77">
        <v>1E-8</v>
      </c>
      <c r="BF131" s="77">
        <v>1E-8</v>
      </c>
      <c r="BG131" s="44"/>
      <c r="BH131" s="34"/>
      <c r="BI131" s="11" t="s">
        <v>688</v>
      </c>
      <c r="BJ131" s="44"/>
      <c r="BK131" s="90" t="s">
        <v>359</v>
      </c>
      <c r="BL131" s="77">
        <v>1E-8</v>
      </c>
      <c r="BM131" s="78">
        <v>1E-8</v>
      </c>
      <c r="BN131" s="77">
        <v>1E-8</v>
      </c>
      <c r="BO131" s="77">
        <v>1E-8</v>
      </c>
      <c r="BP131" s="77">
        <v>1E-8</v>
      </c>
      <c r="BQ131" s="77">
        <v>1E-8</v>
      </c>
      <c r="BR131" s="77">
        <v>1E-8</v>
      </c>
      <c r="BS131" s="77">
        <v>1E-8</v>
      </c>
      <c r="BT131" s="77">
        <v>1E-8</v>
      </c>
      <c r="BU131" s="77">
        <v>1E-8</v>
      </c>
      <c r="BV131" s="44"/>
      <c r="BW131" s="34"/>
      <c r="BX131" s="11" t="s">
        <v>688</v>
      </c>
      <c r="BY131" s="44"/>
      <c r="BZ131" s="90" t="s">
        <v>359</v>
      </c>
      <c r="CA131" s="77">
        <v>1E-8</v>
      </c>
      <c r="CB131" s="78">
        <v>1E-8</v>
      </c>
      <c r="CC131" s="77">
        <v>1E-8</v>
      </c>
      <c r="CD131" s="77">
        <v>1E-8</v>
      </c>
      <c r="CE131" s="77">
        <v>1E-8</v>
      </c>
      <c r="CF131" s="77">
        <v>1E-8</v>
      </c>
      <c r="CG131" s="77">
        <v>1E-8</v>
      </c>
      <c r="CH131" s="77">
        <v>1E-8</v>
      </c>
      <c r="CI131" s="77">
        <v>1E-8</v>
      </c>
      <c r="CJ131" s="77">
        <v>1E-8</v>
      </c>
      <c r="CK131" s="44"/>
    </row>
    <row r="132" spans="1:89" x14ac:dyDescent="0.35">
      <c r="A132" s="11" t="s">
        <v>689</v>
      </c>
      <c r="B132" s="44"/>
      <c r="C132" s="90" t="s">
        <v>360</v>
      </c>
      <c r="D132" s="77">
        <v>2.0120188820938258</v>
      </c>
      <c r="E132" s="78">
        <v>0.87127033156928491</v>
      </c>
      <c r="F132" s="77">
        <v>1E-8</v>
      </c>
      <c r="G132" s="77">
        <v>1E-8</v>
      </c>
      <c r="H132" s="77">
        <v>1E-8</v>
      </c>
      <c r="I132" s="77">
        <v>1E-8</v>
      </c>
      <c r="J132" s="77">
        <v>1E-8</v>
      </c>
      <c r="K132" s="77">
        <v>1E-8</v>
      </c>
      <c r="L132" s="77">
        <v>1E-8</v>
      </c>
      <c r="M132" s="77">
        <v>1E-8</v>
      </c>
      <c r="N132" s="44"/>
      <c r="O132" s="34"/>
      <c r="P132" s="11" t="s">
        <v>689</v>
      </c>
      <c r="Q132" s="44"/>
      <c r="R132" s="90" t="s">
        <v>360</v>
      </c>
      <c r="S132" s="77">
        <v>1.5553369888117876</v>
      </c>
      <c r="T132" s="78">
        <v>0.8712703315692627</v>
      </c>
      <c r="U132" s="77">
        <v>1E-8</v>
      </c>
      <c r="V132" s="77">
        <v>1E-8</v>
      </c>
      <c r="W132" s="77">
        <v>1E-8</v>
      </c>
      <c r="X132" s="77">
        <v>1E-8</v>
      </c>
      <c r="Y132" s="77">
        <v>1E-8</v>
      </c>
      <c r="Z132" s="77">
        <v>1E-8</v>
      </c>
      <c r="AA132" s="77">
        <v>1E-8</v>
      </c>
      <c r="AB132" s="77">
        <v>1E-8</v>
      </c>
      <c r="AC132" s="44"/>
      <c r="AD132" s="34"/>
      <c r="AE132" s="11" t="s">
        <v>689</v>
      </c>
      <c r="AF132" s="44"/>
      <c r="AG132" s="90" t="s">
        <v>360</v>
      </c>
      <c r="AH132" s="77">
        <v>1E-8</v>
      </c>
      <c r="AI132" s="78">
        <v>1E-8</v>
      </c>
      <c r="AJ132" s="77">
        <v>1E-8</v>
      </c>
      <c r="AK132" s="77">
        <v>1E-8</v>
      </c>
      <c r="AL132" s="77">
        <v>1E-8</v>
      </c>
      <c r="AM132" s="77">
        <v>1E-8</v>
      </c>
      <c r="AN132" s="77">
        <v>1E-8</v>
      </c>
      <c r="AO132" s="77">
        <v>1E-8</v>
      </c>
      <c r="AP132" s="77">
        <v>1E-8</v>
      </c>
      <c r="AQ132" s="77">
        <v>1E-8</v>
      </c>
      <c r="AR132" s="44"/>
      <c r="AS132" s="34"/>
      <c r="AT132" s="11" t="s">
        <v>689</v>
      </c>
      <c r="AU132" s="44"/>
      <c r="AV132" s="90" t="s">
        <v>360</v>
      </c>
      <c r="AW132" s="77">
        <v>1E-8</v>
      </c>
      <c r="AX132" s="78">
        <v>1E-8</v>
      </c>
      <c r="AY132" s="77">
        <v>1E-8</v>
      </c>
      <c r="AZ132" s="77">
        <v>1E-8</v>
      </c>
      <c r="BA132" s="77">
        <v>1E-8</v>
      </c>
      <c r="BB132" s="77">
        <v>1E-8</v>
      </c>
      <c r="BC132" s="77">
        <v>1E-8</v>
      </c>
      <c r="BD132" s="77">
        <v>1E-8</v>
      </c>
      <c r="BE132" s="77">
        <v>1E-8</v>
      </c>
      <c r="BF132" s="77">
        <v>1E-8</v>
      </c>
      <c r="BG132" s="44"/>
      <c r="BH132" s="34"/>
      <c r="BI132" s="11" t="s">
        <v>689</v>
      </c>
      <c r="BJ132" s="44"/>
      <c r="BK132" s="90" t="s">
        <v>360</v>
      </c>
      <c r="BL132" s="77">
        <v>1E-8</v>
      </c>
      <c r="BM132" s="78">
        <v>1E-8</v>
      </c>
      <c r="BN132" s="77">
        <v>1E-8</v>
      </c>
      <c r="BO132" s="77">
        <v>1E-8</v>
      </c>
      <c r="BP132" s="77">
        <v>1E-8</v>
      </c>
      <c r="BQ132" s="77">
        <v>1E-8</v>
      </c>
      <c r="BR132" s="77">
        <v>1E-8</v>
      </c>
      <c r="BS132" s="77">
        <v>1E-8</v>
      </c>
      <c r="BT132" s="77">
        <v>1E-8</v>
      </c>
      <c r="BU132" s="77">
        <v>1E-8</v>
      </c>
      <c r="BV132" s="44"/>
      <c r="BW132" s="34"/>
      <c r="BX132" s="11" t="s">
        <v>689</v>
      </c>
      <c r="BY132" s="44"/>
      <c r="BZ132" s="90" t="s">
        <v>360</v>
      </c>
      <c r="CA132" s="77">
        <v>1E-8</v>
      </c>
      <c r="CB132" s="78">
        <v>1E-8</v>
      </c>
      <c r="CC132" s="77">
        <v>1E-8</v>
      </c>
      <c r="CD132" s="77">
        <v>1E-8</v>
      </c>
      <c r="CE132" s="77">
        <v>1E-8</v>
      </c>
      <c r="CF132" s="77">
        <v>1E-8</v>
      </c>
      <c r="CG132" s="77">
        <v>1E-8</v>
      </c>
      <c r="CH132" s="77">
        <v>1E-8</v>
      </c>
      <c r="CI132" s="77">
        <v>1E-8</v>
      </c>
      <c r="CJ132" s="77">
        <v>1E-8</v>
      </c>
      <c r="CK132" s="44"/>
    </row>
    <row r="133" spans="1:89" x14ac:dyDescent="0.35">
      <c r="A133" s="11" t="s">
        <v>205</v>
      </c>
      <c r="B133" s="44"/>
      <c r="C133" s="90" t="s">
        <v>586</v>
      </c>
      <c r="D133" s="77">
        <v>5.7820902125086997</v>
      </c>
      <c r="E133" s="78">
        <v>-0.60328259647677296</v>
      </c>
      <c r="F133" s="77">
        <v>1E-8</v>
      </c>
      <c r="G133" s="77">
        <v>1E-8</v>
      </c>
      <c r="H133" s="77">
        <v>1E-8</v>
      </c>
      <c r="I133" s="77">
        <v>1E-8</v>
      </c>
      <c r="J133" s="77">
        <v>1E-8</v>
      </c>
      <c r="K133" s="77">
        <v>1E-8</v>
      </c>
      <c r="L133" s="77">
        <v>1E-8</v>
      </c>
      <c r="M133" s="77">
        <v>1E-8</v>
      </c>
      <c r="N133" s="44"/>
      <c r="O133" s="34"/>
      <c r="P133" s="11" t="s">
        <v>205</v>
      </c>
      <c r="Q133" s="44"/>
      <c r="R133" s="90" t="s">
        <v>586</v>
      </c>
      <c r="S133" s="77">
        <v>6.1723742292773425</v>
      </c>
      <c r="T133" s="78">
        <v>1.1846133022397343</v>
      </c>
      <c r="U133" s="77">
        <v>1E-8</v>
      </c>
      <c r="V133" s="77">
        <v>1E-8</v>
      </c>
      <c r="W133" s="77">
        <v>1E-8</v>
      </c>
      <c r="X133" s="77">
        <v>1E-8</v>
      </c>
      <c r="Y133" s="77">
        <v>1E-8</v>
      </c>
      <c r="Z133" s="77">
        <v>1E-8</v>
      </c>
      <c r="AA133" s="77">
        <v>1E-8</v>
      </c>
      <c r="AB133" s="77">
        <v>1E-8</v>
      </c>
      <c r="AC133" s="44"/>
      <c r="AD133" s="34"/>
      <c r="AE133" s="11" t="s">
        <v>205</v>
      </c>
      <c r="AF133" s="44"/>
      <c r="AG133" s="90" t="s">
        <v>586</v>
      </c>
      <c r="AH133" s="77">
        <v>1E-8</v>
      </c>
      <c r="AI133" s="78">
        <v>1E-8</v>
      </c>
      <c r="AJ133" s="77">
        <v>1E-8</v>
      </c>
      <c r="AK133" s="77">
        <v>1E-8</v>
      </c>
      <c r="AL133" s="77">
        <v>1E-8</v>
      </c>
      <c r="AM133" s="77">
        <v>1E-8</v>
      </c>
      <c r="AN133" s="77">
        <v>1E-8</v>
      </c>
      <c r="AO133" s="77">
        <v>1E-8</v>
      </c>
      <c r="AP133" s="77">
        <v>1E-8</v>
      </c>
      <c r="AQ133" s="77">
        <v>1E-8</v>
      </c>
      <c r="AR133" s="44"/>
      <c r="AS133" s="34"/>
      <c r="AT133" s="11" t="s">
        <v>205</v>
      </c>
      <c r="AU133" s="44"/>
      <c r="AV133" s="90" t="s">
        <v>586</v>
      </c>
      <c r="AW133" s="77">
        <v>7.1997326073799179</v>
      </c>
      <c r="AX133" s="78">
        <v>6.558569968886796</v>
      </c>
      <c r="AY133" s="77">
        <v>1E-8</v>
      </c>
      <c r="AZ133" s="77">
        <v>1E-8</v>
      </c>
      <c r="BA133" s="77">
        <v>1E-8</v>
      </c>
      <c r="BB133" s="77">
        <v>1E-8</v>
      </c>
      <c r="BC133" s="77">
        <v>1E-8</v>
      </c>
      <c r="BD133" s="77">
        <v>1E-8</v>
      </c>
      <c r="BE133" s="77">
        <v>1E-8</v>
      </c>
      <c r="BF133" s="77">
        <v>1E-8</v>
      </c>
      <c r="BG133" s="44"/>
      <c r="BH133" s="34"/>
      <c r="BI133" s="11" t="s">
        <v>205</v>
      </c>
      <c r="BJ133" s="44"/>
      <c r="BK133" s="90" t="s">
        <v>586</v>
      </c>
      <c r="BL133" s="77">
        <v>1E-8</v>
      </c>
      <c r="BM133" s="78">
        <v>1E-8</v>
      </c>
      <c r="BN133" s="77">
        <v>1E-8</v>
      </c>
      <c r="BO133" s="77">
        <v>1E-8</v>
      </c>
      <c r="BP133" s="77">
        <v>1E-8</v>
      </c>
      <c r="BQ133" s="77">
        <v>1E-8</v>
      </c>
      <c r="BR133" s="77">
        <v>1E-8</v>
      </c>
      <c r="BS133" s="77">
        <v>1E-8</v>
      </c>
      <c r="BT133" s="77">
        <v>1E-8</v>
      </c>
      <c r="BU133" s="77">
        <v>1E-8</v>
      </c>
      <c r="BV133" s="44"/>
      <c r="BW133" s="34"/>
      <c r="BX133" s="11" t="s">
        <v>205</v>
      </c>
      <c r="BY133" s="44"/>
      <c r="BZ133" s="90" t="s">
        <v>586</v>
      </c>
      <c r="CA133" s="77">
        <v>9.046024851188875</v>
      </c>
      <c r="CB133" s="78">
        <v>1E-8</v>
      </c>
      <c r="CC133" s="77">
        <v>1E-8</v>
      </c>
      <c r="CD133" s="77">
        <v>1E-8</v>
      </c>
      <c r="CE133" s="77">
        <v>1E-8</v>
      </c>
      <c r="CF133" s="77">
        <v>1E-8</v>
      </c>
      <c r="CG133" s="77">
        <v>1E-8</v>
      </c>
      <c r="CH133" s="77">
        <v>1E-8</v>
      </c>
      <c r="CI133" s="77">
        <v>1E-8</v>
      </c>
      <c r="CJ133" s="77">
        <v>1E-8</v>
      </c>
      <c r="CK133" s="44"/>
    </row>
    <row r="134" spans="1:89" x14ac:dyDescent="0.35">
      <c r="A134" s="9" t="s">
        <v>690</v>
      </c>
      <c r="B134" s="44"/>
      <c r="C134" s="91" t="s">
        <v>587</v>
      </c>
      <c r="D134" s="79">
        <v>0.92575670079109107</v>
      </c>
      <c r="E134" s="80">
        <v>-0.58400729624221714</v>
      </c>
      <c r="F134" s="79">
        <v>1E-8</v>
      </c>
      <c r="G134" s="79">
        <v>1E-8</v>
      </c>
      <c r="H134" s="79">
        <v>1E-8</v>
      </c>
      <c r="I134" s="79">
        <v>1E-8</v>
      </c>
      <c r="J134" s="79">
        <v>1E-8</v>
      </c>
      <c r="K134" s="79">
        <v>1E-8</v>
      </c>
      <c r="L134" s="79">
        <v>1E-8</v>
      </c>
      <c r="M134" s="79">
        <v>1E-8</v>
      </c>
      <c r="N134" s="44"/>
      <c r="O134" s="34"/>
      <c r="P134" s="9" t="s">
        <v>690</v>
      </c>
      <c r="Q134" s="44"/>
      <c r="R134" s="91" t="s">
        <v>587</v>
      </c>
      <c r="S134" s="79">
        <v>0.71584130857042916</v>
      </c>
      <c r="T134" s="80">
        <v>-0.58400729624222825</v>
      </c>
      <c r="U134" s="79">
        <v>1E-8</v>
      </c>
      <c r="V134" s="79">
        <v>1E-8</v>
      </c>
      <c r="W134" s="79">
        <v>1E-8</v>
      </c>
      <c r="X134" s="79">
        <v>1E-8</v>
      </c>
      <c r="Y134" s="79">
        <v>1E-8</v>
      </c>
      <c r="Z134" s="79">
        <v>1E-8</v>
      </c>
      <c r="AA134" s="79">
        <v>1E-8</v>
      </c>
      <c r="AB134" s="79">
        <v>1E-8</v>
      </c>
      <c r="AC134" s="44"/>
      <c r="AD134" s="34"/>
      <c r="AE134" s="9" t="s">
        <v>690</v>
      </c>
      <c r="AF134" s="44"/>
      <c r="AG134" s="91" t="s">
        <v>587</v>
      </c>
      <c r="AH134" s="79">
        <v>1E-8</v>
      </c>
      <c r="AI134" s="80">
        <v>1E-8</v>
      </c>
      <c r="AJ134" s="79">
        <v>1E-8</v>
      </c>
      <c r="AK134" s="79">
        <v>1E-8</v>
      </c>
      <c r="AL134" s="79">
        <v>1E-8</v>
      </c>
      <c r="AM134" s="79">
        <v>1E-8</v>
      </c>
      <c r="AN134" s="79">
        <v>1E-8</v>
      </c>
      <c r="AO134" s="79">
        <v>1E-8</v>
      </c>
      <c r="AP134" s="79">
        <v>1E-8</v>
      </c>
      <c r="AQ134" s="79">
        <v>1E-8</v>
      </c>
      <c r="AR134" s="44"/>
      <c r="AS134" s="34"/>
      <c r="AT134" s="9" t="s">
        <v>690</v>
      </c>
      <c r="AU134" s="44"/>
      <c r="AV134" s="91" t="s">
        <v>587</v>
      </c>
      <c r="AW134" s="79">
        <v>1E-8</v>
      </c>
      <c r="AX134" s="80">
        <v>1E-8</v>
      </c>
      <c r="AY134" s="79">
        <v>1E-8</v>
      </c>
      <c r="AZ134" s="79">
        <v>1E-8</v>
      </c>
      <c r="BA134" s="79">
        <v>1E-8</v>
      </c>
      <c r="BB134" s="79">
        <v>1E-8</v>
      </c>
      <c r="BC134" s="79">
        <v>1E-8</v>
      </c>
      <c r="BD134" s="79">
        <v>1E-8</v>
      </c>
      <c r="BE134" s="79">
        <v>1E-8</v>
      </c>
      <c r="BF134" s="79">
        <v>1E-8</v>
      </c>
      <c r="BG134" s="44"/>
      <c r="BH134" s="34"/>
      <c r="BI134" s="9" t="s">
        <v>690</v>
      </c>
      <c r="BJ134" s="44"/>
      <c r="BK134" s="91" t="s">
        <v>587</v>
      </c>
      <c r="BL134" s="79">
        <v>1E-8</v>
      </c>
      <c r="BM134" s="80">
        <v>1E-8</v>
      </c>
      <c r="BN134" s="79">
        <v>1E-8</v>
      </c>
      <c r="BO134" s="79">
        <v>1E-8</v>
      </c>
      <c r="BP134" s="79">
        <v>1E-8</v>
      </c>
      <c r="BQ134" s="79">
        <v>1E-8</v>
      </c>
      <c r="BR134" s="79">
        <v>1E-8</v>
      </c>
      <c r="BS134" s="79">
        <v>1E-8</v>
      </c>
      <c r="BT134" s="79">
        <v>1E-8</v>
      </c>
      <c r="BU134" s="79">
        <v>1E-8</v>
      </c>
      <c r="BV134" s="44"/>
      <c r="BW134" s="34"/>
      <c r="BX134" s="9" t="s">
        <v>690</v>
      </c>
      <c r="BY134" s="44"/>
      <c r="BZ134" s="91" t="s">
        <v>587</v>
      </c>
      <c r="CA134" s="79">
        <v>1E-8</v>
      </c>
      <c r="CB134" s="80">
        <v>1E-8</v>
      </c>
      <c r="CC134" s="79">
        <v>1E-8</v>
      </c>
      <c r="CD134" s="79">
        <v>1E-8</v>
      </c>
      <c r="CE134" s="79">
        <v>1E-8</v>
      </c>
      <c r="CF134" s="79">
        <v>1E-8</v>
      </c>
      <c r="CG134" s="79">
        <v>1E-8</v>
      </c>
      <c r="CH134" s="79">
        <v>1E-8</v>
      </c>
      <c r="CI134" s="79">
        <v>1E-8</v>
      </c>
      <c r="CJ134" s="79">
        <v>1E-8</v>
      </c>
      <c r="CK134" s="44"/>
    </row>
    <row r="135" spans="1:89" x14ac:dyDescent="0.35">
      <c r="A135" s="9" t="s">
        <v>691</v>
      </c>
      <c r="B135" s="44"/>
      <c r="C135" s="91" t="s">
        <v>588</v>
      </c>
      <c r="D135" s="79">
        <v>0.14282383130776649</v>
      </c>
      <c r="E135" s="80">
        <v>-1.1022753234074645</v>
      </c>
      <c r="F135" s="79">
        <v>1E-8</v>
      </c>
      <c r="G135" s="79">
        <v>1E-8</v>
      </c>
      <c r="H135" s="79">
        <v>1E-8</v>
      </c>
      <c r="I135" s="79">
        <v>1E-8</v>
      </c>
      <c r="J135" s="79">
        <v>1E-8</v>
      </c>
      <c r="K135" s="79">
        <v>1E-8</v>
      </c>
      <c r="L135" s="79">
        <v>1E-8</v>
      </c>
      <c r="M135" s="79">
        <v>1E-8</v>
      </c>
      <c r="N135" s="44"/>
      <c r="O135" s="34"/>
      <c r="P135" s="9" t="s">
        <v>691</v>
      </c>
      <c r="Q135" s="44"/>
      <c r="R135" s="91" t="s">
        <v>588</v>
      </c>
      <c r="S135" s="79">
        <v>0.1115787557382492</v>
      </c>
      <c r="T135" s="80">
        <v>-1.1022753234074978</v>
      </c>
      <c r="U135" s="79">
        <v>1E-8</v>
      </c>
      <c r="V135" s="79">
        <v>1E-8</v>
      </c>
      <c r="W135" s="79">
        <v>1E-8</v>
      </c>
      <c r="X135" s="79">
        <v>1E-8</v>
      </c>
      <c r="Y135" s="79">
        <v>1E-8</v>
      </c>
      <c r="Z135" s="79">
        <v>1E-8</v>
      </c>
      <c r="AA135" s="79">
        <v>1E-8</v>
      </c>
      <c r="AB135" s="79">
        <v>1E-8</v>
      </c>
      <c r="AC135" s="44"/>
      <c r="AD135" s="34"/>
      <c r="AE135" s="9" t="s">
        <v>691</v>
      </c>
      <c r="AF135" s="44"/>
      <c r="AG135" s="91" t="s">
        <v>588</v>
      </c>
      <c r="AH135" s="79">
        <v>1E-8</v>
      </c>
      <c r="AI135" s="80">
        <v>1E-8</v>
      </c>
      <c r="AJ135" s="79">
        <v>1E-8</v>
      </c>
      <c r="AK135" s="79">
        <v>1E-8</v>
      </c>
      <c r="AL135" s="79">
        <v>1E-8</v>
      </c>
      <c r="AM135" s="79">
        <v>1E-8</v>
      </c>
      <c r="AN135" s="79">
        <v>1E-8</v>
      </c>
      <c r="AO135" s="79">
        <v>1E-8</v>
      </c>
      <c r="AP135" s="79">
        <v>1E-8</v>
      </c>
      <c r="AQ135" s="79">
        <v>1E-8</v>
      </c>
      <c r="AR135" s="44"/>
      <c r="AS135" s="34"/>
      <c r="AT135" s="9" t="s">
        <v>691</v>
      </c>
      <c r="AU135" s="44"/>
      <c r="AV135" s="91" t="s">
        <v>588</v>
      </c>
      <c r="AW135" s="79">
        <v>1E-8</v>
      </c>
      <c r="AX135" s="80">
        <v>1E-8</v>
      </c>
      <c r="AY135" s="79">
        <v>1E-8</v>
      </c>
      <c r="AZ135" s="79">
        <v>1E-8</v>
      </c>
      <c r="BA135" s="79">
        <v>1E-8</v>
      </c>
      <c r="BB135" s="79">
        <v>1E-8</v>
      </c>
      <c r="BC135" s="79">
        <v>1E-8</v>
      </c>
      <c r="BD135" s="79">
        <v>1E-8</v>
      </c>
      <c r="BE135" s="79">
        <v>1E-8</v>
      </c>
      <c r="BF135" s="79">
        <v>1E-8</v>
      </c>
      <c r="BG135" s="44"/>
      <c r="BH135" s="34"/>
      <c r="BI135" s="9" t="s">
        <v>691</v>
      </c>
      <c r="BJ135" s="44"/>
      <c r="BK135" s="91" t="s">
        <v>588</v>
      </c>
      <c r="BL135" s="79">
        <v>1E-8</v>
      </c>
      <c r="BM135" s="80">
        <v>1E-8</v>
      </c>
      <c r="BN135" s="79">
        <v>1E-8</v>
      </c>
      <c r="BO135" s="79">
        <v>1E-8</v>
      </c>
      <c r="BP135" s="79">
        <v>1E-8</v>
      </c>
      <c r="BQ135" s="79">
        <v>1E-8</v>
      </c>
      <c r="BR135" s="79">
        <v>1E-8</v>
      </c>
      <c r="BS135" s="79">
        <v>1E-8</v>
      </c>
      <c r="BT135" s="79">
        <v>1E-8</v>
      </c>
      <c r="BU135" s="79">
        <v>1E-8</v>
      </c>
      <c r="BV135" s="44"/>
      <c r="BW135" s="34"/>
      <c r="BX135" s="9" t="s">
        <v>691</v>
      </c>
      <c r="BY135" s="44"/>
      <c r="BZ135" s="91" t="s">
        <v>588</v>
      </c>
      <c r="CA135" s="79">
        <v>1E-8</v>
      </c>
      <c r="CB135" s="80">
        <v>1E-8</v>
      </c>
      <c r="CC135" s="79">
        <v>1E-8</v>
      </c>
      <c r="CD135" s="79">
        <v>1E-8</v>
      </c>
      <c r="CE135" s="79">
        <v>1E-8</v>
      </c>
      <c r="CF135" s="79">
        <v>1E-8</v>
      </c>
      <c r="CG135" s="79">
        <v>1E-8</v>
      </c>
      <c r="CH135" s="79">
        <v>1E-8</v>
      </c>
      <c r="CI135" s="79">
        <v>1E-8</v>
      </c>
      <c r="CJ135" s="79">
        <v>1E-8</v>
      </c>
      <c r="CK135" s="44"/>
    </row>
    <row r="136" spans="1:89" x14ac:dyDescent="0.35">
      <c r="A136" s="9" t="s">
        <v>692</v>
      </c>
      <c r="B136" s="44"/>
      <c r="C136" s="91" t="s">
        <v>589</v>
      </c>
      <c r="D136" s="79">
        <v>0.60113689713453178</v>
      </c>
      <c r="E136" s="80">
        <v>-1.3123111859376424</v>
      </c>
      <c r="F136" s="79">
        <v>1E-8</v>
      </c>
      <c r="G136" s="79">
        <v>1E-8</v>
      </c>
      <c r="H136" s="79">
        <v>1E-8</v>
      </c>
      <c r="I136" s="79">
        <v>1E-8</v>
      </c>
      <c r="J136" s="79">
        <v>1E-8</v>
      </c>
      <c r="K136" s="79">
        <v>1E-8</v>
      </c>
      <c r="L136" s="79">
        <v>1E-8</v>
      </c>
      <c r="M136" s="79">
        <v>1E-8</v>
      </c>
      <c r="N136" s="44"/>
      <c r="O136" s="34"/>
      <c r="P136" s="9" t="s">
        <v>692</v>
      </c>
      <c r="Q136" s="44"/>
      <c r="R136" s="91" t="s">
        <v>589</v>
      </c>
      <c r="S136" s="79">
        <v>0.49329539838540959</v>
      </c>
      <c r="T136" s="80">
        <v>-1.3123111859376313</v>
      </c>
      <c r="U136" s="79">
        <v>1E-8</v>
      </c>
      <c r="V136" s="79">
        <v>1E-8</v>
      </c>
      <c r="W136" s="79">
        <v>1E-8</v>
      </c>
      <c r="X136" s="79">
        <v>1E-8</v>
      </c>
      <c r="Y136" s="79">
        <v>1E-8</v>
      </c>
      <c r="Z136" s="79">
        <v>1E-8</v>
      </c>
      <c r="AA136" s="79">
        <v>1E-8</v>
      </c>
      <c r="AB136" s="79">
        <v>1E-8</v>
      </c>
      <c r="AC136" s="44"/>
      <c r="AD136" s="34"/>
      <c r="AE136" s="9" t="s">
        <v>692</v>
      </c>
      <c r="AF136" s="44"/>
      <c r="AG136" s="91" t="s">
        <v>589</v>
      </c>
      <c r="AH136" s="79">
        <v>1E-8</v>
      </c>
      <c r="AI136" s="80">
        <v>1E-8</v>
      </c>
      <c r="AJ136" s="79">
        <v>1E-8</v>
      </c>
      <c r="AK136" s="79">
        <v>1E-8</v>
      </c>
      <c r="AL136" s="79">
        <v>1E-8</v>
      </c>
      <c r="AM136" s="79">
        <v>1E-8</v>
      </c>
      <c r="AN136" s="79">
        <v>1E-8</v>
      </c>
      <c r="AO136" s="79">
        <v>1E-8</v>
      </c>
      <c r="AP136" s="79">
        <v>1E-8</v>
      </c>
      <c r="AQ136" s="79">
        <v>1E-8</v>
      </c>
      <c r="AR136" s="44"/>
      <c r="AS136" s="34"/>
      <c r="AT136" s="9" t="s">
        <v>692</v>
      </c>
      <c r="AU136" s="44"/>
      <c r="AV136" s="91" t="s">
        <v>589</v>
      </c>
      <c r="AW136" s="79">
        <v>1E-8</v>
      </c>
      <c r="AX136" s="80">
        <v>1E-8</v>
      </c>
      <c r="AY136" s="79">
        <v>1E-8</v>
      </c>
      <c r="AZ136" s="79">
        <v>1E-8</v>
      </c>
      <c r="BA136" s="79">
        <v>1E-8</v>
      </c>
      <c r="BB136" s="79">
        <v>1E-8</v>
      </c>
      <c r="BC136" s="79">
        <v>1E-8</v>
      </c>
      <c r="BD136" s="79">
        <v>1E-8</v>
      </c>
      <c r="BE136" s="79">
        <v>1E-8</v>
      </c>
      <c r="BF136" s="79">
        <v>1E-8</v>
      </c>
      <c r="BG136" s="44"/>
      <c r="BH136" s="34"/>
      <c r="BI136" s="9" t="s">
        <v>692</v>
      </c>
      <c r="BJ136" s="44"/>
      <c r="BK136" s="91" t="s">
        <v>589</v>
      </c>
      <c r="BL136" s="79">
        <v>1E-8</v>
      </c>
      <c r="BM136" s="80">
        <v>1E-8</v>
      </c>
      <c r="BN136" s="79">
        <v>1E-8</v>
      </c>
      <c r="BO136" s="79">
        <v>1E-8</v>
      </c>
      <c r="BP136" s="79">
        <v>1E-8</v>
      </c>
      <c r="BQ136" s="79">
        <v>1E-8</v>
      </c>
      <c r="BR136" s="79">
        <v>1E-8</v>
      </c>
      <c r="BS136" s="79">
        <v>1E-8</v>
      </c>
      <c r="BT136" s="79">
        <v>1E-8</v>
      </c>
      <c r="BU136" s="79">
        <v>1E-8</v>
      </c>
      <c r="BV136" s="44"/>
      <c r="BW136" s="34"/>
      <c r="BX136" s="9" t="s">
        <v>692</v>
      </c>
      <c r="BY136" s="44"/>
      <c r="BZ136" s="91" t="s">
        <v>589</v>
      </c>
      <c r="CA136" s="79">
        <v>1E-8</v>
      </c>
      <c r="CB136" s="80">
        <v>1E-8</v>
      </c>
      <c r="CC136" s="79">
        <v>1E-8</v>
      </c>
      <c r="CD136" s="79">
        <v>1E-8</v>
      </c>
      <c r="CE136" s="79">
        <v>1E-8</v>
      </c>
      <c r="CF136" s="79">
        <v>1E-8</v>
      </c>
      <c r="CG136" s="79">
        <v>1E-8</v>
      </c>
      <c r="CH136" s="79">
        <v>1E-8</v>
      </c>
      <c r="CI136" s="79">
        <v>1E-8</v>
      </c>
      <c r="CJ136" s="79">
        <v>1E-8</v>
      </c>
      <c r="CK136" s="44"/>
    </row>
    <row r="137" spans="1:89" x14ac:dyDescent="0.35">
      <c r="A137" s="9" t="s">
        <v>693</v>
      </c>
      <c r="B137" s="44"/>
      <c r="C137" s="91" t="s">
        <v>361</v>
      </c>
      <c r="D137" s="79">
        <v>3.8711474996609381</v>
      </c>
      <c r="E137" s="80">
        <v>-0.43372098491264444</v>
      </c>
      <c r="F137" s="79">
        <v>1E-8</v>
      </c>
      <c r="G137" s="79">
        <v>1E-8</v>
      </c>
      <c r="H137" s="79">
        <v>1E-8</v>
      </c>
      <c r="I137" s="79">
        <v>1E-8</v>
      </c>
      <c r="J137" s="79">
        <v>1E-8</v>
      </c>
      <c r="K137" s="79">
        <v>1E-8</v>
      </c>
      <c r="L137" s="79">
        <v>1E-8</v>
      </c>
      <c r="M137" s="79">
        <v>1E-8</v>
      </c>
      <c r="N137" s="44"/>
      <c r="O137" s="34"/>
      <c r="P137" s="9" t="s">
        <v>693</v>
      </c>
      <c r="Q137" s="44"/>
      <c r="R137" s="91" t="s">
        <v>361</v>
      </c>
      <c r="S137" s="79">
        <v>3.0880690803535908</v>
      </c>
      <c r="T137" s="80">
        <v>-0.43372098491265554</v>
      </c>
      <c r="U137" s="79">
        <v>1E-8</v>
      </c>
      <c r="V137" s="79">
        <v>1E-8</v>
      </c>
      <c r="W137" s="79">
        <v>1E-8</v>
      </c>
      <c r="X137" s="79">
        <v>1E-8</v>
      </c>
      <c r="Y137" s="79">
        <v>1E-8</v>
      </c>
      <c r="Z137" s="79">
        <v>1E-8</v>
      </c>
      <c r="AA137" s="79">
        <v>1E-8</v>
      </c>
      <c r="AB137" s="79">
        <v>1E-8</v>
      </c>
      <c r="AC137" s="44"/>
      <c r="AD137" s="34"/>
      <c r="AE137" s="9" t="s">
        <v>693</v>
      </c>
      <c r="AF137" s="44"/>
      <c r="AG137" s="91" t="s">
        <v>361</v>
      </c>
      <c r="AH137" s="79">
        <v>1E-8</v>
      </c>
      <c r="AI137" s="80">
        <v>1E-8</v>
      </c>
      <c r="AJ137" s="79">
        <v>1E-8</v>
      </c>
      <c r="AK137" s="79">
        <v>1E-8</v>
      </c>
      <c r="AL137" s="79">
        <v>1E-8</v>
      </c>
      <c r="AM137" s="79">
        <v>1E-8</v>
      </c>
      <c r="AN137" s="79">
        <v>1E-8</v>
      </c>
      <c r="AO137" s="79">
        <v>1E-8</v>
      </c>
      <c r="AP137" s="79">
        <v>1E-8</v>
      </c>
      <c r="AQ137" s="79">
        <v>1E-8</v>
      </c>
      <c r="AR137" s="44"/>
      <c r="AS137" s="34"/>
      <c r="AT137" s="9" t="s">
        <v>693</v>
      </c>
      <c r="AU137" s="44"/>
      <c r="AV137" s="91" t="s">
        <v>361</v>
      </c>
      <c r="AW137" s="79">
        <v>1E-8</v>
      </c>
      <c r="AX137" s="80">
        <v>1E-8</v>
      </c>
      <c r="AY137" s="79">
        <v>1E-8</v>
      </c>
      <c r="AZ137" s="79">
        <v>1E-8</v>
      </c>
      <c r="BA137" s="79">
        <v>1E-8</v>
      </c>
      <c r="BB137" s="79">
        <v>1E-8</v>
      </c>
      <c r="BC137" s="79">
        <v>1E-8</v>
      </c>
      <c r="BD137" s="79">
        <v>1E-8</v>
      </c>
      <c r="BE137" s="79">
        <v>1E-8</v>
      </c>
      <c r="BF137" s="79">
        <v>1E-8</v>
      </c>
      <c r="BG137" s="44"/>
      <c r="BH137" s="34"/>
      <c r="BI137" s="9" t="s">
        <v>693</v>
      </c>
      <c r="BJ137" s="44"/>
      <c r="BK137" s="91" t="s">
        <v>361</v>
      </c>
      <c r="BL137" s="79">
        <v>1E-8</v>
      </c>
      <c r="BM137" s="80">
        <v>1E-8</v>
      </c>
      <c r="BN137" s="79">
        <v>1E-8</v>
      </c>
      <c r="BO137" s="79">
        <v>1E-8</v>
      </c>
      <c r="BP137" s="79">
        <v>1E-8</v>
      </c>
      <c r="BQ137" s="79">
        <v>1E-8</v>
      </c>
      <c r="BR137" s="79">
        <v>1E-8</v>
      </c>
      <c r="BS137" s="79">
        <v>1E-8</v>
      </c>
      <c r="BT137" s="79">
        <v>1E-8</v>
      </c>
      <c r="BU137" s="79">
        <v>1E-8</v>
      </c>
      <c r="BV137" s="44"/>
      <c r="BW137" s="34"/>
      <c r="BX137" s="9" t="s">
        <v>693</v>
      </c>
      <c r="BY137" s="44"/>
      <c r="BZ137" s="91" t="s">
        <v>361</v>
      </c>
      <c r="CA137" s="79">
        <v>1E-8</v>
      </c>
      <c r="CB137" s="80">
        <v>1E-8</v>
      </c>
      <c r="CC137" s="79">
        <v>1E-8</v>
      </c>
      <c r="CD137" s="79">
        <v>1E-8</v>
      </c>
      <c r="CE137" s="79">
        <v>1E-8</v>
      </c>
      <c r="CF137" s="79">
        <v>1E-8</v>
      </c>
      <c r="CG137" s="79">
        <v>1E-8</v>
      </c>
      <c r="CH137" s="79">
        <v>1E-8</v>
      </c>
      <c r="CI137" s="79">
        <v>1E-8</v>
      </c>
      <c r="CJ137" s="79">
        <v>1E-8</v>
      </c>
      <c r="CK137" s="44"/>
    </row>
    <row r="138" spans="1:89" x14ac:dyDescent="0.35">
      <c r="A138" s="9" t="s">
        <v>694</v>
      </c>
      <c r="B138" s="44"/>
      <c r="C138" s="91" t="s">
        <v>590</v>
      </c>
      <c r="D138" s="79">
        <v>0.24122528361437259</v>
      </c>
      <c r="E138" s="80">
        <v>-1.3360040800855955</v>
      </c>
      <c r="F138" s="79">
        <v>1E-8</v>
      </c>
      <c r="G138" s="79">
        <v>1E-8</v>
      </c>
      <c r="H138" s="79">
        <v>1E-8</v>
      </c>
      <c r="I138" s="79">
        <v>1E-8</v>
      </c>
      <c r="J138" s="79">
        <v>1E-8</v>
      </c>
      <c r="K138" s="79">
        <v>1E-8</v>
      </c>
      <c r="L138" s="79">
        <v>1E-8</v>
      </c>
      <c r="M138" s="79">
        <v>1E-8</v>
      </c>
      <c r="N138" s="44"/>
      <c r="O138" s="34"/>
      <c r="P138" s="9" t="s">
        <v>694</v>
      </c>
      <c r="Q138" s="44"/>
      <c r="R138" s="91" t="s">
        <v>590</v>
      </c>
      <c r="S138" s="79">
        <v>0.18600657647421362</v>
      </c>
      <c r="T138" s="80">
        <v>-1.3360040800855733</v>
      </c>
      <c r="U138" s="79">
        <v>1E-8</v>
      </c>
      <c r="V138" s="79">
        <v>1E-8</v>
      </c>
      <c r="W138" s="79">
        <v>1E-8</v>
      </c>
      <c r="X138" s="79">
        <v>1E-8</v>
      </c>
      <c r="Y138" s="79">
        <v>1E-8</v>
      </c>
      <c r="Z138" s="79">
        <v>1E-8</v>
      </c>
      <c r="AA138" s="79">
        <v>1E-8</v>
      </c>
      <c r="AB138" s="79">
        <v>1E-8</v>
      </c>
      <c r="AC138" s="44"/>
      <c r="AD138" s="34"/>
      <c r="AE138" s="9" t="s">
        <v>694</v>
      </c>
      <c r="AF138" s="44"/>
      <c r="AG138" s="91" t="s">
        <v>590</v>
      </c>
      <c r="AH138" s="79">
        <v>1E-8</v>
      </c>
      <c r="AI138" s="80">
        <v>1E-8</v>
      </c>
      <c r="AJ138" s="79">
        <v>1E-8</v>
      </c>
      <c r="AK138" s="79">
        <v>1E-8</v>
      </c>
      <c r="AL138" s="79">
        <v>1E-8</v>
      </c>
      <c r="AM138" s="79">
        <v>1E-8</v>
      </c>
      <c r="AN138" s="79">
        <v>1E-8</v>
      </c>
      <c r="AO138" s="79">
        <v>1E-8</v>
      </c>
      <c r="AP138" s="79">
        <v>1E-8</v>
      </c>
      <c r="AQ138" s="79">
        <v>1E-8</v>
      </c>
      <c r="AR138" s="44"/>
      <c r="AS138" s="34"/>
      <c r="AT138" s="9" t="s">
        <v>694</v>
      </c>
      <c r="AU138" s="44"/>
      <c r="AV138" s="91" t="s">
        <v>590</v>
      </c>
      <c r="AW138" s="79">
        <v>1E-8</v>
      </c>
      <c r="AX138" s="80">
        <v>1E-8</v>
      </c>
      <c r="AY138" s="79">
        <v>1E-8</v>
      </c>
      <c r="AZ138" s="79">
        <v>1E-8</v>
      </c>
      <c r="BA138" s="79">
        <v>1E-8</v>
      </c>
      <c r="BB138" s="79">
        <v>1E-8</v>
      </c>
      <c r="BC138" s="79">
        <v>1E-8</v>
      </c>
      <c r="BD138" s="79">
        <v>1E-8</v>
      </c>
      <c r="BE138" s="79">
        <v>1E-8</v>
      </c>
      <c r="BF138" s="79">
        <v>1E-8</v>
      </c>
      <c r="BG138" s="44"/>
      <c r="BH138" s="34"/>
      <c r="BI138" s="9" t="s">
        <v>694</v>
      </c>
      <c r="BJ138" s="44"/>
      <c r="BK138" s="91" t="s">
        <v>590</v>
      </c>
      <c r="BL138" s="79">
        <v>1E-8</v>
      </c>
      <c r="BM138" s="80">
        <v>1E-8</v>
      </c>
      <c r="BN138" s="79">
        <v>1E-8</v>
      </c>
      <c r="BO138" s="79">
        <v>1E-8</v>
      </c>
      <c r="BP138" s="79">
        <v>1E-8</v>
      </c>
      <c r="BQ138" s="79">
        <v>1E-8</v>
      </c>
      <c r="BR138" s="79">
        <v>1E-8</v>
      </c>
      <c r="BS138" s="79">
        <v>1E-8</v>
      </c>
      <c r="BT138" s="79">
        <v>1E-8</v>
      </c>
      <c r="BU138" s="79">
        <v>1E-8</v>
      </c>
      <c r="BV138" s="44"/>
      <c r="BW138" s="34"/>
      <c r="BX138" s="9" t="s">
        <v>694</v>
      </c>
      <c r="BY138" s="44"/>
      <c r="BZ138" s="91" t="s">
        <v>590</v>
      </c>
      <c r="CA138" s="79">
        <v>1E-8</v>
      </c>
      <c r="CB138" s="80">
        <v>1E-8</v>
      </c>
      <c r="CC138" s="79">
        <v>1E-8</v>
      </c>
      <c r="CD138" s="79">
        <v>1E-8</v>
      </c>
      <c r="CE138" s="79">
        <v>1E-8</v>
      </c>
      <c r="CF138" s="79">
        <v>1E-8</v>
      </c>
      <c r="CG138" s="79">
        <v>1E-8</v>
      </c>
      <c r="CH138" s="79">
        <v>1E-8</v>
      </c>
      <c r="CI138" s="79">
        <v>1E-8</v>
      </c>
      <c r="CJ138" s="79">
        <v>1E-8</v>
      </c>
      <c r="CK138" s="44"/>
    </row>
    <row r="139" spans="1:89" x14ac:dyDescent="0.35">
      <c r="A139" s="9" t="s">
        <v>695</v>
      </c>
      <c r="B139" s="44"/>
      <c r="C139" s="91" t="s">
        <v>591</v>
      </c>
      <c r="D139" s="79">
        <v>1E-8</v>
      </c>
      <c r="E139" s="80">
        <v>1E-8</v>
      </c>
      <c r="F139" s="79">
        <v>1E-8</v>
      </c>
      <c r="G139" s="79">
        <v>1E-8</v>
      </c>
      <c r="H139" s="79">
        <v>1E-8</v>
      </c>
      <c r="I139" s="79">
        <v>1E-8</v>
      </c>
      <c r="J139" s="79">
        <v>1E-8</v>
      </c>
      <c r="K139" s="79">
        <v>1E-8</v>
      </c>
      <c r="L139" s="79">
        <v>1E-8</v>
      </c>
      <c r="M139" s="79">
        <v>1E-8</v>
      </c>
      <c r="N139" s="44"/>
      <c r="O139" s="34"/>
      <c r="P139" s="9" t="s">
        <v>695</v>
      </c>
      <c r="Q139" s="44"/>
      <c r="R139" s="91" t="s">
        <v>591</v>
      </c>
      <c r="S139" s="79">
        <v>1.5775831097554507</v>
      </c>
      <c r="T139" s="80">
        <v>6.5585699688868182</v>
      </c>
      <c r="U139" s="79">
        <v>1E-8</v>
      </c>
      <c r="V139" s="79">
        <v>1E-8</v>
      </c>
      <c r="W139" s="79">
        <v>1E-8</v>
      </c>
      <c r="X139" s="79">
        <v>1E-8</v>
      </c>
      <c r="Y139" s="79">
        <v>1E-8</v>
      </c>
      <c r="Z139" s="79">
        <v>1E-8</v>
      </c>
      <c r="AA139" s="79">
        <v>1E-8</v>
      </c>
      <c r="AB139" s="79">
        <v>1E-8</v>
      </c>
      <c r="AC139" s="44"/>
      <c r="AD139" s="34"/>
      <c r="AE139" s="9" t="s">
        <v>695</v>
      </c>
      <c r="AF139" s="44"/>
      <c r="AG139" s="91" t="s">
        <v>591</v>
      </c>
      <c r="AH139" s="79">
        <v>1E-8</v>
      </c>
      <c r="AI139" s="80">
        <v>1E-8</v>
      </c>
      <c r="AJ139" s="79">
        <v>1E-8</v>
      </c>
      <c r="AK139" s="79">
        <v>1E-8</v>
      </c>
      <c r="AL139" s="79">
        <v>1E-8</v>
      </c>
      <c r="AM139" s="79">
        <v>1E-8</v>
      </c>
      <c r="AN139" s="79">
        <v>1E-8</v>
      </c>
      <c r="AO139" s="79">
        <v>1E-8</v>
      </c>
      <c r="AP139" s="79">
        <v>1E-8</v>
      </c>
      <c r="AQ139" s="79">
        <v>1E-8</v>
      </c>
      <c r="AR139" s="44"/>
      <c r="AS139" s="34"/>
      <c r="AT139" s="9" t="s">
        <v>695</v>
      </c>
      <c r="AU139" s="44"/>
      <c r="AV139" s="91" t="s">
        <v>591</v>
      </c>
      <c r="AW139" s="79">
        <v>7.1997326073799179</v>
      </c>
      <c r="AX139" s="80">
        <v>6.558569968886796</v>
      </c>
      <c r="AY139" s="79">
        <v>1E-8</v>
      </c>
      <c r="AZ139" s="79">
        <v>1E-8</v>
      </c>
      <c r="BA139" s="79">
        <v>1E-8</v>
      </c>
      <c r="BB139" s="79">
        <v>1E-8</v>
      </c>
      <c r="BC139" s="79">
        <v>1E-8</v>
      </c>
      <c r="BD139" s="79">
        <v>1E-8</v>
      </c>
      <c r="BE139" s="79">
        <v>1E-8</v>
      </c>
      <c r="BF139" s="79">
        <v>1E-8</v>
      </c>
      <c r="BG139" s="44"/>
      <c r="BH139" s="34"/>
      <c r="BI139" s="9" t="s">
        <v>695</v>
      </c>
      <c r="BJ139" s="44"/>
      <c r="BK139" s="91" t="s">
        <v>591</v>
      </c>
      <c r="BL139" s="79">
        <v>1E-8</v>
      </c>
      <c r="BM139" s="80">
        <v>1E-8</v>
      </c>
      <c r="BN139" s="79">
        <v>1E-8</v>
      </c>
      <c r="BO139" s="79">
        <v>1E-8</v>
      </c>
      <c r="BP139" s="79">
        <v>1E-8</v>
      </c>
      <c r="BQ139" s="79">
        <v>1E-8</v>
      </c>
      <c r="BR139" s="79">
        <v>1E-8</v>
      </c>
      <c r="BS139" s="79">
        <v>1E-8</v>
      </c>
      <c r="BT139" s="79">
        <v>1E-8</v>
      </c>
      <c r="BU139" s="79">
        <v>1E-8</v>
      </c>
      <c r="BV139" s="44"/>
      <c r="BW139" s="34"/>
      <c r="BX139" s="9" t="s">
        <v>695</v>
      </c>
      <c r="BY139" s="44"/>
      <c r="BZ139" s="91" t="s">
        <v>591</v>
      </c>
      <c r="CA139" s="79">
        <v>9.046024851188875</v>
      </c>
      <c r="CB139" s="80">
        <v>1E-8</v>
      </c>
      <c r="CC139" s="79">
        <v>1E-8</v>
      </c>
      <c r="CD139" s="79">
        <v>1E-8</v>
      </c>
      <c r="CE139" s="79">
        <v>1E-8</v>
      </c>
      <c r="CF139" s="79">
        <v>1E-8</v>
      </c>
      <c r="CG139" s="79">
        <v>1E-8</v>
      </c>
      <c r="CH139" s="79">
        <v>1E-8</v>
      </c>
      <c r="CI139" s="79">
        <v>1E-8</v>
      </c>
      <c r="CJ139" s="79">
        <v>1E-8</v>
      </c>
      <c r="CK139" s="44"/>
    </row>
    <row r="140" spans="1:89" x14ac:dyDescent="0.35">
      <c r="A140" s="68"/>
      <c r="B140" s="44"/>
      <c r="C140" s="45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44"/>
      <c r="O140" s="34"/>
      <c r="P140" s="68"/>
      <c r="Q140" s="44"/>
      <c r="R140" s="45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44"/>
      <c r="AD140" s="34"/>
      <c r="AE140" s="68"/>
      <c r="AF140" s="44"/>
      <c r="AG140" s="45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44"/>
      <c r="AS140" s="34"/>
      <c r="AT140" s="68"/>
      <c r="AU140" s="44"/>
      <c r="AV140" s="45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44"/>
      <c r="BH140" s="34"/>
      <c r="BI140" s="68"/>
      <c r="BJ140" s="44"/>
      <c r="BK140" s="45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44"/>
      <c r="BW140" s="34"/>
      <c r="BX140" s="68"/>
      <c r="BY140" s="44"/>
      <c r="BZ140" s="45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44"/>
    </row>
  </sheetData>
  <sheetProtection sheet="1" objects="1" scenarios="1"/>
  <conditionalFormatting sqref="D140:M140">
    <cfRule type="cellIs" dxfId="40" priority="12" operator="equal">
      <formula>0.00000001</formula>
    </cfRule>
  </conditionalFormatting>
  <conditionalFormatting sqref="D6:M139">
    <cfRule type="cellIs" dxfId="39" priority="11" operator="equal">
      <formula>0.00000001</formula>
    </cfRule>
  </conditionalFormatting>
  <conditionalFormatting sqref="S140:AB140">
    <cfRule type="cellIs" dxfId="38" priority="10" operator="equal">
      <formula>0.00000001</formula>
    </cfRule>
  </conditionalFormatting>
  <conditionalFormatting sqref="S6:AB139">
    <cfRule type="cellIs" dxfId="37" priority="9" operator="equal">
      <formula>0.00000001</formula>
    </cfRule>
  </conditionalFormatting>
  <conditionalFormatting sqref="AH140:AQ140">
    <cfRule type="cellIs" dxfId="36" priority="8" operator="equal">
      <formula>0.00000001</formula>
    </cfRule>
  </conditionalFormatting>
  <conditionalFormatting sqref="AH6:AQ139">
    <cfRule type="cellIs" dxfId="35" priority="7" operator="equal">
      <formula>0.00000001</formula>
    </cfRule>
  </conditionalFormatting>
  <conditionalFormatting sqref="AW140:BF140">
    <cfRule type="cellIs" dxfId="34" priority="6" operator="equal">
      <formula>0.00000001</formula>
    </cfRule>
  </conditionalFormatting>
  <conditionalFormatting sqref="AW6:BF139">
    <cfRule type="cellIs" dxfId="33" priority="5" operator="equal">
      <formula>0.00000001</formula>
    </cfRule>
  </conditionalFormatting>
  <conditionalFormatting sqref="BL140:BU140">
    <cfRule type="cellIs" dxfId="32" priority="4" operator="equal">
      <formula>0.00000001</formula>
    </cfRule>
  </conditionalFormatting>
  <conditionalFormatting sqref="BL6:BU139">
    <cfRule type="cellIs" dxfId="31" priority="3" operator="equal">
      <formula>0.00000001</formula>
    </cfRule>
  </conditionalFormatting>
  <conditionalFormatting sqref="CA140:CJ140">
    <cfRule type="cellIs" dxfId="30" priority="2" operator="equal">
      <formula>0.00000001</formula>
    </cfRule>
  </conditionalFormatting>
  <conditionalFormatting sqref="CA6:CJ139">
    <cfRule type="cellIs" dxfId="29" priority="1" operator="equal">
      <formula>0.00000001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D2284"/>
  <sheetViews>
    <sheetView zoomScale="85" zoomScaleNormal="85" workbookViewId="0">
      <selection activeCell="G26" sqref="G26"/>
    </sheetView>
  </sheetViews>
  <sheetFormatPr defaultColWidth="0" defaultRowHeight="14.5" zeroHeight="1" x14ac:dyDescent="0.35"/>
  <cols>
    <col min="1" max="1" width="23" customWidth="1"/>
    <col min="2" max="2" width="0.453125" customWidth="1"/>
    <col min="3" max="12" width="8.81640625" customWidth="1"/>
    <col min="13" max="15" width="1" customWidth="1"/>
    <col min="16" max="16" width="23.54296875" customWidth="1"/>
    <col min="17" max="17" width="27" customWidth="1"/>
    <col min="18" max="19" width="0.453125" customWidth="1"/>
    <col min="20" max="29" width="8.81640625" customWidth="1"/>
    <col min="30" max="30" width="1" customWidth="1"/>
    <col min="31" max="16384" width="8.81640625" hidden="1"/>
  </cols>
  <sheetData>
    <row r="1" spans="1:30" ht="18.5" x14ac:dyDescent="0.45">
      <c r="A1" s="1" t="s">
        <v>458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5">
      <c r="A4" s="36" t="s">
        <v>459</v>
      </c>
      <c r="B4" s="34"/>
      <c r="C4" s="34" t="s">
        <v>399</v>
      </c>
      <c r="D4" s="6" t="s">
        <v>400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6" t="s">
        <v>463</v>
      </c>
      <c r="Q4" s="34"/>
      <c r="R4" s="34"/>
      <c r="S4" s="34"/>
      <c r="T4" s="34" t="s">
        <v>399</v>
      </c>
      <c r="U4" s="6" t="s">
        <v>400</v>
      </c>
      <c r="V4" s="34"/>
      <c r="W4" s="34"/>
      <c r="X4" s="34"/>
      <c r="Y4" s="34"/>
      <c r="Z4" s="34"/>
      <c r="AA4" s="34"/>
      <c r="AB4" s="34"/>
      <c r="AC4" s="34"/>
      <c r="AD4" s="34"/>
    </row>
    <row r="5" spans="1:30" x14ac:dyDescent="0.35">
      <c r="A5" s="35" t="s">
        <v>460</v>
      </c>
      <c r="B5" s="30"/>
      <c r="C5" s="33" t="s">
        <v>246</v>
      </c>
      <c r="D5" s="50" t="s">
        <v>890</v>
      </c>
      <c r="E5" s="33" t="s">
        <v>885</v>
      </c>
      <c r="F5" s="33" t="s">
        <v>891</v>
      </c>
      <c r="G5" s="33" t="s">
        <v>886</v>
      </c>
      <c r="H5" s="33" t="s">
        <v>887</v>
      </c>
      <c r="I5" s="33" t="s">
        <v>888</v>
      </c>
      <c r="J5" s="33" t="s">
        <v>889</v>
      </c>
      <c r="K5" s="33" t="s">
        <v>396</v>
      </c>
      <c r="L5" s="33" t="s">
        <v>397</v>
      </c>
      <c r="M5" s="30"/>
      <c r="N5" s="34"/>
      <c r="O5" s="30"/>
      <c r="P5" s="35"/>
      <c r="Q5" s="30"/>
      <c r="R5" s="30"/>
      <c r="S5" s="30"/>
      <c r="T5" s="33" t="s">
        <v>246</v>
      </c>
      <c r="U5" s="50" t="s">
        <v>890</v>
      </c>
      <c r="V5" s="33" t="s">
        <v>885</v>
      </c>
      <c r="W5" s="33" t="s">
        <v>891</v>
      </c>
      <c r="X5" s="33" t="s">
        <v>886</v>
      </c>
      <c r="Y5" s="33" t="s">
        <v>887</v>
      </c>
      <c r="Z5" s="33" t="s">
        <v>888</v>
      </c>
      <c r="AA5" s="33" t="s">
        <v>889</v>
      </c>
      <c r="AB5" s="33" t="s">
        <v>396</v>
      </c>
      <c r="AC5" s="33" t="s">
        <v>397</v>
      </c>
      <c r="AD5" s="30"/>
    </row>
    <row r="6" spans="1:30" x14ac:dyDescent="0.35">
      <c r="A6" s="5" t="s">
        <v>473</v>
      </c>
      <c r="B6" s="19" t="s">
        <v>696</v>
      </c>
      <c r="C6" s="120">
        <v>3.8908736987286536</v>
      </c>
      <c r="D6" s="21">
        <v>1E-8</v>
      </c>
      <c r="E6" s="20">
        <v>1E-8</v>
      </c>
      <c r="F6" s="20">
        <v>1E-8</v>
      </c>
      <c r="G6" s="20">
        <v>1E-8</v>
      </c>
      <c r="H6" s="20">
        <v>1E-8</v>
      </c>
      <c r="I6" s="20">
        <v>1E-8</v>
      </c>
      <c r="J6" s="20">
        <v>1E-8</v>
      </c>
      <c r="K6" s="20">
        <v>1E-8</v>
      </c>
      <c r="L6" s="20">
        <v>1E-8</v>
      </c>
      <c r="M6" s="4"/>
      <c r="N6" s="34"/>
      <c r="O6" s="4"/>
      <c r="P6" s="47" t="s">
        <v>478</v>
      </c>
      <c r="Q6" s="47" t="s">
        <v>102</v>
      </c>
      <c r="R6" s="105" t="s">
        <v>11</v>
      </c>
      <c r="S6" s="105" t="s">
        <v>288</v>
      </c>
      <c r="T6" s="95">
        <v>100</v>
      </c>
      <c r="U6" s="74">
        <v>1E-8</v>
      </c>
      <c r="V6" s="95">
        <v>1E-8</v>
      </c>
      <c r="W6" s="95">
        <v>1E-8</v>
      </c>
      <c r="X6" s="95">
        <v>1E-8</v>
      </c>
      <c r="Y6" s="95">
        <v>1E-8</v>
      </c>
      <c r="Z6" s="95">
        <v>1E-8</v>
      </c>
      <c r="AA6" s="95">
        <v>1E-8</v>
      </c>
      <c r="AB6" s="95">
        <v>1E-8</v>
      </c>
      <c r="AC6" s="95">
        <v>1E-8</v>
      </c>
      <c r="AD6" s="4"/>
    </row>
    <row r="7" spans="1:30" x14ac:dyDescent="0.35">
      <c r="A7" s="4" t="s">
        <v>474</v>
      </c>
      <c r="B7" s="17" t="s">
        <v>697</v>
      </c>
      <c r="C7" s="118">
        <v>0.85667768702274905</v>
      </c>
      <c r="D7" s="23">
        <v>1E-8</v>
      </c>
      <c r="E7" s="22">
        <v>1E-8</v>
      </c>
      <c r="F7" s="22">
        <v>1E-8</v>
      </c>
      <c r="G7" s="22">
        <v>1E-8</v>
      </c>
      <c r="H7" s="22">
        <v>1E-8</v>
      </c>
      <c r="I7" s="22">
        <v>1E-8</v>
      </c>
      <c r="J7" s="22">
        <v>1E-8</v>
      </c>
      <c r="K7" s="22">
        <v>1E-8</v>
      </c>
      <c r="L7" s="22">
        <v>1E-8</v>
      </c>
      <c r="M7" s="4"/>
      <c r="N7" s="34"/>
      <c r="O7" s="4"/>
      <c r="P7" s="47" t="s">
        <v>474</v>
      </c>
      <c r="Q7" s="47" t="s">
        <v>278</v>
      </c>
      <c r="R7" s="106" t="s">
        <v>11</v>
      </c>
      <c r="S7" s="106" t="s">
        <v>289</v>
      </c>
      <c r="T7" s="75">
        <v>68.192097042004505</v>
      </c>
      <c r="U7" s="76">
        <v>0.13508509474395858</v>
      </c>
      <c r="V7" s="75">
        <v>1E-8</v>
      </c>
      <c r="W7" s="75">
        <v>1E-8</v>
      </c>
      <c r="X7" s="75">
        <v>1E-8</v>
      </c>
      <c r="Y7" s="75">
        <v>1E-8</v>
      </c>
      <c r="Z7" s="75">
        <v>1E-8</v>
      </c>
      <c r="AA7" s="75">
        <v>1E-8</v>
      </c>
      <c r="AB7" s="75">
        <v>1E-8</v>
      </c>
      <c r="AC7" s="75">
        <v>1E-8</v>
      </c>
      <c r="AD7" s="4"/>
    </row>
    <row r="8" spans="1:30" x14ac:dyDescent="0.35">
      <c r="A8" s="4" t="s">
        <v>475</v>
      </c>
      <c r="B8" s="17" t="s">
        <v>698</v>
      </c>
      <c r="C8" s="118">
        <v>0.97672552513815736</v>
      </c>
      <c r="D8" s="23">
        <v>1E-8</v>
      </c>
      <c r="E8" s="22">
        <v>1E-8</v>
      </c>
      <c r="F8" s="22">
        <v>1E-8</v>
      </c>
      <c r="G8" s="22">
        <v>1E-8</v>
      </c>
      <c r="H8" s="22">
        <v>1E-8</v>
      </c>
      <c r="I8" s="22">
        <v>1E-8</v>
      </c>
      <c r="J8" s="22">
        <v>1E-8</v>
      </c>
      <c r="K8" s="22">
        <v>1E-8</v>
      </c>
      <c r="L8" s="22">
        <v>1E-8</v>
      </c>
      <c r="M8" s="4"/>
      <c r="N8" s="34"/>
      <c r="O8" s="4"/>
      <c r="P8" s="96"/>
      <c r="Q8" s="96" t="s">
        <v>279</v>
      </c>
      <c r="R8" s="107" t="s">
        <v>11</v>
      </c>
      <c r="S8" s="107" t="s">
        <v>290</v>
      </c>
      <c r="T8" s="97">
        <v>49.100859137346632</v>
      </c>
      <c r="U8" s="78">
        <v>0.45371005735579395</v>
      </c>
      <c r="V8" s="97">
        <v>1E-8</v>
      </c>
      <c r="W8" s="97">
        <v>1E-8</v>
      </c>
      <c r="X8" s="97">
        <v>1E-8</v>
      </c>
      <c r="Y8" s="97">
        <v>1E-8</v>
      </c>
      <c r="Z8" s="97">
        <v>1E-8</v>
      </c>
      <c r="AA8" s="97">
        <v>1E-8</v>
      </c>
      <c r="AB8" s="97">
        <v>1E-8</v>
      </c>
      <c r="AC8" s="97">
        <v>1E-8</v>
      </c>
      <c r="AD8" s="4"/>
    </row>
    <row r="9" spans="1:30" x14ac:dyDescent="0.35">
      <c r="A9" s="4" t="s">
        <v>476</v>
      </c>
      <c r="B9" s="17" t="s">
        <v>699</v>
      </c>
      <c r="C9" s="118">
        <v>0.40260210029532767</v>
      </c>
      <c r="D9" s="23">
        <v>1E-8</v>
      </c>
      <c r="E9" s="22">
        <v>1E-8</v>
      </c>
      <c r="F9" s="22">
        <v>1E-8</v>
      </c>
      <c r="G9" s="22">
        <v>1E-8</v>
      </c>
      <c r="H9" s="22">
        <v>1E-8</v>
      </c>
      <c r="I9" s="22">
        <v>1E-8</v>
      </c>
      <c r="J9" s="22">
        <v>1E-8</v>
      </c>
      <c r="K9" s="22">
        <v>1E-8</v>
      </c>
      <c r="L9" s="22">
        <v>1E-8</v>
      </c>
      <c r="M9" s="4"/>
      <c r="N9" s="34"/>
      <c r="O9" s="4"/>
      <c r="P9" s="96"/>
      <c r="Q9" s="96" t="s">
        <v>362</v>
      </c>
      <c r="R9" s="107" t="s">
        <v>11</v>
      </c>
      <c r="S9" s="107" t="s">
        <v>291</v>
      </c>
      <c r="T9" s="97">
        <v>42.700161365913317</v>
      </c>
      <c r="U9" s="78">
        <v>-0.81367502632901934</v>
      </c>
      <c r="V9" s="97">
        <v>1E-8</v>
      </c>
      <c r="W9" s="97">
        <v>1E-8</v>
      </c>
      <c r="X9" s="97">
        <v>1E-8</v>
      </c>
      <c r="Y9" s="97">
        <v>1E-8</v>
      </c>
      <c r="Z9" s="97">
        <v>1E-8</v>
      </c>
      <c r="AA9" s="97">
        <v>1E-8</v>
      </c>
      <c r="AB9" s="97">
        <v>1E-8</v>
      </c>
      <c r="AC9" s="97">
        <v>1E-8</v>
      </c>
      <c r="AD9" s="4"/>
    </row>
    <row r="10" spans="1:30" x14ac:dyDescent="0.35">
      <c r="A10" s="53" t="s">
        <v>477</v>
      </c>
      <c r="B10" s="54" t="s">
        <v>700</v>
      </c>
      <c r="C10" s="121">
        <v>1.6548683862724189</v>
      </c>
      <c r="D10" s="56">
        <v>1E-8</v>
      </c>
      <c r="E10" s="55">
        <v>1E-8</v>
      </c>
      <c r="F10" s="55">
        <v>1E-8</v>
      </c>
      <c r="G10" s="55">
        <v>1E-8</v>
      </c>
      <c r="H10" s="55">
        <v>1E-8</v>
      </c>
      <c r="I10" s="55">
        <v>1E-8</v>
      </c>
      <c r="J10" s="55">
        <v>1E-8</v>
      </c>
      <c r="K10" s="55">
        <v>1E-8</v>
      </c>
      <c r="L10" s="55">
        <v>1E-8</v>
      </c>
      <c r="M10" s="4"/>
      <c r="N10" s="34"/>
      <c r="O10" s="4"/>
      <c r="P10" s="96"/>
      <c r="Q10" s="96" t="s">
        <v>363</v>
      </c>
      <c r="R10" s="107" t="s">
        <v>11</v>
      </c>
      <c r="S10" s="107" t="s">
        <v>292</v>
      </c>
      <c r="T10" s="97">
        <v>6.4006977714333155</v>
      </c>
      <c r="U10" s="78">
        <v>8.9086550522004195</v>
      </c>
      <c r="V10" s="97">
        <v>1E-8</v>
      </c>
      <c r="W10" s="97">
        <v>1E-8</v>
      </c>
      <c r="X10" s="97">
        <v>1E-8</v>
      </c>
      <c r="Y10" s="97">
        <v>1E-8</v>
      </c>
      <c r="Z10" s="97">
        <v>1E-8</v>
      </c>
      <c r="AA10" s="97">
        <v>1E-8</v>
      </c>
      <c r="AB10" s="97">
        <v>1E-8</v>
      </c>
      <c r="AC10" s="97">
        <v>1E-8</v>
      </c>
      <c r="AD10" s="4"/>
    </row>
    <row r="11" spans="1:30" x14ac:dyDescent="0.35">
      <c r="A11" s="5" t="s">
        <v>478</v>
      </c>
      <c r="B11" s="19" t="s">
        <v>701</v>
      </c>
      <c r="C11" s="120">
        <v>1.8037642035570514</v>
      </c>
      <c r="D11" s="21">
        <v>1E-8</v>
      </c>
      <c r="E11" s="20">
        <v>1E-8</v>
      </c>
      <c r="F11" s="20">
        <v>1E-8</v>
      </c>
      <c r="G11" s="20">
        <v>1E-8</v>
      </c>
      <c r="H11" s="20">
        <v>1E-8</v>
      </c>
      <c r="I11" s="20">
        <v>1E-8</v>
      </c>
      <c r="J11" s="20">
        <v>1E-8</v>
      </c>
      <c r="K11" s="20">
        <v>1E-8</v>
      </c>
      <c r="L11" s="20">
        <v>1E-8</v>
      </c>
      <c r="M11" s="4"/>
      <c r="N11" s="34"/>
      <c r="O11" s="4"/>
      <c r="P11" s="68"/>
      <c r="Q11" s="68" t="s">
        <v>592</v>
      </c>
      <c r="R11" s="108" t="s">
        <v>11</v>
      </c>
      <c r="S11" s="108" t="s">
        <v>294</v>
      </c>
      <c r="T11" s="98">
        <v>1.2649115832069617</v>
      </c>
      <c r="U11" s="80">
        <v>0.5077190447212887</v>
      </c>
      <c r="V11" s="98">
        <v>1E-8</v>
      </c>
      <c r="W11" s="98">
        <v>1E-8</v>
      </c>
      <c r="X11" s="98">
        <v>1E-8</v>
      </c>
      <c r="Y11" s="98">
        <v>1E-8</v>
      </c>
      <c r="Z11" s="98">
        <v>1E-8</v>
      </c>
      <c r="AA11" s="98">
        <v>1E-8</v>
      </c>
      <c r="AB11" s="98">
        <v>1E-8</v>
      </c>
      <c r="AC11" s="98">
        <v>1E-8</v>
      </c>
      <c r="AD11" s="4"/>
    </row>
    <row r="12" spans="1:30" x14ac:dyDescent="0.35">
      <c r="A12" s="4" t="s">
        <v>474</v>
      </c>
      <c r="B12" s="17" t="s">
        <v>702</v>
      </c>
      <c r="C12" s="118">
        <v>0.69442493108168479</v>
      </c>
      <c r="D12" s="23">
        <v>1E-8</v>
      </c>
      <c r="E12" s="22">
        <v>1E-8</v>
      </c>
      <c r="F12" s="22">
        <v>1E-8</v>
      </c>
      <c r="G12" s="22">
        <v>1E-8</v>
      </c>
      <c r="H12" s="22">
        <v>1E-8</v>
      </c>
      <c r="I12" s="22">
        <v>1E-8</v>
      </c>
      <c r="J12" s="22">
        <v>1E-8</v>
      </c>
      <c r="K12" s="22">
        <v>1E-8</v>
      </c>
      <c r="L12" s="22">
        <v>1E-8</v>
      </c>
      <c r="M12" s="4"/>
      <c r="N12" s="34"/>
      <c r="O12" s="4"/>
      <c r="P12" s="68"/>
      <c r="Q12" s="68" t="s">
        <v>593</v>
      </c>
      <c r="R12" s="108" t="s">
        <v>11</v>
      </c>
      <c r="S12" s="108" t="s">
        <v>293</v>
      </c>
      <c r="T12" s="98">
        <v>2.948987577325505</v>
      </c>
      <c r="U12" s="80">
        <v>1.4486345385183119</v>
      </c>
      <c r="V12" s="98">
        <v>1E-8</v>
      </c>
      <c r="W12" s="98">
        <v>1E-8</v>
      </c>
      <c r="X12" s="98">
        <v>1E-8</v>
      </c>
      <c r="Y12" s="98">
        <v>1E-8</v>
      </c>
      <c r="Z12" s="98">
        <v>1E-8</v>
      </c>
      <c r="AA12" s="98">
        <v>1E-8</v>
      </c>
      <c r="AB12" s="98">
        <v>1E-8</v>
      </c>
      <c r="AC12" s="98">
        <v>1E-8</v>
      </c>
      <c r="AD12" s="4"/>
    </row>
    <row r="13" spans="1:30" x14ac:dyDescent="0.35">
      <c r="A13" s="4" t="s">
        <v>475</v>
      </c>
      <c r="B13" s="17" t="s">
        <v>703</v>
      </c>
      <c r="C13" s="118">
        <v>0.75412043934665052</v>
      </c>
      <c r="D13" s="23">
        <v>1E-8</v>
      </c>
      <c r="E13" s="22">
        <v>1E-8</v>
      </c>
      <c r="F13" s="22">
        <v>1E-8</v>
      </c>
      <c r="G13" s="22">
        <v>1E-8</v>
      </c>
      <c r="H13" s="22">
        <v>1E-8</v>
      </c>
      <c r="I13" s="22">
        <v>1E-8</v>
      </c>
      <c r="J13" s="22">
        <v>1E-8</v>
      </c>
      <c r="K13" s="22">
        <v>1E-8</v>
      </c>
      <c r="L13" s="22">
        <v>1E-8</v>
      </c>
      <c r="M13" s="4"/>
      <c r="N13" s="34"/>
      <c r="O13" s="4"/>
      <c r="P13" s="68"/>
      <c r="Q13" s="68" t="s">
        <v>594</v>
      </c>
      <c r="R13" s="108" t="s">
        <v>11</v>
      </c>
      <c r="S13" s="108" t="s">
        <v>296</v>
      </c>
      <c r="T13" s="98">
        <v>0.10430503485148201</v>
      </c>
      <c r="U13" s="80">
        <v>2.4974183261697869</v>
      </c>
      <c r="V13" s="98">
        <v>1E-8</v>
      </c>
      <c r="W13" s="98">
        <v>1E-8</v>
      </c>
      <c r="X13" s="98">
        <v>1E-8</v>
      </c>
      <c r="Y13" s="98">
        <v>1E-8</v>
      </c>
      <c r="Z13" s="98">
        <v>1E-8</v>
      </c>
      <c r="AA13" s="98">
        <v>1E-8</v>
      </c>
      <c r="AB13" s="98">
        <v>1E-8</v>
      </c>
      <c r="AC13" s="98">
        <v>1E-8</v>
      </c>
      <c r="AD13" s="4"/>
    </row>
    <row r="14" spans="1:30" x14ac:dyDescent="0.35">
      <c r="A14" s="4" t="s">
        <v>476</v>
      </c>
      <c r="B14" s="17" t="s">
        <v>704</v>
      </c>
      <c r="C14" s="118">
        <v>0.15288918565832757</v>
      </c>
      <c r="D14" s="23">
        <v>1E-8</v>
      </c>
      <c r="E14" s="22">
        <v>1E-8</v>
      </c>
      <c r="F14" s="22">
        <v>1E-8</v>
      </c>
      <c r="G14" s="22">
        <v>1E-8</v>
      </c>
      <c r="H14" s="22">
        <v>1E-8</v>
      </c>
      <c r="I14" s="22">
        <v>1E-8</v>
      </c>
      <c r="J14" s="22">
        <v>1E-8</v>
      </c>
      <c r="K14" s="22">
        <v>1E-8</v>
      </c>
      <c r="L14" s="22">
        <v>1E-8</v>
      </c>
      <c r="M14" s="4"/>
      <c r="N14" s="34"/>
      <c r="O14" s="4"/>
      <c r="P14" s="68"/>
      <c r="Q14" s="68" t="s">
        <v>595</v>
      </c>
      <c r="R14" s="108" t="s">
        <v>11</v>
      </c>
      <c r="S14" s="108" t="s">
        <v>295</v>
      </c>
      <c r="T14" s="98">
        <v>1.8282991472252268</v>
      </c>
      <c r="U14" s="80">
        <v>-0.153417165527725</v>
      </c>
      <c r="V14" s="98">
        <v>1E-8</v>
      </c>
      <c r="W14" s="98">
        <v>1E-8</v>
      </c>
      <c r="X14" s="98">
        <v>1E-8</v>
      </c>
      <c r="Y14" s="98">
        <v>1E-8</v>
      </c>
      <c r="Z14" s="98">
        <v>1E-8</v>
      </c>
      <c r="AA14" s="98">
        <v>1E-8</v>
      </c>
      <c r="AB14" s="98">
        <v>1E-8</v>
      </c>
      <c r="AC14" s="98">
        <v>1E-8</v>
      </c>
      <c r="AD14" s="4"/>
    </row>
    <row r="15" spans="1:30" x14ac:dyDescent="0.35">
      <c r="A15" s="53" t="s">
        <v>477</v>
      </c>
      <c r="B15" s="54" t="s">
        <v>705</v>
      </c>
      <c r="C15" s="121">
        <v>0.20232964747038831</v>
      </c>
      <c r="D15" s="56">
        <v>1E-8</v>
      </c>
      <c r="E15" s="55">
        <v>1E-8</v>
      </c>
      <c r="F15" s="55">
        <v>1E-8</v>
      </c>
      <c r="G15" s="55">
        <v>1E-8</v>
      </c>
      <c r="H15" s="55">
        <v>1E-8</v>
      </c>
      <c r="I15" s="55">
        <v>1E-8</v>
      </c>
      <c r="J15" s="55">
        <v>1E-8</v>
      </c>
      <c r="K15" s="55">
        <v>1E-8</v>
      </c>
      <c r="L15" s="55">
        <v>1E-8</v>
      </c>
      <c r="M15" s="4"/>
      <c r="N15" s="34"/>
      <c r="O15" s="4"/>
      <c r="P15" s="68"/>
      <c r="Q15" s="68" t="s">
        <v>596</v>
      </c>
      <c r="R15" s="108" t="s">
        <v>11</v>
      </c>
      <c r="S15" s="108" t="s">
        <v>297</v>
      </c>
      <c r="T15" s="98">
        <v>8.813522827492969E-3</v>
      </c>
      <c r="U15" s="80">
        <v>2.5068640205597292</v>
      </c>
      <c r="V15" s="98">
        <v>1E-8</v>
      </c>
      <c r="W15" s="98">
        <v>1E-8</v>
      </c>
      <c r="X15" s="98">
        <v>1E-8</v>
      </c>
      <c r="Y15" s="98">
        <v>1E-8</v>
      </c>
      <c r="Z15" s="98">
        <v>1E-8</v>
      </c>
      <c r="AA15" s="98">
        <v>1E-8</v>
      </c>
      <c r="AB15" s="98">
        <v>1E-8</v>
      </c>
      <c r="AC15" s="98">
        <v>1E-8</v>
      </c>
      <c r="AD15" s="4"/>
    </row>
    <row r="16" spans="1:30" x14ac:dyDescent="0.35">
      <c r="A16" s="5" t="s">
        <v>479</v>
      </c>
      <c r="B16" s="19" t="s">
        <v>706</v>
      </c>
      <c r="C16" s="120">
        <v>2.0871094951716018</v>
      </c>
      <c r="D16" s="21">
        <v>1E-8</v>
      </c>
      <c r="E16" s="20">
        <v>1E-8</v>
      </c>
      <c r="F16" s="20">
        <v>1E-8</v>
      </c>
      <c r="G16" s="20">
        <v>1E-8</v>
      </c>
      <c r="H16" s="20">
        <v>1E-8</v>
      </c>
      <c r="I16" s="20">
        <v>1E-8</v>
      </c>
      <c r="J16" s="20">
        <v>1E-8</v>
      </c>
      <c r="K16" s="20">
        <v>1E-8</v>
      </c>
      <c r="L16" s="20">
        <v>1E-8</v>
      </c>
      <c r="M16" s="4"/>
      <c r="N16" s="34"/>
      <c r="O16" s="4"/>
      <c r="P16" s="68"/>
      <c r="Q16" s="68" t="s">
        <v>597</v>
      </c>
      <c r="R16" s="108" t="s">
        <v>11</v>
      </c>
      <c r="S16" s="108" t="s">
        <v>301</v>
      </c>
      <c r="T16" s="98">
        <v>5.0580404105871128</v>
      </c>
      <c r="U16" s="80">
        <v>-1.7882698350253246</v>
      </c>
      <c r="V16" s="98">
        <v>1E-8</v>
      </c>
      <c r="W16" s="98">
        <v>1E-8</v>
      </c>
      <c r="X16" s="98">
        <v>1E-8</v>
      </c>
      <c r="Y16" s="98">
        <v>1E-8</v>
      </c>
      <c r="Z16" s="98">
        <v>1E-8</v>
      </c>
      <c r="AA16" s="98">
        <v>1E-8</v>
      </c>
      <c r="AB16" s="98">
        <v>1E-8</v>
      </c>
      <c r="AC16" s="98">
        <v>1E-8</v>
      </c>
      <c r="AD16" s="4"/>
    </row>
    <row r="17" spans="1:30" x14ac:dyDescent="0.35">
      <c r="A17" s="4" t="s">
        <v>474</v>
      </c>
      <c r="B17" s="17" t="s">
        <v>707</v>
      </c>
      <c r="C17" s="118">
        <v>0.1622527559410642</v>
      </c>
      <c r="D17" s="23">
        <v>1E-8</v>
      </c>
      <c r="E17" s="22">
        <v>1E-8</v>
      </c>
      <c r="F17" s="22">
        <v>1E-8</v>
      </c>
      <c r="G17" s="22">
        <v>1E-8</v>
      </c>
      <c r="H17" s="22">
        <v>1E-8</v>
      </c>
      <c r="I17" s="22">
        <v>1E-8</v>
      </c>
      <c r="J17" s="22">
        <v>1E-8</v>
      </c>
      <c r="K17" s="22">
        <v>1E-8</v>
      </c>
      <c r="L17" s="22">
        <v>1E-8</v>
      </c>
      <c r="M17" s="4"/>
      <c r="N17" s="34"/>
      <c r="O17" s="4"/>
      <c r="P17" s="68"/>
      <c r="Q17" s="68" t="s">
        <v>598</v>
      </c>
      <c r="R17" s="108" t="s">
        <v>11</v>
      </c>
      <c r="S17" s="108" t="s">
        <v>302</v>
      </c>
      <c r="T17" s="98">
        <v>4.482558211187845</v>
      </c>
      <c r="U17" s="80">
        <v>-2.6996490205464463</v>
      </c>
      <c r="V17" s="98">
        <v>1E-8</v>
      </c>
      <c r="W17" s="98">
        <v>1E-8</v>
      </c>
      <c r="X17" s="98">
        <v>1E-8</v>
      </c>
      <c r="Y17" s="98">
        <v>1E-8</v>
      </c>
      <c r="Z17" s="98">
        <v>1E-8</v>
      </c>
      <c r="AA17" s="98">
        <v>1E-8</v>
      </c>
      <c r="AB17" s="98">
        <v>1E-8</v>
      </c>
      <c r="AC17" s="98">
        <v>1E-8</v>
      </c>
      <c r="AD17" s="4"/>
    </row>
    <row r="18" spans="1:30" x14ac:dyDescent="0.35">
      <c r="A18" s="4" t="s">
        <v>475</v>
      </c>
      <c r="B18" s="17" t="s">
        <v>708</v>
      </c>
      <c r="C18" s="118">
        <v>0.22260508579150692</v>
      </c>
      <c r="D18" s="23">
        <v>1E-8</v>
      </c>
      <c r="E18" s="22">
        <v>1E-8</v>
      </c>
      <c r="F18" s="22">
        <v>1E-8</v>
      </c>
      <c r="G18" s="22">
        <v>1E-8</v>
      </c>
      <c r="H18" s="22">
        <v>1E-8</v>
      </c>
      <c r="I18" s="22">
        <v>1E-8</v>
      </c>
      <c r="J18" s="22">
        <v>1E-8</v>
      </c>
      <c r="K18" s="22">
        <v>1E-8</v>
      </c>
      <c r="L18" s="22">
        <v>1E-8</v>
      </c>
      <c r="M18" s="4"/>
      <c r="N18" s="34"/>
      <c r="O18" s="4"/>
      <c r="P18" s="68"/>
      <c r="Q18" s="68" t="s">
        <v>599</v>
      </c>
      <c r="R18" s="108" t="s">
        <v>11</v>
      </c>
      <c r="S18" s="108" t="s">
        <v>300</v>
      </c>
      <c r="T18" s="98">
        <v>3.4872995080391918</v>
      </c>
      <c r="U18" s="80">
        <v>-0.32170739180783503</v>
      </c>
      <c r="V18" s="98">
        <v>1E-8</v>
      </c>
      <c r="W18" s="98">
        <v>1E-8</v>
      </c>
      <c r="X18" s="98">
        <v>1E-8</v>
      </c>
      <c r="Y18" s="98">
        <v>1E-8</v>
      </c>
      <c r="Z18" s="98">
        <v>1E-8</v>
      </c>
      <c r="AA18" s="98">
        <v>1E-8</v>
      </c>
      <c r="AB18" s="98">
        <v>1E-8</v>
      </c>
      <c r="AC18" s="98">
        <v>1E-8</v>
      </c>
      <c r="AD18" s="4"/>
    </row>
    <row r="19" spans="1:30" x14ac:dyDescent="0.35">
      <c r="A19" s="4" t="s">
        <v>476</v>
      </c>
      <c r="B19" s="17" t="s">
        <v>709</v>
      </c>
      <c r="C19" s="118">
        <v>0.24971291463700007</v>
      </c>
      <c r="D19" s="23">
        <v>1E-8</v>
      </c>
      <c r="E19" s="22">
        <v>1E-8</v>
      </c>
      <c r="F19" s="22">
        <v>1E-8</v>
      </c>
      <c r="G19" s="22">
        <v>1E-8</v>
      </c>
      <c r="H19" s="22">
        <v>1E-8</v>
      </c>
      <c r="I19" s="22">
        <v>1E-8</v>
      </c>
      <c r="J19" s="22">
        <v>1E-8</v>
      </c>
      <c r="K19" s="22">
        <v>1E-8</v>
      </c>
      <c r="L19" s="22">
        <v>1E-8</v>
      </c>
      <c r="M19" s="4"/>
      <c r="N19" s="34"/>
      <c r="O19" s="4"/>
      <c r="P19" s="68"/>
      <c r="Q19" s="68" t="s">
        <v>600</v>
      </c>
      <c r="R19" s="108" t="s">
        <v>11</v>
      </c>
      <c r="S19" s="108" t="s">
        <v>303</v>
      </c>
      <c r="T19" s="98">
        <v>0.66546717651678289</v>
      </c>
      <c r="U19" s="80">
        <v>-2.3678505648726422</v>
      </c>
      <c r="V19" s="98">
        <v>1E-8</v>
      </c>
      <c r="W19" s="98">
        <v>1E-8</v>
      </c>
      <c r="X19" s="98">
        <v>1E-8</v>
      </c>
      <c r="Y19" s="98">
        <v>1E-8</v>
      </c>
      <c r="Z19" s="98">
        <v>1E-8</v>
      </c>
      <c r="AA19" s="98">
        <v>1E-8</v>
      </c>
      <c r="AB19" s="98">
        <v>1E-8</v>
      </c>
      <c r="AC19" s="98">
        <v>1E-8</v>
      </c>
      <c r="AD19" s="4"/>
    </row>
    <row r="20" spans="1:30" x14ac:dyDescent="0.35">
      <c r="A20" s="53" t="s">
        <v>477</v>
      </c>
      <c r="B20" s="54" t="s">
        <v>710</v>
      </c>
      <c r="C20" s="121">
        <v>1.4525387388020305</v>
      </c>
      <c r="D20" s="56">
        <v>1E-8</v>
      </c>
      <c r="E20" s="55">
        <v>1E-8</v>
      </c>
      <c r="F20" s="55">
        <v>1E-8</v>
      </c>
      <c r="G20" s="55">
        <v>1E-8</v>
      </c>
      <c r="H20" s="55">
        <v>1E-8</v>
      </c>
      <c r="I20" s="55">
        <v>1E-8</v>
      </c>
      <c r="J20" s="55">
        <v>1E-8</v>
      </c>
      <c r="K20" s="55">
        <v>1E-8</v>
      </c>
      <c r="L20" s="55">
        <v>1E-8</v>
      </c>
      <c r="M20" s="4"/>
      <c r="N20" s="34"/>
      <c r="O20" s="4"/>
      <c r="P20" s="68"/>
      <c r="Q20" s="68" t="s">
        <v>601</v>
      </c>
      <c r="R20" s="108" t="s">
        <v>11</v>
      </c>
      <c r="S20" s="108" t="s">
        <v>533</v>
      </c>
      <c r="T20" s="98">
        <v>7.6264619460381713</v>
      </c>
      <c r="U20" s="80">
        <v>-0.71444765693807755</v>
      </c>
      <c r="V20" s="98">
        <v>1E-8</v>
      </c>
      <c r="W20" s="98">
        <v>1E-8</v>
      </c>
      <c r="X20" s="98">
        <v>1E-8</v>
      </c>
      <c r="Y20" s="98">
        <v>1E-8</v>
      </c>
      <c r="Z20" s="98">
        <v>1E-8</v>
      </c>
      <c r="AA20" s="98">
        <v>1E-8</v>
      </c>
      <c r="AB20" s="98">
        <v>1E-8</v>
      </c>
      <c r="AC20" s="98">
        <v>1E-8</v>
      </c>
      <c r="AD20" s="4"/>
    </row>
    <row r="21" spans="1:30" x14ac:dyDescent="0.35">
      <c r="A21" s="5" t="s">
        <v>727</v>
      </c>
      <c r="B21" s="19" t="s">
        <v>711</v>
      </c>
      <c r="C21" s="120">
        <v>1.5602747670831201</v>
      </c>
      <c r="D21" s="21">
        <v>1E-8</v>
      </c>
      <c r="E21" s="20">
        <v>1E-8</v>
      </c>
      <c r="F21" s="20">
        <v>1E-8</v>
      </c>
      <c r="G21" s="20">
        <v>1E-8</v>
      </c>
      <c r="H21" s="20">
        <v>1E-8</v>
      </c>
      <c r="I21" s="20">
        <v>1E-8</v>
      </c>
      <c r="J21" s="20">
        <v>1E-8</v>
      </c>
      <c r="K21" s="20">
        <v>1E-8</v>
      </c>
      <c r="L21" s="20">
        <v>1E-8</v>
      </c>
      <c r="M21" s="4"/>
      <c r="N21" s="34"/>
      <c r="O21" s="4"/>
      <c r="P21" s="68"/>
      <c r="Q21" s="68" t="s">
        <v>602</v>
      </c>
      <c r="R21" s="108" t="s">
        <v>11</v>
      </c>
      <c r="S21" s="108" t="s">
        <v>534</v>
      </c>
      <c r="T21" s="98">
        <v>0.70594110959733247</v>
      </c>
      <c r="U21" s="80">
        <v>-1.3892737375165831</v>
      </c>
      <c r="V21" s="98">
        <v>1E-8</v>
      </c>
      <c r="W21" s="98">
        <v>1E-8</v>
      </c>
      <c r="X21" s="98">
        <v>1E-8</v>
      </c>
      <c r="Y21" s="98">
        <v>1E-8</v>
      </c>
      <c r="Z21" s="98">
        <v>1E-8</v>
      </c>
      <c r="AA21" s="98">
        <v>1E-8</v>
      </c>
      <c r="AB21" s="98">
        <v>1E-8</v>
      </c>
      <c r="AC21" s="98">
        <v>1E-8</v>
      </c>
      <c r="AD21" s="4"/>
    </row>
    <row r="22" spans="1:30" x14ac:dyDescent="0.35">
      <c r="A22" s="4" t="s">
        <v>474</v>
      </c>
      <c r="B22" s="17" t="s">
        <v>712</v>
      </c>
      <c r="C22" s="118">
        <v>9.8512176933063134E-2</v>
      </c>
      <c r="D22" s="23">
        <v>1E-8</v>
      </c>
      <c r="E22" s="22">
        <v>1E-8</v>
      </c>
      <c r="F22" s="22">
        <v>1E-8</v>
      </c>
      <c r="G22" s="22">
        <v>1E-8</v>
      </c>
      <c r="H22" s="22">
        <v>1E-8</v>
      </c>
      <c r="I22" s="22">
        <v>1E-8</v>
      </c>
      <c r="J22" s="22">
        <v>1E-8</v>
      </c>
      <c r="K22" s="22">
        <v>1E-8</v>
      </c>
      <c r="L22" s="22">
        <v>1E-8</v>
      </c>
      <c r="M22" s="4"/>
      <c r="N22" s="34"/>
      <c r="O22" s="4"/>
      <c r="P22" s="68"/>
      <c r="Q22" s="68" t="s">
        <v>603</v>
      </c>
      <c r="R22" s="108" t="s">
        <v>11</v>
      </c>
      <c r="S22" s="108" t="s">
        <v>304</v>
      </c>
      <c r="T22" s="98">
        <v>5.550279100327919</v>
      </c>
      <c r="U22" s="80">
        <v>-1.0190568751487494</v>
      </c>
      <c r="V22" s="98">
        <v>1E-8</v>
      </c>
      <c r="W22" s="98">
        <v>1E-8</v>
      </c>
      <c r="X22" s="98">
        <v>1E-8</v>
      </c>
      <c r="Y22" s="98">
        <v>1E-8</v>
      </c>
      <c r="Z22" s="98">
        <v>1E-8</v>
      </c>
      <c r="AA22" s="98">
        <v>1E-8</v>
      </c>
      <c r="AB22" s="98">
        <v>1E-8</v>
      </c>
      <c r="AC22" s="98">
        <v>1E-8</v>
      </c>
      <c r="AD22" s="4"/>
    </row>
    <row r="23" spans="1:30" x14ac:dyDescent="0.35">
      <c r="A23" s="4" t="s">
        <v>475</v>
      </c>
      <c r="B23" s="17" t="s">
        <v>713</v>
      </c>
      <c r="C23" s="118">
        <v>0.12642110947246357</v>
      </c>
      <c r="D23" s="23">
        <v>1E-8</v>
      </c>
      <c r="E23" s="22">
        <v>1E-8</v>
      </c>
      <c r="F23" s="22">
        <v>1E-8</v>
      </c>
      <c r="G23" s="22">
        <v>1E-8</v>
      </c>
      <c r="H23" s="22">
        <v>1E-8</v>
      </c>
      <c r="I23" s="22">
        <v>1E-8</v>
      </c>
      <c r="J23" s="22">
        <v>1E-8</v>
      </c>
      <c r="K23" s="22">
        <v>1E-8</v>
      </c>
      <c r="L23" s="22">
        <v>1E-8</v>
      </c>
      <c r="M23" s="4"/>
      <c r="N23" s="34"/>
      <c r="O23" s="4"/>
      <c r="P23" s="68"/>
      <c r="Q23" s="68" t="s">
        <v>604</v>
      </c>
      <c r="R23" s="108" t="s">
        <v>11</v>
      </c>
      <c r="S23" s="108" t="s">
        <v>535</v>
      </c>
      <c r="T23" s="98">
        <v>2.5570542780203511</v>
      </c>
      <c r="U23" s="80">
        <v>-0.79790230757443847</v>
      </c>
      <c r="V23" s="98">
        <v>1E-8</v>
      </c>
      <c r="W23" s="98">
        <v>1E-8</v>
      </c>
      <c r="X23" s="98">
        <v>1E-8</v>
      </c>
      <c r="Y23" s="98">
        <v>1E-8</v>
      </c>
      <c r="Z23" s="98">
        <v>1E-8</v>
      </c>
      <c r="AA23" s="98">
        <v>1E-8</v>
      </c>
      <c r="AB23" s="98">
        <v>1E-8</v>
      </c>
      <c r="AC23" s="98">
        <v>1E-8</v>
      </c>
      <c r="AD23" s="4"/>
    </row>
    <row r="24" spans="1:30" x14ac:dyDescent="0.35">
      <c r="A24" s="4" t="s">
        <v>476</v>
      </c>
      <c r="B24" s="17" t="s">
        <v>714</v>
      </c>
      <c r="C24" s="118">
        <v>0.18051171172494745</v>
      </c>
      <c r="D24" s="23">
        <v>1E-8</v>
      </c>
      <c r="E24" s="22">
        <v>1E-8</v>
      </c>
      <c r="F24" s="22">
        <v>1E-8</v>
      </c>
      <c r="G24" s="22">
        <v>1E-8</v>
      </c>
      <c r="H24" s="22">
        <v>1E-8</v>
      </c>
      <c r="I24" s="22">
        <v>1E-8</v>
      </c>
      <c r="J24" s="22">
        <v>1E-8</v>
      </c>
      <c r="K24" s="22">
        <v>1E-8</v>
      </c>
      <c r="L24" s="22">
        <v>1E-8</v>
      </c>
      <c r="M24" s="4"/>
      <c r="N24" s="34"/>
      <c r="O24" s="4"/>
      <c r="P24" s="68"/>
      <c r="Q24" s="68" t="s">
        <v>605</v>
      </c>
      <c r="R24" s="108" t="s">
        <v>11</v>
      </c>
      <c r="S24" s="108" t="s">
        <v>536</v>
      </c>
      <c r="T24" s="98">
        <v>4.3249333392305358</v>
      </c>
      <c r="U24" s="80">
        <v>-0.97414954030901058</v>
      </c>
      <c r="V24" s="98">
        <v>1E-8</v>
      </c>
      <c r="W24" s="98">
        <v>1E-8</v>
      </c>
      <c r="X24" s="98">
        <v>1E-8</v>
      </c>
      <c r="Y24" s="98">
        <v>1E-8</v>
      </c>
      <c r="Z24" s="98">
        <v>1E-8</v>
      </c>
      <c r="AA24" s="98">
        <v>1E-8</v>
      </c>
      <c r="AB24" s="98">
        <v>1E-8</v>
      </c>
      <c r="AC24" s="98">
        <v>1E-8</v>
      </c>
      <c r="AD24" s="4"/>
    </row>
    <row r="25" spans="1:30" x14ac:dyDescent="0.35">
      <c r="A25" s="53" t="s">
        <v>477</v>
      </c>
      <c r="B25" s="54" t="s">
        <v>715</v>
      </c>
      <c r="C25" s="121">
        <v>1.1548297689526459</v>
      </c>
      <c r="D25" s="56">
        <v>1E-8</v>
      </c>
      <c r="E25" s="55">
        <v>1E-8</v>
      </c>
      <c r="F25" s="55">
        <v>1E-8</v>
      </c>
      <c r="G25" s="55">
        <v>1E-8</v>
      </c>
      <c r="H25" s="55">
        <v>1E-8</v>
      </c>
      <c r="I25" s="55">
        <v>1E-8</v>
      </c>
      <c r="J25" s="55">
        <v>1E-8</v>
      </c>
      <c r="K25" s="55">
        <v>1E-8</v>
      </c>
      <c r="L25" s="55">
        <v>1E-8</v>
      </c>
      <c r="M25" s="4"/>
      <c r="N25" s="34"/>
      <c r="O25" s="4"/>
      <c r="P25" s="68"/>
      <c r="Q25" s="68" t="s">
        <v>606</v>
      </c>
      <c r="R25" s="108" t="s">
        <v>11</v>
      </c>
      <c r="S25" s="108" t="s">
        <v>537</v>
      </c>
      <c r="T25" s="98">
        <v>0.77189216994020649</v>
      </c>
      <c r="U25" s="80">
        <v>-0.20108133017743279</v>
      </c>
      <c r="V25" s="98">
        <v>1E-8</v>
      </c>
      <c r="W25" s="98">
        <v>1E-8</v>
      </c>
      <c r="X25" s="98">
        <v>1E-8</v>
      </c>
      <c r="Y25" s="98">
        <v>1E-8</v>
      </c>
      <c r="Z25" s="98">
        <v>1E-8</v>
      </c>
      <c r="AA25" s="98">
        <v>1E-8</v>
      </c>
      <c r="AB25" s="98">
        <v>1E-8</v>
      </c>
      <c r="AC25" s="98">
        <v>1E-8</v>
      </c>
      <c r="AD25" s="4"/>
    </row>
    <row r="26" spans="1:30" x14ac:dyDescent="0.35">
      <c r="A26" s="5" t="s">
        <v>728</v>
      </c>
      <c r="B26" s="19" t="s">
        <v>716</v>
      </c>
      <c r="C26" s="120">
        <v>0.52683472808848175</v>
      </c>
      <c r="D26" s="21">
        <v>1E-8</v>
      </c>
      <c r="E26" s="20">
        <v>1E-8</v>
      </c>
      <c r="F26" s="20">
        <v>1E-8</v>
      </c>
      <c r="G26" s="20">
        <v>1E-8</v>
      </c>
      <c r="H26" s="20">
        <v>1E-8</v>
      </c>
      <c r="I26" s="20">
        <v>1E-8</v>
      </c>
      <c r="J26" s="20">
        <v>1E-8</v>
      </c>
      <c r="K26" s="20">
        <v>1E-8</v>
      </c>
      <c r="L26" s="20">
        <v>1E-8</v>
      </c>
      <c r="M26" s="4"/>
      <c r="N26" s="34"/>
      <c r="O26" s="4"/>
      <c r="P26" s="68"/>
      <c r="Q26" s="68" t="s">
        <v>607</v>
      </c>
      <c r="R26" s="108" t="s">
        <v>11</v>
      </c>
      <c r="S26" s="108" t="s">
        <v>307</v>
      </c>
      <c r="T26" s="98">
        <v>0.93268058685255473</v>
      </c>
      <c r="U26" s="80">
        <v>1.3234175778439106</v>
      </c>
      <c r="V26" s="98">
        <v>1E-8</v>
      </c>
      <c r="W26" s="98">
        <v>1E-8</v>
      </c>
      <c r="X26" s="98">
        <v>1E-8</v>
      </c>
      <c r="Y26" s="98">
        <v>1E-8</v>
      </c>
      <c r="Z26" s="98">
        <v>1E-8</v>
      </c>
      <c r="AA26" s="98">
        <v>1E-8</v>
      </c>
      <c r="AB26" s="98">
        <v>1E-8</v>
      </c>
      <c r="AC26" s="98">
        <v>1E-8</v>
      </c>
      <c r="AD26" s="4"/>
    </row>
    <row r="27" spans="1:30" x14ac:dyDescent="0.35">
      <c r="A27" s="4" t="s">
        <v>474</v>
      </c>
      <c r="B27" s="17" t="s">
        <v>717</v>
      </c>
      <c r="C27" s="118">
        <v>6.3740579008001078E-2</v>
      </c>
      <c r="D27" s="23">
        <v>1E-8</v>
      </c>
      <c r="E27" s="22">
        <v>1E-8</v>
      </c>
      <c r="F27" s="22">
        <v>1E-8</v>
      </c>
      <c r="G27" s="22">
        <v>1E-8</v>
      </c>
      <c r="H27" s="22">
        <v>1E-8</v>
      </c>
      <c r="I27" s="22">
        <v>1E-8</v>
      </c>
      <c r="J27" s="22">
        <v>1E-8</v>
      </c>
      <c r="K27" s="22">
        <v>1E-8</v>
      </c>
      <c r="L27" s="22">
        <v>1E-8</v>
      </c>
      <c r="M27" s="4"/>
      <c r="N27" s="34"/>
      <c r="O27" s="4"/>
      <c r="P27" s="68"/>
      <c r="Q27" s="68" t="s">
        <v>608</v>
      </c>
      <c r="R27" s="108" t="s">
        <v>11</v>
      </c>
      <c r="S27" s="108" t="s">
        <v>298</v>
      </c>
      <c r="T27" s="98">
        <v>0.28903006122273239</v>
      </c>
      <c r="U27" s="80">
        <v>4.7087614702179037</v>
      </c>
      <c r="V27" s="98">
        <v>1E-8</v>
      </c>
      <c r="W27" s="98">
        <v>1E-8</v>
      </c>
      <c r="X27" s="98">
        <v>1E-8</v>
      </c>
      <c r="Y27" s="98">
        <v>1E-8</v>
      </c>
      <c r="Z27" s="98">
        <v>1E-8</v>
      </c>
      <c r="AA27" s="98">
        <v>1E-8</v>
      </c>
      <c r="AB27" s="98">
        <v>1E-8</v>
      </c>
      <c r="AC27" s="98">
        <v>1E-8</v>
      </c>
      <c r="AD27" s="4"/>
    </row>
    <row r="28" spans="1:30" x14ac:dyDescent="0.35">
      <c r="A28" s="4" t="s">
        <v>475</v>
      </c>
      <c r="B28" s="17" t="s">
        <v>718</v>
      </c>
      <c r="C28" s="118">
        <v>9.6183976319043352E-2</v>
      </c>
      <c r="D28" s="23">
        <v>1E-8</v>
      </c>
      <c r="E28" s="22">
        <v>1E-8</v>
      </c>
      <c r="F28" s="22">
        <v>1E-8</v>
      </c>
      <c r="G28" s="22">
        <v>1E-8</v>
      </c>
      <c r="H28" s="22">
        <v>1E-8</v>
      </c>
      <c r="I28" s="22">
        <v>1E-8</v>
      </c>
      <c r="J28" s="22">
        <v>1E-8</v>
      </c>
      <c r="K28" s="22">
        <v>1E-8</v>
      </c>
      <c r="L28" s="22">
        <v>1E-8</v>
      </c>
      <c r="M28" s="4"/>
      <c r="N28" s="34"/>
      <c r="O28" s="4"/>
      <c r="P28" s="68"/>
      <c r="Q28" s="68" t="s">
        <v>609</v>
      </c>
      <c r="R28" s="108" t="s">
        <v>11</v>
      </c>
      <c r="S28" s="108" t="s">
        <v>538</v>
      </c>
      <c r="T28" s="98">
        <v>9.3206602915917064E-2</v>
      </c>
      <c r="U28" s="80">
        <v>0.88561474638872983</v>
      </c>
      <c r="V28" s="98">
        <v>1E-8</v>
      </c>
      <c r="W28" s="98">
        <v>1E-8</v>
      </c>
      <c r="X28" s="98">
        <v>1E-8</v>
      </c>
      <c r="Y28" s="98">
        <v>1E-8</v>
      </c>
      <c r="Z28" s="98">
        <v>1E-8</v>
      </c>
      <c r="AA28" s="98">
        <v>1E-8</v>
      </c>
      <c r="AB28" s="98">
        <v>1E-8</v>
      </c>
      <c r="AC28" s="98">
        <v>1E-8</v>
      </c>
      <c r="AD28" s="4"/>
    </row>
    <row r="29" spans="1:30" x14ac:dyDescent="0.35">
      <c r="A29" s="4" t="s">
        <v>476</v>
      </c>
      <c r="B29" s="17" t="s">
        <v>719</v>
      </c>
      <c r="C29" s="118">
        <v>6.9201202912052631E-2</v>
      </c>
      <c r="D29" s="23">
        <v>1E-8</v>
      </c>
      <c r="E29" s="22">
        <v>1E-8</v>
      </c>
      <c r="F29" s="22">
        <v>1E-8</v>
      </c>
      <c r="G29" s="22">
        <v>1E-8</v>
      </c>
      <c r="H29" s="22">
        <v>1E-8</v>
      </c>
      <c r="I29" s="22">
        <v>1E-8</v>
      </c>
      <c r="J29" s="22">
        <v>1E-8</v>
      </c>
      <c r="K29" s="22">
        <v>1E-8</v>
      </c>
      <c r="L29" s="22">
        <v>1E-8</v>
      </c>
      <c r="M29" s="4"/>
      <c r="N29" s="34"/>
      <c r="O29" s="4"/>
      <c r="P29" s="68"/>
      <c r="Q29" s="68" t="s">
        <v>610</v>
      </c>
      <c r="R29" s="108" t="s">
        <v>11</v>
      </c>
      <c r="S29" s="108" t="s">
        <v>299</v>
      </c>
      <c r="T29" s="98">
        <v>1E-8</v>
      </c>
      <c r="U29" s="80">
        <v>1E-8</v>
      </c>
      <c r="V29" s="98">
        <v>1E-8</v>
      </c>
      <c r="W29" s="98">
        <v>1E-8</v>
      </c>
      <c r="X29" s="98">
        <v>1E-8</v>
      </c>
      <c r="Y29" s="98">
        <v>1E-8</v>
      </c>
      <c r="Z29" s="98">
        <v>1E-8</v>
      </c>
      <c r="AA29" s="98">
        <v>1E-8</v>
      </c>
      <c r="AB29" s="98">
        <v>1E-8</v>
      </c>
      <c r="AC29" s="98">
        <v>1E-8</v>
      </c>
      <c r="AD29" s="4"/>
    </row>
    <row r="30" spans="1:30" x14ac:dyDescent="0.35">
      <c r="A30" s="53" t="s">
        <v>477</v>
      </c>
      <c r="B30" s="54" t="s">
        <v>720</v>
      </c>
      <c r="C30" s="121">
        <v>0.29770896984938466</v>
      </c>
      <c r="D30" s="56">
        <v>1E-8</v>
      </c>
      <c r="E30" s="55">
        <v>1E-8</v>
      </c>
      <c r="F30" s="55">
        <v>1E-8</v>
      </c>
      <c r="G30" s="55">
        <v>1E-8</v>
      </c>
      <c r="H30" s="55">
        <v>1E-8</v>
      </c>
      <c r="I30" s="55">
        <v>1E-8</v>
      </c>
      <c r="J30" s="55">
        <v>1E-8</v>
      </c>
      <c r="K30" s="55">
        <v>1E-8</v>
      </c>
      <c r="L30" s="55">
        <v>1E-8</v>
      </c>
      <c r="M30" s="4"/>
      <c r="N30" s="34"/>
      <c r="O30" s="4"/>
      <c r="P30" s="68"/>
      <c r="Q30" s="68" t="s">
        <v>611</v>
      </c>
      <c r="R30" s="108" t="s">
        <v>11</v>
      </c>
      <c r="S30" s="108" t="s">
        <v>309</v>
      </c>
      <c r="T30" s="98">
        <v>3.6921033286449516</v>
      </c>
      <c r="U30" s="80">
        <v>12.70608641485904</v>
      </c>
      <c r="V30" s="98">
        <v>1E-8</v>
      </c>
      <c r="W30" s="98">
        <v>1E-8</v>
      </c>
      <c r="X30" s="98">
        <v>1E-8</v>
      </c>
      <c r="Y30" s="98">
        <v>1E-8</v>
      </c>
      <c r="Z30" s="98">
        <v>1E-8</v>
      </c>
      <c r="AA30" s="98">
        <v>1E-8</v>
      </c>
      <c r="AB30" s="98">
        <v>1E-8</v>
      </c>
      <c r="AC30" s="98">
        <v>1E-8</v>
      </c>
      <c r="AD30" s="4"/>
    </row>
    <row r="31" spans="1:30" x14ac:dyDescent="0.35">
      <c r="A31" s="5" t="s">
        <v>69</v>
      </c>
      <c r="B31" s="19" t="s">
        <v>721</v>
      </c>
      <c r="C31" s="120">
        <v>0.57588953605485405</v>
      </c>
      <c r="D31" s="21">
        <v>1E-8</v>
      </c>
      <c r="E31" s="20">
        <v>1E-8</v>
      </c>
      <c r="F31" s="20">
        <v>1E-8</v>
      </c>
      <c r="G31" s="20">
        <v>1E-8</v>
      </c>
      <c r="H31" s="20">
        <v>1E-8</v>
      </c>
      <c r="I31" s="20">
        <v>1E-8</v>
      </c>
      <c r="J31" s="20">
        <v>1E-8</v>
      </c>
      <c r="K31" s="20">
        <v>1E-8</v>
      </c>
      <c r="L31" s="20">
        <v>1E-8</v>
      </c>
      <c r="M31" s="4"/>
      <c r="N31" s="34"/>
      <c r="O31" s="4"/>
      <c r="P31" s="68"/>
      <c r="Q31" s="68" t="s">
        <v>612</v>
      </c>
      <c r="R31" s="108" t="s">
        <v>11</v>
      </c>
      <c r="S31" s="108" t="s">
        <v>308</v>
      </c>
      <c r="T31" s="98">
        <v>1.0981353116233346</v>
      </c>
      <c r="U31" s="80">
        <v>4.3743649870285672</v>
      </c>
      <c r="V31" s="98">
        <v>1E-8</v>
      </c>
      <c r="W31" s="98">
        <v>1E-8</v>
      </c>
      <c r="X31" s="98">
        <v>1E-8</v>
      </c>
      <c r="Y31" s="98">
        <v>1E-8</v>
      </c>
      <c r="Z31" s="98">
        <v>1E-8</v>
      </c>
      <c r="AA31" s="98">
        <v>1E-8</v>
      </c>
      <c r="AB31" s="98">
        <v>1E-8</v>
      </c>
      <c r="AC31" s="98">
        <v>1E-8</v>
      </c>
      <c r="AD31" s="4"/>
    </row>
    <row r="32" spans="1:30" x14ac:dyDescent="0.35">
      <c r="A32" s="5" t="s">
        <v>480</v>
      </c>
      <c r="B32" s="19" t="s">
        <v>722</v>
      </c>
      <c r="C32" s="120">
        <v>2.5750230022866916</v>
      </c>
      <c r="D32" s="21">
        <v>1E-8</v>
      </c>
      <c r="E32" s="20">
        <v>1E-8</v>
      </c>
      <c r="F32" s="20">
        <v>1E-8</v>
      </c>
      <c r="G32" s="20">
        <v>1E-8</v>
      </c>
      <c r="H32" s="20">
        <v>1E-8</v>
      </c>
      <c r="I32" s="20">
        <v>1E-8</v>
      </c>
      <c r="J32" s="20">
        <v>1E-8</v>
      </c>
      <c r="K32" s="20">
        <v>1E-8</v>
      </c>
      <c r="L32" s="20">
        <v>1E-8</v>
      </c>
      <c r="M32" s="4"/>
      <c r="N32" s="34"/>
      <c r="O32" s="4"/>
      <c r="P32" s="68"/>
      <c r="Q32" s="68" t="s">
        <v>613</v>
      </c>
      <c r="R32" s="108" t="s">
        <v>11</v>
      </c>
      <c r="S32" s="108" t="s">
        <v>306</v>
      </c>
      <c r="T32" s="98">
        <v>0.14199526569584286</v>
      </c>
      <c r="U32" s="80">
        <v>-2.2603355010321069</v>
      </c>
      <c r="V32" s="98">
        <v>1E-8</v>
      </c>
      <c r="W32" s="98">
        <v>1E-8</v>
      </c>
      <c r="X32" s="98">
        <v>1E-8</v>
      </c>
      <c r="Y32" s="98">
        <v>1E-8</v>
      </c>
      <c r="Z32" s="98">
        <v>1E-8</v>
      </c>
      <c r="AA32" s="98">
        <v>1E-8</v>
      </c>
      <c r="AB32" s="98">
        <v>1E-8</v>
      </c>
      <c r="AC32" s="98">
        <v>1E-8</v>
      </c>
      <c r="AD32" s="4"/>
    </row>
    <row r="33" spans="1:30" x14ac:dyDescent="0.35">
      <c r="A33" s="4" t="s">
        <v>481</v>
      </c>
      <c r="B33" s="17" t="s">
        <v>723</v>
      </c>
      <c r="C33" s="118">
        <v>0.31595085065134265</v>
      </c>
      <c r="D33" s="23">
        <v>1E-8</v>
      </c>
      <c r="E33" s="22">
        <v>1E-8</v>
      </c>
      <c r="F33" s="22">
        <v>1E-8</v>
      </c>
      <c r="G33" s="22">
        <v>1E-8</v>
      </c>
      <c r="H33" s="22">
        <v>1E-8</v>
      </c>
      <c r="I33" s="22">
        <v>1E-8</v>
      </c>
      <c r="J33" s="22">
        <v>1E-8</v>
      </c>
      <c r="K33" s="22">
        <v>1E-8</v>
      </c>
      <c r="L33" s="22">
        <v>1E-8</v>
      </c>
      <c r="M33" s="4"/>
      <c r="N33" s="34"/>
      <c r="O33" s="4"/>
      <c r="P33" s="68"/>
      <c r="Q33" s="68" t="s">
        <v>614</v>
      </c>
      <c r="R33" s="108" t="s">
        <v>11</v>
      </c>
      <c r="S33" s="108" t="s">
        <v>305</v>
      </c>
      <c r="T33" s="98">
        <v>0.2407678048925411</v>
      </c>
      <c r="U33" s="80">
        <v>-0.30526270383965937</v>
      </c>
      <c r="V33" s="98">
        <v>1E-8</v>
      </c>
      <c r="W33" s="98">
        <v>1E-8</v>
      </c>
      <c r="X33" s="98">
        <v>1E-8</v>
      </c>
      <c r="Y33" s="98">
        <v>1E-8</v>
      </c>
      <c r="Z33" s="98">
        <v>1E-8</v>
      </c>
      <c r="AA33" s="98">
        <v>1E-8</v>
      </c>
      <c r="AB33" s="98">
        <v>1E-8</v>
      </c>
      <c r="AC33" s="98">
        <v>1E-8</v>
      </c>
      <c r="AD33" s="4"/>
    </row>
    <row r="34" spans="1:30" x14ac:dyDescent="0.35">
      <c r="A34" s="4" t="s">
        <v>482</v>
      </c>
      <c r="B34" s="17" t="s">
        <v>724</v>
      </c>
      <c r="C34" s="122">
        <v>9.8750469758157947E-2</v>
      </c>
      <c r="D34" s="64">
        <v>1E-8</v>
      </c>
      <c r="E34" s="40">
        <v>1E-8</v>
      </c>
      <c r="F34" s="40">
        <v>1E-8</v>
      </c>
      <c r="G34" s="40">
        <v>1E-8</v>
      </c>
      <c r="H34" s="40">
        <v>1E-8</v>
      </c>
      <c r="I34" s="40">
        <v>1E-8</v>
      </c>
      <c r="J34" s="40">
        <v>1E-8</v>
      </c>
      <c r="K34" s="40">
        <v>1E-8</v>
      </c>
      <c r="L34" s="40">
        <v>1E-8</v>
      </c>
      <c r="M34" s="4"/>
      <c r="N34" s="34"/>
      <c r="O34" s="4"/>
      <c r="P34" s="68"/>
      <c r="Q34" s="68" t="s">
        <v>615</v>
      </c>
      <c r="R34" s="108" t="s">
        <v>11</v>
      </c>
      <c r="S34" s="108" t="s">
        <v>539</v>
      </c>
      <c r="T34" s="98">
        <v>0.18163255162707545</v>
      </c>
      <c r="U34" s="80">
        <v>15.680971967821854</v>
      </c>
      <c r="V34" s="98">
        <v>1E-8</v>
      </c>
      <c r="W34" s="98">
        <v>1E-8</v>
      </c>
      <c r="X34" s="98">
        <v>1E-8</v>
      </c>
      <c r="Y34" s="98">
        <v>1E-8</v>
      </c>
      <c r="Z34" s="98">
        <v>1E-8</v>
      </c>
      <c r="AA34" s="98">
        <v>1E-8</v>
      </c>
      <c r="AB34" s="98">
        <v>1E-8</v>
      </c>
      <c r="AC34" s="98">
        <v>1E-8</v>
      </c>
      <c r="AD34" s="4"/>
    </row>
    <row r="35" spans="1:30" x14ac:dyDescent="0.35">
      <c r="A35" s="4" t="s">
        <v>483</v>
      </c>
      <c r="B35" s="17" t="s">
        <v>725</v>
      </c>
      <c r="C35" s="118">
        <v>8.5487951738694931E-2</v>
      </c>
      <c r="D35" s="23">
        <v>1E-8</v>
      </c>
      <c r="E35" s="22">
        <v>1E-8</v>
      </c>
      <c r="F35" s="22">
        <v>1E-8</v>
      </c>
      <c r="G35" s="22">
        <v>1E-8</v>
      </c>
      <c r="H35" s="22">
        <v>1E-8</v>
      </c>
      <c r="I35" s="22">
        <v>1E-8</v>
      </c>
      <c r="J35" s="22">
        <v>1E-8</v>
      </c>
      <c r="K35" s="22">
        <v>1E-8</v>
      </c>
      <c r="L35" s="22">
        <v>1E-8</v>
      </c>
      <c r="M35" s="4"/>
      <c r="N35" s="34"/>
      <c r="O35" s="4"/>
      <c r="P35" s="68"/>
      <c r="Q35" s="68" t="s">
        <v>616</v>
      </c>
      <c r="R35" s="109" t="s">
        <v>11</v>
      </c>
      <c r="S35" s="109" t="s">
        <v>310</v>
      </c>
      <c r="T35" s="81">
        <v>1.04606350894957</v>
      </c>
      <c r="U35" s="82">
        <v>2.7264686424794071</v>
      </c>
      <c r="V35" s="81">
        <v>1E-8</v>
      </c>
      <c r="W35" s="81">
        <v>1E-8</v>
      </c>
      <c r="X35" s="81">
        <v>1E-8</v>
      </c>
      <c r="Y35" s="81">
        <v>1E-8</v>
      </c>
      <c r="Z35" s="81">
        <v>1E-8</v>
      </c>
      <c r="AA35" s="81">
        <v>1E-8</v>
      </c>
      <c r="AB35" s="81">
        <v>1E-8</v>
      </c>
      <c r="AC35" s="81">
        <v>1E-8</v>
      </c>
      <c r="AD35" s="4"/>
    </row>
    <row r="36" spans="1:30" x14ac:dyDescent="0.35">
      <c r="A36" s="4" t="s">
        <v>484</v>
      </c>
      <c r="B36" s="17" t="s">
        <v>726</v>
      </c>
      <c r="C36" s="118">
        <v>2.0748337301384958</v>
      </c>
      <c r="D36" s="23">
        <v>1E-8</v>
      </c>
      <c r="E36" s="22">
        <v>1E-8</v>
      </c>
      <c r="F36" s="22">
        <v>1E-8</v>
      </c>
      <c r="G36" s="22">
        <v>1E-8</v>
      </c>
      <c r="H36" s="22">
        <v>1E-8</v>
      </c>
      <c r="I36" s="22">
        <v>1E-8</v>
      </c>
      <c r="J36" s="22">
        <v>1E-8</v>
      </c>
      <c r="K36" s="22">
        <v>1E-8</v>
      </c>
      <c r="L36" s="22">
        <v>1E-8</v>
      </c>
      <c r="M36" s="4"/>
      <c r="N36" s="34"/>
      <c r="O36" s="4"/>
      <c r="P36" s="96"/>
      <c r="Q36" s="96" t="s">
        <v>280</v>
      </c>
      <c r="R36" s="107" t="s">
        <v>11</v>
      </c>
      <c r="S36" s="107" t="s">
        <v>311</v>
      </c>
      <c r="T36" s="97">
        <v>4.8075102858746996</v>
      </c>
      <c r="U36" s="78">
        <v>-1.5219296062833121</v>
      </c>
      <c r="V36" s="97">
        <v>1E-8</v>
      </c>
      <c r="W36" s="97">
        <v>1E-8</v>
      </c>
      <c r="X36" s="97">
        <v>1E-8</v>
      </c>
      <c r="Y36" s="97">
        <v>1E-8</v>
      </c>
      <c r="Z36" s="97">
        <v>1E-8</v>
      </c>
      <c r="AA36" s="97">
        <v>1E-8</v>
      </c>
      <c r="AB36" s="97">
        <v>1E-8</v>
      </c>
      <c r="AC36" s="97">
        <v>1E-8</v>
      </c>
      <c r="AD36" s="4"/>
    </row>
    <row r="37" spans="1:30" x14ac:dyDescent="0.35">
      <c r="A37" s="4"/>
      <c r="B37" s="6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34"/>
      <c r="O37" s="4"/>
      <c r="P37" s="68"/>
      <c r="Q37" s="68" t="s">
        <v>617</v>
      </c>
      <c r="R37" s="108" t="s">
        <v>11</v>
      </c>
      <c r="S37" s="108" t="s">
        <v>312</v>
      </c>
      <c r="T37" s="98">
        <v>2.3125423835525893</v>
      </c>
      <c r="U37" s="80">
        <v>-2.0870775770823413</v>
      </c>
      <c r="V37" s="98">
        <v>1E-8</v>
      </c>
      <c r="W37" s="98">
        <v>1E-8</v>
      </c>
      <c r="X37" s="98">
        <v>1E-8</v>
      </c>
      <c r="Y37" s="98">
        <v>1E-8</v>
      </c>
      <c r="Z37" s="98">
        <v>1E-8</v>
      </c>
      <c r="AA37" s="98">
        <v>1E-8</v>
      </c>
      <c r="AB37" s="98">
        <v>1E-8</v>
      </c>
      <c r="AC37" s="98">
        <v>1E-8</v>
      </c>
      <c r="AD37" s="4"/>
    </row>
    <row r="38" spans="1:30" x14ac:dyDescent="0.35">
      <c r="A38" s="36" t="s">
        <v>461</v>
      </c>
      <c r="B38" s="63"/>
      <c r="C38" s="34"/>
      <c r="D38" s="6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4"/>
      <c r="P38" s="68"/>
      <c r="Q38" s="68" t="s">
        <v>618</v>
      </c>
      <c r="R38" s="108" t="s">
        <v>11</v>
      </c>
      <c r="S38" s="108" t="s">
        <v>316</v>
      </c>
      <c r="T38" s="98">
        <v>1.1020005075054842</v>
      </c>
      <c r="U38" s="80">
        <v>-4.0651987976979669</v>
      </c>
      <c r="V38" s="98">
        <v>1E-8</v>
      </c>
      <c r="W38" s="98">
        <v>1E-8</v>
      </c>
      <c r="X38" s="98">
        <v>1E-8</v>
      </c>
      <c r="Y38" s="98">
        <v>1E-8</v>
      </c>
      <c r="Z38" s="98">
        <v>1E-8</v>
      </c>
      <c r="AA38" s="98">
        <v>1E-8</v>
      </c>
      <c r="AB38" s="98">
        <v>1E-8</v>
      </c>
      <c r="AC38" s="98">
        <v>1E-8</v>
      </c>
      <c r="AD38" s="4"/>
    </row>
    <row r="39" spans="1:30" x14ac:dyDescent="0.35">
      <c r="A39" s="35" t="s">
        <v>488</v>
      </c>
      <c r="B39" s="30"/>
      <c r="C39" s="33" t="s">
        <v>246</v>
      </c>
      <c r="D39" s="50" t="s">
        <v>890</v>
      </c>
      <c r="E39" s="33" t="s">
        <v>885</v>
      </c>
      <c r="F39" s="33" t="s">
        <v>891</v>
      </c>
      <c r="G39" s="33" t="s">
        <v>886</v>
      </c>
      <c r="H39" s="33" t="s">
        <v>887</v>
      </c>
      <c r="I39" s="33" t="s">
        <v>888</v>
      </c>
      <c r="J39" s="33" t="s">
        <v>889</v>
      </c>
      <c r="K39" s="33" t="s">
        <v>396</v>
      </c>
      <c r="L39" s="33" t="s">
        <v>397</v>
      </c>
      <c r="M39" s="30"/>
      <c r="N39" s="34"/>
      <c r="O39" s="4"/>
      <c r="P39" s="68"/>
      <c r="Q39" s="68" t="s">
        <v>619</v>
      </c>
      <c r="R39" s="108" t="s">
        <v>11</v>
      </c>
      <c r="S39" s="108" t="s">
        <v>314</v>
      </c>
      <c r="T39" s="98">
        <v>0.37651452924708334</v>
      </c>
      <c r="U39" s="80">
        <v>2.7694227787403047</v>
      </c>
      <c r="V39" s="98">
        <v>1E-8</v>
      </c>
      <c r="W39" s="98">
        <v>1E-8</v>
      </c>
      <c r="X39" s="98">
        <v>1E-8</v>
      </c>
      <c r="Y39" s="98">
        <v>1E-8</v>
      </c>
      <c r="Z39" s="98">
        <v>1E-8</v>
      </c>
      <c r="AA39" s="98">
        <v>1E-8</v>
      </c>
      <c r="AB39" s="98">
        <v>1E-8</v>
      </c>
      <c r="AC39" s="98">
        <v>1E-8</v>
      </c>
      <c r="AD39" s="4"/>
    </row>
    <row r="40" spans="1:30" x14ac:dyDescent="0.35">
      <c r="A40" s="5" t="s">
        <v>473</v>
      </c>
      <c r="B40" s="19" t="s">
        <v>696</v>
      </c>
      <c r="C40" s="20">
        <v>1</v>
      </c>
      <c r="D40" s="21">
        <v>-3.0961101650798128</v>
      </c>
      <c r="E40" s="20">
        <v>1E-8</v>
      </c>
      <c r="F40" s="20">
        <v>1E-8</v>
      </c>
      <c r="G40" s="20">
        <v>1E-8</v>
      </c>
      <c r="H40" s="20">
        <v>1E-8</v>
      </c>
      <c r="I40" s="20">
        <v>1E-8</v>
      </c>
      <c r="J40" s="20">
        <v>1E-8</v>
      </c>
      <c r="K40" s="20">
        <v>1E-8</v>
      </c>
      <c r="L40" s="20">
        <v>1E-8</v>
      </c>
      <c r="M40" s="4"/>
      <c r="N40" s="34"/>
      <c r="O40" s="4"/>
      <c r="P40" s="68"/>
      <c r="Q40" s="68" t="s">
        <v>620</v>
      </c>
      <c r="R40" s="108" t="s">
        <v>11</v>
      </c>
      <c r="S40" s="108" t="s">
        <v>317</v>
      </c>
      <c r="T40" s="98">
        <v>6.7436930199390371E-2</v>
      </c>
      <c r="U40" s="80">
        <v>-0.10077824522513046</v>
      </c>
      <c r="V40" s="98">
        <v>1E-8</v>
      </c>
      <c r="W40" s="98">
        <v>1E-8</v>
      </c>
      <c r="X40" s="98">
        <v>1E-8</v>
      </c>
      <c r="Y40" s="98">
        <v>1E-8</v>
      </c>
      <c r="Z40" s="98">
        <v>1E-8</v>
      </c>
      <c r="AA40" s="98">
        <v>1E-8</v>
      </c>
      <c r="AB40" s="98">
        <v>1E-8</v>
      </c>
      <c r="AC40" s="98">
        <v>1E-8</v>
      </c>
      <c r="AD40" s="4"/>
    </row>
    <row r="41" spans="1:30" x14ac:dyDescent="0.35">
      <c r="A41" s="4" t="s">
        <v>474</v>
      </c>
      <c r="B41" s="17" t="s">
        <v>697</v>
      </c>
      <c r="C41" s="22">
        <v>1</v>
      </c>
      <c r="D41" s="23">
        <v>-2.6529350508677885</v>
      </c>
      <c r="E41" s="22">
        <v>1E-8</v>
      </c>
      <c r="F41" s="22">
        <v>1E-8</v>
      </c>
      <c r="G41" s="22">
        <v>1E-8</v>
      </c>
      <c r="H41" s="22">
        <v>1E-8</v>
      </c>
      <c r="I41" s="22">
        <v>1E-8</v>
      </c>
      <c r="J41" s="22">
        <v>1E-8</v>
      </c>
      <c r="K41" s="22">
        <v>1E-8</v>
      </c>
      <c r="L41" s="22">
        <v>1E-8</v>
      </c>
      <c r="M41" s="4"/>
      <c r="N41" s="34"/>
      <c r="O41" s="4"/>
      <c r="P41" s="68"/>
      <c r="Q41" s="68" t="s">
        <v>621</v>
      </c>
      <c r="R41" s="108" t="s">
        <v>11</v>
      </c>
      <c r="S41" s="108" t="s">
        <v>313</v>
      </c>
      <c r="T41" s="98">
        <v>0.5366043442247922</v>
      </c>
      <c r="U41" s="80">
        <v>-0.19649467611526639</v>
      </c>
      <c r="V41" s="98">
        <v>1E-8</v>
      </c>
      <c r="W41" s="98">
        <v>1E-8</v>
      </c>
      <c r="X41" s="98">
        <v>1E-8</v>
      </c>
      <c r="Y41" s="98">
        <v>1E-8</v>
      </c>
      <c r="Z41" s="98">
        <v>1E-8</v>
      </c>
      <c r="AA41" s="98">
        <v>1E-8</v>
      </c>
      <c r="AB41" s="98">
        <v>1E-8</v>
      </c>
      <c r="AC41" s="98">
        <v>1E-8</v>
      </c>
      <c r="AD41" s="4"/>
    </row>
    <row r="42" spans="1:30" x14ac:dyDescent="0.35">
      <c r="A42" s="4" t="s">
        <v>475</v>
      </c>
      <c r="B42" s="17" t="s">
        <v>698</v>
      </c>
      <c r="C42" s="22">
        <v>1</v>
      </c>
      <c r="D42" s="23">
        <v>-2.8558630293329168</v>
      </c>
      <c r="E42" s="22">
        <v>1E-8</v>
      </c>
      <c r="F42" s="22">
        <v>1E-8</v>
      </c>
      <c r="G42" s="22">
        <v>1E-8</v>
      </c>
      <c r="H42" s="22">
        <v>1E-8</v>
      </c>
      <c r="I42" s="22">
        <v>1E-8</v>
      </c>
      <c r="J42" s="22">
        <v>1E-8</v>
      </c>
      <c r="K42" s="22">
        <v>1E-8</v>
      </c>
      <c r="L42" s="22">
        <v>1E-8</v>
      </c>
      <c r="M42" s="4"/>
      <c r="N42" s="34"/>
      <c r="O42" s="4"/>
      <c r="P42" s="68"/>
      <c r="Q42" s="68" t="s">
        <v>622</v>
      </c>
      <c r="R42" s="108" t="s">
        <v>11</v>
      </c>
      <c r="S42" s="108" t="s">
        <v>315</v>
      </c>
      <c r="T42" s="98">
        <v>0.28412185580908506</v>
      </c>
      <c r="U42" s="80">
        <v>1.0237587795600689</v>
      </c>
      <c r="V42" s="98">
        <v>1E-8</v>
      </c>
      <c r="W42" s="98">
        <v>1E-8</v>
      </c>
      <c r="X42" s="98">
        <v>1E-8</v>
      </c>
      <c r="Y42" s="98">
        <v>1E-8</v>
      </c>
      <c r="Z42" s="98">
        <v>1E-8</v>
      </c>
      <c r="AA42" s="98">
        <v>1E-8</v>
      </c>
      <c r="AB42" s="98">
        <v>1E-8</v>
      </c>
      <c r="AC42" s="98">
        <v>1E-8</v>
      </c>
      <c r="AD42" s="4"/>
    </row>
    <row r="43" spans="1:30" x14ac:dyDescent="0.35">
      <c r="A43" s="4" t="s">
        <v>476</v>
      </c>
      <c r="B43" s="17" t="s">
        <v>699</v>
      </c>
      <c r="C43" s="22">
        <v>1</v>
      </c>
      <c r="D43" s="23">
        <v>-3.7055657236973905</v>
      </c>
      <c r="E43" s="22">
        <v>1E-8</v>
      </c>
      <c r="F43" s="22">
        <v>1E-8</v>
      </c>
      <c r="G43" s="22">
        <v>1E-8</v>
      </c>
      <c r="H43" s="22">
        <v>1E-8</v>
      </c>
      <c r="I43" s="22">
        <v>1E-8</v>
      </c>
      <c r="J43" s="22">
        <v>1E-8</v>
      </c>
      <c r="K43" s="22">
        <v>1E-8</v>
      </c>
      <c r="L43" s="22">
        <v>1E-8</v>
      </c>
      <c r="M43" s="4"/>
      <c r="N43" s="34"/>
      <c r="O43" s="4"/>
      <c r="P43" s="68"/>
      <c r="Q43" s="68" t="s">
        <v>623</v>
      </c>
      <c r="R43" s="108" t="s">
        <v>11</v>
      </c>
      <c r="S43" s="108" t="s">
        <v>540</v>
      </c>
      <c r="T43" s="98">
        <v>1.6195463696039344E-2</v>
      </c>
      <c r="U43" s="80">
        <v>1.3660372595707848</v>
      </c>
      <c r="V43" s="98">
        <v>1E-8</v>
      </c>
      <c r="W43" s="98">
        <v>1E-8</v>
      </c>
      <c r="X43" s="98">
        <v>1E-8</v>
      </c>
      <c r="Y43" s="98">
        <v>1E-8</v>
      </c>
      <c r="Z43" s="98">
        <v>1E-8</v>
      </c>
      <c r="AA43" s="98">
        <v>1E-8</v>
      </c>
      <c r="AB43" s="98">
        <v>1E-8</v>
      </c>
      <c r="AC43" s="98">
        <v>1E-8</v>
      </c>
      <c r="AD43" s="4"/>
    </row>
    <row r="44" spans="1:30" x14ac:dyDescent="0.35">
      <c r="A44" s="53" t="s">
        <v>477</v>
      </c>
      <c r="B44" s="54" t="s">
        <v>700</v>
      </c>
      <c r="C44" s="55">
        <v>1</v>
      </c>
      <c r="D44" s="56">
        <v>-3.3190557822289524</v>
      </c>
      <c r="E44" s="55">
        <v>1E-8</v>
      </c>
      <c r="F44" s="55">
        <v>1E-8</v>
      </c>
      <c r="G44" s="55">
        <v>1E-8</v>
      </c>
      <c r="H44" s="55">
        <v>1E-8</v>
      </c>
      <c r="I44" s="55">
        <v>1E-8</v>
      </c>
      <c r="J44" s="55">
        <v>1E-8</v>
      </c>
      <c r="K44" s="55">
        <v>1E-8</v>
      </c>
      <c r="L44" s="55">
        <v>1E-8</v>
      </c>
      <c r="M44" s="4"/>
      <c r="N44" s="34"/>
      <c r="O44" s="4"/>
      <c r="P44" s="68"/>
      <c r="Q44" s="68" t="s">
        <v>624</v>
      </c>
      <c r="R44" s="109" t="s">
        <v>11</v>
      </c>
      <c r="S44" s="109" t="s">
        <v>541</v>
      </c>
      <c r="T44" s="81">
        <v>0.11209427164023678</v>
      </c>
      <c r="U44" s="82">
        <v>6.6562416859345941</v>
      </c>
      <c r="V44" s="81">
        <v>1E-8</v>
      </c>
      <c r="W44" s="81">
        <v>1E-8</v>
      </c>
      <c r="X44" s="81">
        <v>1E-8</v>
      </c>
      <c r="Y44" s="81">
        <v>1E-8</v>
      </c>
      <c r="Z44" s="81">
        <v>1E-8</v>
      </c>
      <c r="AA44" s="81">
        <v>1E-8</v>
      </c>
      <c r="AB44" s="81">
        <v>1E-8</v>
      </c>
      <c r="AC44" s="81">
        <v>1E-8</v>
      </c>
      <c r="AD44" s="4"/>
    </row>
    <row r="45" spans="1:30" x14ac:dyDescent="0.35">
      <c r="A45" s="5" t="s">
        <v>478</v>
      </c>
      <c r="B45" s="19" t="s">
        <v>701</v>
      </c>
      <c r="C45" s="20">
        <v>1</v>
      </c>
      <c r="D45" s="21">
        <v>-2.5993813202932703</v>
      </c>
      <c r="E45" s="20">
        <v>1E-8</v>
      </c>
      <c r="F45" s="20">
        <v>1E-8</v>
      </c>
      <c r="G45" s="20">
        <v>1E-8</v>
      </c>
      <c r="H45" s="20">
        <v>1E-8</v>
      </c>
      <c r="I45" s="20">
        <v>1E-8</v>
      </c>
      <c r="J45" s="20">
        <v>1E-8</v>
      </c>
      <c r="K45" s="20">
        <v>1E-8</v>
      </c>
      <c r="L45" s="20">
        <v>1E-8</v>
      </c>
      <c r="M45" s="4"/>
      <c r="N45" s="34"/>
      <c r="O45" s="4"/>
      <c r="P45" s="96"/>
      <c r="Q45" s="96" t="s">
        <v>281</v>
      </c>
      <c r="R45" s="107" t="s">
        <v>11</v>
      </c>
      <c r="S45" s="107" t="s">
        <v>318</v>
      </c>
      <c r="T45" s="97">
        <v>14.283727618783171</v>
      </c>
      <c r="U45" s="78">
        <v>-0.40249475785112399</v>
      </c>
      <c r="V45" s="97">
        <v>1E-8</v>
      </c>
      <c r="W45" s="97">
        <v>1E-8</v>
      </c>
      <c r="X45" s="97">
        <v>1E-8</v>
      </c>
      <c r="Y45" s="97">
        <v>1E-8</v>
      </c>
      <c r="Z45" s="97">
        <v>1E-8</v>
      </c>
      <c r="AA45" s="97">
        <v>1E-8</v>
      </c>
      <c r="AB45" s="97">
        <v>1E-8</v>
      </c>
      <c r="AC45" s="97">
        <v>1E-8</v>
      </c>
      <c r="AD45" s="4"/>
    </row>
    <row r="46" spans="1:30" x14ac:dyDescent="0.35">
      <c r="A46" s="4" t="s">
        <v>474</v>
      </c>
      <c r="B46" s="17" t="s">
        <v>702</v>
      </c>
      <c r="C46" s="22">
        <v>1</v>
      </c>
      <c r="D46" s="23">
        <v>-2.3346177708114091</v>
      </c>
      <c r="E46" s="22">
        <v>1E-8</v>
      </c>
      <c r="F46" s="22">
        <v>1E-8</v>
      </c>
      <c r="G46" s="22">
        <v>1E-8</v>
      </c>
      <c r="H46" s="22">
        <v>1E-8</v>
      </c>
      <c r="I46" s="22">
        <v>1E-8</v>
      </c>
      <c r="J46" s="22">
        <v>1E-8</v>
      </c>
      <c r="K46" s="22">
        <v>1E-8</v>
      </c>
      <c r="L46" s="22">
        <v>1E-8</v>
      </c>
      <c r="M46" s="4"/>
      <c r="N46" s="34"/>
      <c r="O46" s="4"/>
      <c r="P46" s="96"/>
      <c r="Q46" s="96" t="s">
        <v>135</v>
      </c>
      <c r="R46" s="107" t="s">
        <v>11</v>
      </c>
      <c r="S46" s="107" t="s">
        <v>542</v>
      </c>
      <c r="T46" s="97">
        <v>12.865315190254773</v>
      </c>
      <c r="U46" s="78">
        <v>-0.41626547181947693</v>
      </c>
      <c r="V46" s="97">
        <v>1E-8</v>
      </c>
      <c r="W46" s="97">
        <v>1E-8</v>
      </c>
      <c r="X46" s="97">
        <v>1E-8</v>
      </c>
      <c r="Y46" s="97">
        <v>1E-8</v>
      </c>
      <c r="Z46" s="97">
        <v>1E-8</v>
      </c>
      <c r="AA46" s="97">
        <v>1E-8</v>
      </c>
      <c r="AB46" s="97">
        <v>1E-8</v>
      </c>
      <c r="AC46" s="97">
        <v>1E-8</v>
      </c>
      <c r="AD46" s="4"/>
    </row>
    <row r="47" spans="1:30" x14ac:dyDescent="0.35">
      <c r="A47" s="4" t="s">
        <v>475</v>
      </c>
      <c r="B47" s="17" t="s">
        <v>703</v>
      </c>
      <c r="C47" s="22">
        <v>1</v>
      </c>
      <c r="D47" s="23">
        <v>-2.3622509032458217</v>
      </c>
      <c r="E47" s="22">
        <v>1E-8</v>
      </c>
      <c r="F47" s="22">
        <v>1E-8</v>
      </c>
      <c r="G47" s="22">
        <v>1E-8</v>
      </c>
      <c r="H47" s="22">
        <v>1E-8</v>
      </c>
      <c r="I47" s="22">
        <v>1E-8</v>
      </c>
      <c r="J47" s="22">
        <v>1E-8</v>
      </c>
      <c r="K47" s="22">
        <v>1E-8</v>
      </c>
      <c r="L47" s="22">
        <v>1E-8</v>
      </c>
      <c r="M47" s="4"/>
      <c r="N47" s="34"/>
      <c r="O47" s="4"/>
      <c r="P47" s="68"/>
      <c r="Q47" s="68" t="s">
        <v>625</v>
      </c>
      <c r="R47" s="108" t="s">
        <v>11</v>
      </c>
      <c r="S47" s="108" t="s">
        <v>543</v>
      </c>
      <c r="T47" s="98">
        <v>10.327717464969654</v>
      </c>
      <c r="U47" s="80">
        <v>-0.2668838732485912</v>
      </c>
      <c r="V47" s="98">
        <v>1E-8</v>
      </c>
      <c r="W47" s="98">
        <v>1E-8</v>
      </c>
      <c r="X47" s="98">
        <v>1E-8</v>
      </c>
      <c r="Y47" s="98">
        <v>1E-8</v>
      </c>
      <c r="Z47" s="98">
        <v>1E-8</v>
      </c>
      <c r="AA47" s="98">
        <v>1E-8</v>
      </c>
      <c r="AB47" s="98">
        <v>1E-8</v>
      </c>
      <c r="AC47" s="98">
        <v>1E-8</v>
      </c>
      <c r="AD47" s="4"/>
    </row>
    <row r="48" spans="1:30" x14ac:dyDescent="0.35">
      <c r="A48" s="4" t="s">
        <v>476</v>
      </c>
      <c r="B48" s="17" t="s">
        <v>704</v>
      </c>
      <c r="C48" s="22">
        <v>1</v>
      </c>
      <c r="D48" s="23">
        <v>-3.6524895098109744</v>
      </c>
      <c r="E48" s="22">
        <v>1E-8</v>
      </c>
      <c r="F48" s="22">
        <v>1E-8</v>
      </c>
      <c r="G48" s="22">
        <v>1E-8</v>
      </c>
      <c r="H48" s="22">
        <v>1E-8</v>
      </c>
      <c r="I48" s="22">
        <v>1E-8</v>
      </c>
      <c r="J48" s="22">
        <v>1E-8</v>
      </c>
      <c r="K48" s="22">
        <v>1E-8</v>
      </c>
      <c r="L48" s="22">
        <v>1E-8</v>
      </c>
      <c r="M48" s="4"/>
      <c r="N48" s="34"/>
      <c r="O48" s="4"/>
      <c r="P48" s="68"/>
      <c r="Q48" s="68" t="s">
        <v>626</v>
      </c>
      <c r="R48" s="108" t="s">
        <v>11</v>
      </c>
      <c r="S48" s="108" t="s">
        <v>544</v>
      </c>
      <c r="T48" s="98">
        <v>1.9607891858437854</v>
      </c>
      <c r="U48" s="80">
        <v>-0.71045031292177319</v>
      </c>
      <c r="V48" s="98">
        <v>1E-8</v>
      </c>
      <c r="W48" s="98">
        <v>1E-8</v>
      </c>
      <c r="X48" s="98">
        <v>1E-8</v>
      </c>
      <c r="Y48" s="98">
        <v>1E-8</v>
      </c>
      <c r="Z48" s="98">
        <v>1E-8</v>
      </c>
      <c r="AA48" s="98">
        <v>1E-8</v>
      </c>
      <c r="AB48" s="98">
        <v>1E-8</v>
      </c>
      <c r="AC48" s="98">
        <v>1E-8</v>
      </c>
      <c r="AD48" s="4"/>
    </row>
    <row r="49" spans="1:30" x14ac:dyDescent="0.35">
      <c r="A49" s="53" t="s">
        <v>477</v>
      </c>
      <c r="B49" s="54" t="s">
        <v>705</v>
      </c>
      <c r="C49" s="55">
        <v>1</v>
      </c>
      <c r="D49" s="56">
        <v>-3.5961430549376505</v>
      </c>
      <c r="E49" s="55">
        <v>1E-8</v>
      </c>
      <c r="F49" s="55">
        <v>1E-8</v>
      </c>
      <c r="G49" s="55">
        <v>1E-8</v>
      </c>
      <c r="H49" s="55">
        <v>1E-8</v>
      </c>
      <c r="I49" s="55">
        <v>1E-8</v>
      </c>
      <c r="J49" s="55">
        <v>1E-8</v>
      </c>
      <c r="K49" s="55">
        <v>1E-8</v>
      </c>
      <c r="L49" s="55">
        <v>1E-8</v>
      </c>
      <c r="M49" s="4"/>
      <c r="N49" s="34"/>
      <c r="O49" s="4"/>
      <c r="P49" s="68"/>
      <c r="Q49" s="68" t="s">
        <v>627</v>
      </c>
      <c r="R49" s="108" t="s">
        <v>11</v>
      </c>
      <c r="S49" s="108" t="s">
        <v>319</v>
      </c>
      <c r="T49" s="98">
        <v>0.57680853944133614</v>
      </c>
      <c r="U49" s="80">
        <v>-2.0908878523561714</v>
      </c>
      <c r="V49" s="98">
        <v>1E-8</v>
      </c>
      <c r="W49" s="98">
        <v>1E-8</v>
      </c>
      <c r="X49" s="98">
        <v>1E-8</v>
      </c>
      <c r="Y49" s="98">
        <v>1E-8</v>
      </c>
      <c r="Z49" s="98">
        <v>1E-8</v>
      </c>
      <c r="AA49" s="98">
        <v>1E-8</v>
      </c>
      <c r="AB49" s="98">
        <v>1E-8</v>
      </c>
      <c r="AC49" s="98">
        <v>1E-8</v>
      </c>
      <c r="AD49" s="4"/>
    </row>
    <row r="50" spans="1:30" x14ac:dyDescent="0.35">
      <c r="A50" s="5" t="s">
        <v>479</v>
      </c>
      <c r="B50" s="19" t="s">
        <v>706</v>
      </c>
      <c r="C50" s="20">
        <v>1</v>
      </c>
      <c r="D50" s="21">
        <v>-3.5254032669380542</v>
      </c>
      <c r="E50" s="20">
        <v>1E-8</v>
      </c>
      <c r="F50" s="20">
        <v>1E-8</v>
      </c>
      <c r="G50" s="20">
        <v>1E-8</v>
      </c>
      <c r="H50" s="20">
        <v>1E-8</v>
      </c>
      <c r="I50" s="20">
        <v>1E-8</v>
      </c>
      <c r="J50" s="20">
        <v>1E-8</v>
      </c>
      <c r="K50" s="20">
        <v>1E-8</v>
      </c>
      <c r="L50" s="20">
        <v>1E-8</v>
      </c>
      <c r="M50" s="4"/>
      <c r="N50" s="34"/>
      <c r="O50" s="4"/>
      <c r="P50" s="71"/>
      <c r="Q50" s="71" t="s">
        <v>628</v>
      </c>
      <c r="R50" s="110" t="s">
        <v>11</v>
      </c>
      <c r="S50" s="110" t="s">
        <v>320</v>
      </c>
      <c r="T50" s="83">
        <v>1.4184124285283994</v>
      </c>
      <c r="U50" s="84">
        <v>-0.27759132917667406</v>
      </c>
      <c r="V50" s="83">
        <v>1E-8</v>
      </c>
      <c r="W50" s="83">
        <v>1E-8</v>
      </c>
      <c r="X50" s="83">
        <v>1E-8</v>
      </c>
      <c r="Y50" s="83">
        <v>1E-8</v>
      </c>
      <c r="Z50" s="83">
        <v>1E-8</v>
      </c>
      <c r="AA50" s="83">
        <v>1E-8</v>
      </c>
      <c r="AB50" s="83">
        <v>1E-8</v>
      </c>
      <c r="AC50" s="83">
        <v>1E-8</v>
      </c>
      <c r="AD50" s="4"/>
    </row>
    <row r="51" spans="1:30" x14ac:dyDescent="0.35">
      <c r="A51" s="4" t="s">
        <v>474</v>
      </c>
      <c r="B51" s="17" t="s">
        <v>707</v>
      </c>
      <c r="C51" s="22">
        <v>1</v>
      </c>
      <c r="D51" s="23">
        <v>-4.015299924014637</v>
      </c>
      <c r="E51" s="22">
        <v>1E-8</v>
      </c>
      <c r="F51" s="22">
        <v>1E-8</v>
      </c>
      <c r="G51" s="22">
        <v>1E-8</v>
      </c>
      <c r="H51" s="22">
        <v>1E-8</v>
      </c>
      <c r="I51" s="22">
        <v>1E-8</v>
      </c>
      <c r="J51" s="22">
        <v>1E-8</v>
      </c>
      <c r="K51" s="22">
        <v>1E-8</v>
      </c>
      <c r="L51" s="22">
        <v>1E-8</v>
      </c>
      <c r="M51" s="4"/>
      <c r="N51" s="34"/>
      <c r="O51" s="4"/>
      <c r="P51" s="99"/>
      <c r="Q51" s="99" t="s">
        <v>282</v>
      </c>
      <c r="R51" s="105" t="s">
        <v>11</v>
      </c>
      <c r="S51" s="105" t="s">
        <v>321</v>
      </c>
      <c r="T51" s="95">
        <v>31.807902957995449</v>
      </c>
      <c r="U51" s="74">
        <v>-0.28960525633997536</v>
      </c>
      <c r="V51" s="95">
        <v>1E-8</v>
      </c>
      <c r="W51" s="95">
        <v>1E-8</v>
      </c>
      <c r="X51" s="95">
        <v>1E-8</v>
      </c>
      <c r="Y51" s="95">
        <v>1E-8</v>
      </c>
      <c r="Z51" s="95">
        <v>1E-8</v>
      </c>
      <c r="AA51" s="95">
        <v>1E-8</v>
      </c>
      <c r="AB51" s="95">
        <v>1E-8</v>
      </c>
      <c r="AC51" s="95">
        <v>1E-8</v>
      </c>
      <c r="AD51" s="4"/>
    </row>
    <row r="52" spans="1:30" x14ac:dyDescent="0.35">
      <c r="A52" s="4" t="s">
        <v>475</v>
      </c>
      <c r="B52" s="17" t="s">
        <v>708</v>
      </c>
      <c r="C52" s="22">
        <v>1</v>
      </c>
      <c r="D52" s="23">
        <v>-4.5280754680920516</v>
      </c>
      <c r="E52" s="22">
        <v>1E-8</v>
      </c>
      <c r="F52" s="22">
        <v>1E-8</v>
      </c>
      <c r="G52" s="22">
        <v>1E-8</v>
      </c>
      <c r="H52" s="22">
        <v>1E-8</v>
      </c>
      <c r="I52" s="22">
        <v>1E-8</v>
      </c>
      <c r="J52" s="22">
        <v>1E-8</v>
      </c>
      <c r="K52" s="22">
        <v>1E-8</v>
      </c>
      <c r="L52" s="22">
        <v>1E-8</v>
      </c>
      <c r="M52" s="4"/>
      <c r="N52" s="34"/>
      <c r="O52" s="4"/>
      <c r="P52" s="99"/>
      <c r="Q52" s="99" t="s">
        <v>283</v>
      </c>
      <c r="R52" s="105" t="s">
        <v>11</v>
      </c>
      <c r="S52" s="105" t="s">
        <v>322</v>
      </c>
      <c r="T52" s="95">
        <v>18.666936101153112</v>
      </c>
      <c r="U52" s="74">
        <v>0.34831436038658126</v>
      </c>
      <c r="V52" s="95">
        <v>1E-8</v>
      </c>
      <c r="W52" s="95">
        <v>1E-8</v>
      </c>
      <c r="X52" s="95">
        <v>1E-8</v>
      </c>
      <c r="Y52" s="95">
        <v>1E-8</v>
      </c>
      <c r="Z52" s="95">
        <v>1E-8</v>
      </c>
      <c r="AA52" s="95">
        <v>1E-8</v>
      </c>
      <c r="AB52" s="95">
        <v>1E-8</v>
      </c>
      <c r="AC52" s="95">
        <v>1E-8</v>
      </c>
      <c r="AD52" s="4"/>
    </row>
    <row r="53" spans="1:30" x14ac:dyDescent="0.35">
      <c r="A53" s="4" t="s">
        <v>476</v>
      </c>
      <c r="B53" s="17" t="s">
        <v>709</v>
      </c>
      <c r="C53" s="22">
        <v>1</v>
      </c>
      <c r="D53" s="23">
        <v>-3.7380621571745709</v>
      </c>
      <c r="E53" s="22">
        <v>1E-8</v>
      </c>
      <c r="F53" s="22">
        <v>1E-8</v>
      </c>
      <c r="G53" s="22">
        <v>1E-8</v>
      </c>
      <c r="H53" s="22">
        <v>1E-8</v>
      </c>
      <c r="I53" s="22">
        <v>1E-8</v>
      </c>
      <c r="J53" s="22">
        <v>1E-8</v>
      </c>
      <c r="K53" s="22">
        <v>1E-8</v>
      </c>
      <c r="L53" s="22">
        <v>1E-8</v>
      </c>
      <c r="M53" s="4"/>
      <c r="N53" s="34"/>
      <c r="O53" s="4"/>
      <c r="P53" s="96"/>
      <c r="Q53" s="96" t="s">
        <v>284</v>
      </c>
      <c r="R53" s="107" t="s">
        <v>11</v>
      </c>
      <c r="S53" s="107" t="s">
        <v>323</v>
      </c>
      <c r="T53" s="97">
        <v>4.12276980764066</v>
      </c>
      <c r="U53" s="78">
        <v>5.9258732759408073</v>
      </c>
      <c r="V53" s="97">
        <v>1E-8</v>
      </c>
      <c r="W53" s="97">
        <v>1E-8</v>
      </c>
      <c r="X53" s="97">
        <v>1E-8</v>
      </c>
      <c r="Y53" s="97">
        <v>1E-8</v>
      </c>
      <c r="Z53" s="97">
        <v>1E-8</v>
      </c>
      <c r="AA53" s="97">
        <v>1E-8</v>
      </c>
      <c r="AB53" s="97">
        <v>1E-8</v>
      </c>
      <c r="AC53" s="97">
        <v>1E-8</v>
      </c>
      <c r="AD53" s="4"/>
    </row>
    <row r="54" spans="1:30" x14ac:dyDescent="0.35">
      <c r="A54" s="53" t="s">
        <v>477</v>
      </c>
      <c r="B54" s="54" t="s">
        <v>710</v>
      </c>
      <c r="C54" s="55">
        <v>1</v>
      </c>
      <c r="D54" s="56">
        <v>-3.2804592417663092</v>
      </c>
      <c r="E54" s="55">
        <v>1E-8</v>
      </c>
      <c r="F54" s="55">
        <v>1E-8</v>
      </c>
      <c r="G54" s="55">
        <v>1E-8</v>
      </c>
      <c r="H54" s="55">
        <v>1E-8</v>
      </c>
      <c r="I54" s="55">
        <v>1E-8</v>
      </c>
      <c r="J54" s="55">
        <v>1E-8</v>
      </c>
      <c r="K54" s="55">
        <v>1E-8</v>
      </c>
      <c r="L54" s="55">
        <v>1E-8</v>
      </c>
      <c r="M54" s="4"/>
      <c r="N54" s="34"/>
      <c r="O54" s="4"/>
      <c r="P54" s="68"/>
      <c r="Q54" s="68" t="s">
        <v>629</v>
      </c>
      <c r="R54" s="108" t="s">
        <v>11</v>
      </c>
      <c r="S54" s="108" t="s">
        <v>324</v>
      </c>
      <c r="T54" s="98">
        <v>1.7233645521802633E-3</v>
      </c>
      <c r="U54" s="80">
        <v>3.0801026871402293</v>
      </c>
      <c r="V54" s="98">
        <v>1E-8</v>
      </c>
      <c r="W54" s="98">
        <v>1E-8</v>
      </c>
      <c r="X54" s="98">
        <v>1E-8</v>
      </c>
      <c r="Y54" s="98">
        <v>1E-8</v>
      </c>
      <c r="Z54" s="98">
        <v>1E-8</v>
      </c>
      <c r="AA54" s="98">
        <v>1E-8</v>
      </c>
      <c r="AB54" s="98">
        <v>1E-8</v>
      </c>
      <c r="AC54" s="98">
        <v>1E-8</v>
      </c>
      <c r="AD54" s="4"/>
    </row>
    <row r="55" spans="1:30" x14ac:dyDescent="0.35">
      <c r="A55" s="5" t="s">
        <v>727</v>
      </c>
      <c r="B55" s="19" t="s">
        <v>711</v>
      </c>
      <c r="C55" s="20">
        <v>1</v>
      </c>
      <c r="D55" s="21">
        <v>-3.3947153807196484</v>
      </c>
      <c r="E55" s="20">
        <v>1E-8</v>
      </c>
      <c r="F55" s="20">
        <v>1E-8</v>
      </c>
      <c r="G55" s="20">
        <v>1E-8</v>
      </c>
      <c r="H55" s="20">
        <v>1E-8</v>
      </c>
      <c r="I55" s="20">
        <v>1E-8</v>
      </c>
      <c r="J55" s="20">
        <v>1E-8</v>
      </c>
      <c r="K55" s="20">
        <v>1E-8</v>
      </c>
      <c r="L55" s="20">
        <v>1E-8</v>
      </c>
      <c r="M55" s="4"/>
      <c r="N55" s="34"/>
      <c r="O55" s="4"/>
      <c r="P55" s="68"/>
      <c r="Q55" s="68" t="s">
        <v>630</v>
      </c>
      <c r="R55" s="108" t="s">
        <v>11</v>
      </c>
      <c r="S55" s="108" t="s">
        <v>545</v>
      </c>
      <c r="T55" s="98">
        <v>1.6525505918654506</v>
      </c>
      <c r="U55" s="80">
        <v>2.7057086030829014</v>
      </c>
      <c r="V55" s="98">
        <v>1E-8</v>
      </c>
      <c r="W55" s="98">
        <v>1E-8</v>
      </c>
      <c r="X55" s="98">
        <v>1E-8</v>
      </c>
      <c r="Y55" s="98">
        <v>1E-8</v>
      </c>
      <c r="Z55" s="98">
        <v>1E-8</v>
      </c>
      <c r="AA55" s="98">
        <v>1E-8</v>
      </c>
      <c r="AB55" s="98">
        <v>1E-8</v>
      </c>
      <c r="AC55" s="98">
        <v>1E-8</v>
      </c>
      <c r="AD55" s="4"/>
    </row>
    <row r="56" spans="1:30" x14ac:dyDescent="0.35">
      <c r="A56" s="4" t="s">
        <v>474</v>
      </c>
      <c r="B56" s="17" t="s">
        <v>712</v>
      </c>
      <c r="C56" s="22">
        <v>1</v>
      </c>
      <c r="D56" s="23">
        <v>-3.7236319702300458</v>
      </c>
      <c r="E56" s="22">
        <v>1E-8</v>
      </c>
      <c r="F56" s="22">
        <v>1E-8</v>
      </c>
      <c r="G56" s="22">
        <v>1E-8</v>
      </c>
      <c r="H56" s="22">
        <v>1E-8</v>
      </c>
      <c r="I56" s="22">
        <v>1E-8</v>
      </c>
      <c r="J56" s="22">
        <v>1E-8</v>
      </c>
      <c r="K56" s="22">
        <v>1E-8</v>
      </c>
      <c r="L56" s="22">
        <v>1E-8</v>
      </c>
      <c r="M56" s="4"/>
      <c r="N56" s="34"/>
      <c r="O56" s="4"/>
      <c r="P56" s="68"/>
      <c r="Q56" s="68" t="s">
        <v>631</v>
      </c>
      <c r="R56" s="109" t="s">
        <v>11</v>
      </c>
      <c r="S56" s="109" t="s">
        <v>325</v>
      </c>
      <c r="T56" s="81">
        <v>2.4684958512230284</v>
      </c>
      <c r="U56" s="82">
        <v>8.0836202024965118</v>
      </c>
      <c r="V56" s="81">
        <v>1E-8</v>
      </c>
      <c r="W56" s="81">
        <v>1E-8</v>
      </c>
      <c r="X56" s="81">
        <v>1E-8</v>
      </c>
      <c r="Y56" s="81">
        <v>1E-8</v>
      </c>
      <c r="Z56" s="81">
        <v>1E-8</v>
      </c>
      <c r="AA56" s="81">
        <v>1E-8</v>
      </c>
      <c r="AB56" s="81">
        <v>1E-8</v>
      </c>
      <c r="AC56" s="81">
        <v>1E-8</v>
      </c>
      <c r="AD56" s="4"/>
    </row>
    <row r="57" spans="1:30" x14ac:dyDescent="0.35">
      <c r="A57" s="4" t="s">
        <v>475</v>
      </c>
      <c r="B57" s="17" t="s">
        <v>713</v>
      </c>
      <c r="C57" s="22">
        <v>1</v>
      </c>
      <c r="D57" s="23">
        <v>-4.6293311828723205</v>
      </c>
      <c r="E57" s="22">
        <v>1E-8</v>
      </c>
      <c r="F57" s="22">
        <v>1E-8</v>
      </c>
      <c r="G57" s="22">
        <v>1E-8</v>
      </c>
      <c r="H57" s="22">
        <v>1E-8</v>
      </c>
      <c r="I57" s="22">
        <v>1E-8</v>
      </c>
      <c r="J57" s="22">
        <v>1E-8</v>
      </c>
      <c r="K57" s="22">
        <v>1E-8</v>
      </c>
      <c r="L57" s="22">
        <v>1E-8</v>
      </c>
      <c r="M57" s="4"/>
      <c r="N57" s="34"/>
      <c r="O57" s="4"/>
      <c r="P57" s="96"/>
      <c r="Q57" s="96" t="s">
        <v>285</v>
      </c>
      <c r="R57" s="107" t="s">
        <v>11</v>
      </c>
      <c r="S57" s="107" t="s">
        <v>326</v>
      </c>
      <c r="T57" s="97">
        <v>6.2133898961884571</v>
      </c>
      <c r="U57" s="78">
        <v>2.9450977287682534</v>
      </c>
      <c r="V57" s="97">
        <v>1E-8</v>
      </c>
      <c r="W57" s="97">
        <v>1E-8</v>
      </c>
      <c r="X57" s="97">
        <v>1E-8</v>
      </c>
      <c r="Y57" s="97">
        <v>1E-8</v>
      </c>
      <c r="Z57" s="97">
        <v>1E-8</v>
      </c>
      <c r="AA57" s="97">
        <v>1E-8</v>
      </c>
      <c r="AB57" s="97">
        <v>1E-8</v>
      </c>
      <c r="AC57" s="97">
        <v>1E-8</v>
      </c>
      <c r="AD57" s="4"/>
    </row>
    <row r="58" spans="1:30" x14ac:dyDescent="0.35">
      <c r="A58" s="4" t="s">
        <v>476</v>
      </c>
      <c r="B58" s="17" t="s">
        <v>714</v>
      </c>
      <c r="C58" s="22">
        <v>1</v>
      </c>
      <c r="D58" s="23">
        <v>-3.5753650636517698</v>
      </c>
      <c r="E58" s="22">
        <v>1E-8</v>
      </c>
      <c r="F58" s="22">
        <v>1E-8</v>
      </c>
      <c r="G58" s="22">
        <v>1E-8</v>
      </c>
      <c r="H58" s="22">
        <v>1E-8</v>
      </c>
      <c r="I58" s="22">
        <v>1E-8</v>
      </c>
      <c r="J58" s="22">
        <v>1E-8</v>
      </c>
      <c r="K58" s="22">
        <v>1E-8</v>
      </c>
      <c r="L58" s="22">
        <v>1E-8</v>
      </c>
      <c r="M58" s="4"/>
      <c r="N58" s="34"/>
      <c r="O58" s="4"/>
      <c r="P58" s="68"/>
      <c r="Q58" s="68" t="s">
        <v>364</v>
      </c>
      <c r="R58" s="108" t="s">
        <v>11</v>
      </c>
      <c r="S58" s="108" t="s">
        <v>327</v>
      </c>
      <c r="T58" s="98">
        <v>3.9796367999562134</v>
      </c>
      <c r="U58" s="80">
        <v>2.8970201726907119</v>
      </c>
      <c r="V58" s="98">
        <v>1E-8</v>
      </c>
      <c r="W58" s="98">
        <v>1E-8</v>
      </c>
      <c r="X58" s="98">
        <v>1E-8</v>
      </c>
      <c r="Y58" s="98">
        <v>1E-8</v>
      </c>
      <c r="Z58" s="98">
        <v>1E-8</v>
      </c>
      <c r="AA58" s="98">
        <v>1E-8</v>
      </c>
      <c r="AB58" s="98">
        <v>1E-8</v>
      </c>
      <c r="AC58" s="98">
        <v>1E-8</v>
      </c>
      <c r="AD58" s="4"/>
    </row>
    <row r="59" spans="1:30" x14ac:dyDescent="0.35">
      <c r="A59" s="53" t="s">
        <v>477</v>
      </c>
      <c r="B59" s="54" t="s">
        <v>715</v>
      </c>
      <c r="C59" s="55">
        <v>1</v>
      </c>
      <c r="D59" s="56">
        <v>-3.2032645035643181</v>
      </c>
      <c r="E59" s="55">
        <v>1E-8</v>
      </c>
      <c r="F59" s="55">
        <v>1E-8</v>
      </c>
      <c r="G59" s="55">
        <v>1E-8</v>
      </c>
      <c r="H59" s="55">
        <v>1E-8</v>
      </c>
      <c r="I59" s="55">
        <v>1E-8</v>
      </c>
      <c r="J59" s="55">
        <v>1E-8</v>
      </c>
      <c r="K59" s="55">
        <v>1E-8</v>
      </c>
      <c r="L59" s="55">
        <v>1E-8</v>
      </c>
      <c r="M59" s="4"/>
      <c r="N59" s="34"/>
      <c r="O59" s="4"/>
      <c r="P59" s="100"/>
      <c r="Q59" s="100" t="s">
        <v>632</v>
      </c>
      <c r="R59" s="111" t="s">
        <v>11</v>
      </c>
      <c r="S59" s="111" t="s">
        <v>328</v>
      </c>
      <c r="T59" s="101">
        <v>0.35240912947074571</v>
      </c>
      <c r="U59" s="86">
        <v>-2.1351287769444394E-2</v>
      </c>
      <c r="V59" s="101">
        <v>1E-8</v>
      </c>
      <c r="W59" s="101">
        <v>1E-8</v>
      </c>
      <c r="X59" s="101">
        <v>1E-8</v>
      </c>
      <c r="Y59" s="101">
        <v>1E-8</v>
      </c>
      <c r="Z59" s="101">
        <v>1E-8</v>
      </c>
      <c r="AA59" s="101">
        <v>1E-8</v>
      </c>
      <c r="AB59" s="101">
        <v>1E-8</v>
      </c>
      <c r="AC59" s="101">
        <v>1E-8</v>
      </c>
      <c r="AD59" s="4"/>
    </row>
    <row r="60" spans="1:30" x14ac:dyDescent="0.35">
      <c r="A60" s="5" t="s">
        <v>728</v>
      </c>
      <c r="B60" s="19" t="s">
        <v>716</v>
      </c>
      <c r="C60" s="20">
        <v>1</v>
      </c>
      <c r="D60" s="21">
        <v>-3.9124487678484199</v>
      </c>
      <c r="E60" s="20">
        <v>1E-8</v>
      </c>
      <c r="F60" s="20">
        <v>1E-8</v>
      </c>
      <c r="G60" s="20">
        <v>1E-8</v>
      </c>
      <c r="H60" s="20">
        <v>1E-8</v>
      </c>
      <c r="I60" s="20">
        <v>1E-8</v>
      </c>
      <c r="J60" s="20">
        <v>1E-8</v>
      </c>
      <c r="K60" s="20">
        <v>1E-8</v>
      </c>
      <c r="L60" s="20">
        <v>1E-8</v>
      </c>
      <c r="M60" s="4"/>
      <c r="N60" s="34"/>
      <c r="O60" s="4"/>
      <c r="P60" s="100"/>
      <c r="Q60" s="100" t="s">
        <v>633</v>
      </c>
      <c r="R60" s="111" t="s">
        <v>11</v>
      </c>
      <c r="S60" s="111" t="s">
        <v>329</v>
      </c>
      <c r="T60" s="101">
        <v>1E-8</v>
      </c>
      <c r="U60" s="86">
        <v>1E-8</v>
      </c>
      <c r="V60" s="101">
        <v>1E-8</v>
      </c>
      <c r="W60" s="101">
        <v>1E-8</v>
      </c>
      <c r="X60" s="101">
        <v>1E-8</v>
      </c>
      <c r="Y60" s="101">
        <v>1E-8</v>
      </c>
      <c r="Z60" s="101">
        <v>1E-8</v>
      </c>
      <c r="AA60" s="101">
        <v>1E-8</v>
      </c>
      <c r="AB60" s="101">
        <v>1E-8</v>
      </c>
      <c r="AC60" s="101">
        <v>1E-8</v>
      </c>
      <c r="AD60" s="4"/>
    </row>
    <row r="61" spans="1:30" x14ac:dyDescent="0.35">
      <c r="A61" s="4" t="s">
        <v>474</v>
      </c>
      <c r="B61" s="17" t="s">
        <v>717</v>
      </c>
      <c r="C61" s="22">
        <v>1</v>
      </c>
      <c r="D61" s="23">
        <v>-4.4660778352933583</v>
      </c>
      <c r="E61" s="22">
        <v>1E-8</v>
      </c>
      <c r="F61" s="22">
        <v>1E-8</v>
      </c>
      <c r="G61" s="22">
        <v>1E-8</v>
      </c>
      <c r="H61" s="22">
        <v>1E-8</v>
      </c>
      <c r="I61" s="22">
        <v>1E-8</v>
      </c>
      <c r="J61" s="22">
        <v>1E-8</v>
      </c>
      <c r="K61" s="22">
        <v>1E-8</v>
      </c>
      <c r="L61" s="22">
        <v>1E-8</v>
      </c>
      <c r="M61" s="4"/>
      <c r="N61" s="34"/>
      <c r="O61" s="4"/>
      <c r="P61" s="100"/>
      <c r="Q61" s="100" t="s">
        <v>634</v>
      </c>
      <c r="R61" s="111" t="s">
        <v>11</v>
      </c>
      <c r="S61" s="111" t="s">
        <v>331</v>
      </c>
      <c r="T61" s="101">
        <v>0.10445067434838869</v>
      </c>
      <c r="U61" s="86">
        <v>1.5590999730242805</v>
      </c>
      <c r="V61" s="101">
        <v>1E-8</v>
      </c>
      <c r="W61" s="101">
        <v>1E-8</v>
      </c>
      <c r="X61" s="101">
        <v>1E-8</v>
      </c>
      <c r="Y61" s="101">
        <v>1E-8</v>
      </c>
      <c r="Z61" s="101">
        <v>1E-8</v>
      </c>
      <c r="AA61" s="101">
        <v>1E-8</v>
      </c>
      <c r="AB61" s="101">
        <v>1E-8</v>
      </c>
      <c r="AC61" s="101">
        <v>1E-8</v>
      </c>
      <c r="AD61" s="4"/>
    </row>
    <row r="62" spans="1:30" x14ac:dyDescent="0.35">
      <c r="A62" s="4" t="s">
        <v>475</v>
      </c>
      <c r="B62" s="17" t="s">
        <v>718</v>
      </c>
      <c r="C62" s="22">
        <v>1</v>
      </c>
      <c r="D62" s="23">
        <v>-4.3949882295221681</v>
      </c>
      <c r="E62" s="22">
        <v>1E-8</v>
      </c>
      <c r="F62" s="22">
        <v>1E-8</v>
      </c>
      <c r="G62" s="22">
        <v>1E-8</v>
      </c>
      <c r="H62" s="22">
        <v>1E-8</v>
      </c>
      <c r="I62" s="22">
        <v>1E-8</v>
      </c>
      <c r="J62" s="22">
        <v>1E-8</v>
      </c>
      <c r="K62" s="22">
        <v>1E-8</v>
      </c>
      <c r="L62" s="22">
        <v>1E-8</v>
      </c>
      <c r="M62" s="4"/>
      <c r="N62" s="34"/>
      <c r="O62" s="4"/>
      <c r="P62" s="100"/>
      <c r="Q62" s="100" t="s">
        <v>635</v>
      </c>
      <c r="R62" s="111" t="s">
        <v>11</v>
      </c>
      <c r="S62" s="111" t="s">
        <v>332</v>
      </c>
      <c r="T62" s="101">
        <v>0.1512357852553875</v>
      </c>
      <c r="U62" s="86">
        <v>9.8393332470475094</v>
      </c>
      <c r="V62" s="101">
        <v>1E-8</v>
      </c>
      <c r="W62" s="101">
        <v>1E-8</v>
      </c>
      <c r="X62" s="101">
        <v>1E-8</v>
      </c>
      <c r="Y62" s="101">
        <v>1E-8</v>
      </c>
      <c r="Z62" s="101">
        <v>1E-8</v>
      </c>
      <c r="AA62" s="101">
        <v>1E-8</v>
      </c>
      <c r="AB62" s="101">
        <v>1E-8</v>
      </c>
      <c r="AC62" s="101">
        <v>1E-8</v>
      </c>
      <c r="AD62" s="4"/>
    </row>
    <row r="63" spans="1:30" x14ac:dyDescent="0.35">
      <c r="A63" s="4" t="s">
        <v>476</v>
      </c>
      <c r="B63" s="17" t="s">
        <v>719</v>
      </c>
      <c r="C63" s="40">
        <v>1</v>
      </c>
      <c r="D63" s="64">
        <v>-4.1624584047632247</v>
      </c>
      <c r="E63" s="40">
        <v>1E-8</v>
      </c>
      <c r="F63" s="40">
        <v>1E-8</v>
      </c>
      <c r="G63" s="40">
        <v>1E-8</v>
      </c>
      <c r="H63" s="40">
        <v>1E-8</v>
      </c>
      <c r="I63" s="40">
        <v>1E-8</v>
      </c>
      <c r="J63" s="40">
        <v>1E-8</v>
      </c>
      <c r="K63" s="40">
        <v>1E-8</v>
      </c>
      <c r="L63" s="40">
        <v>1E-8</v>
      </c>
      <c r="M63" s="4"/>
      <c r="N63" s="34"/>
      <c r="O63" s="4"/>
      <c r="P63" s="100"/>
      <c r="Q63" s="100" t="s">
        <v>636</v>
      </c>
      <c r="R63" s="111" t="s">
        <v>11</v>
      </c>
      <c r="S63" s="111" t="s">
        <v>330</v>
      </c>
      <c r="T63" s="101">
        <v>5.2158328455922109E-2</v>
      </c>
      <c r="U63" s="86">
        <v>1.339844456774486</v>
      </c>
      <c r="V63" s="101">
        <v>1E-8</v>
      </c>
      <c r="W63" s="101">
        <v>1E-8</v>
      </c>
      <c r="X63" s="101">
        <v>1E-8</v>
      </c>
      <c r="Y63" s="101">
        <v>1E-8</v>
      </c>
      <c r="Z63" s="101">
        <v>1E-8</v>
      </c>
      <c r="AA63" s="101">
        <v>1E-8</v>
      </c>
      <c r="AB63" s="101">
        <v>1E-8</v>
      </c>
      <c r="AC63" s="101">
        <v>1E-8</v>
      </c>
      <c r="AD63" s="4"/>
    </row>
    <row r="64" spans="1:30" x14ac:dyDescent="0.35">
      <c r="A64" s="53" t="s">
        <v>477</v>
      </c>
      <c r="B64" s="54" t="s">
        <v>720</v>
      </c>
      <c r="C64" s="55">
        <v>1</v>
      </c>
      <c r="D64" s="56">
        <v>-3.579901954988074</v>
      </c>
      <c r="E64" s="55">
        <v>1E-8</v>
      </c>
      <c r="F64" s="55">
        <v>1E-8</v>
      </c>
      <c r="G64" s="55">
        <v>1E-8</v>
      </c>
      <c r="H64" s="55">
        <v>1E-8</v>
      </c>
      <c r="I64" s="55">
        <v>1E-8</v>
      </c>
      <c r="J64" s="55">
        <v>1E-8</v>
      </c>
      <c r="K64" s="55">
        <v>1E-8</v>
      </c>
      <c r="L64" s="55">
        <v>1E-8</v>
      </c>
      <c r="M64" s="4"/>
      <c r="N64" s="34"/>
      <c r="O64" s="4"/>
      <c r="P64" s="100"/>
      <c r="Q64" s="100" t="s">
        <v>637</v>
      </c>
      <c r="R64" s="111" t="s">
        <v>11</v>
      </c>
      <c r="S64" s="111" t="s">
        <v>333</v>
      </c>
      <c r="T64" s="101">
        <v>2.155119720941546</v>
      </c>
      <c r="U64" s="86">
        <v>1.3035100739674288</v>
      </c>
      <c r="V64" s="101">
        <v>1E-8</v>
      </c>
      <c r="W64" s="101">
        <v>1E-8</v>
      </c>
      <c r="X64" s="101">
        <v>1E-8</v>
      </c>
      <c r="Y64" s="101">
        <v>1E-8</v>
      </c>
      <c r="Z64" s="101">
        <v>1E-8</v>
      </c>
      <c r="AA64" s="101">
        <v>1E-8</v>
      </c>
      <c r="AB64" s="101">
        <v>1E-8</v>
      </c>
      <c r="AC64" s="101">
        <v>1E-8</v>
      </c>
      <c r="AD64" s="4"/>
    </row>
    <row r="65" spans="1:30" x14ac:dyDescent="0.35">
      <c r="A65" s="5" t="s">
        <v>69</v>
      </c>
      <c r="B65" s="19" t="s">
        <v>721</v>
      </c>
      <c r="C65" s="20">
        <v>1</v>
      </c>
      <c r="D65" s="21">
        <v>-3.0134130296954775</v>
      </c>
      <c r="E65" s="20">
        <v>1E-8</v>
      </c>
      <c r="F65" s="20">
        <v>1E-8</v>
      </c>
      <c r="G65" s="20">
        <v>1E-8</v>
      </c>
      <c r="H65" s="20">
        <v>1E-8</v>
      </c>
      <c r="I65" s="20">
        <v>1E-8</v>
      </c>
      <c r="J65" s="20">
        <v>1E-8</v>
      </c>
      <c r="K65" s="20">
        <v>1E-8</v>
      </c>
      <c r="L65" s="20">
        <v>1E-8</v>
      </c>
      <c r="M65" s="4"/>
      <c r="N65" s="34"/>
      <c r="O65" s="4"/>
      <c r="P65" s="100"/>
      <c r="Q65" s="100" t="s">
        <v>638</v>
      </c>
      <c r="R65" s="111" t="s">
        <v>11</v>
      </c>
      <c r="S65" s="111" t="s">
        <v>546</v>
      </c>
      <c r="T65" s="101">
        <v>0.24652048463972681</v>
      </c>
      <c r="U65" s="86">
        <v>-0.53067563424559205</v>
      </c>
      <c r="V65" s="101">
        <v>1E-8</v>
      </c>
      <c r="W65" s="101">
        <v>1E-8</v>
      </c>
      <c r="X65" s="101">
        <v>1E-8</v>
      </c>
      <c r="Y65" s="101">
        <v>1E-8</v>
      </c>
      <c r="Z65" s="101">
        <v>1E-8</v>
      </c>
      <c r="AA65" s="101">
        <v>1E-8</v>
      </c>
      <c r="AB65" s="101">
        <v>1E-8</v>
      </c>
      <c r="AC65" s="101">
        <v>1E-8</v>
      </c>
      <c r="AD65" s="4"/>
    </row>
    <row r="66" spans="1:30" x14ac:dyDescent="0.35">
      <c r="A66" s="5" t="s">
        <v>480</v>
      </c>
      <c r="B66" s="19" t="s">
        <v>722</v>
      </c>
      <c r="C66" s="20">
        <v>1</v>
      </c>
      <c r="D66" s="21">
        <v>-2.4505029960771973</v>
      </c>
      <c r="E66" s="20">
        <v>1E-8</v>
      </c>
      <c r="F66" s="20">
        <v>1E-8</v>
      </c>
      <c r="G66" s="20">
        <v>1E-8</v>
      </c>
      <c r="H66" s="20">
        <v>1E-8</v>
      </c>
      <c r="I66" s="20">
        <v>1E-8</v>
      </c>
      <c r="J66" s="20">
        <v>1E-8</v>
      </c>
      <c r="K66" s="20">
        <v>1E-8</v>
      </c>
      <c r="L66" s="20">
        <v>1E-8</v>
      </c>
      <c r="M66" s="4"/>
      <c r="N66" s="34"/>
      <c r="O66" s="4"/>
      <c r="P66" s="100"/>
      <c r="Q66" s="100" t="s">
        <v>639</v>
      </c>
      <c r="R66" s="111" t="s">
        <v>11</v>
      </c>
      <c r="S66" s="111" t="s">
        <v>335</v>
      </c>
      <c r="T66" s="101">
        <v>7.041172723201039E-2</v>
      </c>
      <c r="U66" s="86">
        <v>-4.2902047133279169</v>
      </c>
      <c r="V66" s="101">
        <v>1E-8</v>
      </c>
      <c r="W66" s="101">
        <v>1E-8</v>
      </c>
      <c r="X66" s="101">
        <v>1E-8</v>
      </c>
      <c r="Y66" s="101">
        <v>1E-8</v>
      </c>
      <c r="Z66" s="101">
        <v>1E-8</v>
      </c>
      <c r="AA66" s="101">
        <v>1E-8</v>
      </c>
      <c r="AB66" s="101">
        <v>1E-8</v>
      </c>
      <c r="AC66" s="101">
        <v>1E-8</v>
      </c>
      <c r="AD66" s="4"/>
    </row>
    <row r="67" spans="1:30" x14ac:dyDescent="0.35">
      <c r="A67" s="4" t="s">
        <v>481</v>
      </c>
      <c r="B67" s="17" t="s">
        <v>723</v>
      </c>
      <c r="C67" s="22">
        <v>1</v>
      </c>
      <c r="D67" s="23">
        <v>-2.4280205766246898</v>
      </c>
      <c r="E67" s="22">
        <v>1E-8</v>
      </c>
      <c r="F67" s="22">
        <v>1E-8</v>
      </c>
      <c r="G67" s="22">
        <v>1E-8</v>
      </c>
      <c r="H67" s="22">
        <v>1E-8</v>
      </c>
      <c r="I67" s="22">
        <v>1E-8</v>
      </c>
      <c r="J67" s="22">
        <v>1E-8</v>
      </c>
      <c r="K67" s="22">
        <v>1E-8</v>
      </c>
      <c r="L67" s="22">
        <v>1E-8</v>
      </c>
      <c r="M67" s="4"/>
      <c r="N67" s="34"/>
      <c r="O67" s="4"/>
      <c r="P67" s="100"/>
      <c r="Q67" s="100" t="s">
        <v>640</v>
      </c>
      <c r="R67" s="111" t="s">
        <v>11</v>
      </c>
      <c r="S67" s="111" t="s">
        <v>334</v>
      </c>
      <c r="T67" s="101">
        <v>0.84733094961248634</v>
      </c>
      <c r="U67" s="86">
        <v>8.779925922101306</v>
      </c>
      <c r="V67" s="101">
        <v>1E-8</v>
      </c>
      <c r="W67" s="101">
        <v>1E-8</v>
      </c>
      <c r="X67" s="101">
        <v>1E-8</v>
      </c>
      <c r="Y67" s="101">
        <v>1E-8</v>
      </c>
      <c r="Z67" s="101">
        <v>1E-8</v>
      </c>
      <c r="AA67" s="101">
        <v>1E-8</v>
      </c>
      <c r="AB67" s="101">
        <v>1E-8</v>
      </c>
      <c r="AC67" s="101">
        <v>1E-8</v>
      </c>
      <c r="AD67" s="4"/>
    </row>
    <row r="68" spans="1:30" x14ac:dyDescent="0.35">
      <c r="A68" s="4" t="s">
        <v>482</v>
      </c>
      <c r="B68" s="17" t="s">
        <v>724</v>
      </c>
      <c r="C68" s="22">
        <v>1</v>
      </c>
      <c r="D68" s="23">
        <v>-4.8082329503421395</v>
      </c>
      <c r="E68" s="22">
        <v>1E-8</v>
      </c>
      <c r="F68" s="22">
        <v>1E-8</v>
      </c>
      <c r="G68" s="22">
        <v>1E-8</v>
      </c>
      <c r="H68" s="22">
        <v>1E-8</v>
      </c>
      <c r="I68" s="22">
        <v>1E-8</v>
      </c>
      <c r="J68" s="22">
        <v>1E-8</v>
      </c>
      <c r="K68" s="22">
        <v>1E-8</v>
      </c>
      <c r="L68" s="22">
        <v>1E-8</v>
      </c>
      <c r="M68" s="4"/>
      <c r="N68" s="34"/>
      <c r="O68" s="4"/>
      <c r="P68" s="68"/>
      <c r="Q68" s="68" t="s">
        <v>365</v>
      </c>
      <c r="R68" s="108" t="s">
        <v>11</v>
      </c>
      <c r="S68" s="108" t="s">
        <v>374</v>
      </c>
      <c r="T68" s="98">
        <v>0.60952334087095272</v>
      </c>
      <c r="U68" s="80">
        <v>-2.0208711064963802</v>
      </c>
      <c r="V68" s="98">
        <v>1E-8</v>
      </c>
      <c r="W68" s="98">
        <v>1E-8</v>
      </c>
      <c r="X68" s="98">
        <v>1E-8</v>
      </c>
      <c r="Y68" s="98">
        <v>1E-8</v>
      </c>
      <c r="Z68" s="98">
        <v>1E-8</v>
      </c>
      <c r="AA68" s="98">
        <v>1E-8</v>
      </c>
      <c r="AB68" s="98">
        <v>1E-8</v>
      </c>
      <c r="AC68" s="98">
        <v>1E-8</v>
      </c>
      <c r="AD68" s="4"/>
    </row>
    <row r="69" spans="1:30" x14ac:dyDescent="0.35">
      <c r="A69" s="4" t="s">
        <v>483</v>
      </c>
      <c r="B69" s="17" t="s">
        <v>725</v>
      </c>
      <c r="C69" s="22">
        <v>1</v>
      </c>
      <c r="D69" s="23">
        <v>9.4783643132551489</v>
      </c>
      <c r="E69" s="22">
        <v>1E-8</v>
      </c>
      <c r="F69" s="22">
        <v>1E-8</v>
      </c>
      <c r="G69" s="22">
        <v>1E-8</v>
      </c>
      <c r="H69" s="22">
        <v>1E-8</v>
      </c>
      <c r="I69" s="22">
        <v>1E-8</v>
      </c>
      <c r="J69" s="22">
        <v>1E-8</v>
      </c>
      <c r="K69" s="22">
        <v>1E-8</v>
      </c>
      <c r="L69" s="22">
        <v>1E-8</v>
      </c>
      <c r="M69" s="4"/>
      <c r="N69" s="34"/>
      <c r="O69" s="4"/>
      <c r="P69" s="100"/>
      <c r="Q69" s="100" t="s">
        <v>641</v>
      </c>
      <c r="R69" s="111" t="s">
        <v>11</v>
      </c>
      <c r="S69" s="111" t="s">
        <v>547</v>
      </c>
      <c r="T69" s="101">
        <v>0.46461470481513767</v>
      </c>
      <c r="U69" s="86">
        <v>-2.6028330168418878</v>
      </c>
      <c r="V69" s="101">
        <v>1E-8</v>
      </c>
      <c r="W69" s="101">
        <v>1E-8</v>
      </c>
      <c r="X69" s="101">
        <v>1E-8</v>
      </c>
      <c r="Y69" s="101">
        <v>1E-8</v>
      </c>
      <c r="Z69" s="101">
        <v>1E-8</v>
      </c>
      <c r="AA69" s="101">
        <v>1E-8</v>
      </c>
      <c r="AB69" s="101">
        <v>1E-8</v>
      </c>
      <c r="AC69" s="101">
        <v>1E-8</v>
      </c>
      <c r="AD69" s="4"/>
    </row>
    <row r="70" spans="1:30" x14ac:dyDescent="0.35">
      <c r="A70" s="4" t="s">
        <v>484</v>
      </c>
      <c r="B70" s="17" t="s">
        <v>726</v>
      </c>
      <c r="C70" s="22">
        <v>1</v>
      </c>
      <c r="D70" s="23">
        <v>-2.8332087619934998</v>
      </c>
      <c r="E70" s="22">
        <v>1E-8</v>
      </c>
      <c r="F70" s="22">
        <v>1E-8</v>
      </c>
      <c r="G70" s="22">
        <v>1E-8</v>
      </c>
      <c r="H70" s="22">
        <v>1E-8</v>
      </c>
      <c r="I70" s="22">
        <v>1E-8</v>
      </c>
      <c r="J70" s="22">
        <v>1E-8</v>
      </c>
      <c r="K70" s="22">
        <v>1E-8</v>
      </c>
      <c r="L70" s="22">
        <v>1E-8</v>
      </c>
      <c r="M70" s="4"/>
      <c r="N70" s="34"/>
      <c r="O70" s="4"/>
      <c r="P70" s="100"/>
      <c r="Q70" s="100" t="s">
        <v>642</v>
      </c>
      <c r="R70" s="111" t="s">
        <v>11</v>
      </c>
      <c r="S70" s="111" t="s">
        <v>336</v>
      </c>
      <c r="T70" s="101">
        <v>9.1219773356333925E-2</v>
      </c>
      <c r="U70" s="86">
        <v>1.0408882938379937</v>
      </c>
      <c r="V70" s="101">
        <v>1E-8</v>
      </c>
      <c r="W70" s="101">
        <v>1E-8</v>
      </c>
      <c r="X70" s="101">
        <v>1E-8</v>
      </c>
      <c r="Y70" s="101">
        <v>1E-8</v>
      </c>
      <c r="Z70" s="101">
        <v>1E-8</v>
      </c>
      <c r="AA70" s="101">
        <v>1E-8</v>
      </c>
      <c r="AB70" s="101">
        <v>1E-8</v>
      </c>
      <c r="AC70" s="101">
        <v>1E-8</v>
      </c>
      <c r="AD70" s="4"/>
    </row>
    <row r="71" spans="1:30" x14ac:dyDescent="0.35">
      <c r="A71" s="4"/>
      <c r="B71" s="6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4"/>
      <c r="O71" s="4"/>
      <c r="P71" s="100"/>
      <c r="Q71" s="100" t="s">
        <v>643</v>
      </c>
      <c r="R71" s="112" t="s">
        <v>11</v>
      </c>
      <c r="S71" s="112" t="s">
        <v>337</v>
      </c>
      <c r="T71" s="87">
        <v>5.3688862699481081E-2</v>
      </c>
      <c r="U71" s="88">
        <v>-2.1867330177673283</v>
      </c>
      <c r="V71" s="87">
        <v>1E-8</v>
      </c>
      <c r="W71" s="87">
        <v>1E-8</v>
      </c>
      <c r="X71" s="87">
        <v>1E-8</v>
      </c>
      <c r="Y71" s="87">
        <v>1E-8</v>
      </c>
      <c r="Z71" s="87">
        <v>1E-8</v>
      </c>
      <c r="AA71" s="87">
        <v>1E-8</v>
      </c>
      <c r="AB71" s="87">
        <v>1E-8</v>
      </c>
      <c r="AC71" s="87">
        <v>1E-8</v>
      </c>
      <c r="AD71" s="4"/>
    </row>
    <row r="72" spans="1:30" x14ac:dyDescent="0.35">
      <c r="A72" s="36" t="s">
        <v>462</v>
      </c>
      <c r="B72" s="63"/>
      <c r="C72" s="34"/>
      <c r="D72" s="6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4"/>
      <c r="P72" s="68"/>
      <c r="Q72" s="68" t="s">
        <v>644</v>
      </c>
      <c r="R72" s="108" t="s">
        <v>11</v>
      </c>
      <c r="S72" s="108" t="s">
        <v>338</v>
      </c>
      <c r="T72" s="98">
        <v>0.41323103524248461</v>
      </c>
      <c r="U72" s="80">
        <v>3.2810869298542489</v>
      </c>
      <c r="V72" s="98">
        <v>1E-8</v>
      </c>
      <c r="W72" s="98">
        <v>1E-8</v>
      </c>
      <c r="X72" s="98">
        <v>1E-8</v>
      </c>
      <c r="Y72" s="98">
        <v>1E-8</v>
      </c>
      <c r="Z72" s="98">
        <v>1E-8</v>
      </c>
      <c r="AA72" s="98">
        <v>1E-8</v>
      </c>
      <c r="AB72" s="98">
        <v>1E-8</v>
      </c>
      <c r="AC72" s="98">
        <v>1E-8</v>
      </c>
      <c r="AD72" s="4"/>
    </row>
    <row r="73" spans="1:30" x14ac:dyDescent="0.35">
      <c r="A73" s="35" t="s">
        <v>489</v>
      </c>
      <c r="B73" s="30"/>
      <c r="C73" s="33" t="s">
        <v>246</v>
      </c>
      <c r="D73" s="50" t="s">
        <v>890</v>
      </c>
      <c r="E73" s="33" t="s">
        <v>885</v>
      </c>
      <c r="F73" s="33" t="s">
        <v>891</v>
      </c>
      <c r="G73" s="33" t="s">
        <v>886</v>
      </c>
      <c r="H73" s="33" t="s">
        <v>887</v>
      </c>
      <c r="I73" s="33" t="s">
        <v>888</v>
      </c>
      <c r="J73" s="33" t="s">
        <v>889</v>
      </c>
      <c r="K73" s="33" t="s">
        <v>396</v>
      </c>
      <c r="L73" s="33" t="s">
        <v>397</v>
      </c>
      <c r="M73" s="30"/>
      <c r="N73" s="34"/>
      <c r="O73" s="4"/>
      <c r="P73" s="68"/>
      <c r="Q73" s="68" t="s">
        <v>366</v>
      </c>
      <c r="R73" s="108" t="s">
        <v>11</v>
      </c>
      <c r="S73" s="108" t="s">
        <v>339</v>
      </c>
      <c r="T73" s="98">
        <v>0.28119889223987632</v>
      </c>
      <c r="U73" s="80">
        <v>6.5264141948154109</v>
      </c>
      <c r="V73" s="98">
        <v>1E-8</v>
      </c>
      <c r="W73" s="98">
        <v>1E-8</v>
      </c>
      <c r="X73" s="98">
        <v>1E-8</v>
      </c>
      <c r="Y73" s="98">
        <v>1E-8</v>
      </c>
      <c r="Z73" s="98">
        <v>1E-8</v>
      </c>
      <c r="AA73" s="98">
        <v>1E-8</v>
      </c>
      <c r="AB73" s="98">
        <v>1E-8</v>
      </c>
      <c r="AC73" s="98">
        <v>1E-8</v>
      </c>
      <c r="AD73" s="4"/>
    </row>
    <row r="74" spans="1:30" x14ac:dyDescent="0.35">
      <c r="A74" s="5" t="s">
        <v>473</v>
      </c>
      <c r="B74" s="19" t="s">
        <v>696</v>
      </c>
      <c r="C74" s="20">
        <v>1</v>
      </c>
      <c r="D74" s="21">
        <v>-3.0961101650801237</v>
      </c>
      <c r="E74" s="20">
        <v>1E-8</v>
      </c>
      <c r="F74" s="20">
        <v>1E-8</v>
      </c>
      <c r="G74" s="20">
        <v>1E-8</v>
      </c>
      <c r="H74" s="20">
        <v>1E-8</v>
      </c>
      <c r="I74" s="20">
        <v>1E-8</v>
      </c>
      <c r="J74" s="20">
        <v>1E-8</v>
      </c>
      <c r="K74" s="20">
        <v>1E-8</v>
      </c>
      <c r="L74" s="20">
        <v>1E-8</v>
      </c>
      <c r="M74" s="4"/>
      <c r="N74" s="34"/>
      <c r="O74" s="4"/>
      <c r="P74" s="100"/>
      <c r="Q74" s="100" t="s">
        <v>645</v>
      </c>
      <c r="R74" s="111" t="s">
        <v>11</v>
      </c>
      <c r="S74" s="111" t="s">
        <v>340</v>
      </c>
      <c r="T74" s="101">
        <v>0.26889926530017744</v>
      </c>
      <c r="U74" s="86">
        <v>6.6157468315249934</v>
      </c>
      <c r="V74" s="101">
        <v>1E-8</v>
      </c>
      <c r="W74" s="101">
        <v>1E-8</v>
      </c>
      <c r="X74" s="101">
        <v>1E-8</v>
      </c>
      <c r="Y74" s="101">
        <v>1E-8</v>
      </c>
      <c r="Z74" s="101">
        <v>1E-8</v>
      </c>
      <c r="AA74" s="101">
        <v>1E-8</v>
      </c>
      <c r="AB74" s="101">
        <v>1E-8</v>
      </c>
      <c r="AC74" s="101">
        <v>1E-8</v>
      </c>
      <c r="AD74" s="4"/>
    </row>
    <row r="75" spans="1:30" x14ac:dyDescent="0.35">
      <c r="A75" s="4" t="s">
        <v>474</v>
      </c>
      <c r="B75" s="17" t="s">
        <v>697</v>
      </c>
      <c r="C75" s="22">
        <v>1</v>
      </c>
      <c r="D75" s="23">
        <v>-2.6529350508683991</v>
      </c>
      <c r="E75" s="22">
        <v>1E-8</v>
      </c>
      <c r="F75" s="22">
        <v>1E-8</v>
      </c>
      <c r="G75" s="22">
        <v>1E-8</v>
      </c>
      <c r="H75" s="22">
        <v>1E-8</v>
      </c>
      <c r="I75" s="22">
        <v>1E-8</v>
      </c>
      <c r="J75" s="22">
        <v>1E-8</v>
      </c>
      <c r="K75" s="22">
        <v>1E-8</v>
      </c>
      <c r="L75" s="22">
        <v>1E-8</v>
      </c>
      <c r="M75" s="4"/>
      <c r="N75" s="34"/>
      <c r="O75" s="4"/>
      <c r="P75" s="100"/>
      <c r="Q75" s="100" t="s">
        <v>646</v>
      </c>
      <c r="R75" s="111" t="s">
        <v>11</v>
      </c>
      <c r="S75" s="111" t="s">
        <v>548</v>
      </c>
      <c r="T75" s="101">
        <v>1.2299626939698877E-2</v>
      </c>
      <c r="U75" s="86">
        <v>4.5733890749229733</v>
      </c>
      <c r="V75" s="101">
        <v>1E-8</v>
      </c>
      <c r="W75" s="101">
        <v>1E-8</v>
      </c>
      <c r="X75" s="101">
        <v>1E-8</v>
      </c>
      <c r="Y75" s="101">
        <v>1E-8</v>
      </c>
      <c r="Z75" s="101">
        <v>1E-8</v>
      </c>
      <c r="AA75" s="101">
        <v>1E-8</v>
      </c>
      <c r="AB75" s="101">
        <v>1E-8</v>
      </c>
      <c r="AC75" s="101">
        <v>1E-8</v>
      </c>
      <c r="AD75" s="4"/>
    </row>
    <row r="76" spans="1:30" x14ac:dyDescent="0.35">
      <c r="A76" s="4" t="s">
        <v>475</v>
      </c>
      <c r="B76" s="17" t="s">
        <v>698</v>
      </c>
      <c r="C76" s="22">
        <v>1</v>
      </c>
      <c r="D76" s="23">
        <v>-2.8558630293339604</v>
      </c>
      <c r="E76" s="22">
        <v>1E-8</v>
      </c>
      <c r="F76" s="22">
        <v>1E-8</v>
      </c>
      <c r="G76" s="22">
        <v>1E-8</v>
      </c>
      <c r="H76" s="22">
        <v>1E-8</v>
      </c>
      <c r="I76" s="22">
        <v>1E-8</v>
      </c>
      <c r="J76" s="22">
        <v>1E-8</v>
      </c>
      <c r="K76" s="22">
        <v>1E-8</v>
      </c>
      <c r="L76" s="22">
        <v>1E-8</v>
      </c>
      <c r="M76" s="4"/>
      <c r="N76" s="34"/>
      <c r="O76" s="4"/>
      <c r="P76" s="68"/>
      <c r="Q76" s="68" t="s">
        <v>367</v>
      </c>
      <c r="R76" s="108" t="s">
        <v>11</v>
      </c>
      <c r="S76" s="108" t="s">
        <v>341</v>
      </c>
      <c r="T76" s="98">
        <v>6.1569896470843911E-2</v>
      </c>
      <c r="U76" s="80">
        <v>34.685159837317947</v>
      </c>
      <c r="V76" s="98">
        <v>1E-8</v>
      </c>
      <c r="W76" s="98">
        <v>1E-8</v>
      </c>
      <c r="X76" s="98">
        <v>1E-8</v>
      </c>
      <c r="Y76" s="98">
        <v>1E-8</v>
      </c>
      <c r="Z76" s="98">
        <v>1E-8</v>
      </c>
      <c r="AA76" s="98">
        <v>1E-8</v>
      </c>
      <c r="AB76" s="98">
        <v>1E-8</v>
      </c>
      <c r="AC76" s="98">
        <v>1E-8</v>
      </c>
      <c r="AD76" s="4"/>
    </row>
    <row r="77" spans="1:30" x14ac:dyDescent="0.35">
      <c r="A77" s="4" t="s">
        <v>476</v>
      </c>
      <c r="B77" s="17" t="s">
        <v>699</v>
      </c>
      <c r="C77" s="22">
        <v>1</v>
      </c>
      <c r="D77" s="23">
        <v>-3.7055657236981676</v>
      </c>
      <c r="E77" s="22">
        <v>1E-8</v>
      </c>
      <c r="F77" s="22">
        <v>1E-8</v>
      </c>
      <c r="G77" s="22">
        <v>1E-8</v>
      </c>
      <c r="H77" s="22">
        <v>1E-8</v>
      </c>
      <c r="I77" s="22">
        <v>1E-8</v>
      </c>
      <c r="J77" s="22">
        <v>1E-8</v>
      </c>
      <c r="K77" s="22">
        <v>1E-8</v>
      </c>
      <c r="L77" s="22">
        <v>1E-8</v>
      </c>
      <c r="M77" s="4"/>
      <c r="N77" s="34"/>
      <c r="O77" s="4"/>
      <c r="P77" s="100"/>
      <c r="Q77" s="100" t="s">
        <v>647</v>
      </c>
      <c r="R77" s="111" t="s">
        <v>11</v>
      </c>
      <c r="S77" s="111" t="s">
        <v>342</v>
      </c>
      <c r="T77" s="101">
        <v>3.9542095008183618E-4</v>
      </c>
      <c r="U77" s="86">
        <v>5.524896129423662</v>
      </c>
      <c r="V77" s="101">
        <v>1E-8</v>
      </c>
      <c r="W77" s="101">
        <v>1E-8</v>
      </c>
      <c r="X77" s="101">
        <v>1E-8</v>
      </c>
      <c r="Y77" s="101">
        <v>1E-8</v>
      </c>
      <c r="Z77" s="101">
        <v>1E-8</v>
      </c>
      <c r="AA77" s="101">
        <v>1E-8</v>
      </c>
      <c r="AB77" s="101">
        <v>1E-8</v>
      </c>
      <c r="AC77" s="101">
        <v>1E-8</v>
      </c>
      <c r="AD77" s="4"/>
    </row>
    <row r="78" spans="1:30" x14ac:dyDescent="0.35">
      <c r="A78" s="53" t="s">
        <v>477</v>
      </c>
      <c r="B78" s="54" t="s">
        <v>700</v>
      </c>
      <c r="C78" s="55">
        <v>1</v>
      </c>
      <c r="D78" s="56">
        <v>-3.3190557822287525</v>
      </c>
      <c r="E78" s="55">
        <v>1E-8</v>
      </c>
      <c r="F78" s="55">
        <v>1E-8</v>
      </c>
      <c r="G78" s="55">
        <v>1E-8</v>
      </c>
      <c r="H78" s="55">
        <v>1E-8</v>
      </c>
      <c r="I78" s="55">
        <v>1E-8</v>
      </c>
      <c r="J78" s="55">
        <v>1E-8</v>
      </c>
      <c r="K78" s="55">
        <v>1E-8</v>
      </c>
      <c r="L78" s="55">
        <v>1E-8</v>
      </c>
      <c r="M78" s="4"/>
      <c r="N78" s="34"/>
      <c r="O78" s="4"/>
      <c r="P78" s="100"/>
      <c r="Q78" s="100" t="s">
        <v>648</v>
      </c>
      <c r="R78" s="111" t="s">
        <v>11</v>
      </c>
      <c r="S78" s="111" t="s">
        <v>343</v>
      </c>
      <c r="T78" s="101">
        <v>4.4656573871930706E-2</v>
      </c>
      <c r="U78" s="86">
        <v>45.079834257569694</v>
      </c>
      <c r="V78" s="101">
        <v>1E-8</v>
      </c>
      <c r="W78" s="101">
        <v>1E-8</v>
      </c>
      <c r="X78" s="101">
        <v>1E-8</v>
      </c>
      <c r="Y78" s="101">
        <v>1E-8</v>
      </c>
      <c r="Z78" s="101">
        <v>1E-8</v>
      </c>
      <c r="AA78" s="101">
        <v>1E-8</v>
      </c>
      <c r="AB78" s="101">
        <v>1E-8</v>
      </c>
      <c r="AC78" s="101">
        <v>1E-8</v>
      </c>
      <c r="AD78" s="4"/>
    </row>
    <row r="79" spans="1:30" x14ac:dyDescent="0.35">
      <c r="A79" s="5" t="s">
        <v>478</v>
      </c>
      <c r="B79" s="19" t="s">
        <v>701</v>
      </c>
      <c r="C79" s="20">
        <v>1</v>
      </c>
      <c r="D79" s="21">
        <v>-2.5993813202940919</v>
      </c>
      <c r="E79" s="20">
        <v>1E-8</v>
      </c>
      <c r="F79" s="20">
        <v>1E-8</v>
      </c>
      <c r="G79" s="20">
        <v>1E-8</v>
      </c>
      <c r="H79" s="20">
        <v>1E-8</v>
      </c>
      <c r="I79" s="20">
        <v>1E-8</v>
      </c>
      <c r="J79" s="20">
        <v>1E-8</v>
      </c>
      <c r="K79" s="20">
        <v>1E-8</v>
      </c>
      <c r="L79" s="20">
        <v>1E-8</v>
      </c>
      <c r="M79" s="4"/>
      <c r="N79" s="34"/>
      <c r="O79" s="4"/>
      <c r="P79" s="100"/>
      <c r="Q79" s="100" t="s">
        <v>649</v>
      </c>
      <c r="R79" s="111" t="s">
        <v>11</v>
      </c>
      <c r="S79" s="111" t="s">
        <v>549</v>
      </c>
      <c r="T79" s="101">
        <v>1.0015323800225488E-2</v>
      </c>
      <c r="U79" s="86">
        <v>5.2947148514718378</v>
      </c>
      <c r="V79" s="101">
        <v>1E-8</v>
      </c>
      <c r="W79" s="101">
        <v>1E-8</v>
      </c>
      <c r="X79" s="101">
        <v>1E-8</v>
      </c>
      <c r="Y79" s="101">
        <v>1E-8</v>
      </c>
      <c r="Z79" s="101">
        <v>1E-8</v>
      </c>
      <c r="AA79" s="101">
        <v>1E-8</v>
      </c>
      <c r="AB79" s="101">
        <v>1E-8</v>
      </c>
      <c r="AC79" s="101">
        <v>1E-8</v>
      </c>
      <c r="AD79" s="4"/>
    </row>
    <row r="80" spans="1:30" x14ac:dyDescent="0.35">
      <c r="A80" s="4" t="s">
        <v>474</v>
      </c>
      <c r="B80" s="17" t="s">
        <v>702</v>
      </c>
      <c r="C80" s="22">
        <v>1</v>
      </c>
      <c r="D80" s="23">
        <v>-2.3346177708119753</v>
      </c>
      <c r="E80" s="22">
        <v>1E-8</v>
      </c>
      <c r="F80" s="22">
        <v>1E-8</v>
      </c>
      <c r="G80" s="22">
        <v>1E-8</v>
      </c>
      <c r="H80" s="22">
        <v>1E-8</v>
      </c>
      <c r="I80" s="22">
        <v>1E-8</v>
      </c>
      <c r="J80" s="22">
        <v>1E-8</v>
      </c>
      <c r="K80" s="22">
        <v>1E-8</v>
      </c>
      <c r="L80" s="22">
        <v>1E-8</v>
      </c>
      <c r="M80" s="4"/>
      <c r="N80" s="34"/>
      <c r="O80" s="4"/>
      <c r="P80" s="100"/>
      <c r="Q80" s="100" t="s">
        <v>650</v>
      </c>
      <c r="R80" s="111" t="s">
        <v>11</v>
      </c>
      <c r="S80" s="111" t="s">
        <v>550</v>
      </c>
      <c r="T80" s="101">
        <v>6.5025778486058764E-3</v>
      </c>
      <c r="U80" s="86">
        <v>10.34017736077546</v>
      </c>
      <c r="V80" s="101">
        <v>1E-8</v>
      </c>
      <c r="W80" s="101">
        <v>1E-8</v>
      </c>
      <c r="X80" s="101">
        <v>1E-8</v>
      </c>
      <c r="Y80" s="101">
        <v>1E-8</v>
      </c>
      <c r="Z80" s="101">
        <v>1E-8</v>
      </c>
      <c r="AA80" s="101">
        <v>1E-8</v>
      </c>
      <c r="AB80" s="101">
        <v>1E-8</v>
      </c>
      <c r="AC80" s="101">
        <v>1E-8</v>
      </c>
      <c r="AD80" s="4"/>
    </row>
    <row r="81" spans="1:30" x14ac:dyDescent="0.35">
      <c r="A81" s="4" t="s">
        <v>475</v>
      </c>
      <c r="B81" s="17" t="s">
        <v>703</v>
      </c>
      <c r="C81" s="22">
        <v>1</v>
      </c>
      <c r="D81" s="23">
        <v>-2.362250903247165</v>
      </c>
      <c r="E81" s="22">
        <v>1E-8</v>
      </c>
      <c r="F81" s="22">
        <v>1E-8</v>
      </c>
      <c r="G81" s="22">
        <v>1E-8</v>
      </c>
      <c r="H81" s="22">
        <v>1E-8</v>
      </c>
      <c r="I81" s="22">
        <v>1E-8</v>
      </c>
      <c r="J81" s="22">
        <v>1E-8</v>
      </c>
      <c r="K81" s="22">
        <v>1E-8</v>
      </c>
      <c r="L81" s="22">
        <v>1E-8</v>
      </c>
      <c r="M81" s="4"/>
      <c r="N81" s="34"/>
      <c r="O81" s="4"/>
      <c r="P81" s="68"/>
      <c r="Q81" s="68" t="s">
        <v>172</v>
      </c>
      <c r="R81" s="108" t="s">
        <v>11</v>
      </c>
      <c r="S81" s="108" t="s">
        <v>551</v>
      </c>
      <c r="T81" s="98">
        <v>0.37278560342485739</v>
      </c>
      <c r="U81" s="80">
        <v>-2.7421424938765759</v>
      </c>
      <c r="V81" s="98">
        <v>1E-8</v>
      </c>
      <c r="W81" s="98">
        <v>1E-8</v>
      </c>
      <c r="X81" s="98">
        <v>1E-8</v>
      </c>
      <c r="Y81" s="98">
        <v>1E-8</v>
      </c>
      <c r="Z81" s="98">
        <v>1E-8</v>
      </c>
      <c r="AA81" s="98">
        <v>1E-8</v>
      </c>
      <c r="AB81" s="98">
        <v>1E-8</v>
      </c>
      <c r="AC81" s="98">
        <v>1E-8</v>
      </c>
      <c r="AD81" s="4"/>
    </row>
    <row r="82" spans="1:30" x14ac:dyDescent="0.35">
      <c r="A82" s="4" t="s">
        <v>476</v>
      </c>
      <c r="B82" s="17" t="s">
        <v>704</v>
      </c>
      <c r="C82" s="22">
        <v>1</v>
      </c>
      <c r="D82" s="23">
        <v>-3.6524895098132282</v>
      </c>
      <c r="E82" s="22">
        <v>1E-8</v>
      </c>
      <c r="F82" s="22">
        <v>1E-8</v>
      </c>
      <c r="G82" s="22">
        <v>1E-8</v>
      </c>
      <c r="H82" s="22">
        <v>1E-8</v>
      </c>
      <c r="I82" s="22">
        <v>1E-8</v>
      </c>
      <c r="J82" s="22">
        <v>1E-8</v>
      </c>
      <c r="K82" s="22">
        <v>1E-8</v>
      </c>
      <c r="L82" s="22">
        <v>1E-8</v>
      </c>
      <c r="M82" s="4"/>
      <c r="N82" s="34"/>
      <c r="O82" s="4"/>
      <c r="P82" s="100"/>
      <c r="Q82" s="100" t="s">
        <v>651</v>
      </c>
      <c r="R82" s="111" t="s">
        <v>11</v>
      </c>
      <c r="S82" s="111" t="s">
        <v>344</v>
      </c>
      <c r="T82" s="101">
        <v>2.4469808989831081E-2</v>
      </c>
      <c r="U82" s="86">
        <v>12.205610293290924</v>
      </c>
      <c r="V82" s="101">
        <v>1E-8</v>
      </c>
      <c r="W82" s="101">
        <v>1E-8</v>
      </c>
      <c r="X82" s="101">
        <v>1E-8</v>
      </c>
      <c r="Y82" s="101">
        <v>1E-8</v>
      </c>
      <c r="Z82" s="101">
        <v>1E-8</v>
      </c>
      <c r="AA82" s="101">
        <v>1E-8</v>
      </c>
      <c r="AB82" s="101">
        <v>1E-8</v>
      </c>
      <c r="AC82" s="101">
        <v>1E-8</v>
      </c>
      <c r="AD82" s="4"/>
    </row>
    <row r="83" spans="1:30" x14ac:dyDescent="0.35">
      <c r="A83" s="53" t="s">
        <v>477</v>
      </c>
      <c r="B83" s="54" t="s">
        <v>705</v>
      </c>
      <c r="C83" s="55">
        <v>1</v>
      </c>
      <c r="D83" s="56">
        <v>-3.5961430549366957</v>
      </c>
      <c r="E83" s="55">
        <v>1E-8</v>
      </c>
      <c r="F83" s="55">
        <v>1E-8</v>
      </c>
      <c r="G83" s="55">
        <v>1E-8</v>
      </c>
      <c r="H83" s="55">
        <v>1E-8</v>
      </c>
      <c r="I83" s="55">
        <v>1E-8</v>
      </c>
      <c r="J83" s="55">
        <v>1E-8</v>
      </c>
      <c r="K83" s="55">
        <v>1E-8</v>
      </c>
      <c r="L83" s="55">
        <v>1E-8</v>
      </c>
      <c r="M83" s="53"/>
      <c r="N83" s="34"/>
      <c r="O83" s="4"/>
      <c r="P83" s="100"/>
      <c r="Q83" s="100" t="s">
        <v>652</v>
      </c>
      <c r="R83" s="111" t="s">
        <v>11</v>
      </c>
      <c r="S83" s="111" t="s">
        <v>552</v>
      </c>
      <c r="T83" s="101">
        <v>0.22486508332885558</v>
      </c>
      <c r="U83" s="86">
        <v>3.5367263007763494</v>
      </c>
      <c r="V83" s="101">
        <v>1E-8</v>
      </c>
      <c r="W83" s="101">
        <v>1E-8</v>
      </c>
      <c r="X83" s="101">
        <v>1E-8</v>
      </c>
      <c r="Y83" s="101">
        <v>1E-8</v>
      </c>
      <c r="Z83" s="101">
        <v>1E-8</v>
      </c>
      <c r="AA83" s="101">
        <v>1E-8</v>
      </c>
      <c r="AB83" s="101">
        <v>1E-8</v>
      </c>
      <c r="AC83" s="101">
        <v>1E-8</v>
      </c>
      <c r="AD83" s="4"/>
    </row>
    <row r="84" spans="1:30" x14ac:dyDescent="0.35">
      <c r="A84" s="5" t="s">
        <v>479</v>
      </c>
      <c r="B84" s="19" t="s">
        <v>706</v>
      </c>
      <c r="C84" s="20">
        <v>1</v>
      </c>
      <c r="D84" s="21">
        <v>-3.5254032669380431</v>
      </c>
      <c r="E84" s="20">
        <v>1E-8</v>
      </c>
      <c r="F84" s="20">
        <v>1E-8</v>
      </c>
      <c r="G84" s="20">
        <v>1E-8</v>
      </c>
      <c r="H84" s="20">
        <v>1E-8</v>
      </c>
      <c r="I84" s="20">
        <v>1E-8</v>
      </c>
      <c r="J84" s="20">
        <v>1E-8</v>
      </c>
      <c r="K84" s="20">
        <v>1E-8</v>
      </c>
      <c r="L84" s="20">
        <v>1E-8</v>
      </c>
      <c r="M84" s="4"/>
      <c r="N84" s="34"/>
      <c r="O84" s="4"/>
      <c r="P84" s="100"/>
      <c r="Q84" s="100" t="s">
        <v>653</v>
      </c>
      <c r="R84" s="111" t="s">
        <v>11</v>
      </c>
      <c r="S84" s="111" t="s">
        <v>553</v>
      </c>
      <c r="T84" s="101">
        <v>0.12345071110617073</v>
      </c>
      <c r="U84" s="86">
        <v>-17.141954324210605</v>
      </c>
      <c r="V84" s="101">
        <v>1E-8</v>
      </c>
      <c r="W84" s="101">
        <v>1E-8</v>
      </c>
      <c r="X84" s="101">
        <v>1E-8</v>
      </c>
      <c r="Y84" s="101">
        <v>1E-8</v>
      </c>
      <c r="Z84" s="101">
        <v>1E-8</v>
      </c>
      <c r="AA84" s="101">
        <v>1E-8</v>
      </c>
      <c r="AB84" s="101">
        <v>1E-8</v>
      </c>
      <c r="AC84" s="101">
        <v>1E-8</v>
      </c>
      <c r="AD84" s="4"/>
    </row>
    <row r="85" spans="1:30" x14ac:dyDescent="0.35">
      <c r="A85" s="4" t="s">
        <v>474</v>
      </c>
      <c r="B85" s="17" t="s">
        <v>707</v>
      </c>
      <c r="C85" s="22">
        <v>1</v>
      </c>
      <c r="D85" s="23">
        <v>-4.0152999240147924</v>
      </c>
      <c r="E85" s="22">
        <v>1E-8</v>
      </c>
      <c r="F85" s="22">
        <v>1E-8</v>
      </c>
      <c r="G85" s="22">
        <v>1E-8</v>
      </c>
      <c r="H85" s="22">
        <v>1E-8</v>
      </c>
      <c r="I85" s="22">
        <v>1E-8</v>
      </c>
      <c r="J85" s="22">
        <v>1E-8</v>
      </c>
      <c r="K85" s="22">
        <v>1E-8</v>
      </c>
      <c r="L85" s="22">
        <v>1E-8</v>
      </c>
      <c r="M85" s="4"/>
      <c r="N85" s="34"/>
      <c r="O85" s="4"/>
      <c r="P85" s="68"/>
      <c r="Q85" s="68" t="s">
        <v>368</v>
      </c>
      <c r="R85" s="108" t="s">
        <v>11</v>
      </c>
      <c r="S85" s="108" t="s">
        <v>345</v>
      </c>
      <c r="T85" s="98">
        <v>0.28874780140980322</v>
      </c>
      <c r="U85" s="80">
        <v>9.2276639724041765</v>
      </c>
      <c r="V85" s="98">
        <v>1E-8</v>
      </c>
      <c r="W85" s="98">
        <v>1E-8</v>
      </c>
      <c r="X85" s="98">
        <v>1E-8</v>
      </c>
      <c r="Y85" s="98">
        <v>1E-8</v>
      </c>
      <c r="Z85" s="98">
        <v>1E-8</v>
      </c>
      <c r="AA85" s="98">
        <v>1E-8</v>
      </c>
      <c r="AB85" s="98">
        <v>1E-8</v>
      </c>
      <c r="AC85" s="98">
        <v>1E-8</v>
      </c>
      <c r="AD85" s="4"/>
    </row>
    <row r="86" spans="1:30" x14ac:dyDescent="0.35">
      <c r="A86" s="4" t="s">
        <v>475</v>
      </c>
      <c r="B86" s="17" t="s">
        <v>708</v>
      </c>
      <c r="C86" s="22">
        <v>1</v>
      </c>
      <c r="D86" s="23">
        <v>-4.5280754680922293</v>
      </c>
      <c r="E86" s="22">
        <v>1E-8</v>
      </c>
      <c r="F86" s="22">
        <v>1E-8</v>
      </c>
      <c r="G86" s="22">
        <v>1E-8</v>
      </c>
      <c r="H86" s="22">
        <v>1E-8</v>
      </c>
      <c r="I86" s="22">
        <v>1E-8</v>
      </c>
      <c r="J86" s="22">
        <v>1E-8</v>
      </c>
      <c r="K86" s="22">
        <v>1E-8</v>
      </c>
      <c r="L86" s="22">
        <v>1E-8</v>
      </c>
      <c r="M86" s="4"/>
      <c r="N86" s="34"/>
      <c r="O86" s="4"/>
      <c r="P86" s="100"/>
      <c r="Q86" s="100" t="s">
        <v>654</v>
      </c>
      <c r="R86" s="111" t="s">
        <v>11</v>
      </c>
      <c r="S86" s="111" t="s">
        <v>346</v>
      </c>
      <c r="T86" s="101">
        <v>0.17360356926998607</v>
      </c>
      <c r="U86" s="86">
        <v>13.79946138560484</v>
      </c>
      <c r="V86" s="101">
        <v>1E-8</v>
      </c>
      <c r="W86" s="101">
        <v>1E-8</v>
      </c>
      <c r="X86" s="101">
        <v>1E-8</v>
      </c>
      <c r="Y86" s="101">
        <v>1E-8</v>
      </c>
      <c r="Z86" s="101">
        <v>1E-8</v>
      </c>
      <c r="AA86" s="101">
        <v>1E-8</v>
      </c>
      <c r="AB86" s="101">
        <v>1E-8</v>
      </c>
      <c r="AC86" s="101">
        <v>1E-8</v>
      </c>
      <c r="AD86" s="4"/>
    </row>
    <row r="87" spans="1:30" x14ac:dyDescent="0.35">
      <c r="A87" s="4" t="s">
        <v>476</v>
      </c>
      <c r="B87" s="17" t="s">
        <v>709</v>
      </c>
      <c r="C87" s="22">
        <v>1</v>
      </c>
      <c r="D87" s="23">
        <v>-3.738062157174582</v>
      </c>
      <c r="E87" s="22">
        <v>1E-8</v>
      </c>
      <c r="F87" s="22">
        <v>1E-8</v>
      </c>
      <c r="G87" s="22">
        <v>1E-8</v>
      </c>
      <c r="H87" s="22">
        <v>1E-8</v>
      </c>
      <c r="I87" s="22">
        <v>1E-8</v>
      </c>
      <c r="J87" s="22">
        <v>1E-8</v>
      </c>
      <c r="K87" s="22">
        <v>1E-8</v>
      </c>
      <c r="L87" s="22">
        <v>1E-8</v>
      </c>
      <c r="M87" s="4"/>
      <c r="N87" s="34"/>
      <c r="O87" s="4"/>
      <c r="P87" s="100"/>
      <c r="Q87" s="100" t="s">
        <v>655</v>
      </c>
      <c r="R87" s="111" t="s">
        <v>11</v>
      </c>
      <c r="S87" s="111" t="s">
        <v>347</v>
      </c>
      <c r="T87" s="101">
        <v>7.5540171164952138E-2</v>
      </c>
      <c r="U87" s="86">
        <v>-0.97511093514780489</v>
      </c>
      <c r="V87" s="101">
        <v>1E-8</v>
      </c>
      <c r="W87" s="101">
        <v>1E-8</v>
      </c>
      <c r="X87" s="101">
        <v>1E-8</v>
      </c>
      <c r="Y87" s="101">
        <v>1E-8</v>
      </c>
      <c r="Z87" s="101">
        <v>1E-8</v>
      </c>
      <c r="AA87" s="101">
        <v>1E-8</v>
      </c>
      <c r="AB87" s="101">
        <v>1E-8</v>
      </c>
      <c r="AC87" s="101">
        <v>1E-8</v>
      </c>
      <c r="AD87" s="4"/>
    </row>
    <row r="88" spans="1:30" x14ac:dyDescent="0.35">
      <c r="A88" s="53" t="s">
        <v>477</v>
      </c>
      <c r="B88" s="54" t="s">
        <v>710</v>
      </c>
      <c r="C88" s="55">
        <v>1</v>
      </c>
      <c r="D88" s="56">
        <v>-3.2804592417662426</v>
      </c>
      <c r="E88" s="55">
        <v>1E-8</v>
      </c>
      <c r="F88" s="55">
        <v>1E-8</v>
      </c>
      <c r="G88" s="55">
        <v>1E-8</v>
      </c>
      <c r="H88" s="55">
        <v>1E-8</v>
      </c>
      <c r="I88" s="55">
        <v>1E-8</v>
      </c>
      <c r="J88" s="55">
        <v>1E-8</v>
      </c>
      <c r="K88" s="55">
        <v>1E-8</v>
      </c>
      <c r="L88" s="55">
        <v>1E-8</v>
      </c>
      <c r="M88" s="4"/>
      <c r="N88" s="34"/>
      <c r="O88" s="4"/>
      <c r="P88" s="100"/>
      <c r="Q88" s="100" t="s">
        <v>656</v>
      </c>
      <c r="R88" s="111" t="s">
        <v>11</v>
      </c>
      <c r="S88" s="111" t="s">
        <v>348</v>
      </c>
      <c r="T88" s="101">
        <v>3.9604060974864984E-2</v>
      </c>
      <c r="U88" s="86">
        <v>8.647900547346854</v>
      </c>
      <c r="V88" s="101">
        <v>1E-8</v>
      </c>
      <c r="W88" s="101">
        <v>1E-8</v>
      </c>
      <c r="X88" s="101">
        <v>1E-8</v>
      </c>
      <c r="Y88" s="101">
        <v>1E-8</v>
      </c>
      <c r="Z88" s="101">
        <v>1E-8</v>
      </c>
      <c r="AA88" s="101">
        <v>1E-8</v>
      </c>
      <c r="AB88" s="101">
        <v>1E-8</v>
      </c>
      <c r="AC88" s="101">
        <v>1E-8</v>
      </c>
      <c r="AD88" s="4"/>
    </row>
    <row r="89" spans="1:30" x14ac:dyDescent="0.35">
      <c r="A89" s="5" t="s">
        <v>727</v>
      </c>
      <c r="B89" s="19" t="s">
        <v>711</v>
      </c>
      <c r="C89" s="20">
        <v>1</v>
      </c>
      <c r="D89" s="21">
        <v>-3.3947153807195485</v>
      </c>
      <c r="E89" s="20">
        <v>1E-8</v>
      </c>
      <c r="F89" s="20">
        <v>1E-8</v>
      </c>
      <c r="G89" s="20">
        <v>1E-8</v>
      </c>
      <c r="H89" s="20">
        <v>1E-8</v>
      </c>
      <c r="I89" s="20">
        <v>1E-8</v>
      </c>
      <c r="J89" s="20">
        <v>1E-8</v>
      </c>
      <c r="K89" s="20">
        <v>1E-8</v>
      </c>
      <c r="L89" s="20">
        <v>1E-8</v>
      </c>
      <c r="M89" s="4"/>
      <c r="N89" s="34"/>
      <c r="O89" s="4"/>
      <c r="P89" s="68"/>
      <c r="Q89" s="68" t="s">
        <v>181</v>
      </c>
      <c r="R89" s="108" t="s">
        <v>11</v>
      </c>
      <c r="S89" s="108" t="s">
        <v>554</v>
      </c>
      <c r="T89" s="98">
        <v>0.20669652657342527</v>
      </c>
      <c r="U89" s="80">
        <v>4.9969633083720932</v>
      </c>
      <c r="V89" s="98">
        <v>1E-8</v>
      </c>
      <c r="W89" s="98">
        <v>1E-8</v>
      </c>
      <c r="X89" s="98">
        <v>1E-8</v>
      </c>
      <c r="Y89" s="98">
        <v>1E-8</v>
      </c>
      <c r="Z89" s="98">
        <v>1E-8</v>
      </c>
      <c r="AA89" s="98">
        <v>1E-8</v>
      </c>
      <c r="AB89" s="98">
        <v>1E-8</v>
      </c>
      <c r="AC89" s="98">
        <v>1E-8</v>
      </c>
      <c r="AD89" s="4"/>
    </row>
    <row r="90" spans="1:30" x14ac:dyDescent="0.35">
      <c r="A90" s="4" t="s">
        <v>474</v>
      </c>
      <c r="B90" s="17" t="s">
        <v>712</v>
      </c>
      <c r="C90" s="22">
        <v>1</v>
      </c>
      <c r="D90" s="23">
        <v>-3.723631970229857</v>
      </c>
      <c r="E90" s="22">
        <v>1E-8</v>
      </c>
      <c r="F90" s="22">
        <v>1E-8</v>
      </c>
      <c r="G90" s="22">
        <v>1E-8</v>
      </c>
      <c r="H90" s="22">
        <v>1E-8</v>
      </c>
      <c r="I90" s="22">
        <v>1E-8</v>
      </c>
      <c r="J90" s="22">
        <v>1E-8</v>
      </c>
      <c r="K90" s="22">
        <v>1E-8</v>
      </c>
      <c r="L90" s="22">
        <v>1E-8</v>
      </c>
      <c r="M90" s="4"/>
      <c r="N90" s="34"/>
      <c r="O90" s="4"/>
      <c r="P90" s="100"/>
      <c r="Q90" s="100" t="s">
        <v>657</v>
      </c>
      <c r="R90" s="111" t="s">
        <v>11</v>
      </c>
      <c r="S90" s="111" t="s">
        <v>555</v>
      </c>
      <c r="T90" s="101">
        <v>8.9254410356508496E-2</v>
      </c>
      <c r="U90" s="86">
        <v>4.5938298843080316</v>
      </c>
      <c r="V90" s="101">
        <v>1E-8</v>
      </c>
      <c r="W90" s="101">
        <v>1E-8</v>
      </c>
      <c r="X90" s="101">
        <v>1E-8</v>
      </c>
      <c r="Y90" s="101">
        <v>1E-8</v>
      </c>
      <c r="Z90" s="101">
        <v>1E-8</v>
      </c>
      <c r="AA90" s="101">
        <v>1E-8</v>
      </c>
      <c r="AB90" s="101">
        <v>1E-8</v>
      </c>
      <c r="AC90" s="101">
        <v>1E-8</v>
      </c>
      <c r="AD90" s="4"/>
    </row>
    <row r="91" spans="1:30" x14ac:dyDescent="0.35">
      <c r="A91" s="4" t="s">
        <v>475</v>
      </c>
      <c r="B91" s="17" t="s">
        <v>713</v>
      </c>
      <c r="C91" s="22">
        <v>1</v>
      </c>
      <c r="D91" s="23">
        <v>-4.6293311828724315</v>
      </c>
      <c r="E91" s="22">
        <v>1E-8</v>
      </c>
      <c r="F91" s="22">
        <v>1E-8</v>
      </c>
      <c r="G91" s="22">
        <v>1E-8</v>
      </c>
      <c r="H91" s="22">
        <v>1E-8</v>
      </c>
      <c r="I91" s="22">
        <v>1E-8</v>
      </c>
      <c r="J91" s="22">
        <v>1E-8</v>
      </c>
      <c r="K91" s="22">
        <v>1E-8</v>
      </c>
      <c r="L91" s="22">
        <v>1E-8</v>
      </c>
      <c r="M91" s="4"/>
      <c r="N91" s="34"/>
      <c r="O91" s="4"/>
      <c r="P91" s="100"/>
      <c r="Q91" s="100" t="s">
        <v>658</v>
      </c>
      <c r="R91" s="111" t="s">
        <v>11</v>
      </c>
      <c r="S91" s="111" t="s">
        <v>349</v>
      </c>
      <c r="T91" s="101">
        <v>0.11666085570347647</v>
      </c>
      <c r="U91" s="86">
        <v>5.3704054406457091</v>
      </c>
      <c r="V91" s="101">
        <v>1E-8</v>
      </c>
      <c r="W91" s="101">
        <v>1E-8</v>
      </c>
      <c r="X91" s="101">
        <v>1E-8</v>
      </c>
      <c r="Y91" s="101">
        <v>1E-8</v>
      </c>
      <c r="Z91" s="101">
        <v>1E-8</v>
      </c>
      <c r="AA91" s="101">
        <v>1E-8</v>
      </c>
      <c r="AB91" s="101">
        <v>1E-8</v>
      </c>
      <c r="AC91" s="101">
        <v>1E-8</v>
      </c>
      <c r="AD91" s="4"/>
    </row>
    <row r="92" spans="1:30" x14ac:dyDescent="0.35">
      <c r="A92" s="4" t="s">
        <v>476</v>
      </c>
      <c r="B92" s="17" t="s">
        <v>714</v>
      </c>
      <c r="C92" s="22">
        <v>1</v>
      </c>
      <c r="D92" s="23">
        <v>-3.5753650636517587</v>
      </c>
      <c r="E92" s="22">
        <v>1E-8</v>
      </c>
      <c r="F92" s="22">
        <v>1E-8</v>
      </c>
      <c r="G92" s="22">
        <v>1E-8</v>
      </c>
      <c r="H92" s="22">
        <v>1E-8</v>
      </c>
      <c r="I92" s="22">
        <v>1E-8</v>
      </c>
      <c r="J92" s="22">
        <v>1E-8</v>
      </c>
      <c r="K92" s="22">
        <v>1E-8</v>
      </c>
      <c r="L92" s="22">
        <v>1E-8</v>
      </c>
      <c r="M92" s="4"/>
      <c r="N92" s="34"/>
      <c r="O92" s="4"/>
      <c r="P92" s="100"/>
      <c r="Q92" s="100" t="s">
        <v>659</v>
      </c>
      <c r="R92" s="112" t="s">
        <v>11</v>
      </c>
      <c r="S92" s="112" t="s">
        <v>556</v>
      </c>
      <c r="T92" s="87">
        <v>7.8126051344034806E-4</v>
      </c>
      <c r="U92" s="88">
        <v>-4.7112486343197091</v>
      </c>
      <c r="V92" s="87">
        <v>1E-8</v>
      </c>
      <c r="W92" s="87">
        <v>1E-8</v>
      </c>
      <c r="X92" s="87">
        <v>1E-8</v>
      </c>
      <c r="Y92" s="87">
        <v>1E-8</v>
      </c>
      <c r="Z92" s="87">
        <v>1E-8</v>
      </c>
      <c r="AA92" s="87">
        <v>1E-8</v>
      </c>
      <c r="AB92" s="87">
        <v>1E-8</v>
      </c>
      <c r="AC92" s="87">
        <v>1E-8</v>
      </c>
      <c r="AD92" s="4"/>
    </row>
    <row r="93" spans="1:30" x14ac:dyDescent="0.35">
      <c r="A93" s="53" t="s">
        <v>477</v>
      </c>
      <c r="B93" s="54" t="s">
        <v>715</v>
      </c>
      <c r="C93" s="55">
        <v>1</v>
      </c>
      <c r="D93" s="56">
        <v>-3.203264503564196</v>
      </c>
      <c r="E93" s="55">
        <v>1E-8</v>
      </c>
      <c r="F93" s="55">
        <v>1E-8</v>
      </c>
      <c r="G93" s="55">
        <v>1E-8</v>
      </c>
      <c r="H93" s="55">
        <v>1E-8</v>
      </c>
      <c r="I93" s="55">
        <v>1E-8</v>
      </c>
      <c r="J93" s="55">
        <v>1E-8</v>
      </c>
      <c r="K93" s="55">
        <v>1E-8</v>
      </c>
      <c r="L93" s="55">
        <v>1E-8</v>
      </c>
      <c r="M93" s="4"/>
      <c r="N93" s="34"/>
      <c r="O93" s="4"/>
      <c r="P93" s="96"/>
      <c r="Q93" s="96" t="s">
        <v>286</v>
      </c>
      <c r="R93" s="107" t="s">
        <v>11</v>
      </c>
      <c r="S93" s="107" t="s">
        <v>350</v>
      </c>
      <c r="T93" s="97">
        <v>8.3307763973239926</v>
      </c>
      <c r="U93" s="78">
        <v>-4.3487051219327943</v>
      </c>
      <c r="V93" s="97">
        <v>1E-8</v>
      </c>
      <c r="W93" s="97">
        <v>1E-8</v>
      </c>
      <c r="X93" s="97">
        <v>1E-8</v>
      </c>
      <c r="Y93" s="97">
        <v>1E-8</v>
      </c>
      <c r="Z93" s="97">
        <v>1E-8</v>
      </c>
      <c r="AA93" s="97">
        <v>1E-8</v>
      </c>
      <c r="AB93" s="97">
        <v>1E-8</v>
      </c>
      <c r="AC93" s="97">
        <v>1E-8</v>
      </c>
      <c r="AD93" s="4"/>
    </row>
    <row r="94" spans="1:30" x14ac:dyDescent="0.35">
      <c r="A94" s="5" t="s">
        <v>728</v>
      </c>
      <c r="B94" s="19" t="s">
        <v>716</v>
      </c>
      <c r="C94" s="20">
        <v>1</v>
      </c>
      <c r="D94" s="21">
        <v>-3.912448767848653</v>
      </c>
      <c r="E94" s="20">
        <v>1E-8</v>
      </c>
      <c r="F94" s="20">
        <v>1E-8</v>
      </c>
      <c r="G94" s="20">
        <v>1E-8</v>
      </c>
      <c r="H94" s="20">
        <v>1E-8</v>
      </c>
      <c r="I94" s="20">
        <v>1E-8</v>
      </c>
      <c r="J94" s="20">
        <v>1E-8</v>
      </c>
      <c r="K94" s="20">
        <v>1E-8</v>
      </c>
      <c r="L94" s="20">
        <v>1E-8</v>
      </c>
      <c r="M94" s="4"/>
      <c r="N94" s="34"/>
      <c r="O94" s="4"/>
      <c r="P94" s="96"/>
      <c r="Q94" s="96" t="s">
        <v>369</v>
      </c>
      <c r="R94" s="107" t="s">
        <v>11</v>
      </c>
      <c r="S94" s="107" t="s">
        <v>557</v>
      </c>
      <c r="T94" s="97">
        <v>0.40597641471918977</v>
      </c>
      <c r="U94" s="78">
        <v>-1.1551941685260192</v>
      </c>
      <c r="V94" s="97">
        <v>1E-8</v>
      </c>
      <c r="W94" s="97">
        <v>1E-8</v>
      </c>
      <c r="X94" s="97">
        <v>1E-8</v>
      </c>
      <c r="Y94" s="97">
        <v>1E-8</v>
      </c>
      <c r="Z94" s="97">
        <v>1E-8</v>
      </c>
      <c r="AA94" s="97">
        <v>1E-8</v>
      </c>
      <c r="AB94" s="97">
        <v>1E-8</v>
      </c>
      <c r="AC94" s="97">
        <v>1E-8</v>
      </c>
      <c r="AD94" s="4"/>
    </row>
    <row r="95" spans="1:30" x14ac:dyDescent="0.35">
      <c r="A95" s="4" t="s">
        <v>474</v>
      </c>
      <c r="B95" s="17" t="s">
        <v>717</v>
      </c>
      <c r="C95" s="22">
        <v>1</v>
      </c>
      <c r="D95" s="23">
        <v>-4.4660778352941914</v>
      </c>
      <c r="E95" s="22">
        <v>1E-8</v>
      </c>
      <c r="F95" s="22">
        <v>1E-8</v>
      </c>
      <c r="G95" s="22">
        <v>1E-8</v>
      </c>
      <c r="H95" s="22">
        <v>1E-8</v>
      </c>
      <c r="I95" s="22">
        <v>1E-8</v>
      </c>
      <c r="J95" s="22">
        <v>1E-8</v>
      </c>
      <c r="K95" s="22">
        <v>1E-8</v>
      </c>
      <c r="L95" s="22">
        <v>1E-8</v>
      </c>
      <c r="M95" s="4"/>
      <c r="N95" s="34"/>
      <c r="O95" s="4"/>
      <c r="P95" s="68"/>
      <c r="Q95" s="68" t="s">
        <v>660</v>
      </c>
      <c r="R95" s="108" t="s">
        <v>11</v>
      </c>
      <c r="S95" s="108" t="s">
        <v>351</v>
      </c>
      <c r="T95" s="98">
        <v>0.27814567536812412</v>
      </c>
      <c r="U95" s="80">
        <v>-1.2791572086066405</v>
      </c>
      <c r="V95" s="98">
        <v>1E-8</v>
      </c>
      <c r="W95" s="98">
        <v>1E-8</v>
      </c>
      <c r="X95" s="98">
        <v>1E-8</v>
      </c>
      <c r="Y95" s="98">
        <v>1E-8</v>
      </c>
      <c r="Z95" s="98">
        <v>1E-8</v>
      </c>
      <c r="AA95" s="98">
        <v>1E-8</v>
      </c>
      <c r="AB95" s="98">
        <v>1E-8</v>
      </c>
      <c r="AC95" s="98">
        <v>1E-8</v>
      </c>
      <c r="AD95" s="4"/>
    </row>
    <row r="96" spans="1:30" x14ac:dyDescent="0.35">
      <c r="A96" s="4" t="s">
        <v>475</v>
      </c>
      <c r="B96" s="17" t="s">
        <v>718</v>
      </c>
      <c r="C96" s="22">
        <v>1</v>
      </c>
      <c r="D96" s="23">
        <v>-4.3949882295226779</v>
      </c>
      <c r="E96" s="22">
        <v>1E-8</v>
      </c>
      <c r="F96" s="22">
        <v>1E-8</v>
      </c>
      <c r="G96" s="22">
        <v>1E-8</v>
      </c>
      <c r="H96" s="22">
        <v>1E-8</v>
      </c>
      <c r="I96" s="22">
        <v>1E-8</v>
      </c>
      <c r="J96" s="22">
        <v>1E-8</v>
      </c>
      <c r="K96" s="22">
        <v>1E-8</v>
      </c>
      <c r="L96" s="22">
        <v>1E-8</v>
      </c>
      <c r="M96" s="4"/>
      <c r="N96" s="34"/>
      <c r="O96" s="4"/>
      <c r="P96" s="68"/>
      <c r="Q96" s="68" t="s">
        <v>661</v>
      </c>
      <c r="R96" s="108" t="s">
        <v>11</v>
      </c>
      <c r="S96" s="108" t="s">
        <v>352</v>
      </c>
      <c r="T96" s="98">
        <v>0.12374314341074007</v>
      </c>
      <c r="U96" s="80">
        <v>-0.84243569010810093</v>
      </c>
      <c r="V96" s="98">
        <v>1E-8</v>
      </c>
      <c r="W96" s="98">
        <v>1E-8</v>
      </c>
      <c r="X96" s="98">
        <v>1E-8</v>
      </c>
      <c r="Y96" s="98">
        <v>1E-8</v>
      </c>
      <c r="Z96" s="98">
        <v>1E-8</v>
      </c>
      <c r="AA96" s="98">
        <v>1E-8</v>
      </c>
      <c r="AB96" s="98">
        <v>1E-8</v>
      </c>
      <c r="AC96" s="98">
        <v>1E-8</v>
      </c>
      <c r="AD96" s="4"/>
    </row>
    <row r="97" spans="1:30" x14ac:dyDescent="0.35">
      <c r="A97" s="4" t="s">
        <v>476</v>
      </c>
      <c r="B97" s="17" t="s">
        <v>719</v>
      </c>
      <c r="C97" s="22">
        <v>1</v>
      </c>
      <c r="D97" s="23">
        <v>-4.1624584047629583</v>
      </c>
      <c r="E97" s="22">
        <v>1E-8</v>
      </c>
      <c r="F97" s="22">
        <v>1E-8</v>
      </c>
      <c r="G97" s="22">
        <v>1E-8</v>
      </c>
      <c r="H97" s="22">
        <v>1E-8</v>
      </c>
      <c r="I97" s="22">
        <v>1E-8</v>
      </c>
      <c r="J97" s="22">
        <v>1E-8</v>
      </c>
      <c r="K97" s="22">
        <v>1E-8</v>
      </c>
      <c r="L97" s="22">
        <v>1E-8</v>
      </c>
      <c r="M97" s="4"/>
      <c r="N97" s="34"/>
      <c r="O97" s="4"/>
      <c r="P97" s="68"/>
      <c r="Q97" s="68" t="s">
        <v>662</v>
      </c>
      <c r="R97" s="108" t="s">
        <v>11</v>
      </c>
      <c r="S97" s="108" t="s">
        <v>558</v>
      </c>
      <c r="T97" s="98">
        <v>4.0875959403255989E-3</v>
      </c>
      <c r="U97" s="80">
        <v>-2.1880589148281615</v>
      </c>
      <c r="V97" s="98">
        <v>1E-8</v>
      </c>
      <c r="W97" s="98">
        <v>1E-8</v>
      </c>
      <c r="X97" s="98">
        <v>1E-8</v>
      </c>
      <c r="Y97" s="98">
        <v>1E-8</v>
      </c>
      <c r="Z97" s="98">
        <v>1E-8</v>
      </c>
      <c r="AA97" s="98">
        <v>1E-8</v>
      </c>
      <c r="AB97" s="98">
        <v>1E-8</v>
      </c>
      <c r="AC97" s="98">
        <v>1E-8</v>
      </c>
      <c r="AD97" s="4"/>
    </row>
    <row r="98" spans="1:30" x14ac:dyDescent="0.35">
      <c r="A98" s="53" t="s">
        <v>477</v>
      </c>
      <c r="B98" s="54" t="s">
        <v>720</v>
      </c>
      <c r="C98" s="55">
        <v>1</v>
      </c>
      <c r="D98" s="56">
        <v>-3.5799019549882405</v>
      </c>
      <c r="E98" s="55">
        <v>1E-8</v>
      </c>
      <c r="F98" s="55">
        <v>1E-8</v>
      </c>
      <c r="G98" s="55">
        <v>1E-8</v>
      </c>
      <c r="H98" s="55">
        <v>1E-8</v>
      </c>
      <c r="I98" s="55">
        <v>1E-8</v>
      </c>
      <c r="J98" s="55">
        <v>1E-8</v>
      </c>
      <c r="K98" s="55">
        <v>1E-8</v>
      </c>
      <c r="L98" s="55">
        <v>1E-8</v>
      </c>
      <c r="M98" s="4"/>
      <c r="N98" s="34"/>
      <c r="O98" s="4"/>
      <c r="P98" s="96"/>
      <c r="Q98" s="96" t="s">
        <v>188</v>
      </c>
      <c r="R98" s="107" t="s">
        <v>11</v>
      </c>
      <c r="S98" s="107" t="s">
        <v>559</v>
      </c>
      <c r="T98" s="97">
        <v>7.9247999826048039</v>
      </c>
      <c r="U98" s="78">
        <v>-4.51230421971146</v>
      </c>
      <c r="V98" s="97">
        <v>1E-8</v>
      </c>
      <c r="W98" s="97">
        <v>1E-8</v>
      </c>
      <c r="X98" s="97">
        <v>1E-8</v>
      </c>
      <c r="Y98" s="97">
        <v>1E-8</v>
      </c>
      <c r="Z98" s="97">
        <v>1E-8</v>
      </c>
      <c r="AA98" s="97">
        <v>1E-8</v>
      </c>
      <c r="AB98" s="97">
        <v>1E-8</v>
      </c>
      <c r="AC98" s="97">
        <v>1E-8</v>
      </c>
      <c r="AD98" s="4"/>
    </row>
    <row r="99" spans="1:30" x14ac:dyDescent="0.35">
      <c r="A99" s="5" t="s">
        <v>69</v>
      </c>
      <c r="B99" s="19" t="s">
        <v>721</v>
      </c>
      <c r="C99" s="20">
        <v>1</v>
      </c>
      <c r="D99" s="21">
        <v>-3.0134130296957884</v>
      </c>
      <c r="E99" s="20">
        <v>1E-8</v>
      </c>
      <c r="F99" s="20">
        <v>1E-8</v>
      </c>
      <c r="G99" s="20">
        <v>1E-8</v>
      </c>
      <c r="H99" s="20">
        <v>1E-8</v>
      </c>
      <c r="I99" s="20">
        <v>1E-8</v>
      </c>
      <c r="J99" s="20">
        <v>1E-8</v>
      </c>
      <c r="K99" s="20">
        <v>1E-8</v>
      </c>
      <c r="L99" s="20">
        <v>1E-8</v>
      </c>
      <c r="M99" s="4"/>
      <c r="N99" s="34"/>
      <c r="O99" s="4"/>
      <c r="P99" s="68"/>
      <c r="Q99" s="68" t="s">
        <v>663</v>
      </c>
      <c r="R99" s="108" t="s">
        <v>11</v>
      </c>
      <c r="S99" s="108" t="s">
        <v>353</v>
      </c>
      <c r="T99" s="98">
        <v>7.9247999826048039</v>
      </c>
      <c r="U99" s="80">
        <v>-4.51230421971146</v>
      </c>
      <c r="V99" s="98">
        <v>1E-8</v>
      </c>
      <c r="W99" s="98">
        <v>1E-8</v>
      </c>
      <c r="X99" s="98">
        <v>1E-8</v>
      </c>
      <c r="Y99" s="98">
        <v>1E-8</v>
      </c>
      <c r="Z99" s="98">
        <v>1E-8</v>
      </c>
      <c r="AA99" s="98">
        <v>1E-8</v>
      </c>
      <c r="AB99" s="98">
        <v>1E-8</v>
      </c>
      <c r="AC99" s="98">
        <v>1E-8</v>
      </c>
      <c r="AD99" s="4"/>
    </row>
    <row r="100" spans="1:30" x14ac:dyDescent="0.35">
      <c r="A100" s="5" t="s">
        <v>480</v>
      </c>
      <c r="B100" s="19" t="s">
        <v>722</v>
      </c>
      <c r="C100" s="20">
        <v>1</v>
      </c>
      <c r="D100" s="21">
        <v>-2.4505029960770197</v>
      </c>
      <c r="E100" s="20">
        <v>1E-8</v>
      </c>
      <c r="F100" s="20">
        <v>1E-8</v>
      </c>
      <c r="G100" s="20">
        <v>1E-8</v>
      </c>
      <c r="H100" s="20">
        <v>1E-8</v>
      </c>
      <c r="I100" s="20">
        <v>1E-8</v>
      </c>
      <c r="J100" s="20">
        <v>1E-8</v>
      </c>
      <c r="K100" s="20">
        <v>1E-8</v>
      </c>
      <c r="L100" s="20">
        <v>1E-8</v>
      </c>
      <c r="M100" s="4"/>
      <c r="N100" s="34"/>
      <c r="O100" s="4"/>
      <c r="P100" s="72"/>
      <c r="Q100" s="72" t="s">
        <v>664</v>
      </c>
      <c r="R100" s="109" t="s">
        <v>11</v>
      </c>
      <c r="S100" s="109" t="s">
        <v>560</v>
      </c>
      <c r="T100" s="81">
        <v>1E-8</v>
      </c>
      <c r="U100" s="82">
        <v>1E-8</v>
      </c>
      <c r="V100" s="81">
        <v>1E-8</v>
      </c>
      <c r="W100" s="81">
        <v>1E-8</v>
      </c>
      <c r="X100" s="81">
        <v>1E-8</v>
      </c>
      <c r="Y100" s="81">
        <v>1E-8</v>
      </c>
      <c r="Z100" s="81">
        <v>1E-8</v>
      </c>
      <c r="AA100" s="81">
        <v>1E-8</v>
      </c>
      <c r="AB100" s="81">
        <v>1E-8</v>
      </c>
      <c r="AC100" s="81">
        <v>1E-8</v>
      </c>
      <c r="AD100" s="4"/>
    </row>
    <row r="101" spans="1:30" x14ac:dyDescent="0.35">
      <c r="A101" s="4" t="s">
        <v>481</v>
      </c>
      <c r="B101" s="17" t="s">
        <v>723</v>
      </c>
      <c r="C101" s="22">
        <v>1</v>
      </c>
      <c r="D101" s="23">
        <v>-2.4280205766244678</v>
      </c>
      <c r="E101" s="22">
        <v>1E-8</v>
      </c>
      <c r="F101" s="22">
        <v>1E-8</v>
      </c>
      <c r="G101" s="22">
        <v>1E-8</v>
      </c>
      <c r="H101" s="22">
        <v>1E-8</v>
      </c>
      <c r="I101" s="22">
        <v>1E-8</v>
      </c>
      <c r="J101" s="22">
        <v>1E-8</v>
      </c>
      <c r="K101" s="22">
        <v>1E-8</v>
      </c>
      <c r="L101" s="22">
        <v>1E-8</v>
      </c>
      <c r="M101" s="4"/>
      <c r="N101" s="34"/>
      <c r="O101" s="4"/>
      <c r="P101" s="47"/>
      <c r="Q101" s="47" t="s">
        <v>287</v>
      </c>
      <c r="R101" s="105" t="s">
        <v>11</v>
      </c>
      <c r="S101" s="105" t="s">
        <v>354</v>
      </c>
      <c r="T101" s="95">
        <v>13.140966856842336</v>
      </c>
      <c r="U101" s="74">
        <v>-1.1957794254731979</v>
      </c>
      <c r="V101" s="95">
        <v>1E-8</v>
      </c>
      <c r="W101" s="95">
        <v>1E-8</v>
      </c>
      <c r="X101" s="95">
        <v>1E-8</v>
      </c>
      <c r="Y101" s="95">
        <v>1E-8</v>
      </c>
      <c r="Z101" s="95">
        <v>1E-8</v>
      </c>
      <c r="AA101" s="95">
        <v>1E-8</v>
      </c>
      <c r="AB101" s="95">
        <v>1E-8</v>
      </c>
      <c r="AC101" s="95">
        <v>1E-8</v>
      </c>
      <c r="AD101" s="4"/>
    </row>
    <row r="102" spans="1:30" x14ac:dyDescent="0.35">
      <c r="A102" s="4" t="s">
        <v>482</v>
      </c>
      <c r="B102" s="17" t="s">
        <v>724</v>
      </c>
      <c r="C102" s="22">
        <v>1</v>
      </c>
      <c r="D102" s="23">
        <v>-4.8082329503421395</v>
      </c>
      <c r="E102" s="22">
        <v>1E-8</v>
      </c>
      <c r="F102" s="22">
        <v>1E-8</v>
      </c>
      <c r="G102" s="22">
        <v>1E-8</v>
      </c>
      <c r="H102" s="22">
        <v>1E-8</v>
      </c>
      <c r="I102" s="22">
        <v>1E-8</v>
      </c>
      <c r="J102" s="22">
        <v>1E-8</v>
      </c>
      <c r="K102" s="22">
        <v>1E-8</v>
      </c>
      <c r="L102" s="22">
        <v>1E-8</v>
      </c>
      <c r="M102" s="4"/>
      <c r="N102" s="34"/>
      <c r="O102" s="4"/>
      <c r="P102" s="96"/>
      <c r="Q102" s="96" t="s">
        <v>370</v>
      </c>
      <c r="R102" s="107" t="s">
        <v>11</v>
      </c>
      <c r="S102" s="107" t="s">
        <v>561</v>
      </c>
      <c r="T102" s="97">
        <v>4.9396688957750223</v>
      </c>
      <c r="U102" s="78">
        <v>-2.5687366814299062</v>
      </c>
      <c r="V102" s="97">
        <v>1E-8</v>
      </c>
      <c r="W102" s="97">
        <v>1E-8</v>
      </c>
      <c r="X102" s="97">
        <v>1E-8</v>
      </c>
      <c r="Y102" s="97">
        <v>1E-8</v>
      </c>
      <c r="Z102" s="97">
        <v>1E-8</v>
      </c>
      <c r="AA102" s="97">
        <v>1E-8</v>
      </c>
      <c r="AB102" s="97">
        <v>1E-8</v>
      </c>
      <c r="AC102" s="97">
        <v>1E-8</v>
      </c>
      <c r="AD102" s="4"/>
    </row>
    <row r="103" spans="1:30" x14ac:dyDescent="0.35">
      <c r="A103" s="4" t="s">
        <v>483</v>
      </c>
      <c r="B103" s="17" t="s">
        <v>725</v>
      </c>
      <c r="C103" s="22">
        <v>1</v>
      </c>
      <c r="D103" s="23">
        <v>9.4783643132551489</v>
      </c>
      <c r="E103" s="22">
        <v>1E-8</v>
      </c>
      <c r="F103" s="22">
        <v>1E-8</v>
      </c>
      <c r="G103" s="22">
        <v>1E-8</v>
      </c>
      <c r="H103" s="22">
        <v>1E-8</v>
      </c>
      <c r="I103" s="22">
        <v>1E-8</v>
      </c>
      <c r="J103" s="22">
        <v>1E-8</v>
      </c>
      <c r="K103" s="22">
        <v>1E-8</v>
      </c>
      <c r="L103" s="22">
        <v>1E-8</v>
      </c>
      <c r="M103" s="4"/>
      <c r="N103" s="34"/>
      <c r="O103" s="4"/>
      <c r="P103" s="68"/>
      <c r="Q103" s="68" t="s">
        <v>665</v>
      </c>
      <c r="R103" s="108" t="s">
        <v>11</v>
      </c>
      <c r="S103" s="108" t="s">
        <v>562</v>
      </c>
      <c r="T103" s="98">
        <v>0.13027171967754167</v>
      </c>
      <c r="U103" s="80">
        <v>-1.3820613500175827</v>
      </c>
      <c r="V103" s="98">
        <v>1E-8</v>
      </c>
      <c r="W103" s="98">
        <v>1E-8</v>
      </c>
      <c r="X103" s="98">
        <v>1E-8</v>
      </c>
      <c r="Y103" s="98">
        <v>1E-8</v>
      </c>
      <c r="Z103" s="98">
        <v>1E-8</v>
      </c>
      <c r="AA103" s="98">
        <v>1E-8</v>
      </c>
      <c r="AB103" s="98">
        <v>1E-8</v>
      </c>
      <c r="AC103" s="98">
        <v>1E-8</v>
      </c>
      <c r="AD103" s="4"/>
    </row>
    <row r="104" spans="1:30" x14ac:dyDescent="0.35">
      <c r="A104" s="4" t="s">
        <v>484</v>
      </c>
      <c r="B104" s="17" t="s">
        <v>726</v>
      </c>
      <c r="C104" s="22">
        <v>1</v>
      </c>
      <c r="D104" s="23">
        <v>-2.8332087619933444</v>
      </c>
      <c r="E104" s="22">
        <v>1E-8</v>
      </c>
      <c r="F104" s="22">
        <v>1E-8</v>
      </c>
      <c r="G104" s="22">
        <v>1E-8</v>
      </c>
      <c r="H104" s="22">
        <v>1E-8</v>
      </c>
      <c r="I104" s="22">
        <v>1E-8</v>
      </c>
      <c r="J104" s="22">
        <v>1E-8</v>
      </c>
      <c r="K104" s="22">
        <v>1E-8</v>
      </c>
      <c r="L104" s="22">
        <v>1E-8</v>
      </c>
      <c r="M104" s="4"/>
      <c r="N104" s="34"/>
      <c r="O104" s="4"/>
      <c r="P104" s="68"/>
      <c r="Q104" s="68" t="s">
        <v>666</v>
      </c>
      <c r="R104" s="108" t="s">
        <v>11</v>
      </c>
      <c r="S104" s="108" t="s">
        <v>563</v>
      </c>
      <c r="T104" s="98">
        <v>1.470044897081621E-2</v>
      </c>
      <c r="U104" s="80">
        <v>-7.79014769426648</v>
      </c>
      <c r="V104" s="98">
        <v>1E-8</v>
      </c>
      <c r="W104" s="98">
        <v>1E-8</v>
      </c>
      <c r="X104" s="98">
        <v>1E-8</v>
      </c>
      <c r="Y104" s="98">
        <v>1E-8</v>
      </c>
      <c r="Z104" s="98">
        <v>1E-8</v>
      </c>
      <c r="AA104" s="98">
        <v>1E-8</v>
      </c>
      <c r="AB104" s="98">
        <v>1E-8</v>
      </c>
      <c r="AC104" s="98">
        <v>1E-8</v>
      </c>
      <c r="AD104" s="4"/>
    </row>
    <row r="105" spans="1:30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4"/>
      <c r="O105" s="4"/>
      <c r="P105" s="68"/>
      <c r="Q105" s="68" t="s">
        <v>667</v>
      </c>
      <c r="R105" s="108" t="s">
        <v>11</v>
      </c>
      <c r="S105" s="108" t="s">
        <v>564</v>
      </c>
      <c r="T105" s="98">
        <v>1.0653893521463855</v>
      </c>
      <c r="U105" s="80">
        <v>-2.6099468754286037</v>
      </c>
      <c r="V105" s="98">
        <v>1E-8</v>
      </c>
      <c r="W105" s="98">
        <v>1E-8</v>
      </c>
      <c r="X105" s="98">
        <v>1E-8</v>
      </c>
      <c r="Y105" s="98">
        <v>1E-8</v>
      </c>
      <c r="Z105" s="98">
        <v>1E-8</v>
      </c>
      <c r="AA105" s="98">
        <v>1E-8</v>
      </c>
      <c r="AB105" s="98">
        <v>1E-8</v>
      </c>
      <c r="AC105" s="98">
        <v>1E-8</v>
      </c>
      <c r="AD105" s="4"/>
    </row>
    <row r="106" spans="1:30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4"/>
      <c r="O106" s="4"/>
      <c r="P106" s="68"/>
      <c r="Q106" s="68" t="s">
        <v>668</v>
      </c>
      <c r="R106" s="108" t="s">
        <v>11</v>
      </c>
      <c r="S106" s="108" t="s">
        <v>565</v>
      </c>
      <c r="T106" s="98">
        <v>3.7293073749802783</v>
      </c>
      <c r="U106" s="80">
        <v>-2.5778344158547184</v>
      </c>
      <c r="V106" s="98">
        <v>1E-8</v>
      </c>
      <c r="W106" s="98">
        <v>1E-8</v>
      </c>
      <c r="X106" s="98">
        <v>1E-8</v>
      </c>
      <c r="Y106" s="98">
        <v>1E-8</v>
      </c>
      <c r="Z106" s="98">
        <v>1E-8</v>
      </c>
      <c r="AA106" s="98">
        <v>1E-8</v>
      </c>
      <c r="AB106" s="98">
        <v>1E-8</v>
      </c>
      <c r="AC106" s="98">
        <v>1E-8</v>
      </c>
      <c r="AD106" s="4"/>
    </row>
    <row r="107" spans="1:30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4"/>
      <c r="O107" s="4"/>
      <c r="P107" s="96"/>
      <c r="Q107" s="96" t="s">
        <v>371</v>
      </c>
      <c r="R107" s="107" t="s">
        <v>11</v>
      </c>
      <c r="S107" s="107" t="s">
        <v>566</v>
      </c>
      <c r="T107" s="97">
        <v>2.6377720384785484</v>
      </c>
      <c r="U107" s="78">
        <v>-0.86904689689946135</v>
      </c>
      <c r="V107" s="97">
        <v>1E-8</v>
      </c>
      <c r="W107" s="97">
        <v>1E-8</v>
      </c>
      <c r="X107" s="97">
        <v>1E-8</v>
      </c>
      <c r="Y107" s="97">
        <v>1E-8</v>
      </c>
      <c r="Z107" s="97">
        <v>1E-8</v>
      </c>
      <c r="AA107" s="97">
        <v>1E-8</v>
      </c>
      <c r="AB107" s="97">
        <v>1E-8</v>
      </c>
      <c r="AC107" s="97">
        <v>1E-8</v>
      </c>
      <c r="AD107" s="4"/>
    </row>
    <row r="108" spans="1:30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4"/>
      <c r="O108" s="4"/>
      <c r="P108" s="68"/>
      <c r="Q108" s="68" t="s">
        <v>669</v>
      </c>
      <c r="R108" s="108" t="s">
        <v>11</v>
      </c>
      <c r="S108" s="108" t="s">
        <v>567</v>
      </c>
      <c r="T108" s="98">
        <v>1.8098075508753124</v>
      </c>
      <c r="U108" s="80">
        <v>-1.5981237211862509</v>
      </c>
      <c r="V108" s="98">
        <v>1E-8</v>
      </c>
      <c r="W108" s="98">
        <v>1E-8</v>
      </c>
      <c r="X108" s="98">
        <v>1E-8</v>
      </c>
      <c r="Y108" s="98">
        <v>1E-8</v>
      </c>
      <c r="Z108" s="98">
        <v>1E-8</v>
      </c>
      <c r="AA108" s="98">
        <v>1E-8</v>
      </c>
      <c r="AB108" s="98">
        <v>1E-8</v>
      </c>
      <c r="AC108" s="98">
        <v>1E-8</v>
      </c>
      <c r="AD108" s="4"/>
    </row>
    <row r="109" spans="1:30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4"/>
      <c r="O109" s="4"/>
      <c r="P109" s="68"/>
      <c r="Q109" s="68" t="s">
        <v>670</v>
      </c>
      <c r="R109" s="108" t="s">
        <v>11</v>
      </c>
      <c r="S109" s="108" t="s">
        <v>568</v>
      </c>
      <c r="T109" s="98">
        <v>0.42536488262789884</v>
      </c>
      <c r="U109" s="80">
        <v>0.3113671742821511</v>
      </c>
      <c r="V109" s="98">
        <v>1E-8</v>
      </c>
      <c r="W109" s="98">
        <v>1E-8</v>
      </c>
      <c r="X109" s="98">
        <v>1E-8</v>
      </c>
      <c r="Y109" s="98">
        <v>1E-8</v>
      </c>
      <c r="Z109" s="98">
        <v>1E-8</v>
      </c>
      <c r="AA109" s="98">
        <v>1E-8</v>
      </c>
      <c r="AB109" s="98">
        <v>1E-8</v>
      </c>
      <c r="AC109" s="98">
        <v>1E-8</v>
      </c>
      <c r="AD109" s="4"/>
    </row>
    <row r="110" spans="1:30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4"/>
      <c r="O110" s="4"/>
      <c r="P110" s="68"/>
      <c r="Q110" s="68" t="s">
        <v>671</v>
      </c>
      <c r="R110" s="108" t="s">
        <v>11</v>
      </c>
      <c r="S110" s="108" t="s">
        <v>569</v>
      </c>
      <c r="T110" s="98">
        <v>0.3583656486488242</v>
      </c>
      <c r="U110" s="80">
        <v>0.91997408969728411</v>
      </c>
      <c r="V110" s="98">
        <v>1E-8</v>
      </c>
      <c r="W110" s="98">
        <v>1E-8</v>
      </c>
      <c r="X110" s="98">
        <v>1E-8</v>
      </c>
      <c r="Y110" s="98">
        <v>1E-8</v>
      </c>
      <c r="Z110" s="98">
        <v>1E-8</v>
      </c>
      <c r="AA110" s="98">
        <v>1E-8</v>
      </c>
      <c r="AB110" s="98">
        <v>1E-8</v>
      </c>
      <c r="AC110" s="98">
        <v>1E-8</v>
      </c>
      <c r="AD110" s="4"/>
    </row>
    <row r="111" spans="1:30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4"/>
      <c r="O111" s="4"/>
      <c r="P111" s="68"/>
      <c r="Q111" s="68" t="s">
        <v>672</v>
      </c>
      <c r="R111" s="108" t="s">
        <v>11</v>
      </c>
      <c r="S111" s="108" t="s">
        <v>570</v>
      </c>
      <c r="T111" s="98">
        <v>4.4233956326512634E-2</v>
      </c>
      <c r="U111" s="80">
        <v>3.1156381109883613</v>
      </c>
      <c r="V111" s="98">
        <v>1E-8</v>
      </c>
      <c r="W111" s="98">
        <v>1E-8</v>
      </c>
      <c r="X111" s="98">
        <v>1E-8</v>
      </c>
      <c r="Y111" s="98">
        <v>1E-8</v>
      </c>
      <c r="Z111" s="98">
        <v>1E-8</v>
      </c>
      <c r="AA111" s="98">
        <v>1E-8</v>
      </c>
      <c r="AB111" s="98">
        <v>1E-8</v>
      </c>
      <c r="AC111" s="98">
        <v>1E-8</v>
      </c>
      <c r="AD111" s="4"/>
    </row>
    <row r="112" spans="1:30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4"/>
      <c r="O112" s="4"/>
      <c r="P112" s="96"/>
      <c r="Q112" s="96" t="s">
        <v>673</v>
      </c>
      <c r="R112" s="107" t="s">
        <v>11</v>
      </c>
      <c r="S112" s="107" t="s">
        <v>355</v>
      </c>
      <c r="T112" s="97">
        <v>0.33863074246184988</v>
      </c>
      <c r="U112" s="78">
        <v>-1.5434744025609404</v>
      </c>
      <c r="V112" s="97">
        <v>1E-8</v>
      </c>
      <c r="W112" s="97">
        <v>1E-8</v>
      </c>
      <c r="X112" s="97">
        <v>1E-8</v>
      </c>
      <c r="Y112" s="97">
        <v>1E-8</v>
      </c>
      <c r="Z112" s="97">
        <v>1E-8</v>
      </c>
      <c r="AA112" s="97">
        <v>1E-8</v>
      </c>
      <c r="AB112" s="97">
        <v>1E-8</v>
      </c>
      <c r="AC112" s="97">
        <v>1E-8</v>
      </c>
      <c r="AD112" s="4"/>
    </row>
    <row r="113" spans="1:30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4"/>
      <c r="O113" s="4"/>
      <c r="P113" s="96"/>
      <c r="Q113" s="96" t="s">
        <v>372</v>
      </c>
      <c r="R113" s="107" t="s">
        <v>11</v>
      </c>
      <c r="S113" s="107" t="s">
        <v>571</v>
      </c>
      <c r="T113" s="97">
        <v>4.5753389583765978E-2</v>
      </c>
      <c r="U113" s="78">
        <v>-0.1231781512630703</v>
      </c>
      <c r="V113" s="97">
        <v>1E-8</v>
      </c>
      <c r="W113" s="97">
        <v>1E-8</v>
      </c>
      <c r="X113" s="97">
        <v>1E-8</v>
      </c>
      <c r="Y113" s="97">
        <v>1E-8</v>
      </c>
      <c r="Z113" s="97">
        <v>1E-8</v>
      </c>
      <c r="AA113" s="97">
        <v>1E-8</v>
      </c>
      <c r="AB113" s="97">
        <v>1E-8</v>
      </c>
      <c r="AC113" s="97">
        <v>1E-8</v>
      </c>
      <c r="AD113" s="4"/>
    </row>
    <row r="114" spans="1:30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4"/>
      <c r="O114" s="4"/>
      <c r="P114" s="68"/>
      <c r="Q114" s="68" t="s">
        <v>674</v>
      </c>
      <c r="R114" s="108" t="s">
        <v>11</v>
      </c>
      <c r="S114" s="108" t="s">
        <v>572</v>
      </c>
      <c r="T114" s="98">
        <v>7.0081394391756568E-3</v>
      </c>
      <c r="U114" s="80">
        <v>1.7485697722774418E-2</v>
      </c>
      <c r="V114" s="98">
        <v>1E-8</v>
      </c>
      <c r="W114" s="98">
        <v>1E-8</v>
      </c>
      <c r="X114" s="98">
        <v>1E-8</v>
      </c>
      <c r="Y114" s="98">
        <v>1E-8</v>
      </c>
      <c r="Z114" s="98">
        <v>1E-8</v>
      </c>
      <c r="AA114" s="98">
        <v>1E-8</v>
      </c>
      <c r="AB114" s="98">
        <v>1E-8</v>
      </c>
      <c r="AC114" s="98">
        <v>1E-8</v>
      </c>
      <c r="AD114" s="4"/>
    </row>
    <row r="115" spans="1:30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4"/>
      <c r="O115" s="4"/>
      <c r="P115" s="68"/>
      <c r="Q115" s="68" t="s">
        <v>675</v>
      </c>
      <c r="R115" s="108" t="s">
        <v>11</v>
      </c>
      <c r="S115" s="108" t="s">
        <v>356</v>
      </c>
      <c r="T115" s="98">
        <v>3.2867595743271645E-2</v>
      </c>
      <c r="U115" s="80">
        <v>-8.2253610941862565E-2</v>
      </c>
      <c r="V115" s="98">
        <v>1E-8</v>
      </c>
      <c r="W115" s="98">
        <v>1E-8</v>
      </c>
      <c r="X115" s="98">
        <v>1E-8</v>
      </c>
      <c r="Y115" s="98">
        <v>1E-8</v>
      </c>
      <c r="Z115" s="98">
        <v>1E-8</v>
      </c>
      <c r="AA115" s="98">
        <v>1E-8</v>
      </c>
      <c r="AB115" s="98">
        <v>1E-8</v>
      </c>
      <c r="AC115" s="98">
        <v>1E-8</v>
      </c>
      <c r="AD115" s="4"/>
    </row>
    <row r="116" spans="1:30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4"/>
      <c r="O116" s="4"/>
      <c r="P116" s="68"/>
      <c r="Q116" s="68" t="s">
        <v>676</v>
      </c>
      <c r="R116" s="109" t="s">
        <v>11</v>
      </c>
      <c r="S116" s="109" t="s">
        <v>573</v>
      </c>
      <c r="T116" s="81">
        <v>5.8776544013186775E-3</v>
      </c>
      <c r="U116" s="82">
        <v>-0.51974503931919713</v>
      </c>
      <c r="V116" s="81">
        <v>1E-8</v>
      </c>
      <c r="W116" s="81">
        <v>1E-8</v>
      </c>
      <c r="X116" s="81">
        <v>1E-8</v>
      </c>
      <c r="Y116" s="81">
        <v>1E-8</v>
      </c>
      <c r="Z116" s="81">
        <v>1E-8</v>
      </c>
      <c r="AA116" s="81">
        <v>1E-8</v>
      </c>
      <c r="AB116" s="81">
        <v>1E-8</v>
      </c>
      <c r="AC116" s="81">
        <v>1E-8</v>
      </c>
      <c r="AD116" s="4"/>
    </row>
    <row r="117" spans="1:30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4"/>
      <c r="O117" s="4"/>
      <c r="P117" s="96"/>
      <c r="Q117" s="96" t="s">
        <v>373</v>
      </c>
      <c r="R117" s="107" t="s">
        <v>11</v>
      </c>
      <c r="S117" s="107" t="s">
        <v>574</v>
      </c>
      <c r="T117" s="97">
        <v>3.0655962071577433E-2</v>
      </c>
      <c r="U117" s="78">
        <v>0.3170127194904504</v>
      </c>
      <c r="V117" s="97">
        <v>1E-8</v>
      </c>
      <c r="W117" s="97">
        <v>1E-8</v>
      </c>
      <c r="X117" s="97">
        <v>1E-8</v>
      </c>
      <c r="Y117" s="97">
        <v>1E-8</v>
      </c>
      <c r="Z117" s="97">
        <v>1E-8</v>
      </c>
      <c r="AA117" s="97">
        <v>1E-8</v>
      </c>
      <c r="AB117" s="97">
        <v>1E-8</v>
      </c>
      <c r="AC117" s="97">
        <v>1E-8</v>
      </c>
      <c r="AD117" s="4"/>
    </row>
    <row r="118" spans="1:30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4"/>
      <c r="O118" s="4"/>
      <c r="P118" s="68"/>
      <c r="Q118" s="68" t="s">
        <v>677</v>
      </c>
      <c r="R118" s="108" t="s">
        <v>11</v>
      </c>
      <c r="S118" s="108" t="s">
        <v>575</v>
      </c>
      <c r="T118" s="98">
        <v>9.6826812666277722E-3</v>
      </c>
      <c r="U118" s="80">
        <v>1.8019362954436957</v>
      </c>
      <c r="V118" s="98">
        <v>1E-8</v>
      </c>
      <c r="W118" s="98">
        <v>1E-8</v>
      </c>
      <c r="X118" s="98">
        <v>1E-8</v>
      </c>
      <c r="Y118" s="98">
        <v>1E-8</v>
      </c>
      <c r="Z118" s="98">
        <v>1E-8</v>
      </c>
      <c r="AA118" s="98">
        <v>1E-8</v>
      </c>
      <c r="AB118" s="98">
        <v>1E-8</v>
      </c>
      <c r="AC118" s="98">
        <v>1E-8</v>
      </c>
      <c r="AD118" s="4"/>
    </row>
    <row r="119" spans="1:30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4"/>
      <c r="O119" s="4"/>
      <c r="P119" s="68"/>
      <c r="Q119" s="68" t="s">
        <v>678</v>
      </c>
      <c r="R119" s="108" t="s">
        <v>11</v>
      </c>
      <c r="S119" s="108" t="s">
        <v>576</v>
      </c>
      <c r="T119" s="98">
        <v>4.2743448304948459E-3</v>
      </c>
      <c r="U119" s="80">
        <v>-0.35147784602042043</v>
      </c>
      <c r="V119" s="98">
        <v>1E-8</v>
      </c>
      <c r="W119" s="98">
        <v>1E-8</v>
      </c>
      <c r="X119" s="98">
        <v>1E-8</v>
      </c>
      <c r="Y119" s="98">
        <v>1E-8</v>
      </c>
      <c r="Z119" s="98">
        <v>1E-8</v>
      </c>
      <c r="AA119" s="98">
        <v>1E-8</v>
      </c>
      <c r="AB119" s="98">
        <v>1E-8</v>
      </c>
      <c r="AC119" s="98">
        <v>1E-8</v>
      </c>
      <c r="AD119" s="4"/>
    </row>
    <row r="120" spans="1:30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4"/>
      <c r="O120" s="4"/>
      <c r="P120" s="68"/>
      <c r="Q120" s="68" t="s">
        <v>679</v>
      </c>
      <c r="R120" s="108" t="s">
        <v>11</v>
      </c>
      <c r="S120" s="108" t="s">
        <v>577</v>
      </c>
      <c r="T120" s="98">
        <v>1.6698935974454814E-2</v>
      </c>
      <c r="U120" s="80">
        <v>-0.37289246464548009</v>
      </c>
      <c r="V120" s="98">
        <v>1E-8</v>
      </c>
      <c r="W120" s="98">
        <v>1E-8</v>
      </c>
      <c r="X120" s="98">
        <v>1E-8</v>
      </c>
      <c r="Y120" s="98">
        <v>1E-8</v>
      </c>
      <c r="Z120" s="98">
        <v>1E-8</v>
      </c>
      <c r="AA120" s="98">
        <v>1E-8</v>
      </c>
      <c r="AB120" s="98">
        <v>1E-8</v>
      </c>
      <c r="AC120" s="98">
        <v>1E-8</v>
      </c>
      <c r="AD120" s="4"/>
    </row>
    <row r="121" spans="1:30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4"/>
      <c r="O121" s="4"/>
      <c r="P121" s="96"/>
      <c r="Q121" s="96" t="s">
        <v>195</v>
      </c>
      <c r="R121" s="107" t="s">
        <v>11</v>
      </c>
      <c r="S121" s="107" t="s">
        <v>578</v>
      </c>
      <c r="T121" s="97">
        <v>1E-8</v>
      </c>
      <c r="U121" s="78">
        <v>1E-8</v>
      </c>
      <c r="V121" s="97">
        <v>1E-8</v>
      </c>
      <c r="W121" s="97">
        <v>1E-8</v>
      </c>
      <c r="X121" s="97">
        <v>1E-8</v>
      </c>
      <c r="Y121" s="97">
        <v>1E-8</v>
      </c>
      <c r="Z121" s="97">
        <v>1E-8</v>
      </c>
      <c r="AA121" s="97">
        <v>1E-8</v>
      </c>
      <c r="AB121" s="97">
        <v>1E-8</v>
      </c>
      <c r="AC121" s="97">
        <v>1E-8</v>
      </c>
      <c r="AD121" s="4"/>
    </row>
    <row r="122" spans="1:30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4"/>
      <c r="O122" s="4"/>
      <c r="P122" s="68"/>
      <c r="Q122" s="68" t="s">
        <v>680</v>
      </c>
      <c r="R122" s="108" t="s">
        <v>11</v>
      </c>
      <c r="S122" s="108" t="s">
        <v>579</v>
      </c>
      <c r="T122" s="98">
        <v>1E-8</v>
      </c>
      <c r="U122" s="80">
        <v>1E-8</v>
      </c>
      <c r="V122" s="98">
        <v>1E-8</v>
      </c>
      <c r="W122" s="98">
        <v>1E-8</v>
      </c>
      <c r="X122" s="98">
        <v>1E-8</v>
      </c>
      <c r="Y122" s="98">
        <v>1E-8</v>
      </c>
      <c r="Z122" s="98">
        <v>1E-8</v>
      </c>
      <c r="AA122" s="98">
        <v>1E-8</v>
      </c>
      <c r="AB122" s="98">
        <v>1E-8</v>
      </c>
      <c r="AC122" s="98">
        <v>1E-8</v>
      </c>
      <c r="AD122" s="4"/>
    </row>
    <row r="123" spans="1:30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4"/>
      <c r="O123" s="4"/>
      <c r="P123" s="68"/>
      <c r="Q123" s="68" t="s">
        <v>681</v>
      </c>
      <c r="R123" s="108" t="s">
        <v>11</v>
      </c>
      <c r="S123" s="108" t="s">
        <v>357</v>
      </c>
      <c r="T123" s="98">
        <v>1E-8</v>
      </c>
      <c r="U123" s="80">
        <v>1E-8</v>
      </c>
      <c r="V123" s="98">
        <v>1E-8</v>
      </c>
      <c r="W123" s="98">
        <v>1E-8</v>
      </c>
      <c r="X123" s="98">
        <v>1E-8</v>
      </c>
      <c r="Y123" s="98">
        <v>1E-8</v>
      </c>
      <c r="Z123" s="98">
        <v>1E-8</v>
      </c>
      <c r="AA123" s="98">
        <v>1E-8</v>
      </c>
      <c r="AB123" s="98">
        <v>1E-8</v>
      </c>
      <c r="AC123" s="98">
        <v>1E-8</v>
      </c>
      <c r="AD123" s="4"/>
    </row>
    <row r="124" spans="1:30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4"/>
      <c r="O124" s="4"/>
      <c r="P124" s="96"/>
      <c r="Q124" s="96" t="s">
        <v>196</v>
      </c>
      <c r="R124" s="107" t="s">
        <v>11</v>
      </c>
      <c r="S124" s="107" t="s">
        <v>580</v>
      </c>
      <c r="T124" s="97">
        <v>1.5928361379912457</v>
      </c>
      <c r="U124" s="78">
        <v>0.94839766423611138</v>
      </c>
      <c r="V124" s="97">
        <v>1E-8</v>
      </c>
      <c r="W124" s="97">
        <v>1E-8</v>
      </c>
      <c r="X124" s="97">
        <v>1E-8</v>
      </c>
      <c r="Y124" s="97">
        <v>1E-8</v>
      </c>
      <c r="Z124" s="97">
        <v>1E-8</v>
      </c>
      <c r="AA124" s="97">
        <v>1E-8</v>
      </c>
      <c r="AB124" s="97">
        <v>1E-8</v>
      </c>
      <c r="AC124" s="97">
        <v>1E-8</v>
      </c>
      <c r="AD124" s="4"/>
    </row>
    <row r="125" spans="1:30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4"/>
      <c r="O125" s="4"/>
      <c r="P125" s="68"/>
      <c r="Q125" s="68" t="s">
        <v>682</v>
      </c>
      <c r="R125" s="108" t="s">
        <v>11</v>
      </c>
      <c r="S125" s="108" t="s">
        <v>581</v>
      </c>
      <c r="T125" s="98">
        <v>4.2175155922669308E-2</v>
      </c>
      <c r="U125" s="80">
        <v>-2.2321595147986151</v>
      </c>
      <c r="V125" s="98">
        <v>1E-8</v>
      </c>
      <c r="W125" s="98">
        <v>1E-8</v>
      </c>
      <c r="X125" s="98">
        <v>1E-8</v>
      </c>
      <c r="Y125" s="98">
        <v>1E-8</v>
      </c>
      <c r="Z125" s="98">
        <v>1E-8</v>
      </c>
      <c r="AA125" s="98">
        <v>1E-8</v>
      </c>
      <c r="AB125" s="98">
        <v>1E-8</v>
      </c>
      <c r="AC125" s="98">
        <v>1E-8</v>
      </c>
      <c r="AD125" s="4"/>
    </row>
    <row r="126" spans="1:30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4"/>
      <c r="O126" s="4"/>
      <c r="P126" s="68"/>
      <c r="Q126" s="68" t="s">
        <v>683</v>
      </c>
      <c r="R126" s="108" t="s">
        <v>11</v>
      </c>
      <c r="S126" s="108" t="s">
        <v>582</v>
      </c>
      <c r="T126" s="98">
        <v>1.2986145888505067E-2</v>
      </c>
      <c r="U126" s="80">
        <v>0.24533907684471945</v>
      </c>
      <c r="V126" s="98">
        <v>1E-8</v>
      </c>
      <c r="W126" s="98">
        <v>1E-8</v>
      </c>
      <c r="X126" s="98">
        <v>1E-8</v>
      </c>
      <c r="Y126" s="98">
        <v>1E-8</v>
      </c>
      <c r="Z126" s="98">
        <v>1E-8</v>
      </c>
      <c r="AA126" s="98">
        <v>1E-8</v>
      </c>
      <c r="AB126" s="98">
        <v>1E-8</v>
      </c>
      <c r="AC126" s="98">
        <v>1E-8</v>
      </c>
      <c r="AD126" s="4"/>
    </row>
    <row r="127" spans="1:30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4"/>
      <c r="O127" s="4"/>
      <c r="P127" s="68"/>
      <c r="Q127" s="68" t="s">
        <v>684</v>
      </c>
      <c r="R127" s="108" t="s">
        <v>11</v>
      </c>
      <c r="S127" s="108" t="s">
        <v>583</v>
      </c>
      <c r="T127" s="98">
        <v>0.15175588479224333</v>
      </c>
      <c r="U127" s="80">
        <v>1.9637616227079269</v>
      </c>
      <c r="V127" s="98">
        <v>1E-8</v>
      </c>
      <c r="W127" s="98">
        <v>1E-8</v>
      </c>
      <c r="X127" s="98">
        <v>1E-8</v>
      </c>
      <c r="Y127" s="98">
        <v>1E-8</v>
      </c>
      <c r="Z127" s="98">
        <v>1E-8</v>
      </c>
      <c r="AA127" s="98">
        <v>1E-8</v>
      </c>
      <c r="AB127" s="98">
        <v>1E-8</v>
      </c>
      <c r="AC127" s="98">
        <v>1E-8</v>
      </c>
      <c r="AD127" s="4"/>
    </row>
    <row r="128" spans="1:30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4"/>
      <c r="O128" s="4"/>
      <c r="P128" s="68"/>
      <c r="Q128" s="68" t="s">
        <v>685</v>
      </c>
      <c r="R128" s="108" t="s">
        <v>11</v>
      </c>
      <c r="S128" s="108" t="s">
        <v>584</v>
      </c>
      <c r="T128" s="98">
        <v>1.8192571259723365E-2</v>
      </c>
      <c r="U128" s="80">
        <v>-1.2657527807849123</v>
      </c>
      <c r="V128" s="98">
        <v>1E-8</v>
      </c>
      <c r="W128" s="98">
        <v>1E-8</v>
      </c>
      <c r="X128" s="98">
        <v>1E-8</v>
      </c>
      <c r="Y128" s="98">
        <v>1E-8</v>
      </c>
      <c r="Z128" s="98">
        <v>1E-8</v>
      </c>
      <c r="AA128" s="98">
        <v>1E-8</v>
      </c>
      <c r="AB128" s="98">
        <v>1E-8</v>
      </c>
      <c r="AC128" s="98">
        <v>1E-8</v>
      </c>
      <c r="AD128" s="4"/>
    </row>
    <row r="129" spans="1:30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4"/>
      <c r="O129" s="4"/>
      <c r="P129" s="68"/>
      <c r="Q129" s="68" t="s">
        <v>686</v>
      </c>
      <c r="R129" s="109" t="s">
        <v>11</v>
      </c>
      <c r="S129" s="109" t="s">
        <v>585</v>
      </c>
      <c r="T129" s="81">
        <v>1.3677263801281045</v>
      </c>
      <c r="U129" s="82">
        <v>0.96994009450990237</v>
      </c>
      <c r="V129" s="81">
        <v>1E-8</v>
      </c>
      <c r="W129" s="81">
        <v>1E-8</v>
      </c>
      <c r="X129" s="81">
        <v>1E-8</v>
      </c>
      <c r="Y129" s="81">
        <v>1E-8</v>
      </c>
      <c r="Z129" s="81">
        <v>1E-8</v>
      </c>
      <c r="AA129" s="81">
        <v>1E-8</v>
      </c>
      <c r="AB129" s="81">
        <v>1E-8</v>
      </c>
      <c r="AC129" s="81">
        <v>1E-8</v>
      </c>
      <c r="AD129" s="4"/>
    </row>
    <row r="130" spans="1:30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4"/>
      <c r="O130" s="4"/>
      <c r="P130" s="96"/>
      <c r="Q130" s="96" t="s">
        <v>687</v>
      </c>
      <c r="R130" s="107" t="s">
        <v>11</v>
      </c>
      <c r="S130" s="107" t="s">
        <v>358</v>
      </c>
      <c r="T130" s="97">
        <v>1.5061254748886099</v>
      </c>
      <c r="U130" s="78">
        <v>-9.4574096940136521E-2</v>
      </c>
      <c r="V130" s="97">
        <v>1E-8</v>
      </c>
      <c r="W130" s="97">
        <v>1E-8</v>
      </c>
      <c r="X130" s="97">
        <v>1E-8</v>
      </c>
      <c r="Y130" s="97">
        <v>1E-8</v>
      </c>
      <c r="Z130" s="97">
        <v>1E-8</v>
      </c>
      <c r="AA130" s="97">
        <v>1E-8</v>
      </c>
      <c r="AB130" s="97">
        <v>1E-8</v>
      </c>
      <c r="AC130" s="97">
        <v>1E-8</v>
      </c>
      <c r="AD130" s="4"/>
    </row>
    <row r="131" spans="1:30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4"/>
      <c r="O131" s="4"/>
      <c r="P131" s="96"/>
      <c r="Q131" s="96" t="s">
        <v>688</v>
      </c>
      <c r="R131" s="107" t="s">
        <v>11</v>
      </c>
      <c r="S131" s="107" t="s">
        <v>359</v>
      </c>
      <c r="T131" s="97">
        <v>0.23771481273343575</v>
      </c>
      <c r="U131" s="78">
        <v>-0.81551124256716845</v>
      </c>
      <c r="V131" s="97">
        <v>1E-8</v>
      </c>
      <c r="W131" s="97">
        <v>1E-8</v>
      </c>
      <c r="X131" s="97">
        <v>1E-8</v>
      </c>
      <c r="Y131" s="97">
        <v>1E-8</v>
      </c>
      <c r="Z131" s="97">
        <v>1E-8</v>
      </c>
      <c r="AA131" s="97">
        <v>1E-8</v>
      </c>
      <c r="AB131" s="97">
        <v>1E-8</v>
      </c>
      <c r="AC131" s="97">
        <v>1E-8</v>
      </c>
      <c r="AD131" s="4"/>
    </row>
    <row r="132" spans="1:30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4"/>
      <c r="O132" s="4"/>
      <c r="P132" s="96"/>
      <c r="Q132" s="96" t="s">
        <v>689</v>
      </c>
      <c r="R132" s="107" t="s">
        <v>11</v>
      </c>
      <c r="S132" s="107" t="s">
        <v>360</v>
      </c>
      <c r="T132" s="97">
        <v>0.10746028014421374</v>
      </c>
      <c r="U132" s="78">
        <v>-2.2135927739310279</v>
      </c>
      <c r="V132" s="97">
        <v>1E-8</v>
      </c>
      <c r="W132" s="97">
        <v>1E-8</v>
      </c>
      <c r="X132" s="97">
        <v>1E-8</v>
      </c>
      <c r="Y132" s="97">
        <v>1E-8</v>
      </c>
      <c r="Z132" s="97">
        <v>1E-8</v>
      </c>
      <c r="AA132" s="97">
        <v>1E-8</v>
      </c>
      <c r="AB132" s="97">
        <v>1E-8</v>
      </c>
      <c r="AC132" s="97">
        <v>1E-8</v>
      </c>
      <c r="AD132" s="4"/>
    </row>
    <row r="133" spans="1:30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4"/>
      <c r="O133" s="4"/>
      <c r="P133" s="96"/>
      <c r="Q133" s="96" t="s">
        <v>205</v>
      </c>
      <c r="R133" s="107" t="s">
        <v>11</v>
      </c>
      <c r="S133" s="107" t="s">
        <v>586</v>
      </c>
      <c r="T133" s="97">
        <v>1.7043491227140712</v>
      </c>
      <c r="U133" s="78">
        <v>-0.6750526254788447</v>
      </c>
      <c r="V133" s="97">
        <v>1E-8</v>
      </c>
      <c r="W133" s="97">
        <v>1E-8</v>
      </c>
      <c r="X133" s="97">
        <v>1E-8</v>
      </c>
      <c r="Y133" s="97">
        <v>1E-8</v>
      </c>
      <c r="Z133" s="97">
        <v>1E-8</v>
      </c>
      <c r="AA133" s="97">
        <v>1E-8</v>
      </c>
      <c r="AB133" s="97">
        <v>1E-8</v>
      </c>
      <c r="AC133" s="97">
        <v>1E-8</v>
      </c>
      <c r="AD133" s="4"/>
    </row>
    <row r="134" spans="1:30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4"/>
      <c r="O134" s="4"/>
      <c r="P134" s="68"/>
      <c r="Q134" s="68" t="s">
        <v>690</v>
      </c>
      <c r="R134" s="108" t="s">
        <v>11</v>
      </c>
      <c r="S134" s="108" t="s">
        <v>587</v>
      </c>
      <c r="T134" s="98">
        <v>2.5138370877260279E-3</v>
      </c>
      <c r="U134" s="80">
        <v>-0.54978110458355767</v>
      </c>
      <c r="V134" s="98">
        <v>1E-8</v>
      </c>
      <c r="W134" s="98">
        <v>1E-8</v>
      </c>
      <c r="X134" s="98">
        <v>1E-8</v>
      </c>
      <c r="Y134" s="98">
        <v>1E-8</v>
      </c>
      <c r="Z134" s="98">
        <v>1E-8</v>
      </c>
      <c r="AA134" s="98">
        <v>1E-8</v>
      </c>
      <c r="AB134" s="98">
        <v>1E-8</v>
      </c>
      <c r="AC134" s="98">
        <v>1E-8</v>
      </c>
      <c r="AD134" s="4"/>
    </row>
    <row r="135" spans="1:30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4"/>
      <c r="O135" s="4"/>
      <c r="P135" s="68"/>
      <c r="Q135" s="68" t="s">
        <v>691</v>
      </c>
      <c r="R135" s="108" t="s">
        <v>11</v>
      </c>
      <c r="S135" s="108" t="s">
        <v>588</v>
      </c>
      <c r="T135" s="98">
        <v>5.5379169844889505E-2</v>
      </c>
      <c r="U135" s="80">
        <v>-2.2301560056814385E-2</v>
      </c>
      <c r="V135" s="98">
        <v>1E-8</v>
      </c>
      <c r="W135" s="98">
        <v>1E-8</v>
      </c>
      <c r="X135" s="98">
        <v>1E-8</v>
      </c>
      <c r="Y135" s="98">
        <v>1E-8</v>
      </c>
      <c r="Z135" s="98">
        <v>1E-8</v>
      </c>
      <c r="AA135" s="98">
        <v>1E-8</v>
      </c>
      <c r="AB135" s="98">
        <v>1E-8</v>
      </c>
      <c r="AC135" s="98">
        <v>1E-8</v>
      </c>
      <c r="AD135" s="4"/>
    </row>
    <row r="136" spans="1:30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4"/>
      <c r="O136" s="4"/>
      <c r="P136" s="68"/>
      <c r="Q136" s="68" t="s">
        <v>692</v>
      </c>
      <c r="R136" s="108" t="s">
        <v>11</v>
      </c>
      <c r="S136" s="108" t="s">
        <v>589</v>
      </c>
      <c r="T136" s="98">
        <v>9.9839040171856575E-3</v>
      </c>
      <c r="U136" s="80">
        <v>1.5677497051151956</v>
      </c>
      <c r="V136" s="98">
        <v>1E-8</v>
      </c>
      <c r="W136" s="98">
        <v>1E-8</v>
      </c>
      <c r="X136" s="98">
        <v>1E-8</v>
      </c>
      <c r="Y136" s="98">
        <v>1E-8</v>
      </c>
      <c r="Z136" s="98">
        <v>1E-8</v>
      </c>
      <c r="AA136" s="98">
        <v>1E-8</v>
      </c>
      <c r="AB136" s="98">
        <v>1E-8</v>
      </c>
      <c r="AC136" s="98">
        <v>1E-8</v>
      </c>
      <c r="AD136" s="4"/>
    </row>
    <row r="137" spans="1:30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4"/>
      <c r="O137" s="4"/>
      <c r="P137" s="68"/>
      <c r="Q137" s="68" t="s">
        <v>693</v>
      </c>
      <c r="R137" s="108" t="s">
        <v>11</v>
      </c>
      <c r="S137" s="108" t="s">
        <v>361</v>
      </c>
      <c r="T137" s="98">
        <v>1.3035019026410588</v>
      </c>
      <c r="U137" s="80">
        <v>-0.89861375353860184</v>
      </c>
      <c r="V137" s="98">
        <v>1E-8</v>
      </c>
      <c r="W137" s="98">
        <v>1E-8</v>
      </c>
      <c r="X137" s="98">
        <v>1E-8</v>
      </c>
      <c r="Y137" s="98">
        <v>1E-8</v>
      </c>
      <c r="Z137" s="98">
        <v>1E-8</v>
      </c>
      <c r="AA137" s="98">
        <v>1E-8</v>
      </c>
      <c r="AB137" s="98">
        <v>1E-8</v>
      </c>
      <c r="AC137" s="98">
        <v>1E-8</v>
      </c>
      <c r="AD137" s="4"/>
    </row>
    <row r="138" spans="1:30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4"/>
      <c r="O138" s="4"/>
      <c r="P138" s="68"/>
      <c r="Q138" s="68" t="s">
        <v>694</v>
      </c>
      <c r="R138" s="108" t="s">
        <v>11</v>
      </c>
      <c r="S138" s="108" t="s">
        <v>590</v>
      </c>
      <c r="T138" s="98">
        <v>0.33297030912321129</v>
      </c>
      <c r="U138" s="80">
        <v>2.3378141165064648E-2</v>
      </c>
      <c r="V138" s="98">
        <v>1E-8</v>
      </c>
      <c r="W138" s="98">
        <v>1E-8</v>
      </c>
      <c r="X138" s="98">
        <v>1E-8</v>
      </c>
      <c r="Y138" s="98">
        <v>1E-8</v>
      </c>
      <c r="Z138" s="98">
        <v>1E-8</v>
      </c>
      <c r="AA138" s="98">
        <v>1E-8</v>
      </c>
      <c r="AB138" s="98">
        <v>1E-8</v>
      </c>
      <c r="AC138" s="98">
        <v>1E-8</v>
      </c>
      <c r="AD138" s="4"/>
    </row>
    <row r="139" spans="1:30" ht="15" thickBo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4"/>
      <c r="O139" s="4"/>
      <c r="P139" s="102"/>
      <c r="Q139" s="102" t="s">
        <v>695</v>
      </c>
      <c r="R139" s="113" t="s">
        <v>11</v>
      </c>
      <c r="S139" s="113" t="s">
        <v>591</v>
      </c>
      <c r="T139" s="103">
        <v>1E-8</v>
      </c>
      <c r="U139" s="104">
        <v>1E-8</v>
      </c>
      <c r="V139" s="103">
        <v>1E-8</v>
      </c>
      <c r="W139" s="103">
        <v>1E-8</v>
      </c>
      <c r="X139" s="103">
        <v>1E-8</v>
      </c>
      <c r="Y139" s="103">
        <v>1E-8</v>
      </c>
      <c r="Z139" s="103">
        <v>1E-8</v>
      </c>
      <c r="AA139" s="103">
        <v>1E-8</v>
      </c>
      <c r="AB139" s="103">
        <v>1E-8</v>
      </c>
      <c r="AC139" s="103">
        <v>1E-8</v>
      </c>
      <c r="AD139" s="4"/>
    </row>
    <row r="140" spans="1:30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4"/>
      <c r="O140" s="4"/>
      <c r="P140" s="47" t="s">
        <v>478</v>
      </c>
      <c r="Q140" s="47" t="s">
        <v>102</v>
      </c>
      <c r="R140" s="105" t="s">
        <v>19</v>
      </c>
      <c r="S140" s="105" t="s">
        <v>288</v>
      </c>
      <c r="T140" s="95">
        <v>100</v>
      </c>
      <c r="U140" s="74">
        <v>1E-8</v>
      </c>
      <c r="V140" s="95">
        <v>1E-8</v>
      </c>
      <c r="W140" s="95">
        <v>1E-8</v>
      </c>
      <c r="X140" s="95">
        <v>1E-8</v>
      </c>
      <c r="Y140" s="95">
        <v>1E-8</v>
      </c>
      <c r="Z140" s="95">
        <v>1E-8</v>
      </c>
      <c r="AA140" s="95">
        <v>1E-8</v>
      </c>
      <c r="AB140" s="95">
        <v>1E-8</v>
      </c>
      <c r="AC140" s="95">
        <v>1E-8</v>
      </c>
      <c r="AD140" s="4"/>
    </row>
    <row r="141" spans="1:30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4"/>
      <c r="O141" s="4"/>
      <c r="P141" s="47" t="s">
        <v>475</v>
      </c>
      <c r="Q141" s="47" t="s">
        <v>278</v>
      </c>
      <c r="R141" s="106" t="s">
        <v>19</v>
      </c>
      <c r="S141" s="106" t="s">
        <v>289</v>
      </c>
      <c r="T141" s="75">
        <v>55.424010218076383</v>
      </c>
      <c r="U141" s="76">
        <v>0.20848006992513213</v>
      </c>
      <c r="V141" s="75">
        <v>1E-8</v>
      </c>
      <c r="W141" s="75">
        <v>1E-8</v>
      </c>
      <c r="X141" s="75">
        <v>1E-8</v>
      </c>
      <c r="Y141" s="75">
        <v>1E-8</v>
      </c>
      <c r="Z141" s="75">
        <v>1E-8</v>
      </c>
      <c r="AA141" s="75">
        <v>1E-8</v>
      </c>
      <c r="AB141" s="75">
        <v>1E-8</v>
      </c>
      <c r="AC141" s="75">
        <v>1E-8</v>
      </c>
      <c r="AD141" s="4"/>
    </row>
    <row r="142" spans="1:30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4"/>
      <c r="O142" s="4"/>
      <c r="P142" s="96"/>
      <c r="Q142" s="96" t="s">
        <v>279</v>
      </c>
      <c r="R142" s="107" t="s">
        <v>19</v>
      </c>
      <c r="S142" s="107" t="s">
        <v>290</v>
      </c>
      <c r="T142" s="97">
        <v>36.359755323049406</v>
      </c>
      <c r="U142" s="78">
        <v>0.61858014542306439</v>
      </c>
      <c r="V142" s="97">
        <v>1E-8</v>
      </c>
      <c r="W142" s="97">
        <v>1E-8</v>
      </c>
      <c r="X142" s="97">
        <v>1E-8</v>
      </c>
      <c r="Y142" s="97">
        <v>1E-8</v>
      </c>
      <c r="Z142" s="97">
        <v>1E-8</v>
      </c>
      <c r="AA142" s="97">
        <v>1E-8</v>
      </c>
      <c r="AB142" s="97">
        <v>1E-8</v>
      </c>
      <c r="AC142" s="97">
        <v>1E-8</v>
      </c>
      <c r="AD142" s="4"/>
    </row>
    <row r="143" spans="1:30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4"/>
      <c r="O143" s="4"/>
      <c r="P143" s="96"/>
      <c r="Q143" s="96" t="s">
        <v>362</v>
      </c>
      <c r="R143" s="107" t="s">
        <v>19</v>
      </c>
      <c r="S143" s="107" t="s">
        <v>291</v>
      </c>
      <c r="T143" s="97">
        <v>31.032374346291274</v>
      </c>
      <c r="U143" s="78">
        <v>-0.81920145284445356</v>
      </c>
      <c r="V143" s="97">
        <v>1E-8</v>
      </c>
      <c r="W143" s="97">
        <v>1E-8</v>
      </c>
      <c r="X143" s="97">
        <v>1E-8</v>
      </c>
      <c r="Y143" s="97">
        <v>1E-8</v>
      </c>
      <c r="Z143" s="97">
        <v>1E-8</v>
      </c>
      <c r="AA143" s="97">
        <v>1E-8</v>
      </c>
      <c r="AB143" s="97">
        <v>1E-8</v>
      </c>
      <c r="AC143" s="97">
        <v>1E-8</v>
      </c>
      <c r="AD143" s="4"/>
    </row>
    <row r="144" spans="1:30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4"/>
      <c r="O144" s="4"/>
      <c r="P144" s="96"/>
      <c r="Q144" s="96" t="s">
        <v>363</v>
      </c>
      <c r="R144" s="107" t="s">
        <v>19</v>
      </c>
      <c r="S144" s="107" t="s">
        <v>292</v>
      </c>
      <c r="T144" s="97">
        <v>5.327380976758131</v>
      </c>
      <c r="U144" s="78">
        <v>8.993760554014262</v>
      </c>
      <c r="V144" s="97">
        <v>1E-8</v>
      </c>
      <c r="W144" s="97">
        <v>1E-8</v>
      </c>
      <c r="X144" s="97">
        <v>1E-8</v>
      </c>
      <c r="Y144" s="97">
        <v>1E-8</v>
      </c>
      <c r="Z144" s="97">
        <v>1E-8</v>
      </c>
      <c r="AA144" s="97">
        <v>1E-8</v>
      </c>
      <c r="AB144" s="97">
        <v>1E-8</v>
      </c>
      <c r="AC144" s="97">
        <v>1E-8</v>
      </c>
      <c r="AD144" s="4"/>
    </row>
    <row r="145" spans="1:30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4"/>
      <c r="O145" s="4"/>
      <c r="P145" s="68"/>
      <c r="Q145" s="68" t="s">
        <v>592</v>
      </c>
      <c r="R145" s="108" t="s">
        <v>19</v>
      </c>
      <c r="S145" s="108" t="s">
        <v>294</v>
      </c>
      <c r="T145" s="98">
        <v>0.85520433372813975</v>
      </c>
      <c r="U145" s="80">
        <v>0.52194072975522143</v>
      </c>
      <c r="V145" s="98">
        <v>1E-8</v>
      </c>
      <c r="W145" s="98">
        <v>1E-8</v>
      </c>
      <c r="X145" s="98">
        <v>1E-8</v>
      </c>
      <c r="Y145" s="98">
        <v>1E-8</v>
      </c>
      <c r="Z145" s="98">
        <v>1E-8</v>
      </c>
      <c r="AA145" s="98">
        <v>1E-8</v>
      </c>
      <c r="AB145" s="98">
        <v>1E-8</v>
      </c>
      <c r="AC145" s="98">
        <v>1E-8</v>
      </c>
      <c r="AD145" s="4"/>
    </row>
    <row r="146" spans="1:30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4"/>
      <c r="O146" s="4"/>
      <c r="P146" s="68"/>
      <c r="Q146" s="68" t="s">
        <v>593</v>
      </c>
      <c r="R146" s="108" t="s">
        <v>19</v>
      </c>
      <c r="S146" s="108" t="s">
        <v>293</v>
      </c>
      <c r="T146" s="98">
        <v>1.9938049344485911</v>
      </c>
      <c r="U146" s="80">
        <v>1.4629893616229905</v>
      </c>
      <c r="V146" s="98">
        <v>1E-8</v>
      </c>
      <c r="W146" s="98">
        <v>1E-8</v>
      </c>
      <c r="X146" s="98">
        <v>1E-8</v>
      </c>
      <c r="Y146" s="98">
        <v>1E-8</v>
      </c>
      <c r="Z146" s="98">
        <v>1E-8</v>
      </c>
      <c r="AA146" s="98">
        <v>1E-8</v>
      </c>
      <c r="AB146" s="98">
        <v>1E-8</v>
      </c>
      <c r="AC146" s="98">
        <v>1E-8</v>
      </c>
      <c r="AD146" s="4"/>
    </row>
    <row r="147" spans="1:30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4"/>
      <c r="O147" s="4"/>
      <c r="P147" s="68"/>
      <c r="Q147" s="68" t="s">
        <v>594</v>
      </c>
      <c r="R147" s="108" t="s">
        <v>19</v>
      </c>
      <c r="S147" s="108" t="s">
        <v>296</v>
      </c>
      <c r="T147" s="98">
        <v>7.0520437174348374E-2</v>
      </c>
      <c r="U147" s="80">
        <v>2.5119215505401193</v>
      </c>
      <c r="V147" s="98">
        <v>1E-8</v>
      </c>
      <c r="W147" s="98">
        <v>1E-8</v>
      </c>
      <c r="X147" s="98">
        <v>1E-8</v>
      </c>
      <c r="Y147" s="98">
        <v>1E-8</v>
      </c>
      <c r="Z147" s="98">
        <v>1E-8</v>
      </c>
      <c r="AA147" s="98">
        <v>1E-8</v>
      </c>
      <c r="AB147" s="98">
        <v>1E-8</v>
      </c>
      <c r="AC147" s="98">
        <v>1E-8</v>
      </c>
      <c r="AD147" s="4"/>
    </row>
    <row r="148" spans="1:30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4"/>
      <c r="O148" s="4"/>
      <c r="P148" s="68"/>
      <c r="Q148" s="68" t="s">
        <v>595</v>
      </c>
      <c r="R148" s="108" t="s">
        <v>19</v>
      </c>
      <c r="S148" s="108" t="s">
        <v>295</v>
      </c>
      <c r="T148" s="98">
        <v>1.2361096022967235</v>
      </c>
      <c r="U148" s="80">
        <v>-0.13928903023353589</v>
      </c>
      <c r="V148" s="98">
        <v>1E-8</v>
      </c>
      <c r="W148" s="98">
        <v>1E-8</v>
      </c>
      <c r="X148" s="98">
        <v>1E-8</v>
      </c>
      <c r="Y148" s="98">
        <v>1E-8</v>
      </c>
      <c r="Z148" s="98">
        <v>1E-8</v>
      </c>
      <c r="AA148" s="98">
        <v>1E-8</v>
      </c>
      <c r="AB148" s="98">
        <v>1E-8</v>
      </c>
      <c r="AC148" s="98">
        <v>1E-8</v>
      </c>
      <c r="AD148" s="4"/>
    </row>
    <row r="149" spans="1:30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4"/>
      <c r="O149" s="4"/>
      <c r="P149" s="68"/>
      <c r="Q149" s="68" t="s">
        <v>596</v>
      </c>
      <c r="R149" s="108" t="s">
        <v>19</v>
      </c>
      <c r="S149" s="108" t="s">
        <v>297</v>
      </c>
      <c r="T149" s="98">
        <v>5.9588061470464294E-3</v>
      </c>
      <c r="U149" s="80">
        <v>2.5213685814810205</v>
      </c>
      <c r="V149" s="98">
        <v>1E-8</v>
      </c>
      <c r="W149" s="98">
        <v>1E-8</v>
      </c>
      <c r="X149" s="98">
        <v>1E-8</v>
      </c>
      <c r="Y149" s="98">
        <v>1E-8</v>
      </c>
      <c r="Z149" s="98">
        <v>1E-8</v>
      </c>
      <c r="AA149" s="98">
        <v>1E-8</v>
      </c>
      <c r="AB149" s="98">
        <v>1E-8</v>
      </c>
      <c r="AC149" s="98">
        <v>1E-8</v>
      </c>
      <c r="AD149" s="4"/>
    </row>
    <row r="150" spans="1:30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4"/>
      <c r="O150" s="4"/>
      <c r="P150" s="68"/>
      <c r="Q150" s="68" t="s">
        <v>597</v>
      </c>
      <c r="R150" s="108" t="s">
        <v>19</v>
      </c>
      <c r="S150" s="108" t="s">
        <v>301</v>
      </c>
      <c r="T150" s="98">
        <v>3.7610827066861336</v>
      </c>
      <c r="U150" s="80">
        <v>-1.7743730288269144</v>
      </c>
      <c r="V150" s="98">
        <v>1E-8</v>
      </c>
      <c r="W150" s="98">
        <v>1E-8</v>
      </c>
      <c r="X150" s="98">
        <v>1E-8</v>
      </c>
      <c r="Y150" s="98">
        <v>1E-8</v>
      </c>
      <c r="Z150" s="98">
        <v>1E-8</v>
      </c>
      <c r="AA150" s="98">
        <v>1E-8</v>
      </c>
      <c r="AB150" s="98">
        <v>1E-8</v>
      </c>
      <c r="AC150" s="98">
        <v>1E-8</v>
      </c>
      <c r="AD150" s="4"/>
    </row>
    <row r="151" spans="1:30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4"/>
      <c r="O151" s="4"/>
      <c r="P151" s="68"/>
      <c r="Q151" s="68" t="s">
        <v>598</v>
      </c>
      <c r="R151" s="108" t="s">
        <v>19</v>
      </c>
      <c r="S151" s="108" t="s">
        <v>302</v>
      </c>
      <c r="T151" s="98">
        <v>3.3331628063951331</v>
      </c>
      <c r="U151" s="80">
        <v>-2.6858811730773646</v>
      </c>
      <c r="V151" s="98">
        <v>1E-8</v>
      </c>
      <c r="W151" s="98">
        <v>1E-8</v>
      </c>
      <c r="X151" s="98">
        <v>1E-8</v>
      </c>
      <c r="Y151" s="98">
        <v>1E-8</v>
      </c>
      <c r="Z151" s="98">
        <v>1E-8</v>
      </c>
      <c r="AA151" s="98">
        <v>1E-8</v>
      </c>
      <c r="AB151" s="98">
        <v>1E-8</v>
      </c>
      <c r="AC151" s="98">
        <v>1E-8</v>
      </c>
      <c r="AD151" s="4"/>
    </row>
    <row r="152" spans="1:30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4"/>
      <c r="O152" s="4"/>
      <c r="P152" s="68"/>
      <c r="Q152" s="68" t="s">
        <v>599</v>
      </c>
      <c r="R152" s="108" t="s">
        <v>19</v>
      </c>
      <c r="S152" s="108" t="s">
        <v>300</v>
      </c>
      <c r="T152" s="98">
        <v>2.5931034171391327</v>
      </c>
      <c r="U152" s="80">
        <v>-0.30760306931743031</v>
      </c>
      <c r="V152" s="98">
        <v>1E-8</v>
      </c>
      <c r="W152" s="98">
        <v>1E-8</v>
      </c>
      <c r="X152" s="98">
        <v>1E-8</v>
      </c>
      <c r="Y152" s="98">
        <v>1E-8</v>
      </c>
      <c r="Z152" s="98">
        <v>1E-8</v>
      </c>
      <c r="AA152" s="98">
        <v>1E-8</v>
      </c>
      <c r="AB152" s="98">
        <v>1E-8</v>
      </c>
      <c r="AC152" s="98">
        <v>1E-8</v>
      </c>
      <c r="AD152" s="4"/>
    </row>
    <row r="153" spans="1:30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4"/>
      <c r="O153" s="4"/>
      <c r="P153" s="68"/>
      <c r="Q153" s="68" t="s">
        <v>600</v>
      </c>
      <c r="R153" s="108" t="s">
        <v>19</v>
      </c>
      <c r="S153" s="108" t="s">
        <v>303</v>
      </c>
      <c r="T153" s="98">
        <v>0.49483137466155569</v>
      </c>
      <c r="U153" s="80">
        <v>-2.3540357684410318</v>
      </c>
      <c r="V153" s="98">
        <v>1E-8</v>
      </c>
      <c r="W153" s="98">
        <v>1E-8</v>
      </c>
      <c r="X153" s="98">
        <v>1E-8</v>
      </c>
      <c r="Y153" s="98">
        <v>1E-8</v>
      </c>
      <c r="Z153" s="98">
        <v>1E-8</v>
      </c>
      <c r="AA153" s="98">
        <v>1E-8</v>
      </c>
      <c r="AB153" s="98">
        <v>1E-8</v>
      </c>
      <c r="AC153" s="98">
        <v>1E-8</v>
      </c>
      <c r="AD153" s="4"/>
    </row>
    <row r="154" spans="1:30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4"/>
      <c r="O154" s="4"/>
      <c r="P154" s="68"/>
      <c r="Q154" s="68" t="s">
        <v>601</v>
      </c>
      <c r="R154" s="108" t="s">
        <v>19</v>
      </c>
      <c r="S154" s="108" t="s">
        <v>533</v>
      </c>
      <c r="T154" s="98">
        <v>5.2584543193557582</v>
      </c>
      <c r="U154" s="80">
        <v>-0.70039890658097903</v>
      </c>
      <c r="V154" s="98">
        <v>1E-8</v>
      </c>
      <c r="W154" s="98">
        <v>1E-8</v>
      </c>
      <c r="X154" s="98">
        <v>1E-8</v>
      </c>
      <c r="Y154" s="98">
        <v>1E-8</v>
      </c>
      <c r="Z154" s="98">
        <v>1E-8</v>
      </c>
      <c r="AA154" s="98">
        <v>1E-8</v>
      </c>
      <c r="AB154" s="98">
        <v>1E-8</v>
      </c>
      <c r="AC154" s="98">
        <v>1E-8</v>
      </c>
      <c r="AD154" s="4"/>
    </row>
    <row r="155" spans="1:30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4"/>
      <c r="O155" s="4"/>
      <c r="P155" s="68"/>
      <c r="Q155" s="68" t="s">
        <v>602</v>
      </c>
      <c r="R155" s="108" t="s">
        <v>19</v>
      </c>
      <c r="S155" s="108" t="s">
        <v>534</v>
      </c>
      <c r="T155" s="98">
        <v>0.48674721033667501</v>
      </c>
      <c r="U155" s="80">
        <v>-1.3753204739944569</v>
      </c>
      <c r="V155" s="98">
        <v>1E-8</v>
      </c>
      <c r="W155" s="98">
        <v>1E-8</v>
      </c>
      <c r="X155" s="98">
        <v>1E-8</v>
      </c>
      <c r="Y155" s="98">
        <v>1E-8</v>
      </c>
      <c r="Z155" s="98">
        <v>1E-8</v>
      </c>
      <c r="AA155" s="98">
        <v>1E-8</v>
      </c>
      <c r="AB155" s="98">
        <v>1E-8</v>
      </c>
      <c r="AC155" s="98">
        <v>1E-8</v>
      </c>
      <c r="AD155" s="4"/>
    </row>
    <row r="156" spans="1:30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4"/>
      <c r="O156" s="4"/>
      <c r="P156" s="68"/>
      <c r="Q156" s="68" t="s">
        <v>603</v>
      </c>
      <c r="R156" s="108" t="s">
        <v>19</v>
      </c>
      <c r="S156" s="108" t="s">
        <v>304</v>
      </c>
      <c r="T156" s="98">
        <v>3.8269238495198881</v>
      </c>
      <c r="U156" s="80">
        <v>-1.0050512265195155</v>
      </c>
      <c r="V156" s="98">
        <v>1E-8</v>
      </c>
      <c r="W156" s="98">
        <v>1E-8</v>
      </c>
      <c r="X156" s="98">
        <v>1E-8</v>
      </c>
      <c r="Y156" s="98">
        <v>1E-8</v>
      </c>
      <c r="Z156" s="98">
        <v>1E-8</v>
      </c>
      <c r="AA156" s="98">
        <v>1E-8</v>
      </c>
      <c r="AB156" s="98">
        <v>1E-8</v>
      </c>
      <c r="AC156" s="98">
        <v>1E-8</v>
      </c>
      <c r="AD156" s="4"/>
    </row>
    <row r="157" spans="1:30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4"/>
      <c r="O157" s="4"/>
      <c r="P157" s="68"/>
      <c r="Q157" s="68" t="s">
        <v>604</v>
      </c>
      <c r="R157" s="108" t="s">
        <v>19</v>
      </c>
      <c r="S157" s="108" t="s">
        <v>535</v>
      </c>
      <c r="T157" s="98">
        <v>2.0396758175627721</v>
      </c>
      <c r="U157" s="80">
        <v>-0.78386536591982248</v>
      </c>
      <c r="V157" s="98">
        <v>1E-8</v>
      </c>
      <c r="W157" s="98">
        <v>1E-8</v>
      </c>
      <c r="X157" s="98">
        <v>1E-8</v>
      </c>
      <c r="Y157" s="98">
        <v>1E-8</v>
      </c>
      <c r="Z157" s="98">
        <v>1E-8</v>
      </c>
      <c r="AA157" s="98">
        <v>1E-8</v>
      </c>
      <c r="AB157" s="98">
        <v>1E-8</v>
      </c>
      <c r="AC157" s="98">
        <v>1E-8</v>
      </c>
      <c r="AD157" s="4"/>
    </row>
    <row r="158" spans="1:30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4"/>
      <c r="O158" s="4"/>
      <c r="P158" s="68"/>
      <c r="Q158" s="68" t="s">
        <v>605</v>
      </c>
      <c r="R158" s="108" t="s">
        <v>19</v>
      </c>
      <c r="S158" s="108" t="s">
        <v>536</v>
      </c>
      <c r="T158" s="98">
        <v>3.4498532238545327</v>
      </c>
      <c r="U158" s="80">
        <v>-0.96013753736213792</v>
      </c>
      <c r="V158" s="98">
        <v>1E-8</v>
      </c>
      <c r="W158" s="98">
        <v>1E-8</v>
      </c>
      <c r="X158" s="98">
        <v>1E-8</v>
      </c>
      <c r="Y158" s="98">
        <v>1E-8</v>
      </c>
      <c r="Z158" s="98">
        <v>1E-8</v>
      </c>
      <c r="AA158" s="98">
        <v>1E-8</v>
      </c>
      <c r="AB158" s="98">
        <v>1E-8</v>
      </c>
      <c r="AC158" s="98">
        <v>1E-8</v>
      </c>
      <c r="AD158" s="4"/>
    </row>
    <row r="159" spans="1:30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4"/>
      <c r="O159" s="4"/>
      <c r="P159" s="68"/>
      <c r="Q159" s="68" t="s">
        <v>606</v>
      </c>
      <c r="R159" s="108" t="s">
        <v>19</v>
      </c>
      <c r="S159" s="108" t="s">
        <v>537</v>
      </c>
      <c r="T159" s="98">
        <v>0.61571230862255566</v>
      </c>
      <c r="U159" s="80">
        <v>-0.18695993928793397</v>
      </c>
      <c r="V159" s="98">
        <v>1E-8</v>
      </c>
      <c r="W159" s="98">
        <v>1E-8</v>
      </c>
      <c r="X159" s="98">
        <v>1E-8</v>
      </c>
      <c r="Y159" s="98">
        <v>1E-8</v>
      </c>
      <c r="Z159" s="98">
        <v>1E-8</v>
      </c>
      <c r="AA159" s="98">
        <v>1E-8</v>
      </c>
      <c r="AB159" s="98">
        <v>1E-8</v>
      </c>
      <c r="AC159" s="98">
        <v>1E-8</v>
      </c>
      <c r="AD159" s="4"/>
    </row>
    <row r="160" spans="1:30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4"/>
      <c r="O160" s="4"/>
      <c r="P160" s="68"/>
      <c r="Q160" s="68" t="s">
        <v>607</v>
      </c>
      <c r="R160" s="108" t="s">
        <v>19</v>
      </c>
      <c r="S160" s="108" t="s">
        <v>307</v>
      </c>
      <c r="T160" s="98">
        <v>0.74396779718974371</v>
      </c>
      <c r="U160" s="80">
        <v>1.3377546829447029</v>
      </c>
      <c r="V160" s="98">
        <v>1E-8</v>
      </c>
      <c r="W160" s="98">
        <v>1E-8</v>
      </c>
      <c r="X160" s="98">
        <v>1E-8</v>
      </c>
      <c r="Y160" s="98">
        <v>1E-8</v>
      </c>
      <c r="Z160" s="98">
        <v>1E-8</v>
      </c>
      <c r="AA160" s="98">
        <v>1E-8</v>
      </c>
      <c r="AB160" s="98">
        <v>1E-8</v>
      </c>
      <c r="AC160" s="98">
        <v>1E-8</v>
      </c>
      <c r="AD160" s="4"/>
    </row>
    <row r="161" spans="1:30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4"/>
      <c r="O161" s="4"/>
      <c r="P161" s="68"/>
      <c r="Q161" s="68" t="s">
        <v>608</v>
      </c>
      <c r="R161" s="108" t="s">
        <v>19</v>
      </c>
      <c r="S161" s="108" t="s">
        <v>298</v>
      </c>
      <c r="T161" s="98">
        <v>0.20209097240173676</v>
      </c>
      <c r="U161" s="80">
        <v>4.7235775961846915</v>
      </c>
      <c r="V161" s="98">
        <v>1E-8</v>
      </c>
      <c r="W161" s="98">
        <v>1E-8</v>
      </c>
      <c r="X161" s="98">
        <v>1E-8</v>
      </c>
      <c r="Y161" s="98">
        <v>1E-8</v>
      </c>
      <c r="Z161" s="98">
        <v>1E-8</v>
      </c>
      <c r="AA161" s="98">
        <v>1E-8</v>
      </c>
      <c r="AB161" s="98">
        <v>1E-8</v>
      </c>
      <c r="AC161" s="98">
        <v>1E-8</v>
      </c>
      <c r="AD161" s="4"/>
    </row>
    <row r="162" spans="1:30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4"/>
      <c r="O162" s="4"/>
      <c r="P162" s="68"/>
      <c r="Q162" s="68" t="s">
        <v>609</v>
      </c>
      <c r="R162" s="108" t="s">
        <v>19</v>
      </c>
      <c r="S162" s="108" t="s">
        <v>538</v>
      </c>
      <c r="T162" s="98">
        <v>6.5170428770814498E-2</v>
      </c>
      <c r="U162" s="80">
        <v>0.89988990307341421</v>
      </c>
      <c r="V162" s="98">
        <v>1E-8</v>
      </c>
      <c r="W162" s="98">
        <v>1E-8</v>
      </c>
      <c r="X162" s="98">
        <v>1E-8</v>
      </c>
      <c r="Y162" s="98">
        <v>1E-8</v>
      </c>
      <c r="Z162" s="98">
        <v>1E-8</v>
      </c>
      <c r="AA162" s="98">
        <v>1E-8</v>
      </c>
      <c r="AB162" s="98">
        <v>1E-8</v>
      </c>
      <c r="AC162" s="98">
        <v>1E-8</v>
      </c>
      <c r="AD162" s="4"/>
    </row>
    <row r="163" spans="1:30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4"/>
      <c r="O163" s="4"/>
      <c r="P163" s="68"/>
      <c r="Q163" s="68" t="s">
        <v>610</v>
      </c>
      <c r="R163" s="108" t="s">
        <v>19</v>
      </c>
      <c r="S163" s="108" t="s">
        <v>299</v>
      </c>
      <c r="T163" s="98">
        <v>1E-8</v>
      </c>
      <c r="U163" s="80">
        <v>1E-8</v>
      </c>
      <c r="V163" s="98">
        <v>1E-8</v>
      </c>
      <c r="W163" s="98">
        <v>1E-8</v>
      </c>
      <c r="X163" s="98">
        <v>1E-8</v>
      </c>
      <c r="Y163" s="98">
        <v>1E-8</v>
      </c>
      <c r="Z163" s="98">
        <v>1E-8</v>
      </c>
      <c r="AA163" s="98">
        <v>1E-8</v>
      </c>
      <c r="AB163" s="98">
        <v>1E-8</v>
      </c>
      <c r="AC163" s="98">
        <v>1E-8</v>
      </c>
      <c r="AD163" s="4"/>
    </row>
    <row r="164" spans="1:30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4"/>
      <c r="O164" s="4"/>
      <c r="P164" s="68"/>
      <c r="Q164" s="68" t="s">
        <v>611</v>
      </c>
      <c r="R164" s="108" t="s">
        <v>19</v>
      </c>
      <c r="S164" s="108" t="s">
        <v>309</v>
      </c>
      <c r="T164" s="98">
        <v>3.1111275497924686</v>
      </c>
      <c r="U164" s="80">
        <v>12.722034149797135</v>
      </c>
      <c r="V164" s="98">
        <v>1E-8</v>
      </c>
      <c r="W164" s="98">
        <v>1E-8</v>
      </c>
      <c r="X164" s="98">
        <v>1E-8</v>
      </c>
      <c r="Y164" s="98">
        <v>1E-8</v>
      </c>
      <c r="Z164" s="98">
        <v>1E-8</v>
      </c>
      <c r="AA164" s="98">
        <v>1E-8</v>
      </c>
      <c r="AB164" s="98">
        <v>1E-8</v>
      </c>
      <c r="AC164" s="98">
        <v>1E-8</v>
      </c>
      <c r="AD164" s="4"/>
    </row>
    <row r="165" spans="1:30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4"/>
      <c r="O165" s="4"/>
      <c r="P165" s="68"/>
      <c r="Q165" s="68" t="s">
        <v>612</v>
      </c>
      <c r="R165" s="108" t="s">
        <v>19</v>
      </c>
      <c r="S165" s="108" t="s">
        <v>308</v>
      </c>
      <c r="T165" s="98">
        <v>0.92533678428907051</v>
      </c>
      <c r="U165" s="80">
        <v>4.3891337964158561</v>
      </c>
      <c r="V165" s="98">
        <v>1E-8</v>
      </c>
      <c r="W165" s="98">
        <v>1E-8</v>
      </c>
      <c r="X165" s="98">
        <v>1E-8</v>
      </c>
      <c r="Y165" s="98">
        <v>1E-8</v>
      </c>
      <c r="Z165" s="98">
        <v>1E-8</v>
      </c>
      <c r="AA165" s="98">
        <v>1E-8</v>
      </c>
      <c r="AB165" s="98">
        <v>1E-8</v>
      </c>
      <c r="AC165" s="98">
        <v>1E-8</v>
      </c>
      <c r="AD165" s="4"/>
    </row>
    <row r="166" spans="1:30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4"/>
      <c r="O166" s="4"/>
      <c r="P166" s="68"/>
      <c r="Q166" s="68" t="s">
        <v>613</v>
      </c>
      <c r="R166" s="108" t="s">
        <v>19</v>
      </c>
      <c r="S166" s="108" t="s">
        <v>306</v>
      </c>
      <c r="T166" s="98">
        <v>0.11382098938173195</v>
      </c>
      <c r="U166" s="80">
        <v>-2.2465054913871074</v>
      </c>
      <c r="V166" s="98">
        <v>1E-8</v>
      </c>
      <c r="W166" s="98">
        <v>1E-8</v>
      </c>
      <c r="X166" s="98">
        <v>1E-8</v>
      </c>
      <c r="Y166" s="98">
        <v>1E-8</v>
      </c>
      <c r="Z166" s="98">
        <v>1E-8</v>
      </c>
      <c r="AA166" s="98">
        <v>1E-8</v>
      </c>
      <c r="AB166" s="98">
        <v>1E-8</v>
      </c>
      <c r="AC166" s="98">
        <v>1E-8</v>
      </c>
      <c r="AD166" s="4"/>
    </row>
    <row r="167" spans="1:30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4"/>
      <c r="O167" s="4"/>
      <c r="P167" s="68"/>
      <c r="Q167" s="68" t="s">
        <v>614</v>
      </c>
      <c r="R167" s="108" t="s">
        <v>19</v>
      </c>
      <c r="S167" s="108" t="s">
        <v>305</v>
      </c>
      <c r="T167" s="98">
        <v>0.19299537649964857</v>
      </c>
      <c r="U167" s="80">
        <v>-0.29115605445168002</v>
      </c>
      <c r="V167" s="98">
        <v>1E-8</v>
      </c>
      <c r="W167" s="98">
        <v>1E-8</v>
      </c>
      <c r="X167" s="98">
        <v>1E-8</v>
      </c>
      <c r="Y167" s="98">
        <v>1E-8</v>
      </c>
      <c r="Z167" s="98">
        <v>1E-8</v>
      </c>
      <c r="AA167" s="98">
        <v>1E-8</v>
      </c>
      <c r="AB167" s="98">
        <v>1E-8</v>
      </c>
      <c r="AC167" s="98">
        <v>1E-8</v>
      </c>
      <c r="AD167" s="4"/>
    </row>
    <row r="168" spans="1:30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4"/>
      <c r="O168" s="4"/>
      <c r="P168" s="68"/>
      <c r="Q168" s="68" t="s">
        <v>615</v>
      </c>
      <c r="R168" s="108" t="s">
        <v>19</v>
      </c>
      <c r="S168" s="108" t="s">
        <v>539</v>
      </c>
      <c r="T168" s="98">
        <v>0.14559356348123292</v>
      </c>
      <c r="U168" s="80">
        <v>15.697340644412638</v>
      </c>
      <c r="V168" s="98">
        <v>1E-8</v>
      </c>
      <c r="W168" s="98">
        <v>1E-8</v>
      </c>
      <c r="X168" s="98">
        <v>1E-8</v>
      </c>
      <c r="Y168" s="98">
        <v>1E-8</v>
      </c>
      <c r="Z168" s="98">
        <v>1E-8</v>
      </c>
      <c r="AA168" s="98">
        <v>1E-8</v>
      </c>
      <c r="AB168" s="98">
        <v>1E-8</v>
      </c>
      <c r="AC168" s="98">
        <v>1E-8</v>
      </c>
      <c r="AD168" s="4"/>
    </row>
    <row r="169" spans="1:30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4"/>
      <c r="O169" s="4"/>
      <c r="P169" s="68"/>
      <c r="Q169" s="68" t="s">
        <v>616</v>
      </c>
      <c r="R169" s="109" t="s">
        <v>19</v>
      </c>
      <c r="S169" s="109" t="s">
        <v>310</v>
      </c>
      <c r="T169" s="81">
        <v>0.83850671331397797</v>
      </c>
      <c r="U169" s="82">
        <v>2.741004277111414</v>
      </c>
      <c r="V169" s="81">
        <v>1E-8</v>
      </c>
      <c r="W169" s="81">
        <v>1E-8</v>
      </c>
      <c r="X169" s="81">
        <v>1E-8</v>
      </c>
      <c r="Y169" s="81">
        <v>1E-8</v>
      </c>
      <c r="Z169" s="81">
        <v>1E-8</v>
      </c>
      <c r="AA169" s="81">
        <v>1E-8</v>
      </c>
      <c r="AB169" s="81">
        <v>1E-8</v>
      </c>
      <c r="AC169" s="81">
        <v>1E-8</v>
      </c>
      <c r="AD169" s="4"/>
    </row>
    <row r="170" spans="1:30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4"/>
      <c r="O170" s="4"/>
      <c r="P170" s="96"/>
      <c r="Q170" s="96" t="s">
        <v>280</v>
      </c>
      <c r="R170" s="107" t="s">
        <v>19</v>
      </c>
      <c r="S170" s="107" t="s">
        <v>311</v>
      </c>
      <c r="T170" s="97">
        <v>3.0671392256583956</v>
      </c>
      <c r="U170" s="78">
        <v>-1.5172420218695915</v>
      </c>
      <c r="V170" s="97">
        <v>1E-8</v>
      </c>
      <c r="W170" s="97">
        <v>1E-8</v>
      </c>
      <c r="X170" s="97">
        <v>1E-8</v>
      </c>
      <c r="Y170" s="97">
        <v>1E-8</v>
      </c>
      <c r="Z170" s="97">
        <v>1E-8</v>
      </c>
      <c r="AA170" s="97">
        <v>1E-8</v>
      </c>
      <c r="AB170" s="97">
        <v>1E-8</v>
      </c>
      <c r="AC170" s="97">
        <v>1E-8</v>
      </c>
      <c r="AD170" s="4"/>
    </row>
    <row r="171" spans="1:30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4"/>
      <c r="O171" s="4"/>
      <c r="P171" s="68"/>
      <c r="Q171" s="68" t="s">
        <v>617</v>
      </c>
      <c r="R171" s="108" t="s">
        <v>19</v>
      </c>
      <c r="S171" s="108" t="s">
        <v>312</v>
      </c>
      <c r="T171" s="98">
        <v>1.4055907735528368</v>
      </c>
      <c r="U171" s="80">
        <v>-2.0732230517117922</v>
      </c>
      <c r="V171" s="98">
        <v>1E-8</v>
      </c>
      <c r="W171" s="98">
        <v>1E-8</v>
      </c>
      <c r="X171" s="98">
        <v>1E-8</v>
      </c>
      <c r="Y171" s="98">
        <v>1E-8</v>
      </c>
      <c r="Z171" s="98">
        <v>1E-8</v>
      </c>
      <c r="AA171" s="98">
        <v>1E-8</v>
      </c>
      <c r="AB171" s="98">
        <v>1E-8</v>
      </c>
      <c r="AC171" s="98">
        <v>1E-8</v>
      </c>
      <c r="AD171" s="4"/>
    </row>
    <row r="172" spans="1:30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4"/>
      <c r="O172" s="4"/>
      <c r="P172" s="68"/>
      <c r="Q172" s="68" t="s">
        <v>618</v>
      </c>
      <c r="R172" s="108" t="s">
        <v>19</v>
      </c>
      <c r="S172" s="108" t="s">
        <v>316</v>
      </c>
      <c r="T172" s="98">
        <v>0.73751262752792701</v>
      </c>
      <c r="U172" s="80">
        <v>-4.0516241733860037</v>
      </c>
      <c r="V172" s="98">
        <v>1E-8</v>
      </c>
      <c r="W172" s="98">
        <v>1E-8</v>
      </c>
      <c r="X172" s="98">
        <v>1E-8</v>
      </c>
      <c r="Y172" s="98">
        <v>1E-8</v>
      </c>
      <c r="Z172" s="98">
        <v>1E-8</v>
      </c>
      <c r="AA172" s="98">
        <v>1E-8</v>
      </c>
      <c r="AB172" s="98">
        <v>1E-8</v>
      </c>
      <c r="AC172" s="98">
        <v>1E-8</v>
      </c>
      <c r="AD172" s="4"/>
    </row>
    <row r="173" spans="1:30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4"/>
      <c r="O173" s="4"/>
      <c r="P173" s="68"/>
      <c r="Q173" s="68" t="s">
        <v>619</v>
      </c>
      <c r="R173" s="108" t="s">
        <v>19</v>
      </c>
      <c r="S173" s="108" t="s">
        <v>314</v>
      </c>
      <c r="T173" s="98">
        <v>0.18614656031925628</v>
      </c>
      <c r="U173" s="80">
        <v>2.7839644913153938</v>
      </c>
      <c r="V173" s="98">
        <v>1E-8</v>
      </c>
      <c r="W173" s="98">
        <v>1E-8</v>
      </c>
      <c r="X173" s="98">
        <v>1E-8</v>
      </c>
      <c r="Y173" s="98">
        <v>1E-8</v>
      </c>
      <c r="Z173" s="98">
        <v>1E-8</v>
      </c>
      <c r="AA173" s="98">
        <v>1E-8</v>
      </c>
      <c r="AB173" s="98">
        <v>1E-8</v>
      </c>
      <c r="AC173" s="98">
        <v>1E-8</v>
      </c>
      <c r="AD173" s="4"/>
    </row>
    <row r="174" spans="1:30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4"/>
      <c r="O174" s="4"/>
      <c r="P174" s="68"/>
      <c r="Q174" s="68" t="s">
        <v>620</v>
      </c>
      <c r="R174" s="108" t="s">
        <v>19</v>
      </c>
      <c r="S174" s="108" t="s">
        <v>317</v>
      </c>
      <c r="T174" s="98">
        <v>4.5132091360241315E-2</v>
      </c>
      <c r="U174" s="80">
        <v>-8.6642661606073368E-2</v>
      </c>
      <c r="V174" s="98">
        <v>1E-8</v>
      </c>
      <c r="W174" s="98">
        <v>1E-8</v>
      </c>
      <c r="X174" s="98">
        <v>1E-8</v>
      </c>
      <c r="Y174" s="98">
        <v>1E-8</v>
      </c>
      <c r="Z174" s="98">
        <v>1E-8</v>
      </c>
      <c r="AA174" s="98">
        <v>1E-8</v>
      </c>
      <c r="AB174" s="98">
        <v>1E-8</v>
      </c>
      <c r="AC174" s="98">
        <v>1E-8</v>
      </c>
      <c r="AD174" s="4"/>
    </row>
    <row r="175" spans="1:30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4"/>
      <c r="O175" s="4"/>
      <c r="P175" s="68"/>
      <c r="Q175" s="68" t="s">
        <v>621</v>
      </c>
      <c r="R175" s="108" t="s">
        <v>19</v>
      </c>
      <c r="S175" s="108" t="s">
        <v>313</v>
      </c>
      <c r="T175" s="98">
        <v>0.33685991509794938</v>
      </c>
      <c r="U175" s="80">
        <v>-0.18237263622127298</v>
      </c>
      <c r="V175" s="98">
        <v>1E-8</v>
      </c>
      <c r="W175" s="98">
        <v>1E-8</v>
      </c>
      <c r="X175" s="98">
        <v>1E-8</v>
      </c>
      <c r="Y175" s="98">
        <v>1E-8</v>
      </c>
      <c r="Z175" s="98">
        <v>1E-8</v>
      </c>
      <c r="AA175" s="98">
        <v>1E-8</v>
      </c>
      <c r="AB175" s="98">
        <v>1E-8</v>
      </c>
      <c r="AC175" s="98">
        <v>1E-8</v>
      </c>
      <c r="AD175" s="4"/>
    </row>
    <row r="176" spans="1:30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4"/>
      <c r="O176" s="4"/>
      <c r="P176" s="68"/>
      <c r="Q176" s="68" t="s">
        <v>622</v>
      </c>
      <c r="R176" s="108" t="s">
        <v>19</v>
      </c>
      <c r="S176" s="108" t="s">
        <v>315</v>
      </c>
      <c r="T176" s="98">
        <v>0.27003949353572659</v>
      </c>
      <c r="U176" s="80">
        <v>1.0380534834095512</v>
      </c>
      <c r="V176" s="98">
        <v>1E-8</v>
      </c>
      <c r="W176" s="98">
        <v>1E-8</v>
      </c>
      <c r="X176" s="98">
        <v>1E-8</v>
      </c>
      <c r="Y176" s="98">
        <v>1E-8</v>
      </c>
      <c r="Z176" s="98">
        <v>1E-8</v>
      </c>
      <c r="AA176" s="98">
        <v>1E-8</v>
      </c>
      <c r="AB176" s="98">
        <v>1E-8</v>
      </c>
      <c r="AC176" s="98">
        <v>1E-8</v>
      </c>
      <c r="AD176" s="4"/>
    </row>
    <row r="177" spans="1:30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4"/>
      <c r="O177" s="4"/>
      <c r="P177" s="68"/>
      <c r="Q177" s="68" t="s">
        <v>623</v>
      </c>
      <c r="R177" s="108" t="s">
        <v>19</v>
      </c>
      <c r="S177" s="108" t="s">
        <v>540</v>
      </c>
      <c r="T177" s="98">
        <v>1.0838796264746445E-2</v>
      </c>
      <c r="U177" s="80">
        <v>1.380380395289893</v>
      </c>
      <c r="V177" s="98">
        <v>1E-8</v>
      </c>
      <c r="W177" s="98">
        <v>1E-8</v>
      </c>
      <c r="X177" s="98">
        <v>1E-8</v>
      </c>
      <c r="Y177" s="98">
        <v>1E-8</v>
      </c>
      <c r="Z177" s="98">
        <v>1E-8</v>
      </c>
      <c r="AA177" s="98">
        <v>1E-8</v>
      </c>
      <c r="AB177" s="98">
        <v>1E-8</v>
      </c>
      <c r="AC177" s="98">
        <v>1E-8</v>
      </c>
      <c r="AD177" s="4"/>
    </row>
    <row r="178" spans="1:30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4"/>
      <c r="O178" s="4"/>
      <c r="P178" s="68"/>
      <c r="Q178" s="68" t="s">
        <v>624</v>
      </c>
      <c r="R178" s="109" t="s">
        <v>19</v>
      </c>
      <c r="S178" s="109" t="s">
        <v>541</v>
      </c>
      <c r="T178" s="81">
        <v>7.5018967999711916E-2</v>
      </c>
      <c r="U178" s="82">
        <v>6.6713333773064543</v>
      </c>
      <c r="V178" s="81">
        <v>1E-8</v>
      </c>
      <c r="W178" s="81">
        <v>1E-8</v>
      </c>
      <c r="X178" s="81">
        <v>1E-8</v>
      </c>
      <c r="Y178" s="81">
        <v>1E-8</v>
      </c>
      <c r="Z178" s="81">
        <v>1E-8</v>
      </c>
      <c r="AA178" s="81">
        <v>1E-8</v>
      </c>
      <c r="AB178" s="81">
        <v>1E-8</v>
      </c>
      <c r="AC178" s="81">
        <v>1E-8</v>
      </c>
      <c r="AD178" s="4"/>
    </row>
    <row r="179" spans="1:30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4"/>
      <c r="O179" s="4"/>
      <c r="P179" s="96"/>
      <c r="Q179" s="96" t="s">
        <v>281</v>
      </c>
      <c r="R179" s="107" t="s">
        <v>19</v>
      </c>
      <c r="S179" s="107" t="s">
        <v>318</v>
      </c>
      <c r="T179" s="97">
        <v>15.997115669368586</v>
      </c>
      <c r="U179" s="78">
        <v>-0.39276009621038721</v>
      </c>
      <c r="V179" s="97">
        <v>1E-8</v>
      </c>
      <c r="W179" s="97">
        <v>1E-8</v>
      </c>
      <c r="X179" s="97">
        <v>1E-8</v>
      </c>
      <c r="Y179" s="97">
        <v>1E-8</v>
      </c>
      <c r="Z179" s="97">
        <v>1E-8</v>
      </c>
      <c r="AA179" s="97">
        <v>1E-8</v>
      </c>
      <c r="AB179" s="97">
        <v>1E-8</v>
      </c>
      <c r="AC179" s="97">
        <v>1E-8</v>
      </c>
      <c r="AD179" s="4"/>
    </row>
    <row r="180" spans="1:30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4"/>
      <c r="O180" s="4"/>
      <c r="P180" s="96"/>
      <c r="Q180" s="96" t="s">
        <v>135</v>
      </c>
      <c r="R180" s="107" t="s">
        <v>19</v>
      </c>
      <c r="S180" s="107" t="s">
        <v>542</v>
      </c>
      <c r="T180" s="97">
        <v>14.911242970722807</v>
      </c>
      <c r="U180" s="78">
        <v>-0.40217452914942386</v>
      </c>
      <c r="V180" s="97">
        <v>1E-8</v>
      </c>
      <c r="W180" s="97">
        <v>1E-8</v>
      </c>
      <c r="X180" s="97">
        <v>1E-8</v>
      </c>
      <c r="Y180" s="97">
        <v>1E-8</v>
      </c>
      <c r="Z180" s="97">
        <v>1E-8</v>
      </c>
      <c r="AA180" s="97">
        <v>1E-8</v>
      </c>
      <c r="AB180" s="97">
        <v>1E-8</v>
      </c>
      <c r="AC180" s="97">
        <v>1E-8</v>
      </c>
      <c r="AD180" s="4"/>
    </row>
    <row r="181" spans="1:30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4"/>
      <c r="O181" s="4"/>
      <c r="P181" s="68"/>
      <c r="Q181" s="68" t="s">
        <v>625</v>
      </c>
      <c r="R181" s="108" t="s">
        <v>19</v>
      </c>
      <c r="S181" s="108" t="s">
        <v>543</v>
      </c>
      <c r="T181" s="98">
        <v>11.970099618685691</v>
      </c>
      <c r="U181" s="80">
        <v>-0.25277179331598676</v>
      </c>
      <c r="V181" s="98">
        <v>1E-8</v>
      </c>
      <c r="W181" s="98">
        <v>1E-8</v>
      </c>
      <c r="X181" s="98">
        <v>1E-8</v>
      </c>
      <c r="Y181" s="98">
        <v>1E-8</v>
      </c>
      <c r="Z181" s="98">
        <v>1E-8</v>
      </c>
      <c r="AA181" s="98">
        <v>1E-8</v>
      </c>
      <c r="AB181" s="98">
        <v>1E-8</v>
      </c>
      <c r="AC181" s="98">
        <v>1E-8</v>
      </c>
      <c r="AD181" s="4"/>
    </row>
    <row r="182" spans="1:30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4"/>
      <c r="O182" s="4"/>
      <c r="P182" s="68"/>
      <c r="Q182" s="68" t="s">
        <v>626</v>
      </c>
      <c r="R182" s="108" t="s">
        <v>19</v>
      </c>
      <c r="S182" s="108" t="s">
        <v>544</v>
      </c>
      <c r="T182" s="98">
        <v>2.2726068916391191</v>
      </c>
      <c r="U182" s="80">
        <v>-0.69640099694663338</v>
      </c>
      <c r="V182" s="98">
        <v>1E-8</v>
      </c>
      <c r="W182" s="98">
        <v>1E-8</v>
      </c>
      <c r="X182" s="98">
        <v>1E-8</v>
      </c>
      <c r="Y182" s="98">
        <v>1E-8</v>
      </c>
      <c r="Z182" s="98">
        <v>1E-8</v>
      </c>
      <c r="AA182" s="98">
        <v>1E-8</v>
      </c>
      <c r="AB182" s="98">
        <v>1E-8</v>
      </c>
      <c r="AC182" s="98">
        <v>1E-8</v>
      </c>
      <c r="AD182" s="4"/>
    </row>
    <row r="183" spans="1:30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4"/>
      <c r="O183" s="4"/>
      <c r="P183" s="68"/>
      <c r="Q183" s="68" t="s">
        <v>627</v>
      </c>
      <c r="R183" s="108" t="s">
        <v>19</v>
      </c>
      <c r="S183" s="108" t="s">
        <v>319</v>
      </c>
      <c r="T183" s="98">
        <v>0.66853646039799708</v>
      </c>
      <c r="U183" s="80">
        <v>-2.0770338661336485</v>
      </c>
      <c r="V183" s="98">
        <v>1E-8</v>
      </c>
      <c r="W183" s="98">
        <v>1E-8</v>
      </c>
      <c r="X183" s="98">
        <v>1E-8</v>
      </c>
      <c r="Y183" s="98">
        <v>1E-8</v>
      </c>
      <c r="Z183" s="98">
        <v>1E-8</v>
      </c>
      <c r="AA183" s="98">
        <v>1E-8</v>
      </c>
      <c r="AB183" s="98">
        <v>1E-8</v>
      </c>
      <c r="AC183" s="98">
        <v>1E-8</v>
      </c>
      <c r="AD183" s="4"/>
    </row>
    <row r="184" spans="1:30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4"/>
      <c r="O184" s="4"/>
      <c r="P184" s="71"/>
      <c r="Q184" s="71" t="s">
        <v>628</v>
      </c>
      <c r="R184" s="110" t="s">
        <v>19</v>
      </c>
      <c r="S184" s="110" t="s">
        <v>320</v>
      </c>
      <c r="T184" s="83">
        <v>1.0858726986457792</v>
      </c>
      <c r="U184" s="84">
        <v>-0.2634807643324133</v>
      </c>
      <c r="V184" s="83">
        <v>1E-8</v>
      </c>
      <c r="W184" s="83">
        <v>1E-8</v>
      </c>
      <c r="X184" s="83">
        <v>1E-8</v>
      </c>
      <c r="Y184" s="83">
        <v>1E-8</v>
      </c>
      <c r="Z184" s="83">
        <v>1E-8</v>
      </c>
      <c r="AA184" s="83">
        <v>1E-8</v>
      </c>
      <c r="AB184" s="83">
        <v>1E-8</v>
      </c>
      <c r="AC184" s="83">
        <v>1E-8</v>
      </c>
      <c r="AD184" s="4"/>
    </row>
    <row r="185" spans="1:30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4"/>
      <c r="O185" s="4"/>
      <c r="P185" s="99"/>
      <c r="Q185" s="99" t="s">
        <v>282</v>
      </c>
      <c r="R185" s="105" t="s">
        <v>19</v>
      </c>
      <c r="S185" s="105" t="s">
        <v>321</v>
      </c>
      <c r="T185" s="95">
        <v>44.575989781923653</v>
      </c>
      <c r="U185" s="74">
        <v>-0.2592158151162538</v>
      </c>
      <c r="V185" s="95">
        <v>1E-8</v>
      </c>
      <c r="W185" s="95">
        <v>1E-8</v>
      </c>
      <c r="X185" s="95">
        <v>1E-8</v>
      </c>
      <c r="Y185" s="95">
        <v>1E-8</v>
      </c>
      <c r="Z185" s="95">
        <v>1E-8</v>
      </c>
      <c r="AA185" s="95">
        <v>1E-8</v>
      </c>
      <c r="AB185" s="95">
        <v>1E-8</v>
      </c>
      <c r="AC185" s="95">
        <v>1E-8</v>
      </c>
      <c r="AD185" s="4"/>
    </row>
    <row r="186" spans="1:30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4"/>
      <c r="O186" s="4"/>
      <c r="P186" s="99"/>
      <c r="Q186" s="99" t="s">
        <v>283</v>
      </c>
      <c r="R186" s="105" t="s">
        <v>19</v>
      </c>
      <c r="S186" s="105" t="s">
        <v>322</v>
      </c>
      <c r="T186" s="95">
        <v>31.101963361094725</v>
      </c>
      <c r="U186" s="74">
        <v>0.10173747048649595</v>
      </c>
      <c r="V186" s="95">
        <v>1E-8</v>
      </c>
      <c r="W186" s="95">
        <v>1E-8</v>
      </c>
      <c r="X186" s="95">
        <v>1E-8</v>
      </c>
      <c r="Y186" s="95">
        <v>1E-8</v>
      </c>
      <c r="Z186" s="95">
        <v>1E-8</v>
      </c>
      <c r="AA186" s="95">
        <v>1E-8</v>
      </c>
      <c r="AB186" s="95">
        <v>1E-8</v>
      </c>
      <c r="AC186" s="95">
        <v>1E-8</v>
      </c>
      <c r="AD186" s="4"/>
    </row>
    <row r="187" spans="1:30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4"/>
      <c r="O187" s="4"/>
      <c r="P187" s="96"/>
      <c r="Q187" s="96" t="s">
        <v>284</v>
      </c>
      <c r="R187" s="107" t="s">
        <v>19</v>
      </c>
      <c r="S187" s="107" t="s">
        <v>323</v>
      </c>
      <c r="T187" s="97">
        <v>5.9339498762163467</v>
      </c>
      <c r="U187" s="78">
        <v>5.9408616213245002</v>
      </c>
      <c r="V187" s="97">
        <v>1E-8</v>
      </c>
      <c r="W187" s="97">
        <v>1E-8</v>
      </c>
      <c r="X187" s="97">
        <v>1E-8</v>
      </c>
      <c r="Y187" s="97">
        <v>1E-8</v>
      </c>
      <c r="Z187" s="97">
        <v>1E-8</v>
      </c>
      <c r="AA187" s="97">
        <v>1E-8</v>
      </c>
      <c r="AB187" s="97">
        <v>1E-8</v>
      </c>
      <c r="AC187" s="97">
        <v>1E-8</v>
      </c>
      <c r="AD187" s="4"/>
    </row>
    <row r="188" spans="1:30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4"/>
      <c r="O188" s="4"/>
      <c r="P188" s="68"/>
      <c r="Q188" s="68" t="s">
        <v>629</v>
      </c>
      <c r="R188" s="108" t="s">
        <v>19</v>
      </c>
      <c r="S188" s="108" t="s">
        <v>324</v>
      </c>
      <c r="T188" s="98">
        <v>2.480458368578662E-3</v>
      </c>
      <c r="U188" s="80">
        <v>3.0946883604363595</v>
      </c>
      <c r="V188" s="98">
        <v>1E-8</v>
      </c>
      <c r="W188" s="98">
        <v>1E-8</v>
      </c>
      <c r="X188" s="98">
        <v>1E-8</v>
      </c>
      <c r="Y188" s="98">
        <v>1E-8</v>
      </c>
      <c r="Z188" s="98">
        <v>1E-8</v>
      </c>
      <c r="AA188" s="98">
        <v>1E-8</v>
      </c>
      <c r="AB188" s="98">
        <v>1E-8</v>
      </c>
      <c r="AC188" s="98">
        <v>1E-8</v>
      </c>
      <c r="AD188" s="4"/>
    </row>
    <row r="189" spans="1:30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4"/>
      <c r="O189" s="4"/>
      <c r="P189" s="68"/>
      <c r="Q189" s="68" t="s">
        <v>630</v>
      </c>
      <c r="R189" s="108" t="s">
        <v>19</v>
      </c>
      <c r="S189" s="108" t="s">
        <v>545</v>
      </c>
      <c r="T189" s="98">
        <v>2.378535023194277</v>
      </c>
      <c r="U189" s="80">
        <v>2.7202413002009207</v>
      </c>
      <c r="V189" s="98">
        <v>1E-8</v>
      </c>
      <c r="W189" s="98">
        <v>1E-8</v>
      </c>
      <c r="X189" s="98">
        <v>1E-8</v>
      </c>
      <c r="Y189" s="98">
        <v>1E-8</v>
      </c>
      <c r="Z189" s="98">
        <v>1E-8</v>
      </c>
      <c r="AA189" s="98">
        <v>1E-8</v>
      </c>
      <c r="AB189" s="98">
        <v>1E-8</v>
      </c>
      <c r="AC189" s="98">
        <v>1E-8</v>
      </c>
      <c r="AD189" s="4"/>
    </row>
    <row r="190" spans="1:30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4"/>
      <c r="O190" s="4"/>
      <c r="P190" s="68"/>
      <c r="Q190" s="68" t="s">
        <v>631</v>
      </c>
      <c r="R190" s="109" t="s">
        <v>19</v>
      </c>
      <c r="S190" s="109" t="s">
        <v>325</v>
      </c>
      <c r="T190" s="81">
        <v>3.5529343946534913</v>
      </c>
      <c r="U190" s="82">
        <v>8.0989138656961224</v>
      </c>
      <c r="V190" s="81">
        <v>1E-8</v>
      </c>
      <c r="W190" s="81">
        <v>1E-8</v>
      </c>
      <c r="X190" s="81">
        <v>1E-8</v>
      </c>
      <c r="Y190" s="81">
        <v>1E-8</v>
      </c>
      <c r="Z190" s="81">
        <v>1E-8</v>
      </c>
      <c r="AA190" s="81">
        <v>1E-8</v>
      </c>
      <c r="AB190" s="81">
        <v>1E-8</v>
      </c>
      <c r="AC190" s="81">
        <v>1E-8</v>
      </c>
      <c r="AD190" s="4"/>
    </row>
    <row r="191" spans="1:30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4"/>
      <c r="O191" s="4"/>
      <c r="P191" s="96"/>
      <c r="Q191" s="96" t="s">
        <v>285</v>
      </c>
      <c r="R191" s="107" t="s">
        <v>19</v>
      </c>
      <c r="S191" s="107" t="s">
        <v>326</v>
      </c>
      <c r="T191" s="97">
        <v>11.136395712928767</v>
      </c>
      <c r="U191" s="78">
        <v>2.6498996696542321</v>
      </c>
      <c r="V191" s="97">
        <v>1E-8</v>
      </c>
      <c r="W191" s="97">
        <v>1E-8</v>
      </c>
      <c r="X191" s="97">
        <v>1E-8</v>
      </c>
      <c r="Y191" s="97">
        <v>1E-8</v>
      </c>
      <c r="Z191" s="97">
        <v>1E-8</v>
      </c>
      <c r="AA191" s="97">
        <v>1E-8</v>
      </c>
      <c r="AB191" s="97">
        <v>1E-8</v>
      </c>
      <c r="AC191" s="97">
        <v>1E-8</v>
      </c>
      <c r="AD191" s="4"/>
    </row>
    <row r="192" spans="1:30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4"/>
      <c r="O192" s="4"/>
      <c r="P192" s="68"/>
      <c r="Q192" s="68" t="s">
        <v>364</v>
      </c>
      <c r="R192" s="108" t="s">
        <v>19</v>
      </c>
      <c r="S192" s="108" t="s">
        <v>327</v>
      </c>
      <c r="T192" s="98">
        <v>6.6106308636614379</v>
      </c>
      <c r="U192" s="80">
        <v>2.9115799400974973</v>
      </c>
      <c r="V192" s="98">
        <v>1E-8</v>
      </c>
      <c r="W192" s="98">
        <v>1E-8</v>
      </c>
      <c r="X192" s="98">
        <v>1E-8</v>
      </c>
      <c r="Y192" s="98">
        <v>1E-8</v>
      </c>
      <c r="Z192" s="98">
        <v>1E-8</v>
      </c>
      <c r="AA192" s="98">
        <v>1E-8</v>
      </c>
      <c r="AB192" s="98">
        <v>1E-8</v>
      </c>
      <c r="AC192" s="98">
        <v>1E-8</v>
      </c>
      <c r="AD192" s="4"/>
    </row>
    <row r="193" spans="1:30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4"/>
      <c r="O193" s="4"/>
      <c r="P193" s="100"/>
      <c r="Q193" s="100" t="s">
        <v>632</v>
      </c>
      <c r="R193" s="111" t="s">
        <v>19</v>
      </c>
      <c r="S193" s="111" t="s">
        <v>328</v>
      </c>
      <c r="T193" s="101">
        <v>0.58539177945610599</v>
      </c>
      <c r="U193" s="86">
        <v>-7.2044653600444875E-3</v>
      </c>
      <c r="V193" s="101">
        <v>1E-8</v>
      </c>
      <c r="W193" s="101">
        <v>1E-8</v>
      </c>
      <c r="X193" s="101">
        <v>1E-8</v>
      </c>
      <c r="Y193" s="101">
        <v>1E-8</v>
      </c>
      <c r="Z193" s="101">
        <v>1E-8</v>
      </c>
      <c r="AA193" s="101">
        <v>1E-8</v>
      </c>
      <c r="AB193" s="101">
        <v>1E-8</v>
      </c>
      <c r="AC193" s="101">
        <v>1E-8</v>
      </c>
      <c r="AD193" s="4"/>
    </row>
    <row r="194" spans="1:30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4"/>
      <c r="O194" s="4"/>
      <c r="P194" s="100"/>
      <c r="Q194" s="100" t="s">
        <v>633</v>
      </c>
      <c r="R194" s="111" t="s">
        <v>19</v>
      </c>
      <c r="S194" s="111" t="s">
        <v>329</v>
      </c>
      <c r="T194" s="101">
        <v>1E-8</v>
      </c>
      <c r="U194" s="86">
        <v>1E-8</v>
      </c>
      <c r="V194" s="101">
        <v>1E-8</v>
      </c>
      <c r="W194" s="101">
        <v>1E-8</v>
      </c>
      <c r="X194" s="101">
        <v>1E-8</v>
      </c>
      <c r="Y194" s="101">
        <v>1E-8</v>
      </c>
      <c r="Z194" s="101">
        <v>1E-8</v>
      </c>
      <c r="AA194" s="101">
        <v>1E-8</v>
      </c>
      <c r="AB194" s="101">
        <v>1E-8</v>
      </c>
      <c r="AC194" s="101">
        <v>1E-8</v>
      </c>
      <c r="AD194" s="4"/>
    </row>
    <row r="195" spans="1:30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4"/>
      <c r="O195" s="4"/>
      <c r="P195" s="100"/>
      <c r="Q195" s="100" t="s">
        <v>634</v>
      </c>
      <c r="R195" s="111" t="s">
        <v>19</v>
      </c>
      <c r="S195" s="111" t="s">
        <v>331</v>
      </c>
      <c r="T195" s="101">
        <v>0.17350448955173636</v>
      </c>
      <c r="U195" s="86">
        <v>1.5734704268155042</v>
      </c>
      <c r="V195" s="101">
        <v>1E-8</v>
      </c>
      <c r="W195" s="101">
        <v>1E-8</v>
      </c>
      <c r="X195" s="101">
        <v>1E-8</v>
      </c>
      <c r="Y195" s="101">
        <v>1E-8</v>
      </c>
      <c r="Z195" s="101">
        <v>1E-8</v>
      </c>
      <c r="AA195" s="101">
        <v>1E-8</v>
      </c>
      <c r="AB195" s="101">
        <v>1E-8</v>
      </c>
      <c r="AC195" s="101">
        <v>1E-8</v>
      </c>
      <c r="AD195" s="4"/>
    </row>
    <row r="196" spans="1:30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4"/>
      <c r="O196" s="4"/>
      <c r="P196" s="100"/>
      <c r="Q196" s="100" t="s">
        <v>635</v>
      </c>
      <c r="R196" s="111" t="s">
        <v>19</v>
      </c>
      <c r="S196" s="111" t="s">
        <v>332</v>
      </c>
      <c r="T196" s="101">
        <v>0.25121989768270764</v>
      </c>
      <c r="U196" s="86">
        <v>9.8548753408966192</v>
      </c>
      <c r="V196" s="101">
        <v>1E-8</v>
      </c>
      <c r="W196" s="101">
        <v>1E-8</v>
      </c>
      <c r="X196" s="101">
        <v>1E-8</v>
      </c>
      <c r="Y196" s="101">
        <v>1E-8</v>
      </c>
      <c r="Z196" s="101">
        <v>1E-8</v>
      </c>
      <c r="AA196" s="101">
        <v>1E-8</v>
      </c>
      <c r="AB196" s="101">
        <v>1E-8</v>
      </c>
      <c r="AC196" s="101">
        <v>1E-8</v>
      </c>
      <c r="AD196" s="4"/>
    </row>
    <row r="197" spans="1:30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4"/>
      <c r="O197" s="4"/>
      <c r="P197" s="100"/>
      <c r="Q197" s="100" t="s">
        <v>636</v>
      </c>
      <c r="R197" s="111" t="s">
        <v>19</v>
      </c>
      <c r="S197" s="111" t="s">
        <v>330</v>
      </c>
      <c r="T197" s="101">
        <v>8.6640935648072959E-2</v>
      </c>
      <c r="U197" s="86">
        <v>1.3541838862531685</v>
      </c>
      <c r="V197" s="101">
        <v>1E-8</v>
      </c>
      <c r="W197" s="101">
        <v>1E-8</v>
      </c>
      <c r="X197" s="101">
        <v>1E-8</v>
      </c>
      <c r="Y197" s="101">
        <v>1E-8</v>
      </c>
      <c r="Z197" s="101">
        <v>1E-8</v>
      </c>
      <c r="AA197" s="101">
        <v>1E-8</v>
      </c>
      <c r="AB197" s="101">
        <v>1E-8</v>
      </c>
      <c r="AC197" s="101">
        <v>1E-8</v>
      </c>
      <c r="AD197" s="4"/>
    </row>
    <row r="198" spans="1:30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4"/>
      <c r="O198" s="4"/>
      <c r="P198" s="100"/>
      <c r="Q198" s="100" t="s">
        <v>637</v>
      </c>
      <c r="R198" s="111" t="s">
        <v>19</v>
      </c>
      <c r="S198" s="111" t="s">
        <v>333</v>
      </c>
      <c r="T198" s="101">
        <v>3.5798997894225817</v>
      </c>
      <c r="U198" s="86">
        <v>1.317844362187448</v>
      </c>
      <c r="V198" s="101">
        <v>1E-8</v>
      </c>
      <c r="W198" s="101">
        <v>1E-8</v>
      </c>
      <c r="X198" s="101">
        <v>1E-8</v>
      </c>
      <c r="Y198" s="101">
        <v>1E-8</v>
      </c>
      <c r="Z198" s="101">
        <v>1E-8</v>
      </c>
      <c r="AA198" s="101">
        <v>1E-8</v>
      </c>
      <c r="AB198" s="101">
        <v>1E-8</v>
      </c>
      <c r="AC198" s="101">
        <v>1E-8</v>
      </c>
      <c r="AD198" s="4"/>
    </row>
    <row r="199" spans="1:30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4"/>
      <c r="O199" s="4"/>
      <c r="P199" s="100"/>
      <c r="Q199" s="100" t="s">
        <v>638</v>
      </c>
      <c r="R199" s="111" t="s">
        <v>19</v>
      </c>
      <c r="S199" s="111" t="s">
        <v>546</v>
      </c>
      <c r="T199" s="101">
        <v>0.40949865683775055</v>
      </c>
      <c r="U199" s="86">
        <v>-0.51660088043458119</v>
      </c>
      <c r="V199" s="101">
        <v>1E-8</v>
      </c>
      <c r="W199" s="101">
        <v>1E-8</v>
      </c>
      <c r="X199" s="101">
        <v>1E-8</v>
      </c>
      <c r="Y199" s="101">
        <v>1E-8</v>
      </c>
      <c r="Z199" s="101">
        <v>1E-8</v>
      </c>
      <c r="AA199" s="101">
        <v>1E-8</v>
      </c>
      <c r="AB199" s="101">
        <v>1E-8</v>
      </c>
      <c r="AC199" s="101">
        <v>1E-8</v>
      </c>
      <c r="AD199" s="4"/>
    </row>
    <row r="200" spans="1:30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4"/>
      <c r="O200" s="4"/>
      <c r="P200" s="100"/>
      <c r="Q200" s="100" t="s">
        <v>639</v>
      </c>
      <c r="R200" s="111" t="s">
        <v>19</v>
      </c>
      <c r="S200" s="111" t="s">
        <v>335</v>
      </c>
      <c r="T200" s="101">
        <v>0.11696191401405268</v>
      </c>
      <c r="U200" s="86">
        <v>-4.2766619270013244</v>
      </c>
      <c r="V200" s="101">
        <v>1E-8</v>
      </c>
      <c r="W200" s="101">
        <v>1E-8</v>
      </c>
      <c r="X200" s="101">
        <v>1E-8</v>
      </c>
      <c r="Y200" s="101">
        <v>1E-8</v>
      </c>
      <c r="Z200" s="101">
        <v>1E-8</v>
      </c>
      <c r="AA200" s="101">
        <v>1E-8</v>
      </c>
      <c r="AB200" s="101">
        <v>1E-8</v>
      </c>
      <c r="AC200" s="101">
        <v>1E-8</v>
      </c>
      <c r="AD200" s="4"/>
    </row>
    <row r="201" spans="1:30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4"/>
      <c r="O201" s="4"/>
      <c r="P201" s="100"/>
      <c r="Q201" s="100" t="s">
        <v>640</v>
      </c>
      <c r="R201" s="111" t="s">
        <v>19</v>
      </c>
      <c r="S201" s="111" t="s">
        <v>334</v>
      </c>
      <c r="T201" s="101">
        <v>1.4075134010484296</v>
      </c>
      <c r="U201" s="86">
        <v>8.795318111470829</v>
      </c>
      <c r="V201" s="101">
        <v>1E-8</v>
      </c>
      <c r="W201" s="101">
        <v>1E-8</v>
      </c>
      <c r="X201" s="101">
        <v>1E-8</v>
      </c>
      <c r="Y201" s="101">
        <v>1E-8</v>
      </c>
      <c r="Z201" s="101">
        <v>1E-8</v>
      </c>
      <c r="AA201" s="101">
        <v>1E-8</v>
      </c>
      <c r="AB201" s="101">
        <v>1E-8</v>
      </c>
      <c r="AC201" s="101">
        <v>1E-8</v>
      </c>
      <c r="AD201" s="4"/>
    </row>
    <row r="202" spans="1:30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4"/>
      <c r="O202" s="4"/>
      <c r="P202" s="68"/>
      <c r="Q202" s="68" t="s">
        <v>365</v>
      </c>
      <c r="R202" s="108" t="s">
        <v>19</v>
      </c>
      <c r="S202" s="108" t="s">
        <v>374</v>
      </c>
      <c r="T202" s="98">
        <v>1.7021660463904575</v>
      </c>
      <c r="U202" s="80">
        <v>-2.0070072130140448</v>
      </c>
      <c r="V202" s="98">
        <v>1E-8</v>
      </c>
      <c r="W202" s="98">
        <v>1E-8</v>
      </c>
      <c r="X202" s="98">
        <v>1E-8</v>
      </c>
      <c r="Y202" s="98">
        <v>1E-8</v>
      </c>
      <c r="Z202" s="98">
        <v>1E-8</v>
      </c>
      <c r="AA202" s="98">
        <v>1E-8</v>
      </c>
      <c r="AB202" s="98">
        <v>1E-8</v>
      </c>
      <c r="AC202" s="98">
        <v>1E-8</v>
      </c>
      <c r="AD202" s="4"/>
    </row>
    <row r="203" spans="1:30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4"/>
      <c r="O203" s="4"/>
      <c r="P203" s="100"/>
      <c r="Q203" s="100" t="s">
        <v>641</v>
      </c>
      <c r="R203" s="111" t="s">
        <v>19</v>
      </c>
      <c r="S203" s="111" t="s">
        <v>547</v>
      </c>
      <c r="T203" s="101">
        <v>1.2974915350411331</v>
      </c>
      <c r="U203" s="86">
        <v>-2.5890514700597</v>
      </c>
      <c r="V203" s="101">
        <v>1E-8</v>
      </c>
      <c r="W203" s="101">
        <v>1E-8</v>
      </c>
      <c r="X203" s="101">
        <v>1E-8</v>
      </c>
      <c r="Y203" s="101">
        <v>1E-8</v>
      </c>
      <c r="Z203" s="101">
        <v>1E-8</v>
      </c>
      <c r="AA203" s="101">
        <v>1E-8</v>
      </c>
      <c r="AB203" s="101">
        <v>1E-8</v>
      </c>
      <c r="AC203" s="101">
        <v>1E-8</v>
      </c>
      <c r="AD203" s="4"/>
    </row>
    <row r="204" spans="1:30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4"/>
      <c r="O204" s="4"/>
      <c r="P204" s="100"/>
      <c r="Q204" s="100" t="s">
        <v>642</v>
      </c>
      <c r="R204" s="111" t="s">
        <v>19</v>
      </c>
      <c r="S204" s="111" t="s">
        <v>336</v>
      </c>
      <c r="T204" s="101">
        <v>0.25474200995275464</v>
      </c>
      <c r="U204" s="86">
        <v>1.0551854214869927</v>
      </c>
      <c r="V204" s="101">
        <v>1E-8</v>
      </c>
      <c r="W204" s="101">
        <v>1E-8</v>
      </c>
      <c r="X204" s="101">
        <v>1E-8</v>
      </c>
      <c r="Y204" s="101">
        <v>1E-8</v>
      </c>
      <c r="Z204" s="101">
        <v>1E-8</v>
      </c>
      <c r="AA204" s="101">
        <v>1E-8</v>
      </c>
      <c r="AB204" s="101">
        <v>1E-8</v>
      </c>
      <c r="AC204" s="101">
        <v>1E-8</v>
      </c>
      <c r="AD204" s="4"/>
    </row>
    <row r="205" spans="1:30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4"/>
      <c r="O205" s="4"/>
      <c r="P205" s="100"/>
      <c r="Q205" s="100" t="s">
        <v>643</v>
      </c>
      <c r="R205" s="112" t="s">
        <v>19</v>
      </c>
      <c r="S205" s="112" t="s">
        <v>337</v>
      </c>
      <c r="T205" s="87">
        <v>0.1499325013965695</v>
      </c>
      <c r="U205" s="88">
        <v>-2.1728925934860532</v>
      </c>
      <c r="V205" s="87">
        <v>1E-8</v>
      </c>
      <c r="W205" s="87">
        <v>1E-8</v>
      </c>
      <c r="X205" s="87">
        <v>1E-8</v>
      </c>
      <c r="Y205" s="87">
        <v>1E-8</v>
      </c>
      <c r="Z205" s="87">
        <v>1E-8</v>
      </c>
      <c r="AA205" s="87">
        <v>1E-8</v>
      </c>
      <c r="AB205" s="87">
        <v>1E-8</v>
      </c>
      <c r="AC205" s="87">
        <v>1E-8</v>
      </c>
      <c r="AD205" s="4"/>
    </row>
    <row r="206" spans="1:30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4"/>
      <c r="O206" s="4"/>
      <c r="P206" s="68"/>
      <c r="Q206" s="68" t="s">
        <v>644</v>
      </c>
      <c r="R206" s="108" t="s">
        <v>19</v>
      </c>
      <c r="S206" s="108" t="s">
        <v>338</v>
      </c>
      <c r="T206" s="98">
        <v>0.68261782432692664</v>
      </c>
      <c r="U206" s="80">
        <v>3.2957010421058364</v>
      </c>
      <c r="V206" s="98">
        <v>1E-8</v>
      </c>
      <c r="W206" s="98">
        <v>1E-8</v>
      </c>
      <c r="X206" s="98">
        <v>1E-8</v>
      </c>
      <c r="Y206" s="98">
        <v>1E-8</v>
      </c>
      <c r="Z206" s="98">
        <v>1E-8</v>
      </c>
      <c r="AA206" s="98">
        <v>1E-8</v>
      </c>
      <c r="AB206" s="98">
        <v>1E-8</v>
      </c>
      <c r="AC206" s="98">
        <v>1E-8</v>
      </c>
      <c r="AD206" s="4"/>
    </row>
    <row r="207" spans="1:30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4"/>
      <c r="O207" s="4"/>
      <c r="P207" s="68"/>
      <c r="Q207" s="68" t="s">
        <v>366</v>
      </c>
      <c r="R207" s="108" t="s">
        <v>19</v>
      </c>
      <c r="S207" s="108" t="s">
        <v>339</v>
      </c>
      <c r="T207" s="98">
        <v>0.20696597028077457</v>
      </c>
      <c r="U207" s="80">
        <v>6.5414875157997265</v>
      </c>
      <c r="V207" s="98">
        <v>1E-8</v>
      </c>
      <c r="W207" s="98">
        <v>1E-8</v>
      </c>
      <c r="X207" s="98">
        <v>1E-8</v>
      </c>
      <c r="Y207" s="98">
        <v>1E-8</v>
      </c>
      <c r="Z207" s="98">
        <v>1E-8</v>
      </c>
      <c r="AA207" s="98">
        <v>1E-8</v>
      </c>
      <c r="AB207" s="98">
        <v>1E-8</v>
      </c>
      <c r="AC207" s="98">
        <v>1E-8</v>
      </c>
      <c r="AD207" s="4"/>
    </row>
    <row r="208" spans="1:30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4"/>
      <c r="O208" s="4"/>
      <c r="P208" s="100"/>
      <c r="Q208" s="100" t="s">
        <v>645</v>
      </c>
      <c r="R208" s="111" t="s">
        <v>19</v>
      </c>
      <c r="S208" s="111" t="s">
        <v>340</v>
      </c>
      <c r="T208" s="101">
        <v>0.19791328801951302</v>
      </c>
      <c r="U208" s="86">
        <v>6.6308327929376798</v>
      </c>
      <c r="V208" s="101">
        <v>1E-8</v>
      </c>
      <c r="W208" s="101">
        <v>1E-8</v>
      </c>
      <c r="X208" s="101">
        <v>1E-8</v>
      </c>
      <c r="Y208" s="101">
        <v>1E-8</v>
      </c>
      <c r="Z208" s="101">
        <v>1E-8</v>
      </c>
      <c r="AA208" s="101">
        <v>1E-8</v>
      </c>
      <c r="AB208" s="101">
        <v>1E-8</v>
      </c>
      <c r="AC208" s="101">
        <v>1E-8</v>
      </c>
      <c r="AD208" s="4"/>
    </row>
    <row r="209" spans="1:30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4"/>
      <c r="O209" s="4"/>
      <c r="P209" s="100"/>
      <c r="Q209" s="100" t="s">
        <v>646</v>
      </c>
      <c r="R209" s="111" t="s">
        <v>19</v>
      </c>
      <c r="S209" s="111" t="s">
        <v>548</v>
      </c>
      <c r="T209" s="101">
        <v>9.0526822612615691E-3</v>
      </c>
      <c r="U209" s="86">
        <v>4.5881860459077384</v>
      </c>
      <c r="V209" s="101">
        <v>1E-8</v>
      </c>
      <c r="W209" s="101">
        <v>1E-8</v>
      </c>
      <c r="X209" s="101">
        <v>1E-8</v>
      </c>
      <c r="Y209" s="101">
        <v>1E-8</v>
      </c>
      <c r="Z209" s="101">
        <v>1E-8</v>
      </c>
      <c r="AA209" s="101">
        <v>1E-8</v>
      </c>
      <c r="AB209" s="101">
        <v>1E-8</v>
      </c>
      <c r="AC209" s="101">
        <v>1E-8</v>
      </c>
      <c r="AD209" s="4"/>
    </row>
    <row r="210" spans="1:30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4"/>
      <c r="O210" s="4"/>
      <c r="P210" s="68"/>
      <c r="Q210" s="68" t="s">
        <v>367</v>
      </c>
      <c r="R210" s="108" t="s">
        <v>19</v>
      </c>
      <c r="S210" s="108" t="s">
        <v>341</v>
      </c>
      <c r="T210" s="98">
        <v>6.3330758284069269E-2</v>
      </c>
      <c r="U210" s="80">
        <v>34.704217576793269</v>
      </c>
      <c r="V210" s="98">
        <v>1E-8</v>
      </c>
      <c r="W210" s="98">
        <v>1E-8</v>
      </c>
      <c r="X210" s="98">
        <v>1E-8</v>
      </c>
      <c r="Y210" s="98">
        <v>1E-8</v>
      </c>
      <c r="Z210" s="98">
        <v>1E-8</v>
      </c>
      <c r="AA210" s="98">
        <v>1E-8</v>
      </c>
      <c r="AB210" s="98">
        <v>1E-8</v>
      </c>
      <c r="AC210" s="98">
        <v>1E-8</v>
      </c>
      <c r="AD210" s="4"/>
    </row>
    <row r="211" spans="1:30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4"/>
      <c r="O211" s="4"/>
      <c r="P211" s="100"/>
      <c r="Q211" s="100" t="s">
        <v>647</v>
      </c>
      <c r="R211" s="111" t="s">
        <v>19</v>
      </c>
      <c r="S211" s="111" t="s">
        <v>342</v>
      </c>
      <c r="T211" s="101">
        <v>4.0672975017829447E-4</v>
      </c>
      <c r="U211" s="86">
        <v>5.5398277371685234</v>
      </c>
      <c r="V211" s="101">
        <v>1E-8</v>
      </c>
      <c r="W211" s="101">
        <v>1E-8</v>
      </c>
      <c r="X211" s="101">
        <v>1E-8</v>
      </c>
      <c r="Y211" s="101">
        <v>1E-8</v>
      </c>
      <c r="Z211" s="101">
        <v>1E-8</v>
      </c>
      <c r="AA211" s="101">
        <v>1E-8</v>
      </c>
      <c r="AB211" s="101">
        <v>1E-8</v>
      </c>
      <c r="AC211" s="101">
        <v>1E-8</v>
      </c>
      <c r="AD211" s="4"/>
    </row>
    <row r="212" spans="1:30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4"/>
      <c r="O212" s="4"/>
      <c r="P212" s="100"/>
      <c r="Q212" s="100" t="s">
        <v>648</v>
      </c>
      <c r="R212" s="111" t="s">
        <v>19</v>
      </c>
      <c r="S212" s="111" t="s">
        <v>343</v>
      </c>
      <c r="T212" s="101">
        <v>4.5933724884809173E-2</v>
      </c>
      <c r="U212" s="86">
        <v>45.10036282722676</v>
      </c>
      <c r="V212" s="101">
        <v>1E-8</v>
      </c>
      <c r="W212" s="101">
        <v>1E-8</v>
      </c>
      <c r="X212" s="101">
        <v>1E-8</v>
      </c>
      <c r="Y212" s="101">
        <v>1E-8</v>
      </c>
      <c r="Z212" s="101">
        <v>1E-8</v>
      </c>
      <c r="AA212" s="101">
        <v>1E-8</v>
      </c>
      <c r="AB212" s="101">
        <v>1E-8</v>
      </c>
      <c r="AC212" s="101">
        <v>1E-8</v>
      </c>
      <c r="AD212" s="4"/>
    </row>
    <row r="213" spans="1:30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4"/>
      <c r="O213" s="4"/>
      <c r="P213" s="100"/>
      <c r="Q213" s="100" t="s">
        <v>649</v>
      </c>
      <c r="R213" s="111" t="s">
        <v>19</v>
      </c>
      <c r="S213" s="111" t="s">
        <v>549</v>
      </c>
      <c r="T213" s="101">
        <v>1.0301756005536334E-2</v>
      </c>
      <c r="U213" s="86">
        <v>5.3096138889259015</v>
      </c>
      <c r="V213" s="101">
        <v>1E-8</v>
      </c>
      <c r="W213" s="101">
        <v>1E-8</v>
      </c>
      <c r="X213" s="101">
        <v>1E-8</v>
      </c>
      <c r="Y213" s="101">
        <v>1E-8</v>
      </c>
      <c r="Z213" s="101">
        <v>1E-8</v>
      </c>
      <c r="AA213" s="101">
        <v>1E-8</v>
      </c>
      <c r="AB213" s="101">
        <v>1E-8</v>
      </c>
      <c r="AC213" s="101">
        <v>1E-8</v>
      </c>
      <c r="AD213" s="4"/>
    </row>
    <row r="214" spans="1:30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4"/>
      <c r="O214" s="4"/>
      <c r="P214" s="100"/>
      <c r="Q214" s="100" t="s">
        <v>650</v>
      </c>
      <c r="R214" s="111" t="s">
        <v>19</v>
      </c>
      <c r="S214" s="111" t="s">
        <v>550</v>
      </c>
      <c r="T214" s="101">
        <v>6.6885476435454777E-3</v>
      </c>
      <c r="U214" s="86">
        <v>10.355790323282754</v>
      </c>
      <c r="V214" s="101">
        <v>1E-8</v>
      </c>
      <c r="W214" s="101">
        <v>1E-8</v>
      </c>
      <c r="X214" s="101">
        <v>1E-8</v>
      </c>
      <c r="Y214" s="101">
        <v>1E-8</v>
      </c>
      <c r="Z214" s="101">
        <v>1E-8</v>
      </c>
      <c r="AA214" s="101">
        <v>1E-8</v>
      </c>
      <c r="AB214" s="101">
        <v>1E-8</v>
      </c>
      <c r="AC214" s="101">
        <v>1E-8</v>
      </c>
      <c r="AD214" s="4"/>
    </row>
    <row r="215" spans="1:30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4"/>
      <c r="O215" s="4"/>
      <c r="P215" s="68"/>
      <c r="Q215" s="68" t="s">
        <v>172</v>
      </c>
      <c r="R215" s="108" t="s">
        <v>19</v>
      </c>
      <c r="S215" s="108" t="s">
        <v>551</v>
      </c>
      <c r="T215" s="98">
        <v>0.38344704629250709</v>
      </c>
      <c r="U215" s="80">
        <v>-2.7283806591919979</v>
      </c>
      <c r="V215" s="98">
        <v>1E-8</v>
      </c>
      <c r="W215" s="98">
        <v>1E-8</v>
      </c>
      <c r="X215" s="98">
        <v>1E-8</v>
      </c>
      <c r="Y215" s="98">
        <v>1E-8</v>
      </c>
      <c r="Z215" s="98">
        <v>1E-8</v>
      </c>
      <c r="AA215" s="98">
        <v>1E-8</v>
      </c>
      <c r="AB215" s="98">
        <v>1E-8</v>
      </c>
      <c r="AC215" s="98">
        <v>1E-8</v>
      </c>
      <c r="AD215" s="4"/>
    </row>
    <row r="216" spans="1:30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4"/>
      <c r="O216" s="4"/>
      <c r="P216" s="100"/>
      <c r="Q216" s="100" t="s">
        <v>651</v>
      </c>
      <c r="R216" s="111" t="s">
        <v>19</v>
      </c>
      <c r="S216" s="111" t="s">
        <v>344</v>
      </c>
      <c r="T216" s="101">
        <v>2.5169630732222944E-2</v>
      </c>
      <c r="U216" s="86">
        <v>12.221487211640358</v>
      </c>
      <c r="V216" s="101">
        <v>1E-8</v>
      </c>
      <c r="W216" s="101">
        <v>1E-8</v>
      </c>
      <c r="X216" s="101">
        <v>1E-8</v>
      </c>
      <c r="Y216" s="101">
        <v>1E-8</v>
      </c>
      <c r="Z216" s="101">
        <v>1E-8</v>
      </c>
      <c r="AA216" s="101">
        <v>1E-8</v>
      </c>
      <c r="AB216" s="101">
        <v>1E-8</v>
      </c>
      <c r="AC216" s="101">
        <v>1E-8</v>
      </c>
      <c r="AD216" s="4"/>
    </row>
    <row r="217" spans="1:30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4"/>
      <c r="O217" s="4"/>
      <c r="P217" s="100"/>
      <c r="Q217" s="100" t="s">
        <v>652</v>
      </c>
      <c r="R217" s="111" t="s">
        <v>19</v>
      </c>
      <c r="S217" s="111" t="s">
        <v>552</v>
      </c>
      <c r="T217" s="101">
        <v>0.23129608875614299</v>
      </c>
      <c r="U217" s="86">
        <v>3.5513765855994528</v>
      </c>
      <c r="V217" s="101">
        <v>1E-8</v>
      </c>
      <c r="W217" s="101">
        <v>1E-8</v>
      </c>
      <c r="X217" s="101">
        <v>1E-8</v>
      </c>
      <c r="Y217" s="101">
        <v>1E-8</v>
      </c>
      <c r="Z217" s="101">
        <v>1E-8</v>
      </c>
      <c r="AA217" s="101">
        <v>1E-8</v>
      </c>
      <c r="AB217" s="101">
        <v>1E-8</v>
      </c>
      <c r="AC217" s="101">
        <v>1E-8</v>
      </c>
      <c r="AD217" s="4"/>
    </row>
    <row r="218" spans="1:30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4"/>
      <c r="O218" s="4"/>
      <c r="P218" s="100"/>
      <c r="Q218" s="100" t="s">
        <v>653</v>
      </c>
      <c r="R218" s="111" t="s">
        <v>19</v>
      </c>
      <c r="S218" s="111" t="s">
        <v>553</v>
      </c>
      <c r="T218" s="101">
        <v>0.12698132680414112</v>
      </c>
      <c r="U218" s="86">
        <v>-17.130230040427598</v>
      </c>
      <c r="V218" s="101">
        <v>1E-8</v>
      </c>
      <c r="W218" s="101">
        <v>1E-8</v>
      </c>
      <c r="X218" s="101">
        <v>1E-8</v>
      </c>
      <c r="Y218" s="101">
        <v>1E-8</v>
      </c>
      <c r="Z218" s="101">
        <v>1E-8</v>
      </c>
      <c r="AA218" s="101">
        <v>1E-8</v>
      </c>
      <c r="AB218" s="101">
        <v>1E-8</v>
      </c>
      <c r="AC218" s="101">
        <v>1E-8</v>
      </c>
      <c r="AD218" s="4"/>
    </row>
    <row r="219" spans="1:30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4"/>
      <c r="O219" s="4"/>
      <c r="P219" s="68"/>
      <c r="Q219" s="68" t="s">
        <v>368</v>
      </c>
      <c r="R219" s="108" t="s">
        <v>19</v>
      </c>
      <c r="S219" s="108" t="s">
        <v>345</v>
      </c>
      <c r="T219" s="98">
        <v>0.34746316865878418</v>
      </c>
      <c r="U219" s="80">
        <v>9.2431195160070256</v>
      </c>
      <c r="V219" s="98">
        <v>1E-8</v>
      </c>
      <c r="W219" s="98">
        <v>1E-8</v>
      </c>
      <c r="X219" s="98">
        <v>1E-8</v>
      </c>
      <c r="Y219" s="98">
        <v>1E-8</v>
      </c>
      <c r="Z219" s="98">
        <v>1E-8</v>
      </c>
      <c r="AA219" s="98">
        <v>1E-8</v>
      </c>
      <c r="AB219" s="98">
        <v>1E-8</v>
      </c>
      <c r="AC219" s="98">
        <v>1E-8</v>
      </c>
      <c r="AD219" s="4"/>
    </row>
    <row r="220" spans="1:30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4"/>
      <c r="O220" s="4"/>
      <c r="P220" s="100"/>
      <c r="Q220" s="100" t="s">
        <v>654</v>
      </c>
      <c r="R220" s="111" t="s">
        <v>19</v>
      </c>
      <c r="S220" s="111" t="s">
        <v>346</v>
      </c>
      <c r="T220" s="101">
        <v>0.20890495433907799</v>
      </c>
      <c r="U220" s="86">
        <v>13.815563831390932</v>
      </c>
      <c r="V220" s="101">
        <v>1E-8</v>
      </c>
      <c r="W220" s="101">
        <v>1E-8</v>
      </c>
      <c r="X220" s="101">
        <v>1E-8</v>
      </c>
      <c r="Y220" s="101">
        <v>1E-8</v>
      </c>
      <c r="Z220" s="101">
        <v>1E-8</v>
      </c>
      <c r="AA220" s="101">
        <v>1E-8</v>
      </c>
      <c r="AB220" s="101">
        <v>1E-8</v>
      </c>
      <c r="AC220" s="101">
        <v>1E-8</v>
      </c>
      <c r="AD220" s="4"/>
    </row>
    <row r="221" spans="1:30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4"/>
      <c r="O221" s="4"/>
      <c r="P221" s="100"/>
      <c r="Q221" s="100" t="s">
        <v>655</v>
      </c>
      <c r="R221" s="111" t="s">
        <v>19</v>
      </c>
      <c r="S221" s="111" t="s">
        <v>347</v>
      </c>
      <c r="T221" s="101">
        <v>9.0900873031236437E-2</v>
      </c>
      <c r="U221" s="86">
        <v>-0.96109906823642621</v>
      </c>
      <c r="V221" s="101">
        <v>1E-8</v>
      </c>
      <c r="W221" s="101">
        <v>1E-8</v>
      </c>
      <c r="X221" s="101">
        <v>1E-8</v>
      </c>
      <c r="Y221" s="101">
        <v>1E-8</v>
      </c>
      <c r="Z221" s="101">
        <v>1E-8</v>
      </c>
      <c r="AA221" s="101">
        <v>1E-8</v>
      </c>
      <c r="AB221" s="101">
        <v>1E-8</v>
      </c>
      <c r="AC221" s="101">
        <v>1E-8</v>
      </c>
      <c r="AD221" s="4"/>
    </row>
    <row r="222" spans="1:30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4"/>
      <c r="O222" s="4"/>
      <c r="P222" s="100"/>
      <c r="Q222" s="100" t="s">
        <v>656</v>
      </c>
      <c r="R222" s="111" t="s">
        <v>19</v>
      </c>
      <c r="S222" s="111" t="s">
        <v>348</v>
      </c>
      <c r="T222" s="101">
        <v>4.7657341288469761E-2</v>
      </c>
      <c r="U222" s="86">
        <v>8.6632740553322272</v>
      </c>
      <c r="V222" s="101">
        <v>1E-8</v>
      </c>
      <c r="W222" s="101">
        <v>1E-8</v>
      </c>
      <c r="X222" s="101">
        <v>1E-8</v>
      </c>
      <c r="Y222" s="101">
        <v>1E-8</v>
      </c>
      <c r="Z222" s="101">
        <v>1E-8</v>
      </c>
      <c r="AA222" s="101">
        <v>1E-8</v>
      </c>
      <c r="AB222" s="101">
        <v>1E-8</v>
      </c>
      <c r="AC222" s="101">
        <v>1E-8</v>
      </c>
      <c r="AD222" s="4"/>
    </row>
    <row r="223" spans="1:30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4"/>
      <c r="O223" s="4"/>
      <c r="P223" s="68"/>
      <c r="Q223" s="68" t="s">
        <v>181</v>
      </c>
      <c r="R223" s="108" t="s">
        <v>19</v>
      </c>
      <c r="S223" s="108" t="s">
        <v>554</v>
      </c>
      <c r="T223" s="98">
        <v>1.1397740350338124</v>
      </c>
      <c r="U223" s="80">
        <v>5.0118202144483925</v>
      </c>
      <c r="V223" s="98">
        <v>1E-8</v>
      </c>
      <c r="W223" s="98">
        <v>1E-8</v>
      </c>
      <c r="X223" s="98">
        <v>1E-8</v>
      </c>
      <c r="Y223" s="98">
        <v>1E-8</v>
      </c>
      <c r="Z223" s="98">
        <v>1E-8</v>
      </c>
      <c r="AA223" s="98">
        <v>1E-8</v>
      </c>
      <c r="AB223" s="98">
        <v>1E-8</v>
      </c>
      <c r="AC223" s="98">
        <v>1E-8</v>
      </c>
      <c r="AD223" s="4"/>
    </row>
    <row r="224" spans="1:30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4"/>
      <c r="O224" s="4"/>
      <c r="P224" s="100"/>
      <c r="Q224" s="100" t="s">
        <v>657</v>
      </c>
      <c r="R224" s="111" t="s">
        <v>19</v>
      </c>
      <c r="S224" s="111" t="s">
        <v>555</v>
      </c>
      <c r="T224" s="101">
        <v>0.49217014491273348</v>
      </c>
      <c r="U224" s="86">
        <v>4.6086297476350291</v>
      </c>
      <c r="V224" s="101">
        <v>1E-8</v>
      </c>
      <c r="W224" s="101">
        <v>1E-8</v>
      </c>
      <c r="X224" s="101">
        <v>1E-8</v>
      </c>
      <c r="Y224" s="101">
        <v>1E-8</v>
      </c>
      <c r="Z224" s="101">
        <v>1E-8</v>
      </c>
      <c r="AA224" s="101">
        <v>1E-8</v>
      </c>
      <c r="AB224" s="101">
        <v>1E-8</v>
      </c>
      <c r="AC224" s="101">
        <v>1E-8</v>
      </c>
      <c r="AD224" s="4"/>
    </row>
    <row r="225" spans="1:30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4"/>
      <c r="O225" s="4"/>
      <c r="P225" s="100"/>
      <c r="Q225" s="100" t="s">
        <v>658</v>
      </c>
      <c r="R225" s="111" t="s">
        <v>19</v>
      </c>
      <c r="S225" s="111" t="s">
        <v>349</v>
      </c>
      <c r="T225" s="101">
        <v>0.64329583297769866</v>
      </c>
      <c r="U225" s="86">
        <v>5.3853151881999128</v>
      </c>
      <c r="V225" s="101">
        <v>1E-8</v>
      </c>
      <c r="W225" s="101">
        <v>1E-8</v>
      </c>
      <c r="X225" s="101">
        <v>1E-8</v>
      </c>
      <c r="Y225" s="101">
        <v>1E-8</v>
      </c>
      <c r="Z225" s="101">
        <v>1E-8</v>
      </c>
      <c r="AA225" s="101">
        <v>1E-8</v>
      </c>
      <c r="AB225" s="101">
        <v>1E-8</v>
      </c>
      <c r="AC225" s="101">
        <v>1E-8</v>
      </c>
      <c r="AD225" s="4"/>
    </row>
    <row r="226" spans="1:30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4"/>
      <c r="O226" s="4"/>
      <c r="P226" s="100"/>
      <c r="Q226" s="100" t="s">
        <v>659</v>
      </c>
      <c r="R226" s="112" t="s">
        <v>19</v>
      </c>
      <c r="S226" s="112" t="s">
        <v>556</v>
      </c>
      <c r="T226" s="87">
        <v>4.3080571433800705E-3</v>
      </c>
      <c r="U226" s="88">
        <v>-4.6977654250493162</v>
      </c>
      <c r="V226" s="87">
        <v>1E-8</v>
      </c>
      <c r="W226" s="87">
        <v>1E-8</v>
      </c>
      <c r="X226" s="87">
        <v>1E-8</v>
      </c>
      <c r="Y226" s="87">
        <v>1E-8</v>
      </c>
      <c r="Z226" s="87">
        <v>1E-8</v>
      </c>
      <c r="AA226" s="87">
        <v>1E-8</v>
      </c>
      <c r="AB226" s="87">
        <v>1E-8</v>
      </c>
      <c r="AC226" s="87">
        <v>1E-8</v>
      </c>
      <c r="AD226" s="4"/>
    </row>
    <row r="227" spans="1:30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4"/>
      <c r="O227" s="4"/>
      <c r="P227" s="96"/>
      <c r="Q227" s="96" t="s">
        <v>286</v>
      </c>
      <c r="R227" s="107" t="s">
        <v>19</v>
      </c>
      <c r="S227" s="107" t="s">
        <v>350</v>
      </c>
      <c r="T227" s="97">
        <v>14.031617771949609</v>
      </c>
      <c r="U227" s="78">
        <v>-4.3900049391970892</v>
      </c>
      <c r="V227" s="97">
        <v>1E-8</v>
      </c>
      <c r="W227" s="97">
        <v>1E-8</v>
      </c>
      <c r="X227" s="97">
        <v>1E-8</v>
      </c>
      <c r="Y227" s="97">
        <v>1E-8</v>
      </c>
      <c r="Z227" s="97">
        <v>1E-8</v>
      </c>
      <c r="AA227" s="97">
        <v>1E-8</v>
      </c>
      <c r="AB227" s="97">
        <v>1E-8</v>
      </c>
      <c r="AC227" s="97">
        <v>1E-8</v>
      </c>
      <c r="AD227" s="4"/>
    </row>
    <row r="228" spans="1:30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4"/>
      <c r="O228" s="4"/>
      <c r="P228" s="96"/>
      <c r="Q228" s="96" t="s">
        <v>369</v>
      </c>
      <c r="R228" s="107" t="s">
        <v>19</v>
      </c>
      <c r="S228" s="107" t="s">
        <v>557</v>
      </c>
      <c r="T228" s="97">
        <v>0.4546334611182799</v>
      </c>
      <c r="U228" s="78">
        <v>-1.1412077831108758</v>
      </c>
      <c r="V228" s="97">
        <v>1E-8</v>
      </c>
      <c r="W228" s="97">
        <v>1E-8</v>
      </c>
      <c r="X228" s="97">
        <v>1E-8</v>
      </c>
      <c r="Y228" s="97">
        <v>1E-8</v>
      </c>
      <c r="Z228" s="97">
        <v>1E-8</v>
      </c>
      <c r="AA228" s="97">
        <v>1E-8</v>
      </c>
      <c r="AB228" s="97">
        <v>1E-8</v>
      </c>
      <c r="AC228" s="97">
        <v>1E-8</v>
      </c>
      <c r="AD228" s="4"/>
    </row>
    <row r="229" spans="1:30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4"/>
      <c r="O229" s="4"/>
      <c r="P229" s="68"/>
      <c r="Q229" s="68" t="s">
        <v>660</v>
      </c>
      <c r="R229" s="108" t="s">
        <v>19</v>
      </c>
      <c r="S229" s="108" t="s">
        <v>351</v>
      </c>
      <c r="T229" s="98">
        <v>0.31148196422976704</v>
      </c>
      <c r="U229" s="80">
        <v>-1.2651883637677219</v>
      </c>
      <c r="V229" s="98">
        <v>1E-8</v>
      </c>
      <c r="W229" s="98">
        <v>1E-8</v>
      </c>
      <c r="X229" s="98">
        <v>1E-8</v>
      </c>
      <c r="Y229" s="98">
        <v>1E-8</v>
      </c>
      <c r="Z229" s="98">
        <v>1E-8</v>
      </c>
      <c r="AA229" s="98">
        <v>1E-8</v>
      </c>
      <c r="AB229" s="98">
        <v>1E-8</v>
      </c>
      <c r="AC229" s="98">
        <v>1E-8</v>
      </c>
      <c r="AD229" s="4"/>
    </row>
    <row r="230" spans="1:30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4"/>
      <c r="O230" s="4"/>
      <c r="P230" s="68"/>
      <c r="Q230" s="68" t="s">
        <v>661</v>
      </c>
      <c r="R230" s="108" t="s">
        <v>19</v>
      </c>
      <c r="S230" s="108" t="s">
        <v>352</v>
      </c>
      <c r="T230" s="98">
        <v>0.13857399479078955</v>
      </c>
      <c r="U230" s="80">
        <v>-0.82840504985749464</v>
      </c>
      <c r="V230" s="98">
        <v>1E-8</v>
      </c>
      <c r="W230" s="98">
        <v>1E-8</v>
      </c>
      <c r="X230" s="98">
        <v>1E-8</v>
      </c>
      <c r="Y230" s="98">
        <v>1E-8</v>
      </c>
      <c r="Z230" s="98">
        <v>1E-8</v>
      </c>
      <c r="AA230" s="98">
        <v>1E-8</v>
      </c>
      <c r="AB230" s="98">
        <v>1E-8</v>
      </c>
      <c r="AC230" s="98">
        <v>1E-8</v>
      </c>
      <c r="AD230" s="4"/>
    </row>
    <row r="231" spans="1:30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4"/>
      <c r="O231" s="4"/>
      <c r="P231" s="68"/>
      <c r="Q231" s="68" t="s">
        <v>662</v>
      </c>
      <c r="R231" s="108" t="s">
        <v>19</v>
      </c>
      <c r="S231" s="108" t="s">
        <v>558</v>
      </c>
      <c r="T231" s="98">
        <v>4.5775020977232538E-3</v>
      </c>
      <c r="U231" s="80">
        <v>-2.1742186781589345</v>
      </c>
      <c r="V231" s="98">
        <v>1E-8</v>
      </c>
      <c r="W231" s="98">
        <v>1E-8</v>
      </c>
      <c r="X231" s="98">
        <v>1E-8</v>
      </c>
      <c r="Y231" s="98">
        <v>1E-8</v>
      </c>
      <c r="Z231" s="98">
        <v>1E-8</v>
      </c>
      <c r="AA231" s="98">
        <v>1E-8</v>
      </c>
      <c r="AB231" s="98">
        <v>1E-8</v>
      </c>
      <c r="AC231" s="98">
        <v>1E-8</v>
      </c>
      <c r="AD231" s="4"/>
    </row>
    <row r="232" spans="1:30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4"/>
      <c r="O232" s="4"/>
      <c r="P232" s="96"/>
      <c r="Q232" s="96" t="s">
        <v>188</v>
      </c>
      <c r="R232" s="107" t="s">
        <v>19</v>
      </c>
      <c r="S232" s="107" t="s">
        <v>559</v>
      </c>
      <c r="T232" s="97">
        <v>13.57698431083133</v>
      </c>
      <c r="U232" s="78">
        <v>-4.4987928601173728</v>
      </c>
      <c r="V232" s="97">
        <v>1E-8</v>
      </c>
      <c r="W232" s="97">
        <v>1E-8</v>
      </c>
      <c r="X232" s="97">
        <v>1E-8</v>
      </c>
      <c r="Y232" s="97">
        <v>1E-8</v>
      </c>
      <c r="Z232" s="97">
        <v>1E-8</v>
      </c>
      <c r="AA232" s="97">
        <v>1E-8</v>
      </c>
      <c r="AB232" s="97">
        <v>1E-8</v>
      </c>
      <c r="AC232" s="97">
        <v>1E-8</v>
      </c>
      <c r="AD232" s="4"/>
    </row>
    <row r="233" spans="1:30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4"/>
      <c r="O233" s="4"/>
      <c r="P233" s="68"/>
      <c r="Q233" s="68" t="s">
        <v>663</v>
      </c>
      <c r="R233" s="108" t="s">
        <v>19</v>
      </c>
      <c r="S233" s="108" t="s">
        <v>353</v>
      </c>
      <c r="T233" s="98">
        <v>13.57698431083133</v>
      </c>
      <c r="U233" s="80">
        <v>-4.4987928601173728</v>
      </c>
      <c r="V233" s="98">
        <v>1E-8</v>
      </c>
      <c r="W233" s="98">
        <v>1E-8</v>
      </c>
      <c r="X233" s="98">
        <v>1E-8</v>
      </c>
      <c r="Y233" s="98">
        <v>1E-8</v>
      </c>
      <c r="Z233" s="98">
        <v>1E-8</v>
      </c>
      <c r="AA233" s="98">
        <v>1E-8</v>
      </c>
      <c r="AB233" s="98">
        <v>1E-8</v>
      </c>
      <c r="AC233" s="98">
        <v>1E-8</v>
      </c>
      <c r="AD233" s="4"/>
    </row>
    <row r="234" spans="1:30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4"/>
      <c r="O234" s="4"/>
      <c r="P234" s="72"/>
      <c r="Q234" s="72" t="s">
        <v>664</v>
      </c>
      <c r="R234" s="109" t="s">
        <v>19</v>
      </c>
      <c r="S234" s="109" t="s">
        <v>560</v>
      </c>
      <c r="T234" s="81">
        <v>1E-8</v>
      </c>
      <c r="U234" s="82">
        <v>1E-8</v>
      </c>
      <c r="V234" s="81">
        <v>1E-8</v>
      </c>
      <c r="W234" s="81">
        <v>1E-8</v>
      </c>
      <c r="X234" s="81">
        <v>1E-8</v>
      </c>
      <c r="Y234" s="81">
        <v>1E-8</v>
      </c>
      <c r="Z234" s="81">
        <v>1E-8</v>
      </c>
      <c r="AA234" s="81">
        <v>1E-8</v>
      </c>
      <c r="AB234" s="81">
        <v>1E-8</v>
      </c>
      <c r="AC234" s="81">
        <v>1E-8</v>
      </c>
      <c r="AD234" s="4"/>
    </row>
    <row r="235" spans="1:30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4"/>
      <c r="O235" s="4"/>
      <c r="P235" s="47"/>
      <c r="Q235" s="47" t="s">
        <v>287</v>
      </c>
      <c r="R235" s="105" t="s">
        <v>19</v>
      </c>
      <c r="S235" s="105" t="s">
        <v>354</v>
      </c>
      <c r="T235" s="95">
        <v>13.474026420828928</v>
      </c>
      <c r="U235" s="74">
        <v>-1.0924007528070323</v>
      </c>
      <c r="V235" s="95">
        <v>1E-8</v>
      </c>
      <c r="W235" s="95">
        <v>1E-8</v>
      </c>
      <c r="X235" s="95">
        <v>1E-8</v>
      </c>
      <c r="Y235" s="95">
        <v>1E-8</v>
      </c>
      <c r="Z235" s="95">
        <v>1E-8</v>
      </c>
      <c r="AA235" s="95">
        <v>1E-8</v>
      </c>
      <c r="AB235" s="95">
        <v>1E-8</v>
      </c>
      <c r="AC235" s="95">
        <v>1E-8</v>
      </c>
      <c r="AD235" s="4"/>
    </row>
    <row r="236" spans="1:30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4"/>
      <c r="O236" s="4"/>
      <c r="P236" s="96"/>
      <c r="Q236" s="96" t="s">
        <v>370</v>
      </c>
      <c r="R236" s="107" t="s">
        <v>19</v>
      </c>
      <c r="S236" s="107" t="s">
        <v>561</v>
      </c>
      <c r="T236" s="97">
        <v>4.1775121647424074</v>
      </c>
      <c r="U236" s="78">
        <v>-2.5549503100689597</v>
      </c>
      <c r="V236" s="97">
        <v>1E-8</v>
      </c>
      <c r="W236" s="97">
        <v>1E-8</v>
      </c>
      <c r="X236" s="97">
        <v>1E-8</v>
      </c>
      <c r="Y236" s="97">
        <v>1E-8</v>
      </c>
      <c r="Z236" s="97">
        <v>1E-8</v>
      </c>
      <c r="AA236" s="97">
        <v>1E-8</v>
      </c>
      <c r="AB236" s="97">
        <v>1E-8</v>
      </c>
      <c r="AC236" s="97">
        <v>1E-8</v>
      </c>
      <c r="AD236" s="4"/>
    </row>
    <row r="237" spans="1:30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4"/>
      <c r="O237" s="4"/>
      <c r="P237" s="68"/>
      <c r="Q237" s="68" t="s">
        <v>665</v>
      </c>
      <c r="R237" s="108" t="s">
        <v>19</v>
      </c>
      <c r="S237" s="108" t="s">
        <v>562</v>
      </c>
      <c r="T237" s="98">
        <v>0.11017169473450256</v>
      </c>
      <c r="U237" s="80">
        <v>-1.3681070659533612</v>
      </c>
      <c r="V237" s="98">
        <v>1E-8</v>
      </c>
      <c r="W237" s="98">
        <v>1E-8</v>
      </c>
      <c r="X237" s="98">
        <v>1E-8</v>
      </c>
      <c r="Y237" s="98">
        <v>1E-8</v>
      </c>
      <c r="Z237" s="98">
        <v>1E-8</v>
      </c>
      <c r="AA237" s="98">
        <v>1E-8</v>
      </c>
      <c r="AB237" s="98">
        <v>1E-8</v>
      </c>
      <c r="AC237" s="98">
        <v>1E-8</v>
      </c>
      <c r="AD237" s="4"/>
    </row>
    <row r="238" spans="1:30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4"/>
      <c r="O238" s="4"/>
      <c r="P238" s="68"/>
      <c r="Q238" s="68" t="s">
        <v>666</v>
      </c>
      <c r="R238" s="108" t="s">
        <v>19</v>
      </c>
      <c r="S238" s="108" t="s">
        <v>563</v>
      </c>
      <c r="T238" s="98">
        <v>1.2432271413026445E-2</v>
      </c>
      <c r="U238" s="80">
        <v>-7.7771001443961429</v>
      </c>
      <c r="V238" s="98">
        <v>1E-8</v>
      </c>
      <c r="W238" s="98">
        <v>1E-8</v>
      </c>
      <c r="X238" s="98">
        <v>1E-8</v>
      </c>
      <c r="Y238" s="98">
        <v>1E-8</v>
      </c>
      <c r="Z238" s="98">
        <v>1E-8</v>
      </c>
      <c r="AA238" s="98">
        <v>1E-8</v>
      </c>
      <c r="AB238" s="98">
        <v>1E-8</v>
      </c>
      <c r="AC238" s="98">
        <v>1E-8</v>
      </c>
      <c r="AD238" s="4"/>
    </row>
    <row r="239" spans="1:30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4"/>
      <c r="O239" s="4"/>
      <c r="P239" s="68"/>
      <c r="Q239" s="68" t="s">
        <v>667</v>
      </c>
      <c r="R239" s="108" t="s">
        <v>19</v>
      </c>
      <c r="S239" s="108" t="s">
        <v>564</v>
      </c>
      <c r="T239" s="98">
        <v>0.90100714697401962</v>
      </c>
      <c r="U239" s="80">
        <v>-2.5961663352456421</v>
      </c>
      <c r="V239" s="98">
        <v>1E-8</v>
      </c>
      <c r="W239" s="98">
        <v>1E-8</v>
      </c>
      <c r="X239" s="98">
        <v>1E-8</v>
      </c>
      <c r="Y239" s="98">
        <v>1E-8</v>
      </c>
      <c r="Z239" s="98">
        <v>1E-8</v>
      </c>
      <c r="AA239" s="98">
        <v>1E-8</v>
      </c>
      <c r="AB239" s="98">
        <v>1E-8</v>
      </c>
      <c r="AC239" s="98">
        <v>1E-8</v>
      </c>
      <c r="AD239" s="4"/>
    </row>
    <row r="240" spans="1:30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4"/>
      <c r="O240" s="4"/>
      <c r="P240" s="68"/>
      <c r="Q240" s="68" t="s">
        <v>668</v>
      </c>
      <c r="R240" s="108" t="s">
        <v>19</v>
      </c>
      <c r="S240" s="108" t="s">
        <v>565</v>
      </c>
      <c r="T240" s="98">
        <v>3.1539010516208581</v>
      </c>
      <c r="U240" s="80">
        <v>-2.5640493318089375</v>
      </c>
      <c r="V240" s="98">
        <v>1E-8</v>
      </c>
      <c r="W240" s="98">
        <v>1E-8</v>
      </c>
      <c r="X240" s="98">
        <v>1E-8</v>
      </c>
      <c r="Y240" s="98">
        <v>1E-8</v>
      </c>
      <c r="Z240" s="98">
        <v>1E-8</v>
      </c>
      <c r="AA240" s="98">
        <v>1E-8</v>
      </c>
      <c r="AB240" s="98">
        <v>1E-8</v>
      </c>
      <c r="AC240" s="98">
        <v>1E-8</v>
      </c>
      <c r="AD240" s="4"/>
    </row>
    <row r="241" spans="1:30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4"/>
      <c r="O241" s="4"/>
      <c r="P241" s="96"/>
      <c r="Q241" s="96" t="s">
        <v>371</v>
      </c>
      <c r="R241" s="107" t="s">
        <v>19</v>
      </c>
      <c r="S241" s="107" t="s">
        <v>566</v>
      </c>
      <c r="T241" s="97">
        <v>2.6444497960011293</v>
      </c>
      <c r="U241" s="78">
        <v>-0.85502002209270067</v>
      </c>
      <c r="V241" s="97">
        <v>1E-8</v>
      </c>
      <c r="W241" s="97">
        <v>1E-8</v>
      </c>
      <c r="X241" s="97">
        <v>1E-8</v>
      </c>
      <c r="Y241" s="97">
        <v>1E-8</v>
      </c>
      <c r="Z241" s="97">
        <v>1E-8</v>
      </c>
      <c r="AA241" s="97">
        <v>1E-8</v>
      </c>
      <c r="AB241" s="97">
        <v>1E-8</v>
      </c>
      <c r="AC241" s="97">
        <v>1E-8</v>
      </c>
      <c r="AD241" s="4"/>
    </row>
    <row r="242" spans="1:30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4"/>
      <c r="O242" s="4"/>
      <c r="P242" s="68"/>
      <c r="Q242" s="68" t="s">
        <v>669</v>
      </c>
      <c r="R242" s="108" t="s">
        <v>19</v>
      </c>
      <c r="S242" s="108" t="s">
        <v>567</v>
      </c>
      <c r="T242" s="98">
        <v>1.8143892417155312</v>
      </c>
      <c r="U242" s="80">
        <v>-1.5842000096098263</v>
      </c>
      <c r="V242" s="98">
        <v>1E-8</v>
      </c>
      <c r="W242" s="98">
        <v>1E-8</v>
      </c>
      <c r="X242" s="98">
        <v>1E-8</v>
      </c>
      <c r="Y242" s="98">
        <v>1E-8</v>
      </c>
      <c r="Z242" s="98">
        <v>1E-8</v>
      </c>
      <c r="AA242" s="98">
        <v>1E-8</v>
      </c>
      <c r="AB242" s="98">
        <v>1E-8</v>
      </c>
      <c r="AC242" s="98">
        <v>1E-8</v>
      </c>
      <c r="AD242" s="4"/>
    </row>
    <row r="243" spans="1:30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4"/>
      <c r="O243" s="4"/>
      <c r="P243" s="68"/>
      <c r="Q243" s="68" t="s">
        <v>670</v>
      </c>
      <c r="R243" s="108" t="s">
        <v>19</v>
      </c>
      <c r="S243" s="108" t="s">
        <v>568</v>
      </c>
      <c r="T243" s="98">
        <v>0.42644173214460246</v>
      </c>
      <c r="U243" s="80">
        <v>0.3255610758336136</v>
      </c>
      <c r="V243" s="98">
        <v>1E-8</v>
      </c>
      <c r="W243" s="98">
        <v>1E-8</v>
      </c>
      <c r="X243" s="98">
        <v>1E-8</v>
      </c>
      <c r="Y243" s="98">
        <v>1E-8</v>
      </c>
      <c r="Z243" s="98">
        <v>1E-8</v>
      </c>
      <c r="AA243" s="98">
        <v>1E-8</v>
      </c>
      <c r="AB243" s="98">
        <v>1E-8</v>
      </c>
      <c r="AC243" s="98">
        <v>1E-8</v>
      </c>
      <c r="AD243" s="4"/>
    </row>
    <row r="244" spans="1:30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4"/>
      <c r="O244" s="4"/>
      <c r="P244" s="68"/>
      <c r="Q244" s="68" t="s">
        <v>671</v>
      </c>
      <c r="R244" s="108" t="s">
        <v>19</v>
      </c>
      <c r="S244" s="108" t="s">
        <v>569</v>
      </c>
      <c r="T244" s="98">
        <v>0.35927288356950354</v>
      </c>
      <c r="U244" s="80">
        <v>0.93425410817573606</v>
      </c>
      <c r="V244" s="98">
        <v>1E-8</v>
      </c>
      <c r="W244" s="98">
        <v>1E-8</v>
      </c>
      <c r="X244" s="98">
        <v>1E-8</v>
      </c>
      <c r="Y244" s="98">
        <v>1E-8</v>
      </c>
      <c r="Z244" s="98">
        <v>1E-8</v>
      </c>
      <c r="AA244" s="98">
        <v>1E-8</v>
      </c>
      <c r="AB244" s="98">
        <v>1E-8</v>
      </c>
      <c r="AC244" s="98">
        <v>1E-8</v>
      </c>
      <c r="AD244" s="4"/>
    </row>
    <row r="245" spans="1:30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4"/>
      <c r="O245" s="4"/>
      <c r="P245" s="68"/>
      <c r="Q245" s="68" t="s">
        <v>672</v>
      </c>
      <c r="R245" s="108" t="s">
        <v>19</v>
      </c>
      <c r="S245" s="108" t="s">
        <v>570</v>
      </c>
      <c r="T245" s="98">
        <v>4.4345938571492091E-2</v>
      </c>
      <c r="U245" s="80">
        <v>3.1302288124916533</v>
      </c>
      <c r="V245" s="98">
        <v>1E-8</v>
      </c>
      <c r="W245" s="98">
        <v>1E-8</v>
      </c>
      <c r="X245" s="98">
        <v>1E-8</v>
      </c>
      <c r="Y245" s="98">
        <v>1E-8</v>
      </c>
      <c r="Z245" s="98">
        <v>1E-8</v>
      </c>
      <c r="AA245" s="98">
        <v>1E-8</v>
      </c>
      <c r="AB245" s="98">
        <v>1E-8</v>
      </c>
      <c r="AC245" s="98">
        <v>1E-8</v>
      </c>
      <c r="AD245" s="4"/>
    </row>
    <row r="246" spans="1:30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4"/>
      <c r="O246" s="4"/>
      <c r="P246" s="96"/>
      <c r="Q246" s="96" t="s">
        <v>673</v>
      </c>
      <c r="R246" s="107" t="s">
        <v>19</v>
      </c>
      <c r="S246" s="107" t="s">
        <v>355</v>
      </c>
      <c r="T246" s="97">
        <v>1.011485107407466</v>
      </c>
      <c r="U246" s="78">
        <v>-1.5295429581916764</v>
      </c>
      <c r="V246" s="97">
        <v>1E-8</v>
      </c>
      <c r="W246" s="97">
        <v>1E-8</v>
      </c>
      <c r="X246" s="97">
        <v>1E-8</v>
      </c>
      <c r="Y246" s="97">
        <v>1E-8</v>
      </c>
      <c r="Z246" s="97">
        <v>1E-8</v>
      </c>
      <c r="AA246" s="97">
        <v>1E-8</v>
      </c>
      <c r="AB246" s="97">
        <v>1E-8</v>
      </c>
      <c r="AC246" s="97">
        <v>1E-8</v>
      </c>
      <c r="AD246" s="4"/>
    </row>
    <row r="247" spans="1:30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4"/>
      <c r="O247" s="4"/>
      <c r="P247" s="96"/>
      <c r="Q247" s="96" t="s">
        <v>372</v>
      </c>
      <c r="R247" s="107" t="s">
        <v>19</v>
      </c>
      <c r="S247" s="107" t="s">
        <v>571</v>
      </c>
      <c r="T247" s="97">
        <v>4.9989923355177497E-2</v>
      </c>
      <c r="U247" s="78">
        <v>-0.10904573719561217</v>
      </c>
      <c r="V247" s="97">
        <v>1E-8</v>
      </c>
      <c r="W247" s="97">
        <v>1E-8</v>
      </c>
      <c r="X247" s="97">
        <v>1E-8</v>
      </c>
      <c r="Y247" s="97">
        <v>1E-8</v>
      </c>
      <c r="Z247" s="97">
        <v>1E-8</v>
      </c>
      <c r="AA247" s="97">
        <v>1E-8</v>
      </c>
      <c r="AB247" s="97">
        <v>1E-8</v>
      </c>
      <c r="AC247" s="97">
        <v>1E-8</v>
      </c>
      <c r="AD247" s="4"/>
    </row>
    <row r="248" spans="1:30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4"/>
      <c r="O248" s="4"/>
      <c r="P248" s="68"/>
      <c r="Q248" s="68" t="s">
        <v>674</v>
      </c>
      <c r="R248" s="108" t="s">
        <v>19</v>
      </c>
      <c r="S248" s="108" t="s">
        <v>572</v>
      </c>
      <c r="T248" s="98">
        <v>7.6570579057402242E-3</v>
      </c>
      <c r="U248" s="80">
        <v>3.1638015505031092E-2</v>
      </c>
      <c r="V248" s="98">
        <v>1E-8</v>
      </c>
      <c r="W248" s="98">
        <v>1E-8</v>
      </c>
      <c r="X248" s="98">
        <v>1E-8</v>
      </c>
      <c r="Y248" s="98">
        <v>1E-8</v>
      </c>
      <c r="Z248" s="98">
        <v>1E-8</v>
      </c>
      <c r="AA248" s="98">
        <v>1E-8</v>
      </c>
      <c r="AB248" s="98">
        <v>1E-8</v>
      </c>
      <c r="AC248" s="98">
        <v>1E-8</v>
      </c>
      <c r="AD248" s="4"/>
    </row>
    <row r="249" spans="1:30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4"/>
      <c r="O249" s="4"/>
      <c r="P249" s="68"/>
      <c r="Q249" s="68" t="s">
        <v>675</v>
      </c>
      <c r="R249" s="108" t="s">
        <v>19</v>
      </c>
      <c r="S249" s="108" t="s">
        <v>356</v>
      </c>
      <c r="T249" s="98">
        <v>3.5910969810597104E-2</v>
      </c>
      <c r="U249" s="80">
        <v>-6.8115406116064925E-2</v>
      </c>
      <c r="V249" s="98">
        <v>1E-8</v>
      </c>
      <c r="W249" s="98">
        <v>1E-8</v>
      </c>
      <c r="X249" s="98">
        <v>1E-8</v>
      </c>
      <c r="Y249" s="98">
        <v>1E-8</v>
      </c>
      <c r="Z249" s="98">
        <v>1E-8</v>
      </c>
      <c r="AA249" s="98">
        <v>1E-8</v>
      </c>
      <c r="AB249" s="98">
        <v>1E-8</v>
      </c>
      <c r="AC249" s="98">
        <v>1E-8</v>
      </c>
      <c r="AD249" s="4"/>
    </row>
    <row r="250" spans="1:30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4"/>
      <c r="O250" s="4"/>
      <c r="P250" s="68"/>
      <c r="Q250" s="68" t="s">
        <v>676</v>
      </c>
      <c r="R250" s="109" t="s">
        <v>19</v>
      </c>
      <c r="S250" s="109" t="s">
        <v>573</v>
      </c>
      <c r="T250" s="81">
        <v>6.4218956388401782E-3</v>
      </c>
      <c r="U250" s="82">
        <v>-0.50566873884585473</v>
      </c>
      <c r="V250" s="81">
        <v>1E-8</v>
      </c>
      <c r="W250" s="81">
        <v>1E-8</v>
      </c>
      <c r="X250" s="81">
        <v>1E-8</v>
      </c>
      <c r="Y250" s="81">
        <v>1E-8</v>
      </c>
      <c r="Z250" s="81">
        <v>1E-8</v>
      </c>
      <c r="AA250" s="81">
        <v>1E-8</v>
      </c>
      <c r="AB250" s="81">
        <v>1E-8</v>
      </c>
      <c r="AC250" s="81">
        <v>1E-8</v>
      </c>
      <c r="AD250" s="4"/>
    </row>
    <row r="251" spans="1:30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4"/>
      <c r="O251" s="4"/>
      <c r="P251" s="96"/>
      <c r="Q251" s="96" t="s">
        <v>373</v>
      </c>
      <c r="R251" s="107" t="s">
        <v>19</v>
      </c>
      <c r="S251" s="107" t="s">
        <v>574</v>
      </c>
      <c r="T251" s="97">
        <v>7.4948752370305627E-2</v>
      </c>
      <c r="U251" s="78">
        <v>0.3312074198776882</v>
      </c>
      <c r="V251" s="97">
        <v>1E-8</v>
      </c>
      <c r="W251" s="97">
        <v>1E-8</v>
      </c>
      <c r="X251" s="97">
        <v>1E-8</v>
      </c>
      <c r="Y251" s="97">
        <v>1E-8</v>
      </c>
      <c r="Z251" s="97">
        <v>1E-8</v>
      </c>
      <c r="AA251" s="97">
        <v>1E-8</v>
      </c>
      <c r="AB251" s="97">
        <v>1E-8</v>
      </c>
      <c r="AC251" s="97">
        <v>1E-8</v>
      </c>
      <c r="AD251" s="4"/>
    </row>
    <row r="252" spans="1:30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4"/>
      <c r="O252" s="4"/>
      <c r="P252" s="68"/>
      <c r="Q252" s="68" t="s">
        <v>677</v>
      </c>
      <c r="R252" s="108" t="s">
        <v>19</v>
      </c>
      <c r="S252" s="108" t="s">
        <v>575</v>
      </c>
      <c r="T252" s="98">
        <v>2.3672552792134254E-2</v>
      </c>
      <c r="U252" s="80">
        <v>1.8163411101946636</v>
      </c>
      <c r="V252" s="98">
        <v>1E-8</v>
      </c>
      <c r="W252" s="98">
        <v>1E-8</v>
      </c>
      <c r="X252" s="98">
        <v>1E-8</v>
      </c>
      <c r="Y252" s="98">
        <v>1E-8</v>
      </c>
      <c r="Z252" s="98">
        <v>1E-8</v>
      </c>
      <c r="AA252" s="98">
        <v>1E-8</v>
      </c>
      <c r="AB252" s="98">
        <v>1E-8</v>
      </c>
      <c r="AC252" s="98">
        <v>1E-8</v>
      </c>
      <c r="AD252" s="4"/>
    </row>
    <row r="253" spans="1:30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4"/>
      <c r="O253" s="4"/>
      <c r="P253" s="68"/>
      <c r="Q253" s="68" t="s">
        <v>678</v>
      </c>
      <c r="R253" s="108" t="s">
        <v>19</v>
      </c>
      <c r="S253" s="108" t="s">
        <v>576</v>
      </c>
      <c r="T253" s="98">
        <v>1.0450065520633978E-2</v>
      </c>
      <c r="U253" s="80">
        <v>-0.33737773600263088</v>
      </c>
      <c r="V253" s="98">
        <v>1E-8</v>
      </c>
      <c r="W253" s="98">
        <v>1E-8</v>
      </c>
      <c r="X253" s="98">
        <v>1E-8</v>
      </c>
      <c r="Y253" s="98">
        <v>1E-8</v>
      </c>
      <c r="Z253" s="98">
        <v>1E-8</v>
      </c>
      <c r="AA253" s="98">
        <v>1E-8</v>
      </c>
      <c r="AB253" s="98">
        <v>1E-8</v>
      </c>
      <c r="AC253" s="98">
        <v>1E-8</v>
      </c>
      <c r="AD253" s="4"/>
    </row>
    <row r="254" spans="1:30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4"/>
      <c r="O254" s="4"/>
      <c r="P254" s="68"/>
      <c r="Q254" s="68" t="s">
        <v>679</v>
      </c>
      <c r="R254" s="108" t="s">
        <v>19</v>
      </c>
      <c r="S254" s="108" t="s">
        <v>577</v>
      </c>
      <c r="T254" s="98">
        <v>4.0826134057537405E-2</v>
      </c>
      <c r="U254" s="80">
        <v>-0.35879538476291106</v>
      </c>
      <c r="V254" s="98">
        <v>1E-8</v>
      </c>
      <c r="W254" s="98">
        <v>1E-8</v>
      </c>
      <c r="X254" s="98">
        <v>1E-8</v>
      </c>
      <c r="Y254" s="98">
        <v>1E-8</v>
      </c>
      <c r="Z254" s="98">
        <v>1E-8</v>
      </c>
      <c r="AA254" s="98">
        <v>1E-8</v>
      </c>
      <c r="AB254" s="98">
        <v>1E-8</v>
      </c>
      <c r="AC254" s="98">
        <v>1E-8</v>
      </c>
      <c r="AD254" s="4"/>
    </row>
    <row r="255" spans="1:30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4"/>
      <c r="O255" s="4"/>
      <c r="P255" s="96"/>
      <c r="Q255" s="96" t="s">
        <v>195</v>
      </c>
      <c r="R255" s="107" t="s">
        <v>19</v>
      </c>
      <c r="S255" s="107" t="s">
        <v>578</v>
      </c>
      <c r="T255" s="97">
        <v>1E-8</v>
      </c>
      <c r="U255" s="78">
        <v>1E-8</v>
      </c>
      <c r="V255" s="97">
        <v>1E-8</v>
      </c>
      <c r="W255" s="97">
        <v>1E-8</v>
      </c>
      <c r="X255" s="97">
        <v>1E-8</v>
      </c>
      <c r="Y255" s="97">
        <v>1E-8</v>
      </c>
      <c r="Z255" s="97">
        <v>1E-8</v>
      </c>
      <c r="AA255" s="97">
        <v>1E-8</v>
      </c>
      <c r="AB255" s="97">
        <v>1E-8</v>
      </c>
      <c r="AC255" s="97">
        <v>1E-8</v>
      </c>
      <c r="AD255" s="4"/>
    </row>
    <row r="256" spans="1:30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4"/>
      <c r="O256" s="4"/>
      <c r="P256" s="68"/>
      <c r="Q256" s="68" t="s">
        <v>680</v>
      </c>
      <c r="R256" s="108" t="s">
        <v>19</v>
      </c>
      <c r="S256" s="108" t="s">
        <v>579</v>
      </c>
      <c r="T256" s="98">
        <v>1E-8</v>
      </c>
      <c r="U256" s="80">
        <v>1E-8</v>
      </c>
      <c r="V256" s="98">
        <v>1E-8</v>
      </c>
      <c r="W256" s="98">
        <v>1E-8</v>
      </c>
      <c r="X256" s="98">
        <v>1E-8</v>
      </c>
      <c r="Y256" s="98">
        <v>1E-8</v>
      </c>
      <c r="Z256" s="98">
        <v>1E-8</v>
      </c>
      <c r="AA256" s="98">
        <v>1E-8</v>
      </c>
      <c r="AB256" s="98">
        <v>1E-8</v>
      </c>
      <c r="AC256" s="98">
        <v>1E-8</v>
      </c>
      <c r="AD256" s="4"/>
    </row>
    <row r="257" spans="1:30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4"/>
      <c r="O257" s="4"/>
      <c r="P257" s="68"/>
      <c r="Q257" s="68" t="s">
        <v>681</v>
      </c>
      <c r="R257" s="108" t="s">
        <v>19</v>
      </c>
      <c r="S257" s="108" t="s">
        <v>357</v>
      </c>
      <c r="T257" s="98">
        <v>1E-8</v>
      </c>
      <c r="U257" s="80">
        <v>1E-8</v>
      </c>
      <c r="V257" s="98">
        <v>1E-8</v>
      </c>
      <c r="W257" s="98">
        <v>1E-8</v>
      </c>
      <c r="X257" s="98">
        <v>1E-8</v>
      </c>
      <c r="Y257" s="98">
        <v>1E-8</v>
      </c>
      <c r="Z257" s="98">
        <v>1E-8</v>
      </c>
      <c r="AA257" s="98">
        <v>1E-8</v>
      </c>
      <c r="AB257" s="98">
        <v>1E-8</v>
      </c>
      <c r="AC257" s="98">
        <v>1E-8</v>
      </c>
      <c r="AD257" s="4"/>
    </row>
    <row r="258" spans="1:30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4"/>
      <c r="O258" s="4"/>
      <c r="P258" s="96"/>
      <c r="Q258" s="96" t="s">
        <v>196</v>
      </c>
      <c r="R258" s="107" t="s">
        <v>19</v>
      </c>
      <c r="S258" s="107" t="s">
        <v>580</v>
      </c>
      <c r="T258" s="97">
        <v>1.6894482897233207</v>
      </c>
      <c r="U258" s="78">
        <v>0.96268170460573899</v>
      </c>
      <c r="V258" s="97">
        <v>1E-8</v>
      </c>
      <c r="W258" s="97">
        <v>1E-8</v>
      </c>
      <c r="X258" s="97">
        <v>1E-8</v>
      </c>
      <c r="Y258" s="97">
        <v>1E-8</v>
      </c>
      <c r="Z258" s="97">
        <v>1E-8</v>
      </c>
      <c r="AA258" s="97">
        <v>1E-8</v>
      </c>
      <c r="AB258" s="97">
        <v>1E-8</v>
      </c>
      <c r="AC258" s="97">
        <v>1E-8</v>
      </c>
      <c r="AD258" s="4"/>
    </row>
    <row r="259" spans="1:30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4"/>
      <c r="O259" s="4"/>
      <c r="P259" s="68"/>
      <c r="Q259" s="68" t="s">
        <v>682</v>
      </c>
      <c r="R259" s="108" t="s">
        <v>19</v>
      </c>
      <c r="S259" s="108" t="s">
        <v>581</v>
      </c>
      <c r="T259" s="98">
        <v>4.4733254942486533E-2</v>
      </c>
      <c r="U259" s="80">
        <v>-2.2183255182954165</v>
      </c>
      <c r="V259" s="98">
        <v>1E-8</v>
      </c>
      <c r="W259" s="98">
        <v>1E-8</v>
      </c>
      <c r="X259" s="98">
        <v>1E-8</v>
      </c>
      <c r="Y259" s="98">
        <v>1E-8</v>
      </c>
      <c r="Z259" s="98">
        <v>1E-8</v>
      </c>
      <c r="AA259" s="98">
        <v>1E-8</v>
      </c>
      <c r="AB259" s="98">
        <v>1E-8</v>
      </c>
      <c r="AC259" s="98">
        <v>1E-8</v>
      </c>
      <c r="AD259" s="4"/>
    </row>
    <row r="260" spans="1:30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4"/>
      <c r="O260" s="4"/>
      <c r="P260" s="68"/>
      <c r="Q260" s="68" t="s">
        <v>683</v>
      </c>
      <c r="R260" s="108" t="s">
        <v>19</v>
      </c>
      <c r="S260" s="108" t="s">
        <v>582</v>
      </c>
      <c r="T260" s="98">
        <v>1.3773809771230217E-2</v>
      </c>
      <c r="U260" s="80">
        <v>0.25952363552428359</v>
      </c>
      <c r="V260" s="98">
        <v>1E-8</v>
      </c>
      <c r="W260" s="98">
        <v>1E-8</v>
      </c>
      <c r="X260" s="98">
        <v>1E-8</v>
      </c>
      <c r="Y260" s="98">
        <v>1E-8</v>
      </c>
      <c r="Z260" s="98">
        <v>1E-8</v>
      </c>
      <c r="AA260" s="98">
        <v>1E-8</v>
      </c>
      <c r="AB260" s="98">
        <v>1E-8</v>
      </c>
      <c r="AC260" s="98">
        <v>1E-8</v>
      </c>
      <c r="AD260" s="4"/>
    </row>
    <row r="261" spans="1:30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4"/>
      <c r="O261" s="4"/>
      <c r="P261" s="68"/>
      <c r="Q261" s="68" t="s">
        <v>684</v>
      </c>
      <c r="R261" s="108" t="s">
        <v>19</v>
      </c>
      <c r="S261" s="108" t="s">
        <v>583</v>
      </c>
      <c r="T261" s="98">
        <v>0.16096051182077964</v>
      </c>
      <c r="U261" s="80">
        <v>1.9781893354897662</v>
      </c>
      <c r="V261" s="98">
        <v>1E-8</v>
      </c>
      <c r="W261" s="98">
        <v>1E-8</v>
      </c>
      <c r="X261" s="98">
        <v>1E-8</v>
      </c>
      <c r="Y261" s="98">
        <v>1E-8</v>
      </c>
      <c r="Z261" s="98">
        <v>1E-8</v>
      </c>
      <c r="AA261" s="98">
        <v>1E-8</v>
      </c>
      <c r="AB261" s="98">
        <v>1E-8</v>
      </c>
      <c r="AC261" s="98">
        <v>1E-8</v>
      </c>
      <c r="AD261" s="4"/>
    </row>
    <row r="262" spans="1:30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4"/>
      <c r="O262" s="4"/>
      <c r="P262" s="68"/>
      <c r="Q262" s="68" t="s">
        <v>685</v>
      </c>
      <c r="R262" s="108" t="s">
        <v>19</v>
      </c>
      <c r="S262" s="108" t="s">
        <v>584</v>
      </c>
      <c r="T262" s="98">
        <v>1.9296026544934036E-2</v>
      </c>
      <c r="U262" s="80">
        <v>-1.2517820392406009</v>
      </c>
      <c r="V262" s="98">
        <v>1E-8</v>
      </c>
      <c r="W262" s="98">
        <v>1E-8</v>
      </c>
      <c r="X262" s="98">
        <v>1E-8</v>
      </c>
      <c r="Y262" s="98">
        <v>1E-8</v>
      </c>
      <c r="Z262" s="98">
        <v>1E-8</v>
      </c>
      <c r="AA262" s="98">
        <v>1E-8</v>
      </c>
      <c r="AB262" s="98">
        <v>1E-8</v>
      </c>
      <c r="AC262" s="98">
        <v>1E-8</v>
      </c>
      <c r="AD262" s="4"/>
    </row>
    <row r="263" spans="1:30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4"/>
      <c r="O263" s="4"/>
      <c r="P263" s="68"/>
      <c r="Q263" s="68" t="s">
        <v>686</v>
      </c>
      <c r="R263" s="109" t="s">
        <v>19</v>
      </c>
      <c r="S263" s="109" t="s">
        <v>585</v>
      </c>
      <c r="T263" s="81">
        <v>1.4506846866438903</v>
      </c>
      <c r="U263" s="82">
        <v>0.98422718309969515</v>
      </c>
      <c r="V263" s="81">
        <v>1E-8</v>
      </c>
      <c r="W263" s="81">
        <v>1E-8</v>
      </c>
      <c r="X263" s="81">
        <v>1E-8</v>
      </c>
      <c r="Y263" s="81">
        <v>1E-8</v>
      </c>
      <c r="Z263" s="81">
        <v>1E-8</v>
      </c>
      <c r="AA263" s="81">
        <v>1E-8</v>
      </c>
      <c r="AB263" s="81">
        <v>1E-8</v>
      </c>
      <c r="AC263" s="81">
        <v>1E-8</v>
      </c>
      <c r="AD263" s="4"/>
    </row>
    <row r="264" spans="1:30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4"/>
      <c r="O264" s="4"/>
      <c r="P264" s="96"/>
      <c r="Q264" s="96" t="s">
        <v>687</v>
      </c>
      <c r="R264" s="107" t="s">
        <v>19</v>
      </c>
      <c r="S264" s="107" t="s">
        <v>358</v>
      </c>
      <c r="T264" s="97">
        <v>1.2893501016756403</v>
      </c>
      <c r="U264" s="78">
        <v>-8.0437635443642019E-2</v>
      </c>
      <c r="V264" s="97">
        <v>1E-8</v>
      </c>
      <c r="W264" s="97">
        <v>1E-8</v>
      </c>
      <c r="X264" s="97">
        <v>1E-8</v>
      </c>
      <c r="Y264" s="97">
        <v>1E-8</v>
      </c>
      <c r="Z264" s="97">
        <v>1E-8</v>
      </c>
      <c r="AA264" s="97">
        <v>1E-8</v>
      </c>
      <c r="AB264" s="97">
        <v>1E-8</v>
      </c>
      <c r="AC264" s="97">
        <v>1E-8</v>
      </c>
      <c r="AD264" s="4"/>
    </row>
    <row r="265" spans="1:30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4"/>
      <c r="O265" s="4"/>
      <c r="P265" s="96"/>
      <c r="Q265" s="96" t="s">
        <v>688</v>
      </c>
      <c r="R265" s="107" t="s">
        <v>19</v>
      </c>
      <c r="S265" s="107" t="s">
        <v>359</v>
      </c>
      <c r="T265" s="97">
        <v>0.45660690901181439</v>
      </c>
      <c r="U265" s="78">
        <v>-0.80147679254928272</v>
      </c>
      <c r="V265" s="97">
        <v>1E-8</v>
      </c>
      <c r="W265" s="97">
        <v>1E-8</v>
      </c>
      <c r="X265" s="97">
        <v>1E-8</v>
      </c>
      <c r="Y265" s="97">
        <v>1E-8</v>
      </c>
      <c r="Z265" s="97">
        <v>1E-8</v>
      </c>
      <c r="AA265" s="97">
        <v>1E-8</v>
      </c>
      <c r="AB265" s="97">
        <v>1E-8</v>
      </c>
      <c r="AC265" s="97">
        <v>1E-8</v>
      </c>
      <c r="AD265" s="4"/>
    </row>
    <row r="266" spans="1:30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4"/>
      <c r="O266" s="4"/>
      <c r="P266" s="96"/>
      <c r="Q266" s="96" t="s">
        <v>689</v>
      </c>
      <c r="R266" s="107" t="s">
        <v>19</v>
      </c>
      <c r="S266" s="107" t="s">
        <v>360</v>
      </c>
      <c r="T266" s="97">
        <v>3.4592888212911538E-2</v>
      </c>
      <c r="U266" s="78">
        <v>-2.1997561502630436</v>
      </c>
      <c r="V266" s="97">
        <v>1E-8</v>
      </c>
      <c r="W266" s="97">
        <v>1E-8</v>
      </c>
      <c r="X266" s="97">
        <v>1E-8</v>
      </c>
      <c r="Y266" s="97">
        <v>1E-8</v>
      </c>
      <c r="Z266" s="97">
        <v>1E-8</v>
      </c>
      <c r="AA266" s="97">
        <v>1E-8</v>
      </c>
      <c r="AB266" s="97">
        <v>1E-8</v>
      </c>
      <c r="AC266" s="97">
        <v>1E-8</v>
      </c>
      <c r="AD266" s="4"/>
    </row>
    <row r="267" spans="1:30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4"/>
      <c r="O267" s="4"/>
      <c r="P267" s="96"/>
      <c r="Q267" s="96" t="s">
        <v>205</v>
      </c>
      <c r="R267" s="107" t="s">
        <v>19</v>
      </c>
      <c r="S267" s="107" t="s">
        <v>586</v>
      </c>
      <c r="T267" s="97">
        <v>2.0456424883287578</v>
      </c>
      <c r="U267" s="78">
        <v>-0.6538476236320534</v>
      </c>
      <c r="V267" s="97">
        <v>1E-8</v>
      </c>
      <c r="W267" s="97">
        <v>1E-8</v>
      </c>
      <c r="X267" s="97">
        <v>1E-8</v>
      </c>
      <c r="Y267" s="97">
        <v>1E-8</v>
      </c>
      <c r="Z267" s="97">
        <v>1E-8</v>
      </c>
      <c r="AA267" s="97">
        <v>1E-8</v>
      </c>
      <c r="AB267" s="97">
        <v>1E-8</v>
      </c>
      <c r="AC267" s="97">
        <v>1E-8</v>
      </c>
      <c r="AD267" s="4"/>
    </row>
    <row r="268" spans="1:30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4"/>
      <c r="O268" s="4"/>
      <c r="P268" s="68"/>
      <c r="Q268" s="68" t="s">
        <v>690</v>
      </c>
      <c r="R268" s="108" t="s">
        <v>19</v>
      </c>
      <c r="S268" s="108" t="s">
        <v>587</v>
      </c>
      <c r="T268" s="98">
        <v>8.0923747122633983E-4</v>
      </c>
      <c r="U268" s="80">
        <v>-0.53570905416671089</v>
      </c>
      <c r="V268" s="98">
        <v>1E-8</v>
      </c>
      <c r="W268" s="98">
        <v>1E-8</v>
      </c>
      <c r="X268" s="98">
        <v>1E-8</v>
      </c>
      <c r="Y268" s="98">
        <v>1E-8</v>
      </c>
      <c r="Z268" s="98">
        <v>1E-8</v>
      </c>
      <c r="AA268" s="98">
        <v>1E-8</v>
      </c>
      <c r="AB268" s="98">
        <v>1E-8</v>
      </c>
      <c r="AC268" s="98">
        <v>1E-8</v>
      </c>
      <c r="AD268" s="4"/>
    </row>
    <row r="269" spans="1:30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4"/>
      <c r="O269" s="4"/>
      <c r="P269" s="68"/>
      <c r="Q269" s="68" t="s">
        <v>691</v>
      </c>
      <c r="R269" s="108" t="s">
        <v>19</v>
      </c>
      <c r="S269" s="108" t="s">
        <v>588</v>
      </c>
      <c r="T269" s="98">
        <v>6.5846463943905559E-2</v>
      </c>
      <c r="U269" s="80">
        <v>-8.1548721095114907E-3</v>
      </c>
      <c r="V269" s="98">
        <v>1E-8</v>
      </c>
      <c r="W269" s="98">
        <v>1E-8</v>
      </c>
      <c r="X269" s="98">
        <v>1E-8</v>
      </c>
      <c r="Y269" s="98">
        <v>1E-8</v>
      </c>
      <c r="Z269" s="98">
        <v>1E-8</v>
      </c>
      <c r="AA269" s="98">
        <v>1E-8</v>
      </c>
      <c r="AB269" s="98">
        <v>1E-8</v>
      </c>
      <c r="AC269" s="98">
        <v>1E-8</v>
      </c>
      <c r="AD269" s="4"/>
    </row>
    <row r="270" spans="1:30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4"/>
      <c r="O270" s="4"/>
      <c r="P270" s="68"/>
      <c r="Q270" s="68" t="s">
        <v>692</v>
      </c>
      <c r="R270" s="108" t="s">
        <v>19</v>
      </c>
      <c r="S270" s="108" t="s">
        <v>589</v>
      </c>
      <c r="T270" s="98">
        <v>1.1870975634491132E-2</v>
      </c>
      <c r="U270" s="80">
        <v>1.582121382830004</v>
      </c>
      <c r="V270" s="98">
        <v>1E-8</v>
      </c>
      <c r="W270" s="98">
        <v>1E-8</v>
      </c>
      <c r="X270" s="98">
        <v>1E-8</v>
      </c>
      <c r="Y270" s="98">
        <v>1E-8</v>
      </c>
      <c r="Z270" s="98">
        <v>1E-8</v>
      </c>
      <c r="AA270" s="98">
        <v>1E-8</v>
      </c>
      <c r="AB270" s="98">
        <v>1E-8</v>
      </c>
      <c r="AC270" s="98">
        <v>1E-8</v>
      </c>
      <c r="AD270" s="4"/>
    </row>
    <row r="271" spans="1:30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4"/>
      <c r="O271" s="4"/>
      <c r="P271" s="68"/>
      <c r="Q271" s="68" t="s">
        <v>693</v>
      </c>
      <c r="R271" s="108" t="s">
        <v>19</v>
      </c>
      <c r="S271" s="108" t="s">
        <v>361</v>
      </c>
      <c r="T271" s="98">
        <v>1.5498786145308641</v>
      </c>
      <c r="U271" s="80">
        <v>-0.884591062395923</v>
      </c>
      <c r="V271" s="98">
        <v>1E-8</v>
      </c>
      <c r="W271" s="98">
        <v>1E-8</v>
      </c>
      <c r="X271" s="98">
        <v>1E-8</v>
      </c>
      <c r="Y271" s="98">
        <v>1E-8</v>
      </c>
      <c r="Z271" s="98">
        <v>1E-8</v>
      </c>
      <c r="AA271" s="98">
        <v>1E-8</v>
      </c>
      <c r="AB271" s="98">
        <v>1E-8</v>
      </c>
      <c r="AC271" s="98">
        <v>1E-8</v>
      </c>
      <c r="AD271" s="4"/>
    </row>
    <row r="272" spans="1:30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4"/>
      <c r="O272" s="4"/>
      <c r="P272" s="68"/>
      <c r="Q272" s="68" t="s">
        <v>694</v>
      </c>
      <c r="R272" s="108" t="s">
        <v>19</v>
      </c>
      <c r="S272" s="108" t="s">
        <v>590</v>
      </c>
      <c r="T272" s="98">
        <v>0.41723719674827087</v>
      </c>
      <c r="U272" s="80">
        <v>3.7531292718795406E-2</v>
      </c>
      <c r="V272" s="98">
        <v>1E-8</v>
      </c>
      <c r="W272" s="98">
        <v>1E-8</v>
      </c>
      <c r="X272" s="98">
        <v>1E-8</v>
      </c>
      <c r="Y272" s="98">
        <v>1E-8</v>
      </c>
      <c r="Z272" s="98">
        <v>1E-8</v>
      </c>
      <c r="AA272" s="98">
        <v>1E-8</v>
      </c>
      <c r="AB272" s="98">
        <v>1E-8</v>
      </c>
      <c r="AC272" s="98">
        <v>1E-8</v>
      </c>
      <c r="AD272" s="4"/>
    </row>
    <row r="273" spans="1:30" ht="15" thickBo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4"/>
      <c r="O273" s="4"/>
      <c r="P273" s="102"/>
      <c r="Q273" s="102" t="s">
        <v>695</v>
      </c>
      <c r="R273" s="113" t="s">
        <v>19</v>
      </c>
      <c r="S273" s="113" t="s">
        <v>591</v>
      </c>
      <c r="T273" s="103">
        <v>1E-8</v>
      </c>
      <c r="U273" s="104">
        <v>1E-8</v>
      </c>
      <c r="V273" s="103">
        <v>1E-8</v>
      </c>
      <c r="W273" s="103">
        <v>1E-8</v>
      </c>
      <c r="X273" s="103">
        <v>1E-8</v>
      </c>
      <c r="Y273" s="103">
        <v>1E-8</v>
      </c>
      <c r="Z273" s="103">
        <v>1E-8</v>
      </c>
      <c r="AA273" s="103">
        <v>1E-8</v>
      </c>
      <c r="AB273" s="103">
        <v>1E-8</v>
      </c>
      <c r="AC273" s="103">
        <v>1E-8</v>
      </c>
      <c r="AD273" s="4"/>
    </row>
    <row r="274" spans="1:30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4"/>
      <c r="O274" s="4"/>
      <c r="P274" s="47" t="s">
        <v>478</v>
      </c>
      <c r="Q274" s="47" t="s">
        <v>102</v>
      </c>
      <c r="R274" s="105" t="s">
        <v>27</v>
      </c>
      <c r="S274" s="105" t="s">
        <v>288</v>
      </c>
      <c r="T274" s="95">
        <v>100</v>
      </c>
      <c r="U274" s="74">
        <v>1E-8</v>
      </c>
      <c r="V274" s="95">
        <v>1E-8</v>
      </c>
      <c r="W274" s="95">
        <v>1E-8</v>
      </c>
      <c r="X274" s="95">
        <v>1E-8</v>
      </c>
      <c r="Y274" s="95">
        <v>1E-8</v>
      </c>
      <c r="Z274" s="95">
        <v>1E-8</v>
      </c>
      <c r="AA274" s="95">
        <v>1E-8</v>
      </c>
      <c r="AB274" s="95">
        <v>1E-8</v>
      </c>
      <c r="AC274" s="95">
        <v>1E-8</v>
      </c>
      <c r="AD274" s="4"/>
    </row>
    <row r="275" spans="1:30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4"/>
      <c r="O275" s="4"/>
      <c r="P275" s="47" t="s">
        <v>476</v>
      </c>
      <c r="Q275" s="47" t="s">
        <v>278</v>
      </c>
      <c r="R275" s="106" t="s">
        <v>27</v>
      </c>
      <c r="S275" s="106" t="s">
        <v>289</v>
      </c>
      <c r="T275" s="75">
        <v>19.056478547170137</v>
      </c>
      <c r="U275" s="76">
        <v>0.59575455688773982</v>
      </c>
      <c r="V275" s="75">
        <v>1E-8</v>
      </c>
      <c r="W275" s="75">
        <v>1E-8</v>
      </c>
      <c r="X275" s="75">
        <v>1E-8</v>
      </c>
      <c r="Y275" s="75">
        <v>1E-8</v>
      </c>
      <c r="Z275" s="75">
        <v>1E-8</v>
      </c>
      <c r="AA275" s="75">
        <v>1E-8</v>
      </c>
      <c r="AB275" s="75">
        <v>1E-8</v>
      </c>
      <c r="AC275" s="75">
        <v>1E-8</v>
      </c>
      <c r="AD275" s="4"/>
    </row>
    <row r="276" spans="1:30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4"/>
      <c r="O276" s="4"/>
      <c r="P276" s="96"/>
      <c r="Q276" s="96" t="s">
        <v>279</v>
      </c>
      <c r="R276" s="107" t="s">
        <v>27</v>
      </c>
      <c r="S276" s="107" t="s">
        <v>290</v>
      </c>
      <c r="T276" s="97">
        <v>13.450850976092296</v>
      </c>
      <c r="U276" s="78">
        <v>0.84661746108580793</v>
      </c>
      <c r="V276" s="97">
        <v>1E-8</v>
      </c>
      <c r="W276" s="97">
        <v>1E-8</v>
      </c>
      <c r="X276" s="97">
        <v>1E-8</v>
      </c>
      <c r="Y276" s="97">
        <v>1E-8</v>
      </c>
      <c r="Z276" s="97">
        <v>1E-8</v>
      </c>
      <c r="AA276" s="97">
        <v>1E-8</v>
      </c>
      <c r="AB276" s="97">
        <v>1E-8</v>
      </c>
      <c r="AC276" s="97">
        <v>1E-8</v>
      </c>
      <c r="AD276" s="4"/>
    </row>
    <row r="277" spans="1:30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4"/>
      <c r="O277" s="4"/>
      <c r="P277" s="96"/>
      <c r="Q277" s="96" t="s">
        <v>362</v>
      </c>
      <c r="R277" s="107" t="s">
        <v>27</v>
      </c>
      <c r="S277" s="107" t="s">
        <v>291</v>
      </c>
      <c r="T277" s="97">
        <v>12.261558459090551</v>
      </c>
      <c r="U277" s="78">
        <v>-4.9173313550376907E-2</v>
      </c>
      <c r="V277" s="97">
        <v>1E-8</v>
      </c>
      <c r="W277" s="97">
        <v>1E-8</v>
      </c>
      <c r="X277" s="97">
        <v>1E-8</v>
      </c>
      <c r="Y277" s="97">
        <v>1E-8</v>
      </c>
      <c r="Z277" s="97">
        <v>1E-8</v>
      </c>
      <c r="AA277" s="97">
        <v>1E-8</v>
      </c>
      <c r="AB277" s="97">
        <v>1E-8</v>
      </c>
      <c r="AC277" s="97">
        <v>1E-8</v>
      </c>
      <c r="AD277" s="4"/>
    </row>
    <row r="278" spans="1:30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4"/>
      <c r="O278" s="4"/>
      <c r="P278" s="96"/>
      <c r="Q278" s="96" t="s">
        <v>363</v>
      </c>
      <c r="R278" s="107" t="s">
        <v>27</v>
      </c>
      <c r="S278" s="107" t="s">
        <v>292</v>
      </c>
      <c r="T278" s="97">
        <v>1.1892925170017454</v>
      </c>
      <c r="U278" s="78">
        <v>10.08218465191144</v>
      </c>
      <c r="V278" s="97">
        <v>1E-8</v>
      </c>
      <c r="W278" s="97">
        <v>1E-8</v>
      </c>
      <c r="X278" s="97">
        <v>1E-8</v>
      </c>
      <c r="Y278" s="97">
        <v>1E-8</v>
      </c>
      <c r="Z278" s="97">
        <v>1E-8</v>
      </c>
      <c r="AA278" s="97">
        <v>1E-8</v>
      </c>
      <c r="AB278" s="97">
        <v>1E-8</v>
      </c>
      <c r="AC278" s="97">
        <v>1E-8</v>
      </c>
      <c r="AD278" s="4"/>
    </row>
    <row r="279" spans="1:30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4"/>
      <c r="O279" s="4"/>
      <c r="P279" s="68"/>
      <c r="Q279" s="68" t="s">
        <v>592</v>
      </c>
      <c r="R279" s="108" t="s">
        <v>27</v>
      </c>
      <c r="S279" s="108" t="s">
        <v>294</v>
      </c>
      <c r="T279" s="98">
        <v>0.46046677961175353</v>
      </c>
      <c r="U279" s="80">
        <v>1.192772600337344</v>
      </c>
      <c r="V279" s="98">
        <v>1E-8</v>
      </c>
      <c r="W279" s="98">
        <v>1E-8</v>
      </c>
      <c r="X279" s="98">
        <v>1E-8</v>
      </c>
      <c r="Y279" s="98">
        <v>1E-8</v>
      </c>
      <c r="Z279" s="98">
        <v>1E-8</v>
      </c>
      <c r="AA279" s="98">
        <v>1E-8</v>
      </c>
      <c r="AB279" s="98">
        <v>1E-8</v>
      </c>
      <c r="AC279" s="98">
        <v>1E-8</v>
      </c>
      <c r="AD279" s="4"/>
    </row>
    <row r="280" spans="1:30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4"/>
      <c r="O280" s="4"/>
      <c r="P280" s="68"/>
      <c r="Q280" s="68" t="s">
        <v>593</v>
      </c>
      <c r="R280" s="108" t="s">
        <v>27</v>
      </c>
      <c r="S280" s="108" t="s">
        <v>293</v>
      </c>
      <c r="T280" s="98">
        <v>1.073522316400485</v>
      </c>
      <c r="U280" s="80">
        <v>2.1401013080714071</v>
      </c>
      <c r="V280" s="98">
        <v>1E-8</v>
      </c>
      <c r="W280" s="98">
        <v>1E-8</v>
      </c>
      <c r="X280" s="98">
        <v>1E-8</v>
      </c>
      <c r="Y280" s="98">
        <v>1E-8</v>
      </c>
      <c r="Z280" s="98">
        <v>1E-8</v>
      </c>
      <c r="AA280" s="98">
        <v>1E-8</v>
      </c>
      <c r="AB280" s="98">
        <v>1E-8</v>
      </c>
      <c r="AC280" s="98">
        <v>1E-8</v>
      </c>
      <c r="AD280" s="4"/>
    </row>
    <row r="281" spans="1:30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4"/>
      <c r="O281" s="4"/>
      <c r="P281" s="68"/>
      <c r="Q281" s="68" t="s">
        <v>594</v>
      </c>
      <c r="R281" s="108" t="s">
        <v>27</v>
      </c>
      <c r="S281" s="108" t="s">
        <v>296</v>
      </c>
      <c r="T281" s="98">
        <v>3.7970245614784022E-2</v>
      </c>
      <c r="U281" s="80">
        <v>3.196033532376652</v>
      </c>
      <c r="V281" s="98">
        <v>1E-8</v>
      </c>
      <c r="W281" s="98">
        <v>1E-8</v>
      </c>
      <c r="X281" s="98">
        <v>1E-8</v>
      </c>
      <c r="Y281" s="98">
        <v>1E-8</v>
      </c>
      <c r="Z281" s="98">
        <v>1E-8</v>
      </c>
      <c r="AA281" s="98">
        <v>1E-8</v>
      </c>
      <c r="AB281" s="98">
        <v>1E-8</v>
      </c>
      <c r="AC281" s="98">
        <v>1E-8</v>
      </c>
      <c r="AD281" s="4"/>
    </row>
    <row r="282" spans="1:30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4"/>
      <c r="O282" s="4"/>
      <c r="P282" s="68"/>
      <c r="Q282" s="68" t="s">
        <v>595</v>
      </c>
      <c r="R282" s="108" t="s">
        <v>27</v>
      </c>
      <c r="S282" s="108" t="s">
        <v>295</v>
      </c>
      <c r="T282" s="98">
        <v>0.66555720705418731</v>
      </c>
      <c r="U282" s="80">
        <v>0.52713013210266002</v>
      </c>
      <c r="V282" s="98">
        <v>1E-8</v>
      </c>
      <c r="W282" s="98">
        <v>1E-8</v>
      </c>
      <c r="X282" s="98">
        <v>1E-8</v>
      </c>
      <c r="Y282" s="98">
        <v>1E-8</v>
      </c>
      <c r="Z282" s="98">
        <v>1E-8</v>
      </c>
      <c r="AA282" s="98">
        <v>1E-8</v>
      </c>
      <c r="AB282" s="98">
        <v>1E-8</v>
      </c>
      <c r="AC282" s="98">
        <v>1E-8</v>
      </c>
      <c r="AD282" s="4"/>
    </row>
    <row r="283" spans="1:30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4"/>
      <c r="O283" s="4"/>
      <c r="P283" s="68"/>
      <c r="Q283" s="68" t="s">
        <v>596</v>
      </c>
      <c r="R283" s="108" t="s">
        <v>27</v>
      </c>
      <c r="S283" s="108" t="s">
        <v>297</v>
      </c>
      <c r="T283" s="98">
        <v>3.2083937939133807E-3</v>
      </c>
      <c r="U283" s="80">
        <v>3.2055436079563737</v>
      </c>
      <c r="V283" s="98">
        <v>1E-8</v>
      </c>
      <c r="W283" s="98">
        <v>1E-8</v>
      </c>
      <c r="X283" s="98">
        <v>1E-8</v>
      </c>
      <c r="Y283" s="98">
        <v>1E-8</v>
      </c>
      <c r="Z283" s="98">
        <v>1E-8</v>
      </c>
      <c r="AA283" s="98">
        <v>1E-8</v>
      </c>
      <c r="AB283" s="98">
        <v>1E-8</v>
      </c>
      <c r="AC283" s="98">
        <v>1E-8</v>
      </c>
      <c r="AD283" s="4"/>
    </row>
    <row r="284" spans="1:30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4"/>
      <c r="O284" s="4"/>
      <c r="P284" s="68"/>
      <c r="Q284" s="68" t="s">
        <v>597</v>
      </c>
      <c r="R284" s="108" t="s">
        <v>27</v>
      </c>
      <c r="S284" s="108" t="s">
        <v>301</v>
      </c>
      <c r="T284" s="98">
        <v>1.3217603052593001</v>
      </c>
      <c r="U284" s="80">
        <v>-1.1188655783951784</v>
      </c>
      <c r="V284" s="98">
        <v>1E-8</v>
      </c>
      <c r="W284" s="98">
        <v>1E-8</v>
      </c>
      <c r="X284" s="98">
        <v>1E-8</v>
      </c>
      <c r="Y284" s="98">
        <v>1E-8</v>
      </c>
      <c r="Z284" s="98">
        <v>1E-8</v>
      </c>
      <c r="AA284" s="98">
        <v>1E-8</v>
      </c>
      <c r="AB284" s="98">
        <v>1E-8</v>
      </c>
      <c r="AC284" s="98">
        <v>1E-8</v>
      </c>
      <c r="AD284" s="4"/>
    </row>
    <row r="285" spans="1:30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4"/>
      <c r="O285" s="4"/>
      <c r="P285" s="68"/>
      <c r="Q285" s="68" t="s">
        <v>598</v>
      </c>
      <c r="R285" s="108" t="s">
        <v>27</v>
      </c>
      <c r="S285" s="108" t="s">
        <v>302</v>
      </c>
      <c r="T285" s="98">
        <v>1.1713760722750921</v>
      </c>
      <c r="U285" s="80">
        <v>-2.0364566604502365</v>
      </c>
      <c r="V285" s="98">
        <v>1E-8</v>
      </c>
      <c r="W285" s="98">
        <v>1E-8</v>
      </c>
      <c r="X285" s="98">
        <v>1E-8</v>
      </c>
      <c r="Y285" s="98">
        <v>1E-8</v>
      </c>
      <c r="Z285" s="98">
        <v>1E-8</v>
      </c>
      <c r="AA285" s="98">
        <v>1E-8</v>
      </c>
      <c r="AB285" s="98">
        <v>1E-8</v>
      </c>
      <c r="AC285" s="98">
        <v>1E-8</v>
      </c>
      <c r="AD285" s="4"/>
    </row>
    <row r="286" spans="1:30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4"/>
      <c r="O286" s="4"/>
      <c r="P286" s="68"/>
      <c r="Q286" s="68" t="s">
        <v>599</v>
      </c>
      <c r="R286" s="108" t="s">
        <v>27</v>
      </c>
      <c r="S286" s="108" t="s">
        <v>300</v>
      </c>
      <c r="T286" s="98">
        <v>0.91129640890738861</v>
      </c>
      <c r="U286" s="80">
        <v>0.35769285145708096</v>
      </c>
      <c r="V286" s="98">
        <v>1E-8</v>
      </c>
      <c r="W286" s="98">
        <v>1E-8</v>
      </c>
      <c r="X286" s="98">
        <v>1E-8</v>
      </c>
      <c r="Y286" s="98">
        <v>1E-8</v>
      </c>
      <c r="Z286" s="98">
        <v>1E-8</v>
      </c>
      <c r="AA286" s="98">
        <v>1E-8</v>
      </c>
      <c r="AB286" s="98">
        <v>1E-8</v>
      </c>
      <c r="AC286" s="98">
        <v>1E-8</v>
      </c>
      <c r="AD286" s="4"/>
    </row>
    <row r="287" spans="1:30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4"/>
      <c r="O287" s="4"/>
      <c r="P287" s="68"/>
      <c r="Q287" s="68" t="s">
        <v>600</v>
      </c>
      <c r="R287" s="108" t="s">
        <v>27</v>
      </c>
      <c r="S287" s="108" t="s">
        <v>303</v>
      </c>
      <c r="T287" s="98">
        <v>0.17389898596535119</v>
      </c>
      <c r="U287" s="80">
        <v>-1.7023966898005116</v>
      </c>
      <c r="V287" s="98">
        <v>1E-8</v>
      </c>
      <c r="W287" s="98">
        <v>1E-8</v>
      </c>
      <c r="X287" s="98">
        <v>1E-8</v>
      </c>
      <c r="Y287" s="98">
        <v>1E-8</v>
      </c>
      <c r="Z287" s="98">
        <v>1E-8</v>
      </c>
      <c r="AA287" s="98">
        <v>1E-8</v>
      </c>
      <c r="AB287" s="98">
        <v>1E-8</v>
      </c>
      <c r="AC287" s="98">
        <v>1E-8</v>
      </c>
      <c r="AD287" s="4"/>
    </row>
    <row r="288" spans="1:30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4"/>
      <c r="O288" s="4"/>
      <c r="P288" s="68"/>
      <c r="Q288" s="68" t="s">
        <v>601</v>
      </c>
      <c r="R288" s="108" t="s">
        <v>27</v>
      </c>
      <c r="S288" s="108" t="s">
        <v>533</v>
      </c>
      <c r="T288" s="98">
        <v>2.14282690628984</v>
      </c>
      <c r="U288" s="80">
        <v>-3.7724303743003063E-2</v>
      </c>
      <c r="V288" s="98">
        <v>1E-8</v>
      </c>
      <c r="W288" s="98">
        <v>1E-8</v>
      </c>
      <c r="X288" s="98">
        <v>1E-8</v>
      </c>
      <c r="Y288" s="98">
        <v>1E-8</v>
      </c>
      <c r="Z288" s="98">
        <v>1E-8</v>
      </c>
      <c r="AA288" s="98">
        <v>1E-8</v>
      </c>
      <c r="AB288" s="98">
        <v>1E-8</v>
      </c>
      <c r="AC288" s="98">
        <v>1E-8</v>
      </c>
      <c r="AD288" s="4"/>
    </row>
    <row r="289" spans="1:30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4"/>
      <c r="O289" s="4"/>
      <c r="P289" s="68"/>
      <c r="Q289" s="68" t="s">
        <v>602</v>
      </c>
      <c r="R289" s="108" t="s">
        <v>27</v>
      </c>
      <c r="S289" s="108" t="s">
        <v>534</v>
      </c>
      <c r="T289" s="98">
        <v>0.19835011498183602</v>
      </c>
      <c r="U289" s="80">
        <v>-0.71714995150236049</v>
      </c>
      <c r="V289" s="98">
        <v>1E-8</v>
      </c>
      <c r="W289" s="98">
        <v>1E-8</v>
      </c>
      <c r="X289" s="98">
        <v>1E-8</v>
      </c>
      <c r="Y289" s="98">
        <v>1E-8</v>
      </c>
      <c r="Z289" s="98">
        <v>1E-8</v>
      </c>
      <c r="AA289" s="98">
        <v>1E-8</v>
      </c>
      <c r="AB289" s="98">
        <v>1E-8</v>
      </c>
      <c r="AC289" s="98">
        <v>1E-8</v>
      </c>
      <c r="AD289" s="4"/>
    </row>
    <row r="290" spans="1:30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4"/>
      <c r="O290" s="4"/>
      <c r="P290" s="68"/>
      <c r="Q290" s="68" t="s">
        <v>603</v>
      </c>
      <c r="R290" s="108" t="s">
        <v>27</v>
      </c>
      <c r="S290" s="108" t="s">
        <v>304</v>
      </c>
      <c r="T290" s="98">
        <v>1.5594763964932925</v>
      </c>
      <c r="U290" s="80">
        <v>-0.34440971699624123</v>
      </c>
      <c r="V290" s="98">
        <v>1E-8</v>
      </c>
      <c r="W290" s="98">
        <v>1E-8</v>
      </c>
      <c r="X290" s="98">
        <v>1E-8</v>
      </c>
      <c r="Y290" s="98">
        <v>1E-8</v>
      </c>
      <c r="Z290" s="98">
        <v>1E-8</v>
      </c>
      <c r="AA290" s="98">
        <v>1E-8</v>
      </c>
      <c r="AB290" s="98">
        <v>1E-8</v>
      </c>
      <c r="AC290" s="98">
        <v>1E-8</v>
      </c>
      <c r="AD290" s="4"/>
    </row>
    <row r="291" spans="1:30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4"/>
      <c r="O291" s="4"/>
      <c r="P291" s="68"/>
      <c r="Q291" s="68" t="s">
        <v>604</v>
      </c>
      <c r="R291" s="108" t="s">
        <v>27</v>
      </c>
      <c r="S291" s="108" t="s">
        <v>535</v>
      </c>
      <c r="T291" s="98">
        <v>0.72506403025422306</v>
      </c>
      <c r="U291" s="80">
        <v>-0.12174777541816839</v>
      </c>
      <c r="V291" s="98">
        <v>1E-8</v>
      </c>
      <c r="W291" s="98">
        <v>1E-8</v>
      </c>
      <c r="X291" s="98">
        <v>1E-8</v>
      </c>
      <c r="Y291" s="98">
        <v>1E-8</v>
      </c>
      <c r="Z291" s="98">
        <v>1E-8</v>
      </c>
      <c r="AA291" s="98">
        <v>1E-8</v>
      </c>
      <c r="AB291" s="98">
        <v>1E-8</v>
      </c>
      <c r="AC291" s="98">
        <v>1E-8</v>
      </c>
      <c r="AD291" s="4"/>
    </row>
    <row r="292" spans="1:30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4"/>
      <c r="O292" s="4"/>
      <c r="P292" s="68"/>
      <c r="Q292" s="68" t="s">
        <v>605</v>
      </c>
      <c r="R292" s="108" t="s">
        <v>27</v>
      </c>
      <c r="S292" s="108" t="s">
        <v>536</v>
      </c>
      <c r="T292" s="98">
        <v>1.2263539434724464</v>
      </c>
      <c r="U292" s="80">
        <v>-0.29919629691540495</v>
      </c>
      <c r="V292" s="98">
        <v>1E-8</v>
      </c>
      <c r="W292" s="98">
        <v>1E-8</v>
      </c>
      <c r="X292" s="98">
        <v>1E-8</v>
      </c>
      <c r="Y292" s="98">
        <v>1E-8</v>
      </c>
      <c r="Z292" s="98">
        <v>1E-8</v>
      </c>
      <c r="AA292" s="98">
        <v>1E-8</v>
      </c>
      <c r="AB292" s="98">
        <v>1E-8</v>
      </c>
      <c r="AC292" s="98">
        <v>1E-8</v>
      </c>
      <c r="AD292" s="4"/>
    </row>
    <row r="293" spans="1:30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4"/>
      <c r="O293" s="4"/>
      <c r="P293" s="68"/>
      <c r="Q293" s="68" t="s">
        <v>606</v>
      </c>
      <c r="R293" s="108" t="s">
        <v>27</v>
      </c>
      <c r="S293" s="108" t="s">
        <v>537</v>
      </c>
      <c r="T293" s="98">
        <v>0.21887343278916091</v>
      </c>
      <c r="U293" s="80">
        <v>0.47914109185354103</v>
      </c>
      <c r="V293" s="98">
        <v>1E-8</v>
      </c>
      <c r="W293" s="98">
        <v>1E-8</v>
      </c>
      <c r="X293" s="98">
        <v>1E-8</v>
      </c>
      <c r="Y293" s="98">
        <v>1E-8</v>
      </c>
      <c r="Z293" s="98">
        <v>1E-8</v>
      </c>
      <c r="AA293" s="98">
        <v>1E-8</v>
      </c>
      <c r="AB293" s="98">
        <v>1E-8</v>
      </c>
      <c r="AC293" s="98">
        <v>1E-8</v>
      </c>
      <c r="AD293" s="4"/>
    </row>
    <row r="294" spans="1:30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4"/>
      <c r="O294" s="4"/>
      <c r="P294" s="68"/>
      <c r="Q294" s="68" t="s">
        <v>607</v>
      </c>
      <c r="R294" s="108" t="s">
        <v>27</v>
      </c>
      <c r="S294" s="108" t="s">
        <v>307</v>
      </c>
      <c r="T294" s="98">
        <v>0.26446569830607453</v>
      </c>
      <c r="U294" s="80">
        <v>2.0140308773855864</v>
      </c>
      <c r="V294" s="98">
        <v>1E-8</v>
      </c>
      <c r="W294" s="98">
        <v>1E-8</v>
      </c>
      <c r="X294" s="98">
        <v>1E-8</v>
      </c>
      <c r="Y294" s="98">
        <v>1E-8</v>
      </c>
      <c r="Z294" s="98">
        <v>1E-8</v>
      </c>
      <c r="AA294" s="98">
        <v>1E-8</v>
      </c>
      <c r="AB294" s="98">
        <v>1E-8</v>
      </c>
      <c r="AC294" s="98">
        <v>1E-8</v>
      </c>
      <c r="AD294" s="4"/>
    </row>
    <row r="295" spans="1:30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4"/>
      <c r="O295" s="4"/>
      <c r="P295" s="68"/>
      <c r="Q295" s="68" t="s">
        <v>608</v>
      </c>
      <c r="R295" s="108" t="s">
        <v>27</v>
      </c>
      <c r="S295" s="108" t="s">
        <v>298</v>
      </c>
      <c r="T295" s="98">
        <v>8.0977533673822447E-2</v>
      </c>
      <c r="U295" s="80">
        <v>5.4224490360192945</v>
      </c>
      <c r="V295" s="98">
        <v>1E-8</v>
      </c>
      <c r="W295" s="98">
        <v>1E-8</v>
      </c>
      <c r="X295" s="98">
        <v>1E-8</v>
      </c>
      <c r="Y295" s="98">
        <v>1E-8</v>
      </c>
      <c r="Z295" s="98">
        <v>1E-8</v>
      </c>
      <c r="AA295" s="98">
        <v>1E-8</v>
      </c>
      <c r="AB295" s="98">
        <v>1E-8</v>
      </c>
      <c r="AC295" s="98">
        <v>1E-8</v>
      </c>
      <c r="AD295" s="4"/>
    </row>
    <row r="296" spans="1:30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4"/>
      <c r="O296" s="4"/>
      <c r="P296" s="68"/>
      <c r="Q296" s="68" t="s">
        <v>609</v>
      </c>
      <c r="R296" s="108" t="s">
        <v>27</v>
      </c>
      <c r="S296" s="108" t="s">
        <v>538</v>
      </c>
      <c r="T296" s="98">
        <v>2.6113687947600397E-2</v>
      </c>
      <c r="U296" s="80">
        <v>1.5732440125725944</v>
      </c>
      <c r="V296" s="98">
        <v>1E-8</v>
      </c>
      <c r="W296" s="98">
        <v>1E-8</v>
      </c>
      <c r="X296" s="98">
        <v>1E-8</v>
      </c>
      <c r="Y296" s="98">
        <v>1E-8</v>
      </c>
      <c r="Z296" s="98">
        <v>1E-8</v>
      </c>
      <c r="AA296" s="98">
        <v>1E-8</v>
      </c>
      <c r="AB296" s="98">
        <v>1E-8</v>
      </c>
      <c r="AC296" s="98">
        <v>1E-8</v>
      </c>
      <c r="AD296" s="4"/>
    </row>
    <row r="297" spans="1:30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4"/>
      <c r="O297" s="4"/>
      <c r="P297" s="68"/>
      <c r="Q297" s="68" t="s">
        <v>610</v>
      </c>
      <c r="R297" s="108" t="s">
        <v>27</v>
      </c>
      <c r="S297" s="108" t="s">
        <v>299</v>
      </c>
      <c r="T297" s="98">
        <v>1E-8</v>
      </c>
      <c r="U297" s="80">
        <v>1E-8</v>
      </c>
      <c r="V297" s="98">
        <v>1E-8</v>
      </c>
      <c r="W297" s="98">
        <v>1E-8</v>
      </c>
      <c r="X297" s="98">
        <v>1E-8</v>
      </c>
      <c r="Y297" s="98">
        <v>1E-8</v>
      </c>
      <c r="Z297" s="98">
        <v>1E-8</v>
      </c>
      <c r="AA297" s="98">
        <v>1E-8</v>
      </c>
      <c r="AB297" s="98">
        <v>1E-8</v>
      </c>
      <c r="AC297" s="98">
        <v>1E-8</v>
      </c>
      <c r="AD297" s="4"/>
    </row>
    <row r="298" spans="1:30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4"/>
      <c r="O298" s="4"/>
      <c r="P298" s="68"/>
      <c r="Q298" s="68" t="s">
        <v>611</v>
      </c>
      <c r="R298" s="108" t="s">
        <v>27</v>
      </c>
      <c r="S298" s="108" t="s">
        <v>309</v>
      </c>
      <c r="T298" s="98">
        <v>0.73835362409468941</v>
      </c>
      <c r="U298" s="80">
        <v>13.474283185920189</v>
      </c>
      <c r="V298" s="98">
        <v>1E-8</v>
      </c>
      <c r="W298" s="98">
        <v>1E-8</v>
      </c>
      <c r="X298" s="98">
        <v>1E-8</v>
      </c>
      <c r="Y298" s="98">
        <v>1E-8</v>
      </c>
      <c r="Z298" s="98">
        <v>1E-8</v>
      </c>
      <c r="AA298" s="98">
        <v>1E-8</v>
      </c>
      <c r="AB298" s="98">
        <v>1E-8</v>
      </c>
      <c r="AC298" s="98">
        <v>1E-8</v>
      </c>
      <c r="AD298" s="4"/>
    </row>
    <row r="299" spans="1:30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4"/>
      <c r="O299" s="4"/>
      <c r="P299" s="68"/>
      <c r="Q299" s="68" t="s">
        <v>612</v>
      </c>
      <c r="R299" s="108" t="s">
        <v>27</v>
      </c>
      <c r="S299" s="108" t="s">
        <v>308</v>
      </c>
      <c r="T299" s="98">
        <v>0.2196071222581461</v>
      </c>
      <c r="U299" s="80">
        <v>5.0857733298812269</v>
      </c>
      <c r="V299" s="98">
        <v>1E-8</v>
      </c>
      <c r="W299" s="98">
        <v>1E-8</v>
      </c>
      <c r="X299" s="98">
        <v>1E-8</v>
      </c>
      <c r="Y299" s="98">
        <v>1E-8</v>
      </c>
      <c r="Z299" s="98">
        <v>1E-8</v>
      </c>
      <c r="AA299" s="98">
        <v>1E-8</v>
      </c>
      <c r="AB299" s="98">
        <v>1E-8</v>
      </c>
      <c r="AC299" s="98">
        <v>1E-8</v>
      </c>
      <c r="AD299" s="4"/>
    </row>
    <row r="300" spans="1:30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4"/>
      <c r="O300" s="4"/>
      <c r="P300" s="68"/>
      <c r="Q300" s="68" t="s">
        <v>613</v>
      </c>
      <c r="R300" s="108" t="s">
        <v>27</v>
      </c>
      <c r="S300" s="108" t="s">
        <v>306</v>
      </c>
      <c r="T300" s="98">
        <v>2.0396677942034473E-2</v>
      </c>
      <c r="U300" s="80">
        <v>-1.5941488108342394</v>
      </c>
      <c r="V300" s="98">
        <v>1E-8</v>
      </c>
      <c r="W300" s="98">
        <v>1E-8</v>
      </c>
      <c r="X300" s="98">
        <v>1E-8</v>
      </c>
      <c r="Y300" s="98">
        <v>1E-8</v>
      </c>
      <c r="Z300" s="98">
        <v>1E-8</v>
      </c>
      <c r="AA300" s="98">
        <v>1E-8</v>
      </c>
      <c r="AB300" s="98">
        <v>1E-8</v>
      </c>
      <c r="AC300" s="98">
        <v>1E-8</v>
      </c>
      <c r="AD300" s="4"/>
    </row>
    <row r="301" spans="1:30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4"/>
      <c r="O301" s="4"/>
      <c r="P301" s="68"/>
      <c r="Q301" s="68" t="s">
        <v>614</v>
      </c>
      <c r="R301" s="108" t="s">
        <v>27</v>
      </c>
      <c r="S301" s="108" t="s">
        <v>305</v>
      </c>
      <c r="T301" s="98">
        <v>3.4584697955514485E-2</v>
      </c>
      <c r="U301" s="80">
        <v>0.37424962526380057</v>
      </c>
      <c r="V301" s="98">
        <v>1E-8</v>
      </c>
      <c r="W301" s="98">
        <v>1E-8</v>
      </c>
      <c r="X301" s="98">
        <v>1E-8</v>
      </c>
      <c r="Y301" s="98">
        <v>1E-8</v>
      </c>
      <c r="Z301" s="98">
        <v>1E-8</v>
      </c>
      <c r="AA301" s="98">
        <v>1E-8</v>
      </c>
      <c r="AB301" s="98">
        <v>1E-8</v>
      </c>
      <c r="AC301" s="98">
        <v>1E-8</v>
      </c>
      <c r="AD301" s="4"/>
    </row>
    <row r="302" spans="1:30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4"/>
      <c r="O302" s="4"/>
      <c r="P302" s="68"/>
      <c r="Q302" s="68" t="s">
        <v>615</v>
      </c>
      <c r="R302" s="108" t="s">
        <v>27</v>
      </c>
      <c r="S302" s="108" t="s">
        <v>539</v>
      </c>
      <c r="T302" s="98">
        <v>2.6090311118280255E-2</v>
      </c>
      <c r="U302" s="80">
        <v>16.469445349920807</v>
      </c>
      <c r="V302" s="98">
        <v>1E-8</v>
      </c>
      <c r="W302" s="98">
        <v>1E-8</v>
      </c>
      <c r="X302" s="98">
        <v>1E-8</v>
      </c>
      <c r="Y302" s="98">
        <v>1E-8</v>
      </c>
      <c r="Z302" s="98">
        <v>1E-8</v>
      </c>
      <c r="AA302" s="98">
        <v>1E-8</v>
      </c>
      <c r="AB302" s="98">
        <v>1E-8</v>
      </c>
      <c r="AC302" s="98">
        <v>1E-8</v>
      </c>
      <c r="AD302" s="4"/>
    </row>
    <row r="303" spans="1:30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4"/>
      <c r="O303" s="4"/>
      <c r="P303" s="68"/>
      <c r="Q303" s="68" t="s">
        <v>616</v>
      </c>
      <c r="R303" s="109" t="s">
        <v>27</v>
      </c>
      <c r="S303" s="109" t="s">
        <v>310</v>
      </c>
      <c r="T303" s="81">
        <v>0.15026008363308077</v>
      </c>
      <c r="U303" s="82">
        <v>3.4266450395587844</v>
      </c>
      <c r="V303" s="81">
        <v>1E-8</v>
      </c>
      <c r="W303" s="81">
        <v>1E-8</v>
      </c>
      <c r="X303" s="81">
        <v>1E-8</v>
      </c>
      <c r="Y303" s="81">
        <v>1E-8</v>
      </c>
      <c r="Z303" s="81">
        <v>1E-8</v>
      </c>
      <c r="AA303" s="81">
        <v>1E-8</v>
      </c>
      <c r="AB303" s="81">
        <v>1E-8</v>
      </c>
      <c r="AC303" s="81">
        <v>1E-8</v>
      </c>
      <c r="AD303" s="4"/>
    </row>
    <row r="304" spans="1:30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4"/>
      <c r="O304" s="4"/>
      <c r="P304" s="96"/>
      <c r="Q304" s="96" t="s">
        <v>280</v>
      </c>
      <c r="R304" s="107" t="s">
        <v>27</v>
      </c>
      <c r="S304" s="107" t="s">
        <v>311</v>
      </c>
      <c r="T304" s="97">
        <v>1.4009326268623852</v>
      </c>
      <c r="U304" s="78">
        <v>-0.85813411306762122</v>
      </c>
      <c r="V304" s="97">
        <v>1E-8</v>
      </c>
      <c r="W304" s="97">
        <v>1E-8</v>
      </c>
      <c r="X304" s="97">
        <v>1E-8</v>
      </c>
      <c r="Y304" s="97">
        <v>1E-8</v>
      </c>
      <c r="Z304" s="97">
        <v>1E-8</v>
      </c>
      <c r="AA304" s="97">
        <v>1E-8</v>
      </c>
      <c r="AB304" s="97">
        <v>1E-8</v>
      </c>
      <c r="AC304" s="97">
        <v>1E-8</v>
      </c>
      <c r="AD304" s="4"/>
    </row>
    <row r="305" spans="1:30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4"/>
      <c r="O305" s="4"/>
      <c r="P305" s="68"/>
      <c r="Q305" s="68" t="s">
        <v>617</v>
      </c>
      <c r="R305" s="108" t="s">
        <v>27</v>
      </c>
      <c r="S305" s="108" t="s">
        <v>312</v>
      </c>
      <c r="T305" s="98">
        <v>0.66320796254486236</v>
      </c>
      <c r="U305" s="80">
        <v>-1.4197099730404839</v>
      </c>
      <c r="V305" s="98">
        <v>1E-8</v>
      </c>
      <c r="W305" s="98">
        <v>1E-8</v>
      </c>
      <c r="X305" s="98">
        <v>1E-8</v>
      </c>
      <c r="Y305" s="98">
        <v>1E-8</v>
      </c>
      <c r="Z305" s="98">
        <v>1E-8</v>
      </c>
      <c r="AA305" s="98">
        <v>1E-8</v>
      </c>
      <c r="AB305" s="98">
        <v>1E-8</v>
      </c>
      <c r="AC305" s="98">
        <v>1E-8</v>
      </c>
      <c r="AD305" s="4"/>
    </row>
    <row r="306" spans="1:30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4"/>
      <c r="O306" s="4"/>
      <c r="P306" s="68"/>
      <c r="Q306" s="68" t="s">
        <v>618</v>
      </c>
      <c r="R306" s="108" t="s">
        <v>27</v>
      </c>
      <c r="S306" s="108" t="s">
        <v>316</v>
      </c>
      <c r="T306" s="98">
        <v>0.30521986974028803</v>
      </c>
      <c r="U306" s="80">
        <v>-3.4113139289973282</v>
      </c>
      <c r="V306" s="98">
        <v>1E-8</v>
      </c>
      <c r="W306" s="98">
        <v>1E-8</v>
      </c>
      <c r="X306" s="98">
        <v>1E-8</v>
      </c>
      <c r="Y306" s="98">
        <v>1E-8</v>
      </c>
      <c r="Z306" s="98">
        <v>1E-8</v>
      </c>
      <c r="AA306" s="98">
        <v>1E-8</v>
      </c>
      <c r="AB306" s="98">
        <v>1E-8</v>
      </c>
      <c r="AC306" s="98">
        <v>1E-8</v>
      </c>
      <c r="AD306" s="4"/>
    </row>
    <row r="307" spans="1:30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4"/>
      <c r="O307" s="4"/>
      <c r="P307" s="68"/>
      <c r="Q307" s="68" t="s">
        <v>619</v>
      </c>
      <c r="R307" s="108" t="s">
        <v>27</v>
      </c>
      <c r="S307" s="108" t="s">
        <v>314</v>
      </c>
      <c r="T307" s="98">
        <v>9.1735244239041516E-2</v>
      </c>
      <c r="U307" s="80">
        <v>3.4698919481964241</v>
      </c>
      <c r="V307" s="98">
        <v>1E-8</v>
      </c>
      <c r="W307" s="98">
        <v>1E-8</v>
      </c>
      <c r="X307" s="98">
        <v>1E-8</v>
      </c>
      <c r="Y307" s="98">
        <v>1E-8</v>
      </c>
      <c r="Z307" s="98">
        <v>1E-8</v>
      </c>
      <c r="AA307" s="98">
        <v>1E-8</v>
      </c>
      <c r="AB307" s="98">
        <v>1E-8</v>
      </c>
      <c r="AC307" s="98">
        <v>1E-8</v>
      </c>
      <c r="AD307" s="4"/>
    </row>
    <row r="308" spans="1:30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4"/>
      <c r="O308" s="4"/>
      <c r="P308" s="68"/>
      <c r="Q308" s="68" t="s">
        <v>620</v>
      </c>
      <c r="R308" s="108" t="s">
        <v>27</v>
      </c>
      <c r="S308" s="108" t="s">
        <v>317</v>
      </c>
      <c r="T308" s="98">
        <v>1.8677932460970659E-2</v>
      </c>
      <c r="U308" s="80">
        <v>0.58012783558998304</v>
      </c>
      <c r="V308" s="98">
        <v>1E-8</v>
      </c>
      <c r="W308" s="98">
        <v>1E-8</v>
      </c>
      <c r="X308" s="98">
        <v>1E-8</v>
      </c>
      <c r="Y308" s="98">
        <v>1E-8</v>
      </c>
      <c r="Z308" s="98">
        <v>1E-8</v>
      </c>
      <c r="AA308" s="98">
        <v>1E-8</v>
      </c>
      <c r="AB308" s="98">
        <v>1E-8</v>
      </c>
      <c r="AC308" s="98">
        <v>1E-8</v>
      </c>
      <c r="AD308" s="4"/>
    </row>
    <row r="309" spans="1:30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4"/>
      <c r="O309" s="4"/>
      <c r="P309" s="68"/>
      <c r="Q309" s="68" t="s">
        <v>621</v>
      </c>
      <c r="R309" s="108" t="s">
        <v>27</v>
      </c>
      <c r="S309" s="108" t="s">
        <v>313</v>
      </c>
      <c r="T309" s="98">
        <v>0.22603960560751069</v>
      </c>
      <c r="U309" s="80">
        <v>0.48375900822783535</v>
      </c>
      <c r="V309" s="98">
        <v>1E-8</v>
      </c>
      <c r="W309" s="98">
        <v>1E-8</v>
      </c>
      <c r="X309" s="98">
        <v>1E-8</v>
      </c>
      <c r="Y309" s="98">
        <v>1E-8</v>
      </c>
      <c r="Z309" s="98">
        <v>1E-8</v>
      </c>
      <c r="AA309" s="98">
        <v>1E-8</v>
      </c>
      <c r="AB309" s="98">
        <v>1E-8</v>
      </c>
      <c r="AC309" s="98">
        <v>1E-8</v>
      </c>
      <c r="AD309" s="4"/>
    </row>
    <row r="310" spans="1:30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4"/>
      <c r="O310" s="4"/>
      <c r="P310" s="68"/>
      <c r="Q310" s="68" t="s">
        <v>622</v>
      </c>
      <c r="R310" s="108" t="s">
        <v>27</v>
      </c>
      <c r="S310" s="108" t="s">
        <v>315</v>
      </c>
      <c r="T310" s="98">
        <v>6.0519745232022623E-2</v>
      </c>
      <c r="U310" s="80">
        <v>1.7123296257739451</v>
      </c>
      <c r="V310" s="98">
        <v>1E-8</v>
      </c>
      <c r="W310" s="98">
        <v>1E-8</v>
      </c>
      <c r="X310" s="98">
        <v>1E-8</v>
      </c>
      <c r="Y310" s="98">
        <v>1E-8</v>
      </c>
      <c r="Z310" s="98">
        <v>1E-8</v>
      </c>
      <c r="AA310" s="98">
        <v>1E-8</v>
      </c>
      <c r="AB310" s="98">
        <v>1E-8</v>
      </c>
      <c r="AC310" s="98">
        <v>1E-8</v>
      </c>
      <c r="AD310" s="4"/>
    </row>
    <row r="311" spans="1:30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4"/>
      <c r="O311" s="4"/>
      <c r="P311" s="68"/>
      <c r="Q311" s="68" t="s">
        <v>623</v>
      </c>
      <c r="R311" s="108" t="s">
        <v>27</v>
      </c>
      <c r="S311" s="108" t="s">
        <v>540</v>
      </c>
      <c r="T311" s="98">
        <v>4.4856397851196911E-3</v>
      </c>
      <c r="U311" s="80">
        <v>2.0569410518704867</v>
      </c>
      <c r="V311" s="98">
        <v>1E-8</v>
      </c>
      <c r="W311" s="98">
        <v>1E-8</v>
      </c>
      <c r="X311" s="98">
        <v>1E-8</v>
      </c>
      <c r="Y311" s="98">
        <v>1E-8</v>
      </c>
      <c r="Z311" s="98">
        <v>1E-8</v>
      </c>
      <c r="AA311" s="98">
        <v>1E-8</v>
      </c>
      <c r="AB311" s="98">
        <v>1E-8</v>
      </c>
      <c r="AC311" s="98">
        <v>1E-8</v>
      </c>
      <c r="AD311" s="4"/>
    </row>
    <row r="312" spans="1:30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4"/>
      <c r="O312" s="4"/>
      <c r="P312" s="68"/>
      <c r="Q312" s="68" t="s">
        <v>624</v>
      </c>
      <c r="R312" s="109" t="s">
        <v>27</v>
      </c>
      <c r="S312" s="109" t="s">
        <v>541</v>
      </c>
      <c r="T312" s="81">
        <v>3.1046627252569809E-2</v>
      </c>
      <c r="U312" s="82">
        <v>7.3832031401386278</v>
      </c>
      <c r="V312" s="81">
        <v>1E-8</v>
      </c>
      <c r="W312" s="81">
        <v>1E-8</v>
      </c>
      <c r="X312" s="81">
        <v>1E-8</v>
      </c>
      <c r="Y312" s="81">
        <v>1E-8</v>
      </c>
      <c r="Z312" s="81">
        <v>1E-8</v>
      </c>
      <c r="AA312" s="81">
        <v>1E-8</v>
      </c>
      <c r="AB312" s="81">
        <v>1E-8</v>
      </c>
      <c r="AC312" s="81">
        <v>1E-8</v>
      </c>
      <c r="AD312" s="4"/>
    </row>
    <row r="313" spans="1:30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4"/>
      <c r="O313" s="4"/>
      <c r="P313" s="96"/>
      <c r="Q313" s="96" t="s">
        <v>281</v>
      </c>
      <c r="R313" s="107" t="s">
        <v>27</v>
      </c>
      <c r="S313" s="107" t="s">
        <v>318</v>
      </c>
      <c r="T313" s="97">
        <v>4.2046949442154604</v>
      </c>
      <c r="U313" s="78">
        <v>0.27765312884664439</v>
      </c>
      <c r="V313" s="97">
        <v>1E-8</v>
      </c>
      <c r="W313" s="97">
        <v>1E-8</v>
      </c>
      <c r="X313" s="97">
        <v>1E-8</v>
      </c>
      <c r="Y313" s="97">
        <v>1E-8</v>
      </c>
      <c r="Z313" s="97">
        <v>1E-8</v>
      </c>
      <c r="AA313" s="97">
        <v>1E-8</v>
      </c>
      <c r="AB313" s="97">
        <v>1E-8</v>
      </c>
      <c r="AC313" s="97">
        <v>1E-8</v>
      </c>
      <c r="AD313" s="4"/>
    </row>
    <row r="314" spans="1:30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4"/>
      <c r="O314" s="4"/>
      <c r="P314" s="96"/>
      <c r="Q314" s="96" t="s">
        <v>135</v>
      </c>
      <c r="R314" s="107" t="s">
        <v>27</v>
      </c>
      <c r="S314" s="107" t="s">
        <v>542</v>
      </c>
      <c r="T314" s="97">
        <v>3.7480590875212232</v>
      </c>
      <c r="U314" s="78">
        <v>0.26249027021167937</v>
      </c>
      <c r="V314" s="97">
        <v>1E-8</v>
      </c>
      <c r="W314" s="97">
        <v>1E-8</v>
      </c>
      <c r="X314" s="97">
        <v>1E-8</v>
      </c>
      <c r="Y314" s="97">
        <v>1E-8</v>
      </c>
      <c r="Z314" s="97">
        <v>1E-8</v>
      </c>
      <c r="AA314" s="97">
        <v>1E-8</v>
      </c>
      <c r="AB314" s="97">
        <v>1E-8</v>
      </c>
      <c r="AC314" s="97">
        <v>1E-8</v>
      </c>
      <c r="AD314" s="4"/>
    </row>
    <row r="315" spans="1:30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4"/>
      <c r="O315" s="4"/>
      <c r="P315" s="68"/>
      <c r="Q315" s="68" t="s">
        <v>625</v>
      </c>
      <c r="R315" s="108" t="s">
        <v>27</v>
      </c>
      <c r="S315" s="108" t="s">
        <v>543</v>
      </c>
      <c r="T315" s="98">
        <v>3.008779398366578</v>
      </c>
      <c r="U315" s="80">
        <v>0.41289004326923173</v>
      </c>
      <c r="V315" s="98">
        <v>1E-8</v>
      </c>
      <c r="W315" s="98">
        <v>1E-8</v>
      </c>
      <c r="X315" s="98">
        <v>1E-8</v>
      </c>
      <c r="Y315" s="98">
        <v>1E-8</v>
      </c>
      <c r="Z315" s="98">
        <v>1E-8</v>
      </c>
      <c r="AA315" s="98">
        <v>1E-8</v>
      </c>
      <c r="AB315" s="98">
        <v>1E-8</v>
      </c>
      <c r="AC315" s="98">
        <v>1E-8</v>
      </c>
      <c r="AD315" s="4"/>
    </row>
    <row r="316" spans="1:30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4"/>
      <c r="O316" s="4"/>
      <c r="P316" s="68"/>
      <c r="Q316" s="68" t="s">
        <v>626</v>
      </c>
      <c r="R316" s="108" t="s">
        <v>27</v>
      </c>
      <c r="S316" s="108" t="s">
        <v>544</v>
      </c>
      <c r="T316" s="98">
        <v>0.5712377518960422</v>
      </c>
      <c r="U316" s="80">
        <v>-3.3699714110724255E-2</v>
      </c>
      <c r="V316" s="98">
        <v>1E-8</v>
      </c>
      <c r="W316" s="98">
        <v>1E-8</v>
      </c>
      <c r="X316" s="98">
        <v>1E-8</v>
      </c>
      <c r="Y316" s="98">
        <v>1E-8</v>
      </c>
      <c r="Z316" s="98">
        <v>1E-8</v>
      </c>
      <c r="AA316" s="98">
        <v>1E-8</v>
      </c>
      <c r="AB316" s="98">
        <v>1E-8</v>
      </c>
      <c r="AC316" s="98">
        <v>1E-8</v>
      </c>
      <c r="AD316" s="4"/>
    </row>
    <row r="317" spans="1:30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4"/>
      <c r="O317" s="4"/>
      <c r="P317" s="68"/>
      <c r="Q317" s="68" t="s">
        <v>627</v>
      </c>
      <c r="R317" s="108" t="s">
        <v>27</v>
      </c>
      <c r="S317" s="108" t="s">
        <v>319</v>
      </c>
      <c r="T317" s="98">
        <v>0.16804193725860289</v>
      </c>
      <c r="U317" s="80">
        <v>-1.4235462188830983</v>
      </c>
      <c r="V317" s="98">
        <v>1E-8</v>
      </c>
      <c r="W317" s="98">
        <v>1E-8</v>
      </c>
      <c r="X317" s="98">
        <v>1E-8</v>
      </c>
      <c r="Y317" s="98">
        <v>1E-8</v>
      </c>
      <c r="Z317" s="98">
        <v>1E-8</v>
      </c>
      <c r="AA317" s="98">
        <v>1E-8</v>
      </c>
      <c r="AB317" s="98">
        <v>1E-8</v>
      </c>
      <c r="AC317" s="98">
        <v>1E-8</v>
      </c>
      <c r="AD317" s="4"/>
    </row>
    <row r="318" spans="1:30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4"/>
      <c r="O318" s="4"/>
      <c r="P318" s="71"/>
      <c r="Q318" s="71" t="s">
        <v>628</v>
      </c>
      <c r="R318" s="110" t="s">
        <v>27</v>
      </c>
      <c r="S318" s="110" t="s">
        <v>320</v>
      </c>
      <c r="T318" s="83">
        <v>0.45663585669423695</v>
      </c>
      <c r="U318" s="84">
        <v>0.40210960607347523</v>
      </c>
      <c r="V318" s="83">
        <v>1E-8</v>
      </c>
      <c r="W318" s="83">
        <v>1E-8</v>
      </c>
      <c r="X318" s="83">
        <v>1E-8</v>
      </c>
      <c r="Y318" s="83">
        <v>1E-8</v>
      </c>
      <c r="Z318" s="83">
        <v>1E-8</v>
      </c>
      <c r="AA318" s="83">
        <v>1E-8</v>
      </c>
      <c r="AB318" s="83">
        <v>1E-8</v>
      </c>
      <c r="AC318" s="83">
        <v>1E-8</v>
      </c>
      <c r="AD318" s="4"/>
    </row>
    <row r="319" spans="1:30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4"/>
      <c r="O319" s="4"/>
      <c r="P319" s="99"/>
      <c r="Q319" s="99" t="s">
        <v>282</v>
      </c>
      <c r="R319" s="105" t="s">
        <v>27</v>
      </c>
      <c r="S319" s="105" t="s">
        <v>321</v>
      </c>
      <c r="T319" s="95">
        <v>80.943521452829856</v>
      </c>
      <c r="U319" s="74">
        <v>-0.14025809266725586</v>
      </c>
      <c r="V319" s="95">
        <v>1E-8</v>
      </c>
      <c r="W319" s="95">
        <v>1E-8</v>
      </c>
      <c r="X319" s="95">
        <v>1E-8</v>
      </c>
      <c r="Y319" s="95">
        <v>1E-8</v>
      </c>
      <c r="Z319" s="95">
        <v>1E-8</v>
      </c>
      <c r="AA319" s="95">
        <v>1E-8</v>
      </c>
      <c r="AB319" s="95">
        <v>1E-8</v>
      </c>
      <c r="AC319" s="95">
        <v>1E-8</v>
      </c>
      <c r="AD319" s="4"/>
    </row>
    <row r="320" spans="1:30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4"/>
      <c r="O320" s="4"/>
      <c r="P320" s="99"/>
      <c r="Q320" s="99" t="s">
        <v>283</v>
      </c>
      <c r="R320" s="105" t="s">
        <v>27</v>
      </c>
      <c r="S320" s="105" t="s">
        <v>322</v>
      </c>
      <c r="T320" s="95">
        <v>21.641620366753969</v>
      </c>
      <c r="U320" s="74">
        <v>-0.40606676690262411</v>
      </c>
      <c r="V320" s="95">
        <v>1E-8</v>
      </c>
      <c r="W320" s="95">
        <v>1E-8</v>
      </c>
      <c r="X320" s="95">
        <v>1E-8</v>
      </c>
      <c r="Y320" s="95">
        <v>1E-8</v>
      </c>
      <c r="Z320" s="95">
        <v>1E-8</v>
      </c>
      <c r="AA320" s="95">
        <v>1E-8</v>
      </c>
      <c r="AB320" s="95">
        <v>1E-8</v>
      </c>
      <c r="AC320" s="95">
        <v>1E-8</v>
      </c>
      <c r="AD320" s="4"/>
    </row>
    <row r="321" spans="1:30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4"/>
      <c r="O321" s="4"/>
      <c r="P321" s="96"/>
      <c r="Q321" s="96" t="s">
        <v>284</v>
      </c>
      <c r="R321" s="107" t="s">
        <v>27</v>
      </c>
      <c r="S321" s="107" t="s">
        <v>323</v>
      </c>
      <c r="T321" s="97">
        <v>0.81349460013022179</v>
      </c>
      <c r="U321" s="78">
        <v>6.6478565903473452</v>
      </c>
      <c r="V321" s="97">
        <v>1E-8</v>
      </c>
      <c r="W321" s="97">
        <v>1E-8</v>
      </c>
      <c r="X321" s="97">
        <v>1E-8</v>
      </c>
      <c r="Y321" s="97">
        <v>1E-8</v>
      </c>
      <c r="Z321" s="97">
        <v>1E-8</v>
      </c>
      <c r="AA321" s="97">
        <v>1E-8</v>
      </c>
      <c r="AB321" s="97">
        <v>1E-8</v>
      </c>
      <c r="AC321" s="97">
        <v>1E-8</v>
      </c>
      <c r="AD321" s="4"/>
    </row>
    <row r="322" spans="1:30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4"/>
      <c r="O322" s="4"/>
      <c r="P322" s="68"/>
      <c r="Q322" s="68" t="s">
        <v>629</v>
      </c>
      <c r="R322" s="108" t="s">
        <v>27</v>
      </c>
      <c r="S322" s="108" t="s">
        <v>324</v>
      </c>
      <c r="T322" s="98">
        <v>3.4004997190390706E-4</v>
      </c>
      <c r="U322" s="80">
        <v>3.7826894290366786</v>
      </c>
      <c r="V322" s="98">
        <v>1E-8</v>
      </c>
      <c r="W322" s="98">
        <v>1E-8</v>
      </c>
      <c r="X322" s="98">
        <v>1E-8</v>
      </c>
      <c r="Y322" s="98">
        <v>1E-8</v>
      </c>
      <c r="Z322" s="98">
        <v>1E-8</v>
      </c>
      <c r="AA322" s="98">
        <v>1E-8</v>
      </c>
      <c r="AB322" s="98">
        <v>1E-8</v>
      </c>
      <c r="AC322" s="98">
        <v>1E-8</v>
      </c>
      <c r="AD322" s="4"/>
    </row>
    <row r="323" spans="1:30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4"/>
      <c r="O323" s="4"/>
      <c r="P323" s="68"/>
      <c r="Q323" s="68" t="s">
        <v>630</v>
      </c>
      <c r="R323" s="108" t="s">
        <v>27</v>
      </c>
      <c r="S323" s="108" t="s">
        <v>545</v>
      </c>
      <c r="T323" s="98">
        <v>0.32607713882863454</v>
      </c>
      <c r="U323" s="80">
        <v>3.4057435011916271</v>
      </c>
      <c r="V323" s="98">
        <v>1E-8</v>
      </c>
      <c r="W323" s="98">
        <v>1E-8</v>
      </c>
      <c r="X323" s="98">
        <v>1E-8</v>
      </c>
      <c r="Y323" s="98">
        <v>1E-8</v>
      </c>
      <c r="Z323" s="98">
        <v>1E-8</v>
      </c>
      <c r="AA323" s="98">
        <v>1E-8</v>
      </c>
      <c r="AB323" s="98">
        <v>1E-8</v>
      </c>
      <c r="AC323" s="98">
        <v>1E-8</v>
      </c>
      <c r="AD323" s="4"/>
    </row>
    <row r="324" spans="1:30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4"/>
      <c r="O324" s="4"/>
      <c r="P324" s="68"/>
      <c r="Q324" s="68" t="s">
        <v>631</v>
      </c>
      <c r="R324" s="109" t="s">
        <v>27</v>
      </c>
      <c r="S324" s="109" t="s">
        <v>325</v>
      </c>
      <c r="T324" s="81">
        <v>0.48707741132968335</v>
      </c>
      <c r="U324" s="82">
        <v>8.8203105684425243</v>
      </c>
      <c r="V324" s="81">
        <v>1E-8</v>
      </c>
      <c r="W324" s="81">
        <v>1E-8</v>
      </c>
      <c r="X324" s="81">
        <v>1E-8</v>
      </c>
      <c r="Y324" s="81">
        <v>1E-8</v>
      </c>
      <c r="Z324" s="81">
        <v>1E-8</v>
      </c>
      <c r="AA324" s="81">
        <v>1E-8</v>
      </c>
      <c r="AB324" s="81">
        <v>1E-8</v>
      </c>
      <c r="AC324" s="81">
        <v>1E-8</v>
      </c>
      <c r="AD324" s="4"/>
    </row>
    <row r="325" spans="1:30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4"/>
      <c r="O325" s="4"/>
      <c r="P325" s="96"/>
      <c r="Q325" s="96" t="s">
        <v>285</v>
      </c>
      <c r="R325" s="107" t="s">
        <v>27</v>
      </c>
      <c r="S325" s="107" t="s">
        <v>326</v>
      </c>
      <c r="T325" s="97">
        <v>7.4632935244348015</v>
      </c>
      <c r="U325" s="78">
        <v>3.6383674469522287</v>
      </c>
      <c r="V325" s="97">
        <v>1E-8</v>
      </c>
      <c r="W325" s="97">
        <v>1E-8</v>
      </c>
      <c r="X325" s="97">
        <v>1E-8</v>
      </c>
      <c r="Y325" s="97">
        <v>1E-8</v>
      </c>
      <c r="Z325" s="97">
        <v>1E-8</v>
      </c>
      <c r="AA325" s="97">
        <v>1E-8</v>
      </c>
      <c r="AB325" s="97">
        <v>1E-8</v>
      </c>
      <c r="AC325" s="97">
        <v>1E-8</v>
      </c>
      <c r="AD325" s="4"/>
    </row>
    <row r="326" spans="1:30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4"/>
      <c r="O326" s="4"/>
      <c r="P326" s="68"/>
      <c r="Q326" s="68" t="s">
        <v>364</v>
      </c>
      <c r="R326" s="108" t="s">
        <v>27</v>
      </c>
      <c r="S326" s="108" t="s">
        <v>327</v>
      </c>
      <c r="T326" s="98">
        <v>6.8622558690986821</v>
      </c>
      <c r="U326" s="80">
        <v>3.5983590370239016</v>
      </c>
      <c r="V326" s="98">
        <v>1E-8</v>
      </c>
      <c r="W326" s="98">
        <v>1E-8</v>
      </c>
      <c r="X326" s="98">
        <v>1E-8</v>
      </c>
      <c r="Y326" s="98">
        <v>1E-8</v>
      </c>
      <c r="Z326" s="98">
        <v>1E-8</v>
      </c>
      <c r="AA326" s="98">
        <v>1E-8</v>
      </c>
      <c r="AB326" s="98">
        <v>1E-8</v>
      </c>
      <c r="AC326" s="98">
        <v>1E-8</v>
      </c>
      <c r="AD326" s="4"/>
    </row>
    <row r="327" spans="1:30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4"/>
      <c r="O327" s="4"/>
      <c r="P327" s="100"/>
      <c r="Q327" s="100" t="s">
        <v>632</v>
      </c>
      <c r="R327" s="111" t="s">
        <v>27</v>
      </c>
      <c r="S327" s="111" t="s">
        <v>328</v>
      </c>
      <c r="T327" s="101">
        <v>0.60767395081410214</v>
      </c>
      <c r="U327" s="86">
        <v>0.66009616161044615</v>
      </c>
      <c r="V327" s="101">
        <v>1E-8</v>
      </c>
      <c r="W327" s="101">
        <v>1E-8</v>
      </c>
      <c r="X327" s="101">
        <v>1E-8</v>
      </c>
      <c r="Y327" s="101">
        <v>1E-8</v>
      </c>
      <c r="Z327" s="101">
        <v>1E-8</v>
      </c>
      <c r="AA327" s="101">
        <v>1E-8</v>
      </c>
      <c r="AB327" s="101">
        <v>1E-8</v>
      </c>
      <c r="AC327" s="101">
        <v>1E-8</v>
      </c>
      <c r="AD327" s="4"/>
    </row>
    <row r="328" spans="1:30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4"/>
      <c r="O328" s="4"/>
      <c r="P328" s="100"/>
      <c r="Q328" s="100" t="s">
        <v>633</v>
      </c>
      <c r="R328" s="111" t="s">
        <v>27</v>
      </c>
      <c r="S328" s="111" t="s">
        <v>329</v>
      </c>
      <c r="T328" s="101">
        <v>1E-8</v>
      </c>
      <c r="U328" s="86">
        <v>1E-8</v>
      </c>
      <c r="V328" s="101">
        <v>1E-8</v>
      </c>
      <c r="W328" s="101">
        <v>1E-8</v>
      </c>
      <c r="X328" s="101">
        <v>1E-8</v>
      </c>
      <c r="Y328" s="101">
        <v>1E-8</v>
      </c>
      <c r="Z328" s="101">
        <v>1E-8</v>
      </c>
      <c r="AA328" s="101">
        <v>1E-8</v>
      </c>
      <c r="AB328" s="101">
        <v>1E-8</v>
      </c>
      <c r="AC328" s="101">
        <v>1E-8</v>
      </c>
      <c r="AD328" s="4"/>
    </row>
    <row r="329" spans="1:30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4"/>
      <c r="O329" s="4"/>
      <c r="P329" s="100"/>
      <c r="Q329" s="100" t="s">
        <v>634</v>
      </c>
      <c r="R329" s="111" t="s">
        <v>27</v>
      </c>
      <c r="S329" s="111" t="s">
        <v>331</v>
      </c>
      <c r="T329" s="101">
        <v>0.18010871069601925</v>
      </c>
      <c r="U329" s="86">
        <v>2.2513196672223845</v>
      </c>
      <c r="V329" s="101">
        <v>1E-8</v>
      </c>
      <c r="W329" s="101">
        <v>1E-8</v>
      </c>
      <c r="X329" s="101">
        <v>1E-8</v>
      </c>
      <c r="Y329" s="101">
        <v>1E-8</v>
      </c>
      <c r="Z329" s="101">
        <v>1E-8</v>
      </c>
      <c r="AA329" s="101">
        <v>1E-8</v>
      </c>
      <c r="AB329" s="101">
        <v>1E-8</v>
      </c>
      <c r="AC329" s="101">
        <v>1E-8</v>
      </c>
      <c r="AD329" s="4"/>
    </row>
    <row r="330" spans="1:30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4"/>
      <c r="O330" s="4"/>
      <c r="P330" s="100"/>
      <c r="Q330" s="100" t="s">
        <v>635</v>
      </c>
      <c r="R330" s="111" t="s">
        <v>27</v>
      </c>
      <c r="S330" s="111" t="s">
        <v>332</v>
      </c>
      <c r="T330" s="101">
        <v>0.260782254048397</v>
      </c>
      <c r="U330" s="86">
        <v>10.58799042982228</v>
      </c>
      <c r="V330" s="101">
        <v>1E-8</v>
      </c>
      <c r="W330" s="101">
        <v>1E-8</v>
      </c>
      <c r="X330" s="101">
        <v>1E-8</v>
      </c>
      <c r="Y330" s="101">
        <v>1E-8</v>
      </c>
      <c r="Z330" s="101">
        <v>1E-8</v>
      </c>
      <c r="AA330" s="101">
        <v>1E-8</v>
      </c>
      <c r="AB330" s="101">
        <v>1E-8</v>
      </c>
      <c r="AC330" s="101">
        <v>1E-8</v>
      </c>
      <c r="AD330" s="4"/>
    </row>
    <row r="331" spans="1:30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4"/>
      <c r="O331" s="4"/>
      <c r="P331" s="100"/>
      <c r="Q331" s="100" t="s">
        <v>636</v>
      </c>
      <c r="R331" s="111" t="s">
        <v>27</v>
      </c>
      <c r="S331" s="111" t="s">
        <v>330</v>
      </c>
      <c r="T331" s="101">
        <v>8.9938809384053936E-2</v>
      </c>
      <c r="U331" s="86">
        <v>2.0305697207692486</v>
      </c>
      <c r="V331" s="101">
        <v>1E-8</v>
      </c>
      <c r="W331" s="101">
        <v>1E-8</v>
      </c>
      <c r="X331" s="101">
        <v>1E-8</v>
      </c>
      <c r="Y331" s="101">
        <v>1E-8</v>
      </c>
      <c r="Z331" s="101">
        <v>1E-8</v>
      </c>
      <c r="AA331" s="101">
        <v>1E-8</v>
      </c>
      <c r="AB331" s="101">
        <v>1E-8</v>
      </c>
      <c r="AC331" s="101">
        <v>1E-8</v>
      </c>
      <c r="AD331" s="4"/>
    </row>
    <row r="332" spans="1:30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4"/>
      <c r="O332" s="4"/>
      <c r="P332" s="100"/>
      <c r="Q332" s="100" t="s">
        <v>637</v>
      </c>
      <c r="R332" s="111" t="s">
        <v>27</v>
      </c>
      <c r="S332" s="111" t="s">
        <v>333</v>
      </c>
      <c r="T332" s="101">
        <v>3.7161639860713311</v>
      </c>
      <c r="U332" s="86">
        <v>1.9939876853603877</v>
      </c>
      <c r="V332" s="101">
        <v>1E-8</v>
      </c>
      <c r="W332" s="101">
        <v>1E-8</v>
      </c>
      <c r="X332" s="101">
        <v>1E-8</v>
      </c>
      <c r="Y332" s="101">
        <v>1E-8</v>
      </c>
      <c r="Z332" s="101">
        <v>1E-8</v>
      </c>
      <c r="AA332" s="101">
        <v>1E-8</v>
      </c>
      <c r="AB332" s="101">
        <v>1E-8</v>
      </c>
      <c r="AC332" s="101">
        <v>1E-8</v>
      </c>
      <c r="AD332" s="4"/>
    </row>
    <row r="333" spans="1:30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4"/>
      <c r="O333" s="4"/>
      <c r="P333" s="100"/>
      <c r="Q333" s="100" t="s">
        <v>638</v>
      </c>
      <c r="R333" s="111" t="s">
        <v>27</v>
      </c>
      <c r="S333" s="111" t="s">
        <v>546</v>
      </c>
      <c r="T333" s="101">
        <v>0.42508568686233622</v>
      </c>
      <c r="U333" s="86">
        <v>0.14730029615215301</v>
      </c>
      <c r="V333" s="101">
        <v>1E-8</v>
      </c>
      <c r="W333" s="101">
        <v>1E-8</v>
      </c>
      <c r="X333" s="101">
        <v>1E-8</v>
      </c>
      <c r="Y333" s="101">
        <v>1E-8</v>
      </c>
      <c r="Z333" s="101">
        <v>1E-8</v>
      </c>
      <c r="AA333" s="101">
        <v>1E-8</v>
      </c>
      <c r="AB333" s="101">
        <v>1E-8</v>
      </c>
      <c r="AC333" s="101">
        <v>1E-8</v>
      </c>
      <c r="AD333" s="4"/>
    </row>
    <row r="334" spans="1:30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4"/>
      <c r="O334" s="4"/>
      <c r="P334" s="100"/>
      <c r="Q334" s="100" t="s">
        <v>639</v>
      </c>
      <c r="R334" s="111" t="s">
        <v>27</v>
      </c>
      <c r="S334" s="111" t="s">
        <v>335</v>
      </c>
      <c r="T334" s="101">
        <v>0.12141391607810921</v>
      </c>
      <c r="U334" s="86">
        <v>-3.6378534691488329</v>
      </c>
      <c r="V334" s="101">
        <v>1E-8</v>
      </c>
      <c r="W334" s="101">
        <v>1E-8</v>
      </c>
      <c r="X334" s="101">
        <v>1E-8</v>
      </c>
      <c r="Y334" s="101">
        <v>1E-8</v>
      </c>
      <c r="Z334" s="101">
        <v>1E-8</v>
      </c>
      <c r="AA334" s="101">
        <v>1E-8</v>
      </c>
      <c r="AB334" s="101">
        <v>1E-8</v>
      </c>
      <c r="AC334" s="101">
        <v>1E-8</v>
      </c>
      <c r="AD334" s="4"/>
    </row>
    <row r="335" spans="1:30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4"/>
      <c r="O335" s="4"/>
      <c r="P335" s="100"/>
      <c r="Q335" s="100" t="s">
        <v>640</v>
      </c>
      <c r="R335" s="111" t="s">
        <v>27</v>
      </c>
      <c r="S335" s="111" t="s">
        <v>334</v>
      </c>
      <c r="T335" s="101">
        <v>1.4610885551443342</v>
      </c>
      <c r="U335" s="86">
        <v>9.5213622589383817</v>
      </c>
      <c r="V335" s="101">
        <v>1E-8</v>
      </c>
      <c r="W335" s="101">
        <v>1E-8</v>
      </c>
      <c r="X335" s="101">
        <v>1E-8</v>
      </c>
      <c r="Y335" s="101">
        <v>1E-8</v>
      </c>
      <c r="Z335" s="101">
        <v>1E-8</v>
      </c>
      <c r="AA335" s="101">
        <v>1E-8</v>
      </c>
      <c r="AB335" s="101">
        <v>1E-8</v>
      </c>
      <c r="AC335" s="101">
        <v>1E-8</v>
      </c>
      <c r="AD335" s="4"/>
    </row>
    <row r="336" spans="1:30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4"/>
      <c r="O336" s="4"/>
      <c r="P336" s="68"/>
      <c r="Q336" s="68" t="s">
        <v>365</v>
      </c>
      <c r="R336" s="108" t="s">
        <v>27</v>
      </c>
      <c r="S336" s="108" t="s">
        <v>374</v>
      </c>
      <c r="T336" s="98">
        <v>7.2441744946722161E-2</v>
      </c>
      <c r="U336" s="80">
        <v>-1.3530522437999903</v>
      </c>
      <c r="V336" s="98">
        <v>1E-8</v>
      </c>
      <c r="W336" s="98">
        <v>1E-8</v>
      </c>
      <c r="X336" s="98">
        <v>1E-8</v>
      </c>
      <c r="Y336" s="98">
        <v>1E-8</v>
      </c>
      <c r="Z336" s="98">
        <v>1E-8</v>
      </c>
      <c r="AA336" s="98">
        <v>1E-8</v>
      </c>
      <c r="AB336" s="98">
        <v>1E-8</v>
      </c>
      <c r="AC336" s="98">
        <v>1E-8</v>
      </c>
      <c r="AD336" s="4"/>
    </row>
    <row r="337" spans="1:30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4"/>
      <c r="O337" s="4"/>
      <c r="P337" s="100"/>
      <c r="Q337" s="100" t="s">
        <v>641</v>
      </c>
      <c r="R337" s="111" t="s">
        <v>27</v>
      </c>
      <c r="S337" s="111" t="s">
        <v>547</v>
      </c>
      <c r="T337" s="101">
        <v>5.5219378304071753E-2</v>
      </c>
      <c r="U337" s="86">
        <v>-1.9389807656625568</v>
      </c>
      <c r="V337" s="101">
        <v>1E-8</v>
      </c>
      <c r="W337" s="101">
        <v>1E-8</v>
      </c>
      <c r="X337" s="101">
        <v>1E-8</v>
      </c>
      <c r="Y337" s="101">
        <v>1E-8</v>
      </c>
      <c r="Z337" s="101">
        <v>1E-8</v>
      </c>
      <c r="AA337" s="101">
        <v>1E-8</v>
      </c>
      <c r="AB337" s="101">
        <v>1E-8</v>
      </c>
      <c r="AC337" s="101">
        <v>1E-8</v>
      </c>
      <c r="AD337" s="4"/>
    </row>
    <row r="338" spans="1:30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4"/>
      <c r="O338" s="4"/>
      <c r="P338" s="100"/>
      <c r="Q338" s="100" t="s">
        <v>642</v>
      </c>
      <c r="R338" s="111" t="s">
        <v>27</v>
      </c>
      <c r="S338" s="111" t="s">
        <v>336</v>
      </c>
      <c r="T338" s="101">
        <v>1.0841454481685558E-2</v>
      </c>
      <c r="U338" s="86">
        <v>1.7295758936182848</v>
      </c>
      <c r="V338" s="101">
        <v>1E-8</v>
      </c>
      <c r="W338" s="101">
        <v>1E-8</v>
      </c>
      <c r="X338" s="101">
        <v>1E-8</v>
      </c>
      <c r="Y338" s="101">
        <v>1E-8</v>
      </c>
      <c r="Z338" s="101">
        <v>1E-8</v>
      </c>
      <c r="AA338" s="101">
        <v>1E-8</v>
      </c>
      <c r="AB338" s="101">
        <v>1E-8</v>
      </c>
      <c r="AC338" s="101">
        <v>1E-8</v>
      </c>
      <c r="AD338" s="4"/>
    </row>
    <row r="339" spans="1:30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4"/>
      <c r="O339" s="4"/>
      <c r="P339" s="100"/>
      <c r="Q339" s="100" t="s">
        <v>643</v>
      </c>
      <c r="R339" s="112" t="s">
        <v>27</v>
      </c>
      <c r="S339" s="112" t="s">
        <v>337</v>
      </c>
      <c r="T339" s="87">
        <v>6.380912160964862E-3</v>
      </c>
      <c r="U339" s="88">
        <v>-1.5200446582117944</v>
      </c>
      <c r="V339" s="87">
        <v>1E-8</v>
      </c>
      <c r="W339" s="87">
        <v>1E-8</v>
      </c>
      <c r="X339" s="87">
        <v>1E-8</v>
      </c>
      <c r="Y339" s="87">
        <v>1E-8</v>
      </c>
      <c r="Z339" s="87">
        <v>1E-8</v>
      </c>
      <c r="AA339" s="87">
        <v>1E-8</v>
      </c>
      <c r="AB339" s="87">
        <v>1E-8</v>
      </c>
      <c r="AC339" s="87">
        <v>1E-8</v>
      </c>
      <c r="AD339" s="4"/>
    </row>
    <row r="340" spans="1:30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4"/>
      <c r="O340" s="4"/>
      <c r="P340" s="68"/>
      <c r="Q340" s="68" t="s">
        <v>644</v>
      </c>
      <c r="R340" s="108" t="s">
        <v>27</v>
      </c>
      <c r="S340" s="108" t="s">
        <v>338</v>
      </c>
      <c r="T340" s="98">
        <v>1E-8</v>
      </c>
      <c r="U340" s="80">
        <v>1E-8</v>
      </c>
      <c r="V340" s="98">
        <v>1E-8</v>
      </c>
      <c r="W340" s="98">
        <v>1E-8</v>
      </c>
      <c r="X340" s="98">
        <v>1E-8</v>
      </c>
      <c r="Y340" s="98">
        <v>1E-8</v>
      </c>
      <c r="Z340" s="98">
        <v>1E-8</v>
      </c>
      <c r="AA340" s="98">
        <v>1E-8</v>
      </c>
      <c r="AB340" s="98">
        <v>1E-8</v>
      </c>
      <c r="AC340" s="98">
        <v>1E-8</v>
      </c>
      <c r="AD340" s="4"/>
    </row>
    <row r="341" spans="1:30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4"/>
      <c r="O341" s="4"/>
      <c r="P341" s="68"/>
      <c r="Q341" s="68" t="s">
        <v>366</v>
      </c>
      <c r="R341" s="108" t="s">
        <v>27</v>
      </c>
      <c r="S341" s="108" t="s">
        <v>339</v>
      </c>
      <c r="T341" s="98">
        <v>4.8000564129362842E-2</v>
      </c>
      <c r="U341" s="80">
        <v>7.2524907539566641</v>
      </c>
      <c r="V341" s="98">
        <v>1E-8</v>
      </c>
      <c r="W341" s="98">
        <v>1E-8</v>
      </c>
      <c r="X341" s="98">
        <v>1E-8</v>
      </c>
      <c r="Y341" s="98">
        <v>1E-8</v>
      </c>
      <c r="Z341" s="98">
        <v>1E-8</v>
      </c>
      <c r="AA341" s="98">
        <v>1E-8</v>
      </c>
      <c r="AB341" s="98">
        <v>1E-8</v>
      </c>
      <c r="AC341" s="98">
        <v>1E-8</v>
      </c>
      <c r="AD341" s="4"/>
    </row>
    <row r="342" spans="1:30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4"/>
      <c r="O342" s="4"/>
      <c r="P342" s="100"/>
      <c r="Q342" s="100" t="s">
        <v>645</v>
      </c>
      <c r="R342" s="111" t="s">
        <v>27</v>
      </c>
      <c r="S342" s="111" t="s">
        <v>340</v>
      </c>
      <c r="T342" s="101">
        <v>4.59010216063339E-2</v>
      </c>
      <c r="U342" s="86">
        <v>7.3424322756453497</v>
      </c>
      <c r="V342" s="101">
        <v>1E-8</v>
      </c>
      <c r="W342" s="101">
        <v>1E-8</v>
      </c>
      <c r="X342" s="101">
        <v>1E-8</v>
      </c>
      <c r="Y342" s="101">
        <v>1E-8</v>
      </c>
      <c r="Z342" s="101">
        <v>1E-8</v>
      </c>
      <c r="AA342" s="101">
        <v>1E-8</v>
      </c>
      <c r="AB342" s="101">
        <v>1E-8</v>
      </c>
      <c r="AC342" s="101">
        <v>1E-8</v>
      </c>
      <c r="AD342" s="4"/>
    </row>
    <row r="343" spans="1:30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4"/>
      <c r="O343" s="4"/>
      <c r="P343" s="100"/>
      <c r="Q343" s="100" t="s">
        <v>646</v>
      </c>
      <c r="R343" s="111" t="s">
        <v>27</v>
      </c>
      <c r="S343" s="111" t="s">
        <v>548</v>
      </c>
      <c r="T343" s="101">
        <v>2.0995425230289464E-3</v>
      </c>
      <c r="U343" s="86">
        <v>5.2861539519835299</v>
      </c>
      <c r="V343" s="101">
        <v>1E-8</v>
      </c>
      <c r="W343" s="101">
        <v>1E-8</v>
      </c>
      <c r="X343" s="101">
        <v>1E-8</v>
      </c>
      <c r="Y343" s="101">
        <v>1E-8</v>
      </c>
      <c r="Z343" s="101">
        <v>1E-8</v>
      </c>
      <c r="AA343" s="101">
        <v>1E-8</v>
      </c>
      <c r="AB343" s="101">
        <v>1E-8</v>
      </c>
      <c r="AC343" s="101">
        <v>1E-8</v>
      </c>
      <c r="AD343" s="4"/>
    </row>
    <row r="344" spans="1:30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4"/>
      <c r="O344" s="4"/>
      <c r="P344" s="68"/>
      <c r="Q344" s="68" t="s">
        <v>367</v>
      </c>
      <c r="R344" s="108" t="s">
        <v>27</v>
      </c>
      <c r="S344" s="108" t="s">
        <v>341</v>
      </c>
      <c r="T344" s="98">
        <v>5.4531855032501464E-2</v>
      </c>
      <c r="U344" s="80">
        <v>35.603164429694687</v>
      </c>
      <c r="V344" s="98">
        <v>1E-8</v>
      </c>
      <c r="W344" s="98">
        <v>1E-8</v>
      </c>
      <c r="X344" s="98">
        <v>1E-8</v>
      </c>
      <c r="Y344" s="98">
        <v>1E-8</v>
      </c>
      <c r="Z344" s="98">
        <v>1E-8</v>
      </c>
      <c r="AA344" s="98">
        <v>1E-8</v>
      </c>
      <c r="AB344" s="98">
        <v>1E-8</v>
      </c>
      <c r="AC344" s="98">
        <v>1E-8</v>
      </c>
      <c r="AD344" s="4"/>
    </row>
    <row r="345" spans="1:30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4"/>
      <c r="O345" s="4"/>
      <c r="P345" s="100"/>
      <c r="Q345" s="100" t="s">
        <v>647</v>
      </c>
      <c r="R345" s="111" t="s">
        <v>27</v>
      </c>
      <c r="S345" s="111" t="s">
        <v>342</v>
      </c>
      <c r="T345" s="101">
        <v>3.5022046751187491E-4</v>
      </c>
      <c r="U345" s="86">
        <v>6.2441464117553469</v>
      </c>
      <c r="V345" s="101">
        <v>1E-8</v>
      </c>
      <c r="W345" s="101">
        <v>1E-8</v>
      </c>
      <c r="X345" s="101">
        <v>1E-8</v>
      </c>
      <c r="Y345" s="101">
        <v>1E-8</v>
      </c>
      <c r="Z345" s="101">
        <v>1E-8</v>
      </c>
      <c r="AA345" s="101">
        <v>1E-8</v>
      </c>
      <c r="AB345" s="101">
        <v>1E-8</v>
      </c>
      <c r="AC345" s="101">
        <v>1E-8</v>
      </c>
      <c r="AD345" s="4"/>
    </row>
    <row r="346" spans="1:30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4"/>
      <c r="O346" s="4"/>
      <c r="P346" s="100"/>
      <c r="Q346" s="100" t="s">
        <v>648</v>
      </c>
      <c r="R346" s="111" t="s">
        <v>27</v>
      </c>
      <c r="S346" s="111" t="s">
        <v>343</v>
      </c>
      <c r="T346" s="101">
        <v>3.9551890651391572E-2</v>
      </c>
      <c r="U346" s="86">
        <v>46.068688220972078</v>
      </c>
      <c r="V346" s="101">
        <v>1E-8</v>
      </c>
      <c r="W346" s="101">
        <v>1E-8</v>
      </c>
      <c r="X346" s="101">
        <v>1E-8</v>
      </c>
      <c r="Y346" s="101">
        <v>1E-8</v>
      </c>
      <c r="Z346" s="101">
        <v>1E-8</v>
      </c>
      <c r="AA346" s="101">
        <v>1E-8</v>
      </c>
      <c r="AB346" s="101">
        <v>1E-8</v>
      </c>
      <c r="AC346" s="101">
        <v>1E-8</v>
      </c>
      <c r="AD346" s="4"/>
    </row>
    <row r="347" spans="1:30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4"/>
      <c r="O347" s="4"/>
      <c r="P347" s="100"/>
      <c r="Q347" s="100" t="s">
        <v>649</v>
      </c>
      <c r="R347" s="111" t="s">
        <v>27</v>
      </c>
      <c r="S347" s="111" t="s">
        <v>549</v>
      </c>
      <c r="T347" s="101">
        <v>8.8704743207760027E-3</v>
      </c>
      <c r="U347" s="86">
        <v>6.0123962343762161</v>
      </c>
      <c r="V347" s="101">
        <v>1E-8</v>
      </c>
      <c r="W347" s="101">
        <v>1E-8</v>
      </c>
      <c r="X347" s="101">
        <v>1E-8</v>
      </c>
      <c r="Y347" s="101">
        <v>1E-8</v>
      </c>
      <c r="Z347" s="101">
        <v>1E-8</v>
      </c>
      <c r="AA347" s="101">
        <v>1E-8</v>
      </c>
      <c r="AB347" s="101">
        <v>1E-8</v>
      </c>
      <c r="AC347" s="101">
        <v>1E-8</v>
      </c>
      <c r="AD347" s="4"/>
    </row>
    <row r="348" spans="1:30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4"/>
      <c r="O348" s="4"/>
      <c r="P348" s="100"/>
      <c r="Q348" s="100" t="s">
        <v>650</v>
      </c>
      <c r="R348" s="111" t="s">
        <v>27</v>
      </c>
      <c r="S348" s="111" t="s">
        <v>550</v>
      </c>
      <c r="T348" s="101">
        <v>5.7592695928220172E-3</v>
      </c>
      <c r="U348" s="86">
        <v>11.092248261863569</v>
      </c>
      <c r="V348" s="101">
        <v>1E-8</v>
      </c>
      <c r="W348" s="101">
        <v>1E-8</v>
      </c>
      <c r="X348" s="101">
        <v>1E-8</v>
      </c>
      <c r="Y348" s="101">
        <v>1E-8</v>
      </c>
      <c r="Z348" s="101">
        <v>1E-8</v>
      </c>
      <c r="AA348" s="101">
        <v>1E-8</v>
      </c>
      <c r="AB348" s="101">
        <v>1E-8</v>
      </c>
      <c r="AC348" s="101">
        <v>1E-8</v>
      </c>
      <c r="AD348" s="4"/>
    </row>
    <row r="349" spans="1:30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4"/>
      <c r="O349" s="4"/>
      <c r="P349" s="68"/>
      <c r="Q349" s="68" t="s">
        <v>172</v>
      </c>
      <c r="R349" s="108" t="s">
        <v>27</v>
      </c>
      <c r="S349" s="108" t="s">
        <v>551</v>
      </c>
      <c r="T349" s="98">
        <v>0.33017256239491083</v>
      </c>
      <c r="U349" s="80">
        <v>-2.0792397663298767</v>
      </c>
      <c r="V349" s="98">
        <v>1E-8</v>
      </c>
      <c r="W349" s="98">
        <v>1E-8</v>
      </c>
      <c r="X349" s="98">
        <v>1E-8</v>
      </c>
      <c r="Y349" s="98">
        <v>1E-8</v>
      </c>
      <c r="Z349" s="98">
        <v>1E-8</v>
      </c>
      <c r="AA349" s="98">
        <v>1E-8</v>
      </c>
      <c r="AB349" s="98">
        <v>1E-8</v>
      </c>
      <c r="AC349" s="98">
        <v>1E-8</v>
      </c>
      <c r="AD349" s="4"/>
    </row>
    <row r="350" spans="1:30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4"/>
      <c r="O350" s="4"/>
      <c r="P350" s="100"/>
      <c r="Q350" s="100" t="s">
        <v>651</v>
      </c>
      <c r="R350" s="111" t="s">
        <v>27</v>
      </c>
      <c r="S350" s="111" t="s">
        <v>344</v>
      </c>
      <c r="T350" s="101">
        <v>2.1672670460609923E-2</v>
      </c>
      <c r="U350" s="86">
        <v>12.970395854260586</v>
      </c>
      <c r="V350" s="101">
        <v>1E-8</v>
      </c>
      <c r="W350" s="101">
        <v>1E-8</v>
      </c>
      <c r="X350" s="101">
        <v>1E-8</v>
      </c>
      <c r="Y350" s="101">
        <v>1E-8</v>
      </c>
      <c r="Z350" s="101">
        <v>1E-8</v>
      </c>
      <c r="AA350" s="101">
        <v>1E-8</v>
      </c>
      <c r="AB350" s="101">
        <v>1E-8</v>
      </c>
      <c r="AC350" s="101">
        <v>1E-8</v>
      </c>
      <c r="AD350" s="4"/>
    </row>
    <row r="351" spans="1:30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4"/>
      <c r="O351" s="4"/>
      <c r="P351" s="100"/>
      <c r="Q351" s="100" t="s">
        <v>652</v>
      </c>
      <c r="R351" s="111" t="s">
        <v>27</v>
      </c>
      <c r="S351" s="111" t="s">
        <v>552</v>
      </c>
      <c r="T351" s="101">
        <v>0.19916080469239167</v>
      </c>
      <c r="U351" s="86">
        <v>4.2424253571605952</v>
      </c>
      <c r="V351" s="101">
        <v>1E-8</v>
      </c>
      <c r="W351" s="101">
        <v>1E-8</v>
      </c>
      <c r="X351" s="101">
        <v>1E-8</v>
      </c>
      <c r="Y351" s="101">
        <v>1E-8</v>
      </c>
      <c r="Z351" s="101">
        <v>1E-8</v>
      </c>
      <c r="AA351" s="101">
        <v>1E-8</v>
      </c>
      <c r="AB351" s="101">
        <v>1E-8</v>
      </c>
      <c r="AC351" s="101">
        <v>1E-8</v>
      </c>
      <c r="AD351" s="4"/>
    </row>
    <row r="352" spans="1:30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4"/>
      <c r="O352" s="4"/>
      <c r="P352" s="100"/>
      <c r="Q352" s="100" t="s">
        <v>653</v>
      </c>
      <c r="R352" s="111" t="s">
        <v>27</v>
      </c>
      <c r="S352" s="111" t="s">
        <v>553</v>
      </c>
      <c r="T352" s="101">
        <v>0.10933908724190926</v>
      </c>
      <c r="U352" s="86">
        <v>-16.577199703020362</v>
      </c>
      <c r="V352" s="101">
        <v>1E-8</v>
      </c>
      <c r="W352" s="101">
        <v>1E-8</v>
      </c>
      <c r="X352" s="101">
        <v>1E-8</v>
      </c>
      <c r="Y352" s="101">
        <v>1E-8</v>
      </c>
      <c r="Z352" s="101">
        <v>1E-8</v>
      </c>
      <c r="AA352" s="101">
        <v>1E-8</v>
      </c>
      <c r="AB352" s="101">
        <v>1E-8</v>
      </c>
      <c r="AC352" s="101">
        <v>1E-8</v>
      </c>
      <c r="AD352" s="4"/>
    </row>
    <row r="353" spans="1:30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4"/>
      <c r="O353" s="4"/>
      <c r="P353" s="68"/>
      <c r="Q353" s="68" t="s">
        <v>368</v>
      </c>
      <c r="R353" s="108" t="s">
        <v>27</v>
      </c>
      <c r="S353" s="108" t="s">
        <v>345</v>
      </c>
      <c r="T353" s="98">
        <v>9.589092883262175E-2</v>
      </c>
      <c r="U353" s="80">
        <v>9.9721520603540235</v>
      </c>
      <c r="V353" s="98">
        <v>1E-8</v>
      </c>
      <c r="W353" s="98">
        <v>1E-8</v>
      </c>
      <c r="X353" s="98">
        <v>1E-8</v>
      </c>
      <c r="Y353" s="98">
        <v>1E-8</v>
      </c>
      <c r="Z353" s="98">
        <v>1E-8</v>
      </c>
      <c r="AA353" s="98">
        <v>1E-8</v>
      </c>
      <c r="AB353" s="98">
        <v>1E-8</v>
      </c>
      <c r="AC353" s="98">
        <v>1E-8</v>
      </c>
      <c r="AD353" s="4"/>
    </row>
    <row r="354" spans="1:30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4"/>
      <c r="O354" s="4"/>
      <c r="P354" s="100"/>
      <c r="Q354" s="100" t="s">
        <v>654</v>
      </c>
      <c r="R354" s="111" t="s">
        <v>27</v>
      </c>
      <c r="S354" s="111" t="s">
        <v>346</v>
      </c>
      <c r="T354" s="101">
        <v>5.7652413021601553E-2</v>
      </c>
      <c r="U354" s="86">
        <v>14.575110523702461</v>
      </c>
      <c r="V354" s="101">
        <v>1E-8</v>
      </c>
      <c r="W354" s="101">
        <v>1E-8</v>
      </c>
      <c r="X354" s="101">
        <v>1E-8</v>
      </c>
      <c r="Y354" s="101">
        <v>1E-8</v>
      </c>
      <c r="Z354" s="101">
        <v>1E-8</v>
      </c>
      <c r="AA354" s="101">
        <v>1E-8</v>
      </c>
      <c r="AB354" s="101">
        <v>1E-8</v>
      </c>
      <c r="AC354" s="101">
        <v>1E-8</v>
      </c>
      <c r="AD354" s="4"/>
    </row>
    <row r="355" spans="1:30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4"/>
      <c r="O355" s="4"/>
      <c r="P355" s="100"/>
      <c r="Q355" s="100" t="s">
        <v>655</v>
      </c>
      <c r="R355" s="111" t="s">
        <v>27</v>
      </c>
      <c r="S355" s="111" t="s">
        <v>347</v>
      </c>
      <c r="T355" s="101">
        <v>2.5086311105455106E-2</v>
      </c>
      <c r="U355" s="86">
        <v>-0.3001642445538022</v>
      </c>
      <c r="V355" s="101">
        <v>1E-8</v>
      </c>
      <c r="W355" s="101">
        <v>1E-8</v>
      </c>
      <c r="X355" s="101">
        <v>1E-8</v>
      </c>
      <c r="Y355" s="101">
        <v>1E-8</v>
      </c>
      <c r="Z355" s="101">
        <v>1E-8</v>
      </c>
      <c r="AA355" s="101">
        <v>1E-8</v>
      </c>
      <c r="AB355" s="101">
        <v>1E-8</v>
      </c>
      <c r="AC355" s="101">
        <v>1E-8</v>
      </c>
      <c r="AD355" s="4"/>
    </row>
    <row r="356" spans="1:30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4"/>
      <c r="O356" s="4"/>
      <c r="P356" s="100"/>
      <c r="Q356" s="100" t="s">
        <v>656</v>
      </c>
      <c r="R356" s="111" t="s">
        <v>27</v>
      </c>
      <c r="S356" s="111" t="s">
        <v>348</v>
      </c>
      <c r="T356" s="101">
        <v>1.3152204705565098E-2</v>
      </c>
      <c r="U356" s="86">
        <v>9.3884370085013824</v>
      </c>
      <c r="V356" s="101">
        <v>1E-8</v>
      </c>
      <c r="W356" s="101">
        <v>1E-8</v>
      </c>
      <c r="X356" s="101">
        <v>1E-8</v>
      </c>
      <c r="Y356" s="101">
        <v>1E-8</v>
      </c>
      <c r="Z356" s="101">
        <v>1E-8</v>
      </c>
      <c r="AA356" s="101">
        <v>1E-8</v>
      </c>
      <c r="AB356" s="101">
        <v>1E-8</v>
      </c>
      <c r="AC356" s="101">
        <v>1E-8</v>
      </c>
      <c r="AD356" s="4"/>
    </row>
    <row r="357" spans="1:30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4"/>
      <c r="O357" s="4"/>
      <c r="P357" s="68"/>
      <c r="Q357" s="68" t="s">
        <v>181</v>
      </c>
      <c r="R357" s="108" t="s">
        <v>27</v>
      </c>
      <c r="S357" s="108" t="s">
        <v>554</v>
      </c>
      <c r="T357" s="98">
        <v>1E-8</v>
      </c>
      <c r="U357" s="80">
        <v>1E-8</v>
      </c>
      <c r="V357" s="98">
        <v>1E-8</v>
      </c>
      <c r="W357" s="98">
        <v>1E-8</v>
      </c>
      <c r="X357" s="98">
        <v>1E-8</v>
      </c>
      <c r="Y357" s="98">
        <v>1E-8</v>
      </c>
      <c r="Z357" s="98">
        <v>1E-8</v>
      </c>
      <c r="AA357" s="98">
        <v>1E-8</v>
      </c>
      <c r="AB357" s="98">
        <v>1E-8</v>
      </c>
      <c r="AC357" s="98">
        <v>1E-8</v>
      </c>
      <c r="AD357" s="4"/>
    </row>
    <row r="358" spans="1:30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4"/>
      <c r="O358" s="4"/>
      <c r="P358" s="100"/>
      <c r="Q358" s="100" t="s">
        <v>657</v>
      </c>
      <c r="R358" s="111" t="s">
        <v>27</v>
      </c>
      <c r="S358" s="111" t="s">
        <v>555</v>
      </c>
      <c r="T358" s="101">
        <v>1E-8</v>
      </c>
      <c r="U358" s="86">
        <v>1E-8</v>
      </c>
      <c r="V358" s="101">
        <v>1E-8</v>
      </c>
      <c r="W358" s="101">
        <v>1E-8</v>
      </c>
      <c r="X358" s="101">
        <v>1E-8</v>
      </c>
      <c r="Y358" s="101">
        <v>1E-8</v>
      </c>
      <c r="Z358" s="101">
        <v>1E-8</v>
      </c>
      <c r="AA358" s="101">
        <v>1E-8</v>
      </c>
      <c r="AB358" s="101">
        <v>1E-8</v>
      </c>
      <c r="AC358" s="101">
        <v>1E-8</v>
      </c>
      <c r="AD358" s="4"/>
    </row>
    <row r="359" spans="1:30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4"/>
      <c r="O359" s="4"/>
      <c r="P359" s="100"/>
      <c r="Q359" s="100" t="s">
        <v>658</v>
      </c>
      <c r="R359" s="111" t="s">
        <v>27</v>
      </c>
      <c r="S359" s="111" t="s">
        <v>349</v>
      </c>
      <c r="T359" s="101">
        <v>1E-8</v>
      </c>
      <c r="U359" s="86">
        <v>1E-8</v>
      </c>
      <c r="V359" s="101">
        <v>1E-8</v>
      </c>
      <c r="W359" s="101">
        <v>1E-8</v>
      </c>
      <c r="X359" s="101">
        <v>1E-8</v>
      </c>
      <c r="Y359" s="101">
        <v>1E-8</v>
      </c>
      <c r="Z359" s="101">
        <v>1E-8</v>
      </c>
      <c r="AA359" s="101">
        <v>1E-8</v>
      </c>
      <c r="AB359" s="101">
        <v>1E-8</v>
      </c>
      <c r="AC359" s="101">
        <v>1E-8</v>
      </c>
      <c r="AD359" s="4"/>
    </row>
    <row r="360" spans="1:30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4"/>
      <c r="O360" s="4"/>
      <c r="P360" s="100"/>
      <c r="Q360" s="100" t="s">
        <v>659</v>
      </c>
      <c r="R360" s="112" t="s">
        <v>27</v>
      </c>
      <c r="S360" s="112" t="s">
        <v>556</v>
      </c>
      <c r="T360" s="87">
        <v>1E-8</v>
      </c>
      <c r="U360" s="88">
        <v>1E-8</v>
      </c>
      <c r="V360" s="87">
        <v>1E-8</v>
      </c>
      <c r="W360" s="87">
        <v>1E-8</v>
      </c>
      <c r="X360" s="87">
        <v>1E-8</v>
      </c>
      <c r="Y360" s="87">
        <v>1E-8</v>
      </c>
      <c r="Z360" s="87">
        <v>1E-8</v>
      </c>
      <c r="AA360" s="87">
        <v>1E-8</v>
      </c>
      <c r="AB360" s="87">
        <v>1E-8</v>
      </c>
      <c r="AC360" s="87">
        <v>1E-8</v>
      </c>
      <c r="AD360" s="4"/>
    </row>
    <row r="361" spans="1:30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4"/>
      <c r="O361" s="4"/>
      <c r="P361" s="96"/>
      <c r="Q361" s="96" t="s">
        <v>286</v>
      </c>
      <c r="R361" s="107" t="s">
        <v>27</v>
      </c>
      <c r="S361" s="107" t="s">
        <v>350</v>
      </c>
      <c r="T361" s="97">
        <v>13.364832242188946</v>
      </c>
      <c r="U361" s="78">
        <v>-3.0939514771739285</v>
      </c>
      <c r="V361" s="97">
        <v>1E-8</v>
      </c>
      <c r="W361" s="97">
        <v>1E-8</v>
      </c>
      <c r="X361" s="97">
        <v>1E-8</v>
      </c>
      <c r="Y361" s="97">
        <v>1E-8</v>
      </c>
      <c r="Z361" s="97">
        <v>1E-8</v>
      </c>
      <c r="AA361" s="97">
        <v>1E-8</v>
      </c>
      <c r="AB361" s="97">
        <v>1E-8</v>
      </c>
      <c r="AC361" s="97">
        <v>1E-8</v>
      </c>
      <c r="AD361" s="4"/>
    </row>
    <row r="362" spans="1:30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4"/>
      <c r="O362" s="4"/>
      <c r="P362" s="96"/>
      <c r="Q362" s="96" t="s">
        <v>369</v>
      </c>
      <c r="R362" s="107" t="s">
        <v>27</v>
      </c>
      <c r="S362" s="107" t="s">
        <v>557</v>
      </c>
      <c r="T362" s="97">
        <v>3.034833743127908</v>
      </c>
      <c r="U362" s="78">
        <v>-0.48147491260591702</v>
      </c>
      <c r="V362" s="97">
        <v>1E-8</v>
      </c>
      <c r="W362" s="97">
        <v>1E-8</v>
      </c>
      <c r="X362" s="97">
        <v>1E-8</v>
      </c>
      <c r="Y362" s="97">
        <v>1E-8</v>
      </c>
      <c r="Z362" s="97">
        <v>1E-8</v>
      </c>
      <c r="AA362" s="97">
        <v>1E-8</v>
      </c>
      <c r="AB362" s="97">
        <v>1E-8</v>
      </c>
      <c r="AC362" s="97">
        <v>1E-8</v>
      </c>
      <c r="AD362" s="4"/>
    </row>
    <row r="363" spans="1:30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4"/>
      <c r="O363" s="4"/>
      <c r="P363" s="68"/>
      <c r="Q363" s="68" t="s">
        <v>660</v>
      </c>
      <c r="R363" s="108" t="s">
        <v>27</v>
      </c>
      <c r="S363" s="108" t="s">
        <v>351</v>
      </c>
      <c r="T363" s="98">
        <v>2.0792485733343851</v>
      </c>
      <c r="U363" s="80">
        <v>-0.60628287606333542</v>
      </c>
      <c r="V363" s="98">
        <v>1E-8</v>
      </c>
      <c r="W363" s="98">
        <v>1E-8</v>
      </c>
      <c r="X363" s="98">
        <v>1E-8</v>
      </c>
      <c r="Y363" s="98">
        <v>1E-8</v>
      </c>
      <c r="Z363" s="98">
        <v>1E-8</v>
      </c>
      <c r="AA363" s="98">
        <v>1E-8</v>
      </c>
      <c r="AB363" s="98">
        <v>1E-8</v>
      </c>
      <c r="AC363" s="98">
        <v>1E-8</v>
      </c>
      <c r="AD363" s="4"/>
    </row>
    <row r="364" spans="1:30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4"/>
      <c r="O364" s="4"/>
      <c r="P364" s="68"/>
      <c r="Q364" s="68" t="s">
        <v>661</v>
      </c>
      <c r="R364" s="108" t="s">
        <v>27</v>
      </c>
      <c r="S364" s="108" t="s">
        <v>352</v>
      </c>
      <c r="T364" s="98">
        <v>0.92502877873678269</v>
      </c>
      <c r="U364" s="80">
        <v>-0.16658469436019452</v>
      </c>
      <c r="V364" s="98">
        <v>1E-8</v>
      </c>
      <c r="W364" s="98">
        <v>1E-8</v>
      </c>
      <c r="X364" s="98">
        <v>1E-8</v>
      </c>
      <c r="Y364" s="98">
        <v>1E-8</v>
      </c>
      <c r="Z364" s="98">
        <v>1E-8</v>
      </c>
      <c r="AA364" s="98">
        <v>1E-8</v>
      </c>
      <c r="AB364" s="98">
        <v>1E-8</v>
      </c>
      <c r="AC364" s="98">
        <v>1E-8</v>
      </c>
      <c r="AD364" s="4"/>
    </row>
    <row r="365" spans="1:30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4"/>
      <c r="O365" s="4"/>
      <c r="P365" s="68"/>
      <c r="Q365" s="68" t="s">
        <v>662</v>
      </c>
      <c r="R365" s="108" t="s">
        <v>27</v>
      </c>
      <c r="S365" s="108" t="s">
        <v>558</v>
      </c>
      <c r="T365" s="98">
        <v>3.05563910567399E-2</v>
      </c>
      <c r="U365" s="80">
        <v>-1.5213795924938101</v>
      </c>
      <c r="V365" s="98">
        <v>1E-8</v>
      </c>
      <c r="W365" s="98">
        <v>1E-8</v>
      </c>
      <c r="X365" s="98">
        <v>1E-8</v>
      </c>
      <c r="Y365" s="98">
        <v>1E-8</v>
      </c>
      <c r="Z365" s="98">
        <v>1E-8</v>
      </c>
      <c r="AA365" s="98">
        <v>1E-8</v>
      </c>
      <c r="AB365" s="98">
        <v>1E-8</v>
      </c>
      <c r="AC365" s="98">
        <v>1E-8</v>
      </c>
      <c r="AD365" s="4"/>
    </row>
    <row r="366" spans="1:30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4"/>
      <c r="O366" s="4"/>
      <c r="P366" s="96"/>
      <c r="Q366" s="96" t="s">
        <v>188</v>
      </c>
      <c r="R366" s="107" t="s">
        <v>27</v>
      </c>
      <c r="S366" s="107" t="s">
        <v>559</v>
      </c>
      <c r="T366" s="97">
        <v>10.329998499061038</v>
      </c>
      <c r="U366" s="78">
        <v>-3.8614667901725408</v>
      </c>
      <c r="V366" s="97">
        <v>1E-8</v>
      </c>
      <c r="W366" s="97">
        <v>1E-8</v>
      </c>
      <c r="X366" s="97">
        <v>1E-8</v>
      </c>
      <c r="Y366" s="97">
        <v>1E-8</v>
      </c>
      <c r="Z366" s="97">
        <v>1E-8</v>
      </c>
      <c r="AA366" s="97">
        <v>1E-8</v>
      </c>
      <c r="AB366" s="97">
        <v>1E-8</v>
      </c>
      <c r="AC366" s="97">
        <v>1E-8</v>
      </c>
      <c r="AD366" s="4"/>
    </row>
    <row r="367" spans="1:30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4"/>
      <c r="O367" s="4"/>
      <c r="P367" s="68"/>
      <c r="Q367" s="68" t="s">
        <v>663</v>
      </c>
      <c r="R367" s="108" t="s">
        <v>27</v>
      </c>
      <c r="S367" s="108" t="s">
        <v>353</v>
      </c>
      <c r="T367" s="98">
        <v>10.329998499061038</v>
      </c>
      <c r="U367" s="80">
        <v>-3.8614667901725408</v>
      </c>
      <c r="V367" s="98">
        <v>1E-8</v>
      </c>
      <c r="W367" s="98">
        <v>1E-8</v>
      </c>
      <c r="X367" s="98">
        <v>1E-8</v>
      </c>
      <c r="Y367" s="98">
        <v>1E-8</v>
      </c>
      <c r="Z367" s="98">
        <v>1E-8</v>
      </c>
      <c r="AA367" s="98">
        <v>1E-8</v>
      </c>
      <c r="AB367" s="98">
        <v>1E-8</v>
      </c>
      <c r="AC367" s="98">
        <v>1E-8</v>
      </c>
      <c r="AD367" s="4"/>
    </row>
    <row r="368" spans="1:30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4"/>
      <c r="O368" s="4"/>
      <c r="P368" s="72"/>
      <c r="Q368" s="72" t="s">
        <v>664</v>
      </c>
      <c r="R368" s="109" t="s">
        <v>27</v>
      </c>
      <c r="S368" s="109" t="s">
        <v>560</v>
      </c>
      <c r="T368" s="81">
        <v>1E-8</v>
      </c>
      <c r="U368" s="82">
        <v>1E-8</v>
      </c>
      <c r="V368" s="81">
        <v>1E-8</v>
      </c>
      <c r="W368" s="81">
        <v>1E-8</v>
      </c>
      <c r="X368" s="81">
        <v>1E-8</v>
      </c>
      <c r="Y368" s="81">
        <v>1E-8</v>
      </c>
      <c r="Z368" s="81">
        <v>1E-8</v>
      </c>
      <c r="AA368" s="81">
        <v>1E-8</v>
      </c>
      <c r="AB368" s="81">
        <v>1E-8</v>
      </c>
      <c r="AC368" s="81">
        <v>1E-8</v>
      </c>
      <c r="AD368" s="4"/>
    </row>
    <row r="369" spans="1:30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4"/>
      <c r="O369" s="4"/>
      <c r="P369" s="47"/>
      <c r="Q369" s="47" t="s">
        <v>287</v>
      </c>
      <c r="R369" s="105" t="s">
        <v>27</v>
      </c>
      <c r="S369" s="105" t="s">
        <v>354</v>
      </c>
      <c r="T369" s="95">
        <v>59.301901086075894</v>
      </c>
      <c r="U369" s="74">
        <v>-4.325394418909223E-2</v>
      </c>
      <c r="V369" s="95">
        <v>1E-8</v>
      </c>
      <c r="W369" s="95">
        <v>1E-8</v>
      </c>
      <c r="X369" s="95">
        <v>1E-8</v>
      </c>
      <c r="Y369" s="95">
        <v>1E-8</v>
      </c>
      <c r="Z369" s="95">
        <v>1E-8</v>
      </c>
      <c r="AA369" s="95">
        <v>1E-8</v>
      </c>
      <c r="AB369" s="95">
        <v>1E-8</v>
      </c>
      <c r="AC369" s="95">
        <v>1E-8</v>
      </c>
      <c r="AD369" s="4"/>
    </row>
    <row r="370" spans="1:30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4"/>
      <c r="O370" s="4"/>
      <c r="P370" s="96"/>
      <c r="Q370" s="96" t="s">
        <v>370</v>
      </c>
      <c r="R370" s="107" t="s">
        <v>27</v>
      </c>
      <c r="S370" s="107" t="s">
        <v>561</v>
      </c>
      <c r="T370" s="97">
        <v>9.4192769643805434</v>
      </c>
      <c r="U370" s="78">
        <v>-1.9046520320223026</v>
      </c>
      <c r="V370" s="97">
        <v>1E-8</v>
      </c>
      <c r="W370" s="97">
        <v>1E-8</v>
      </c>
      <c r="X370" s="97">
        <v>1E-8</v>
      </c>
      <c r="Y370" s="97">
        <v>1E-8</v>
      </c>
      <c r="Z370" s="97">
        <v>1E-8</v>
      </c>
      <c r="AA370" s="97">
        <v>1E-8</v>
      </c>
      <c r="AB370" s="97">
        <v>1E-8</v>
      </c>
      <c r="AC370" s="97">
        <v>1E-8</v>
      </c>
      <c r="AD370" s="4"/>
    </row>
    <row r="371" spans="1:30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4"/>
      <c r="O371" s="4"/>
      <c r="P371" s="68"/>
      <c r="Q371" s="68" t="s">
        <v>665</v>
      </c>
      <c r="R371" s="108" t="s">
        <v>27</v>
      </c>
      <c r="S371" s="108" t="s">
        <v>562</v>
      </c>
      <c r="T371" s="98">
        <v>0.24841045708922649</v>
      </c>
      <c r="U371" s="80">
        <v>-0.70988840487645755</v>
      </c>
      <c r="V371" s="98">
        <v>1E-8</v>
      </c>
      <c r="W371" s="98">
        <v>1E-8</v>
      </c>
      <c r="X371" s="98">
        <v>1E-8</v>
      </c>
      <c r="Y371" s="98">
        <v>1E-8</v>
      </c>
      <c r="Z371" s="98">
        <v>1E-8</v>
      </c>
      <c r="AA371" s="98">
        <v>1E-8</v>
      </c>
      <c r="AB371" s="98">
        <v>1E-8</v>
      </c>
      <c r="AC371" s="98">
        <v>1E-8</v>
      </c>
      <c r="AD371" s="4"/>
    </row>
    <row r="372" spans="1:30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4"/>
      <c r="O372" s="4"/>
      <c r="P372" s="68"/>
      <c r="Q372" s="68" t="s">
        <v>666</v>
      </c>
      <c r="R372" s="108" t="s">
        <v>27</v>
      </c>
      <c r="S372" s="108" t="s">
        <v>563</v>
      </c>
      <c r="T372" s="98">
        <v>2.8031757447405912E-2</v>
      </c>
      <c r="U372" s="80">
        <v>-7.1616518156878195</v>
      </c>
      <c r="V372" s="98">
        <v>1E-8</v>
      </c>
      <c r="W372" s="98">
        <v>1E-8</v>
      </c>
      <c r="X372" s="98">
        <v>1E-8</v>
      </c>
      <c r="Y372" s="98">
        <v>1E-8</v>
      </c>
      <c r="Z372" s="98">
        <v>1E-8</v>
      </c>
      <c r="AA372" s="98">
        <v>1E-8</v>
      </c>
      <c r="AB372" s="98">
        <v>1E-8</v>
      </c>
      <c r="AC372" s="98">
        <v>1E-8</v>
      </c>
      <c r="AD372" s="4"/>
    </row>
    <row r="373" spans="1:30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4"/>
      <c r="O373" s="4"/>
      <c r="P373" s="68"/>
      <c r="Q373" s="68" t="s">
        <v>667</v>
      </c>
      <c r="R373" s="108" t="s">
        <v>27</v>
      </c>
      <c r="S373" s="108" t="s">
        <v>564</v>
      </c>
      <c r="T373" s="98">
        <v>2.0315526393584857</v>
      </c>
      <c r="U373" s="80">
        <v>-1.9461431118095729</v>
      </c>
      <c r="V373" s="98">
        <v>1E-8</v>
      </c>
      <c r="W373" s="98">
        <v>1E-8</v>
      </c>
      <c r="X373" s="98">
        <v>1E-8</v>
      </c>
      <c r="Y373" s="98">
        <v>1E-8</v>
      </c>
      <c r="Z373" s="98">
        <v>1E-8</v>
      </c>
      <c r="AA373" s="98">
        <v>1E-8</v>
      </c>
      <c r="AB373" s="98">
        <v>1E-8</v>
      </c>
      <c r="AC373" s="98">
        <v>1E-8</v>
      </c>
      <c r="AD373" s="4"/>
    </row>
    <row r="374" spans="1:30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4"/>
      <c r="O374" s="4"/>
      <c r="P374" s="68"/>
      <c r="Q374" s="68" t="s">
        <v>668</v>
      </c>
      <c r="R374" s="108" t="s">
        <v>27</v>
      </c>
      <c r="S374" s="108" t="s">
        <v>565</v>
      </c>
      <c r="T374" s="98">
        <v>7.1112821104854254</v>
      </c>
      <c r="U374" s="80">
        <v>-1.9138117759661566</v>
      </c>
      <c r="V374" s="98">
        <v>1E-8</v>
      </c>
      <c r="W374" s="98">
        <v>1E-8</v>
      </c>
      <c r="X374" s="98">
        <v>1E-8</v>
      </c>
      <c r="Y374" s="98">
        <v>1E-8</v>
      </c>
      <c r="Z374" s="98">
        <v>1E-8</v>
      </c>
      <c r="AA374" s="98">
        <v>1E-8</v>
      </c>
      <c r="AB374" s="98">
        <v>1E-8</v>
      </c>
      <c r="AC374" s="98">
        <v>1E-8</v>
      </c>
      <c r="AD374" s="4"/>
    </row>
    <row r="375" spans="1:30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4"/>
      <c r="O375" s="4"/>
      <c r="P375" s="96"/>
      <c r="Q375" s="96" t="s">
        <v>371</v>
      </c>
      <c r="R375" s="107" t="s">
        <v>27</v>
      </c>
      <c r="S375" s="107" t="s">
        <v>566</v>
      </c>
      <c r="T375" s="97">
        <v>3.0104654221127571</v>
      </c>
      <c r="U375" s="78">
        <v>-0.19337728126845866</v>
      </c>
      <c r="V375" s="97">
        <v>1E-8</v>
      </c>
      <c r="W375" s="97">
        <v>1E-8</v>
      </c>
      <c r="X375" s="97">
        <v>1E-8</v>
      </c>
      <c r="Y375" s="97">
        <v>1E-8</v>
      </c>
      <c r="Z375" s="97">
        <v>1E-8</v>
      </c>
      <c r="AA375" s="97">
        <v>1E-8</v>
      </c>
      <c r="AB375" s="97">
        <v>1E-8</v>
      </c>
      <c r="AC375" s="97">
        <v>1E-8</v>
      </c>
      <c r="AD375" s="4"/>
    </row>
    <row r="376" spans="1:30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4"/>
      <c r="O376" s="4"/>
      <c r="P376" s="68"/>
      <c r="Q376" s="68" t="s">
        <v>669</v>
      </c>
      <c r="R376" s="108" t="s">
        <v>27</v>
      </c>
      <c r="S376" s="108" t="s">
        <v>567</v>
      </c>
      <c r="T376" s="98">
        <v>2.065517024636931</v>
      </c>
      <c r="U376" s="80">
        <v>-0.92742344199561177</v>
      </c>
      <c r="V376" s="98">
        <v>1E-8</v>
      </c>
      <c r="W376" s="98">
        <v>1E-8</v>
      </c>
      <c r="X376" s="98">
        <v>1E-8</v>
      </c>
      <c r="Y376" s="98">
        <v>1E-8</v>
      </c>
      <c r="Z376" s="98">
        <v>1E-8</v>
      </c>
      <c r="AA376" s="98">
        <v>1E-8</v>
      </c>
      <c r="AB376" s="98">
        <v>1E-8</v>
      </c>
      <c r="AC376" s="98">
        <v>1E-8</v>
      </c>
      <c r="AD376" s="4"/>
    </row>
    <row r="377" spans="1:30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4"/>
      <c r="O377" s="4"/>
      <c r="P377" s="68"/>
      <c r="Q377" s="68" t="s">
        <v>670</v>
      </c>
      <c r="R377" s="108" t="s">
        <v>27</v>
      </c>
      <c r="S377" s="108" t="s">
        <v>568</v>
      </c>
      <c r="T377" s="98">
        <v>0.48546510170414608</v>
      </c>
      <c r="U377" s="80">
        <v>0.99508240933658954</v>
      </c>
      <c r="V377" s="98">
        <v>1E-8</v>
      </c>
      <c r="W377" s="98">
        <v>1E-8</v>
      </c>
      <c r="X377" s="98">
        <v>1E-8</v>
      </c>
      <c r="Y377" s="98">
        <v>1E-8</v>
      </c>
      <c r="Z377" s="98">
        <v>1E-8</v>
      </c>
      <c r="AA377" s="98">
        <v>1E-8</v>
      </c>
      <c r="AB377" s="98">
        <v>1E-8</v>
      </c>
      <c r="AC377" s="98">
        <v>1E-8</v>
      </c>
      <c r="AD377" s="4"/>
    </row>
    <row r="378" spans="1:30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4"/>
      <c r="O378" s="4"/>
      <c r="P378" s="68"/>
      <c r="Q378" s="68" t="s">
        <v>671</v>
      </c>
      <c r="R378" s="108" t="s">
        <v>27</v>
      </c>
      <c r="S378" s="108" t="s">
        <v>569</v>
      </c>
      <c r="T378" s="98">
        <v>0.40899948061947294</v>
      </c>
      <c r="U378" s="80">
        <v>1.6078375467523331</v>
      </c>
      <c r="V378" s="98">
        <v>1E-8</v>
      </c>
      <c r="W378" s="98">
        <v>1E-8</v>
      </c>
      <c r="X378" s="98">
        <v>1E-8</v>
      </c>
      <c r="Y378" s="98">
        <v>1E-8</v>
      </c>
      <c r="Z378" s="98">
        <v>1E-8</v>
      </c>
      <c r="AA378" s="98">
        <v>1E-8</v>
      </c>
      <c r="AB378" s="98">
        <v>1E-8</v>
      </c>
      <c r="AC378" s="98">
        <v>1E-8</v>
      </c>
      <c r="AD378" s="4"/>
    </row>
    <row r="379" spans="1:30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4"/>
      <c r="O379" s="4"/>
      <c r="P379" s="68"/>
      <c r="Q379" s="68" t="s">
        <v>672</v>
      </c>
      <c r="R379" s="108" t="s">
        <v>27</v>
      </c>
      <c r="S379" s="108" t="s">
        <v>570</v>
      </c>
      <c r="T379" s="98">
        <v>5.0483815152207331E-2</v>
      </c>
      <c r="U379" s="80">
        <v>3.818467059838504</v>
      </c>
      <c r="V379" s="98">
        <v>1E-8</v>
      </c>
      <c r="W379" s="98">
        <v>1E-8</v>
      </c>
      <c r="X379" s="98">
        <v>1E-8</v>
      </c>
      <c r="Y379" s="98">
        <v>1E-8</v>
      </c>
      <c r="Z379" s="98">
        <v>1E-8</v>
      </c>
      <c r="AA379" s="98">
        <v>1E-8</v>
      </c>
      <c r="AB379" s="98">
        <v>1E-8</v>
      </c>
      <c r="AC379" s="98">
        <v>1E-8</v>
      </c>
      <c r="AD379" s="4"/>
    </row>
    <row r="380" spans="1:30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4"/>
      <c r="O380" s="4"/>
      <c r="P380" s="96"/>
      <c r="Q380" s="96" t="s">
        <v>673</v>
      </c>
      <c r="R380" s="107" t="s">
        <v>27</v>
      </c>
      <c r="S380" s="107" t="s">
        <v>355</v>
      </c>
      <c r="T380" s="97">
        <v>1.6457670987205304</v>
      </c>
      <c r="U380" s="78">
        <v>-0.87240163745202493</v>
      </c>
      <c r="V380" s="97">
        <v>1E-8</v>
      </c>
      <c r="W380" s="97">
        <v>1E-8</v>
      </c>
      <c r="X380" s="97">
        <v>1E-8</v>
      </c>
      <c r="Y380" s="97">
        <v>1E-8</v>
      </c>
      <c r="Z380" s="97">
        <v>1E-8</v>
      </c>
      <c r="AA380" s="97">
        <v>1E-8</v>
      </c>
      <c r="AB380" s="97">
        <v>1E-8</v>
      </c>
      <c r="AC380" s="97">
        <v>1E-8</v>
      </c>
      <c r="AD380" s="4"/>
    </row>
    <row r="381" spans="1:30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4"/>
      <c r="O381" s="4"/>
      <c r="P381" s="96"/>
      <c r="Q381" s="96" t="s">
        <v>372</v>
      </c>
      <c r="R381" s="107" t="s">
        <v>27</v>
      </c>
      <c r="S381" s="107" t="s">
        <v>571</v>
      </c>
      <c r="T381" s="97">
        <v>1E-8</v>
      </c>
      <c r="U381" s="78">
        <v>1E-8</v>
      </c>
      <c r="V381" s="97">
        <v>1E-8</v>
      </c>
      <c r="W381" s="97">
        <v>1E-8</v>
      </c>
      <c r="X381" s="97">
        <v>1E-8</v>
      </c>
      <c r="Y381" s="97">
        <v>1E-8</v>
      </c>
      <c r="Z381" s="97">
        <v>1E-8</v>
      </c>
      <c r="AA381" s="97">
        <v>1E-8</v>
      </c>
      <c r="AB381" s="97">
        <v>1E-8</v>
      </c>
      <c r="AC381" s="97">
        <v>1E-8</v>
      </c>
      <c r="AD381" s="4"/>
    </row>
    <row r="382" spans="1:30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4"/>
      <c r="O382" s="4"/>
      <c r="P382" s="68"/>
      <c r="Q382" s="68" t="s">
        <v>674</v>
      </c>
      <c r="R382" s="108" t="s">
        <v>27</v>
      </c>
      <c r="S382" s="108" t="s">
        <v>572</v>
      </c>
      <c r="T382" s="98">
        <v>1E-8</v>
      </c>
      <c r="U382" s="80">
        <v>1E-8</v>
      </c>
      <c r="V382" s="98">
        <v>1E-8</v>
      </c>
      <c r="W382" s="98">
        <v>1E-8</v>
      </c>
      <c r="X382" s="98">
        <v>1E-8</v>
      </c>
      <c r="Y382" s="98">
        <v>1E-8</v>
      </c>
      <c r="Z382" s="98">
        <v>1E-8</v>
      </c>
      <c r="AA382" s="98">
        <v>1E-8</v>
      </c>
      <c r="AB382" s="98">
        <v>1E-8</v>
      </c>
      <c r="AC382" s="98">
        <v>1E-8</v>
      </c>
      <c r="AD382" s="4"/>
    </row>
    <row r="383" spans="1:30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4"/>
      <c r="O383" s="4"/>
      <c r="P383" s="68"/>
      <c r="Q383" s="68" t="s">
        <v>675</v>
      </c>
      <c r="R383" s="108" t="s">
        <v>27</v>
      </c>
      <c r="S383" s="108" t="s">
        <v>356</v>
      </c>
      <c r="T383" s="98">
        <v>1E-8</v>
      </c>
      <c r="U383" s="80">
        <v>1E-8</v>
      </c>
      <c r="V383" s="98">
        <v>1E-8</v>
      </c>
      <c r="W383" s="98">
        <v>1E-8</v>
      </c>
      <c r="X383" s="98">
        <v>1E-8</v>
      </c>
      <c r="Y383" s="98">
        <v>1E-8</v>
      </c>
      <c r="Z383" s="98">
        <v>1E-8</v>
      </c>
      <c r="AA383" s="98">
        <v>1E-8</v>
      </c>
      <c r="AB383" s="98">
        <v>1E-8</v>
      </c>
      <c r="AC383" s="98">
        <v>1E-8</v>
      </c>
      <c r="AD383" s="4"/>
    </row>
    <row r="384" spans="1:30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4"/>
      <c r="O384" s="4"/>
      <c r="P384" s="68"/>
      <c r="Q384" s="68" t="s">
        <v>676</v>
      </c>
      <c r="R384" s="109" t="s">
        <v>27</v>
      </c>
      <c r="S384" s="109" t="s">
        <v>573</v>
      </c>
      <c r="T384" s="81">
        <v>1E-8</v>
      </c>
      <c r="U384" s="82">
        <v>1E-8</v>
      </c>
      <c r="V384" s="81">
        <v>1E-8</v>
      </c>
      <c r="W384" s="81">
        <v>1E-8</v>
      </c>
      <c r="X384" s="81">
        <v>1E-8</v>
      </c>
      <c r="Y384" s="81">
        <v>1E-8</v>
      </c>
      <c r="Z384" s="81">
        <v>1E-8</v>
      </c>
      <c r="AA384" s="81">
        <v>1E-8</v>
      </c>
      <c r="AB384" s="81">
        <v>1E-8</v>
      </c>
      <c r="AC384" s="81">
        <v>1E-8</v>
      </c>
      <c r="AD384" s="4"/>
    </row>
    <row r="385" spans="1:30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4"/>
      <c r="O385" s="4"/>
      <c r="P385" s="96"/>
      <c r="Q385" s="96" t="s">
        <v>373</v>
      </c>
      <c r="R385" s="107" t="s">
        <v>27</v>
      </c>
      <c r="S385" s="107" t="s">
        <v>574</v>
      </c>
      <c r="T385" s="97">
        <v>1.3532959875796839</v>
      </c>
      <c r="U385" s="78">
        <v>1.0007664341846745</v>
      </c>
      <c r="V385" s="97">
        <v>1E-8</v>
      </c>
      <c r="W385" s="97">
        <v>1E-8</v>
      </c>
      <c r="X385" s="97">
        <v>1E-8</v>
      </c>
      <c r="Y385" s="97">
        <v>1E-8</v>
      </c>
      <c r="Z385" s="97">
        <v>1E-8</v>
      </c>
      <c r="AA385" s="97">
        <v>1E-8</v>
      </c>
      <c r="AB385" s="97">
        <v>1E-8</v>
      </c>
      <c r="AC385" s="97">
        <v>1E-8</v>
      </c>
      <c r="AD385" s="4"/>
    </row>
    <row r="386" spans="1:30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4"/>
      <c r="O386" s="4"/>
      <c r="P386" s="68"/>
      <c r="Q386" s="68" t="s">
        <v>677</v>
      </c>
      <c r="R386" s="108" t="s">
        <v>27</v>
      </c>
      <c r="S386" s="108" t="s">
        <v>575</v>
      </c>
      <c r="T386" s="98">
        <v>0.4274383454854685</v>
      </c>
      <c r="U386" s="80">
        <v>2.4958111449641329</v>
      </c>
      <c r="V386" s="98">
        <v>1E-8</v>
      </c>
      <c r="W386" s="98">
        <v>1E-8</v>
      </c>
      <c r="X386" s="98">
        <v>1E-8</v>
      </c>
      <c r="Y386" s="98">
        <v>1E-8</v>
      </c>
      <c r="Z386" s="98">
        <v>1E-8</v>
      </c>
      <c r="AA386" s="98">
        <v>1E-8</v>
      </c>
      <c r="AB386" s="98">
        <v>1E-8</v>
      </c>
      <c r="AC386" s="98">
        <v>1E-8</v>
      </c>
      <c r="AD386" s="4"/>
    </row>
    <row r="387" spans="1:30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4"/>
      <c r="O387" s="4"/>
      <c r="P387" s="68"/>
      <c r="Q387" s="68" t="s">
        <v>678</v>
      </c>
      <c r="R387" s="108" t="s">
        <v>27</v>
      </c>
      <c r="S387" s="108" t="s">
        <v>576</v>
      </c>
      <c r="T387" s="98">
        <v>0.18868935494944639</v>
      </c>
      <c r="U387" s="80">
        <v>0.32771948391903116</v>
      </c>
      <c r="V387" s="98">
        <v>1E-8</v>
      </c>
      <c r="W387" s="98">
        <v>1E-8</v>
      </c>
      <c r="X387" s="98">
        <v>1E-8</v>
      </c>
      <c r="Y387" s="98">
        <v>1E-8</v>
      </c>
      <c r="Z387" s="98">
        <v>1E-8</v>
      </c>
      <c r="AA387" s="98">
        <v>1E-8</v>
      </c>
      <c r="AB387" s="98">
        <v>1E-8</v>
      </c>
      <c r="AC387" s="98">
        <v>1E-8</v>
      </c>
      <c r="AD387" s="4"/>
    </row>
    <row r="388" spans="1:30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4"/>
      <c r="O388" s="4"/>
      <c r="P388" s="68"/>
      <c r="Q388" s="68" t="s">
        <v>679</v>
      </c>
      <c r="R388" s="108" t="s">
        <v>27</v>
      </c>
      <c r="S388" s="108" t="s">
        <v>577</v>
      </c>
      <c r="T388" s="98">
        <v>0.73716828714476879</v>
      </c>
      <c r="U388" s="80">
        <v>0.30615890475700347</v>
      </c>
      <c r="V388" s="98">
        <v>1E-8</v>
      </c>
      <c r="W388" s="98">
        <v>1E-8</v>
      </c>
      <c r="X388" s="98">
        <v>1E-8</v>
      </c>
      <c r="Y388" s="98">
        <v>1E-8</v>
      </c>
      <c r="Z388" s="98">
        <v>1E-8</v>
      </c>
      <c r="AA388" s="98">
        <v>1E-8</v>
      </c>
      <c r="AB388" s="98">
        <v>1E-8</v>
      </c>
      <c r="AC388" s="98">
        <v>1E-8</v>
      </c>
      <c r="AD388" s="4"/>
    </row>
    <row r="389" spans="1:30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4"/>
      <c r="O389" s="4"/>
      <c r="P389" s="96"/>
      <c r="Q389" s="96" t="s">
        <v>195</v>
      </c>
      <c r="R389" s="107" t="s">
        <v>27</v>
      </c>
      <c r="S389" s="107" t="s">
        <v>578</v>
      </c>
      <c r="T389" s="97">
        <v>1E-8</v>
      </c>
      <c r="U389" s="78">
        <v>1E-8</v>
      </c>
      <c r="V389" s="97">
        <v>1E-8</v>
      </c>
      <c r="W389" s="97">
        <v>1E-8</v>
      </c>
      <c r="X389" s="97">
        <v>1E-8</v>
      </c>
      <c r="Y389" s="97">
        <v>1E-8</v>
      </c>
      <c r="Z389" s="97">
        <v>1E-8</v>
      </c>
      <c r="AA389" s="97">
        <v>1E-8</v>
      </c>
      <c r="AB389" s="97">
        <v>1E-8</v>
      </c>
      <c r="AC389" s="97">
        <v>1E-8</v>
      </c>
      <c r="AD389" s="4"/>
    </row>
    <row r="390" spans="1:30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4"/>
      <c r="O390" s="4"/>
      <c r="P390" s="68"/>
      <c r="Q390" s="68" t="s">
        <v>680</v>
      </c>
      <c r="R390" s="108" t="s">
        <v>27</v>
      </c>
      <c r="S390" s="108" t="s">
        <v>579</v>
      </c>
      <c r="T390" s="98">
        <v>1E-8</v>
      </c>
      <c r="U390" s="80">
        <v>1E-8</v>
      </c>
      <c r="V390" s="98">
        <v>1E-8</v>
      </c>
      <c r="W390" s="98">
        <v>1E-8</v>
      </c>
      <c r="X390" s="98">
        <v>1E-8</v>
      </c>
      <c r="Y390" s="98">
        <v>1E-8</v>
      </c>
      <c r="Z390" s="98">
        <v>1E-8</v>
      </c>
      <c r="AA390" s="98">
        <v>1E-8</v>
      </c>
      <c r="AB390" s="98">
        <v>1E-8</v>
      </c>
      <c r="AC390" s="98">
        <v>1E-8</v>
      </c>
      <c r="AD390" s="4"/>
    </row>
    <row r="391" spans="1:30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4"/>
      <c r="O391" s="4"/>
      <c r="P391" s="68"/>
      <c r="Q391" s="68" t="s">
        <v>681</v>
      </c>
      <c r="R391" s="108" t="s">
        <v>27</v>
      </c>
      <c r="S391" s="108" t="s">
        <v>357</v>
      </c>
      <c r="T391" s="98">
        <v>1E-8</v>
      </c>
      <c r="U391" s="80">
        <v>1E-8</v>
      </c>
      <c r="V391" s="98">
        <v>1E-8</v>
      </c>
      <c r="W391" s="98">
        <v>1E-8</v>
      </c>
      <c r="X391" s="98">
        <v>1E-8</v>
      </c>
      <c r="Y391" s="98">
        <v>1E-8</v>
      </c>
      <c r="Z391" s="98">
        <v>1E-8</v>
      </c>
      <c r="AA391" s="98">
        <v>1E-8</v>
      </c>
      <c r="AB391" s="98">
        <v>1E-8</v>
      </c>
      <c r="AC391" s="98">
        <v>1E-8</v>
      </c>
      <c r="AD391" s="4"/>
    </row>
    <row r="392" spans="1:30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4"/>
      <c r="O392" s="4"/>
      <c r="P392" s="96"/>
      <c r="Q392" s="96" t="s">
        <v>196</v>
      </c>
      <c r="R392" s="107" t="s">
        <v>27</v>
      </c>
      <c r="S392" s="107" t="s">
        <v>580</v>
      </c>
      <c r="T392" s="97">
        <v>9.1546311576610773</v>
      </c>
      <c r="U392" s="78">
        <v>1.6364548543795765</v>
      </c>
      <c r="V392" s="97">
        <v>1E-8</v>
      </c>
      <c r="W392" s="97">
        <v>1E-8</v>
      </c>
      <c r="X392" s="97">
        <v>1E-8</v>
      </c>
      <c r="Y392" s="97">
        <v>1E-8</v>
      </c>
      <c r="Z392" s="97">
        <v>1E-8</v>
      </c>
      <c r="AA392" s="97">
        <v>1E-8</v>
      </c>
      <c r="AB392" s="97">
        <v>1E-8</v>
      </c>
      <c r="AC392" s="97">
        <v>1E-8</v>
      </c>
      <c r="AD392" s="4"/>
    </row>
    <row r="393" spans="1:30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4"/>
      <c r="O393" s="4"/>
      <c r="P393" s="68"/>
      <c r="Q393" s="68" t="s">
        <v>682</v>
      </c>
      <c r="R393" s="108" t="s">
        <v>27</v>
      </c>
      <c r="S393" s="108" t="s">
        <v>581</v>
      </c>
      <c r="T393" s="98">
        <v>0.24239655748631983</v>
      </c>
      <c r="U393" s="80">
        <v>-1.5657807790569134</v>
      </c>
      <c r="V393" s="98">
        <v>1E-8</v>
      </c>
      <c r="W393" s="98">
        <v>1E-8</v>
      </c>
      <c r="X393" s="98">
        <v>1E-8</v>
      </c>
      <c r="Y393" s="98">
        <v>1E-8</v>
      </c>
      <c r="Z393" s="98">
        <v>1E-8</v>
      </c>
      <c r="AA393" s="98">
        <v>1E-8</v>
      </c>
      <c r="AB393" s="98">
        <v>1E-8</v>
      </c>
      <c r="AC393" s="98">
        <v>1E-8</v>
      </c>
      <c r="AD393" s="4"/>
    </row>
    <row r="394" spans="1:30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4"/>
      <c r="O394" s="4"/>
      <c r="P394" s="68"/>
      <c r="Q394" s="68" t="s">
        <v>683</v>
      </c>
      <c r="R394" s="108" t="s">
        <v>27</v>
      </c>
      <c r="S394" s="108" t="s">
        <v>582</v>
      </c>
      <c r="T394" s="98">
        <v>7.4636287395366818E-2</v>
      </c>
      <c r="U394" s="80">
        <v>0.92860426902363624</v>
      </c>
      <c r="V394" s="98">
        <v>1E-8</v>
      </c>
      <c r="W394" s="98">
        <v>1E-8</v>
      </c>
      <c r="X394" s="98">
        <v>1E-8</v>
      </c>
      <c r="Y394" s="98">
        <v>1E-8</v>
      </c>
      <c r="Z394" s="98">
        <v>1E-8</v>
      </c>
      <c r="AA394" s="98">
        <v>1E-8</v>
      </c>
      <c r="AB394" s="98">
        <v>1E-8</v>
      </c>
      <c r="AC394" s="98">
        <v>1E-8</v>
      </c>
      <c r="AD394" s="4"/>
    </row>
    <row r="395" spans="1:30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4"/>
      <c r="O395" s="4"/>
      <c r="P395" s="68"/>
      <c r="Q395" s="68" t="s">
        <v>684</v>
      </c>
      <c r="R395" s="108" t="s">
        <v>27</v>
      </c>
      <c r="S395" s="108" t="s">
        <v>583</v>
      </c>
      <c r="T395" s="98">
        <v>0.87219841271904341</v>
      </c>
      <c r="U395" s="80">
        <v>2.6587394622960447</v>
      </c>
      <c r="V395" s="98">
        <v>1E-8</v>
      </c>
      <c r="W395" s="98">
        <v>1E-8</v>
      </c>
      <c r="X395" s="98">
        <v>1E-8</v>
      </c>
      <c r="Y395" s="98">
        <v>1E-8</v>
      </c>
      <c r="Z395" s="98">
        <v>1E-8</v>
      </c>
      <c r="AA395" s="98">
        <v>1E-8</v>
      </c>
      <c r="AB395" s="98">
        <v>1E-8</v>
      </c>
      <c r="AC395" s="98">
        <v>1E-8</v>
      </c>
      <c r="AD395" s="4"/>
    </row>
    <row r="396" spans="1:30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4"/>
      <c r="O396" s="4"/>
      <c r="P396" s="68"/>
      <c r="Q396" s="68" t="s">
        <v>685</v>
      </c>
      <c r="R396" s="108" t="s">
        <v>27</v>
      </c>
      <c r="S396" s="108" t="s">
        <v>584</v>
      </c>
      <c r="T396" s="98">
        <v>0.104559581315293</v>
      </c>
      <c r="U396" s="80">
        <v>-0.59278708460284157</v>
      </c>
      <c r="V396" s="98">
        <v>1E-8</v>
      </c>
      <c r="W396" s="98">
        <v>1E-8</v>
      </c>
      <c r="X396" s="98">
        <v>1E-8</v>
      </c>
      <c r="Y396" s="98">
        <v>1E-8</v>
      </c>
      <c r="Z396" s="98">
        <v>1E-8</v>
      </c>
      <c r="AA396" s="98">
        <v>1E-8</v>
      </c>
      <c r="AB396" s="98">
        <v>1E-8</v>
      </c>
      <c r="AC396" s="98">
        <v>1E-8</v>
      </c>
      <c r="AD396" s="4"/>
    </row>
    <row r="397" spans="1:30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4"/>
      <c r="O397" s="4"/>
      <c r="P397" s="68"/>
      <c r="Q397" s="68" t="s">
        <v>686</v>
      </c>
      <c r="R397" s="109" t="s">
        <v>27</v>
      </c>
      <c r="S397" s="109" t="s">
        <v>585</v>
      </c>
      <c r="T397" s="81">
        <v>7.8608403187450531</v>
      </c>
      <c r="U397" s="82">
        <v>1.6581441163454613</v>
      </c>
      <c r="V397" s="81">
        <v>1E-8</v>
      </c>
      <c r="W397" s="81">
        <v>1E-8</v>
      </c>
      <c r="X397" s="81">
        <v>1E-8</v>
      </c>
      <c r="Y397" s="81">
        <v>1E-8</v>
      </c>
      <c r="Z397" s="81">
        <v>1E-8</v>
      </c>
      <c r="AA397" s="81">
        <v>1E-8</v>
      </c>
      <c r="AB397" s="81">
        <v>1E-8</v>
      </c>
      <c r="AC397" s="81">
        <v>1E-8</v>
      </c>
      <c r="AD397" s="4"/>
    </row>
    <row r="398" spans="1:30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4"/>
      <c r="O398" s="4"/>
      <c r="P398" s="96"/>
      <c r="Q398" s="96" t="s">
        <v>687</v>
      </c>
      <c r="R398" s="107" t="s">
        <v>27</v>
      </c>
      <c r="S398" s="107" t="s">
        <v>358</v>
      </c>
      <c r="T398" s="97">
        <v>13.401675248094755</v>
      </c>
      <c r="U398" s="78">
        <v>0.58637427091392524</v>
      </c>
      <c r="V398" s="97">
        <v>1E-8</v>
      </c>
      <c r="W398" s="97">
        <v>1E-8</v>
      </c>
      <c r="X398" s="97">
        <v>1E-8</v>
      </c>
      <c r="Y398" s="97">
        <v>1E-8</v>
      </c>
      <c r="Z398" s="97">
        <v>1E-8</v>
      </c>
      <c r="AA398" s="97">
        <v>1E-8</v>
      </c>
      <c r="AB398" s="97">
        <v>1E-8</v>
      </c>
      <c r="AC398" s="97">
        <v>1E-8</v>
      </c>
      <c r="AD398" s="4"/>
    </row>
    <row r="399" spans="1:30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4"/>
      <c r="O399" s="4"/>
      <c r="P399" s="96"/>
      <c r="Q399" s="96" t="s">
        <v>688</v>
      </c>
      <c r="R399" s="107" t="s">
        <v>27</v>
      </c>
      <c r="S399" s="107" t="s">
        <v>359</v>
      </c>
      <c r="T399" s="97">
        <v>14.866160962950008</v>
      </c>
      <c r="U399" s="78">
        <v>-0.1394767316754475</v>
      </c>
      <c r="V399" s="97">
        <v>1E-8</v>
      </c>
      <c r="W399" s="97">
        <v>1E-8</v>
      </c>
      <c r="X399" s="97">
        <v>1E-8</v>
      </c>
      <c r="Y399" s="97">
        <v>1E-8</v>
      </c>
      <c r="Z399" s="97">
        <v>1E-8</v>
      </c>
      <c r="AA399" s="97">
        <v>1E-8</v>
      </c>
      <c r="AB399" s="97">
        <v>1E-8</v>
      </c>
      <c r="AC399" s="97">
        <v>1E-8</v>
      </c>
      <c r="AD399" s="4"/>
    </row>
    <row r="400" spans="1:30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4"/>
      <c r="O400" s="4"/>
      <c r="P400" s="96"/>
      <c r="Q400" s="96" t="s">
        <v>689</v>
      </c>
      <c r="R400" s="107" t="s">
        <v>27</v>
      </c>
      <c r="S400" s="107" t="s">
        <v>360</v>
      </c>
      <c r="T400" s="97">
        <v>2.7082231891880379</v>
      </c>
      <c r="U400" s="78">
        <v>-1.5470874885874397</v>
      </c>
      <c r="V400" s="97">
        <v>1E-8</v>
      </c>
      <c r="W400" s="97">
        <v>1E-8</v>
      </c>
      <c r="X400" s="97">
        <v>1E-8</v>
      </c>
      <c r="Y400" s="97">
        <v>1E-8</v>
      </c>
      <c r="Z400" s="97">
        <v>1E-8</v>
      </c>
      <c r="AA400" s="97">
        <v>1E-8</v>
      </c>
      <c r="AB400" s="97">
        <v>1E-8</v>
      </c>
      <c r="AC400" s="97">
        <v>1E-8</v>
      </c>
      <c r="AD400" s="4"/>
    </row>
    <row r="401" spans="1:30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4"/>
      <c r="O401" s="4"/>
      <c r="P401" s="96"/>
      <c r="Q401" s="96" t="s">
        <v>205</v>
      </c>
      <c r="R401" s="107" t="s">
        <v>27</v>
      </c>
      <c r="S401" s="107" t="s">
        <v>586</v>
      </c>
      <c r="T401" s="97">
        <v>3.7424050553885029</v>
      </c>
      <c r="U401" s="78">
        <v>-0.14354410215640101</v>
      </c>
      <c r="V401" s="97">
        <v>1E-8</v>
      </c>
      <c r="W401" s="97">
        <v>1E-8</v>
      </c>
      <c r="X401" s="97">
        <v>1E-8</v>
      </c>
      <c r="Y401" s="97">
        <v>1E-8</v>
      </c>
      <c r="Z401" s="97">
        <v>1E-8</v>
      </c>
      <c r="AA401" s="97">
        <v>1E-8</v>
      </c>
      <c r="AB401" s="97">
        <v>1E-8</v>
      </c>
      <c r="AC401" s="97">
        <v>1E-8</v>
      </c>
      <c r="AD401" s="4"/>
    </row>
    <row r="402" spans="1:30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4"/>
      <c r="O402" s="4"/>
      <c r="P402" s="68"/>
      <c r="Q402" s="68" t="s">
        <v>690</v>
      </c>
      <c r="R402" s="108" t="s">
        <v>27</v>
      </c>
      <c r="S402" s="108" t="s">
        <v>587</v>
      </c>
      <c r="T402" s="98">
        <v>6.3353937712464961E-2</v>
      </c>
      <c r="U402" s="80">
        <v>0.12806460426981747</v>
      </c>
      <c r="V402" s="98">
        <v>1E-8</v>
      </c>
      <c r="W402" s="98">
        <v>1E-8</v>
      </c>
      <c r="X402" s="98">
        <v>1E-8</v>
      </c>
      <c r="Y402" s="98">
        <v>1E-8</v>
      </c>
      <c r="Z402" s="98">
        <v>1E-8</v>
      </c>
      <c r="AA402" s="98">
        <v>1E-8</v>
      </c>
      <c r="AB402" s="98">
        <v>1E-8</v>
      </c>
      <c r="AC402" s="98">
        <v>1E-8</v>
      </c>
      <c r="AD402" s="4"/>
    </row>
    <row r="403" spans="1:30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4"/>
      <c r="O403" s="4"/>
      <c r="P403" s="68"/>
      <c r="Q403" s="68" t="s">
        <v>691</v>
      </c>
      <c r="R403" s="108" t="s">
        <v>27</v>
      </c>
      <c r="S403" s="108" t="s">
        <v>588</v>
      </c>
      <c r="T403" s="98">
        <v>0.14524604598103297</v>
      </c>
      <c r="U403" s="80">
        <v>0.65913941233388673</v>
      </c>
      <c r="V403" s="98">
        <v>1E-8</v>
      </c>
      <c r="W403" s="98">
        <v>1E-8</v>
      </c>
      <c r="X403" s="98">
        <v>1E-8</v>
      </c>
      <c r="Y403" s="98">
        <v>1E-8</v>
      </c>
      <c r="Z403" s="98">
        <v>1E-8</v>
      </c>
      <c r="AA403" s="98">
        <v>1E-8</v>
      </c>
      <c r="AB403" s="98">
        <v>1E-8</v>
      </c>
      <c r="AC403" s="98">
        <v>1E-8</v>
      </c>
      <c r="AD403" s="4"/>
    </row>
    <row r="404" spans="1:30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4"/>
      <c r="O404" s="4"/>
      <c r="P404" s="68"/>
      <c r="Q404" s="68" t="s">
        <v>692</v>
      </c>
      <c r="R404" s="108" t="s">
        <v>27</v>
      </c>
      <c r="S404" s="108" t="s">
        <v>589</v>
      </c>
      <c r="T404" s="98">
        <v>2.6185343442525228E-2</v>
      </c>
      <c r="U404" s="80">
        <v>2.260028355279875</v>
      </c>
      <c r="V404" s="98">
        <v>1E-8</v>
      </c>
      <c r="W404" s="98">
        <v>1E-8</v>
      </c>
      <c r="X404" s="98">
        <v>1E-8</v>
      </c>
      <c r="Y404" s="98">
        <v>1E-8</v>
      </c>
      <c r="Z404" s="98">
        <v>1E-8</v>
      </c>
      <c r="AA404" s="98">
        <v>1E-8</v>
      </c>
      <c r="AB404" s="98">
        <v>1E-8</v>
      </c>
      <c r="AC404" s="98">
        <v>1E-8</v>
      </c>
      <c r="AD404" s="4"/>
    </row>
    <row r="405" spans="1:30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4"/>
      <c r="O405" s="4"/>
      <c r="P405" s="68"/>
      <c r="Q405" s="68" t="s">
        <v>693</v>
      </c>
      <c r="R405" s="108" t="s">
        <v>27</v>
      </c>
      <c r="S405" s="108" t="s">
        <v>361</v>
      </c>
      <c r="T405" s="98">
        <v>3.4187673419022695</v>
      </c>
      <c r="U405" s="80">
        <v>-0.22314566352629184</v>
      </c>
      <c r="V405" s="98">
        <v>1E-8</v>
      </c>
      <c r="W405" s="98">
        <v>1E-8</v>
      </c>
      <c r="X405" s="98">
        <v>1E-8</v>
      </c>
      <c r="Y405" s="98">
        <v>1E-8</v>
      </c>
      <c r="Z405" s="98">
        <v>1E-8</v>
      </c>
      <c r="AA405" s="98">
        <v>1E-8</v>
      </c>
      <c r="AB405" s="98">
        <v>1E-8</v>
      </c>
      <c r="AC405" s="98">
        <v>1E-8</v>
      </c>
      <c r="AD405" s="4"/>
    </row>
    <row r="406" spans="1:30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4"/>
      <c r="O406" s="4"/>
      <c r="P406" s="68"/>
      <c r="Q406" s="68" t="s">
        <v>694</v>
      </c>
      <c r="R406" s="108" t="s">
        <v>27</v>
      </c>
      <c r="S406" s="108" t="s">
        <v>590</v>
      </c>
      <c r="T406" s="98">
        <v>8.8852386350210172E-2</v>
      </c>
      <c r="U406" s="80">
        <v>0.70513046319171657</v>
      </c>
      <c r="V406" s="98">
        <v>1E-8</v>
      </c>
      <c r="W406" s="98">
        <v>1E-8</v>
      </c>
      <c r="X406" s="98">
        <v>1E-8</v>
      </c>
      <c r="Y406" s="98">
        <v>1E-8</v>
      </c>
      <c r="Z406" s="98">
        <v>1E-8</v>
      </c>
      <c r="AA406" s="98">
        <v>1E-8</v>
      </c>
      <c r="AB406" s="98">
        <v>1E-8</v>
      </c>
      <c r="AC406" s="98">
        <v>1E-8</v>
      </c>
      <c r="AD406" s="4"/>
    </row>
    <row r="407" spans="1:30" ht="15" thickBo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4"/>
      <c r="O407" s="4"/>
      <c r="P407" s="102"/>
      <c r="Q407" s="102" t="s">
        <v>695</v>
      </c>
      <c r="R407" s="113" t="s">
        <v>27</v>
      </c>
      <c r="S407" s="113" t="s">
        <v>591</v>
      </c>
      <c r="T407" s="103">
        <v>1E-8</v>
      </c>
      <c r="U407" s="104">
        <v>1E-8</v>
      </c>
      <c r="V407" s="103">
        <v>1E-8</v>
      </c>
      <c r="W407" s="103">
        <v>1E-8</v>
      </c>
      <c r="X407" s="103">
        <v>1E-8</v>
      </c>
      <c r="Y407" s="103">
        <v>1E-8</v>
      </c>
      <c r="Z407" s="103">
        <v>1E-8</v>
      </c>
      <c r="AA407" s="103">
        <v>1E-8</v>
      </c>
      <c r="AB407" s="103">
        <v>1E-8</v>
      </c>
      <c r="AC407" s="103">
        <v>1E-8</v>
      </c>
      <c r="AD407" s="4"/>
    </row>
    <row r="408" spans="1:30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4"/>
      <c r="O408" s="4"/>
      <c r="P408" s="47" t="s">
        <v>478</v>
      </c>
      <c r="Q408" s="47" t="s">
        <v>102</v>
      </c>
      <c r="R408" s="105" t="s">
        <v>35</v>
      </c>
      <c r="S408" s="105" t="s">
        <v>288</v>
      </c>
      <c r="T408" s="95">
        <v>100</v>
      </c>
      <c r="U408" s="74">
        <v>1E-8</v>
      </c>
      <c r="V408" s="95">
        <v>1E-8</v>
      </c>
      <c r="W408" s="95">
        <v>1E-8</v>
      </c>
      <c r="X408" s="95">
        <v>1E-8</v>
      </c>
      <c r="Y408" s="95">
        <v>1E-8</v>
      </c>
      <c r="Z408" s="95">
        <v>1E-8</v>
      </c>
      <c r="AA408" s="95">
        <v>1E-8</v>
      </c>
      <c r="AB408" s="95">
        <v>1E-8</v>
      </c>
      <c r="AC408" s="95">
        <v>1E-8</v>
      </c>
      <c r="AD408" s="4"/>
    </row>
    <row r="409" spans="1:30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4"/>
      <c r="O409" s="4"/>
      <c r="P409" s="47" t="s">
        <v>477</v>
      </c>
      <c r="Q409" s="47" t="s">
        <v>278</v>
      </c>
      <c r="R409" s="106" t="s">
        <v>35</v>
      </c>
      <c r="S409" s="106" t="s">
        <v>289</v>
      </c>
      <c r="T409" s="75">
        <v>4.5146642419256766</v>
      </c>
      <c r="U409" s="76">
        <v>0.22256012756933785</v>
      </c>
      <c r="V409" s="75">
        <v>1E-8</v>
      </c>
      <c r="W409" s="75">
        <v>1E-8</v>
      </c>
      <c r="X409" s="75">
        <v>1E-8</v>
      </c>
      <c r="Y409" s="75">
        <v>1E-8</v>
      </c>
      <c r="Z409" s="75">
        <v>1E-8</v>
      </c>
      <c r="AA409" s="75">
        <v>1E-8</v>
      </c>
      <c r="AB409" s="75">
        <v>1E-8</v>
      </c>
      <c r="AC409" s="75">
        <v>1E-8</v>
      </c>
      <c r="AD409" s="4"/>
    </row>
    <row r="410" spans="1:30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4"/>
      <c r="O410" s="4"/>
      <c r="P410" s="96"/>
      <c r="Q410" s="96" t="s">
        <v>279</v>
      </c>
      <c r="R410" s="107" t="s">
        <v>35</v>
      </c>
      <c r="S410" s="107" t="s">
        <v>290</v>
      </c>
      <c r="T410" s="97">
        <v>3.9219097334238473</v>
      </c>
      <c r="U410" s="78">
        <v>0.32633301190476693</v>
      </c>
      <c r="V410" s="97">
        <v>1E-8</v>
      </c>
      <c r="W410" s="97">
        <v>1E-8</v>
      </c>
      <c r="X410" s="97">
        <v>1E-8</v>
      </c>
      <c r="Y410" s="97">
        <v>1E-8</v>
      </c>
      <c r="Z410" s="97">
        <v>1E-8</v>
      </c>
      <c r="AA410" s="97">
        <v>1E-8</v>
      </c>
      <c r="AB410" s="97">
        <v>1E-8</v>
      </c>
      <c r="AC410" s="97">
        <v>1E-8</v>
      </c>
      <c r="AD410" s="4"/>
    </row>
    <row r="411" spans="1:30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4"/>
      <c r="O411" s="4"/>
      <c r="P411" s="96"/>
      <c r="Q411" s="96" t="s">
        <v>362</v>
      </c>
      <c r="R411" s="107" t="s">
        <v>35</v>
      </c>
      <c r="S411" s="107" t="s">
        <v>291</v>
      </c>
      <c r="T411" s="97">
        <v>3.6488806193637271</v>
      </c>
      <c r="U411" s="78">
        <v>-0.19723237773541236</v>
      </c>
      <c r="V411" s="97">
        <v>1E-8</v>
      </c>
      <c r="W411" s="97">
        <v>1E-8</v>
      </c>
      <c r="X411" s="97">
        <v>1E-8</v>
      </c>
      <c r="Y411" s="97">
        <v>1E-8</v>
      </c>
      <c r="Z411" s="97">
        <v>1E-8</v>
      </c>
      <c r="AA411" s="97">
        <v>1E-8</v>
      </c>
      <c r="AB411" s="97">
        <v>1E-8</v>
      </c>
      <c r="AC411" s="97">
        <v>1E-8</v>
      </c>
      <c r="AD411" s="4"/>
    </row>
    <row r="412" spans="1:30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4"/>
      <c r="O412" s="4"/>
      <c r="P412" s="96"/>
      <c r="Q412" s="96" t="s">
        <v>363</v>
      </c>
      <c r="R412" s="107" t="s">
        <v>35</v>
      </c>
      <c r="S412" s="107" t="s">
        <v>292</v>
      </c>
      <c r="T412" s="97">
        <v>0.27302911406011976</v>
      </c>
      <c r="U412" s="78">
        <v>7.3234901092498861</v>
      </c>
      <c r="V412" s="97">
        <v>1E-8</v>
      </c>
      <c r="W412" s="97">
        <v>1E-8</v>
      </c>
      <c r="X412" s="97">
        <v>1E-8</v>
      </c>
      <c r="Y412" s="97">
        <v>1E-8</v>
      </c>
      <c r="Z412" s="97">
        <v>1E-8</v>
      </c>
      <c r="AA412" s="97">
        <v>1E-8</v>
      </c>
      <c r="AB412" s="97">
        <v>1E-8</v>
      </c>
      <c r="AC412" s="97">
        <v>1E-8</v>
      </c>
      <c r="AD412" s="4"/>
    </row>
    <row r="413" spans="1:30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4"/>
      <c r="O413" s="4"/>
      <c r="P413" s="68"/>
      <c r="Q413" s="68" t="s">
        <v>592</v>
      </c>
      <c r="R413" s="108" t="s">
        <v>35</v>
      </c>
      <c r="S413" s="108" t="s">
        <v>294</v>
      </c>
      <c r="T413" s="98">
        <v>9.3002905682896334E-2</v>
      </c>
      <c r="U413" s="80">
        <v>1.1631955295690277</v>
      </c>
      <c r="V413" s="98">
        <v>1E-8</v>
      </c>
      <c r="W413" s="98">
        <v>1E-8</v>
      </c>
      <c r="X413" s="98">
        <v>1E-8</v>
      </c>
      <c r="Y413" s="98">
        <v>1E-8</v>
      </c>
      <c r="Z413" s="98">
        <v>1E-8</v>
      </c>
      <c r="AA413" s="98">
        <v>1E-8</v>
      </c>
      <c r="AB413" s="98">
        <v>1E-8</v>
      </c>
      <c r="AC413" s="98">
        <v>1E-8</v>
      </c>
      <c r="AD413" s="4"/>
    </row>
    <row r="414" spans="1:30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4"/>
      <c r="O414" s="4"/>
      <c r="P414" s="68"/>
      <c r="Q414" s="68" t="s">
        <v>593</v>
      </c>
      <c r="R414" s="108" t="s">
        <v>35</v>
      </c>
      <c r="S414" s="108" t="s">
        <v>293</v>
      </c>
      <c r="T414" s="98">
        <v>0.21682496797024151</v>
      </c>
      <c r="U414" s="80">
        <v>2.1102473478814998</v>
      </c>
      <c r="V414" s="98">
        <v>1E-8</v>
      </c>
      <c r="W414" s="98">
        <v>1E-8</v>
      </c>
      <c r="X414" s="98">
        <v>1E-8</v>
      </c>
      <c r="Y414" s="98">
        <v>1E-8</v>
      </c>
      <c r="Z414" s="98">
        <v>1E-8</v>
      </c>
      <c r="AA414" s="98">
        <v>1E-8</v>
      </c>
      <c r="AB414" s="98">
        <v>1E-8</v>
      </c>
      <c r="AC414" s="98">
        <v>1E-8</v>
      </c>
      <c r="AD414" s="4"/>
    </row>
    <row r="415" spans="1:30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4"/>
      <c r="O415" s="4"/>
      <c r="P415" s="68"/>
      <c r="Q415" s="68" t="s">
        <v>594</v>
      </c>
      <c r="R415" s="108" t="s">
        <v>35</v>
      </c>
      <c r="S415" s="108" t="s">
        <v>296</v>
      </c>
      <c r="T415" s="98">
        <v>7.669050902316228E-3</v>
      </c>
      <c r="U415" s="80">
        <v>3.1658709396491069</v>
      </c>
      <c r="V415" s="98">
        <v>1E-8</v>
      </c>
      <c r="W415" s="98">
        <v>1E-8</v>
      </c>
      <c r="X415" s="98">
        <v>1E-8</v>
      </c>
      <c r="Y415" s="98">
        <v>1E-8</v>
      </c>
      <c r="Z415" s="98">
        <v>1E-8</v>
      </c>
      <c r="AA415" s="98">
        <v>1E-8</v>
      </c>
      <c r="AB415" s="98">
        <v>1E-8</v>
      </c>
      <c r="AC415" s="98">
        <v>1E-8</v>
      </c>
      <c r="AD415" s="4"/>
    </row>
    <row r="416" spans="1:30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4"/>
      <c r="O416" s="4"/>
      <c r="P416" s="68"/>
      <c r="Q416" s="68" t="s">
        <v>595</v>
      </c>
      <c r="R416" s="108" t="s">
        <v>35</v>
      </c>
      <c r="S416" s="108" t="s">
        <v>295</v>
      </c>
      <c r="T416" s="98">
        <v>0.13442610171883176</v>
      </c>
      <c r="U416" s="80">
        <v>0.49774761825687186</v>
      </c>
      <c r="V416" s="98">
        <v>1E-8</v>
      </c>
      <c r="W416" s="98">
        <v>1E-8</v>
      </c>
      <c r="X416" s="98">
        <v>1E-8</v>
      </c>
      <c r="Y416" s="98">
        <v>1E-8</v>
      </c>
      <c r="Z416" s="98">
        <v>1E-8</v>
      </c>
      <c r="AA416" s="98">
        <v>1E-8</v>
      </c>
      <c r="AB416" s="98">
        <v>1E-8</v>
      </c>
      <c r="AC416" s="98">
        <v>1E-8</v>
      </c>
      <c r="AD416" s="4"/>
    </row>
    <row r="417" spans="1:30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4"/>
      <c r="O417" s="4"/>
      <c r="P417" s="68"/>
      <c r="Q417" s="68" t="s">
        <v>596</v>
      </c>
      <c r="R417" s="108" t="s">
        <v>35</v>
      </c>
      <c r="S417" s="108" t="s">
        <v>297</v>
      </c>
      <c r="T417" s="98">
        <v>6.4801622749095171E-4</v>
      </c>
      <c r="U417" s="80">
        <v>3.1753782355819382</v>
      </c>
      <c r="V417" s="98">
        <v>1E-8</v>
      </c>
      <c r="W417" s="98">
        <v>1E-8</v>
      </c>
      <c r="X417" s="98">
        <v>1E-8</v>
      </c>
      <c r="Y417" s="98">
        <v>1E-8</v>
      </c>
      <c r="Z417" s="98">
        <v>1E-8</v>
      </c>
      <c r="AA417" s="98">
        <v>1E-8</v>
      </c>
      <c r="AB417" s="98">
        <v>1E-8</v>
      </c>
      <c r="AC417" s="98">
        <v>1E-8</v>
      </c>
      <c r="AD417" s="4"/>
    </row>
    <row r="418" spans="1:30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4"/>
      <c r="O418" s="4"/>
      <c r="P418" s="68"/>
      <c r="Q418" s="68" t="s">
        <v>597</v>
      </c>
      <c r="R418" s="108" t="s">
        <v>35</v>
      </c>
      <c r="S418" s="108" t="s">
        <v>301</v>
      </c>
      <c r="T418" s="98">
        <v>0.44388100654041202</v>
      </c>
      <c r="U418" s="80">
        <v>-1.1477669933398937</v>
      </c>
      <c r="V418" s="98">
        <v>1E-8</v>
      </c>
      <c r="W418" s="98">
        <v>1E-8</v>
      </c>
      <c r="X418" s="98">
        <v>1E-8</v>
      </c>
      <c r="Y418" s="98">
        <v>1E-8</v>
      </c>
      <c r="Z418" s="98">
        <v>1E-8</v>
      </c>
      <c r="AA418" s="98">
        <v>1E-8</v>
      </c>
      <c r="AB418" s="98">
        <v>1E-8</v>
      </c>
      <c r="AC418" s="98">
        <v>1E-8</v>
      </c>
      <c r="AD418" s="4"/>
    </row>
    <row r="419" spans="1:30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4"/>
      <c r="O419" s="4"/>
      <c r="P419" s="68"/>
      <c r="Q419" s="68" t="s">
        <v>598</v>
      </c>
      <c r="R419" s="108" t="s">
        <v>35</v>
      </c>
      <c r="S419" s="108" t="s">
        <v>302</v>
      </c>
      <c r="T419" s="98">
        <v>0.39337812455853655</v>
      </c>
      <c r="U419" s="80">
        <v>-2.0650898778181048</v>
      </c>
      <c r="V419" s="98">
        <v>1E-8</v>
      </c>
      <c r="W419" s="98">
        <v>1E-8</v>
      </c>
      <c r="X419" s="98">
        <v>1E-8</v>
      </c>
      <c r="Y419" s="98">
        <v>1E-8</v>
      </c>
      <c r="Z419" s="98">
        <v>1E-8</v>
      </c>
      <c r="AA419" s="98">
        <v>1E-8</v>
      </c>
      <c r="AB419" s="98">
        <v>1E-8</v>
      </c>
      <c r="AC419" s="98">
        <v>1E-8</v>
      </c>
      <c r="AD419" s="4"/>
    </row>
    <row r="420" spans="1:30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4"/>
      <c r="O420" s="4"/>
      <c r="P420" s="68"/>
      <c r="Q420" s="68" t="s">
        <v>599</v>
      </c>
      <c r="R420" s="108" t="s">
        <v>35</v>
      </c>
      <c r="S420" s="108" t="s">
        <v>300</v>
      </c>
      <c r="T420" s="98">
        <v>0.30603670395678828</v>
      </c>
      <c r="U420" s="80">
        <v>0.32835986148855856</v>
      </c>
      <c r="V420" s="98">
        <v>1E-8</v>
      </c>
      <c r="W420" s="98">
        <v>1E-8</v>
      </c>
      <c r="X420" s="98">
        <v>1E-8</v>
      </c>
      <c r="Y420" s="98">
        <v>1E-8</v>
      </c>
      <c r="Z420" s="98">
        <v>1E-8</v>
      </c>
      <c r="AA420" s="98">
        <v>1E-8</v>
      </c>
      <c r="AB420" s="98">
        <v>1E-8</v>
      </c>
      <c r="AC420" s="98">
        <v>1E-8</v>
      </c>
      <c r="AD420" s="4"/>
    </row>
    <row r="421" spans="1:30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4"/>
      <c r="O421" s="4"/>
      <c r="P421" s="68"/>
      <c r="Q421" s="68" t="s">
        <v>600</v>
      </c>
      <c r="R421" s="108" t="s">
        <v>35</v>
      </c>
      <c r="S421" s="108" t="s">
        <v>303</v>
      </c>
      <c r="T421" s="98">
        <v>5.8399739059733662E-2</v>
      </c>
      <c r="U421" s="80">
        <v>-1.7311275476930899</v>
      </c>
      <c r="V421" s="98">
        <v>1E-8</v>
      </c>
      <c r="W421" s="98">
        <v>1E-8</v>
      </c>
      <c r="X421" s="98">
        <v>1E-8</v>
      </c>
      <c r="Y421" s="98">
        <v>1E-8</v>
      </c>
      <c r="Z421" s="98">
        <v>1E-8</v>
      </c>
      <c r="AA421" s="98">
        <v>1E-8</v>
      </c>
      <c r="AB421" s="98">
        <v>1E-8</v>
      </c>
      <c r="AC421" s="98">
        <v>1E-8</v>
      </c>
      <c r="AD421" s="4"/>
    </row>
    <row r="422" spans="1:30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4"/>
      <c r="O422" s="4"/>
      <c r="P422" s="68"/>
      <c r="Q422" s="68" t="s">
        <v>601</v>
      </c>
      <c r="R422" s="108" t="s">
        <v>35</v>
      </c>
      <c r="S422" s="108" t="s">
        <v>533</v>
      </c>
      <c r="T422" s="98">
        <v>0.6227495031210516</v>
      </c>
      <c r="U422" s="80">
        <v>-6.6941719437951797E-2</v>
      </c>
      <c r="V422" s="98">
        <v>1E-8</v>
      </c>
      <c r="W422" s="98">
        <v>1E-8</v>
      </c>
      <c r="X422" s="98">
        <v>1E-8</v>
      </c>
      <c r="Y422" s="98">
        <v>1E-8</v>
      </c>
      <c r="Z422" s="98">
        <v>1E-8</v>
      </c>
      <c r="AA422" s="98">
        <v>1E-8</v>
      </c>
      <c r="AB422" s="98">
        <v>1E-8</v>
      </c>
      <c r="AC422" s="98">
        <v>1E-8</v>
      </c>
      <c r="AD422" s="4"/>
    </row>
    <row r="423" spans="1:30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4"/>
      <c r="O423" s="4"/>
      <c r="P423" s="68"/>
      <c r="Q423" s="68" t="s">
        <v>602</v>
      </c>
      <c r="R423" s="108" t="s">
        <v>35</v>
      </c>
      <c r="S423" s="108" t="s">
        <v>534</v>
      </c>
      <c r="T423" s="98">
        <v>5.7644616644660591E-2</v>
      </c>
      <c r="U423" s="80">
        <v>-0.74616878166615663</v>
      </c>
      <c r="V423" s="98">
        <v>1E-8</v>
      </c>
      <c r="W423" s="98">
        <v>1E-8</v>
      </c>
      <c r="X423" s="98">
        <v>1E-8</v>
      </c>
      <c r="Y423" s="98">
        <v>1E-8</v>
      </c>
      <c r="Z423" s="98">
        <v>1E-8</v>
      </c>
      <c r="AA423" s="98">
        <v>1E-8</v>
      </c>
      <c r="AB423" s="98">
        <v>1E-8</v>
      </c>
      <c r="AC423" s="98">
        <v>1E-8</v>
      </c>
      <c r="AD423" s="4"/>
    </row>
    <row r="424" spans="1:30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4"/>
      <c r="O424" s="4"/>
      <c r="P424" s="68"/>
      <c r="Q424" s="68" t="s">
        <v>603</v>
      </c>
      <c r="R424" s="108" t="s">
        <v>35</v>
      </c>
      <c r="S424" s="108" t="s">
        <v>304</v>
      </c>
      <c r="T424" s="98">
        <v>0.45321586554403942</v>
      </c>
      <c r="U424" s="80">
        <v>-0.37353749332305064</v>
      </c>
      <c r="V424" s="98">
        <v>1E-8</v>
      </c>
      <c r="W424" s="98">
        <v>1E-8</v>
      </c>
      <c r="X424" s="98">
        <v>1E-8</v>
      </c>
      <c r="Y424" s="98">
        <v>1E-8</v>
      </c>
      <c r="Z424" s="98">
        <v>1E-8</v>
      </c>
      <c r="AA424" s="98">
        <v>1E-8</v>
      </c>
      <c r="AB424" s="98">
        <v>1E-8</v>
      </c>
      <c r="AC424" s="98">
        <v>1E-8</v>
      </c>
      <c r="AD424" s="4"/>
    </row>
    <row r="425" spans="1:30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4"/>
      <c r="O425" s="4"/>
      <c r="P425" s="68"/>
      <c r="Q425" s="68" t="s">
        <v>604</v>
      </c>
      <c r="R425" s="108" t="s">
        <v>35</v>
      </c>
      <c r="S425" s="108" t="s">
        <v>535</v>
      </c>
      <c r="T425" s="98">
        <v>0.24569678387882293</v>
      </c>
      <c r="U425" s="80">
        <v>-0.15094063236137378</v>
      </c>
      <c r="V425" s="98">
        <v>1E-8</v>
      </c>
      <c r="W425" s="98">
        <v>1E-8</v>
      </c>
      <c r="X425" s="98">
        <v>1E-8</v>
      </c>
      <c r="Y425" s="98">
        <v>1E-8</v>
      </c>
      <c r="Z425" s="98">
        <v>1E-8</v>
      </c>
      <c r="AA425" s="98">
        <v>1E-8</v>
      </c>
      <c r="AB425" s="98">
        <v>1E-8</v>
      </c>
      <c r="AC425" s="98">
        <v>1E-8</v>
      </c>
      <c r="AD425" s="4"/>
    </row>
    <row r="426" spans="1:30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4"/>
      <c r="O426" s="4"/>
      <c r="P426" s="68"/>
      <c r="Q426" s="68" t="s">
        <v>605</v>
      </c>
      <c r="R426" s="108" t="s">
        <v>35</v>
      </c>
      <c r="S426" s="108" t="s">
        <v>536</v>
      </c>
      <c r="T426" s="98">
        <v>0.41556498079575904</v>
      </c>
      <c r="U426" s="80">
        <v>-0.32833728842065479</v>
      </c>
      <c r="V426" s="98">
        <v>1E-8</v>
      </c>
      <c r="W426" s="98">
        <v>1E-8</v>
      </c>
      <c r="X426" s="98">
        <v>1E-8</v>
      </c>
      <c r="Y426" s="98">
        <v>1E-8</v>
      </c>
      <c r="Z426" s="98">
        <v>1E-8</v>
      </c>
      <c r="AA426" s="98">
        <v>1E-8</v>
      </c>
      <c r="AB426" s="98">
        <v>1E-8</v>
      </c>
      <c r="AC426" s="98">
        <v>1E-8</v>
      </c>
      <c r="AD426" s="4"/>
    </row>
    <row r="427" spans="1:30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4"/>
      <c r="O427" s="4"/>
      <c r="P427" s="68"/>
      <c r="Q427" s="68" t="s">
        <v>606</v>
      </c>
      <c r="R427" s="108" t="s">
        <v>35</v>
      </c>
      <c r="S427" s="108" t="s">
        <v>537</v>
      </c>
      <c r="T427" s="98">
        <v>7.4167930374313754E-2</v>
      </c>
      <c r="U427" s="80">
        <v>0.44977260445620004</v>
      </c>
      <c r="V427" s="98">
        <v>1E-8</v>
      </c>
      <c r="W427" s="98">
        <v>1E-8</v>
      </c>
      <c r="X427" s="98">
        <v>1E-8</v>
      </c>
      <c r="Y427" s="98">
        <v>1E-8</v>
      </c>
      <c r="Z427" s="98">
        <v>1E-8</v>
      </c>
      <c r="AA427" s="98">
        <v>1E-8</v>
      </c>
      <c r="AB427" s="98">
        <v>1E-8</v>
      </c>
      <c r="AC427" s="98">
        <v>1E-8</v>
      </c>
      <c r="AD427" s="4"/>
    </row>
    <row r="428" spans="1:30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4"/>
      <c r="O428" s="4"/>
      <c r="P428" s="68"/>
      <c r="Q428" s="68" t="s">
        <v>607</v>
      </c>
      <c r="R428" s="108" t="s">
        <v>35</v>
      </c>
      <c r="S428" s="108" t="s">
        <v>307</v>
      </c>
      <c r="T428" s="98">
        <v>8.9617425232481548E-2</v>
      </c>
      <c r="U428" s="80">
        <v>1.9842137656179037</v>
      </c>
      <c r="V428" s="98">
        <v>1E-8</v>
      </c>
      <c r="W428" s="98">
        <v>1E-8</v>
      </c>
      <c r="X428" s="98">
        <v>1E-8</v>
      </c>
      <c r="Y428" s="98">
        <v>1E-8</v>
      </c>
      <c r="Z428" s="98">
        <v>1E-8</v>
      </c>
      <c r="AA428" s="98">
        <v>1E-8</v>
      </c>
      <c r="AB428" s="98">
        <v>1E-8</v>
      </c>
      <c r="AC428" s="98">
        <v>1E-8</v>
      </c>
      <c r="AD428" s="4"/>
    </row>
    <row r="429" spans="1:30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4"/>
      <c r="O429" s="4"/>
      <c r="P429" s="68"/>
      <c r="Q429" s="68" t="s">
        <v>608</v>
      </c>
      <c r="R429" s="108" t="s">
        <v>35</v>
      </c>
      <c r="S429" s="108" t="s">
        <v>298</v>
      </c>
      <c r="T429" s="98">
        <v>2.7188977827676056E-2</v>
      </c>
      <c r="U429" s="80">
        <v>5.3916356967286028</v>
      </c>
      <c r="V429" s="98">
        <v>1E-8</v>
      </c>
      <c r="W429" s="98">
        <v>1E-8</v>
      </c>
      <c r="X429" s="98">
        <v>1E-8</v>
      </c>
      <c r="Y429" s="98">
        <v>1E-8</v>
      </c>
      <c r="Z429" s="98">
        <v>1E-8</v>
      </c>
      <c r="AA429" s="98">
        <v>1E-8</v>
      </c>
      <c r="AB429" s="98">
        <v>1E-8</v>
      </c>
      <c r="AC429" s="98">
        <v>1E-8</v>
      </c>
      <c r="AD429" s="4"/>
    </row>
    <row r="430" spans="1:30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4"/>
      <c r="O430" s="4"/>
      <c r="P430" s="68"/>
      <c r="Q430" s="68" t="s">
        <v>609</v>
      </c>
      <c r="R430" s="108" t="s">
        <v>35</v>
      </c>
      <c r="S430" s="108" t="s">
        <v>538</v>
      </c>
      <c r="T430" s="98">
        <v>8.767919327674973E-3</v>
      </c>
      <c r="U430" s="80">
        <v>1.5435557359383179</v>
      </c>
      <c r="V430" s="98">
        <v>1E-8</v>
      </c>
      <c r="W430" s="98">
        <v>1E-8</v>
      </c>
      <c r="X430" s="98">
        <v>1E-8</v>
      </c>
      <c r="Y430" s="98">
        <v>1E-8</v>
      </c>
      <c r="Z430" s="98">
        <v>1E-8</v>
      </c>
      <c r="AA430" s="98">
        <v>1E-8</v>
      </c>
      <c r="AB430" s="98">
        <v>1E-8</v>
      </c>
      <c r="AC430" s="98">
        <v>1E-8</v>
      </c>
      <c r="AD430" s="4"/>
    </row>
    <row r="431" spans="1:30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4"/>
      <c r="O431" s="4"/>
      <c r="P431" s="68"/>
      <c r="Q431" s="68" t="s">
        <v>610</v>
      </c>
      <c r="R431" s="108" t="s">
        <v>35</v>
      </c>
      <c r="S431" s="108" t="s">
        <v>299</v>
      </c>
      <c r="T431" s="98">
        <v>1E-8</v>
      </c>
      <c r="U431" s="80">
        <v>1E-8</v>
      </c>
      <c r="V431" s="98">
        <v>1E-8</v>
      </c>
      <c r="W431" s="98">
        <v>1E-8</v>
      </c>
      <c r="X431" s="98">
        <v>1E-8</v>
      </c>
      <c r="Y431" s="98">
        <v>1E-8</v>
      </c>
      <c r="Z431" s="98">
        <v>1E-8</v>
      </c>
      <c r="AA431" s="98">
        <v>1E-8</v>
      </c>
      <c r="AB431" s="98">
        <v>1E-8</v>
      </c>
      <c r="AC431" s="98">
        <v>1E-8</v>
      </c>
      <c r="AD431" s="4"/>
    </row>
    <row r="432" spans="1:30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4"/>
      <c r="O432" s="4"/>
      <c r="P432" s="68"/>
      <c r="Q432" s="68" t="s">
        <v>611</v>
      </c>
      <c r="R432" s="108" t="s">
        <v>35</v>
      </c>
      <c r="S432" s="108" t="s">
        <v>309</v>
      </c>
      <c r="T432" s="98">
        <v>9.3514804888439398E-2</v>
      </c>
      <c r="U432" s="80">
        <v>13.441116420955757</v>
      </c>
      <c r="V432" s="98">
        <v>1E-8</v>
      </c>
      <c r="W432" s="98">
        <v>1E-8</v>
      </c>
      <c r="X432" s="98">
        <v>1E-8</v>
      </c>
      <c r="Y432" s="98">
        <v>1E-8</v>
      </c>
      <c r="Z432" s="98">
        <v>1E-8</v>
      </c>
      <c r="AA432" s="98">
        <v>1E-8</v>
      </c>
      <c r="AB432" s="98">
        <v>1E-8</v>
      </c>
      <c r="AC432" s="98">
        <v>1E-8</v>
      </c>
      <c r="AD432" s="4"/>
    </row>
    <row r="433" spans="1:30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4"/>
      <c r="O433" s="4"/>
      <c r="P433" s="68"/>
      <c r="Q433" s="68" t="s">
        <v>612</v>
      </c>
      <c r="R433" s="108" t="s">
        <v>35</v>
      </c>
      <c r="S433" s="108" t="s">
        <v>308</v>
      </c>
      <c r="T433" s="98">
        <v>2.7813931590384533E-2</v>
      </c>
      <c r="U433" s="80">
        <v>5.0550583956536332</v>
      </c>
      <c r="V433" s="98">
        <v>1E-8</v>
      </c>
      <c r="W433" s="98">
        <v>1E-8</v>
      </c>
      <c r="X433" s="98">
        <v>1E-8</v>
      </c>
      <c r="Y433" s="98">
        <v>1E-8</v>
      </c>
      <c r="Z433" s="98">
        <v>1E-8</v>
      </c>
      <c r="AA433" s="98">
        <v>1E-8</v>
      </c>
      <c r="AB433" s="98">
        <v>1E-8</v>
      </c>
      <c r="AC433" s="98">
        <v>1E-8</v>
      </c>
      <c r="AD433" s="4"/>
    </row>
    <row r="434" spans="1:30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4"/>
      <c r="O434" s="4"/>
      <c r="P434" s="68"/>
      <c r="Q434" s="68" t="s">
        <v>613</v>
      </c>
      <c r="R434" s="108" t="s">
        <v>35</v>
      </c>
      <c r="S434" s="108" t="s">
        <v>306</v>
      </c>
      <c r="T434" s="98">
        <v>1.3375524410379112E-2</v>
      </c>
      <c r="U434" s="80">
        <v>-1.6229113078951696</v>
      </c>
      <c r="V434" s="98">
        <v>1E-8</v>
      </c>
      <c r="W434" s="98">
        <v>1E-8</v>
      </c>
      <c r="X434" s="98">
        <v>1E-8</v>
      </c>
      <c r="Y434" s="98">
        <v>1E-8</v>
      </c>
      <c r="Z434" s="98">
        <v>1E-8</v>
      </c>
      <c r="AA434" s="98">
        <v>1E-8</v>
      </c>
      <c r="AB434" s="98">
        <v>1E-8</v>
      </c>
      <c r="AC434" s="98">
        <v>1E-8</v>
      </c>
      <c r="AD434" s="4"/>
    </row>
    <row r="435" spans="1:30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4"/>
      <c r="O435" s="4"/>
      <c r="P435" s="68"/>
      <c r="Q435" s="68" t="s">
        <v>614</v>
      </c>
      <c r="R435" s="108" t="s">
        <v>35</v>
      </c>
      <c r="S435" s="108" t="s">
        <v>305</v>
      </c>
      <c r="T435" s="98">
        <v>2.267959875839622E-2</v>
      </c>
      <c r="U435" s="80">
        <v>0.34491179600852906</v>
      </c>
      <c r="V435" s="98">
        <v>1E-8</v>
      </c>
      <c r="W435" s="98">
        <v>1E-8</v>
      </c>
      <c r="X435" s="98">
        <v>1E-8</v>
      </c>
      <c r="Y435" s="98">
        <v>1E-8</v>
      </c>
      <c r="Z435" s="98">
        <v>1E-8</v>
      </c>
      <c r="AA435" s="98">
        <v>1E-8</v>
      </c>
      <c r="AB435" s="98">
        <v>1E-8</v>
      </c>
      <c r="AC435" s="98">
        <v>1E-8</v>
      </c>
      <c r="AD435" s="4"/>
    </row>
    <row r="436" spans="1:30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4"/>
      <c r="O436" s="4"/>
      <c r="P436" s="68"/>
      <c r="Q436" s="68" t="s">
        <v>615</v>
      </c>
      <c r="R436" s="108" t="s">
        <v>35</v>
      </c>
      <c r="S436" s="108" t="s">
        <v>539</v>
      </c>
      <c r="T436" s="98">
        <v>1.7109236819284442E-2</v>
      </c>
      <c r="U436" s="80">
        <v>16.435403145721892</v>
      </c>
      <c r="V436" s="98">
        <v>1E-8</v>
      </c>
      <c r="W436" s="98">
        <v>1E-8</v>
      </c>
      <c r="X436" s="98">
        <v>1E-8</v>
      </c>
      <c r="Y436" s="98">
        <v>1E-8</v>
      </c>
      <c r="Z436" s="98">
        <v>1E-8</v>
      </c>
      <c r="AA436" s="98">
        <v>1E-8</v>
      </c>
      <c r="AB436" s="98">
        <v>1E-8</v>
      </c>
      <c r="AC436" s="98">
        <v>1E-8</v>
      </c>
      <c r="AD436" s="4"/>
    </row>
    <row r="437" spans="1:30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4"/>
      <c r="O437" s="4"/>
      <c r="P437" s="68"/>
      <c r="Q437" s="68" t="s">
        <v>616</v>
      </c>
      <c r="R437" s="109" t="s">
        <v>35</v>
      </c>
      <c r="S437" s="109" t="s">
        <v>310</v>
      </c>
      <c r="T437" s="81">
        <v>9.8536017593236075E-2</v>
      </c>
      <c r="U437" s="82">
        <v>3.3964150426806006</v>
      </c>
      <c r="V437" s="81">
        <v>1E-8</v>
      </c>
      <c r="W437" s="81">
        <v>1E-8</v>
      </c>
      <c r="X437" s="81">
        <v>1E-8</v>
      </c>
      <c r="Y437" s="81">
        <v>1E-8</v>
      </c>
      <c r="Z437" s="81">
        <v>1E-8</v>
      </c>
      <c r="AA437" s="81">
        <v>1E-8</v>
      </c>
      <c r="AB437" s="81">
        <v>1E-8</v>
      </c>
      <c r="AC437" s="81">
        <v>1E-8</v>
      </c>
      <c r="AD437" s="4"/>
    </row>
    <row r="438" spans="1:30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4"/>
      <c r="O438" s="4"/>
      <c r="P438" s="96"/>
      <c r="Q438" s="96" t="s">
        <v>280</v>
      </c>
      <c r="R438" s="107" t="s">
        <v>35</v>
      </c>
      <c r="S438" s="107" t="s">
        <v>311</v>
      </c>
      <c r="T438" s="97">
        <v>0.59275450850182942</v>
      </c>
      <c r="U438" s="78">
        <v>-0.46404432554433273</v>
      </c>
      <c r="V438" s="97">
        <v>1E-8</v>
      </c>
      <c r="W438" s="97">
        <v>1E-8</v>
      </c>
      <c r="X438" s="97">
        <v>1E-8</v>
      </c>
      <c r="Y438" s="97">
        <v>1E-8</v>
      </c>
      <c r="Z438" s="97">
        <v>1E-8</v>
      </c>
      <c r="AA438" s="97">
        <v>1E-8</v>
      </c>
      <c r="AB438" s="97">
        <v>1E-8</v>
      </c>
      <c r="AC438" s="97">
        <v>1E-8</v>
      </c>
      <c r="AD438" s="4"/>
    </row>
    <row r="439" spans="1:30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4"/>
      <c r="O439" s="4"/>
      <c r="P439" s="68"/>
      <c r="Q439" s="68" t="s">
        <v>617</v>
      </c>
      <c r="R439" s="108" t="s">
        <v>35</v>
      </c>
      <c r="S439" s="108" t="s">
        <v>312</v>
      </c>
      <c r="T439" s="98">
        <v>0.28107409373712972</v>
      </c>
      <c r="U439" s="80">
        <v>-1.4485234558567983</v>
      </c>
      <c r="V439" s="98">
        <v>1E-8</v>
      </c>
      <c r="W439" s="98">
        <v>1E-8</v>
      </c>
      <c r="X439" s="98">
        <v>1E-8</v>
      </c>
      <c r="Y439" s="98">
        <v>1E-8</v>
      </c>
      <c r="Z439" s="98">
        <v>1E-8</v>
      </c>
      <c r="AA439" s="98">
        <v>1E-8</v>
      </c>
      <c r="AB439" s="98">
        <v>1E-8</v>
      </c>
      <c r="AC439" s="98">
        <v>1E-8</v>
      </c>
      <c r="AD439" s="4"/>
    </row>
    <row r="440" spans="1:30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4"/>
      <c r="O440" s="4"/>
      <c r="P440" s="68"/>
      <c r="Q440" s="68" t="s">
        <v>618</v>
      </c>
      <c r="R440" s="108" t="s">
        <v>35</v>
      </c>
      <c r="S440" s="108" t="s">
        <v>316</v>
      </c>
      <c r="T440" s="98">
        <v>0.10637398776187032</v>
      </c>
      <c r="U440" s="80">
        <v>-3.4395452970079621</v>
      </c>
      <c r="V440" s="98">
        <v>1E-8</v>
      </c>
      <c r="W440" s="98">
        <v>1E-8</v>
      </c>
      <c r="X440" s="98">
        <v>1E-8</v>
      </c>
      <c r="Y440" s="98">
        <v>1E-8</v>
      </c>
      <c r="Z440" s="98">
        <v>1E-8</v>
      </c>
      <c r="AA440" s="98">
        <v>1E-8</v>
      </c>
      <c r="AB440" s="98">
        <v>1E-8</v>
      </c>
      <c r="AC440" s="98">
        <v>1E-8</v>
      </c>
      <c r="AD440" s="4"/>
    </row>
    <row r="441" spans="1:30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4"/>
      <c r="O441" s="4"/>
      <c r="P441" s="68"/>
      <c r="Q441" s="68" t="s">
        <v>619</v>
      </c>
      <c r="R441" s="108" t="s">
        <v>35</v>
      </c>
      <c r="S441" s="108" t="s">
        <v>314</v>
      </c>
      <c r="T441" s="98">
        <v>0.10140324592250065</v>
      </c>
      <c r="U441" s="80">
        <v>3.4396493109203119</v>
      </c>
      <c r="V441" s="98">
        <v>1E-8</v>
      </c>
      <c r="W441" s="98">
        <v>1E-8</v>
      </c>
      <c r="X441" s="98">
        <v>1E-8</v>
      </c>
      <c r="Y441" s="98">
        <v>1E-8</v>
      </c>
      <c r="Z441" s="98">
        <v>1E-8</v>
      </c>
      <c r="AA441" s="98">
        <v>1E-8</v>
      </c>
      <c r="AB441" s="98">
        <v>1E-8</v>
      </c>
      <c r="AC441" s="98">
        <v>1E-8</v>
      </c>
      <c r="AD441" s="4"/>
    </row>
    <row r="442" spans="1:30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4"/>
      <c r="O442" s="4"/>
      <c r="P442" s="68"/>
      <c r="Q442" s="68" t="s">
        <v>620</v>
      </c>
      <c r="R442" s="108" t="s">
        <v>35</v>
      </c>
      <c r="S442" s="108" t="s">
        <v>317</v>
      </c>
      <c r="T442" s="98">
        <v>6.5095570636044871E-3</v>
      </c>
      <c r="U442" s="80">
        <v>0.55072983134114573</v>
      </c>
      <c r="V442" s="98">
        <v>1E-8</v>
      </c>
      <c r="W442" s="98">
        <v>1E-8</v>
      </c>
      <c r="X442" s="98">
        <v>1E-8</v>
      </c>
      <c r="Y442" s="98">
        <v>1E-8</v>
      </c>
      <c r="Z442" s="98">
        <v>1E-8</v>
      </c>
      <c r="AA442" s="98">
        <v>1E-8</v>
      </c>
      <c r="AB442" s="98">
        <v>1E-8</v>
      </c>
      <c r="AC442" s="98">
        <v>1E-8</v>
      </c>
      <c r="AD442" s="4"/>
    </row>
    <row r="443" spans="1:30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4"/>
      <c r="O443" s="4"/>
      <c r="P443" s="68"/>
      <c r="Q443" s="68" t="s">
        <v>621</v>
      </c>
      <c r="R443" s="108" t="s">
        <v>35</v>
      </c>
      <c r="S443" s="108" t="s">
        <v>313</v>
      </c>
      <c r="T443" s="98">
        <v>6.5278554044580536E-2</v>
      </c>
      <c r="U443" s="80">
        <v>0.45438917108524546</v>
      </c>
      <c r="V443" s="98">
        <v>1E-8</v>
      </c>
      <c r="W443" s="98">
        <v>1E-8</v>
      </c>
      <c r="X443" s="98">
        <v>1E-8</v>
      </c>
      <c r="Y443" s="98">
        <v>1E-8</v>
      </c>
      <c r="Z443" s="98">
        <v>1E-8</v>
      </c>
      <c r="AA443" s="98">
        <v>1E-8</v>
      </c>
      <c r="AB443" s="98">
        <v>1E-8</v>
      </c>
      <c r="AC443" s="98">
        <v>1E-8</v>
      </c>
      <c r="AD443" s="4"/>
    </row>
    <row r="444" spans="1:30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4"/>
      <c r="O444" s="4"/>
      <c r="P444" s="68"/>
      <c r="Q444" s="68" t="s">
        <v>622</v>
      </c>
      <c r="R444" s="108" t="s">
        <v>35</v>
      </c>
      <c r="S444" s="108" t="s">
        <v>315</v>
      </c>
      <c r="T444" s="98">
        <v>1.9731508763514448E-2</v>
      </c>
      <c r="U444" s="80">
        <v>1.6826006965815266</v>
      </c>
      <c r="V444" s="98">
        <v>1E-8</v>
      </c>
      <c r="W444" s="98">
        <v>1E-8</v>
      </c>
      <c r="X444" s="98">
        <v>1E-8</v>
      </c>
      <c r="Y444" s="98">
        <v>1E-8</v>
      </c>
      <c r="Z444" s="98">
        <v>1E-8</v>
      </c>
      <c r="AA444" s="98">
        <v>1E-8</v>
      </c>
      <c r="AB444" s="98">
        <v>1E-8</v>
      </c>
      <c r="AC444" s="98">
        <v>1E-8</v>
      </c>
      <c r="AD444" s="4"/>
    </row>
    <row r="445" spans="1:30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4"/>
      <c r="O445" s="4"/>
      <c r="P445" s="68"/>
      <c r="Q445" s="68" t="s">
        <v>623</v>
      </c>
      <c r="R445" s="108" t="s">
        <v>35</v>
      </c>
      <c r="S445" s="108" t="s">
        <v>540</v>
      </c>
      <c r="T445" s="98">
        <v>1.563316936123762E-3</v>
      </c>
      <c r="U445" s="80">
        <v>2.027111398127257</v>
      </c>
      <c r="V445" s="98">
        <v>1E-8</v>
      </c>
      <c r="W445" s="98">
        <v>1E-8</v>
      </c>
      <c r="X445" s="98">
        <v>1E-8</v>
      </c>
      <c r="Y445" s="98">
        <v>1E-8</v>
      </c>
      <c r="Z445" s="98">
        <v>1E-8</v>
      </c>
      <c r="AA445" s="98">
        <v>1E-8</v>
      </c>
      <c r="AB445" s="98">
        <v>1E-8</v>
      </c>
      <c r="AC445" s="98">
        <v>1E-8</v>
      </c>
      <c r="AD445" s="4"/>
    </row>
    <row r="446" spans="1:30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4"/>
      <c r="O446" s="4"/>
      <c r="P446" s="68"/>
      <c r="Q446" s="68" t="s">
        <v>624</v>
      </c>
      <c r="R446" s="109" t="s">
        <v>35</v>
      </c>
      <c r="S446" s="109" t="s">
        <v>541</v>
      </c>
      <c r="T446" s="81">
        <v>1.0820244272505447E-2</v>
      </c>
      <c r="U446" s="82">
        <v>7.3518167029711146</v>
      </c>
      <c r="V446" s="81">
        <v>1E-8</v>
      </c>
      <c r="W446" s="81">
        <v>1E-8</v>
      </c>
      <c r="X446" s="81">
        <v>1E-8</v>
      </c>
      <c r="Y446" s="81">
        <v>1E-8</v>
      </c>
      <c r="Z446" s="81">
        <v>1E-8</v>
      </c>
      <c r="AA446" s="81">
        <v>1E-8</v>
      </c>
      <c r="AB446" s="81">
        <v>1E-8</v>
      </c>
      <c r="AC446" s="81">
        <v>1E-8</v>
      </c>
      <c r="AD446" s="4"/>
    </row>
    <row r="447" spans="1:30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4"/>
      <c r="O447" s="4"/>
      <c r="P447" s="96"/>
      <c r="Q447" s="96" t="s">
        <v>281</v>
      </c>
      <c r="R447" s="107" t="s">
        <v>35</v>
      </c>
      <c r="S447" s="107" t="s">
        <v>318</v>
      </c>
      <c r="T447" s="97">
        <v>1E-8</v>
      </c>
      <c r="U447" s="78">
        <v>1E-8</v>
      </c>
      <c r="V447" s="97">
        <v>1E-8</v>
      </c>
      <c r="W447" s="97">
        <v>1E-8</v>
      </c>
      <c r="X447" s="97">
        <v>1E-8</v>
      </c>
      <c r="Y447" s="97">
        <v>1E-8</v>
      </c>
      <c r="Z447" s="97">
        <v>1E-8</v>
      </c>
      <c r="AA447" s="97">
        <v>1E-8</v>
      </c>
      <c r="AB447" s="97">
        <v>1E-8</v>
      </c>
      <c r="AC447" s="97">
        <v>1E-8</v>
      </c>
      <c r="AD447" s="4"/>
    </row>
    <row r="448" spans="1:30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4"/>
      <c r="O448" s="4"/>
      <c r="P448" s="96"/>
      <c r="Q448" s="96" t="s">
        <v>135</v>
      </c>
      <c r="R448" s="107" t="s">
        <v>35</v>
      </c>
      <c r="S448" s="107" t="s">
        <v>542</v>
      </c>
      <c r="T448" s="97">
        <v>1E-8</v>
      </c>
      <c r="U448" s="78">
        <v>1E-8</v>
      </c>
      <c r="V448" s="97">
        <v>1E-8</v>
      </c>
      <c r="W448" s="97">
        <v>1E-8</v>
      </c>
      <c r="X448" s="97">
        <v>1E-8</v>
      </c>
      <c r="Y448" s="97">
        <v>1E-8</v>
      </c>
      <c r="Z448" s="97">
        <v>1E-8</v>
      </c>
      <c r="AA448" s="97">
        <v>1E-8</v>
      </c>
      <c r="AB448" s="97">
        <v>1E-8</v>
      </c>
      <c r="AC448" s="97">
        <v>1E-8</v>
      </c>
      <c r="AD448" s="4"/>
    </row>
    <row r="449" spans="1:30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4"/>
      <c r="O449" s="4"/>
      <c r="P449" s="68"/>
      <c r="Q449" s="68" t="s">
        <v>625</v>
      </c>
      <c r="R449" s="108" t="s">
        <v>35</v>
      </c>
      <c r="S449" s="108" t="s">
        <v>543</v>
      </c>
      <c r="T449" s="98">
        <v>1E-8</v>
      </c>
      <c r="U449" s="80">
        <v>1E-8</v>
      </c>
      <c r="V449" s="98">
        <v>1E-8</v>
      </c>
      <c r="W449" s="98">
        <v>1E-8</v>
      </c>
      <c r="X449" s="98">
        <v>1E-8</v>
      </c>
      <c r="Y449" s="98">
        <v>1E-8</v>
      </c>
      <c r="Z449" s="98">
        <v>1E-8</v>
      </c>
      <c r="AA449" s="98">
        <v>1E-8</v>
      </c>
      <c r="AB449" s="98">
        <v>1E-8</v>
      </c>
      <c r="AC449" s="98">
        <v>1E-8</v>
      </c>
      <c r="AD449" s="4"/>
    </row>
    <row r="450" spans="1:30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4"/>
      <c r="O450" s="4"/>
      <c r="P450" s="68"/>
      <c r="Q450" s="68" t="s">
        <v>626</v>
      </c>
      <c r="R450" s="108" t="s">
        <v>35</v>
      </c>
      <c r="S450" s="108" t="s">
        <v>544</v>
      </c>
      <c r="T450" s="98">
        <v>1E-8</v>
      </c>
      <c r="U450" s="80">
        <v>1E-8</v>
      </c>
      <c r="V450" s="98">
        <v>1E-8</v>
      </c>
      <c r="W450" s="98">
        <v>1E-8</v>
      </c>
      <c r="X450" s="98">
        <v>1E-8</v>
      </c>
      <c r="Y450" s="98">
        <v>1E-8</v>
      </c>
      <c r="Z450" s="98">
        <v>1E-8</v>
      </c>
      <c r="AA450" s="98">
        <v>1E-8</v>
      </c>
      <c r="AB450" s="98">
        <v>1E-8</v>
      </c>
      <c r="AC450" s="98">
        <v>1E-8</v>
      </c>
      <c r="AD450" s="4"/>
    </row>
    <row r="451" spans="1:30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4"/>
      <c r="O451" s="4"/>
      <c r="P451" s="68"/>
      <c r="Q451" s="68" t="s">
        <v>627</v>
      </c>
      <c r="R451" s="108" t="s">
        <v>35</v>
      </c>
      <c r="S451" s="108" t="s">
        <v>319</v>
      </c>
      <c r="T451" s="98">
        <v>1E-8</v>
      </c>
      <c r="U451" s="80">
        <v>1E-8</v>
      </c>
      <c r="V451" s="98">
        <v>1E-8</v>
      </c>
      <c r="W451" s="98">
        <v>1E-8</v>
      </c>
      <c r="X451" s="98">
        <v>1E-8</v>
      </c>
      <c r="Y451" s="98">
        <v>1E-8</v>
      </c>
      <c r="Z451" s="98">
        <v>1E-8</v>
      </c>
      <c r="AA451" s="98">
        <v>1E-8</v>
      </c>
      <c r="AB451" s="98">
        <v>1E-8</v>
      </c>
      <c r="AC451" s="98">
        <v>1E-8</v>
      </c>
      <c r="AD451" s="4"/>
    </row>
    <row r="452" spans="1:30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4"/>
      <c r="O452" s="4"/>
      <c r="P452" s="71"/>
      <c r="Q452" s="71" t="s">
        <v>628</v>
      </c>
      <c r="R452" s="110" t="s">
        <v>35</v>
      </c>
      <c r="S452" s="110" t="s">
        <v>320</v>
      </c>
      <c r="T452" s="83">
        <v>1E-8</v>
      </c>
      <c r="U452" s="84">
        <v>1E-8</v>
      </c>
      <c r="V452" s="83">
        <v>1E-8</v>
      </c>
      <c r="W452" s="83">
        <v>1E-8</v>
      </c>
      <c r="X452" s="83">
        <v>1E-8</v>
      </c>
      <c r="Y452" s="83">
        <v>1E-8</v>
      </c>
      <c r="Z452" s="83">
        <v>1E-8</v>
      </c>
      <c r="AA452" s="83">
        <v>1E-8</v>
      </c>
      <c r="AB452" s="83">
        <v>1E-8</v>
      </c>
      <c r="AC452" s="83">
        <v>1E-8</v>
      </c>
      <c r="AD452" s="4"/>
    </row>
    <row r="453" spans="1:30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4"/>
      <c r="O453" s="4"/>
      <c r="P453" s="99"/>
      <c r="Q453" s="99" t="s">
        <v>282</v>
      </c>
      <c r="R453" s="105" t="s">
        <v>35</v>
      </c>
      <c r="S453" s="105" t="s">
        <v>321</v>
      </c>
      <c r="T453" s="95">
        <v>95.485335758074328</v>
      </c>
      <c r="U453" s="74">
        <v>-1.0522916860467024E-2</v>
      </c>
      <c r="V453" s="95">
        <v>1E-8</v>
      </c>
      <c r="W453" s="95">
        <v>1E-8</v>
      </c>
      <c r="X453" s="95">
        <v>1E-8</v>
      </c>
      <c r="Y453" s="95">
        <v>1E-8</v>
      </c>
      <c r="Z453" s="95">
        <v>1E-8</v>
      </c>
      <c r="AA453" s="95">
        <v>1E-8</v>
      </c>
      <c r="AB453" s="95">
        <v>1E-8</v>
      </c>
      <c r="AC453" s="95">
        <v>1E-8</v>
      </c>
      <c r="AD453" s="4"/>
    </row>
    <row r="454" spans="1:30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4"/>
      <c r="O454" s="4"/>
      <c r="P454" s="99"/>
      <c r="Q454" s="99" t="s">
        <v>283</v>
      </c>
      <c r="R454" s="105" t="s">
        <v>35</v>
      </c>
      <c r="S454" s="105" t="s">
        <v>322</v>
      </c>
      <c r="T454" s="95">
        <v>7.5635054737582363</v>
      </c>
      <c r="U454" s="74">
        <v>0.25026652566948471</v>
      </c>
      <c r="V454" s="95">
        <v>1E-8</v>
      </c>
      <c r="W454" s="95">
        <v>1E-8</v>
      </c>
      <c r="X454" s="95">
        <v>1E-8</v>
      </c>
      <c r="Y454" s="95">
        <v>1E-8</v>
      </c>
      <c r="Z454" s="95">
        <v>1E-8</v>
      </c>
      <c r="AA454" s="95">
        <v>1E-8</v>
      </c>
      <c r="AB454" s="95">
        <v>1E-8</v>
      </c>
      <c r="AC454" s="95">
        <v>1E-8</v>
      </c>
      <c r="AD454" s="4"/>
    </row>
    <row r="455" spans="1:30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4"/>
      <c r="O455" s="4"/>
      <c r="P455" s="96"/>
      <c r="Q455" s="96" t="s">
        <v>284</v>
      </c>
      <c r="R455" s="107" t="s">
        <v>35</v>
      </c>
      <c r="S455" s="107" t="s">
        <v>323</v>
      </c>
      <c r="T455" s="97">
        <v>1E-8</v>
      </c>
      <c r="U455" s="78">
        <v>1E-8</v>
      </c>
      <c r="V455" s="97">
        <v>1E-8</v>
      </c>
      <c r="W455" s="97">
        <v>1E-8</v>
      </c>
      <c r="X455" s="97">
        <v>1E-8</v>
      </c>
      <c r="Y455" s="97">
        <v>1E-8</v>
      </c>
      <c r="Z455" s="97">
        <v>1E-8</v>
      </c>
      <c r="AA455" s="97">
        <v>1E-8</v>
      </c>
      <c r="AB455" s="97">
        <v>1E-8</v>
      </c>
      <c r="AC455" s="97">
        <v>1E-8</v>
      </c>
      <c r="AD455" s="4"/>
    </row>
    <row r="456" spans="1:30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4"/>
      <c r="O456" s="4"/>
      <c r="P456" s="68"/>
      <c r="Q456" s="68" t="s">
        <v>629</v>
      </c>
      <c r="R456" s="108" t="s">
        <v>35</v>
      </c>
      <c r="S456" s="108" t="s">
        <v>324</v>
      </c>
      <c r="T456" s="98">
        <v>1E-8</v>
      </c>
      <c r="U456" s="80">
        <v>1E-8</v>
      </c>
      <c r="V456" s="98">
        <v>1E-8</v>
      </c>
      <c r="W456" s="98">
        <v>1E-8</v>
      </c>
      <c r="X456" s="98">
        <v>1E-8</v>
      </c>
      <c r="Y456" s="98">
        <v>1E-8</v>
      </c>
      <c r="Z456" s="98">
        <v>1E-8</v>
      </c>
      <c r="AA456" s="98">
        <v>1E-8</v>
      </c>
      <c r="AB456" s="98">
        <v>1E-8</v>
      </c>
      <c r="AC456" s="98">
        <v>1E-8</v>
      </c>
      <c r="AD456" s="4"/>
    </row>
    <row r="457" spans="1:30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4"/>
      <c r="O457" s="4"/>
      <c r="P457" s="68"/>
      <c r="Q457" s="68" t="s">
        <v>630</v>
      </c>
      <c r="R457" s="108" t="s">
        <v>35</v>
      </c>
      <c r="S457" s="108" t="s">
        <v>545</v>
      </c>
      <c r="T457" s="98">
        <v>1E-8</v>
      </c>
      <c r="U457" s="80">
        <v>1E-8</v>
      </c>
      <c r="V457" s="98">
        <v>1E-8</v>
      </c>
      <c r="W457" s="98">
        <v>1E-8</v>
      </c>
      <c r="X457" s="98">
        <v>1E-8</v>
      </c>
      <c r="Y457" s="98">
        <v>1E-8</v>
      </c>
      <c r="Z457" s="98">
        <v>1E-8</v>
      </c>
      <c r="AA457" s="98">
        <v>1E-8</v>
      </c>
      <c r="AB457" s="98">
        <v>1E-8</v>
      </c>
      <c r="AC457" s="98">
        <v>1E-8</v>
      </c>
      <c r="AD457" s="4"/>
    </row>
    <row r="458" spans="1:30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4"/>
      <c r="O458" s="4"/>
      <c r="P458" s="68"/>
      <c r="Q458" s="68" t="s">
        <v>631</v>
      </c>
      <c r="R458" s="109" t="s">
        <v>35</v>
      </c>
      <c r="S458" s="109" t="s">
        <v>325</v>
      </c>
      <c r="T458" s="81">
        <v>1E-8</v>
      </c>
      <c r="U458" s="82">
        <v>1E-8</v>
      </c>
      <c r="V458" s="81">
        <v>1E-8</v>
      </c>
      <c r="W458" s="81">
        <v>1E-8</v>
      </c>
      <c r="X458" s="81">
        <v>1E-8</v>
      </c>
      <c r="Y458" s="81">
        <v>1E-8</v>
      </c>
      <c r="Z458" s="81">
        <v>1E-8</v>
      </c>
      <c r="AA458" s="81">
        <v>1E-8</v>
      </c>
      <c r="AB458" s="81">
        <v>1E-8</v>
      </c>
      <c r="AC458" s="81">
        <v>1E-8</v>
      </c>
      <c r="AD458" s="4"/>
    </row>
    <row r="459" spans="1:30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4"/>
      <c r="O459" s="4"/>
      <c r="P459" s="96"/>
      <c r="Q459" s="96" t="s">
        <v>285</v>
      </c>
      <c r="R459" s="107" t="s">
        <v>35</v>
      </c>
      <c r="S459" s="107" t="s">
        <v>326</v>
      </c>
      <c r="T459" s="97">
        <v>2.9413416595228368</v>
      </c>
      <c r="U459" s="78">
        <v>3.5680788508193562</v>
      </c>
      <c r="V459" s="97">
        <v>1E-8</v>
      </c>
      <c r="W459" s="97">
        <v>1E-8</v>
      </c>
      <c r="X459" s="97">
        <v>1E-8</v>
      </c>
      <c r="Y459" s="97">
        <v>1E-8</v>
      </c>
      <c r="Z459" s="97">
        <v>1E-8</v>
      </c>
      <c r="AA459" s="97">
        <v>1E-8</v>
      </c>
      <c r="AB459" s="97">
        <v>1E-8</v>
      </c>
      <c r="AC459" s="97">
        <v>1E-8</v>
      </c>
      <c r="AD459" s="4"/>
    </row>
    <row r="460" spans="1:30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4"/>
      <c r="O460" s="4"/>
      <c r="P460" s="68"/>
      <c r="Q460" s="68" t="s">
        <v>364</v>
      </c>
      <c r="R460" s="108" t="s">
        <v>35</v>
      </c>
      <c r="S460" s="108" t="s">
        <v>327</v>
      </c>
      <c r="T460" s="98">
        <v>2.9413416595228368</v>
      </c>
      <c r="U460" s="80">
        <v>3.5680788508193562</v>
      </c>
      <c r="V460" s="98">
        <v>1E-8</v>
      </c>
      <c r="W460" s="98">
        <v>1E-8</v>
      </c>
      <c r="X460" s="98">
        <v>1E-8</v>
      </c>
      <c r="Y460" s="98">
        <v>1E-8</v>
      </c>
      <c r="Z460" s="98">
        <v>1E-8</v>
      </c>
      <c r="AA460" s="98">
        <v>1E-8</v>
      </c>
      <c r="AB460" s="98">
        <v>1E-8</v>
      </c>
      <c r="AC460" s="98">
        <v>1E-8</v>
      </c>
      <c r="AD460" s="4"/>
    </row>
    <row r="461" spans="1:30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4"/>
      <c r="O461" s="4"/>
      <c r="P461" s="100"/>
      <c r="Q461" s="100" t="s">
        <v>632</v>
      </c>
      <c r="R461" s="111" t="s">
        <v>35</v>
      </c>
      <c r="S461" s="111" t="s">
        <v>328</v>
      </c>
      <c r="T461" s="101">
        <v>0.26046488808222057</v>
      </c>
      <c r="U461" s="86">
        <v>0.63067478386584774</v>
      </c>
      <c r="V461" s="101">
        <v>1E-8</v>
      </c>
      <c r="W461" s="101">
        <v>1E-8</v>
      </c>
      <c r="X461" s="101">
        <v>1E-8</v>
      </c>
      <c r="Y461" s="101">
        <v>1E-8</v>
      </c>
      <c r="Z461" s="101">
        <v>1E-8</v>
      </c>
      <c r="AA461" s="101">
        <v>1E-8</v>
      </c>
      <c r="AB461" s="101">
        <v>1E-8</v>
      </c>
      <c r="AC461" s="101">
        <v>1E-8</v>
      </c>
      <c r="AD461" s="4"/>
    </row>
    <row r="462" spans="1:30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4"/>
      <c r="O462" s="4"/>
      <c r="P462" s="100"/>
      <c r="Q462" s="100" t="s">
        <v>633</v>
      </c>
      <c r="R462" s="111" t="s">
        <v>35</v>
      </c>
      <c r="S462" s="111" t="s">
        <v>329</v>
      </c>
      <c r="T462" s="101">
        <v>1E-8</v>
      </c>
      <c r="U462" s="86">
        <v>1E-8</v>
      </c>
      <c r="V462" s="101">
        <v>1E-8</v>
      </c>
      <c r="W462" s="101">
        <v>1E-8</v>
      </c>
      <c r="X462" s="101">
        <v>1E-8</v>
      </c>
      <c r="Y462" s="101">
        <v>1E-8</v>
      </c>
      <c r="Z462" s="101">
        <v>1E-8</v>
      </c>
      <c r="AA462" s="101">
        <v>1E-8</v>
      </c>
      <c r="AB462" s="101">
        <v>1E-8</v>
      </c>
      <c r="AC462" s="101">
        <v>1E-8</v>
      </c>
      <c r="AD462" s="4"/>
    </row>
    <row r="463" spans="1:30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4"/>
      <c r="O463" s="4"/>
      <c r="P463" s="100"/>
      <c r="Q463" s="100" t="s">
        <v>634</v>
      </c>
      <c r="R463" s="111" t="s">
        <v>35</v>
      </c>
      <c r="S463" s="111" t="s">
        <v>331</v>
      </c>
      <c r="T463" s="101">
        <v>7.7199286082978574E-2</v>
      </c>
      <c r="U463" s="86">
        <v>2.2214331996379455</v>
      </c>
      <c r="V463" s="101">
        <v>1E-8</v>
      </c>
      <c r="W463" s="101">
        <v>1E-8</v>
      </c>
      <c r="X463" s="101">
        <v>1E-8</v>
      </c>
      <c r="Y463" s="101">
        <v>1E-8</v>
      </c>
      <c r="Z463" s="101">
        <v>1E-8</v>
      </c>
      <c r="AA463" s="101">
        <v>1E-8</v>
      </c>
      <c r="AB463" s="101">
        <v>1E-8</v>
      </c>
      <c r="AC463" s="101">
        <v>1E-8</v>
      </c>
      <c r="AD463" s="4"/>
    </row>
    <row r="464" spans="1:30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4"/>
      <c r="O464" s="4"/>
      <c r="P464" s="100"/>
      <c r="Q464" s="100" t="s">
        <v>635</v>
      </c>
      <c r="R464" s="111" t="s">
        <v>35</v>
      </c>
      <c r="S464" s="111" t="s">
        <v>332</v>
      </c>
      <c r="T464" s="101">
        <v>0.11177806868888518</v>
      </c>
      <c r="U464" s="86">
        <v>10.555667283262004</v>
      </c>
      <c r="V464" s="101">
        <v>1E-8</v>
      </c>
      <c r="W464" s="101">
        <v>1E-8</v>
      </c>
      <c r="X464" s="101">
        <v>1E-8</v>
      </c>
      <c r="Y464" s="101">
        <v>1E-8</v>
      </c>
      <c r="Z464" s="101">
        <v>1E-8</v>
      </c>
      <c r="AA464" s="101">
        <v>1E-8</v>
      </c>
      <c r="AB464" s="101">
        <v>1E-8</v>
      </c>
      <c r="AC464" s="101">
        <v>1E-8</v>
      </c>
      <c r="AD464" s="4"/>
    </row>
    <row r="465" spans="1:30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4"/>
      <c r="O465" s="4"/>
      <c r="P465" s="100"/>
      <c r="Q465" s="100" t="s">
        <v>636</v>
      </c>
      <c r="R465" s="111" t="s">
        <v>35</v>
      </c>
      <c r="S465" s="111" t="s">
        <v>330</v>
      </c>
      <c r="T465" s="101">
        <v>3.8550117030822291E-2</v>
      </c>
      <c r="U465" s="86">
        <v>2.0007477749542701</v>
      </c>
      <c r="V465" s="101">
        <v>1E-8</v>
      </c>
      <c r="W465" s="101">
        <v>1E-8</v>
      </c>
      <c r="X465" s="101">
        <v>1E-8</v>
      </c>
      <c r="Y465" s="101">
        <v>1E-8</v>
      </c>
      <c r="Z465" s="101">
        <v>1E-8</v>
      </c>
      <c r="AA465" s="101">
        <v>1E-8</v>
      </c>
      <c r="AB465" s="101">
        <v>1E-8</v>
      </c>
      <c r="AC465" s="101">
        <v>1E-8</v>
      </c>
      <c r="AD465" s="4"/>
    </row>
    <row r="466" spans="1:30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4"/>
      <c r="O466" s="4"/>
      <c r="P466" s="100"/>
      <c r="Q466" s="100" t="s">
        <v>637</v>
      </c>
      <c r="R466" s="111" t="s">
        <v>35</v>
      </c>
      <c r="S466" s="111" t="s">
        <v>333</v>
      </c>
      <c r="T466" s="101">
        <v>1.5928447079729351</v>
      </c>
      <c r="U466" s="86">
        <v>1.9641764319054289</v>
      </c>
      <c r="V466" s="101">
        <v>1E-8</v>
      </c>
      <c r="W466" s="101">
        <v>1E-8</v>
      </c>
      <c r="X466" s="101">
        <v>1E-8</v>
      </c>
      <c r="Y466" s="101">
        <v>1E-8</v>
      </c>
      <c r="Z466" s="101">
        <v>1E-8</v>
      </c>
      <c r="AA466" s="101">
        <v>1E-8</v>
      </c>
      <c r="AB466" s="101">
        <v>1E-8</v>
      </c>
      <c r="AC466" s="101">
        <v>1E-8</v>
      </c>
      <c r="AD466" s="4"/>
    </row>
    <row r="467" spans="1:30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4"/>
      <c r="O467" s="4"/>
      <c r="P467" s="100"/>
      <c r="Q467" s="100" t="s">
        <v>638</v>
      </c>
      <c r="R467" s="111" t="s">
        <v>35</v>
      </c>
      <c r="S467" s="111" t="s">
        <v>546</v>
      </c>
      <c r="T467" s="101">
        <v>0.18220280086980953</v>
      </c>
      <c r="U467" s="86">
        <v>0.11802880064937238</v>
      </c>
      <c r="V467" s="101">
        <v>1E-8</v>
      </c>
      <c r="W467" s="101">
        <v>1E-8</v>
      </c>
      <c r="X467" s="101">
        <v>1E-8</v>
      </c>
      <c r="Y467" s="101">
        <v>1E-8</v>
      </c>
      <c r="Z467" s="101">
        <v>1E-8</v>
      </c>
      <c r="AA467" s="101">
        <v>1E-8</v>
      </c>
      <c r="AB467" s="101">
        <v>1E-8</v>
      </c>
      <c r="AC467" s="101">
        <v>1E-8</v>
      </c>
      <c r="AD467" s="4"/>
    </row>
    <row r="468" spans="1:30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4"/>
      <c r="O468" s="4"/>
      <c r="P468" s="100"/>
      <c r="Q468" s="100" t="s">
        <v>639</v>
      </c>
      <c r="R468" s="111" t="s">
        <v>35</v>
      </c>
      <c r="S468" s="111" t="s">
        <v>335</v>
      </c>
      <c r="T468" s="101">
        <v>5.2041167834398716E-2</v>
      </c>
      <c r="U468" s="86">
        <v>-3.6660186231808112</v>
      </c>
      <c r="V468" s="101">
        <v>1E-8</v>
      </c>
      <c r="W468" s="101">
        <v>1E-8</v>
      </c>
      <c r="X468" s="101">
        <v>1E-8</v>
      </c>
      <c r="Y468" s="101">
        <v>1E-8</v>
      </c>
      <c r="Z468" s="101">
        <v>1E-8</v>
      </c>
      <c r="AA468" s="101">
        <v>1E-8</v>
      </c>
      <c r="AB468" s="101">
        <v>1E-8</v>
      </c>
      <c r="AC468" s="101">
        <v>1E-8</v>
      </c>
      <c r="AD468" s="4"/>
    </row>
    <row r="469" spans="1:30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4"/>
      <c r="O469" s="4"/>
      <c r="P469" s="100"/>
      <c r="Q469" s="100" t="s">
        <v>640</v>
      </c>
      <c r="R469" s="111" t="s">
        <v>35</v>
      </c>
      <c r="S469" s="111" t="s">
        <v>334</v>
      </c>
      <c r="T469" s="101">
        <v>0.62626062296078722</v>
      </c>
      <c r="U469" s="86">
        <v>9.4893508711739081</v>
      </c>
      <c r="V469" s="101">
        <v>1E-8</v>
      </c>
      <c r="W469" s="101">
        <v>1E-8</v>
      </c>
      <c r="X469" s="101">
        <v>1E-8</v>
      </c>
      <c r="Y469" s="101">
        <v>1E-8</v>
      </c>
      <c r="Z469" s="101">
        <v>1E-8</v>
      </c>
      <c r="AA469" s="101">
        <v>1E-8</v>
      </c>
      <c r="AB469" s="101">
        <v>1E-8</v>
      </c>
      <c r="AC469" s="101">
        <v>1E-8</v>
      </c>
      <c r="AD469" s="4"/>
    </row>
    <row r="470" spans="1:30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4"/>
      <c r="O470" s="4"/>
      <c r="P470" s="68"/>
      <c r="Q470" s="68" t="s">
        <v>365</v>
      </c>
      <c r="R470" s="108" t="s">
        <v>35</v>
      </c>
      <c r="S470" s="108" t="s">
        <v>374</v>
      </c>
      <c r="T470" s="98">
        <v>1E-8</v>
      </c>
      <c r="U470" s="80">
        <v>1E-8</v>
      </c>
      <c r="V470" s="98">
        <v>1E-8</v>
      </c>
      <c r="W470" s="98">
        <v>1E-8</v>
      </c>
      <c r="X470" s="98">
        <v>1E-8</v>
      </c>
      <c r="Y470" s="98">
        <v>1E-8</v>
      </c>
      <c r="Z470" s="98">
        <v>1E-8</v>
      </c>
      <c r="AA470" s="98">
        <v>1E-8</v>
      </c>
      <c r="AB470" s="98">
        <v>1E-8</v>
      </c>
      <c r="AC470" s="98">
        <v>1E-8</v>
      </c>
      <c r="AD470" s="4"/>
    </row>
    <row r="471" spans="1:30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4"/>
      <c r="O471" s="4"/>
      <c r="P471" s="100"/>
      <c r="Q471" s="100" t="s">
        <v>641</v>
      </c>
      <c r="R471" s="111" t="s">
        <v>35</v>
      </c>
      <c r="S471" s="111" t="s">
        <v>547</v>
      </c>
      <c r="T471" s="101">
        <v>1E-8</v>
      </c>
      <c r="U471" s="86">
        <v>1E-8</v>
      </c>
      <c r="V471" s="101">
        <v>1E-8</v>
      </c>
      <c r="W471" s="101">
        <v>1E-8</v>
      </c>
      <c r="X471" s="101">
        <v>1E-8</v>
      </c>
      <c r="Y471" s="101">
        <v>1E-8</v>
      </c>
      <c r="Z471" s="101">
        <v>1E-8</v>
      </c>
      <c r="AA471" s="101">
        <v>1E-8</v>
      </c>
      <c r="AB471" s="101">
        <v>1E-8</v>
      </c>
      <c r="AC471" s="101">
        <v>1E-8</v>
      </c>
      <c r="AD471" s="4"/>
    </row>
    <row r="472" spans="1:30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4"/>
      <c r="O472" s="4"/>
      <c r="P472" s="100"/>
      <c r="Q472" s="100" t="s">
        <v>642</v>
      </c>
      <c r="R472" s="111" t="s">
        <v>35</v>
      </c>
      <c r="S472" s="111" t="s">
        <v>336</v>
      </c>
      <c r="T472" s="101">
        <v>1E-8</v>
      </c>
      <c r="U472" s="86">
        <v>1E-8</v>
      </c>
      <c r="V472" s="101">
        <v>1E-8</v>
      </c>
      <c r="W472" s="101">
        <v>1E-8</v>
      </c>
      <c r="X472" s="101">
        <v>1E-8</v>
      </c>
      <c r="Y472" s="101">
        <v>1E-8</v>
      </c>
      <c r="Z472" s="101">
        <v>1E-8</v>
      </c>
      <c r="AA472" s="101">
        <v>1E-8</v>
      </c>
      <c r="AB472" s="101">
        <v>1E-8</v>
      </c>
      <c r="AC472" s="101">
        <v>1E-8</v>
      </c>
      <c r="AD472" s="4"/>
    </row>
    <row r="473" spans="1:30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4"/>
      <c r="O473" s="4"/>
      <c r="P473" s="100"/>
      <c r="Q473" s="100" t="s">
        <v>643</v>
      </c>
      <c r="R473" s="112" t="s">
        <v>35</v>
      </c>
      <c r="S473" s="112" t="s">
        <v>337</v>
      </c>
      <c r="T473" s="87">
        <v>1E-8</v>
      </c>
      <c r="U473" s="88">
        <v>1E-8</v>
      </c>
      <c r="V473" s="87">
        <v>1E-8</v>
      </c>
      <c r="W473" s="87">
        <v>1E-8</v>
      </c>
      <c r="X473" s="87">
        <v>1E-8</v>
      </c>
      <c r="Y473" s="87">
        <v>1E-8</v>
      </c>
      <c r="Z473" s="87">
        <v>1E-8</v>
      </c>
      <c r="AA473" s="87">
        <v>1E-8</v>
      </c>
      <c r="AB473" s="87">
        <v>1E-8</v>
      </c>
      <c r="AC473" s="87">
        <v>1E-8</v>
      </c>
      <c r="AD473" s="4"/>
    </row>
    <row r="474" spans="1:30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4"/>
      <c r="O474" s="4"/>
      <c r="P474" s="68"/>
      <c r="Q474" s="68" t="s">
        <v>644</v>
      </c>
      <c r="R474" s="108" t="s">
        <v>35</v>
      </c>
      <c r="S474" s="108" t="s">
        <v>338</v>
      </c>
      <c r="T474" s="98">
        <v>1E-8</v>
      </c>
      <c r="U474" s="80">
        <v>1E-8</v>
      </c>
      <c r="V474" s="98">
        <v>1E-8</v>
      </c>
      <c r="W474" s="98">
        <v>1E-8</v>
      </c>
      <c r="X474" s="98">
        <v>1E-8</v>
      </c>
      <c r="Y474" s="98">
        <v>1E-8</v>
      </c>
      <c r="Z474" s="98">
        <v>1E-8</v>
      </c>
      <c r="AA474" s="98">
        <v>1E-8</v>
      </c>
      <c r="AB474" s="98">
        <v>1E-8</v>
      </c>
      <c r="AC474" s="98">
        <v>1E-8</v>
      </c>
      <c r="AD474" s="4"/>
    </row>
    <row r="475" spans="1:30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4"/>
      <c r="O475" s="4"/>
      <c r="P475" s="68"/>
      <c r="Q475" s="68" t="s">
        <v>366</v>
      </c>
      <c r="R475" s="108" t="s">
        <v>35</v>
      </c>
      <c r="S475" s="108" t="s">
        <v>339</v>
      </c>
      <c r="T475" s="98">
        <v>1E-8</v>
      </c>
      <c r="U475" s="80">
        <v>1E-8</v>
      </c>
      <c r="V475" s="98">
        <v>1E-8</v>
      </c>
      <c r="W475" s="98">
        <v>1E-8</v>
      </c>
      <c r="X475" s="98">
        <v>1E-8</v>
      </c>
      <c r="Y475" s="98">
        <v>1E-8</v>
      </c>
      <c r="Z475" s="98">
        <v>1E-8</v>
      </c>
      <c r="AA475" s="98">
        <v>1E-8</v>
      </c>
      <c r="AB475" s="98">
        <v>1E-8</v>
      </c>
      <c r="AC475" s="98">
        <v>1E-8</v>
      </c>
      <c r="AD475" s="4"/>
    </row>
    <row r="476" spans="1:30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4"/>
      <c r="O476" s="4"/>
      <c r="P476" s="100"/>
      <c r="Q476" s="100" t="s">
        <v>645</v>
      </c>
      <c r="R476" s="111" t="s">
        <v>35</v>
      </c>
      <c r="S476" s="111" t="s">
        <v>340</v>
      </c>
      <c r="T476" s="101">
        <v>1E-8</v>
      </c>
      <c r="U476" s="86">
        <v>1E-8</v>
      </c>
      <c r="V476" s="101">
        <v>1E-8</v>
      </c>
      <c r="W476" s="101">
        <v>1E-8</v>
      </c>
      <c r="X476" s="101">
        <v>1E-8</v>
      </c>
      <c r="Y476" s="101">
        <v>1E-8</v>
      </c>
      <c r="Z476" s="101">
        <v>1E-8</v>
      </c>
      <c r="AA476" s="101">
        <v>1E-8</v>
      </c>
      <c r="AB476" s="101">
        <v>1E-8</v>
      </c>
      <c r="AC476" s="101">
        <v>1E-8</v>
      </c>
      <c r="AD476" s="4"/>
    </row>
    <row r="477" spans="1:30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4"/>
      <c r="O477" s="4"/>
      <c r="P477" s="100"/>
      <c r="Q477" s="100" t="s">
        <v>646</v>
      </c>
      <c r="R477" s="111" t="s">
        <v>35</v>
      </c>
      <c r="S477" s="111" t="s">
        <v>548</v>
      </c>
      <c r="T477" s="101">
        <v>1E-8</v>
      </c>
      <c r="U477" s="86">
        <v>1E-8</v>
      </c>
      <c r="V477" s="101">
        <v>1E-8</v>
      </c>
      <c r="W477" s="101">
        <v>1E-8</v>
      </c>
      <c r="X477" s="101">
        <v>1E-8</v>
      </c>
      <c r="Y477" s="101">
        <v>1E-8</v>
      </c>
      <c r="Z477" s="101">
        <v>1E-8</v>
      </c>
      <c r="AA477" s="101">
        <v>1E-8</v>
      </c>
      <c r="AB477" s="101">
        <v>1E-8</v>
      </c>
      <c r="AC477" s="101">
        <v>1E-8</v>
      </c>
      <c r="AD477" s="4"/>
    </row>
    <row r="478" spans="1:30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4"/>
      <c r="O478" s="4"/>
      <c r="P478" s="68"/>
      <c r="Q478" s="68" t="s">
        <v>367</v>
      </c>
      <c r="R478" s="108" t="s">
        <v>35</v>
      </c>
      <c r="S478" s="108" t="s">
        <v>341</v>
      </c>
      <c r="T478" s="98">
        <v>1E-8</v>
      </c>
      <c r="U478" s="80">
        <v>1E-8</v>
      </c>
      <c r="V478" s="98">
        <v>1E-8</v>
      </c>
      <c r="W478" s="98">
        <v>1E-8</v>
      </c>
      <c r="X478" s="98">
        <v>1E-8</v>
      </c>
      <c r="Y478" s="98">
        <v>1E-8</v>
      </c>
      <c r="Z478" s="98">
        <v>1E-8</v>
      </c>
      <c r="AA478" s="98">
        <v>1E-8</v>
      </c>
      <c r="AB478" s="98">
        <v>1E-8</v>
      </c>
      <c r="AC478" s="98">
        <v>1E-8</v>
      </c>
      <c r="AD478" s="4"/>
    </row>
    <row r="479" spans="1:30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4"/>
      <c r="O479" s="4"/>
      <c r="P479" s="100"/>
      <c r="Q479" s="100" t="s">
        <v>647</v>
      </c>
      <c r="R479" s="111" t="s">
        <v>35</v>
      </c>
      <c r="S479" s="111" t="s">
        <v>342</v>
      </c>
      <c r="T479" s="101">
        <v>1E-8</v>
      </c>
      <c r="U479" s="86">
        <v>1E-8</v>
      </c>
      <c r="V479" s="101">
        <v>1E-8</v>
      </c>
      <c r="W479" s="101">
        <v>1E-8</v>
      </c>
      <c r="X479" s="101">
        <v>1E-8</v>
      </c>
      <c r="Y479" s="101">
        <v>1E-8</v>
      </c>
      <c r="Z479" s="101">
        <v>1E-8</v>
      </c>
      <c r="AA479" s="101">
        <v>1E-8</v>
      </c>
      <c r="AB479" s="101">
        <v>1E-8</v>
      </c>
      <c r="AC479" s="101">
        <v>1E-8</v>
      </c>
      <c r="AD479" s="4"/>
    </row>
    <row r="480" spans="1:30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4"/>
      <c r="O480" s="4"/>
      <c r="P480" s="100"/>
      <c r="Q480" s="100" t="s">
        <v>648</v>
      </c>
      <c r="R480" s="111" t="s">
        <v>35</v>
      </c>
      <c r="S480" s="111" t="s">
        <v>343</v>
      </c>
      <c r="T480" s="101">
        <v>1E-8</v>
      </c>
      <c r="U480" s="86">
        <v>1E-8</v>
      </c>
      <c r="V480" s="101">
        <v>1E-8</v>
      </c>
      <c r="W480" s="101">
        <v>1E-8</v>
      </c>
      <c r="X480" s="101">
        <v>1E-8</v>
      </c>
      <c r="Y480" s="101">
        <v>1E-8</v>
      </c>
      <c r="Z480" s="101">
        <v>1E-8</v>
      </c>
      <c r="AA480" s="101">
        <v>1E-8</v>
      </c>
      <c r="AB480" s="101">
        <v>1E-8</v>
      </c>
      <c r="AC480" s="101">
        <v>1E-8</v>
      </c>
      <c r="AD480" s="4"/>
    </row>
    <row r="481" spans="1:30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4"/>
      <c r="O481" s="4"/>
      <c r="P481" s="100"/>
      <c r="Q481" s="100" t="s">
        <v>649</v>
      </c>
      <c r="R481" s="111" t="s">
        <v>35</v>
      </c>
      <c r="S481" s="111" t="s">
        <v>549</v>
      </c>
      <c r="T481" s="101">
        <v>1E-8</v>
      </c>
      <c r="U481" s="86">
        <v>1E-8</v>
      </c>
      <c r="V481" s="101">
        <v>1E-8</v>
      </c>
      <c r="W481" s="101">
        <v>1E-8</v>
      </c>
      <c r="X481" s="101">
        <v>1E-8</v>
      </c>
      <c r="Y481" s="101">
        <v>1E-8</v>
      </c>
      <c r="Z481" s="101">
        <v>1E-8</v>
      </c>
      <c r="AA481" s="101">
        <v>1E-8</v>
      </c>
      <c r="AB481" s="101">
        <v>1E-8</v>
      </c>
      <c r="AC481" s="101">
        <v>1E-8</v>
      </c>
      <c r="AD481" s="4"/>
    </row>
    <row r="482" spans="1:30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4"/>
      <c r="O482" s="4"/>
      <c r="P482" s="100"/>
      <c r="Q482" s="100" t="s">
        <v>650</v>
      </c>
      <c r="R482" s="111" t="s">
        <v>35</v>
      </c>
      <c r="S482" s="111" t="s">
        <v>550</v>
      </c>
      <c r="T482" s="101">
        <v>1E-8</v>
      </c>
      <c r="U482" s="86">
        <v>1E-8</v>
      </c>
      <c r="V482" s="101">
        <v>1E-8</v>
      </c>
      <c r="W482" s="101">
        <v>1E-8</v>
      </c>
      <c r="X482" s="101">
        <v>1E-8</v>
      </c>
      <c r="Y482" s="101">
        <v>1E-8</v>
      </c>
      <c r="Z482" s="101">
        <v>1E-8</v>
      </c>
      <c r="AA482" s="101">
        <v>1E-8</v>
      </c>
      <c r="AB482" s="101">
        <v>1E-8</v>
      </c>
      <c r="AC482" s="101">
        <v>1E-8</v>
      </c>
      <c r="AD482" s="4"/>
    </row>
    <row r="483" spans="1:30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4"/>
      <c r="O483" s="4"/>
      <c r="P483" s="68"/>
      <c r="Q483" s="68" t="s">
        <v>172</v>
      </c>
      <c r="R483" s="108" t="s">
        <v>35</v>
      </c>
      <c r="S483" s="108" t="s">
        <v>551</v>
      </c>
      <c r="T483" s="98">
        <v>1E-8</v>
      </c>
      <c r="U483" s="80">
        <v>1E-8</v>
      </c>
      <c r="V483" s="98">
        <v>1E-8</v>
      </c>
      <c r="W483" s="98">
        <v>1E-8</v>
      </c>
      <c r="X483" s="98">
        <v>1E-8</v>
      </c>
      <c r="Y483" s="98">
        <v>1E-8</v>
      </c>
      <c r="Z483" s="98">
        <v>1E-8</v>
      </c>
      <c r="AA483" s="98">
        <v>1E-8</v>
      </c>
      <c r="AB483" s="98">
        <v>1E-8</v>
      </c>
      <c r="AC483" s="98">
        <v>1E-8</v>
      </c>
      <c r="AD483" s="4"/>
    </row>
    <row r="484" spans="1:30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4"/>
      <c r="O484" s="4"/>
      <c r="P484" s="100"/>
      <c r="Q484" s="100" t="s">
        <v>651</v>
      </c>
      <c r="R484" s="111" t="s">
        <v>35</v>
      </c>
      <c r="S484" s="111" t="s">
        <v>344</v>
      </c>
      <c r="T484" s="101">
        <v>1E-8</v>
      </c>
      <c r="U484" s="86">
        <v>1E-8</v>
      </c>
      <c r="V484" s="101">
        <v>1E-8</v>
      </c>
      <c r="W484" s="101">
        <v>1E-8</v>
      </c>
      <c r="X484" s="101">
        <v>1E-8</v>
      </c>
      <c r="Y484" s="101">
        <v>1E-8</v>
      </c>
      <c r="Z484" s="101">
        <v>1E-8</v>
      </c>
      <c r="AA484" s="101">
        <v>1E-8</v>
      </c>
      <c r="AB484" s="101">
        <v>1E-8</v>
      </c>
      <c r="AC484" s="101">
        <v>1E-8</v>
      </c>
      <c r="AD484" s="4"/>
    </row>
    <row r="485" spans="1:30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4"/>
      <c r="O485" s="4"/>
      <c r="P485" s="100"/>
      <c r="Q485" s="100" t="s">
        <v>652</v>
      </c>
      <c r="R485" s="111" t="s">
        <v>35</v>
      </c>
      <c r="S485" s="111" t="s">
        <v>552</v>
      </c>
      <c r="T485" s="101">
        <v>1E-8</v>
      </c>
      <c r="U485" s="86">
        <v>1E-8</v>
      </c>
      <c r="V485" s="101">
        <v>1E-8</v>
      </c>
      <c r="W485" s="101">
        <v>1E-8</v>
      </c>
      <c r="X485" s="101">
        <v>1E-8</v>
      </c>
      <c r="Y485" s="101">
        <v>1E-8</v>
      </c>
      <c r="Z485" s="101">
        <v>1E-8</v>
      </c>
      <c r="AA485" s="101">
        <v>1E-8</v>
      </c>
      <c r="AB485" s="101">
        <v>1E-8</v>
      </c>
      <c r="AC485" s="101">
        <v>1E-8</v>
      </c>
      <c r="AD485" s="4"/>
    </row>
    <row r="486" spans="1:30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4"/>
      <c r="O486" s="4"/>
      <c r="P486" s="100"/>
      <c r="Q486" s="100" t="s">
        <v>653</v>
      </c>
      <c r="R486" s="111" t="s">
        <v>35</v>
      </c>
      <c r="S486" s="111" t="s">
        <v>553</v>
      </c>
      <c r="T486" s="101">
        <v>1E-8</v>
      </c>
      <c r="U486" s="86">
        <v>1E-8</v>
      </c>
      <c r="V486" s="101">
        <v>1E-8</v>
      </c>
      <c r="W486" s="101">
        <v>1E-8</v>
      </c>
      <c r="X486" s="101">
        <v>1E-8</v>
      </c>
      <c r="Y486" s="101">
        <v>1E-8</v>
      </c>
      <c r="Z486" s="101">
        <v>1E-8</v>
      </c>
      <c r="AA486" s="101">
        <v>1E-8</v>
      </c>
      <c r="AB486" s="101">
        <v>1E-8</v>
      </c>
      <c r="AC486" s="101">
        <v>1E-8</v>
      </c>
      <c r="AD486" s="4"/>
    </row>
    <row r="487" spans="1:30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4"/>
      <c r="O487" s="4"/>
      <c r="P487" s="68"/>
      <c r="Q487" s="68" t="s">
        <v>368</v>
      </c>
      <c r="R487" s="108" t="s">
        <v>35</v>
      </c>
      <c r="S487" s="108" t="s">
        <v>345</v>
      </c>
      <c r="T487" s="98">
        <v>1E-8</v>
      </c>
      <c r="U487" s="80">
        <v>1E-8</v>
      </c>
      <c r="V487" s="98">
        <v>1E-8</v>
      </c>
      <c r="W487" s="98">
        <v>1E-8</v>
      </c>
      <c r="X487" s="98">
        <v>1E-8</v>
      </c>
      <c r="Y487" s="98">
        <v>1E-8</v>
      </c>
      <c r="Z487" s="98">
        <v>1E-8</v>
      </c>
      <c r="AA487" s="98">
        <v>1E-8</v>
      </c>
      <c r="AB487" s="98">
        <v>1E-8</v>
      </c>
      <c r="AC487" s="98">
        <v>1E-8</v>
      </c>
      <c r="AD487" s="4"/>
    </row>
    <row r="488" spans="1:30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4"/>
      <c r="O488" s="4"/>
      <c r="P488" s="100"/>
      <c r="Q488" s="100" t="s">
        <v>654</v>
      </c>
      <c r="R488" s="111" t="s">
        <v>35</v>
      </c>
      <c r="S488" s="111" t="s">
        <v>346</v>
      </c>
      <c r="T488" s="101">
        <v>1E-8</v>
      </c>
      <c r="U488" s="86">
        <v>1E-8</v>
      </c>
      <c r="V488" s="101">
        <v>1E-8</v>
      </c>
      <c r="W488" s="101">
        <v>1E-8</v>
      </c>
      <c r="X488" s="101">
        <v>1E-8</v>
      </c>
      <c r="Y488" s="101">
        <v>1E-8</v>
      </c>
      <c r="Z488" s="101">
        <v>1E-8</v>
      </c>
      <c r="AA488" s="101">
        <v>1E-8</v>
      </c>
      <c r="AB488" s="101">
        <v>1E-8</v>
      </c>
      <c r="AC488" s="101">
        <v>1E-8</v>
      </c>
      <c r="AD488" s="4"/>
    </row>
    <row r="489" spans="1:30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4"/>
      <c r="O489" s="4"/>
      <c r="P489" s="100"/>
      <c r="Q489" s="100" t="s">
        <v>655</v>
      </c>
      <c r="R489" s="111" t="s">
        <v>35</v>
      </c>
      <c r="S489" s="111" t="s">
        <v>347</v>
      </c>
      <c r="T489" s="101">
        <v>1E-8</v>
      </c>
      <c r="U489" s="86">
        <v>1E-8</v>
      </c>
      <c r="V489" s="101">
        <v>1E-8</v>
      </c>
      <c r="W489" s="101">
        <v>1E-8</v>
      </c>
      <c r="X489" s="101">
        <v>1E-8</v>
      </c>
      <c r="Y489" s="101">
        <v>1E-8</v>
      </c>
      <c r="Z489" s="101">
        <v>1E-8</v>
      </c>
      <c r="AA489" s="101">
        <v>1E-8</v>
      </c>
      <c r="AB489" s="101">
        <v>1E-8</v>
      </c>
      <c r="AC489" s="101">
        <v>1E-8</v>
      </c>
      <c r="AD489" s="4"/>
    </row>
    <row r="490" spans="1:30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4"/>
      <c r="O490" s="4"/>
      <c r="P490" s="100"/>
      <c r="Q490" s="100" t="s">
        <v>656</v>
      </c>
      <c r="R490" s="111" t="s">
        <v>35</v>
      </c>
      <c r="S490" s="111" t="s">
        <v>348</v>
      </c>
      <c r="T490" s="101">
        <v>1E-8</v>
      </c>
      <c r="U490" s="86">
        <v>1E-8</v>
      </c>
      <c r="V490" s="101">
        <v>1E-8</v>
      </c>
      <c r="W490" s="101">
        <v>1E-8</v>
      </c>
      <c r="X490" s="101">
        <v>1E-8</v>
      </c>
      <c r="Y490" s="101">
        <v>1E-8</v>
      </c>
      <c r="Z490" s="101">
        <v>1E-8</v>
      </c>
      <c r="AA490" s="101">
        <v>1E-8</v>
      </c>
      <c r="AB490" s="101">
        <v>1E-8</v>
      </c>
      <c r="AC490" s="101">
        <v>1E-8</v>
      </c>
      <c r="AD490" s="4"/>
    </row>
    <row r="491" spans="1:30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4"/>
      <c r="O491" s="4"/>
      <c r="P491" s="68"/>
      <c r="Q491" s="68" t="s">
        <v>181</v>
      </c>
      <c r="R491" s="108" t="s">
        <v>35</v>
      </c>
      <c r="S491" s="108" t="s">
        <v>554</v>
      </c>
      <c r="T491" s="98">
        <v>1E-8</v>
      </c>
      <c r="U491" s="80">
        <v>1E-8</v>
      </c>
      <c r="V491" s="98">
        <v>1E-8</v>
      </c>
      <c r="W491" s="98">
        <v>1E-8</v>
      </c>
      <c r="X491" s="98">
        <v>1E-8</v>
      </c>
      <c r="Y491" s="98">
        <v>1E-8</v>
      </c>
      <c r="Z491" s="98">
        <v>1E-8</v>
      </c>
      <c r="AA491" s="98">
        <v>1E-8</v>
      </c>
      <c r="AB491" s="98">
        <v>1E-8</v>
      </c>
      <c r="AC491" s="98">
        <v>1E-8</v>
      </c>
      <c r="AD491" s="4"/>
    </row>
    <row r="492" spans="1:30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4"/>
      <c r="O492" s="4"/>
      <c r="P492" s="100"/>
      <c r="Q492" s="100" t="s">
        <v>657</v>
      </c>
      <c r="R492" s="111" t="s">
        <v>35</v>
      </c>
      <c r="S492" s="111" t="s">
        <v>555</v>
      </c>
      <c r="T492" s="101">
        <v>1E-8</v>
      </c>
      <c r="U492" s="86">
        <v>1E-8</v>
      </c>
      <c r="V492" s="101">
        <v>1E-8</v>
      </c>
      <c r="W492" s="101">
        <v>1E-8</v>
      </c>
      <c r="X492" s="101">
        <v>1E-8</v>
      </c>
      <c r="Y492" s="101">
        <v>1E-8</v>
      </c>
      <c r="Z492" s="101">
        <v>1E-8</v>
      </c>
      <c r="AA492" s="101">
        <v>1E-8</v>
      </c>
      <c r="AB492" s="101">
        <v>1E-8</v>
      </c>
      <c r="AC492" s="101">
        <v>1E-8</v>
      </c>
      <c r="AD492" s="4"/>
    </row>
    <row r="493" spans="1:30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4"/>
      <c r="O493" s="4"/>
      <c r="P493" s="100"/>
      <c r="Q493" s="100" t="s">
        <v>658</v>
      </c>
      <c r="R493" s="111" t="s">
        <v>35</v>
      </c>
      <c r="S493" s="111" t="s">
        <v>349</v>
      </c>
      <c r="T493" s="101">
        <v>1E-8</v>
      </c>
      <c r="U493" s="86">
        <v>1E-8</v>
      </c>
      <c r="V493" s="101">
        <v>1E-8</v>
      </c>
      <c r="W493" s="101">
        <v>1E-8</v>
      </c>
      <c r="X493" s="101">
        <v>1E-8</v>
      </c>
      <c r="Y493" s="101">
        <v>1E-8</v>
      </c>
      <c r="Z493" s="101">
        <v>1E-8</v>
      </c>
      <c r="AA493" s="101">
        <v>1E-8</v>
      </c>
      <c r="AB493" s="101">
        <v>1E-8</v>
      </c>
      <c r="AC493" s="101">
        <v>1E-8</v>
      </c>
      <c r="AD493" s="4"/>
    </row>
    <row r="494" spans="1:30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4"/>
      <c r="O494" s="4"/>
      <c r="P494" s="100"/>
      <c r="Q494" s="100" t="s">
        <v>659</v>
      </c>
      <c r="R494" s="112" t="s">
        <v>35</v>
      </c>
      <c r="S494" s="112" t="s">
        <v>556</v>
      </c>
      <c r="T494" s="87">
        <v>1E-8</v>
      </c>
      <c r="U494" s="88">
        <v>1E-8</v>
      </c>
      <c r="V494" s="87">
        <v>1E-8</v>
      </c>
      <c r="W494" s="87">
        <v>1E-8</v>
      </c>
      <c r="X494" s="87">
        <v>1E-8</v>
      </c>
      <c r="Y494" s="87">
        <v>1E-8</v>
      </c>
      <c r="Z494" s="87">
        <v>1E-8</v>
      </c>
      <c r="AA494" s="87">
        <v>1E-8</v>
      </c>
      <c r="AB494" s="87">
        <v>1E-8</v>
      </c>
      <c r="AC494" s="87">
        <v>1E-8</v>
      </c>
      <c r="AD494" s="4"/>
    </row>
    <row r="495" spans="1:30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4"/>
      <c r="O495" s="4"/>
      <c r="P495" s="96"/>
      <c r="Q495" s="96" t="s">
        <v>286</v>
      </c>
      <c r="R495" s="107" t="s">
        <v>35</v>
      </c>
      <c r="S495" s="107" t="s">
        <v>350</v>
      </c>
      <c r="T495" s="97">
        <v>4.6221638142353996</v>
      </c>
      <c r="U495" s="78">
        <v>-1.8610432423630363</v>
      </c>
      <c r="V495" s="97">
        <v>1E-8</v>
      </c>
      <c r="W495" s="97">
        <v>1E-8</v>
      </c>
      <c r="X495" s="97">
        <v>1E-8</v>
      </c>
      <c r="Y495" s="97">
        <v>1E-8</v>
      </c>
      <c r="Z495" s="97">
        <v>1E-8</v>
      </c>
      <c r="AA495" s="97">
        <v>1E-8</v>
      </c>
      <c r="AB495" s="97">
        <v>1E-8</v>
      </c>
      <c r="AC495" s="97">
        <v>1E-8</v>
      </c>
      <c r="AD495" s="4"/>
    </row>
    <row r="496" spans="1:30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4"/>
      <c r="O496" s="4"/>
      <c r="P496" s="96"/>
      <c r="Q496" s="96" t="s">
        <v>369</v>
      </c>
      <c r="R496" s="107" t="s">
        <v>35</v>
      </c>
      <c r="S496" s="107" t="s">
        <v>557</v>
      </c>
      <c r="T496" s="97">
        <v>2.774831668716462</v>
      </c>
      <c r="U496" s="78">
        <v>-0.51056262691188126</v>
      </c>
      <c r="V496" s="97">
        <v>1E-8</v>
      </c>
      <c r="W496" s="97">
        <v>1E-8</v>
      </c>
      <c r="X496" s="97">
        <v>1E-8</v>
      </c>
      <c r="Y496" s="97">
        <v>1E-8</v>
      </c>
      <c r="Z496" s="97">
        <v>1E-8</v>
      </c>
      <c r="AA496" s="97">
        <v>1E-8</v>
      </c>
      <c r="AB496" s="97">
        <v>1E-8</v>
      </c>
      <c r="AC496" s="97">
        <v>1E-8</v>
      </c>
      <c r="AD496" s="4"/>
    </row>
    <row r="497" spans="1:30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4"/>
      <c r="O497" s="4"/>
      <c r="P497" s="68"/>
      <c r="Q497" s="68" t="s">
        <v>660</v>
      </c>
      <c r="R497" s="108" t="s">
        <v>35</v>
      </c>
      <c r="S497" s="108" t="s">
        <v>351</v>
      </c>
      <c r="T497" s="98">
        <v>1.9011139577205527</v>
      </c>
      <c r="U497" s="80">
        <v>-0.63533411094619519</v>
      </c>
      <c r="V497" s="98">
        <v>1E-8</v>
      </c>
      <c r="W497" s="98">
        <v>1E-8</v>
      </c>
      <c r="X497" s="98">
        <v>1E-8</v>
      </c>
      <c r="Y497" s="98">
        <v>1E-8</v>
      </c>
      <c r="Z497" s="98">
        <v>1E-8</v>
      </c>
      <c r="AA497" s="98">
        <v>1E-8</v>
      </c>
      <c r="AB497" s="98">
        <v>1E-8</v>
      </c>
      <c r="AC497" s="98">
        <v>1E-8</v>
      </c>
      <c r="AD497" s="4"/>
    </row>
    <row r="498" spans="1:30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4"/>
      <c r="O498" s="4"/>
      <c r="P498" s="68"/>
      <c r="Q498" s="68" t="s">
        <v>661</v>
      </c>
      <c r="R498" s="108" t="s">
        <v>35</v>
      </c>
      <c r="S498" s="108" t="s">
        <v>352</v>
      </c>
      <c r="T498" s="98">
        <v>0.84577916517674478</v>
      </c>
      <c r="U498" s="80">
        <v>-0.19576444617067645</v>
      </c>
      <c r="V498" s="98">
        <v>1E-8</v>
      </c>
      <c r="W498" s="98">
        <v>1E-8</v>
      </c>
      <c r="X498" s="98">
        <v>1E-8</v>
      </c>
      <c r="Y498" s="98">
        <v>1E-8</v>
      </c>
      <c r="Z498" s="98">
        <v>1E-8</v>
      </c>
      <c r="AA498" s="98">
        <v>1E-8</v>
      </c>
      <c r="AB498" s="98">
        <v>1E-8</v>
      </c>
      <c r="AC498" s="98">
        <v>1E-8</v>
      </c>
      <c r="AD498" s="4"/>
    </row>
    <row r="499" spans="1:30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4"/>
      <c r="O499" s="4"/>
      <c r="P499" s="68"/>
      <c r="Q499" s="68" t="s">
        <v>662</v>
      </c>
      <c r="R499" s="108" t="s">
        <v>35</v>
      </c>
      <c r="S499" s="108" t="s">
        <v>558</v>
      </c>
      <c r="T499" s="98">
        <v>2.7938545819164756E-2</v>
      </c>
      <c r="U499" s="80">
        <v>-1.5501633588639652</v>
      </c>
      <c r="V499" s="98">
        <v>1E-8</v>
      </c>
      <c r="W499" s="98">
        <v>1E-8</v>
      </c>
      <c r="X499" s="98">
        <v>1E-8</v>
      </c>
      <c r="Y499" s="98">
        <v>1E-8</v>
      </c>
      <c r="Z499" s="98">
        <v>1E-8</v>
      </c>
      <c r="AA499" s="98">
        <v>1E-8</v>
      </c>
      <c r="AB499" s="98">
        <v>1E-8</v>
      </c>
      <c r="AC499" s="98">
        <v>1E-8</v>
      </c>
      <c r="AD499" s="4"/>
    </row>
    <row r="500" spans="1:30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4"/>
      <c r="O500" s="4"/>
      <c r="P500" s="96"/>
      <c r="Q500" s="96" t="s">
        <v>188</v>
      </c>
      <c r="R500" s="107" t="s">
        <v>35</v>
      </c>
      <c r="S500" s="107" t="s">
        <v>559</v>
      </c>
      <c r="T500" s="97">
        <v>1.8473321455189378</v>
      </c>
      <c r="U500" s="78">
        <v>-3.8895665855157358</v>
      </c>
      <c r="V500" s="97">
        <v>1E-8</v>
      </c>
      <c r="W500" s="97">
        <v>1E-8</v>
      </c>
      <c r="X500" s="97">
        <v>1E-8</v>
      </c>
      <c r="Y500" s="97">
        <v>1E-8</v>
      </c>
      <c r="Z500" s="97">
        <v>1E-8</v>
      </c>
      <c r="AA500" s="97">
        <v>1E-8</v>
      </c>
      <c r="AB500" s="97">
        <v>1E-8</v>
      </c>
      <c r="AC500" s="97">
        <v>1E-8</v>
      </c>
      <c r="AD500" s="4"/>
    </row>
    <row r="501" spans="1:30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4"/>
      <c r="O501" s="4"/>
      <c r="P501" s="68"/>
      <c r="Q501" s="68" t="s">
        <v>663</v>
      </c>
      <c r="R501" s="108" t="s">
        <v>35</v>
      </c>
      <c r="S501" s="108" t="s">
        <v>353</v>
      </c>
      <c r="T501" s="98">
        <v>1.8473321455189378</v>
      </c>
      <c r="U501" s="80">
        <v>-3.8895665855157358</v>
      </c>
      <c r="V501" s="98">
        <v>1E-8</v>
      </c>
      <c r="W501" s="98">
        <v>1E-8</v>
      </c>
      <c r="X501" s="98">
        <v>1E-8</v>
      </c>
      <c r="Y501" s="98">
        <v>1E-8</v>
      </c>
      <c r="Z501" s="98">
        <v>1E-8</v>
      </c>
      <c r="AA501" s="98">
        <v>1E-8</v>
      </c>
      <c r="AB501" s="98">
        <v>1E-8</v>
      </c>
      <c r="AC501" s="98">
        <v>1E-8</v>
      </c>
      <c r="AD501" s="4"/>
    </row>
    <row r="502" spans="1:30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4"/>
      <c r="O502" s="4"/>
      <c r="P502" s="72"/>
      <c r="Q502" s="72" t="s">
        <v>664</v>
      </c>
      <c r="R502" s="109" t="s">
        <v>35</v>
      </c>
      <c r="S502" s="109" t="s">
        <v>560</v>
      </c>
      <c r="T502" s="81">
        <v>1E-8</v>
      </c>
      <c r="U502" s="82">
        <v>1E-8</v>
      </c>
      <c r="V502" s="81">
        <v>1E-8</v>
      </c>
      <c r="W502" s="81">
        <v>1E-8</v>
      </c>
      <c r="X502" s="81">
        <v>1E-8</v>
      </c>
      <c r="Y502" s="81">
        <v>1E-8</v>
      </c>
      <c r="Z502" s="81">
        <v>1E-8</v>
      </c>
      <c r="AA502" s="81">
        <v>1E-8</v>
      </c>
      <c r="AB502" s="81">
        <v>1E-8</v>
      </c>
      <c r="AC502" s="81">
        <v>1E-8</v>
      </c>
      <c r="AD502" s="4"/>
    </row>
    <row r="503" spans="1:30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4"/>
      <c r="O503" s="4"/>
      <c r="P503" s="47"/>
      <c r="Q503" s="47" t="s">
        <v>287</v>
      </c>
      <c r="R503" s="105" t="s">
        <v>35</v>
      </c>
      <c r="S503" s="105" t="s">
        <v>354</v>
      </c>
      <c r="T503" s="95">
        <v>87.921830284316087</v>
      </c>
      <c r="U503" s="74">
        <v>-3.2957417708523451E-2</v>
      </c>
      <c r="V503" s="95">
        <v>1E-8</v>
      </c>
      <c r="W503" s="95">
        <v>1E-8</v>
      </c>
      <c r="X503" s="95">
        <v>1E-8</v>
      </c>
      <c r="Y503" s="95">
        <v>1E-8</v>
      </c>
      <c r="Z503" s="95">
        <v>1E-8</v>
      </c>
      <c r="AA503" s="95">
        <v>1E-8</v>
      </c>
      <c r="AB503" s="95">
        <v>1E-8</v>
      </c>
      <c r="AC503" s="95">
        <v>1E-8</v>
      </c>
      <c r="AD503" s="4"/>
    </row>
    <row r="504" spans="1:30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4"/>
      <c r="O504" s="4"/>
      <c r="P504" s="96"/>
      <c r="Q504" s="96" t="s">
        <v>370</v>
      </c>
      <c r="R504" s="107" t="s">
        <v>35</v>
      </c>
      <c r="S504" s="107" t="s">
        <v>561</v>
      </c>
      <c r="T504" s="97">
        <v>2.4304937372640514</v>
      </c>
      <c r="U504" s="78">
        <v>-1.9333237738315523</v>
      </c>
      <c r="V504" s="97">
        <v>1E-8</v>
      </c>
      <c r="W504" s="97">
        <v>1E-8</v>
      </c>
      <c r="X504" s="97">
        <v>1E-8</v>
      </c>
      <c r="Y504" s="97">
        <v>1E-8</v>
      </c>
      <c r="Z504" s="97">
        <v>1E-8</v>
      </c>
      <c r="AA504" s="97">
        <v>1E-8</v>
      </c>
      <c r="AB504" s="97">
        <v>1E-8</v>
      </c>
      <c r="AC504" s="97">
        <v>1E-8</v>
      </c>
      <c r="AD504" s="4"/>
    </row>
    <row r="505" spans="1:30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4"/>
      <c r="O505" s="4"/>
      <c r="P505" s="68"/>
      <c r="Q505" s="68" t="s">
        <v>665</v>
      </c>
      <c r="R505" s="108" t="s">
        <v>35</v>
      </c>
      <c r="S505" s="108" t="s">
        <v>562</v>
      </c>
      <c r="T505" s="98">
        <v>6.4098344544853442E-2</v>
      </c>
      <c r="U505" s="80">
        <v>-0.73890935747835673</v>
      </c>
      <c r="V505" s="98">
        <v>1E-8</v>
      </c>
      <c r="W505" s="98">
        <v>1E-8</v>
      </c>
      <c r="X505" s="98">
        <v>1E-8</v>
      </c>
      <c r="Y505" s="98">
        <v>1E-8</v>
      </c>
      <c r="Z505" s="98">
        <v>1E-8</v>
      </c>
      <c r="AA505" s="98">
        <v>1E-8</v>
      </c>
      <c r="AB505" s="98">
        <v>1E-8</v>
      </c>
      <c r="AC505" s="98">
        <v>1E-8</v>
      </c>
      <c r="AD505" s="4"/>
    </row>
    <row r="506" spans="1:30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4"/>
      <c r="O506" s="4"/>
      <c r="P506" s="68"/>
      <c r="Q506" s="68" t="s">
        <v>666</v>
      </c>
      <c r="R506" s="108" t="s">
        <v>35</v>
      </c>
      <c r="S506" s="108" t="s">
        <v>563</v>
      </c>
      <c r="T506" s="98">
        <v>7.233146575694265E-3</v>
      </c>
      <c r="U506" s="80">
        <v>-7.1887870183702018</v>
      </c>
      <c r="V506" s="98">
        <v>1E-8</v>
      </c>
      <c r="W506" s="98">
        <v>1E-8</v>
      </c>
      <c r="X506" s="98">
        <v>1E-8</v>
      </c>
      <c r="Y506" s="98">
        <v>1E-8</v>
      </c>
      <c r="Z506" s="98">
        <v>1E-8</v>
      </c>
      <c r="AA506" s="98">
        <v>1E-8</v>
      </c>
      <c r="AB506" s="98">
        <v>1E-8</v>
      </c>
      <c r="AC506" s="98">
        <v>1E-8</v>
      </c>
      <c r="AD506" s="4"/>
    </row>
    <row r="507" spans="1:30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4"/>
      <c r="O507" s="4"/>
      <c r="P507" s="68"/>
      <c r="Q507" s="68" t="s">
        <v>667</v>
      </c>
      <c r="R507" s="108" t="s">
        <v>35</v>
      </c>
      <c r="S507" s="108" t="s">
        <v>564</v>
      </c>
      <c r="T507" s="98">
        <v>0.52420965914423323</v>
      </c>
      <c r="U507" s="80">
        <v>-1.9748027264226975</v>
      </c>
      <c r="V507" s="98">
        <v>1E-8</v>
      </c>
      <c r="W507" s="98">
        <v>1E-8</v>
      </c>
      <c r="X507" s="98">
        <v>1E-8</v>
      </c>
      <c r="Y507" s="98">
        <v>1E-8</v>
      </c>
      <c r="Z507" s="98">
        <v>1E-8</v>
      </c>
      <c r="AA507" s="98">
        <v>1E-8</v>
      </c>
      <c r="AB507" s="98">
        <v>1E-8</v>
      </c>
      <c r="AC507" s="98">
        <v>1E-8</v>
      </c>
      <c r="AD507" s="4"/>
    </row>
    <row r="508" spans="1:30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4"/>
      <c r="O508" s="4"/>
      <c r="P508" s="68"/>
      <c r="Q508" s="68" t="s">
        <v>668</v>
      </c>
      <c r="R508" s="108" t="s">
        <v>35</v>
      </c>
      <c r="S508" s="108" t="s">
        <v>565</v>
      </c>
      <c r="T508" s="98">
        <v>1.8349525869992704</v>
      </c>
      <c r="U508" s="80">
        <v>-1.9424808405249294</v>
      </c>
      <c r="V508" s="98">
        <v>1E-8</v>
      </c>
      <c r="W508" s="98">
        <v>1E-8</v>
      </c>
      <c r="X508" s="98">
        <v>1E-8</v>
      </c>
      <c r="Y508" s="98">
        <v>1E-8</v>
      </c>
      <c r="Z508" s="98">
        <v>1E-8</v>
      </c>
      <c r="AA508" s="98">
        <v>1E-8</v>
      </c>
      <c r="AB508" s="98">
        <v>1E-8</v>
      </c>
      <c r="AC508" s="98">
        <v>1E-8</v>
      </c>
      <c r="AD508" s="4"/>
    </row>
    <row r="509" spans="1:30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4"/>
      <c r="O509" s="4"/>
      <c r="P509" s="96"/>
      <c r="Q509" s="96" t="s">
        <v>371</v>
      </c>
      <c r="R509" s="107" t="s">
        <v>35</v>
      </c>
      <c r="S509" s="107" t="s">
        <v>566</v>
      </c>
      <c r="T509" s="97">
        <v>5.2418517748055802</v>
      </c>
      <c r="U509" s="78">
        <v>-0.22254920202385842</v>
      </c>
      <c r="V509" s="97">
        <v>1E-8</v>
      </c>
      <c r="W509" s="97">
        <v>1E-8</v>
      </c>
      <c r="X509" s="97">
        <v>1E-8</v>
      </c>
      <c r="Y509" s="97">
        <v>1E-8</v>
      </c>
      <c r="Z509" s="97">
        <v>1E-8</v>
      </c>
      <c r="AA509" s="97">
        <v>1E-8</v>
      </c>
      <c r="AB509" s="97">
        <v>1E-8</v>
      </c>
      <c r="AC509" s="97">
        <v>1E-8</v>
      </c>
      <c r="AD509" s="4"/>
    </row>
    <row r="510" spans="1:30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4"/>
      <c r="O510" s="4"/>
      <c r="P510" s="68"/>
      <c r="Q510" s="68" t="s">
        <v>669</v>
      </c>
      <c r="R510" s="108" t="s">
        <v>35</v>
      </c>
      <c r="S510" s="108" t="s">
        <v>567</v>
      </c>
      <c r="T510" s="98">
        <v>3.5964984025246531</v>
      </c>
      <c r="U510" s="80">
        <v>-0.95638081249491691</v>
      </c>
      <c r="V510" s="98">
        <v>1E-8</v>
      </c>
      <c r="W510" s="98">
        <v>1E-8</v>
      </c>
      <c r="X510" s="98">
        <v>1E-8</v>
      </c>
      <c r="Y510" s="98">
        <v>1E-8</v>
      </c>
      <c r="Z510" s="98">
        <v>1E-8</v>
      </c>
      <c r="AA510" s="98">
        <v>1E-8</v>
      </c>
      <c r="AB510" s="98">
        <v>1E-8</v>
      </c>
      <c r="AC510" s="98">
        <v>1E-8</v>
      </c>
      <c r="AD510" s="4"/>
    </row>
    <row r="511" spans="1:30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4"/>
      <c r="O511" s="4"/>
      <c r="P511" s="68"/>
      <c r="Q511" s="68" t="s">
        <v>670</v>
      </c>
      <c r="R511" s="108" t="s">
        <v>35</v>
      </c>
      <c r="S511" s="108" t="s">
        <v>568</v>
      </c>
      <c r="T511" s="98">
        <v>0.84529657317510143</v>
      </c>
      <c r="U511" s="80">
        <v>0.96556312033055924</v>
      </c>
      <c r="V511" s="98">
        <v>1E-8</v>
      </c>
      <c r="W511" s="98">
        <v>1E-8</v>
      </c>
      <c r="X511" s="98">
        <v>1E-8</v>
      </c>
      <c r="Y511" s="98">
        <v>1E-8</v>
      </c>
      <c r="Z511" s="98">
        <v>1E-8</v>
      </c>
      <c r="AA511" s="98">
        <v>1E-8</v>
      </c>
      <c r="AB511" s="98">
        <v>1E-8</v>
      </c>
      <c r="AC511" s="98">
        <v>1E-8</v>
      </c>
      <c r="AD511" s="4"/>
    </row>
    <row r="512" spans="1:30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4"/>
      <c r="O512" s="4"/>
      <c r="P512" s="68"/>
      <c r="Q512" s="68" t="s">
        <v>671</v>
      </c>
      <c r="R512" s="108" t="s">
        <v>35</v>
      </c>
      <c r="S512" s="108" t="s">
        <v>569</v>
      </c>
      <c r="T512" s="98">
        <v>0.71215388744612662</v>
      </c>
      <c r="U512" s="80">
        <v>1.5781391589658744</v>
      </c>
      <c r="V512" s="98">
        <v>1E-8</v>
      </c>
      <c r="W512" s="98">
        <v>1E-8</v>
      </c>
      <c r="X512" s="98">
        <v>1E-8</v>
      </c>
      <c r="Y512" s="98">
        <v>1E-8</v>
      </c>
      <c r="Z512" s="98">
        <v>1E-8</v>
      </c>
      <c r="AA512" s="98">
        <v>1E-8</v>
      </c>
      <c r="AB512" s="98">
        <v>1E-8</v>
      </c>
      <c r="AC512" s="98">
        <v>1E-8</v>
      </c>
      <c r="AD512" s="4"/>
    </row>
    <row r="513" spans="1:30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4"/>
      <c r="O513" s="4"/>
      <c r="P513" s="68"/>
      <c r="Q513" s="68" t="s">
        <v>672</v>
      </c>
      <c r="R513" s="108" t="s">
        <v>35</v>
      </c>
      <c r="S513" s="108" t="s">
        <v>570</v>
      </c>
      <c r="T513" s="98">
        <v>8.7902911659698532E-2</v>
      </c>
      <c r="U513" s="80">
        <v>3.7881225394877704</v>
      </c>
      <c r="V513" s="98">
        <v>1E-8</v>
      </c>
      <c r="W513" s="98">
        <v>1E-8</v>
      </c>
      <c r="X513" s="98">
        <v>1E-8</v>
      </c>
      <c r="Y513" s="98">
        <v>1E-8</v>
      </c>
      <c r="Z513" s="98">
        <v>1E-8</v>
      </c>
      <c r="AA513" s="98">
        <v>1E-8</v>
      </c>
      <c r="AB513" s="98">
        <v>1E-8</v>
      </c>
      <c r="AC513" s="98">
        <v>1E-8</v>
      </c>
      <c r="AD513" s="4"/>
    </row>
    <row r="514" spans="1:30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4"/>
      <c r="O514" s="4"/>
      <c r="P514" s="96"/>
      <c r="Q514" s="96" t="s">
        <v>673</v>
      </c>
      <c r="R514" s="107" t="s">
        <v>35</v>
      </c>
      <c r="S514" s="107" t="s">
        <v>355</v>
      </c>
      <c r="T514" s="97">
        <v>7.6081357497446822E-2</v>
      </c>
      <c r="U514" s="78">
        <v>-0.90137508996687155</v>
      </c>
      <c r="V514" s="97">
        <v>1E-8</v>
      </c>
      <c r="W514" s="97">
        <v>1E-8</v>
      </c>
      <c r="X514" s="97">
        <v>1E-8</v>
      </c>
      <c r="Y514" s="97">
        <v>1E-8</v>
      </c>
      <c r="Z514" s="97">
        <v>1E-8</v>
      </c>
      <c r="AA514" s="97">
        <v>1E-8</v>
      </c>
      <c r="AB514" s="97">
        <v>1E-8</v>
      </c>
      <c r="AC514" s="97">
        <v>1E-8</v>
      </c>
      <c r="AD514" s="4"/>
    </row>
    <row r="515" spans="1:30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4"/>
      <c r="O515" s="4"/>
      <c r="P515" s="96"/>
      <c r="Q515" s="96" t="s">
        <v>372</v>
      </c>
      <c r="R515" s="107" t="s">
        <v>35</v>
      </c>
      <c r="S515" s="107" t="s">
        <v>571</v>
      </c>
      <c r="T515" s="97">
        <v>1.3948349323310771</v>
      </c>
      <c r="U515" s="78">
        <v>0.52818384088437753</v>
      </c>
      <c r="V515" s="97">
        <v>1E-8</v>
      </c>
      <c r="W515" s="97">
        <v>1E-8</v>
      </c>
      <c r="X515" s="97">
        <v>1E-8</v>
      </c>
      <c r="Y515" s="97">
        <v>1E-8</v>
      </c>
      <c r="Z515" s="97">
        <v>1E-8</v>
      </c>
      <c r="AA515" s="97">
        <v>1E-8</v>
      </c>
      <c r="AB515" s="97">
        <v>1E-8</v>
      </c>
      <c r="AC515" s="97">
        <v>1E-8</v>
      </c>
      <c r="AD515" s="4"/>
    </row>
    <row r="516" spans="1:30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4"/>
      <c r="O516" s="4"/>
      <c r="P516" s="68"/>
      <c r="Q516" s="68" t="s">
        <v>674</v>
      </c>
      <c r="R516" s="108" t="s">
        <v>35</v>
      </c>
      <c r="S516" s="108" t="s">
        <v>572</v>
      </c>
      <c r="T516" s="98">
        <v>0.21364969435789566</v>
      </c>
      <c r="U516" s="80">
        <v>0.66976505070714953</v>
      </c>
      <c r="V516" s="98">
        <v>1E-8</v>
      </c>
      <c r="W516" s="98">
        <v>1E-8</v>
      </c>
      <c r="X516" s="98">
        <v>1E-8</v>
      </c>
      <c r="Y516" s="98">
        <v>1E-8</v>
      </c>
      <c r="Z516" s="98">
        <v>1E-8</v>
      </c>
      <c r="AA516" s="98">
        <v>1E-8</v>
      </c>
      <c r="AB516" s="98">
        <v>1E-8</v>
      </c>
      <c r="AC516" s="98">
        <v>1E-8</v>
      </c>
      <c r="AD516" s="4"/>
    </row>
    <row r="517" spans="1:30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4"/>
      <c r="O517" s="4"/>
      <c r="P517" s="68"/>
      <c r="Q517" s="68" t="s">
        <v>675</v>
      </c>
      <c r="R517" s="108" t="s">
        <v>35</v>
      </c>
      <c r="S517" s="108" t="s">
        <v>356</v>
      </c>
      <c r="T517" s="98">
        <v>1.0019994387632862</v>
      </c>
      <c r="U517" s="80">
        <v>0.56937527686387046</v>
      </c>
      <c r="V517" s="98">
        <v>1E-8</v>
      </c>
      <c r="W517" s="98">
        <v>1E-8</v>
      </c>
      <c r="X517" s="98">
        <v>1E-8</v>
      </c>
      <c r="Y517" s="98">
        <v>1E-8</v>
      </c>
      <c r="Z517" s="98">
        <v>1E-8</v>
      </c>
      <c r="AA517" s="98">
        <v>1E-8</v>
      </c>
      <c r="AB517" s="98">
        <v>1E-8</v>
      </c>
      <c r="AC517" s="98">
        <v>1E-8</v>
      </c>
      <c r="AD517" s="4"/>
    </row>
    <row r="518" spans="1:30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4"/>
      <c r="O518" s="4"/>
      <c r="P518" s="68"/>
      <c r="Q518" s="68" t="s">
        <v>676</v>
      </c>
      <c r="R518" s="109" t="s">
        <v>35</v>
      </c>
      <c r="S518" s="109" t="s">
        <v>573</v>
      </c>
      <c r="T518" s="81">
        <v>0.17918579920989505</v>
      </c>
      <c r="U518" s="82">
        <v>0.12903068112433136</v>
      </c>
      <c r="V518" s="81">
        <v>1E-8</v>
      </c>
      <c r="W518" s="81">
        <v>1E-8</v>
      </c>
      <c r="X518" s="81">
        <v>1E-8</v>
      </c>
      <c r="Y518" s="81">
        <v>1E-8</v>
      </c>
      <c r="Z518" s="81">
        <v>1E-8</v>
      </c>
      <c r="AA518" s="81">
        <v>1E-8</v>
      </c>
      <c r="AB518" s="81">
        <v>1E-8</v>
      </c>
      <c r="AC518" s="81">
        <v>1E-8</v>
      </c>
      <c r="AD518" s="4"/>
    </row>
    <row r="519" spans="1:30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4"/>
      <c r="O519" s="4"/>
      <c r="P519" s="96"/>
      <c r="Q519" s="96" t="s">
        <v>373</v>
      </c>
      <c r="R519" s="107" t="s">
        <v>35</v>
      </c>
      <c r="S519" s="107" t="s">
        <v>574</v>
      </c>
      <c r="T519" s="97">
        <v>4.1374165023799572</v>
      </c>
      <c r="U519" s="78">
        <v>0.97124548382674369</v>
      </c>
      <c r="V519" s="97">
        <v>1E-8</v>
      </c>
      <c r="W519" s="97">
        <v>1E-8</v>
      </c>
      <c r="X519" s="97">
        <v>1E-8</v>
      </c>
      <c r="Y519" s="97">
        <v>1E-8</v>
      </c>
      <c r="Z519" s="97">
        <v>1E-8</v>
      </c>
      <c r="AA519" s="97">
        <v>1E-8</v>
      </c>
      <c r="AB519" s="97">
        <v>1E-8</v>
      </c>
      <c r="AC519" s="97">
        <v>1E-8</v>
      </c>
      <c r="AD519" s="4"/>
    </row>
    <row r="520" spans="1:30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4"/>
      <c r="O520" s="4"/>
      <c r="P520" s="68"/>
      <c r="Q520" s="68" t="s">
        <v>677</v>
      </c>
      <c r="R520" s="108" t="s">
        <v>35</v>
      </c>
      <c r="S520" s="108" t="s">
        <v>575</v>
      </c>
      <c r="T520" s="98">
        <v>1.306802414691584</v>
      </c>
      <c r="U520" s="80">
        <v>2.4658532163305047</v>
      </c>
      <c r="V520" s="98">
        <v>1E-8</v>
      </c>
      <c r="W520" s="98">
        <v>1E-8</v>
      </c>
      <c r="X520" s="98">
        <v>1E-8</v>
      </c>
      <c r="Y520" s="98">
        <v>1E-8</v>
      </c>
      <c r="Z520" s="98">
        <v>1E-8</v>
      </c>
      <c r="AA520" s="98">
        <v>1E-8</v>
      </c>
      <c r="AB520" s="98">
        <v>1E-8</v>
      </c>
      <c r="AC520" s="98">
        <v>1E-8</v>
      </c>
      <c r="AD520" s="4"/>
    </row>
    <row r="521" spans="1:30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4"/>
      <c r="O521" s="4"/>
      <c r="P521" s="68"/>
      <c r="Q521" s="68" t="s">
        <v>678</v>
      </c>
      <c r="R521" s="108" t="s">
        <v>35</v>
      </c>
      <c r="S521" s="108" t="s">
        <v>576</v>
      </c>
      <c r="T521" s="98">
        <v>0.57687782876493676</v>
      </c>
      <c r="U521" s="80">
        <v>0.29839525469828043</v>
      </c>
      <c r="V521" s="98">
        <v>1E-8</v>
      </c>
      <c r="W521" s="98">
        <v>1E-8</v>
      </c>
      <c r="X521" s="98">
        <v>1E-8</v>
      </c>
      <c r="Y521" s="98">
        <v>1E-8</v>
      </c>
      <c r="Z521" s="98">
        <v>1E-8</v>
      </c>
      <c r="AA521" s="98">
        <v>1E-8</v>
      </c>
      <c r="AB521" s="98">
        <v>1E-8</v>
      </c>
      <c r="AC521" s="98">
        <v>1E-8</v>
      </c>
      <c r="AD521" s="4"/>
    </row>
    <row r="522" spans="1:30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4"/>
      <c r="O522" s="4"/>
      <c r="P522" s="68"/>
      <c r="Q522" s="68" t="s">
        <v>679</v>
      </c>
      <c r="R522" s="108" t="s">
        <v>35</v>
      </c>
      <c r="S522" s="108" t="s">
        <v>577</v>
      </c>
      <c r="T522" s="98">
        <v>2.2537362589234355</v>
      </c>
      <c r="U522" s="80">
        <v>0.2768409773577396</v>
      </c>
      <c r="V522" s="98">
        <v>1E-8</v>
      </c>
      <c r="W522" s="98">
        <v>1E-8</v>
      </c>
      <c r="X522" s="98">
        <v>1E-8</v>
      </c>
      <c r="Y522" s="98">
        <v>1E-8</v>
      </c>
      <c r="Z522" s="98">
        <v>1E-8</v>
      </c>
      <c r="AA522" s="98">
        <v>1E-8</v>
      </c>
      <c r="AB522" s="98">
        <v>1E-8</v>
      </c>
      <c r="AC522" s="98">
        <v>1E-8</v>
      </c>
      <c r="AD522" s="4"/>
    </row>
    <row r="523" spans="1:30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4"/>
      <c r="O523" s="4"/>
      <c r="P523" s="96"/>
      <c r="Q523" s="96" t="s">
        <v>195</v>
      </c>
      <c r="R523" s="107" t="s">
        <v>35</v>
      </c>
      <c r="S523" s="107" t="s">
        <v>578</v>
      </c>
      <c r="T523" s="97">
        <v>1E-8</v>
      </c>
      <c r="U523" s="78">
        <v>1E-8</v>
      </c>
      <c r="V523" s="97">
        <v>1E-8</v>
      </c>
      <c r="W523" s="97">
        <v>1E-8</v>
      </c>
      <c r="X523" s="97">
        <v>1E-8</v>
      </c>
      <c r="Y523" s="97">
        <v>1E-8</v>
      </c>
      <c r="Z523" s="97">
        <v>1E-8</v>
      </c>
      <c r="AA523" s="97">
        <v>1E-8</v>
      </c>
      <c r="AB523" s="97">
        <v>1E-8</v>
      </c>
      <c r="AC523" s="97">
        <v>1E-8</v>
      </c>
      <c r="AD523" s="4"/>
    </row>
    <row r="524" spans="1:30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4"/>
      <c r="O524" s="4"/>
      <c r="P524" s="68"/>
      <c r="Q524" s="68" t="s">
        <v>680</v>
      </c>
      <c r="R524" s="108" t="s">
        <v>35</v>
      </c>
      <c r="S524" s="108" t="s">
        <v>579</v>
      </c>
      <c r="T524" s="98">
        <v>1E-8</v>
      </c>
      <c r="U524" s="80">
        <v>1E-8</v>
      </c>
      <c r="V524" s="98">
        <v>1E-8</v>
      </c>
      <c r="W524" s="98">
        <v>1E-8</v>
      </c>
      <c r="X524" s="98">
        <v>1E-8</v>
      </c>
      <c r="Y524" s="98">
        <v>1E-8</v>
      </c>
      <c r="Z524" s="98">
        <v>1E-8</v>
      </c>
      <c r="AA524" s="98">
        <v>1E-8</v>
      </c>
      <c r="AB524" s="98">
        <v>1E-8</v>
      </c>
      <c r="AC524" s="98">
        <v>1E-8</v>
      </c>
      <c r="AD524" s="4"/>
    </row>
    <row r="525" spans="1:30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4"/>
      <c r="O525" s="4"/>
      <c r="P525" s="68"/>
      <c r="Q525" s="68" t="s">
        <v>681</v>
      </c>
      <c r="R525" s="108" t="s">
        <v>35</v>
      </c>
      <c r="S525" s="108" t="s">
        <v>357</v>
      </c>
      <c r="T525" s="98">
        <v>1E-8</v>
      </c>
      <c r="U525" s="80">
        <v>1E-8</v>
      </c>
      <c r="V525" s="98">
        <v>1E-8</v>
      </c>
      <c r="W525" s="98">
        <v>1E-8</v>
      </c>
      <c r="X525" s="98">
        <v>1E-8</v>
      </c>
      <c r="Y525" s="98">
        <v>1E-8</v>
      </c>
      <c r="Z525" s="98">
        <v>1E-8</v>
      </c>
      <c r="AA525" s="98">
        <v>1E-8</v>
      </c>
      <c r="AB525" s="98">
        <v>1E-8</v>
      </c>
      <c r="AC525" s="98">
        <v>1E-8</v>
      </c>
      <c r="AD525" s="4"/>
    </row>
    <row r="526" spans="1:30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4"/>
      <c r="O526" s="4"/>
      <c r="P526" s="96"/>
      <c r="Q526" s="96" t="s">
        <v>196</v>
      </c>
      <c r="R526" s="107" t="s">
        <v>35</v>
      </c>
      <c r="S526" s="107" t="s">
        <v>580</v>
      </c>
      <c r="T526" s="97">
        <v>4.2357019348778833</v>
      </c>
      <c r="U526" s="78">
        <v>1.6067481022003172</v>
      </c>
      <c r="V526" s="97">
        <v>1E-8</v>
      </c>
      <c r="W526" s="97">
        <v>1E-8</v>
      </c>
      <c r="X526" s="97">
        <v>1E-8</v>
      </c>
      <c r="Y526" s="97">
        <v>1E-8</v>
      </c>
      <c r="Z526" s="97">
        <v>1E-8</v>
      </c>
      <c r="AA526" s="97">
        <v>1E-8</v>
      </c>
      <c r="AB526" s="97">
        <v>1E-8</v>
      </c>
      <c r="AC526" s="97">
        <v>1E-8</v>
      </c>
      <c r="AD526" s="4"/>
    </row>
    <row r="527" spans="1:30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4"/>
      <c r="O527" s="4"/>
      <c r="P527" s="68"/>
      <c r="Q527" s="68" t="s">
        <v>682</v>
      </c>
      <c r="R527" s="108" t="s">
        <v>35</v>
      </c>
      <c r="S527" s="108" t="s">
        <v>581</v>
      </c>
      <c r="T527" s="98">
        <v>0.1121530239580794</v>
      </c>
      <c r="U527" s="80">
        <v>-1.594551567652347</v>
      </c>
      <c r="V527" s="98">
        <v>1E-8</v>
      </c>
      <c r="W527" s="98">
        <v>1E-8</v>
      </c>
      <c r="X527" s="98">
        <v>1E-8</v>
      </c>
      <c r="Y527" s="98">
        <v>1E-8</v>
      </c>
      <c r="Z527" s="98">
        <v>1E-8</v>
      </c>
      <c r="AA527" s="98">
        <v>1E-8</v>
      </c>
      <c r="AB527" s="98">
        <v>1E-8</v>
      </c>
      <c r="AC527" s="98">
        <v>1E-8</v>
      </c>
      <c r="AD527" s="4"/>
    </row>
    <row r="528" spans="1:30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4"/>
      <c r="O528" s="4"/>
      <c r="P528" s="68"/>
      <c r="Q528" s="68" t="s">
        <v>683</v>
      </c>
      <c r="R528" s="108" t="s">
        <v>35</v>
      </c>
      <c r="S528" s="108" t="s">
        <v>582</v>
      </c>
      <c r="T528" s="98">
        <v>3.4533020663328085E-2</v>
      </c>
      <c r="U528" s="80">
        <v>0.8991044105414181</v>
      </c>
      <c r="V528" s="98">
        <v>1E-8</v>
      </c>
      <c r="W528" s="98">
        <v>1E-8</v>
      </c>
      <c r="X528" s="98">
        <v>1E-8</v>
      </c>
      <c r="Y528" s="98">
        <v>1E-8</v>
      </c>
      <c r="Z528" s="98">
        <v>1E-8</v>
      </c>
      <c r="AA528" s="98">
        <v>1E-8</v>
      </c>
      <c r="AB528" s="98">
        <v>1E-8</v>
      </c>
      <c r="AC528" s="98">
        <v>1E-8</v>
      </c>
      <c r="AD528" s="4"/>
    </row>
    <row r="529" spans="1:30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4"/>
      <c r="O529" s="4"/>
      <c r="P529" s="68"/>
      <c r="Q529" s="68" t="s">
        <v>684</v>
      </c>
      <c r="R529" s="108" t="s">
        <v>35</v>
      </c>
      <c r="S529" s="108" t="s">
        <v>583</v>
      </c>
      <c r="T529" s="98">
        <v>0.40355230491835009</v>
      </c>
      <c r="U529" s="80">
        <v>2.6287339122533115</v>
      </c>
      <c r="V529" s="98">
        <v>1E-8</v>
      </c>
      <c r="W529" s="98">
        <v>1E-8</v>
      </c>
      <c r="X529" s="98">
        <v>1E-8</v>
      </c>
      <c r="Y529" s="98">
        <v>1E-8</v>
      </c>
      <c r="Z529" s="98">
        <v>1E-8</v>
      </c>
      <c r="AA529" s="98">
        <v>1E-8</v>
      </c>
      <c r="AB529" s="98">
        <v>1E-8</v>
      </c>
      <c r="AC529" s="98">
        <v>1E-8</v>
      </c>
      <c r="AD529" s="4"/>
    </row>
    <row r="530" spans="1:30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4"/>
      <c r="O530" s="4"/>
      <c r="P530" s="68"/>
      <c r="Q530" s="68" t="s">
        <v>685</v>
      </c>
      <c r="R530" s="108" t="s">
        <v>35</v>
      </c>
      <c r="S530" s="108" t="s">
        <v>584</v>
      </c>
      <c r="T530" s="98">
        <v>4.8378051858111192E-2</v>
      </c>
      <c r="U530" s="80">
        <v>-0.62184226409531806</v>
      </c>
      <c r="V530" s="98">
        <v>1E-8</v>
      </c>
      <c r="W530" s="98">
        <v>1E-8</v>
      </c>
      <c r="X530" s="98">
        <v>1E-8</v>
      </c>
      <c r="Y530" s="98">
        <v>1E-8</v>
      </c>
      <c r="Z530" s="98">
        <v>1E-8</v>
      </c>
      <c r="AA530" s="98">
        <v>1E-8</v>
      </c>
      <c r="AB530" s="98">
        <v>1E-8</v>
      </c>
      <c r="AC530" s="98">
        <v>1E-8</v>
      </c>
      <c r="AD530" s="4"/>
    </row>
    <row r="531" spans="1:30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4"/>
      <c r="O531" s="4"/>
      <c r="P531" s="68"/>
      <c r="Q531" s="68" t="s">
        <v>686</v>
      </c>
      <c r="R531" s="109" t="s">
        <v>35</v>
      </c>
      <c r="S531" s="109" t="s">
        <v>585</v>
      </c>
      <c r="T531" s="81">
        <v>3.6370855334800147</v>
      </c>
      <c r="U531" s="82">
        <v>1.6284310247328682</v>
      </c>
      <c r="V531" s="81">
        <v>1E-8</v>
      </c>
      <c r="W531" s="81">
        <v>1E-8</v>
      </c>
      <c r="X531" s="81">
        <v>1E-8</v>
      </c>
      <c r="Y531" s="81">
        <v>1E-8</v>
      </c>
      <c r="Z531" s="81">
        <v>1E-8</v>
      </c>
      <c r="AA531" s="81">
        <v>1E-8</v>
      </c>
      <c r="AB531" s="81">
        <v>1E-8</v>
      </c>
      <c r="AC531" s="81">
        <v>1E-8</v>
      </c>
      <c r="AD531" s="4"/>
    </row>
    <row r="532" spans="1:30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4"/>
      <c r="O532" s="4"/>
      <c r="P532" s="96"/>
      <c r="Q532" s="96" t="s">
        <v>687</v>
      </c>
      <c r="R532" s="107" t="s">
        <v>35</v>
      </c>
      <c r="S532" s="107" t="s">
        <v>358</v>
      </c>
      <c r="T532" s="97">
        <v>19.376505305173925</v>
      </c>
      <c r="U532" s="78">
        <v>0.55697444092877024</v>
      </c>
      <c r="V532" s="97">
        <v>1E-8</v>
      </c>
      <c r="W532" s="97">
        <v>1E-8</v>
      </c>
      <c r="X532" s="97">
        <v>1E-8</v>
      </c>
      <c r="Y532" s="97">
        <v>1E-8</v>
      </c>
      <c r="Z532" s="97">
        <v>1E-8</v>
      </c>
      <c r="AA532" s="97">
        <v>1E-8</v>
      </c>
      <c r="AB532" s="97">
        <v>1E-8</v>
      </c>
      <c r="AC532" s="97">
        <v>1E-8</v>
      </c>
      <c r="AD532" s="4"/>
    </row>
    <row r="533" spans="1:30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4"/>
      <c r="O533" s="4"/>
      <c r="P533" s="96"/>
      <c r="Q533" s="96" t="s">
        <v>688</v>
      </c>
      <c r="R533" s="107" t="s">
        <v>35</v>
      </c>
      <c r="S533" s="107" t="s">
        <v>359</v>
      </c>
      <c r="T533" s="97">
        <v>28.908981237968</v>
      </c>
      <c r="U533" s="78">
        <v>-0.16866440672131944</v>
      </c>
      <c r="V533" s="97">
        <v>1E-8</v>
      </c>
      <c r="W533" s="97">
        <v>1E-8</v>
      </c>
      <c r="X533" s="97">
        <v>1E-8</v>
      </c>
      <c r="Y533" s="97">
        <v>1E-8</v>
      </c>
      <c r="Z533" s="97">
        <v>1E-8</v>
      </c>
      <c r="AA533" s="97">
        <v>1E-8</v>
      </c>
      <c r="AB533" s="97">
        <v>1E-8</v>
      </c>
      <c r="AC533" s="97">
        <v>1E-8</v>
      </c>
      <c r="AD533" s="4"/>
    </row>
    <row r="534" spans="1:30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4"/>
      <c r="O534" s="4"/>
      <c r="P534" s="96"/>
      <c r="Q534" s="96" t="s">
        <v>689</v>
      </c>
      <c r="R534" s="107" t="s">
        <v>35</v>
      </c>
      <c r="S534" s="107" t="s">
        <v>360</v>
      </c>
      <c r="T534" s="97">
        <v>7.3504982963028738</v>
      </c>
      <c r="U534" s="78">
        <v>-1.5758637409398091</v>
      </c>
      <c r="V534" s="97">
        <v>1E-8</v>
      </c>
      <c r="W534" s="97">
        <v>1E-8</v>
      </c>
      <c r="X534" s="97">
        <v>1E-8</v>
      </c>
      <c r="Y534" s="97">
        <v>1E-8</v>
      </c>
      <c r="Z534" s="97">
        <v>1E-8</v>
      </c>
      <c r="AA534" s="97">
        <v>1E-8</v>
      </c>
      <c r="AB534" s="97">
        <v>1E-8</v>
      </c>
      <c r="AC534" s="97">
        <v>1E-8</v>
      </c>
      <c r="AD534" s="4"/>
    </row>
    <row r="535" spans="1:30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4"/>
      <c r="O535" s="4"/>
      <c r="P535" s="96"/>
      <c r="Q535" s="96" t="s">
        <v>205</v>
      </c>
      <c r="R535" s="107" t="s">
        <v>35</v>
      </c>
      <c r="S535" s="107" t="s">
        <v>586</v>
      </c>
      <c r="T535" s="97">
        <v>14.76946520571529</v>
      </c>
      <c r="U535" s="78">
        <v>-0.19346659199654948</v>
      </c>
      <c r="V535" s="97">
        <v>1E-8</v>
      </c>
      <c r="W535" s="97">
        <v>1E-8</v>
      </c>
      <c r="X535" s="97">
        <v>1E-8</v>
      </c>
      <c r="Y535" s="97">
        <v>1E-8</v>
      </c>
      <c r="Z535" s="97">
        <v>1E-8</v>
      </c>
      <c r="AA535" s="97">
        <v>1E-8</v>
      </c>
      <c r="AB535" s="97">
        <v>1E-8</v>
      </c>
      <c r="AC535" s="97">
        <v>1E-8</v>
      </c>
      <c r="AD535" s="4"/>
    </row>
    <row r="536" spans="1:30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4"/>
      <c r="O536" s="4"/>
      <c r="P536" s="68"/>
      <c r="Q536" s="68" t="s">
        <v>690</v>
      </c>
      <c r="R536" s="108" t="s">
        <v>35</v>
      </c>
      <c r="S536" s="108" t="s">
        <v>587</v>
      </c>
      <c r="T536" s="98">
        <v>0.17195148947792971</v>
      </c>
      <c r="U536" s="80">
        <v>9.8798731059601685E-2</v>
      </c>
      <c r="V536" s="98">
        <v>1E-8</v>
      </c>
      <c r="W536" s="98">
        <v>1E-8</v>
      </c>
      <c r="X536" s="98">
        <v>1E-8</v>
      </c>
      <c r="Y536" s="98">
        <v>1E-8</v>
      </c>
      <c r="Z536" s="98">
        <v>1E-8</v>
      </c>
      <c r="AA536" s="98">
        <v>1E-8</v>
      </c>
      <c r="AB536" s="98">
        <v>1E-8</v>
      </c>
      <c r="AC536" s="98">
        <v>1E-8</v>
      </c>
      <c r="AD536" s="4"/>
    </row>
    <row r="537" spans="1:30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4"/>
      <c r="O537" s="4"/>
      <c r="P537" s="68"/>
      <c r="Q537" s="68" t="s">
        <v>691</v>
      </c>
      <c r="R537" s="108" t="s">
        <v>35</v>
      </c>
      <c r="S537" s="108" t="s">
        <v>588</v>
      </c>
      <c r="T537" s="98">
        <v>0.58947325023632735</v>
      </c>
      <c r="U537" s="80">
        <v>0.62971831423199731</v>
      </c>
      <c r="V537" s="98">
        <v>1E-8</v>
      </c>
      <c r="W537" s="98">
        <v>1E-8</v>
      </c>
      <c r="X537" s="98">
        <v>1E-8</v>
      </c>
      <c r="Y537" s="98">
        <v>1E-8</v>
      </c>
      <c r="Z537" s="98">
        <v>1E-8</v>
      </c>
      <c r="AA537" s="98">
        <v>1E-8</v>
      </c>
      <c r="AB537" s="98">
        <v>1E-8</v>
      </c>
      <c r="AC537" s="98">
        <v>1E-8</v>
      </c>
      <c r="AD537" s="4"/>
    </row>
    <row r="538" spans="1:30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4"/>
      <c r="O538" s="4"/>
      <c r="P538" s="68"/>
      <c r="Q538" s="68" t="s">
        <v>692</v>
      </c>
      <c r="R538" s="108" t="s">
        <v>35</v>
      </c>
      <c r="S538" s="108" t="s">
        <v>589</v>
      </c>
      <c r="T538" s="98">
        <v>0.10627180522102136</v>
      </c>
      <c r="U538" s="80">
        <v>2.2301393422816229</v>
      </c>
      <c r="V538" s="98">
        <v>1E-8</v>
      </c>
      <c r="W538" s="98">
        <v>1E-8</v>
      </c>
      <c r="X538" s="98">
        <v>1E-8</v>
      </c>
      <c r="Y538" s="98">
        <v>1E-8</v>
      </c>
      <c r="Z538" s="98">
        <v>1E-8</v>
      </c>
      <c r="AA538" s="98">
        <v>1E-8</v>
      </c>
      <c r="AB538" s="98">
        <v>1E-8</v>
      </c>
      <c r="AC538" s="98">
        <v>1E-8</v>
      </c>
      <c r="AD538" s="4"/>
    </row>
    <row r="539" spans="1:30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4"/>
      <c r="O539" s="4"/>
      <c r="P539" s="68"/>
      <c r="Q539" s="68" t="s">
        <v>693</v>
      </c>
      <c r="R539" s="108" t="s">
        <v>35</v>
      </c>
      <c r="S539" s="108" t="s">
        <v>361</v>
      </c>
      <c r="T539" s="98">
        <v>13.874883018131218</v>
      </c>
      <c r="U539" s="80">
        <v>-0.25230888344703883</v>
      </c>
      <c r="V539" s="98">
        <v>1E-8</v>
      </c>
      <c r="W539" s="98">
        <v>1E-8</v>
      </c>
      <c r="X539" s="98">
        <v>1E-8</v>
      </c>
      <c r="Y539" s="98">
        <v>1E-8</v>
      </c>
      <c r="Z539" s="98">
        <v>1E-8</v>
      </c>
      <c r="AA539" s="98">
        <v>1E-8</v>
      </c>
      <c r="AB539" s="98">
        <v>1E-8</v>
      </c>
      <c r="AC539" s="98">
        <v>1E-8</v>
      </c>
      <c r="AD539" s="4"/>
    </row>
    <row r="540" spans="1:30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4"/>
      <c r="O540" s="4"/>
      <c r="P540" s="68"/>
      <c r="Q540" s="68" t="s">
        <v>694</v>
      </c>
      <c r="R540" s="108" t="s">
        <v>35</v>
      </c>
      <c r="S540" s="108" t="s">
        <v>590</v>
      </c>
      <c r="T540" s="98">
        <v>2.6885642648794401E-2</v>
      </c>
      <c r="U540" s="80">
        <v>0.67569592262213263</v>
      </c>
      <c r="V540" s="98">
        <v>1E-8</v>
      </c>
      <c r="W540" s="98">
        <v>1E-8</v>
      </c>
      <c r="X540" s="98">
        <v>1E-8</v>
      </c>
      <c r="Y540" s="98">
        <v>1E-8</v>
      </c>
      <c r="Z540" s="98">
        <v>1E-8</v>
      </c>
      <c r="AA540" s="98">
        <v>1E-8</v>
      </c>
      <c r="AB540" s="98">
        <v>1E-8</v>
      </c>
      <c r="AC540" s="98">
        <v>1E-8</v>
      </c>
      <c r="AD540" s="4"/>
    </row>
    <row r="541" spans="1:30" ht="15" thickBo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4"/>
      <c r="O541" s="4"/>
      <c r="P541" s="102"/>
      <c r="Q541" s="102" t="s">
        <v>695</v>
      </c>
      <c r="R541" s="113" t="s">
        <v>35</v>
      </c>
      <c r="S541" s="113" t="s">
        <v>591</v>
      </c>
      <c r="T541" s="103">
        <v>1E-8</v>
      </c>
      <c r="U541" s="104">
        <v>1E-8</v>
      </c>
      <c r="V541" s="103">
        <v>1E-8</v>
      </c>
      <c r="W541" s="103">
        <v>1E-8</v>
      </c>
      <c r="X541" s="103">
        <v>1E-8</v>
      </c>
      <c r="Y541" s="103">
        <v>1E-8</v>
      </c>
      <c r="Z541" s="103">
        <v>1E-8</v>
      </c>
      <c r="AA541" s="103">
        <v>1E-8</v>
      </c>
      <c r="AB541" s="103">
        <v>1E-8</v>
      </c>
      <c r="AC541" s="103">
        <v>1E-8</v>
      </c>
      <c r="AD541" s="4"/>
    </row>
    <row r="542" spans="1:30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4"/>
      <c r="O542" s="4"/>
      <c r="P542" s="47" t="s">
        <v>728</v>
      </c>
      <c r="Q542" s="47" t="s">
        <v>102</v>
      </c>
      <c r="R542" s="105" t="s">
        <v>42</v>
      </c>
      <c r="S542" s="105" t="s">
        <v>288</v>
      </c>
      <c r="T542" s="95">
        <v>100</v>
      </c>
      <c r="U542" s="74">
        <v>1E-8</v>
      </c>
      <c r="V542" s="95">
        <v>1E-8</v>
      </c>
      <c r="W542" s="95">
        <v>1E-8</v>
      </c>
      <c r="X542" s="95">
        <v>1E-8</v>
      </c>
      <c r="Y542" s="95">
        <v>1E-8</v>
      </c>
      <c r="Z542" s="95">
        <v>1E-8</v>
      </c>
      <c r="AA542" s="95">
        <v>1E-8</v>
      </c>
      <c r="AB542" s="95">
        <v>1E-8</v>
      </c>
      <c r="AC542" s="95">
        <v>1E-8</v>
      </c>
      <c r="AD542" s="4"/>
    </row>
    <row r="543" spans="1:30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4"/>
      <c r="O543" s="4"/>
      <c r="P543" s="47" t="s">
        <v>474</v>
      </c>
      <c r="Q543" s="47" t="s">
        <v>278</v>
      </c>
      <c r="R543" s="106" t="s">
        <v>42</v>
      </c>
      <c r="S543" s="106" t="s">
        <v>289</v>
      </c>
      <c r="T543" s="75">
        <v>29.189983663041424</v>
      </c>
      <c r="U543" s="76">
        <v>0.7053140405100855</v>
      </c>
      <c r="V543" s="75">
        <v>1E-8</v>
      </c>
      <c r="W543" s="75">
        <v>1E-8</v>
      </c>
      <c r="X543" s="75">
        <v>1E-8</v>
      </c>
      <c r="Y543" s="75">
        <v>1E-8</v>
      </c>
      <c r="Z543" s="75">
        <v>1E-8</v>
      </c>
      <c r="AA543" s="75">
        <v>1E-8</v>
      </c>
      <c r="AB543" s="75">
        <v>1E-8</v>
      </c>
      <c r="AC543" s="75">
        <v>1E-8</v>
      </c>
      <c r="AD543" s="4"/>
    </row>
    <row r="544" spans="1:30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4"/>
      <c r="O544" s="4"/>
      <c r="P544" s="96"/>
      <c r="Q544" s="96" t="s">
        <v>279</v>
      </c>
      <c r="R544" s="107" t="s">
        <v>42</v>
      </c>
      <c r="S544" s="107" t="s">
        <v>290</v>
      </c>
      <c r="T544" s="97">
        <v>14.214185787163519</v>
      </c>
      <c r="U544" s="78">
        <v>0.8478283896312</v>
      </c>
      <c r="V544" s="97">
        <v>1E-8</v>
      </c>
      <c r="W544" s="97">
        <v>1E-8</v>
      </c>
      <c r="X544" s="97">
        <v>1E-8</v>
      </c>
      <c r="Y544" s="97">
        <v>1E-8</v>
      </c>
      <c r="Z544" s="97">
        <v>1E-8</v>
      </c>
      <c r="AA544" s="97">
        <v>1E-8</v>
      </c>
      <c r="AB544" s="97">
        <v>1E-8</v>
      </c>
      <c r="AC544" s="97">
        <v>1E-8</v>
      </c>
      <c r="AD544" s="4"/>
    </row>
    <row r="545" spans="1:30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4"/>
      <c r="O545" s="4"/>
      <c r="P545" s="96"/>
      <c r="Q545" s="96" t="s">
        <v>362</v>
      </c>
      <c r="R545" s="107" t="s">
        <v>42</v>
      </c>
      <c r="S545" s="107" t="s">
        <v>291</v>
      </c>
      <c r="T545" s="97">
        <v>12.900327325971435</v>
      </c>
      <c r="U545" s="78">
        <v>0.20533557256690038</v>
      </c>
      <c r="V545" s="97">
        <v>1E-8</v>
      </c>
      <c r="W545" s="97">
        <v>1E-8</v>
      </c>
      <c r="X545" s="97">
        <v>1E-8</v>
      </c>
      <c r="Y545" s="97">
        <v>1E-8</v>
      </c>
      <c r="Z545" s="97">
        <v>1E-8</v>
      </c>
      <c r="AA545" s="97">
        <v>1E-8</v>
      </c>
      <c r="AB545" s="97">
        <v>1E-8</v>
      </c>
      <c r="AC545" s="97">
        <v>1E-8</v>
      </c>
      <c r="AD545" s="4"/>
    </row>
    <row r="546" spans="1:30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4"/>
      <c r="O546" s="4"/>
      <c r="P546" s="96"/>
      <c r="Q546" s="96" t="s">
        <v>363</v>
      </c>
      <c r="R546" s="107" t="s">
        <v>42</v>
      </c>
      <c r="S546" s="107" t="s">
        <v>292</v>
      </c>
      <c r="T546" s="97">
        <v>1.3138584611920809</v>
      </c>
      <c r="U546" s="78">
        <v>7.1562458406212004</v>
      </c>
      <c r="V546" s="97">
        <v>1E-8</v>
      </c>
      <c r="W546" s="97">
        <v>1E-8</v>
      </c>
      <c r="X546" s="97">
        <v>1E-8</v>
      </c>
      <c r="Y546" s="97">
        <v>1E-8</v>
      </c>
      <c r="Z546" s="97">
        <v>1E-8</v>
      </c>
      <c r="AA546" s="97">
        <v>1E-8</v>
      </c>
      <c r="AB546" s="97">
        <v>1E-8</v>
      </c>
      <c r="AC546" s="97">
        <v>1E-8</v>
      </c>
      <c r="AD546" s="4"/>
    </row>
    <row r="547" spans="1:30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4"/>
      <c r="O547" s="4"/>
      <c r="P547" s="68"/>
      <c r="Q547" s="68" t="s">
        <v>592</v>
      </c>
      <c r="R547" s="108" t="s">
        <v>42</v>
      </c>
      <c r="S547" s="108" t="s">
        <v>294</v>
      </c>
      <c r="T547" s="98">
        <v>0.28605254300474825</v>
      </c>
      <c r="U547" s="80">
        <v>1.6227492796470955</v>
      </c>
      <c r="V547" s="98">
        <v>1E-8</v>
      </c>
      <c r="W547" s="98">
        <v>1E-8</v>
      </c>
      <c r="X547" s="98">
        <v>1E-8</v>
      </c>
      <c r="Y547" s="98">
        <v>1E-8</v>
      </c>
      <c r="Z547" s="98">
        <v>1E-8</v>
      </c>
      <c r="AA547" s="98">
        <v>1E-8</v>
      </c>
      <c r="AB547" s="98">
        <v>1E-8</v>
      </c>
      <c r="AC547" s="98">
        <v>1E-8</v>
      </c>
      <c r="AD547" s="4"/>
    </row>
    <row r="548" spans="1:30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4"/>
      <c r="O548" s="4"/>
      <c r="P548" s="68"/>
      <c r="Q548" s="68" t="s">
        <v>593</v>
      </c>
      <c r="R548" s="108" t="s">
        <v>42</v>
      </c>
      <c r="S548" s="108" t="s">
        <v>293</v>
      </c>
      <c r="T548" s="98">
        <v>0.68069400183465167</v>
      </c>
      <c r="U548" s="80">
        <v>2.5741032674628128</v>
      </c>
      <c r="V548" s="98">
        <v>1E-8</v>
      </c>
      <c r="W548" s="98">
        <v>1E-8</v>
      </c>
      <c r="X548" s="98">
        <v>1E-8</v>
      </c>
      <c r="Y548" s="98">
        <v>1E-8</v>
      </c>
      <c r="Z548" s="98">
        <v>1E-8</v>
      </c>
      <c r="AA548" s="98">
        <v>1E-8</v>
      </c>
      <c r="AB548" s="98">
        <v>1E-8</v>
      </c>
      <c r="AC548" s="98">
        <v>1E-8</v>
      </c>
      <c r="AD548" s="4"/>
    </row>
    <row r="549" spans="1:30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4"/>
      <c r="O549" s="4"/>
      <c r="P549" s="68"/>
      <c r="Q549" s="68" t="s">
        <v>594</v>
      </c>
      <c r="R549" s="108" t="s">
        <v>42</v>
      </c>
      <c r="S549" s="108" t="s">
        <v>296</v>
      </c>
      <c r="T549" s="98">
        <v>1.4701417662825737E-2</v>
      </c>
      <c r="U549" s="80">
        <v>3.6345222374088992</v>
      </c>
      <c r="V549" s="98">
        <v>1E-8</v>
      </c>
      <c r="W549" s="98">
        <v>1E-8</v>
      </c>
      <c r="X549" s="98">
        <v>1E-8</v>
      </c>
      <c r="Y549" s="98">
        <v>1E-8</v>
      </c>
      <c r="Z549" s="98">
        <v>1E-8</v>
      </c>
      <c r="AA549" s="98">
        <v>1E-8</v>
      </c>
      <c r="AB549" s="98">
        <v>1E-8</v>
      </c>
      <c r="AC549" s="98">
        <v>1E-8</v>
      </c>
      <c r="AD549" s="4"/>
    </row>
    <row r="550" spans="1:30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4"/>
      <c r="O550" s="4"/>
      <c r="P550" s="68"/>
      <c r="Q550" s="68" t="s">
        <v>595</v>
      </c>
      <c r="R550" s="108" t="s">
        <v>42</v>
      </c>
      <c r="S550" s="108" t="s">
        <v>295</v>
      </c>
      <c r="T550" s="98">
        <v>0.62411803468362337</v>
      </c>
      <c r="U550" s="80">
        <v>0.95427844006998885</v>
      </c>
      <c r="V550" s="98">
        <v>1E-8</v>
      </c>
      <c r="W550" s="98">
        <v>1E-8</v>
      </c>
      <c r="X550" s="98">
        <v>1E-8</v>
      </c>
      <c r="Y550" s="98">
        <v>1E-8</v>
      </c>
      <c r="Z550" s="98">
        <v>1E-8</v>
      </c>
      <c r="AA550" s="98">
        <v>1E-8</v>
      </c>
      <c r="AB550" s="98">
        <v>1E-8</v>
      </c>
      <c r="AC550" s="98">
        <v>1E-8</v>
      </c>
      <c r="AD550" s="4"/>
    </row>
    <row r="551" spans="1:30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4"/>
      <c r="O551" s="4"/>
      <c r="P551" s="68"/>
      <c r="Q551" s="68" t="s">
        <v>596</v>
      </c>
      <c r="R551" s="108" t="s">
        <v>42</v>
      </c>
      <c r="S551" s="108" t="s">
        <v>297</v>
      </c>
      <c r="T551" s="98">
        <v>4.8063759386456111E-4</v>
      </c>
      <c r="U551" s="80">
        <v>3.6440727221068281</v>
      </c>
      <c r="V551" s="98">
        <v>1E-8</v>
      </c>
      <c r="W551" s="98">
        <v>1E-8</v>
      </c>
      <c r="X551" s="98">
        <v>1E-8</v>
      </c>
      <c r="Y551" s="98">
        <v>1E-8</v>
      </c>
      <c r="Z551" s="98">
        <v>1E-8</v>
      </c>
      <c r="AA551" s="98">
        <v>1E-8</v>
      </c>
      <c r="AB551" s="98">
        <v>1E-8</v>
      </c>
      <c r="AC551" s="98">
        <v>1E-8</v>
      </c>
      <c r="AD551" s="4"/>
    </row>
    <row r="552" spans="1:30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4"/>
      <c r="O552" s="4"/>
      <c r="P552" s="68"/>
      <c r="Q552" s="68" t="s">
        <v>597</v>
      </c>
      <c r="R552" s="108" t="s">
        <v>42</v>
      </c>
      <c r="S552" s="108" t="s">
        <v>301</v>
      </c>
      <c r="T552" s="98">
        <v>2.9615356952533549</v>
      </c>
      <c r="U552" s="80">
        <v>-0.69871124590201728</v>
      </c>
      <c r="V552" s="98">
        <v>1E-8</v>
      </c>
      <c r="W552" s="98">
        <v>1E-8</v>
      </c>
      <c r="X552" s="98">
        <v>1E-8</v>
      </c>
      <c r="Y552" s="98">
        <v>1E-8</v>
      </c>
      <c r="Z552" s="98">
        <v>1E-8</v>
      </c>
      <c r="AA552" s="98">
        <v>1E-8</v>
      </c>
      <c r="AB552" s="98">
        <v>1E-8</v>
      </c>
      <c r="AC552" s="98">
        <v>1E-8</v>
      </c>
      <c r="AD552" s="4"/>
    </row>
    <row r="553" spans="1:30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4"/>
      <c r="O553" s="4"/>
      <c r="P553" s="68"/>
      <c r="Q553" s="68" t="s">
        <v>598</v>
      </c>
      <c r="R553" s="108" t="s">
        <v>42</v>
      </c>
      <c r="S553" s="108" t="s">
        <v>302</v>
      </c>
      <c r="T553" s="98">
        <v>0.54037472785987994</v>
      </c>
      <c r="U553" s="80">
        <v>-1.6202012503432783</v>
      </c>
      <c r="V553" s="98">
        <v>1E-8</v>
      </c>
      <c r="W553" s="98">
        <v>1E-8</v>
      </c>
      <c r="X553" s="98">
        <v>1E-8</v>
      </c>
      <c r="Y553" s="98">
        <v>1E-8</v>
      </c>
      <c r="Z553" s="98">
        <v>1E-8</v>
      </c>
      <c r="AA553" s="98">
        <v>1E-8</v>
      </c>
      <c r="AB553" s="98">
        <v>1E-8</v>
      </c>
      <c r="AC553" s="98">
        <v>1E-8</v>
      </c>
      <c r="AD553" s="4"/>
    </row>
    <row r="554" spans="1:30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4"/>
      <c r="O554" s="4"/>
      <c r="P554" s="68"/>
      <c r="Q554" s="68" t="s">
        <v>599</v>
      </c>
      <c r="R554" s="108" t="s">
        <v>42</v>
      </c>
      <c r="S554" s="108" t="s">
        <v>300</v>
      </c>
      <c r="T554" s="98">
        <v>0.64022281053193408</v>
      </c>
      <c r="U554" s="80">
        <v>0.78412120603834623</v>
      </c>
      <c r="V554" s="98">
        <v>1E-8</v>
      </c>
      <c r="W554" s="98">
        <v>1E-8</v>
      </c>
      <c r="X554" s="98">
        <v>1E-8</v>
      </c>
      <c r="Y554" s="98">
        <v>1E-8</v>
      </c>
      <c r="Z554" s="98">
        <v>1E-8</v>
      </c>
      <c r="AA554" s="98">
        <v>1E-8</v>
      </c>
      <c r="AB554" s="98">
        <v>1E-8</v>
      </c>
      <c r="AC554" s="98">
        <v>1E-8</v>
      </c>
      <c r="AD554" s="4"/>
    </row>
    <row r="555" spans="1:30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4"/>
      <c r="O555" s="4"/>
      <c r="P555" s="68"/>
      <c r="Q555" s="68" t="s">
        <v>600</v>
      </c>
      <c r="R555" s="108" t="s">
        <v>42</v>
      </c>
      <c r="S555" s="108" t="s">
        <v>303</v>
      </c>
      <c r="T555" s="98">
        <v>0.1023424490872174</v>
      </c>
      <c r="U555" s="80">
        <v>-1.2847218305256036</v>
      </c>
      <c r="V555" s="98">
        <v>1E-8</v>
      </c>
      <c r="W555" s="98">
        <v>1E-8</v>
      </c>
      <c r="X555" s="98">
        <v>1E-8</v>
      </c>
      <c r="Y555" s="98">
        <v>1E-8</v>
      </c>
      <c r="Z555" s="98">
        <v>1E-8</v>
      </c>
      <c r="AA555" s="98">
        <v>1E-8</v>
      </c>
      <c r="AB555" s="98">
        <v>1E-8</v>
      </c>
      <c r="AC555" s="98">
        <v>1E-8</v>
      </c>
      <c r="AD555" s="4"/>
    </row>
    <row r="556" spans="1:30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4"/>
      <c r="O556" s="4"/>
      <c r="P556" s="68"/>
      <c r="Q556" s="68" t="s">
        <v>601</v>
      </c>
      <c r="R556" s="108" t="s">
        <v>42</v>
      </c>
      <c r="S556" s="108" t="s">
        <v>533</v>
      </c>
      <c r="T556" s="98">
        <v>1.8765718386942909</v>
      </c>
      <c r="U556" s="80">
        <v>0.38702388978559821</v>
      </c>
      <c r="V556" s="98">
        <v>1E-8</v>
      </c>
      <c r="W556" s="98">
        <v>1E-8</v>
      </c>
      <c r="X556" s="98">
        <v>1E-8</v>
      </c>
      <c r="Y556" s="98">
        <v>1E-8</v>
      </c>
      <c r="Z556" s="98">
        <v>1E-8</v>
      </c>
      <c r="AA556" s="98">
        <v>1E-8</v>
      </c>
      <c r="AB556" s="98">
        <v>1E-8</v>
      </c>
      <c r="AC556" s="98">
        <v>1E-8</v>
      </c>
      <c r="AD556" s="4"/>
    </row>
    <row r="557" spans="1:30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4"/>
      <c r="O557" s="4"/>
      <c r="P557" s="68"/>
      <c r="Q557" s="68" t="s">
        <v>602</v>
      </c>
      <c r="R557" s="108" t="s">
        <v>42</v>
      </c>
      <c r="S557" s="108" t="s">
        <v>534</v>
      </c>
      <c r="T557" s="98">
        <v>0.17370429635922335</v>
      </c>
      <c r="U557" s="80">
        <v>-0.2952886952157785</v>
      </c>
      <c r="V557" s="98">
        <v>1E-8</v>
      </c>
      <c r="W557" s="98">
        <v>1E-8</v>
      </c>
      <c r="X557" s="98">
        <v>1E-8</v>
      </c>
      <c r="Y557" s="98">
        <v>1E-8</v>
      </c>
      <c r="Z557" s="98">
        <v>1E-8</v>
      </c>
      <c r="AA557" s="98">
        <v>1E-8</v>
      </c>
      <c r="AB557" s="98">
        <v>1E-8</v>
      </c>
      <c r="AC557" s="98">
        <v>1E-8</v>
      </c>
      <c r="AD557" s="4"/>
    </row>
    <row r="558" spans="1:30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4"/>
      <c r="O558" s="4"/>
      <c r="P558" s="68"/>
      <c r="Q558" s="68" t="s">
        <v>603</v>
      </c>
      <c r="R558" s="108" t="s">
        <v>42</v>
      </c>
      <c r="S558" s="108" t="s">
        <v>304</v>
      </c>
      <c r="T558" s="98">
        <v>2.5051761320484851</v>
      </c>
      <c r="U558" s="80">
        <v>7.9035344182365463E-2</v>
      </c>
      <c r="V558" s="98">
        <v>1E-8</v>
      </c>
      <c r="W558" s="98">
        <v>1E-8</v>
      </c>
      <c r="X558" s="98">
        <v>1E-8</v>
      </c>
      <c r="Y558" s="98">
        <v>1E-8</v>
      </c>
      <c r="Z558" s="98">
        <v>1E-8</v>
      </c>
      <c r="AA558" s="98">
        <v>1E-8</v>
      </c>
      <c r="AB558" s="98">
        <v>1E-8</v>
      </c>
      <c r="AC558" s="98">
        <v>1E-8</v>
      </c>
      <c r="AD558" s="4"/>
    </row>
    <row r="559" spans="1:30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4"/>
      <c r="O559" s="4"/>
      <c r="P559" s="68"/>
      <c r="Q559" s="68" t="s">
        <v>604</v>
      </c>
      <c r="R559" s="108" t="s">
        <v>42</v>
      </c>
      <c r="S559" s="108" t="s">
        <v>535</v>
      </c>
      <c r="T559" s="98">
        <v>0.35357714469564461</v>
      </c>
      <c r="U559" s="80">
        <v>0.30264339524794792</v>
      </c>
      <c r="V559" s="98">
        <v>1E-8</v>
      </c>
      <c r="W559" s="98">
        <v>1E-8</v>
      </c>
      <c r="X559" s="98">
        <v>1E-8</v>
      </c>
      <c r="Y559" s="98">
        <v>1E-8</v>
      </c>
      <c r="Z559" s="98">
        <v>1E-8</v>
      </c>
      <c r="AA559" s="98">
        <v>1E-8</v>
      </c>
      <c r="AB559" s="98">
        <v>1E-8</v>
      </c>
      <c r="AC559" s="98">
        <v>1E-8</v>
      </c>
      <c r="AD559" s="4"/>
    </row>
    <row r="560" spans="1:30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4"/>
      <c r="O560" s="4"/>
      <c r="P560" s="68"/>
      <c r="Q560" s="68" t="s">
        <v>605</v>
      </c>
      <c r="R560" s="108" t="s">
        <v>42</v>
      </c>
      <c r="S560" s="108" t="s">
        <v>536</v>
      </c>
      <c r="T560" s="98">
        <v>1.6170746827401443</v>
      </c>
      <c r="U560" s="80">
        <v>0.12444087992229402</v>
      </c>
      <c r="V560" s="98">
        <v>1E-8</v>
      </c>
      <c r="W560" s="98">
        <v>1E-8</v>
      </c>
      <c r="X560" s="98">
        <v>1E-8</v>
      </c>
      <c r="Y560" s="98">
        <v>1E-8</v>
      </c>
      <c r="Z560" s="98">
        <v>1E-8</v>
      </c>
      <c r="AA560" s="98">
        <v>1E-8</v>
      </c>
      <c r="AB560" s="98">
        <v>1E-8</v>
      </c>
      <c r="AC560" s="98">
        <v>1E-8</v>
      </c>
      <c r="AD560" s="4"/>
    </row>
    <row r="561" spans="1:30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4"/>
      <c r="O561" s="4"/>
      <c r="P561" s="68"/>
      <c r="Q561" s="68" t="s">
        <v>606</v>
      </c>
      <c r="R561" s="108" t="s">
        <v>42</v>
      </c>
      <c r="S561" s="108" t="s">
        <v>537</v>
      </c>
      <c r="T561" s="98">
        <v>0.21074569206247362</v>
      </c>
      <c r="U561" s="80">
        <v>0.90608549031578889</v>
      </c>
      <c r="V561" s="98">
        <v>1E-8</v>
      </c>
      <c r="W561" s="98">
        <v>1E-8</v>
      </c>
      <c r="X561" s="98">
        <v>1E-8</v>
      </c>
      <c r="Y561" s="98">
        <v>1E-8</v>
      </c>
      <c r="Z561" s="98">
        <v>1E-8</v>
      </c>
      <c r="AA561" s="98">
        <v>1E-8</v>
      </c>
      <c r="AB561" s="98">
        <v>1E-8</v>
      </c>
      <c r="AC561" s="98">
        <v>1E-8</v>
      </c>
      <c r="AD561" s="4"/>
    </row>
    <row r="562" spans="1:30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4"/>
      <c r="O562" s="4"/>
      <c r="P562" s="68"/>
      <c r="Q562" s="68" t="s">
        <v>607</v>
      </c>
      <c r="R562" s="108" t="s">
        <v>42</v>
      </c>
      <c r="S562" s="108" t="s">
        <v>307</v>
      </c>
      <c r="T562" s="98">
        <v>0.22176892552386146</v>
      </c>
      <c r="U562" s="80">
        <v>2.447497152816891</v>
      </c>
      <c r="V562" s="98">
        <v>1E-8</v>
      </c>
      <c r="W562" s="98">
        <v>1E-8</v>
      </c>
      <c r="X562" s="98">
        <v>1E-8</v>
      </c>
      <c r="Y562" s="98">
        <v>1E-8</v>
      </c>
      <c r="Z562" s="98">
        <v>1E-8</v>
      </c>
      <c r="AA562" s="98">
        <v>1E-8</v>
      </c>
      <c r="AB562" s="98">
        <v>1E-8</v>
      </c>
      <c r="AC562" s="98">
        <v>1E-8</v>
      </c>
      <c r="AD562" s="4"/>
    </row>
    <row r="563" spans="1:30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4"/>
      <c r="O563" s="4"/>
      <c r="P563" s="68"/>
      <c r="Q563" s="68" t="s">
        <v>608</v>
      </c>
      <c r="R563" s="108" t="s">
        <v>42</v>
      </c>
      <c r="S563" s="108" t="s">
        <v>298</v>
      </c>
      <c r="T563" s="98">
        <v>6.6804802833935265E-2</v>
      </c>
      <c r="U563" s="80">
        <v>5.8703979694884945</v>
      </c>
      <c r="V563" s="98">
        <v>1E-8</v>
      </c>
      <c r="W563" s="98">
        <v>1E-8</v>
      </c>
      <c r="X563" s="98">
        <v>1E-8</v>
      </c>
      <c r="Y563" s="98">
        <v>1E-8</v>
      </c>
      <c r="Z563" s="98">
        <v>1E-8</v>
      </c>
      <c r="AA563" s="98">
        <v>1E-8</v>
      </c>
      <c r="AB563" s="98">
        <v>1E-8</v>
      </c>
      <c r="AC563" s="98">
        <v>1E-8</v>
      </c>
      <c r="AD563" s="4"/>
    </row>
    <row r="564" spans="1:30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4"/>
      <c r="O564" s="4"/>
      <c r="P564" s="68"/>
      <c r="Q564" s="68" t="s">
        <v>609</v>
      </c>
      <c r="R564" s="108" t="s">
        <v>42</v>
      </c>
      <c r="S564" s="108" t="s">
        <v>538</v>
      </c>
      <c r="T564" s="98">
        <v>2.4381493501276327E-2</v>
      </c>
      <c r="U564" s="80">
        <v>2.0048373472046466</v>
      </c>
      <c r="V564" s="98">
        <v>1E-8</v>
      </c>
      <c r="W564" s="98">
        <v>1E-8</v>
      </c>
      <c r="X564" s="98">
        <v>1E-8</v>
      </c>
      <c r="Y564" s="98">
        <v>1E-8</v>
      </c>
      <c r="Z564" s="98">
        <v>1E-8</v>
      </c>
      <c r="AA564" s="98">
        <v>1E-8</v>
      </c>
      <c r="AB564" s="98">
        <v>1E-8</v>
      </c>
      <c r="AC564" s="98">
        <v>1E-8</v>
      </c>
      <c r="AD564" s="4"/>
    </row>
    <row r="565" spans="1:30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4"/>
      <c r="O565" s="4"/>
      <c r="P565" s="68"/>
      <c r="Q565" s="68" t="s">
        <v>610</v>
      </c>
      <c r="R565" s="108" t="s">
        <v>42</v>
      </c>
      <c r="S565" s="108" t="s">
        <v>299</v>
      </c>
      <c r="T565" s="98">
        <v>1E-8</v>
      </c>
      <c r="U565" s="80">
        <v>1E-8</v>
      </c>
      <c r="V565" s="98">
        <v>1E-8</v>
      </c>
      <c r="W565" s="98">
        <v>1E-8</v>
      </c>
      <c r="X565" s="98">
        <v>1E-8</v>
      </c>
      <c r="Y565" s="98">
        <v>1E-8</v>
      </c>
      <c r="Z565" s="98">
        <v>1E-8</v>
      </c>
      <c r="AA565" s="98">
        <v>1E-8</v>
      </c>
      <c r="AB565" s="98">
        <v>1E-8</v>
      </c>
      <c r="AC565" s="98">
        <v>1E-8</v>
      </c>
      <c r="AD565" s="4"/>
    </row>
    <row r="566" spans="1:30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4"/>
      <c r="O566" s="4"/>
      <c r="P566" s="68"/>
      <c r="Q566" s="68" t="s">
        <v>611</v>
      </c>
      <c r="R566" s="108" t="s">
        <v>42</v>
      </c>
      <c r="S566" s="108" t="s">
        <v>309</v>
      </c>
      <c r="T566" s="98">
        <v>0.20379947633288187</v>
      </c>
      <c r="U566" s="80">
        <v>13.956445046064282</v>
      </c>
      <c r="V566" s="98">
        <v>1E-8</v>
      </c>
      <c r="W566" s="98">
        <v>1E-8</v>
      </c>
      <c r="X566" s="98">
        <v>1E-8</v>
      </c>
      <c r="Y566" s="98">
        <v>1E-8</v>
      </c>
      <c r="Z566" s="98">
        <v>1E-8</v>
      </c>
      <c r="AA566" s="98">
        <v>1E-8</v>
      </c>
      <c r="AB566" s="98">
        <v>1E-8</v>
      </c>
      <c r="AC566" s="98">
        <v>1E-8</v>
      </c>
      <c r="AD566" s="4"/>
    </row>
    <row r="567" spans="1:30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4"/>
      <c r="O567" s="4"/>
      <c r="P567" s="68"/>
      <c r="Q567" s="68" t="s">
        <v>612</v>
      </c>
      <c r="R567" s="108" t="s">
        <v>42</v>
      </c>
      <c r="S567" s="108" t="s">
        <v>308</v>
      </c>
      <c r="T567" s="98">
        <v>3.0542358159441427E-2</v>
      </c>
      <c r="U567" s="80">
        <v>5.5322916997003535</v>
      </c>
      <c r="V567" s="98">
        <v>1E-8</v>
      </c>
      <c r="W567" s="98">
        <v>1E-8</v>
      </c>
      <c r="X567" s="98">
        <v>1E-8</v>
      </c>
      <c r="Y567" s="98">
        <v>1E-8</v>
      </c>
      <c r="Z567" s="98">
        <v>1E-8</v>
      </c>
      <c r="AA567" s="98">
        <v>1E-8</v>
      </c>
      <c r="AB567" s="98">
        <v>1E-8</v>
      </c>
      <c r="AC567" s="98">
        <v>1E-8</v>
      </c>
      <c r="AD567" s="4"/>
    </row>
    <row r="568" spans="1:30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4"/>
      <c r="O568" s="4"/>
      <c r="P568" s="68"/>
      <c r="Q568" s="68" t="s">
        <v>613</v>
      </c>
      <c r="R568" s="108" t="s">
        <v>42</v>
      </c>
      <c r="S568" s="108" t="s">
        <v>306</v>
      </c>
      <c r="T568" s="98">
        <v>3.7757739241498535E-2</v>
      </c>
      <c r="U568" s="80">
        <v>-1.1760139971343397</v>
      </c>
      <c r="V568" s="98">
        <v>1E-8</v>
      </c>
      <c r="W568" s="98">
        <v>1E-8</v>
      </c>
      <c r="X568" s="98">
        <v>1E-8</v>
      </c>
      <c r="Y568" s="98">
        <v>1E-8</v>
      </c>
      <c r="Z568" s="98">
        <v>1E-8</v>
      </c>
      <c r="AA568" s="98">
        <v>1E-8</v>
      </c>
      <c r="AB568" s="98">
        <v>1E-8</v>
      </c>
      <c r="AC568" s="98">
        <v>1E-8</v>
      </c>
      <c r="AD568" s="4"/>
    </row>
    <row r="569" spans="1:30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4"/>
      <c r="O569" s="4"/>
      <c r="P569" s="68"/>
      <c r="Q569" s="68" t="s">
        <v>614</v>
      </c>
      <c r="R569" s="108" t="s">
        <v>42</v>
      </c>
      <c r="S569" s="108" t="s">
        <v>305</v>
      </c>
      <c r="T569" s="98">
        <v>6.4022190812708962E-2</v>
      </c>
      <c r="U569" s="80">
        <v>0.8007483309823149</v>
      </c>
      <c r="V569" s="98">
        <v>1E-8</v>
      </c>
      <c r="W569" s="98">
        <v>1E-8</v>
      </c>
      <c r="X569" s="98">
        <v>1E-8</v>
      </c>
      <c r="Y569" s="98">
        <v>1E-8</v>
      </c>
      <c r="Z569" s="98">
        <v>1E-8</v>
      </c>
      <c r="AA569" s="98">
        <v>1E-8</v>
      </c>
      <c r="AB569" s="98">
        <v>1E-8</v>
      </c>
      <c r="AC569" s="98">
        <v>1E-8</v>
      </c>
      <c r="AD569" s="4"/>
    </row>
    <row r="570" spans="1:30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4"/>
      <c r="O570" s="4"/>
      <c r="P570" s="68"/>
      <c r="Q570" s="68" t="s">
        <v>615</v>
      </c>
      <c r="R570" s="108" t="s">
        <v>42</v>
      </c>
      <c r="S570" s="108" t="s">
        <v>539</v>
      </c>
      <c r="T570" s="98">
        <v>0.1986609983977187</v>
      </c>
      <c r="U570" s="80">
        <v>16.964333908305473</v>
      </c>
      <c r="V570" s="98">
        <v>1E-8</v>
      </c>
      <c r="W570" s="98">
        <v>1E-8</v>
      </c>
      <c r="X570" s="98">
        <v>1E-8</v>
      </c>
      <c r="Y570" s="98">
        <v>1E-8</v>
      </c>
      <c r="Z570" s="98">
        <v>1E-8</v>
      </c>
      <c r="AA570" s="98">
        <v>1E-8</v>
      </c>
      <c r="AB570" s="98">
        <v>1E-8</v>
      </c>
      <c r="AC570" s="98">
        <v>1E-8</v>
      </c>
      <c r="AD570" s="4"/>
    </row>
    <row r="571" spans="1:30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4"/>
      <c r="O571" s="4"/>
      <c r="P571" s="68"/>
      <c r="Q571" s="68" t="s">
        <v>616</v>
      </c>
      <c r="R571" s="109" t="s">
        <v>42</v>
      </c>
      <c r="S571" s="109" t="s">
        <v>310</v>
      </c>
      <c r="T571" s="81">
        <v>0.77907569824783141</v>
      </c>
      <c r="U571" s="82">
        <v>3.8661136324575462</v>
      </c>
      <c r="V571" s="81">
        <v>1E-8</v>
      </c>
      <c r="W571" s="81">
        <v>1E-8</v>
      </c>
      <c r="X571" s="81">
        <v>1E-8</v>
      </c>
      <c r="Y571" s="81">
        <v>1E-8</v>
      </c>
      <c r="Z571" s="81">
        <v>1E-8</v>
      </c>
      <c r="AA571" s="81">
        <v>1E-8</v>
      </c>
      <c r="AB571" s="81">
        <v>1E-8</v>
      </c>
      <c r="AC571" s="81">
        <v>1E-8</v>
      </c>
      <c r="AD571" s="4"/>
    </row>
    <row r="572" spans="1:30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4"/>
      <c r="O572" s="4"/>
      <c r="P572" s="96"/>
      <c r="Q572" s="96" t="s">
        <v>280</v>
      </c>
      <c r="R572" s="107" t="s">
        <v>42</v>
      </c>
      <c r="S572" s="107" t="s">
        <v>311</v>
      </c>
      <c r="T572" s="97">
        <v>2.4266889037288712</v>
      </c>
      <c r="U572" s="78">
        <v>-4.2577937167287416E-2</v>
      </c>
      <c r="V572" s="97">
        <v>1E-8</v>
      </c>
      <c r="W572" s="97">
        <v>1E-8</v>
      </c>
      <c r="X572" s="97">
        <v>1E-8</v>
      </c>
      <c r="Y572" s="97">
        <v>1E-8</v>
      </c>
      <c r="Z572" s="97">
        <v>1E-8</v>
      </c>
      <c r="AA572" s="97">
        <v>1E-8</v>
      </c>
      <c r="AB572" s="97">
        <v>1E-8</v>
      </c>
      <c r="AC572" s="97">
        <v>1E-8</v>
      </c>
      <c r="AD572" s="4"/>
    </row>
    <row r="573" spans="1:30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4"/>
      <c r="O573" s="4"/>
      <c r="P573" s="68"/>
      <c r="Q573" s="68" t="s">
        <v>617</v>
      </c>
      <c r="R573" s="108" t="s">
        <v>42</v>
      </c>
      <c r="S573" s="108" t="s">
        <v>312</v>
      </c>
      <c r="T573" s="98">
        <v>1.021199621249097</v>
      </c>
      <c r="U573" s="80">
        <v>-1.0008339539139599</v>
      </c>
      <c r="V573" s="98">
        <v>1E-8</v>
      </c>
      <c r="W573" s="98">
        <v>1E-8</v>
      </c>
      <c r="X573" s="98">
        <v>1E-8</v>
      </c>
      <c r="Y573" s="98">
        <v>1E-8</v>
      </c>
      <c r="Z573" s="98">
        <v>1E-8</v>
      </c>
      <c r="AA573" s="98">
        <v>1E-8</v>
      </c>
      <c r="AB573" s="98">
        <v>1E-8</v>
      </c>
      <c r="AC573" s="98">
        <v>1E-8</v>
      </c>
      <c r="AD573" s="4"/>
    </row>
    <row r="574" spans="1:30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4"/>
      <c r="O574" s="4"/>
      <c r="P574" s="68"/>
      <c r="Q574" s="68" t="s">
        <v>618</v>
      </c>
      <c r="R574" s="108" t="s">
        <v>42</v>
      </c>
      <c r="S574" s="108" t="s">
        <v>316</v>
      </c>
      <c r="T574" s="98">
        <v>0.47200182638761923</v>
      </c>
      <c r="U574" s="80">
        <v>-3.0009004041128717</v>
      </c>
      <c r="V574" s="98">
        <v>1E-8</v>
      </c>
      <c r="W574" s="98">
        <v>1E-8</v>
      </c>
      <c r="X574" s="98">
        <v>1E-8</v>
      </c>
      <c r="Y574" s="98">
        <v>1E-8</v>
      </c>
      <c r="Z574" s="98">
        <v>1E-8</v>
      </c>
      <c r="AA574" s="98">
        <v>1E-8</v>
      </c>
      <c r="AB574" s="98">
        <v>1E-8</v>
      </c>
      <c r="AC574" s="98">
        <v>1E-8</v>
      </c>
      <c r="AD574" s="4"/>
    </row>
    <row r="575" spans="1:30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4"/>
      <c r="O575" s="4"/>
      <c r="P575" s="68"/>
      <c r="Q575" s="68" t="s">
        <v>619</v>
      </c>
      <c r="R575" s="108" t="s">
        <v>42</v>
      </c>
      <c r="S575" s="108" t="s">
        <v>314</v>
      </c>
      <c r="T575" s="98">
        <v>0.14786736151454735</v>
      </c>
      <c r="U575" s="80">
        <v>3.9095443008804853</v>
      </c>
      <c r="V575" s="98">
        <v>1E-8</v>
      </c>
      <c r="W575" s="98">
        <v>1E-8</v>
      </c>
      <c r="X575" s="98">
        <v>1E-8</v>
      </c>
      <c r="Y575" s="98">
        <v>1E-8</v>
      </c>
      <c r="Z575" s="98">
        <v>1E-8</v>
      </c>
      <c r="AA575" s="98">
        <v>1E-8</v>
      </c>
      <c r="AB575" s="98">
        <v>1E-8</v>
      </c>
      <c r="AC575" s="98">
        <v>1E-8</v>
      </c>
      <c r="AD575" s="4"/>
    </row>
    <row r="576" spans="1:30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4"/>
      <c r="O576" s="4"/>
      <c r="P576" s="68"/>
      <c r="Q576" s="68" t="s">
        <v>620</v>
      </c>
      <c r="R576" s="108" t="s">
        <v>42</v>
      </c>
      <c r="S576" s="108" t="s">
        <v>317</v>
      </c>
      <c r="T576" s="98">
        <v>3.0364192103877845E-2</v>
      </c>
      <c r="U576" s="80">
        <v>1.0075013352973894</v>
      </c>
      <c r="V576" s="98">
        <v>1E-8</v>
      </c>
      <c r="W576" s="98">
        <v>1E-8</v>
      </c>
      <c r="X576" s="98">
        <v>1E-8</v>
      </c>
      <c r="Y576" s="98">
        <v>1E-8</v>
      </c>
      <c r="Z576" s="98">
        <v>1E-8</v>
      </c>
      <c r="AA576" s="98">
        <v>1E-8</v>
      </c>
      <c r="AB576" s="98">
        <v>1E-8</v>
      </c>
      <c r="AC576" s="98">
        <v>1E-8</v>
      </c>
      <c r="AD576" s="4"/>
    </row>
    <row r="577" spans="1:30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4"/>
      <c r="O577" s="4"/>
      <c r="P577" s="68"/>
      <c r="Q577" s="68" t="s">
        <v>621</v>
      </c>
      <c r="R577" s="108" t="s">
        <v>42</v>
      </c>
      <c r="S577" s="108" t="s">
        <v>313</v>
      </c>
      <c r="T577" s="98">
        <v>0.44054796304906285</v>
      </c>
      <c r="U577" s="80">
        <v>0.91072302860870646</v>
      </c>
      <c r="V577" s="98">
        <v>1E-8</v>
      </c>
      <c r="W577" s="98">
        <v>1E-8</v>
      </c>
      <c r="X577" s="98">
        <v>1E-8</v>
      </c>
      <c r="Y577" s="98">
        <v>1E-8</v>
      </c>
      <c r="Z577" s="98">
        <v>1E-8</v>
      </c>
      <c r="AA577" s="98">
        <v>1E-8</v>
      </c>
      <c r="AB577" s="98">
        <v>1E-8</v>
      </c>
      <c r="AC577" s="98">
        <v>1E-8</v>
      </c>
      <c r="AD577" s="4"/>
    </row>
    <row r="578" spans="1:30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4"/>
      <c r="O578" s="4"/>
      <c r="P578" s="68"/>
      <c r="Q578" s="68" t="s">
        <v>622</v>
      </c>
      <c r="R578" s="108" t="s">
        <v>42</v>
      </c>
      <c r="S578" s="108" t="s">
        <v>315</v>
      </c>
      <c r="T578" s="98">
        <v>0.19365993370722814</v>
      </c>
      <c r="U578" s="80">
        <v>2.1445139469809193</v>
      </c>
      <c r="V578" s="98">
        <v>1E-8</v>
      </c>
      <c r="W578" s="98">
        <v>1E-8</v>
      </c>
      <c r="X578" s="98">
        <v>1E-8</v>
      </c>
      <c r="Y578" s="98">
        <v>1E-8</v>
      </c>
      <c r="Z578" s="98">
        <v>1E-8</v>
      </c>
      <c r="AA578" s="98">
        <v>1E-8</v>
      </c>
      <c r="AB578" s="98">
        <v>1E-8</v>
      </c>
      <c r="AC578" s="98">
        <v>1E-8</v>
      </c>
      <c r="AD578" s="4"/>
    </row>
    <row r="579" spans="1:30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4"/>
      <c r="O579" s="4"/>
      <c r="P579" s="68"/>
      <c r="Q579" s="68" t="s">
        <v>623</v>
      </c>
      <c r="R579" s="108" t="s">
        <v>42</v>
      </c>
      <c r="S579" s="108" t="s">
        <v>540</v>
      </c>
      <c r="T579" s="98">
        <v>7.2921790690045922E-3</v>
      </c>
      <c r="U579" s="80">
        <v>2.4905896562749552</v>
      </c>
      <c r="V579" s="98">
        <v>1E-8</v>
      </c>
      <c r="W579" s="98">
        <v>1E-8</v>
      </c>
      <c r="X579" s="98">
        <v>1E-8</v>
      </c>
      <c r="Y579" s="98">
        <v>1E-8</v>
      </c>
      <c r="Z579" s="98">
        <v>1E-8</v>
      </c>
      <c r="AA579" s="98">
        <v>1E-8</v>
      </c>
      <c r="AB579" s="98">
        <v>1E-8</v>
      </c>
      <c r="AC579" s="98">
        <v>1E-8</v>
      </c>
      <c r="AD579" s="4"/>
    </row>
    <row r="580" spans="1:30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4"/>
      <c r="O580" s="4"/>
      <c r="P580" s="68"/>
      <c r="Q580" s="68" t="s">
        <v>624</v>
      </c>
      <c r="R580" s="109" t="s">
        <v>42</v>
      </c>
      <c r="S580" s="109" t="s">
        <v>541</v>
      </c>
      <c r="T580" s="81">
        <v>0.11375582664843437</v>
      </c>
      <c r="U580" s="82">
        <v>7.8394834842095751</v>
      </c>
      <c r="V580" s="81">
        <v>1E-8</v>
      </c>
      <c r="W580" s="81">
        <v>1E-8</v>
      </c>
      <c r="X580" s="81">
        <v>1E-8</v>
      </c>
      <c r="Y580" s="81">
        <v>1E-8</v>
      </c>
      <c r="Z580" s="81">
        <v>1E-8</v>
      </c>
      <c r="AA580" s="81">
        <v>1E-8</v>
      </c>
      <c r="AB580" s="81">
        <v>1E-8</v>
      </c>
      <c r="AC580" s="81">
        <v>1E-8</v>
      </c>
      <c r="AD580" s="4"/>
    </row>
    <row r="581" spans="1:30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4"/>
      <c r="O581" s="4"/>
      <c r="P581" s="96"/>
      <c r="Q581" s="96" t="s">
        <v>281</v>
      </c>
      <c r="R581" s="107" t="s">
        <v>42</v>
      </c>
      <c r="S581" s="107" t="s">
        <v>318</v>
      </c>
      <c r="T581" s="97">
        <v>12.549108972149039</v>
      </c>
      <c r="U581" s="78">
        <v>0.68851410094505905</v>
      </c>
      <c r="V581" s="97">
        <v>1E-8</v>
      </c>
      <c r="W581" s="97">
        <v>1E-8</v>
      </c>
      <c r="X581" s="97">
        <v>1E-8</v>
      </c>
      <c r="Y581" s="97">
        <v>1E-8</v>
      </c>
      <c r="Z581" s="97">
        <v>1E-8</v>
      </c>
      <c r="AA581" s="97">
        <v>1E-8</v>
      </c>
      <c r="AB581" s="97">
        <v>1E-8</v>
      </c>
      <c r="AC581" s="97">
        <v>1E-8</v>
      </c>
      <c r="AD581" s="4"/>
    </row>
    <row r="582" spans="1:30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4"/>
      <c r="O582" s="4"/>
      <c r="P582" s="96"/>
      <c r="Q582" s="96" t="s">
        <v>135</v>
      </c>
      <c r="R582" s="107" t="s">
        <v>42</v>
      </c>
      <c r="S582" s="107" t="s">
        <v>542</v>
      </c>
      <c r="T582" s="97">
        <v>12.549108972149039</v>
      </c>
      <c r="U582" s="78">
        <v>0.68851410094505905</v>
      </c>
      <c r="V582" s="97">
        <v>1E-8</v>
      </c>
      <c r="W582" s="97">
        <v>1E-8</v>
      </c>
      <c r="X582" s="97">
        <v>1E-8</v>
      </c>
      <c r="Y582" s="97">
        <v>1E-8</v>
      </c>
      <c r="Z582" s="97">
        <v>1E-8</v>
      </c>
      <c r="AA582" s="97">
        <v>1E-8</v>
      </c>
      <c r="AB582" s="97">
        <v>1E-8</v>
      </c>
      <c r="AC582" s="97">
        <v>1E-8</v>
      </c>
      <c r="AD582" s="4"/>
    </row>
    <row r="583" spans="1:30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4"/>
      <c r="O583" s="4"/>
      <c r="P583" s="68"/>
      <c r="Q583" s="68" t="s">
        <v>625</v>
      </c>
      <c r="R583" s="108" t="s">
        <v>42</v>
      </c>
      <c r="S583" s="108" t="s">
        <v>543</v>
      </c>
      <c r="T583" s="98">
        <v>10.073880817132505</v>
      </c>
      <c r="U583" s="80">
        <v>0.83955293540320941</v>
      </c>
      <c r="V583" s="98">
        <v>1E-8</v>
      </c>
      <c r="W583" s="98">
        <v>1E-8</v>
      </c>
      <c r="X583" s="98">
        <v>1E-8</v>
      </c>
      <c r="Y583" s="98">
        <v>1E-8</v>
      </c>
      <c r="Z583" s="98">
        <v>1E-8</v>
      </c>
      <c r="AA583" s="98">
        <v>1E-8</v>
      </c>
      <c r="AB583" s="98">
        <v>1E-8</v>
      </c>
      <c r="AC583" s="98">
        <v>1E-8</v>
      </c>
      <c r="AD583" s="4"/>
    </row>
    <row r="584" spans="1:30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4"/>
      <c r="O584" s="4"/>
      <c r="P584" s="68"/>
      <c r="Q584" s="68" t="s">
        <v>626</v>
      </c>
      <c r="R584" s="108" t="s">
        <v>42</v>
      </c>
      <c r="S584" s="108" t="s">
        <v>544</v>
      </c>
      <c r="T584" s="98">
        <v>1.912596528004517</v>
      </c>
      <c r="U584" s="80">
        <v>0.3910655802408014</v>
      </c>
      <c r="V584" s="98">
        <v>1E-8</v>
      </c>
      <c r="W584" s="98">
        <v>1E-8</v>
      </c>
      <c r="X584" s="98">
        <v>1E-8</v>
      </c>
      <c r="Y584" s="98">
        <v>1E-8</v>
      </c>
      <c r="Z584" s="98">
        <v>1E-8</v>
      </c>
      <c r="AA584" s="98">
        <v>1E-8</v>
      </c>
      <c r="AB584" s="98">
        <v>1E-8</v>
      </c>
      <c r="AC584" s="98">
        <v>1E-8</v>
      </c>
      <c r="AD584" s="4"/>
    </row>
    <row r="585" spans="1:30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4"/>
      <c r="O585" s="4"/>
      <c r="P585" s="68"/>
      <c r="Q585" s="68" t="s">
        <v>627</v>
      </c>
      <c r="R585" s="108" t="s">
        <v>42</v>
      </c>
      <c r="S585" s="108" t="s">
        <v>319</v>
      </c>
      <c r="T585" s="98">
        <v>0.56263162701201641</v>
      </c>
      <c r="U585" s="80">
        <v>-1.0046865002907412</v>
      </c>
      <c r="V585" s="98">
        <v>1E-8</v>
      </c>
      <c r="W585" s="98">
        <v>1E-8</v>
      </c>
      <c r="X585" s="98">
        <v>1E-8</v>
      </c>
      <c r="Y585" s="98">
        <v>1E-8</v>
      </c>
      <c r="Z585" s="98">
        <v>1E-8</v>
      </c>
      <c r="AA585" s="98">
        <v>1E-8</v>
      </c>
      <c r="AB585" s="98">
        <v>1E-8</v>
      </c>
      <c r="AC585" s="98">
        <v>1E-8</v>
      </c>
      <c r="AD585" s="4"/>
    </row>
    <row r="586" spans="1:30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4"/>
      <c r="O586" s="4"/>
      <c r="P586" s="71"/>
      <c r="Q586" s="71" t="s">
        <v>628</v>
      </c>
      <c r="R586" s="110" t="s">
        <v>42</v>
      </c>
      <c r="S586" s="110" t="s">
        <v>320</v>
      </c>
      <c r="T586" s="83">
        <v>1E-8</v>
      </c>
      <c r="U586" s="84">
        <v>1E-8</v>
      </c>
      <c r="V586" s="83">
        <v>1E-8</v>
      </c>
      <c r="W586" s="83">
        <v>1E-8</v>
      </c>
      <c r="X586" s="83">
        <v>1E-8</v>
      </c>
      <c r="Y586" s="83">
        <v>1E-8</v>
      </c>
      <c r="Z586" s="83">
        <v>1E-8</v>
      </c>
      <c r="AA586" s="83">
        <v>1E-8</v>
      </c>
      <c r="AB586" s="83">
        <v>1E-8</v>
      </c>
      <c r="AC586" s="83">
        <v>1E-8</v>
      </c>
      <c r="AD586" s="4"/>
    </row>
    <row r="587" spans="1:30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4"/>
      <c r="O587" s="4"/>
      <c r="P587" s="99"/>
      <c r="Q587" s="99" t="s">
        <v>282</v>
      </c>
      <c r="R587" s="105" t="s">
        <v>42</v>
      </c>
      <c r="S587" s="105" t="s">
        <v>321</v>
      </c>
      <c r="T587" s="95">
        <v>70.810016336958597</v>
      </c>
      <c r="U587" s="74">
        <v>-0.29075131436085977</v>
      </c>
      <c r="V587" s="95">
        <v>1E-8</v>
      </c>
      <c r="W587" s="95">
        <v>1E-8</v>
      </c>
      <c r="X587" s="95">
        <v>1E-8</v>
      </c>
      <c r="Y587" s="95">
        <v>1E-8</v>
      </c>
      <c r="Z587" s="95">
        <v>1E-8</v>
      </c>
      <c r="AA587" s="95">
        <v>1E-8</v>
      </c>
      <c r="AB587" s="95">
        <v>1E-8</v>
      </c>
      <c r="AC587" s="95">
        <v>1E-8</v>
      </c>
      <c r="AD587" s="4"/>
    </row>
    <row r="588" spans="1:30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4"/>
      <c r="O588" s="4"/>
      <c r="P588" s="99"/>
      <c r="Q588" s="99" t="s">
        <v>283</v>
      </c>
      <c r="R588" s="105" t="s">
        <v>42</v>
      </c>
      <c r="S588" s="105" t="s">
        <v>322</v>
      </c>
      <c r="T588" s="95">
        <v>18.738876732904902</v>
      </c>
      <c r="U588" s="74">
        <v>-0.8254864722630928</v>
      </c>
      <c r="V588" s="95">
        <v>1E-8</v>
      </c>
      <c r="W588" s="95">
        <v>1E-8</v>
      </c>
      <c r="X588" s="95">
        <v>1E-8</v>
      </c>
      <c r="Y588" s="95">
        <v>1E-8</v>
      </c>
      <c r="Z588" s="95">
        <v>1E-8</v>
      </c>
      <c r="AA588" s="95">
        <v>1E-8</v>
      </c>
      <c r="AB588" s="95">
        <v>1E-8</v>
      </c>
      <c r="AC588" s="95">
        <v>1E-8</v>
      </c>
      <c r="AD588" s="4"/>
    </row>
    <row r="589" spans="1:30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4"/>
      <c r="O589" s="4"/>
      <c r="P589" s="96"/>
      <c r="Q589" s="96" t="s">
        <v>284</v>
      </c>
      <c r="R589" s="107" t="s">
        <v>42</v>
      </c>
      <c r="S589" s="107" t="s">
        <v>323</v>
      </c>
      <c r="T589" s="97">
        <v>1E-8</v>
      </c>
      <c r="U589" s="78">
        <v>1E-8</v>
      </c>
      <c r="V589" s="97">
        <v>1E-8</v>
      </c>
      <c r="W589" s="97">
        <v>1E-8</v>
      </c>
      <c r="X589" s="97">
        <v>1E-8</v>
      </c>
      <c r="Y589" s="97">
        <v>1E-8</v>
      </c>
      <c r="Z589" s="97">
        <v>1E-8</v>
      </c>
      <c r="AA589" s="97">
        <v>1E-8</v>
      </c>
      <c r="AB589" s="97">
        <v>1E-8</v>
      </c>
      <c r="AC589" s="97">
        <v>1E-8</v>
      </c>
      <c r="AD589" s="4"/>
    </row>
    <row r="590" spans="1:30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4"/>
      <c r="O590" s="4"/>
      <c r="P590" s="68"/>
      <c r="Q590" s="68" t="s">
        <v>629</v>
      </c>
      <c r="R590" s="108" t="s">
        <v>42</v>
      </c>
      <c r="S590" s="108" t="s">
        <v>324</v>
      </c>
      <c r="T590" s="98">
        <v>1E-8</v>
      </c>
      <c r="U590" s="80">
        <v>1E-8</v>
      </c>
      <c r="V590" s="98">
        <v>1E-8</v>
      </c>
      <c r="W590" s="98">
        <v>1E-8</v>
      </c>
      <c r="X590" s="98">
        <v>1E-8</v>
      </c>
      <c r="Y590" s="98">
        <v>1E-8</v>
      </c>
      <c r="Z590" s="98">
        <v>1E-8</v>
      </c>
      <c r="AA590" s="98">
        <v>1E-8</v>
      </c>
      <c r="AB590" s="98">
        <v>1E-8</v>
      </c>
      <c r="AC590" s="98">
        <v>1E-8</v>
      </c>
      <c r="AD590" s="4"/>
    </row>
    <row r="591" spans="1:30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4"/>
      <c r="O591" s="4"/>
      <c r="P591" s="68"/>
      <c r="Q591" s="68" t="s">
        <v>630</v>
      </c>
      <c r="R591" s="108" t="s">
        <v>42</v>
      </c>
      <c r="S591" s="108" t="s">
        <v>545</v>
      </c>
      <c r="T591" s="98">
        <v>1E-8</v>
      </c>
      <c r="U591" s="80">
        <v>1E-8</v>
      </c>
      <c r="V591" s="98">
        <v>1E-8</v>
      </c>
      <c r="W591" s="98">
        <v>1E-8</v>
      </c>
      <c r="X591" s="98">
        <v>1E-8</v>
      </c>
      <c r="Y591" s="98">
        <v>1E-8</v>
      </c>
      <c r="Z591" s="98">
        <v>1E-8</v>
      </c>
      <c r="AA591" s="98">
        <v>1E-8</v>
      </c>
      <c r="AB591" s="98">
        <v>1E-8</v>
      </c>
      <c r="AC591" s="98">
        <v>1E-8</v>
      </c>
      <c r="AD591" s="4"/>
    </row>
    <row r="592" spans="1:30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4"/>
      <c r="O592" s="4"/>
      <c r="P592" s="68"/>
      <c r="Q592" s="68" t="s">
        <v>631</v>
      </c>
      <c r="R592" s="109" t="s">
        <v>42</v>
      </c>
      <c r="S592" s="109" t="s">
        <v>325</v>
      </c>
      <c r="T592" s="81">
        <v>1E-8</v>
      </c>
      <c r="U592" s="82">
        <v>1E-8</v>
      </c>
      <c r="V592" s="81">
        <v>1E-8</v>
      </c>
      <c r="W592" s="81">
        <v>1E-8</v>
      </c>
      <c r="X592" s="81">
        <v>1E-8</v>
      </c>
      <c r="Y592" s="81">
        <v>1E-8</v>
      </c>
      <c r="Z592" s="81">
        <v>1E-8</v>
      </c>
      <c r="AA592" s="81">
        <v>1E-8</v>
      </c>
      <c r="AB592" s="81">
        <v>1E-8</v>
      </c>
      <c r="AC592" s="81">
        <v>1E-8</v>
      </c>
      <c r="AD592" s="4"/>
    </row>
    <row r="593" spans="1:30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4"/>
      <c r="O593" s="4"/>
      <c r="P593" s="96"/>
      <c r="Q593" s="96" t="s">
        <v>285</v>
      </c>
      <c r="R593" s="107" t="s">
        <v>42</v>
      </c>
      <c r="S593" s="107" t="s">
        <v>326</v>
      </c>
      <c r="T593" s="97">
        <v>4.5876175843959599</v>
      </c>
      <c r="U593" s="78">
        <v>4.6375876996090248</v>
      </c>
      <c r="V593" s="97">
        <v>1E-8</v>
      </c>
      <c r="W593" s="97">
        <v>1E-8</v>
      </c>
      <c r="X593" s="97">
        <v>1E-8</v>
      </c>
      <c r="Y593" s="97">
        <v>1E-8</v>
      </c>
      <c r="Z593" s="97">
        <v>1E-8</v>
      </c>
      <c r="AA593" s="97">
        <v>1E-8</v>
      </c>
      <c r="AB593" s="97">
        <v>1E-8</v>
      </c>
      <c r="AC593" s="97">
        <v>1E-8</v>
      </c>
      <c r="AD593" s="4"/>
    </row>
    <row r="594" spans="1:30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4"/>
      <c r="O594" s="4"/>
      <c r="P594" s="68"/>
      <c r="Q594" s="68" t="s">
        <v>364</v>
      </c>
      <c r="R594" s="108" t="s">
        <v>42</v>
      </c>
      <c r="S594" s="108" t="s">
        <v>327</v>
      </c>
      <c r="T594" s="98">
        <v>2.5467872652718877</v>
      </c>
      <c r="U594" s="80">
        <v>3.5541030917763283</v>
      </c>
      <c r="V594" s="98">
        <v>1E-8</v>
      </c>
      <c r="W594" s="98">
        <v>1E-8</v>
      </c>
      <c r="X594" s="98">
        <v>1E-8</v>
      </c>
      <c r="Y594" s="98">
        <v>1E-8</v>
      </c>
      <c r="Z594" s="98">
        <v>1E-8</v>
      </c>
      <c r="AA594" s="98">
        <v>1E-8</v>
      </c>
      <c r="AB594" s="98">
        <v>1E-8</v>
      </c>
      <c r="AC594" s="98">
        <v>1E-8</v>
      </c>
      <c r="AD594" s="4"/>
    </row>
    <row r="595" spans="1:30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4"/>
      <c r="O595" s="4"/>
      <c r="P595" s="100"/>
      <c r="Q595" s="100" t="s">
        <v>632</v>
      </c>
      <c r="R595" s="111" t="s">
        <v>42</v>
      </c>
      <c r="S595" s="111" t="s">
        <v>328</v>
      </c>
      <c r="T595" s="101">
        <v>0.38019736315461983</v>
      </c>
      <c r="U595" s="86">
        <v>1.0878094535222704</v>
      </c>
      <c r="V595" s="101">
        <v>1E-8</v>
      </c>
      <c r="W595" s="101">
        <v>1E-8</v>
      </c>
      <c r="X595" s="101">
        <v>1E-8</v>
      </c>
      <c r="Y595" s="101">
        <v>1E-8</v>
      </c>
      <c r="Z595" s="101">
        <v>1E-8</v>
      </c>
      <c r="AA595" s="101">
        <v>1E-8</v>
      </c>
      <c r="AB595" s="101">
        <v>1E-8</v>
      </c>
      <c r="AC595" s="101">
        <v>1E-8</v>
      </c>
      <c r="AD595" s="4"/>
    </row>
    <row r="596" spans="1:30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4"/>
      <c r="O596" s="4"/>
      <c r="P596" s="100"/>
      <c r="Q596" s="100" t="s">
        <v>633</v>
      </c>
      <c r="R596" s="111" t="s">
        <v>42</v>
      </c>
      <c r="S596" s="111" t="s">
        <v>329</v>
      </c>
      <c r="T596" s="101">
        <v>1E-8</v>
      </c>
      <c r="U596" s="86">
        <v>1E-8</v>
      </c>
      <c r="V596" s="101">
        <v>1E-8</v>
      </c>
      <c r="W596" s="101">
        <v>1E-8</v>
      </c>
      <c r="X596" s="101">
        <v>1E-8</v>
      </c>
      <c r="Y596" s="101">
        <v>1E-8</v>
      </c>
      <c r="Z596" s="101">
        <v>1E-8</v>
      </c>
      <c r="AA596" s="101">
        <v>1E-8</v>
      </c>
      <c r="AB596" s="101">
        <v>1E-8</v>
      </c>
      <c r="AC596" s="101">
        <v>1E-8</v>
      </c>
      <c r="AD596" s="4"/>
    </row>
    <row r="597" spans="1:30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4"/>
      <c r="O597" s="4"/>
      <c r="P597" s="100"/>
      <c r="Q597" s="100" t="s">
        <v>634</v>
      </c>
      <c r="R597" s="111" t="s">
        <v>42</v>
      </c>
      <c r="S597" s="111" t="s">
        <v>331</v>
      </c>
      <c r="T597" s="101">
        <v>6.7695378511103549E-2</v>
      </c>
      <c r="U597" s="86">
        <v>2.6857942028608139</v>
      </c>
      <c r="V597" s="101">
        <v>1E-8</v>
      </c>
      <c r="W597" s="101">
        <v>1E-8</v>
      </c>
      <c r="X597" s="101">
        <v>1E-8</v>
      </c>
      <c r="Y597" s="101">
        <v>1E-8</v>
      </c>
      <c r="Z597" s="101">
        <v>1E-8</v>
      </c>
      <c r="AA597" s="101">
        <v>1E-8</v>
      </c>
      <c r="AB597" s="101">
        <v>1E-8</v>
      </c>
      <c r="AC597" s="101">
        <v>1E-8</v>
      </c>
      <c r="AD597" s="4"/>
    </row>
    <row r="598" spans="1:30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4"/>
      <c r="O598" s="4"/>
      <c r="P598" s="100"/>
      <c r="Q598" s="100" t="s">
        <v>635</v>
      </c>
      <c r="R598" s="111" t="s">
        <v>42</v>
      </c>
      <c r="S598" s="111" t="s">
        <v>332</v>
      </c>
      <c r="T598" s="101">
        <v>6.5954882650474861E-2</v>
      </c>
      <c r="U598" s="86">
        <v>11.057888187085174</v>
      </c>
      <c r="V598" s="101">
        <v>1E-8</v>
      </c>
      <c r="W598" s="101">
        <v>1E-8</v>
      </c>
      <c r="X598" s="101">
        <v>1E-8</v>
      </c>
      <c r="Y598" s="101">
        <v>1E-8</v>
      </c>
      <c r="Z598" s="101">
        <v>1E-8</v>
      </c>
      <c r="AA598" s="101">
        <v>1E-8</v>
      </c>
      <c r="AB598" s="101">
        <v>1E-8</v>
      </c>
      <c r="AC598" s="101">
        <v>1E-8</v>
      </c>
      <c r="AD598" s="4"/>
    </row>
    <row r="599" spans="1:30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4"/>
      <c r="O599" s="4"/>
      <c r="P599" s="100"/>
      <c r="Q599" s="100" t="s">
        <v>636</v>
      </c>
      <c r="R599" s="111" t="s">
        <v>42</v>
      </c>
      <c r="S599" s="111" t="s">
        <v>330</v>
      </c>
      <c r="T599" s="101">
        <v>8.9129985031910275E-2</v>
      </c>
      <c r="U599" s="86">
        <v>2.46410627114928</v>
      </c>
      <c r="V599" s="101">
        <v>1E-8</v>
      </c>
      <c r="W599" s="101">
        <v>1E-8</v>
      </c>
      <c r="X599" s="101">
        <v>1E-8</v>
      </c>
      <c r="Y599" s="101">
        <v>1E-8</v>
      </c>
      <c r="Z599" s="101">
        <v>1E-8</v>
      </c>
      <c r="AA599" s="101">
        <v>1E-8</v>
      </c>
      <c r="AB599" s="101">
        <v>1E-8</v>
      </c>
      <c r="AC599" s="101">
        <v>1E-8</v>
      </c>
      <c r="AD599" s="4"/>
    </row>
    <row r="600" spans="1:30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4"/>
      <c r="O600" s="4"/>
      <c r="P600" s="100"/>
      <c r="Q600" s="100" t="s">
        <v>637</v>
      </c>
      <c r="R600" s="111" t="s">
        <v>42</v>
      </c>
      <c r="S600" s="111" t="s">
        <v>333</v>
      </c>
      <c r="T600" s="101">
        <v>1.1121062597327065</v>
      </c>
      <c r="U600" s="86">
        <v>2.4273687955675749</v>
      </c>
      <c r="V600" s="101">
        <v>1E-8</v>
      </c>
      <c r="W600" s="101">
        <v>1E-8</v>
      </c>
      <c r="X600" s="101">
        <v>1E-8</v>
      </c>
      <c r="Y600" s="101">
        <v>1E-8</v>
      </c>
      <c r="Z600" s="101">
        <v>1E-8</v>
      </c>
      <c r="AA600" s="101">
        <v>1E-8</v>
      </c>
      <c r="AB600" s="101">
        <v>1E-8</v>
      </c>
      <c r="AC600" s="101">
        <v>1E-8</v>
      </c>
      <c r="AD600" s="4"/>
    </row>
    <row r="601" spans="1:30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4"/>
      <c r="O601" s="4"/>
      <c r="P601" s="100"/>
      <c r="Q601" s="100" t="s">
        <v>638</v>
      </c>
      <c r="R601" s="111" t="s">
        <v>42</v>
      </c>
      <c r="S601" s="111" t="s">
        <v>546</v>
      </c>
      <c r="T601" s="101">
        <v>0.30755387445706189</v>
      </c>
      <c r="U601" s="86">
        <v>0.57283467490920614</v>
      </c>
      <c r="V601" s="101">
        <v>1E-8</v>
      </c>
      <c r="W601" s="101">
        <v>1E-8</v>
      </c>
      <c r="X601" s="101">
        <v>1E-8</v>
      </c>
      <c r="Y601" s="101">
        <v>1E-8</v>
      </c>
      <c r="Z601" s="101">
        <v>1E-8</v>
      </c>
      <c r="AA601" s="101">
        <v>1E-8</v>
      </c>
      <c r="AB601" s="101">
        <v>1E-8</v>
      </c>
      <c r="AC601" s="101">
        <v>1E-8</v>
      </c>
      <c r="AD601" s="4"/>
    </row>
    <row r="602" spans="1:30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4"/>
      <c r="O602" s="4"/>
      <c r="P602" s="100"/>
      <c r="Q602" s="100" t="s">
        <v>639</v>
      </c>
      <c r="R602" s="111" t="s">
        <v>42</v>
      </c>
      <c r="S602" s="111" t="s">
        <v>335</v>
      </c>
      <c r="T602" s="101">
        <v>4.5630218691825583E-2</v>
      </c>
      <c r="U602" s="86">
        <v>-3.2284025299974761</v>
      </c>
      <c r="V602" s="101">
        <v>1E-8</v>
      </c>
      <c r="W602" s="101">
        <v>1E-8</v>
      </c>
      <c r="X602" s="101">
        <v>1E-8</v>
      </c>
      <c r="Y602" s="101">
        <v>1E-8</v>
      </c>
      <c r="Z602" s="101">
        <v>1E-8</v>
      </c>
      <c r="AA602" s="101">
        <v>1E-8</v>
      </c>
      <c r="AB602" s="101">
        <v>1E-8</v>
      </c>
      <c r="AC602" s="101">
        <v>1E-8</v>
      </c>
      <c r="AD602" s="4"/>
    </row>
    <row r="603" spans="1:30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4"/>
      <c r="O603" s="4"/>
      <c r="P603" s="100"/>
      <c r="Q603" s="100" t="s">
        <v>640</v>
      </c>
      <c r="R603" s="111" t="s">
        <v>42</v>
      </c>
      <c r="S603" s="111" t="s">
        <v>334</v>
      </c>
      <c r="T603" s="101">
        <v>0.47851930304218515</v>
      </c>
      <c r="U603" s="86">
        <v>9.9867278225757019</v>
      </c>
      <c r="V603" s="101">
        <v>1E-8</v>
      </c>
      <c r="W603" s="101">
        <v>1E-8</v>
      </c>
      <c r="X603" s="101">
        <v>1E-8</v>
      </c>
      <c r="Y603" s="101">
        <v>1E-8</v>
      </c>
      <c r="Z603" s="101">
        <v>1E-8</v>
      </c>
      <c r="AA603" s="101">
        <v>1E-8</v>
      </c>
      <c r="AB603" s="101">
        <v>1E-8</v>
      </c>
      <c r="AC603" s="101">
        <v>1E-8</v>
      </c>
      <c r="AD603" s="4"/>
    </row>
    <row r="604" spans="1:30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4"/>
      <c r="O604" s="4"/>
      <c r="P604" s="68"/>
      <c r="Q604" s="68" t="s">
        <v>365</v>
      </c>
      <c r="R604" s="108" t="s">
        <v>42</v>
      </c>
      <c r="S604" s="108" t="s">
        <v>374</v>
      </c>
      <c r="T604" s="98">
        <v>0.99214414268136775</v>
      </c>
      <c r="U604" s="80">
        <v>-0.91896739322405718</v>
      </c>
      <c r="V604" s="98">
        <v>1E-8</v>
      </c>
      <c r="W604" s="98">
        <v>1E-8</v>
      </c>
      <c r="X604" s="98">
        <v>1E-8</v>
      </c>
      <c r="Y604" s="98">
        <v>1E-8</v>
      </c>
      <c r="Z604" s="98">
        <v>1E-8</v>
      </c>
      <c r="AA604" s="98">
        <v>1E-8</v>
      </c>
      <c r="AB604" s="98">
        <v>1E-8</v>
      </c>
      <c r="AC604" s="98">
        <v>1E-8</v>
      </c>
      <c r="AD604" s="4"/>
    </row>
    <row r="605" spans="1:30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4"/>
      <c r="O605" s="4"/>
      <c r="P605" s="100"/>
      <c r="Q605" s="100" t="s">
        <v>641</v>
      </c>
      <c r="R605" s="111" t="s">
        <v>42</v>
      </c>
      <c r="S605" s="111" t="s">
        <v>547</v>
      </c>
      <c r="T605" s="101">
        <v>0.82357954192967264</v>
      </c>
      <c r="U605" s="86">
        <v>-1.5223111722056148</v>
      </c>
      <c r="V605" s="101">
        <v>1E-8</v>
      </c>
      <c r="W605" s="101">
        <v>1E-8</v>
      </c>
      <c r="X605" s="101">
        <v>1E-8</v>
      </c>
      <c r="Y605" s="101">
        <v>1E-8</v>
      </c>
      <c r="Z605" s="101">
        <v>1E-8</v>
      </c>
      <c r="AA605" s="101">
        <v>1E-8</v>
      </c>
      <c r="AB605" s="101">
        <v>1E-8</v>
      </c>
      <c r="AC605" s="101">
        <v>1E-8</v>
      </c>
      <c r="AD605" s="4"/>
    </row>
    <row r="606" spans="1:30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4"/>
      <c r="O606" s="4"/>
      <c r="P606" s="100"/>
      <c r="Q606" s="100" t="s">
        <v>642</v>
      </c>
      <c r="R606" s="111" t="s">
        <v>42</v>
      </c>
      <c r="S606" s="111" t="s">
        <v>336</v>
      </c>
      <c r="T606" s="101">
        <v>0.16169686059684593</v>
      </c>
      <c r="U606" s="86">
        <v>2.1618334956811314</v>
      </c>
      <c r="V606" s="101">
        <v>1E-8</v>
      </c>
      <c r="W606" s="101">
        <v>1E-8</v>
      </c>
      <c r="X606" s="101">
        <v>1E-8</v>
      </c>
      <c r="Y606" s="101">
        <v>1E-8</v>
      </c>
      <c r="Z606" s="101">
        <v>1E-8</v>
      </c>
      <c r="AA606" s="101">
        <v>1E-8</v>
      </c>
      <c r="AB606" s="101">
        <v>1E-8</v>
      </c>
      <c r="AC606" s="101">
        <v>1E-8</v>
      </c>
      <c r="AD606" s="4"/>
    </row>
    <row r="607" spans="1:30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4"/>
      <c r="O607" s="4"/>
      <c r="P607" s="100"/>
      <c r="Q607" s="100" t="s">
        <v>643</v>
      </c>
      <c r="R607" s="112" t="s">
        <v>42</v>
      </c>
      <c r="S607" s="112" t="s">
        <v>337</v>
      </c>
      <c r="T607" s="87">
        <v>6.8677401548491931E-3</v>
      </c>
      <c r="U607" s="88">
        <v>-1.101594969677866</v>
      </c>
      <c r="V607" s="87">
        <v>1E-8</v>
      </c>
      <c r="W607" s="87">
        <v>1E-8</v>
      </c>
      <c r="X607" s="87">
        <v>1E-8</v>
      </c>
      <c r="Y607" s="87">
        <v>1E-8</v>
      </c>
      <c r="Z607" s="87">
        <v>1E-8</v>
      </c>
      <c r="AA607" s="87">
        <v>1E-8</v>
      </c>
      <c r="AB607" s="87">
        <v>1E-8</v>
      </c>
      <c r="AC607" s="87">
        <v>1E-8</v>
      </c>
      <c r="AD607" s="4"/>
    </row>
    <row r="608" spans="1:30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4"/>
      <c r="O608" s="4"/>
      <c r="P608" s="68"/>
      <c r="Q608" s="68" t="s">
        <v>644</v>
      </c>
      <c r="R608" s="108" t="s">
        <v>42</v>
      </c>
      <c r="S608" s="108" t="s">
        <v>338</v>
      </c>
      <c r="T608" s="98">
        <v>1E-8</v>
      </c>
      <c r="U608" s="80">
        <v>1E-8</v>
      </c>
      <c r="V608" s="98">
        <v>1E-8</v>
      </c>
      <c r="W608" s="98">
        <v>1E-8</v>
      </c>
      <c r="X608" s="98">
        <v>1E-8</v>
      </c>
      <c r="Y608" s="98">
        <v>1E-8</v>
      </c>
      <c r="Z608" s="98">
        <v>1E-8</v>
      </c>
      <c r="AA608" s="98">
        <v>1E-8</v>
      </c>
      <c r="AB608" s="98">
        <v>1E-8</v>
      </c>
      <c r="AC608" s="98">
        <v>1E-8</v>
      </c>
      <c r="AD608" s="4"/>
    </row>
    <row r="609" spans="1:30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4"/>
      <c r="O609" s="4"/>
      <c r="P609" s="68"/>
      <c r="Q609" s="68" t="s">
        <v>366</v>
      </c>
      <c r="R609" s="108" t="s">
        <v>42</v>
      </c>
      <c r="S609" s="108" t="s">
        <v>339</v>
      </c>
      <c r="T609" s="98">
        <v>1E-8</v>
      </c>
      <c r="U609" s="80">
        <v>1E-8</v>
      </c>
      <c r="V609" s="98">
        <v>1E-8</v>
      </c>
      <c r="W609" s="98">
        <v>1E-8</v>
      </c>
      <c r="X609" s="98">
        <v>1E-8</v>
      </c>
      <c r="Y609" s="98">
        <v>1E-8</v>
      </c>
      <c r="Z609" s="98">
        <v>1E-8</v>
      </c>
      <c r="AA609" s="98">
        <v>1E-8</v>
      </c>
      <c r="AB609" s="98">
        <v>1E-8</v>
      </c>
      <c r="AC609" s="98">
        <v>1E-8</v>
      </c>
      <c r="AD609" s="4"/>
    </row>
    <row r="610" spans="1:30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4"/>
      <c r="O610" s="4"/>
      <c r="P610" s="100"/>
      <c r="Q610" s="100" t="s">
        <v>645</v>
      </c>
      <c r="R610" s="111" t="s">
        <v>42</v>
      </c>
      <c r="S610" s="111" t="s">
        <v>340</v>
      </c>
      <c r="T610" s="101">
        <v>1E-8</v>
      </c>
      <c r="U610" s="86">
        <v>1E-8</v>
      </c>
      <c r="V610" s="101">
        <v>1E-8</v>
      </c>
      <c r="W610" s="101">
        <v>1E-8</v>
      </c>
      <c r="X610" s="101">
        <v>1E-8</v>
      </c>
      <c r="Y610" s="101">
        <v>1E-8</v>
      </c>
      <c r="Z610" s="101">
        <v>1E-8</v>
      </c>
      <c r="AA610" s="101">
        <v>1E-8</v>
      </c>
      <c r="AB610" s="101">
        <v>1E-8</v>
      </c>
      <c r="AC610" s="101">
        <v>1E-8</v>
      </c>
      <c r="AD610" s="4"/>
    </row>
    <row r="611" spans="1:30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4"/>
      <c r="O611" s="4"/>
      <c r="P611" s="100"/>
      <c r="Q611" s="100" t="s">
        <v>646</v>
      </c>
      <c r="R611" s="111" t="s">
        <v>42</v>
      </c>
      <c r="S611" s="111" t="s">
        <v>548</v>
      </c>
      <c r="T611" s="101">
        <v>1E-8</v>
      </c>
      <c r="U611" s="86">
        <v>1E-8</v>
      </c>
      <c r="V611" s="101">
        <v>1E-8</v>
      </c>
      <c r="W611" s="101">
        <v>1E-8</v>
      </c>
      <c r="X611" s="101">
        <v>1E-8</v>
      </c>
      <c r="Y611" s="101">
        <v>1E-8</v>
      </c>
      <c r="Z611" s="101">
        <v>1E-8</v>
      </c>
      <c r="AA611" s="101">
        <v>1E-8</v>
      </c>
      <c r="AB611" s="101">
        <v>1E-8</v>
      </c>
      <c r="AC611" s="101">
        <v>1E-8</v>
      </c>
      <c r="AD611" s="4"/>
    </row>
    <row r="612" spans="1:30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4"/>
      <c r="O612" s="4"/>
      <c r="P612" s="68"/>
      <c r="Q612" s="68" t="s">
        <v>367</v>
      </c>
      <c r="R612" s="108" t="s">
        <v>42</v>
      </c>
      <c r="S612" s="108" t="s">
        <v>341</v>
      </c>
      <c r="T612" s="98">
        <v>1.3562333974311544E-2</v>
      </c>
      <c r="U612" s="80">
        <v>36.179353784493415</v>
      </c>
      <c r="V612" s="98">
        <v>1E-8</v>
      </c>
      <c r="W612" s="98">
        <v>1E-8</v>
      </c>
      <c r="X612" s="98">
        <v>1E-8</v>
      </c>
      <c r="Y612" s="98">
        <v>1E-8</v>
      </c>
      <c r="Z612" s="98">
        <v>1E-8</v>
      </c>
      <c r="AA612" s="98">
        <v>1E-8</v>
      </c>
      <c r="AB612" s="98">
        <v>1E-8</v>
      </c>
      <c r="AC612" s="98">
        <v>1E-8</v>
      </c>
      <c r="AD612" s="4"/>
    </row>
    <row r="613" spans="1:30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4"/>
      <c r="O613" s="4"/>
      <c r="P613" s="100"/>
      <c r="Q613" s="100" t="s">
        <v>647</v>
      </c>
      <c r="R613" s="111" t="s">
        <v>42</v>
      </c>
      <c r="S613" s="111" t="s">
        <v>342</v>
      </c>
      <c r="T613" s="101">
        <v>8.7101510524530059E-5</v>
      </c>
      <c r="U613" s="86">
        <v>6.6955868071135294</v>
      </c>
      <c r="V613" s="101">
        <v>1E-8</v>
      </c>
      <c r="W613" s="101">
        <v>1E-8</v>
      </c>
      <c r="X613" s="101">
        <v>1E-8</v>
      </c>
      <c r="Y613" s="101">
        <v>1E-8</v>
      </c>
      <c r="Z613" s="101">
        <v>1E-8</v>
      </c>
      <c r="AA613" s="101">
        <v>1E-8</v>
      </c>
      <c r="AB613" s="101">
        <v>1E-8</v>
      </c>
      <c r="AC613" s="101">
        <v>1E-8</v>
      </c>
      <c r="AD613" s="4"/>
    </row>
    <row r="614" spans="1:30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4"/>
      <c r="O614" s="4"/>
      <c r="P614" s="100"/>
      <c r="Q614" s="100" t="s">
        <v>648</v>
      </c>
      <c r="R614" s="111" t="s">
        <v>42</v>
      </c>
      <c r="S614" s="111" t="s">
        <v>343</v>
      </c>
      <c r="T614" s="101">
        <v>9.8367449632864017E-3</v>
      </c>
      <c r="U614" s="86">
        <v>46.68934647463616</v>
      </c>
      <c r="V614" s="101">
        <v>1E-8</v>
      </c>
      <c r="W614" s="101">
        <v>1E-8</v>
      </c>
      <c r="X614" s="101">
        <v>1E-8</v>
      </c>
      <c r="Y614" s="101">
        <v>1E-8</v>
      </c>
      <c r="Z614" s="101">
        <v>1E-8</v>
      </c>
      <c r="AA614" s="101">
        <v>1E-8</v>
      </c>
      <c r="AB614" s="101">
        <v>1E-8</v>
      </c>
      <c r="AC614" s="101">
        <v>1E-8</v>
      </c>
      <c r="AD614" s="4"/>
    </row>
    <row r="615" spans="1:30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4"/>
      <c r="O615" s="4"/>
      <c r="P615" s="100"/>
      <c r="Q615" s="100" t="s">
        <v>649</v>
      </c>
      <c r="R615" s="111" t="s">
        <v>42</v>
      </c>
      <c r="S615" s="111" t="s">
        <v>549</v>
      </c>
      <c r="T615" s="101">
        <v>2.2061295214919072E-3</v>
      </c>
      <c r="U615" s="86">
        <v>6.4628519035613285</v>
      </c>
      <c r="V615" s="101">
        <v>1E-8</v>
      </c>
      <c r="W615" s="101">
        <v>1E-8</v>
      </c>
      <c r="X615" s="101">
        <v>1E-8</v>
      </c>
      <c r="Y615" s="101">
        <v>1E-8</v>
      </c>
      <c r="Z615" s="101">
        <v>1E-8</v>
      </c>
      <c r="AA615" s="101">
        <v>1E-8</v>
      </c>
      <c r="AB615" s="101">
        <v>1E-8</v>
      </c>
      <c r="AC615" s="101">
        <v>1E-8</v>
      </c>
      <c r="AD615" s="4"/>
    </row>
    <row r="616" spans="1:30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4"/>
      <c r="O616" s="4"/>
      <c r="P616" s="100"/>
      <c r="Q616" s="100" t="s">
        <v>650</v>
      </c>
      <c r="R616" s="111" t="s">
        <v>42</v>
      </c>
      <c r="S616" s="111" t="s">
        <v>550</v>
      </c>
      <c r="T616" s="101">
        <v>1.4323579790087044E-3</v>
      </c>
      <c r="U616" s="86">
        <v>11.564288653455336</v>
      </c>
      <c r="V616" s="101">
        <v>1E-8</v>
      </c>
      <c r="W616" s="101">
        <v>1E-8</v>
      </c>
      <c r="X616" s="101">
        <v>1E-8</v>
      </c>
      <c r="Y616" s="101">
        <v>1E-8</v>
      </c>
      <c r="Z616" s="101">
        <v>1E-8</v>
      </c>
      <c r="AA616" s="101">
        <v>1E-8</v>
      </c>
      <c r="AB616" s="101">
        <v>1E-8</v>
      </c>
      <c r="AC616" s="101">
        <v>1E-8</v>
      </c>
      <c r="AD616" s="4"/>
    </row>
    <row r="617" spans="1:30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4"/>
      <c r="O617" s="4"/>
      <c r="P617" s="68"/>
      <c r="Q617" s="68" t="s">
        <v>172</v>
      </c>
      <c r="R617" s="108" t="s">
        <v>42</v>
      </c>
      <c r="S617" s="108" t="s">
        <v>551</v>
      </c>
      <c r="T617" s="98">
        <v>9.7743173023931054E-2</v>
      </c>
      <c r="U617" s="80">
        <v>-1.6631661452628066</v>
      </c>
      <c r="V617" s="98">
        <v>1E-8</v>
      </c>
      <c r="W617" s="98">
        <v>1E-8</v>
      </c>
      <c r="X617" s="98">
        <v>1E-8</v>
      </c>
      <c r="Y617" s="98">
        <v>1E-8</v>
      </c>
      <c r="Z617" s="98">
        <v>1E-8</v>
      </c>
      <c r="AA617" s="98">
        <v>1E-8</v>
      </c>
      <c r="AB617" s="98">
        <v>1E-8</v>
      </c>
      <c r="AC617" s="98">
        <v>1E-8</v>
      </c>
      <c r="AD617" s="4"/>
    </row>
    <row r="618" spans="1:30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4"/>
      <c r="O618" s="4"/>
      <c r="P618" s="100"/>
      <c r="Q618" s="100" t="s">
        <v>651</v>
      </c>
      <c r="R618" s="111" t="s">
        <v>42</v>
      </c>
      <c r="S618" s="111" t="s">
        <v>344</v>
      </c>
      <c r="T618" s="101">
        <v>6.4159043481884642E-3</v>
      </c>
      <c r="U618" s="86">
        <v>13.45041665437574</v>
      </c>
      <c r="V618" s="101">
        <v>1E-8</v>
      </c>
      <c r="W618" s="101">
        <v>1E-8</v>
      </c>
      <c r="X618" s="101">
        <v>1E-8</v>
      </c>
      <c r="Y618" s="101">
        <v>1E-8</v>
      </c>
      <c r="Z618" s="101">
        <v>1E-8</v>
      </c>
      <c r="AA618" s="101">
        <v>1E-8</v>
      </c>
      <c r="AB618" s="101">
        <v>1E-8</v>
      </c>
      <c r="AC618" s="101">
        <v>1E-8</v>
      </c>
      <c r="AD618" s="4"/>
    </row>
    <row r="619" spans="1:30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4"/>
      <c r="O619" s="4"/>
      <c r="P619" s="100"/>
      <c r="Q619" s="100" t="s">
        <v>652</v>
      </c>
      <c r="R619" s="111" t="s">
        <v>42</v>
      </c>
      <c r="S619" s="111" t="s">
        <v>552</v>
      </c>
      <c r="T619" s="101">
        <v>5.8958893650739731E-2</v>
      </c>
      <c r="U619" s="86">
        <v>4.6853602698667007</v>
      </c>
      <c r="V619" s="101">
        <v>1E-8</v>
      </c>
      <c r="W619" s="101">
        <v>1E-8</v>
      </c>
      <c r="X619" s="101">
        <v>1E-8</v>
      </c>
      <c r="Y619" s="101">
        <v>1E-8</v>
      </c>
      <c r="Z619" s="101">
        <v>1E-8</v>
      </c>
      <c r="AA619" s="101">
        <v>1E-8</v>
      </c>
      <c r="AB619" s="101">
        <v>1E-8</v>
      </c>
      <c r="AC619" s="101">
        <v>1E-8</v>
      </c>
      <c r="AD619" s="4"/>
    </row>
    <row r="620" spans="1:30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4"/>
      <c r="O620" s="4"/>
      <c r="P620" s="100"/>
      <c r="Q620" s="100" t="s">
        <v>653</v>
      </c>
      <c r="R620" s="111" t="s">
        <v>42</v>
      </c>
      <c r="S620" s="111" t="s">
        <v>553</v>
      </c>
      <c r="T620" s="101">
        <v>3.2368375025002859E-2</v>
      </c>
      <c r="U620" s="86">
        <v>-16.222729144190275</v>
      </c>
      <c r="V620" s="101">
        <v>1E-8</v>
      </c>
      <c r="W620" s="101">
        <v>1E-8</v>
      </c>
      <c r="X620" s="101">
        <v>1E-8</v>
      </c>
      <c r="Y620" s="101">
        <v>1E-8</v>
      </c>
      <c r="Z620" s="101">
        <v>1E-8</v>
      </c>
      <c r="AA620" s="101">
        <v>1E-8</v>
      </c>
      <c r="AB620" s="101">
        <v>1E-8</v>
      </c>
      <c r="AC620" s="101">
        <v>1E-8</v>
      </c>
      <c r="AD620" s="4"/>
    </row>
    <row r="621" spans="1:30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4"/>
      <c r="O621" s="4"/>
      <c r="P621" s="68"/>
      <c r="Q621" s="68" t="s">
        <v>368</v>
      </c>
      <c r="R621" s="108" t="s">
        <v>42</v>
      </c>
      <c r="S621" s="108" t="s">
        <v>345</v>
      </c>
      <c r="T621" s="98">
        <v>0.9373806694444613</v>
      </c>
      <c r="U621" s="80">
        <v>13.663146230337864</v>
      </c>
      <c r="V621" s="98">
        <v>1E-8</v>
      </c>
      <c r="W621" s="98">
        <v>1E-8</v>
      </c>
      <c r="X621" s="98">
        <v>1E-8</v>
      </c>
      <c r="Y621" s="98">
        <v>1E-8</v>
      </c>
      <c r="Z621" s="98">
        <v>1E-8</v>
      </c>
      <c r="AA621" s="98">
        <v>1E-8</v>
      </c>
      <c r="AB621" s="98">
        <v>1E-8</v>
      </c>
      <c r="AC621" s="98">
        <v>1E-8</v>
      </c>
      <c r="AD621" s="4"/>
    </row>
    <row r="622" spans="1:30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4"/>
      <c r="O622" s="4"/>
      <c r="P622" s="100"/>
      <c r="Q622" s="100" t="s">
        <v>654</v>
      </c>
      <c r="R622" s="111" t="s">
        <v>42</v>
      </c>
      <c r="S622" s="111" t="s">
        <v>346</v>
      </c>
      <c r="T622" s="101">
        <v>0.82426630613317542</v>
      </c>
      <c r="U622" s="86">
        <v>15.061949892643756</v>
      </c>
      <c r="V622" s="101">
        <v>1E-8</v>
      </c>
      <c r="W622" s="101">
        <v>1E-8</v>
      </c>
      <c r="X622" s="101">
        <v>1E-8</v>
      </c>
      <c r="Y622" s="101">
        <v>1E-8</v>
      </c>
      <c r="Z622" s="101">
        <v>1E-8</v>
      </c>
      <c r="AA622" s="101">
        <v>1E-8</v>
      </c>
      <c r="AB622" s="101">
        <v>1E-8</v>
      </c>
      <c r="AC622" s="101">
        <v>1E-8</v>
      </c>
      <c r="AD622" s="4"/>
    </row>
    <row r="623" spans="1:30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4"/>
      <c r="O623" s="4"/>
      <c r="P623" s="100"/>
      <c r="Q623" s="100" t="s">
        <v>655</v>
      </c>
      <c r="R623" s="111" t="s">
        <v>42</v>
      </c>
      <c r="S623" s="111" t="s">
        <v>347</v>
      </c>
      <c r="T623" s="101">
        <v>7.4208479286860765E-2</v>
      </c>
      <c r="U623" s="86">
        <v>0.12346881939195864</v>
      </c>
      <c r="V623" s="101">
        <v>1E-8</v>
      </c>
      <c r="W623" s="101">
        <v>1E-8</v>
      </c>
      <c r="X623" s="101">
        <v>1E-8</v>
      </c>
      <c r="Y623" s="101">
        <v>1E-8</v>
      </c>
      <c r="Z623" s="101">
        <v>1E-8</v>
      </c>
      <c r="AA623" s="101">
        <v>1E-8</v>
      </c>
      <c r="AB623" s="101">
        <v>1E-8</v>
      </c>
      <c r="AC623" s="101">
        <v>1E-8</v>
      </c>
      <c r="AD623" s="4"/>
    </row>
    <row r="624" spans="1:30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4"/>
      <c r="O624" s="4"/>
      <c r="P624" s="100"/>
      <c r="Q624" s="100" t="s">
        <v>656</v>
      </c>
      <c r="R624" s="111" t="s">
        <v>42</v>
      </c>
      <c r="S624" s="111" t="s">
        <v>348</v>
      </c>
      <c r="T624" s="101">
        <v>3.8905884024424964E-2</v>
      </c>
      <c r="U624" s="86">
        <v>9.8532377614694013</v>
      </c>
      <c r="V624" s="101">
        <v>1E-8</v>
      </c>
      <c r="W624" s="101">
        <v>1E-8</v>
      </c>
      <c r="X624" s="101">
        <v>1E-8</v>
      </c>
      <c r="Y624" s="101">
        <v>1E-8</v>
      </c>
      <c r="Z624" s="101">
        <v>1E-8</v>
      </c>
      <c r="AA624" s="101">
        <v>1E-8</v>
      </c>
      <c r="AB624" s="101">
        <v>1E-8</v>
      </c>
      <c r="AC624" s="101">
        <v>1E-8</v>
      </c>
      <c r="AD624" s="4"/>
    </row>
    <row r="625" spans="1:30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4"/>
      <c r="O625" s="4"/>
      <c r="P625" s="68"/>
      <c r="Q625" s="68" t="s">
        <v>181</v>
      </c>
      <c r="R625" s="108" t="s">
        <v>42</v>
      </c>
      <c r="S625" s="108" t="s">
        <v>554</v>
      </c>
      <c r="T625" s="98">
        <v>1E-8</v>
      </c>
      <c r="U625" s="80">
        <v>1E-8</v>
      </c>
      <c r="V625" s="98">
        <v>1E-8</v>
      </c>
      <c r="W625" s="98">
        <v>1E-8</v>
      </c>
      <c r="X625" s="98">
        <v>1E-8</v>
      </c>
      <c r="Y625" s="98">
        <v>1E-8</v>
      </c>
      <c r="Z625" s="98">
        <v>1E-8</v>
      </c>
      <c r="AA625" s="98">
        <v>1E-8</v>
      </c>
      <c r="AB625" s="98">
        <v>1E-8</v>
      </c>
      <c r="AC625" s="98">
        <v>1E-8</v>
      </c>
      <c r="AD625" s="4"/>
    </row>
    <row r="626" spans="1:30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4"/>
      <c r="O626" s="4"/>
      <c r="P626" s="100"/>
      <c r="Q626" s="100" t="s">
        <v>657</v>
      </c>
      <c r="R626" s="111" t="s">
        <v>42</v>
      </c>
      <c r="S626" s="111" t="s">
        <v>555</v>
      </c>
      <c r="T626" s="101">
        <v>1E-8</v>
      </c>
      <c r="U626" s="86">
        <v>1E-8</v>
      </c>
      <c r="V626" s="101">
        <v>1E-8</v>
      </c>
      <c r="W626" s="101">
        <v>1E-8</v>
      </c>
      <c r="X626" s="101">
        <v>1E-8</v>
      </c>
      <c r="Y626" s="101">
        <v>1E-8</v>
      </c>
      <c r="Z626" s="101">
        <v>1E-8</v>
      </c>
      <c r="AA626" s="101">
        <v>1E-8</v>
      </c>
      <c r="AB626" s="101">
        <v>1E-8</v>
      </c>
      <c r="AC626" s="101">
        <v>1E-8</v>
      </c>
      <c r="AD626" s="4"/>
    </row>
    <row r="627" spans="1:30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4"/>
      <c r="O627" s="4"/>
      <c r="P627" s="100"/>
      <c r="Q627" s="100" t="s">
        <v>658</v>
      </c>
      <c r="R627" s="111" t="s">
        <v>42</v>
      </c>
      <c r="S627" s="111" t="s">
        <v>349</v>
      </c>
      <c r="T627" s="101">
        <v>1E-8</v>
      </c>
      <c r="U627" s="86">
        <v>1E-8</v>
      </c>
      <c r="V627" s="101">
        <v>1E-8</v>
      </c>
      <c r="W627" s="101">
        <v>1E-8</v>
      </c>
      <c r="X627" s="101">
        <v>1E-8</v>
      </c>
      <c r="Y627" s="101">
        <v>1E-8</v>
      </c>
      <c r="Z627" s="101">
        <v>1E-8</v>
      </c>
      <c r="AA627" s="101">
        <v>1E-8</v>
      </c>
      <c r="AB627" s="101">
        <v>1E-8</v>
      </c>
      <c r="AC627" s="101">
        <v>1E-8</v>
      </c>
      <c r="AD627" s="4"/>
    </row>
    <row r="628" spans="1:30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4"/>
      <c r="O628" s="4"/>
      <c r="P628" s="100"/>
      <c r="Q628" s="100" t="s">
        <v>659</v>
      </c>
      <c r="R628" s="112" t="s">
        <v>42</v>
      </c>
      <c r="S628" s="112" t="s">
        <v>556</v>
      </c>
      <c r="T628" s="87">
        <v>1E-8</v>
      </c>
      <c r="U628" s="88">
        <v>1E-8</v>
      </c>
      <c r="V628" s="87">
        <v>1E-8</v>
      </c>
      <c r="W628" s="87">
        <v>1E-8</v>
      </c>
      <c r="X628" s="87">
        <v>1E-8</v>
      </c>
      <c r="Y628" s="87">
        <v>1E-8</v>
      </c>
      <c r="Z628" s="87">
        <v>1E-8</v>
      </c>
      <c r="AA628" s="87">
        <v>1E-8</v>
      </c>
      <c r="AB628" s="87">
        <v>1E-8</v>
      </c>
      <c r="AC628" s="87">
        <v>1E-8</v>
      </c>
      <c r="AD628" s="4"/>
    </row>
    <row r="629" spans="1:30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4"/>
      <c r="O629" s="4"/>
      <c r="P629" s="96"/>
      <c r="Q629" s="96" t="s">
        <v>286</v>
      </c>
      <c r="R629" s="107" t="s">
        <v>42</v>
      </c>
      <c r="S629" s="107" t="s">
        <v>350</v>
      </c>
      <c r="T629" s="97">
        <v>14.151259148508943</v>
      </c>
      <c r="U629" s="78">
        <v>-2.5965299442767487</v>
      </c>
      <c r="V629" s="97">
        <v>1E-8</v>
      </c>
      <c r="W629" s="97">
        <v>1E-8</v>
      </c>
      <c r="X629" s="97">
        <v>1E-8</v>
      </c>
      <c r="Y629" s="97">
        <v>1E-8</v>
      </c>
      <c r="Z629" s="97">
        <v>1E-8</v>
      </c>
      <c r="AA629" s="97">
        <v>1E-8</v>
      </c>
      <c r="AB629" s="97">
        <v>1E-8</v>
      </c>
      <c r="AC629" s="97">
        <v>1E-8</v>
      </c>
      <c r="AD629" s="4"/>
    </row>
    <row r="630" spans="1:30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4"/>
      <c r="O630" s="4"/>
      <c r="P630" s="96"/>
      <c r="Q630" s="96" t="s">
        <v>369</v>
      </c>
      <c r="R630" s="107" t="s">
        <v>42</v>
      </c>
      <c r="S630" s="107" t="s">
        <v>557</v>
      </c>
      <c r="T630" s="97">
        <v>3.7303656732692465</v>
      </c>
      <c r="U630" s="78">
        <v>-0.20404896036834153</v>
      </c>
      <c r="V630" s="97">
        <v>1E-8</v>
      </c>
      <c r="W630" s="97">
        <v>1E-8</v>
      </c>
      <c r="X630" s="97">
        <v>1E-8</v>
      </c>
      <c r="Y630" s="97">
        <v>1E-8</v>
      </c>
      <c r="Z630" s="97">
        <v>1E-8</v>
      </c>
      <c r="AA630" s="97">
        <v>1E-8</v>
      </c>
      <c r="AB630" s="97">
        <v>1E-8</v>
      </c>
      <c r="AC630" s="97">
        <v>1E-8</v>
      </c>
      <c r="AD630" s="4"/>
    </row>
    <row r="631" spans="1:30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4"/>
      <c r="O631" s="4"/>
      <c r="P631" s="68"/>
      <c r="Q631" s="68" t="s">
        <v>660</v>
      </c>
      <c r="R631" s="108" t="s">
        <v>42</v>
      </c>
      <c r="S631" s="108" t="s">
        <v>351</v>
      </c>
      <c r="T631" s="98">
        <v>2.0034295316167485</v>
      </c>
      <c r="U631" s="80">
        <v>-0.18395053616365731</v>
      </c>
      <c r="V631" s="98">
        <v>1E-8</v>
      </c>
      <c r="W631" s="98">
        <v>1E-8</v>
      </c>
      <c r="X631" s="98">
        <v>1E-8</v>
      </c>
      <c r="Y631" s="98">
        <v>1E-8</v>
      </c>
      <c r="Z631" s="98">
        <v>1E-8</v>
      </c>
      <c r="AA631" s="98">
        <v>1E-8</v>
      </c>
      <c r="AB631" s="98">
        <v>1E-8</v>
      </c>
      <c r="AC631" s="98">
        <v>1E-8</v>
      </c>
      <c r="AD631" s="4"/>
    </row>
    <row r="632" spans="1:30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4"/>
      <c r="O632" s="4"/>
      <c r="P632" s="68"/>
      <c r="Q632" s="68" t="s">
        <v>661</v>
      </c>
      <c r="R632" s="108" t="s">
        <v>42</v>
      </c>
      <c r="S632" s="108" t="s">
        <v>352</v>
      </c>
      <c r="T632" s="98">
        <v>1.1113537171002952</v>
      </c>
      <c r="U632" s="80">
        <v>0.25761596043192281</v>
      </c>
      <c r="V632" s="98">
        <v>1E-8</v>
      </c>
      <c r="W632" s="98">
        <v>1E-8</v>
      </c>
      <c r="X632" s="98">
        <v>1E-8</v>
      </c>
      <c r="Y632" s="98">
        <v>1E-8</v>
      </c>
      <c r="Z632" s="98">
        <v>1E-8</v>
      </c>
      <c r="AA632" s="98">
        <v>1E-8</v>
      </c>
      <c r="AB632" s="98">
        <v>1E-8</v>
      </c>
      <c r="AC632" s="98">
        <v>1E-8</v>
      </c>
      <c r="AD632" s="4"/>
    </row>
    <row r="633" spans="1:30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4"/>
      <c r="O633" s="4"/>
      <c r="P633" s="68"/>
      <c r="Q633" s="68" t="s">
        <v>662</v>
      </c>
      <c r="R633" s="108" t="s">
        <v>42</v>
      </c>
      <c r="S633" s="108" t="s">
        <v>558</v>
      </c>
      <c r="T633" s="98">
        <v>0.61558242455220291</v>
      </c>
      <c r="U633" s="80">
        <v>-1.102935576209052</v>
      </c>
      <c r="V633" s="98">
        <v>1E-8</v>
      </c>
      <c r="W633" s="98">
        <v>1E-8</v>
      </c>
      <c r="X633" s="98">
        <v>1E-8</v>
      </c>
      <c r="Y633" s="98">
        <v>1E-8</v>
      </c>
      <c r="Z633" s="98">
        <v>1E-8</v>
      </c>
      <c r="AA633" s="98">
        <v>1E-8</v>
      </c>
      <c r="AB633" s="98">
        <v>1E-8</v>
      </c>
      <c r="AC633" s="98">
        <v>1E-8</v>
      </c>
      <c r="AD633" s="4"/>
    </row>
    <row r="634" spans="1:30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4"/>
      <c r="O634" s="4"/>
      <c r="P634" s="96"/>
      <c r="Q634" s="96" t="s">
        <v>188</v>
      </c>
      <c r="R634" s="107" t="s">
        <v>42</v>
      </c>
      <c r="S634" s="107" t="s">
        <v>559</v>
      </c>
      <c r="T634" s="97">
        <v>10.420893475239694</v>
      </c>
      <c r="U634" s="78">
        <v>-3.4529660030011455</v>
      </c>
      <c r="V634" s="97">
        <v>1E-8</v>
      </c>
      <c r="W634" s="97">
        <v>1E-8</v>
      </c>
      <c r="X634" s="97">
        <v>1E-8</v>
      </c>
      <c r="Y634" s="97">
        <v>1E-8</v>
      </c>
      <c r="Z634" s="97">
        <v>1E-8</v>
      </c>
      <c r="AA634" s="97">
        <v>1E-8</v>
      </c>
      <c r="AB634" s="97">
        <v>1E-8</v>
      </c>
      <c r="AC634" s="97">
        <v>1E-8</v>
      </c>
      <c r="AD634" s="4"/>
    </row>
    <row r="635" spans="1:30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4"/>
      <c r="O635" s="4"/>
      <c r="P635" s="68"/>
      <c r="Q635" s="68" t="s">
        <v>663</v>
      </c>
      <c r="R635" s="108" t="s">
        <v>42</v>
      </c>
      <c r="S635" s="108" t="s">
        <v>353</v>
      </c>
      <c r="T635" s="98">
        <v>10.420893475239694</v>
      </c>
      <c r="U635" s="80">
        <v>-3.4529660030011455</v>
      </c>
      <c r="V635" s="98">
        <v>1E-8</v>
      </c>
      <c r="W635" s="98">
        <v>1E-8</v>
      </c>
      <c r="X635" s="98">
        <v>1E-8</v>
      </c>
      <c r="Y635" s="98">
        <v>1E-8</v>
      </c>
      <c r="Z635" s="98">
        <v>1E-8</v>
      </c>
      <c r="AA635" s="98">
        <v>1E-8</v>
      </c>
      <c r="AB635" s="98">
        <v>1E-8</v>
      </c>
      <c r="AC635" s="98">
        <v>1E-8</v>
      </c>
      <c r="AD635" s="4"/>
    </row>
    <row r="636" spans="1:30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4"/>
      <c r="O636" s="4"/>
      <c r="P636" s="72"/>
      <c r="Q636" s="72" t="s">
        <v>664</v>
      </c>
      <c r="R636" s="109" t="s">
        <v>42</v>
      </c>
      <c r="S636" s="109" t="s">
        <v>560</v>
      </c>
      <c r="T636" s="81">
        <v>1E-8</v>
      </c>
      <c r="U636" s="82">
        <v>1E-8</v>
      </c>
      <c r="V636" s="81">
        <v>1E-8</v>
      </c>
      <c r="W636" s="81">
        <v>1E-8</v>
      </c>
      <c r="X636" s="81">
        <v>1E-8</v>
      </c>
      <c r="Y636" s="81">
        <v>1E-8</v>
      </c>
      <c r="Z636" s="81">
        <v>1E-8</v>
      </c>
      <c r="AA636" s="81">
        <v>1E-8</v>
      </c>
      <c r="AB636" s="81">
        <v>1E-8</v>
      </c>
      <c r="AC636" s="81">
        <v>1E-8</v>
      </c>
      <c r="AD636" s="4"/>
    </row>
    <row r="637" spans="1:30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4"/>
      <c r="O637" s="4"/>
      <c r="P637" s="47"/>
      <c r="Q637" s="47" t="s">
        <v>287</v>
      </c>
      <c r="R637" s="105" t="s">
        <v>42</v>
      </c>
      <c r="S637" s="105" t="s">
        <v>354</v>
      </c>
      <c r="T637" s="95">
        <v>52.071139604053698</v>
      </c>
      <c r="U637" s="74">
        <v>-9.8315806229642977E-2</v>
      </c>
      <c r="V637" s="95">
        <v>1E-8</v>
      </c>
      <c r="W637" s="95">
        <v>1E-8</v>
      </c>
      <c r="X637" s="95">
        <v>1E-8</v>
      </c>
      <c r="Y637" s="95">
        <v>1E-8</v>
      </c>
      <c r="Z637" s="95">
        <v>1E-8</v>
      </c>
      <c r="AA637" s="95">
        <v>1E-8</v>
      </c>
      <c r="AB637" s="95">
        <v>1E-8</v>
      </c>
      <c r="AC637" s="95">
        <v>1E-8</v>
      </c>
      <c r="AD637" s="4"/>
    </row>
    <row r="638" spans="1:30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4"/>
      <c r="O638" s="4"/>
      <c r="P638" s="96"/>
      <c r="Q638" s="96" t="s">
        <v>370</v>
      </c>
      <c r="R638" s="107" t="s">
        <v>42</v>
      </c>
      <c r="S638" s="107" t="s">
        <v>561</v>
      </c>
      <c r="T638" s="97">
        <v>17.229809777300055</v>
      </c>
      <c r="U638" s="78">
        <v>-1.4983282359815941</v>
      </c>
      <c r="V638" s="97">
        <v>1E-8</v>
      </c>
      <c r="W638" s="97">
        <v>1E-8</v>
      </c>
      <c r="X638" s="97">
        <v>1E-8</v>
      </c>
      <c r="Y638" s="97">
        <v>1E-8</v>
      </c>
      <c r="Z638" s="97">
        <v>1E-8</v>
      </c>
      <c r="AA638" s="97">
        <v>1E-8</v>
      </c>
      <c r="AB638" s="97">
        <v>1E-8</v>
      </c>
      <c r="AC638" s="97">
        <v>1E-8</v>
      </c>
      <c r="AD638" s="4"/>
    </row>
    <row r="639" spans="1:30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4"/>
      <c r="O639" s="4"/>
      <c r="P639" s="68"/>
      <c r="Q639" s="68" t="s">
        <v>665</v>
      </c>
      <c r="R639" s="108" t="s">
        <v>42</v>
      </c>
      <c r="S639" s="108" t="s">
        <v>562</v>
      </c>
      <c r="T639" s="98">
        <v>0.10645976049334291</v>
      </c>
      <c r="U639" s="80">
        <v>-0.28799629366240698</v>
      </c>
      <c r="V639" s="98">
        <v>1E-8</v>
      </c>
      <c r="W639" s="98">
        <v>1E-8</v>
      </c>
      <c r="X639" s="98">
        <v>1E-8</v>
      </c>
      <c r="Y639" s="98">
        <v>1E-8</v>
      </c>
      <c r="Z639" s="98">
        <v>1E-8</v>
      </c>
      <c r="AA639" s="98">
        <v>1E-8</v>
      </c>
      <c r="AB639" s="98">
        <v>1E-8</v>
      </c>
      <c r="AC639" s="98">
        <v>1E-8</v>
      </c>
      <c r="AD639" s="4"/>
    </row>
    <row r="640" spans="1:30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4"/>
      <c r="O640" s="4"/>
      <c r="P640" s="68"/>
      <c r="Q640" s="68" t="s">
        <v>666</v>
      </c>
      <c r="R640" s="108" t="s">
        <v>42</v>
      </c>
      <c r="S640" s="108" t="s">
        <v>563</v>
      </c>
      <c r="T640" s="98">
        <v>1.2013399995421293E-2</v>
      </c>
      <c r="U640" s="80">
        <v>-6.7671737947869071</v>
      </c>
      <c r="V640" s="98">
        <v>1E-8</v>
      </c>
      <c r="W640" s="98">
        <v>1E-8</v>
      </c>
      <c r="X640" s="98">
        <v>1E-8</v>
      </c>
      <c r="Y640" s="98">
        <v>1E-8</v>
      </c>
      <c r="Z640" s="98">
        <v>1E-8</v>
      </c>
      <c r="AA640" s="98">
        <v>1E-8</v>
      </c>
      <c r="AB640" s="98">
        <v>1E-8</v>
      </c>
      <c r="AC640" s="98">
        <v>1E-8</v>
      </c>
      <c r="AD640" s="4"/>
    </row>
    <row r="641" spans="1:30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4"/>
      <c r="O641" s="4"/>
      <c r="P641" s="68"/>
      <c r="Q641" s="68" t="s">
        <v>667</v>
      </c>
      <c r="R641" s="108" t="s">
        <v>42</v>
      </c>
      <c r="S641" s="108" t="s">
        <v>564</v>
      </c>
      <c r="T641" s="98">
        <v>2.7004405957245861</v>
      </c>
      <c r="U641" s="80">
        <v>-1.5295039517700282</v>
      </c>
      <c r="V641" s="98">
        <v>1E-8</v>
      </c>
      <c r="W641" s="98">
        <v>1E-8</v>
      </c>
      <c r="X641" s="98">
        <v>1E-8</v>
      </c>
      <c r="Y641" s="98">
        <v>1E-8</v>
      </c>
      <c r="Z641" s="98">
        <v>1E-8</v>
      </c>
      <c r="AA641" s="98">
        <v>1E-8</v>
      </c>
      <c r="AB641" s="98">
        <v>1E-8</v>
      </c>
      <c r="AC641" s="98">
        <v>1E-8</v>
      </c>
      <c r="AD641" s="4"/>
    </row>
    <row r="642" spans="1:30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4"/>
      <c r="O642" s="4"/>
      <c r="P642" s="68"/>
      <c r="Q642" s="68" t="s">
        <v>668</v>
      </c>
      <c r="R642" s="108" t="s">
        <v>42</v>
      </c>
      <c r="S642" s="108" t="s">
        <v>565</v>
      </c>
      <c r="T642" s="98">
        <v>14.410896021086709</v>
      </c>
      <c r="U642" s="80">
        <v>-1.4970352373364082</v>
      </c>
      <c r="V642" s="98">
        <v>1E-8</v>
      </c>
      <c r="W642" s="98">
        <v>1E-8</v>
      </c>
      <c r="X642" s="98">
        <v>1E-8</v>
      </c>
      <c r="Y642" s="98">
        <v>1E-8</v>
      </c>
      <c r="Z642" s="98">
        <v>1E-8</v>
      </c>
      <c r="AA642" s="98">
        <v>1E-8</v>
      </c>
      <c r="AB642" s="98">
        <v>1E-8</v>
      </c>
      <c r="AC642" s="98">
        <v>1E-8</v>
      </c>
      <c r="AD642" s="4"/>
    </row>
    <row r="643" spans="1:30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4"/>
      <c r="O643" s="4"/>
      <c r="P643" s="96"/>
      <c r="Q643" s="96" t="s">
        <v>371</v>
      </c>
      <c r="R643" s="107" t="s">
        <v>42</v>
      </c>
      <c r="S643" s="107" t="s">
        <v>566</v>
      </c>
      <c r="T643" s="97">
        <v>9.3160233185156027</v>
      </c>
      <c r="U643" s="78">
        <v>0.15744262927455122</v>
      </c>
      <c r="V643" s="97">
        <v>1E-8</v>
      </c>
      <c r="W643" s="97">
        <v>1E-8</v>
      </c>
      <c r="X643" s="97">
        <v>1E-8</v>
      </c>
      <c r="Y643" s="97">
        <v>1E-8</v>
      </c>
      <c r="Z643" s="97">
        <v>1E-8</v>
      </c>
      <c r="AA643" s="97">
        <v>1E-8</v>
      </c>
      <c r="AB643" s="97">
        <v>1E-8</v>
      </c>
      <c r="AC643" s="97">
        <v>1E-8</v>
      </c>
      <c r="AD643" s="4"/>
    </row>
    <row r="644" spans="1:30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4"/>
      <c r="O644" s="4"/>
      <c r="P644" s="68"/>
      <c r="Q644" s="68" t="s">
        <v>669</v>
      </c>
      <c r="R644" s="108" t="s">
        <v>42</v>
      </c>
      <c r="S644" s="108" t="s">
        <v>567</v>
      </c>
      <c r="T644" s="98">
        <v>6.7469834007269647</v>
      </c>
      <c r="U644" s="80">
        <v>-0.50645565561681094</v>
      </c>
      <c r="V644" s="98">
        <v>1E-8</v>
      </c>
      <c r="W644" s="98">
        <v>1E-8</v>
      </c>
      <c r="X644" s="98">
        <v>1E-8</v>
      </c>
      <c r="Y644" s="98">
        <v>1E-8</v>
      </c>
      <c r="Z644" s="98">
        <v>1E-8</v>
      </c>
      <c r="AA644" s="98">
        <v>1E-8</v>
      </c>
      <c r="AB644" s="98">
        <v>1E-8</v>
      </c>
      <c r="AC644" s="98">
        <v>1E-8</v>
      </c>
      <c r="AD644" s="4"/>
    </row>
    <row r="645" spans="1:30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4"/>
      <c r="O645" s="4"/>
      <c r="P645" s="68"/>
      <c r="Q645" s="68" t="s">
        <v>670</v>
      </c>
      <c r="R645" s="108" t="s">
        <v>42</v>
      </c>
      <c r="S645" s="108" t="s">
        <v>568</v>
      </c>
      <c r="T645" s="98">
        <v>1.5826171512485019</v>
      </c>
      <c r="U645" s="80">
        <v>1.4242190862461701</v>
      </c>
      <c r="V645" s="98">
        <v>1E-8</v>
      </c>
      <c r="W645" s="98">
        <v>1E-8</v>
      </c>
      <c r="X645" s="98">
        <v>1E-8</v>
      </c>
      <c r="Y645" s="98">
        <v>1E-8</v>
      </c>
      <c r="Z645" s="98">
        <v>1E-8</v>
      </c>
      <c r="AA645" s="98">
        <v>1E-8</v>
      </c>
      <c r="AB645" s="98">
        <v>1E-8</v>
      </c>
      <c r="AC645" s="98">
        <v>1E-8</v>
      </c>
      <c r="AD645" s="4"/>
    </row>
    <row r="646" spans="1:30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4"/>
      <c r="O646" s="4"/>
      <c r="P646" s="68"/>
      <c r="Q646" s="68" t="s">
        <v>671</v>
      </c>
      <c r="R646" s="108" t="s">
        <v>42</v>
      </c>
      <c r="S646" s="108" t="s">
        <v>569</v>
      </c>
      <c r="T646" s="98">
        <v>0.7080888933970666</v>
      </c>
      <c r="U646" s="80">
        <v>2.0395778722468672</v>
      </c>
      <c r="V646" s="98">
        <v>1E-8</v>
      </c>
      <c r="W646" s="98">
        <v>1E-8</v>
      </c>
      <c r="X646" s="98">
        <v>1E-8</v>
      </c>
      <c r="Y646" s="98">
        <v>1E-8</v>
      </c>
      <c r="Z646" s="98">
        <v>1E-8</v>
      </c>
      <c r="AA646" s="98">
        <v>1E-8</v>
      </c>
      <c r="AB646" s="98">
        <v>1E-8</v>
      </c>
      <c r="AC646" s="98">
        <v>1E-8</v>
      </c>
      <c r="AD646" s="4"/>
    </row>
    <row r="647" spans="1:30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4"/>
      <c r="O647" s="4"/>
      <c r="P647" s="68"/>
      <c r="Q647" s="68" t="s">
        <v>672</v>
      </c>
      <c r="R647" s="108" t="s">
        <v>42</v>
      </c>
      <c r="S647" s="108" t="s">
        <v>570</v>
      </c>
      <c r="T647" s="98">
        <v>0.27833387314307045</v>
      </c>
      <c r="U647" s="80">
        <v>4.2596005377560031</v>
      </c>
      <c r="V647" s="98">
        <v>1E-8</v>
      </c>
      <c r="W647" s="98">
        <v>1E-8</v>
      </c>
      <c r="X647" s="98">
        <v>1E-8</v>
      </c>
      <c r="Y647" s="98">
        <v>1E-8</v>
      </c>
      <c r="Z647" s="98">
        <v>1E-8</v>
      </c>
      <c r="AA647" s="98">
        <v>1E-8</v>
      </c>
      <c r="AB647" s="98">
        <v>1E-8</v>
      </c>
      <c r="AC647" s="98">
        <v>1E-8</v>
      </c>
      <c r="AD647" s="4"/>
    </row>
    <row r="648" spans="1:30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4"/>
      <c r="O648" s="4"/>
      <c r="P648" s="96"/>
      <c r="Q648" s="96" t="s">
        <v>673</v>
      </c>
      <c r="R648" s="107" t="s">
        <v>42</v>
      </c>
      <c r="S648" s="107" t="s">
        <v>355</v>
      </c>
      <c r="T648" s="97">
        <v>1.9806207582478756</v>
      </c>
      <c r="U648" s="78">
        <v>-0.45120005875577407</v>
      </c>
      <c r="V648" s="97">
        <v>1E-8</v>
      </c>
      <c r="W648" s="97">
        <v>1E-8</v>
      </c>
      <c r="X648" s="97">
        <v>1E-8</v>
      </c>
      <c r="Y648" s="97">
        <v>1E-8</v>
      </c>
      <c r="Z648" s="97">
        <v>1E-8</v>
      </c>
      <c r="AA648" s="97">
        <v>1E-8</v>
      </c>
      <c r="AB648" s="97">
        <v>1E-8</v>
      </c>
      <c r="AC648" s="97">
        <v>1E-8</v>
      </c>
      <c r="AD648" s="4"/>
    </row>
    <row r="649" spans="1:30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4"/>
      <c r="O649" s="4"/>
      <c r="P649" s="96"/>
      <c r="Q649" s="96" t="s">
        <v>372</v>
      </c>
      <c r="R649" s="107" t="s">
        <v>42</v>
      </c>
      <c r="S649" s="107" t="s">
        <v>571</v>
      </c>
      <c r="T649" s="97">
        <v>1E-8</v>
      </c>
      <c r="U649" s="78">
        <v>1E-8</v>
      </c>
      <c r="V649" s="97">
        <v>1E-8</v>
      </c>
      <c r="W649" s="97">
        <v>1E-8</v>
      </c>
      <c r="X649" s="97">
        <v>1E-8</v>
      </c>
      <c r="Y649" s="97">
        <v>1E-8</v>
      </c>
      <c r="Z649" s="97">
        <v>1E-8</v>
      </c>
      <c r="AA649" s="97">
        <v>1E-8</v>
      </c>
      <c r="AB649" s="97">
        <v>1E-8</v>
      </c>
      <c r="AC649" s="97">
        <v>1E-8</v>
      </c>
      <c r="AD649" s="4"/>
    </row>
    <row r="650" spans="1:30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4"/>
      <c r="O650" s="4"/>
      <c r="P650" s="68"/>
      <c r="Q650" s="68" t="s">
        <v>674</v>
      </c>
      <c r="R650" s="108" t="s">
        <v>42</v>
      </c>
      <c r="S650" s="108" t="s">
        <v>572</v>
      </c>
      <c r="T650" s="98">
        <v>1E-8</v>
      </c>
      <c r="U650" s="80">
        <v>1E-8</v>
      </c>
      <c r="V650" s="98">
        <v>1E-8</v>
      </c>
      <c r="W650" s="98">
        <v>1E-8</v>
      </c>
      <c r="X650" s="98">
        <v>1E-8</v>
      </c>
      <c r="Y650" s="98">
        <v>1E-8</v>
      </c>
      <c r="Z650" s="98">
        <v>1E-8</v>
      </c>
      <c r="AA650" s="98">
        <v>1E-8</v>
      </c>
      <c r="AB650" s="98">
        <v>1E-8</v>
      </c>
      <c r="AC650" s="98">
        <v>1E-8</v>
      </c>
      <c r="AD650" s="4"/>
    </row>
    <row r="651" spans="1:30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4"/>
      <c r="O651" s="4"/>
      <c r="P651" s="68"/>
      <c r="Q651" s="68" t="s">
        <v>675</v>
      </c>
      <c r="R651" s="108" t="s">
        <v>42</v>
      </c>
      <c r="S651" s="108" t="s">
        <v>356</v>
      </c>
      <c r="T651" s="98">
        <v>1E-8</v>
      </c>
      <c r="U651" s="80">
        <v>1E-8</v>
      </c>
      <c r="V651" s="98">
        <v>1E-8</v>
      </c>
      <c r="W651" s="98">
        <v>1E-8</v>
      </c>
      <c r="X651" s="98">
        <v>1E-8</v>
      </c>
      <c r="Y651" s="98">
        <v>1E-8</v>
      </c>
      <c r="Z651" s="98">
        <v>1E-8</v>
      </c>
      <c r="AA651" s="98">
        <v>1E-8</v>
      </c>
      <c r="AB651" s="98">
        <v>1E-8</v>
      </c>
      <c r="AC651" s="98">
        <v>1E-8</v>
      </c>
      <c r="AD651" s="4"/>
    </row>
    <row r="652" spans="1:30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4"/>
      <c r="O652" s="4"/>
      <c r="P652" s="68"/>
      <c r="Q652" s="68" t="s">
        <v>676</v>
      </c>
      <c r="R652" s="109" t="s">
        <v>42</v>
      </c>
      <c r="S652" s="109" t="s">
        <v>573</v>
      </c>
      <c r="T652" s="81">
        <v>1E-8</v>
      </c>
      <c r="U652" s="82">
        <v>1E-8</v>
      </c>
      <c r="V652" s="81">
        <v>1E-8</v>
      </c>
      <c r="W652" s="81">
        <v>1E-8</v>
      </c>
      <c r="X652" s="81">
        <v>1E-8</v>
      </c>
      <c r="Y652" s="81">
        <v>1E-8</v>
      </c>
      <c r="Z652" s="81">
        <v>1E-8</v>
      </c>
      <c r="AA652" s="81">
        <v>1E-8</v>
      </c>
      <c r="AB652" s="81">
        <v>1E-8</v>
      </c>
      <c r="AC652" s="81">
        <v>1E-8</v>
      </c>
      <c r="AD652" s="4"/>
    </row>
    <row r="653" spans="1:30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4"/>
      <c r="O653" s="4"/>
      <c r="P653" s="96"/>
      <c r="Q653" s="96" t="s">
        <v>373</v>
      </c>
      <c r="R653" s="107" t="s">
        <v>42</v>
      </c>
      <c r="S653" s="107" t="s">
        <v>574</v>
      </c>
      <c r="T653" s="97">
        <v>0.27298068379205426</v>
      </c>
      <c r="U653" s="78">
        <v>1.2396814587086302</v>
      </c>
      <c r="V653" s="97">
        <v>1E-8</v>
      </c>
      <c r="W653" s="97">
        <v>1E-8</v>
      </c>
      <c r="X653" s="97">
        <v>1E-8</v>
      </c>
      <c r="Y653" s="97">
        <v>1E-8</v>
      </c>
      <c r="Z653" s="97">
        <v>1E-8</v>
      </c>
      <c r="AA653" s="97">
        <v>1E-8</v>
      </c>
      <c r="AB653" s="97">
        <v>1E-8</v>
      </c>
      <c r="AC653" s="97">
        <v>1E-8</v>
      </c>
      <c r="AD653" s="4"/>
    </row>
    <row r="654" spans="1:30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4"/>
      <c r="O654" s="4"/>
      <c r="P654" s="68"/>
      <c r="Q654" s="68" t="s">
        <v>677</v>
      </c>
      <c r="R654" s="108" t="s">
        <v>42</v>
      </c>
      <c r="S654" s="108" t="s">
        <v>575</v>
      </c>
      <c r="T654" s="98">
        <v>6.2032911716696726E-2</v>
      </c>
      <c r="U654" s="80">
        <v>2.9313245456423109</v>
      </c>
      <c r="V654" s="98">
        <v>1E-8</v>
      </c>
      <c r="W654" s="98">
        <v>1E-8</v>
      </c>
      <c r="X654" s="98">
        <v>1E-8</v>
      </c>
      <c r="Y654" s="98">
        <v>1E-8</v>
      </c>
      <c r="Z654" s="98">
        <v>1E-8</v>
      </c>
      <c r="AA654" s="98">
        <v>1E-8</v>
      </c>
      <c r="AB654" s="98">
        <v>1E-8</v>
      </c>
      <c r="AC654" s="98">
        <v>1E-8</v>
      </c>
      <c r="AD654" s="4"/>
    </row>
    <row r="655" spans="1:30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4"/>
      <c r="O655" s="4"/>
      <c r="P655" s="68"/>
      <c r="Q655" s="68" t="s">
        <v>678</v>
      </c>
      <c r="R655" s="108" t="s">
        <v>42</v>
      </c>
      <c r="S655" s="108" t="s">
        <v>576</v>
      </c>
      <c r="T655" s="98">
        <v>9.6019701440511862E-2</v>
      </c>
      <c r="U655" s="80">
        <v>0.75402047911763415</v>
      </c>
      <c r="V655" s="98">
        <v>1E-8</v>
      </c>
      <c r="W655" s="98">
        <v>1E-8</v>
      </c>
      <c r="X655" s="98">
        <v>1E-8</v>
      </c>
      <c r="Y655" s="98">
        <v>1E-8</v>
      </c>
      <c r="Z655" s="98">
        <v>1E-8</v>
      </c>
      <c r="AA655" s="98">
        <v>1E-8</v>
      </c>
      <c r="AB655" s="98">
        <v>1E-8</v>
      </c>
      <c r="AC655" s="98">
        <v>1E-8</v>
      </c>
      <c r="AD655" s="4"/>
    </row>
    <row r="656" spans="1:30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4"/>
      <c r="O656" s="4"/>
      <c r="P656" s="68"/>
      <c r="Q656" s="68" t="s">
        <v>679</v>
      </c>
      <c r="R656" s="108" t="s">
        <v>42</v>
      </c>
      <c r="S656" s="108" t="s">
        <v>577</v>
      </c>
      <c r="T656" s="98">
        <v>0.11492807063484564</v>
      </c>
      <c r="U656" s="80">
        <v>0.73236828722473835</v>
      </c>
      <c r="V656" s="98">
        <v>1E-8</v>
      </c>
      <c r="W656" s="98">
        <v>1E-8</v>
      </c>
      <c r="X656" s="98">
        <v>1E-8</v>
      </c>
      <c r="Y656" s="98">
        <v>1E-8</v>
      </c>
      <c r="Z656" s="98">
        <v>1E-8</v>
      </c>
      <c r="AA656" s="98">
        <v>1E-8</v>
      </c>
      <c r="AB656" s="98">
        <v>1E-8</v>
      </c>
      <c r="AC656" s="98">
        <v>1E-8</v>
      </c>
      <c r="AD656" s="4"/>
    </row>
    <row r="657" spans="1:30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4"/>
      <c r="O657" s="4"/>
      <c r="P657" s="96"/>
      <c r="Q657" s="96" t="s">
        <v>195</v>
      </c>
      <c r="R657" s="107" t="s">
        <v>42</v>
      </c>
      <c r="S657" s="107" t="s">
        <v>578</v>
      </c>
      <c r="T657" s="97">
        <v>1E-8</v>
      </c>
      <c r="U657" s="78">
        <v>1E-8</v>
      </c>
      <c r="V657" s="97">
        <v>1E-8</v>
      </c>
      <c r="W657" s="97">
        <v>1E-8</v>
      </c>
      <c r="X657" s="97">
        <v>1E-8</v>
      </c>
      <c r="Y657" s="97">
        <v>1E-8</v>
      </c>
      <c r="Z657" s="97">
        <v>1E-8</v>
      </c>
      <c r="AA657" s="97">
        <v>1E-8</v>
      </c>
      <c r="AB657" s="97">
        <v>1E-8</v>
      </c>
      <c r="AC657" s="97">
        <v>1E-8</v>
      </c>
      <c r="AD657" s="4"/>
    </row>
    <row r="658" spans="1:30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4"/>
      <c r="O658" s="4"/>
      <c r="P658" s="68"/>
      <c r="Q658" s="68" t="s">
        <v>680</v>
      </c>
      <c r="R658" s="108" t="s">
        <v>42</v>
      </c>
      <c r="S658" s="108" t="s">
        <v>579</v>
      </c>
      <c r="T658" s="98">
        <v>1E-8</v>
      </c>
      <c r="U658" s="80">
        <v>1E-8</v>
      </c>
      <c r="V658" s="98">
        <v>1E-8</v>
      </c>
      <c r="W658" s="98">
        <v>1E-8</v>
      </c>
      <c r="X658" s="98">
        <v>1E-8</v>
      </c>
      <c r="Y658" s="98">
        <v>1E-8</v>
      </c>
      <c r="Z658" s="98">
        <v>1E-8</v>
      </c>
      <c r="AA658" s="98">
        <v>1E-8</v>
      </c>
      <c r="AB658" s="98">
        <v>1E-8</v>
      </c>
      <c r="AC658" s="98">
        <v>1E-8</v>
      </c>
      <c r="AD658" s="4"/>
    </row>
    <row r="659" spans="1:30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4"/>
      <c r="O659" s="4"/>
      <c r="P659" s="68"/>
      <c r="Q659" s="68" t="s">
        <v>681</v>
      </c>
      <c r="R659" s="108" t="s">
        <v>42</v>
      </c>
      <c r="S659" s="108" t="s">
        <v>357</v>
      </c>
      <c r="T659" s="98">
        <v>1E-8</v>
      </c>
      <c r="U659" s="80">
        <v>1E-8</v>
      </c>
      <c r="V659" s="98">
        <v>1E-8</v>
      </c>
      <c r="W659" s="98">
        <v>1E-8</v>
      </c>
      <c r="X659" s="98">
        <v>1E-8</v>
      </c>
      <c r="Y659" s="98">
        <v>1E-8</v>
      </c>
      <c r="Z659" s="98">
        <v>1E-8</v>
      </c>
      <c r="AA659" s="98">
        <v>1E-8</v>
      </c>
      <c r="AB659" s="98">
        <v>1E-8</v>
      </c>
      <c r="AC659" s="98">
        <v>1E-8</v>
      </c>
      <c r="AD659" s="4"/>
    </row>
    <row r="660" spans="1:30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4"/>
      <c r="O660" s="4"/>
      <c r="P660" s="96"/>
      <c r="Q660" s="96" t="s">
        <v>196</v>
      </c>
      <c r="R660" s="107" t="s">
        <v>42</v>
      </c>
      <c r="S660" s="107" t="s">
        <v>580</v>
      </c>
      <c r="T660" s="97">
        <v>2.3679906041729359</v>
      </c>
      <c r="U660" s="78">
        <v>1.6676801683115583</v>
      </c>
      <c r="V660" s="97">
        <v>1E-8</v>
      </c>
      <c r="W660" s="97">
        <v>1E-8</v>
      </c>
      <c r="X660" s="97">
        <v>1E-8</v>
      </c>
      <c r="Y660" s="97">
        <v>1E-8</v>
      </c>
      <c r="Z660" s="97">
        <v>1E-8</v>
      </c>
      <c r="AA660" s="97">
        <v>1E-8</v>
      </c>
      <c r="AB660" s="97">
        <v>1E-8</v>
      </c>
      <c r="AC660" s="97">
        <v>1E-8</v>
      </c>
      <c r="AD660" s="4"/>
    </row>
    <row r="661" spans="1:30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4"/>
      <c r="O661" s="4"/>
      <c r="P661" s="68"/>
      <c r="Q661" s="68" t="s">
        <v>682</v>
      </c>
      <c r="R661" s="108" t="s">
        <v>42</v>
      </c>
      <c r="S661" s="108" t="s">
        <v>581</v>
      </c>
      <c r="T661" s="98">
        <v>0.10670228632394579</v>
      </c>
      <c r="U661" s="80">
        <v>-1.1475254271825164</v>
      </c>
      <c r="V661" s="98">
        <v>1E-8</v>
      </c>
      <c r="W661" s="98">
        <v>1E-8</v>
      </c>
      <c r="X661" s="98">
        <v>1E-8</v>
      </c>
      <c r="Y661" s="98">
        <v>1E-8</v>
      </c>
      <c r="Z661" s="98">
        <v>1E-8</v>
      </c>
      <c r="AA661" s="98">
        <v>1E-8</v>
      </c>
      <c r="AB661" s="98">
        <v>1E-8</v>
      </c>
      <c r="AC661" s="98">
        <v>1E-8</v>
      </c>
      <c r="AD661" s="4"/>
    </row>
    <row r="662" spans="1:30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4"/>
      <c r="O662" s="4"/>
      <c r="P662" s="68"/>
      <c r="Q662" s="68" t="s">
        <v>683</v>
      </c>
      <c r="R662" s="108" t="s">
        <v>42</v>
      </c>
      <c r="S662" s="108" t="s">
        <v>582</v>
      </c>
      <c r="T662" s="98">
        <v>3.2854684861876371E-2</v>
      </c>
      <c r="U662" s="80">
        <v>1.357458474672546</v>
      </c>
      <c r="V662" s="98">
        <v>1E-8</v>
      </c>
      <c r="W662" s="98">
        <v>1E-8</v>
      </c>
      <c r="X662" s="98">
        <v>1E-8</v>
      </c>
      <c r="Y662" s="98">
        <v>1E-8</v>
      </c>
      <c r="Z662" s="98">
        <v>1E-8</v>
      </c>
      <c r="AA662" s="98">
        <v>1E-8</v>
      </c>
      <c r="AB662" s="98">
        <v>1E-8</v>
      </c>
      <c r="AC662" s="98">
        <v>1E-8</v>
      </c>
      <c r="AD662" s="4"/>
    </row>
    <row r="663" spans="1:30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4"/>
      <c r="O663" s="4"/>
      <c r="P663" s="68"/>
      <c r="Q663" s="68" t="s">
        <v>684</v>
      </c>
      <c r="R663" s="108" t="s">
        <v>42</v>
      </c>
      <c r="S663" s="108" t="s">
        <v>583</v>
      </c>
      <c r="T663" s="98">
        <v>0.20783112641525092</v>
      </c>
      <c r="U663" s="80">
        <v>3.0949451592226396</v>
      </c>
      <c r="V663" s="98">
        <v>1E-8</v>
      </c>
      <c r="W663" s="98">
        <v>1E-8</v>
      </c>
      <c r="X663" s="98">
        <v>1E-8</v>
      </c>
      <c r="Y663" s="98">
        <v>1E-8</v>
      </c>
      <c r="Z663" s="98">
        <v>1E-8</v>
      </c>
      <c r="AA663" s="98">
        <v>1E-8</v>
      </c>
      <c r="AB663" s="98">
        <v>1E-8</v>
      </c>
      <c r="AC663" s="98">
        <v>1E-8</v>
      </c>
      <c r="AD663" s="4"/>
    </row>
    <row r="664" spans="1:30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4"/>
      <c r="O664" s="4"/>
      <c r="P664" s="68"/>
      <c r="Q664" s="68" t="s">
        <v>685</v>
      </c>
      <c r="R664" s="108" t="s">
        <v>42</v>
      </c>
      <c r="S664" s="108" t="s">
        <v>584</v>
      </c>
      <c r="T664" s="98">
        <v>0.37141762754573365</v>
      </c>
      <c r="U664" s="80">
        <v>-0.17039739993992553</v>
      </c>
      <c r="V664" s="98">
        <v>1E-8</v>
      </c>
      <c r="W664" s="98">
        <v>1E-8</v>
      </c>
      <c r="X664" s="98">
        <v>1E-8</v>
      </c>
      <c r="Y664" s="98">
        <v>1E-8</v>
      </c>
      <c r="Z664" s="98">
        <v>1E-8</v>
      </c>
      <c r="AA664" s="98">
        <v>1E-8</v>
      </c>
      <c r="AB664" s="98">
        <v>1E-8</v>
      </c>
      <c r="AC664" s="98">
        <v>1E-8</v>
      </c>
      <c r="AD664" s="4"/>
    </row>
    <row r="665" spans="1:30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4"/>
      <c r="O665" s="4"/>
      <c r="P665" s="68"/>
      <c r="Q665" s="68" t="s">
        <v>686</v>
      </c>
      <c r="R665" s="109" t="s">
        <v>42</v>
      </c>
      <c r="S665" s="109" t="s">
        <v>585</v>
      </c>
      <c r="T665" s="81">
        <v>1.649184879026129</v>
      </c>
      <c r="U665" s="82">
        <v>2.0900981987238332</v>
      </c>
      <c r="V665" s="81">
        <v>1E-8</v>
      </c>
      <c r="W665" s="81">
        <v>1E-8</v>
      </c>
      <c r="X665" s="81">
        <v>1E-8</v>
      </c>
      <c r="Y665" s="81">
        <v>1E-8</v>
      </c>
      <c r="Z665" s="81">
        <v>1E-8</v>
      </c>
      <c r="AA665" s="81">
        <v>1E-8</v>
      </c>
      <c r="AB665" s="81">
        <v>1E-8</v>
      </c>
      <c r="AC665" s="81">
        <v>1E-8</v>
      </c>
      <c r="AD665" s="4"/>
    </row>
    <row r="666" spans="1:30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4"/>
      <c r="O666" s="4"/>
      <c r="P666" s="96"/>
      <c r="Q666" s="96" t="s">
        <v>687</v>
      </c>
      <c r="R666" s="107" t="s">
        <v>42</v>
      </c>
      <c r="S666" s="107" t="s">
        <v>358</v>
      </c>
      <c r="T666" s="97">
        <v>14.088473991883472</v>
      </c>
      <c r="U666" s="78">
        <v>1.0137743122550003</v>
      </c>
      <c r="V666" s="97">
        <v>1E-8</v>
      </c>
      <c r="W666" s="97">
        <v>1E-8</v>
      </c>
      <c r="X666" s="97">
        <v>1E-8</v>
      </c>
      <c r="Y666" s="97">
        <v>1E-8</v>
      </c>
      <c r="Z666" s="97">
        <v>1E-8</v>
      </c>
      <c r="AA666" s="97">
        <v>1E-8</v>
      </c>
      <c r="AB666" s="97">
        <v>1E-8</v>
      </c>
      <c r="AC666" s="97">
        <v>1E-8</v>
      </c>
      <c r="AD666" s="4"/>
    </row>
    <row r="667" spans="1:30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4"/>
      <c r="O667" s="4"/>
      <c r="P667" s="96"/>
      <c r="Q667" s="96" t="s">
        <v>688</v>
      </c>
      <c r="R667" s="107" t="s">
        <v>42</v>
      </c>
      <c r="S667" s="107" t="s">
        <v>359</v>
      </c>
      <c r="T667" s="97">
        <v>7.3495792679118294E-2</v>
      </c>
      <c r="U667" s="78">
        <v>0.28483910715084715</v>
      </c>
      <c r="V667" s="97">
        <v>1E-8</v>
      </c>
      <c r="W667" s="97">
        <v>1E-8</v>
      </c>
      <c r="X667" s="97">
        <v>1E-8</v>
      </c>
      <c r="Y667" s="97">
        <v>1E-8</v>
      </c>
      <c r="Z667" s="97">
        <v>1E-8</v>
      </c>
      <c r="AA667" s="97">
        <v>1E-8</v>
      </c>
      <c r="AB667" s="97">
        <v>1E-8</v>
      </c>
      <c r="AC667" s="97">
        <v>1E-8</v>
      </c>
      <c r="AD667" s="4"/>
    </row>
    <row r="668" spans="1:30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4"/>
      <c r="O668" s="4"/>
      <c r="P668" s="96"/>
      <c r="Q668" s="96" t="s">
        <v>689</v>
      </c>
      <c r="R668" s="107" t="s">
        <v>42</v>
      </c>
      <c r="S668" s="107" t="s">
        <v>360</v>
      </c>
      <c r="T668" s="97">
        <v>2.029346413930821</v>
      </c>
      <c r="U668" s="78">
        <v>-1.12875270733509</v>
      </c>
      <c r="V668" s="97">
        <v>1E-8</v>
      </c>
      <c r="W668" s="97">
        <v>1E-8</v>
      </c>
      <c r="X668" s="97">
        <v>1E-8</v>
      </c>
      <c r="Y668" s="97">
        <v>1E-8</v>
      </c>
      <c r="Z668" s="97">
        <v>1E-8</v>
      </c>
      <c r="AA668" s="97">
        <v>1E-8</v>
      </c>
      <c r="AB668" s="97">
        <v>1E-8</v>
      </c>
      <c r="AC668" s="97">
        <v>1E-8</v>
      </c>
      <c r="AD668" s="4"/>
    </row>
    <row r="669" spans="1:30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4"/>
      <c r="O669" s="4"/>
      <c r="P669" s="96"/>
      <c r="Q669" s="96" t="s">
        <v>205</v>
      </c>
      <c r="R669" s="107" t="s">
        <v>42</v>
      </c>
      <c r="S669" s="107" t="s">
        <v>586</v>
      </c>
      <c r="T669" s="97">
        <v>4.7123982635317647</v>
      </c>
      <c r="U669" s="78">
        <v>0.8112884121673769</v>
      </c>
      <c r="V669" s="97">
        <v>1E-8</v>
      </c>
      <c r="W669" s="97">
        <v>1E-8</v>
      </c>
      <c r="X669" s="97">
        <v>1E-8</v>
      </c>
      <c r="Y669" s="97">
        <v>1E-8</v>
      </c>
      <c r="Z669" s="97">
        <v>1E-8</v>
      </c>
      <c r="AA669" s="97">
        <v>1E-8</v>
      </c>
      <c r="AB669" s="97">
        <v>1E-8</v>
      </c>
      <c r="AC669" s="97">
        <v>1E-8</v>
      </c>
      <c r="AD669" s="4"/>
    </row>
    <row r="670" spans="1:30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4"/>
      <c r="O670" s="4"/>
      <c r="P670" s="68"/>
      <c r="Q670" s="68" t="s">
        <v>690</v>
      </c>
      <c r="R670" s="108" t="s">
        <v>42</v>
      </c>
      <c r="S670" s="108" t="s">
        <v>587</v>
      </c>
      <c r="T670" s="98">
        <v>0.9725022233647832</v>
      </c>
      <c r="U670" s="80">
        <v>0.5535172489394613</v>
      </c>
      <c r="V670" s="98">
        <v>1E-8</v>
      </c>
      <c r="W670" s="98">
        <v>1E-8</v>
      </c>
      <c r="X670" s="98">
        <v>1E-8</v>
      </c>
      <c r="Y670" s="98">
        <v>1E-8</v>
      </c>
      <c r="Z670" s="98">
        <v>1E-8</v>
      </c>
      <c r="AA670" s="98">
        <v>1E-8</v>
      </c>
      <c r="AB670" s="98">
        <v>1E-8</v>
      </c>
      <c r="AC670" s="98">
        <v>1E-8</v>
      </c>
      <c r="AD670" s="4"/>
    </row>
    <row r="671" spans="1:30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4"/>
      <c r="O671" s="4"/>
      <c r="P671" s="68"/>
      <c r="Q671" s="68" t="s">
        <v>691</v>
      </c>
      <c r="R671" s="108" t="s">
        <v>42</v>
      </c>
      <c r="S671" s="108" t="s">
        <v>588</v>
      </c>
      <c r="T671" s="98">
        <v>1.9859397082715228E-2</v>
      </c>
      <c r="U671" s="80">
        <v>1.0868486389369325</v>
      </c>
      <c r="V671" s="98">
        <v>1E-8</v>
      </c>
      <c r="W671" s="98">
        <v>1E-8</v>
      </c>
      <c r="X671" s="98">
        <v>1E-8</v>
      </c>
      <c r="Y671" s="98">
        <v>1E-8</v>
      </c>
      <c r="Z671" s="98">
        <v>1E-8</v>
      </c>
      <c r="AA671" s="98">
        <v>1E-8</v>
      </c>
      <c r="AB671" s="98">
        <v>1E-8</v>
      </c>
      <c r="AC671" s="98">
        <v>1E-8</v>
      </c>
      <c r="AD671" s="4"/>
    </row>
    <row r="672" spans="1:30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4"/>
      <c r="O672" s="4"/>
      <c r="P672" s="68"/>
      <c r="Q672" s="68" t="s">
        <v>692</v>
      </c>
      <c r="R672" s="108" t="s">
        <v>42</v>
      </c>
      <c r="S672" s="108" t="s">
        <v>589</v>
      </c>
      <c r="T672" s="98">
        <v>0.37158590504187505</v>
      </c>
      <c r="U672" s="80">
        <v>2.6945398948728938</v>
      </c>
      <c r="V672" s="98">
        <v>1E-8</v>
      </c>
      <c r="W672" s="98">
        <v>1E-8</v>
      </c>
      <c r="X672" s="98">
        <v>1E-8</v>
      </c>
      <c r="Y672" s="98">
        <v>1E-8</v>
      </c>
      <c r="Z672" s="98">
        <v>1E-8</v>
      </c>
      <c r="AA672" s="98">
        <v>1E-8</v>
      </c>
      <c r="AB672" s="98">
        <v>1E-8</v>
      </c>
      <c r="AC672" s="98">
        <v>1E-8</v>
      </c>
      <c r="AD672" s="4"/>
    </row>
    <row r="673" spans="1:30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4"/>
      <c r="O673" s="4"/>
      <c r="P673" s="68"/>
      <c r="Q673" s="68" t="s">
        <v>693</v>
      </c>
      <c r="R673" s="108" t="s">
        <v>42</v>
      </c>
      <c r="S673" s="108" t="s">
        <v>361</v>
      </c>
      <c r="T673" s="98">
        <v>1.6433152723639968</v>
      </c>
      <c r="U673" s="80">
        <v>0.20081465890733341</v>
      </c>
      <c r="V673" s="98">
        <v>1E-8</v>
      </c>
      <c r="W673" s="98">
        <v>1E-8</v>
      </c>
      <c r="X673" s="98">
        <v>1E-8</v>
      </c>
      <c r="Y673" s="98">
        <v>1E-8</v>
      </c>
      <c r="Z673" s="98">
        <v>1E-8</v>
      </c>
      <c r="AA673" s="98">
        <v>1E-8</v>
      </c>
      <c r="AB673" s="98">
        <v>1E-8</v>
      </c>
      <c r="AC673" s="98">
        <v>1E-8</v>
      </c>
      <c r="AD673" s="4"/>
    </row>
    <row r="674" spans="1:30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4"/>
      <c r="O674" s="4"/>
      <c r="P674" s="68"/>
      <c r="Q674" s="68" t="s">
        <v>694</v>
      </c>
      <c r="R674" s="108" t="s">
        <v>42</v>
      </c>
      <c r="S674" s="108" t="s">
        <v>590</v>
      </c>
      <c r="T674" s="98">
        <v>1.7051354656783948</v>
      </c>
      <c r="U674" s="80">
        <v>1.1330351096731306</v>
      </c>
      <c r="V674" s="98">
        <v>1E-8</v>
      </c>
      <c r="W674" s="98">
        <v>1E-8</v>
      </c>
      <c r="X674" s="98">
        <v>1E-8</v>
      </c>
      <c r="Y674" s="98">
        <v>1E-8</v>
      </c>
      <c r="Z674" s="98">
        <v>1E-8</v>
      </c>
      <c r="AA674" s="98">
        <v>1E-8</v>
      </c>
      <c r="AB674" s="98">
        <v>1E-8</v>
      </c>
      <c r="AC674" s="98">
        <v>1E-8</v>
      </c>
      <c r="AD674" s="4"/>
    </row>
    <row r="675" spans="1:30" ht="15" thickBo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4"/>
      <c r="O675" s="4"/>
      <c r="P675" s="102"/>
      <c r="Q675" s="102" t="s">
        <v>695</v>
      </c>
      <c r="R675" s="113" t="s">
        <v>42</v>
      </c>
      <c r="S675" s="113" t="s">
        <v>591</v>
      </c>
      <c r="T675" s="103">
        <v>1E-8</v>
      </c>
      <c r="U675" s="104">
        <v>1E-8</v>
      </c>
      <c r="V675" s="103">
        <v>1E-8</v>
      </c>
      <c r="W675" s="103">
        <v>1E-8</v>
      </c>
      <c r="X675" s="103">
        <v>1E-8</v>
      </c>
      <c r="Y675" s="103">
        <v>1E-8</v>
      </c>
      <c r="Z675" s="103">
        <v>1E-8</v>
      </c>
      <c r="AA675" s="103">
        <v>1E-8</v>
      </c>
      <c r="AB675" s="103">
        <v>1E-8</v>
      </c>
      <c r="AC675" s="103">
        <v>1E-8</v>
      </c>
      <c r="AD675" s="4"/>
    </row>
    <row r="676" spans="1:30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4"/>
      <c r="O676" s="4"/>
      <c r="P676" s="47" t="s">
        <v>728</v>
      </c>
      <c r="Q676" s="47" t="s">
        <v>102</v>
      </c>
      <c r="R676" s="105" t="s">
        <v>47</v>
      </c>
      <c r="S676" s="105" t="s">
        <v>288</v>
      </c>
      <c r="T676" s="95">
        <v>100</v>
      </c>
      <c r="U676" s="74">
        <v>1E-8</v>
      </c>
      <c r="V676" s="95">
        <v>1E-8</v>
      </c>
      <c r="W676" s="95">
        <v>1E-8</v>
      </c>
      <c r="X676" s="95">
        <v>1E-8</v>
      </c>
      <c r="Y676" s="95">
        <v>1E-8</v>
      </c>
      <c r="Z676" s="95">
        <v>1E-8</v>
      </c>
      <c r="AA676" s="95">
        <v>1E-8</v>
      </c>
      <c r="AB676" s="95">
        <v>1E-8</v>
      </c>
      <c r="AC676" s="95">
        <v>1E-8</v>
      </c>
      <c r="AD676" s="4"/>
    </row>
    <row r="677" spans="1:30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4"/>
      <c r="O677" s="4"/>
      <c r="P677" s="47" t="s">
        <v>475</v>
      </c>
      <c r="Q677" s="47" t="s">
        <v>278</v>
      </c>
      <c r="R677" s="106" t="s">
        <v>47</v>
      </c>
      <c r="S677" s="106" t="s">
        <v>289</v>
      </c>
      <c r="T677" s="75">
        <v>19.005376887697789</v>
      </c>
      <c r="U677" s="76">
        <v>0.61427356912717723</v>
      </c>
      <c r="V677" s="75">
        <v>1E-8</v>
      </c>
      <c r="W677" s="75">
        <v>1E-8</v>
      </c>
      <c r="X677" s="75">
        <v>1E-8</v>
      </c>
      <c r="Y677" s="75">
        <v>1E-8</v>
      </c>
      <c r="Z677" s="75">
        <v>1E-8</v>
      </c>
      <c r="AA677" s="75">
        <v>1E-8</v>
      </c>
      <c r="AB677" s="75">
        <v>1E-8</v>
      </c>
      <c r="AC677" s="75">
        <v>1E-8</v>
      </c>
      <c r="AD677" s="4"/>
    </row>
    <row r="678" spans="1:30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4"/>
      <c r="O678" s="4"/>
      <c r="P678" s="96"/>
      <c r="Q678" s="96" t="s">
        <v>279</v>
      </c>
      <c r="R678" s="107" t="s">
        <v>47</v>
      </c>
      <c r="S678" s="107" t="s">
        <v>290</v>
      </c>
      <c r="T678" s="97">
        <v>13.605712105108795</v>
      </c>
      <c r="U678" s="78">
        <v>0.70473193628661779</v>
      </c>
      <c r="V678" s="97">
        <v>1E-8</v>
      </c>
      <c r="W678" s="97">
        <v>1E-8</v>
      </c>
      <c r="X678" s="97">
        <v>1E-8</v>
      </c>
      <c r="Y678" s="97">
        <v>1E-8</v>
      </c>
      <c r="Z678" s="97">
        <v>1E-8</v>
      </c>
      <c r="AA678" s="97">
        <v>1E-8</v>
      </c>
      <c r="AB678" s="97">
        <v>1E-8</v>
      </c>
      <c r="AC678" s="97">
        <v>1E-8</v>
      </c>
      <c r="AD678" s="4"/>
    </row>
    <row r="679" spans="1:30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4"/>
      <c r="O679" s="4"/>
      <c r="P679" s="96"/>
      <c r="Q679" s="96" t="s">
        <v>362</v>
      </c>
      <c r="R679" s="107" t="s">
        <v>47</v>
      </c>
      <c r="S679" s="107" t="s">
        <v>291</v>
      </c>
      <c r="T679" s="97">
        <v>13.013062501768266</v>
      </c>
      <c r="U679" s="78">
        <v>0.29615613584910161</v>
      </c>
      <c r="V679" s="97">
        <v>1E-8</v>
      </c>
      <c r="W679" s="97">
        <v>1E-8</v>
      </c>
      <c r="X679" s="97">
        <v>1E-8</v>
      </c>
      <c r="Y679" s="97">
        <v>1E-8</v>
      </c>
      <c r="Z679" s="97">
        <v>1E-8</v>
      </c>
      <c r="AA679" s="97">
        <v>1E-8</v>
      </c>
      <c r="AB679" s="97">
        <v>1E-8</v>
      </c>
      <c r="AC679" s="97">
        <v>1E-8</v>
      </c>
      <c r="AD679" s="4"/>
    </row>
    <row r="680" spans="1:30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4"/>
      <c r="O680" s="4"/>
      <c r="P680" s="96"/>
      <c r="Q680" s="96" t="s">
        <v>363</v>
      </c>
      <c r="R680" s="107" t="s">
        <v>47</v>
      </c>
      <c r="S680" s="107" t="s">
        <v>292</v>
      </c>
      <c r="T680" s="97">
        <v>0.5926496033405293</v>
      </c>
      <c r="U680" s="78">
        <v>9.6760066960005062</v>
      </c>
      <c r="V680" s="97">
        <v>1E-8</v>
      </c>
      <c r="W680" s="97">
        <v>1E-8</v>
      </c>
      <c r="X680" s="97">
        <v>1E-8</v>
      </c>
      <c r="Y680" s="97">
        <v>1E-8</v>
      </c>
      <c r="Z680" s="97">
        <v>1E-8</v>
      </c>
      <c r="AA680" s="97">
        <v>1E-8</v>
      </c>
      <c r="AB680" s="97">
        <v>1E-8</v>
      </c>
      <c r="AC680" s="97">
        <v>1E-8</v>
      </c>
      <c r="AD680" s="4"/>
    </row>
    <row r="681" spans="1:30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4"/>
      <c r="O681" s="4"/>
      <c r="P681" s="68"/>
      <c r="Q681" s="68" t="s">
        <v>592</v>
      </c>
      <c r="R681" s="108" t="s">
        <v>47</v>
      </c>
      <c r="S681" s="108" t="s">
        <v>294</v>
      </c>
      <c r="T681" s="98">
        <v>0.33928490943486045</v>
      </c>
      <c r="U681" s="80">
        <v>1.5849601276577863</v>
      </c>
      <c r="V681" s="98">
        <v>1E-8</v>
      </c>
      <c r="W681" s="98">
        <v>1E-8</v>
      </c>
      <c r="X681" s="98">
        <v>1E-8</v>
      </c>
      <c r="Y681" s="98">
        <v>1E-8</v>
      </c>
      <c r="Z681" s="98">
        <v>1E-8</v>
      </c>
      <c r="AA681" s="98">
        <v>1E-8</v>
      </c>
      <c r="AB681" s="98">
        <v>1E-8</v>
      </c>
      <c r="AC681" s="98">
        <v>1E-8</v>
      </c>
      <c r="AD681" s="4"/>
    </row>
    <row r="682" spans="1:30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4"/>
      <c r="O682" s="4"/>
      <c r="P682" s="68"/>
      <c r="Q682" s="68" t="s">
        <v>593</v>
      </c>
      <c r="R682" s="108" t="s">
        <v>47</v>
      </c>
      <c r="S682" s="108" t="s">
        <v>293</v>
      </c>
      <c r="T682" s="98">
        <v>0.80736636821819463</v>
      </c>
      <c r="U682" s="80">
        <v>2.5359603476341475</v>
      </c>
      <c r="V682" s="98">
        <v>1E-8</v>
      </c>
      <c r="W682" s="98">
        <v>1E-8</v>
      </c>
      <c r="X682" s="98">
        <v>1E-8</v>
      </c>
      <c r="Y682" s="98">
        <v>1E-8</v>
      </c>
      <c r="Z682" s="98">
        <v>1E-8</v>
      </c>
      <c r="AA682" s="98">
        <v>1E-8</v>
      </c>
      <c r="AB682" s="98">
        <v>1E-8</v>
      </c>
      <c r="AC682" s="98">
        <v>1E-8</v>
      </c>
      <c r="AD682" s="4"/>
    </row>
    <row r="683" spans="1:30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4"/>
      <c r="O683" s="4"/>
      <c r="P683" s="68"/>
      <c r="Q683" s="68" t="s">
        <v>594</v>
      </c>
      <c r="R683" s="108" t="s">
        <v>47</v>
      </c>
      <c r="S683" s="108" t="s">
        <v>296</v>
      </c>
      <c r="T683" s="98">
        <v>1.7437248094008699E-2</v>
      </c>
      <c r="U683" s="80">
        <v>3.5959849931406662</v>
      </c>
      <c r="V683" s="98">
        <v>1E-8</v>
      </c>
      <c r="W683" s="98">
        <v>1E-8</v>
      </c>
      <c r="X683" s="98">
        <v>1E-8</v>
      </c>
      <c r="Y683" s="98">
        <v>1E-8</v>
      </c>
      <c r="Z683" s="98">
        <v>1E-8</v>
      </c>
      <c r="AA683" s="98">
        <v>1E-8</v>
      </c>
      <c r="AB683" s="98">
        <v>1E-8</v>
      </c>
      <c r="AC683" s="98">
        <v>1E-8</v>
      </c>
      <c r="AD683" s="4"/>
    </row>
    <row r="684" spans="1:30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4"/>
      <c r="O684" s="4"/>
      <c r="P684" s="68"/>
      <c r="Q684" s="68" t="s">
        <v>595</v>
      </c>
      <c r="R684" s="108" t="s">
        <v>47</v>
      </c>
      <c r="S684" s="108" t="s">
        <v>295</v>
      </c>
      <c r="T684" s="98">
        <v>0.74026201148220971</v>
      </c>
      <c r="U684" s="80">
        <v>0.91673786378196898</v>
      </c>
      <c r="V684" s="98">
        <v>1E-8</v>
      </c>
      <c r="W684" s="98">
        <v>1E-8</v>
      </c>
      <c r="X684" s="98">
        <v>1E-8</v>
      </c>
      <c r="Y684" s="98">
        <v>1E-8</v>
      </c>
      <c r="Z684" s="98">
        <v>1E-8</v>
      </c>
      <c r="AA684" s="98">
        <v>1E-8</v>
      </c>
      <c r="AB684" s="98">
        <v>1E-8</v>
      </c>
      <c r="AC684" s="98">
        <v>1E-8</v>
      </c>
      <c r="AD684" s="4"/>
    </row>
    <row r="685" spans="1:30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4"/>
      <c r="O685" s="4"/>
      <c r="P685" s="68"/>
      <c r="Q685" s="68" t="s">
        <v>596</v>
      </c>
      <c r="R685" s="108" t="s">
        <v>47</v>
      </c>
      <c r="S685" s="108" t="s">
        <v>297</v>
      </c>
      <c r="T685" s="98">
        <v>5.700808697324532E-4</v>
      </c>
      <c r="U685" s="80">
        <v>3.605531926422012</v>
      </c>
      <c r="V685" s="98">
        <v>1E-8</v>
      </c>
      <c r="W685" s="98">
        <v>1E-8</v>
      </c>
      <c r="X685" s="98">
        <v>1E-8</v>
      </c>
      <c r="Y685" s="98">
        <v>1E-8</v>
      </c>
      <c r="Z685" s="98">
        <v>1E-8</v>
      </c>
      <c r="AA685" s="98">
        <v>1E-8</v>
      </c>
      <c r="AB685" s="98">
        <v>1E-8</v>
      </c>
      <c r="AC685" s="98">
        <v>1E-8</v>
      </c>
      <c r="AD685" s="4"/>
    </row>
    <row r="686" spans="1:30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4"/>
      <c r="O686" s="4"/>
      <c r="P686" s="68"/>
      <c r="Q686" s="68" t="s">
        <v>597</v>
      </c>
      <c r="R686" s="108" t="s">
        <v>47</v>
      </c>
      <c r="S686" s="108" t="s">
        <v>301</v>
      </c>
      <c r="T686" s="98">
        <v>2.0861259475839455</v>
      </c>
      <c r="U686" s="80">
        <v>-0.73563714605753283</v>
      </c>
      <c r="V686" s="98">
        <v>1E-8</v>
      </c>
      <c r="W686" s="98">
        <v>1E-8</v>
      </c>
      <c r="X686" s="98">
        <v>1E-8</v>
      </c>
      <c r="Y686" s="98">
        <v>1E-8</v>
      </c>
      <c r="Z686" s="98">
        <v>1E-8</v>
      </c>
      <c r="AA686" s="98">
        <v>1E-8</v>
      </c>
      <c r="AB686" s="98">
        <v>1E-8</v>
      </c>
      <c r="AC686" s="98">
        <v>1E-8</v>
      </c>
      <c r="AD686" s="4"/>
    </row>
    <row r="687" spans="1:30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4"/>
      <c r="O687" s="4"/>
      <c r="P687" s="68"/>
      <c r="Q687" s="68" t="s">
        <v>598</v>
      </c>
      <c r="R687" s="108" t="s">
        <v>47</v>
      </c>
      <c r="S687" s="108" t="s">
        <v>302</v>
      </c>
      <c r="T687" s="98">
        <v>0.38064364478668566</v>
      </c>
      <c r="U687" s="80">
        <v>-1.6567844877969584</v>
      </c>
      <c r="V687" s="98">
        <v>1E-8</v>
      </c>
      <c r="W687" s="98">
        <v>1E-8</v>
      </c>
      <c r="X687" s="98">
        <v>1E-8</v>
      </c>
      <c r="Y687" s="98">
        <v>1E-8</v>
      </c>
      <c r="Z687" s="98">
        <v>1E-8</v>
      </c>
      <c r="AA687" s="98">
        <v>1E-8</v>
      </c>
      <c r="AB687" s="98">
        <v>1E-8</v>
      </c>
      <c r="AC687" s="98">
        <v>1E-8</v>
      </c>
      <c r="AD687" s="4"/>
    </row>
    <row r="688" spans="1:30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4"/>
      <c r="O688" s="4"/>
      <c r="P688" s="68"/>
      <c r="Q688" s="68" t="s">
        <v>599</v>
      </c>
      <c r="R688" s="108" t="s">
        <v>47</v>
      </c>
      <c r="S688" s="108" t="s">
        <v>300</v>
      </c>
      <c r="T688" s="98">
        <v>0.45097731539296204</v>
      </c>
      <c r="U688" s="80">
        <v>0.74664390394454383</v>
      </c>
      <c r="V688" s="98">
        <v>1E-8</v>
      </c>
      <c r="W688" s="98">
        <v>1E-8</v>
      </c>
      <c r="X688" s="98">
        <v>1E-8</v>
      </c>
      <c r="Y688" s="98">
        <v>1E-8</v>
      </c>
      <c r="Z688" s="98">
        <v>1E-8</v>
      </c>
      <c r="AA688" s="98">
        <v>1E-8</v>
      </c>
      <c r="AB688" s="98">
        <v>1E-8</v>
      </c>
      <c r="AC688" s="98">
        <v>1E-8</v>
      </c>
      <c r="AD688" s="4"/>
    </row>
    <row r="689" spans="1:30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4"/>
      <c r="O689" s="4"/>
      <c r="P689" s="68"/>
      <c r="Q689" s="68" t="s">
        <v>600</v>
      </c>
      <c r="R689" s="108" t="s">
        <v>47</v>
      </c>
      <c r="S689" s="108" t="s">
        <v>303</v>
      </c>
      <c r="T689" s="98">
        <v>7.2090719325896419E-2</v>
      </c>
      <c r="U689" s="80">
        <v>-1.3214298184204831</v>
      </c>
      <c r="V689" s="98">
        <v>1E-8</v>
      </c>
      <c r="W689" s="98">
        <v>1E-8</v>
      </c>
      <c r="X689" s="98">
        <v>1E-8</v>
      </c>
      <c r="Y689" s="98">
        <v>1E-8</v>
      </c>
      <c r="Z689" s="98">
        <v>1E-8</v>
      </c>
      <c r="AA689" s="98">
        <v>1E-8</v>
      </c>
      <c r="AB689" s="98">
        <v>1E-8</v>
      </c>
      <c r="AC689" s="98">
        <v>1E-8</v>
      </c>
      <c r="AD689" s="4"/>
    </row>
    <row r="690" spans="1:30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4"/>
      <c r="O690" s="4"/>
      <c r="P690" s="68"/>
      <c r="Q690" s="68" t="s">
        <v>601</v>
      </c>
      <c r="R690" s="108" t="s">
        <v>47</v>
      </c>
      <c r="S690" s="108" t="s">
        <v>533</v>
      </c>
      <c r="T690" s="98">
        <v>1.8573384190024549</v>
      </c>
      <c r="U690" s="80">
        <v>0.34969425119180109</v>
      </c>
      <c r="V690" s="98">
        <v>1E-8</v>
      </c>
      <c r="W690" s="98">
        <v>1E-8</v>
      </c>
      <c r="X690" s="98">
        <v>1E-8</v>
      </c>
      <c r="Y690" s="98">
        <v>1E-8</v>
      </c>
      <c r="Z690" s="98">
        <v>1E-8</v>
      </c>
      <c r="AA690" s="98">
        <v>1E-8</v>
      </c>
      <c r="AB690" s="98">
        <v>1E-8</v>
      </c>
      <c r="AC690" s="98">
        <v>1E-8</v>
      </c>
      <c r="AD690" s="4"/>
    </row>
    <row r="691" spans="1:30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4"/>
      <c r="O691" s="4"/>
      <c r="P691" s="68"/>
      <c r="Q691" s="68" t="s">
        <v>602</v>
      </c>
      <c r="R691" s="108" t="s">
        <v>47</v>
      </c>
      <c r="S691" s="108" t="s">
        <v>534</v>
      </c>
      <c r="T691" s="98">
        <v>0.1719239607678737</v>
      </c>
      <c r="U691" s="80">
        <v>-0.33236461095556002</v>
      </c>
      <c r="V691" s="98">
        <v>1E-8</v>
      </c>
      <c r="W691" s="98">
        <v>1E-8</v>
      </c>
      <c r="X691" s="98">
        <v>1E-8</v>
      </c>
      <c r="Y691" s="98">
        <v>1E-8</v>
      </c>
      <c r="Z691" s="98">
        <v>1E-8</v>
      </c>
      <c r="AA691" s="98">
        <v>1E-8</v>
      </c>
      <c r="AB691" s="98">
        <v>1E-8</v>
      </c>
      <c r="AC691" s="98">
        <v>1E-8</v>
      </c>
      <c r="AD691" s="4"/>
    </row>
    <row r="692" spans="1:30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4"/>
      <c r="O692" s="4"/>
      <c r="P692" s="68"/>
      <c r="Q692" s="68" t="s">
        <v>603</v>
      </c>
      <c r="R692" s="108" t="s">
        <v>47</v>
      </c>
      <c r="S692" s="108" t="s">
        <v>304</v>
      </c>
      <c r="T692" s="98">
        <v>2.4795000012678035</v>
      </c>
      <c r="U692" s="80">
        <v>4.1820233349754155E-2</v>
      </c>
      <c r="V692" s="98">
        <v>1E-8</v>
      </c>
      <c r="W692" s="98">
        <v>1E-8</v>
      </c>
      <c r="X692" s="98">
        <v>1E-8</v>
      </c>
      <c r="Y692" s="98">
        <v>1E-8</v>
      </c>
      <c r="Z692" s="98">
        <v>1E-8</v>
      </c>
      <c r="AA692" s="98">
        <v>1E-8</v>
      </c>
      <c r="AB692" s="98">
        <v>1E-8</v>
      </c>
      <c r="AC692" s="98">
        <v>1E-8</v>
      </c>
      <c r="AD692" s="4"/>
    </row>
    <row r="693" spans="1:30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4"/>
      <c r="O693" s="4"/>
      <c r="P693" s="68"/>
      <c r="Q693" s="68" t="s">
        <v>604</v>
      </c>
      <c r="R693" s="108" t="s">
        <v>47</v>
      </c>
      <c r="S693" s="108" t="s">
        <v>535</v>
      </c>
      <c r="T693" s="98">
        <v>0.52027909182169574</v>
      </c>
      <c r="U693" s="80">
        <v>0.26534513414953054</v>
      </c>
      <c r="V693" s="98">
        <v>1E-8</v>
      </c>
      <c r="W693" s="98">
        <v>1E-8</v>
      </c>
      <c r="X693" s="98">
        <v>1E-8</v>
      </c>
      <c r="Y693" s="98">
        <v>1E-8</v>
      </c>
      <c r="Z693" s="98">
        <v>1E-8</v>
      </c>
      <c r="AA693" s="98">
        <v>1E-8</v>
      </c>
      <c r="AB693" s="98">
        <v>1E-8</v>
      </c>
      <c r="AC693" s="98">
        <v>1E-8</v>
      </c>
      <c r="AD693" s="4"/>
    </row>
    <row r="694" spans="1:30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4"/>
      <c r="O694" s="4"/>
      <c r="P694" s="68"/>
      <c r="Q694" s="68" t="s">
        <v>605</v>
      </c>
      <c r="R694" s="108" t="s">
        <v>47</v>
      </c>
      <c r="S694" s="108" t="s">
        <v>536</v>
      </c>
      <c r="T694" s="98">
        <v>2.379481140015729</v>
      </c>
      <c r="U694" s="80">
        <v>8.7208884713896317E-2</v>
      </c>
      <c r="V694" s="98">
        <v>1E-8</v>
      </c>
      <c r="W694" s="98">
        <v>1E-8</v>
      </c>
      <c r="X694" s="98">
        <v>1E-8</v>
      </c>
      <c r="Y694" s="98">
        <v>1E-8</v>
      </c>
      <c r="Z694" s="98">
        <v>1E-8</v>
      </c>
      <c r="AA694" s="98">
        <v>1E-8</v>
      </c>
      <c r="AB694" s="98">
        <v>1E-8</v>
      </c>
      <c r="AC694" s="98">
        <v>1E-8</v>
      </c>
      <c r="AD694" s="4"/>
    </row>
    <row r="695" spans="1:30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4"/>
      <c r="O695" s="4"/>
      <c r="P695" s="68"/>
      <c r="Q695" s="68" t="s">
        <v>606</v>
      </c>
      <c r="R695" s="108" t="s">
        <v>47</v>
      </c>
      <c r="S695" s="108" t="s">
        <v>537</v>
      </c>
      <c r="T695" s="98">
        <v>0.31010651824223845</v>
      </c>
      <c r="U695" s="80">
        <v>0.86856283492349196</v>
      </c>
      <c r="V695" s="98">
        <v>1E-8</v>
      </c>
      <c r="W695" s="98">
        <v>1E-8</v>
      </c>
      <c r="X695" s="98">
        <v>1E-8</v>
      </c>
      <c r="Y695" s="98">
        <v>1E-8</v>
      </c>
      <c r="Z695" s="98">
        <v>1E-8</v>
      </c>
      <c r="AA695" s="98">
        <v>1E-8</v>
      </c>
      <c r="AB695" s="98">
        <v>1E-8</v>
      </c>
      <c r="AC695" s="98">
        <v>1E-8</v>
      </c>
      <c r="AD695" s="4"/>
    </row>
    <row r="696" spans="1:30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4"/>
      <c r="O696" s="4"/>
      <c r="P696" s="68"/>
      <c r="Q696" s="68" t="s">
        <v>607</v>
      </c>
      <c r="R696" s="108" t="s">
        <v>47</v>
      </c>
      <c r="S696" s="108" t="s">
        <v>307</v>
      </c>
      <c r="T696" s="98">
        <v>0.32632690459997699</v>
      </c>
      <c r="U696" s="80">
        <v>2.4094013123845848</v>
      </c>
      <c r="V696" s="98">
        <v>1E-8</v>
      </c>
      <c r="W696" s="98">
        <v>1E-8</v>
      </c>
      <c r="X696" s="98">
        <v>1E-8</v>
      </c>
      <c r="Y696" s="98">
        <v>1E-8</v>
      </c>
      <c r="Z696" s="98">
        <v>1E-8</v>
      </c>
      <c r="AA696" s="98">
        <v>1E-8</v>
      </c>
      <c r="AB696" s="98">
        <v>1E-8</v>
      </c>
      <c r="AC696" s="98">
        <v>1E-8</v>
      </c>
      <c r="AD696" s="4"/>
    </row>
    <row r="697" spans="1:30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4"/>
      <c r="O697" s="4"/>
      <c r="P697" s="68"/>
      <c r="Q697" s="68" t="s">
        <v>608</v>
      </c>
      <c r="R697" s="108" t="s">
        <v>47</v>
      </c>
      <c r="S697" s="108" t="s">
        <v>298</v>
      </c>
      <c r="T697" s="98">
        <v>5.373629185346937E-2</v>
      </c>
      <c r="U697" s="80">
        <v>5.8310292987091783</v>
      </c>
      <c r="V697" s="98">
        <v>1E-8</v>
      </c>
      <c r="W697" s="98">
        <v>1E-8</v>
      </c>
      <c r="X697" s="98">
        <v>1E-8</v>
      </c>
      <c r="Y697" s="98">
        <v>1E-8</v>
      </c>
      <c r="Z697" s="98">
        <v>1E-8</v>
      </c>
      <c r="AA697" s="98">
        <v>1E-8</v>
      </c>
      <c r="AB697" s="98">
        <v>1E-8</v>
      </c>
      <c r="AC697" s="98">
        <v>1E-8</v>
      </c>
      <c r="AD697" s="4"/>
    </row>
    <row r="698" spans="1:30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4"/>
      <c r="O698" s="4"/>
      <c r="P698" s="68"/>
      <c r="Q698" s="68" t="s">
        <v>609</v>
      </c>
      <c r="R698" s="108" t="s">
        <v>47</v>
      </c>
      <c r="S698" s="108" t="s">
        <v>538</v>
      </c>
      <c r="T698" s="98">
        <v>1.9611929008531048E-2</v>
      </c>
      <c r="U698" s="80">
        <v>1.9669061130126231</v>
      </c>
      <c r="V698" s="98">
        <v>1E-8</v>
      </c>
      <c r="W698" s="98">
        <v>1E-8</v>
      </c>
      <c r="X698" s="98">
        <v>1E-8</v>
      </c>
      <c r="Y698" s="98">
        <v>1E-8</v>
      </c>
      <c r="Z698" s="98">
        <v>1E-8</v>
      </c>
      <c r="AA698" s="98">
        <v>1E-8</v>
      </c>
      <c r="AB698" s="98">
        <v>1E-8</v>
      </c>
      <c r="AC698" s="98">
        <v>1E-8</v>
      </c>
      <c r="AD698" s="4"/>
    </row>
    <row r="699" spans="1:30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4"/>
      <c r="O699" s="4"/>
      <c r="P699" s="68"/>
      <c r="Q699" s="68" t="s">
        <v>610</v>
      </c>
      <c r="R699" s="108" t="s">
        <v>47</v>
      </c>
      <c r="S699" s="108" t="s">
        <v>299</v>
      </c>
      <c r="T699" s="98">
        <v>1E-8</v>
      </c>
      <c r="U699" s="80">
        <v>1E-8</v>
      </c>
      <c r="V699" s="98">
        <v>1E-8</v>
      </c>
      <c r="W699" s="98">
        <v>1E-8</v>
      </c>
      <c r="X699" s="98">
        <v>1E-8</v>
      </c>
      <c r="Y699" s="98">
        <v>1E-8</v>
      </c>
      <c r="Z699" s="98">
        <v>1E-8</v>
      </c>
      <c r="AA699" s="98">
        <v>1E-8</v>
      </c>
      <c r="AB699" s="98">
        <v>1E-8</v>
      </c>
      <c r="AC699" s="98">
        <v>1E-8</v>
      </c>
      <c r="AD699" s="4"/>
    </row>
    <row r="700" spans="1:30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4"/>
      <c r="O700" s="4"/>
      <c r="P700" s="68"/>
      <c r="Q700" s="68" t="s">
        <v>611</v>
      </c>
      <c r="R700" s="108" t="s">
        <v>47</v>
      </c>
      <c r="S700" s="108" t="s">
        <v>309</v>
      </c>
      <c r="T700" s="98">
        <v>0.2820893700460107</v>
      </c>
      <c r="U700" s="80">
        <v>13.914069520379257</v>
      </c>
      <c r="V700" s="98">
        <v>1E-8</v>
      </c>
      <c r="W700" s="98">
        <v>1E-8</v>
      </c>
      <c r="X700" s="98">
        <v>1E-8</v>
      </c>
      <c r="Y700" s="98">
        <v>1E-8</v>
      </c>
      <c r="Z700" s="98">
        <v>1E-8</v>
      </c>
      <c r="AA700" s="98">
        <v>1E-8</v>
      </c>
      <c r="AB700" s="98">
        <v>1E-8</v>
      </c>
      <c r="AC700" s="98">
        <v>1E-8</v>
      </c>
      <c r="AD700" s="4"/>
    </row>
    <row r="701" spans="1:30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4"/>
      <c r="O701" s="4"/>
      <c r="P701" s="68"/>
      <c r="Q701" s="68" t="s">
        <v>612</v>
      </c>
      <c r="R701" s="108" t="s">
        <v>47</v>
      </c>
      <c r="S701" s="108" t="s">
        <v>308</v>
      </c>
      <c r="T701" s="98">
        <v>4.2275253734429641E-2</v>
      </c>
      <c r="U701" s="80">
        <v>5.4930487561752228</v>
      </c>
      <c r="V701" s="98">
        <v>1E-8</v>
      </c>
      <c r="W701" s="98">
        <v>1E-8</v>
      </c>
      <c r="X701" s="98">
        <v>1E-8</v>
      </c>
      <c r="Y701" s="98">
        <v>1E-8</v>
      </c>
      <c r="Z701" s="98">
        <v>1E-8</v>
      </c>
      <c r="AA701" s="98">
        <v>1E-8</v>
      </c>
      <c r="AB701" s="98">
        <v>1E-8</v>
      </c>
      <c r="AC701" s="98">
        <v>1E-8</v>
      </c>
      <c r="AD701" s="4"/>
    </row>
    <row r="702" spans="1:30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4"/>
      <c r="O702" s="4"/>
      <c r="P702" s="68"/>
      <c r="Q702" s="68" t="s">
        <v>613</v>
      </c>
      <c r="R702" s="108" t="s">
        <v>47</v>
      </c>
      <c r="S702" s="108" t="s">
        <v>306</v>
      </c>
      <c r="T702" s="98">
        <v>9.3836760361987234E-3</v>
      </c>
      <c r="U702" s="80">
        <v>-1.2127624088207112</v>
      </c>
      <c r="V702" s="98">
        <v>1E-8</v>
      </c>
      <c r="W702" s="98">
        <v>1E-8</v>
      </c>
      <c r="X702" s="98">
        <v>1E-8</v>
      </c>
      <c r="Y702" s="98">
        <v>1E-8</v>
      </c>
      <c r="Z702" s="98">
        <v>1E-8</v>
      </c>
      <c r="AA702" s="98">
        <v>1E-8</v>
      </c>
      <c r="AB702" s="98">
        <v>1E-8</v>
      </c>
      <c r="AC702" s="98">
        <v>1E-8</v>
      </c>
      <c r="AD702" s="4"/>
    </row>
    <row r="703" spans="1:30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4"/>
      <c r="O703" s="4"/>
      <c r="P703" s="68"/>
      <c r="Q703" s="68" t="s">
        <v>614</v>
      </c>
      <c r="R703" s="108" t="s">
        <v>47</v>
      </c>
      <c r="S703" s="108" t="s">
        <v>305</v>
      </c>
      <c r="T703" s="98">
        <v>1.5911002877361784E-2</v>
      </c>
      <c r="U703" s="80">
        <v>0.76326484597213362</v>
      </c>
      <c r="V703" s="98">
        <v>1E-8</v>
      </c>
      <c r="W703" s="98">
        <v>1E-8</v>
      </c>
      <c r="X703" s="98">
        <v>1E-8</v>
      </c>
      <c r="Y703" s="98">
        <v>1E-8</v>
      </c>
      <c r="Z703" s="98">
        <v>1E-8</v>
      </c>
      <c r="AA703" s="98">
        <v>1E-8</v>
      </c>
      <c r="AB703" s="98">
        <v>1E-8</v>
      </c>
      <c r="AC703" s="98">
        <v>1E-8</v>
      </c>
      <c r="AD703" s="4"/>
    </row>
    <row r="704" spans="1:30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4"/>
      <c r="O704" s="4"/>
      <c r="P704" s="68"/>
      <c r="Q704" s="68" t="s">
        <v>615</v>
      </c>
      <c r="R704" s="108" t="s">
        <v>47</v>
      </c>
      <c r="S704" s="108" t="s">
        <v>539</v>
      </c>
      <c r="T704" s="98">
        <v>4.9371876797727476E-2</v>
      </c>
      <c r="U704" s="80">
        <v>16.920839877460669</v>
      </c>
      <c r="V704" s="98">
        <v>1E-8</v>
      </c>
      <c r="W704" s="98">
        <v>1E-8</v>
      </c>
      <c r="X704" s="98">
        <v>1E-8</v>
      </c>
      <c r="Y704" s="98">
        <v>1E-8</v>
      </c>
      <c r="Z704" s="98">
        <v>1E-8</v>
      </c>
      <c r="AA704" s="98">
        <v>1E-8</v>
      </c>
      <c r="AB704" s="98">
        <v>1E-8</v>
      </c>
      <c r="AC704" s="98">
        <v>1E-8</v>
      </c>
      <c r="AD704" s="4"/>
    </row>
    <row r="705" spans="1:30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4"/>
      <c r="O705" s="4"/>
      <c r="P705" s="68"/>
      <c r="Q705" s="68" t="s">
        <v>616</v>
      </c>
      <c r="R705" s="109" t="s">
        <v>47</v>
      </c>
      <c r="S705" s="109" t="s">
        <v>310</v>
      </c>
      <c r="T705" s="81">
        <v>0.1936184238488009</v>
      </c>
      <c r="U705" s="82">
        <v>3.8274902692596369</v>
      </c>
      <c r="V705" s="81">
        <v>1E-8</v>
      </c>
      <c r="W705" s="81">
        <v>1E-8</v>
      </c>
      <c r="X705" s="81">
        <v>1E-8</v>
      </c>
      <c r="Y705" s="81">
        <v>1E-8</v>
      </c>
      <c r="Z705" s="81">
        <v>1E-8</v>
      </c>
      <c r="AA705" s="81">
        <v>1E-8</v>
      </c>
      <c r="AB705" s="81">
        <v>1E-8</v>
      </c>
      <c r="AC705" s="81">
        <v>1E-8</v>
      </c>
      <c r="AD705" s="4"/>
    </row>
    <row r="706" spans="1:30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4"/>
      <c r="O706" s="4"/>
      <c r="P706" s="96"/>
      <c r="Q706" s="96" t="s">
        <v>280</v>
      </c>
      <c r="R706" s="107" t="s">
        <v>47</v>
      </c>
      <c r="S706" s="107" t="s">
        <v>311</v>
      </c>
      <c r="T706" s="97">
        <v>2.3835010587665755</v>
      </c>
      <c r="U706" s="78">
        <v>5.1344659476026955E-2</v>
      </c>
      <c r="V706" s="97">
        <v>1E-8</v>
      </c>
      <c r="W706" s="97">
        <v>1E-8</v>
      </c>
      <c r="X706" s="97">
        <v>1E-8</v>
      </c>
      <c r="Y706" s="97">
        <v>1E-8</v>
      </c>
      <c r="Z706" s="97">
        <v>1E-8</v>
      </c>
      <c r="AA706" s="97">
        <v>1E-8</v>
      </c>
      <c r="AB706" s="97">
        <v>1E-8</v>
      </c>
      <c r="AC706" s="97">
        <v>1E-8</v>
      </c>
      <c r="AD706" s="4"/>
    </row>
    <row r="707" spans="1:30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4"/>
      <c r="O707" s="4"/>
      <c r="P707" s="68"/>
      <c r="Q707" s="68" t="s">
        <v>617</v>
      </c>
      <c r="R707" s="108" t="s">
        <v>47</v>
      </c>
      <c r="S707" s="108" t="s">
        <v>312</v>
      </c>
      <c r="T707" s="98">
        <v>0.9630609989270128</v>
      </c>
      <c r="U707" s="80">
        <v>-1.0376475075624891</v>
      </c>
      <c r="V707" s="98">
        <v>1E-8</v>
      </c>
      <c r="W707" s="98">
        <v>1E-8</v>
      </c>
      <c r="X707" s="98">
        <v>1E-8</v>
      </c>
      <c r="Y707" s="98">
        <v>1E-8</v>
      </c>
      <c r="Z707" s="98">
        <v>1E-8</v>
      </c>
      <c r="AA707" s="98">
        <v>1E-8</v>
      </c>
      <c r="AB707" s="98">
        <v>1E-8</v>
      </c>
      <c r="AC707" s="98">
        <v>1E-8</v>
      </c>
      <c r="AD707" s="4"/>
    </row>
    <row r="708" spans="1:30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4"/>
      <c r="O708" s="4"/>
      <c r="P708" s="68"/>
      <c r="Q708" s="68" t="s">
        <v>618</v>
      </c>
      <c r="R708" s="108" t="s">
        <v>47</v>
      </c>
      <c r="S708" s="108" t="s">
        <v>316</v>
      </c>
      <c r="T708" s="98">
        <v>0.4182273409387916</v>
      </c>
      <c r="U708" s="80">
        <v>-3.0369702186320513</v>
      </c>
      <c r="V708" s="98">
        <v>1E-8</v>
      </c>
      <c r="W708" s="98">
        <v>1E-8</v>
      </c>
      <c r="X708" s="98">
        <v>1E-8</v>
      </c>
      <c r="Y708" s="98">
        <v>1E-8</v>
      </c>
      <c r="Z708" s="98">
        <v>1E-8</v>
      </c>
      <c r="AA708" s="98">
        <v>1E-8</v>
      </c>
      <c r="AB708" s="98">
        <v>1E-8</v>
      </c>
      <c r="AC708" s="98">
        <v>1E-8</v>
      </c>
      <c r="AD708" s="4"/>
    </row>
    <row r="709" spans="1:30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4"/>
      <c r="O709" s="4"/>
      <c r="P709" s="68"/>
      <c r="Q709" s="68" t="s">
        <v>619</v>
      </c>
      <c r="R709" s="108" t="s">
        <v>47</v>
      </c>
      <c r="S709" s="108" t="s">
        <v>314</v>
      </c>
      <c r="T709" s="98">
        <v>0.24256599888550948</v>
      </c>
      <c r="U709" s="80">
        <v>3.8709047876750002</v>
      </c>
      <c r="V709" s="98">
        <v>1E-8</v>
      </c>
      <c r="W709" s="98">
        <v>1E-8</v>
      </c>
      <c r="X709" s="98">
        <v>1E-8</v>
      </c>
      <c r="Y709" s="98">
        <v>1E-8</v>
      </c>
      <c r="Z709" s="98">
        <v>1E-8</v>
      </c>
      <c r="AA709" s="98">
        <v>1E-8</v>
      </c>
      <c r="AB709" s="98">
        <v>1E-8</v>
      </c>
      <c r="AC709" s="98">
        <v>1E-8</v>
      </c>
      <c r="AD709" s="4"/>
    </row>
    <row r="710" spans="1:30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4"/>
      <c r="O710" s="4"/>
      <c r="P710" s="68"/>
      <c r="Q710" s="68" t="s">
        <v>620</v>
      </c>
      <c r="R710" s="108" t="s">
        <v>47</v>
      </c>
      <c r="S710" s="108" t="s">
        <v>317</v>
      </c>
      <c r="T710" s="98">
        <v>2.6904843611623337E-2</v>
      </c>
      <c r="U710" s="80">
        <v>0.96994096769205118</v>
      </c>
      <c r="V710" s="98">
        <v>1E-8</v>
      </c>
      <c r="W710" s="98">
        <v>1E-8</v>
      </c>
      <c r="X710" s="98">
        <v>1E-8</v>
      </c>
      <c r="Y710" s="98">
        <v>1E-8</v>
      </c>
      <c r="Z710" s="98">
        <v>1E-8</v>
      </c>
      <c r="AA710" s="98">
        <v>1E-8</v>
      </c>
      <c r="AB710" s="98">
        <v>1E-8</v>
      </c>
      <c r="AC710" s="98">
        <v>1E-8</v>
      </c>
      <c r="AD710" s="4"/>
    </row>
    <row r="711" spans="1:30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4"/>
      <c r="O711" s="4"/>
      <c r="P711" s="68"/>
      <c r="Q711" s="68" t="s">
        <v>621</v>
      </c>
      <c r="R711" s="108" t="s">
        <v>47</v>
      </c>
      <c r="S711" s="108" t="s">
        <v>313</v>
      </c>
      <c r="T711" s="98">
        <v>0.56172884389831201</v>
      </c>
      <c r="U711" s="80">
        <v>0.87319864871422403</v>
      </c>
      <c r="V711" s="98">
        <v>1E-8</v>
      </c>
      <c r="W711" s="98">
        <v>1E-8</v>
      </c>
      <c r="X711" s="98">
        <v>1E-8</v>
      </c>
      <c r="Y711" s="98">
        <v>1E-8</v>
      </c>
      <c r="Z711" s="98">
        <v>1E-8</v>
      </c>
      <c r="AA711" s="98">
        <v>1E-8</v>
      </c>
      <c r="AB711" s="98">
        <v>1E-8</v>
      </c>
      <c r="AC711" s="98">
        <v>1E-8</v>
      </c>
      <c r="AD711" s="4"/>
    </row>
    <row r="712" spans="1:30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4"/>
      <c r="O712" s="4"/>
      <c r="P712" s="68"/>
      <c r="Q712" s="68" t="s">
        <v>622</v>
      </c>
      <c r="R712" s="108" t="s">
        <v>47</v>
      </c>
      <c r="S712" s="108" t="s">
        <v>315</v>
      </c>
      <c r="T712" s="98">
        <v>6.3755851013886269E-2</v>
      </c>
      <c r="U712" s="80">
        <v>2.1065307730380622</v>
      </c>
      <c r="V712" s="98">
        <v>1E-8</v>
      </c>
      <c r="W712" s="98">
        <v>1E-8</v>
      </c>
      <c r="X712" s="98">
        <v>1E-8</v>
      </c>
      <c r="Y712" s="98">
        <v>1E-8</v>
      </c>
      <c r="Z712" s="98">
        <v>1E-8</v>
      </c>
      <c r="AA712" s="98">
        <v>1E-8</v>
      </c>
      <c r="AB712" s="98">
        <v>1E-8</v>
      </c>
      <c r="AC712" s="98">
        <v>1E-8</v>
      </c>
      <c r="AD712" s="4"/>
    </row>
    <row r="713" spans="1:30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4"/>
      <c r="O713" s="4"/>
      <c r="P713" s="68"/>
      <c r="Q713" s="68" t="s">
        <v>623</v>
      </c>
      <c r="R713" s="108" t="s">
        <v>47</v>
      </c>
      <c r="S713" s="108" t="s">
        <v>540</v>
      </c>
      <c r="T713" s="98">
        <v>6.4613916539694588E-3</v>
      </c>
      <c r="U713" s="80">
        <v>2.452477791584684</v>
      </c>
      <c r="V713" s="98">
        <v>1E-8</v>
      </c>
      <c r="W713" s="98">
        <v>1E-8</v>
      </c>
      <c r="X713" s="98">
        <v>1E-8</v>
      </c>
      <c r="Y713" s="98">
        <v>1E-8</v>
      </c>
      <c r="Z713" s="98">
        <v>1E-8</v>
      </c>
      <c r="AA713" s="98">
        <v>1E-8</v>
      </c>
      <c r="AB713" s="98">
        <v>1E-8</v>
      </c>
      <c r="AC713" s="98">
        <v>1E-8</v>
      </c>
      <c r="AD713" s="4"/>
    </row>
    <row r="714" spans="1:30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4"/>
      <c r="O714" s="4"/>
      <c r="P714" s="68"/>
      <c r="Q714" s="68" t="s">
        <v>624</v>
      </c>
      <c r="R714" s="109" t="s">
        <v>47</v>
      </c>
      <c r="S714" s="109" t="s">
        <v>541</v>
      </c>
      <c r="T714" s="81">
        <v>0.10079578983747076</v>
      </c>
      <c r="U714" s="82">
        <v>7.7993825947849205</v>
      </c>
      <c r="V714" s="81">
        <v>1E-8</v>
      </c>
      <c r="W714" s="81">
        <v>1E-8</v>
      </c>
      <c r="X714" s="81">
        <v>1E-8</v>
      </c>
      <c r="Y714" s="81">
        <v>1E-8</v>
      </c>
      <c r="Z714" s="81">
        <v>1E-8</v>
      </c>
      <c r="AA714" s="81">
        <v>1E-8</v>
      </c>
      <c r="AB714" s="81">
        <v>1E-8</v>
      </c>
      <c r="AC714" s="81">
        <v>1E-8</v>
      </c>
      <c r="AD714" s="4"/>
    </row>
    <row r="715" spans="1:30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4"/>
      <c r="O715" s="4"/>
      <c r="P715" s="96"/>
      <c r="Q715" s="96" t="s">
        <v>281</v>
      </c>
      <c r="R715" s="107" t="s">
        <v>47</v>
      </c>
      <c r="S715" s="107" t="s">
        <v>318</v>
      </c>
      <c r="T715" s="97">
        <v>3.016163723822419</v>
      </c>
      <c r="U715" s="78">
        <v>0.65107235104244765</v>
      </c>
      <c r="V715" s="97">
        <v>1E-8</v>
      </c>
      <c r="W715" s="97">
        <v>1E-8</v>
      </c>
      <c r="X715" s="97">
        <v>1E-8</v>
      </c>
      <c r="Y715" s="97">
        <v>1E-8</v>
      </c>
      <c r="Z715" s="97">
        <v>1E-8</v>
      </c>
      <c r="AA715" s="97">
        <v>1E-8</v>
      </c>
      <c r="AB715" s="97">
        <v>1E-8</v>
      </c>
      <c r="AC715" s="97">
        <v>1E-8</v>
      </c>
      <c r="AD715" s="4"/>
    </row>
    <row r="716" spans="1:30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4"/>
      <c r="O716" s="4"/>
      <c r="P716" s="96"/>
      <c r="Q716" s="96" t="s">
        <v>135</v>
      </c>
      <c r="R716" s="107" t="s">
        <v>47</v>
      </c>
      <c r="S716" s="107" t="s">
        <v>542</v>
      </c>
      <c r="T716" s="97">
        <v>3.016163723822419</v>
      </c>
      <c r="U716" s="78">
        <v>0.65107235104244765</v>
      </c>
      <c r="V716" s="97">
        <v>1E-8</v>
      </c>
      <c r="W716" s="97">
        <v>1E-8</v>
      </c>
      <c r="X716" s="97">
        <v>1E-8</v>
      </c>
      <c r="Y716" s="97">
        <v>1E-8</v>
      </c>
      <c r="Z716" s="97">
        <v>1E-8</v>
      </c>
      <c r="AA716" s="97">
        <v>1E-8</v>
      </c>
      <c r="AB716" s="97">
        <v>1E-8</v>
      </c>
      <c r="AC716" s="97">
        <v>1E-8</v>
      </c>
      <c r="AD716" s="4"/>
    </row>
    <row r="717" spans="1:30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4"/>
      <c r="O717" s="4"/>
      <c r="P717" s="68"/>
      <c r="Q717" s="68" t="s">
        <v>625</v>
      </c>
      <c r="R717" s="108" t="s">
        <v>47</v>
      </c>
      <c r="S717" s="108" t="s">
        <v>543</v>
      </c>
      <c r="T717" s="98">
        <v>2.4212455199950553</v>
      </c>
      <c r="U717" s="80">
        <v>0.80205502062105083</v>
      </c>
      <c r="V717" s="98">
        <v>1E-8</v>
      </c>
      <c r="W717" s="98">
        <v>1E-8</v>
      </c>
      <c r="X717" s="98">
        <v>1E-8</v>
      </c>
      <c r="Y717" s="98">
        <v>1E-8</v>
      </c>
      <c r="Z717" s="98">
        <v>1E-8</v>
      </c>
      <c r="AA717" s="98">
        <v>1E-8</v>
      </c>
      <c r="AB717" s="98">
        <v>1E-8</v>
      </c>
      <c r="AC717" s="98">
        <v>1E-8</v>
      </c>
      <c r="AD717" s="4"/>
    </row>
    <row r="718" spans="1:30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4"/>
      <c r="O718" s="4"/>
      <c r="P718" s="68"/>
      <c r="Q718" s="68" t="s">
        <v>626</v>
      </c>
      <c r="R718" s="108" t="s">
        <v>47</v>
      </c>
      <c r="S718" s="108" t="s">
        <v>544</v>
      </c>
      <c r="T718" s="98">
        <v>0.45969034764768973</v>
      </c>
      <c r="U718" s="80">
        <v>0.35373443871511423</v>
      </c>
      <c r="V718" s="98">
        <v>1E-8</v>
      </c>
      <c r="W718" s="98">
        <v>1E-8</v>
      </c>
      <c r="X718" s="98">
        <v>1E-8</v>
      </c>
      <c r="Y718" s="98">
        <v>1E-8</v>
      </c>
      <c r="Z718" s="98">
        <v>1E-8</v>
      </c>
      <c r="AA718" s="98">
        <v>1E-8</v>
      </c>
      <c r="AB718" s="98">
        <v>1E-8</v>
      </c>
      <c r="AC718" s="98">
        <v>1E-8</v>
      </c>
      <c r="AD718" s="4"/>
    </row>
    <row r="719" spans="1:30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4"/>
      <c r="O719" s="4"/>
      <c r="P719" s="68"/>
      <c r="Q719" s="68" t="s">
        <v>627</v>
      </c>
      <c r="R719" s="108" t="s">
        <v>47</v>
      </c>
      <c r="S719" s="108" t="s">
        <v>319</v>
      </c>
      <c r="T719" s="98">
        <v>0.13522785617967423</v>
      </c>
      <c r="U719" s="80">
        <v>-1.0414986213422295</v>
      </c>
      <c r="V719" s="98">
        <v>1E-8</v>
      </c>
      <c r="W719" s="98">
        <v>1E-8</v>
      </c>
      <c r="X719" s="98">
        <v>1E-8</v>
      </c>
      <c r="Y719" s="98">
        <v>1E-8</v>
      </c>
      <c r="Z719" s="98">
        <v>1E-8</v>
      </c>
      <c r="AA719" s="98">
        <v>1E-8</v>
      </c>
      <c r="AB719" s="98">
        <v>1E-8</v>
      </c>
      <c r="AC719" s="98">
        <v>1E-8</v>
      </c>
      <c r="AD719" s="4"/>
    </row>
    <row r="720" spans="1:30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4"/>
      <c r="O720" s="4"/>
      <c r="P720" s="71"/>
      <c r="Q720" s="71" t="s">
        <v>628</v>
      </c>
      <c r="R720" s="110" t="s">
        <v>47</v>
      </c>
      <c r="S720" s="110" t="s">
        <v>320</v>
      </c>
      <c r="T720" s="83">
        <v>1E-8</v>
      </c>
      <c r="U720" s="84">
        <v>1E-8</v>
      </c>
      <c r="V720" s="83">
        <v>1E-8</v>
      </c>
      <c r="W720" s="83">
        <v>1E-8</v>
      </c>
      <c r="X720" s="83">
        <v>1E-8</v>
      </c>
      <c r="Y720" s="83">
        <v>1E-8</v>
      </c>
      <c r="Z720" s="83">
        <v>1E-8</v>
      </c>
      <c r="AA720" s="83">
        <v>1E-8</v>
      </c>
      <c r="AB720" s="83">
        <v>1E-8</v>
      </c>
      <c r="AC720" s="83">
        <v>1E-8</v>
      </c>
      <c r="AD720" s="4"/>
    </row>
    <row r="721" spans="1:30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4"/>
      <c r="O721" s="4"/>
      <c r="P721" s="99"/>
      <c r="Q721" s="99" t="s">
        <v>282</v>
      </c>
      <c r="R721" s="105" t="s">
        <v>47</v>
      </c>
      <c r="S721" s="105" t="s">
        <v>321</v>
      </c>
      <c r="T721" s="95">
        <v>80.994623112302222</v>
      </c>
      <c r="U721" s="74">
        <v>-0.14413920634247512</v>
      </c>
      <c r="V721" s="95">
        <v>1E-8</v>
      </c>
      <c r="W721" s="95">
        <v>1E-8</v>
      </c>
      <c r="X721" s="95">
        <v>1E-8</v>
      </c>
      <c r="Y721" s="95">
        <v>1E-8</v>
      </c>
      <c r="Z721" s="95">
        <v>1E-8</v>
      </c>
      <c r="AA721" s="95">
        <v>1E-8</v>
      </c>
      <c r="AB721" s="95">
        <v>1E-8</v>
      </c>
      <c r="AC721" s="95">
        <v>1E-8</v>
      </c>
      <c r="AD721" s="4"/>
    </row>
    <row r="722" spans="1:30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4"/>
      <c r="O722" s="4"/>
      <c r="P722" s="99"/>
      <c r="Q722" s="99" t="s">
        <v>283</v>
      </c>
      <c r="R722" s="105" t="s">
        <v>47</v>
      </c>
      <c r="S722" s="105" t="s">
        <v>322</v>
      </c>
      <c r="T722" s="95">
        <v>20.40827400712547</v>
      </c>
      <c r="U722" s="74">
        <v>-1.2955106979984921</v>
      </c>
      <c r="V722" s="95">
        <v>1E-8</v>
      </c>
      <c r="W722" s="95">
        <v>1E-8</v>
      </c>
      <c r="X722" s="95">
        <v>1E-8</v>
      </c>
      <c r="Y722" s="95">
        <v>1E-8</v>
      </c>
      <c r="Z722" s="95">
        <v>1E-8</v>
      </c>
      <c r="AA722" s="95">
        <v>1E-8</v>
      </c>
      <c r="AB722" s="95">
        <v>1E-8</v>
      </c>
      <c r="AC722" s="95">
        <v>1E-8</v>
      </c>
      <c r="AD722" s="4"/>
    </row>
    <row r="723" spans="1:30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4"/>
      <c r="O723" s="4"/>
      <c r="P723" s="96"/>
      <c r="Q723" s="96" t="s">
        <v>284</v>
      </c>
      <c r="R723" s="107" t="s">
        <v>47</v>
      </c>
      <c r="S723" s="107" t="s">
        <v>323</v>
      </c>
      <c r="T723" s="97">
        <v>0.41513522784704332</v>
      </c>
      <c r="U723" s="78">
        <v>3.8066985855737201</v>
      </c>
      <c r="V723" s="97">
        <v>1E-8</v>
      </c>
      <c r="W723" s="97">
        <v>1E-8</v>
      </c>
      <c r="X723" s="97">
        <v>1E-8</v>
      </c>
      <c r="Y723" s="97">
        <v>1E-8</v>
      </c>
      <c r="Z723" s="97">
        <v>1E-8</v>
      </c>
      <c r="AA723" s="97">
        <v>1E-8</v>
      </c>
      <c r="AB723" s="97">
        <v>1E-8</v>
      </c>
      <c r="AC723" s="97">
        <v>1E-8</v>
      </c>
      <c r="AD723" s="4"/>
    </row>
    <row r="724" spans="1:30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4"/>
      <c r="O724" s="4"/>
      <c r="P724" s="68"/>
      <c r="Q724" s="68" t="s">
        <v>629</v>
      </c>
      <c r="R724" s="108" t="s">
        <v>47</v>
      </c>
      <c r="S724" s="108" t="s">
        <v>324</v>
      </c>
      <c r="T724" s="98">
        <v>2.0938682388116188E-4</v>
      </c>
      <c r="U724" s="80">
        <v>4.1849145613245708</v>
      </c>
      <c r="V724" s="98">
        <v>1E-8</v>
      </c>
      <c r="W724" s="98">
        <v>1E-8</v>
      </c>
      <c r="X724" s="98">
        <v>1E-8</v>
      </c>
      <c r="Y724" s="98">
        <v>1E-8</v>
      </c>
      <c r="Z724" s="98">
        <v>1E-8</v>
      </c>
      <c r="AA724" s="98">
        <v>1E-8</v>
      </c>
      <c r="AB724" s="98">
        <v>1E-8</v>
      </c>
      <c r="AC724" s="98">
        <v>1E-8</v>
      </c>
      <c r="AD724" s="4"/>
    </row>
    <row r="725" spans="1:30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4"/>
      <c r="O725" s="4"/>
      <c r="P725" s="68"/>
      <c r="Q725" s="68" t="s">
        <v>630</v>
      </c>
      <c r="R725" s="108" t="s">
        <v>47</v>
      </c>
      <c r="S725" s="108" t="s">
        <v>545</v>
      </c>
      <c r="T725" s="98">
        <v>0.41492584102316216</v>
      </c>
      <c r="U725" s="80">
        <v>3.8065077238965905</v>
      </c>
      <c r="V725" s="98">
        <v>1E-8</v>
      </c>
      <c r="W725" s="98">
        <v>1E-8</v>
      </c>
      <c r="X725" s="98">
        <v>1E-8</v>
      </c>
      <c r="Y725" s="98">
        <v>1E-8</v>
      </c>
      <c r="Z725" s="98">
        <v>1E-8</v>
      </c>
      <c r="AA725" s="98">
        <v>1E-8</v>
      </c>
      <c r="AB725" s="98">
        <v>1E-8</v>
      </c>
      <c r="AC725" s="98">
        <v>1E-8</v>
      </c>
      <c r="AD725" s="4"/>
    </row>
    <row r="726" spans="1:30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4"/>
      <c r="O726" s="4"/>
      <c r="P726" s="68"/>
      <c r="Q726" s="68" t="s">
        <v>631</v>
      </c>
      <c r="R726" s="109" t="s">
        <v>47</v>
      </c>
      <c r="S726" s="109" t="s">
        <v>325</v>
      </c>
      <c r="T726" s="81">
        <v>1E-8</v>
      </c>
      <c r="U726" s="82">
        <v>1E-8</v>
      </c>
      <c r="V726" s="81">
        <v>1E-8</v>
      </c>
      <c r="W726" s="81">
        <v>1E-8</v>
      </c>
      <c r="X726" s="81">
        <v>1E-8</v>
      </c>
      <c r="Y726" s="81">
        <v>1E-8</v>
      </c>
      <c r="Z726" s="81">
        <v>1E-8</v>
      </c>
      <c r="AA726" s="81">
        <v>1E-8</v>
      </c>
      <c r="AB726" s="81">
        <v>1E-8</v>
      </c>
      <c r="AC726" s="81">
        <v>1E-8</v>
      </c>
      <c r="AD726" s="4"/>
    </row>
    <row r="727" spans="1:30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4"/>
      <c r="O727" s="4"/>
      <c r="P727" s="96"/>
      <c r="Q727" s="96" t="s">
        <v>285</v>
      </c>
      <c r="R727" s="107" t="s">
        <v>47</v>
      </c>
      <c r="S727" s="107" t="s">
        <v>326</v>
      </c>
      <c r="T727" s="97">
        <v>5.0832062891464416</v>
      </c>
      <c r="U727" s="78">
        <v>3.1690028886133925</v>
      </c>
      <c r="V727" s="97">
        <v>1E-8</v>
      </c>
      <c r="W727" s="97">
        <v>1E-8</v>
      </c>
      <c r="X727" s="97">
        <v>1E-8</v>
      </c>
      <c r="Y727" s="97">
        <v>1E-8</v>
      </c>
      <c r="Z727" s="97">
        <v>1E-8</v>
      </c>
      <c r="AA727" s="97">
        <v>1E-8</v>
      </c>
      <c r="AB727" s="97">
        <v>1E-8</v>
      </c>
      <c r="AC727" s="97">
        <v>1E-8</v>
      </c>
      <c r="AD727" s="4"/>
    </row>
    <row r="728" spans="1:30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4"/>
      <c r="O728" s="4"/>
      <c r="P728" s="68"/>
      <c r="Q728" s="68" t="s">
        <v>364</v>
      </c>
      <c r="R728" s="108" t="s">
        <v>47</v>
      </c>
      <c r="S728" s="108" t="s">
        <v>327</v>
      </c>
      <c r="T728" s="98">
        <v>2.3695775367007976</v>
      </c>
      <c r="U728" s="80">
        <v>3.5155957519473091</v>
      </c>
      <c r="V728" s="98">
        <v>1E-8</v>
      </c>
      <c r="W728" s="98">
        <v>1E-8</v>
      </c>
      <c r="X728" s="98">
        <v>1E-8</v>
      </c>
      <c r="Y728" s="98">
        <v>1E-8</v>
      </c>
      <c r="Z728" s="98">
        <v>1E-8</v>
      </c>
      <c r="AA728" s="98">
        <v>1E-8</v>
      </c>
      <c r="AB728" s="98">
        <v>1E-8</v>
      </c>
      <c r="AC728" s="98">
        <v>1E-8</v>
      </c>
      <c r="AD728" s="4"/>
    </row>
    <row r="729" spans="1:30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4"/>
      <c r="O729" s="4"/>
      <c r="P729" s="100"/>
      <c r="Q729" s="100" t="s">
        <v>632</v>
      </c>
      <c r="R729" s="111" t="s">
        <v>47</v>
      </c>
      <c r="S729" s="111" t="s">
        <v>328</v>
      </c>
      <c r="T729" s="101">
        <v>0.35374259308143835</v>
      </c>
      <c r="U729" s="86">
        <v>1.050219222764226</v>
      </c>
      <c r="V729" s="101">
        <v>1E-8</v>
      </c>
      <c r="W729" s="101">
        <v>1E-8</v>
      </c>
      <c r="X729" s="101">
        <v>1E-8</v>
      </c>
      <c r="Y729" s="101">
        <v>1E-8</v>
      </c>
      <c r="Z729" s="101">
        <v>1E-8</v>
      </c>
      <c r="AA729" s="101">
        <v>1E-8</v>
      </c>
      <c r="AB729" s="101">
        <v>1E-8</v>
      </c>
      <c r="AC729" s="101">
        <v>1E-8</v>
      </c>
      <c r="AD729" s="4"/>
    </row>
    <row r="730" spans="1:30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4"/>
      <c r="O730" s="4"/>
      <c r="P730" s="100"/>
      <c r="Q730" s="100" t="s">
        <v>633</v>
      </c>
      <c r="R730" s="111" t="s">
        <v>47</v>
      </c>
      <c r="S730" s="111" t="s">
        <v>329</v>
      </c>
      <c r="T730" s="101">
        <v>1E-8</v>
      </c>
      <c r="U730" s="86">
        <v>1E-8</v>
      </c>
      <c r="V730" s="101">
        <v>1E-8</v>
      </c>
      <c r="W730" s="101">
        <v>1E-8</v>
      </c>
      <c r="X730" s="101">
        <v>1E-8</v>
      </c>
      <c r="Y730" s="101">
        <v>1E-8</v>
      </c>
      <c r="Z730" s="101">
        <v>1E-8</v>
      </c>
      <c r="AA730" s="101">
        <v>1E-8</v>
      </c>
      <c r="AB730" s="101">
        <v>1E-8</v>
      </c>
      <c r="AC730" s="101">
        <v>1E-8</v>
      </c>
      <c r="AD730" s="4"/>
    </row>
    <row r="731" spans="1:30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4"/>
      <c r="O731" s="4"/>
      <c r="P731" s="100"/>
      <c r="Q731" s="100" t="s">
        <v>634</v>
      </c>
      <c r="R731" s="111" t="s">
        <v>47</v>
      </c>
      <c r="S731" s="111" t="s">
        <v>331</v>
      </c>
      <c r="T731" s="101">
        <v>6.2985020557358579E-2</v>
      </c>
      <c r="U731" s="86">
        <v>2.6476097499524176</v>
      </c>
      <c r="V731" s="101">
        <v>1E-8</v>
      </c>
      <c r="W731" s="101">
        <v>1E-8</v>
      </c>
      <c r="X731" s="101">
        <v>1E-8</v>
      </c>
      <c r="Y731" s="101">
        <v>1E-8</v>
      </c>
      <c r="Z731" s="101">
        <v>1E-8</v>
      </c>
      <c r="AA731" s="101">
        <v>1E-8</v>
      </c>
      <c r="AB731" s="101">
        <v>1E-8</v>
      </c>
      <c r="AC731" s="101">
        <v>1E-8</v>
      </c>
      <c r="AD731" s="4"/>
    </row>
    <row r="732" spans="1:30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4"/>
      <c r="O732" s="4"/>
      <c r="P732" s="100"/>
      <c r="Q732" s="100" t="s">
        <v>635</v>
      </c>
      <c r="R732" s="111" t="s">
        <v>47</v>
      </c>
      <c r="S732" s="111" t="s">
        <v>332</v>
      </c>
      <c r="T732" s="101">
        <v>6.1365631317312958E-2</v>
      </c>
      <c r="U732" s="86">
        <v>11.016590510667768</v>
      </c>
      <c r="V732" s="101">
        <v>1E-8</v>
      </c>
      <c r="W732" s="101">
        <v>1E-8</v>
      </c>
      <c r="X732" s="101">
        <v>1E-8</v>
      </c>
      <c r="Y732" s="101">
        <v>1E-8</v>
      </c>
      <c r="Z732" s="101">
        <v>1E-8</v>
      </c>
      <c r="AA732" s="101">
        <v>1E-8</v>
      </c>
      <c r="AB732" s="101">
        <v>1E-8</v>
      </c>
      <c r="AC732" s="101">
        <v>1E-8</v>
      </c>
      <c r="AD732" s="4"/>
    </row>
    <row r="733" spans="1:30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4"/>
      <c r="O733" s="4"/>
      <c r="P733" s="100"/>
      <c r="Q733" s="100" t="s">
        <v>636</v>
      </c>
      <c r="R733" s="111" t="s">
        <v>47</v>
      </c>
      <c r="S733" s="111" t="s">
        <v>330</v>
      </c>
      <c r="T733" s="101">
        <v>8.2928171213211166E-2</v>
      </c>
      <c r="U733" s="86">
        <v>2.4260042544963278</v>
      </c>
      <c r="V733" s="101">
        <v>1E-8</v>
      </c>
      <c r="W733" s="101">
        <v>1E-8</v>
      </c>
      <c r="X733" s="101">
        <v>1E-8</v>
      </c>
      <c r="Y733" s="101">
        <v>1E-8</v>
      </c>
      <c r="Z733" s="101">
        <v>1E-8</v>
      </c>
      <c r="AA733" s="101">
        <v>1E-8</v>
      </c>
      <c r="AB733" s="101">
        <v>1E-8</v>
      </c>
      <c r="AC733" s="101">
        <v>1E-8</v>
      </c>
      <c r="AD733" s="4"/>
    </row>
    <row r="734" spans="1:30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4"/>
      <c r="O734" s="4"/>
      <c r="P734" s="100"/>
      <c r="Q734" s="100" t="s">
        <v>637</v>
      </c>
      <c r="R734" s="111" t="s">
        <v>47</v>
      </c>
      <c r="S734" s="111" t="s">
        <v>333</v>
      </c>
      <c r="T734" s="101">
        <v>1.0347240413131387</v>
      </c>
      <c r="U734" s="86">
        <v>2.3892804400101442</v>
      </c>
      <c r="V734" s="101">
        <v>1E-8</v>
      </c>
      <c r="W734" s="101">
        <v>1E-8</v>
      </c>
      <c r="X734" s="101">
        <v>1E-8</v>
      </c>
      <c r="Y734" s="101">
        <v>1E-8</v>
      </c>
      <c r="Z734" s="101">
        <v>1E-8</v>
      </c>
      <c r="AA734" s="101">
        <v>1E-8</v>
      </c>
      <c r="AB734" s="101">
        <v>1E-8</v>
      </c>
      <c r="AC734" s="101">
        <v>1E-8</v>
      </c>
      <c r="AD734" s="4"/>
    </row>
    <row r="735" spans="1:30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4"/>
      <c r="O735" s="4"/>
      <c r="P735" s="100"/>
      <c r="Q735" s="100" t="s">
        <v>638</v>
      </c>
      <c r="R735" s="111" t="s">
        <v>47</v>
      </c>
      <c r="S735" s="111" t="s">
        <v>546</v>
      </c>
      <c r="T735" s="101">
        <v>0.28615376014177979</v>
      </c>
      <c r="U735" s="86">
        <v>0.53543594123532934</v>
      </c>
      <c r="V735" s="101">
        <v>1E-8</v>
      </c>
      <c r="W735" s="101">
        <v>1E-8</v>
      </c>
      <c r="X735" s="101">
        <v>1E-8</v>
      </c>
      <c r="Y735" s="101">
        <v>1E-8</v>
      </c>
      <c r="Z735" s="101">
        <v>1E-8</v>
      </c>
      <c r="AA735" s="101">
        <v>1E-8</v>
      </c>
      <c r="AB735" s="101">
        <v>1E-8</v>
      </c>
      <c r="AC735" s="101">
        <v>1E-8</v>
      </c>
      <c r="AD735" s="4"/>
    </row>
    <row r="736" spans="1:30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4"/>
      <c r="O736" s="4"/>
      <c r="P736" s="100"/>
      <c r="Q736" s="100" t="s">
        <v>639</v>
      </c>
      <c r="R736" s="111" t="s">
        <v>47</v>
      </c>
      <c r="S736" s="111" t="s">
        <v>335</v>
      </c>
      <c r="T736" s="101">
        <v>4.2455191558903795E-2</v>
      </c>
      <c r="U736" s="86">
        <v>-3.2643877462107951</v>
      </c>
      <c r="V736" s="101">
        <v>1E-8</v>
      </c>
      <c r="W736" s="101">
        <v>1E-8</v>
      </c>
      <c r="X736" s="101">
        <v>1E-8</v>
      </c>
      <c r="Y736" s="101">
        <v>1E-8</v>
      </c>
      <c r="Z736" s="101">
        <v>1E-8</v>
      </c>
      <c r="AA736" s="101">
        <v>1E-8</v>
      </c>
      <c r="AB736" s="101">
        <v>1E-8</v>
      </c>
      <c r="AC736" s="101">
        <v>1E-8</v>
      </c>
      <c r="AD736" s="4"/>
    </row>
    <row r="737" spans="1:30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4"/>
      <c r="O737" s="4"/>
      <c r="P737" s="100"/>
      <c r="Q737" s="100" t="s">
        <v>640</v>
      </c>
      <c r="R737" s="111" t="s">
        <v>47</v>
      </c>
      <c r="S737" s="111" t="s">
        <v>334</v>
      </c>
      <c r="T737" s="101">
        <v>0.4452231275176543</v>
      </c>
      <c r="U737" s="86">
        <v>9.9458284648626503</v>
      </c>
      <c r="V737" s="101">
        <v>1E-8</v>
      </c>
      <c r="W737" s="101">
        <v>1E-8</v>
      </c>
      <c r="X737" s="101">
        <v>1E-8</v>
      </c>
      <c r="Y737" s="101">
        <v>1E-8</v>
      </c>
      <c r="Z737" s="101">
        <v>1E-8</v>
      </c>
      <c r="AA737" s="101">
        <v>1E-8</v>
      </c>
      <c r="AB737" s="101">
        <v>1E-8</v>
      </c>
      <c r="AC737" s="101">
        <v>1E-8</v>
      </c>
      <c r="AD737" s="4"/>
    </row>
    <row r="738" spans="1:30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4"/>
      <c r="O738" s="4"/>
      <c r="P738" s="68"/>
      <c r="Q738" s="68" t="s">
        <v>365</v>
      </c>
      <c r="R738" s="108" t="s">
        <v>47</v>
      </c>
      <c r="S738" s="108" t="s">
        <v>374</v>
      </c>
      <c r="T738" s="98">
        <v>0.74714533091079716</v>
      </c>
      <c r="U738" s="80">
        <v>-0.95581138954325962</v>
      </c>
      <c r="V738" s="98">
        <v>1E-8</v>
      </c>
      <c r="W738" s="98">
        <v>1E-8</v>
      </c>
      <c r="X738" s="98">
        <v>1E-8</v>
      </c>
      <c r="Y738" s="98">
        <v>1E-8</v>
      </c>
      <c r="Z738" s="98">
        <v>1E-8</v>
      </c>
      <c r="AA738" s="98">
        <v>1E-8</v>
      </c>
      <c r="AB738" s="98">
        <v>1E-8</v>
      </c>
      <c r="AC738" s="98">
        <v>1E-8</v>
      </c>
      <c r="AD738" s="4"/>
    </row>
    <row r="739" spans="1:30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4"/>
      <c r="O739" s="4"/>
      <c r="P739" s="100"/>
      <c r="Q739" s="100" t="s">
        <v>641</v>
      </c>
      <c r="R739" s="111" t="s">
        <v>47</v>
      </c>
      <c r="S739" s="111" t="s">
        <v>547</v>
      </c>
      <c r="T739" s="101">
        <v>0.62020585811594664</v>
      </c>
      <c r="U739" s="86">
        <v>-1.5589308107905375</v>
      </c>
      <c r="V739" s="101">
        <v>1E-8</v>
      </c>
      <c r="W739" s="101">
        <v>1E-8</v>
      </c>
      <c r="X739" s="101">
        <v>1E-8</v>
      </c>
      <c r="Y739" s="101">
        <v>1E-8</v>
      </c>
      <c r="Z739" s="101">
        <v>1E-8</v>
      </c>
      <c r="AA739" s="101">
        <v>1E-8</v>
      </c>
      <c r="AB739" s="101">
        <v>1E-8</v>
      </c>
      <c r="AC739" s="101">
        <v>1E-8</v>
      </c>
      <c r="AD739" s="4"/>
    </row>
    <row r="740" spans="1:30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4"/>
      <c r="O740" s="4"/>
      <c r="P740" s="100"/>
      <c r="Q740" s="100" t="s">
        <v>642</v>
      </c>
      <c r="R740" s="111" t="s">
        <v>47</v>
      </c>
      <c r="S740" s="111" t="s">
        <v>336</v>
      </c>
      <c r="T740" s="101">
        <v>0.12176764365242702</v>
      </c>
      <c r="U740" s="86">
        <v>2.1238438813390825</v>
      </c>
      <c r="V740" s="101">
        <v>1E-8</v>
      </c>
      <c r="W740" s="101">
        <v>1E-8</v>
      </c>
      <c r="X740" s="101">
        <v>1E-8</v>
      </c>
      <c r="Y740" s="101">
        <v>1E-8</v>
      </c>
      <c r="Z740" s="101">
        <v>1E-8</v>
      </c>
      <c r="AA740" s="101">
        <v>1E-8</v>
      </c>
      <c r="AB740" s="101">
        <v>1E-8</v>
      </c>
      <c r="AC740" s="101">
        <v>1E-8</v>
      </c>
      <c r="AD740" s="4"/>
    </row>
    <row r="741" spans="1:30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4"/>
      <c r="O741" s="4"/>
      <c r="P741" s="100"/>
      <c r="Q741" s="100" t="s">
        <v>643</v>
      </c>
      <c r="R741" s="112" t="s">
        <v>47</v>
      </c>
      <c r="S741" s="112" t="s">
        <v>337</v>
      </c>
      <c r="T741" s="87">
        <v>5.1718291424233918E-3</v>
      </c>
      <c r="U741" s="88">
        <v>-1.1383710546160164</v>
      </c>
      <c r="V741" s="87">
        <v>1E-8</v>
      </c>
      <c r="W741" s="87">
        <v>1E-8</v>
      </c>
      <c r="X741" s="87">
        <v>1E-8</v>
      </c>
      <c r="Y741" s="87">
        <v>1E-8</v>
      </c>
      <c r="Z741" s="87">
        <v>1E-8</v>
      </c>
      <c r="AA741" s="87">
        <v>1E-8</v>
      </c>
      <c r="AB741" s="87">
        <v>1E-8</v>
      </c>
      <c r="AC741" s="87">
        <v>1E-8</v>
      </c>
      <c r="AD741" s="4"/>
    </row>
    <row r="742" spans="1:30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4"/>
      <c r="O742" s="4"/>
      <c r="P742" s="68"/>
      <c r="Q742" s="68" t="s">
        <v>644</v>
      </c>
      <c r="R742" s="108" t="s">
        <v>47</v>
      </c>
      <c r="S742" s="108" t="s">
        <v>338</v>
      </c>
      <c r="T742" s="98">
        <v>1.2065547228253255</v>
      </c>
      <c r="U742" s="80">
        <v>4.3880529518537159</v>
      </c>
      <c r="V742" s="98">
        <v>1E-8</v>
      </c>
      <c r="W742" s="98">
        <v>1E-8</v>
      </c>
      <c r="X742" s="98">
        <v>1E-8</v>
      </c>
      <c r="Y742" s="98">
        <v>1E-8</v>
      </c>
      <c r="Z742" s="98">
        <v>1E-8</v>
      </c>
      <c r="AA742" s="98">
        <v>1E-8</v>
      </c>
      <c r="AB742" s="98">
        <v>1E-8</v>
      </c>
      <c r="AC742" s="98">
        <v>1E-8</v>
      </c>
      <c r="AD742" s="4"/>
    </row>
    <row r="743" spans="1:30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4"/>
      <c r="O743" s="4"/>
      <c r="P743" s="68"/>
      <c r="Q743" s="68" t="s">
        <v>366</v>
      </c>
      <c r="R743" s="108" t="s">
        <v>47</v>
      </c>
      <c r="S743" s="108" t="s">
        <v>339</v>
      </c>
      <c r="T743" s="98">
        <v>1E-8</v>
      </c>
      <c r="U743" s="80">
        <v>1E-8</v>
      </c>
      <c r="V743" s="98">
        <v>1E-8</v>
      </c>
      <c r="W743" s="98">
        <v>1E-8</v>
      </c>
      <c r="X743" s="98">
        <v>1E-8</v>
      </c>
      <c r="Y743" s="98">
        <v>1E-8</v>
      </c>
      <c r="Z743" s="98">
        <v>1E-8</v>
      </c>
      <c r="AA743" s="98">
        <v>1E-8</v>
      </c>
      <c r="AB743" s="98">
        <v>1E-8</v>
      </c>
      <c r="AC743" s="98">
        <v>1E-8</v>
      </c>
      <c r="AD743" s="4"/>
    </row>
    <row r="744" spans="1:30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4"/>
      <c r="O744" s="4"/>
      <c r="P744" s="100"/>
      <c r="Q744" s="100" t="s">
        <v>645</v>
      </c>
      <c r="R744" s="111" t="s">
        <v>47</v>
      </c>
      <c r="S744" s="111" t="s">
        <v>340</v>
      </c>
      <c r="T744" s="101">
        <v>1E-8</v>
      </c>
      <c r="U744" s="86">
        <v>1E-8</v>
      </c>
      <c r="V744" s="101">
        <v>1E-8</v>
      </c>
      <c r="W744" s="101">
        <v>1E-8</v>
      </c>
      <c r="X744" s="101">
        <v>1E-8</v>
      </c>
      <c r="Y744" s="101">
        <v>1E-8</v>
      </c>
      <c r="Z744" s="101">
        <v>1E-8</v>
      </c>
      <c r="AA744" s="101">
        <v>1E-8</v>
      </c>
      <c r="AB744" s="101">
        <v>1E-8</v>
      </c>
      <c r="AC744" s="101">
        <v>1E-8</v>
      </c>
      <c r="AD744" s="4"/>
    </row>
    <row r="745" spans="1:30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4"/>
      <c r="O745" s="4"/>
      <c r="P745" s="100"/>
      <c r="Q745" s="100" t="s">
        <v>646</v>
      </c>
      <c r="R745" s="111" t="s">
        <v>47</v>
      </c>
      <c r="S745" s="111" t="s">
        <v>548</v>
      </c>
      <c r="T745" s="101">
        <v>1E-8</v>
      </c>
      <c r="U745" s="86">
        <v>1E-8</v>
      </c>
      <c r="V745" s="101">
        <v>1E-8</v>
      </c>
      <c r="W745" s="101">
        <v>1E-8</v>
      </c>
      <c r="X745" s="101">
        <v>1E-8</v>
      </c>
      <c r="Y745" s="101">
        <v>1E-8</v>
      </c>
      <c r="Z745" s="101">
        <v>1E-8</v>
      </c>
      <c r="AA745" s="101">
        <v>1E-8</v>
      </c>
      <c r="AB745" s="101">
        <v>1E-8</v>
      </c>
      <c r="AC745" s="101">
        <v>1E-8</v>
      </c>
      <c r="AD745" s="4"/>
    </row>
    <row r="746" spans="1:30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4"/>
      <c r="O746" s="4"/>
      <c r="P746" s="68"/>
      <c r="Q746" s="68" t="s">
        <v>367</v>
      </c>
      <c r="R746" s="108" t="s">
        <v>47</v>
      </c>
      <c r="S746" s="108" t="s">
        <v>341</v>
      </c>
      <c r="T746" s="98">
        <v>5.4054728581404567E-2</v>
      </c>
      <c r="U746" s="80">
        <v>36.128714510005189</v>
      </c>
      <c r="V746" s="98">
        <v>1E-8</v>
      </c>
      <c r="W746" s="98">
        <v>1E-8</v>
      </c>
      <c r="X746" s="98">
        <v>1E-8</v>
      </c>
      <c r="Y746" s="98">
        <v>1E-8</v>
      </c>
      <c r="Z746" s="98">
        <v>1E-8</v>
      </c>
      <c r="AA746" s="98">
        <v>1E-8</v>
      </c>
      <c r="AB746" s="98">
        <v>1E-8</v>
      </c>
      <c r="AC746" s="98">
        <v>1E-8</v>
      </c>
      <c r="AD746" s="4"/>
    </row>
    <row r="747" spans="1:30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4"/>
      <c r="O747" s="4"/>
      <c r="P747" s="100"/>
      <c r="Q747" s="100" t="s">
        <v>647</v>
      </c>
      <c r="R747" s="111" t="s">
        <v>47</v>
      </c>
      <c r="S747" s="111" t="s">
        <v>342</v>
      </c>
      <c r="T747" s="101">
        <v>3.4715621362456725E-4</v>
      </c>
      <c r="U747" s="86">
        <v>6.6559112839152723</v>
      </c>
      <c r="V747" s="101">
        <v>1E-8</v>
      </c>
      <c r="W747" s="101">
        <v>1E-8</v>
      </c>
      <c r="X747" s="101">
        <v>1E-8</v>
      </c>
      <c r="Y747" s="101">
        <v>1E-8</v>
      </c>
      <c r="Z747" s="101">
        <v>1E-8</v>
      </c>
      <c r="AA747" s="101">
        <v>1E-8</v>
      </c>
      <c r="AB747" s="101">
        <v>1E-8</v>
      </c>
      <c r="AC747" s="101">
        <v>1E-8</v>
      </c>
      <c r="AD747" s="4"/>
    </row>
    <row r="748" spans="1:30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4"/>
      <c r="O748" s="4"/>
      <c r="P748" s="100"/>
      <c r="Q748" s="100" t="s">
        <v>648</v>
      </c>
      <c r="R748" s="111" t="s">
        <v>47</v>
      </c>
      <c r="S748" s="111" t="s">
        <v>343</v>
      </c>
      <c r="T748" s="101">
        <v>3.9205831394661279E-2</v>
      </c>
      <c r="U748" s="86">
        <v>46.634798983603346</v>
      </c>
      <c r="V748" s="101">
        <v>1E-8</v>
      </c>
      <c r="W748" s="101">
        <v>1E-8</v>
      </c>
      <c r="X748" s="101">
        <v>1E-8</v>
      </c>
      <c r="Y748" s="101">
        <v>1E-8</v>
      </c>
      <c r="Z748" s="101">
        <v>1E-8</v>
      </c>
      <c r="AA748" s="101">
        <v>1E-8</v>
      </c>
      <c r="AB748" s="101">
        <v>1E-8</v>
      </c>
      <c r="AC748" s="101">
        <v>1E-8</v>
      </c>
      <c r="AD748" s="4"/>
    </row>
    <row r="749" spans="1:30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4"/>
      <c r="O749" s="4"/>
      <c r="P749" s="100"/>
      <c r="Q749" s="100" t="s">
        <v>649</v>
      </c>
      <c r="R749" s="111" t="s">
        <v>47</v>
      </c>
      <c r="S749" s="111" t="s">
        <v>549</v>
      </c>
      <c r="T749" s="101">
        <v>8.7928621080666496E-3</v>
      </c>
      <c r="U749" s="86">
        <v>6.4232629245153605</v>
      </c>
      <c r="V749" s="101">
        <v>1E-8</v>
      </c>
      <c r="W749" s="101">
        <v>1E-8</v>
      </c>
      <c r="X749" s="101">
        <v>1E-8</v>
      </c>
      <c r="Y749" s="101">
        <v>1E-8</v>
      </c>
      <c r="Z749" s="101">
        <v>1E-8</v>
      </c>
      <c r="AA749" s="101">
        <v>1E-8</v>
      </c>
      <c r="AB749" s="101">
        <v>1E-8</v>
      </c>
      <c r="AC749" s="101">
        <v>1E-8</v>
      </c>
      <c r="AD749" s="4"/>
    </row>
    <row r="750" spans="1:30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4"/>
      <c r="O750" s="4"/>
      <c r="P750" s="100"/>
      <c r="Q750" s="100" t="s">
        <v>650</v>
      </c>
      <c r="R750" s="111" t="s">
        <v>47</v>
      </c>
      <c r="S750" s="111" t="s">
        <v>550</v>
      </c>
      <c r="T750" s="101">
        <v>5.7088788650520601E-3</v>
      </c>
      <c r="U750" s="86">
        <v>11.522802668374087</v>
      </c>
      <c r="V750" s="101">
        <v>1E-8</v>
      </c>
      <c r="W750" s="101">
        <v>1E-8</v>
      </c>
      <c r="X750" s="101">
        <v>1E-8</v>
      </c>
      <c r="Y750" s="101">
        <v>1E-8</v>
      </c>
      <c r="Z750" s="101">
        <v>1E-8</v>
      </c>
      <c r="AA750" s="101">
        <v>1E-8</v>
      </c>
      <c r="AB750" s="101">
        <v>1E-8</v>
      </c>
      <c r="AC750" s="101">
        <v>1E-8</v>
      </c>
      <c r="AD750" s="4"/>
    </row>
    <row r="751" spans="1:30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4"/>
      <c r="O751" s="4"/>
      <c r="P751" s="68"/>
      <c r="Q751" s="68" t="s">
        <v>172</v>
      </c>
      <c r="R751" s="108" t="s">
        <v>47</v>
      </c>
      <c r="S751" s="108" t="s">
        <v>551</v>
      </c>
      <c r="T751" s="98">
        <v>0.38957016531972388</v>
      </c>
      <c r="U751" s="80">
        <v>-1.6997334059220992</v>
      </c>
      <c r="V751" s="98">
        <v>1E-8</v>
      </c>
      <c r="W751" s="98">
        <v>1E-8</v>
      </c>
      <c r="X751" s="98">
        <v>1E-8</v>
      </c>
      <c r="Y751" s="98">
        <v>1E-8</v>
      </c>
      <c r="Z751" s="98">
        <v>1E-8</v>
      </c>
      <c r="AA751" s="98">
        <v>1E-8</v>
      </c>
      <c r="AB751" s="98">
        <v>1E-8</v>
      </c>
      <c r="AC751" s="98">
        <v>1E-8</v>
      </c>
      <c r="AD751" s="4"/>
    </row>
    <row r="752" spans="1:30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4"/>
      <c r="O752" s="4"/>
      <c r="P752" s="100"/>
      <c r="Q752" s="100" t="s">
        <v>651</v>
      </c>
      <c r="R752" s="111" t="s">
        <v>47</v>
      </c>
      <c r="S752" s="111" t="s">
        <v>344</v>
      </c>
      <c r="T752" s="101">
        <v>2.5571554925757942E-2</v>
      </c>
      <c r="U752" s="86">
        <v>13.408229298998876</v>
      </c>
      <c r="V752" s="101">
        <v>1E-8</v>
      </c>
      <c r="W752" s="101">
        <v>1E-8</v>
      </c>
      <c r="X752" s="101">
        <v>1E-8</v>
      </c>
      <c r="Y752" s="101">
        <v>1E-8</v>
      </c>
      <c r="Z752" s="101">
        <v>1E-8</v>
      </c>
      <c r="AA752" s="101">
        <v>1E-8</v>
      </c>
      <c r="AB752" s="101">
        <v>1E-8</v>
      </c>
      <c r="AC752" s="101">
        <v>1E-8</v>
      </c>
      <c r="AD752" s="4"/>
    </row>
    <row r="753" spans="1:30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4"/>
      <c r="O753" s="4"/>
      <c r="P753" s="100"/>
      <c r="Q753" s="100" t="s">
        <v>652</v>
      </c>
      <c r="R753" s="111" t="s">
        <v>47</v>
      </c>
      <c r="S753" s="111" t="s">
        <v>552</v>
      </c>
      <c r="T753" s="101">
        <v>0.23498956741421878</v>
      </c>
      <c r="U753" s="86">
        <v>4.6464322639001576</v>
      </c>
      <c r="V753" s="101">
        <v>1E-8</v>
      </c>
      <c r="W753" s="101">
        <v>1E-8</v>
      </c>
      <c r="X753" s="101">
        <v>1E-8</v>
      </c>
      <c r="Y753" s="101">
        <v>1E-8</v>
      </c>
      <c r="Z753" s="101">
        <v>1E-8</v>
      </c>
      <c r="AA753" s="101">
        <v>1E-8</v>
      </c>
      <c r="AB753" s="101">
        <v>1E-8</v>
      </c>
      <c r="AC753" s="101">
        <v>1E-8</v>
      </c>
      <c r="AD753" s="4"/>
    </row>
    <row r="754" spans="1:30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4"/>
      <c r="O754" s="4"/>
      <c r="P754" s="100"/>
      <c r="Q754" s="100" t="s">
        <v>653</v>
      </c>
      <c r="R754" s="111" t="s">
        <v>47</v>
      </c>
      <c r="S754" s="111" t="s">
        <v>553</v>
      </c>
      <c r="T754" s="101">
        <v>0.12900904297974716</v>
      </c>
      <c r="U754" s="86">
        <v>-16.253882326400838</v>
      </c>
      <c r="V754" s="101">
        <v>1E-8</v>
      </c>
      <c r="W754" s="101">
        <v>1E-8</v>
      </c>
      <c r="X754" s="101">
        <v>1E-8</v>
      </c>
      <c r="Y754" s="101">
        <v>1E-8</v>
      </c>
      <c r="Z754" s="101">
        <v>1E-8</v>
      </c>
      <c r="AA754" s="101">
        <v>1E-8</v>
      </c>
      <c r="AB754" s="101">
        <v>1E-8</v>
      </c>
      <c r="AC754" s="101">
        <v>1E-8</v>
      </c>
      <c r="AD754" s="4"/>
    </row>
    <row r="755" spans="1:30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4"/>
      <c r="O755" s="4"/>
      <c r="P755" s="68"/>
      <c r="Q755" s="68" t="s">
        <v>368</v>
      </c>
      <c r="R755" s="108" t="s">
        <v>47</v>
      </c>
      <c r="S755" s="108" t="s">
        <v>345</v>
      </c>
      <c r="T755" s="98">
        <v>1E-8</v>
      </c>
      <c r="U755" s="80">
        <v>1E-8</v>
      </c>
      <c r="V755" s="98">
        <v>1E-8</v>
      </c>
      <c r="W755" s="98">
        <v>1E-8</v>
      </c>
      <c r="X755" s="98">
        <v>1E-8</v>
      </c>
      <c r="Y755" s="98">
        <v>1E-8</v>
      </c>
      <c r="Z755" s="98">
        <v>1E-8</v>
      </c>
      <c r="AA755" s="98">
        <v>1E-8</v>
      </c>
      <c r="AB755" s="98">
        <v>1E-8</v>
      </c>
      <c r="AC755" s="98">
        <v>1E-8</v>
      </c>
      <c r="AD755" s="4"/>
    </row>
    <row r="756" spans="1:30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4"/>
      <c r="O756" s="4"/>
      <c r="P756" s="100"/>
      <c r="Q756" s="100" t="s">
        <v>654</v>
      </c>
      <c r="R756" s="111" t="s">
        <v>47</v>
      </c>
      <c r="S756" s="111" t="s">
        <v>346</v>
      </c>
      <c r="T756" s="101">
        <v>1E-8</v>
      </c>
      <c r="U756" s="86">
        <v>1E-8</v>
      </c>
      <c r="V756" s="101">
        <v>1E-8</v>
      </c>
      <c r="W756" s="101">
        <v>1E-8</v>
      </c>
      <c r="X756" s="101">
        <v>1E-8</v>
      </c>
      <c r="Y756" s="101">
        <v>1E-8</v>
      </c>
      <c r="Z756" s="101">
        <v>1E-8</v>
      </c>
      <c r="AA756" s="101">
        <v>1E-8</v>
      </c>
      <c r="AB756" s="101">
        <v>1E-8</v>
      </c>
      <c r="AC756" s="101">
        <v>1E-8</v>
      </c>
      <c r="AD756" s="4"/>
    </row>
    <row r="757" spans="1:30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4"/>
      <c r="O757" s="4"/>
      <c r="P757" s="100"/>
      <c r="Q757" s="100" t="s">
        <v>655</v>
      </c>
      <c r="R757" s="111" t="s">
        <v>47</v>
      </c>
      <c r="S757" s="111" t="s">
        <v>347</v>
      </c>
      <c r="T757" s="101">
        <v>1E-8</v>
      </c>
      <c r="U757" s="86">
        <v>1E-8</v>
      </c>
      <c r="V757" s="101">
        <v>1E-8</v>
      </c>
      <c r="W757" s="101">
        <v>1E-8</v>
      </c>
      <c r="X757" s="101">
        <v>1E-8</v>
      </c>
      <c r="Y757" s="101">
        <v>1E-8</v>
      </c>
      <c r="Z757" s="101">
        <v>1E-8</v>
      </c>
      <c r="AA757" s="101">
        <v>1E-8</v>
      </c>
      <c r="AB757" s="101">
        <v>1E-8</v>
      </c>
      <c r="AC757" s="101">
        <v>1E-8</v>
      </c>
      <c r="AD757" s="4"/>
    </row>
    <row r="758" spans="1:30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4"/>
      <c r="O758" s="4"/>
      <c r="P758" s="100"/>
      <c r="Q758" s="100" t="s">
        <v>656</v>
      </c>
      <c r="R758" s="111" t="s">
        <v>47</v>
      </c>
      <c r="S758" s="111" t="s">
        <v>348</v>
      </c>
      <c r="T758" s="101">
        <v>1E-8</v>
      </c>
      <c r="U758" s="86">
        <v>1E-8</v>
      </c>
      <c r="V758" s="101">
        <v>1E-8</v>
      </c>
      <c r="W758" s="101">
        <v>1E-8</v>
      </c>
      <c r="X758" s="101">
        <v>1E-8</v>
      </c>
      <c r="Y758" s="101">
        <v>1E-8</v>
      </c>
      <c r="Z758" s="101">
        <v>1E-8</v>
      </c>
      <c r="AA758" s="101">
        <v>1E-8</v>
      </c>
      <c r="AB758" s="101">
        <v>1E-8</v>
      </c>
      <c r="AC758" s="101">
        <v>1E-8</v>
      </c>
      <c r="AD758" s="4"/>
    </row>
    <row r="759" spans="1:30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4"/>
      <c r="O759" s="4"/>
      <c r="P759" s="68"/>
      <c r="Q759" s="68" t="s">
        <v>181</v>
      </c>
      <c r="R759" s="108" t="s">
        <v>47</v>
      </c>
      <c r="S759" s="108" t="s">
        <v>554</v>
      </c>
      <c r="T759" s="98">
        <v>0.31630380480839221</v>
      </c>
      <c r="U759" s="80">
        <v>6.0295204602931474</v>
      </c>
      <c r="V759" s="98">
        <v>1E-8</v>
      </c>
      <c r="W759" s="98">
        <v>1E-8</v>
      </c>
      <c r="X759" s="98">
        <v>1E-8</v>
      </c>
      <c r="Y759" s="98">
        <v>1E-8</v>
      </c>
      <c r="Z759" s="98">
        <v>1E-8</v>
      </c>
      <c r="AA759" s="98">
        <v>1E-8</v>
      </c>
      <c r="AB759" s="98">
        <v>1E-8</v>
      </c>
      <c r="AC759" s="98">
        <v>1E-8</v>
      </c>
      <c r="AD759" s="4"/>
    </row>
    <row r="760" spans="1:30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4"/>
      <c r="O760" s="4"/>
      <c r="P760" s="100"/>
      <c r="Q760" s="100" t="s">
        <v>657</v>
      </c>
      <c r="R760" s="111" t="s">
        <v>47</v>
      </c>
      <c r="S760" s="111" t="s">
        <v>555</v>
      </c>
      <c r="T760" s="101">
        <v>0.17734099438662898</v>
      </c>
      <c r="U760" s="86">
        <v>5.7148658768050087</v>
      </c>
      <c r="V760" s="101">
        <v>1E-8</v>
      </c>
      <c r="W760" s="101">
        <v>1E-8</v>
      </c>
      <c r="X760" s="101">
        <v>1E-8</v>
      </c>
      <c r="Y760" s="101">
        <v>1E-8</v>
      </c>
      <c r="Z760" s="101">
        <v>1E-8</v>
      </c>
      <c r="AA760" s="101">
        <v>1E-8</v>
      </c>
      <c r="AB760" s="101">
        <v>1E-8</v>
      </c>
      <c r="AC760" s="101">
        <v>1E-8</v>
      </c>
      <c r="AD760" s="4"/>
    </row>
    <row r="761" spans="1:30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4"/>
      <c r="O761" s="4"/>
      <c r="P761" s="100"/>
      <c r="Q761" s="100" t="s">
        <v>658</v>
      </c>
      <c r="R761" s="111" t="s">
        <v>47</v>
      </c>
      <c r="S761" s="111" t="s">
        <v>349</v>
      </c>
      <c r="T761" s="101">
        <v>0.13802605027811626</v>
      </c>
      <c r="U761" s="86">
        <v>6.4997647649327472</v>
      </c>
      <c r="V761" s="101">
        <v>1E-8</v>
      </c>
      <c r="W761" s="101">
        <v>1E-8</v>
      </c>
      <c r="X761" s="101">
        <v>1E-8</v>
      </c>
      <c r="Y761" s="101">
        <v>1E-8</v>
      </c>
      <c r="Z761" s="101">
        <v>1E-8</v>
      </c>
      <c r="AA761" s="101">
        <v>1E-8</v>
      </c>
      <c r="AB761" s="101">
        <v>1E-8</v>
      </c>
      <c r="AC761" s="101">
        <v>1E-8</v>
      </c>
      <c r="AD761" s="4"/>
    </row>
    <row r="762" spans="1:30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4"/>
      <c r="O762" s="4"/>
      <c r="P762" s="100"/>
      <c r="Q762" s="100" t="s">
        <v>659</v>
      </c>
      <c r="R762" s="112" t="s">
        <v>47</v>
      </c>
      <c r="S762" s="112" t="s">
        <v>556</v>
      </c>
      <c r="T762" s="87">
        <v>9.3676014364702019E-4</v>
      </c>
      <c r="U762" s="88">
        <v>-3.6899444132258652</v>
      </c>
      <c r="V762" s="87">
        <v>1E-8</v>
      </c>
      <c r="W762" s="87">
        <v>1E-8</v>
      </c>
      <c r="X762" s="87">
        <v>1E-8</v>
      </c>
      <c r="Y762" s="87">
        <v>1E-8</v>
      </c>
      <c r="Z762" s="87">
        <v>1E-8</v>
      </c>
      <c r="AA762" s="87">
        <v>1E-8</v>
      </c>
      <c r="AB762" s="87">
        <v>1E-8</v>
      </c>
      <c r="AC762" s="87">
        <v>1E-8</v>
      </c>
      <c r="AD762" s="4"/>
    </row>
    <row r="763" spans="1:30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4"/>
      <c r="O763" s="4"/>
      <c r="P763" s="96"/>
      <c r="Q763" s="96" t="s">
        <v>286</v>
      </c>
      <c r="R763" s="107" t="s">
        <v>47</v>
      </c>
      <c r="S763" s="107" t="s">
        <v>350</v>
      </c>
      <c r="T763" s="97">
        <v>14.909932490131988</v>
      </c>
      <c r="U763" s="78">
        <v>-2.9596463586613608</v>
      </c>
      <c r="V763" s="97">
        <v>1E-8</v>
      </c>
      <c r="W763" s="97">
        <v>1E-8</v>
      </c>
      <c r="X763" s="97">
        <v>1E-8</v>
      </c>
      <c r="Y763" s="97">
        <v>1E-8</v>
      </c>
      <c r="Z763" s="97">
        <v>1E-8</v>
      </c>
      <c r="AA763" s="97">
        <v>1E-8</v>
      </c>
      <c r="AB763" s="97">
        <v>1E-8</v>
      </c>
      <c r="AC763" s="97">
        <v>1E-8</v>
      </c>
      <c r="AD763" s="4"/>
    </row>
    <row r="764" spans="1:30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4"/>
      <c r="O764" s="4"/>
      <c r="P764" s="96"/>
      <c r="Q764" s="96" t="s">
        <v>369</v>
      </c>
      <c r="R764" s="107" t="s">
        <v>47</v>
      </c>
      <c r="S764" s="107" t="s">
        <v>557</v>
      </c>
      <c r="T764" s="97">
        <v>2.4296064997181679</v>
      </c>
      <c r="U764" s="78">
        <v>-0.2411588042613988</v>
      </c>
      <c r="V764" s="97">
        <v>1E-8</v>
      </c>
      <c r="W764" s="97">
        <v>1E-8</v>
      </c>
      <c r="X764" s="97">
        <v>1E-8</v>
      </c>
      <c r="Y764" s="97">
        <v>1E-8</v>
      </c>
      <c r="Z764" s="97">
        <v>1E-8</v>
      </c>
      <c r="AA764" s="97">
        <v>1E-8</v>
      </c>
      <c r="AB764" s="97">
        <v>1E-8</v>
      </c>
      <c r="AC764" s="97">
        <v>1E-8</v>
      </c>
      <c r="AD764" s="4"/>
    </row>
    <row r="765" spans="1:30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4"/>
      <c r="O765" s="4"/>
      <c r="P765" s="68"/>
      <c r="Q765" s="68" t="s">
        <v>660</v>
      </c>
      <c r="R765" s="108" t="s">
        <v>47</v>
      </c>
      <c r="S765" s="108" t="s">
        <v>351</v>
      </c>
      <c r="T765" s="98">
        <v>1.3048440389163027</v>
      </c>
      <c r="U765" s="80">
        <v>-0.22106785380072713</v>
      </c>
      <c r="V765" s="98">
        <v>1E-8</v>
      </c>
      <c r="W765" s="98">
        <v>1E-8</v>
      </c>
      <c r="X765" s="98">
        <v>1E-8</v>
      </c>
      <c r="Y765" s="98">
        <v>1E-8</v>
      </c>
      <c r="Z765" s="98">
        <v>1E-8</v>
      </c>
      <c r="AA765" s="98">
        <v>1E-8</v>
      </c>
      <c r="AB765" s="98">
        <v>1E-8</v>
      </c>
      <c r="AC765" s="98">
        <v>1E-8</v>
      </c>
      <c r="AD765" s="4"/>
    </row>
    <row r="766" spans="1:30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4"/>
      <c r="O766" s="4"/>
      <c r="P766" s="68"/>
      <c r="Q766" s="68" t="s">
        <v>661</v>
      </c>
      <c r="R766" s="108" t="s">
        <v>47</v>
      </c>
      <c r="S766" s="108" t="s">
        <v>352</v>
      </c>
      <c r="T766" s="98">
        <v>0.72383043675888281</v>
      </c>
      <c r="U766" s="80">
        <v>0.22033444310962658</v>
      </c>
      <c r="V766" s="98">
        <v>1E-8</v>
      </c>
      <c r="W766" s="98">
        <v>1E-8</v>
      </c>
      <c r="X766" s="98">
        <v>1E-8</v>
      </c>
      <c r="Y766" s="98">
        <v>1E-8</v>
      </c>
      <c r="Z766" s="98">
        <v>1E-8</v>
      </c>
      <c r="AA766" s="98">
        <v>1E-8</v>
      </c>
      <c r="AB766" s="98">
        <v>1E-8</v>
      </c>
      <c r="AC766" s="98">
        <v>1E-8</v>
      </c>
      <c r="AD766" s="4"/>
    </row>
    <row r="767" spans="1:30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4"/>
      <c r="O767" s="4"/>
      <c r="P767" s="68"/>
      <c r="Q767" s="68" t="s">
        <v>662</v>
      </c>
      <c r="R767" s="108" t="s">
        <v>47</v>
      </c>
      <c r="S767" s="108" t="s">
        <v>558</v>
      </c>
      <c r="T767" s="98">
        <v>0.40093202404298212</v>
      </c>
      <c r="U767" s="80">
        <v>-1.1397111626331502</v>
      </c>
      <c r="V767" s="98">
        <v>1E-8</v>
      </c>
      <c r="W767" s="98">
        <v>1E-8</v>
      </c>
      <c r="X767" s="98">
        <v>1E-8</v>
      </c>
      <c r="Y767" s="98">
        <v>1E-8</v>
      </c>
      <c r="Z767" s="98">
        <v>1E-8</v>
      </c>
      <c r="AA767" s="98">
        <v>1E-8</v>
      </c>
      <c r="AB767" s="98">
        <v>1E-8</v>
      </c>
      <c r="AC767" s="98">
        <v>1E-8</v>
      </c>
      <c r="AD767" s="4"/>
    </row>
    <row r="768" spans="1:30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4"/>
      <c r="O768" s="4"/>
      <c r="P768" s="96"/>
      <c r="Q768" s="96" t="s">
        <v>188</v>
      </c>
      <c r="R768" s="107" t="s">
        <v>47</v>
      </c>
      <c r="S768" s="107" t="s">
        <v>559</v>
      </c>
      <c r="T768" s="97">
        <v>12.480325990413821</v>
      </c>
      <c r="U768" s="78">
        <v>-3.4888677136681423</v>
      </c>
      <c r="V768" s="97">
        <v>1E-8</v>
      </c>
      <c r="W768" s="97">
        <v>1E-8</v>
      </c>
      <c r="X768" s="97">
        <v>1E-8</v>
      </c>
      <c r="Y768" s="97">
        <v>1E-8</v>
      </c>
      <c r="Z768" s="97">
        <v>1E-8</v>
      </c>
      <c r="AA768" s="97">
        <v>1E-8</v>
      </c>
      <c r="AB768" s="97">
        <v>1E-8</v>
      </c>
      <c r="AC768" s="97">
        <v>1E-8</v>
      </c>
      <c r="AD768" s="4"/>
    </row>
    <row r="769" spans="1:30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4"/>
      <c r="O769" s="4"/>
      <c r="P769" s="68"/>
      <c r="Q769" s="68" t="s">
        <v>663</v>
      </c>
      <c r="R769" s="108" t="s">
        <v>47</v>
      </c>
      <c r="S769" s="108" t="s">
        <v>353</v>
      </c>
      <c r="T769" s="98">
        <v>12.480325990413821</v>
      </c>
      <c r="U769" s="80">
        <v>-3.4888677136681423</v>
      </c>
      <c r="V769" s="98">
        <v>1E-8</v>
      </c>
      <c r="W769" s="98">
        <v>1E-8</v>
      </c>
      <c r="X769" s="98">
        <v>1E-8</v>
      </c>
      <c r="Y769" s="98">
        <v>1E-8</v>
      </c>
      <c r="Z769" s="98">
        <v>1E-8</v>
      </c>
      <c r="AA769" s="98">
        <v>1E-8</v>
      </c>
      <c r="AB769" s="98">
        <v>1E-8</v>
      </c>
      <c r="AC769" s="98">
        <v>1E-8</v>
      </c>
      <c r="AD769" s="4"/>
    </row>
    <row r="770" spans="1:30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4"/>
      <c r="O770" s="4"/>
      <c r="P770" s="72"/>
      <c r="Q770" s="72" t="s">
        <v>664</v>
      </c>
      <c r="R770" s="109" t="s">
        <v>47</v>
      </c>
      <c r="S770" s="109" t="s">
        <v>560</v>
      </c>
      <c r="T770" s="81">
        <v>1E-8</v>
      </c>
      <c r="U770" s="82">
        <v>1E-8</v>
      </c>
      <c r="V770" s="81">
        <v>1E-8</v>
      </c>
      <c r="W770" s="81">
        <v>1E-8</v>
      </c>
      <c r="X770" s="81">
        <v>1E-8</v>
      </c>
      <c r="Y770" s="81">
        <v>1E-8</v>
      </c>
      <c r="Z770" s="81">
        <v>1E-8</v>
      </c>
      <c r="AA770" s="81">
        <v>1E-8</v>
      </c>
      <c r="AB770" s="81">
        <v>1E-8</v>
      </c>
      <c r="AC770" s="81">
        <v>1E-8</v>
      </c>
      <c r="AD770" s="4"/>
    </row>
    <row r="771" spans="1:30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4"/>
      <c r="O771" s="4"/>
      <c r="P771" s="47"/>
      <c r="Q771" s="47" t="s">
        <v>287</v>
      </c>
      <c r="R771" s="105" t="s">
        <v>47</v>
      </c>
      <c r="S771" s="105" t="s">
        <v>354</v>
      </c>
      <c r="T771" s="95">
        <v>60.586349105176751</v>
      </c>
      <c r="U771" s="74">
        <v>0.24369576362603951</v>
      </c>
      <c r="V771" s="95">
        <v>1E-8</v>
      </c>
      <c r="W771" s="95">
        <v>1E-8</v>
      </c>
      <c r="X771" s="95">
        <v>1E-8</v>
      </c>
      <c r="Y771" s="95">
        <v>1E-8</v>
      </c>
      <c r="Z771" s="95">
        <v>1E-8</v>
      </c>
      <c r="AA771" s="95">
        <v>1E-8</v>
      </c>
      <c r="AB771" s="95">
        <v>1E-8</v>
      </c>
      <c r="AC771" s="95">
        <v>1E-8</v>
      </c>
      <c r="AD771" s="4"/>
    </row>
    <row r="772" spans="1:30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4"/>
      <c r="O772" s="4"/>
      <c r="P772" s="96"/>
      <c r="Q772" s="96" t="s">
        <v>370</v>
      </c>
      <c r="R772" s="107" t="s">
        <v>47</v>
      </c>
      <c r="S772" s="107" t="s">
        <v>561</v>
      </c>
      <c r="T772" s="97">
        <v>11.185057998184957</v>
      </c>
      <c r="U772" s="78">
        <v>-1.5349567927948504</v>
      </c>
      <c r="V772" s="97">
        <v>1E-8</v>
      </c>
      <c r="W772" s="97">
        <v>1E-8</v>
      </c>
      <c r="X772" s="97">
        <v>1E-8</v>
      </c>
      <c r="Y772" s="97">
        <v>1E-8</v>
      </c>
      <c r="Z772" s="97">
        <v>1E-8</v>
      </c>
      <c r="AA772" s="97">
        <v>1E-8</v>
      </c>
      <c r="AB772" s="97">
        <v>1E-8</v>
      </c>
      <c r="AC772" s="97">
        <v>1E-8</v>
      </c>
      <c r="AD772" s="4"/>
    </row>
    <row r="773" spans="1:30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4"/>
      <c r="O773" s="4"/>
      <c r="P773" s="68"/>
      <c r="Q773" s="68" t="s">
        <v>665</v>
      </c>
      <c r="R773" s="108" t="s">
        <v>47</v>
      </c>
      <c r="S773" s="108" t="s">
        <v>562</v>
      </c>
      <c r="T773" s="98">
        <v>6.911037388002518E-2</v>
      </c>
      <c r="U773" s="80">
        <v>-0.32507492113446057</v>
      </c>
      <c r="V773" s="98">
        <v>1E-8</v>
      </c>
      <c r="W773" s="98">
        <v>1E-8</v>
      </c>
      <c r="X773" s="98">
        <v>1E-8</v>
      </c>
      <c r="Y773" s="98">
        <v>1E-8</v>
      </c>
      <c r="Z773" s="98">
        <v>1E-8</v>
      </c>
      <c r="AA773" s="98">
        <v>1E-8</v>
      </c>
      <c r="AB773" s="98">
        <v>1E-8</v>
      </c>
      <c r="AC773" s="98">
        <v>1E-8</v>
      </c>
      <c r="AD773" s="4"/>
    </row>
    <row r="774" spans="1:30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4"/>
      <c r="O774" s="4"/>
      <c r="P774" s="68"/>
      <c r="Q774" s="68" t="s">
        <v>666</v>
      </c>
      <c r="R774" s="108" t="s">
        <v>47</v>
      </c>
      <c r="S774" s="108" t="s">
        <v>563</v>
      </c>
      <c r="T774" s="98">
        <v>7.7987265930940667E-3</v>
      </c>
      <c r="U774" s="80">
        <v>-6.8018430933928453</v>
      </c>
      <c r="V774" s="98">
        <v>1E-8</v>
      </c>
      <c r="W774" s="98">
        <v>1E-8</v>
      </c>
      <c r="X774" s="98">
        <v>1E-8</v>
      </c>
      <c r="Y774" s="98">
        <v>1E-8</v>
      </c>
      <c r="Z774" s="98">
        <v>1E-8</v>
      </c>
      <c r="AA774" s="98">
        <v>1E-8</v>
      </c>
      <c r="AB774" s="98">
        <v>1E-8</v>
      </c>
      <c r="AC774" s="98">
        <v>1E-8</v>
      </c>
      <c r="AD774" s="4"/>
    </row>
    <row r="775" spans="1:30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4"/>
      <c r="O775" s="4"/>
      <c r="P775" s="68"/>
      <c r="Q775" s="68" t="s">
        <v>667</v>
      </c>
      <c r="R775" s="108" t="s">
        <v>47</v>
      </c>
      <c r="S775" s="108" t="s">
        <v>564</v>
      </c>
      <c r="T775" s="98">
        <v>1.7530422607234233</v>
      </c>
      <c r="U775" s="80">
        <v>-1.5661209156685452</v>
      </c>
      <c r="V775" s="98">
        <v>1E-8</v>
      </c>
      <c r="W775" s="98">
        <v>1E-8</v>
      </c>
      <c r="X775" s="98">
        <v>1E-8</v>
      </c>
      <c r="Y775" s="98">
        <v>1E-8</v>
      </c>
      <c r="Z775" s="98">
        <v>1E-8</v>
      </c>
      <c r="AA775" s="98">
        <v>1E-8</v>
      </c>
      <c r="AB775" s="98">
        <v>1E-8</v>
      </c>
      <c r="AC775" s="98">
        <v>1E-8</v>
      </c>
      <c r="AD775" s="4"/>
    </row>
    <row r="776" spans="1:30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4"/>
      <c r="O776" s="4"/>
      <c r="P776" s="68"/>
      <c r="Q776" s="68" t="s">
        <v>668</v>
      </c>
      <c r="R776" s="108" t="s">
        <v>47</v>
      </c>
      <c r="S776" s="108" t="s">
        <v>565</v>
      </c>
      <c r="T776" s="98">
        <v>9.355106636988415</v>
      </c>
      <c r="U776" s="80">
        <v>-1.5336642749605223</v>
      </c>
      <c r="V776" s="98">
        <v>1E-8</v>
      </c>
      <c r="W776" s="98">
        <v>1E-8</v>
      </c>
      <c r="X776" s="98">
        <v>1E-8</v>
      </c>
      <c r="Y776" s="98">
        <v>1E-8</v>
      </c>
      <c r="Z776" s="98">
        <v>1E-8</v>
      </c>
      <c r="AA776" s="98">
        <v>1E-8</v>
      </c>
      <c r="AB776" s="98">
        <v>1E-8</v>
      </c>
      <c r="AC776" s="98">
        <v>1E-8</v>
      </c>
      <c r="AD776" s="4"/>
    </row>
    <row r="777" spans="1:30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4"/>
      <c r="O777" s="4"/>
      <c r="P777" s="96"/>
      <c r="Q777" s="96" t="s">
        <v>371</v>
      </c>
      <c r="R777" s="107" t="s">
        <v>47</v>
      </c>
      <c r="S777" s="107" t="s">
        <v>566</v>
      </c>
      <c r="T777" s="97">
        <v>14.454482834244795</v>
      </c>
      <c r="U777" s="78">
        <v>0.12019836212744384</v>
      </c>
      <c r="V777" s="97">
        <v>1E-8</v>
      </c>
      <c r="W777" s="97">
        <v>1E-8</v>
      </c>
      <c r="X777" s="97">
        <v>1E-8</v>
      </c>
      <c r="Y777" s="97">
        <v>1E-8</v>
      </c>
      <c r="Z777" s="97">
        <v>1E-8</v>
      </c>
      <c r="AA777" s="97">
        <v>1E-8</v>
      </c>
      <c r="AB777" s="97">
        <v>1E-8</v>
      </c>
      <c r="AC777" s="97">
        <v>1E-8</v>
      </c>
      <c r="AD777" s="4"/>
    </row>
    <row r="778" spans="1:30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4"/>
      <c r="O778" s="4"/>
      <c r="P778" s="68"/>
      <c r="Q778" s="68" t="s">
        <v>669</v>
      </c>
      <c r="R778" s="108" t="s">
        <v>47</v>
      </c>
      <c r="S778" s="108" t="s">
        <v>567</v>
      </c>
      <c r="T778" s="98">
        <v>10.46843190644587</v>
      </c>
      <c r="U778" s="80">
        <v>-0.54345304740015532</v>
      </c>
      <c r="V778" s="98">
        <v>1E-8</v>
      </c>
      <c r="W778" s="98">
        <v>1E-8</v>
      </c>
      <c r="X778" s="98">
        <v>1E-8</v>
      </c>
      <c r="Y778" s="98">
        <v>1E-8</v>
      </c>
      <c r="Z778" s="98">
        <v>1E-8</v>
      </c>
      <c r="AA778" s="98">
        <v>1E-8</v>
      </c>
      <c r="AB778" s="98">
        <v>1E-8</v>
      </c>
      <c r="AC778" s="98">
        <v>1E-8</v>
      </c>
      <c r="AD778" s="4"/>
    </row>
    <row r="779" spans="1:30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4"/>
      <c r="O779" s="4"/>
      <c r="P779" s="68"/>
      <c r="Q779" s="68" t="s">
        <v>670</v>
      </c>
      <c r="R779" s="108" t="s">
        <v>47</v>
      </c>
      <c r="S779" s="108" t="s">
        <v>568</v>
      </c>
      <c r="T779" s="98">
        <v>2.4555447816920952</v>
      </c>
      <c r="U779" s="80">
        <v>1.3865037591405338</v>
      </c>
      <c r="V779" s="98">
        <v>1E-8</v>
      </c>
      <c r="W779" s="98">
        <v>1E-8</v>
      </c>
      <c r="X779" s="98">
        <v>1E-8</v>
      </c>
      <c r="Y779" s="98">
        <v>1E-8</v>
      </c>
      <c r="Z779" s="98">
        <v>1E-8</v>
      </c>
      <c r="AA779" s="98">
        <v>1E-8</v>
      </c>
      <c r="AB779" s="98">
        <v>1E-8</v>
      </c>
      <c r="AC779" s="98">
        <v>1E-8</v>
      </c>
      <c r="AD779" s="4"/>
    </row>
    <row r="780" spans="1:30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4"/>
      <c r="O780" s="4"/>
      <c r="P780" s="68"/>
      <c r="Q780" s="68" t="s">
        <v>671</v>
      </c>
      <c r="R780" s="108" t="s">
        <v>47</v>
      </c>
      <c r="S780" s="108" t="s">
        <v>569</v>
      </c>
      <c r="T780" s="98">
        <v>1.0986510450639495</v>
      </c>
      <c r="U780" s="80">
        <v>2.001633719539786</v>
      </c>
      <c r="V780" s="98">
        <v>1E-8</v>
      </c>
      <c r="W780" s="98">
        <v>1E-8</v>
      </c>
      <c r="X780" s="98">
        <v>1E-8</v>
      </c>
      <c r="Y780" s="98">
        <v>1E-8</v>
      </c>
      <c r="Z780" s="98">
        <v>1E-8</v>
      </c>
      <c r="AA780" s="98">
        <v>1E-8</v>
      </c>
      <c r="AB780" s="98">
        <v>1E-8</v>
      </c>
      <c r="AC780" s="98">
        <v>1E-8</v>
      </c>
      <c r="AD780" s="4"/>
    </row>
    <row r="781" spans="1:30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4"/>
      <c r="O781" s="4"/>
      <c r="P781" s="68"/>
      <c r="Q781" s="68" t="s">
        <v>672</v>
      </c>
      <c r="R781" s="108" t="s">
        <v>47</v>
      </c>
      <c r="S781" s="108" t="s">
        <v>570</v>
      </c>
      <c r="T781" s="98">
        <v>0.43185510104287972</v>
      </c>
      <c r="U781" s="80">
        <v>4.220830853615265</v>
      </c>
      <c r="V781" s="98">
        <v>1E-8</v>
      </c>
      <c r="W781" s="98">
        <v>1E-8</v>
      </c>
      <c r="X781" s="98">
        <v>1E-8</v>
      </c>
      <c r="Y781" s="98">
        <v>1E-8</v>
      </c>
      <c r="Z781" s="98">
        <v>1E-8</v>
      </c>
      <c r="AA781" s="98">
        <v>1E-8</v>
      </c>
      <c r="AB781" s="98">
        <v>1E-8</v>
      </c>
      <c r="AC781" s="98">
        <v>1E-8</v>
      </c>
      <c r="AD781" s="4"/>
    </row>
    <row r="782" spans="1:30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4"/>
      <c r="O782" s="4"/>
      <c r="P782" s="96"/>
      <c r="Q782" s="96" t="s">
        <v>673</v>
      </c>
      <c r="R782" s="107" t="s">
        <v>47</v>
      </c>
      <c r="S782" s="107" t="s">
        <v>355</v>
      </c>
      <c r="T782" s="97">
        <v>5.1899076014685974</v>
      </c>
      <c r="U782" s="78">
        <v>-0.4882179977308776</v>
      </c>
      <c r="V782" s="97">
        <v>1E-8</v>
      </c>
      <c r="W782" s="97">
        <v>1E-8</v>
      </c>
      <c r="X782" s="97">
        <v>1E-8</v>
      </c>
      <c r="Y782" s="97">
        <v>1E-8</v>
      </c>
      <c r="Z782" s="97">
        <v>1E-8</v>
      </c>
      <c r="AA782" s="97">
        <v>1E-8</v>
      </c>
      <c r="AB782" s="97">
        <v>1E-8</v>
      </c>
      <c r="AC782" s="97">
        <v>1E-8</v>
      </c>
      <c r="AD782" s="4"/>
    </row>
    <row r="783" spans="1:30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4"/>
      <c r="O783" s="4"/>
      <c r="P783" s="96"/>
      <c r="Q783" s="96" t="s">
        <v>372</v>
      </c>
      <c r="R783" s="107" t="s">
        <v>47</v>
      </c>
      <c r="S783" s="107" t="s">
        <v>571</v>
      </c>
      <c r="T783" s="97">
        <v>1E-8</v>
      </c>
      <c r="U783" s="78">
        <v>1E-8</v>
      </c>
      <c r="V783" s="97">
        <v>1E-8</v>
      </c>
      <c r="W783" s="97">
        <v>1E-8</v>
      </c>
      <c r="X783" s="97">
        <v>1E-8</v>
      </c>
      <c r="Y783" s="97">
        <v>1E-8</v>
      </c>
      <c r="Z783" s="97">
        <v>1E-8</v>
      </c>
      <c r="AA783" s="97">
        <v>1E-8</v>
      </c>
      <c r="AB783" s="97">
        <v>1E-8</v>
      </c>
      <c r="AC783" s="97">
        <v>1E-8</v>
      </c>
      <c r="AD783" s="4"/>
    </row>
    <row r="784" spans="1:30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4"/>
      <c r="O784" s="4"/>
      <c r="P784" s="68"/>
      <c r="Q784" s="68" t="s">
        <v>674</v>
      </c>
      <c r="R784" s="108" t="s">
        <v>47</v>
      </c>
      <c r="S784" s="108" t="s">
        <v>572</v>
      </c>
      <c r="T784" s="98">
        <v>1E-8</v>
      </c>
      <c r="U784" s="80">
        <v>1E-8</v>
      </c>
      <c r="V784" s="98">
        <v>1E-8</v>
      </c>
      <c r="W784" s="98">
        <v>1E-8</v>
      </c>
      <c r="X784" s="98">
        <v>1E-8</v>
      </c>
      <c r="Y784" s="98">
        <v>1E-8</v>
      </c>
      <c r="Z784" s="98">
        <v>1E-8</v>
      </c>
      <c r="AA784" s="98">
        <v>1E-8</v>
      </c>
      <c r="AB784" s="98">
        <v>1E-8</v>
      </c>
      <c r="AC784" s="98">
        <v>1E-8</v>
      </c>
      <c r="AD784" s="4"/>
    </row>
    <row r="785" spans="1:30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4"/>
      <c r="O785" s="4"/>
      <c r="P785" s="68"/>
      <c r="Q785" s="68" t="s">
        <v>675</v>
      </c>
      <c r="R785" s="108" t="s">
        <v>47</v>
      </c>
      <c r="S785" s="108" t="s">
        <v>356</v>
      </c>
      <c r="T785" s="98">
        <v>1E-8</v>
      </c>
      <c r="U785" s="80">
        <v>1E-8</v>
      </c>
      <c r="V785" s="98">
        <v>1E-8</v>
      </c>
      <c r="W785" s="98">
        <v>1E-8</v>
      </c>
      <c r="X785" s="98">
        <v>1E-8</v>
      </c>
      <c r="Y785" s="98">
        <v>1E-8</v>
      </c>
      <c r="Z785" s="98">
        <v>1E-8</v>
      </c>
      <c r="AA785" s="98">
        <v>1E-8</v>
      </c>
      <c r="AB785" s="98">
        <v>1E-8</v>
      </c>
      <c r="AC785" s="98">
        <v>1E-8</v>
      </c>
      <c r="AD785" s="4"/>
    </row>
    <row r="786" spans="1:30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4"/>
      <c r="O786" s="4"/>
      <c r="P786" s="68"/>
      <c r="Q786" s="68" t="s">
        <v>676</v>
      </c>
      <c r="R786" s="109" t="s">
        <v>47</v>
      </c>
      <c r="S786" s="109" t="s">
        <v>573</v>
      </c>
      <c r="T786" s="81">
        <v>1E-8</v>
      </c>
      <c r="U786" s="82">
        <v>1E-8</v>
      </c>
      <c r="V786" s="81">
        <v>1E-8</v>
      </c>
      <c r="W786" s="81">
        <v>1E-8</v>
      </c>
      <c r="X786" s="81">
        <v>1E-8</v>
      </c>
      <c r="Y786" s="81">
        <v>1E-8</v>
      </c>
      <c r="Z786" s="81">
        <v>1E-8</v>
      </c>
      <c r="AA786" s="81">
        <v>1E-8</v>
      </c>
      <c r="AB786" s="81">
        <v>1E-8</v>
      </c>
      <c r="AC786" s="81">
        <v>1E-8</v>
      </c>
      <c r="AD786" s="4"/>
    </row>
    <row r="787" spans="1:30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4"/>
      <c r="O787" s="4"/>
      <c r="P787" s="96"/>
      <c r="Q787" s="96" t="s">
        <v>373</v>
      </c>
      <c r="R787" s="107" t="s">
        <v>47</v>
      </c>
      <c r="S787" s="107" t="s">
        <v>574</v>
      </c>
      <c r="T787" s="97">
        <v>0.12126571949476489</v>
      </c>
      <c r="U787" s="78">
        <v>1.2020347532502695</v>
      </c>
      <c r="V787" s="97">
        <v>1E-8</v>
      </c>
      <c r="W787" s="97">
        <v>1E-8</v>
      </c>
      <c r="X787" s="97">
        <v>1E-8</v>
      </c>
      <c r="Y787" s="97">
        <v>1E-8</v>
      </c>
      <c r="Z787" s="97">
        <v>1E-8</v>
      </c>
      <c r="AA787" s="97">
        <v>1E-8</v>
      </c>
      <c r="AB787" s="97">
        <v>1E-8</v>
      </c>
      <c r="AC787" s="97">
        <v>1E-8</v>
      </c>
      <c r="AD787" s="4"/>
    </row>
    <row r="788" spans="1:30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4"/>
      <c r="O788" s="4"/>
      <c r="P788" s="68"/>
      <c r="Q788" s="68" t="s">
        <v>677</v>
      </c>
      <c r="R788" s="108" t="s">
        <v>47</v>
      </c>
      <c r="S788" s="108" t="s">
        <v>575</v>
      </c>
      <c r="T788" s="98">
        <v>2.7556769098764415E-2</v>
      </c>
      <c r="U788" s="80">
        <v>2.8930487905055813</v>
      </c>
      <c r="V788" s="98">
        <v>1E-8</v>
      </c>
      <c r="W788" s="98">
        <v>1E-8</v>
      </c>
      <c r="X788" s="98">
        <v>1E-8</v>
      </c>
      <c r="Y788" s="98">
        <v>1E-8</v>
      </c>
      <c r="Z788" s="98">
        <v>1E-8</v>
      </c>
      <c r="AA788" s="98">
        <v>1E-8</v>
      </c>
      <c r="AB788" s="98">
        <v>1E-8</v>
      </c>
      <c r="AC788" s="98">
        <v>1E-8</v>
      </c>
      <c r="AD788" s="4"/>
    </row>
    <row r="789" spans="1:30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4"/>
      <c r="O789" s="4"/>
      <c r="P789" s="68"/>
      <c r="Q789" s="68" t="s">
        <v>678</v>
      </c>
      <c r="R789" s="108" t="s">
        <v>47</v>
      </c>
      <c r="S789" s="108" t="s">
        <v>576</v>
      </c>
      <c r="T789" s="98">
        <v>4.2654659733089552E-2</v>
      </c>
      <c r="U789" s="80">
        <v>0.71655437019599866</v>
      </c>
      <c r="V789" s="98">
        <v>1E-8</v>
      </c>
      <c r="W789" s="98">
        <v>1E-8</v>
      </c>
      <c r="X789" s="98">
        <v>1E-8</v>
      </c>
      <c r="Y789" s="98">
        <v>1E-8</v>
      </c>
      <c r="Z789" s="98">
        <v>1E-8</v>
      </c>
      <c r="AA789" s="98">
        <v>1E-8</v>
      </c>
      <c r="AB789" s="98">
        <v>1E-8</v>
      </c>
      <c r="AC789" s="98">
        <v>1E-8</v>
      </c>
      <c r="AD789" s="4"/>
    </row>
    <row r="790" spans="1:30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4"/>
      <c r="O790" s="4"/>
      <c r="P790" s="68"/>
      <c r="Q790" s="68" t="s">
        <v>679</v>
      </c>
      <c r="R790" s="108" t="s">
        <v>47</v>
      </c>
      <c r="S790" s="108" t="s">
        <v>577</v>
      </c>
      <c r="T790" s="98">
        <v>5.1054290662910937E-2</v>
      </c>
      <c r="U790" s="80">
        <v>0.6949102298269505</v>
      </c>
      <c r="V790" s="98">
        <v>1E-8</v>
      </c>
      <c r="W790" s="98">
        <v>1E-8</v>
      </c>
      <c r="X790" s="98">
        <v>1E-8</v>
      </c>
      <c r="Y790" s="98">
        <v>1E-8</v>
      </c>
      <c r="Z790" s="98">
        <v>1E-8</v>
      </c>
      <c r="AA790" s="98">
        <v>1E-8</v>
      </c>
      <c r="AB790" s="98">
        <v>1E-8</v>
      </c>
      <c r="AC790" s="98">
        <v>1E-8</v>
      </c>
      <c r="AD790" s="4"/>
    </row>
    <row r="791" spans="1:30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4"/>
      <c r="O791" s="4"/>
      <c r="P791" s="96"/>
      <c r="Q791" s="96" t="s">
        <v>195</v>
      </c>
      <c r="R791" s="107" t="s">
        <v>47</v>
      </c>
      <c r="S791" s="107" t="s">
        <v>578</v>
      </c>
      <c r="T791" s="97">
        <v>1E-8</v>
      </c>
      <c r="U791" s="78">
        <v>1E-8</v>
      </c>
      <c r="V791" s="97">
        <v>1E-8</v>
      </c>
      <c r="W791" s="97">
        <v>1E-8</v>
      </c>
      <c r="X791" s="97">
        <v>1E-8</v>
      </c>
      <c r="Y791" s="97">
        <v>1E-8</v>
      </c>
      <c r="Z791" s="97">
        <v>1E-8</v>
      </c>
      <c r="AA791" s="97">
        <v>1E-8</v>
      </c>
      <c r="AB791" s="97">
        <v>1E-8</v>
      </c>
      <c r="AC791" s="97">
        <v>1E-8</v>
      </c>
      <c r="AD791" s="4"/>
    </row>
    <row r="792" spans="1:30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4"/>
      <c r="O792" s="4"/>
      <c r="P792" s="68"/>
      <c r="Q792" s="68" t="s">
        <v>680</v>
      </c>
      <c r="R792" s="108" t="s">
        <v>47</v>
      </c>
      <c r="S792" s="108" t="s">
        <v>579</v>
      </c>
      <c r="T792" s="98">
        <v>1E-8</v>
      </c>
      <c r="U792" s="80">
        <v>1E-8</v>
      </c>
      <c r="V792" s="98">
        <v>1E-8</v>
      </c>
      <c r="W792" s="98">
        <v>1E-8</v>
      </c>
      <c r="X792" s="98">
        <v>1E-8</v>
      </c>
      <c r="Y792" s="98">
        <v>1E-8</v>
      </c>
      <c r="Z792" s="98">
        <v>1E-8</v>
      </c>
      <c r="AA792" s="98">
        <v>1E-8</v>
      </c>
      <c r="AB792" s="98">
        <v>1E-8</v>
      </c>
      <c r="AC792" s="98">
        <v>1E-8</v>
      </c>
      <c r="AD792" s="4"/>
    </row>
    <row r="793" spans="1:30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4"/>
      <c r="O793" s="4"/>
      <c r="P793" s="68"/>
      <c r="Q793" s="68" t="s">
        <v>681</v>
      </c>
      <c r="R793" s="108" t="s">
        <v>47</v>
      </c>
      <c r="S793" s="108" t="s">
        <v>357</v>
      </c>
      <c r="T793" s="98">
        <v>1E-8</v>
      </c>
      <c r="U793" s="80">
        <v>1E-8</v>
      </c>
      <c r="V793" s="98">
        <v>1E-8</v>
      </c>
      <c r="W793" s="98">
        <v>1E-8</v>
      </c>
      <c r="X793" s="98">
        <v>1E-8</v>
      </c>
      <c r="Y793" s="98">
        <v>1E-8</v>
      </c>
      <c r="Z793" s="98">
        <v>1E-8</v>
      </c>
      <c r="AA793" s="98">
        <v>1E-8</v>
      </c>
      <c r="AB793" s="98">
        <v>1E-8</v>
      </c>
      <c r="AC793" s="98">
        <v>1E-8</v>
      </c>
      <c r="AD793" s="4"/>
    </row>
    <row r="794" spans="1:30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4"/>
      <c r="O794" s="4"/>
      <c r="P794" s="96"/>
      <c r="Q794" s="96" t="s">
        <v>196</v>
      </c>
      <c r="R794" s="107" t="s">
        <v>47</v>
      </c>
      <c r="S794" s="107" t="s">
        <v>580</v>
      </c>
      <c r="T794" s="97">
        <v>6.2995362453853661</v>
      </c>
      <c r="U794" s="78">
        <v>1.6298743084472322</v>
      </c>
      <c r="V794" s="97">
        <v>1E-8</v>
      </c>
      <c r="W794" s="97">
        <v>1E-8</v>
      </c>
      <c r="X794" s="97">
        <v>1E-8</v>
      </c>
      <c r="Y794" s="97">
        <v>1E-8</v>
      </c>
      <c r="Z794" s="97">
        <v>1E-8</v>
      </c>
      <c r="AA794" s="97">
        <v>1E-8</v>
      </c>
      <c r="AB794" s="97">
        <v>1E-8</v>
      </c>
      <c r="AC794" s="97">
        <v>1E-8</v>
      </c>
      <c r="AD794" s="4"/>
    </row>
    <row r="795" spans="1:30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4"/>
      <c r="O795" s="4"/>
      <c r="P795" s="68"/>
      <c r="Q795" s="68" t="s">
        <v>682</v>
      </c>
      <c r="R795" s="108" t="s">
        <v>47</v>
      </c>
      <c r="S795" s="108" t="s">
        <v>581</v>
      </c>
      <c r="T795" s="98">
        <v>0.28385877839999007</v>
      </c>
      <c r="U795" s="80">
        <v>-1.1842844325492319</v>
      </c>
      <c r="V795" s="98">
        <v>1E-8</v>
      </c>
      <c r="W795" s="98">
        <v>1E-8</v>
      </c>
      <c r="X795" s="98">
        <v>1E-8</v>
      </c>
      <c r="Y795" s="98">
        <v>1E-8</v>
      </c>
      <c r="Z795" s="98">
        <v>1E-8</v>
      </c>
      <c r="AA795" s="98">
        <v>1E-8</v>
      </c>
      <c r="AB795" s="98">
        <v>1E-8</v>
      </c>
      <c r="AC795" s="98">
        <v>1E-8</v>
      </c>
      <c r="AD795" s="4"/>
    </row>
    <row r="796" spans="1:30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4"/>
      <c r="O796" s="4"/>
      <c r="P796" s="68"/>
      <c r="Q796" s="68" t="s">
        <v>683</v>
      </c>
      <c r="R796" s="108" t="s">
        <v>47</v>
      </c>
      <c r="S796" s="108" t="s">
        <v>582</v>
      </c>
      <c r="T796" s="98">
        <v>8.740291357295818E-2</v>
      </c>
      <c r="U796" s="80">
        <v>1.3197679729817668</v>
      </c>
      <c r="V796" s="98">
        <v>1E-8</v>
      </c>
      <c r="W796" s="98">
        <v>1E-8</v>
      </c>
      <c r="X796" s="98">
        <v>1E-8</v>
      </c>
      <c r="Y796" s="98">
        <v>1E-8</v>
      </c>
      <c r="Z796" s="98">
        <v>1E-8</v>
      </c>
      <c r="AA796" s="98">
        <v>1E-8</v>
      </c>
      <c r="AB796" s="98">
        <v>1E-8</v>
      </c>
      <c r="AC796" s="98">
        <v>1E-8</v>
      </c>
      <c r="AD796" s="4"/>
    </row>
    <row r="797" spans="1:30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4"/>
      <c r="O797" s="4"/>
      <c r="P797" s="68"/>
      <c r="Q797" s="68" t="s">
        <v>684</v>
      </c>
      <c r="R797" s="108" t="s">
        <v>47</v>
      </c>
      <c r="S797" s="108" t="s">
        <v>583</v>
      </c>
      <c r="T797" s="98">
        <v>0.55289058641743116</v>
      </c>
      <c r="U797" s="80">
        <v>3.05660856058112</v>
      </c>
      <c r="V797" s="98">
        <v>1E-8</v>
      </c>
      <c r="W797" s="98">
        <v>1E-8</v>
      </c>
      <c r="X797" s="98">
        <v>1E-8</v>
      </c>
      <c r="Y797" s="98">
        <v>1E-8</v>
      </c>
      <c r="Z797" s="98">
        <v>1E-8</v>
      </c>
      <c r="AA797" s="98">
        <v>1E-8</v>
      </c>
      <c r="AB797" s="98">
        <v>1E-8</v>
      </c>
      <c r="AC797" s="98">
        <v>1E-8</v>
      </c>
      <c r="AD797" s="4"/>
    </row>
    <row r="798" spans="1:30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4"/>
      <c r="O798" s="4"/>
      <c r="P798" s="68"/>
      <c r="Q798" s="68" t="s">
        <v>685</v>
      </c>
      <c r="R798" s="108" t="s">
        <v>47</v>
      </c>
      <c r="S798" s="108" t="s">
        <v>584</v>
      </c>
      <c r="T798" s="98">
        <v>0.9880777410080116</v>
      </c>
      <c r="U798" s="80">
        <v>-0.2075197574083254</v>
      </c>
      <c r="V798" s="98">
        <v>1E-8</v>
      </c>
      <c r="W798" s="98">
        <v>1E-8</v>
      </c>
      <c r="X798" s="98">
        <v>1E-8</v>
      </c>
      <c r="Y798" s="98">
        <v>1E-8</v>
      </c>
      <c r="Z798" s="98">
        <v>1E-8</v>
      </c>
      <c r="AA798" s="98">
        <v>1E-8</v>
      </c>
      <c r="AB798" s="98">
        <v>1E-8</v>
      </c>
      <c r="AC798" s="98">
        <v>1E-8</v>
      </c>
      <c r="AD798" s="4"/>
    </row>
    <row r="799" spans="1:30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4"/>
      <c r="O799" s="4"/>
      <c r="P799" s="68"/>
      <c r="Q799" s="68" t="s">
        <v>686</v>
      </c>
      <c r="R799" s="109" t="s">
        <v>47</v>
      </c>
      <c r="S799" s="109" t="s">
        <v>585</v>
      </c>
      <c r="T799" s="81">
        <v>4.3873062259869764</v>
      </c>
      <c r="U799" s="82">
        <v>2.0521352596693188</v>
      </c>
      <c r="V799" s="81">
        <v>1E-8</v>
      </c>
      <c r="W799" s="81">
        <v>1E-8</v>
      </c>
      <c r="X799" s="81">
        <v>1E-8</v>
      </c>
      <c r="Y799" s="81">
        <v>1E-8</v>
      </c>
      <c r="Z799" s="81">
        <v>1E-8</v>
      </c>
      <c r="AA799" s="81">
        <v>1E-8</v>
      </c>
      <c r="AB799" s="81">
        <v>1E-8</v>
      </c>
      <c r="AC799" s="81">
        <v>1E-8</v>
      </c>
      <c r="AD799" s="4"/>
    </row>
    <row r="800" spans="1:30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4"/>
      <c r="O800" s="4"/>
      <c r="P800" s="96"/>
      <c r="Q800" s="96" t="s">
        <v>687</v>
      </c>
      <c r="R800" s="107" t="s">
        <v>47</v>
      </c>
      <c r="S800" s="107" t="s">
        <v>358</v>
      </c>
      <c r="T800" s="97">
        <v>20.273287758625131</v>
      </c>
      <c r="U800" s="78">
        <v>0.976211611997857</v>
      </c>
      <c r="V800" s="97">
        <v>1E-8</v>
      </c>
      <c r="W800" s="97">
        <v>1E-8</v>
      </c>
      <c r="X800" s="97">
        <v>1E-8</v>
      </c>
      <c r="Y800" s="97">
        <v>1E-8</v>
      </c>
      <c r="Z800" s="97">
        <v>1E-8</v>
      </c>
      <c r="AA800" s="97">
        <v>1E-8</v>
      </c>
      <c r="AB800" s="97">
        <v>1E-8</v>
      </c>
      <c r="AC800" s="97">
        <v>1E-8</v>
      </c>
      <c r="AD800" s="4"/>
    </row>
    <row r="801" spans="1:30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4"/>
      <c r="O801" s="4"/>
      <c r="P801" s="96"/>
      <c r="Q801" s="96" t="s">
        <v>688</v>
      </c>
      <c r="R801" s="107" t="s">
        <v>47</v>
      </c>
      <c r="S801" s="107" t="s">
        <v>359</v>
      </c>
      <c r="T801" s="97">
        <v>0.25344221167860104</v>
      </c>
      <c r="U801" s="78">
        <v>0.24754746670514471</v>
      </c>
      <c r="V801" s="97">
        <v>1E-8</v>
      </c>
      <c r="W801" s="97">
        <v>1E-8</v>
      </c>
      <c r="X801" s="97">
        <v>1E-8</v>
      </c>
      <c r="Y801" s="97">
        <v>1E-8</v>
      </c>
      <c r="Z801" s="97">
        <v>1E-8</v>
      </c>
      <c r="AA801" s="97">
        <v>1E-8</v>
      </c>
      <c r="AB801" s="97">
        <v>1E-8</v>
      </c>
      <c r="AC801" s="97">
        <v>1E-8</v>
      </c>
      <c r="AD801" s="4"/>
    </row>
    <row r="802" spans="1:30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4"/>
      <c r="O802" s="4"/>
      <c r="P802" s="96"/>
      <c r="Q802" s="96" t="s">
        <v>689</v>
      </c>
      <c r="R802" s="107" t="s">
        <v>47</v>
      </c>
      <c r="S802" s="107" t="s">
        <v>360</v>
      </c>
      <c r="T802" s="97">
        <v>1E-8</v>
      </c>
      <c r="U802" s="78">
        <v>1E-8</v>
      </c>
      <c r="V802" s="97">
        <v>1E-8</v>
      </c>
      <c r="W802" s="97">
        <v>1E-8</v>
      </c>
      <c r="X802" s="97">
        <v>1E-8</v>
      </c>
      <c r="Y802" s="97">
        <v>1E-8</v>
      </c>
      <c r="Z802" s="97">
        <v>1E-8</v>
      </c>
      <c r="AA802" s="97">
        <v>1E-8</v>
      </c>
      <c r="AB802" s="97">
        <v>1E-8</v>
      </c>
      <c r="AC802" s="97">
        <v>1E-8</v>
      </c>
      <c r="AD802" s="4"/>
    </row>
    <row r="803" spans="1:30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4"/>
      <c r="O803" s="4"/>
      <c r="P803" s="96"/>
      <c r="Q803" s="96" t="s">
        <v>205</v>
      </c>
      <c r="R803" s="107" t="s">
        <v>47</v>
      </c>
      <c r="S803" s="107" t="s">
        <v>586</v>
      </c>
      <c r="T803" s="97">
        <v>2.8093687360945312</v>
      </c>
      <c r="U803" s="78">
        <v>0.87658222824371634</v>
      </c>
      <c r="V803" s="97">
        <v>1E-8</v>
      </c>
      <c r="W803" s="97">
        <v>1E-8</v>
      </c>
      <c r="X803" s="97">
        <v>1E-8</v>
      </c>
      <c r="Y803" s="97">
        <v>1E-8</v>
      </c>
      <c r="Z803" s="97">
        <v>1E-8</v>
      </c>
      <c r="AA803" s="97">
        <v>1E-8</v>
      </c>
      <c r="AB803" s="97">
        <v>1E-8</v>
      </c>
      <c r="AC803" s="97">
        <v>1E-8</v>
      </c>
      <c r="AD803" s="4"/>
    </row>
    <row r="804" spans="1:30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4"/>
      <c r="O804" s="4"/>
      <c r="P804" s="68"/>
      <c r="Q804" s="68" t="s">
        <v>690</v>
      </c>
      <c r="R804" s="108" t="s">
        <v>47</v>
      </c>
      <c r="S804" s="108" t="s">
        <v>587</v>
      </c>
      <c r="T804" s="98">
        <v>1E-8</v>
      </c>
      <c r="U804" s="80">
        <v>1E-8</v>
      </c>
      <c r="V804" s="98">
        <v>1E-8</v>
      </c>
      <c r="W804" s="98">
        <v>1E-8</v>
      </c>
      <c r="X804" s="98">
        <v>1E-8</v>
      </c>
      <c r="Y804" s="98">
        <v>1E-8</v>
      </c>
      <c r="Z804" s="98">
        <v>1E-8</v>
      </c>
      <c r="AA804" s="98">
        <v>1E-8</v>
      </c>
      <c r="AB804" s="98">
        <v>1E-8</v>
      </c>
      <c r="AC804" s="98">
        <v>1E-8</v>
      </c>
      <c r="AD804" s="4"/>
    </row>
    <row r="805" spans="1:30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4"/>
      <c r="O805" s="4"/>
      <c r="P805" s="68"/>
      <c r="Q805" s="68" t="s">
        <v>691</v>
      </c>
      <c r="R805" s="108" t="s">
        <v>47</v>
      </c>
      <c r="S805" s="108" t="s">
        <v>588</v>
      </c>
      <c r="T805" s="98">
        <v>1.282202628576749E-2</v>
      </c>
      <c r="U805" s="80">
        <v>1.0492587654644447</v>
      </c>
      <c r="V805" s="98">
        <v>1E-8</v>
      </c>
      <c r="W805" s="98">
        <v>1E-8</v>
      </c>
      <c r="X805" s="98">
        <v>1E-8</v>
      </c>
      <c r="Y805" s="98">
        <v>1E-8</v>
      </c>
      <c r="Z805" s="98">
        <v>1E-8</v>
      </c>
      <c r="AA805" s="98">
        <v>1E-8</v>
      </c>
      <c r="AB805" s="98">
        <v>1E-8</v>
      </c>
      <c r="AC805" s="98">
        <v>1E-8</v>
      </c>
      <c r="AD805" s="4"/>
    </row>
    <row r="806" spans="1:30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4"/>
      <c r="O806" s="4"/>
      <c r="P806" s="68"/>
      <c r="Q806" s="68" t="s">
        <v>692</v>
      </c>
      <c r="R806" s="108" t="s">
        <v>47</v>
      </c>
      <c r="S806" s="108" t="s">
        <v>589</v>
      </c>
      <c r="T806" s="98">
        <v>0.23991082015346921</v>
      </c>
      <c r="U806" s="80">
        <v>2.656352189815947</v>
      </c>
      <c r="V806" s="98">
        <v>1E-8</v>
      </c>
      <c r="W806" s="98">
        <v>1E-8</v>
      </c>
      <c r="X806" s="98">
        <v>1E-8</v>
      </c>
      <c r="Y806" s="98">
        <v>1E-8</v>
      </c>
      <c r="Z806" s="98">
        <v>1E-8</v>
      </c>
      <c r="AA806" s="98">
        <v>1E-8</v>
      </c>
      <c r="AB806" s="98">
        <v>1E-8</v>
      </c>
      <c r="AC806" s="98">
        <v>1E-8</v>
      </c>
      <c r="AD806" s="4"/>
    </row>
    <row r="807" spans="1:30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4"/>
      <c r="O807" s="4"/>
      <c r="P807" s="68"/>
      <c r="Q807" s="68" t="s">
        <v>693</v>
      </c>
      <c r="R807" s="108" t="s">
        <v>47</v>
      </c>
      <c r="S807" s="108" t="s">
        <v>361</v>
      </c>
      <c r="T807" s="98">
        <v>1.0609904988703465</v>
      </c>
      <c r="U807" s="80">
        <v>0.16355426355851854</v>
      </c>
      <c r="V807" s="98">
        <v>1E-8</v>
      </c>
      <c r="W807" s="98">
        <v>1E-8</v>
      </c>
      <c r="X807" s="98">
        <v>1E-8</v>
      </c>
      <c r="Y807" s="98">
        <v>1E-8</v>
      </c>
      <c r="Z807" s="98">
        <v>1E-8</v>
      </c>
      <c r="AA807" s="98">
        <v>1E-8</v>
      </c>
      <c r="AB807" s="98">
        <v>1E-8</v>
      </c>
      <c r="AC807" s="98">
        <v>1E-8</v>
      </c>
      <c r="AD807" s="4"/>
    </row>
    <row r="808" spans="1:30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4"/>
      <c r="O808" s="4"/>
      <c r="P808" s="68"/>
      <c r="Q808" s="68" t="s">
        <v>694</v>
      </c>
      <c r="R808" s="108" t="s">
        <v>47</v>
      </c>
      <c r="S808" s="108" t="s">
        <v>590</v>
      </c>
      <c r="T808" s="98">
        <v>1.4956453907849481</v>
      </c>
      <c r="U808" s="80">
        <v>1.0954280614285494</v>
      </c>
      <c r="V808" s="98">
        <v>1E-8</v>
      </c>
      <c r="W808" s="98">
        <v>1E-8</v>
      </c>
      <c r="X808" s="98">
        <v>1E-8</v>
      </c>
      <c r="Y808" s="98">
        <v>1E-8</v>
      </c>
      <c r="Z808" s="98">
        <v>1E-8</v>
      </c>
      <c r="AA808" s="98">
        <v>1E-8</v>
      </c>
      <c r="AB808" s="98">
        <v>1E-8</v>
      </c>
      <c r="AC808" s="98">
        <v>1E-8</v>
      </c>
      <c r="AD808" s="4"/>
    </row>
    <row r="809" spans="1:30" ht="15" thickBo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4"/>
      <c r="O809" s="4"/>
      <c r="P809" s="102"/>
      <c r="Q809" s="102" t="s">
        <v>695</v>
      </c>
      <c r="R809" s="113" t="s">
        <v>47</v>
      </c>
      <c r="S809" s="113" t="s">
        <v>591</v>
      </c>
      <c r="T809" s="103">
        <v>1E-8</v>
      </c>
      <c r="U809" s="104">
        <v>1E-8</v>
      </c>
      <c r="V809" s="103">
        <v>1E-8</v>
      </c>
      <c r="W809" s="103">
        <v>1E-8</v>
      </c>
      <c r="X809" s="103">
        <v>1E-8</v>
      </c>
      <c r="Y809" s="103">
        <v>1E-8</v>
      </c>
      <c r="Z809" s="103">
        <v>1E-8</v>
      </c>
      <c r="AA809" s="103">
        <v>1E-8</v>
      </c>
      <c r="AB809" s="103">
        <v>1E-8</v>
      </c>
      <c r="AC809" s="103">
        <v>1E-8</v>
      </c>
      <c r="AD809" s="4"/>
    </row>
    <row r="810" spans="1:30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4"/>
      <c r="O810" s="4"/>
      <c r="P810" s="47" t="s">
        <v>728</v>
      </c>
      <c r="Q810" s="47" t="s">
        <v>102</v>
      </c>
      <c r="R810" s="105" t="s">
        <v>54</v>
      </c>
      <c r="S810" s="105" t="s">
        <v>288</v>
      </c>
      <c r="T810" s="95">
        <v>100</v>
      </c>
      <c r="U810" s="74">
        <v>1E-8</v>
      </c>
      <c r="V810" s="95">
        <v>1E-8</v>
      </c>
      <c r="W810" s="95">
        <v>1E-8</v>
      </c>
      <c r="X810" s="95">
        <v>1E-8</v>
      </c>
      <c r="Y810" s="95">
        <v>1E-8</v>
      </c>
      <c r="Z810" s="95">
        <v>1E-8</v>
      </c>
      <c r="AA810" s="95">
        <v>1E-8</v>
      </c>
      <c r="AB810" s="95">
        <v>1E-8</v>
      </c>
      <c r="AC810" s="95">
        <v>1E-8</v>
      </c>
      <c r="AD810" s="4"/>
    </row>
    <row r="811" spans="1:30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4"/>
      <c r="O811" s="4"/>
      <c r="P811" s="47" t="s">
        <v>476</v>
      </c>
      <c r="Q811" s="47" t="s">
        <v>278</v>
      </c>
      <c r="R811" s="106" t="s">
        <v>54</v>
      </c>
      <c r="S811" s="106" t="s">
        <v>289</v>
      </c>
      <c r="T811" s="75">
        <v>11.517509238956556</v>
      </c>
      <c r="U811" s="76">
        <v>-0.22854775883192069</v>
      </c>
      <c r="V811" s="75">
        <v>1E-8</v>
      </c>
      <c r="W811" s="75">
        <v>1E-8</v>
      </c>
      <c r="X811" s="75">
        <v>1E-8</v>
      </c>
      <c r="Y811" s="75">
        <v>1E-8</v>
      </c>
      <c r="Z811" s="75">
        <v>1E-8</v>
      </c>
      <c r="AA811" s="75">
        <v>1E-8</v>
      </c>
      <c r="AB811" s="75">
        <v>1E-8</v>
      </c>
      <c r="AC811" s="75">
        <v>1E-8</v>
      </c>
      <c r="AD811" s="4"/>
    </row>
    <row r="812" spans="1:30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4"/>
      <c r="O812" s="4"/>
      <c r="P812" s="96"/>
      <c r="Q812" s="96" t="s">
        <v>279</v>
      </c>
      <c r="R812" s="107" t="s">
        <v>54</v>
      </c>
      <c r="S812" s="107" t="s">
        <v>290</v>
      </c>
      <c r="T812" s="97">
        <v>9.4510585856943461</v>
      </c>
      <c r="U812" s="78">
        <v>-0.21493094908253685</v>
      </c>
      <c r="V812" s="97">
        <v>1E-8</v>
      </c>
      <c r="W812" s="97">
        <v>1E-8</v>
      </c>
      <c r="X812" s="97">
        <v>1E-8</v>
      </c>
      <c r="Y812" s="97">
        <v>1E-8</v>
      </c>
      <c r="Z812" s="97">
        <v>1E-8</v>
      </c>
      <c r="AA812" s="97">
        <v>1E-8</v>
      </c>
      <c r="AB812" s="97">
        <v>1E-8</v>
      </c>
      <c r="AC812" s="97">
        <v>1E-8</v>
      </c>
      <c r="AD812" s="4"/>
    </row>
    <row r="813" spans="1:30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4"/>
      <c r="O813" s="4"/>
      <c r="P813" s="96"/>
      <c r="Q813" s="96" t="s">
        <v>362</v>
      </c>
      <c r="R813" s="107" t="s">
        <v>54</v>
      </c>
      <c r="S813" s="107" t="s">
        <v>291</v>
      </c>
      <c r="T813" s="97">
        <v>9.2753758765069456</v>
      </c>
      <c r="U813" s="78">
        <v>-0.33461049799512477</v>
      </c>
      <c r="V813" s="97">
        <v>1E-8</v>
      </c>
      <c r="W813" s="97">
        <v>1E-8</v>
      </c>
      <c r="X813" s="97">
        <v>1E-8</v>
      </c>
      <c r="Y813" s="97">
        <v>1E-8</v>
      </c>
      <c r="Z813" s="97">
        <v>1E-8</v>
      </c>
      <c r="AA813" s="97">
        <v>1E-8</v>
      </c>
      <c r="AB813" s="97">
        <v>1E-8</v>
      </c>
      <c r="AC813" s="97">
        <v>1E-8</v>
      </c>
      <c r="AD813" s="4"/>
    </row>
    <row r="814" spans="1:30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4"/>
      <c r="O814" s="4"/>
      <c r="P814" s="96"/>
      <c r="Q814" s="96" t="s">
        <v>363</v>
      </c>
      <c r="R814" s="107" t="s">
        <v>54</v>
      </c>
      <c r="S814" s="107" t="s">
        <v>292</v>
      </c>
      <c r="T814" s="97">
        <v>0.1756827091874007</v>
      </c>
      <c r="U814" s="78">
        <v>6.1036920163160868</v>
      </c>
      <c r="V814" s="97">
        <v>1E-8</v>
      </c>
      <c r="W814" s="97">
        <v>1E-8</v>
      </c>
      <c r="X814" s="97">
        <v>1E-8</v>
      </c>
      <c r="Y814" s="97">
        <v>1E-8</v>
      </c>
      <c r="Z814" s="97">
        <v>1E-8</v>
      </c>
      <c r="AA814" s="97">
        <v>1E-8</v>
      </c>
      <c r="AB814" s="97">
        <v>1E-8</v>
      </c>
      <c r="AC814" s="97">
        <v>1E-8</v>
      </c>
      <c r="AD814" s="4"/>
    </row>
    <row r="815" spans="1:30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4"/>
      <c r="O815" s="4"/>
      <c r="P815" s="68"/>
      <c r="Q815" s="68" t="s">
        <v>592</v>
      </c>
      <c r="R815" s="108" t="s">
        <v>54</v>
      </c>
      <c r="S815" s="108" t="s">
        <v>294</v>
      </c>
      <c r="T815" s="98">
        <v>0.11638616752657634</v>
      </c>
      <c r="U815" s="80">
        <v>1.4616479152732786</v>
      </c>
      <c r="V815" s="98">
        <v>1E-8</v>
      </c>
      <c r="W815" s="98">
        <v>1E-8</v>
      </c>
      <c r="X815" s="98">
        <v>1E-8</v>
      </c>
      <c r="Y815" s="98">
        <v>1E-8</v>
      </c>
      <c r="Z815" s="98">
        <v>1E-8</v>
      </c>
      <c r="AA815" s="98">
        <v>1E-8</v>
      </c>
      <c r="AB815" s="98">
        <v>1E-8</v>
      </c>
      <c r="AC815" s="98">
        <v>1E-8</v>
      </c>
      <c r="AD815" s="4"/>
    </row>
    <row r="816" spans="1:30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4"/>
      <c r="O816" s="4"/>
      <c r="P816" s="68"/>
      <c r="Q816" s="68" t="s">
        <v>593</v>
      </c>
      <c r="R816" s="108" t="s">
        <v>54</v>
      </c>
      <c r="S816" s="108" t="s">
        <v>293</v>
      </c>
      <c r="T816" s="98">
        <v>0.27695389560143985</v>
      </c>
      <c r="U816" s="80">
        <v>2.4114937326591424</v>
      </c>
      <c r="V816" s="98">
        <v>1E-8</v>
      </c>
      <c r="W816" s="98">
        <v>1E-8</v>
      </c>
      <c r="X816" s="98">
        <v>1E-8</v>
      </c>
      <c r="Y816" s="98">
        <v>1E-8</v>
      </c>
      <c r="Z816" s="98">
        <v>1E-8</v>
      </c>
      <c r="AA816" s="98">
        <v>1E-8</v>
      </c>
      <c r="AB816" s="98">
        <v>1E-8</v>
      </c>
      <c r="AC816" s="98">
        <v>1E-8</v>
      </c>
      <c r="AD816" s="4"/>
    </row>
    <row r="817" spans="1:30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4"/>
      <c r="O817" s="4"/>
      <c r="P817" s="68"/>
      <c r="Q817" s="68" t="s">
        <v>594</v>
      </c>
      <c r="R817" s="108" t="s">
        <v>54</v>
      </c>
      <c r="S817" s="108" t="s">
        <v>296</v>
      </c>
      <c r="T817" s="98">
        <v>5.9815642294618688E-3</v>
      </c>
      <c r="U817" s="80">
        <v>3.4702316327255955</v>
      </c>
      <c r="V817" s="98">
        <v>1E-8</v>
      </c>
      <c r="W817" s="98">
        <v>1E-8</v>
      </c>
      <c r="X817" s="98">
        <v>1E-8</v>
      </c>
      <c r="Y817" s="98">
        <v>1E-8</v>
      </c>
      <c r="Z817" s="98">
        <v>1E-8</v>
      </c>
      <c r="AA817" s="98">
        <v>1E-8</v>
      </c>
      <c r="AB817" s="98">
        <v>1E-8</v>
      </c>
      <c r="AC817" s="98">
        <v>1E-8</v>
      </c>
      <c r="AD817" s="4"/>
    </row>
    <row r="818" spans="1:30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4"/>
      <c r="O818" s="4"/>
      <c r="P818" s="68"/>
      <c r="Q818" s="68" t="s">
        <v>595</v>
      </c>
      <c r="R818" s="108" t="s">
        <v>54</v>
      </c>
      <c r="S818" s="108" t="s">
        <v>295</v>
      </c>
      <c r="T818" s="98">
        <v>0.25393483790787358</v>
      </c>
      <c r="U818" s="80">
        <v>0.79423679475605358</v>
      </c>
      <c r="V818" s="98">
        <v>1E-8</v>
      </c>
      <c r="W818" s="98">
        <v>1E-8</v>
      </c>
      <c r="X818" s="98">
        <v>1E-8</v>
      </c>
      <c r="Y818" s="98">
        <v>1E-8</v>
      </c>
      <c r="Z818" s="98">
        <v>1E-8</v>
      </c>
      <c r="AA818" s="98">
        <v>1E-8</v>
      </c>
      <c r="AB818" s="98">
        <v>1E-8</v>
      </c>
      <c r="AC818" s="98">
        <v>1E-8</v>
      </c>
      <c r="AD818" s="4"/>
    </row>
    <row r="819" spans="1:30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4"/>
      <c r="O819" s="4"/>
      <c r="P819" s="68"/>
      <c r="Q819" s="68" t="s">
        <v>596</v>
      </c>
      <c r="R819" s="108" t="s">
        <v>54</v>
      </c>
      <c r="S819" s="108" t="s">
        <v>297</v>
      </c>
      <c r="T819" s="98">
        <v>1.9555696632336117E-4</v>
      </c>
      <c r="U819" s="80">
        <v>3.4797669771510886</v>
      </c>
      <c r="V819" s="98">
        <v>1E-8</v>
      </c>
      <c r="W819" s="98">
        <v>1E-8</v>
      </c>
      <c r="X819" s="98">
        <v>1E-8</v>
      </c>
      <c r="Y819" s="98">
        <v>1E-8</v>
      </c>
      <c r="Z819" s="98">
        <v>1E-8</v>
      </c>
      <c r="AA819" s="98">
        <v>1E-8</v>
      </c>
      <c r="AB819" s="98">
        <v>1E-8</v>
      </c>
      <c r="AC819" s="98">
        <v>1E-8</v>
      </c>
      <c r="AD819" s="4"/>
    </row>
    <row r="820" spans="1:30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4"/>
      <c r="O820" s="4"/>
      <c r="P820" s="68"/>
      <c r="Q820" s="68" t="s">
        <v>597</v>
      </c>
      <c r="R820" s="108" t="s">
        <v>54</v>
      </c>
      <c r="S820" s="108" t="s">
        <v>301</v>
      </c>
      <c r="T820" s="98">
        <v>4.0837072136634553</v>
      </c>
      <c r="U820" s="80">
        <v>-0.8561324258612224</v>
      </c>
      <c r="V820" s="98">
        <v>1E-8</v>
      </c>
      <c r="W820" s="98">
        <v>1E-8</v>
      </c>
      <c r="X820" s="98">
        <v>1E-8</v>
      </c>
      <c r="Y820" s="98">
        <v>1E-8</v>
      </c>
      <c r="Z820" s="98">
        <v>1E-8</v>
      </c>
      <c r="AA820" s="98">
        <v>1E-8</v>
      </c>
      <c r="AB820" s="98">
        <v>1E-8</v>
      </c>
      <c r="AC820" s="98">
        <v>1E-8</v>
      </c>
      <c r="AD820" s="4"/>
    </row>
    <row r="821" spans="1:30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4"/>
      <c r="O821" s="4"/>
      <c r="P821" s="68"/>
      <c r="Q821" s="68" t="s">
        <v>598</v>
      </c>
      <c r="R821" s="108" t="s">
        <v>54</v>
      </c>
      <c r="S821" s="108" t="s">
        <v>302</v>
      </c>
      <c r="T821" s="98">
        <v>0.74513104055429435</v>
      </c>
      <c r="U821" s="80">
        <v>-1.7761616028987404</v>
      </c>
      <c r="V821" s="98">
        <v>1E-8</v>
      </c>
      <c r="W821" s="98">
        <v>1E-8</v>
      </c>
      <c r="X821" s="98">
        <v>1E-8</v>
      </c>
      <c r="Y821" s="98">
        <v>1E-8</v>
      </c>
      <c r="Z821" s="98">
        <v>1E-8</v>
      </c>
      <c r="AA821" s="98">
        <v>1E-8</v>
      </c>
      <c r="AB821" s="98">
        <v>1E-8</v>
      </c>
      <c r="AC821" s="98">
        <v>1E-8</v>
      </c>
      <c r="AD821" s="4"/>
    </row>
    <row r="822" spans="1:30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4"/>
      <c r="O822" s="4"/>
      <c r="P822" s="68"/>
      <c r="Q822" s="68" t="s">
        <v>599</v>
      </c>
      <c r="R822" s="108" t="s">
        <v>54</v>
      </c>
      <c r="S822" s="108" t="s">
        <v>300</v>
      </c>
      <c r="T822" s="98">
        <v>0.88281310061923313</v>
      </c>
      <c r="U822" s="80">
        <v>0.62434930901158481</v>
      </c>
      <c r="V822" s="98">
        <v>1E-8</v>
      </c>
      <c r="W822" s="98">
        <v>1E-8</v>
      </c>
      <c r="X822" s="98">
        <v>1E-8</v>
      </c>
      <c r="Y822" s="98">
        <v>1E-8</v>
      </c>
      <c r="Z822" s="98">
        <v>1E-8</v>
      </c>
      <c r="AA822" s="98">
        <v>1E-8</v>
      </c>
      <c r="AB822" s="98">
        <v>1E-8</v>
      </c>
      <c r="AC822" s="98">
        <v>1E-8</v>
      </c>
      <c r="AD822" s="4"/>
    </row>
    <row r="823" spans="1:30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4"/>
      <c r="O823" s="4"/>
      <c r="P823" s="68"/>
      <c r="Q823" s="68" t="s">
        <v>600</v>
      </c>
      <c r="R823" s="108" t="s">
        <v>54</v>
      </c>
      <c r="S823" s="108" t="s">
        <v>303</v>
      </c>
      <c r="T823" s="98">
        <v>0.14112158035822725</v>
      </c>
      <c r="U823" s="80">
        <v>-1.4412140147099906</v>
      </c>
      <c r="V823" s="98">
        <v>1E-8</v>
      </c>
      <c r="W823" s="98">
        <v>1E-8</v>
      </c>
      <c r="X823" s="98">
        <v>1E-8</v>
      </c>
      <c r="Y823" s="98">
        <v>1E-8</v>
      </c>
      <c r="Z823" s="98">
        <v>1E-8</v>
      </c>
      <c r="AA823" s="98">
        <v>1E-8</v>
      </c>
      <c r="AB823" s="98">
        <v>1E-8</v>
      </c>
      <c r="AC823" s="98">
        <v>1E-8</v>
      </c>
      <c r="AD823" s="4"/>
    </row>
    <row r="824" spans="1:30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4"/>
      <c r="O824" s="4"/>
      <c r="P824" s="68"/>
      <c r="Q824" s="68" t="s">
        <v>601</v>
      </c>
      <c r="R824" s="108" t="s">
        <v>54</v>
      </c>
      <c r="S824" s="108" t="s">
        <v>533</v>
      </c>
      <c r="T824" s="98">
        <v>0.8732672897501863</v>
      </c>
      <c r="U824" s="80">
        <v>0.22788150652308659</v>
      </c>
      <c r="V824" s="98">
        <v>1E-8</v>
      </c>
      <c r="W824" s="98">
        <v>1E-8</v>
      </c>
      <c r="X824" s="98">
        <v>1E-8</v>
      </c>
      <c r="Y824" s="98">
        <v>1E-8</v>
      </c>
      <c r="Z824" s="98">
        <v>1E-8</v>
      </c>
      <c r="AA824" s="98">
        <v>1E-8</v>
      </c>
      <c r="AB824" s="98">
        <v>1E-8</v>
      </c>
      <c r="AC824" s="98">
        <v>1E-8</v>
      </c>
      <c r="AD824" s="4"/>
    </row>
    <row r="825" spans="1:30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4"/>
      <c r="O825" s="4"/>
      <c r="P825" s="68"/>
      <c r="Q825" s="68" t="s">
        <v>602</v>
      </c>
      <c r="R825" s="108" t="s">
        <v>54</v>
      </c>
      <c r="S825" s="108" t="s">
        <v>534</v>
      </c>
      <c r="T825" s="98">
        <v>8.0833718684133901E-2</v>
      </c>
      <c r="U825" s="80">
        <v>-0.45334941626024028</v>
      </c>
      <c r="V825" s="98">
        <v>1E-8</v>
      </c>
      <c r="W825" s="98">
        <v>1E-8</v>
      </c>
      <c r="X825" s="98">
        <v>1E-8</v>
      </c>
      <c r="Y825" s="98">
        <v>1E-8</v>
      </c>
      <c r="Z825" s="98">
        <v>1E-8</v>
      </c>
      <c r="AA825" s="98">
        <v>1E-8</v>
      </c>
      <c r="AB825" s="98">
        <v>1E-8</v>
      </c>
      <c r="AC825" s="98">
        <v>1E-8</v>
      </c>
      <c r="AD825" s="4"/>
    </row>
    <row r="826" spans="1:30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4"/>
      <c r="O826" s="4"/>
      <c r="P826" s="68"/>
      <c r="Q826" s="68" t="s">
        <v>603</v>
      </c>
      <c r="R826" s="108" t="s">
        <v>54</v>
      </c>
      <c r="S826" s="108" t="s">
        <v>304</v>
      </c>
      <c r="T826" s="98">
        <v>1.1657898333926922</v>
      </c>
      <c r="U826" s="80">
        <v>-7.9618788415181108E-2</v>
      </c>
      <c r="V826" s="98">
        <v>1E-8</v>
      </c>
      <c r="W826" s="98">
        <v>1E-8</v>
      </c>
      <c r="X826" s="98">
        <v>1E-8</v>
      </c>
      <c r="Y826" s="98">
        <v>1E-8</v>
      </c>
      <c r="Z826" s="98">
        <v>1E-8</v>
      </c>
      <c r="AA826" s="98">
        <v>1E-8</v>
      </c>
      <c r="AB826" s="98">
        <v>1E-8</v>
      </c>
      <c r="AC826" s="98">
        <v>1E-8</v>
      </c>
      <c r="AD826" s="4"/>
    </row>
    <row r="827" spans="1:30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4"/>
      <c r="O827" s="4"/>
      <c r="P827" s="68"/>
      <c r="Q827" s="68" t="s">
        <v>604</v>
      </c>
      <c r="R827" s="108" t="s">
        <v>54</v>
      </c>
      <c r="S827" s="108" t="s">
        <v>535</v>
      </c>
      <c r="T827" s="98">
        <v>9.3535834705130605E-2</v>
      </c>
      <c r="U827" s="80">
        <v>0.14363477940377845</v>
      </c>
      <c r="V827" s="98">
        <v>1E-8</v>
      </c>
      <c r="W827" s="98">
        <v>1E-8</v>
      </c>
      <c r="X827" s="98">
        <v>1E-8</v>
      </c>
      <c r="Y827" s="98">
        <v>1E-8</v>
      </c>
      <c r="Z827" s="98">
        <v>1E-8</v>
      </c>
      <c r="AA827" s="98">
        <v>1E-8</v>
      </c>
      <c r="AB827" s="98">
        <v>1E-8</v>
      </c>
      <c r="AC827" s="98">
        <v>1E-8</v>
      </c>
      <c r="AD827" s="4"/>
    </row>
    <row r="828" spans="1:30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4"/>
      <c r="O828" s="4"/>
      <c r="P828" s="68"/>
      <c r="Q828" s="68" t="s">
        <v>605</v>
      </c>
      <c r="R828" s="108" t="s">
        <v>54</v>
      </c>
      <c r="S828" s="108" t="s">
        <v>536</v>
      </c>
      <c r="T828" s="98">
        <v>0.42778339182763592</v>
      </c>
      <c r="U828" s="80">
        <v>-3.4285233543762672E-2</v>
      </c>
      <c r="V828" s="98">
        <v>1E-8</v>
      </c>
      <c r="W828" s="98">
        <v>1E-8</v>
      </c>
      <c r="X828" s="98">
        <v>1E-8</v>
      </c>
      <c r="Y828" s="98">
        <v>1E-8</v>
      </c>
      <c r="Z828" s="98">
        <v>1E-8</v>
      </c>
      <c r="AA828" s="98">
        <v>1E-8</v>
      </c>
      <c r="AB828" s="98">
        <v>1E-8</v>
      </c>
      <c r="AC828" s="98">
        <v>1E-8</v>
      </c>
      <c r="AD828" s="4"/>
    </row>
    <row r="829" spans="1:30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4"/>
      <c r="O829" s="4"/>
      <c r="P829" s="68"/>
      <c r="Q829" s="68" t="s">
        <v>606</v>
      </c>
      <c r="R829" s="108" t="s">
        <v>54</v>
      </c>
      <c r="S829" s="108" t="s">
        <v>537</v>
      </c>
      <c r="T829" s="98">
        <v>5.5750985360046405E-2</v>
      </c>
      <c r="U829" s="80">
        <v>0.74612024472511251</v>
      </c>
      <c r="V829" s="98">
        <v>1E-8</v>
      </c>
      <c r="W829" s="98">
        <v>1E-8</v>
      </c>
      <c r="X829" s="98">
        <v>1E-8</v>
      </c>
      <c r="Y829" s="98">
        <v>1E-8</v>
      </c>
      <c r="Z829" s="98">
        <v>1E-8</v>
      </c>
      <c r="AA829" s="98">
        <v>1E-8</v>
      </c>
      <c r="AB829" s="98">
        <v>1E-8</v>
      </c>
      <c r="AC829" s="98">
        <v>1E-8</v>
      </c>
      <c r="AD829" s="4"/>
    </row>
    <row r="830" spans="1:30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4"/>
      <c r="O830" s="4"/>
      <c r="P830" s="68"/>
      <c r="Q830" s="68" t="s">
        <v>607</v>
      </c>
      <c r="R830" s="108" t="s">
        <v>54</v>
      </c>
      <c r="S830" s="108" t="s">
        <v>307</v>
      </c>
      <c r="T830" s="98">
        <v>5.8667088276845421E-2</v>
      </c>
      <c r="U830" s="80">
        <v>2.2850883252164111</v>
      </c>
      <c r="V830" s="98">
        <v>1E-8</v>
      </c>
      <c r="W830" s="98">
        <v>1E-8</v>
      </c>
      <c r="X830" s="98">
        <v>1E-8</v>
      </c>
      <c r="Y830" s="98">
        <v>1E-8</v>
      </c>
      <c r="Z830" s="98">
        <v>1E-8</v>
      </c>
      <c r="AA830" s="98">
        <v>1E-8</v>
      </c>
      <c r="AB830" s="98">
        <v>1E-8</v>
      </c>
      <c r="AC830" s="98">
        <v>1E-8</v>
      </c>
      <c r="AD830" s="4"/>
    </row>
    <row r="831" spans="1:30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4"/>
      <c r="O831" s="4"/>
      <c r="P831" s="68"/>
      <c r="Q831" s="68" t="s">
        <v>608</v>
      </c>
      <c r="R831" s="108" t="s">
        <v>54</v>
      </c>
      <c r="S831" s="108" t="s">
        <v>298</v>
      </c>
      <c r="T831" s="98">
        <v>9.907041881624723E-3</v>
      </c>
      <c r="U831" s="80">
        <v>5.7025628569698172</v>
      </c>
      <c r="V831" s="98">
        <v>1E-8</v>
      </c>
      <c r="W831" s="98">
        <v>1E-8</v>
      </c>
      <c r="X831" s="98">
        <v>1E-8</v>
      </c>
      <c r="Y831" s="98">
        <v>1E-8</v>
      </c>
      <c r="Z831" s="98">
        <v>1E-8</v>
      </c>
      <c r="AA831" s="98">
        <v>1E-8</v>
      </c>
      <c r="AB831" s="98">
        <v>1E-8</v>
      </c>
      <c r="AC831" s="98">
        <v>1E-8</v>
      </c>
      <c r="AD831" s="4"/>
    </row>
    <row r="832" spans="1:30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4"/>
      <c r="O832" s="4"/>
      <c r="P832" s="68"/>
      <c r="Q832" s="68" t="s">
        <v>609</v>
      </c>
      <c r="R832" s="108" t="s">
        <v>54</v>
      </c>
      <c r="S832" s="108" t="s">
        <v>538</v>
      </c>
      <c r="T832" s="98">
        <v>3.6157352017661326E-3</v>
      </c>
      <c r="U832" s="80">
        <v>1.8431302630541824</v>
      </c>
      <c r="V832" s="98">
        <v>1E-8</v>
      </c>
      <c r="W832" s="98">
        <v>1E-8</v>
      </c>
      <c r="X832" s="98">
        <v>1E-8</v>
      </c>
      <c r="Y832" s="98">
        <v>1E-8</v>
      </c>
      <c r="Z832" s="98">
        <v>1E-8</v>
      </c>
      <c r="AA832" s="98">
        <v>1E-8</v>
      </c>
      <c r="AB832" s="98">
        <v>1E-8</v>
      </c>
      <c r="AC832" s="98">
        <v>1E-8</v>
      </c>
      <c r="AD832" s="4"/>
    </row>
    <row r="833" spans="1:30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4"/>
      <c r="O833" s="4"/>
      <c r="P833" s="68"/>
      <c r="Q833" s="68" t="s">
        <v>610</v>
      </c>
      <c r="R833" s="108" t="s">
        <v>54</v>
      </c>
      <c r="S833" s="108" t="s">
        <v>299</v>
      </c>
      <c r="T833" s="98">
        <v>1E-8</v>
      </c>
      <c r="U833" s="80">
        <v>1E-8</v>
      </c>
      <c r="V833" s="98">
        <v>1E-8</v>
      </c>
      <c r="W833" s="98">
        <v>1E-8</v>
      </c>
      <c r="X833" s="98">
        <v>1E-8</v>
      </c>
      <c r="Y833" s="98">
        <v>1E-8</v>
      </c>
      <c r="Z833" s="98">
        <v>1E-8</v>
      </c>
      <c r="AA833" s="98">
        <v>1E-8</v>
      </c>
      <c r="AB833" s="98">
        <v>1E-8</v>
      </c>
      <c r="AC833" s="98">
        <v>1E-8</v>
      </c>
      <c r="AD833" s="4"/>
    </row>
    <row r="834" spans="1:30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4"/>
      <c r="O834" s="4"/>
      <c r="P834" s="68"/>
      <c r="Q834" s="68" t="s">
        <v>611</v>
      </c>
      <c r="R834" s="108" t="s">
        <v>54</v>
      </c>
      <c r="S834" s="108" t="s">
        <v>309</v>
      </c>
      <c r="T834" s="98">
        <v>7.7881201927708678E-3</v>
      </c>
      <c r="U834" s="80">
        <v>13.775791217012422</v>
      </c>
      <c r="V834" s="98">
        <v>1E-8</v>
      </c>
      <c r="W834" s="98">
        <v>1E-8</v>
      </c>
      <c r="X834" s="98">
        <v>1E-8</v>
      </c>
      <c r="Y834" s="98">
        <v>1E-8</v>
      </c>
      <c r="Z834" s="98">
        <v>1E-8</v>
      </c>
      <c r="AA834" s="98">
        <v>1E-8</v>
      </c>
      <c r="AB834" s="98">
        <v>1E-8</v>
      </c>
      <c r="AC834" s="98">
        <v>1E-8</v>
      </c>
      <c r="AD834" s="4"/>
    </row>
    <row r="835" spans="1:30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4"/>
      <c r="O835" s="4"/>
      <c r="P835" s="68"/>
      <c r="Q835" s="68" t="s">
        <v>612</v>
      </c>
      <c r="R835" s="108" t="s">
        <v>54</v>
      </c>
      <c r="S835" s="108" t="s">
        <v>308</v>
      </c>
      <c r="T835" s="98">
        <v>1.1671647081558636E-3</v>
      </c>
      <c r="U835" s="80">
        <v>5.3649925831252609</v>
      </c>
      <c r="V835" s="98">
        <v>1E-8</v>
      </c>
      <c r="W835" s="98">
        <v>1E-8</v>
      </c>
      <c r="X835" s="98">
        <v>1E-8</v>
      </c>
      <c r="Y835" s="98">
        <v>1E-8</v>
      </c>
      <c r="Z835" s="98">
        <v>1E-8</v>
      </c>
      <c r="AA835" s="98">
        <v>1E-8</v>
      </c>
      <c r="AB835" s="98">
        <v>1E-8</v>
      </c>
      <c r="AC835" s="98">
        <v>1E-8</v>
      </c>
      <c r="AD835" s="4"/>
    </row>
    <row r="836" spans="1:30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4"/>
      <c r="O836" s="4"/>
      <c r="P836" s="68"/>
      <c r="Q836" s="68" t="s">
        <v>613</v>
      </c>
      <c r="R836" s="108" t="s">
        <v>54</v>
      </c>
      <c r="S836" s="108" t="s">
        <v>306</v>
      </c>
      <c r="T836" s="98">
        <v>5.8315457630892511E-3</v>
      </c>
      <c r="U836" s="80">
        <v>-1.33267851458444</v>
      </c>
      <c r="V836" s="98">
        <v>1E-8</v>
      </c>
      <c r="W836" s="98">
        <v>1E-8</v>
      </c>
      <c r="X836" s="98">
        <v>1E-8</v>
      </c>
      <c r="Y836" s="98">
        <v>1E-8</v>
      </c>
      <c r="Z836" s="98">
        <v>1E-8</v>
      </c>
      <c r="AA836" s="98">
        <v>1E-8</v>
      </c>
      <c r="AB836" s="98">
        <v>1E-8</v>
      </c>
      <c r="AC836" s="98">
        <v>1E-8</v>
      </c>
      <c r="AD836" s="4"/>
    </row>
    <row r="837" spans="1:30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4"/>
      <c r="O837" s="4"/>
      <c r="P837" s="68"/>
      <c r="Q837" s="68" t="s">
        <v>614</v>
      </c>
      <c r="R837" s="108" t="s">
        <v>54</v>
      </c>
      <c r="S837" s="108" t="s">
        <v>305</v>
      </c>
      <c r="T837" s="98">
        <v>9.8879949667962982E-3</v>
      </c>
      <c r="U837" s="80">
        <v>0.64095007516746794</v>
      </c>
      <c r="V837" s="98">
        <v>1E-8</v>
      </c>
      <c r="W837" s="98">
        <v>1E-8</v>
      </c>
      <c r="X837" s="98">
        <v>1E-8</v>
      </c>
      <c r="Y837" s="98">
        <v>1E-8</v>
      </c>
      <c r="Z837" s="98">
        <v>1E-8</v>
      </c>
      <c r="AA837" s="98">
        <v>1E-8</v>
      </c>
      <c r="AB837" s="98">
        <v>1E-8</v>
      </c>
      <c r="AC837" s="98">
        <v>1E-8</v>
      </c>
      <c r="AD837" s="4"/>
    </row>
    <row r="838" spans="1:30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4"/>
      <c r="O838" s="4"/>
      <c r="P838" s="68"/>
      <c r="Q838" s="68" t="s">
        <v>615</v>
      </c>
      <c r="R838" s="108" t="s">
        <v>54</v>
      </c>
      <c r="S838" s="108" t="s">
        <v>539</v>
      </c>
      <c r="T838" s="98">
        <v>3.068247005170319E-2</v>
      </c>
      <c r="U838" s="80">
        <v>16.778911707968945</v>
      </c>
      <c r="V838" s="98">
        <v>1E-8</v>
      </c>
      <c r="W838" s="98">
        <v>1E-8</v>
      </c>
      <c r="X838" s="98">
        <v>1E-8</v>
      </c>
      <c r="Y838" s="98">
        <v>1E-8</v>
      </c>
      <c r="Z838" s="98">
        <v>1E-8</v>
      </c>
      <c r="AA838" s="98">
        <v>1E-8</v>
      </c>
      <c r="AB838" s="98">
        <v>1E-8</v>
      </c>
      <c r="AC838" s="98">
        <v>1E-8</v>
      </c>
      <c r="AD838" s="4"/>
    </row>
    <row r="839" spans="1:30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4"/>
      <c r="O839" s="4"/>
      <c r="P839" s="68"/>
      <c r="Q839" s="68" t="s">
        <v>616</v>
      </c>
      <c r="R839" s="109" t="s">
        <v>54</v>
      </c>
      <c r="S839" s="109" t="s">
        <v>310</v>
      </c>
      <c r="T839" s="81">
        <v>0.12032541350488522</v>
      </c>
      <c r="U839" s="82">
        <v>3.7014558886250493</v>
      </c>
      <c r="V839" s="81">
        <v>1E-8</v>
      </c>
      <c r="W839" s="81">
        <v>1E-8</v>
      </c>
      <c r="X839" s="81">
        <v>1E-8</v>
      </c>
      <c r="Y839" s="81">
        <v>1E-8</v>
      </c>
      <c r="Z839" s="81">
        <v>1E-8</v>
      </c>
      <c r="AA839" s="81">
        <v>1E-8</v>
      </c>
      <c r="AB839" s="81">
        <v>1E-8</v>
      </c>
      <c r="AC839" s="81">
        <v>1E-8</v>
      </c>
      <c r="AD839" s="4"/>
    </row>
    <row r="840" spans="1:30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4"/>
      <c r="O840" s="4"/>
      <c r="P840" s="96"/>
      <c r="Q840" s="96" t="s">
        <v>280</v>
      </c>
      <c r="R840" s="107" t="s">
        <v>54</v>
      </c>
      <c r="S840" s="107" t="s">
        <v>311</v>
      </c>
      <c r="T840" s="97">
        <v>2.066450653262208</v>
      </c>
      <c r="U840" s="78">
        <v>-0.29082520372916143</v>
      </c>
      <c r="V840" s="97">
        <v>1E-8</v>
      </c>
      <c r="W840" s="97">
        <v>1E-8</v>
      </c>
      <c r="X840" s="97">
        <v>1E-8</v>
      </c>
      <c r="Y840" s="97">
        <v>1E-8</v>
      </c>
      <c r="Z840" s="97">
        <v>1E-8</v>
      </c>
      <c r="AA840" s="97">
        <v>1E-8</v>
      </c>
      <c r="AB840" s="97">
        <v>1E-8</v>
      </c>
      <c r="AC840" s="97">
        <v>1E-8</v>
      </c>
      <c r="AD840" s="4"/>
    </row>
    <row r="841" spans="1:30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4"/>
      <c r="O841" s="4"/>
      <c r="P841" s="68"/>
      <c r="Q841" s="68" t="s">
        <v>617</v>
      </c>
      <c r="R841" s="108" t="s">
        <v>54</v>
      </c>
      <c r="S841" s="108" t="s">
        <v>312</v>
      </c>
      <c r="T841" s="98">
        <v>1.1930129535880776</v>
      </c>
      <c r="U841" s="80">
        <v>-1.1577761822528121</v>
      </c>
      <c r="V841" s="98">
        <v>1E-8</v>
      </c>
      <c r="W841" s="98">
        <v>1E-8</v>
      </c>
      <c r="X841" s="98">
        <v>1E-8</v>
      </c>
      <c r="Y841" s="98">
        <v>1E-8</v>
      </c>
      <c r="Z841" s="98">
        <v>1E-8</v>
      </c>
      <c r="AA841" s="98">
        <v>1E-8</v>
      </c>
      <c r="AB841" s="98">
        <v>1E-8</v>
      </c>
      <c r="AC841" s="98">
        <v>1E-8</v>
      </c>
      <c r="AD841" s="4"/>
    </row>
    <row r="842" spans="1:30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4"/>
      <c r="O842" s="4"/>
      <c r="P842" s="68"/>
      <c r="Q842" s="68" t="s">
        <v>618</v>
      </c>
      <c r="R842" s="108" t="s">
        <v>54</v>
      </c>
      <c r="S842" s="108" t="s">
        <v>316</v>
      </c>
      <c r="T842" s="98">
        <v>0.10972621187796706</v>
      </c>
      <c r="U842" s="80">
        <v>-3.1546719503334875</v>
      </c>
      <c r="V842" s="98">
        <v>1E-8</v>
      </c>
      <c r="W842" s="98">
        <v>1E-8</v>
      </c>
      <c r="X842" s="98">
        <v>1E-8</v>
      </c>
      <c r="Y842" s="98">
        <v>1E-8</v>
      </c>
      <c r="Z842" s="98">
        <v>1E-8</v>
      </c>
      <c r="AA842" s="98">
        <v>1E-8</v>
      </c>
      <c r="AB842" s="98">
        <v>1E-8</v>
      </c>
      <c r="AC842" s="98">
        <v>1E-8</v>
      </c>
      <c r="AD842" s="4"/>
    </row>
    <row r="843" spans="1:30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4"/>
      <c r="O843" s="4"/>
      <c r="P843" s="68"/>
      <c r="Q843" s="68" t="s">
        <v>619</v>
      </c>
      <c r="R843" s="108" t="s">
        <v>54</v>
      </c>
      <c r="S843" s="108" t="s">
        <v>314</v>
      </c>
      <c r="T843" s="98">
        <v>0.10345486545530064</v>
      </c>
      <c r="U843" s="80">
        <v>3.7448177069131949</v>
      </c>
      <c r="V843" s="98">
        <v>1E-8</v>
      </c>
      <c r="W843" s="98">
        <v>1E-8</v>
      </c>
      <c r="X843" s="98">
        <v>1E-8</v>
      </c>
      <c r="Y843" s="98">
        <v>1E-8</v>
      </c>
      <c r="Z843" s="98">
        <v>1E-8</v>
      </c>
      <c r="AA843" s="98">
        <v>1E-8</v>
      </c>
      <c r="AB843" s="98">
        <v>1E-8</v>
      </c>
      <c r="AC843" s="98">
        <v>1E-8</v>
      </c>
      <c r="AD843" s="4"/>
    </row>
    <row r="844" spans="1:30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4"/>
      <c r="O844" s="4"/>
      <c r="P844" s="68"/>
      <c r="Q844" s="68" t="s">
        <v>620</v>
      </c>
      <c r="R844" s="108" t="s">
        <v>54</v>
      </c>
      <c r="S844" s="108" t="s">
        <v>317</v>
      </c>
      <c r="T844" s="98">
        <v>7.0587603480103582E-3</v>
      </c>
      <c r="U844" s="80">
        <v>0.84737531634559993</v>
      </c>
      <c r="V844" s="98">
        <v>1E-8</v>
      </c>
      <c r="W844" s="98">
        <v>1E-8</v>
      </c>
      <c r="X844" s="98">
        <v>1E-8</v>
      </c>
      <c r="Y844" s="98">
        <v>1E-8</v>
      </c>
      <c r="Z844" s="98">
        <v>1E-8</v>
      </c>
      <c r="AA844" s="98">
        <v>1E-8</v>
      </c>
      <c r="AB844" s="98">
        <v>1E-8</v>
      </c>
      <c r="AC844" s="98">
        <v>1E-8</v>
      </c>
      <c r="AD844" s="4"/>
    </row>
    <row r="845" spans="1:30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4"/>
      <c r="O845" s="4"/>
      <c r="P845" s="68"/>
      <c r="Q845" s="68" t="s">
        <v>621</v>
      </c>
      <c r="R845" s="108" t="s">
        <v>54</v>
      </c>
      <c r="S845" s="108" t="s">
        <v>313</v>
      </c>
      <c r="T845" s="98">
        <v>0.57877450438502165</v>
      </c>
      <c r="U845" s="80">
        <v>0.7507504311822677</v>
      </c>
      <c r="V845" s="98">
        <v>1E-8</v>
      </c>
      <c r="W845" s="98">
        <v>1E-8</v>
      </c>
      <c r="X845" s="98">
        <v>1E-8</v>
      </c>
      <c r="Y845" s="98">
        <v>1E-8</v>
      </c>
      <c r="Z845" s="98">
        <v>1E-8</v>
      </c>
      <c r="AA845" s="98">
        <v>1E-8</v>
      </c>
      <c r="AB845" s="98">
        <v>1E-8</v>
      </c>
      <c r="AC845" s="98">
        <v>1E-8</v>
      </c>
      <c r="AD845" s="4"/>
    </row>
    <row r="846" spans="1:30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4"/>
      <c r="O846" s="4"/>
      <c r="P846" s="68"/>
      <c r="Q846" s="68" t="s">
        <v>622</v>
      </c>
      <c r="R846" s="108" t="s">
        <v>54</v>
      </c>
      <c r="S846" s="108" t="s">
        <v>315</v>
      </c>
      <c r="T846" s="98">
        <v>4.6283341234569016E-2</v>
      </c>
      <c r="U846" s="80">
        <v>1.9825854351383621</v>
      </c>
      <c r="V846" s="98">
        <v>1E-8</v>
      </c>
      <c r="W846" s="98">
        <v>1E-8</v>
      </c>
      <c r="X846" s="98">
        <v>1E-8</v>
      </c>
      <c r="Y846" s="98">
        <v>1E-8</v>
      </c>
      <c r="Z846" s="98">
        <v>1E-8</v>
      </c>
      <c r="AA846" s="98">
        <v>1E-8</v>
      </c>
      <c r="AB846" s="98">
        <v>1E-8</v>
      </c>
      <c r="AC846" s="98">
        <v>1E-8</v>
      </c>
      <c r="AD846" s="4"/>
    </row>
    <row r="847" spans="1:30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4"/>
      <c r="O847" s="4"/>
      <c r="P847" s="68"/>
      <c r="Q847" s="68" t="s">
        <v>623</v>
      </c>
      <c r="R847" s="108" t="s">
        <v>54</v>
      </c>
      <c r="S847" s="108" t="s">
        <v>540</v>
      </c>
      <c r="T847" s="98">
        <v>1.6952120539478121E-3</v>
      </c>
      <c r="U847" s="80">
        <v>2.3281125146291881</v>
      </c>
      <c r="V847" s="98">
        <v>1E-8</v>
      </c>
      <c r="W847" s="98">
        <v>1E-8</v>
      </c>
      <c r="X847" s="98">
        <v>1E-8</v>
      </c>
      <c r="Y847" s="98">
        <v>1E-8</v>
      </c>
      <c r="Z847" s="98">
        <v>1E-8</v>
      </c>
      <c r="AA847" s="98">
        <v>1E-8</v>
      </c>
      <c r="AB847" s="98">
        <v>1E-8</v>
      </c>
      <c r="AC847" s="98">
        <v>1E-8</v>
      </c>
      <c r="AD847" s="4"/>
    </row>
    <row r="848" spans="1:30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4"/>
      <c r="O848" s="4"/>
      <c r="P848" s="68"/>
      <c r="Q848" s="68" t="s">
        <v>624</v>
      </c>
      <c r="R848" s="109" t="s">
        <v>54</v>
      </c>
      <c r="S848" s="109" t="s">
        <v>541</v>
      </c>
      <c r="T848" s="81">
        <v>2.6444804319313984E-2</v>
      </c>
      <c r="U848" s="82">
        <v>7.6685268032891107</v>
      </c>
      <c r="V848" s="81">
        <v>1E-8</v>
      </c>
      <c r="W848" s="81">
        <v>1E-8</v>
      </c>
      <c r="X848" s="81">
        <v>1E-8</v>
      </c>
      <c r="Y848" s="81">
        <v>1E-8</v>
      </c>
      <c r="Z848" s="81">
        <v>1E-8</v>
      </c>
      <c r="AA848" s="81">
        <v>1E-8</v>
      </c>
      <c r="AB848" s="81">
        <v>1E-8</v>
      </c>
      <c r="AC848" s="81">
        <v>1E-8</v>
      </c>
      <c r="AD848" s="4"/>
    </row>
    <row r="849" spans="1:30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4"/>
      <c r="O849" s="4"/>
      <c r="P849" s="96"/>
      <c r="Q849" s="96" t="s">
        <v>281</v>
      </c>
      <c r="R849" s="107" t="s">
        <v>54</v>
      </c>
      <c r="S849" s="107" t="s">
        <v>318</v>
      </c>
      <c r="T849" s="97">
        <v>1E-8</v>
      </c>
      <c r="U849" s="78">
        <v>1E-8</v>
      </c>
      <c r="V849" s="97">
        <v>1E-8</v>
      </c>
      <c r="W849" s="97">
        <v>1E-8</v>
      </c>
      <c r="X849" s="97">
        <v>1E-8</v>
      </c>
      <c r="Y849" s="97">
        <v>1E-8</v>
      </c>
      <c r="Z849" s="97">
        <v>1E-8</v>
      </c>
      <c r="AA849" s="97">
        <v>1E-8</v>
      </c>
      <c r="AB849" s="97">
        <v>1E-8</v>
      </c>
      <c r="AC849" s="97">
        <v>1E-8</v>
      </c>
      <c r="AD849" s="4"/>
    </row>
    <row r="850" spans="1:30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4"/>
      <c r="O850" s="4"/>
      <c r="P850" s="96"/>
      <c r="Q850" s="96" t="s">
        <v>135</v>
      </c>
      <c r="R850" s="107" t="s">
        <v>54</v>
      </c>
      <c r="S850" s="107" t="s">
        <v>542</v>
      </c>
      <c r="T850" s="97">
        <v>1E-8</v>
      </c>
      <c r="U850" s="78">
        <v>1E-8</v>
      </c>
      <c r="V850" s="97">
        <v>1E-8</v>
      </c>
      <c r="W850" s="97">
        <v>1E-8</v>
      </c>
      <c r="X850" s="97">
        <v>1E-8</v>
      </c>
      <c r="Y850" s="97">
        <v>1E-8</v>
      </c>
      <c r="Z850" s="97">
        <v>1E-8</v>
      </c>
      <c r="AA850" s="97">
        <v>1E-8</v>
      </c>
      <c r="AB850" s="97">
        <v>1E-8</v>
      </c>
      <c r="AC850" s="97">
        <v>1E-8</v>
      </c>
      <c r="AD850" s="4"/>
    </row>
    <row r="851" spans="1:30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4"/>
      <c r="O851" s="4"/>
      <c r="P851" s="68"/>
      <c r="Q851" s="68" t="s">
        <v>625</v>
      </c>
      <c r="R851" s="108" t="s">
        <v>54</v>
      </c>
      <c r="S851" s="108" t="s">
        <v>543</v>
      </c>
      <c r="T851" s="98">
        <v>1E-8</v>
      </c>
      <c r="U851" s="80">
        <v>1E-8</v>
      </c>
      <c r="V851" s="98">
        <v>1E-8</v>
      </c>
      <c r="W851" s="98">
        <v>1E-8</v>
      </c>
      <c r="X851" s="98">
        <v>1E-8</v>
      </c>
      <c r="Y851" s="98">
        <v>1E-8</v>
      </c>
      <c r="Z851" s="98">
        <v>1E-8</v>
      </c>
      <c r="AA851" s="98">
        <v>1E-8</v>
      </c>
      <c r="AB851" s="98">
        <v>1E-8</v>
      </c>
      <c r="AC851" s="98">
        <v>1E-8</v>
      </c>
      <c r="AD851" s="4"/>
    </row>
    <row r="852" spans="1:30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4"/>
      <c r="O852" s="4"/>
      <c r="P852" s="68"/>
      <c r="Q852" s="68" t="s">
        <v>626</v>
      </c>
      <c r="R852" s="108" t="s">
        <v>54</v>
      </c>
      <c r="S852" s="108" t="s">
        <v>544</v>
      </c>
      <c r="T852" s="98">
        <v>1E-8</v>
      </c>
      <c r="U852" s="80">
        <v>1E-8</v>
      </c>
      <c r="V852" s="98">
        <v>1E-8</v>
      </c>
      <c r="W852" s="98">
        <v>1E-8</v>
      </c>
      <c r="X852" s="98">
        <v>1E-8</v>
      </c>
      <c r="Y852" s="98">
        <v>1E-8</v>
      </c>
      <c r="Z852" s="98">
        <v>1E-8</v>
      </c>
      <c r="AA852" s="98">
        <v>1E-8</v>
      </c>
      <c r="AB852" s="98">
        <v>1E-8</v>
      </c>
      <c r="AC852" s="98">
        <v>1E-8</v>
      </c>
      <c r="AD852" s="4"/>
    </row>
    <row r="853" spans="1:30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4"/>
      <c r="O853" s="4"/>
      <c r="P853" s="68"/>
      <c r="Q853" s="68" t="s">
        <v>627</v>
      </c>
      <c r="R853" s="108" t="s">
        <v>54</v>
      </c>
      <c r="S853" s="108" t="s">
        <v>319</v>
      </c>
      <c r="T853" s="98">
        <v>1E-8</v>
      </c>
      <c r="U853" s="80">
        <v>1E-8</v>
      </c>
      <c r="V853" s="98">
        <v>1E-8</v>
      </c>
      <c r="W853" s="98">
        <v>1E-8</v>
      </c>
      <c r="X853" s="98">
        <v>1E-8</v>
      </c>
      <c r="Y853" s="98">
        <v>1E-8</v>
      </c>
      <c r="Z853" s="98">
        <v>1E-8</v>
      </c>
      <c r="AA853" s="98">
        <v>1E-8</v>
      </c>
      <c r="AB853" s="98">
        <v>1E-8</v>
      </c>
      <c r="AC853" s="98">
        <v>1E-8</v>
      </c>
      <c r="AD853" s="4"/>
    </row>
    <row r="854" spans="1:30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4"/>
      <c r="O854" s="4"/>
      <c r="P854" s="71"/>
      <c r="Q854" s="71" t="s">
        <v>628</v>
      </c>
      <c r="R854" s="110" t="s">
        <v>54</v>
      </c>
      <c r="S854" s="110" t="s">
        <v>320</v>
      </c>
      <c r="T854" s="83">
        <v>1E-8</v>
      </c>
      <c r="U854" s="84">
        <v>1E-8</v>
      </c>
      <c r="V854" s="83">
        <v>1E-8</v>
      </c>
      <c r="W854" s="83">
        <v>1E-8</v>
      </c>
      <c r="X854" s="83">
        <v>1E-8</v>
      </c>
      <c r="Y854" s="83">
        <v>1E-8</v>
      </c>
      <c r="Z854" s="83">
        <v>1E-8</v>
      </c>
      <c r="AA854" s="83">
        <v>1E-8</v>
      </c>
      <c r="AB854" s="83">
        <v>1E-8</v>
      </c>
      <c r="AC854" s="83">
        <v>1E-8</v>
      </c>
      <c r="AD854" s="4"/>
    </row>
    <row r="855" spans="1:30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4"/>
      <c r="O855" s="4"/>
      <c r="P855" s="99"/>
      <c r="Q855" s="99" t="s">
        <v>282</v>
      </c>
      <c r="R855" s="105" t="s">
        <v>54</v>
      </c>
      <c r="S855" s="105" t="s">
        <v>321</v>
      </c>
      <c r="T855" s="95">
        <v>88.482490761043437</v>
      </c>
      <c r="U855" s="74">
        <v>2.9749399019074474E-2</v>
      </c>
      <c r="V855" s="95">
        <v>1E-8</v>
      </c>
      <c r="W855" s="95">
        <v>1E-8</v>
      </c>
      <c r="X855" s="95">
        <v>1E-8</v>
      </c>
      <c r="Y855" s="95">
        <v>1E-8</v>
      </c>
      <c r="Z855" s="95">
        <v>1E-8</v>
      </c>
      <c r="AA855" s="95">
        <v>1E-8</v>
      </c>
      <c r="AB855" s="95">
        <v>1E-8</v>
      </c>
      <c r="AC855" s="95">
        <v>1E-8</v>
      </c>
      <c r="AD855" s="4"/>
    </row>
    <row r="856" spans="1:30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4"/>
      <c r="O856" s="4"/>
      <c r="P856" s="99"/>
      <c r="Q856" s="99" t="s">
        <v>283</v>
      </c>
      <c r="R856" s="105" t="s">
        <v>54</v>
      </c>
      <c r="S856" s="105" t="s">
        <v>322</v>
      </c>
      <c r="T856" s="95">
        <v>17.634182878052819</v>
      </c>
      <c r="U856" s="74">
        <v>-0.39137773314582569</v>
      </c>
      <c r="V856" s="95">
        <v>1E-8</v>
      </c>
      <c r="W856" s="95">
        <v>1E-8</v>
      </c>
      <c r="X856" s="95">
        <v>1E-8</v>
      </c>
      <c r="Y856" s="95">
        <v>1E-8</v>
      </c>
      <c r="Z856" s="95">
        <v>1E-8</v>
      </c>
      <c r="AA856" s="95">
        <v>1E-8</v>
      </c>
      <c r="AB856" s="95">
        <v>1E-8</v>
      </c>
      <c r="AC856" s="95">
        <v>1E-8</v>
      </c>
      <c r="AD856" s="4"/>
    </row>
    <row r="857" spans="1:30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4"/>
      <c r="O857" s="4"/>
      <c r="P857" s="96"/>
      <c r="Q857" s="96" t="s">
        <v>284</v>
      </c>
      <c r="R857" s="107" t="s">
        <v>54</v>
      </c>
      <c r="S857" s="107" t="s">
        <v>323</v>
      </c>
      <c r="T857" s="97">
        <v>1E-8</v>
      </c>
      <c r="U857" s="78">
        <v>1E-8</v>
      </c>
      <c r="V857" s="97">
        <v>1E-8</v>
      </c>
      <c r="W857" s="97">
        <v>1E-8</v>
      </c>
      <c r="X857" s="97">
        <v>1E-8</v>
      </c>
      <c r="Y857" s="97">
        <v>1E-8</v>
      </c>
      <c r="Z857" s="97">
        <v>1E-8</v>
      </c>
      <c r="AA857" s="97">
        <v>1E-8</v>
      </c>
      <c r="AB857" s="97">
        <v>1E-8</v>
      </c>
      <c r="AC857" s="97">
        <v>1E-8</v>
      </c>
      <c r="AD857" s="4"/>
    </row>
    <row r="858" spans="1:30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4"/>
      <c r="O858" s="4"/>
      <c r="P858" s="68"/>
      <c r="Q858" s="68" t="s">
        <v>629</v>
      </c>
      <c r="R858" s="108" t="s">
        <v>54</v>
      </c>
      <c r="S858" s="108" t="s">
        <v>324</v>
      </c>
      <c r="T858" s="98">
        <v>1E-8</v>
      </c>
      <c r="U858" s="80">
        <v>1E-8</v>
      </c>
      <c r="V858" s="98">
        <v>1E-8</v>
      </c>
      <c r="W858" s="98">
        <v>1E-8</v>
      </c>
      <c r="X858" s="98">
        <v>1E-8</v>
      </c>
      <c r="Y858" s="98">
        <v>1E-8</v>
      </c>
      <c r="Z858" s="98">
        <v>1E-8</v>
      </c>
      <c r="AA858" s="98">
        <v>1E-8</v>
      </c>
      <c r="AB858" s="98">
        <v>1E-8</v>
      </c>
      <c r="AC858" s="98">
        <v>1E-8</v>
      </c>
      <c r="AD858" s="4"/>
    </row>
    <row r="859" spans="1:30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4"/>
      <c r="O859" s="4"/>
      <c r="P859" s="68"/>
      <c r="Q859" s="68" t="s">
        <v>630</v>
      </c>
      <c r="R859" s="108" t="s">
        <v>54</v>
      </c>
      <c r="S859" s="108" t="s">
        <v>545</v>
      </c>
      <c r="T859" s="98">
        <v>1E-8</v>
      </c>
      <c r="U859" s="80">
        <v>1E-8</v>
      </c>
      <c r="V859" s="98">
        <v>1E-8</v>
      </c>
      <c r="W859" s="98">
        <v>1E-8</v>
      </c>
      <c r="X859" s="98">
        <v>1E-8</v>
      </c>
      <c r="Y859" s="98">
        <v>1E-8</v>
      </c>
      <c r="Z859" s="98">
        <v>1E-8</v>
      </c>
      <c r="AA859" s="98">
        <v>1E-8</v>
      </c>
      <c r="AB859" s="98">
        <v>1E-8</v>
      </c>
      <c r="AC859" s="98">
        <v>1E-8</v>
      </c>
      <c r="AD859" s="4"/>
    </row>
    <row r="860" spans="1:30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4"/>
      <c r="O860" s="4"/>
      <c r="P860" s="68"/>
      <c r="Q860" s="68" t="s">
        <v>631</v>
      </c>
      <c r="R860" s="109" t="s">
        <v>54</v>
      </c>
      <c r="S860" s="109" t="s">
        <v>325</v>
      </c>
      <c r="T860" s="81">
        <v>1E-8</v>
      </c>
      <c r="U860" s="82">
        <v>1E-8</v>
      </c>
      <c r="V860" s="81">
        <v>1E-8</v>
      </c>
      <c r="W860" s="81">
        <v>1E-8</v>
      </c>
      <c r="X860" s="81">
        <v>1E-8</v>
      </c>
      <c r="Y860" s="81">
        <v>1E-8</v>
      </c>
      <c r="Z860" s="81">
        <v>1E-8</v>
      </c>
      <c r="AA860" s="81">
        <v>1E-8</v>
      </c>
      <c r="AB860" s="81">
        <v>1E-8</v>
      </c>
      <c r="AC860" s="81">
        <v>1E-8</v>
      </c>
      <c r="AD860" s="4"/>
    </row>
    <row r="861" spans="1:30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4"/>
      <c r="O861" s="4"/>
      <c r="P861" s="96"/>
      <c r="Q861" s="96" t="s">
        <v>285</v>
      </c>
      <c r="R861" s="107" t="s">
        <v>54</v>
      </c>
      <c r="S861" s="107" t="s">
        <v>326</v>
      </c>
      <c r="T861" s="97">
        <v>10.555417931817392</v>
      </c>
      <c r="U861" s="78">
        <v>1.1402563126966969</v>
      </c>
      <c r="V861" s="97">
        <v>1E-8</v>
      </c>
      <c r="W861" s="97">
        <v>1E-8</v>
      </c>
      <c r="X861" s="97">
        <v>1E-8</v>
      </c>
      <c r="Y861" s="97">
        <v>1E-8</v>
      </c>
      <c r="Z861" s="97">
        <v>1E-8</v>
      </c>
      <c r="AA861" s="97">
        <v>1E-8</v>
      </c>
      <c r="AB861" s="97">
        <v>1E-8</v>
      </c>
      <c r="AC861" s="97">
        <v>1E-8</v>
      </c>
      <c r="AD861" s="4"/>
    </row>
    <row r="862" spans="1:30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4"/>
      <c r="O862" s="4"/>
      <c r="P862" s="68"/>
      <c r="Q862" s="68" t="s">
        <v>364</v>
      </c>
      <c r="R862" s="108" t="s">
        <v>54</v>
      </c>
      <c r="S862" s="108" t="s">
        <v>327</v>
      </c>
      <c r="T862" s="98">
        <v>2.2858783073702407</v>
      </c>
      <c r="U862" s="80">
        <v>3.3899399746307735</v>
      </c>
      <c r="V862" s="98">
        <v>1E-8</v>
      </c>
      <c r="W862" s="98">
        <v>1E-8</v>
      </c>
      <c r="X862" s="98">
        <v>1E-8</v>
      </c>
      <c r="Y862" s="98">
        <v>1E-8</v>
      </c>
      <c r="Z862" s="98">
        <v>1E-8</v>
      </c>
      <c r="AA862" s="98">
        <v>1E-8</v>
      </c>
      <c r="AB862" s="98">
        <v>1E-8</v>
      </c>
      <c r="AC862" s="98">
        <v>1E-8</v>
      </c>
      <c r="AD862" s="4"/>
    </row>
    <row r="863" spans="1:30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4"/>
      <c r="O863" s="4"/>
      <c r="P863" s="100"/>
      <c r="Q863" s="100" t="s">
        <v>632</v>
      </c>
      <c r="R863" s="111" t="s">
        <v>54</v>
      </c>
      <c r="S863" s="111" t="s">
        <v>328</v>
      </c>
      <c r="T863" s="101">
        <v>0.34124754619492326</v>
      </c>
      <c r="U863" s="86">
        <v>0.92755612304320501</v>
      </c>
      <c r="V863" s="101">
        <v>1E-8</v>
      </c>
      <c r="W863" s="101">
        <v>1E-8</v>
      </c>
      <c r="X863" s="101">
        <v>1E-8</v>
      </c>
      <c r="Y863" s="101">
        <v>1E-8</v>
      </c>
      <c r="Z863" s="101">
        <v>1E-8</v>
      </c>
      <c r="AA863" s="101">
        <v>1E-8</v>
      </c>
      <c r="AB863" s="101">
        <v>1E-8</v>
      </c>
      <c r="AC863" s="101">
        <v>1E-8</v>
      </c>
      <c r="AD863" s="4"/>
    </row>
    <row r="864" spans="1:30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4"/>
      <c r="O864" s="4"/>
      <c r="P864" s="100"/>
      <c r="Q864" s="100" t="s">
        <v>633</v>
      </c>
      <c r="R864" s="111" t="s">
        <v>54</v>
      </c>
      <c r="S864" s="111" t="s">
        <v>329</v>
      </c>
      <c r="T864" s="101">
        <v>1E-8</v>
      </c>
      <c r="U864" s="86">
        <v>1E-8</v>
      </c>
      <c r="V864" s="101">
        <v>1E-8</v>
      </c>
      <c r="W864" s="101">
        <v>1E-8</v>
      </c>
      <c r="X864" s="101">
        <v>1E-8</v>
      </c>
      <c r="Y864" s="101">
        <v>1E-8</v>
      </c>
      <c r="Z864" s="101">
        <v>1E-8</v>
      </c>
      <c r="AA864" s="101">
        <v>1E-8</v>
      </c>
      <c r="AB864" s="101">
        <v>1E-8</v>
      </c>
      <c r="AC864" s="101">
        <v>1E-8</v>
      </c>
      <c r="AD864" s="4"/>
    </row>
    <row r="865" spans="1:30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4"/>
      <c r="O865" s="4"/>
      <c r="P865" s="100"/>
      <c r="Q865" s="100" t="s">
        <v>634</v>
      </c>
      <c r="R865" s="111" t="s">
        <v>54</v>
      </c>
      <c r="S865" s="111" t="s">
        <v>331</v>
      </c>
      <c r="T865" s="101">
        <v>6.0760236772751872E-2</v>
      </c>
      <c r="U865" s="86">
        <v>2.5230076057136896</v>
      </c>
      <c r="V865" s="101">
        <v>1E-8</v>
      </c>
      <c r="W865" s="101">
        <v>1E-8</v>
      </c>
      <c r="X865" s="101">
        <v>1E-8</v>
      </c>
      <c r="Y865" s="101">
        <v>1E-8</v>
      </c>
      <c r="Z865" s="101">
        <v>1E-8</v>
      </c>
      <c r="AA865" s="101">
        <v>1E-8</v>
      </c>
      <c r="AB865" s="101">
        <v>1E-8</v>
      </c>
      <c r="AC865" s="101">
        <v>1E-8</v>
      </c>
      <c r="AD865" s="4"/>
    </row>
    <row r="866" spans="1:30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4"/>
      <c r="O866" s="4"/>
      <c r="P866" s="100"/>
      <c r="Q866" s="100" t="s">
        <v>635</v>
      </c>
      <c r="R866" s="111" t="s">
        <v>54</v>
      </c>
      <c r="S866" s="111" t="s">
        <v>332</v>
      </c>
      <c r="T866" s="101">
        <v>5.9198048290764908E-2</v>
      </c>
      <c r="U866" s="86">
        <v>10.881829406561838</v>
      </c>
      <c r="V866" s="101">
        <v>1E-8</v>
      </c>
      <c r="W866" s="101">
        <v>1E-8</v>
      </c>
      <c r="X866" s="101">
        <v>1E-8</v>
      </c>
      <c r="Y866" s="101">
        <v>1E-8</v>
      </c>
      <c r="Z866" s="101">
        <v>1E-8</v>
      </c>
      <c r="AA866" s="101">
        <v>1E-8</v>
      </c>
      <c r="AB866" s="101">
        <v>1E-8</v>
      </c>
      <c r="AC866" s="101">
        <v>1E-8</v>
      </c>
      <c r="AD866" s="4"/>
    </row>
    <row r="867" spans="1:30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4"/>
      <c r="O867" s="4"/>
      <c r="P867" s="100"/>
      <c r="Q867" s="100" t="s">
        <v>636</v>
      </c>
      <c r="R867" s="111" t="s">
        <v>54</v>
      </c>
      <c r="S867" s="111" t="s">
        <v>330</v>
      </c>
      <c r="T867" s="101">
        <v>7.9998946947352198E-2</v>
      </c>
      <c r="U867" s="86">
        <v>2.3016711133056811</v>
      </c>
      <c r="V867" s="101">
        <v>1E-8</v>
      </c>
      <c r="W867" s="101">
        <v>1E-8</v>
      </c>
      <c r="X867" s="101">
        <v>1E-8</v>
      </c>
      <c r="Y867" s="101">
        <v>1E-8</v>
      </c>
      <c r="Z867" s="101">
        <v>1E-8</v>
      </c>
      <c r="AA867" s="101">
        <v>1E-8</v>
      </c>
      <c r="AB867" s="101">
        <v>1E-8</v>
      </c>
      <c r="AC867" s="101">
        <v>1E-8</v>
      </c>
      <c r="AD867" s="4"/>
    </row>
    <row r="868" spans="1:30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4"/>
      <c r="O868" s="4"/>
      <c r="P868" s="100"/>
      <c r="Q868" s="100" t="s">
        <v>637</v>
      </c>
      <c r="R868" s="111" t="s">
        <v>54</v>
      </c>
      <c r="S868" s="111" t="s">
        <v>333</v>
      </c>
      <c r="T868" s="101">
        <v>0.99817507699931785</v>
      </c>
      <c r="U868" s="86">
        <v>2.2649918772181588</v>
      </c>
      <c r="V868" s="101">
        <v>1E-8</v>
      </c>
      <c r="W868" s="101">
        <v>1E-8</v>
      </c>
      <c r="X868" s="101">
        <v>1E-8</v>
      </c>
      <c r="Y868" s="101">
        <v>1E-8</v>
      </c>
      <c r="Z868" s="101">
        <v>1E-8</v>
      </c>
      <c r="AA868" s="101">
        <v>1E-8</v>
      </c>
      <c r="AB868" s="101">
        <v>1E-8</v>
      </c>
      <c r="AC868" s="101">
        <v>1E-8</v>
      </c>
      <c r="AD868" s="4"/>
    </row>
    <row r="869" spans="1:30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4"/>
      <c r="O869" s="4"/>
      <c r="P869" s="100"/>
      <c r="Q869" s="100" t="s">
        <v>638</v>
      </c>
      <c r="R869" s="111" t="s">
        <v>54</v>
      </c>
      <c r="S869" s="111" t="s">
        <v>546</v>
      </c>
      <c r="T869" s="101">
        <v>0.27604611486621922</v>
      </c>
      <c r="U869" s="86">
        <v>0.41339772796664676</v>
      </c>
      <c r="V869" s="101">
        <v>1E-8</v>
      </c>
      <c r="W869" s="101">
        <v>1E-8</v>
      </c>
      <c r="X869" s="101">
        <v>1E-8</v>
      </c>
      <c r="Y869" s="101">
        <v>1E-8</v>
      </c>
      <c r="Z869" s="101">
        <v>1E-8</v>
      </c>
      <c r="AA869" s="101">
        <v>1E-8</v>
      </c>
      <c r="AB869" s="101">
        <v>1E-8</v>
      </c>
      <c r="AC869" s="101">
        <v>1E-8</v>
      </c>
      <c r="AD869" s="4"/>
    </row>
    <row r="870" spans="1:30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4"/>
      <c r="O870" s="4"/>
      <c r="P870" s="100"/>
      <c r="Q870" s="100" t="s">
        <v>639</v>
      </c>
      <c r="R870" s="111" t="s">
        <v>54</v>
      </c>
      <c r="S870" s="111" t="s">
        <v>335</v>
      </c>
      <c r="T870" s="101">
        <v>4.0955571158421369E-2</v>
      </c>
      <c r="U870" s="86">
        <v>-3.381813419739288</v>
      </c>
      <c r="V870" s="101">
        <v>1E-8</v>
      </c>
      <c r="W870" s="101">
        <v>1E-8</v>
      </c>
      <c r="X870" s="101">
        <v>1E-8</v>
      </c>
      <c r="Y870" s="101">
        <v>1E-8</v>
      </c>
      <c r="Z870" s="101">
        <v>1E-8</v>
      </c>
      <c r="AA870" s="101">
        <v>1E-8</v>
      </c>
      <c r="AB870" s="101">
        <v>1E-8</v>
      </c>
      <c r="AC870" s="101">
        <v>1E-8</v>
      </c>
      <c r="AD870" s="4"/>
    </row>
    <row r="871" spans="1:30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4"/>
      <c r="O871" s="4"/>
      <c r="P871" s="100"/>
      <c r="Q871" s="100" t="s">
        <v>640</v>
      </c>
      <c r="R871" s="111" t="s">
        <v>54</v>
      </c>
      <c r="S871" s="111" t="s">
        <v>334</v>
      </c>
      <c r="T871" s="101">
        <v>0.42949676614048971</v>
      </c>
      <c r="U871" s="86">
        <v>9.8123671401399104</v>
      </c>
      <c r="V871" s="101">
        <v>1E-8</v>
      </c>
      <c r="W871" s="101">
        <v>1E-8</v>
      </c>
      <c r="X871" s="101">
        <v>1E-8</v>
      </c>
      <c r="Y871" s="101">
        <v>1E-8</v>
      </c>
      <c r="Z871" s="101">
        <v>1E-8</v>
      </c>
      <c r="AA871" s="101">
        <v>1E-8</v>
      </c>
      <c r="AB871" s="101">
        <v>1E-8</v>
      </c>
      <c r="AC871" s="101">
        <v>1E-8</v>
      </c>
      <c r="AD871" s="4"/>
    </row>
    <row r="872" spans="1:30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4"/>
      <c r="O872" s="4"/>
      <c r="P872" s="68"/>
      <c r="Q872" s="68" t="s">
        <v>365</v>
      </c>
      <c r="R872" s="108" t="s">
        <v>54</v>
      </c>
      <c r="S872" s="108" t="s">
        <v>374</v>
      </c>
      <c r="T872" s="98">
        <v>6.2287000328892574</v>
      </c>
      <c r="U872" s="80">
        <v>-1.07603940367057</v>
      </c>
      <c r="V872" s="98">
        <v>1E-8</v>
      </c>
      <c r="W872" s="98">
        <v>1E-8</v>
      </c>
      <c r="X872" s="98">
        <v>1E-8</v>
      </c>
      <c r="Y872" s="98">
        <v>1E-8</v>
      </c>
      <c r="Z872" s="98">
        <v>1E-8</v>
      </c>
      <c r="AA872" s="98">
        <v>1E-8</v>
      </c>
      <c r="AB872" s="98">
        <v>1E-8</v>
      </c>
      <c r="AC872" s="98">
        <v>1E-8</v>
      </c>
      <c r="AD872" s="4"/>
    </row>
    <row r="873" spans="1:30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4"/>
      <c r="O873" s="4"/>
      <c r="P873" s="100"/>
      <c r="Q873" s="100" t="s">
        <v>641</v>
      </c>
      <c r="R873" s="111" t="s">
        <v>54</v>
      </c>
      <c r="S873" s="111" t="s">
        <v>547</v>
      </c>
      <c r="T873" s="101">
        <v>5.1704482234208413</v>
      </c>
      <c r="U873" s="86">
        <v>-1.6784267087651794</v>
      </c>
      <c r="V873" s="101">
        <v>1E-8</v>
      </c>
      <c r="W873" s="101">
        <v>1E-8</v>
      </c>
      <c r="X873" s="101">
        <v>1E-8</v>
      </c>
      <c r="Y873" s="101">
        <v>1E-8</v>
      </c>
      <c r="Z873" s="101">
        <v>1E-8</v>
      </c>
      <c r="AA873" s="101">
        <v>1E-8</v>
      </c>
      <c r="AB873" s="101">
        <v>1E-8</v>
      </c>
      <c r="AC873" s="101">
        <v>1E-8</v>
      </c>
      <c r="AD873" s="4"/>
    </row>
    <row r="874" spans="1:30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4"/>
      <c r="O874" s="4"/>
      <c r="P874" s="100"/>
      <c r="Q874" s="100" t="s">
        <v>642</v>
      </c>
      <c r="R874" s="111" t="s">
        <v>54</v>
      </c>
      <c r="S874" s="111" t="s">
        <v>336</v>
      </c>
      <c r="T874" s="101">
        <v>1.0151360045282445</v>
      </c>
      <c r="U874" s="86">
        <v>1.9998775273589731</v>
      </c>
      <c r="V874" s="101">
        <v>1E-8</v>
      </c>
      <c r="W874" s="101">
        <v>1E-8</v>
      </c>
      <c r="X874" s="101">
        <v>1E-8</v>
      </c>
      <c r="Y874" s="101">
        <v>1E-8</v>
      </c>
      <c r="Z874" s="101">
        <v>1E-8</v>
      </c>
      <c r="AA874" s="101">
        <v>1E-8</v>
      </c>
      <c r="AB874" s="101">
        <v>1E-8</v>
      </c>
      <c r="AC874" s="101">
        <v>1E-8</v>
      </c>
      <c r="AD874" s="4"/>
    </row>
    <row r="875" spans="1:30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4"/>
      <c r="O875" s="4"/>
      <c r="P875" s="100"/>
      <c r="Q875" s="100" t="s">
        <v>643</v>
      </c>
      <c r="R875" s="112" t="s">
        <v>54</v>
      </c>
      <c r="S875" s="112" t="s">
        <v>337</v>
      </c>
      <c r="T875" s="87">
        <v>4.3115804940172017E-2</v>
      </c>
      <c r="U875" s="88">
        <v>-1.2583774627479838</v>
      </c>
      <c r="V875" s="87">
        <v>1E-8</v>
      </c>
      <c r="W875" s="87">
        <v>1E-8</v>
      </c>
      <c r="X875" s="87">
        <v>1E-8</v>
      </c>
      <c r="Y875" s="87">
        <v>1E-8</v>
      </c>
      <c r="Z875" s="87">
        <v>1E-8</v>
      </c>
      <c r="AA875" s="87">
        <v>1E-8</v>
      </c>
      <c r="AB875" s="87">
        <v>1E-8</v>
      </c>
      <c r="AC875" s="87">
        <v>1E-8</v>
      </c>
      <c r="AD875" s="4"/>
    </row>
    <row r="876" spans="1:30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4"/>
      <c r="O876" s="4"/>
      <c r="P876" s="68"/>
      <c r="Q876" s="68" t="s">
        <v>644</v>
      </c>
      <c r="R876" s="108" t="s">
        <v>54</v>
      </c>
      <c r="S876" s="108" t="s">
        <v>338</v>
      </c>
      <c r="T876" s="98">
        <v>0.87753422087501809</v>
      </c>
      <c r="U876" s="80">
        <v>4.2613381139501749</v>
      </c>
      <c r="V876" s="98">
        <v>1E-8</v>
      </c>
      <c r="W876" s="98">
        <v>1E-8</v>
      </c>
      <c r="X876" s="98">
        <v>1E-8</v>
      </c>
      <c r="Y876" s="98">
        <v>1E-8</v>
      </c>
      <c r="Z876" s="98">
        <v>1E-8</v>
      </c>
      <c r="AA876" s="98">
        <v>1E-8</v>
      </c>
      <c r="AB876" s="98">
        <v>1E-8</v>
      </c>
      <c r="AC876" s="98">
        <v>1E-8</v>
      </c>
      <c r="AD876" s="4"/>
    </row>
    <row r="877" spans="1:30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4"/>
      <c r="O877" s="4"/>
      <c r="P877" s="68"/>
      <c r="Q877" s="68" t="s">
        <v>366</v>
      </c>
      <c r="R877" s="108" t="s">
        <v>54</v>
      </c>
      <c r="S877" s="108" t="s">
        <v>339</v>
      </c>
      <c r="T877" s="98">
        <v>0.223125480941124</v>
      </c>
      <c r="U877" s="80">
        <v>7.6276476081452271</v>
      </c>
      <c r="V877" s="98">
        <v>1E-8</v>
      </c>
      <c r="W877" s="98">
        <v>1E-8</v>
      </c>
      <c r="X877" s="98">
        <v>1E-8</v>
      </c>
      <c r="Y877" s="98">
        <v>1E-8</v>
      </c>
      <c r="Z877" s="98">
        <v>1E-8</v>
      </c>
      <c r="AA877" s="98">
        <v>1E-8</v>
      </c>
      <c r="AB877" s="98">
        <v>1E-8</v>
      </c>
      <c r="AC877" s="98">
        <v>1E-8</v>
      </c>
      <c r="AD877" s="4"/>
    </row>
    <row r="878" spans="1:30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4"/>
      <c r="O878" s="4"/>
      <c r="P878" s="100"/>
      <c r="Q878" s="100" t="s">
        <v>645</v>
      </c>
      <c r="R878" s="111" t="s">
        <v>54</v>
      </c>
      <c r="S878" s="111" t="s">
        <v>340</v>
      </c>
      <c r="T878" s="101">
        <v>0.223125480941124</v>
      </c>
      <c r="U878" s="86">
        <v>7.6276476081452271</v>
      </c>
      <c r="V878" s="101">
        <v>1E-8</v>
      </c>
      <c r="W878" s="101">
        <v>1E-8</v>
      </c>
      <c r="X878" s="101">
        <v>1E-8</v>
      </c>
      <c r="Y878" s="101">
        <v>1E-8</v>
      </c>
      <c r="Z878" s="101">
        <v>1E-8</v>
      </c>
      <c r="AA878" s="101">
        <v>1E-8</v>
      </c>
      <c r="AB878" s="101">
        <v>1E-8</v>
      </c>
      <c r="AC878" s="101">
        <v>1E-8</v>
      </c>
      <c r="AD878" s="4"/>
    </row>
    <row r="879" spans="1:30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4"/>
      <c r="O879" s="4"/>
      <c r="P879" s="100"/>
      <c r="Q879" s="100" t="s">
        <v>646</v>
      </c>
      <c r="R879" s="111" t="s">
        <v>54</v>
      </c>
      <c r="S879" s="111" t="s">
        <v>548</v>
      </c>
      <c r="T879" s="101">
        <v>1E-8</v>
      </c>
      <c r="U879" s="86">
        <v>1E-8</v>
      </c>
      <c r="V879" s="101">
        <v>1E-8</v>
      </c>
      <c r="W879" s="101">
        <v>1E-8</v>
      </c>
      <c r="X879" s="101">
        <v>1E-8</v>
      </c>
      <c r="Y879" s="101">
        <v>1E-8</v>
      </c>
      <c r="Z879" s="101">
        <v>1E-8</v>
      </c>
      <c r="AA879" s="101">
        <v>1E-8</v>
      </c>
      <c r="AB879" s="101">
        <v>1E-8</v>
      </c>
      <c r="AC879" s="101">
        <v>1E-8</v>
      </c>
      <c r="AD879" s="4"/>
    </row>
    <row r="880" spans="1:30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4"/>
      <c r="O880" s="4"/>
      <c r="P880" s="68"/>
      <c r="Q880" s="68" t="s">
        <v>367</v>
      </c>
      <c r="R880" s="108" t="s">
        <v>54</v>
      </c>
      <c r="S880" s="108" t="s">
        <v>341</v>
      </c>
      <c r="T880" s="98">
        <v>1E-8</v>
      </c>
      <c r="U880" s="80">
        <v>1E-8</v>
      </c>
      <c r="V880" s="98">
        <v>1E-8</v>
      </c>
      <c r="W880" s="98">
        <v>1E-8</v>
      </c>
      <c r="X880" s="98">
        <v>1E-8</v>
      </c>
      <c r="Y880" s="98">
        <v>1E-8</v>
      </c>
      <c r="Z880" s="98">
        <v>1E-8</v>
      </c>
      <c r="AA880" s="98">
        <v>1E-8</v>
      </c>
      <c r="AB880" s="98">
        <v>1E-8</v>
      </c>
      <c r="AC880" s="98">
        <v>1E-8</v>
      </c>
      <c r="AD880" s="4"/>
    </row>
    <row r="881" spans="1:30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4"/>
      <c r="O881" s="4"/>
      <c r="P881" s="100"/>
      <c r="Q881" s="100" t="s">
        <v>647</v>
      </c>
      <c r="R881" s="111" t="s">
        <v>54</v>
      </c>
      <c r="S881" s="111" t="s">
        <v>342</v>
      </c>
      <c r="T881" s="101">
        <v>1E-8</v>
      </c>
      <c r="U881" s="86">
        <v>1E-8</v>
      </c>
      <c r="V881" s="101">
        <v>1E-8</v>
      </c>
      <c r="W881" s="101">
        <v>1E-8</v>
      </c>
      <c r="X881" s="101">
        <v>1E-8</v>
      </c>
      <c r="Y881" s="101">
        <v>1E-8</v>
      </c>
      <c r="Z881" s="101">
        <v>1E-8</v>
      </c>
      <c r="AA881" s="101">
        <v>1E-8</v>
      </c>
      <c r="AB881" s="101">
        <v>1E-8</v>
      </c>
      <c r="AC881" s="101">
        <v>1E-8</v>
      </c>
      <c r="AD881" s="4"/>
    </row>
    <row r="882" spans="1:30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4"/>
      <c r="O882" s="4"/>
      <c r="P882" s="100"/>
      <c r="Q882" s="100" t="s">
        <v>648</v>
      </c>
      <c r="R882" s="111" t="s">
        <v>54</v>
      </c>
      <c r="S882" s="111" t="s">
        <v>343</v>
      </c>
      <c r="T882" s="101">
        <v>1E-8</v>
      </c>
      <c r="U882" s="86">
        <v>1E-8</v>
      </c>
      <c r="V882" s="101">
        <v>1E-8</v>
      </c>
      <c r="W882" s="101">
        <v>1E-8</v>
      </c>
      <c r="X882" s="101">
        <v>1E-8</v>
      </c>
      <c r="Y882" s="101">
        <v>1E-8</v>
      </c>
      <c r="Z882" s="101">
        <v>1E-8</v>
      </c>
      <c r="AA882" s="101">
        <v>1E-8</v>
      </c>
      <c r="AB882" s="101">
        <v>1E-8</v>
      </c>
      <c r="AC882" s="101">
        <v>1E-8</v>
      </c>
      <c r="AD882" s="4"/>
    </row>
    <row r="883" spans="1:30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4"/>
      <c r="O883" s="4"/>
      <c r="P883" s="100"/>
      <c r="Q883" s="100" t="s">
        <v>649</v>
      </c>
      <c r="R883" s="111" t="s">
        <v>54</v>
      </c>
      <c r="S883" s="111" t="s">
        <v>549</v>
      </c>
      <c r="T883" s="101">
        <v>1E-8</v>
      </c>
      <c r="U883" s="86">
        <v>1E-8</v>
      </c>
      <c r="V883" s="101">
        <v>1E-8</v>
      </c>
      <c r="W883" s="101">
        <v>1E-8</v>
      </c>
      <c r="X883" s="101">
        <v>1E-8</v>
      </c>
      <c r="Y883" s="101">
        <v>1E-8</v>
      </c>
      <c r="Z883" s="101">
        <v>1E-8</v>
      </c>
      <c r="AA883" s="101">
        <v>1E-8</v>
      </c>
      <c r="AB883" s="101">
        <v>1E-8</v>
      </c>
      <c r="AC883" s="101">
        <v>1E-8</v>
      </c>
      <c r="AD883" s="4"/>
    </row>
    <row r="884" spans="1:30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4"/>
      <c r="O884" s="4"/>
      <c r="P884" s="100"/>
      <c r="Q884" s="100" t="s">
        <v>650</v>
      </c>
      <c r="R884" s="111" t="s">
        <v>54</v>
      </c>
      <c r="S884" s="111" t="s">
        <v>550</v>
      </c>
      <c r="T884" s="101">
        <v>1E-8</v>
      </c>
      <c r="U884" s="86">
        <v>1E-8</v>
      </c>
      <c r="V884" s="101">
        <v>1E-8</v>
      </c>
      <c r="W884" s="101">
        <v>1E-8</v>
      </c>
      <c r="X884" s="101">
        <v>1E-8</v>
      </c>
      <c r="Y884" s="101">
        <v>1E-8</v>
      </c>
      <c r="Z884" s="101">
        <v>1E-8</v>
      </c>
      <c r="AA884" s="101">
        <v>1E-8</v>
      </c>
      <c r="AB884" s="101">
        <v>1E-8</v>
      </c>
      <c r="AC884" s="101">
        <v>1E-8</v>
      </c>
      <c r="AD884" s="4"/>
    </row>
    <row r="885" spans="1:30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4"/>
      <c r="O885" s="4"/>
      <c r="P885" s="68"/>
      <c r="Q885" s="68" t="s">
        <v>172</v>
      </c>
      <c r="R885" s="108" t="s">
        <v>54</v>
      </c>
      <c r="S885" s="108" t="s">
        <v>551</v>
      </c>
      <c r="T885" s="98">
        <v>1E-8</v>
      </c>
      <c r="U885" s="80">
        <v>1E-8</v>
      </c>
      <c r="V885" s="98">
        <v>1E-8</v>
      </c>
      <c r="W885" s="98">
        <v>1E-8</v>
      </c>
      <c r="X885" s="98">
        <v>1E-8</v>
      </c>
      <c r="Y885" s="98">
        <v>1E-8</v>
      </c>
      <c r="Z885" s="98">
        <v>1E-8</v>
      </c>
      <c r="AA885" s="98">
        <v>1E-8</v>
      </c>
      <c r="AB885" s="98">
        <v>1E-8</v>
      </c>
      <c r="AC885" s="98">
        <v>1E-8</v>
      </c>
      <c r="AD885" s="4"/>
    </row>
    <row r="886" spans="1:30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4"/>
      <c r="O886" s="4"/>
      <c r="P886" s="100"/>
      <c r="Q886" s="100" t="s">
        <v>651</v>
      </c>
      <c r="R886" s="111" t="s">
        <v>54</v>
      </c>
      <c r="S886" s="111" t="s">
        <v>344</v>
      </c>
      <c r="T886" s="101">
        <v>1E-8</v>
      </c>
      <c r="U886" s="86">
        <v>1E-8</v>
      </c>
      <c r="V886" s="101">
        <v>1E-8</v>
      </c>
      <c r="W886" s="101">
        <v>1E-8</v>
      </c>
      <c r="X886" s="101">
        <v>1E-8</v>
      </c>
      <c r="Y886" s="101">
        <v>1E-8</v>
      </c>
      <c r="Z886" s="101">
        <v>1E-8</v>
      </c>
      <c r="AA886" s="101">
        <v>1E-8</v>
      </c>
      <c r="AB886" s="101">
        <v>1E-8</v>
      </c>
      <c r="AC886" s="101">
        <v>1E-8</v>
      </c>
      <c r="AD886" s="4"/>
    </row>
    <row r="887" spans="1:30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4"/>
      <c r="O887" s="4"/>
      <c r="P887" s="100"/>
      <c r="Q887" s="100" t="s">
        <v>652</v>
      </c>
      <c r="R887" s="111" t="s">
        <v>54</v>
      </c>
      <c r="S887" s="111" t="s">
        <v>552</v>
      </c>
      <c r="T887" s="101">
        <v>1E-8</v>
      </c>
      <c r="U887" s="86">
        <v>1E-8</v>
      </c>
      <c r="V887" s="101">
        <v>1E-8</v>
      </c>
      <c r="W887" s="101">
        <v>1E-8</v>
      </c>
      <c r="X887" s="101">
        <v>1E-8</v>
      </c>
      <c r="Y887" s="101">
        <v>1E-8</v>
      </c>
      <c r="Z887" s="101">
        <v>1E-8</v>
      </c>
      <c r="AA887" s="101">
        <v>1E-8</v>
      </c>
      <c r="AB887" s="101">
        <v>1E-8</v>
      </c>
      <c r="AC887" s="101">
        <v>1E-8</v>
      </c>
      <c r="AD887" s="4"/>
    </row>
    <row r="888" spans="1:30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4"/>
      <c r="O888" s="4"/>
      <c r="P888" s="100"/>
      <c r="Q888" s="100" t="s">
        <v>653</v>
      </c>
      <c r="R888" s="111" t="s">
        <v>54</v>
      </c>
      <c r="S888" s="111" t="s">
        <v>553</v>
      </c>
      <c r="T888" s="101">
        <v>1E-8</v>
      </c>
      <c r="U888" s="86">
        <v>1E-8</v>
      </c>
      <c r="V888" s="101">
        <v>1E-8</v>
      </c>
      <c r="W888" s="101">
        <v>1E-8</v>
      </c>
      <c r="X888" s="101">
        <v>1E-8</v>
      </c>
      <c r="Y888" s="101">
        <v>1E-8</v>
      </c>
      <c r="Z888" s="101">
        <v>1E-8</v>
      </c>
      <c r="AA888" s="101">
        <v>1E-8</v>
      </c>
      <c r="AB888" s="101">
        <v>1E-8</v>
      </c>
      <c r="AC888" s="101">
        <v>1E-8</v>
      </c>
      <c r="AD888" s="4"/>
    </row>
    <row r="889" spans="1:30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4"/>
      <c r="O889" s="4"/>
      <c r="P889" s="68"/>
      <c r="Q889" s="68" t="s">
        <v>368</v>
      </c>
      <c r="R889" s="108" t="s">
        <v>54</v>
      </c>
      <c r="S889" s="108" t="s">
        <v>345</v>
      </c>
      <c r="T889" s="98">
        <v>1E-8</v>
      </c>
      <c r="U889" s="80">
        <v>1E-8</v>
      </c>
      <c r="V889" s="98">
        <v>1E-8</v>
      </c>
      <c r="W889" s="98">
        <v>1E-8</v>
      </c>
      <c r="X889" s="98">
        <v>1E-8</v>
      </c>
      <c r="Y889" s="98">
        <v>1E-8</v>
      </c>
      <c r="Z889" s="98">
        <v>1E-8</v>
      </c>
      <c r="AA889" s="98">
        <v>1E-8</v>
      </c>
      <c r="AB889" s="98">
        <v>1E-8</v>
      </c>
      <c r="AC889" s="98">
        <v>1E-8</v>
      </c>
      <c r="AD889" s="4"/>
    </row>
    <row r="890" spans="1:30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4"/>
      <c r="O890" s="4"/>
      <c r="P890" s="100"/>
      <c r="Q890" s="100" t="s">
        <v>654</v>
      </c>
      <c r="R890" s="111" t="s">
        <v>54</v>
      </c>
      <c r="S890" s="111" t="s">
        <v>346</v>
      </c>
      <c r="T890" s="101">
        <v>1E-8</v>
      </c>
      <c r="U890" s="86">
        <v>1E-8</v>
      </c>
      <c r="V890" s="101">
        <v>1E-8</v>
      </c>
      <c r="W890" s="101">
        <v>1E-8</v>
      </c>
      <c r="X890" s="101">
        <v>1E-8</v>
      </c>
      <c r="Y890" s="101">
        <v>1E-8</v>
      </c>
      <c r="Z890" s="101">
        <v>1E-8</v>
      </c>
      <c r="AA890" s="101">
        <v>1E-8</v>
      </c>
      <c r="AB890" s="101">
        <v>1E-8</v>
      </c>
      <c r="AC890" s="101">
        <v>1E-8</v>
      </c>
      <c r="AD890" s="4"/>
    </row>
    <row r="891" spans="1:30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4"/>
      <c r="O891" s="4"/>
      <c r="P891" s="100"/>
      <c r="Q891" s="100" t="s">
        <v>655</v>
      </c>
      <c r="R891" s="111" t="s">
        <v>54</v>
      </c>
      <c r="S891" s="111" t="s">
        <v>347</v>
      </c>
      <c r="T891" s="101">
        <v>1E-8</v>
      </c>
      <c r="U891" s="86">
        <v>1E-8</v>
      </c>
      <c r="V891" s="101">
        <v>1E-8</v>
      </c>
      <c r="W891" s="101">
        <v>1E-8</v>
      </c>
      <c r="X891" s="101">
        <v>1E-8</v>
      </c>
      <c r="Y891" s="101">
        <v>1E-8</v>
      </c>
      <c r="Z891" s="101">
        <v>1E-8</v>
      </c>
      <c r="AA891" s="101">
        <v>1E-8</v>
      </c>
      <c r="AB891" s="101">
        <v>1E-8</v>
      </c>
      <c r="AC891" s="101">
        <v>1E-8</v>
      </c>
      <c r="AD891" s="4"/>
    </row>
    <row r="892" spans="1:30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4"/>
      <c r="O892" s="4"/>
      <c r="P892" s="100"/>
      <c r="Q892" s="100" t="s">
        <v>656</v>
      </c>
      <c r="R892" s="111" t="s">
        <v>54</v>
      </c>
      <c r="S892" s="111" t="s">
        <v>348</v>
      </c>
      <c r="T892" s="101">
        <v>1E-8</v>
      </c>
      <c r="U892" s="86">
        <v>1E-8</v>
      </c>
      <c r="V892" s="101">
        <v>1E-8</v>
      </c>
      <c r="W892" s="101">
        <v>1E-8</v>
      </c>
      <c r="X892" s="101">
        <v>1E-8</v>
      </c>
      <c r="Y892" s="101">
        <v>1E-8</v>
      </c>
      <c r="Z892" s="101">
        <v>1E-8</v>
      </c>
      <c r="AA892" s="101">
        <v>1E-8</v>
      </c>
      <c r="AB892" s="101">
        <v>1E-8</v>
      </c>
      <c r="AC892" s="101">
        <v>1E-8</v>
      </c>
      <c r="AD892" s="4"/>
    </row>
    <row r="893" spans="1:30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4"/>
      <c r="O893" s="4"/>
      <c r="P893" s="68"/>
      <c r="Q893" s="68" t="s">
        <v>181</v>
      </c>
      <c r="R893" s="108" t="s">
        <v>54</v>
      </c>
      <c r="S893" s="108" t="s">
        <v>554</v>
      </c>
      <c r="T893" s="98">
        <v>0.9401798897417516</v>
      </c>
      <c r="U893" s="80">
        <v>5.9008130735925146</v>
      </c>
      <c r="V893" s="98">
        <v>1E-8</v>
      </c>
      <c r="W893" s="98">
        <v>1E-8</v>
      </c>
      <c r="X893" s="98">
        <v>1E-8</v>
      </c>
      <c r="Y893" s="98">
        <v>1E-8</v>
      </c>
      <c r="Z893" s="98">
        <v>1E-8</v>
      </c>
      <c r="AA893" s="98">
        <v>1E-8</v>
      </c>
      <c r="AB893" s="98">
        <v>1E-8</v>
      </c>
      <c r="AC893" s="98">
        <v>1E-8</v>
      </c>
      <c r="AD893" s="4"/>
    </row>
    <row r="894" spans="1:30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4"/>
      <c r="O894" s="4"/>
      <c r="P894" s="100"/>
      <c r="Q894" s="100" t="s">
        <v>657</v>
      </c>
      <c r="R894" s="111" t="s">
        <v>54</v>
      </c>
      <c r="S894" s="111" t="s">
        <v>555</v>
      </c>
      <c r="T894" s="101">
        <v>0.5271275084727961</v>
      </c>
      <c r="U894" s="86">
        <v>5.5865404438187438</v>
      </c>
      <c r="V894" s="101">
        <v>1E-8</v>
      </c>
      <c r="W894" s="101">
        <v>1E-8</v>
      </c>
      <c r="X894" s="101">
        <v>1E-8</v>
      </c>
      <c r="Y894" s="101">
        <v>1E-8</v>
      </c>
      <c r="Z894" s="101">
        <v>1E-8</v>
      </c>
      <c r="AA894" s="101">
        <v>1E-8</v>
      </c>
      <c r="AB894" s="101">
        <v>1E-8</v>
      </c>
      <c r="AC894" s="101">
        <v>1E-8</v>
      </c>
      <c r="AD894" s="4"/>
    </row>
    <row r="895" spans="1:30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4"/>
      <c r="O895" s="4"/>
      <c r="P895" s="100"/>
      <c r="Q895" s="100" t="s">
        <v>658</v>
      </c>
      <c r="R895" s="111" t="s">
        <v>54</v>
      </c>
      <c r="S895" s="111" t="s">
        <v>349</v>
      </c>
      <c r="T895" s="101">
        <v>0.41026795997784243</v>
      </c>
      <c r="U895" s="86">
        <v>6.3704865568673164</v>
      </c>
      <c r="V895" s="101">
        <v>1E-8</v>
      </c>
      <c r="W895" s="101">
        <v>1E-8</v>
      </c>
      <c r="X895" s="101">
        <v>1E-8</v>
      </c>
      <c r="Y895" s="101">
        <v>1E-8</v>
      </c>
      <c r="Z895" s="101">
        <v>1E-8</v>
      </c>
      <c r="AA895" s="101">
        <v>1E-8</v>
      </c>
      <c r="AB895" s="101">
        <v>1E-8</v>
      </c>
      <c r="AC895" s="101">
        <v>1E-8</v>
      </c>
      <c r="AD895" s="4"/>
    </row>
    <row r="896" spans="1:30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4"/>
      <c r="O896" s="4"/>
      <c r="P896" s="100"/>
      <c r="Q896" s="100" t="s">
        <v>659</v>
      </c>
      <c r="R896" s="112" t="s">
        <v>54</v>
      </c>
      <c r="S896" s="112" t="s">
        <v>556</v>
      </c>
      <c r="T896" s="87">
        <v>2.7844212911129524E-3</v>
      </c>
      <c r="U896" s="88">
        <v>-3.8068535109341051</v>
      </c>
      <c r="V896" s="87">
        <v>1E-8</v>
      </c>
      <c r="W896" s="87">
        <v>1E-8</v>
      </c>
      <c r="X896" s="87">
        <v>1E-8</v>
      </c>
      <c r="Y896" s="87">
        <v>1E-8</v>
      </c>
      <c r="Z896" s="87">
        <v>1E-8</v>
      </c>
      <c r="AA896" s="87">
        <v>1E-8</v>
      </c>
      <c r="AB896" s="87">
        <v>1E-8</v>
      </c>
      <c r="AC896" s="87">
        <v>1E-8</v>
      </c>
      <c r="AD896" s="4"/>
    </row>
    <row r="897" spans="1:30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4"/>
      <c r="O897" s="4"/>
      <c r="P897" s="96"/>
      <c r="Q897" s="96" t="s">
        <v>286</v>
      </c>
      <c r="R897" s="107" t="s">
        <v>54</v>
      </c>
      <c r="S897" s="107" t="s">
        <v>350</v>
      </c>
      <c r="T897" s="97">
        <v>7.0787649462354247</v>
      </c>
      <c r="U897" s="78">
        <v>-2.6752560078533327</v>
      </c>
      <c r="V897" s="97">
        <v>1E-8</v>
      </c>
      <c r="W897" s="97">
        <v>1E-8</v>
      </c>
      <c r="X897" s="97">
        <v>1E-8</v>
      </c>
      <c r="Y897" s="97">
        <v>1E-8</v>
      </c>
      <c r="Z897" s="97">
        <v>1E-8</v>
      </c>
      <c r="AA897" s="97">
        <v>1E-8</v>
      </c>
      <c r="AB897" s="97">
        <v>1E-8</v>
      </c>
      <c r="AC897" s="97">
        <v>1E-8</v>
      </c>
      <c r="AD897" s="4"/>
    </row>
    <row r="898" spans="1:30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4"/>
      <c r="O898" s="4"/>
      <c r="P898" s="96"/>
      <c r="Q898" s="96" t="s">
        <v>369</v>
      </c>
      <c r="R898" s="107" t="s">
        <v>54</v>
      </c>
      <c r="S898" s="107" t="s">
        <v>557</v>
      </c>
      <c r="T898" s="97">
        <v>2.0311775551221323</v>
      </c>
      <c r="U898" s="78">
        <v>-0.36225432270512448</v>
      </c>
      <c r="V898" s="97">
        <v>1E-8</v>
      </c>
      <c r="W898" s="97">
        <v>1E-8</v>
      </c>
      <c r="X898" s="97">
        <v>1E-8</v>
      </c>
      <c r="Y898" s="97">
        <v>1E-8</v>
      </c>
      <c r="Z898" s="97">
        <v>1E-8</v>
      </c>
      <c r="AA898" s="97">
        <v>1E-8</v>
      </c>
      <c r="AB898" s="97">
        <v>1E-8</v>
      </c>
      <c r="AC898" s="97">
        <v>1E-8</v>
      </c>
      <c r="AD898" s="4"/>
    </row>
    <row r="899" spans="1:30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4"/>
      <c r="O899" s="4"/>
      <c r="P899" s="68"/>
      <c r="Q899" s="68" t="s">
        <v>660</v>
      </c>
      <c r="R899" s="108" t="s">
        <v>54</v>
      </c>
      <c r="S899" s="108" t="s">
        <v>351</v>
      </c>
      <c r="T899" s="98">
        <v>1.0908638600897491</v>
      </c>
      <c r="U899" s="80">
        <v>-0.34218776029900644</v>
      </c>
      <c r="V899" s="98">
        <v>1E-8</v>
      </c>
      <c r="W899" s="98">
        <v>1E-8</v>
      </c>
      <c r="X899" s="98">
        <v>1E-8</v>
      </c>
      <c r="Y899" s="98">
        <v>1E-8</v>
      </c>
      <c r="Z899" s="98">
        <v>1E-8</v>
      </c>
      <c r="AA899" s="98">
        <v>1E-8</v>
      </c>
      <c r="AB899" s="98">
        <v>1E-8</v>
      </c>
      <c r="AC899" s="98">
        <v>1E-8</v>
      </c>
      <c r="AD899" s="4"/>
    </row>
    <row r="900" spans="1:30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4"/>
      <c r="O900" s="4"/>
      <c r="P900" s="68"/>
      <c r="Q900" s="68" t="s">
        <v>661</v>
      </c>
      <c r="R900" s="108" t="s">
        <v>54</v>
      </c>
      <c r="S900" s="108" t="s">
        <v>352</v>
      </c>
      <c r="T900" s="98">
        <v>0.60513014639590323</v>
      </c>
      <c r="U900" s="80">
        <v>9.8678726057110921E-2</v>
      </c>
      <c r="V900" s="98">
        <v>1E-8</v>
      </c>
      <c r="W900" s="98">
        <v>1E-8</v>
      </c>
      <c r="X900" s="98">
        <v>1E-8</v>
      </c>
      <c r="Y900" s="98">
        <v>1E-8</v>
      </c>
      <c r="Z900" s="98">
        <v>1E-8</v>
      </c>
      <c r="AA900" s="98">
        <v>1E-8</v>
      </c>
      <c r="AB900" s="98">
        <v>1E-8</v>
      </c>
      <c r="AC900" s="98">
        <v>1E-8</v>
      </c>
      <c r="AD900" s="4"/>
    </row>
    <row r="901" spans="1:30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4"/>
      <c r="O901" s="4"/>
      <c r="P901" s="68"/>
      <c r="Q901" s="68" t="s">
        <v>662</v>
      </c>
      <c r="R901" s="108" t="s">
        <v>54</v>
      </c>
      <c r="S901" s="108" t="s">
        <v>558</v>
      </c>
      <c r="T901" s="98">
        <v>0.33518354863648003</v>
      </c>
      <c r="U901" s="80">
        <v>-1.259715944031603</v>
      </c>
      <c r="V901" s="98">
        <v>1E-8</v>
      </c>
      <c r="W901" s="98">
        <v>1E-8</v>
      </c>
      <c r="X901" s="98">
        <v>1E-8</v>
      </c>
      <c r="Y901" s="98">
        <v>1E-8</v>
      </c>
      <c r="Z901" s="98">
        <v>1E-8</v>
      </c>
      <c r="AA901" s="98">
        <v>1E-8</v>
      </c>
      <c r="AB901" s="98">
        <v>1E-8</v>
      </c>
      <c r="AC901" s="98">
        <v>1E-8</v>
      </c>
      <c r="AD901" s="4"/>
    </row>
    <row r="902" spans="1:30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4"/>
      <c r="O902" s="4"/>
      <c r="P902" s="96"/>
      <c r="Q902" s="96" t="s">
        <v>188</v>
      </c>
      <c r="R902" s="107" t="s">
        <v>54</v>
      </c>
      <c r="S902" s="107" t="s">
        <v>559</v>
      </c>
      <c r="T902" s="97">
        <v>5.047587391113292</v>
      </c>
      <c r="U902" s="78">
        <v>-3.6060208948772154</v>
      </c>
      <c r="V902" s="97">
        <v>1E-8</v>
      </c>
      <c r="W902" s="97">
        <v>1E-8</v>
      </c>
      <c r="X902" s="97">
        <v>1E-8</v>
      </c>
      <c r="Y902" s="97">
        <v>1E-8</v>
      </c>
      <c r="Z902" s="97">
        <v>1E-8</v>
      </c>
      <c r="AA902" s="97">
        <v>1E-8</v>
      </c>
      <c r="AB902" s="97">
        <v>1E-8</v>
      </c>
      <c r="AC902" s="97">
        <v>1E-8</v>
      </c>
      <c r="AD902" s="4"/>
    </row>
    <row r="903" spans="1:30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4"/>
      <c r="O903" s="4"/>
      <c r="P903" s="68"/>
      <c r="Q903" s="68" t="s">
        <v>663</v>
      </c>
      <c r="R903" s="108" t="s">
        <v>54</v>
      </c>
      <c r="S903" s="108" t="s">
        <v>353</v>
      </c>
      <c r="T903" s="98">
        <v>5.047587391113292</v>
      </c>
      <c r="U903" s="80">
        <v>-3.6060208948772154</v>
      </c>
      <c r="V903" s="98">
        <v>1E-8</v>
      </c>
      <c r="W903" s="98">
        <v>1E-8</v>
      </c>
      <c r="X903" s="98">
        <v>1E-8</v>
      </c>
      <c r="Y903" s="98">
        <v>1E-8</v>
      </c>
      <c r="Z903" s="98">
        <v>1E-8</v>
      </c>
      <c r="AA903" s="98">
        <v>1E-8</v>
      </c>
      <c r="AB903" s="98">
        <v>1E-8</v>
      </c>
      <c r="AC903" s="98">
        <v>1E-8</v>
      </c>
      <c r="AD903" s="4"/>
    </row>
    <row r="904" spans="1:30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4"/>
      <c r="O904" s="4"/>
      <c r="P904" s="72"/>
      <c r="Q904" s="72" t="s">
        <v>664</v>
      </c>
      <c r="R904" s="109" t="s">
        <v>54</v>
      </c>
      <c r="S904" s="109" t="s">
        <v>560</v>
      </c>
      <c r="T904" s="81">
        <v>1E-8</v>
      </c>
      <c r="U904" s="82">
        <v>1E-8</v>
      </c>
      <c r="V904" s="81">
        <v>1E-8</v>
      </c>
      <c r="W904" s="81">
        <v>1E-8</v>
      </c>
      <c r="X904" s="81">
        <v>1E-8</v>
      </c>
      <c r="Y904" s="81">
        <v>1E-8</v>
      </c>
      <c r="Z904" s="81">
        <v>1E-8</v>
      </c>
      <c r="AA904" s="81">
        <v>1E-8</v>
      </c>
      <c r="AB904" s="81">
        <v>1E-8</v>
      </c>
      <c r="AC904" s="81">
        <v>1E-8</v>
      </c>
      <c r="AD904" s="4"/>
    </row>
    <row r="905" spans="1:30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4"/>
      <c r="O905" s="4"/>
      <c r="P905" s="47"/>
      <c r="Q905" s="47" t="s">
        <v>287</v>
      </c>
      <c r="R905" s="105" t="s">
        <v>54</v>
      </c>
      <c r="S905" s="105" t="s">
        <v>354</v>
      </c>
      <c r="T905" s="95">
        <v>70.848307882990596</v>
      </c>
      <c r="U905" s="74">
        <v>0.13456817430685941</v>
      </c>
      <c r="V905" s="95">
        <v>1E-8</v>
      </c>
      <c r="W905" s="95">
        <v>1E-8</v>
      </c>
      <c r="X905" s="95">
        <v>1E-8</v>
      </c>
      <c r="Y905" s="95">
        <v>1E-8</v>
      </c>
      <c r="Z905" s="95">
        <v>1E-8</v>
      </c>
      <c r="AA905" s="95">
        <v>1E-8</v>
      </c>
      <c r="AB905" s="95">
        <v>1E-8</v>
      </c>
      <c r="AC905" s="95">
        <v>1E-8</v>
      </c>
      <c r="AD905" s="4"/>
    </row>
    <row r="906" spans="1:30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4"/>
      <c r="O906" s="4"/>
      <c r="P906" s="96"/>
      <c r="Q906" s="96" t="s">
        <v>370</v>
      </c>
      <c r="R906" s="107" t="s">
        <v>54</v>
      </c>
      <c r="S906" s="107" t="s">
        <v>561</v>
      </c>
      <c r="T906" s="97">
        <v>10.949616810555575</v>
      </c>
      <c r="U906" s="78">
        <v>-1.6544817924127209</v>
      </c>
      <c r="V906" s="97">
        <v>1E-8</v>
      </c>
      <c r="W906" s="97">
        <v>1E-8</v>
      </c>
      <c r="X906" s="97">
        <v>1E-8</v>
      </c>
      <c r="Y906" s="97">
        <v>1E-8</v>
      </c>
      <c r="Z906" s="97">
        <v>1E-8</v>
      </c>
      <c r="AA906" s="97">
        <v>1E-8</v>
      </c>
      <c r="AB906" s="97">
        <v>1E-8</v>
      </c>
      <c r="AC906" s="97">
        <v>1E-8</v>
      </c>
      <c r="AD906" s="4"/>
    </row>
    <row r="907" spans="1:30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4"/>
      <c r="O907" s="4"/>
      <c r="P907" s="68"/>
      <c r="Q907" s="68" t="s">
        <v>665</v>
      </c>
      <c r="R907" s="108" t="s">
        <v>54</v>
      </c>
      <c r="S907" s="108" t="s">
        <v>562</v>
      </c>
      <c r="T907" s="98">
        <v>6.7655626975139702E-2</v>
      </c>
      <c r="U907" s="80">
        <v>-0.44606857526691135</v>
      </c>
      <c r="V907" s="98">
        <v>1E-8</v>
      </c>
      <c r="W907" s="98">
        <v>1E-8</v>
      </c>
      <c r="X907" s="98">
        <v>1E-8</v>
      </c>
      <c r="Y907" s="98">
        <v>1E-8</v>
      </c>
      <c r="Z907" s="98">
        <v>1E-8</v>
      </c>
      <c r="AA907" s="98">
        <v>1E-8</v>
      </c>
      <c r="AB907" s="98">
        <v>1E-8</v>
      </c>
      <c r="AC907" s="98">
        <v>1E-8</v>
      </c>
      <c r="AD907" s="4"/>
    </row>
    <row r="908" spans="1:30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4"/>
      <c r="O908" s="4"/>
      <c r="P908" s="68"/>
      <c r="Q908" s="68" t="s">
        <v>666</v>
      </c>
      <c r="R908" s="108" t="s">
        <v>54</v>
      </c>
      <c r="S908" s="108" t="s">
        <v>563</v>
      </c>
      <c r="T908" s="98">
        <v>7.634566384772134E-3</v>
      </c>
      <c r="U908" s="80">
        <v>-6.9149747115372584</v>
      </c>
      <c r="V908" s="98">
        <v>1E-8</v>
      </c>
      <c r="W908" s="98">
        <v>1E-8</v>
      </c>
      <c r="X908" s="98">
        <v>1E-8</v>
      </c>
      <c r="Y908" s="98">
        <v>1E-8</v>
      </c>
      <c r="Z908" s="98">
        <v>1E-8</v>
      </c>
      <c r="AA908" s="98">
        <v>1E-8</v>
      </c>
      <c r="AB908" s="98">
        <v>1E-8</v>
      </c>
      <c r="AC908" s="98">
        <v>1E-8</v>
      </c>
      <c r="AD908" s="4"/>
    </row>
    <row r="909" spans="1:30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4"/>
      <c r="O909" s="4"/>
      <c r="P909" s="68"/>
      <c r="Q909" s="68" t="s">
        <v>667</v>
      </c>
      <c r="R909" s="108" t="s">
        <v>54</v>
      </c>
      <c r="S909" s="108" t="s">
        <v>564</v>
      </c>
      <c r="T909" s="98">
        <v>1.7161413924493205</v>
      </c>
      <c r="U909" s="80">
        <v>-1.6856080857008071</v>
      </c>
      <c r="V909" s="98">
        <v>1E-8</v>
      </c>
      <c r="W909" s="98">
        <v>1E-8</v>
      </c>
      <c r="X909" s="98">
        <v>1E-8</v>
      </c>
      <c r="Y909" s="98">
        <v>1E-8</v>
      </c>
      <c r="Z909" s="98">
        <v>1E-8</v>
      </c>
      <c r="AA909" s="98">
        <v>1E-8</v>
      </c>
      <c r="AB909" s="98">
        <v>1E-8</v>
      </c>
      <c r="AC909" s="98">
        <v>1E-8</v>
      </c>
      <c r="AD909" s="4"/>
    </row>
    <row r="910" spans="1:30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4"/>
      <c r="O910" s="4"/>
      <c r="P910" s="68"/>
      <c r="Q910" s="68" t="s">
        <v>668</v>
      </c>
      <c r="R910" s="108" t="s">
        <v>54</v>
      </c>
      <c r="S910" s="108" t="s">
        <v>565</v>
      </c>
      <c r="T910" s="98">
        <v>9.1581852247463438</v>
      </c>
      <c r="U910" s="80">
        <v>-1.6531908435432952</v>
      </c>
      <c r="V910" s="98">
        <v>1E-8</v>
      </c>
      <c r="W910" s="98">
        <v>1E-8</v>
      </c>
      <c r="X910" s="98">
        <v>1E-8</v>
      </c>
      <c r="Y910" s="98">
        <v>1E-8</v>
      </c>
      <c r="Z910" s="98">
        <v>1E-8</v>
      </c>
      <c r="AA910" s="98">
        <v>1E-8</v>
      </c>
      <c r="AB910" s="98">
        <v>1E-8</v>
      </c>
      <c r="AC910" s="98">
        <v>1E-8</v>
      </c>
      <c r="AD910" s="4"/>
    </row>
    <row r="911" spans="1:30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4"/>
      <c r="O911" s="4"/>
      <c r="P911" s="96"/>
      <c r="Q911" s="96" t="s">
        <v>371</v>
      </c>
      <c r="R911" s="107" t="s">
        <v>54</v>
      </c>
      <c r="S911" s="107" t="s">
        <v>566</v>
      </c>
      <c r="T911" s="97">
        <v>19.634883143158881</v>
      </c>
      <c r="U911" s="78">
        <v>-1.3358014819719877E-3</v>
      </c>
      <c r="V911" s="97">
        <v>1E-8</v>
      </c>
      <c r="W911" s="97">
        <v>1E-8</v>
      </c>
      <c r="X911" s="97">
        <v>1E-8</v>
      </c>
      <c r="Y911" s="97">
        <v>1E-8</v>
      </c>
      <c r="Z911" s="97">
        <v>1E-8</v>
      </c>
      <c r="AA911" s="97">
        <v>1E-8</v>
      </c>
      <c r="AB911" s="97">
        <v>1E-8</v>
      </c>
      <c r="AC911" s="97">
        <v>1E-8</v>
      </c>
      <c r="AD911" s="4"/>
    </row>
    <row r="912" spans="1:30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4"/>
      <c r="O912" s="4"/>
      <c r="P912" s="68"/>
      <c r="Q912" s="68" t="s">
        <v>669</v>
      </c>
      <c r="R912" s="108" t="s">
        <v>54</v>
      </c>
      <c r="S912" s="108" t="s">
        <v>567</v>
      </c>
      <c r="T912" s="98">
        <v>14.220255372140391</v>
      </c>
      <c r="U912" s="80">
        <v>-0.66418161613143178</v>
      </c>
      <c r="V912" s="98">
        <v>1E-8</v>
      </c>
      <c r="W912" s="98">
        <v>1E-8</v>
      </c>
      <c r="X912" s="98">
        <v>1E-8</v>
      </c>
      <c r="Y912" s="98">
        <v>1E-8</v>
      </c>
      <c r="Z912" s="98">
        <v>1E-8</v>
      </c>
      <c r="AA912" s="98">
        <v>1E-8</v>
      </c>
      <c r="AB912" s="98">
        <v>1E-8</v>
      </c>
      <c r="AC912" s="98">
        <v>1E-8</v>
      </c>
      <c r="AD912" s="4"/>
    </row>
    <row r="913" spans="1:30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4"/>
      <c r="O913" s="4"/>
      <c r="P913" s="68"/>
      <c r="Q913" s="68" t="s">
        <v>670</v>
      </c>
      <c r="R913" s="108" t="s">
        <v>54</v>
      </c>
      <c r="S913" s="108" t="s">
        <v>568</v>
      </c>
      <c r="T913" s="98">
        <v>3.3355973640987711</v>
      </c>
      <c r="U913" s="80">
        <v>1.2634324494823046</v>
      </c>
      <c r="V913" s="98">
        <v>1E-8</v>
      </c>
      <c r="W913" s="98">
        <v>1E-8</v>
      </c>
      <c r="X913" s="98">
        <v>1E-8</v>
      </c>
      <c r="Y913" s="98">
        <v>1E-8</v>
      </c>
      <c r="Z913" s="98">
        <v>1E-8</v>
      </c>
      <c r="AA913" s="98">
        <v>1E-8</v>
      </c>
      <c r="AB913" s="98">
        <v>1E-8</v>
      </c>
      <c r="AC913" s="98">
        <v>1E-8</v>
      </c>
      <c r="AD913" s="4"/>
    </row>
    <row r="914" spans="1:30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4"/>
      <c r="O914" s="4"/>
      <c r="P914" s="68"/>
      <c r="Q914" s="68" t="s">
        <v>671</v>
      </c>
      <c r="R914" s="108" t="s">
        <v>54</v>
      </c>
      <c r="S914" s="108" t="s">
        <v>569</v>
      </c>
      <c r="T914" s="98">
        <v>1.4924010172009108</v>
      </c>
      <c r="U914" s="80">
        <v>1.8778157143446439</v>
      </c>
      <c r="V914" s="98">
        <v>1E-8</v>
      </c>
      <c r="W914" s="98">
        <v>1E-8</v>
      </c>
      <c r="X914" s="98">
        <v>1E-8</v>
      </c>
      <c r="Y914" s="98">
        <v>1E-8</v>
      </c>
      <c r="Z914" s="98">
        <v>1E-8</v>
      </c>
      <c r="AA914" s="98">
        <v>1E-8</v>
      </c>
      <c r="AB914" s="98">
        <v>1E-8</v>
      </c>
      <c r="AC914" s="98">
        <v>1E-8</v>
      </c>
      <c r="AD914" s="4"/>
    </row>
    <row r="915" spans="1:30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4"/>
      <c r="O915" s="4"/>
      <c r="P915" s="68"/>
      <c r="Q915" s="68" t="s">
        <v>672</v>
      </c>
      <c r="R915" s="108" t="s">
        <v>54</v>
      </c>
      <c r="S915" s="108" t="s">
        <v>570</v>
      </c>
      <c r="T915" s="98">
        <v>0.58662938971880851</v>
      </c>
      <c r="U915" s="80">
        <v>4.0943190037011634</v>
      </c>
      <c r="V915" s="98">
        <v>1E-8</v>
      </c>
      <c r="W915" s="98">
        <v>1E-8</v>
      </c>
      <c r="X915" s="98">
        <v>1E-8</v>
      </c>
      <c r="Y915" s="98">
        <v>1E-8</v>
      </c>
      <c r="Z915" s="98">
        <v>1E-8</v>
      </c>
      <c r="AA915" s="98">
        <v>1E-8</v>
      </c>
      <c r="AB915" s="98">
        <v>1E-8</v>
      </c>
      <c r="AC915" s="98">
        <v>1E-8</v>
      </c>
      <c r="AD915" s="4"/>
    </row>
    <row r="916" spans="1:30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4"/>
      <c r="O916" s="4"/>
      <c r="P916" s="96"/>
      <c r="Q916" s="96" t="s">
        <v>673</v>
      </c>
      <c r="R916" s="107" t="s">
        <v>54</v>
      </c>
      <c r="S916" s="107" t="s">
        <v>355</v>
      </c>
      <c r="T916" s="97">
        <v>2.0963622974596463</v>
      </c>
      <c r="U916" s="78">
        <v>-0.60901361532595955</v>
      </c>
      <c r="V916" s="97">
        <v>1E-8</v>
      </c>
      <c r="W916" s="97">
        <v>1E-8</v>
      </c>
      <c r="X916" s="97">
        <v>1E-8</v>
      </c>
      <c r="Y916" s="97">
        <v>1E-8</v>
      </c>
      <c r="Z916" s="97">
        <v>1E-8</v>
      </c>
      <c r="AA916" s="97">
        <v>1E-8</v>
      </c>
      <c r="AB916" s="97">
        <v>1E-8</v>
      </c>
      <c r="AC916" s="97">
        <v>1E-8</v>
      </c>
      <c r="AD916" s="4"/>
    </row>
    <row r="917" spans="1:30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4"/>
      <c r="O917" s="4"/>
      <c r="P917" s="96"/>
      <c r="Q917" s="96" t="s">
        <v>372</v>
      </c>
      <c r="R917" s="107" t="s">
        <v>54</v>
      </c>
      <c r="S917" s="107" t="s">
        <v>571</v>
      </c>
      <c r="T917" s="97">
        <v>3.727016796839576</v>
      </c>
      <c r="U917" s="78">
        <v>0.83267599093956868</v>
      </c>
      <c r="V917" s="97">
        <v>1E-8</v>
      </c>
      <c r="W917" s="97">
        <v>1E-8</v>
      </c>
      <c r="X917" s="97">
        <v>1E-8</v>
      </c>
      <c r="Y917" s="97">
        <v>1E-8</v>
      </c>
      <c r="Z917" s="97">
        <v>1E-8</v>
      </c>
      <c r="AA917" s="97">
        <v>1E-8</v>
      </c>
      <c r="AB917" s="97">
        <v>1E-8</v>
      </c>
      <c r="AC917" s="97">
        <v>1E-8</v>
      </c>
      <c r="AD917" s="4"/>
    </row>
    <row r="918" spans="1:30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4"/>
      <c r="O918" s="4"/>
      <c r="P918" s="68"/>
      <c r="Q918" s="68" t="s">
        <v>674</v>
      </c>
      <c r="R918" s="108" t="s">
        <v>54</v>
      </c>
      <c r="S918" s="108" t="s">
        <v>572</v>
      </c>
      <c r="T918" s="98">
        <v>0.38229018326208353</v>
      </c>
      <c r="U918" s="80">
        <v>0.96676171427041435</v>
      </c>
      <c r="V918" s="98">
        <v>1E-8</v>
      </c>
      <c r="W918" s="98">
        <v>1E-8</v>
      </c>
      <c r="X918" s="98">
        <v>1E-8</v>
      </c>
      <c r="Y918" s="98">
        <v>1E-8</v>
      </c>
      <c r="Z918" s="98">
        <v>1E-8</v>
      </c>
      <c r="AA918" s="98">
        <v>1E-8</v>
      </c>
      <c r="AB918" s="98">
        <v>1E-8</v>
      </c>
      <c r="AC918" s="98">
        <v>1E-8</v>
      </c>
      <c r="AD918" s="4"/>
    </row>
    <row r="919" spans="1:30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4"/>
      <c r="O919" s="4"/>
      <c r="P919" s="68"/>
      <c r="Q919" s="68" t="s">
        <v>675</v>
      </c>
      <c r="R919" s="108" t="s">
        <v>54</v>
      </c>
      <c r="S919" s="108" t="s">
        <v>356</v>
      </c>
      <c r="T919" s="98">
        <v>2.9757124429444803</v>
      </c>
      <c r="U919" s="80">
        <v>0.86607576979560452</v>
      </c>
      <c r="V919" s="98">
        <v>1E-8</v>
      </c>
      <c r="W919" s="98">
        <v>1E-8</v>
      </c>
      <c r="X919" s="98">
        <v>1E-8</v>
      </c>
      <c r="Y919" s="98">
        <v>1E-8</v>
      </c>
      <c r="Z919" s="98">
        <v>1E-8</v>
      </c>
      <c r="AA919" s="98">
        <v>1E-8</v>
      </c>
      <c r="AB919" s="98">
        <v>1E-8</v>
      </c>
      <c r="AC919" s="98">
        <v>1E-8</v>
      </c>
      <c r="AD919" s="4"/>
    </row>
    <row r="920" spans="1:30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4"/>
      <c r="O920" s="4"/>
      <c r="P920" s="68"/>
      <c r="Q920" s="68" t="s">
        <v>676</v>
      </c>
      <c r="R920" s="109" t="s">
        <v>54</v>
      </c>
      <c r="S920" s="109" t="s">
        <v>573</v>
      </c>
      <c r="T920" s="81">
        <v>0.36901417063301201</v>
      </c>
      <c r="U920" s="82">
        <v>0.4244320662684542</v>
      </c>
      <c r="V920" s="81">
        <v>1E-8</v>
      </c>
      <c r="W920" s="81">
        <v>1E-8</v>
      </c>
      <c r="X920" s="81">
        <v>1E-8</v>
      </c>
      <c r="Y920" s="81">
        <v>1E-8</v>
      </c>
      <c r="Z920" s="81">
        <v>1E-8</v>
      </c>
      <c r="AA920" s="81">
        <v>1E-8</v>
      </c>
      <c r="AB920" s="81">
        <v>1E-8</v>
      </c>
      <c r="AC920" s="81">
        <v>1E-8</v>
      </c>
      <c r="AD920" s="4"/>
    </row>
    <row r="921" spans="1:30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4"/>
      <c r="O921" s="4"/>
      <c r="P921" s="96"/>
      <c r="Q921" s="96" t="s">
        <v>373</v>
      </c>
      <c r="R921" s="107" t="s">
        <v>54</v>
      </c>
      <c r="S921" s="107" t="s">
        <v>574</v>
      </c>
      <c r="T921" s="97">
        <v>0.3475756120784832</v>
      </c>
      <c r="U921" s="78">
        <v>1.0791873673028807</v>
      </c>
      <c r="V921" s="97">
        <v>1E-8</v>
      </c>
      <c r="W921" s="97">
        <v>1E-8</v>
      </c>
      <c r="X921" s="97">
        <v>1E-8</v>
      </c>
      <c r="Y921" s="97">
        <v>1E-8</v>
      </c>
      <c r="Z921" s="97">
        <v>1E-8</v>
      </c>
      <c r="AA921" s="97">
        <v>1E-8</v>
      </c>
      <c r="AB921" s="97">
        <v>1E-8</v>
      </c>
      <c r="AC921" s="97">
        <v>1E-8</v>
      </c>
      <c r="AD921" s="4"/>
    </row>
    <row r="922" spans="1:30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4"/>
      <c r="O922" s="4"/>
      <c r="P922" s="68"/>
      <c r="Q922" s="68" t="s">
        <v>677</v>
      </c>
      <c r="R922" s="108" t="s">
        <v>54</v>
      </c>
      <c r="S922" s="108" t="s">
        <v>575</v>
      </c>
      <c r="T922" s="98">
        <v>7.8984076673226378E-2</v>
      </c>
      <c r="U922" s="80">
        <v>2.7681487120941206</v>
      </c>
      <c r="V922" s="98">
        <v>1E-8</v>
      </c>
      <c r="W922" s="98">
        <v>1E-8</v>
      </c>
      <c r="X922" s="98">
        <v>1E-8</v>
      </c>
      <c r="Y922" s="98">
        <v>1E-8</v>
      </c>
      <c r="Z922" s="98">
        <v>1E-8</v>
      </c>
      <c r="AA922" s="98">
        <v>1E-8</v>
      </c>
      <c r="AB922" s="98">
        <v>1E-8</v>
      </c>
      <c r="AC922" s="98">
        <v>1E-8</v>
      </c>
      <c r="AD922" s="4"/>
    </row>
    <row r="923" spans="1:30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4"/>
      <c r="O923" s="4"/>
      <c r="P923" s="68"/>
      <c r="Q923" s="68" t="s">
        <v>678</v>
      </c>
      <c r="R923" s="108" t="s">
        <v>54</v>
      </c>
      <c r="S923" s="108" t="s">
        <v>576</v>
      </c>
      <c r="T923" s="98">
        <v>0.12225812477340775</v>
      </c>
      <c r="U923" s="80">
        <v>0.5942963004232249</v>
      </c>
      <c r="V923" s="98">
        <v>1E-8</v>
      </c>
      <c r="W923" s="98">
        <v>1E-8</v>
      </c>
      <c r="X923" s="98">
        <v>1E-8</v>
      </c>
      <c r="Y923" s="98">
        <v>1E-8</v>
      </c>
      <c r="Z923" s="98">
        <v>1E-8</v>
      </c>
      <c r="AA923" s="98">
        <v>1E-8</v>
      </c>
      <c r="AB923" s="98">
        <v>1E-8</v>
      </c>
      <c r="AC923" s="98">
        <v>1E-8</v>
      </c>
      <c r="AD923" s="4"/>
    </row>
    <row r="924" spans="1:30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4"/>
      <c r="O924" s="4"/>
      <c r="P924" s="68"/>
      <c r="Q924" s="68" t="s">
        <v>679</v>
      </c>
      <c r="R924" s="108" t="s">
        <v>54</v>
      </c>
      <c r="S924" s="108" t="s">
        <v>577</v>
      </c>
      <c r="T924" s="98">
        <v>0.1463334106318491</v>
      </c>
      <c r="U924" s="80">
        <v>0.57267843349895209</v>
      </c>
      <c r="V924" s="98">
        <v>1E-8</v>
      </c>
      <c r="W924" s="98">
        <v>1E-8</v>
      </c>
      <c r="X924" s="98">
        <v>1E-8</v>
      </c>
      <c r="Y924" s="98">
        <v>1E-8</v>
      </c>
      <c r="Z924" s="98">
        <v>1E-8</v>
      </c>
      <c r="AA924" s="98">
        <v>1E-8</v>
      </c>
      <c r="AB924" s="98">
        <v>1E-8</v>
      </c>
      <c r="AC924" s="98">
        <v>1E-8</v>
      </c>
      <c r="AD924" s="4"/>
    </row>
    <row r="925" spans="1:30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4"/>
      <c r="O925" s="4"/>
      <c r="P925" s="96"/>
      <c r="Q925" s="96" t="s">
        <v>195</v>
      </c>
      <c r="R925" s="107" t="s">
        <v>54</v>
      </c>
      <c r="S925" s="107" t="s">
        <v>578</v>
      </c>
      <c r="T925" s="97">
        <v>1E-8</v>
      </c>
      <c r="U925" s="78">
        <v>1E-8</v>
      </c>
      <c r="V925" s="97">
        <v>1E-8</v>
      </c>
      <c r="W925" s="97">
        <v>1E-8</v>
      </c>
      <c r="X925" s="97">
        <v>1E-8</v>
      </c>
      <c r="Y925" s="97">
        <v>1E-8</v>
      </c>
      <c r="Z925" s="97">
        <v>1E-8</v>
      </c>
      <c r="AA925" s="97">
        <v>1E-8</v>
      </c>
      <c r="AB925" s="97">
        <v>1E-8</v>
      </c>
      <c r="AC925" s="97">
        <v>1E-8</v>
      </c>
      <c r="AD925" s="4"/>
    </row>
    <row r="926" spans="1:30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4"/>
      <c r="O926" s="4"/>
      <c r="P926" s="68"/>
      <c r="Q926" s="68" t="s">
        <v>680</v>
      </c>
      <c r="R926" s="108" t="s">
        <v>54</v>
      </c>
      <c r="S926" s="108" t="s">
        <v>579</v>
      </c>
      <c r="T926" s="98">
        <v>1E-8</v>
      </c>
      <c r="U926" s="80">
        <v>1E-8</v>
      </c>
      <c r="V926" s="98">
        <v>1E-8</v>
      </c>
      <c r="W926" s="98">
        <v>1E-8</v>
      </c>
      <c r="X926" s="98">
        <v>1E-8</v>
      </c>
      <c r="Y926" s="98">
        <v>1E-8</v>
      </c>
      <c r="Z926" s="98">
        <v>1E-8</v>
      </c>
      <c r="AA926" s="98">
        <v>1E-8</v>
      </c>
      <c r="AB926" s="98">
        <v>1E-8</v>
      </c>
      <c r="AC926" s="98">
        <v>1E-8</v>
      </c>
      <c r="AD926" s="4"/>
    </row>
    <row r="927" spans="1:30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4"/>
      <c r="O927" s="4"/>
      <c r="P927" s="68"/>
      <c r="Q927" s="68" t="s">
        <v>681</v>
      </c>
      <c r="R927" s="108" t="s">
        <v>54</v>
      </c>
      <c r="S927" s="108" t="s">
        <v>357</v>
      </c>
      <c r="T927" s="98">
        <v>1E-8</v>
      </c>
      <c r="U927" s="80">
        <v>1E-8</v>
      </c>
      <c r="V927" s="98">
        <v>1E-8</v>
      </c>
      <c r="W927" s="98">
        <v>1E-8</v>
      </c>
      <c r="X927" s="98">
        <v>1E-8</v>
      </c>
      <c r="Y927" s="98">
        <v>1E-8</v>
      </c>
      <c r="Z927" s="98">
        <v>1E-8</v>
      </c>
      <c r="AA927" s="98">
        <v>1E-8</v>
      </c>
      <c r="AB927" s="98">
        <v>1E-8</v>
      </c>
      <c r="AC927" s="98">
        <v>1E-8</v>
      </c>
      <c r="AD927" s="4"/>
    </row>
    <row r="928" spans="1:30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4"/>
      <c r="O928" s="4"/>
      <c r="P928" s="96"/>
      <c r="Q928" s="96" t="s">
        <v>196</v>
      </c>
      <c r="R928" s="107" t="s">
        <v>54</v>
      </c>
      <c r="S928" s="107" t="s">
        <v>580</v>
      </c>
      <c r="T928" s="97">
        <v>10.032637430973727</v>
      </c>
      <c r="U928" s="78">
        <v>1.5065075755212654</v>
      </c>
      <c r="V928" s="97">
        <v>1E-8</v>
      </c>
      <c r="W928" s="97">
        <v>1E-8</v>
      </c>
      <c r="X928" s="97">
        <v>1E-8</v>
      </c>
      <c r="Y928" s="97">
        <v>1E-8</v>
      </c>
      <c r="Z928" s="97">
        <v>1E-8</v>
      </c>
      <c r="AA928" s="97">
        <v>1E-8</v>
      </c>
      <c r="AB928" s="97">
        <v>1E-8</v>
      </c>
      <c r="AC928" s="97">
        <v>1E-8</v>
      </c>
      <c r="AD928" s="4"/>
    </row>
    <row r="929" spans="1:30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4"/>
      <c r="O929" s="4"/>
      <c r="P929" s="68"/>
      <c r="Q929" s="68" t="s">
        <v>682</v>
      </c>
      <c r="R929" s="108" t="s">
        <v>54</v>
      </c>
      <c r="S929" s="108" t="s">
        <v>581</v>
      </c>
      <c r="T929" s="98">
        <v>0.45207331053494115</v>
      </c>
      <c r="U929" s="80">
        <v>-1.3042351072323877</v>
      </c>
      <c r="V929" s="98">
        <v>1E-8</v>
      </c>
      <c r="W929" s="98">
        <v>1E-8</v>
      </c>
      <c r="X929" s="98">
        <v>1E-8</v>
      </c>
      <c r="Y929" s="98">
        <v>1E-8</v>
      </c>
      <c r="Z929" s="98">
        <v>1E-8</v>
      </c>
      <c r="AA929" s="98">
        <v>1E-8</v>
      </c>
      <c r="AB929" s="98">
        <v>1E-8</v>
      </c>
      <c r="AC929" s="98">
        <v>1E-8</v>
      </c>
      <c r="AD929" s="4"/>
    </row>
    <row r="930" spans="1:30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4"/>
      <c r="O930" s="4"/>
      <c r="P930" s="68"/>
      <c r="Q930" s="68" t="s">
        <v>683</v>
      </c>
      <c r="R930" s="108" t="s">
        <v>54</v>
      </c>
      <c r="S930" s="108" t="s">
        <v>582</v>
      </c>
      <c r="T930" s="98">
        <v>0.13919782474949147</v>
      </c>
      <c r="U930" s="80">
        <v>1.1967776727305868</v>
      </c>
      <c r="V930" s="98">
        <v>1E-8</v>
      </c>
      <c r="W930" s="98">
        <v>1E-8</v>
      </c>
      <c r="X930" s="98">
        <v>1E-8</v>
      </c>
      <c r="Y930" s="98">
        <v>1E-8</v>
      </c>
      <c r="Z930" s="98">
        <v>1E-8</v>
      </c>
      <c r="AA930" s="98">
        <v>1E-8</v>
      </c>
      <c r="AB930" s="98">
        <v>1E-8</v>
      </c>
      <c r="AC930" s="98">
        <v>1E-8</v>
      </c>
      <c r="AD930" s="4"/>
    </row>
    <row r="931" spans="1:30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4"/>
      <c r="O931" s="4"/>
      <c r="P931" s="68"/>
      <c r="Q931" s="68" t="s">
        <v>684</v>
      </c>
      <c r="R931" s="108" t="s">
        <v>54</v>
      </c>
      <c r="S931" s="108" t="s">
        <v>583</v>
      </c>
      <c r="T931" s="98">
        <v>0.88053319743780656</v>
      </c>
      <c r="U931" s="80">
        <v>2.9315099398154576</v>
      </c>
      <c r="V931" s="98">
        <v>1E-8</v>
      </c>
      <c r="W931" s="98">
        <v>1E-8</v>
      </c>
      <c r="X931" s="98">
        <v>1E-8</v>
      </c>
      <c r="Y931" s="98">
        <v>1E-8</v>
      </c>
      <c r="Z931" s="98">
        <v>1E-8</v>
      </c>
      <c r="AA931" s="98">
        <v>1E-8</v>
      </c>
      <c r="AB931" s="98">
        <v>1E-8</v>
      </c>
      <c r="AC931" s="98">
        <v>1E-8</v>
      </c>
      <c r="AD931" s="4"/>
    </row>
    <row r="932" spans="1:30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4"/>
      <c r="O932" s="4"/>
      <c r="P932" s="68"/>
      <c r="Q932" s="68" t="s">
        <v>685</v>
      </c>
      <c r="R932" s="108" t="s">
        <v>54</v>
      </c>
      <c r="S932" s="108" t="s">
        <v>584</v>
      </c>
      <c r="T932" s="98">
        <v>1.5736119839631979</v>
      </c>
      <c r="U932" s="80">
        <v>-0.32865610970468362</v>
      </c>
      <c r="V932" s="98">
        <v>1E-8</v>
      </c>
      <c r="W932" s="98">
        <v>1E-8</v>
      </c>
      <c r="X932" s="98">
        <v>1E-8</v>
      </c>
      <c r="Y932" s="98">
        <v>1E-8</v>
      </c>
      <c r="Z932" s="98">
        <v>1E-8</v>
      </c>
      <c r="AA932" s="98">
        <v>1E-8</v>
      </c>
      <c r="AB932" s="98">
        <v>1E-8</v>
      </c>
      <c r="AC932" s="98">
        <v>1E-8</v>
      </c>
      <c r="AD932" s="4"/>
    </row>
    <row r="933" spans="1:30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4"/>
      <c r="O933" s="4"/>
      <c r="P933" s="68"/>
      <c r="Q933" s="68" t="s">
        <v>686</v>
      </c>
      <c r="R933" s="109" t="s">
        <v>54</v>
      </c>
      <c r="S933" s="109" t="s">
        <v>585</v>
      </c>
      <c r="T933" s="81">
        <v>6.9872211142882907</v>
      </c>
      <c r="U933" s="82">
        <v>1.9282559515349851</v>
      </c>
      <c r="V933" s="81">
        <v>1E-8</v>
      </c>
      <c r="W933" s="81">
        <v>1E-8</v>
      </c>
      <c r="X933" s="81">
        <v>1E-8</v>
      </c>
      <c r="Y933" s="81">
        <v>1E-8</v>
      </c>
      <c r="Z933" s="81">
        <v>1E-8</v>
      </c>
      <c r="AA933" s="81">
        <v>1E-8</v>
      </c>
      <c r="AB933" s="81">
        <v>1E-8</v>
      </c>
      <c r="AC933" s="81">
        <v>1E-8</v>
      </c>
      <c r="AD933" s="4"/>
    </row>
    <row r="934" spans="1:30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4"/>
      <c r="O934" s="4"/>
      <c r="P934" s="96"/>
      <c r="Q934" s="96" t="s">
        <v>687</v>
      </c>
      <c r="R934" s="107" t="s">
        <v>54</v>
      </c>
      <c r="S934" s="107" t="s">
        <v>358</v>
      </c>
      <c r="T934" s="97">
        <v>8.7932173968933078</v>
      </c>
      <c r="U934" s="78">
        <v>0.85363834882530298</v>
      </c>
      <c r="V934" s="97">
        <v>1E-8</v>
      </c>
      <c r="W934" s="97">
        <v>1E-8</v>
      </c>
      <c r="X934" s="97">
        <v>1E-8</v>
      </c>
      <c r="Y934" s="97">
        <v>1E-8</v>
      </c>
      <c r="Z934" s="97">
        <v>1E-8</v>
      </c>
      <c r="AA934" s="97">
        <v>1E-8</v>
      </c>
      <c r="AB934" s="97">
        <v>1E-8</v>
      </c>
      <c r="AC934" s="97">
        <v>1E-8</v>
      </c>
      <c r="AD934" s="4"/>
    </row>
    <row r="935" spans="1:30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4"/>
      <c r="O935" s="4"/>
      <c r="P935" s="96"/>
      <c r="Q935" s="96" t="s">
        <v>688</v>
      </c>
      <c r="R935" s="107" t="s">
        <v>54</v>
      </c>
      <c r="S935" s="107" t="s">
        <v>359</v>
      </c>
      <c r="T935" s="97">
        <v>7.9681623913229984</v>
      </c>
      <c r="U935" s="78">
        <v>0.12585871623747025</v>
      </c>
      <c r="V935" s="97">
        <v>1E-8</v>
      </c>
      <c r="W935" s="97">
        <v>1E-8</v>
      </c>
      <c r="X935" s="97">
        <v>1E-8</v>
      </c>
      <c r="Y935" s="97">
        <v>1E-8</v>
      </c>
      <c r="Z935" s="97">
        <v>1E-8</v>
      </c>
      <c r="AA935" s="97">
        <v>1E-8</v>
      </c>
      <c r="AB935" s="97">
        <v>1E-8</v>
      </c>
      <c r="AC935" s="97">
        <v>1E-8</v>
      </c>
      <c r="AD935" s="4"/>
    </row>
    <row r="936" spans="1:30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4"/>
      <c r="O936" s="4"/>
      <c r="P936" s="96"/>
      <c r="Q936" s="96" t="s">
        <v>689</v>
      </c>
      <c r="R936" s="107" t="s">
        <v>54</v>
      </c>
      <c r="S936" s="107" t="s">
        <v>360</v>
      </c>
      <c r="T936" s="97">
        <v>1.1197392755793474</v>
      </c>
      <c r="U936" s="78">
        <v>-1.2854921475593972</v>
      </c>
      <c r="V936" s="97">
        <v>1E-8</v>
      </c>
      <c r="W936" s="97">
        <v>1E-8</v>
      </c>
      <c r="X936" s="97">
        <v>1E-8</v>
      </c>
      <c r="Y936" s="97">
        <v>1E-8</v>
      </c>
      <c r="Z936" s="97">
        <v>1E-8</v>
      </c>
      <c r="AA936" s="97">
        <v>1E-8</v>
      </c>
      <c r="AB936" s="97">
        <v>1E-8</v>
      </c>
      <c r="AC936" s="97">
        <v>1E-8</v>
      </c>
      <c r="AD936" s="4"/>
    </row>
    <row r="937" spans="1:30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4"/>
      <c r="O937" s="4"/>
      <c r="P937" s="96"/>
      <c r="Q937" s="96" t="s">
        <v>205</v>
      </c>
      <c r="R937" s="107" t="s">
        <v>54</v>
      </c>
      <c r="S937" s="107" t="s">
        <v>586</v>
      </c>
      <c r="T937" s="97">
        <v>6.1790967281290641</v>
      </c>
      <c r="U937" s="78">
        <v>0.53250427930693345</v>
      </c>
      <c r="V937" s="97">
        <v>1E-8</v>
      </c>
      <c r="W937" s="97">
        <v>1E-8</v>
      </c>
      <c r="X937" s="97">
        <v>1E-8</v>
      </c>
      <c r="Y937" s="97">
        <v>1E-8</v>
      </c>
      <c r="Z937" s="97">
        <v>1E-8</v>
      </c>
      <c r="AA937" s="97">
        <v>1E-8</v>
      </c>
      <c r="AB937" s="97">
        <v>1E-8</v>
      </c>
      <c r="AC937" s="97">
        <v>1E-8</v>
      </c>
      <c r="AD937" s="4"/>
    </row>
    <row r="938" spans="1:30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4"/>
      <c r="O938" s="4"/>
      <c r="P938" s="68"/>
      <c r="Q938" s="68" t="s">
        <v>690</v>
      </c>
      <c r="R938" s="108" t="s">
        <v>54</v>
      </c>
      <c r="S938" s="108" t="s">
        <v>587</v>
      </c>
      <c r="T938" s="98">
        <v>0.53660081276143745</v>
      </c>
      <c r="U938" s="80">
        <v>0.39411092568766293</v>
      </c>
      <c r="V938" s="98">
        <v>1E-8</v>
      </c>
      <c r="W938" s="98">
        <v>1E-8</v>
      </c>
      <c r="X938" s="98">
        <v>1E-8</v>
      </c>
      <c r="Y938" s="98">
        <v>1E-8</v>
      </c>
      <c r="Z938" s="98">
        <v>1E-8</v>
      </c>
      <c r="AA938" s="98">
        <v>1E-8</v>
      </c>
      <c r="AB938" s="98">
        <v>1E-8</v>
      </c>
      <c r="AC938" s="98">
        <v>1E-8</v>
      </c>
      <c r="AD938" s="4"/>
    </row>
    <row r="939" spans="1:30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4"/>
      <c r="O939" s="4"/>
      <c r="P939" s="68"/>
      <c r="Q939" s="68" t="s">
        <v>691</v>
      </c>
      <c r="R939" s="108" t="s">
        <v>54</v>
      </c>
      <c r="S939" s="108" t="s">
        <v>588</v>
      </c>
      <c r="T939" s="98">
        <v>5.0313164805087268E-2</v>
      </c>
      <c r="U939" s="80">
        <v>0.92659683162588102</v>
      </c>
      <c r="V939" s="98">
        <v>1E-8</v>
      </c>
      <c r="W939" s="98">
        <v>1E-8</v>
      </c>
      <c r="X939" s="98">
        <v>1E-8</v>
      </c>
      <c r="Y939" s="98">
        <v>1E-8</v>
      </c>
      <c r="Z939" s="98">
        <v>1E-8</v>
      </c>
      <c r="AA939" s="98">
        <v>1E-8</v>
      </c>
      <c r="AB939" s="98">
        <v>1E-8</v>
      </c>
      <c r="AC939" s="98">
        <v>1E-8</v>
      </c>
      <c r="AD939" s="4"/>
    </row>
    <row r="940" spans="1:30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4"/>
      <c r="O940" s="4"/>
      <c r="P940" s="68"/>
      <c r="Q940" s="68" t="s">
        <v>692</v>
      </c>
      <c r="R940" s="108" t="s">
        <v>54</v>
      </c>
      <c r="S940" s="108" t="s">
        <v>589</v>
      </c>
      <c r="T940" s="98">
        <v>0.9414013326664018</v>
      </c>
      <c r="U940" s="80">
        <v>2.5317394332819543</v>
      </c>
      <c r="V940" s="98">
        <v>1E-8</v>
      </c>
      <c r="W940" s="98">
        <v>1E-8</v>
      </c>
      <c r="X940" s="98">
        <v>1E-8</v>
      </c>
      <c r="Y940" s="98">
        <v>1E-8</v>
      </c>
      <c r="Z940" s="98">
        <v>1E-8</v>
      </c>
      <c r="AA940" s="98">
        <v>1E-8</v>
      </c>
      <c r="AB940" s="98">
        <v>1E-8</v>
      </c>
      <c r="AC940" s="98">
        <v>1E-8</v>
      </c>
      <c r="AD940" s="4"/>
    </row>
    <row r="941" spans="1:30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4"/>
      <c r="O941" s="4"/>
      <c r="P941" s="68"/>
      <c r="Q941" s="68" t="s">
        <v>693</v>
      </c>
      <c r="R941" s="108" t="s">
        <v>54</v>
      </c>
      <c r="S941" s="108" t="s">
        <v>361</v>
      </c>
      <c r="T941" s="98">
        <v>4.1632881290806223</v>
      </c>
      <c r="U941" s="80">
        <v>4.1967470976023158E-2</v>
      </c>
      <c r="V941" s="98">
        <v>1E-8</v>
      </c>
      <c r="W941" s="98">
        <v>1E-8</v>
      </c>
      <c r="X941" s="98">
        <v>1E-8</v>
      </c>
      <c r="Y941" s="98">
        <v>1E-8</v>
      </c>
      <c r="Z941" s="98">
        <v>1E-8</v>
      </c>
      <c r="AA941" s="98">
        <v>1E-8</v>
      </c>
      <c r="AB941" s="98">
        <v>1E-8</v>
      </c>
      <c r="AC941" s="98">
        <v>1E-8</v>
      </c>
      <c r="AD941" s="4"/>
    </row>
    <row r="942" spans="1:30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34"/>
      <c r="O942" s="4"/>
      <c r="P942" s="68"/>
      <c r="Q942" s="68" t="s">
        <v>694</v>
      </c>
      <c r="R942" s="108" t="s">
        <v>54</v>
      </c>
      <c r="S942" s="108" t="s">
        <v>590</v>
      </c>
      <c r="T942" s="98">
        <v>0.4874932888155159</v>
      </c>
      <c r="U942" s="80">
        <v>0.97271008348618349</v>
      </c>
      <c r="V942" s="98">
        <v>1E-8</v>
      </c>
      <c r="W942" s="98">
        <v>1E-8</v>
      </c>
      <c r="X942" s="98">
        <v>1E-8</v>
      </c>
      <c r="Y942" s="98">
        <v>1E-8</v>
      </c>
      <c r="Z942" s="98">
        <v>1E-8</v>
      </c>
      <c r="AA942" s="98">
        <v>1E-8</v>
      </c>
      <c r="AB942" s="98">
        <v>1E-8</v>
      </c>
      <c r="AC942" s="98">
        <v>1E-8</v>
      </c>
      <c r="AD942" s="4"/>
    </row>
    <row r="943" spans="1:30" ht="15" thickBo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34"/>
      <c r="O943" s="4"/>
      <c r="P943" s="102"/>
      <c r="Q943" s="102" t="s">
        <v>695</v>
      </c>
      <c r="R943" s="113" t="s">
        <v>54</v>
      </c>
      <c r="S943" s="113" t="s">
        <v>591</v>
      </c>
      <c r="T943" s="103">
        <v>1E-8</v>
      </c>
      <c r="U943" s="104">
        <v>1E-8</v>
      </c>
      <c r="V943" s="103">
        <v>1E-8</v>
      </c>
      <c r="W943" s="103">
        <v>1E-8</v>
      </c>
      <c r="X943" s="103">
        <v>1E-8</v>
      </c>
      <c r="Y943" s="103">
        <v>1E-8</v>
      </c>
      <c r="Z943" s="103">
        <v>1E-8</v>
      </c>
      <c r="AA943" s="103">
        <v>1E-8</v>
      </c>
      <c r="AB943" s="103">
        <v>1E-8</v>
      </c>
      <c r="AC943" s="103">
        <v>1E-8</v>
      </c>
      <c r="AD943" s="4"/>
    </row>
    <row r="944" spans="1:30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34"/>
      <c r="O944" s="4"/>
      <c r="P944" s="47" t="s">
        <v>728</v>
      </c>
      <c r="Q944" s="47" t="s">
        <v>102</v>
      </c>
      <c r="R944" s="105" t="s">
        <v>61</v>
      </c>
      <c r="S944" s="105" t="s">
        <v>288</v>
      </c>
      <c r="T944" s="95">
        <v>100</v>
      </c>
      <c r="U944" s="74">
        <v>1E-8</v>
      </c>
      <c r="V944" s="95">
        <v>1E-8</v>
      </c>
      <c r="W944" s="95">
        <v>1E-8</v>
      </c>
      <c r="X944" s="95">
        <v>1E-8</v>
      </c>
      <c r="Y944" s="95">
        <v>1E-8</v>
      </c>
      <c r="Z944" s="95">
        <v>1E-8</v>
      </c>
      <c r="AA944" s="95">
        <v>1E-8</v>
      </c>
      <c r="AB944" s="95">
        <v>1E-8</v>
      </c>
      <c r="AC944" s="95">
        <v>1E-8</v>
      </c>
      <c r="AD944" s="4"/>
    </row>
    <row r="945" spans="1:30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34"/>
      <c r="O945" s="4"/>
      <c r="P945" s="47" t="s">
        <v>477</v>
      </c>
      <c r="Q945" s="47" t="s">
        <v>278</v>
      </c>
      <c r="R945" s="106" t="s">
        <v>61</v>
      </c>
      <c r="S945" s="106" t="s">
        <v>289</v>
      </c>
      <c r="T945" s="75">
        <v>1.8066032015840843</v>
      </c>
      <c r="U945" s="76">
        <v>0.71421285064043882</v>
      </c>
      <c r="V945" s="75">
        <v>1E-8</v>
      </c>
      <c r="W945" s="75">
        <v>1E-8</v>
      </c>
      <c r="X945" s="75">
        <v>1E-8</v>
      </c>
      <c r="Y945" s="75">
        <v>1E-8</v>
      </c>
      <c r="Z945" s="75">
        <v>1E-8</v>
      </c>
      <c r="AA945" s="75">
        <v>1E-8</v>
      </c>
      <c r="AB945" s="75">
        <v>1E-8</v>
      </c>
      <c r="AC945" s="75">
        <v>1E-8</v>
      </c>
      <c r="AD945" s="4"/>
    </row>
    <row r="946" spans="1:30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34"/>
      <c r="O946" s="4"/>
      <c r="P946" s="96"/>
      <c r="Q946" s="96" t="s">
        <v>279</v>
      </c>
      <c r="R946" s="107" t="s">
        <v>61</v>
      </c>
      <c r="S946" s="107" t="s">
        <v>290</v>
      </c>
      <c r="T946" s="97">
        <v>1.0196661336431858</v>
      </c>
      <c r="U946" s="78">
        <v>0.58984006981936954</v>
      </c>
      <c r="V946" s="97">
        <v>1E-8</v>
      </c>
      <c r="W946" s="97">
        <v>1E-8</v>
      </c>
      <c r="X946" s="97">
        <v>1E-8</v>
      </c>
      <c r="Y946" s="97">
        <v>1E-8</v>
      </c>
      <c r="Z946" s="97">
        <v>1E-8</v>
      </c>
      <c r="AA946" s="97">
        <v>1E-8</v>
      </c>
      <c r="AB946" s="97">
        <v>1E-8</v>
      </c>
      <c r="AC946" s="97">
        <v>1E-8</v>
      </c>
      <c r="AD946" s="4"/>
    </row>
    <row r="947" spans="1:30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34"/>
      <c r="O947" s="4"/>
      <c r="P947" s="96"/>
      <c r="Q947" s="96" t="s">
        <v>362</v>
      </c>
      <c r="R947" s="107" t="s">
        <v>61</v>
      </c>
      <c r="S947" s="107" t="s">
        <v>291</v>
      </c>
      <c r="T947" s="97">
        <v>0.8952872818521328</v>
      </c>
      <c r="U947" s="78">
        <v>-0.14244657135695782</v>
      </c>
      <c r="V947" s="97">
        <v>1E-8</v>
      </c>
      <c r="W947" s="97">
        <v>1E-8</v>
      </c>
      <c r="X947" s="97">
        <v>1E-8</v>
      </c>
      <c r="Y947" s="97">
        <v>1E-8</v>
      </c>
      <c r="Z947" s="97">
        <v>1E-8</v>
      </c>
      <c r="AA947" s="97">
        <v>1E-8</v>
      </c>
      <c r="AB947" s="97">
        <v>1E-8</v>
      </c>
      <c r="AC947" s="97">
        <v>1E-8</v>
      </c>
      <c r="AD947" s="4"/>
    </row>
    <row r="948" spans="1:30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34"/>
      <c r="O948" s="4"/>
      <c r="P948" s="96"/>
      <c r="Q948" s="96" t="s">
        <v>363</v>
      </c>
      <c r="R948" s="107" t="s">
        <v>61</v>
      </c>
      <c r="S948" s="107" t="s">
        <v>292</v>
      </c>
      <c r="T948" s="97">
        <v>0.12437885179105319</v>
      </c>
      <c r="U948" s="78">
        <v>5.8608882188790012</v>
      </c>
      <c r="V948" s="97">
        <v>1E-8</v>
      </c>
      <c r="W948" s="97">
        <v>1E-8</v>
      </c>
      <c r="X948" s="97">
        <v>1E-8</v>
      </c>
      <c r="Y948" s="97">
        <v>1E-8</v>
      </c>
      <c r="Z948" s="97">
        <v>1E-8</v>
      </c>
      <c r="AA948" s="97">
        <v>1E-8</v>
      </c>
      <c r="AB948" s="97">
        <v>1E-8</v>
      </c>
      <c r="AC948" s="97">
        <v>1E-8</v>
      </c>
      <c r="AD948" s="4"/>
    </row>
    <row r="949" spans="1:30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34"/>
      <c r="O949" s="4"/>
      <c r="P949" s="68"/>
      <c r="Q949" s="68" t="s">
        <v>592</v>
      </c>
      <c r="R949" s="108" t="s">
        <v>61</v>
      </c>
      <c r="S949" s="108" t="s">
        <v>294</v>
      </c>
      <c r="T949" s="98">
        <v>3.269189237611457E-2</v>
      </c>
      <c r="U949" s="80">
        <v>1.1546751546887002</v>
      </c>
      <c r="V949" s="98">
        <v>1E-8</v>
      </c>
      <c r="W949" s="98">
        <v>1E-8</v>
      </c>
      <c r="X949" s="98">
        <v>1E-8</v>
      </c>
      <c r="Y949" s="98">
        <v>1E-8</v>
      </c>
      <c r="Z949" s="98">
        <v>1E-8</v>
      </c>
      <c r="AA949" s="98">
        <v>1E-8</v>
      </c>
      <c r="AB949" s="98">
        <v>1E-8</v>
      </c>
      <c r="AC949" s="98">
        <v>1E-8</v>
      </c>
      <c r="AD949" s="4"/>
    </row>
    <row r="950" spans="1:30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34"/>
      <c r="O950" s="4"/>
      <c r="P950" s="68"/>
      <c r="Q950" s="68" t="s">
        <v>593</v>
      </c>
      <c r="R950" s="108" t="s">
        <v>61</v>
      </c>
      <c r="S950" s="108" t="s">
        <v>293</v>
      </c>
      <c r="T950" s="98">
        <v>7.7794012300305887E-2</v>
      </c>
      <c r="U950" s="80">
        <v>2.101647208454116</v>
      </c>
      <c r="V950" s="98">
        <v>1E-8</v>
      </c>
      <c r="W950" s="98">
        <v>1E-8</v>
      </c>
      <c r="X950" s="98">
        <v>1E-8</v>
      </c>
      <c r="Y950" s="98">
        <v>1E-8</v>
      </c>
      <c r="Z950" s="98">
        <v>1E-8</v>
      </c>
      <c r="AA950" s="98">
        <v>1E-8</v>
      </c>
      <c r="AB950" s="98">
        <v>1E-8</v>
      </c>
      <c r="AC950" s="98">
        <v>1E-8</v>
      </c>
      <c r="AD950" s="4"/>
    </row>
    <row r="951" spans="1:30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34"/>
      <c r="O951" s="4"/>
      <c r="P951" s="68"/>
      <c r="Q951" s="68" t="s">
        <v>594</v>
      </c>
      <c r="R951" s="108" t="s">
        <v>61</v>
      </c>
      <c r="S951" s="108" t="s">
        <v>296</v>
      </c>
      <c r="T951" s="98">
        <v>1.6801709188141386E-3</v>
      </c>
      <c r="U951" s="80">
        <v>3.1571818913190164</v>
      </c>
      <c r="V951" s="98">
        <v>1E-8</v>
      </c>
      <c r="W951" s="98">
        <v>1E-8</v>
      </c>
      <c r="X951" s="98">
        <v>1E-8</v>
      </c>
      <c r="Y951" s="98">
        <v>1E-8</v>
      </c>
      <c r="Z951" s="98">
        <v>1E-8</v>
      </c>
      <c r="AA951" s="98">
        <v>1E-8</v>
      </c>
      <c r="AB951" s="98">
        <v>1E-8</v>
      </c>
      <c r="AC951" s="98">
        <v>1E-8</v>
      </c>
      <c r="AD951" s="4"/>
    </row>
    <row r="952" spans="1:30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4"/>
      <c r="O952" s="4"/>
      <c r="P952" s="68"/>
      <c r="Q952" s="68" t="s">
        <v>595</v>
      </c>
      <c r="R952" s="108" t="s">
        <v>61</v>
      </c>
      <c r="S952" s="108" t="s">
        <v>295</v>
      </c>
      <c r="T952" s="98">
        <v>7.1328153232081123E-2</v>
      </c>
      <c r="U952" s="80">
        <v>0.489283290100051</v>
      </c>
      <c r="V952" s="98">
        <v>1E-8</v>
      </c>
      <c r="W952" s="98">
        <v>1E-8</v>
      </c>
      <c r="X952" s="98">
        <v>1E-8</v>
      </c>
      <c r="Y952" s="98">
        <v>1E-8</v>
      </c>
      <c r="Z952" s="98">
        <v>1E-8</v>
      </c>
      <c r="AA952" s="98">
        <v>1E-8</v>
      </c>
      <c r="AB952" s="98">
        <v>1E-8</v>
      </c>
      <c r="AC952" s="98">
        <v>1E-8</v>
      </c>
      <c r="AD952" s="4"/>
    </row>
    <row r="953" spans="1:30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34"/>
      <c r="O953" s="4"/>
      <c r="P953" s="68"/>
      <c r="Q953" s="68" t="s">
        <v>596</v>
      </c>
      <c r="R953" s="108" t="s">
        <v>61</v>
      </c>
      <c r="S953" s="108" t="s">
        <v>297</v>
      </c>
      <c r="T953" s="98">
        <v>5.4930301704306372E-5</v>
      </c>
      <c r="U953" s="80">
        <v>3.1666883865087092</v>
      </c>
      <c r="V953" s="98">
        <v>1E-8</v>
      </c>
      <c r="W953" s="98">
        <v>1E-8</v>
      </c>
      <c r="X953" s="98">
        <v>1E-8</v>
      </c>
      <c r="Y953" s="98">
        <v>1E-8</v>
      </c>
      <c r="Z953" s="98">
        <v>1E-8</v>
      </c>
      <c r="AA953" s="98">
        <v>1E-8</v>
      </c>
      <c r="AB953" s="98">
        <v>1E-8</v>
      </c>
      <c r="AC953" s="98">
        <v>1E-8</v>
      </c>
      <c r="AD953" s="4"/>
    </row>
    <row r="954" spans="1:30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34"/>
      <c r="O954" s="4"/>
      <c r="P954" s="68"/>
      <c r="Q954" s="68" t="s">
        <v>597</v>
      </c>
      <c r="R954" s="108" t="s">
        <v>61</v>
      </c>
      <c r="S954" s="108" t="s">
        <v>301</v>
      </c>
      <c r="T954" s="98">
        <v>0.18714317945586376</v>
      </c>
      <c r="U954" s="80">
        <v>-1.1560927295786616</v>
      </c>
      <c r="V954" s="98">
        <v>1E-8</v>
      </c>
      <c r="W954" s="98">
        <v>1E-8</v>
      </c>
      <c r="X954" s="98">
        <v>1E-8</v>
      </c>
      <c r="Y954" s="98">
        <v>1E-8</v>
      </c>
      <c r="Z954" s="98">
        <v>1E-8</v>
      </c>
      <c r="AA954" s="98">
        <v>1E-8</v>
      </c>
      <c r="AB954" s="98">
        <v>1E-8</v>
      </c>
      <c r="AC954" s="98">
        <v>1E-8</v>
      </c>
      <c r="AD954" s="4"/>
    </row>
    <row r="955" spans="1:30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34"/>
      <c r="O955" s="4"/>
      <c r="P955" s="68"/>
      <c r="Q955" s="68" t="s">
        <v>598</v>
      </c>
      <c r="R955" s="108" t="s">
        <v>61</v>
      </c>
      <c r="S955" s="108" t="s">
        <v>302</v>
      </c>
      <c r="T955" s="98">
        <v>3.414696126451508E-2</v>
      </c>
      <c r="U955" s="80">
        <v>-2.0733383534009775</v>
      </c>
      <c r="V955" s="98">
        <v>1E-8</v>
      </c>
      <c r="W955" s="98">
        <v>1E-8</v>
      </c>
      <c r="X955" s="98">
        <v>1E-8</v>
      </c>
      <c r="Y955" s="98">
        <v>1E-8</v>
      </c>
      <c r="Z955" s="98">
        <v>1E-8</v>
      </c>
      <c r="AA955" s="98">
        <v>1E-8</v>
      </c>
      <c r="AB955" s="98">
        <v>1E-8</v>
      </c>
      <c r="AC955" s="98">
        <v>1E-8</v>
      </c>
      <c r="AD955" s="4"/>
    </row>
    <row r="956" spans="1:30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34"/>
      <c r="O956" s="4"/>
      <c r="P956" s="68"/>
      <c r="Q956" s="68" t="s">
        <v>599</v>
      </c>
      <c r="R956" s="108" t="s">
        <v>61</v>
      </c>
      <c r="S956" s="108" t="s">
        <v>300</v>
      </c>
      <c r="T956" s="98">
        <v>4.0456487664541005E-2</v>
      </c>
      <c r="U956" s="80">
        <v>0.31990979985592194</v>
      </c>
      <c r="V956" s="98">
        <v>1E-8</v>
      </c>
      <c r="W956" s="98">
        <v>1E-8</v>
      </c>
      <c r="X956" s="98">
        <v>1E-8</v>
      </c>
      <c r="Y956" s="98">
        <v>1E-8</v>
      </c>
      <c r="Z956" s="98">
        <v>1E-8</v>
      </c>
      <c r="AA956" s="98">
        <v>1E-8</v>
      </c>
      <c r="AB956" s="98">
        <v>1E-8</v>
      </c>
      <c r="AC956" s="98">
        <v>1E-8</v>
      </c>
      <c r="AD956" s="4"/>
    </row>
    <row r="957" spans="1:30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34"/>
      <c r="O957" s="4"/>
      <c r="P957" s="68"/>
      <c r="Q957" s="68" t="s">
        <v>600</v>
      </c>
      <c r="R957" s="108" t="s">
        <v>61</v>
      </c>
      <c r="S957" s="108" t="s">
        <v>303</v>
      </c>
      <c r="T957" s="98">
        <v>6.4671485628820836E-3</v>
      </c>
      <c r="U957" s="80">
        <v>-1.7394041509385616</v>
      </c>
      <c r="V957" s="98">
        <v>1E-8</v>
      </c>
      <c r="W957" s="98">
        <v>1E-8</v>
      </c>
      <c r="X957" s="98">
        <v>1E-8</v>
      </c>
      <c r="Y957" s="98">
        <v>1E-8</v>
      </c>
      <c r="Z957" s="98">
        <v>1E-8</v>
      </c>
      <c r="AA957" s="98">
        <v>1E-8</v>
      </c>
      <c r="AB957" s="98">
        <v>1E-8</v>
      </c>
      <c r="AC957" s="98">
        <v>1E-8</v>
      </c>
      <c r="AD957" s="4"/>
    </row>
    <row r="958" spans="1:30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34"/>
      <c r="O958" s="4"/>
      <c r="P958" s="68"/>
      <c r="Q958" s="68" t="s">
        <v>601</v>
      </c>
      <c r="R958" s="108" t="s">
        <v>61</v>
      </c>
      <c r="S958" s="108" t="s">
        <v>533</v>
      </c>
      <c r="T958" s="98">
        <v>0.13469961192339788</v>
      </c>
      <c r="U958" s="80">
        <v>-7.535848716720972E-2</v>
      </c>
      <c r="V958" s="98">
        <v>1E-8</v>
      </c>
      <c r="W958" s="98">
        <v>1E-8</v>
      </c>
      <c r="X958" s="98">
        <v>1E-8</v>
      </c>
      <c r="Y958" s="98">
        <v>1E-8</v>
      </c>
      <c r="Z958" s="98">
        <v>1E-8</v>
      </c>
      <c r="AA958" s="98">
        <v>1E-8</v>
      </c>
      <c r="AB958" s="98">
        <v>1E-8</v>
      </c>
      <c r="AC958" s="98">
        <v>1E-8</v>
      </c>
      <c r="AD958" s="4"/>
    </row>
    <row r="959" spans="1:30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4"/>
      <c r="O959" s="4"/>
      <c r="P959" s="68"/>
      <c r="Q959" s="68" t="s">
        <v>602</v>
      </c>
      <c r="R959" s="108" t="s">
        <v>61</v>
      </c>
      <c r="S959" s="108" t="s">
        <v>534</v>
      </c>
      <c r="T959" s="98">
        <v>1.246842824055935E-2</v>
      </c>
      <c r="U959" s="80">
        <v>-0.75452834213582953</v>
      </c>
      <c r="V959" s="98">
        <v>1E-8</v>
      </c>
      <c r="W959" s="98">
        <v>1E-8</v>
      </c>
      <c r="X959" s="98">
        <v>1E-8</v>
      </c>
      <c r="Y959" s="98">
        <v>1E-8</v>
      </c>
      <c r="Z959" s="98">
        <v>1E-8</v>
      </c>
      <c r="AA959" s="98">
        <v>1E-8</v>
      </c>
      <c r="AB959" s="98">
        <v>1E-8</v>
      </c>
      <c r="AC959" s="98">
        <v>1E-8</v>
      </c>
      <c r="AD959" s="4"/>
    </row>
    <row r="960" spans="1:30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34"/>
      <c r="O960" s="4"/>
      <c r="P960" s="68"/>
      <c r="Q960" s="68" t="s">
        <v>603</v>
      </c>
      <c r="R960" s="108" t="s">
        <v>61</v>
      </c>
      <c r="S960" s="108" t="s">
        <v>304</v>
      </c>
      <c r="T960" s="98">
        <v>0.17982058870790857</v>
      </c>
      <c r="U960" s="80">
        <v>-0.38192843831206247</v>
      </c>
      <c r="V960" s="98">
        <v>1E-8</v>
      </c>
      <c r="W960" s="98">
        <v>1E-8</v>
      </c>
      <c r="X960" s="98">
        <v>1E-8</v>
      </c>
      <c r="Y960" s="98">
        <v>1E-8</v>
      </c>
      <c r="Z960" s="98">
        <v>1E-8</v>
      </c>
      <c r="AA960" s="98">
        <v>1E-8</v>
      </c>
      <c r="AB960" s="98">
        <v>1E-8</v>
      </c>
      <c r="AC960" s="98">
        <v>1E-8</v>
      </c>
      <c r="AD960" s="4"/>
    </row>
    <row r="961" spans="1:30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4"/>
      <c r="O961" s="4"/>
      <c r="P961" s="68"/>
      <c r="Q961" s="68" t="s">
        <v>604</v>
      </c>
      <c r="R961" s="108" t="s">
        <v>61</v>
      </c>
      <c r="S961" s="108" t="s">
        <v>535</v>
      </c>
      <c r="T961" s="98">
        <v>1.6879830433126502E-2</v>
      </c>
      <c r="U961" s="80">
        <v>-0.15935032536142923</v>
      </c>
      <c r="V961" s="98">
        <v>1E-8</v>
      </c>
      <c r="W961" s="98">
        <v>1E-8</v>
      </c>
      <c r="X961" s="98">
        <v>1E-8</v>
      </c>
      <c r="Y961" s="98">
        <v>1E-8</v>
      </c>
      <c r="Z961" s="98">
        <v>1E-8</v>
      </c>
      <c r="AA961" s="98">
        <v>1E-8</v>
      </c>
      <c r="AB961" s="98">
        <v>1E-8</v>
      </c>
      <c r="AC961" s="98">
        <v>1E-8</v>
      </c>
      <c r="AD961" s="4"/>
    </row>
    <row r="962" spans="1:30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34"/>
      <c r="O962" s="4"/>
      <c r="P962" s="68"/>
      <c r="Q962" s="68" t="s">
        <v>605</v>
      </c>
      <c r="R962" s="108" t="s">
        <v>61</v>
      </c>
      <c r="S962" s="108" t="s">
        <v>536</v>
      </c>
      <c r="T962" s="98">
        <v>7.7199408536011344E-2</v>
      </c>
      <c r="U962" s="80">
        <v>-0.33673204035432613</v>
      </c>
      <c r="V962" s="98">
        <v>1E-8</v>
      </c>
      <c r="W962" s="98">
        <v>1E-8</v>
      </c>
      <c r="X962" s="98">
        <v>1E-8</v>
      </c>
      <c r="Y962" s="98">
        <v>1E-8</v>
      </c>
      <c r="Z962" s="98">
        <v>1E-8</v>
      </c>
      <c r="AA962" s="98">
        <v>1E-8</v>
      </c>
      <c r="AB962" s="98">
        <v>1E-8</v>
      </c>
      <c r="AC962" s="98">
        <v>1E-8</v>
      </c>
      <c r="AD962" s="4"/>
    </row>
    <row r="963" spans="1:30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34"/>
      <c r="O963" s="4"/>
      <c r="P963" s="68"/>
      <c r="Q963" s="68" t="s">
        <v>606</v>
      </c>
      <c r="R963" s="108" t="s">
        <v>61</v>
      </c>
      <c r="S963" s="108" t="s">
        <v>537</v>
      </c>
      <c r="T963" s="98">
        <v>1.0061033638326871E-2</v>
      </c>
      <c r="U963" s="80">
        <v>0.4413123169500377</v>
      </c>
      <c r="V963" s="98">
        <v>1E-8</v>
      </c>
      <c r="W963" s="98">
        <v>1E-8</v>
      </c>
      <c r="X963" s="98">
        <v>1E-8</v>
      </c>
      <c r="Y963" s="98">
        <v>1E-8</v>
      </c>
      <c r="Z963" s="98">
        <v>1E-8</v>
      </c>
      <c r="AA963" s="98">
        <v>1E-8</v>
      </c>
      <c r="AB963" s="98">
        <v>1E-8</v>
      </c>
      <c r="AC963" s="98">
        <v>1E-8</v>
      </c>
      <c r="AD963" s="4"/>
    </row>
    <row r="964" spans="1:30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34"/>
      <c r="O964" s="4"/>
      <c r="P964" s="68"/>
      <c r="Q964" s="68" t="s">
        <v>607</v>
      </c>
      <c r="R964" s="108" t="s">
        <v>61</v>
      </c>
      <c r="S964" s="108" t="s">
        <v>307</v>
      </c>
      <c r="T964" s="98">
        <v>1.0587284597825852E-2</v>
      </c>
      <c r="U964" s="80">
        <v>1.9756242412503289</v>
      </c>
      <c r="V964" s="98">
        <v>1E-8</v>
      </c>
      <c r="W964" s="98">
        <v>1E-8</v>
      </c>
      <c r="X964" s="98">
        <v>1E-8</v>
      </c>
      <c r="Y964" s="98">
        <v>1E-8</v>
      </c>
      <c r="Z964" s="98">
        <v>1E-8</v>
      </c>
      <c r="AA964" s="98">
        <v>1E-8</v>
      </c>
      <c r="AB964" s="98">
        <v>1E-8</v>
      </c>
      <c r="AC964" s="98">
        <v>1E-8</v>
      </c>
      <c r="AD964" s="4"/>
    </row>
    <row r="965" spans="1:30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4"/>
      <c r="O965" s="4"/>
      <c r="P965" s="68"/>
      <c r="Q965" s="68" t="s">
        <v>608</v>
      </c>
      <c r="R965" s="108" t="s">
        <v>61</v>
      </c>
      <c r="S965" s="108" t="s">
        <v>298</v>
      </c>
      <c r="T965" s="98">
        <v>1.324691943660276E-3</v>
      </c>
      <c r="U965" s="80">
        <v>5.3827591854581192</v>
      </c>
      <c r="V965" s="98">
        <v>1E-8</v>
      </c>
      <c r="W965" s="98">
        <v>1E-8</v>
      </c>
      <c r="X965" s="98">
        <v>1E-8</v>
      </c>
      <c r="Y965" s="98">
        <v>1E-8</v>
      </c>
      <c r="Z965" s="98">
        <v>1E-8</v>
      </c>
      <c r="AA965" s="98">
        <v>1E-8</v>
      </c>
      <c r="AB965" s="98">
        <v>1E-8</v>
      </c>
      <c r="AC965" s="98">
        <v>1E-8</v>
      </c>
      <c r="AD965" s="4"/>
    </row>
    <row r="966" spans="1:30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4"/>
      <c r="O966" s="4"/>
      <c r="P966" s="68"/>
      <c r="Q966" s="68" t="s">
        <v>609</v>
      </c>
      <c r="R966" s="108" t="s">
        <v>61</v>
      </c>
      <c r="S966" s="108" t="s">
        <v>538</v>
      </c>
      <c r="T966" s="98">
        <v>4.8346775449413537E-4</v>
      </c>
      <c r="U966" s="80">
        <v>1.5350033255780104</v>
      </c>
      <c r="V966" s="98">
        <v>1E-8</v>
      </c>
      <c r="W966" s="98">
        <v>1E-8</v>
      </c>
      <c r="X966" s="98">
        <v>1E-8</v>
      </c>
      <c r="Y966" s="98">
        <v>1E-8</v>
      </c>
      <c r="Z966" s="98">
        <v>1E-8</v>
      </c>
      <c r="AA966" s="98">
        <v>1E-8</v>
      </c>
      <c r="AB966" s="98">
        <v>1E-8</v>
      </c>
      <c r="AC966" s="98">
        <v>1E-8</v>
      </c>
      <c r="AD966" s="4"/>
    </row>
    <row r="967" spans="1:30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4"/>
      <c r="O967" s="4"/>
      <c r="P967" s="68"/>
      <c r="Q967" s="68" t="s">
        <v>610</v>
      </c>
      <c r="R967" s="108" t="s">
        <v>61</v>
      </c>
      <c r="S967" s="108" t="s">
        <v>299</v>
      </c>
      <c r="T967" s="98">
        <v>1E-8</v>
      </c>
      <c r="U967" s="80">
        <v>1E-8</v>
      </c>
      <c r="V967" s="98">
        <v>1E-8</v>
      </c>
      <c r="W967" s="98">
        <v>1E-8</v>
      </c>
      <c r="X967" s="98">
        <v>1E-8</v>
      </c>
      <c r="Y967" s="98">
        <v>1E-8</v>
      </c>
      <c r="Z967" s="98">
        <v>1E-8</v>
      </c>
      <c r="AA967" s="98">
        <v>1E-8</v>
      </c>
      <c r="AB967" s="98">
        <v>1E-8</v>
      </c>
      <c r="AC967" s="98">
        <v>1E-8</v>
      </c>
      <c r="AD967" s="4"/>
    </row>
    <row r="968" spans="1:30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4"/>
      <c r="O968" s="4"/>
      <c r="P968" s="68"/>
      <c r="Q968" s="68" t="s">
        <v>611</v>
      </c>
      <c r="R968" s="108" t="s">
        <v>61</v>
      </c>
      <c r="S968" s="108" t="s">
        <v>309</v>
      </c>
      <c r="T968" s="98">
        <v>6.7384628157633958E-3</v>
      </c>
      <c r="U968" s="80">
        <v>13.431561949757075</v>
      </c>
      <c r="V968" s="98">
        <v>1E-8</v>
      </c>
      <c r="W968" s="98">
        <v>1E-8</v>
      </c>
      <c r="X968" s="98">
        <v>1E-8</v>
      </c>
      <c r="Y968" s="98">
        <v>1E-8</v>
      </c>
      <c r="Z968" s="98">
        <v>1E-8</v>
      </c>
      <c r="AA968" s="98">
        <v>1E-8</v>
      </c>
      <c r="AB968" s="98">
        <v>1E-8</v>
      </c>
      <c r="AC968" s="98">
        <v>1E-8</v>
      </c>
      <c r="AD968" s="4"/>
    </row>
    <row r="969" spans="1:30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34"/>
      <c r="O969" s="4"/>
      <c r="P969" s="68"/>
      <c r="Q969" s="68" t="s">
        <v>612</v>
      </c>
      <c r="R969" s="108" t="s">
        <v>61</v>
      </c>
      <c r="S969" s="108" t="s">
        <v>308</v>
      </c>
      <c r="T969" s="98">
        <v>1.0098580647330045E-3</v>
      </c>
      <c r="U969" s="80">
        <v>5.0462102322896385</v>
      </c>
      <c r="V969" s="98">
        <v>1E-8</v>
      </c>
      <c r="W969" s="98">
        <v>1E-8</v>
      </c>
      <c r="X969" s="98">
        <v>1E-8</v>
      </c>
      <c r="Y969" s="98">
        <v>1E-8</v>
      </c>
      <c r="Z969" s="98">
        <v>1E-8</v>
      </c>
      <c r="AA969" s="98">
        <v>1E-8</v>
      </c>
      <c r="AB969" s="98">
        <v>1E-8</v>
      </c>
      <c r="AC969" s="98">
        <v>1E-8</v>
      </c>
      <c r="AD969" s="4"/>
    </row>
    <row r="970" spans="1:30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4"/>
      <c r="O970" s="4"/>
      <c r="P970" s="68"/>
      <c r="Q970" s="68" t="s">
        <v>613</v>
      </c>
      <c r="R970" s="108" t="s">
        <v>61</v>
      </c>
      <c r="S970" s="108" t="s">
        <v>306</v>
      </c>
      <c r="T970" s="98">
        <v>4.0793305677756138E-3</v>
      </c>
      <c r="U970" s="80">
        <v>-1.6311970255518005</v>
      </c>
      <c r="V970" s="98">
        <v>1E-8</v>
      </c>
      <c r="W970" s="98">
        <v>1E-8</v>
      </c>
      <c r="X970" s="98">
        <v>1E-8</v>
      </c>
      <c r="Y970" s="98">
        <v>1E-8</v>
      </c>
      <c r="Z970" s="98">
        <v>1E-8</v>
      </c>
      <c r="AA970" s="98">
        <v>1E-8</v>
      </c>
      <c r="AB970" s="98">
        <v>1E-8</v>
      </c>
      <c r="AC970" s="98">
        <v>1E-8</v>
      </c>
      <c r="AD970" s="4"/>
    </row>
    <row r="971" spans="1:30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34"/>
      <c r="O971" s="4"/>
      <c r="P971" s="68"/>
      <c r="Q971" s="68" t="s">
        <v>614</v>
      </c>
      <c r="R971" s="108" t="s">
        <v>61</v>
      </c>
      <c r="S971" s="108" t="s">
        <v>305</v>
      </c>
      <c r="T971" s="98">
        <v>6.9169310780981368E-3</v>
      </c>
      <c r="U971" s="80">
        <v>0.33646034030465621</v>
      </c>
      <c r="V971" s="98">
        <v>1E-8</v>
      </c>
      <c r="W971" s="98">
        <v>1E-8</v>
      </c>
      <c r="X971" s="98">
        <v>1E-8</v>
      </c>
      <c r="Y971" s="98">
        <v>1E-8</v>
      </c>
      <c r="Z971" s="98">
        <v>1E-8</v>
      </c>
      <c r="AA971" s="98">
        <v>1E-8</v>
      </c>
      <c r="AB971" s="98">
        <v>1E-8</v>
      </c>
      <c r="AC971" s="98">
        <v>1E-8</v>
      </c>
      <c r="AD971" s="4"/>
    </row>
    <row r="972" spans="1:30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34"/>
      <c r="O972" s="4"/>
      <c r="P972" s="68"/>
      <c r="Q972" s="68" t="s">
        <v>615</v>
      </c>
      <c r="R972" s="108" t="s">
        <v>61</v>
      </c>
      <c r="S972" s="108" t="s">
        <v>539</v>
      </c>
      <c r="T972" s="98">
        <v>2.1463252293928193E-2</v>
      </c>
      <c r="U972" s="80">
        <v>16.42559648354456</v>
      </c>
      <c r="V972" s="98">
        <v>1E-8</v>
      </c>
      <c r="W972" s="98">
        <v>1E-8</v>
      </c>
      <c r="X972" s="98">
        <v>1E-8</v>
      </c>
      <c r="Y972" s="98">
        <v>1E-8</v>
      </c>
      <c r="Z972" s="98">
        <v>1E-8</v>
      </c>
      <c r="AA972" s="98">
        <v>1E-8</v>
      </c>
      <c r="AB972" s="98">
        <v>1E-8</v>
      </c>
      <c r="AC972" s="98">
        <v>1E-8</v>
      </c>
      <c r="AD972" s="4"/>
    </row>
    <row r="973" spans="1:30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34"/>
      <c r="O973" s="4"/>
      <c r="P973" s="68"/>
      <c r="Q973" s="68" t="s">
        <v>616</v>
      </c>
      <c r="R973" s="109" t="s">
        <v>61</v>
      </c>
      <c r="S973" s="109" t="s">
        <v>310</v>
      </c>
      <c r="T973" s="81">
        <v>8.4171016970754853E-2</v>
      </c>
      <c r="U973" s="82">
        <v>3.3877065769907233</v>
      </c>
      <c r="V973" s="81">
        <v>1E-8</v>
      </c>
      <c r="W973" s="81">
        <v>1E-8</v>
      </c>
      <c r="X973" s="81">
        <v>1E-8</v>
      </c>
      <c r="Y973" s="81">
        <v>1E-8</v>
      </c>
      <c r="Z973" s="81">
        <v>1E-8</v>
      </c>
      <c r="AA973" s="81">
        <v>1E-8</v>
      </c>
      <c r="AB973" s="81">
        <v>1E-8</v>
      </c>
      <c r="AC973" s="81">
        <v>1E-8</v>
      </c>
      <c r="AD973" s="4"/>
    </row>
    <row r="974" spans="1:30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4"/>
      <c r="O974" s="4"/>
      <c r="P974" s="96"/>
      <c r="Q974" s="96" t="s">
        <v>280</v>
      </c>
      <c r="R974" s="107" t="s">
        <v>61</v>
      </c>
      <c r="S974" s="107" t="s">
        <v>311</v>
      </c>
      <c r="T974" s="97">
        <v>0.78693706794089813</v>
      </c>
      <c r="U974" s="78">
        <v>0.87536768463767345</v>
      </c>
      <c r="V974" s="97">
        <v>1E-8</v>
      </c>
      <c r="W974" s="97">
        <v>1E-8</v>
      </c>
      <c r="X974" s="97">
        <v>1E-8</v>
      </c>
      <c r="Y974" s="97">
        <v>1E-8</v>
      </c>
      <c r="Z974" s="97">
        <v>1E-8</v>
      </c>
      <c r="AA974" s="97">
        <v>1E-8</v>
      </c>
      <c r="AB974" s="97">
        <v>1E-8</v>
      </c>
      <c r="AC974" s="97">
        <v>1E-8</v>
      </c>
      <c r="AD974" s="4"/>
    </row>
    <row r="975" spans="1:30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4"/>
      <c r="O975" s="4"/>
      <c r="P975" s="68"/>
      <c r="Q975" s="68" t="s">
        <v>617</v>
      </c>
      <c r="R975" s="108" t="s">
        <v>61</v>
      </c>
      <c r="S975" s="108" t="s">
        <v>312</v>
      </c>
      <c r="T975" s="98">
        <v>0.19189105762724815</v>
      </c>
      <c r="U975" s="80">
        <v>-1.4568238611652573</v>
      </c>
      <c r="V975" s="98">
        <v>1E-8</v>
      </c>
      <c r="W975" s="98">
        <v>1E-8</v>
      </c>
      <c r="X975" s="98">
        <v>1E-8</v>
      </c>
      <c r="Y975" s="98">
        <v>1E-8</v>
      </c>
      <c r="Z975" s="98">
        <v>1E-8</v>
      </c>
      <c r="AA975" s="98">
        <v>1E-8</v>
      </c>
      <c r="AB975" s="98">
        <v>1E-8</v>
      </c>
      <c r="AC975" s="98">
        <v>1E-8</v>
      </c>
      <c r="AD975" s="4"/>
    </row>
    <row r="976" spans="1:30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34"/>
      <c r="O976" s="4"/>
      <c r="P976" s="68"/>
      <c r="Q976" s="68" t="s">
        <v>618</v>
      </c>
      <c r="R976" s="108" t="s">
        <v>61</v>
      </c>
      <c r="S976" s="108" t="s">
        <v>316</v>
      </c>
      <c r="T976" s="98">
        <v>2.0681367549738473E-2</v>
      </c>
      <c r="U976" s="80">
        <v>-3.4476780103768423</v>
      </c>
      <c r="V976" s="98">
        <v>1E-8</v>
      </c>
      <c r="W976" s="98">
        <v>1E-8</v>
      </c>
      <c r="X976" s="98">
        <v>1E-8</v>
      </c>
      <c r="Y976" s="98">
        <v>1E-8</v>
      </c>
      <c r="Z976" s="98">
        <v>1E-8</v>
      </c>
      <c r="AA976" s="98">
        <v>1E-8</v>
      </c>
      <c r="AB976" s="98">
        <v>1E-8</v>
      </c>
      <c r="AC976" s="98">
        <v>1E-8</v>
      </c>
      <c r="AD976" s="4"/>
    </row>
    <row r="977" spans="1:30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34"/>
      <c r="O977" s="4"/>
      <c r="P977" s="68"/>
      <c r="Q977" s="68" t="s">
        <v>619</v>
      </c>
      <c r="R977" s="108" t="s">
        <v>61</v>
      </c>
      <c r="S977" s="108" t="s">
        <v>314</v>
      </c>
      <c r="T977" s="98">
        <v>9.6492144319223261E-2</v>
      </c>
      <c r="U977" s="80">
        <v>3.4309372038652031</v>
      </c>
      <c r="V977" s="98">
        <v>1E-8</v>
      </c>
      <c r="W977" s="98">
        <v>1E-8</v>
      </c>
      <c r="X977" s="98">
        <v>1E-8</v>
      </c>
      <c r="Y977" s="98">
        <v>1E-8</v>
      </c>
      <c r="Z977" s="98">
        <v>1E-8</v>
      </c>
      <c r="AA977" s="98">
        <v>1E-8</v>
      </c>
      <c r="AB977" s="98">
        <v>1E-8</v>
      </c>
      <c r="AC977" s="98">
        <v>1E-8</v>
      </c>
      <c r="AD977" s="4"/>
    </row>
    <row r="978" spans="1:30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34"/>
      <c r="O978" s="4"/>
      <c r="P978" s="68"/>
      <c r="Q978" s="68" t="s">
        <v>620</v>
      </c>
      <c r="R978" s="108" t="s">
        <v>61</v>
      </c>
      <c r="S978" s="108" t="s">
        <v>317</v>
      </c>
      <c r="T978" s="98">
        <v>1.3304461596202763E-3</v>
      </c>
      <c r="U978" s="80">
        <v>0.54226104080725701</v>
      </c>
      <c r="V978" s="98">
        <v>1E-8</v>
      </c>
      <c r="W978" s="98">
        <v>1E-8</v>
      </c>
      <c r="X978" s="98">
        <v>1E-8</v>
      </c>
      <c r="Y978" s="98">
        <v>1E-8</v>
      </c>
      <c r="Z978" s="98">
        <v>1E-8</v>
      </c>
      <c r="AA978" s="98">
        <v>1E-8</v>
      </c>
      <c r="AB978" s="98">
        <v>1E-8</v>
      </c>
      <c r="AC978" s="98">
        <v>1E-8</v>
      </c>
      <c r="AD978" s="4"/>
    </row>
    <row r="979" spans="1:30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34"/>
      <c r="O979" s="4"/>
      <c r="P979" s="68"/>
      <c r="Q979" s="68" t="s">
        <v>621</v>
      </c>
      <c r="R979" s="108" t="s">
        <v>61</v>
      </c>
      <c r="S979" s="108" t="s">
        <v>313</v>
      </c>
      <c r="T979" s="98">
        <v>9.6229645209000306E-2</v>
      </c>
      <c r="U979" s="80">
        <v>0.4459284947531339</v>
      </c>
      <c r="V979" s="98">
        <v>1E-8</v>
      </c>
      <c r="W979" s="98">
        <v>1E-8</v>
      </c>
      <c r="X979" s="98">
        <v>1E-8</v>
      </c>
      <c r="Y979" s="98">
        <v>1E-8</v>
      </c>
      <c r="Z979" s="98">
        <v>1E-8</v>
      </c>
      <c r="AA979" s="98">
        <v>1E-8</v>
      </c>
      <c r="AB979" s="98">
        <v>1E-8</v>
      </c>
      <c r="AC979" s="98">
        <v>1E-8</v>
      </c>
      <c r="AD979" s="4"/>
    </row>
    <row r="980" spans="1:30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34"/>
      <c r="O980" s="4"/>
      <c r="P980" s="68"/>
      <c r="Q980" s="68" t="s">
        <v>622</v>
      </c>
      <c r="R980" s="108" t="s">
        <v>61</v>
      </c>
      <c r="S980" s="108" t="s">
        <v>315</v>
      </c>
      <c r="T980" s="98">
        <v>0.3750085329013324</v>
      </c>
      <c r="U980" s="80">
        <v>1.6740365752904607</v>
      </c>
      <c r="V980" s="98">
        <v>1E-8</v>
      </c>
      <c r="W980" s="98">
        <v>1E-8</v>
      </c>
      <c r="X980" s="98">
        <v>1E-8</v>
      </c>
      <c r="Y980" s="98">
        <v>1E-8</v>
      </c>
      <c r="Z980" s="98">
        <v>1E-8</v>
      </c>
      <c r="AA980" s="98">
        <v>1E-8</v>
      </c>
      <c r="AB980" s="98">
        <v>1E-8</v>
      </c>
      <c r="AC980" s="98">
        <v>1E-8</v>
      </c>
      <c r="AD980" s="4"/>
    </row>
    <row r="981" spans="1:30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34"/>
      <c r="O981" s="4"/>
      <c r="P981" s="68"/>
      <c r="Q981" s="68" t="s">
        <v>623</v>
      </c>
      <c r="R981" s="108" t="s">
        <v>61</v>
      </c>
      <c r="S981" s="108" t="s">
        <v>540</v>
      </c>
      <c r="T981" s="98">
        <v>3.1951621187317834E-4</v>
      </c>
      <c r="U981" s="80">
        <v>2.0185182607469487</v>
      </c>
      <c r="V981" s="98">
        <v>1E-8</v>
      </c>
      <c r="W981" s="98">
        <v>1E-8</v>
      </c>
      <c r="X981" s="98">
        <v>1E-8</v>
      </c>
      <c r="Y981" s="98">
        <v>1E-8</v>
      </c>
      <c r="Z981" s="98">
        <v>1E-8</v>
      </c>
      <c r="AA981" s="98">
        <v>1E-8</v>
      </c>
      <c r="AB981" s="98">
        <v>1E-8</v>
      </c>
      <c r="AC981" s="98">
        <v>1E-8</v>
      </c>
      <c r="AD981" s="4"/>
    </row>
    <row r="982" spans="1:30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34"/>
      <c r="O982" s="4"/>
      <c r="P982" s="68"/>
      <c r="Q982" s="68" t="s">
        <v>624</v>
      </c>
      <c r="R982" s="109" t="s">
        <v>61</v>
      </c>
      <c r="S982" s="109" t="s">
        <v>541</v>
      </c>
      <c r="T982" s="81">
        <v>4.9843579628621433E-3</v>
      </c>
      <c r="U982" s="82">
        <v>7.3427750973028338</v>
      </c>
      <c r="V982" s="81">
        <v>1E-8</v>
      </c>
      <c r="W982" s="81">
        <v>1E-8</v>
      </c>
      <c r="X982" s="81">
        <v>1E-8</v>
      </c>
      <c r="Y982" s="81">
        <v>1E-8</v>
      </c>
      <c r="Z982" s="81">
        <v>1E-8</v>
      </c>
      <c r="AA982" s="81">
        <v>1E-8</v>
      </c>
      <c r="AB982" s="81">
        <v>1E-8</v>
      </c>
      <c r="AC982" s="81">
        <v>1E-8</v>
      </c>
      <c r="AD982" s="4"/>
    </row>
    <row r="983" spans="1:30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4"/>
      <c r="O983" s="4"/>
      <c r="P983" s="96"/>
      <c r="Q983" s="96" t="s">
        <v>281</v>
      </c>
      <c r="R983" s="107" t="s">
        <v>61</v>
      </c>
      <c r="S983" s="107" t="s">
        <v>318</v>
      </c>
      <c r="T983" s="97">
        <v>1E-8</v>
      </c>
      <c r="U983" s="78">
        <v>1E-8</v>
      </c>
      <c r="V983" s="97">
        <v>1E-8</v>
      </c>
      <c r="W983" s="97">
        <v>1E-8</v>
      </c>
      <c r="X983" s="97">
        <v>1E-8</v>
      </c>
      <c r="Y983" s="97">
        <v>1E-8</v>
      </c>
      <c r="Z983" s="97">
        <v>1E-8</v>
      </c>
      <c r="AA983" s="97">
        <v>1E-8</v>
      </c>
      <c r="AB983" s="97">
        <v>1E-8</v>
      </c>
      <c r="AC983" s="97">
        <v>1E-8</v>
      </c>
      <c r="AD983" s="4"/>
    </row>
    <row r="984" spans="1:30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34"/>
      <c r="O984" s="4"/>
      <c r="P984" s="96"/>
      <c r="Q984" s="96" t="s">
        <v>135</v>
      </c>
      <c r="R984" s="107" t="s">
        <v>61</v>
      </c>
      <c r="S984" s="107" t="s">
        <v>542</v>
      </c>
      <c r="T984" s="97">
        <v>1E-8</v>
      </c>
      <c r="U984" s="78">
        <v>1E-8</v>
      </c>
      <c r="V984" s="97">
        <v>1E-8</v>
      </c>
      <c r="W984" s="97">
        <v>1E-8</v>
      </c>
      <c r="X984" s="97">
        <v>1E-8</v>
      </c>
      <c r="Y984" s="97">
        <v>1E-8</v>
      </c>
      <c r="Z984" s="97">
        <v>1E-8</v>
      </c>
      <c r="AA984" s="97">
        <v>1E-8</v>
      </c>
      <c r="AB984" s="97">
        <v>1E-8</v>
      </c>
      <c r="AC984" s="97">
        <v>1E-8</v>
      </c>
      <c r="AD984" s="4"/>
    </row>
    <row r="985" spans="1:30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4"/>
      <c r="O985" s="4"/>
      <c r="P985" s="68"/>
      <c r="Q985" s="68" t="s">
        <v>625</v>
      </c>
      <c r="R985" s="108" t="s">
        <v>61</v>
      </c>
      <c r="S985" s="108" t="s">
        <v>543</v>
      </c>
      <c r="T985" s="98">
        <v>1E-8</v>
      </c>
      <c r="U985" s="80">
        <v>1E-8</v>
      </c>
      <c r="V985" s="98">
        <v>1E-8</v>
      </c>
      <c r="W985" s="98">
        <v>1E-8</v>
      </c>
      <c r="X985" s="98">
        <v>1E-8</v>
      </c>
      <c r="Y985" s="98">
        <v>1E-8</v>
      </c>
      <c r="Z985" s="98">
        <v>1E-8</v>
      </c>
      <c r="AA985" s="98">
        <v>1E-8</v>
      </c>
      <c r="AB985" s="98">
        <v>1E-8</v>
      </c>
      <c r="AC985" s="98">
        <v>1E-8</v>
      </c>
      <c r="AD985" s="4"/>
    </row>
    <row r="986" spans="1:30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4"/>
      <c r="O986" s="4"/>
      <c r="P986" s="68"/>
      <c r="Q986" s="68" t="s">
        <v>626</v>
      </c>
      <c r="R986" s="108" t="s">
        <v>61</v>
      </c>
      <c r="S986" s="108" t="s">
        <v>544</v>
      </c>
      <c r="T986" s="98">
        <v>1E-8</v>
      </c>
      <c r="U986" s="80">
        <v>1E-8</v>
      </c>
      <c r="V986" s="98">
        <v>1E-8</v>
      </c>
      <c r="W986" s="98">
        <v>1E-8</v>
      </c>
      <c r="X986" s="98">
        <v>1E-8</v>
      </c>
      <c r="Y986" s="98">
        <v>1E-8</v>
      </c>
      <c r="Z986" s="98">
        <v>1E-8</v>
      </c>
      <c r="AA986" s="98">
        <v>1E-8</v>
      </c>
      <c r="AB986" s="98">
        <v>1E-8</v>
      </c>
      <c r="AC986" s="98">
        <v>1E-8</v>
      </c>
      <c r="AD986" s="4"/>
    </row>
    <row r="987" spans="1:30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4"/>
      <c r="O987" s="4"/>
      <c r="P987" s="68"/>
      <c r="Q987" s="68" t="s">
        <v>627</v>
      </c>
      <c r="R987" s="108" t="s">
        <v>61</v>
      </c>
      <c r="S987" s="108" t="s">
        <v>319</v>
      </c>
      <c r="T987" s="98">
        <v>1E-8</v>
      </c>
      <c r="U987" s="80">
        <v>1E-8</v>
      </c>
      <c r="V987" s="98">
        <v>1E-8</v>
      </c>
      <c r="W987" s="98">
        <v>1E-8</v>
      </c>
      <c r="X987" s="98">
        <v>1E-8</v>
      </c>
      <c r="Y987" s="98">
        <v>1E-8</v>
      </c>
      <c r="Z987" s="98">
        <v>1E-8</v>
      </c>
      <c r="AA987" s="98">
        <v>1E-8</v>
      </c>
      <c r="AB987" s="98">
        <v>1E-8</v>
      </c>
      <c r="AC987" s="98">
        <v>1E-8</v>
      </c>
      <c r="AD987" s="4"/>
    </row>
    <row r="988" spans="1:30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34"/>
      <c r="O988" s="4"/>
      <c r="P988" s="71"/>
      <c r="Q988" s="71" t="s">
        <v>628</v>
      </c>
      <c r="R988" s="110" t="s">
        <v>61</v>
      </c>
      <c r="S988" s="110" t="s">
        <v>320</v>
      </c>
      <c r="T988" s="83">
        <v>1E-8</v>
      </c>
      <c r="U988" s="84">
        <v>1E-8</v>
      </c>
      <c r="V988" s="83">
        <v>1E-8</v>
      </c>
      <c r="W988" s="83">
        <v>1E-8</v>
      </c>
      <c r="X988" s="83">
        <v>1E-8</v>
      </c>
      <c r="Y988" s="83">
        <v>1E-8</v>
      </c>
      <c r="Z988" s="83">
        <v>1E-8</v>
      </c>
      <c r="AA988" s="83">
        <v>1E-8</v>
      </c>
      <c r="AB988" s="83">
        <v>1E-8</v>
      </c>
      <c r="AC988" s="83">
        <v>1E-8</v>
      </c>
      <c r="AD988" s="4"/>
    </row>
    <row r="989" spans="1:30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34"/>
      <c r="O989" s="4"/>
      <c r="P989" s="99"/>
      <c r="Q989" s="99" t="s">
        <v>282</v>
      </c>
      <c r="R989" s="105" t="s">
        <v>61</v>
      </c>
      <c r="S989" s="105" t="s">
        <v>321</v>
      </c>
      <c r="T989" s="95">
        <v>98.193396798415918</v>
      </c>
      <c r="U989" s="74">
        <v>-1.3140386875953869E-2</v>
      </c>
      <c r="V989" s="95">
        <v>1E-8</v>
      </c>
      <c r="W989" s="95">
        <v>1E-8</v>
      </c>
      <c r="X989" s="95">
        <v>1E-8</v>
      </c>
      <c r="Y989" s="95">
        <v>1E-8</v>
      </c>
      <c r="Z989" s="95">
        <v>1E-8</v>
      </c>
      <c r="AA989" s="95">
        <v>1E-8</v>
      </c>
      <c r="AB989" s="95">
        <v>1E-8</v>
      </c>
      <c r="AC989" s="95">
        <v>1E-8</v>
      </c>
      <c r="AD989" s="4"/>
    </row>
    <row r="990" spans="1:30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34"/>
      <c r="O990" s="4"/>
      <c r="P990" s="99"/>
      <c r="Q990" s="99" t="s">
        <v>283</v>
      </c>
      <c r="R990" s="105" t="s">
        <v>61</v>
      </c>
      <c r="S990" s="105" t="s">
        <v>322</v>
      </c>
      <c r="T990" s="95">
        <v>0.72999792374095929</v>
      </c>
      <c r="U990" s="74">
        <v>-0.94935744924076193</v>
      </c>
      <c r="V990" s="95">
        <v>1E-8</v>
      </c>
      <c r="W990" s="95">
        <v>1E-8</v>
      </c>
      <c r="X990" s="95">
        <v>1E-8</v>
      </c>
      <c r="Y990" s="95">
        <v>1E-8</v>
      </c>
      <c r="Z990" s="95">
        <v>1E-8</v>
      </c>
      <c r="AA990" s="95">
        <v>1E-8</v>
      </c>
      <c r="AB990" s="95">
        <v>1E-8</v>
      </c>
      <c r="AC990" s="95">
        <v>1E-8</v>
      </c>
      <c r="AD990" s="4"/>
    </row>
    <row r="991" spans="1:30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34"/>
      <c r="O991" s="4"/>
      <c r="P991" s="96"/>
      <c r="Q991" s="96" t="s">
        <v>284</v>
      </c>
      <c r="R991" s="107" t="s">
        <v>61</v>
      </c>
      <c r="S991" s="107" t="s">
        <v>323</v>
      </c>
      <c r="T991" s="97">
        <v>1E-8</v>
      </c>
      <c r="U991" s="78">
        <v>1E-8</v>
      </c>
      <c r="V991" s="97">
        <v>1E-8</v>
      </c>
      <c r="W991" s="97">
        <v>1E-8</v>
      </c>
      <c r="X991" s="97">
        <v>1E-8</v>
      </c>
      <c r="Y991" s="97">
        <v>1E-8</v>
      </c>
      <c r="Z991" s="97">
        <v>1E-8</v>
      </c>
      <c r="AA991" s="97">
        <v>1E-8</v>
      </c>
      <c r="AB991" s="97">
        <v>1E-8</v>
      </c>
      <c r="AC991" s="97">
        <v>1E-8</v>
      </c>
      <c r="AD991" s="4"/>
    </row>
    <row r="992" spans="1:30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34"/>
      <c r="O992" s="4"/>
      <c r="P992" s="68"/>
      <c r="Q992" s="68" t="s">
        <v>629</v>
      </c>
      <c r="R992" s="108" t="s">
        <v>61</v>
      </c>
      <c r="S992" s="108" t="s">
        <v>324</v>
      </c>
      <c r="T992" s="98">
        <v>1E-8</v>
      </c>
      <c r="U992" s="80">
        <v>1E-8</v>
      </c>
      <c r="V992" s="98">
        <v>1E-8</v>
      </c>
      <c r="W992" s="98">
        <v>1E-8</v>
      </c>
      <c r="X992" s="98">
        <v>1E-8</v>
      </c>
      <c r="Y992" s="98">
        <v>1E-8</v>
      </c>
      <c r="Z992" s="98">
        <v>1E-8</v>
      </c>
      <c r="AA992" s="98">
        <v>1E-8</v>
      </c>
      <c r="AB992" s="98">
        <v>1E-8</v>
      </c>
      <c r="AC992" s="98">
        <v>1E-8</v>
      </c>
      <c r="AD992" s="4"/>
    </row>
    <row r="993" spans="1:30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34"/>
      <c r="O993" s="4"/>
      <c r="P993" s="68"/>
      <c r="Q993" s="68" t="s">
        <v>630</v>
      </c>
      <c r="R993" s="108" t="s">
        <v>61</v>
      </c>
      <c r="S993" s="108" t="s">
        <v>545</v>
      </c>
      <c r="T993" s="98">
        <v>1E-8</v>
      </c>
      <c r="U993" s="80">
        <v>1E-8</v>
      </c>
      <c r="V993" s="98">
        <v>1E-8</v>
      </c>
      <c r="W993" s="98">
        <v>1E-8</v>
      </c>
      <c r="X993" s="98">
        <v>1E-8</v>
      </c>
      <c r="Y993" s="98">
        <v>1E-8</v>
      </c>
      <c r="Z993" s="98">
        <v>1E-8</v>
      </c>
      <c r="AA993" s="98">
        <v>1E-8</v>
      </c>
      <c r="AB993" s="98">
        <v>1E-8</v>
      </c>
      <c r="AC993" s="98">
        <v>1E-8</v>
      </c>
      <c r="AD993" s="4"/>
    </row>
    <row r="994" spans="1:30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34"/>
      <c r="O994" s="4"/>
      <c r="P994" s="68"/>
      <c r="Q994" s="68" t="s">
        <v>631</v>
      </c>
      <c r="R994" s="109" t="s">
        <v>61</v>
      </c>
      <c r="S994" s="109" t="s">
        <v>325</v>
      </c>
      <c r="T994" s="81">
        <v>1E-8</v>
      </c>
      <c r="U994" s="82">
        <v>1E-8</v>
      </c>
      <c r="V994" s="81">
        <v>1E-8</v>
      </c>
      <c r="W994" s="81">
        <v>1E-8</v>
      </c>
      <c r="X994" s="81">
        <v>1E-8</v>
      </c>
      <c r="Y994" s="81">
        <v>1E-8</v>
      </c>
      <c r="Z994" s="81">
        <v>1E-8</v>
      </c>
      <c r="AA994" s="81">
        <v>1E-8</v>
      </c>
      <c r="AB994" s="81">
        <v>1E-8</v>
      </c>
      <c r="AC994" s="81">
        <v>1E-8</v>
      </c>
      <c r="AD994" s="4"/>
    </row>
    <row r="995" spans="1:30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4"/>
      <c r="O995" s="4"/>
      <c r="P995" s="96"/>
      <c r="Q995" s="96" t="s">
        <v>285</v>
      </c>
      <c r="R995" s="107" t="s">
        <v>61</v>
      </c>
      <c r="S995" s="107" t="s">
        <v>326</v>
      </c>
      <c r="T995" s="97">
        <v>1E-8</v>
      </c>
      <c r="U995" s="78">
        <v>1E-8</v>
      </c>
      <c r="V995" s="97">
        <v>1E-8</v>
      </c>
      <c r="W995" s="97">
        <v>1E-8</v>
      </c>
      <c r="X995" s="97">
        <v>1E-8</v>
      </c>
      <c r="Y995" s="97">
        <v>1E-8</v>
      </c>
      <c r="Z995" s="97">
        <v>1E-8</v>
      </c>
      <c r="AA995" s="97">
        <v>1E-8</v>
      </c>
      <c r="AB995" s="97">
        <v>1E-8</v>
      </c>
      <c r="AC995" s="97">
        <v>1E-8</v>
      </c>
      <c r="AD995" s="4"/>
    </row>
    <row r="996" spans="1:30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4"/>
      <c r="O996" s="4"/>
      <c r="P996" s="68"/>
      <c r="Q996" s="68" t="s">
        <v>364</v>
      </c>
      <c r="R996" s="108" t="s">
        <v>61</v>
      </c>
      <c r="S996" s="108" t="s">
        <v>327</v>
      </c>
      <c r="T996" s="98">
        <v>1E-8</v>
      </c>
      <c r="U996" s="80">
        <v>1E-8</v>
      </c>
      <c r="V996" s="98">
        <v>1E-8</v>
      </c>
      <c r="W996" s="98">
        <v>1E-8</v>
      </c>
      <c r="X996" s="98">
        <v>1E-8</v>
      </c>
      <c r="Y996" s="98">
        <v>1E-8</v>
      </c>
      <c r="Z996" s="98">
        <v>1E-8</v>
      </c>
      <c r="AA996" s="98">
        <v>1E-8</v>
      </c>
      <c r="AB996" s="98">
        <v>1E-8</v>
      </c>
      <c r="AC996" s="98">
        <v>1E-8</v>
      </c>
      <c r="AD996" s="4"/>
    </row>
    <row r="997" spans="1:30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34"/>
      <c r="O997" s="4"/>
      <c r="P997" s="100"/>
      <c r="Q997" s="100" t="s">
        <v>632</v>
      </c>
      <c r="R997" s="111" t="s">
        <v>61</v>
      </c>
      <c r="S997" s="111" t="s">
        <v>328</v>
      </c>
      <c r="T997" s="101">
        <v>1E-8</v>
      </c>
      <c r="U997" s="86">
        <v>1E-8</v>
      </c>
      <c r="V997" s="101">
        <v>1E-8</v>
      </c>
      <c r="W997" s="101">
        <v>1E-8</v>
      </c>
      <c r="X997" s="101">
        <v>1E-8</v>
      </c>
      <c r="Y997" s="101">
        <v>1E-8</v>
      </c>
      <c r="Z997" s="101">
        <v>1E-8</v>
      </c>
      <c r="AA997" s="101">
        <v>1E-8</v>
      </c>
      <c r="AB997" s="101">
        <v>1E-8</v>
      </c>
      <c r="AC997" s="101">
        <v>1E-8</v>
      </c>
      <c r="AD997" s="4"/>
    </row>
    <row r="998" spans="1:30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34"/>
      <c r="O998" s="4"/>
      <c r="P998" s="100"/>
      <c r="Q998" s="100" t="s">
        <v>633</v>
      </c>
      <c r="R998" s="111" t="s">
        <v>61</v>
      </c>
      <c r="S998" s="111" t="s">
        <v>329</v>
      </c>
      <c r="T998" s="101">
        <v>1E-8</v>
      </c>
      <c r="U998" s="86">
        <v>1E-8</v>
      </c>
      <c r="V998" s="101">
        <v>1E-8</v>
      </c>
      <c r="W998" s="101">
        <v>1E-8</v>
      </c>
      <c r="X998" s="101">
        <v>1E-8</v>
      </c>
      <c r="Y998" s="101">
        <v>1E-8</v>
      </c>
      <c r="Z998" s="101">
        <v>1E-8</v>
      </c>
      <c r="AA998" s="101">
        <v>1E-8</v>
      </c>
      <c r="AB998" s="101">
        <v>1E-8</v>
      </c>
      <c r="AC998" s="101">
        <v>1E-8</v>
      </c>
      <c r="AD998" s="4"/>
    </row>
    <row r="999" spans="1:30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34"/>
      <c r="O999" s="4"/>
      <c r="P999" s="100"/>
      <c r="Q999" s="100" t="s">
        <v>634</v>
      </c>
      <c r="R999" s="111" t="s">
        <v>61</v>
      </c>
      <c r="S999" s="111" t="s">
        <v>331</v>
      </c>
      <c r="T999" s="101">
        <v>1E-8</v>
      </c>
      <c r="U999" s="86">
        <v>1E-8</v>
      </c>
      <c r="V999" s="101">
        <v>1E-8</v>
      </c>
      <c r="W999" s="101">
        <v>1E-8</v>
      </c>
      <c r="X999" s="101">
        <v>1E-8</v>
      </c>
      <c r="Y999" s="101">
        <v>1E-8</v>
      </c>
      <c r="Z999" s="101">
        <v>1E-8</v>
      </c>
      <c r="AA999" s="101">
        <v>1E-8</v>
      </c>
      <c r="AB999" s="101">
        <v>1E-8</v>
      </c>
      <c r="AC999" s="101">
        <v>1E-8</v>
      </c>
      <c r="AD999" s="4"/>
    </row>
    <row r="1000" spans="1:30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34"/>
      <c r="O1000" s="4"/>
      <c r="P1000" s="100"/>
      <c r="Q1000" s="100" t="s">
        <v>635</v>
      </c>
      <c r="R1000" s="111" t="s">
        <v>61</v>
      </c>
      <c r="S1000" s="111" t="s">
        <v>332</v>
      </c>
      <c r="T1000" s="101">
        <v>1E-8</v>
      </c>
      <c r="U1000" s="86">
        <v>1E-8</v>
      </c>
      <c r="V1000" s="101">
        <v>1E-8</v>
      </c>
      <c r="W1000" s="101">
        <v>1E-8</v>
      </c>
      <c r="X1000" s="101">
        <v>1E-8</v>
      </c>
      <c r="Y1000" s="101">
        <v>1E-8</v>
      </c>
      <c r="Z1000" s="101">
        <v>1E-8</v>
      </c>
      <c r="AA1000" s="101">
        <v>1E-8</v>
      </c>
      <c r="AB1000" s="101">
        <v>1E-8</v>
      </c>
      <c r="AC1000" s="101">
        <v>1E-8</v>
      </c>
      <c r="AD1000" s="4"/>
    </row>
    <row r="1001" spans="1:30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34"/>
      <c r="O1001" s="4"/>
      <c r="P1001" s="100"/>
      <c r="Q1001" s="100" t="s">
        <v>636</v>
      </c>
      <c r="R1001" s="111" t="s">
        <v>61</v>
      </c>
      <c r="S1001" s="111" t="s">
        <v>330</v>
      </c>
      <c r="T1001" s="101">
        <v>1E-8</v>
      </c>
      <c r="U1001" s="86">
        <v>1E-8</v>
      </c>
      <c r="V1001" s="101">
        <v>1E-8</v>
      </c>
      <c r="W1001" s="101">
        <v>1E-8</v>
      </c>
      <c r="X1001" s="101">
        <v>1E-8</v>
      </c>
      <c r="Y1001" s="101">
        <v>1E-8</v>
      </c>
      <c r="Z1001" s="101">
        <v>1E-8</v>
      </c>
      <c r="AA1001" s="101">
        <v>1E-8</v>
      </c>
      <c r="AB1001" s="101">
        <v>1E-8</v>
      </c>
      <c r="AC1001" s="101">
        <v>1E-8</v>
      </c>
      <c r="AD1001" s="4"/>
    </row>
    <row r="1002" spans="1:30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34"/>
      <c r="O1002" s="4"/>
      <c r="P1002" s="100"/>
      <c r="Q1002" s="100" t="s">
        <v>637</v>
      </c>
      <c r="R1002" s="111" t="s">
        <v>61</v>
      </c>
      <c r="S1002" s="111" t="s">
        <v>333</v>
      </c>
      <c r="T1002" s="101">
        <v>1E-8</v>
      </c>
      <c r="U1002" s="86">
        <v>1E-8</v>
      </c>
      <c r="V1002" s="101">
        <v>1E-8</v>
      </c>
      <c r="W1002" s="101">
        <v>1E-8</v>
      </c>
      <c r="X1002" s="101">
        <v>1E-8</v>
      </c>
      <c r="Y1002" s="101">
        <v>1E-8</v>
      </c>
      <c r="Z1002" s="101">
        <v>1E-8</v>
      </c>
      <c r="AA1002" s="101">
        <v>1E-8</v>
      </c>
      <c r="AB1002" s="101">
        <v>1E-8</v>
      </c>
      <c r="AC1002" s="101">
        <v>1E-8</v>
      </c>
      <c r="AD1002" s="4"/>
    </row>
    <row r="1003" spans="1:30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34"/>
      <c r="O1003" s="4"/>
      <c r="P1003" s="100"/>
      <c r="Q1003" s="100" t="s">
        <v>638</v>
      </c>
      <c r="R1003" s="111" t="s">
        <v>61</v>
      </c>
      <c r="S1003" s="111" t="s">
        <v>546</v>
      </c>
      <c r="T1003" s="101">
        <v>1E-8</v>
      </c>
      <c r="U1003" s="86">
        <v>1E-8</v>
      </c>
      <c r="V1003" s="101">
        <v>1E-8</v>
      </c>
      <c r="W1003" s="101">
        <v>1E-8</v>
      </c>
      <c r="X1003" s="101">
        <v>1E-8</v>
      </c>
      <c r="Y1003" s="101">
        <v>1E-8</v>
      </c>
      <c r="Z1003" s="101">
        <v>1E-8</v>
      </c>
      <c r="AA1003" s="101">
        <v>1E-8</v>
      </c>
      <c r="AB1003" s="101">
        <v>1E-8</v>
      </c>
      <c r="AC1003" s="101">
        <v>1E-8</v>
      </c>
      <c r="AD1003" s="4"/>
    </row>
    <row r="1004" spans="1:30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34"/>
      <c r="O1004" s="4"/>
      <c r="P1004" s="100"/>
      <c r="Q1004" s="100" t="s">
        <v>639</v>
      </c>
      <c r="R1004" s="111" t="s">
        <v>61</v>
      </c>
      <c r="S1004" s="111" t="s">
        <v>335</v>
      </c>
      <c r="T1004" s="101">
        <v>1E-8</v>
      </c>
      <c r="U1004" s="86">
        <v>1E-8</v>
      </c>
      <c r="V1004" s="101">
        <v>1E-8</v>
      </c>
      <c r="W1004" s="101">
        <v>1E-8</v>
      </c>
      <c r="X1004" s="101">
        <v>1E-8</v>
      </c>
      <c r="Y1004" s="101">
        <v>1E-8</v>
      </c>
      <c r="Z1004" s="101">
        <v>1E-8</v>
      </c>
      <c r="AA1004" s="101">
        <v>1E-8</v>
      </c>
      <c r="AB1004" s="101">
        <v>1E-8</v>
      </c>
      <c r="AC1004" s="101">
        <v>1E-8</v>
      </c>
      <c r="AD1004" s="4"/>
    </row>
    <row r="1005" spans="1:30" x14ac:dyDescent="0.3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34"/>
      <c r="O1005" s="4"/>
      <c r="P1005" s="100"/>
      <c r="Q1005" s="100" t="s">
        <v>640</v>
      </c>
      <c r="R1005" s="111" t="s">
        <v>61</v>
      </c>
      <c r="S1005" s="111" t="s">
        <v>334</v>
      </c>
      <c r="T1005" s="101">
        <v>1E-8</v>
      </c>
      <c r="U1005" s="86">
        <v>1E-8</v>
      </c>
      <c r="V1005" s="101">
        <v>1E-8</v>
      </c>
      <c r="W1005" s="101">
        <v>1E-8</v>
      </c>
      <c r="X1005" s="101">
        <v>1E-8</v>
      </c>
      <c r="Y1005" s="101">
        <v>1E-8</v>
      </c>
      <c r="Z1005" s="101">
        <v>1E-8</v>
      </c>
      <c r="AA1005" s="101">
        <v>1E-8</v>
      </c>
      <c r="AB1005" s="101">
        <v>1E-8</v>
      </c>
      <c r="AC1005" s="101">
        <v>1E-8</v>
      </c>
      <c r="AD1005" s="4"/>
    </row>
    <row r="1006" spans="1:30" x14ac:dyDescent="0.3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34"/>
      <c r="O1006" s="4"/>
      <c r="P1006" s="68"/>
      <c r="Q1006" s="68" t="s">
        <v>365</v>
      </c>
      <c r="R1006" s="108" t="s">
        <v>61</v>
      </c>
      <c r="S1006" s="108" t="s">
        <v>374</v>
      </c>
      <c r="T1006" s="98">
        <v>1E-8</v>
      </c>
      <c r="U1006" s="80">
        <v>1E-8</v>
      </c>
      <c r="V1006" s="98">
        <v>1E-8</v>
      </c>
      <c r="W1006" s="98">
        <v>1E-8</v>
      </c>
      <c r="X1006" s="98">
        <v>1E-8</v>
      </c>
      <c r="Y1006" s="98">
        <v>1E-8</v>
      </c>
      <c r="Z1006" s="98">
        <v>1E-8</v>
      </c>
      <c r="AA1006" s="98">
        <v>1E-8</v>
      </c>
      <c r="AB1006" s="98">
        <v>1E-8</v>
      </c>
      <c r="AC1006" s="98">
        <v>1E-8</v>
      </c>
      <c r="AD1006" s="4"/>
    </row>
    <row r="1007" spans="1:30" x14ac:dyDescent="0.3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34"/>
      <c r="O1007" s="4"/>
      <c r="P1007" s="100"/>
      <c r="Q1007" s="100" t="s">
        <v>641</v>
      </c>
      <c r="R1007" s="111" t="s">
        <v>61</v>
      </c>
      <c r="S1007" s="111" t="s">
        <v>547</v>
      </c>
      <c r="T1007" s="101">
        <v>1E-8</v>
      </c>
      <c r="U1007" s="86">
        <v>1E-8</v>
      </c>
      <c r="V1007" s="101">
        <v>1E-8</v>
      </c>
      <c r="W1007" s="101">
        <v>1E-8</v>
      </c>
      <c r="X1007" s="101">
        <v>1E-8</v>
      </c>
      <c r="Y1007" s="101">
        <v>1E-8</v>
      </c>
      <c r="Z1007" s="101">
        <v>1E-8</v>
      </c>
      <c r="AA1007" s="101">
        <v>1E-8</v>
      </c>
      <c r="AB1007" s="101">
        <v>1E-8</v>
      </c>
      <c r="AC1007" s="101">
        <v>1E-8</v>
      </c>
      <c r="AD1007" s="4"/>
    </row>
    <row r="1008" spans="1:30" x14ac:dyDescent="0.3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34"/>
      <c r="O1008" s="4"/>
      <c r="P1008" s="100"/>
      <c r="Q1008" s="100" t="s">
        <v>642</v>
      </c>
      <c r="R1008" s="111" t="s">
        <v>61</v>
      </c>
      <c r="S1008" s="111" t="s">
        <v>336</v>
      </c>
      <c r="T1008" s="101">
        <v>1E-8</v>
      </c>
      <c r="U1008" s="86">
        <v>1E-8</v>
      </c>
      <c r="V1008" s="101">
        <v>1E-8</v>
      </c>
      <c r="W1008" s="101">
        <v>1E-8</v>
      </c>
      <c r="X1008" s="101">
        <v>1E-8</v>
      </c>
      <c r="Y1008" s="101">
        <v>1E-8</v>
      </c>
      <c r="Z1008" s="101">
        <v>1E-8</v>
      </c>
      <c r="AA1008" s="101">
        <v>1E-8</v>
      </c>
      <c r="AB1008" s="101">
        <v>1E-8</v>
      </c>
      <c r="AC1008" s="101">
        <v>1E-8</v>
      </c>
      <c r="AD1008" s="4"/>
    </row>
    <row r="1009" spans="1:30" x14ac:dyDescent="0.3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34"/>
      <c r="O1009" s="4"/>
      <c r="P1009" s="100"/>
      <c r="Q1009" s="100" t="s">
        <v>643</v>
      </c>
      <c r="R1009" s="112" t="s">
        <v>61</v>
      </c>
      <c r="S1009" s="112" t="s">
        <v>337</v>
      </c>
      <c r="T1009" s="87">
        <v>1E-8</v>
      </c>
      <c r="U1009" s="88">
        <v>1E-8</v>
      </c>
      <c r="V1009" s="87">
        <v>1E-8</v>
      </c>
      <c r="W1009" s="87">
        <v>1E-8</v>
      </c>
      <c r="X1009" s="87">
        <v>1E-8</v>
      </c>
      <c r="Y1009" s="87">
        <v>1E-8</v>
      </c>
      <c r="Z1009" s="87">
        <v>1E-8</v>
      </c>
      <c r="AA1009" s="87">
        <v>1E-8</v>
      </c>
      <c r="AB1009" s="87">
        <v>1E-8</v>
      </c>
      <c r="AC1009" s="87">
        <v>1E-8</v>
      </c>
      <c r="AD1009" s="4"/>
    </row>
    <row r="1010" spans="1:30" x14ac:dyDescent="0.3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34"/>
      <c r="O1010" s="4"/>
      <c r="P1010" s="68"/>
      <c r="Q1010" s="68" t="s">
        <v>644</v>
      </c>
      <c r="R1010" s="108" t="s">
        <v>61</v>
      </c>
      <c r="S1010" s="108" t="s">
        <v>338</v>
      </c>
      <c r="T1010" s="98">
        <v>1E-8</v>
      </c>
      <c r="U1010" s="80">
        <v>1E-8</v>
      </c>
      <c r="V1010" s="98">
        <v>1E-8</v>
      </c>
      <c r="W1010" s="98">
        <v>1E-8</v>
      </c>
      <c r="X1010" s="98">
        <v>1E-8</v>
      </c>
      <c r="Y1010" s="98">
        <v>1E-8</v>
      </c>
      <c r="Z1010" s="98">
        <v>1E-8</v>
      </c>
      <c r="AA1010" s="98">
        <v>1E-8</v>
      </c>
      <c r="AB1010" s="98">
        <v>1E-8</v>
      </c>
      <c r="AC1010" s="98">
        <v>1E-8</v>
      </c>
      <c r="AD1010" s="4"/>
    </row>
    <row r="1011" spans="1:30" x14ac:dyDescent="0.3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34"/>
      <c r="O1011" s="4"/>
      <c r="P1011" s="68"/>
      <c r="Q1011" s="68" t="s">
        <v>366</v>
      </c>
      <c r="R1011" s="108" t="s">
        <v>61</v>
      </c>
      <c r="S1011" s="108" t="s">
        <v>339</v>
      </c>
      <c r="T1011" s="98">
        <v>1E-8</v>
      </c>
      <c r="U1011" s="80">
        <v>1E-8</v>
      </c>
      <c r="V1011" s="98">
        <v>1E-8</v>
      </c>
      <c r="W1011" s="98">
        <v>1E-8</v>
      </c>
      <c r="X1011" s="98">
        <v>1E-8</v>
      </c>
      <c r="Y1011" s="98">
        <v>1E-8</v>
      </c>
      <c r="Z1011" s="98">
        <v>1E-8</v>
      </c>
      <c r="AA1011" s="98">
        <v>1E-8</v>
      </c>
      <c r="AB1011" s="98">
        <v>1E-8</v>
      </c>
      <c r="AC1011" s="98">
        <v>1E-8</v>
      </c>
      <c r="AD1011" s="4"/>
    </row>
    <row r="1012" spans="1:30" x14ac:dyDescent="0.3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34"/>
      <c r="O1012" s="4"/>
      <c r="P1012" s="100"/>
      <c r="Q1012" s="100" t="s">
        <v>645</v>
      </c>
      <c r="R1012" s="111" t="s">
        <v>61</v>
      </c>
      <c r="S1012" s="111" t="s">
        <v>340</v>
      </c>
      <c r="T1012" s="101">
        <v>1E-8</v>
      </c>
      <c r="U1012" s="86">
        <v>1E-8</v>
      </c>
      <c r="V1012" s="101">
        <v>1E-8</v>
      </c>
      <c r="W1012" s="101">
        <v>1E-8</v>
      </c>
      <c r="X1012" s="101">
        <v>1E-8</v>
      </c>
      <c r="Y1012" s="101">
        <v>1E-8</v>
      </c>
      <c r="Z1012" s="101">
        <v>1E-8</v>
      </c>
      <c r="AA1012" s="101">
        <v>1E-8</v>
      </c>
      <c r="AB1012" s="101">
        <v>1E-8</v>
      </c>
      <c r="AC1012" s="101">
        <v>1E-8</v>
      </c>
      <c r="AD1012" s="4"/>
    </row>
    <row r="1013" spans="1:30" x14ac:dyDescent="0.3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34"/>
      <c r="O1013" s="4"/>
      <c r="P1013" s="100"/>
      <c r="Q1013" s="100" t="s">
        <v>646</v>
      </c>
      <c r="R1013" s="111" t="s">
        <v>61</v>
      </c>
      <c r="S1013" s="111" t="s">
        <v>548</v>
      </c>
      <c r="T1013" s="101">
        <v>1E-8</v>
      </c>
      <c r="U1013" s="86">
        <v>1E-8</v>
      </c>
      <c r="V1013" s="101">
        <v>1E-8</v>
      </c>
      <c r="W1013" s="101">
        <v>1E-8</v>
      </c>
      <c r="X1013" s="101">
        <v>1E-8</v>
      </c>
      <c r="Y1013" s="101">
        <v>1E-8</v>
      </c>
      <c r="Z1013" s="101">
        <v>1E-8</v>
      </c>
      <c r="AA1013" s="101">
        <v>1E-8</v>
      </c>
      <c r="AB1013" s="101">
        <v>1E-8</v>
      </c>
      <c r="AC1013" s="101">
        <v>1E-8</v>
      </c>
      <c r="AD1013" s="4"/>
    </row>
    <row r="1014" spans="1:30" x14ac:dyDescent="0.3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34"/>
      <c r="O1014" s="4"/>
      <c r="P1014" s="68"/>
      <c r="Q1014" s="68" t="s">
        <v>367</v>
      </c>
      <c r="R1014" s="108" t="s">
        <v>61</v>
      </c>
      <c r="S1014" s="108" t="s">
        <v>341</v>
      </c>
      <c r="T1014" s="98">
        <v>1E-8</v>
      </c>
      <c r="U1014" s="80">
        <v>1E-8</v>
      </c>
      <c r="V1014" s="98">
        <v>1E-8</v>
      </c>
      <c r="W1014" s="98">
        <v>1E-8</v>
      </c>
      <c r="X1014" s="98">
        <v>1E-8</v>
      </c>
      <c r="Y1014" s="98">
        <v>1E-8</v>
      </c>
      <c r="Z1014" s="98">
        <v>1E-8</v>
      </c>
      <c r="AA1014" s="98">
        <v>1E-8</v>
      </c>
      <c r="AB1014" s="98">
        <v>1E-8</v>
      </c>
      <c r="AC1014" s="98">
        <v>1E-8</v>
      </c>
      <c r="AD1014" s="4"/>
    </row>
    <row r="1015" spans="1:30" x14ac:dyDescent="0.3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34"/>
      <c r="O1015" s="4"/>
      <c r="P1015" s="100"/>
      <c r="Q1015" s="100" t="s">
        <v>647</v>
      </c>
      <c r="R1015" s="111" t="s">
        <v>61</v>
      </c>
      <c r="S1015" s="111" t="s">
        <v>342</v>
      </c>
      <c r="T1015" s="101">
        <v>1E-8</v>
      </c>
      <c r="U1015" s="86">
        <v>1E-8</v>
      </c>
      <c r="V1015" s="101">
        <v>1E-8</v>
      </c>
      <c r="W1015" s="101">
        <v>1E-8</v>
      </c>
      <c r="X1015" s="101">
        <v>1E-8</v>
      </c>
      <c r="Y1015" s="101">
        <v>1E-8</v>
      </c>
      <c r="Z1015" s="101">
        <v>1E-8</v>
      </c>
      <c r="AA1015" s="101">
        <v>1E-8</v>
      </c>
      <c r="AB1015" s="101">
        <v>1E-8</v>
      </c>
      <c r="AC1015" s="101">
        <v>1E-8</v>
      </c>
      <c r="AD1015" s="4"/>
    </row>
    <row r="1016" spans="1:30" x14ac:dyDescent="0.3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34"/>
      <c r="O1016" s="4"/>
      <c r="P1016" s="100"/>
      <c r="Q1016" s="100" t="s">
        <v>648</v>
      </c>
      <c r="R1016" s="111" t="s">
        <v>61</v>
      </c>
      <c r="S1016" s="111" t="s">
        <v>343</v>
      </c>
      <c r="T1016" s="101">
        <v>1E-8</v>
      </c>
      <c r="U1016" s="86">
        <v>1E-8</v>
      </c>
      <c r="V1016" s="101">
        <v>1E-8</v>
      </c>
      <c r="W1016" s="101">
        <v>1E-8</v>
      </c>
      <c r="X1016" s="101">
        <v>1E-8</v>
      </c>
      <c r="Y1016" s="101">
        <v>1E-8</v>
      </c>
      <c r="Z1016" s="101">
        <v>1E-8</v>
      </c>
      <c r="AA1016" s="101">
        <v>1E-8</v>
      </c>
      <c r="AB1016" s="101">
        <v>1E-8</v>
      </c>
      <c r="AC1016" s="101">
        <v>1E-8</v>
      </c>
      <c r="AD1016" s="4"/>
    </row>
    <row r="1017" spans="1:30" x14ac:dyDescent="0.3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34"/>
      <c r="O1017" s="4"/>
      <c r="P1017" s="100"/>
      <c r="Q1017" s="100" t="s">
        <v>649</v>
      </c>
      <c r="R1017" s="111" t="s">
        <v>61</v>
      </c>
      <c r="S1017" s="111" t="s">
        <v>549</v>
      </c>
      <c r="T1017" s="101">
        <v>1E-8</v>
      </c>
      <c r="U1017" s="86">
        <v>1E-8</v>
      </c>
      <c r="V1017" s="101">
        <v>1E-8</v>
      </c>
      <c r="W1017" s="101">
        <v>1E-8</v>
      </c>
      <c r="X1017" s="101">
        <v>1E-8</v>
      </c>
      <c r="Y1017" s="101">
        <v>1E-8</v>
      </c>
      <c r="Z1017" s="101">
        <v>1E-8</v>
      </c>
      <c r="AA1017" s="101">
        <v>1E-8</v>
      </c>
      <c r="AB1017" s="101">
        <v>1E-8</v>
      </c>
      <c r="AC1017" s="101">
        <v>1E-8</v>
      </c>
      <c r="AD1017" s="4"/>
    </row>
    <row r="1018" spans="1:30" x14ac:dyDescent="0.3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34"/>
      <c r="O1018" s="4"/>
      <c r="P1018" s="100"/>
      <c r="Q1018" s="100" t="s">
        <v>650</v>
      </c>
      <c r="R1018" s="111" t="s">
        <v>61</v>
      </c>
      <c r="S1018" s="111" t="s">
        <v>550</v>
      </c>
      <c r="T1018" s="101">
        <v>1E-8</v>
      </c>
      <c r="U1018" s="86">
        <v>1E-8</v>
      </c>
      <c r="V1018" s="101">
        <v>1E-8</v>
      </c>
      <c r="W1018" s="101">
        <v>1E-8</v>
      </c>
      <c r="X1018" s="101">
        <v>1E-8</v>
      </c>
      <c r="Y1018" s="101">
        <v>1E-8</v>
      </c>
      <c r="Z1018" s="101">
        <v>1E-8</v>
      </c>
      <c r="AA1018" s="101">
        <v>1E-8</v>
      </c>
      <c r="AB1018" s="101">
        <v>1E-8</v>
      </c>
      <c r="AC1018" s="101">
        <v>1E-8</v>
      </c>
      <c r="AD1018" s="4"/>
    </row>
    <row r="1019" spans="1:30" x14ac:dyDescent="0.3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34"/>
      <c r="O1019" s="4"/>
      <c r="P1019" s="68"/>
      <c r="Q1019" s="68" t="s">
        <v>172</v>
      </c>
      <c r="R1019" s="108" t="s">
        <v>61</v>
      </c>
      <c r="S1019" s="108" t="s">
        <v>551</v>
      </c>
      <c r="T1019" s="98">
        <v>1E-8</v>
      </c>
      <c r="U1019" s="80">
        <v>1E-8</v>
      </c>
      <c r="V1019" s="98">
        <v>1E-8</v>
      </c>
      <c r="W1019" s="98">
        <v>1E-8</v>
      </c>
      <c r="X1019" s="98">
        <v>1E-8</v>
      </c>
      <c r="Y1019" s="98">
        <v>1E-8</v>
      </c>
      <c r="Z1019" s="98">
        <v>1E-8</v>
      </c>
      <c r="AA1019" s="98">
        <v>1E-8</v>
      </c>
      <c r="AB1019" s="98">
        <v>1E-8</v>
      </c>
      <c r="AC1019" s="98">
        <v>1E-8</v>
      </c>
      <c r="AD1019" s="4"/>
    </row>
    <row r="1020" spans="1:30" x14ac:dyDescent="0.3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34"/>
      <c r="O1020" s="4"/>
      <c r="P1020" s="100"/>
      <c r="Q1020" s="100" t="s">
        <v>651</v>
      </c>
      <c r="R1020" s="111" t="s">
        <v>61</v>
      </c>
      <c r="S1020" s="111" t="s">
        <v>344</v>
      </c>
      <c r="T1020" s="101">
        <v>1E-8</v>
      </c>
      <c r="U1020" s="86">
        <v>1E-8</v>
      </c>
      <c r="V1020" s="101">
        <v>1E-8</v>
      </c>
      <c r="W1020" s="101">
        <v>1E-8</v>
      </c>
      <c r="X1020" s="101">
        <v>1E-8</v>
      </c>
      <c r="Y1020" s="101">
        <v>1E-8</v>
      </c>
      <c r="Z1020" s="101">
        <v>1E-8</v>
      </c>
      <c r="AA1020" s="101">
        <v>1E-8</v>
      </c>
      <c r="AB1020" s="101">
        <v>1E-8</v>
      </c>
      <c r="AC1020" s="101">
        <v>1E-8</v>
      </c>
      <c r="AD1020" s="4"/>
    </row>
    <row r="1021" spans="1:30" x14ac:dyDescent="0.3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34"/>
      <c r="O1021" s="4"/>
      <c r="P1021" s="100"/>
      <c r="Q1021" s="100" t="s">
        <v>652</v>
      </c>
      <c r="R1021" s="111" t="s">
        <v>61</v>
      </c>
      <c r="S1021" s="111" t="s">
        <v>552</v>
      </c>
      <c r="T1021" s="101">
        <v>1E-8</v>
      </c>
      <c r="U1021" s="86">
        <v>1E-8</v>
      </c>
      <c r="V1021" s="101">
        <v>1E-8</v>
      </c>
      <c r="W1021" s="101">
        <v>1E-8</v>
      </c>
      <c r="X1021" s="101">
        <v>1E-8</v>
      </c>
      <c r="Y1021" s="101">
        <v>1E-8</v>
      </c>
      <c r="Z1021" s="101">
        <v>1E-8</v>
      </c>
      <c r="AA1021" s="101">
        <v>1E-8</v>
      </c>
      <c r="AB1021" s="101">
        <v>1E-8</v>
      </c>
      <c r="AC1021" s="101">
        <v>1E-8</v>
      </c>
      <c r="AD1021" s="4"/>
    </row>
    <row r="1022" spans="1:30" x14ac:dyDescent="0.3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34"/>
      <c r="O1022" s="4"/>
      <c r="P1022" s="100"/>
      <c r="Q1022" s="100" t="s">
        <v>653</v>
      </c>
      <c r="R1022" s="111" t="s">
        <v>61</v>
      </c>
      <c r="S1022" s="111" t="s">
        <v>553</v>
      </c>
      <c r="T1022" s="101">
        <v>1E-8</v>
      </c>
      <c r="U1022" s="86">
        <v>1E-8</v>
      </c>
      <c r="V1022" s="101">
        <v>1E-8</v>
      </c>
      <c r="W1022" s="101">
        <v>1E-8</v>
      </c>
      <c r="X1022" s="101">
        <v>1E-8</v>
      </c>
      <c r="Y1022" s="101">
        <v>1E-8</v>
      </c>
      <c r="Z1022" s="101">
        <v>1E-8</v>
      </c>
      <c r="AA1022" s="101">
        <v>1E-8</v>
      </c>
      <c r="AB1022" s="101">
        <v>1E-8</v>
      </c>
      <c r="AC1022" s="101">
        <v>1E-8</v>
      </c>
      <c r="AD1022" s="4"/>
    </row>
    <row r="1023" spans="1:30" x14ac:dyDescent="0.3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34"/>
      <c r="O1023" s="4"/>
      <c r="P1023" s="68"/>
      <c r="Q1023" s="68" t="s">
        <v>368</v>
      </c>
      <c r="R1023" s="108" t="s">
        <v>61</v>
      </c>
      <c r="S1023" s="108" t="s">
        <v>345</v>
      </c>
      <c r="T1023" s="98">
        <v>1E-8</v>
      </c>
      <c r="U1023" s="80">
        <v>1E-8</v>
      </c>
      <c r="V1023" s="98">
        <v>1E-8</v>
      </c>
      <c r="W1023" s="98">
        <v>1E-8</v>
      </c>
      <c r="X1023" s="98">
        <v>1E-8</v>
      </c>
      <c r="Y1023" s="98">
        <v>1E-8</v>
      </c>
      <c r="Z1023" s="98">
        <v>1E-8</v>
      </c>
      <c r="AA1023" s="98">
        <v>1E-8</v>
      </c>
      <c r="AB1023" s="98">
        <v>1E-8</v>
      </c>
      <c r="AC1023" s="98">
        <v>1E-8</v>
      </c>
      <c r="AD1023" s="4"/>
    </row>
    <row r="1024" spans="1:30" x14ac:dyDescent="0.3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34"/>
      <c r="O1024" s="4"/>
      <c r="P1024" s="100"/>
      <c r="Q1024" s="100" t="s">
        <v>654</v>
      </c>
      <c r="R1024" s="111" t="s">
        <v>61</v>
      </c>
      <c r="S1024" s="111" t="s">
        <v>346</v>
      </c>
      <c r="T1024" s="101">
        <v>1E-8</v>
      </c>
      <c r="U1024" s="86">
        <v>1E-8</v>
      </c>
      <c r="V1024" s="101">
        <v>1E-8</v>
      </c>
      <c r="W1024" s="101">
        <v>1E-8</v>
      </c>
      <c r="X1024" s="101">
        <v>1E-8</v>
      </c>
      <c r="Y1024" s="101">
        <v>1E-8</v>
      </c>
      <c r="Z1024" s="101">
        <v>1E-8</v>
      </c>
      <c r="AA1024" s="101">
        <v>1E-8</v>
      </c>
      <c r="AB1024" s="101">
        <v>1E-8</v>
      </c>
      <c r="AC1024" s="101">
        <v>1E-8</v>
      </c>
      <c r="AD1024" s="4"/>
    </row>
    <row r="1025" spans="1:30" x14ac:dyDescent="0.3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34"/>
      <c r="O1025" s="4"/>
      <c r="P1025" s="100"/>
      <c r="Q1025" s="100" t="s">
        <v>655</v>
      </c>
      <c r="R1025" s="111" t="s">
        <v>61</v>
      </c>
      <c r="S1025" s="111" t="s">
        <v>347</v>
      </c>
      <c r="T1025" s="101">
        <v>1E-8</v>
      </c>
      <c r="U1025" s="86">
        <v>1E-8</v>
      </c>
      <c r="V1025" s="101">
        <v>1E-8</v>
      </c>
      <c r="W1025" s="101">
        <v>1E-8</v>
      </c>
      <c r="X1025" s="101">
        <v>1E-8</v>
      </c>
      <c r="Y1025" s="101">
        <v>1E-8</v>
      </c>
      <c r="Z1025" s="101">
        <v>1E-8</v>
      </c>
      <c r="AA1025" s="101">
        <v>1E-8</v>
      </c>
      <c r="AB1025" s="101">
        <v>1E-8</v>
      </c>
      <c r="AC1025" s="101">
        <v>1E-8</v>
      </c>
      <c r="AD1025" s="4"/>
    </row>
    <row r="1026" spans="1:30" x14ac:dyDescent="0.3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34"/>
      <c r="O1026" s="4"/>
      <c r="P1026" s="100"/>
      <c r="Q1026" s="100" t="s">
        <v>656</v>
      </c>
      <c r="R1026" s="111" t="s">
        <v>61</v>
      </c>
      <c r="S1026" s="111" t="s">
        <v>348</v>
      </c>
      <c r="T1026" s="101">
        <v>1E-8</v>
      </c>
      <c r="U1026" s="86">
        <v>1E-8</v>
      </c>
      <c r="V1026" s="101">
        <v>1E-8</v>
      </c>
      <c r="W1026" s="101">
        <v>1E-8</v>
      </c>
      <c r="X1026" s="101">
        <v>1E-8</v>
      </c>
      <c r="Y1026" s="101">
        <v>1E-8</v>
      </c>
      <c r="Z1026" s="101">
        <v>1E-8</v>
      </c>
      <c r="AA1026" s="101">
        <v>1E-8</v>
      </c>
      <c r="AB1026" s="101">
        <v>1E-8</v>
      </c>
      <c r="AC1026" s="101">
        <v>1E-8</v>
      </c>
      <c r="AD1026" s="4"/>
    </row>
    <row r="1027" spans="1:30" x14ac:dyDescent="0.3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34"/>
      <c r="O1027" s="4"/>
      <c r="P1027" s="68"/>
      <c r="Q1027" s="68" t="s">
        <v>181</v>
      </c>
      <c r="R1027" s="108" t="s">
        <v>61</v>
      </c>
      <c r="S1027" s="108" t="s">
        <v>554</v>
      </c>
      <c r="T1027" s="98">
        <v>1E-8</v>
      </c>
      <c r="U1027" s="80">
        <v>1E-8</v>
      </c>
      <c r="V1027" s="98">
        <v>1E-8</v>
      </c>
      <c r="W1027" s="98">
        <v>1E-8</v>
      </c>
      <c r="X1027" s="98">
        <v>1E-8</v>
      </c>
      <c r="Y1027" s="98">
        <v>1E-8</v>
      </c>
      <c r="Z1027" s="98">
        <v>1E-8</v>
      </c>
      <c r="AA1027" s="98">
        <v>1E-8</v>
      </c>
      <c r="AB1027" s="98">
        <v>1E-8</v>
      </c>
      <c r="AC1027" s="98">
        <v>1E-8</v>
      </c>
      <c r="AD1027" s="4"/>
    </row>
    <row r="1028" spans="1:30" x14ac:dyDescent="0.3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34"/>
      <c r="O1028" s="4"/>
      <c r="P1028" s="100"/>
      <c r="Q1028" s="100" t="s">
        <v>657</v>
      </c>
      <c r="R1028" s="111" t="s">
        <v>61</v>
      </c>
      <c r="S1028" s="111" t="s">
        <v>555</v>
      </c>
      <c r="T1028" s="101">
        <v>1E-8</v>
      </c>
      <c r="U1028" s="86">
        <v>1E-8</v>
      </c>
      <c r="V1028" s="101">
        <v>1E-8</v>
      </c>
      <c r="W1028" s="101">
        <v>1E-8</v>
      </c>
      <c r="X1028" s="101">
        <v>1E-8</v>
      </c>
      <c r="Y1028" s="101">
        <v>1E-8</v>
      </c>
      <c r="Z1028" s="101">
        <v>1E-8</v>
      </c>
      <c r="AA1028" s="101">
        <v>1E-8</v>
      </c>
      <c r="AB1028" s="101">
        <v>1E-8</v>
      </c>
      <c r="AC1028" s="101">
        <v>1E-8</v>
      </c>
      <c r="AD1028" s="4"/>
    </row>
    <row r="1029" spans="1:30" x14ac:dyDescent="0.3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34"/>
      <c r="O1029" s="4"/>
      <c r="P1029" s="100"/>
      <c r="Q1029" s="100" t="s">
        <v>658</v>
      </c>
      <c r="R1029" s="111" t="s">
        <v>61</v>
      </c>
      <c r="S1029" s="111" t="s">
        <v>349</v>
      </c>
      <c r="T1029" s="101">
        <v>1E-8</v>
      </c>
      <c r="U1029" s="86">
        <v>1E-8</v>
      </c>
      <c r="V1029" s="101">
        <v>1E-8</v>
      </c>
      <c r="W1029" s="101">
        <v>1E-8</v>
      </c>
      <c r="X1029" s="101">
        <v>1E-8</v>
      </c>
      <c r="Y1029" s="101">
        <v>1E-8</v>
      </c>
      <c r="Z1029" s="101">
        <v>1E-8</v>
      </c>
      <c r="AA1029" s="101">
        <v>1E-8</v>
      </c>
      <c r="AB1029" s="101">
        <v>1E-8</v>
      </c>
      <c r="AC1029" s="101">
        <v>1E-8</v>
      </c>
      <c r="AD1029" s="4"/>
    </row>
    <row r="1030" spans="1:30" x14ac:dyDescent="0.3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34"/>
      <c r="O1030" s="4"/>
      <c r="P1030" s="100"/>
      <c r="Q1030" s="100" t="s">
        <v>659</v>
      </c>
      <c r="R1030" s="112" t="s">
        <v>61</v>
      </c>
      <c r="S1030" s="112" t="s">
        <v>556</v>
      </c>
      <c r="T1030" s="87">
        <v>1E-8</v>
      </c>
      <c r="U1030" s="88">
        <v>1E-8</v>
      </c>
      <c r="V1030" s="87">
        <v>1E-8</v>
      </c>
      <c r="W1030" s="87">
        <v>1E-8</v>
      </c>
      <c r="X1030" s="87">
        <v>1E-8</v>
      </c>
      <c r="Y1030" s="87">
        <v>1E-8</v>
      </c>
      <c r="Z1030" s="87">
        <v>1E-8</v>
      </c>
      <c r="AA1030" s="87">
        <v>1E-8</v>
      </c>
      <c r="AB1030" s="87">
        <v>1E-8</v>
      </c>
      <c r="AC1030" s="87">
        <v>1E-8</v>
      </c>
      <c r="AD1030" s="4"/>
    </row>
    <row r="1031" spans="1:30" x14ac:dyDescent="0.3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34"/>
      <c r="O1031" s="4"/>
      <c r="P1031" s="96"/>
      <c r="Q1031" s="96" t="s">
        <v>286</v>
      </c>
      <c r="R1031" s="107" t="s">
        <v>61</v>
      </c>
      <c r="S1031" s="107" t="s">
        <v>350</v>
      </c>
      <c r="T1031" s="97">
        <v>0.72999792374095929</v>
      </c>
      <c r="U1031" s="78">
        <v>-0.94935744924076193</v>
      </c>
      <c r="V1031" s="97">
        <v>1E-8</v>
      </c>
      <c r="W1031" s="97">
        <v>1E-8</v>
      </c>
      <c r="X1031" s="97">
        <v>1E-8</v>
      </c>
      <c r="Y1031" s="97">
        <v>1E-8</v>
      </c>
      <c r="Z1031" s="97">
        <v>1E-8</v>
      </c>
      <c r="AA1031" s="97">
        <v>1E-8</v>
      </c>
      <c r="AB1031" s="97">
        <v>1E-8</v>
      </c>
      <c r="AC1031" s="97">
        <v>1E-8</v>
      </c>
      <c r="AD1031" s="4"/>
    </row>
    <row r="1032" spans="1:30" x14ac:dyDescent="0.3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34"/>
      <c r="O1032" s="4"/>
      <c r="P1032" s="96"/>
      <c r="Q1032" s="96" t="s">
        <v>369</v>
      </c>
      <c r="R1032" s="107" t="s">
        <v>61</v>
      </c>
      <c r="S1032" s="107" t="s">
        <v>557</v>
      </c>
      <c r="T1032" s="97">
        <v>0.66551865988650427</v>
      </c>
      <c r="U1032" s="78">
        <v>-0.66370885727529139</v>
      </c>
      <c r="V1032" s="97">
        <v>1E-8</v>
      </c>
      <c r="W1032" s="97">
        <v>1E-8</v>
      </c>
      <c r="X1032" s="97">
        <v>1E-8</v>
      </c>
      <c r="Y1032" s="97">
        <v>1E-8</v>
      </c>
      <c r="Z1032" s="97">
        <v>1E-8</v>
      </c>
      <c r="AA1032" s="97">
        <v>1E-8</v>
      </c>
      <c r="AB1032" s="97">
        <v>1E-8</v>
      </c>
      <c r="AC1032" s="97">
        <v>1E-8</v>
      </c>
      <c r="AD1032" s="4"/>
    </row>
    <row r="1033" spans="1:30" x14ac:dyDescent="0.3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34"/>
      <c r="O1033" s="4"/>
      <c r="P1033" s="68"/>
      <c r="Q1033" s="68" t="s">
        <v>660</v>
      </c>
      <c r="R1033" s="108" t="s">
        <v>61</v>
      </c>
      <c r="S1033" s="108" t="s">
        <v>351</v>
      </c>
      <c r="T1033" s="98">
        <v>0.35742333428940237</v>
      </c>
      <c r="U1033" s="80">
        <v>-0.64370300636149569</v>
      </c>
      <c r="V1033" s="98">
        <v>1E-8</v>
      </c>
      <c r="W1033" s="98">
        <v>1E-8</v>
      </c>
      <c r="X1033" s="98">
        <v>1E-8</v>
      </c>
      <c r="Y1033" s="98">
        <v>1E-8</v>
      </c>
      <c r="Z1033" s="98">
        <v>1E-8</v>
      </c>
      <c r="AA1033" s="98">
        <v>1E-8</v>
      </c>
      <c r="AB1033" s="98">
        <v>1E-8</v>
      </c>
      <c r="AC1033" s="98">
        <v>1E-8</v>
      </c>
      <c r="AD1033" s="4"/>
    </row>
    <row r="1034" spans="1:30" x14ac:dyDescent="0.3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34"/>
      <c r="O1034" s="4"/>
      <c r="P1034" s="68"/>
      <c r="Q1034" s="68" t="s">
        <v>661</v>
      </c>
      <c r="R1034" s="108" t="s">
        <v>61</v>
      </c>
      <c r="S1034" s="108" t="s">
        <v>352</v>
      </c>
      <c r="T1034" s="98">
        <v>0.19827188572005972</v>
      </c>
      <c r="U1034" s="80">
        <v>-0.20417036392709198</v>
      </c>
      <c r="V1034" s="98">
        <v>1E-8</v>
      </c>
      <c r="W1034" s="98">
        <v>1E-8</v>
      </c>
      <c r="X1034" s="98">
        <v>1E-8</v>
      </c>
      <c r="Y1034" s="98">
        <v>1E-8</v>
      </c>
      <c r="Z1034" s="98">
        <v>1E-8</v>
      </c>
      <c r="AA1034" s="98">
        <v>1E-8</v>
      </c>
      <c r="AB1034" s="98">
        <v>1E-8</v>
      </c>
      <c r="AC1034" s="98">
        <v>1E-8</v>
      </c>
      <c r="AD1034" s="4"/>
    </row>
    <row r="1035" spans="1:30" x14ac:dyDescent="0.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34"/>
      <c r="O1035" s="4"/>
      <c r="P1035" s="68"/>
      <c r="Q1035" s="68" t="s">
        <v>662</v>
      </c>
      <c r="R1035" s="108" t="s">
        <v>61</v>
      </c>
      <c r="S1035" s="108" t="s">
        <v>558</v>
      </c>
      <c r="T1035" s="98">
        <v>0.10982343987704223</v>
      </c>
      <c r="U1035" s="80">
        <v>-1.5584552036474797</v>
      </c>
      <c r="V1035" s="98">
        <v>1E-8</v>
      </c>
      <c r="W1035" s="98">
        <v>1E-8</v>
      </c>
      <c r="X1035" s="98">
        <v>1E-8</v>
      </c>
      <c r="Y1035" s="98">
        <v>1E-8</v>
      </c>
      <c r="Z1035" s="98">
        <v>1E-8</v>
      </c>
      <c r="AA1035" s="98">
        <v>1E-8</v>
      </c>
      <c r="AB1035" s="98">
        <v>1E-8</v>
      </c>
      <c r="AC1035" s="98">
        <v>1E-8</v>
      </c>
      <c r="AD1035" s="4"/>
    </row>
    <row r="1036" spans="1:30" x14ac:dyDescent="0.3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34"/>
      <c r="O1036" s="4"/>
      <c r="P1036" s="96"/>
      <c r="Q1036" s="96" t="s">
        <v>188</v>
      </c>
      <c r="R1036" s="107" t="s">
        <v>61</v>
      </c>
      <c r="S1036" s="107" t="s">
        <v>559</v>
      </c>
      <c r="T1036" s="97">
        <v>6.4479263854454891E-2</v>
      </c>
      <c r="U1036" s="78">
        <v>-3.8976613962652729</v>
      </c>
      <c r="V1036" s="97">
        <v>1E-8</v>
      </c>
      <c r="W1036" s="97">
        <v>1E-8</v>
      </c>
      <c r="X1036" s="97">
        <v>1E-8</v>
      </c>
      <c r="Y1036" s="97">
        <v>1E-8</v>
      </c>
      <c r="Z1036" s="97">
        <v>1E-8</v>
      </c>
      <c r="AA1036" s="97">
        <v>1E-8</v>
      </c>
      <c r="AB1036" s="97">
        <v>1E-8</v>
      </c>
      <c r="AC1036" s="97">
        <v>1E-8</v>
      </c>
      <c r="AD1036" s="4"/>
    </row>
    <row r="1037" spans="1:30" x14ac:dyDescent="0.3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34"/>
      <c r="O1037" s="4"/>
      <c r="P1037" s="68"/>
      <c r="Q1037" s="68" t="s">
        <v>663</v>
      </c>
      <c r="R1037" s="108" t="s">
        <v>61</v>
      </c>
      <c r="S1037" s="108" t="s">
        <v>353</v>
      </c>
      <c r="T1037" s="98">
        <v>6.4479263854454891E-2</v>
      </c>
      <c r="U1037" s="80">
        <v>-3.8976613962652729</v>
      </c>
      <c r="V1037" s="98">
        <v>1E-8</v>
      </c>
      <c r="W1037" s="98">
        <v>1E-8</v>
      </c>
      <c r="X1037" s="98">
        <v>1E-8</v>
      </c>
      <c r="Y1037" s="98">
        <v>1E-8</v>
      </c>
      <c r="Z1037" s="98">
        <v>1E-8</v>
      </c>
      <c r="AA1037" s="98">
        <v>1E-8</v>
      </c>
      <c r="AB1037" s="98">
        <v>1E-8</v>
      </c>
      <c r="AC1037" s="98">
        <v>1E-8</v>
      </c>
      <c r="AD1037" s="4"/>
    </row>
    <row r="1038" spans="1:30" x14ac:dyDescent="0.3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34"/>
      <c r="O1038" s="4"/>
      <c r="P1038" s="72"/>
      <c r="Q1038" s="72" t="s">
        <v>664</v>
      </c>
      <c r="R1038" s="109" t="s">
        <v>61</v>
      </c>
      <c r="S1038" s="109" t="s">
        <v>560</v>
      </c>
      <c r="T1038" s="81">
        <v>1E-8</v>
      </c>
      <c r="U1038" s="82">
        <v>1E-8</v>
      </c>
      <c r="V1038" s="81">
        <v>1E-8</v>
      </c>
      <c r="W1038" s="81">
        <v>1E-8</v>
      </c>
      <c r="X1038" s="81">
        <v>1E-8</v>
      </c>
      <c r="Y1038" s="81">
        <v>1E-8</v>
      </c>
      <c r="Z1038" s="81">
        <v>1E-8</v>
      </c>
      <c r="AA1038" s="81">
        <v>1E-8</v>
      </c>
      <c r="AB1038" s="81">
        <v>1E-8</v>
      </c>
      <c r="AC1038" s="81">
        <v>1E-8</v>
      </c>
      <c r="AD1038" s="4"/>
    </row>
    <row r="1039" spans="1:30" x14ac:dyDescent="0.3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34"/>
      <c r="O1039" s="4"/>
      <c r="P1039" s="47"/>
      <c r="Q1039" s="47" t="s">
        <v>287</v>
      </c>
      <c r="R1039" s="105" t="s">
        <v>61</v>
      </c>
      <c r="S1039" s="105" t="s">
        <v>354</v>
      </c>
      <c r="T1039" s="95">
        <v>97.463398874674951</v>
      </c>
      <c r="U1039" s="74">
        <v>-6.1281492607312416E-3</v>
      </c>
      <c r="V1039" s="95">
        <v>1E-8</v>
      </c>
      <c r="W1039" s="95">
        <v>1E-8</v>
      </c>
      <c r="X1039" s="95">
        <v>1E-8</v>
      </c>
      <c r="Y1039" s="95">
        <v>1E-8</v>
      </c>
      <c r="Z1039" s="95">
        <v>1E-8</v>
      </c>
      <c r="AA1039" s="95">
        <v>1E-8</v>
      </c>
      <c r="AB1039" s="95">
        <v>1E-8</v>
      </c>
      <c r="AC1039" s="95">
        <v>1E-8</v>
      </c>
      <c r="AD1039" s="4"/>
    </row>
    <row r="1040" spans="1:30" x14ac:dyDescent="0.3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34"/>
      <c r="O1040" s="4"/>
      <c r="P1040" s="96"/>
      <c r="Q1040" s="96" t="s">
        <v>370</v>
      </c>
      <c r="R1040" s="107" t="s">
        <v>61</v>
      </c>
      <c r="S1040" s="107" t="s">
        <v>561</v>
      </c>
      <c r="T1040" s="97">
        <v>8.6798027109736111</v>
      </c>
      <c r="U1040" s="78">
        <v>-1.9520266858337854</v>
      </c>
      <c r="V1040" s="97">
        <v>1E-8</v>
      </c>
      <c r="W1040" s="97">
        <v>1E-8</v>
      </c>
      <c r="X1040" s="97">
        <v>1E-8</v>
      </c>
      <c r="Y1040" s="97">
        <v>1E-8</v>
      </c>
      <c r="Z1040" s="97">
        <v>1E-8</v>
      </c>
      <c r="AA1040" s="97">
        <v>1E-8</v>
      </c>
      <c r="AB1040" s="97">
        <v>1E-8</v>
      </c>
      <c r="AC1040" s="97">
        <v>1E-8</v>
      </c>
      <c r="AD1040" s="4"/>
    </row>
    <row r="1041" spans="1:30" x14ac:dyDescent="0.3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34"/>
      <c r="O1041" s="4"/>
      <c r="P1041" s="68"/>
      <c r="Q1041" s="68" t="s">
        <v>665</v>
      </c>
      <c r="R1041" s="108" t="s">
        <v>61</v>
      </c>
      <c r="S1041" s="108" t="s">
        <v>562</v>
      </c>
      <c r="T1041" s="98">
        <v>5.363087170916632E-2</v>
      </c>
      <c r="U1041" s="80">
        <v>-0.74726952936550184</v>
      </c>
      <c r="V1041" s="98">
        <v>1E-8</v>
      </c>
      <c r="W1041" s="98">
        <v>1E-8</v>
      </c>
      <c r="X1041" s="98">
        <v>1E-8</v>
      </c>
      <c r="Y1041" s="98">
        <v>1E-8</v>
      </c>
      <c r="Z1041" s="98">
        <v>1E-8</v>
      </c>
      <c r="AA1041" s="98">
        <v>1E-8</v>
      </c>
      <c r="AB1041" s="98">
        <v>1E-8</v>
      </c>
      <c r="AC1041" s="98">
        <v>1E-8</v>
      </c>
      <c r="AD1041" s="4"/>
    </row>
    <row r="1042" spans="1:30" x14ac:dyDescent="0.3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34"/>
      <c r="O1042" s="4"/>
      <c r="P1042" s="68"/>
      <c r="Q1042" s="68" t="s">
        <v>666</v>
      </c>
      <c r="R1042" s="108" t="s">
        <v>61</v>
      </c>
      <c r="S1042" s="108" t="s">
        <v>563</v>
      </c>
      <c r="T1042" s="98">
        <v>6.0519496846475349E-3</v>
      </c>
      <c r="U1042" s="80">
        <v>-7.1966039553834182</v>
      </c>
      <c r="V1042" s="98">
        <v>1E-8</v>
      </c>
      <c r="W1042" s="98">
        <v>1E-8</v>
      </c>
      <c r="X1042" s="98">
        <v>1E-8</v>
      </c>
      <c r="Y1042" s="98">
        <v>1E-8</v>
      </c>
      <c r="Z1042" s="98">
        <v>1E-8</v>
      </c>
      <c r="AA1042" s="98">
        <v>1E-8</v>
      </c>
      <c r="AB1042" s="98">
        <v>1E-8</v>
      </c>
      <c r="AC1042" s="98">
        <v>1E-8</v>
      </c>
      <c r="AD1042" s="4"/>
    </row>
    <row r="1043" spans="1:30" x14ac:dyDescent="0.3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34"/>
      <c r="O1043" s="4"/>
      <c r="P1043" s="68"/>
      <c r="Q1043" s="68" t="s">
        <v>667</v>
      </c>
      <c r="R1043" s="108" t="s">
        <v>61</v>
      </c>
      <c r="S1043" s="108" t="s">
        <v>564</v>
      </c>
      <c r="T1043" s="98">
        <v>1.3603917806727195</v>
      </c>
      <c r="U1043" s="80">
        <v>-1.9830588063543542</v>
      </c>
      <c r="V1043" s="98">
        <v>1E-8</v>
      </c>
      <c r="W1043" s="98">
        <v>1E-8</v>
      </c>
      <c r="X1043" s="98">
        <v>1E-8</v>
      </c>
      <c r="Y1043" s="98">
        <v>1E-8</v>
      </c>
      <c r="Z1043" s="98">
        <v>1E-8</v>
      </c>
      <c r="AA1043" s="98">
        <v>1E-8</v>
      </c>
      <c r="AB1043" s="98">
        <v>1E-8</v>
      </c>
      <c r="AC1043" s="98">
        <v>1E-8</v>
      </c>
      <c r="AD1043" s="4"/>
    </row>
    <row r="1044" spans="1:30" x14ac:dyDescent="0.3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34"/>
      <c r="O1044" s="4"/>
      <c r="P1044" s="68"/>
      <c r="Q1044" s="68" t="s">
        <v>668</v>
      </c>
      <c r="R1044" s="108" t="s">
        <v>61</v>
      </c>
      <c r="S1044" s="108" t="s">
        <v>565</v>
      </c>
      <c r="T1044" s="98">
        <v>7.2597281089070762</v>
      </c>
      <c r="U1044" s="80">
        <v>-1.9507396427370982</v>
      </c>
      <c r="V1044" s="98">
        <v>1E-8</v>
      </c>
      <c r="W1044" s="98">
        <v>1E-8</v>
      </c>
      <c r="X1044" s="98">
        <v>1E-8</v>
      </c>
      <c r="Y1044" s="98">
        <v>1E-8</v>
      </c>
      <c r="Z1044" s="98">
        <v>1E-8</v>
      </c>
      <c r="AA1044" s="98">
        <v>1E-8</v>
      </c>
      <c r="AB1044" s="98">
        <v>1E-8</v>
      </c>
      <c r="AC1044" s="98">
        <v>1E-8</v>
      </c>
      <c r="AD1044" s="4"/>
    </row>
    <row r="1045" spans="1:30" x14ac:dyDescent="0.3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34"/>
      <c r="O1045" s="4"/>
      <c r="P1045" s="96"/>
      <c r="Q1045" s="96" t="s">
        <v>371</v>
      </c>
      <c r="R1045" s="107" t="s">
        <v>61</v>
      </c>
      <c r="S1045" s="107" t="s">
        <v>566</v>
      </c>
      <c r="T1045" s="97">
        <v>2.1562813652624895</v>
      </c>
      <c r="U1045" s="78">
        <v>-0.30388229697569935</v>
      </c>
      <c r="V1045" s="97">
        <v>1E-8</v>
      </c>
      <c r="W1045" s="97">
        <v>1E-8</v>
      </c>
      <c r="X1045" s="97">
        <v>1E-8</v>
      </c>
      <c r="Y1045" s="97">
        <v>1E-8</v>
      </c>
      <c r="Z1045" s="97">
        <v>1E-8</v>
      </c>
      <c r="AA1045" s="97">
        <v>1E-8</v>
      </c>
      <c r="AB1045" s="97">
        <v>1E-8</v>
      </c>
      <c r="AC1045" s="97">
        <v>1E-8</v>
      </c>
      <c r="AD1045" s="4"/>
    </row>
    <row r="1046" spans="1:30" x14ac:dyDescent="0.3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34"/>
      <c r="O1046" s="4"/>
      <c r="P1046" s="68"/>
      <c r="Q1046" s="68" t="s">
        <v>669</v>
      </c>
      <c r="R1046" s="108" t="s">
        <v>61</v>
      </c>
      <c r="S1046" s="108" t="s">
        <v>567</v>
      </c>
      <c r="T1046" s="98">
        <v>1.5616528728312591</v>
      </c>
      <c r="U1046" s="80">
        <v>-0.96472266805384121</v>
      </c>
      <c r="V1046" s="98">
        <v>1E-8</v>
      </c>
      <c r="W1046" s="98">
        <v>1E-8</v>
      </c>
      <c r="X1046" s="98">
        <v>1E-8</v>
      </c>
      <c r="Y1046" s="98">
        <v>1E-8</v>
      </c>
      <c r="Z1046" s="98">
        <v>1E-8</v>
      </c>
      <c r="AA1046" s="98">
        <v>1E-8</v>
      </c>
      <c r="AB1046" s="98">
        <v>1E-8</v>
      </c>
      <c r="AC1046" s="98">
        <v>1E-8</v>
      </c>
      <c r="AD1046" s="4"/>
    </row>
    <row r="1047" spans="1:30" x14ac:dyDescent="0.3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34"/>
      <c r="O1047" s="4"/>
      <c r="P1047" s="68"/>
      <c r="Q1047" s="68" t="s">
        <v>670</v>
      </c>
      <c r="R1047" s="108" t="s">
        <v>61</v>
      </c>
      <c r="S1047" s="108" t="s">
        <v>568</v>
      </c>
      <c r="T1047" s="98">
        <v>0.36631164982160036</v>
      </c>
      <c r="U1047" s="80">
        <v>0.95705939085397596</v>
      </c>
      <c r="V1047" s="98">
        <v>1E-8</v>
      </c>
      <c r="W1047" s="98">
        <v>1E-8</v>
      </c>
      <c r="X1047" s="98">
        <v>1E-8</v>
      </c>
      <c r="Y1047" s="98">
        <v>1E-8</v>
      </c>
      <c r="Z1047" s="98">
        <v>1E-8</v>
      </c>
      <c r="AA1047" s="98">
        <v>1E-8</v>
      </c>
      <c r="AB1047" s="98">
        <v>1E-8</v>
      </c>
      <c r="AC1047" s="98">
        <v>1E-8</v>
      </c>
      <c r="AD1047" s="4"/>
    </row>
    <row r="1048" spans="1:30" x14ac:dyDescent="0.3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34"/>
      <c r="O1048" s="4"/>
      <c r="P1048" s="68"/>
      <c r="Q1048" s="68" t="s">
        <v>671</v>
      </c>
      <c r="R1048" s="108" t="s">
        <v>61</v>
      </c>
      <c r="S1048" s="108" t="s">
        <v>569</v>
      </c>
      <c r="T1048" s="98">
        <v>0.16389384542939459</v>
      </c>
      <c r="U1048" s="80">
        <v>1.5695838358500636</v>
      </c>
      <c r="V1048" s="98">
        <v>1E-8</v>
      </c>
      <c r="W1048" s="98">
        <v>1E-8</v>
      </c>
      <c r="X1048" s="98">
        <v>1E-8</v>
      </c>
      <c r="Y1048" s="98">
        <v>1E-8</v>
      </c>
      <c r="Z1048" s="98">
        <v>1E-8</v>
      </c>
      <c r="AA1048" s="98">
        <v>1E-8</v>
      </c>
      <c r="AB1048" s="98">
        <v>1E-8</v>
      </c>
      <c r="AC1048" s="98">
        <v>1E-8</v>
      </c>
      <c r="AD1048" s="4"/>
    </row>
    <row r="1049" spans="1:30" x14ac:dyDescent="0.3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34"/>
      <c r="O1049" s="4"/>
      <c r="P1049" s="68"/>
      <c r="Q1049" s="68" t="s">
        <v>672</v>
      </c>
      <c r="R1049" s="108" t="s">
        <v>61</v>
      </c>
      <c r="S1049" s="108" t="s">
        <v>570</v>
      </c>
      <c r="T1049" s="98">
        <v>6.4422997180235253E-2</v>
      </c>
      <c r="U1049" s="80">
        <v>3.7793810826032948</v>
      </c>
      <c r="V1049" s="98">
        <v>1E-8</v>
      </c>
      <c r="W1049" s="98">
        <v>1E-8</v>
      </c>
      <c r="X1049" s="98">
        <v>1E-8</v>
      </c>
      <c r="Y1049" s="98">
        <v>1E-8</v>
      </c>
      <c r="Z1049" s="98">
        <v>1E-8</v>
      </c>
      <c r="AA1049" s="98">
        <v>1E-8</v>
      </c>
      <c r="AB1049" s="98">
        <v>1E-8</v>
      </c>
      <c r="AC1049" s="98">
        <v>1E-8</v>
      </c>
      <c r="AD1049" s="4"/>
    </row>
    <row r="1050" spans="1:30" x14ac:dyDescent="0.3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34"/>
      <c r="O1050" s="4"/>
      <c r="P1050" s="96"/>
      <c r="Q1050" s="96" t="s">
        <v>673</v>
      </c>
      <c r="R1050" s="107" t="s">
        <v>61</v>
      </c>
      <c r="S1050" s="107" t="s">
        <v>355</v>
      </c>
      <c r="T1050" s="97">
        <v>2.0487827372637262</v>
      </c>
      <c r="U1050" s="78">
        <v>-0.90972157833156819</v>
      </c>
      <c r="V1050" s="97">
        <v>1E-8</v>
      </c>
      <c r="W1050" s="97">
        <v>1E-8</v>
      </c>
      <c r="X1050" s="97">
        <v>1E-8</v>
      </c>
      <c r="Y1050" s="97">
        <v>1E-8</v>
      </c>
      <c r="Z1050" s="97">
        <v>1E-8</v>
      </c>
      <c r="AA1050" s="97">
        <v>1E-8</v>
      </c>
      <c r="AB1050" s="97">
        <v>1E-8</v>
      </c>
      <c r="AC1050" s="97">
        <v>1E-8</v>
      </c>
      <c r="AD1050" s="4"/>
    </row>
    <row r="1051" spans="1:30" x14ac:dyDescent="0.3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34"/>
      <c r="O1051" s="4"/>
      <c r="P1051" s="96"/>
      <c r="Q1051" s="96" t="s">
        <v>372</v>
      </c>
      <c r="R1051" s="107" t="s">
        <v>61</v>
      </c>
      <c r="S1051" s="107" t="s">
        <v>571</v>
      </c>
      <c r="T1051" s="97">
        <v>3.1971992338766233</v>
      </c>
      <c r="U1051" s="78">
        <v>0.52760618828937567</v>
      </c>
      <c r="V1051" s="97">
        <v>1E-8</v>
      </c>
      <c r="W1051" s="97">
        <v>1E-8</v>
      </c>
      <c r="X1051" s="97">
        <v>1E-8</v>
      </c>
      <c r="Y1051" s="97">
        <v>1E-8</v>
      </c>
      <c r="Z1051" s="97">
        <v>1E-8</v>
      </c>
      <c r="AA1051" s="97">
        <v>1E-8</v>
      </c>
      <c r="AB1051" s="97">
        <v>1E-8</v>
      </c>
      <c r="AC1051" s="97">
        <v>1E-8</v>
      </c>
      <c r="AD1051" s="4"/>
    </row>
    <row r="1052" spans="1:30" x14ac:dyDescent="0.3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34"/>
      <c r="O1052" s="4"/>
      <c r="P1052" s="68"/>
      <c r="Q1052" s="68" t="s">
        <v>674</v>
      </c>
      <c r="R1052" s="108" t="s">
        <v>61</v>
      </c>
      <c r="S1052" s="108" t="s">
        <v>572</v>
      </c>
      <c r="T1052" s="98">
        <v>0.32794536426037413</v>
      </c>
      <c r="U1052" s="80">
        <v>0.661286234544467</v>
      </c>
      <c r="V1052" s="98">
        <v>1E-8</v>
      </c>
      <c r="W1052" s="98">
        <v>1E-8</v>
      </c>
      <c r="X1052" s="98">
        <v>1E-8</v>
      </c>
      <c r="Y1052" s="98">
        <v>1E-8</v>
      </c>
      <c r="Z1052" s="98">
        <v>1E-8</v>
      </c>
      <c r="AA1052" s="98">
        <v>1E-8</v>
      </c>
      <c r="AB1052" s="98">
        <v>1E-8</v>
      </c>
      <c r="AC1052" s="98">
        <v>1E-8</v>
      </c>
      <c r="AD1052" s="4"/>
    </row>
    <row r="1053" spans="1:30" x14ac:dyDescent="0.3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34"/>
      <c r="O1053" s="4"/>
      <c r="P1053" s="68"/>
      <c r="Q1053" s="68" t="s">
        <v>675</v>
      </c>
      <c r="R1053" s="108" t="s">
        <v>61</v>
      </c>
      <c r="S1053" s="108" t="s">
        <v>356</v>
      </c>
      <c r="T1053" s="98">
        <v>2.5526972539771848</v>
      </c>
      <c r="U1053" s="80">
        <v>0.56090491593507874</v>
      </c>
      <c r="V1053" s="98">
        <v>1E-8</v>
      </c>
      <c r="W1053" s="98">
        <v>1E-8</v>
      </c>
      <c r="X1053" s="98">
        <v>1E-8</v>
      </c>
      <c r="Y1053" s="98">
        <v>1E-8</v>
      </c>
      <c r="Z1053" s="98">
        <v>1E-8</v>
      </c>
      <c r="AA1053" s="98">
        <v>1E-8</v>
      </c>
      <c r="AB1053" s="98">
        <v>1E-8</v>
      </c>
      <c r="AC1053" s="98">
        <v>1E-8</v>
      </c>
      <c r="AD1053" s="4"/>
    </row>
    <row r="1054" spans="1:30" x14ac:dyDescent="0.3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34"/>
      <c r="O1054" s="4"/>
      <c r="P1054" s="68"/>
      <c r="Q1054" s="68" t="s">
        <v>676</v>
      </c>
      <c r="R1054" s="109" t="s">
        <v>61</v>
      </c>
      <c r="S1054" s="109" t="s">
        <v>573</v>
      </c>
      <c r="T1054" s="81">
        <v>0.31655661563906479</v>
      </c>
      <c r="U1054" s="82">
        <v>0.12059740780465678</v>
      </c>
      <c r="V1054" s="81">
        <v>1E-8</v>
      </c>
      <c r="W1054" s="81">
        <v>1E-8</v>
      </c>
      <c r="X1054" s="81">
        <v>1E-8</v>
      </c>
      <c r="Y1054" s="81">
        <v>1E-8</v>
      </c>
      <c r="Z1054" s="81">
        <v>1E-8</v>
      </c>
      <c r="AA1054" s="81">
        <v>1E-8</v>
      </c>
      <c r="AB1054" s="81">
        <v>1E-8</v>
      </c>
      <c r="AC1054" s="81">
        <v>1E-8</v>
      </c>
      <c r="AD1054" s="4"/>
    </row>
    <row r="1055" spans="1:30" x14ac:dyDescent="0.3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34"/>
      <c r="O1055" s="4"/>
      <c r="P1055" s="96"/>
      <c r="Q1055" s="96" t="s">
        <v>373</v>
      </c>
      <c r="R1055" s="107" t="s">
        <v>61</v>
      </c>
      <c r="S1055" s="107" t="s">
        <v>574</v>
      </c>
      <c r="T1055" s="97">
        <v>6.4780260101935481</v>
      </c>
      <c r="U1055" s="78">
        <v>0.77337174315992296</v>
      </c>
      <c r="V1055" s="97">
        <v>1E-8</v>
      </c>
      <c r="W1055" s="97">
        <v>1E-8</v>
      </c>
      <c r="X1055" s="97">
        <v>1E-8</v>
      </c>
      <c r="Y1055" s="97">
        <v>1E-8</v>
      </c>
      <c r="Z1055" s="97">
        <v>1E-8</v>
      </c>
      <c r="AA1055" s="97">
        <v>1E-8</v>
      </c>
      <c r="AB1055" s="97">
        <v>1E-8</v>
      </c>
      <c r="AC1055" s="97">
        <v>1E-8</v>
      </c>
      <c r="AD1055" s="4"/>
    </row>
    <row r="1056" spans="1:30" x14ac:dyDescent="0.3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34"/>
      <c r="O1056" s="4"/>
      <c r="P1056" s="68"/>
      <c r="Q1056" s="68" t="s">
        <v>677</v>
      </c>
      <c r="R1056" s="108" t="s">
        <v>61</v>
      </c>
      <c r="S1056" s="108" t="s">
        <v>575</v>
      </c>
      <c r="T1056" s="98">
        <v>1.4720851673699935</v>
      </c>
      <c r="U1056" s="80">
        <v>2.4572231263337851</v>
      </c>
      <c r="V1056" s="98">
        <v>1E-8</v>
      </c>
      <c r="W1056" s="98">
        <v>1E-8</v>
      </c>
      <c r="X1056" s="98">
        <v>1E-8</v>
      </c>
      <c r="Y1056" s="98">
        <v>1E-8</v>
      </c>
      <c r="Z1056" s="98">
        <v>1E-8</v>
      </c>
      <c r="AA1056" s="98">
        <v>1E-8</v>
      </c>
      <c r="AB1056" s="98">
        <v>1E-8</v>
      </c>
      <c r="AC1056" s="98">
        <v>1E-8</v>
      </c>
      <c r="AD1056" s="4"/>
    </row>
    <row r="1057" spans="1:30" x14ac:dyDescent="0.3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34"/>
      <c r="O1057" s="4"/>
      <c r="P1057" s="68"/>
      <c r="Q1057" s="68" t="s">
        <v>678</v>
      </c>
      <c r="R1057" s="108" t="s">
        <v>61</v>
      </c>
      <c r="S1057" s="108" t="s">
        <v>576</v>
      </c>
      <c r="T1057" s="98">
        <v>2.2786158887948398</v>
      </c>
      <c r="U1057" s="80">
        <v>0.2899477168067488</v>
      </c>
      <c r="V1057" s="98">
        <v>1E-8</v>
      </c>
      <c r="W1057" s="98">
        <v>1E-8</v>
      </c>
      <c r="X1057" s="98">
        <v>1E-8</v>
      </c>
      <c r="Y1057" s="98">
        <v>1E-8</v>
      </c>
      <c r="Z1057" s="98">
        <v>1E-8</v>
      </c>
      <c r="AA1057" s="98">
        <v>1E-8</v>
      </c>
      <c r="AB1057" s="98">
        <v>1E-8</v>
      </c>
      <c r="AC1057" s="98">
        <v>1E-8</v>
      </c>
      <c r="AD1057" s="4"/>
    </row>
    <row r="1058" spans="1:30" x14ac:dyDescent="0.3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34"/>
      <c r="O1058" s="4"/>
      <c r="P1058" s="68"/>
      <c r="Q1058" s="68" t="s">
        <v>679</v>
      </c>
      <c r="R1058" s="108" t="s">
        <v>61</v>
      </c>
      <c r="S1058" s="108" t="s">
        <v>577</v>
      </c>
      <c r="T1058" s="98">
        <v>2.7273249540287141</v>
      </c>
      <c r="U1058" s="80">
        <v>0.268395254854914</v>
      </c>
      <c r="V1058" s="98">
        <v>1E-8</v>
      </c>
      <c r="W1058" s="98">
        <v>1E-8</v>
      </c>
      <c r="X1058" s="98">
        <v>1E-8</v>
      </c>
      <c r="Y1058" s="98">
        <v>1E-8</v>
      </c>
      <c r="Z1058" s="98">
        <v>1E-8</v>
      </c>
      <c r="AA1058" s="98">
        <v>1E-8</v>
      </c>
      <c r="AB1058" s="98">
        <v>1E-8</v>
      </c>
      <c r="AC1058" s="98">
        <v>1E-8</v>
      </c>
      <c r="AD1058" s="4"/>
    </row>
    <row r="1059" spans="1:30" x14ac:dyDescent="0.3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34"/>
      <c r="O1059" s="4"/>
      <c r="P1059" s="96"/>
      <c r="Q1059" s="96" t="s">
        <v>195</v>
      </c>
      <c r="R1059" s="107" t="s">
        <v>61</v>
      </c>
      <c r="S1059" s="107" t="s">
        <v>578</v>
      </c>
      <c r="T1059" s="97">
        <v>1E-8</v>
      </c>
      <c r="U1059" s="78">
        <v>1E-8</v>
      </c>
      <c r="V1059" s="97">
        <v>1E-8</v>
      </c>
      <c r="W1059" s="97">
        <v>1E-8</v>
      </c>
      <c r="X1059" s="97">
        <v>1E-8</v>
      </c>
      <c r="Y1059" s="97">
        <v>1E-8</v>
      </c>
      <c r="Z1059" s="97">
        <v>1E-8</v>
      </c>
      <c r="AA1059" s="97">
        <v>1E-8</v>
      </c>
      <c r="AB1059" s="97">
        <v>1E-8</v>
      </c>
      <c r="AC1059" s="97">
        <v>1E-8</v>
      </c>
      <c r="AD1059" s="4"/>
    </row>
    <row r="1060" spans="1:30" x14ac:dyDescent="0.3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34"/>
      <c r="O1060" s="4"/>
      <c r="P1060" s="68"/>
      <c r="Q1060" s="68" t="s">
        <v>680</v>
      </c>
      <c r="R1060" s="108" t="s">
        <v>61</v>
      </c>
      <c r="S1060" s="108" t="s">
        <v>579</v>
      </c>
      <c r="T1060" s="98">
        <v>1E-8</v>
      </c>
      <c r="U1060" s="80">
        <v>1E-8</v>
      </c>
      <c r="V1060" s="98">
        <v>1E-8</v>
      </c>
      <c r="W1060" s="98">
        <v>1E-8</v>
      </c>
      <c r="X1060" s="98">
        <v>1E-8</v>
      </c>
      <c r="Y1060" s="98">
        <v>1E-8</v>
      </c>
      <c r="Z1060" s="98">
        <v>1E-8</v>
      </c>
      <c r="AA1060" s="98">
        <v>1E-8</v>
      </c>
      <c r="AB1060" s="98">
        <v>1E-8</v>
      </c>
      <c r="AC1060" s="98">
        <v>1E-8</v>
      </c>
      <c r="AD1060" s="4"/>
    </row>
    <row r="1061" spans="1:30" x14ac:dyDescent="0.3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34"/>
      <c r="O1061" s="4"/>
      <c r="P1061" s="68"/>
      <c r="Q1061" s="68" t="s">
        <v>681</v>
      </c>
      <c r="R1061" s="108" t="s">
        <v>61</v>
      </c>
      <c r="S1061" s="108" t="s">
        <v>357</v>
      </c>
      <c r="T1061" s="98">
        <v>1E-8</v>
      </c>
      <c r="U1061" s="80">
        <v>1E-8</v>
      </c>
      <c r="V1061" s="98">
        <v>1E-8</v>
      </c>
      <c r="W1061" s="98">
        <v>1E-8</v>
      </c>
      <c r="X1061" s="98">
        <v>1E-8</v>
      </c>
      <c r="Y1061" s="98">
        <v>1E-8</v>
      </c>
      <c r="Z1061" s="98">
        <v>1E-8</v>
      </c>
      <c r="AA1061" s="98">
        <v>1E-8</v>
      </c>
      <c r="AB1061" s="98">
        <v>1E-8</v>
      </c>
      <c r="AC1061" s="98">
        <v>1E-8</v>
      </c>
      <c r="AD1061" s="4"/>
    </row>
    <row r="1062" spans="1:30" x14ac:dyDescent="0.3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34"/>
      <c r="O1062" s="4"/>
      <c r="P1062" s="96"/>
      <c r="Q1062" s="96" t="s">
        <v>196</v>
      </c>
      <c r="R1062" s="107" t="s">
        <v>61</v>
      </c>
      <c r="S1062" s="107" t="s">
        <v>580</v>
      </c>
      <c r="T1062" s="97">
        <v>7.4458046523205308</v>
      </c>
      <c r="U1062" s="78">
        <v>1.1993990917940511</v>
      </c>
      <c r="V1062" s="97">
        <v>1E-8</v>
      </c>
      <c r="W1062" s="97">
        <v>1E-8</v>
      </c>
      <c r="X1062" s="97">
        <v>1E-8</v>
      </c>
      <c r="Y1062" s="97">
        <v>1E-8</v>
      </c>
      <c r="Z1062" s="97">
        <v>1E-8</v>
      </c>
      <c r="AA1062" s="97">
        <v>1E-8</v>
      </c>
      <c r="AB1062" s="97">
        <v>1E-8</v>
      </c>
      <c r="AC1062" s="97">
        <v>1E-8</v>
      </c>
      <c r="AD1062" s="4"/>
    </row>
    <row r="1063" spans="1:30" x14ac:dyDescent="0.3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34"/>
      <c r="O1063" s="4"/>
      <c r="P1063" s="68"/>
      <c r="Q1063" s="68" t="s">
        <v>682</v>
      </c>
      <c r="R1063" s="108" t="s">
        <v>61</v>
      </c>
      <c r="S1063" s="108" t="s">
        <v>581</v>
      </c>
      <c r="T1063" s="98">
        <v>0.33550993763404779</v>
      </c>
      <c r="U1063" s="80">
        <v>-1.6028396738806849</v>
      </c>
      <c r="V1063" s="98">
        <v>1E-8</v>
      </c>
      <c r="W1063" s="98">
        <v>1E-8</v>
      </c>
      <c r="X1063" s="98">
        <v>1E-8</v>
      </c>
      <c r="Y1063" s="98">
        <v>1E-8</v>
      </c>
      <c r="Z1063" s="98">
        <v>1E-8</v>
      </c>
      <c r="AA1063" s="98">
        <v>1E-8</v>
      </c>
      <c r="AB1063" s="98">
        <v>1E-8</v>
      </c>
      <c r="AC1063" s="98">
        <v>1E-8</v>
      </c>
      <c r="AD1063" s="4"/>
    </row>
    <row r="1064" spans="1:30" x14ac:dyDescent="0.3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34"/>
      <c r="O1064" s="4"/>
      <c r="P1064" s="68"/>
      <c r="Q1064" s="68" t="s">
        <v>683</v>
      </c>
      <c r="R1064" s="108" t="s">
        <v>61</v>
      </c>
      <c r="S1064" s="108" t="s">
        <v>582</v>
      </c>
      <c r="T1064" s="98">
        <v>0.10330681420947839</v>
      </c>
      <c r="U1064" s="80">
        <v>0.89060627848747131</v>
      </c>
      <c r="V1064" s="98">
        <v>1E-8</v>
      </c>
      <c r="W1064" s="98">
        <v>1E-8</v>
      </c>
      <c r="X1064" s="98">
        <v>1E-8</v>
      </c>
      <c r="Y1064" s="98">
        <v>1E-8</v>
      </c>
      <c r="Z1064" s="98">
        <v>1E-8</v>
      </c>
      <c r="AA1064" s="98">
        <v>1E-8</v>
      </c>
      <c r="AB1064" s="98">
        <v>1E-8</v>
      </c>
      <c r="AC1064" s="98">
        <v>1E-8</v>
      </c>
      <c r="AD1064" s="4"/>
    </row>
    <row r="1065" spans="1:30" x14ac:dyDescent="0.3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34"/>
      <c r="O1065" s="4"/>
      <c r="P1065" s="68"/>
      <c r="Q1065" s="68" t="s">
        <v>684</v>
      </c>
      <c r="R1065" s="108" t="s">
        <v>61</v>
      </c>
      <c r="S1065" s="108" t="s">
        <v>583</v>
      </c>
      <c r="T1065" s="98">
        <v>0.65349497807664392</v>
      </c>
      <c r="U1065" s="80">
        <v>2.6200901037836566</v>
      </c>
      <c r="V1065" s="98">
        <v>1E-8</v>
      </c>
      <c r="W1065" s="98">
        <v>1E-8</v>
      </c>
      <c r="X1065" s="98">
        <v>1E-8</v>
      </c>
      <c r="Y1065" s="98">
        <v>1E-8</v>
      </c>
      <c r="Z1065" s="98">
        <v>1E-8</v>
      </c>
      <c r="AA1065" s="98">
        <v>1E-8</v>
      </c>
      <c r="AB1065" s="98">
        <v>1E-8</v>
      </c>
      <c r="AC1065" s="98">
        <v>1E-8</v>
      </c>
      <c r="AD1065" s="4"/>
    </row>
    <row r="1066" spans="1:30" x14ac:dyDescent="0.3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34"/>
      <c r="O1066" s="4"/>
      <c r="P1066" s="68"/>
      <c r="Q1066" s="68" t="s">
        <v>685</v>
      </c>
      <c r="R1066" s="108" t="s">
        <v>61</v>
      </c>
      <c r="S1066" s="108" t="s">
        <v>584</v>
      </c>
      <c r="T1066" s="98">
        <v>1.1678691183404335</v>
      </c>
      <c r="U1066" s="80">
        <v>-0.63021229584865335</v>
      </c>
      <c r="V1066" s="98">
        <v>1E-8</v>
      </c>
      <c r="W1066" s="98">
        <v>1E-8</v>
      </c>
      <c r="X1066" s="98">
        <v>1E-8</v>
      </c>
      <c r="Y1066" s="98">
        <v>1E-8</v>
      </c>
      <c r="Z1066" s="98">
        <v>1E-8</v>
      </c>
      <c r="AA1066" s="98">
        <v>1E-8</v>
      </c>
      <c r="AB1066" s="98">
        <v>1E-8</v>
      </c>
      <c r="AC1066" s="98">
        <v>1E-8</v>
      </c>
      <c r="AD1066" s="4"/>
    </row>
    <row r="1067" spans="1:30" x14ac:dyDescent="0.3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34"/>
      <c r="O1067" s="4"/>
      <c r="P1067" s="68"/>
      <c r="Q1067" s="68" t="s">
        <v>686</v>
      </c>
      <c r="R1067" s="109" t="s">
        <v>61</v>
      </c>
      <c r="S1067" s="109" t="s">
        <v>585</v>
      </c>
      <c r="T1067" s="81">
        <v>5.1856238040599276</v>
      </c>
      <c r="U1067" s="82">
        <v>1.6198714658316238</v>
      </c>
      <c r="V1067" s="81">
        <v>1E-8</v>
      </c>
      <c r="W1067" s="81">
        <v>1E-8</v>
      </c>
      <c r="X1067" s="81">
        <v>1E-8</v>
      </c>
      <c r="Y1067" s="81">
        <v>1E-8</v>
      </c>
      <c r="Z1067" s="81">
        <v>1E-8</v>
      </c>
      <c r="AA1067" s="81">
        <v>1E-8</v>
      </c>
      <c r="AB1067" s="81">
        <v>1E-8</v>
      </c>
      <c r="AC1067" s="81">
        <v>1E-8</v>
      </c>
      <c r="AD1067" s="4"/>
    </row>
    <row r="1068" spans="1:30" x14ac:dyDescent="0.3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34"/>
      <c r="O1068" s="4"/>
      <c r="P1068" s="96"/>
      <c r="Q1068" s="96" t="s">
        <v>687</v>
      </c>
      <c r="R1068" s="107" t="s">
        <v>61</v>
      </c>
      <c r="S1068" s="107" t="s">
        <v>358</v>
      </c>
      <c r="T1068" s="97">
        <v>28.363654897428841</v>
      </c>
      <c r="U1068" s="78">
        <v>0.54850512444892807</v>
      </c>
      <c r="V1068" s="97">
        <v>1E-8</v>
      </c>
      <c r="W1068" s="97">
        <v>1E-8</v>
      </c>
      <c r="X1068" s="97">
        <v>1E-8</v>
      </c>
      <c r="Y1068" s="97">
        <v>1E-8</v>
      </c>
      <c r="Z1068" s="97">
        <v>1E-8</v>
      </c>
      <c r="AA1068" s="97">
        <v>1E-8</v>
      </c>
      <c r="AB1068" s="97">
        <v>1E-8</v>
      </c>
      <c r="AC1068" s="97">
        <v>1E-8</v>
      </c>
      <c r="AD1068" s="4"/>
    </row>
    <row r="1069" spans="1:30" x14ac:dyDescent="0.3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34"/>
      <c r="O1069" s="4"/>
      <c r="P1069" s="96"/>
      <c r="Q1069" s="96" t="s">
        <v>688</v>
      </c>
      <c r="R1069" s="107" t="s">
        <v>61</v>
      </c>
      <c r="S1069" s="107" t="s">
        <v>359</v>
      </c>
      <c r="T1069" s="97">
        <v>8.8580834709451999</v>
      </c>
      <c r="U1069" s="78">
        <v>-0.17707260695282168</v>
      </c>
      <c r="V1069" s="97">
        <v>1E-8</v>
      </c>
      <c r="W1069" s="97">
        <v>1E-8</v>
      </c>
      <c r="X1069" s="97">
        <v>1E-8</v>
      </c>
      <c r="Y1069" s="97">
        <v>1E-8</v>
      </c>
      <c r="Z1069" s="97">
        <v>1E-8</v>
      </c>
      <c r="AA1069" s="97">
        <v>1E-8</v>
      </c>
      <c r="AB1069" s="97">
        <v>1E-8</v>
      </c>
      <c r="AC1069" s="97">
        <v>1E-8</v>
      </c>
      <c r="AD1069" s="4"/>
    </row>
    <row r="1070" spans="1:30" x14ac:dyDescent="0.3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34"/>
      <c r="O1070" s="4"/>
      <c r="P1070" s="96"/>
      <c r="Q1070" s="96" t="s">
        <v>689</v>
      </c>
      <c r="R1070" s="107" t="s">
        <v>61</v>
      </c>
      <c r="S1070" s="107" t="s">
        <v>360</v>
      </c>
      <c r="T1070" s="97">
        <v>9.1569886747038431</v>
      </c>
      <c r="U1070" s="78">
        <v>-1.5841534211332386</v>
      </c>
      <c r="V1070" s="97">
        <v>1E-8</v>
      </c>
      <c r="W1070" s="97">
        <v>1E-8</v>
      </c>
      <c r="X1070" s="97">
        <v>1E-8</v>
      </c>
      <c r="Y1070" s="97">
        <v>1E-8</v>
      </c>
      <c r="Z1070" s="97">
        <v>1E-8</v>
      </c>
      <c r="AA1070" s="97">
        <v>1E-8</v>
      </c>
      <c r="AB1070" s="97">
        <v>1E-8</v>
      </c>
      <c r="AC1070" s="97">
        <v>1E-8</v>
      </c>
      <c r="AD1070" s="4"/>
    </row>
    <row r="1071" spans="1:30" x14ac:dyDescent="0.3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34"/>
      <c r="O1071" s="4"/>
      <c r="P1071" s="96"/>
      <c r="Q1071" s="96" t="s">
        <v>205</v>
      </c>
      <c r="R1071" s="107" t="s">
        <v>61</v>
      </c>
      <c r="S1071" s="107" t="s">
        <v>586</v>
      </c>
      <c r="T1071" s="97">
        <v>21.078775121706556</v>
      </c>
      <c r="U1071" s="78">
        <v>0.17812832790966571</v>
      </c>
      <c r="V1071" s="97">
        <v>1E-8</v>
      </c>
      <c r="W1071" s="97">
        <v>1E-8</v>
      </c>
      <c r="X1071" s="97">
        <v>1E-8</v>
      </c>
      <c r="Y1071" s="97">
        <v>1E-8</v>
      </c>
      <c r="Z1071" s="97">
        <v>1E-8</v>
      </c>
      <c r="AA1071" s="97">
        <v>1E-8</v>
      </c>
      <c r="AB1071" s="97">
        <v>1E-8</v>
      </c>
      <c r="AC1071" s="97">
        <v>1E-8</v>
      </c>
      <c r="AD1071" s="4"/>
    </row>
    <row r="1072" spans="1:30" x14ac:dyDescent="0.3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34"/>
      <c r="O1072" s="4"/>
      <c r="P1072" s="68"/>
      <c r="Q1072" s="68" t="s">
        <v>690</v>
      </c>
      <c r="R1072" s="108" t="s">
        <v>61</v>
      </c>
      <c r="S1072" s="108" t="s">
        <v>587</v>
      </c>
      <c r="T1072" s="98">
        <v>4.3882068553423412</v>
      </c>
      <c r="U1072" s="80">
        <v>9.0368003997420843E-2</v>
      </c>
      <c r="V1072" s="98">
        <v>1E-8</v>
      </c>
      <c r="W1072" s="98">
        <v>1E-8</v>
      </c>
      <c r="X1072" s="98">
        <v>1E-8</v>
      </c>
      <c r="Y1072" s="98">
        <v>1E-8</v>
      </c>
      <c r="Z1072" s="98">
        <v>1E-8</v>
      </c>
      <c r="AA1072" s="98">
        <v>1E-8</v>
      </c>
      <c r="AB1072" s="98">
        <v>1E-8</v>
      </c>
      <c r="AC1072" s="98">
        <v>1E-8</v>
      </c>
      <c r="AD1072" s="4"/>
    </row>
    <row r="1073" spans="1:30" x14ac:dyDescent="0.3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34"/>
      <c r="O1073" s="4"/>
      <c r="P1073" s="68"/>
      <c r="Q1073" s="68" t="s">
        <v>691</v>
      </c>
      <c r="R1073" s="108" t="s">
        <v>61</v>
      </c>
      <c r="S1073" s="108" t="s">
        <v>588</v>
      </c>
      <c r="T1073" s="98">
        <v>0.16290104442445399</v>
      </c>
      <c r="U1073" s="80">
        <v>0.621242870967742</v>
      </c>
      <c r="V1073" s="98">
        <v>1E-8</v>
      </c>
      <c r="W1073" s="98">
        <v>1E-8</v>
      </c>
      <c r="X1073" s="98">
        <v>1E-8</v>
      </c>
      <c r="Y1073" s="98">
        <v>1E-8</v>
      </c>
      <c r="Z1073" s="98">
        <v>1E-8</v>
      </c>
      <c r="AA1073" s="98">
        <v>1E-8</v>
      </c>
      <c r="AB1073" s="98">
        <v>1E-8</v>
      </c>
      <c r="AC1073" s="98">
        <v>1E-8</v>
      </c>
      <c r="AD1073" s="4"/>
    </row>
    <row r="1074" spans="1:30" x14ac:dyDescent="0.3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34"/>
      <c r="O1074" s="4"/>
      <c r="P1074" s="68"/>
      <c r="Q1074" s="68" t="s">
        <v>692</v>
      </c>
      <c r="R1074" s="108" t="s">
        <v>61</v>
      </c>
      <c r="S1074" s="108" t="s">
        <v>589</v>
      </c>
      <c r="T1074" s="98">
        <v>3.0480145883890737</v>
      </c>
      <c r="U1074" s="80">
        <v>2.2215291050642572</v>
      </c>
      <c r="V1074" s="98">
        <v>1E-8</v>
      </c>
      <c r="W1074" s="98">
        <v>1E-8</v>
      </c>
      <c r="X1074" s="98">
        <v>1E-8</v>
      </c>
      <c r="Y1074" s="98">
        <v>1E-8</v>
      </c>
      <c r="Z1074" s="98">
        <v>1E-8</v>
      </c>
      <c r="AA1074" s="98">
        <v>1E-8</v>
      </c>
      <c r="AB1074" s="98">
        <v>1E-8</v>
      </c>
      <c r="AC1074" s="98">
        <v>1E-8</v>
      </c>
      <c r="AD1074" s="4"/>
    </row>
    <row r="1075" spans="1:30" x14ac:dyDescent="0.3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34"/>
      <c r="O1075" s="4"/>
      <c r="P1075" s="68"/>
      <c r="Q1075" s="68" t="s">
        <v>693</v>
      </c>
      <c r="R1075" s="108" t="s">
        <v>61</v>
      </c>
      <c r="S1075" s="108" t="s">
        <v>361</v>
      </c>
      <c r="T1075" s="98">
        <v>13.479652633550687</v>
      </c>
      <c r="U1075" s="80">
        <v>-0.26071003880124843</v>
      </c>
      <c r="V1075" s="98">
        <v>1E-8</v>
      </c>
      <c r="W1075" s="98">
        <v>1E-8</v>
      </c>
      <c r="X1075" s="98">
        <v>1E-8</v>
      </c>
      <c r="Y1075" s="98">
        <v>1E-8</v>
      </c>
      <c r="Z1075" s="98">
        <v>1E-8</v>
      </c>
      <c r="AA1075" s="98">
        <v>1E-8</v>
      </c>
      <c r="AB1075" s="98">
        <v>1E-8</v>
      </c>
      <c r="AC1075" s="98">
        <v>1E-8</v>
      </c>
      <c r="AD1075" s="4"/>
    </row>
    <row r="1076" spans="1:30" x14ac:dyDescent="0.3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34"/>
      <c r="O1076" s="4"/>
      <c r="P1076" s="68"/>
      <c r="Q1076" s="68" t="s">
        <v>694</v>
      </c>
      <c r="R1076" s="108" t="s">
        <v>61</v>
      </c>
      <c r="S1076" s="108" t="s">
        <v>590</v>
      </c>
      <c r="T1076" s="98">
        <v>1E-8</v>
      </c>
      <c r="U1076" s="80">
        <v>1E-8</v>
      </c>
      <c r="V1076" s="98">
        <v>1E-8</v>
      </c>
      <c r="W1076" s="98">
        <v>1E-8</v>
      </c>
      <c r="X1076" s="98">
        <v>1E-8</v>
      </c>
      <c r="Y1076" s="98">
        <v>1E-8</v>
      </c>
      <c r="Z1076" s="98">
        <v>1E-8</v>
      </c>
      <c r="AA1076" s="98">
        <v>1E-8</v>
      </c>
      <c r="AB1076" s="98">
        <v>1E-8</v>
      </c>
      <c r="AC1076" s="98">
        <v>1E-8</v>
      </c>
      <c r="AD1076" s="4"/>
    </row>
    <row r="1077" spans="1:30" ht="15" thickBot="1" x14ac:dyDescent="0.4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34"/>
      <c r="O1077" s="4"/>
      <c r="P1077" s="102"/>
      <c r="Q1077" s="102" t="s">
        <v>695</v>
      </c>
      <c r="R1077" s="113" t="s">
        <v>61</v>
      </c>
      <c r="S1077" s="113" t="s">
        <v>591</v>
      </c>
      <c r="T1077" s="103">
        <v>1E-8</v>
      </c>
      <c r="U1077" s="104">
        <v>1E-8</v>
      </c>
      <c r="V1077" s="103">
        <v>1E-8</v>
      </c>
      <c r="W1077" s="103">
        <v>1E-8</v>
      </c>
      <c r="X1077" s="103">
        <v>1E-8</v>
      </c>
      <c r="Y1077" s="103">
        <v>1E-8</v>
      </c>
      <c r="Z1077" s="103">
        <v>1E-8</v>
      </c>
      <c r="AA1077" s="103">
        <v>1E-8</v>
      </c>
      <c r="AB1077" s="103">
        <v>1E-8</v>
      </c>
      <c r="AC1077" s="103">
        <v>1E-8</v>
      </c>
      <c r="AD1077" s="4"/>
    </row>
    <row r="1078" spans="1:30" x14ac:dyDescent="0.3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34"/>
      <c r="O1078" s="4"/>
      <c r="P1078" s="47" t="s">
        <v>727</v>
      </c>
      <c r="Q1078" s="47" t="s">
        <v>102</v>
      </c>
      <c r="R1078" s="105" t="s">
        <v>729</v>
      </c>
      <c r="S1078" s="105" t="s">
        <v>288</v>
      </c>
      <c r="T1078" s="95">
        <v>100</v>
      </c>
      <c r="U1078" s="74">
        <v>1E-8</v>
      </c>
      <c r="V1078" s="95">
        <v>1E-8</v>
      </c>
      <c r="W1078" s="95">
        <v>1E-8</v>
      </c>
      <c r="X1078" s="95">
        <v>1E-8</v>
      </c>
      <c r="Y1078" s="95">
        <v>1E-8</v>
      </c>
      <c r="Z1078" s="95">
        <v>1E-8</v>
      </c>
      <c r="AA1078" s="95">
        <v>1E-8</v>
      </c>
      <c r="AB1078" s="95">
        <v>1E-8</v>
      </c>
      <c r="AC1078" s="95">
        <v>1E-8</v>
      </c>
      <c r="AD1078" s="4"/>
    </row>
    <row r="1079" spans="1:30" x14ac:dyDescent="0.3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34"/>
      <c r="O1079" s="4"/>
      <c r="P1079" s="47" t="s">
        <v>474</v>
      </c>
      <c r="Q1079" s="47" t="s">
        <v>278</v>
      </c>
      <c r="R1079" s="106" t="s">
        <v>729</v>
      </c>
      <c r="S1079" s="106" t="s">
        <v>289</v>
      </c>
      <c r="T1079" s="75">
        <v>16.439064599925903</v>
      </c>
      <c r="U1079" s="76">
        <v>0.12046643435055238</v>
      </c>
      <c r="V1079" s="75">
        <v>1E-8</v>
      </c>
      <c r="W1079" s="75">
        <v>1E-8</v>
      </c>
      <c r="X1079" s="75">
        <v>1E-8</v>
      </c>
      <c r="Y1079" s="75">
        <v>1E-8</v>
      </c>
      <c r="Z1079" s="75">
        <v>1E-8</v>
      </c>
      <c r="AA1079" s="75">
        <v>1E-8</v>
      </c>
      <c r="AB1079" s="75">
        <v>1E-8</v>
      </c>
      <c r="AC1079" s="75">
        <v>1E-8</v>
      </c>
      <c r="AD1079" s="4"/>
    </row>
    <row r="1080" spans="1:30" x14ac:dyDescent="0.3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34"/>
      <c r="O1080" s="4"/>
      <c r="P1080" s="96"/>
      <c r="Q1080" s="96" t="s">
        <v>279</v>
      </c>
      <c r="R1080" s="107" t="s">
        <v>729</v>
      </c>
      <c r="S1080" s="107" t="s">
        <v>290</v>
      </c>
      <c r="T1080" s="97">
        <v>11.391638453111815</v>
      </c>
      <c r="U1080" s="78">
        <v>0.39867402838265065</v>
      </c>
      <c r="V1080" s="97">
        <v>1E-8</v>
      </c>
      <c r="W1080" s="97">
        <v>1E-8</v>
      </c>
      <c r="X1080" s="97">
        <v>1E-8</v>
      </c>
      <c r="Y1080" s="97">
        <v>1E-8</v>
      </c>
      <c r="Z1080" s="97">
        <v>1E-8</v>
      </c>
      <c r="AA1080" s="97">
        <v>1E-8</v>
      </c>
      <c r="AB1080" s="97">
        <v>1E-8</v>
      </c>
      <c r="AC1080" s="97">
        <v>1E-8</v>
      </c>
      <c r="AD1080" s="4"/>
    </row>
    <row r="1081" spans="1:30" x14ac:dyDescent="0.3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34"/>
      <c r="O1081" s="4"/>
      <c r="P1081" s="96"/>
      <c r="Q1081" s="96" t="s">
        <v>362</v>
      </c>
      <c r="R1081" s="107" t="s">
        <v>729</v>
      </c>
      <c r="S1081" s="107" t="s">
        <v>291</v>
      </c>
      <c r="T1081" s="97">
        <v>11.021006815341</v>
      </c>
      <c r="U1081" s="78">
        <v>5.1784159446532918E-2</v>
      </c>
      <c r="V1081" s="97">
        <v>1E-8</v>
      </c>
      <c r="W1081" s="97">
        <v>1E-8</v>
      </c>
      <c r="X1081" s="97">
        <v>1E-8</v>
      </c>
      <c r="Y1081" s="97">
        <v>1E-8</v>
      </c>
      <c r="Z1081" s="97">
        <v>1E-8</v>
      </c>
      <c r="AA1081" s="97">
        <v>1E-8</v>
      </c>
      <c r="AB1081" s="97">
        <v>1E-8</v>
      </c>
      <c r="AC1081" s="97">
        <v>1E-8</v>
      </c>
      <c r="AD1081" s="4"/>
    </row>
    <row r="1082" spans="1:30" x14ac:dyDescent="0.3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34"/>
      <c r="O1082" s="4"/>
      <c r="P1082" s="96"/>
      <c r="Q1082" s="96" t="s">
        <v>363</v>
      </c>
      <c r="R1082" s="107" t="s">
        <v>729</v>
      </c>
      <c r="S1082" s="107" t="s">
        <v>292</v>
      </c>
      <c r="T1082" s="97">
        <v>0.37063163777081704</v>
      </c>
      <c r="U1082" s="78">
        <v>10.713701727344338</v>
      </c>
      <c r="V1082" s="97">
        <v>1E-8</v>
      </c>
      <c r="W1082" s="97">
        <v>1E-8</v>
      </c>
      <c r="X1082" s="97">
        <v>1E-8</v>
      </c>
      <c r="Y1082" s="97">
        <v>1E-8</v>
      </c>
      <c r="Z1082" s="97">
        <v>1E-8</v>
      </c>
      <c r="AA1082" s="97">
        <v>1E-8</v>
      </c>
      <c r="AB1082" s="97">
        <v>1E-8</v>
      </c>
      <c r="AC1082" s="97">
        <v>1E-8</v>
      </c>
      <c r="AD1082" s="4"/>
    </row>
    <row r="1083" spans="1:30" x14ac:dyDescent="0.3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34"/>
      <c r="O1083" s="4"/>
      <c r="P1083" s="68"/>
      <c r="Q1083" s="68" t="s">
        <v>592</v>
      </c>
      <c r="R1083" s="108" t="s">
        <v>729</v>
      </c>
      <c r="S1083" s="108" t="s">
        <v>294</v>
      </c>
      <c r="T1083" s="98">
        <v>0.36579912960640826</v>
      </c>
      <c r="U1083" s="80">
        <v>1.2301533903040562</v>
      </c>
      <c r="V1083" s="98">
        <v>1E-8</v>
      </c>
      <c r="W1083" s="98">
        <v>1E-8</v>
      </c>
      <c r="X1083" s="98">
        <v>1E-8</v>
      </c>
      <c r="Y1083" s="98">
        <v>1E-8</v>
      </c>
      <c r="Z1083" s="98">
        <v>1E-8</v>
      </c>
      <c r="AA1083" s="98">
        <v>1E-8</v>
      </c>
      <c r="AB1083" s="98">
        <v>1E-8</v>
      </c>
      <c r="AC1083" s="98">
        <v>1E-8</v>
      </c>
      <c r="AD1083" s="4"/>
    </row>
    <row r="1084" spans="1:30" x14ac:dyDescent="0.3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34"/>
      <c r="O1084" s="4"/>
      <c r="P1084" s="68"/>
      <c r="Q1084" s="68" t="s">
        <v>593</v>
      </c>
      <c r="R1084" s="108" t="s">
        <v>729</v>
      </c>
      <c r="S1084" s="108" t="s">
        <v>293</v>
      </c>
      <c r="T1084" s="98">
        <v>0.64288601753938202</v>
      </c>
      <c r="U1084" s="80">
        <v>2.1778320429454379</v>
      </c>
      <c r="V1084" s="98">
        <v>1E-8</v>
      </c>
      <c r="W1084" s="98">
        <v>1E-8</v>
      </c>
      <c r="X1084" s="98">
        <v>1E-8</v>
      </c>
      <c r="Y1084" s="98">
        <v>1E-8</v>
      </c>
      <c r="Z1084" s="98">
        <v>1E-8</v>
      </c>
      <c r="AA1084" s="98">
        <v>1E-8</v>
      </c>
      <c r="AB1084" s="98">
        <v>1E-8</v>
      </c>
      <c r="AC1084" s="98">
        <v>1E-8</v>
      </c>
      <c r="AD1084" s="4"/>
    </row>
    <row r="1085" spans="1:30" x14ac:dyDescent="0.3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34"/>
      <c r="O1085" s="4"/>
      <c r="P1085" s="68"/>
      <c r="Q1085" s="68" t="s">
        <v>594</v>
      </c>
      <c r="R1085" s="108" t="s">
        <v>729</v>
      </c>
      <c r="S1085" s="108" t="s">
        <v>296</v>
      </c>
      <c r="T1085" s="98">
        <v>4.6562727753749382E-3</v>
      </c>
      <c r="U1085" s="80">
        <v>3.2341543304897025</v>
      </c>
      <c r="V1085" s="98">
        <v>1E-8</v>
      </c>
      <c r="W1085" s="98">
        <v>1E-8</v>
      </c>
      <c r="X1085" s="98">
        <v>1E-8</v>
      </c>
      <c r="Y1085" s="98">
        <v>1E-8</v>
      </c>
      <c r="Z1085" s="98">
        <v>1E-8</v>
      </c>
      <c r="AA1085" s="98">
        <v>1E-8</v>
      </c>
      <c r="AB1085" s="98">
        <v>1E-8</v>
      </c>
      <c r="AC1085" s="98">
        <v>1E-8</v>
      </c>
      <c r="AD1085" s="4"/>
    </row>
    <row r="1086" spans="1:30" x14ac:dyDescent="0.3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34"/>
      <c r="O1086" s="4"/>
      <c r="P1086" s="68"/>
      <c r="Q1086" s="68" t="s">
        <v>595</v>
      </c>
      <c r="R1086" s="108" t="s">
        <v>729</v>
      </c>
      <c r="S1086" s="108" t="s">
        <v>295</v>
      </c>
      <c r="T1086" s="98">
        <v>0.11448339167526367</v>
      </c>
      <c r="U1086" s="80">
        <v>0.56426503255928573</v>
      </c>
      <c r="V1086" s="98">
        <v>1E-8</v>
      </c>
      <c r="W1086" s="98">
        <v>1E-8</v>
      </c>
      <c r="X1086" s="98">
        <v>1E-8</v>
      </c>
      <c r="Y1086" s="98">
        <v>1E-8</v>
      </c>
      <c r="Z1086" s="98">
        <v>1E-8</v>
      </c>
      <c r="AA1086" s="98">
        <v>1E-8</v>
      </c>
      <c r="AB1086" s="98">
        <v>1E-8</v>
      </c>
      <c r="AC1086" s="98">
        <v>1E-8</v>
      </c>
      <c r="AD1086" s="4"/>
    </row>
    <row r="1087" spans="1:30" x14ac:dyDescent="0.3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34"/>
      <c r="O1087" s="4"/>
      <c r="P1087" s="68"/>
      <c r="Q1087" s="68" t="s">
        <v>596</v>
      </c>
      <c r="R1087" s="108" t="s">
        <v>729</v>
      </c>
      <c r="S1087" s="108" t="s">
        <v>297</v>
      </c>
      <c r="T1087" s="98">
        <v>2.9531031069330411E-4</v>
      </c>
      <c r="U1087" s="80">
        <v>3.243667919108395</v>
      </c>
      <c r="V1087" s="98">
        <v>1E-8</v>
      </c>
      <c r="W1087" s="98">
        <v>1E-8</v>
      </c>
      <c r="X1087" s="98">
        <v>1E-8</v>
      </c>
      <c r="Y1087" s="98">
        <v>1E-8</v>
      </c>
      <c r="Z1087" s="98">
        <v>1E-8</v>
      </c>
      <c r="AA1087" s="98">
        <v>1E-8</v>
      </c>
      <c r="AB1087" s="98">
        <v>1E-8</v>
      </c>
      <c r="AC1087" s="98">
        <v>1E-8</v>
      </c>
      <c r="AD1087" s="4"/>
    </row>
    <row r="1088" spans="1:30" x14ac:dyDescent="0.3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34"/>
      <c r="O1088" s="4"/>
      <c r="P1088" s="68"/>
      <c r="Q1088" s="68" t="s">
        <v>597</v>
      </c>
      <c r="R1088" s="108" t="s">
        <v>729</v>
      </c>
      <c r="S1088" s="108" t="s">
        <v>301</v>
      </c>
      <c r="T1088" s="98">
        <v>0.54837414996956935</v>
      </c>
      <c r="U1088" s="80">
        <v>-1.0823387116776551</v>
      </c>
      <c r="V1088" s="98">
        <v>1E-8</v>
      </c>
      <c r="W1088" s="98">
        <v>1E-8</v>
      </c>
      <c r="X1088" s="98">
        <v>1E-8</v>
      </c>
      <c r="Y1088" s="98">
        <v>1E-8</v>
      </c>
      <c r="Z1088" s="98">
        <v>1E-8</v>
      </c>
      <c r="AA1088" s="98">
        <v>1E-8</v>
      </c>
      <c r="AB1088" s="98">
        <v>1E-8</v>
      </c>
      <c r="AC1088" s="98">
        <v>1E-8</v>
      </c>
      <c r="AD1088" s="4"/>
    </row>
    <row r="1089" spans="1:30" x14ac:dyDescent="0.3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34"/>
      <c r="O1089" s="4"/>
      <c r="P1089" s="68"/>
      <c r="Q1089" s="68" t="s">
        <v>598</v>
      </c>
      <c r="R1089" s="108" t="s">
        <v>729</v>
      </c>
      <c r="S1089" s="108" t="s">
        <v>302</v>
      </c>
      <c r="T1089" s="98">
        <v>0.52290967463140325</v>
      </c>
      <c r="U1089" s="80">
        <v>-2.0002687535083385</v>
      </c>
      <c r="V1089" s="98">
        <v>1E-8</v>
      </c>
      <c r="W1089" s="98">
        <v>1E-8</v>
      </c>
      <c r="X1089" s="98">
        <v>1E-8</v>
      </c>
      <c r="Y1089" s="98">
        <v>1E-8</v>
      </c>
      <c r="Z1089" s="98">
        <v>1E-8</v>
      </c>
      <c r="AA1089" s="98">
        <v>1E-8</v>
      </c>
      <c r="AB1089" s="98">
        <v>1E-8</v>
      </c>
      <c r="AC1089" s="98">
        <v>1E-8</v>
      </c>
      <c r="AD1089" s="4"/>
    </row>
    <row r="1090" spans="1:30" x14ac:dyDescent="0.3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34"/>
      <c r="O1090" s="4"/>
      <c r="P1090" s="68"/>
      <c r="Q1090" s="68" t="s">
        <v>599</v>
      </c>
      <c r="R1090" s="108" t="s">
        <v>729</v>
      </c>
      <c r="S1090" s="108" t="s">
        <v>300</v>
      </c>
      <c r="T1090" s="98">
        <v>0.74301637620618732</v>
      </c>
      <c r="U1090" s="80">
        <v>0.39476516148126972</v>
      </c>
      <c r="V1090" s="98">
        <v>1E-8</v>
      </c>
      <c r="W1090" s="98">
        <v>1E-8</v>
      </c>
      <c r="X1090" s="98">
        <v>1E-8</v>
      </c>
      <c r="Y1090" s="98">
        <v>1E-8</v>
      </c>
      <c r="Z1090" s="98">
        <v>1E-8</v>
      </c>
      <c r="AA1090" s="98">
        <v>1E-8</v>
      </c>
      <c r="AB1090" s="98">
        <v>1E-8</v>
      </c>
      <c r="AC1090" s="98">
        <v>1E-8</v>
      </c>
      <c r="AD1090" s="4"/>
    </row>
    <row r="1091" spans="1:30" x14ac:dyDescent="0.3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34"/>
      <c r="O1091" s="4"/>
      <c r="P1091" s="68"/>
      <c r="Q1091" s="68" t="s">
        <v>600</v>
      </c>
      <c r="R1091" s="108" t="s">
        <v>729</v>
      </c>
      <c r="S1091" s="108" t="s">
        <v>303</v>
      </c>
      <c r="T1091" s="98">
        <v>0.10833876989445987</v>
      </c>
      <c r="U1091" s="80">
        <v>-1.6660853805121723</v>
      </c>
      <c r="V1091" s="98">
        <v>1E-8</v>
      </c>
      <c r="W1091" s="98">
        <v>1E-8</v>
      </c>
      <c r="X1091" s="98">
        <v>1E-8</v>
      </c>
      <c r="Y1091" s="98">
        <v>1E-8</v>
      </c>
      <c r="Z1091" s="98">
        <v>1E-8</v>
      </c>
      <c r="AA1091" s="98">
        <v>1E-8</v>
      </c>
      <c r="AB1091" s="98">
        <v>1E-8</v>
      </c>
      <c r="AC1091" s="98">
        <v>1E-8</v>
      </c>
      <c r="AD1091" s="4"/>
    </row>
    <row r="1092" spans="1:30" x14ac:dyDescent="0.3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34"/>
      <c r="O1092" s="4"/>
      <c r="P1092" s="68"/>
      <c r="Q1092" s="68" t="s">
        <v>601</v>
      </c>
      <c r="R1092" s="108" t="s">
        <v>729</v>
      </c>
      <c r="S1092" s="108" t="s">
        <v>533</v>
      </c>
      <c r="T1092" s="98">
        <v>2.9064202970749231</v>
      </c>
      <c r="U1092" s="80">
        <v>-7.9806151838113237E-4</v>
      </c>
      <c r="V1092" s="98">
        <v>1E-8</v>
      </c>
      <c r="W1092" s="98">
        <v>1E-8</v>
      </c>
      <c r="X1092" s="98">
        <v>1E-8</v>
      </c>
      <c r="Y1092" s="98">
        <v>1E-8</v>
      </c>
      <c r="Z1092" s="98">
        <v>1E-8</v>
      </c>
      <c r="AA1092" s="98">
        <v>1E-8</v>
      </c>
      <c r="AB1092" s="98">
        <v>1E-8</v>
      </c>
      <c r="AC1092" s="98">
        <v>1E-8</v>
      </c>
      <c r="AD1092" s="4"/>
    </row>
    <row r="1093" spans="1:30" x14ac:dyDescent="0.3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34"/>
      <c r="O1093" s="4"/>
      <c r="P1093" s="68"/>
      <c r="Q1093" s="68" t="s">
        <v>602</v>
      </c>
      <c r="R1093" s="108" t="s">
        <v>729</v>
      </c>
      <c r="S1093" s="108" t="s">
        <v>534</v>
      </c>
      <c r="T1093" s="98">
        <v>0.26903190286540907</v>
      </c>
      <c r="U1093" s="80">
        <v>-0.68047469031885521</v>
      </c>
      <c r="V1093" s="98">
        <v>1E-8</v>
      </c>
      <c r="W1093" s="98">
        <v>1E-8</v>
      </c>
      <c r="X1093" s="98">
        <v>1E-8</v>
      </c>
      <c r="Y1093" s="98">
        <v>1E-8</v>
      </c>
      <c r="Z1093" s="98">
        <v>1E-8</v>
      </c>
      <c r="AA1093" s="98">
        <v>1E-8</v>
      </c>
      <c r="AB1093" s="98">
        <v>1E-8</v>
      </c>
      <c r="AC1093" s="98">
        <v>1E-8</v>
      </c>
      <c r="AD1093" s="4"/>
    </row>
    <row r="1094" spans="1:30" x14ac:dyDescent="0.3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34"/>
      <c r="O1094" s="4"/>
      <c r="P1094" s="68"/>
      <c r="Q1094" s="68" t="s">
        <v>603</v>
      </c>
      <c r="R1094" s="108" t="s">
        <v>729</v>
      </c>
      <c r="S1094" s="108" t="s">
        <v>304</v>
      </c>
      <c r="T1094" s="98">
        <v>1.4971274327667565</v>
      </c>
      <c r="U1094" s="80">
        <v>-0.30759676490798027</v>
      </c>
      <c r="V1094" s="98">
        <v>1E-8</v>
      </c>
      <c r="W1094" s="98">
        <v>1E-8</v>
      </c>
      <c r="X1094" s="98">
        <v>1E-8</v>
      </c>
      <c r="Y1094" s="98">
        <v>1E-8</v>
      </c>
      <c r="Z1094" s="98">
        <v>1E-8</v>
      </c>
      <c r="AA1094" s="98">
        <v>1E-8</v>
      </c>
      <c r="AB1094" s="98">
        <v>1E-8</v>
      </c>
      <c r="AC1094" s="98">
        <v>1E-8</v>
      </c>
      <c r="AD1094" s="4"/>
    </row>
    <row r="1095" spans="1:30" x14ac:dyDescent="0.3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34"/>
      <c r="O1095" s="4"/>
      <c r="P1095" s="68"/>
      <c r="Q1095" s="68" t="s">
        <v>604</v>
      </c>
      <c r="R1095" s="108" t="s">
        <v>729</v>
      </c>
      <c r="S1095" s="108" t="s">
        <v>535</v>
      </c>
      <c r="T1095" s="98">
        <v>0.30529759648203952</v>
      </c>
      <c r="U1095" s="80">
        <v>-8.4852571613214245E-2</v>
      </c>
      <c r="V1095" s="98">
        <v>1E-8</v>
      </c>
      <c r="W1095" s="98">
        <v>1E-8</v>
      </c>
      <c r="X1095" s="98">
        <v>1E-8</v>
      </c>
      <c r="Y1095" s="98">
        <v>1E-8</v>
      </c>
      <c r="Z1095" s="98">
        <v>1E-8</v>
      </c>
      <c r="AA1095" s="98">
        <v>1E-8</v>
      </c>
      <c r="AB1095" s="98">
        <v>1E-8</v>
      </c>
      <c r="AC1095" s="98">
        <v>1E-8</v>
      </c>
      <c r="AD1095" s="4"/>
    </row>
    <row r="1096" spans="1:30" x14ac:dyDescent="0.3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34"/>
      <c r="O1096" s="4"/>
      <c r="P1096" s="68"/>
      <c r="Q1096" s="68" t="s">
        <v>605</v>
      </c>
      <c r="R1096" s="108" t="s">
        <v>729</v>
      </c>
      <c r="S1096" s="108" t="s">
        <v>536</v>
      </c>
      <c r="T1096" s="98">
        <v>1.9985150503398112</v>
      </c>
      <c r="U1096" s="80">
        <v>-0.26236664290967271</v>
      </c>
      <c r="V1096" s="98">
        <v>1E-8</v>
      </c>
      <c r="W1096" s="98">
        <v>1E-8</v>
      </c>
      <c r="X1096" s="98">
        <v>1E-8</v>
      </c>
      <c r="Y1096" s="98">
        <v>1E-8</v>
      </c>
      <c r="Z1096" s="98">
        <v>1E-8</v>
      </c>
      <c r="AA1096" s="98">
        <v>1E-8</v>
      </c>
      <c r="AB1096" s="98">
        <v>1E-8</v>
      </c>
      <c r="AC1096" s="98">
        <v>1E-8</v>
      </c>
      <c r="AD1096" s="4"/>
    </row>
    <row r="1097" spans="1:30" x14ac:dyDescent="0.3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34"/>
      <c r="O1097" s="4"/>
      <c r="P1097" s="68"/>
      <c r="Q1097" s="68" t="s">
        <v>606</v>
      </c>
      <c r="R1097" s="108" t="s">
        <v>729</v>
      </c>
      <c r="S1097" s="108" t="s">
        <v>537</v>
      </c>
      <c r="T1097" s="98">
        <v>0.55131572577229904</v>
      </c>
      <c r="U1097" s="80">
        <v>0.51625826507326611</v>
      </c>
      <c r="V1097" s="98">
        <v>1E-8</v>
      </c>
      <c r="W1097" s="98">
        <v>1E-8</v>
      </c>
      <c r="X1097" s="98">
        <v>1E-8</v>
      </c>
      <c r="Y1097" s="98">
        <v>1E-8</v>
      </c>
      <c r="Z1097" s="98">
        <v>1E-8</v>
      </c>
      <c r="AA1097" s="98">
        <v>1E-8</v>
      </c>
      <c r="AB1097" s="98">
        <v>1E-8</v>
      </c>
      <c r="AC1097" s="98">
        <v>1E-8</v>
      </c>
      <c r="AD1097" s="4"/>
    </row>
    <row r="1098" spans="1:30" x14ac:dyDescent="0.3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34"/>
      <c r="O1098" s="4"/>
      <c r="P1098" s="68"/>
      <c r="Q1098" s="68" t="s">
        <v>607</v>
      </c>
      <c r="R1098" s="108" t="s">
        <v>729</v>
      </c>
      <c r="S1098" s="108" t="s">
        <v>307</v>
      </c>
      <c r="T1098" s="98">
        <v>0.35201034496193595</v>
      </c>
      <c r="U1098" s="80">
        <v>2.0517150416182739</v>
      </c>
      <c r="V1098" s="98">
        <v>1E-8</v>
      </c>
      <c r="W1098" s="98">
        <v>1E-8</v>
      </c>
      <c r="X1098" s="98">
        <v>1E-8</v>
      </c>
      <c r="Y1098" s="98">
        <v>1E-8</v>
      </c>
      <c r="Z1098" s="98">
        <v>1E-8</v>
      </c>
      <c r="AA1098" s="98">
        <v>1E-8</v>
      </c>
      <c r="AB1098" s="98">
        <v>1E-8</v>
      </c>
      <c r="AC1098" s="98">
        <v>1E-8</v>
      </c>
      <c r="AD1098" s="4"/>
    </row>
    <row r="1099" spans="1:30" x14ac:dyDescent="0.3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34"/>
      <c r="O1099" s="4"/>
      <c r="P1099" s="68"/>
      <c r="Q1099" s="68" t="s">
        <v>608</v>
      </c>
      <c r="R1099" s="108" t="s">
        <v>729</v>
      </c>
      <c r="S1099" s="108" t="s">
        <v>298</v>
      </c>
      <c r="T1099" s="98">
        <v>5.4579046336771443E-2</v>
      </c>
      <c r="U1099" s="80">
        <v>5.4613922759741973</v>
      </c>
      <c r="V1099" s="98">
        <v>1E-8</v>
      </c>
      <c r="W1099" s="98">
        <v>1E-8</v>
      </c>
      <c r="X1099" s="98">
        <v>1E-8</v>
      </c>
      <c r="Y1099" s="98">
        <v>1E-8</v>
      </c>
      <c r="Z1099" s="98">
        <v>1E-8</v>
      </c>
      <c r="AA1099" s="98">
        <v>1E-8</v>
      </c>
      <c r="AB1099" s="98">
        <v>1E-8</v>
      </c>
      <c r="AC1099" s="98">
        <v>1E-8</v>
      </c>
      <c r="AD1099" s="4"/>
    </row>
    <row r="1100" spans="1:30" x14ac:dyDescent="0.3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34"/>
      <c r="O1100" s="4"/>
      <c r="P1100" s="68"/>
      <c r="Q1100" s="68" t="s">
        <v>609</v>
      </c>
      <c r="R1100" s="108" t="s">
        <v>729</v>
      </c>
      <c r="S1100" s="108" t="s">
        <v>538</v>
      </c>
      <c r="T1100" s="98">
        <v>3.5950326132312631E-2</v>
      </c>
      <c r="U1100" s="80">
        <v>1.6107653493548257</v>
      </c>
      <c r="V1100" s="98">
        <v>1E-8</v>
      </c>
      <c r="W1100" s="98">
        <v>1E-8</v>
      </c>
      <c r="X1100" s="98">
        <v>1E-8</v>
      </c>
      <c r="Y1100" s="98">
        <v>1E-8</v>
      </c>
      <c r="Z1100" s="98">
        <v>1E-8</v>
      </c>
      <c r="AA1100" s="98">
        <v>1E-8</v>
      </c>
      <c r="AB1100" s="98">
        <v>1E-8</v>
      </c>
      <c r="AC1100" s="98">
        <v>1E-8</v>
      </c>
      <c r="AD1100" s="4"/>
    </row>
    <row r="1101" spans="1:30" x14ac:dyDescent="0.3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34"/>
      <c r="O1101" s="4"/>
      <c r="P1101" s="68"/>
      <c r="Q1101" s="68" t="s">
        <v>610</v>
      </c>
      <c r="R1101" s="108" t="s">
        <v>729</v>
      </c>
      <c r="S1101" s="108" t="s">
        <v>299</v>
      </c>
      <c r="T1101" s="98">
        <v>1E-8</v>
      </c>
      <c r="U1101" s="80">
        <v>1E-8</v>
      </c>
      <c r="V1101" s="98">
        <v>1E-8</v>
      </c>
      <c r="W1101" s="98">
        <v>1E-8</v>
      </c>
      <c r="X1101" s="98">
        <v>1E-8</v>
      </c>
      <c r="Y1101" s="98">
        <v>1E-8</v>
      </c>
      <c r="Z1101" s="98">
        <v>1E-8</v>
      </c>
      <c r="AA1101" s="98">
        <v>1E-8</v>
      </c>
      <c r="AB1101" s="98">
        <v>1E-8</v>
      </c>
      <c r="AC1101" s="98">
        <v>1E-8</v>
      </c>
      <c r="AD1101" s="4"/>
    </row>
    <row r="1102" spans="1:30" x14ac:dyDescent="0.3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34"/>
      <c r="O1102" s="4"/>
      <c r="P1102" s="68"/>
      <c r="Q1102" s="68" t="s">
        <v>611</v>
      </c>
      <c r="R1102" s="108" t="s">
        <v>729</v>
      </c>
      <c r="S1102" s="108" t="s">
        <v>309</v>
      </c>
      <c r="T1102" s="98">
        <v>0.28321680719366188</v>
      </c>
      <c r="U1102" s="80">
        <v>13.516200787707477</v>
      </c>
      <c r="V1102" s="98">
        <v>1E-8</v>
      </c>
      <c r="W1102" s="98">
        <v>1E-8</v>
      </c>
      <c r="X1102" s="98">
        <v>1E-8</v>
      </c>
      <c r="Y1102" s="98">
        <v>1E-8</v>
      </c>
      <c r="Z1102" s="98">
        <v>1E-8</v>
      </c>
      <c r="AA1102" s="98">
        <v>1E-8</v>
      </c>
      <c r="AB1102" s="98">
        <v>1E-8</v>
      </c>
      <c r="AC1102" s="98">
        <v>1E-8</v>
      </c>
      <c r="AD1102" s="4"/>
    </row>
    <row r="1103" spans="1:30" x14ac:dyDescent="0.3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34"/>
      <c r="O1103" s="4"/>
      <c r="P1103" s="68"/>
      <c r="Q1103" s="68" t="s">
        <v>612</v>
      </c>
      <c r="R1103" s="108" t="s">
        <v>729</v>
      </c>
      <c r="S1103" s="108" t="s">
        <v>308</v>
      </c>
      <c r="T1103" s="98">
        <v>1E-8</v>
      </c>
      <c r="U1103" s="80">
        <v>1E-8</v>
      </c>
      <c r="V1103" s="98">
        <v>1E-8</v>
      </c>
      <c r="W1103" s="98">
        <v>1E-8</v>
      </c>
      <c r="X1103" s="98">
        <v>1E-8</v>
      </c>
      <c r="Y1103" s="98">
        <v>1E-8</v>
      </c>
      <c r="Z1103" s="98">
        <v>1E-8</v>
      </c>
      <c r="AA1103" s="98">
        <v>1E-8</v>
      </c>
      <c r="AB1103" s="98">
        <v>1E-8</v>
      </c>
      <c r="AC1103" s="98">
        <v>1E-8</v>
      </c>
      <c r="AD1103" s="4"/>
    </row>
    <row r="1104" spans="1:30" x14ac:dyDescent="0.3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34"/>
      <c r="O1104" s="4"/>
      <c r="P1104" s="68"/>
      <c r="Q1104" s="68" t="s">
        <v>613</v>
      </c>
      <c r="R1104" s="108" t="s">
        <v>729</v>
      </c>
      <c r="S1104" s="108" t="s">
        <v>306</v>
      </c>
      <c r="T1104" s="98">
        <v>1.9066213125939632E-2</v>
      </c>
      <c r="U1104" s="80">
        <v>-1.5577975145871004</v>
      </c>
      <c r="V1104" s="98">
        <v>1E-8</v>
      </c>
      <c r="W1104" s="98">
        <v>1E-8</v>
      </c>
      <c r="X1104" s="98">
        <v>1E-8</v>
      </c>
      <c r="Y1104" s="98">
        <v>1E-8</v>
      </c>
      <c r="Z1104" s="98">
        <v>1E-8</v>
      </c>
      <c r="AA1104" s="98">
        <v>1E-8</v>
      </c>
      <c r="AB1104" s="98">
        <v>1E-8</v>
      </c>
      <c r="AC1104" s="98">
        <v>1E-8</v>
      </c>
      <c r="AD1104" s="4"/>
    </row>
    <row r="1105" spans="1:30" x14ac:dyDescent="0.3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34"/>
      <c r="O1105" s="4"/>
      <c r="P1105" s="68"/>
      <c r="Q1105" s="68" t="s">
        <v>614</v>
      </c>
      <c r="R1105" s="108" t="s">
        <v>729</v>
      </c>
      <c r="S1105" s="108" t="s">
        <v>305</v>
      </c>
      <c r="T1105" s="98">
        <v>3.2328755888093204E-2</v>
      </c>
      <c r="U1105" s="80">
        <v>0.4113280513897255</v>
      </c>
      <c r="V1105" s="98">
        <v>1E-8</v>
      </c>
      <c r="W1105" s="98">
        <v>1E-8</v>
      </c>
      <c r="X1105" s="98">
        <v>1E-8</v>
      </c>
      <c r="Y1105" s="98">
        <v>1E-8</v>
      </c>
      <c r="Z1105" s="98">
        <v>1E-8</v>
      </c>
      <c r="AA1105" s="98">
        <v>1E-8</v>
      </c>
      <c r="AB1105" s="98">
        <v>1E-8</v>
      </c>
      <c r="AC1105" s="98">
        <v>1E-8</v>
      </c>
      <c r="AD1105" s="4"/>
    </row>
    <row r="1106" spans="1:30" x14ac:dyDescent="0.3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34"/>
      <c r="O1106" s="4"/>
      <c r="P1106" s="68"/>
      <c r="Q1106" s="68" t="s">
        <v>615</v>
      </c>
      <c r="R1106" s="108" t="s">
        <v>729</v>
      </c>
      <c r="S1106" s="108" t="s">
        <v>539</v>
      </c>
      <c r="T1106" s="98">
        <v>2.638160112273497E-3</v>
      </c>
      <c r="U1106" s="80">
        <v>16.512469369931402</v>
      </c>
      <c r="V1106" s="98">
        <v>1E-8</v>
      </c>
      <c r="W1106" s="98">
        <v>1E-8</v>
      </c>
      <c r="X1106" s="98">
        <v>1E-8</v>
      </c>
      <c r="Y1106" s="98">
        <v>1E-8</v>
      </c>
      <c r="Z1106" s="98">
        <v>1E-8</v>
      </c>
      <c r="AA1106" s="98">
        <v>1E-8</v>
      </c>
      <c r="AB1106" s="98">
        <v>1E-8</v>
      </c>
      <c r="AC1106" s="98">
        <v>1E-8</v>
      </c>
      <c r="AD1106" s="4"/>
    </row>
    <row r="1107" spans="1:30" x14ac:dyDescent="0.3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34"/>
      <c r="O1107" s="4"/>
      <c r="P1107" s="68"/>
      <c r="Q1107" s="68" t="s">
        <v>616</v>
      </c>
      <c r="R1107" s="109" t="s">
        <v>729</v>
      </c>
      <c r="S1107" s="109" t="s">
        <v>310</v>
      </c>
      <c r="T1107" s="81">
        <v>3.3381701450848844E-2</v>
      </c>
      <c r="U1107" s="82">
        <v>3.4648510259723153</v>
      </c>
      <c r="V1107" s="81">
        <v>1E-8</v>
      </c>
      <c r="W1107" s="81">
        <v>1E-8</v>
      </c>
      <c r="X1107" s="81">
        <v>1E-8</v>
      </c>
      <c r="Y1107" s="81">
        <v>1E-8</v>
      </c>
      <c r="Z1107" s="81">
        <v>1E-8</v>
      </c>
      <c r="AA1107" s="81">
        <v>1E-8</v>
      </c>
      <c r="AB1107" s="81">
        <v>1E-8</v>
      </c>
      <c r="AC1107" s="81">
        <v>1E-8</v>
      </c>
      <c r="AD1107" s="4"/>
    </row>
    <row r="1108" spans="1:30" x14ac:dyDescent="0.3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34"/>
      <c r="O1108" s="4"/>
      <c r="P1108" s="96"/>
      <c r="Q1108" s="96" t="s">
        <v>280</v>
      </c>
      <c r="R1108" s="107" t="s">
        <v>729</v>
      </c>
      <c r="S1108" s="107" t="s">
        <v>311</v>
      </c>
      <c r="T1108" s="97">
        <v>3.7869917660988301</v>
      </c>
      <c r="U1108" s="78">
        <v>-0.77600631990324409</v>
      </c>
      <c r="V1108" s="97">
        <v>1E-8</v>
      </c>
      <c r="W1108" s="97">
        <v>1E-8</v>
      </c>
      <c r="X1108" s="97">
        <v>1E-8</v>
      </c>
      <c r="Y1108" s="97">
        <v>1E-8</v>
      </c>
      <c r="Z1108" s="97">
        <v>1E-8</v>
      </c>
      <c r="AA1108" s="97">
        <v>1E-8</v>
      </c>
      <c r="AB1108" s="97">
        <v>1E-8</v>
      </c>
      <c r="AC1108" s="97">
        <v>1E-8</v>
      </c>
      <c r="AD1108" s="4"/>
    </row>
    <row r="1109" spans="1:30" x14ac:dyDescent="0.3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34"/>
      <c r="O1109" s="4"/>
      <c r="P1109" s="68"/>
      <c r="Q1109" s="68" t="s">
        <v>617</v>
      </c>
      <c r="R1109" s="108" t="s">
        <v>729</v>
      </c>
      <c r="S1109" s="108" t="s">
        <v>312</v>
      </c>
      <c r="T1109" s="98">
        <v>2.533844519226288</v>
      </c>
      <c r="U1109" s="80">
        <v>-1.3832942387773217</v>
      </c>
      <c r="V1109" s="98">
        <v>1E-8</v>
      </c>
      <c r="W1109" s="98">
        <v>1E-8</v>
      </c>
      <c r="X1109" s="98">
        <v>1E-8</v>
      </c>
      <c r="Y1109" s="98">
        <v>1E-8</v>
      </c>
      <c r="Z1109" s="98">
        <v>1E-8</v>
      </c>
      <c r="AA1109" s="98">
        <v>1E-8</v>
      </c>
      <c r="AB1109" s="98">
        <v>1E-8</v>
      </c>
      <c r="AC1109" s="98">
        <v>1E-8</v>
      </c>
      <c r="AD1109" s="4"/>
    </row>
    <row r="1110" spans="1:30" x14ac:dyDescent="0.3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34"/>
      <c r="O1110" s="4"/>
      <c r="P1110" s="68"/>
      <c r="Q1110" s="68" t="s">
        <v>618</v>
      </c>
      <c r="R1110" s="108" t="s">
        <v>729</v>
      </c>
      <c r="S1110" s="108" t="s">
        <v>316</v>
      </c>
      <c r="T1110" s="98">
        <v>0.31724159908024352</v>
      </c>
      <c r="U1110" s="80">
        <v>-3.3756338967735</v>
      </c>
      <c r="V1110" s="98">
        <v>1E-8</v>
      </c>
      <c r="W1110" s="98">
        <v>1E-8</v>
      </c>
      <c r="X1110" s="98">
        <v>1E-8</v>
      </c>
      <c r="Y1110" s="98">
        <v>1E-8</v>
      </c>
      <c r="Z1110" s="98">
        <v>1E-8</v>
      </c>
      <c r="AA1110" s="98">
        <v>1E-8</v>
      </c>
      <c r="AB1110" s="98">
        <v>1E-8</v>
      </c>
      <c r="AC1110" s="98">
        <v>1E-8</v>
      </c>
      <c r="AD1110" s="4"/>
    </row>
    <row r="1111" spans="1:30" x14ac:dyDescent="0.3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34"/>
      <c r="O1111" s="4"/>
      <c r="P1111" s="68"/>
      <c r="Q1111" s="68" t="s">
        <v>619</v>
      </c>
      <c r="R1111" s="108" t="s">
        <v>729</v>
      </c>
      <c r="S1111" s="108" t="s">
        <v>314</v>
      </c>
      <c r="T1111" s="98">
        <v>9.4920596789936529E-2</v>
      </c>
      <c r="U1111" s="80">
        <v>3.5081139100946235</v>
      </c>
      <c r="V1111" s="98">
        <v>1E-8</v>
      </c>
      <c r="W1111" s="98">
        <v>1E-8</v>
      </c>
      <c r="X1111" s="98">
        <v>1E-8</v>
      </c>
      <c r="Y1111" s="98">
        <v>1E-8</v>
      </c>
      <c r="Z1111" s="98">
        <v>1E-8</v>
      </c>
      <c r="AA1111" s="98">
        <v>1E-8</v>
      </c>
      <c r="AB1111" s="98">
        <v>1E-8</v>
      </c>
      <c r="AC1111" s="98">
        <v>1E-8</v>
      </c>
      <c r="AD1111" s="4"/>
    </row>
    <row r="1112" spans="1:30" x14ac:dyDescent="0.3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34"/>
      <c r="O1112" s="4"/>
      <c r="P1112" s="68"/>
      <c r="Q1112" s="68" t="s">
        <v>620</v>
      </c>
      <c r="R1112" s="108" t="s">
        <v>729</v>
      </c>
      <c r="S1112" s="108" t="s">
        <v>317</v>
      </c>
      <c r="T1112" s="98">
        <v>2.6813630675907706E-2</v>
      </c>
      <c r="U1112" s="80">
        <v>0.61728231349229556</v>
      </c>
      <c r="V1112" s="98">
        <v>1E-8</v>
      </c>
      <c r="W1112" s="98">
        <v>1E-8</v>
      </c>
      <c r="X1112" s="98">
        <v>1E-8</v>
      </c>
      <c r="Y1112" s="98">
        <v>1E-8</v>
      </c>
      <c r="Z1112" s="98">
        <v>1E-8</v>
      </c>
      <c r="AA1112" s="98">
        <v>1E-8</v>
      </c>
      <c r="AB1112" s="98">
        <v>1E-8</v>
      </c>
      <c r="AC1112" s="98">
        <v>1E-8</v>
      </c>
      <c r="AD1112" s="4"/>
    </row>
    <row r="1113" spans="1:30" x14ac:dyDescent="0.3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34"/>
      <c r="O1113" s="4"/>
      <c r="P1113" s="68"/>
      <c r="Q1113" s="68" t="s">
        <v>621</v>
      </c>
      <c r="R1113" s="108" t="s">
        <v>729</v>
      </c>
      <c r="S1113" s="108" t="s">
        <v>313</v>
      </c>
      <c r="T1113" s="98">
        <v>0.22677760201226396</v>
      </c>
      <c r="U1113" s="80">
        <v>0.52087788731376428</v>
      </c>
      <c r="V1113" s="98">
        <v>1E-8</v>
      </c>
      <c r="W1113" s="98">
        <v>1E-8</v>
      </c>
      <c r="X1113" s="98">
        <v>1E-8</v>
      </c>
      <c r="Y1113" s="98">
        <v>1E-8</v>
      </c>
      <c r="Z1113" s="98">
        <v>1E-8</v>
      </c>
      <c r="AA1113" s="98">
        <v>1E-8</v>
      </c>
      <c r="AB1113" s="98">
        <v>1E-8</v>
      </c>
      <c r="AC1113" s="98">
        <v>1E-8</v>
      </c>
      <c r="AD1113" s="4"/>
    </row>
    <row r="1114" spans="1:30" x14ac:dyDescent="0.3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34"/>
      <c r="O1114" s="4"/>
      <c r="P1114" s="68"/>
      <c r="Q1114" s="68" t="s">
        <v>622</v>
      </c>
      <c r="R1114" s="108" t="s">
        <v>729</v>
      </c>
      <c r="S1114" s="108" t="s">
        <v>315</v>
      </c>
      <c r="T1114" s="98">
        <v>0.55637364944687773</v>
      </c>
      <c r="U1114" s="80">
        <v>1.7499023410284087</v>
      </c>
      <c r="V1114" s="98">
        <v>1E-8</v>
      </c>
      <c r="W1114" s="98">
        <v>1E-8</v>
      </c>
      <c r="X1114" s="98">
        <v>1E-8</v>
      </c>
      <c r="Y1114" s="98">
        <v>1E-8</v>
      </c>
      <c r="Z1114" s="98">
        <v>1E-8</v>
      </c>
      <c r="AA1114" s="98">
        <v>1E-8</v>
      </c>
      <c r="AB1114" s="98">
        <v>1E-8</v>
      </c>
      <c r="AC1114" s="98">
        <v>1E-8</v>
      </c>
      <c r="AD1114" s="4"/>
    </row>
    <row r="1115" spans="1:30" x14ac:dyDescent="0.3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34"/>
      <c r="O1115" s="4"/>
      <c r="P1115" s="68"/>
      <c r="Q1115" s="68" t="s">
        <v>623</v>
      </c>
      <c r="R1115" s="108" t="s">
        <v>729</v>
      </c>
      <c r="S1115" s="108" t="s">
        <v>540</v>
      </c>
      <c r="T1115" s="98">
        <v>6.439486211586124E-3</v>
      </c>
      <c r="U1115" s="80">
        <v>2.0946410671976778</v>
      </c>
      <c r="V1115" s="98">
        <v>1E-8</v>
      </c>
      <c r="W1115" s="98">
        <v>1E-8</v>
      </c>
      <c r="X1115" s="98">
        <v>1E-8</v>
      </c>
      <c r="Y1115" s="98">
        <v>1E-8</v>
      </c>
      <c r="Z1115" s="98">
        <v>1E-8</v>
      </c>
      <c r="AA1115" s="98">
        <v>1E-8</v>
      </c>
      <c r="AB1115" s="98">
        <v>1E-8</v>
      </c>
      <c r="AC1115" s="98">
        <v>1E-8</v>
      </c>
      <c r="AD1115" s="4"/>
    </row>
    <row r="1116" spans="1:30" x14ac:dyDescent="0.3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34"/>
      <c r="O1116" s="4"/>
      <c r="P1116" s="68"/>
      <c r="Q1116" s="68" t="s">
        <v>624</v>
      </c>
      <c r="R1116" s="109" t="s">
        <v>729</v>
      </c>
      <c r="S1116" s="109" t="s">
        <v>541</v>
      </c>
      <c r="T1116" s="81">
        <v>2.4580682655726091E-2</v>
      </c>
      <c r="U1116" s="82">
        <v>7.4228706861414695</v>
      </c>
      <c r="V1116" s="81">
        <v>1E-8</v>
      </c>
      <c r="W1116" s="81">
        <v>1E-8</v>
      </c>
      <c r="X1116" s="81">
        <v>1E-8</v>
      </c>
      <c r="Y1116" s="81">
        <v>1E-8</v>
      </c>
      <c r="Z1116" s="81">
        <v>1E-8</v>
      </c>
      <c r="AA1116" s="81">
        <v>1E-8</v>
      </c>
      <c r="AB1116" s="81">
        <v>1E-8</v>
      </c>
      <c r="AC1116" s="81">
        <v>1E-8</v>
      </c>
      <c r="AD1116" s="4"/>
    </row>
    <row r="1117" spans="1:30" x14ac:dyDescent="0.3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34"/>
      <c r="O1117" s="4"/>
      <c r="P1117" s="96"/>
      <c r="Q1117" s="96" t="s">
        <v>281</v>
      </c>
      <c r="R1117" s="107" t="s">
        <v>729</v>
      </c>
      <c r="S1117" s="107" t="s">
        <v>318</v>
      </c>
      <c r="T1117" s="97">
        <v>1.2604343807152565</v>
      </c>
      <c r="U1117" s="78">
        <v>0.29952741223300272</v>
      </c>
      <c r="V1117" s="97">
        <v>1E-8</v>
      </c>
      <c r="W1117" s="97">
        <v>1E-8</v>
      </c>
      <c r="X1117" s="97">
        <v>1E-8</v>
      </c>
      <c r="Y1117" s="97">
        <v>1E-8</v>
      </c>
      <c r="Z1117" s="97">
        <v>1E-8</v>
      </c>
      <c r="AA1117" s="97">
        <v>1E-8</v>
      </c>
      <c r="AB1117" s="97">
        <v>1E-8</v>
      </c>
      <c r="AC1117" s="97">
        <v>1E-8</v>
      </c>
      <c r="AD1117" s="4"/>
    </row>
    <row r="1118" spans="1:30" x14ac:dyDescent="0.3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34"/>
      <c r="O1118" s="4"/>
      <c r="P1118" s="96"/>
      <c r="Q1118" s="96" t="s">
        <v>135</v>
      </c>
      <c r="R1118" s="107" t="s">
        <v>729</v>
      </c>
      <c r="S1118" s="107" t="s">
        <v>542</v>
      </c>
      <c r="T1118" s="97">
        <v>1.2604343807152565</v>
      </c>
      <c r="U1118" s="78">
        <v>0.29952741223300272</v>
      </c>
      <c r="V1118" s="97">
        <v>1E-8</v>
      </c>
      <c r="W1118" s="97">
        <v>1E-8</v>
      </c>
      <c r="X1118" s="97">
        <v>1E-8</v>
      </c>
      <c r="Y1118" s="97">
        <v>1E-8</v>
      </c>
      <c r="Z1118" s="97">
        <v>1E-8</v>
      </c>
      <c r="AA1118" s="97">
        <v>1E-8</v>
      </c>
      <c r="AB1118" s="97">
        <v>1E-8</v>
      </c>
      <c r="AC1118" s="97">
        <v>1E-8</v>
      </c>
      <c r="AD1118" s="4"/>
    </row>
    <row r="1119" spans="1:30" x14ac:dyDescent="0.3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34"/>
      <c r="O1119" s="4"/>
      <c r="P1119" s="68"/>
      <c r="Q1119" s="68" t="s">
        <v>625</v>
      </c>
      <c r="R1119" s="108" t="s">
        <v>729</v>
      </c>
      <c r="S1119" s="108" t="s">
        <v>543</v>
      </c>
      <c r="T1119" s="98">
        <v>1.0118220948851373</v>
      </c>
      <c r="U1119" s="80">
        <v>0.44998274323388987</v>
      </c>
      <c r="V1119" s="98">
        <v>1E-8</v>
      </c>
      <c r="W1119" s="98">
        <v>1E-8</v>
      </c>
      <c r="X1119" s="98">
        <v>1E-8</v>
      </c>
      <c r="Y1119" s="98">
        <v>1E-8</v>
      </c>
      <c r="Z1119" s="98">
        <v>1E-8</v>
      </c>
      <c r="AA1119" s="98">
        <v>1E-8</v>
      </c>
      <c r="AB1119" s="98">
        <v>1E-8</v>
      </c>
      <c r="AC1119" s="98">
        <v>1E-8</v>
      </c>
      <c r="AD1119" s="4"/>
    </row>
    <row r="1120" spans="1:30" x14ac:dyDescent="0.3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34"/>
      <c r="O1120" s="4"/>
      <c r="P1120" s="68"/>
      <c r="Q1120" s="68" t="s">
        <v>626</v>
      </c>
      <c r="R1120" s="108" t="s">
        <v>729</v>
      </c>
      <c r="S1120" s="108" t="s">
        <v>544</v>
      </c>
      <c r="T1120" s="98">
        <v>0.19210148112377817</v>
      </c>
      <c r="U1120" s="80">
        <v>3.2280148042129753E-3</v>
      </c>
      <c r="V1120" s="98">
        <v>1E-8</v>
      </c>
      <c r="W1120" s="98">
        <v>1E-8</v>
      </c>
      <c r="X1120" s="98">
        <v>1E-8</v>
      </c>
      <c r="Y1120" s="98">
        <v>1E-8</v>
      </c>
      <c r="Z1120" s="98">
        <v>1E-8</v>
      </c>
      <c r="AA1120" s="98">
        <v>1E-8</v>
      </c>
      <c r="AB1120" s="98">
        <v>1E-8</v>
      </c>
      <c r="AC1120" s="98">
        <v>1E-8</v>
      </c>
      <c r="AD1120" s="4"/>
    </row>
    <row r="1121" spans="1:30" x14ac:dyDescent="0.3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34"/>
      <c r="O1121" s="4"/>
      <c r="P1121" s="68"/>
      <c r="Q1121" s="68" t="s">
        <v>627</v>
      </c>
      <c r="R1121" s="108" t="s">
        <v>729</v>
      </c>
      <c r="S1121" s="108" t="s">
        <v>319</v>
      </c>
      <c r="T1121" s="98">
        <v>5.6510804706341178E-2</v>
      </c>
      <c r="U1121" s="80">
        <v>-1.3871319017359385</v>
      </c>
      <c r="V1121" s="98">
        <v>1E-8</v>
      </c>
      <c r="W1121" s="98">
        <v>1E-8</v>
      </c>
      <c r="X1121" s="98">
        <v>1E-8</v>
      </c>
      <c r="Y1121" s="98">
        <v>1E-8</v>
      </c>
      <c r="Z1121" s="98">
        <v>1E-8</v>
      </c>
      <c r="AA1121" s="98">
        <v>1E-8</v>
      </c>
      <c r="AB1121" s="98">
        <v>1E-8</v>
      </c>
      <c r="AC1121" s="98">
        <v>1E-8</v>
      </c>
      <c r="AD1121" s="4"/>
    </row>
    <row r="1122" spans="1:30" x14ac:dyDescent="0.3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34"/>
      <c r="O1122" s="4"/>
      <c r="P1122" s="71"/>
      <c r="Q1122" s="71" t="s">
        <v>628</v>
      </c>
      <c r="R1122" s="110" t="s">
        <v>729</v>
      </c>
      <c r="S1122" s="110" t="s">
        <v>320</v>
      </c>
      <c r="T1122" s="83">
        <v>1E-8</v>
      </c>
      <c r="U1122" s="84">
        <v>1E-8</v>
      </c>
      <c r="V1122" s="83">
        <v>1E-8</v>
      </c>
      <c r="W1122" s="83">
        <v>1E-8</v>
      </c>
      <c r="X1122" s="83">
        <v>1E-8</v>
      </c>
      <c r="Y1122" s="83">
        <v>1E-8</v>
      </c>
      <c r="Z1122" s="83">
        <v>1E-8</v>
      </c>
      <c r="AA1122" s="83">
        <v>1E-8</v>
      </c>
      <c r="AB1122" s="83">
        <v>1E-8</v>
      </c>
      <c r="AC1122" s="83">
        <v>1E-8</v>
      </c>
      <c r="AD1122" s="4"/>
    </row>
    <row r="1123" spans="1:30" x14ac:dyDescent="0.3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34"/>
      <c r="O1123" s="4"/>
      <c r="P1123" s="99"/>
      <c r="Q1123" s="99" t="s">
        <v>282</v>
      </c>
      <c r="R1123" s="105" t="s">
        <v>729</v>
      </c>
      <c r="S1123" s="105" t="s">
        <v>321</v>
      </c>
      <c r="T1123" s="95">
        <v>83.560935400074115</v>
      </c>
      <c r="U1123" s="74">
        <v>-2.3699537192833908E-2</v>
      </c>
      <c r="V1123" s="95">
        <v>1E-8</v>
      </c>
      <c r="W1123" s="95">
        <v>1E-8</v>
      </c>
      <c r="X1123" s="95">
        <v>1E-8</v>
      </c>
      <c r="Y1123" s="95">
        <v>1E-8</v>
      </c>
      <c r="Z1123" s="95">
        <v>1E-8</v>
      </c>
      <c r="AA1123" s="95">
        <v>1E-8</v>
      </c>
      <c r="AB1123" s="95">
        <v>1E-8</v>
      </c>
      <c r="AC1123" s="95">
        <v>1E-8</v>
      </c>
      <c r="AD1123" s="4"/>
    </row>
    <row r="1124" spans="1:30" x14ac:dyDescent="0.3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34"/>
      <c r="O1124" s="4"/>
      <c r="P1124" s="99"/>
      <c r="Q1124" s="99" t="s">
        <v>283</v>
      </c>
      <c r="R1124" s="105" t="s">
        <v>729</v>
      </c>
      <c r="S1124" s="105" t="s">
        <v>322</v>
      </c>
      <c r="T1124" s="95">
        <v>27.646433639602691</v>
      </c>
      <c r="U1124" s="74">
        <v>0.14989228373634145</v>
      </c>
      <c r="V1124" s="95">
        <v>1E-8</v>
      </c>
      <c r="W1124" s="95">
        <v>1E-8</v>
      </c>
      <c r="X1124" s="95">
        <v>1E-8</v>
      </c>
      <c r="Y1124" s="95">
        <v>1E-8</v>
      </c>
      <c r="Z1124" s="95">
        <v>1E-8</v>
      </c>
      <c r="AA1124" s="95">
        <v>1E-8</v>
      </c>
      <c r="AB1124" s="95">
        <v>1E-8</v>
      </c>
      <c r="AC1124" s="95">
        <v>1E-8</v>
      </c>
      <c r="AD1124" s="4"/>
    </row>
    <row r="1125" spans="1:30" x14ac:dyDescent="0.3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34"/>
      <c r="O1125" s="4"/>
      <c r="P1125" s="96"/>
      <c r="Q1125" s="96" t="s">
        <v>284</v>
      </c>
      <c r="R1125" s="107" t="s">
        <v>729</v>
      </c>
      <c r="S1125" s="107" t="s">
        <v>323</v>
      </c>
      <c r="T1125" s="97">
        <v>0.2077643952256685</v>
      </c>
      <c r="U1125" s="78">
        <v>5.4476283832648464</v>
      </c>
      <c r="V1125" s="97">
        <v>1E-8</v>
      </c>
      <c r="W1125" s="97">
        <v>1E-8</v>
      </c>
      <c r="X1125" s="97">
        <v>1E-8</v>
      </c>
      <c r="Y1125" s="97">
        <v>1E-8</v>
      </c>
      <c r="Z1125" s="97">
        <v>1E-8</v>
      </c>
      <c r="AA1125" s="97">
        <v>1E-8</v>
      </c>
      <c r="AB1125" s="97">
        <v>1E-8</v>
      </c>
      <c r="AC1125" s="97">
        <v>1E-8</v>
      </c>
      <c r="AD1125" s="4"/>
    </row>
    <row r="1126" spans="1:30" x14ac:dyDescent="0.3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34"/>
      <c r="O1126" s="4"/>
      <c r="P1126" s="68"/>
      <c r="Q1126" s="68" t="s">
        <v>629</v>
      </c>
      <c r="R1126" s="108" t="s">
        <v>729</v>
      </c>
      <c r="S1126" s="108" t="s">
        <v>324</v>
      </c>
      <c r="T1126" s="98">
        <v>9.3706945650171857E-5</v>
      </c>
      <c r="U1126" s="80">
        <v>3.8210269388798235</v>
      </c>
      <c r="V1126" s="98">
        <v>1E-8</v>
      </c>
      <c r="W1126" s="98">
        <v>1E-8</v>
      </c>
      <c r="X1126" s="98">
        <v>1E-8</v>
      </c>
      <c r="Y1126" s="98">
        <v>1E-8</v>
      </c>
      <c r="Z1126" s="98">
        <v>1E-8</v>
      </c>
      <c r="AA1126" s="98">
        <v>1E-8</v>
      </c>
      <c r="AB1126" s="98">
        <v>1E-8</v>
      </c>
      <c r="AC1126" s="98">
        <v>1E-8</v>
      </c>
      <c r="AD1126" s="4"/>
    </row>
    <row r="1127" spans="1:30" x14ac:dyDescent="0.3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34"/>
      <c r="O1127" s="4"/>
      <c r="P1127" s="68"/>
      <c r="Q1127" s="68" t="s">
        <v>630</v>
      </c>
      <c r="R1127" s="108" t="s">
        <v>729</v>
      </c>
      <c r="S1127" s="108" t="s">
        <v>545</v>
      </c>
      <c r="T1127" s="98">
        <v>0.1308213876257413</v>
      </c>
      <c r="U1127" s="80">
        <v>3.4439417665408811</v>
      </c>
      <c r="V1127" s="98">
        <v>1E-8</v>
      </c>
      <c r="W1127" s="98">
        <v>1E-8</v>
      </c>
      <c r="X1127" s="98">
        <v>1E-8</v>
      </c>
      <c r="Y1127" s="98">
        <v>1E-8</v>
      </c>
      <c r="Z1127" s="98">
        <v>1E-8</v>
      </c>
      <c r="AA1127" s="98">
        <v>1E-8</v>
      </c>
      <c r="AB1127" s="98">
        <v>1E-8</v>
      </c>
      <c r="AC1127" s="98">
        <v>1E-8</v>
      </c>
      <c r="AD1127" s="4"/>
    </row>
    <row r="1128" spans="1:30" x14ac:dyDescent="0.3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34"/>
      <c r="O1128" s="4"/>
      <c r="P1128" s="68"/>
      <c r="Q1128" s="68" t="s">
        <v>631</v>
      </c>
      <c r="R1128" s="109" t="s">
        <v>729</v>
      </c>
      <c r="S1128" s="109" t="s">
        <v>325</v>
      </c>
      <c r="T1128" s="81">
        <v>7.6849300654277031E-2</v>
      </c>
      <c r="U1128" s="82">
        <v>8.860508984482184</v>
      </c>
      <c r="V1128" s="81">
        <v>1E-8</v>
      </c>
      <c r="W1128" s="81">
        <v>1E-8</v>
      </c>
      <c r="X1128" s="81">
        <v>1E-8</v>
      </c>
      <c r="Y1128" s="81">
        <v>1E-8</v>
      </c>
      <c r="Z1128" s="81">
        <v>1E-8</v>
      </c>
      <c r="AA1128" s="81">
        <v>1E-8</v>
      </c>
      <c r="AB1128" s="81">
        <v>1E-8</v>
      </c>
      <c r="AC1128" s="81">
        <v>1E-8</v>
      </c>
      <c r="AD1128" s="4"/>
    </row>
    <row r="1129" spans="1:30" x14ac:dyDescent="0.3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34"/>
      <c r="O1129" s="4"/>
      <c r="P1129" s="96"/>
      <c r="Q1129" s="96" t="s">
        <v>285</v>
      </c>
      <c r="R1129" s="107" t="s">
        <v>729</v>
      </c>
      <c r="S1129" s="107" t="s">
        <v>326</v>
      </c>
      <c r="T1129" s="97">
        <v>13.324787091674198</v>
      </c>
      <c r="U1129" s="78">
        <v>3.3896200275036259</v>
      </c>
      <c r="V1129" s="97">
        <v>1E-8</v>
      </c>
      <c r="W1129" s="97">
        <v>1E-8</v>
      </c>
      <c r="X1129" s="97">
        <v>1E-8</v>
      </c>
      <c r="Y1129" s="97">
        <v>1E-8</v>
      </c>
      <c r="Z1129" s="97">
        <v>1E-8</v>
      </c>
      <c r="AA1129" s="97">
        <v>1E-8</v>
      </c>
      <c r="AB1129" s="97">
        <v>1E-8</v>
      </c>
      <c r="AC1129" s="97">
        <v>1E-8</v>
      </c>
      <c r="AD1129" s="4"/>
    </row>
    <row r="1130" spans="1:30" x14ac:dyDescent="0.3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34"/>
      <c r="O1130" s="4"/>
      <c r="P1130" s="68"/>
      <c r="Q1130" s="68" t="s">
        <v>364</v>
      </c>
      <c r="R1130" s="108" t="s">
        <v>729</v>
      </c>
      <c r="S1130" s="108" t="s">
        <v>327</v>
      </c>
      <c r="T1130" s="98">
        <v>2.3752968027385131</v>
      </c>
      <c r="U1130" s="80">
        <v>2.5936553890426817</v>
      </c>
      <c r="V1130" s="98">
        <v>1E-8</v>
      </c>
      <c r="W1130" s="98">
        <v>1E-8</v>
      </c>
      <c r="X1130" s="98">
        <v>1E-8</v>
      </c>
      <c r="Y1130" s="98">
        <v>1E-8</v>
      </c>
      <c r="Z1130" s="98">
        <v>1E-8</v>
      </c>
      <c r="AA1130" s="98">
        <v>1E-8</v>
      </c>
      <c r="AB1130" s="98">
        <v>1E-8</v>
      </c>
      <c r="AC1130" s="98">
        <v>1E-8</v>
      </c>
      <c r="AD1130" s="4"/>
    </row>
    <row r="1131" spans="1:30" x14ac:dyDescent="0.3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34"/>
      <c r="O1131" s="4"/>
      <c r="P1131" s="100"/>
      <c r="Q1131" s="100" t="s">
        <v>632</v>
      </c>
      <c r="R1131" s="111" t="s">
        <v>729</v>
      </c>
      <c r="S1131" s="111" t="s">
        <v>328</v>
      </c>
      <c r="T1131" s="101">
        <v>0.35333397218322954</v>
      </c>
      <c r="U1131" s="86">
        <v>0.69728017995445146</v>
      </c>
      <c r="V1131" s="101">
        <v>1E-8</v>
      </c>
      <c r="W1131" s="101">
        <v>1E-8</v>
      </c>
      <c r="X1131" s="101">
        <v>1E-8</v>
      </c>
      <c r="Y1131" s="101">
        <v>1E-8</v>
      </c>
      <c r="Z1131" s="101">
        <v>1E-8</v>
      </c>
      <c r="AA1131" s="101">
        <v>1E-8</v>
      </c>
      <c r="AB1131" s="101">
        <v>1E-8</v>
      </c>
      <c r="AC1131" s="101">
        <v>1E-8</v>
      </c>
      <c r="AD1131" s="4"/>
    </row>
    <row r="1132" spans="1:30" x14ac:dyDescent="0.3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34"/>
      <c r="O1132" s="4"/>
      <c r="P1132" s="100"/>
      <c r="Q1132" s="100" t="s">
        <v>633</v>
      </c>
      <c r="R1132" s="111" t="s">
        <v>729</v>
      </c>
      <c r="S1132" s="111" t="s">
        <v>329</v>
      </c>
      <c r="T1132" s="101">
        <v>1E-8</v>
      </c>
      <c r="U1132" s="86">
        <v>1E-8</v>
      </c>
      <c r="V1132" s="101">
        <v>1E-8</v>
      </c>
      <c r="W1132" s="101">
        <v>1E-8</v>
      </c>
      <c r="X1132" s="101">
        <v>1E-8</v>
      </c>
      <c r="Y1132" s="101">
        <v>1E-8</v>
      </c>
      <c r="Z1132" s="101">
        <v>1E-8</v>
      </c>
      <c r="AA1132" s="101">
        <v>1E-8</v>
      </c>
      <c r="AB1132" s="101">
        <v>1E-8</v>
      </c>
      <c r="AC1132" s="101">
        <v>1E-8</v>
      </c>
      <c r="AD1132" s="4"/>
    </row>
    <row r="1133" spans="1:30" x14ac:dyDescent="0.3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34"/>
      <c r="O1133" s="4"/>
      <c r="P1133" s="100"/>
      <c r="Q1133" s="100" t="s">
        <v>634</v>
      </c>
      <c r="R1133" s="111" t="s">
        <v>729</v>
      </c>
      <c r="S1133" s="111" t="s">
        <v>331</v>
      </c>
      <c r="T1133" s="101">
        <v>7.3511403289286986E-2</v>
      </c>
      <c r="U1133" s="86">
        <v>2.2890914863552769</v>
      </c>
      <c r="V1133" s="101">
        <v>1E-8</v>
      </c>
      <c r="W1133" s="101">
        <v>1E-8</v>
      </c>
      <c r="X1133" s="101">
        <v>1E-8</v>
      </c>
      <c r="Y1133" s="101">
        <v>1E-8</v>
      </c>
      <c r="Z1133" s="101">
        <v>1E-8</v>
      </c>
      <c r="AA1133" s="101">
        <v>1E-8</v>
      </c>
      <c r="AB1133" s="101">
        <v>1E-8</v>
      </c>
      <c r="AC1133" s="101">
        <v>1E-8</v>
      </c>
      <c r="AD1133" s="4"/>
    </row>
    <row r="1134" spans="1:30" x14ac:dyDescent="0.3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34"/>
      <c r="O1134" s="4"/>
      <c r="P1134" s="100"/>
      <c r="Q1134" s="100" t="s">
        <v>635</v>
      </c>
      <c r="R1134" s="111" t="s">
        <v>729</v>
      </c>
      <c r="S1134" s="111" t="s">
        <v>332</v>
      </c>
      <c r="T1134" s="101">
        <v>8.472283007394095E-2</v>
      </c>
      <c r="U1134" s="86">
        <v>10.628841829942083</v>
      </c>
      <c r="V1134" s="101">
        <v>1E-8</v>
      </c>
      <c r="W1134" s="101">
        <v>1E-8</v>
      </c>
      <c r="X1134" s="101">
        <v>1E-8</v>
      </c>
      <c r="Y1134" s="101">
        <v>1E-8</v>
      </c>
      <c r="Z1134" s="101">
        <v>1E-8</v>
      </c>
      <c r="AA1134" s="101">
        <v>1E-8</v>
      </c>
      <c r="AB1134" s="101">
        <v>1E-8</v>
      </c>
      <c r="AC1134" s="101">
        <v>1E-8</v>
      </c>
      <c r="AD1134" s="4"/>
    </row>
    <row r="1135" spans="1:30" x14ac:dyDescent="0.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34"/>
      <c r="O1135" s="4"/>
      <c r="P1135" s="100"/>
      <c r="Q1135" s="100" t="s">
        <v>636</v>
      </c>
      <c r="R1135" s="111" t="s">
        <v>729</v>
      </c>
      <c r="S1135" s="111" t="s">
        <v>330</v>
      </c>
      <c r="T1135" s="101">
        <v>0.19258500032884321</v>
      </c>
      <c r="U1135" s="86">
        <v>2.068259994479571</v>
      </c>
      <c r="V1135" s="101">
        <v>1E-8</v>
      </c>
      <c r="W1135" s="101">
        <v>1E-8</v>
      </c>
      <c r="X1135" s="101">
        <v>1E-8</v>
      </c>
      <c r="Y1135" s="101">
        <v>1E-8</v>
      </c>
      <c r="Z1135" s="101">
        <v>1E-8</v>
      </c>
      <c r="AA1135" s="101">
        <v>1E-8</v>
      </c>
      <c r="AB1135" s="101">
        <v>1E-8</v>
      </c>
      <c r="AC1135" s="101">
        <v>1E-8</v>
      </c>
      <c r="AD1135" s="4"/>
    </row>
    <row r="1136" spans="1:30" x14ac:dyDescent="0.3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34"/>
      <c r="O1136" s="4"/>
      <c r="P1136" s="100"/>
      <c r="Q1136" s="100" t="s">
        <v>637</v>
      </c>
      <c r="R1136" s="111" t="s">
        <v>729</v>
      </c>
      <c r="S1136" s="111" t="s">
        <v>333</v>
      </c>
      <c r="T1136" s="101">
        <v>0.860169323491353</v>
      </c>
      <c r="U1136" s="86">
        <v>2.0316644456024546</v>
      </c>
      <c r="V1136" s="101">
        <v>1E-8</v>
      </c>
      <c r="W1136" s="101">
        <v>1E-8</v>
      </c>
      <c r="X1136" s="101">
        <v>1E-8</v>
      </c>
      <c r="Y1136" s="101">
        <v>1E-8</v>
      </c>
      <c r="Z1136" s="101">
        <v>1E-8</v>
      </c>
      <c r="AA1136" s="101">
        <v>1E-8</v>
      </c>
      <c r="AB1136" s="101">
        <v>1E-8</v>
      </c>
      <c r="AC1136" s="101">
        <v>1E-8</v>
      </c>
      <c r="AD1136" s="4"/>
    </row>
    <row r="1137" spans="1:30" x14ac:dyDescent="0.3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34"/>
      <c r="O1137" s="4"/>
      <c r="P1137" s="100"/>
      <c r="Q1137" s="100" t="s">
        <v>638</v>
      </c>
      <c r="R1137" s="111" t="s">
        <v>729</v>
      </c>
      <c r="S1137" s="111" t="s">
        <v>546</v>
      </c>
      <c r="T1137" s="101">
        <v>0.46021537529184586</v>
      </c>
      <c r="U1137" s="86">
        <v>0.18429488679256867</v>
      </c>
      <c r="V1137" s="101">
        <v>1E-8</v>
      </c>
      <c r="W1137" s="101">
        <v>1E-8</v>
      </c>
      <c r="X1137" s="101">
        <v>1E-8</v>
      </c>
      <c r="Y1137" s="101">
        <v>1E-8</v>
      </c>
      <c r="Z1137" s="101">
        <v>1E-8</v>
      </c>
      <c r="AA1137" s="101">
        <v>1E-8</v>
      </c>
      <c r="AB1137" s="101">
        <v>1E-8</v>
      </c>
      <c r="AC1137" s="101">
        <v>1E-8</v>
      </c>
      <c r="AD1137" s="4"/>
    </row>
    <row r="1138" spans="1:30" x14ac:dyDescent="0.3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34"/>
      <c r="O1138" s="4"/>
      <c r="P1138" s="100"/>
      <c r="Q1138" s="100" t="s">
        <v>639</v>
      </c>
      <c r="R1138" s="111" t="s">
        <v>729</v>
      </c>
      <c r="S1138" s="111" t="s">
        <v>335</v>
      </c>
      <c r="T1138" s="101">
        <v>5.614151829131072E-2</v>
      </c>
      <c r="U1138" s="86">
        <v>-3.6022571210331034</v>
      </c>
      <c r="V1138" s="101">
        <v>1E-8</v>
      </c>
      <c r="W1138" s="101">
        <v>1E-8</v>
      </c>
      <c r="X1138" s="101">
        <v>1E-8</v>
      </c>
      <c r="Y1138" s="101">
        <v>1E-8</v>
      </c>
      <c r="Z1138" s="101">
        <v>1E-8</v>
      </c>
      <c r="AA1138" s="101">
        <v>1E-8</v>
      </c>
      <c r="AB1138" s="101">
        <v>1E-8</v>
      </c>
      <c r="AC1138" s="101">
        <v>1E-8</v>
      </c>
      <c r="AD1138" s="4"/>
    </row>
    <row r="1139" spans="1:30" x14ac:dyDescent="0.3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34"/>
      <c r="O1139" s="4"/>
      <c r="P1139" s="100"/>
      <c r="Q1139" s="100" t="s">
        <v>640</v>
      </c>
      <c r="R1139" s="111" t="s">
        <v>729</v>
      </c>
      <c r="S1139" s="111" t="s">
        <v>334</v>
      </c>
      <c r="T1139" s="101">
        <v>0.29461737978870239</v>
      </c>
      <c r="U1139" s="86">
        <v>9.561819644717362</v>
      </c>
      <c r="V1139" s="101">
        <v>1E-8</v>
      </c>
      <c r="W1139" s="101">
        <v>1E-8</v>
      </c>
      <c r="X1139" s="101">
        <v>1E-8</v>
      </c>
      <c r="Y1139" s="101">
        <v>1E-8</v>
      </c>
      <c r="Z1139" s="101">
        <v>1E-8</v>
      </c>
      <c r="AA1139" s="101">
        <v>1E-8</v>
      </c>
      <c r="AB1139" s="101">
        <v>1E-8</v>
      </c>
      <c r="AC1139" s="101">
        <v>1E-8</v>
      </c>
      <c r="AD1139" s="4"/>
    </row>
    <row r="1140" spans="1:30" x14ac:dyDescent="0.3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34"/>
      <c r="O1140" s="4"/>
      <c r="P1140" s="68"/>
      <c r="Q1140" s="68" t="s">
        <v>365</v>
      </c>
      <c r="R1140" s="108" t="s">
        <v>729</v>
      </c>
      <c r="S1140" s="108" t="s">
        <v>374</v>
      </c>
      <c r="T1140" s="98">
        <v>3.8928898632055051</v>
      </c>
      <c r="U1140" s="80">
        <v>-1.3009722884765984</v>
      </c>
      <c r="V1140" s="98">
        <v>1E-8</v>
      </c>
      <c r="W1140" s="98">
        <v>1E-8</v>
      </c>
      <c r="X1140" s="98">
        <v>1E-8</v>
      </c>
      <c r="Y1140" s="98">
        <v>1E-8</v>
      </c>
      <c r="Z1140" s="98">
        <v>1E-8</v>
      </c>
      <c r="AA1140" s="98">
        <v>1E-8</v>
      </c>
      <c r="AB1140" s="98">
        <v>1E-8</v>
      </c>
      <c r="AC1140" s="98">
        <v>1E-8</v>
      </c>
      <c r="AD1140" s="4"/>
    </row>
    <row r="1141" spans="1:30" x14ac:dyDescent="0.3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34"/>
      <c r="O1141" s="4"/>
      <c r="P1141" s="100"/>
      <c r="Q1141" s="100" t="s">
        <v>641</v>
      </c>
      <c r="R1141" s="111" t="s">
        <v>729</v>
      </c>
      <c r="S1141" s="111" t="s">
        <v>547</v>
      </c>
      <c r="T1141" s="101">
        <v>3.245197652306774</v>
      </c>
      <c r="U1141" s="86">
        <v>-1.9027568509519477</v>
      </c>
      <c r="V1141" s="101">
        <v>1E-8</v>
      </c>
      <c r="W1141" s="101">
        <v>1E-8</v>
      </c>
      <c r="X1141" s="101">
        <v>1E-8</v>
      </c>
      <c r="Y1141" s="101">
        <v>1E-8</v>
      </c>
      <c r="Z1141" s="101">
        <v>1E-8</v>
      </c>
      <c r="AA1141" s="101">
        <v>1E-8</v>
      </c>
      <c r="AB1141" s="101">
        <v>1E-8</v>
      </c>
      <c r="AC1141" s="101">
        <v>1E-8</v>
      </c>
      <c r="AD1141" s="4"/>
    </row>
    <row r="1142" spans="1:30" x14ac:dyDescent="0.3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34"/>
      <c r="O1142" s="4"/>
      <c r="P1142" s="100"/>
      <c r="Q1142" s="100" t="s">
        <v>642</v>
      </c>
      <c r="R1142" s="111" t="s">
        <v>729</v>
      </c>
      <c r="S1142" s="111" t="s">
        <v>336</v>
      </c>
      <c r="T1142" s="101">
        <v>0.63714340349540743</v>
      </c>
      <c r="U1142" s="86">
        <v>1.7671549796746788</v>
      </c>
      <c r="V1142" s="101">
        <v>1E-8</v>
      </c>
      <c r="W1142" s="101">
        <v>1E-8</v>
      </c>
      <c r="X1142" s="101">
        <v>1E-8</v>
      </c>
      <c r="Y1142" s="101">
        <v>1E-8</v>
      </c>
      <c r="Z1142" s="101">
        <v>1E-8</v>
      </c>
      <c r="AA1142" s="101">
        <v>1E-8</v>
      </c>
      <c r="AB1142" s="101">
        <v>1E-8</v>
      </c>
      <c r="AC1142" s="101">
        <v>1E-8</v>
      </c>
      <c r="AD1142" s="4"/>
    </row>
    <row r="1143" spans="1:30" x14ac:dyDescent="0.3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34"/>
      <c r="O1143" s="4"/>
      <c r="P1143" s="100"/>
      <c r="Q1143" s="100" t="s">
        <v>643</v>
      </c>
      <c r="R1143" s="112" t="s">
        <v>729</v>
      </c>
      <c r="S1143" s="112" t="s">
        <v>337</v>
      </c>
      <c r="T1143" s="87">
        <v>1.0548807403323575E-2</v>
      </c>
      <c r="U1143" s="88">
        <v>-1.4836659877588532</v>
      </c>
      <c r="V1143" s="87">
        <v>1E-8</v>
      </c>
      <c r="W1143" s="87">
        <v>1E-8</v>
      </c>
      <c r="X1143" s="87">
        <v>1E-8</v>
      </c>
      <c r="Y1143" s="87">
        <v>1E-8</v>
      </c>
      <c r="Z1143" s="87">
        <v>1E-8</v>
      </c>
      <c r="AA1143" s="87">
        <v>1E-8</v>
      </c>
      <c r="AB1143" s="87">
        <v>1E-8</v>
      </c>
      <c r="AC1143" s="87">
        <v>1E-8</v>
      </c>
      <c r="AD1143" s="4"/>
    </row>
    <row r="1144" spans="1:30" x14ac:dyDescent="0.3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34"/>
      <c r="O1144" s="4"/>
      <c r="P1144" s="68"/>
      <c r="Q1144" s="68" t="s">
        <v>644</v>
      </c>
      <c r="R1144" s="108" t="s">
        <v>729</v>
      </c>
      <c r="S1144" s="108" t="s">
        <v>338</v>
      </c>
      <c r="T1144" s="98">
        <v>3.5849738926140495</v>
      </c>
      <c r="U1144" s="80">
        <v>4.0234558260585196</v>
      </c>
      <c r="V1144" s="98">
        <v>1E-8</v>
      </c>
      <c r="W1144" s="98">
        <v>1E-8</v>
      </c>
      <c r="X1144" s="98">
        <v>1E-8</v>
      </c>
      <c r="Y1144" s="98">
        <v>1E-8</v>
      </c>
      <c r="Z1144" s="98">
        <v>1E-8</v>
      </c>
      <c r="AA1144" s="98">
        <v>1E-8</v>
      </c>
      <c r="AB1144" s="98">
        <v>1E-8</v>
      </c>
      <c r="AC1144" s="98">
        <v>1E-8</v>
      </c>
      <c r="AD1144" s="4"/>
    </row>
    <row r="1145" spans="1:30" x14ac:dyDescent="0.3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34"/>
      <c r="O1145" s="4"/>
      <c r="P1145" s="68"/>
      <c r="Q1145" s="68" t="s">
        <v>366</v>
      </c>
      <c r="R1145" s="108" t="s">
        <v>729</v>
      </c>
      <c r="S1145" s="108" t="s">
        <v>339</v>
      </c>
      <c r="T1145" s="98">
        <v>0.12226864138848499</v>
      </c>
      <c r="U1145" s="80">
        <v>6.0692886460940176</v>
      </c>
      <c r="V1145" s="98">
        <v>1E-8</v>
      </c>
      <c r="W1145" s="98">
        <v>1E-8</v>
      </c>
      <c r="X1145" s="98">
        <v>1E-8</v>
      </c>
      <c r="Y1145" s="98">
        <v>1E-8</v>
      </c>
      <c r="Z1145" s="98">
        <v>1E-8</v>
      </c>
      <c r="AA1145" s="98">
        <v>1E-8</v>
      </c>
      <c r="AB1145" s="98">
        <v>1E-8</v>
      </c>
      <c r="AC1145" s="98">
        <v>1E-8</v>
      </c>
      <c r="AD1145" s="4"/>
    </row>
    <row r="1146" spans="1:30" x14ac:dyDescent="0.3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34"/>
      <c r="O1146" s="4"/>
      <c r="P1146" s="100"/>
      <c r="Q1146" s="100" t="s">
        <v>645</v>
      </c>
      <c r="R1146" s="111" t="s">
        <v>729</v>
      </c>
      <c r="S1146" s="111" t="s">
        <v>340</v>
      </c>
      <c r="T1146" s="101">
        <v>4.4237120395172518E-2</v>
      </c>
      <c r="U1146" s="86">
        <v>7.3820847608191187</v>
      </c>
      <c r="V1146" s="101">
        <v>1E-8</v>
      </c>
      <c r="W1146" s="101">
        <v>1E-8</v>
      </c>
      <c r="X1146" s="101">
        <v>1E-8</v>
      </c>
      <c r="Y1146" s="101">
        <v>1E-8</v>
      </c>
      <c r="Z1146" s="101">
        <v>1E-8</v>
      </c>
      <c r="AA1146" s="101">
        <v>1E-8</v>
      </c>
      <c r="AB1146" s="101">
        <v>1E-8</v>
      </c>
      <c r="AC1146" s="101">
        <v>1E-8</v>
      </c>
      <c r="AD1146" s="4"/>
    </row>
    <row r="1147" spans="1:30" x14ac:dyDescent="0.3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34"/>
      <c r="O1147" s="4"/>
      <c r="P1147" s="100"/>
      <c r="Q1147" s="100" t="s">
        <v>646</v>
      </c>
      <c r="R1147" s="111" t="s">
        <v>729</v>
      </c>
      <c r="S1147" s="111" t="s">
        <v>548</v>
      </c>
      <c r="T1147" s="101">
        <v>7.8031520993312467E-2</v>
      </c>
      <c r="U1147" s="86">
        <v>5.3250468442920917</v>
      </c>
      <c r="V1147" s="101">
        <v>1E-8</v>
      </c>
      <c r="W1147" s="101">
        <v>1E-8</v>
      </c>
      <c r="X1147" s="101">
        <v>1E-8</v>
      </c>
      <c r="Y1147" s="101">
        <v>1E-8</v>
      </c>
      <c r="Z1147" s="101">
        <v>1E-8</v>
      </c>
      <c r="AA1147" s="101">
        <v>1E-8</v>
      </c>
      <c r="AB1147" s="101">
        <v>1E-8</v>
      </c>
      <c r="AC1147" s="101">
        <v>1E-8</v>
      </c>
      <c r="AD1147" s="4"/>
    </row>
    <row r="1148" spans="1:30" x14ac:dyDescent="0.3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34"/>
      <c r="O1148" s="4"/>
      <c r="P1148" s="68"/>
      <c r="Q1148" s="68" t="s">
        <v>367</v>
      </c>
      <c r="R1148" s="108" t="s">
        <v>729</v>
      </c>
      <c r="S1148" s="108" t="s">
        <v>341</v>
      </c>
      <c r="T1148" s="98">
        <v>0.1942548661551928</v>
      </c>
      <c r="U1148" s="80">
        <v>35.653256479564696</v>
      </c>
      <c r="V1148" s="98">
        <v>1E-8</v>
      </c>
      <c r="W1148" s="98">
        <v>1E-8</v>
      </c>
      <c r="X1148" s="98">
        <v>1E-8</v>
      </c>
      <c r="Y1148" s="98">
        <v>1E-8</v>
      </c>
      <c r="Z1148" s="98">
        <v>1E-8</v>
      </c>
      <c r="AA1148" s="98">
        <v>1E-8</v>
      </c>
      <c r="AB1148" s="98">
        <v>1E-8</v>
      </c>
      <c r="AC1148" s="98">
        <v>1E-8</v>
      </c>
      <c r="AD1148" s="4"/>
    </row>
    <row r="1149" spans="1:30" x14ac:dyDescent="0.3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34"/>
      <c r="O1149" s="4"/>
      <c r="P1149" s="100"/>
      <c r="Q1149" s="100" t="s">
        <v>647</v>
      </c>
      <c r="R1149" s="111" t="s">
        <v>729</v>
      </c>
      <c r="S1149" s="111" t="s">
        <v>342</v>
      </c>
      <c r="T1149" s="101">
        <v>1.2475649324744339E-3</v>
      </c>
      <c r="U1149" s="86">
        <v>6.2833931881801863</v>
      </c>
      <c r="V1149" s="101">
        <v>1E-8</v>
      </c>
      <c r="W1149" s="101">
        <v>1E-8</v>
      </c>
      <c r="X1149" s="101">
        <v>1E-8</v>
      </c>
      <c r="Y1149" s="101">
        <v>1E-8</v>
      </c>
      <c r="Z1149" s="101">
        <v>1E-8</v>
      </c>
      <c r="AA1149" s="101">
        <v>1E-8</v>
      </c>
      <c r="AB1149" s="101">
        <v>1E-8</v>
      </c>
      <c r="AC1149" s="101">
        <v>1E-8</v>
      </c>
      <c r="AD1149" s="4"/>
    </row>
    <row r="1150" spans="1:30" x14ac:dyDescent="0.3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34"/>
      <c r="O1150" s="4"/>
      <c r="P1150" s="100"/>
      <c r="Q1150" s="100" t="s">
        <v>648</v>
      </c>
      <c r="R1150" s="111" t="s">
        <v>729</v>
      </c>
      <c r="S1150" s="111" t="s">
        <v>343</v>
      </c>
      <c r="T1150" s="101">
        <v>0.14089282713914036</v>
      </c>
      <c r="U1150" s="86">
        <v>46.122646253935095</v>
      </c>
      <c r="V1150" s="101">
        <v>1E-8</v>
      </c>
      <c r="W1150" s="101">
        <v>1E-8</v>
      </c>
      <c r="X1150" s="101">
        <v>1E-8</v>
      </c>
      <c r="Y1150" s="101">
        <v>1E-8</v>
      </c>
      <c r="Z1150" s="101">
        <v>1E-8</v>
      </c>
      <c r="AA1150" s="101">
        <v>1E-8</v>
      </c>
      <c r="AB1150" s="101">
        <v>1E-8</v>
      </c>
      <c r="AC1150" s="101">
        <v>1E-8</v>
      </c>
      <c r="AD1150" s="4"/>
    </row>
    <row r="1151" spans="1:30" x14ac:dyDescent="0.3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34"/>
      <c r="O1151" s="4"/>
      <c r="P1151" s="100"/>
      <c r="Q1151" s="100" t="s">
        <v>649</v>
      </c>
      <c r="R1151" s="111" t="s">
        <v>729</v>
      </c>
      <c r="S1151" s="111" t="s">
        <v>549</v>
      </c>
      <c r="T1151" s="101">
        <v>3.159864634878852E-2</v>
      </c>
      <c r="U1151" s="86">
        <v>6.0515574018737528</v>
      </c>
      <c r="V1151" s="101">
        <v>1E-8</v>
      </c>
      <c r="W1151" s="101">
        <v>1E-8</v>
      </c>
      <c r="X1151" s="101">
        <v>1E-8</v>
      </c>
      <c r="Y1151" s="101">
        <v>1E-8</v>
      </c>
      <c r="Z1151" s="101">
        <v>1E-8</v>
      </c>
      <c r="AA1151" s="101">
        <v>1E-8</v>
      </c>
      <c r="AB1151" s="101">
        <v>1E-8</v>
      </c>
      <c r="AC1151" s="101">
        <v>1E-8</v>
      </c>
      <c r="AD1151" s="4"/>
    </row>
    <row r="1152" spans="1:30" x14ac:dyDescent="0.3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34"/>
      <c r="O1152" s="4"/>
      <c r="P1152" s="100"/>
      <c r="Q1152" s="100" t="s">
        <v>650</v>
      </c>
      <c r="R1152" s="111" t="s">
        <v>729</v>
      </c>
      <c r="S1152" s="111" t="s">
        <v>550</v>
      </c>
      <c r="T1152" s="101">
        <v>2.0515827734789476E-2</v>
      </c>
      <c r="U1152" s="86">
        <v>11.133285935724446</v>
      </c>
      <c r="V1152" s="101">
        <v>1E-8</v>
      </c>
      <c r="W1152" s="101">
        <v>1E-8</v>
      </c>
      <c r="X1152" s="101">
        <v>1E-8</v>
      </c>
      <c r="Y1152" s="101">
        <v>1E-8</v>
      </c>
      <c r="Z1152" s="101">
        <v>1E-8</v>
      </c>
      <c r="AA1152" s="101">
        <v>1E-8</v>
      </c>
      <c r="AB1152" s="101">
        <v>1E-8</v>
      </c>
      <c r="AC1152" s="101">
        <v>1E-8</v>
      </c>
      <c r="AD1152" s="4"/>
    </row>
    <row r="1153" spans="1:30" x14ac:dyDescent="0.3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34"/>
      <c r="O1153" s="4"/>
      <c r="P1153" s="68"/>
      <c r="Q1153" s="68" t="s">
        <v>172</v>
      </c>
      <c r="R1153" s="108" t="s">
        <v>729</v>
      </c>
      <c r="S1153" s="108" t="s">
        <v>551</v>
      </c>
      <c r="T1153" s="98">
        <v>1.2345763477100959E-2</v>
      </c>
      <c r="U1153" s="80">
        <v>-2.0430676635465828</v>
      </c>
      <c r="V1153" s="98">
        <v>1E-8</v>
      </c>
      <c r="W1153" s="98">
        <v>1E-8</v>
      </c>
      <c r="X1153" s="98">
        <v>1E-8</v>
      </c>
      <c r="Y1153" s="98">
        <v>1E-8</v>
      </c>
      <c r="Z1153" s="98">
        <v>1E-8</v>
      </c>
      <c r="AA1153" s="98">
        <v>1E-8</v>
      </c>
      <c r="AB1153" s="98">
        <v>1E-8</v>
      </c>
      <c r="AC1153" s="98">
        <v>1E-8</v>
      </c>
      <c r="AD1153" s="4"/>
    </row>
    <row r="1154" spans="1:30" x14ac:dyDescent="0.3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34"/>
      <c r="O1154" s="4"/>
      <c r="P1154" s="100"/>
      <c r="Q1154" s="100" t="s">
        <v>651</v>
      </c>
      <c r="R1154" s="111" t="s">
        <v>729</v>
      </c>
      <c r="S1154" s="111" t="s">
        <v>344</v>
      </c>
      <c r="T1154" s="101">
        <v>8.1038127905920445E-4</v>
      </c>
      <c r="U1154" s="86">
        <v>13.012127319178113</v>
      </c>
      <c r="V1154" s="101">
        <v>1E-8</v>
      </c>
      <c r="W1154" s="101">
        <v>1E-8</v>
      </c>
      <c r="X1154" s="101">
        <v>1E-8</v>
      </c>
      <c r="Y1154" s="101">
        <v>1E-8</v>
      </c>
      <c r="Z1154" s="101">
        <v>1E-8</v>
      </c>
      <c r="AA1154" s="101">
        <v>1E-8</v>
      </c>
      <c r="AB1154" s="101">
        <v>1E-8</v>
      </c>
      <c r="AC1154" s="101">
        <v>1E-8</v>
      </c>
      <c r="AD1154" s="4"/>
    </row>
    <row r="1155" spans="1:30" x14ac:dyDescent="0.3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34"/>
      <c r="O1155" s="4"/>
      <c r="P1155" s="100"/>
      <c r="Q1155" s="100" t="s">
        <v>652</v>
      </c>
      <c r="R1155" s="111" t="s">
        <v>729</v>
      </c>
      <c r="S1155" s="111" t="s">
        <v>552</v>
      </c>
      <c r="T1155" s="101">
        <v>7.4469912666470118E-3</v>
      </c>
      <c r="U1155" s="86">
        <v>4.2809326942726544</v>
      </c>
      <c r="V1155" s="101">
        <v>1E-8</v>
      </c>
      <c r="W1155" s="101">
        <v>1E-8</v>
      </c>
      <c r="X1155" s="101">
        <v>1E-8</v>
      </c>
      <c r="Y1155" s="101">
        <v>1E-8</v>
      </c>
      <c r="Z1155" s="101">
        <v>1E-8</v>
      </c>
      <c r="AA1155" s="101">
        <v>1E-8</v>
      </c>
      <c r="AB1155" s="101">
        <v>1E-8</v>
      </c>
      <c r="AC1155" s="101">
        <v>1E-8</v>
      </c>
      <c r="AD1155" s="4"/>
    </row>
    <row r="1156" spans="1:30" x14ac:dyDescent="0.3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34"/>
      <c r="O1156" s="4"/>
      <c r="P1156" s="100"/>
      <c r="Q1156" s="100" t="s">
        <v>653</v>
      </c>
      <c r="R1156" s="111" t="s">
        <v>729</v>
      </c>
      <c r="S1156" s="111" t="s">
        <v>553</v>
      </c>
      <c r="T1156" s="101">
        <v>4.0883909313947442E-3</v>
      </c>
      <c r="U1156" s="86">
        <v>-16.54638317239646</v>
      </c>
      <c r="V1156" s="101">
        <v>1E-8</v>
      </c>
      <c r="W1156" s="101">
        <v>1E-8</v>
      </c>
      <c r="X1156" s="101">
        <v>1E-8</v>
      </c>
      <c r="Y1156" s="101">
        <v>1E-8</v>
      </c>
      <c r="Z1156" s="101">
        <v>1E-8</v>
      </c>
      <c r="AA1156" s="101">
        <v>1E-8</v>
      </c>
      <c r="AB1156" s="101">
        <v>1E-8</v>
      </c>
      <c r="AC1156" s="101">
        <v>1E-8</v>
      </c>
      <c r="AD1156" s="4"/>
    </row>
    <row r="1157" spans="1:30" x14ac:dyDescent="0.3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34"/>
      <c r="O1157" s="4"/>
      <c r="P1157" s="68"/>
      <c r="Q1157" s="68" t="s">
        <v>368</v>
      </c>
      <c r="R1157" s="108" t="s">
        <v>729</v>
      </c>
      <c r="S1157" s="108" t="s">
        <v>345</v>
      </c>
      <c r="T1157" s="98">
        <v>0.99557689656302062</v>
      </c>
      <c r="U1157" s="80">
        <v>9.508264503486096</v>
      </c>
      <c r="V1157" s="98">
        <v>1E-8</v>
      </c>
      <c r="W1157" s="98">
        <v>1E-8</v>
      </c>
      <c r="X1157" s="98">
        <v>1E-8</v>
      </c>
      <c r="Y1157" s="98">
        <v>1E-8</v>
      </c>
      <c r="Z1157" s="98">
        <v>1E-8</v>
      </c>
      <c r="AA1157" s="98">
        <v>1E-8</v>
      </c>
      <c r="AB1157" s="98">
        <v>1E-8</v>
      </c>
      <c r="AC1157" s="98">
        <v>1E-8</v>
      </c>
      <c r="AD1157" s="4"/>
    </row>
    <row r="1158" spans="1:30" x14ac:dyDescent="0.3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34"/>
      <c r="O1158" s="4"/>
      <c r="P1158" s="100"/>
      <c r="Q1158" s="100" t="s">
        <v>654</v>
      </c>
      <c r="R1158" s="111" t="s">
        <v>729</v>
      </c>
      <c r="S1158" s="111" t="s">
        <v>346</v>
      </c>
      <c r="T1158" s="101">
        <v>0.55507150069491018</v>
      </c>
      <c r="U1158" s="86">
        <v>14.617434773069071</v>
      </c>
      <c r="V1158" s="101">
        <v>1E-8</v>
      </c>
      <c r="W1158" s="101">
        <v>1E-8</v>
      </c>
      <c r="X1158" s="101">
        <v>1E-8</v>
      </c>
      <c r="Y1158" s="101">
        <v>1E-8</v>
      </c>
      <c r="Z1158" s="101">
        <v>1E-8</v>
      </c>
      <c r="AA1158" s="101">
        <v>1E-8</v>
      </c>
      <c r="AB1158" s="101">
        <v>1E-8</v>
      </c>
      <c r="AC1158" s="101">
        <v>1E-8</v>
      </c>
      <c r="AD1158" s="4"/>
    </row>
    <row r="1159" spans="1:30" x14ac:dyDescent="0.3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34"/>
      <c r="O1159" s="4"/>
      <c r="P1159" s="100"/>
      <c r="Q1159" s="100" t="s">
        <v>655</v>
      </c>
      <c r="R1159" s="111" t="s">
        <v>729</v>
      </c>
      <c r="S1159" s="111" t="s">
        <v>347</v>
      </c>
      <c r="T1159" s="101">
        <v>0.28899279090728502</v>
      </c>
      <c r="U1159" s="86">
        <v>-0.263334948110161</v>
      </c>
      <c r="V1159" s="101">
        <v>1E-8</v>
      </c>
      <c r="W1159" s="101">
        <v>1E-8</v>
      </c>
      <c r="X1159" s="101">
        <v>1E-8</v>
      </c>
      <c r="Y1159" s="101">
        <v>1E-8</v>
      </c>
      <c r="Z1159" s="101">
        <v>1E-8</v>
      </c>
      <c r="AA1159" s="101">
        <v>1E-8</v>
      </c>
      <c r="AB1159" s="101">
        <v>1E-8</v>
      </c>
      <c r="AC1159" s="101">
        <v>1E-8</v>
      </c>
      <c r="AD1159" s="4"/>
    </row>
    <row r="1160" spans="1:30" x14ac:dyDescent="0.3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34"/>
      <c r="O1160" s="4"/>
      <c r="P1160" s="100"/>
      <c r="Q1160" s="100" t="s">
        <v>656</v>
      </c>
      <c r="R1160" s="111" t="s">
        <v>729</v>
      </c>
      <c r="S1160" s="111" t="s">
        <v>348</v>
      </c>
      <c r="T1160" s="101">
        <v>0.1515126049608253</v>
      </c>
      <c r="U1160" s="86">
        <v>9.4288452914578649</v>
      </c>
      <c r="V1160" s="101">
        <v>1E-8</v>
      </c>
      <c r="W1160" s="101">
        <v>1E-8</v>
      </c>
      <c r="X1160" s="101">
        <v>1E-8</v>
      </c>
      <c r="Y1160" s="101">
        <v>1E-8</v>
      </c>
      <c r="Z1160" s="101">
        <v>1E-8</v>
      </c>
      <c r="AA1160" s="101">
        <v>1E-8</v>
      </c>
      <c r="AB1160" s="101">
        <v>1E-8</v>
      </c>
      <c r="AC1160" s="101">
        <v>1E-8</v>
      </c>
      <c r="AD1160" s="4"/>
    </row>
    <row r="1161" spans="1:30" x14ac:dyDescent="0.3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34"/>
      <c r="O1161" s="4"/>
      <c r="P1161" s="68"/>
      <c r="Q1161" s="68" t="s">
        <v>181</v>
      </c>
      <c r="R1161" s="108" t="s">
        <v>729</v>
      </c>
      <c r="S1161" s="108" t="s">
        <v>554</v>
      </c>
      <c r="T1161" s="98">
        <v>2.1471803655323272</v>
      </c>
      <c r="U1161" s="80">
        <v>5.8387894644072569</v>
      </c>
      <c r="V1161" s="98">
        <v>1E-8</v>
      </c>
      <c r="W1161" s="98">
        <v>1E-8</v>
      </c>
      <c r="X1161" s="98">
        <v>1E-8</v>
      </c>
      <c r="Y1161" s="98">
        <v>1E-8</v>
      </c>
      <c r="Z1161" s="98">
        <v>1E-8</v>
      </c>
      <c r="AA1161" s="98">
        <v>1E-8</v>
      </c>
      <c r="AB1161" s="98">
        <v>1E-8</v>
      </c>
      <c r="AC1161" s="98">
        <v>1E-8</v>
      </c>
      <c r="AD1161" s="4"/>
    </row>
    <row r="1162" spans="1:30" x14ac:dyDescent="0.3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34"/>
      <c r="O1162" s="4"/>
      <c r="P1162" s="100"/>
      <c r="Q1162" s="100" t="s">
        <v>657</v>
      </c>
      <c r="R1162" s="111" t="s">
        <v>729</v>
      </c>
      <c r="S1162" s="111" t="s">
        <v>555</v>
      </c>
      <c r="T1162" s="101">
        <v>0.66138582815300428</v>
      </c>
      <c r="U1162" s="86">
        <v>5.34563457913666</v>
      </c>
      <c r="V1162" s="101">
        <v>1E-8</v>
      </c>
      <c r="W1162" s="101">
        <v>1E-8</v>
      </c>
      <c r="X1162" s="101">
        <v>1E-8</v>
      </c>
      <c r="Y1162" s="101">
        <v>1E-8</v>
      </c>
      <c r="Z1162" s="101">
        <v>1E-8</v>
      </c>
      <c r="AA1162" s="101">
        <v>1E-8</v>
      </c>
      <c r="AB1162" s="101">
        <v>1E-8</v>
      </c>
      <c r="AC1162" s="101">
        <v>1E-8</v>
      </c>
      <c r="AD1162" s="4"/>
    </row>
    <row r="1163" spans="1:30" x14ac:dyDescent="0.3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34"/>
      <c r="O1163" s="4"/>
      <c r="P1163" s="100"/>
      <c r="Q1163" s="100" t="s">
        <v>658</v>
      </c>
      <c r="R1163" s="111" t="s">
        <v>729</v>
      </c>
      <c r="S1163" s="111" t="s">
        <v>349</v>
      </c>
      <c r="T1163" s="101">
        <v>1.4756279442646021</v>
      </c>
      <c r="U1163" s="86">
        <v>6.1277920436005218</v>
      </c>
      <c r="V1163" s="101">
        <v>1E-8</v>
      </c>
      <c r="W1163" s="101">
        <v>1E-8</v>
      </c>
      <c r="X1163" s="101">
        <v>1E-8</v>
      </c>
      <c r="Y1163" s="101">
        <v>1E-8</v>
      </c>
      <c r="Z1163" s="101">
        <v>1E-8</v>
      </c>
      <c r="AA1163" s="101">
        <v>1E-8</v>
      </c>
      <c r="AB1163" s="101">
        <v>1E-8</v>
      </c>
      <c r="AC1163" s="101">
        <v>1E-8</v>
      </c>
      <c r="AD1163" s="4"/>
    </row>
    <row r="1164" spans="1:30" x14ac:dyDescent="0.3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34"/>
      <c r="O1164" s="4"/>
      <c r="P1164" s="100"/>
      <c r="Q1164" s="100" t="s">
        <v>659</v>
      </c>
      <c r="R1164" s="112" t="s">
        <v>729</v>
      </c>
      <c r="S1164" s="112" t="s">
        <v>556</v>
      </c>
      <c r="T1164" s="87">
        <v>1.0166593114720715E-2</v>
      </c>
      <c r="U1164" s="88">
        <v>-4.0263274423098299</v>
      </c>
      <c r="V1164" s="87">
        <v>1E-8</v>
      </c>
      <c r="W1164" s="87">
        <v>1E-8</v>
      </c>
      <c r="X1164" s="87">
        <v>1E-8</v>
      </c>
      <c r="Y1164" s="87">
        <v>1E-8</v>
      </c>
      <c r="Z1164" s="87">
        <v>1E-8</v>
      </c>
      <c r="AA1164" s="87">
        <v>1E-8</v>
      </c>
      <c r="AB1164" s="87">
        <v>1E-8</v>
      </c>
      <c r="AC1164" s="87">
        <v>1E-8</v>
      </c>
      <c r="AD1164" s="4"/>
    </row>
    <row r="1165" spans="1:30" x14ac:dyDescent="0.3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34"/>
      <c r="O1165" s="4"/>
      <c r="P1165" s="96"/>
      <c r="Q1165" s="96" t="s">
        <v>286</v>
      </c>
      <c r="R1165" s="107" t="s">
        <v>729</v>
      </c>
      <c r="S1165" s="107" t="s">
        <v>350</v>
      </c>
      <c r="T1165" s="97">
        <v>14.113882152702828</v>
      </c>
      <c r="U1165" s="78">
        <v>-2.9866907540492482</v>
      </c>
      <c r="V1165" s="97">
        <v>1E-8</v>
      </c>
      <c r="W1165" s="97">
        <v>1E-8</v>
      </c>
      <c r="X1165" s="97">
        <v>1E-8</v>
      </c>
      <c r="Y1165" s="97">
        <v>1E-8</v>
      </c>
      <c r="Z1165" s="97">
        <v>1E-8</v>
      </c>
      <c r="AA1165" s="97">
        <v>1E-8</v>
      </c>
      <c r="AB1165" s="97">
        <v>1E-8</v>
      </c>
      <c r="AC1165" s="97">
        <v>1E-8</v>
      </c>
      <c r="AD1165" s="4"/>
    </row>
    <row r="1166" spans="1:30" x14ac:dyDescent="0.3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34"/>
      <c r="O1166" s="4"/>
      <c r="P1166" s="96"/>
      <c r="Q1166" s="96" t="s">
        <v>369</v>
      </c>
      <c r="R1166" s="107" t="s">
        <v>729</v>
      </c>
      <c r="S1166" s="107" t="s">
        <v>557</v>
      </c>
      <c r="T1166" s="97">
        <v>3.55578636782624</v>
      </c>
      <c r="U1166" s="78">
        <v>-0.49469299542599376</v>
      </c>
      <c r="V1166" s="97">
        <v>1E-8</v>
      </c>
      <c r="W1166" s="97">
        <v>1E-8</v>
      </c>
      <c r="X1166" s="97">
        <v>1E-8</v>
      </c>
      <c r="Y1166" s="97">
        <v>1E-8</v>
      </c>
      <c r="Z1166" s="97">
        <v>1E-8</v>
      </c>
      <c r="AA1166" s="97">
        <v>1E-8</v>
      </c>
      <c r="AB1166" s="97">
        <v>1E-8</v>
      </c>
      <c r="AC1166" s="97">
        <v>1E-8</v>
      </c>
      <c r="AD1166" s="4"/>
    </row>
    <row r="1167" spans="1:30" x14ac:dyDescent="0.3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34"/>
      <c r="O1167" s="4"/>
      <c r="P1167" s="68"/>
      <c r="Q1167" s="68" t="s">
        <v>660</v>
      </c>
      <c r="R1167" s="108" t="s">
        <v>729</v>
      </c>
      <c r="S1167" s="108" t="s">
        <v>351</v>
      </c>
      <c r="T1167" s="98">
        <v>2.76139056130812</v>
      </c>
      <c r="U1167" s="80">
        <v>-0.56956666038531223</v>
      </c>
      <c r="V1167" s="98">
        <v>1E-8</v>
      </c>
      <c r="W1167" s="98">
        <v>1E-8</v>
      </c>
      <c r="X1167" s="98">
        <v>1E-8</v>
      </c>
      <c r="Y1167" s="98">
        <v>1E-8</v>
      </c>
      <c r="Z1167" s="98">
        <v>1E-8</v>
      </c>
      <c r="AA1167" s="98">
        <v>1E-8</v>
      </c>
      <c r="AB1167" s="98">
        <v>1E-8</v>
      </c>
      <c r="AC1167" s="98">
        <v>1E-8</v>
      </c>
      <c r="AD1167" s="4"/>
    </row>
    <row r="1168" spans="1:30" x14ac:dyDescent="0.3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34"/>
      <c r="O1168" s="4"/>
      <c r="P1168" s="68"/>
      <c r="Q1168" s="68" t="s">
        <v>661</v>
      </c>
      <c r="R1168" s="108" t="s">
        <v>729</v>
      </c>
      <c r="S1168" s="108" t="s">
        <v>352</v>
      </c>
      <c r="T1168" s="98">
        <v>0.73301533786004602</v>
      </c>
      <c r="U1168" s="80">
        <v>-0.12970605339274188</v>
      </c>
      <c r="V1168" s="98">
        <v>1E-8</v>
      </c>
      <c r="W1168" s="98">
        <v>1E-8</v>
      </c>
      <c r="X1168" s="98">
        <v>1E-8</v>
      </c>
      <c r="Y1168" s="98">
        <v>1E-8</v>
      </c>
      <c r="Z1168" s="98">
        <v>1E-8</v>
      </c>
      <c r="AA1168" s="98">
        <v>1E-8</v>
      </c>
      <c r="AB1168" s="98">
        <v>1E-8</v>
      </c>
      <c r="AC1168" s="98">
        <v>1E-8</v>
      </c>
      <c r="AD1168" s="4"/>
    </row>
    <row r="1169" spans="1:30" x14ac:dyDescent="0.3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34"/>
      <c r="O1169" s="4"/>
      <c r="P1169" s="68"/>
      <c r="Q1169" s="68" t="s">
        <v>662</v>
      </c>
      <c r="R1169" s="108" t="s">
        <v>729</v>
      </c>
      <c r="S1169" s="108" t="s">
        <v>558</v>
      </c>
      <c r="T1169" s="98">
        <v>6.1380468658073943E-2</v>
      </c>
      <c r="U1169" s="80">
        <v>-1.4850014151684077</v>
      </c>
      <c r="V1169" s="98">
        <v>1E-8</v>
      </c>
      <c r="W1169" s="98">
        <v>1E-8</v>
      </c>
      <c r="X1169" s="98">
        <v>1E-8</v>
      </c>
      <c r="Y1169" s="98">
        <v>1E-8</v>
      </c>
      <c r="Z1169" s="98">
        <v>1E-8</v>
      </c>
      <c r="AA1169" s="98">
        <v>1E-8</v>
      </c>
      <c r="AB1169" s="98">
        <v>1E-8</v>
      </c>
      <c r="AC1169" s="98">
        <v>1E-8</v>
      </c>
      <c r="AD1169" s="4"/>
    </row>
    <row r="1170" spans="1:30" x14ac:dyDescent="0.3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34"/>
      <c r="O1170" s="4"/>
      <c r="P1170" s="96"/>
      <c r="Q1170" s="96" t="s">
        <v>188</v>
      </c>
      <c r="R1170" s="107" t="s">
        <v>729</v>
      </c>
      <c r="S1170" s="107" t="s">
        <v>559</v>
      </c>
      <c r="T1170" s="97">
        <v>10.558095784876587</v>
      </c>
      <c r="U1170" s="78">
        <v>-3.8259530452153023</v>
      </c>
      <c r="V1170" s="97">
        <v>1E-8</v>
      </c>
      <c r="W1170" s="97">
        <v>1E-8</v>
      </c>
      <c r="X1170" s="97">
        <v>1E-8</v>
      </c>
      <c r="Y1170" s="97">
        <v>1E-8</v>
      </c>
      <c r="Z1170" s="97">
        <v>1E-8</v>
      </c>
      <c r="AA1170" s="97">
        <v>1E-8</v>
      </c>
      <c r="AB1170" s="97">
        <v>1E-8</v>
      </c>
      <c r="AC1170" s="97">
        <v>1E-8</v>
      </c>
      <c r="AD1170" s="4"/>
    </row>
    <row r="1171" spans="1:30" x14ac:dyDescent="0.3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34"/>
      <c r="O1171" s="4"/>
      <c r="P1171" s="68"/>
      <c r="Q1171" s="68" t="s">
        <v>663</v>
      </c>
      <c r="R1171" s="108" t="s">
        <v>729</v>
      </c>
      <c r="S1171" s="108" t="s">
        <v>353</v>
      </c>
      <c r="T1171" s="98">
        <v>10.558095784876587</v>
      </c>
      <c r="U1171" s="80">
        <v>-3.8259530452153023</v>
      </c>
      <c r="V1171" s="98">
        <v>1E-8</v>
      </c>
      <c r="W1171" s="98">
        <v>1E-8</v>
      </c>
      <c r="X1171" s="98">
        <v>1E-8</v>
      </c>
      <c r="Y1171" s="98">
        <v>1E-8</v>
      </c>
      <c r="Z1171" s="98">
        <v>1E-8</v>
      </c>
      <c r="AA1171" s="98">
        <v>1E-8</v>
      </c>
      <c r="AB1171" s="98">
        <v>1E-8</v>
      </c>
      <c r="AC1171" s="98">
        <v>1E-8</v>
      </c>
      <c r="AD1171" s="4"/>
    </row>
    <row r="1172" spans="1:30" x14ac:dyDescent="0.3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34"/>
      <c r="O1172" s="4"/>
      <c r="P1172" s="72"/>
      <c r="Q1172" s="72" t="s">
        <v>664</v>
      </c>
      <c r="R1172" s="109" t="s">
        <v>729</v>
      </c>
      <c r="S1172" s="109" t="s">
        <v>560</v>
      </c>
      <c r="T1172" s="81">
        <v>1E-8</v>
      </c>
      <c r="U1172" s="82">
        <v>1E-8</v>
      </c>
      <c r="V1172" s="81">
        <v>1E-8</v>
      </c>
      <c r="W1172" s="81">
        <v>1E-8</v>
      </c>
      <c r="X1172" s="81">
        <v>1E-8</v>
      </c>
      <c r="Y1172" s="81">
        <v>1E-8</v>
      </c>
      <c r="Z1172" s="81">
        <v>1E-8</v>
      </c>
      <c r="AA1172" s="81">
        <v>1E-8</v>
      </c>
      <c r="AB1172" s="81">
        <v>1E-8</v>
      </c>
      <c r="AC1172" s="81">
        <v>1E-8</v>
      </c>
      <c r="AD1172" s="4"/>
    </row>
    <row r="1173" spans="1:30" x14ac:dyDescent="0.3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34"/>
      <c r="O1173" s="4"/>
      <c r="P1173" s="47"/>
      <c r="Q1173" s="47" t="s">
        <v>287</v>
      </c>
      <c r="R1173" s="105" t="s">
        <v>729</v>
      </c>
      <c r="S1173" s="105" t="s">
        <v>354</v>
      </c>
      <c r="T1173" s="95">
        <v>55.914501760471389</v>
      </c>
      <c r="U1173" s="74">
        <v>-0.10953048634898543</v>
      </c>
      <c r="V1173" s="95">
        <v>1E-8</v>
      </c>
      <c r="W1173" s="95">
        <v>1E-8</v>
      </c>
      <c r="X1173" s="95">
        <v>1E-8</v>
      </c>
      <c r="Y1173" s="95">
        <v>1E-8</v>
      </c>
      <c r="Z1173" s="95">
        <v>1E-8</v>
      </c>
      <c r="AA1173" s="95">
        <v>1E-8</v>
      </c>
      <c r="AB1173" s="95">
        <v>1E-8</v>
      </c>
      <c r="AC1173" s="95">
        <v>1E-8</v>
      </c>
      <c r="AD1173" s="4"/>
    </row>
    <row r="1174" spans="1:30" x14ac:dyDescent="0.3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34"/>
      <c r="O1174" s="4"/>
      <c r="P1174" s="96"/>
      <c r="Q1174" s="96" t="s">
        <v>370</v>
      </c>
      <c r="R1174" s="107" t="s">
        <v>729</v>
      </c>
      <c r="S1174" s="107" t="s">
        <v>561</v>
      </c>
      <c r="T1174" s="97">
        <v>12.265695826182043</v>
      </c>
      <c r="U1174" s="78">
        <v>-1.8327028245101018</v>
      </c>
      <c r="V1174" s="97">
        <v>1E-8</v>
      </c>
      <c r="W1174" s="97">
        <v>1E-8</v>
      </c>
      <c r="X1174" s="97">
        <v>1E-8</v>
      </c>
      <c r="Y1174" s="97">
        <v>1E-8</v>
      </c>
      <c r="Z1174" s="97">
        <v>1E-8</v>
      </c>
      <c r="AA1174" s="97">
        <v>1E-8</v>
      </c>
      <c r="AB1174" s="97">
        <v>1E-8</v>
      </c>
      <c r="AC1174" s="97">
        <v>1E-8</v>
      </c>
      <c r="AD1174" s="4"/>
    </row>
    <row r="1175" spans="1:30" x14ac:dyDescent="0.3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34"/>
      <c r="O1175" s="4"/>
      <c r="P1175" s="68"/>
      <c r="Q1175" s="68" t="s">
        <v>665</v>
      </c>
      <c r="R1175" s="108" t="s">
        <v>729</v>
      </c>
      <c r="S1175" s="108" t="s">
        <v>562</v>
      </c>
      <c r="T1175" s="98">
        <v>1.1259637845936523</v>
      </c>
      <c r="U1175" s="80">
        <v>-0.67321046126535</v>
      </c>
      <c r="V1175" s="98">
        <v>1E-8</v>
      </c>
      <c r="W1175" s="98">
        <v>1E-8</v>
      </c>
      <c r="X1175" s="98">
        <v>1E-8</v>
      </c>
      <c r="Y1175" s="98">
        <v>1E-8</v>
      </c>
      <c r="Z1175" s="98">
        <v>1E-8</v>
      </c>
      <c r="AA1175" s="98">
        <v>1E-8</v>
      </c>
      <c r="AB1175" s="98">
        <v>1E-8</v>
      </c>
      <c r="AC1175" s="98">
        <v>1E-8</v>
      </c>
      <c r="AD1175" s="4"/>
    </row>
    <row r="1176" spans="1:30" x14ac:dyDescent="0.3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34"/>
      <c r="O1176" s="4"/>
      <c r="P1176" s="68"/>
      <c r="Q1176" s="68" t="s">
        <v>666</v>
      </c>
      <c r="R1176" s="108" t="s">
        <v>729</v>
      </c>
      <c r="S1176" s="108" t="s">
        <v>563</v>
      </c>
      <c r="T1176" s="98">
        <v>0.12705883670974225</v>
      </c>
      <c r="U1176" s="80">
        <v>-7.1273571649433931</v>
      </c>
      <c r="V1176" s="98">
        <v>1E-8</v>
      </c>
      <c r="W1176" s="98">
        <v>1E-8</v>
      </c>
      <c r="X1176" s="98">
        <v>1E-8</v>
      </c>
      <c r="Y1176" s="98">
        <v>1E-8</v>
      </c>
      <c r="Z1176" s="98">
        <v>1E-8</v>
      </c>
      <c r="AA1176" s="98">
        <v>1E-8</v>
      </c>
      <c r="AB1176" s="98">
        <v>1E-8</v>
      </c>
      <c r="AC1176" s="98">
        <v>1E-8</v>
      </c>
      <c r="AD1176" s="4"/>
    </row>
    <row r="1177" spans="1:30" x14ac:dyDescent="0.3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34"/>
      <c r="O1177" s="4"/>
      <c r="P1177" s="68"/>
      <c r="Q1177" s="68" t="s">
        <v>667</v>
      </c>
      <c r="R1177" s="108" t="s">
        <v>729</v>
      </c>
      <c r="S1177" s="108" t="s">
        <v>564</v>
      </c>
      <c r="T1177" s="98">
        <v>4.2856488468957448</v>
      </c>
      <c r="U1177" s="80">
        <v>-1.9099218428836662</v>
      </c>
      <c r="V1177" s="98">
        <v>1E-8</v>
      </c>
      <c r="W1177" s="98">
        <v>1E-8</v>
      </c>
      <c r="X1177" s="98">
        <v>1E-8</v>
      </c>
      <c r="Y1177" s="98">
        <v>1E-8</v>
      </c>
      <c r="Z1177" s="98">
        <v>1E-8</v>
      </c>
      <c r="AA1177" s="98">
        <v>1E-8</v>
      </c>
      <c r="AB1177" s="98">
        <v>1E-8</v>
      </c>
      <c r="AC1177" s="98">
        <v>1E-8</v>
      </c>
      <c r="AD1177" s="4"/>
    </row>
    <row r="1178" spans="1:30" x14ac:dyDescent="0.3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34"/>
      <c r="O1178" s="4"/>
      <c r="P1178" s="68"/>
      <c r="Q1178" s="68" t="s">
        <v>668</v>
      </c>
      <c r="R1178" s="108" t="s">
        <v>729</v>
      </c>
      <c r="S1178" s="108" t="s">
        <v>565</v>
      </c>
      <c r="T1178" s="98">
        <v>6.7270243579829039</v>
      </c>
      <c r="U1178" s="80">
        <v>-1.8775785637872522</v>
      </c>
      <c r="V1178" s="98">
        <v>1E-8</v>
      </c>
      <c r="W1178" s="98">
        <v>1E-8</v>
      </c>
      <c r="X1178" s="98">
        <v>1E-8</v>
      </c>
      <c r="Y1178" s="98">
        <v>1E-8</v>
      </c>
      <c r="Z1178" s="98">
        <v>1E-8</v>
      </c>
      <c r="AA1178" s="98">
        <v>1E-8</v>
      </c>
      <c r="AB1178" s="98">
        <v>1E-8</v>
      </c>
      <c r="AC1178" s="98">
        <v>1E-8</v>
      </c>
      <c r="AD1178" s="4"/>
    </row>
    <row r="1179" spans="1:30" x14ac:dyDescent="0.3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34"/>
      <c r="O1179" s="4"/>
      <c r="P1179" s="96"/>
      <c r="Q1179" s="96" t="s">
        <v>371</v>
      </c>
      <c r="R1179" s="107" t="s">
        <v>729</v>
      </c>
      <c r="S1179" s="107" t="s">
        <v>566</v>
      </c>
      <c r="T1179" s="97">
        <v>15.001866183695228</v>
      </c>
      <c r="U1179" s="78">
        <v>0.28765202104004128</v>
      </c>
      <c r="V1179" s="97">
        <v>1E-8</v>
      </c>
      <c r="W1179" s="97">
        <v>1E-8</v>
      </c>
      <c r="X1179" s="97">
        <v>1E-8</v>
      </c>
      <c r="Y1179" s="97">
        <v>1E-8</v>
      </c>
      <c r="Z1179" s="97">
        <v>1E-8</v>
      </c>
      <c r="AA1179" s="97">
        <v>1E-8</v>
      </c>
      <c r="AB1179" s="97">
        <v>1E-8</v>
      </c>
      <c r="AC1179" s="97">
        <v>1E-8</v>
      </c>
      <c r="AD1179" s="4"/>
    </row>
    <row r="1180" spans="1:30" x14ac:dyDescent="0.3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34"/>
      <c r="O1180" s="4"/>
      <c r="P1180" s="68"/>
      <c r="Q1180" s="68" t="s">
        <v>669</v>
      </c>
      <c r="R1180" s="108" t="s">
        <v>729</v>
      </c>
      <c r="S1180" s="108" t="s">
        <v>567</v>
      </c>
      <c r="T1180" s="98">
        <v>7.1776373217338305</v>
      </c>
      <c r="U1180" s="80">
        <v>-0.89082585621331756</v>
      </c>
      <c r="V1180" s="98">
        <v>1E-8</v>
      </c>
      <c r="W1180" s="98">
        <v>1E-8</v>
      </c>
      <c r="X1180" s="98">
        <v>1E-8</v>
      </c>
      <c r="Y1180" s="98">
        <v>1E-8</v>
      </c>
      <c r="Z1180" s="98">
        <v>1E-8</v>
      </c>
      <c r="AA1180" s="98">
        <v>1E-8</v>
      </c>
      <c r="AB1180" s="98">
        <v>1E-8</v>
      </c>
      <c r="AC1180" s="98">
        <v>1E-8</v>
      </c>
      <c r="AD1180" s="4"/>
    </row>
    <row r="1181" spans="1:30" x14ac:dyDescent="0.3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34"/>
      <c r="O1181" s="4"/>
      <c r="P1181" s="68"/>
      <c r="Q1181" s="68" t="s">
        <v>670</v>
      </c>
      <c r="R1181" s="108" t="s">
        <v>729</v>
      </c>
      <c r="S1181" s="108" t="s">
        <v>568</v>
      </c>
      <c r="T1181" s="98">
        <v>5.3051982272288454</v>
      </c>
      <c r="U1181" s="80">
        <v>1.0323901721953188</v>
      </c>
      <c r="V1181" s="98">
        <v>1E-8</v>
      </c>
      <c r="W1181" s="98">
        <v>1E-8</v>
      </c>
      <c r="X1181" s="98">
        <v>1E-8</v>
      </c>
      <c r="Y1181" s="98">
        <v>1E-8</v>
      </c>
      <c r="Z1181" s="98">
        <v>1E-8</v>
      </c>
      <c r="AA1181" s="98">
        <v>1E-8</v>
      </c>
      <c r="AB1181" s="98">
        <v>1E-8</v>
      </c>
      <c r="AC1181" s="98">
        <v>1E-8</v>
      </c>
      <c r="AD1181" s="4"/>
    </row>
    <row r="1182" spans="1:30" x14ac:dyDescent="0.3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34"/>
      <c r="O1182" s="4"/>
      <c r="P1182" s="68"/>
      <c r="Q1182" s="68" t="s">
        <v>671</v>
      </c>
      <c r="R1182" s="108" t="s">
        <v>729</v>
      </c>
      <c r="S1182" s="108" t="s">
        <v>569</v>
      </c>
      <c r="T1182" s="98">
        <v>2.0272411700531472</v>
      </c>
      <c r="U1182" s="80">
        <v>1.6453716624469594</v>
      </c>
      <c r="V1182" s="98">
        <v>1E-8</v>
      </c>
      <c r="W1182" s="98">
        <v>1E-8</v>
      </c>
      <c r="X1182" s="98">
        <v>1E-8</v>
      </c>
      <c r="Y1182" s="98">
        <v>1E-8</v>
      </c>
      <c r="Z1182" s="98">
        <v>1E-8</v>
      </c>
      <c r="AA1182" s="98">
        <v>1E-8</v>
      </c>
      <c r="AB1182" s="98">
        <v>1E-8</v>
      </c>
      <c r="AC1182" s="98">
        <v>1E-8</v>
      </c>
      <c r="AD1182" s="4"/>
    </row>
    <row r="1183" spans="1:30" x14ac:dyDescent="0.3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34"/>
      <c r="O1183" s="4"/>
      <c r="P1183" s="68"/>
      <c r="Q1183" s="68" t="s">
        <v>672</v>
      </c>
      <c r="R1183" s="108" t="s">
        <v>729</v>
      </c>
      <c r="S1183" s="108" t="s">
        <v>570</v>
      </c>
      <c r="T1183" s="98">
        <v>0.49178946467940438</v>
      </c>
      <c r="U1183" s="80">
        <v>3.8568177860018649</v>
      </c>
      <c r="V1183" s="98">
        <v>1E-8</v>
      </c>
      <c r="W1183" s="98">
        <v>1E-8</v>
      </c>
      <c r="X1183" s="98">
        <v>1E-8</v>
      </c>
      <c r="Y1183" s="98">
        <v>1E-8</v>
      </c>
      <c r="Z1183" s="98">
        <v>1E-8</v>
      </c>
      <c r="AA1183" s="98">
        <v>1E-8</v>
      </c>
      <c r="AB1183" s="98">
        <v>1E-8</v>
      </c>
      <c r="AC1183" s="98">
        <v>1E-8</v>
      </c>
      <c r="AD1183" s="4"/>
    </row>
    <row r="1184" spans="1:30" x14ac:dyDescent="0.3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34"/>
      <c r="O1184" s="4"/>
      <c r="P1184" s="96"/>
      <c r="Q1184" s="96" t="s">
        <v>673</v>
      </c>
      <c r="R1184" s="107" t="s">
        <v>729</v>
      </c>
      <c r="S1184" s="107" t="s">
        <v>355</v>
      </c>
      <c r="T1184" s="97">
        <v>3.9512979867623046</v>
      </c>
      <c r="U1184" s="78">
        <v>-0.83578372651701427</v>
      </c>
      <c r="V1184" s="97">
        <v>1E-8</v>
      </c>
      <c r="W1184" s="97">
        <v>1E-8</v>
      </c>
      <c r="X1184" s="97">
        <v>1E-8</v>
      </c>
      <c r="Y1184" s="97">
        <v>1E-8</v>
      </c>
      <c r="Z1184" s="97">
        <v>1E-8</v>
      </c>
      <c r="AA1184" s="97">
        <v>1E-8</v>
      </c>
      <c r="AB1184" s="97">
        <v>1E-8</v>
      </c>
      <c r="AC1184" s="97">
        <v>1E-8</v>
      </c>
      <c r="AD1184" s="4"/>
    </row>
    <row r="1185" spans="1:30" x14ac:dyDescent="0.3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34"/>
      <c r="O1185" s="4"/>
      <c r="P1185" s="96"/>
      <c r="Q1185" s="96" t="s">
        <v>372</v>
      </c>
      <c r="R1185" s="107" t="s">
        <v>729</v>
      </c>
      <c r="S1185" s="107" t="s">
        <v>571</v>
      </c>
      <c r="T1185" s="97">
        <v>0.21114917473375444</v>
      </c>
      <c r="U1185" s="78">
        <v>0.5723974362671802</v>
      </c>
      <c r="V1185" s="97">
        <v>1E-8</v>
      </c>
      <c r="W1185" s="97">
        <v>1E-8</v>
      </c>
      <c r="X1185" s="97">
        <v>1E-8</v>
      </c>
      <c r="Y1185" s="97">
        <v>1E-8</v>
      </c>
      <c r="Z1185" s="97">
        <v>1E-8</v>
      </c>
      <c r="AA1185" s="97">
        <v>1E-8</v>
      </c>
      <c r="AB1185" s="97">
        <v>1E-8</v>
      </c>
      <c r="AC1185" s="97">
        <v>1E-8</v>
      </c>
      <c r="AD1185" s="4"/>
    </row>
    <row r="1186" spans="1:30" x14ac:dyDescent="0.3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34"/>
      <c r="O1186" s="4"/>
      <c r="P1186" s="68"/>
      <c r="Q1186" s="68" t="s">
        <v>674</v>
      </c>
      <c r="R1186" s="108" t="s">
        <v>729</v>
      </c>
      <c r="S1186" s="108" t="s">
        <v>572</v>
      </c>
      <c r="T1186" s="98">
        <v>4.0802558496684509E-2</v>
      </c>
      <c r="U1186" s="80">
        <v>0.73639631984825371</v>
      </c>
      <c r="V1186" s="98">
        <v>1E-8</v>
      </c>
      <c r="W1186" s="98">
        <v>1E-8</v>
      </c>
      <c r="X1186" s="98">
        <v>1E-8</v>
      </c>
      <c r="Y1186" s="98">
        <v>1E-8</v>
      </c>
      <c r="Z1186" s="98">
        <v>1E-8</v>
      </c>
      <c r="AA1186" s="98">
        <v>1E-8</v>
      </c>
      <c r="AB1186" s="98">
        <v>1E-8</v>
      </c>
      <c r="AC1186" s="98">
        <v>1E-8</v>
      </c>
      <c r="AD1186" s="4"/>
    </row>
    <row r="1187" spans="1:30" x14ac:dyDescent="0.3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34"/>
      <c r="O1187" s="4"/>
      <c r="P1187" s="68"/>
      <c r="Q1187" s="68" t="s">
        <v>675</v>
      </c>
      <c r="R1187" s="108" t="s">
        <v>729</v>
      </c>
      <c r="S1187" s="108" t="s">
        <v>356</v>
      </c>
      <c r="T1187" s="98">
        <v>0.13059532541697041</v>
      </c>
      <c r="U1187" s="80">
        <v>0.63594010005618706</v>
      </c>
      <c r="V1187" s="98">
        <v>1E-8</v>
      </c>
      <c r="W1187" s="98">
        <v>1E-8</v>
      </c>
      <c r="X1187" s="98">
        <v>1E-8</v>
      </c>
      <c r="Y1187" s="98">
        <v>1E-8</v>
      </c>
      <c r="Z1187" s="98">
        <v>1E-8</v>
      </c>
      <c r="AA1187" s="98">
        <v>1E-8</v>
      </c>
      <c r="AB1187" s="98">
        <v>1E-8</v>
      </c>
      <c r="AC1187" s="98">
        <v>1E-8</v>
      </c>
      <c r="AD1187" s="4"/>
    </row>
    <row r="1188" spans="1:30" x14ac:dyDescent="0.3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34"/>
      <c r="O1188" s="4"/>
      <c r="P1188" s="68"/>
      <c r="Q1188" s="68" t="s">
        <v>676</v>
      </c>
      <c r="R1188" s="109" t="s">
        <v>729</v>
      </c>
      <c r="S1188" s="109" t="s">
        <v>573</v>
      </c>
      <c r="T1188" s="81">
        <v>3.975129082009949E-2</v>
      </c>
      <c r="U1188" s="82">
        <v>0.19530404918872701</v>
      </c>
      <c r="V1188" s="81">
        <v>1E-8</v>
      </c>
      <c r="W1188" s="81">
        <v>1E-8</v>
      </c>
      <c r="X1188" s="81">
        <v>1E-8</v>
      </c>
      <c r="Y1188" s="81">
        <v>1E-8</v>
      </c>
      <c r="Z1188" s="81">
        <v>1E-8</v>
      </c>
      <c r="AA1188" s="81">
        <v>1E-8</v>
      </c>
      <c r="AB1188" s="81">
        <v>1E-8</v>
      </c>
      <c r="AC1188" s="81">
        <v>1E-8</v>
      </c>
      <c r="AD1188" s="4"/>
    </row>
    <row r="1189" spans="1:30" x14ac:dyDescent="0.3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34"/>
      <c r="O1189" s="4"/>
      <c r="P1189" s="96"/>
      <c r="Q1189" s="96" t="s">
        <v>373</v>
      </c>
      <c r="R1189" s="107" t="s">
        <v>729</v>
      </c>
      <c r="S1189" s="107" t="s">
        <v>574</v>
      </c>
      <c r="T1189" s="97">
        <v>0.19027287093771492</v>
      </c>
      <c r="U1189" s="78">
        <v>0.98703213588318128</v>
      </c>
      <c r="V1189" s="97">
        <v>1E-8</v>
      </c>
      <c r="W1189" s="97">
        <v>1E-8</v>
      </c>
      <c r="X1189" s="97">
        <v>1E-8</v>
      </c>
      <c r="Y1189" s="97">
        <v>1E-8</v>
      </c>
      <c r="Z1189" s="97">
        <v>1E-8</v>
      </c>
      <c r="AA1189" s="97">
        <v>1E-8</v>
      </c>
      <c r="AB1189" s="97">
        <v>1E-8</v>
      </c>
      <c r="AC1189" s="97">
        <v>1E-8</v>
      </c>
      <c r="AD1189" s="4"/>
    </row>
    <row r="1190" spans="1:30" x14ac:dyDescent="0.3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34"/>
      <c r="O1190" s="4"/>
      <c r="P1190" s="68"/>
      <c r="Q1190" s="68" t="s">
        <v>677</v>
      </c>
      <c r="R1190" s="108" t="s">
        <v>729</v>
      </c>
      <c r="S1190" s="108" t="s">
        <v>575</v>
      </c>
      <c r="T1190" s="98">
        <v>5.5579240222910435E-2</v>
      </c>
      <c r="U1190" s="80">
        <v>2.5336732796832795</v>
      </c>
      <c r="V1190" s="98">
        <v>1E-8</v>
      </c>
      <c r="W1190" s="98">
        <v>1E-8</v>
      </c>
      <c r="X1190" s="98">
        <v>1E-8</v>
      </c>
      <c r="Y1190" s="98">
        <v>1E-8</v>
      </c>
      <c r="Z1190" s="98">
        <v>1E-8</v>
      </c>
      <c r="AA1190" s="98">
        <v>1E-8</v>
      </c>
      <c r="AB1190" s="98">
        <v>1E-8</v>
      </c>
      <c r="AC1190" s="98">
        <v>1E-8</v>
      </c>
      <c r="AD1190" s="4"/>
    </row>
    <row r="1191" spans="1:30" x14ac:dyDescent="0.3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34"/>
      <c r="O1191" s="4"/>
      <c r="P1191" s="68"/>
      <c r="Q1191" s="68" t="s">
        <v>678</v>
      </c>
      <c r="R1191" s="108" t="s">
        <v>729</v>
      </c>
      <c r="S1191" s="108" t="s">
        <v>576</v>
      </c>
      <c r="T1191" s="98">
        <v>3.5111688052199004E-2</v>
      </c>
      <c r="U1191" s="80">
        <v>0.3647807217276311</v>
      </c>
      <c r="V1191" s="98">
        <v>1E-8</v>
      </c>
      <c r="W1191" s="98">
        <v>1E-8</v>
      </c>
      <c r="X1191" s="98">
        <v>1E-8</v>
      </c>
      <c r="Y1191" s="98">
        <v>1E-8</v>
      </c>
      <c r="Z1191" s="98">
        <v>1E-8</v>
      </c>
      <c r="AA1191" s="98">
        <v>1E-8</v>
      </c>
      <c r="AB1191" s="98">
        <v>1E-8</v>
      </c>
      <c r="AC1191" s="98">
        <v>1E-8</v>
      </c>
      <c r="AD1191" s="4"/>
    </row>
    <row r="1192" spans="1:30" x14ac:dyDescent="0.3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34"/>
      <c r="O1192" s="4"/>
      <c r="P1192" s="68"/>
      <c r="Q1192" s="68" t="s">
        <v>679</v>
      </c>
      <c r="R1192" s="108" t="s">
        <v>729</v>
      </c>
      <c r="S1192" s="108" t="s">
        <v>577</v>
      </c>
      <c r="T1192" s="98">
        <v>9.9581942662605477E-2</v>
      </c>
      <c r="U1192" s="80">
        <v>0.34321217804951232</v>
      </c>
      <c r="V1192" s="98">
        <v>1E-8</v>
      </c>
      <c r="W1192" s="98">
        <v>1E-8</v>
      </c>
      <c r="X1192" s="98">
        <v>1E-8</v>
      </c>
      <c r="Y1192" s="98">
        <v>1E-8</v>
      </c>
      <c r="Z1192" s="98">
        <v>1E-8</v>
      </c>
      <c r="AA1192" s="98">
        <v>1E-8</v>
      </c>
      <c r="AB1192" s="98">
        <v>1E-8</v>
      </c>
      <c r="AC1192" s="98">
        <v>1E-8</v>
      </c>
      <c r="AD1192" s="4"/>
    </row>
    <row r="1193" spans="1:30" x14ac:dyDescent="0.3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34"/>
      <c r="O1193" s="4"/>
      <c r="P1193" s="96"/>
      <c r="Q1193" s="96" t="s">
        <v>195</v>
      </c>
      <c r="R1193" s="107" t="s">
        <v>729</v>
      </c>
      <c r="S1193" s="107" t="s">
        <v>578</v>
      </c>
      <c r="T1193" s="97">
        <v>1.0022692594745257</v>
      </c>
      <c r="U1193" s="78">
        <v>-0.2269562932264213</v>
      </c>
      <c r="V1193" s="97">
        <v>1E-8</v>
      </c>
      <c r="W1193" s="97">
        <v>1E-8</v>
      </c>
      <c r="X1193" s="97">
        <v>1E-8</v>
      </c>
      <c r="Y1193" s="97">
        <v>1E-8</v>
      </c>
      <c r="Z1193" s="97">
        <v>1E-8</v>
      </c>
      <c r="AA1193" s="97">
        <v>1E-8</v>
      </c>
      <c r="AB1193" s="97">
        <v>1E-8</v>
      </c>
      <c r="AC1193" s="97">
        <v>1E-8</v>
      </c>
      <c r="AD1193" s="4"/>
    </row>
    <row r="1194" spans="1:30" x14ac:dyDescent="0.3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34"/>
      <c r="O1194" s="4"/>
      <c r="P1194" s="68"/>
      <c r="Q1194" s="68" t="s">
        <v>680</v>
      </c>
      <c r="R1194" s="108" t="s">
        <v>729</v>
      </c>
      <c r="S1194" s="108" t="s">
        <v>579</v>
      </c>
      <c r="T1194" s="98">
        <v>0.74149413016840293</v>
      </c>
      <c r="U1194" s="80">
        <v>0.47299390264139429</v>
      </c>
      <c r="V1194" s="98">
        <v>1E-8</v>
      </c>
      <c r="W1194" s="98">
        <v>1E-8</v>
      </c>
      <c r="X1194" s="98">
        <v>1E-8</v>
      </c>
      <c r="Y1194" s="98">
        <v>1E-8</v>
      </c>
      <c r="Z1194" s="98">
        <v>1E-8</v>
      </c>
      <c r="AA1194" s="98">
        <v>1E-8</v>
      </c>
      <c r="AB1194" s="98">
        <v>1E-8</v>
      </c>
      <c r="AC1194" s="98">
        <v>1E-8</v>
      </c>
      <c r="AD1194" s="4"/>
    </row>
    <row r="1195" spans="1:30" x14ac:dyDescent="0.3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34"/>
      <c r="O1195" s="4"/>
      <c r="P1195" s="68"/>
      <c r="Q1195" s="68" t="s">
        <v>681</v>
      </c>
      <c r="R1195" s="108" t="s">
        <v>729</v>
      </c>
      <c r="S1195" s="108" t="s">
        <v>357</v>
      </c>
      <c r="T1195" s="98">
        <v>0.26077512930612257</v>
      </c>
      <c r="U1195" s="80">
        <v>-2.2172111270642891</v>
      </c>
      <c r="V1195" s="98">
        <v>1E-8</v>
      </c>
      <c r="W1195" s="98">
        <v>1E-8</v>
      </c>
      <c r="X1195" s="98">
        <v>1E-8</v>
      </c>
      <c r="Y1195" s="98">
        <v>1E-8</v>
      </c>
      <c r="Z1195" s="98">
        <v>1E-8</v>
      </c>
      <c r="AA1195" s="98">
        <v>1E-8</v>
      </c>
      <c r="AB1195" s="98">
        <v>1E-8</v>
      </c>
      <c r="AC1195" s="98">
        <v>1E-8</v>
      </c>
      <c r="AD1195" s="4"/>
    </row>
    <row r="1196" spans="1:30" x14ac:dyDescent="0.3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34"/>
      <c r="O1196" s="4"/>
      <c r="P1196" s="96"/>
      <c r="Q1196" s="96" t="s">
        <v>196</v>
      </c>
      <c r="R1196" s="107" t="s">
        <v>729</v>
      </c>
      <c r="S1196" s="107" t="s">
        <v>580</v>
      </c>
      <c r="T1196" s="97">
        <v>5.1128036465966451</v>
      </c>
      <c r="U1196" s="78">
        <v>1.429975643460013</v>
      </c>
      <c r="V1196" s="97">
        <v>1E-8</v>
      </c>
      <c r="W1196" s="97">
        <v>1E-8</v>
      </c>
      <c r="X1196" s="97">
        <v>1E-8</v>
      </c>
      <c r="Y1196" s="97">
        <v>1E-8</v>
      </c>
      <c r="Z1196" s="97">
        <v>1E-8</v>
      </c>
      <c r="AA1196" s="97">
        <v>1E-8</v>
      </c>
      <c r="AB1196" s="97">
        <v>1E-8</v>
      </c>
      <c r="AC1196" s="97">
        <v>1E-8</v>
      </c>
      <c r="AD1196" s="4"/>
    </row>
    <row r="1197" spans="1:30" x14ac:dyDescent="0.3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34"/>
      <c r="O1197" s="4"/>
      <c r="P1197" s="68"/>
      <c r="Q1197" s="68" t="s">
        <v>682</v>
      </c>
      <c r="R1197" s="108" t="s">
        <v>729</v>
      </c>
      <c r="S1197" s="108" t="s">
        <v>581</v>
      </c>
      <c r="T1197" s="98">
        <v>0.7391286117245327</v>
      </c>
      <c r="U1197" s="80">
        <v>-1.529419003608834</v>
      </c>
      <c r="V1197" s="98">
        <v>1E-8</v>
      </c>
      <c r="W1197" s="98">
        <v>1E-8</v>
      </c>
      <c r="X1197" s="98">
        <v>1E-8</v>
      </c>
      <c r="Y1197" s="98">
        <v>1E-8</v>
      </c>
      <c r="Z1197" s="98">
        <v>1E-8</v>
      </c>
      <c r="AA1197" s="98">
        <v>1E-8</v>
      </c>
      <c r="AB1197" s="98">
        <v>1E-8</v>
      </c>
      <c r="AC1197" s="98">
        <v>1E-8</v>
      </c>
      <c r="AD1197" s="4"/>
    </row>
    <row r="1198" spans="1:30" x14ac:dyDescent="0.3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34"/>
      <c r="O1198" s="4"/>
      <c r="P1198" s="68"/>
      <c r="Q1198" s="68" t="s">
        <v>683</v>
      </c>
      <c r="R1198" s="108" t="s">
        <v>729</v>
      </c>
      <c r="S1198" s="108" t="s">
        <v>582</v>
      </c>
      <c r="T1198" s="98">
        <v>0.22758497917167872</v>
      </c>
      <c r="U1198" s="80">
        <v>0.96588747473900227</v>
      </c>
      <c r="V1198" s="98">
        <v>1E-8</v>
      </c>
      <c r="W1198" s="98">
        <v>1E-8</v>
      </c>
      <c r="X1198" s="98">
        <v>1E-8</v>
      </c>
      <c r="Y1198" s="98">
        <v>1E-8</v>
      </c>
      <c r="Z1198" s="98">
        <v>1E-8</v>
      </c>
      <c r="AA1198" s="98">
        <v>1E-8</v>
      </c>
      <c r="AB1198" s="98">
        <v>1E-8</v>
      </c>
      <c r="AC1198" s="98">
        <v>1E-8</v>
      </c>
      <c r="AD1198" s="4"/>
    </row>
    <row r="1199" spans="1:30" x14ac:dyDescent="0.3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34"/>
      <c r="O1199" s="4"/>
      <c r="P1199" s="68"/>
      <c r="Q1199" s="68" t="s">
        <v>684</v>
      </c>
      <c r="R1199" s="108" t="s">
        <v>729</v>
      </c>
      <c r="S1199" s="108" t="s">
        <v>583</v>
      </c>
      <c r="T1199" s="98">
        <v>1.5495330461440626</v>
      </c>
      <c r="U1199" s="80">
        <v>2.6966617830250117</v>
      </c>
      <c r="V1199" s="98">
        <v>1E-8</v>
      </c>
      <c r="W1199" s="98">
        <v>1E-8</v>
      </c>
      <c r="X1199" s="98">
        <v>1E-8</v>
      </c>
      <c r="Y1199" s="98">
        <v>1E-8</v>
      </c>
      <c r="Z1199" s="98">
        <v>1E-8</v>
      </c>
      <c r="AA1199" s="98">
        <v>1E-8</v>
      </c>
      <c r="AB1199" s="98">
        <v>1E-8</v>
      </c>
      <c r="AC1199" s="98">
        <v>1E-8</v>
      </c>
      <c r="AD1199" s="4"/>
    </row>
    <row r="1200" spans="1:30" x14ac:dyDescent="0.3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34"/>
      <c r="O1200" s="4"/>
      <c r="P1200" s="68"/>
      <c r="Q1200" s="68" t="s">
        <v>685</v>
      </c>
      <c r="R1200" s="108" t="s">
        <v>729</v>
      </c>
      <c r="S1200" s="108" t="s">
        <v>584</v>
      </c>
      <c r="T1200" s="98">
        <v>0.15975904157264254</v>
      </c>
      <c r="U1200" s="80">
        <v>-0.55606588355546771</v>
      </c>
      <c r="V1200" s="98">
        <v>1E-8</v>
      </c>
      <c r="W1200" s="98">
        <v>1E-8</v>
      </c>
      <c r="X1200" s="98">
        <v>1E-8</v>
      </c>
      <c r="Y1200" s="98">
        <v>1E-8</v>
      </c>
      <c r="Z1200" s="98">
        <v>1E-8</v>
      </c>
      <c r="AA1200" s="98">
        <v>1E-8</v>
      </c>
      <c r="AB1200" s="98">
        <v>1E-8</v>
      </c>
      <c r="AC1200" s="98">
        <v>1E-8</v>
      </c>
      <c r="AD1200" s="4"/>
    </row>
    <row r="1201" spans="1:30" x14ac:dyDescent="0.3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34"/>
      <c r="O1201" s="4"/>
      <c r="P1201" s="68"/>
      <c r="Q1201" s="68" t="s">
        <v>686</v>
      </c>
      <c r="R1201" s="109" t="s">
        <v>729</v>
      </c>
      <c r="S1201" s="109" t="s">
        <v>585</v>
      </c>
      <c r="T1201" s="81">
        <v>2.4367979679837291</v>
      </c>
      <c r="U1201" s="82">
        <v>1.6956968153764018</v>
      </c>
      <c r="V1201" s="81">
        <v>1E-8</v>
      </c>
      <c r="W1201" s="81">
        <v>1E-8</v>
      </c>
      <c r="X1201" s="81">
        <v>1E-8</v>
      </c>
      <c r="Y1201" s="81">
        <v>1E-8</v>
      </c>
      <c r="Z1201" s="81">
        <v>1E-8</v>
      </c>
      <c r="AA1201" s="81">
        <v>1E-8</v>
      </c>
      <c r="AB1201" s="81">
        <v>1E-8</v>
      </c>
      <c r="AC1201" s="81">
        <v>1E-8</v>
      </c>
      <c r="AD1201" s="4"/>
    </row>
    <row r="1202" spans="1:30" x14ac:dyDescent="0.3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34"/>
      <c r="O1202" s="4"/>
      <c r="P1202" s="96"/>
      <c r="Q1202" s="96" t="s">
        <v>687</v>
      </c>
      <c r="R1202" s="107" t="s">
        <v>729</v>
      </c>
      <c r="S1202" s="107" t="s">
        <v>358</v>
      </c>
      <c r="T1202" s="97">
        <v>4.4977681029884655</v>
      </c>
      <c r="U1202" s="78">
        <v>0.6235310562602514</v>
      </c>
      <c r="V1202" s="97">
        <v>1E-8</v>
      </c>
      <c r="W1202" s="97">
        <v>1E-8</v>
      </c>
      <c r="X1202" s="97">
        <v>1E-8</v>
      </c>
      <c r="Y1202" s="97">
        <v>1E-8</v>
      </c>
      <c r="Z1202" s="97">
        <v>1E-8</v>
      </c>
      <c r="AA1202" s="97">
        <v>1E-8</v>
      </c>
      <c r="AB1202" s="97">
        <v>1E-8</v>
      </c>
      <c r="AC1202" s="97">
        <v>1E-8</v>
      </c>
      <c r="AD1202" s="4"/>
    </row>
    <row r="1203" spans="1:30" x14ac:dyDescent="0.3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34"/>
      <c r="O1203" s="4"/>
      <c r="P1203" s="96"/>
      <c r="Q1203" s="96" t="s">
        <v>688</v>
      </c>
      <c r="R1203" s="107" t="s">
        <v>729</v>
      </c>
      <c r="S1203" s="107" t="s">
        <v>359</v>
      </c>
      <c r="T1203" s="97">
        <v>0.73581297364915921</v>
      </c>
      <c r="U1203" s="78">
        <v>-0.10258807697859362</v>
      </c>
      <c r="V1203" s="97">
        <v>1E-8</v>
      </c>
      <c r="W1203" s="97">
        <v>1E-8</v>
      </c>
      <c r="X1203" s="97">
        <v>1E-8</v>
      </c>
      <c r="Y1203" s="97">
        <v>1E-8</v>
      </c>
      <c r="Z1203" s="97">
        <v>1E-8</v>
      </c>
      <c r="AA1203" s="97">
        <v>1E-8</v>
      </c>
      <c r="AB1203" s="97">
        <v>1E-8</v>
      </c>
      <c r="AC1203" s="97">
        <v>1E-8</v>
      </c>
      <c r="AD1203" s="4"/>
    </row>
    <row r="1204" spans="1:30" x14ac:dyDescent="0.3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34"/>
      <c r="O1204" s="4"/>
      <c r="P1204" s="96"/>
      <c r="Q1204" s="96" t="s">
        <v>689</v>
      </c>
      <c r="R1204" s="107" t="s">
        <v>729</v>
      </c>
      <c r="S1204" s="107" t="s">
        <v>360</v>
      </c>
      <c r="T1204" s="97">
        <v>0.22702103333544932</v>
      </c>
      <c r="U1204" s="78">
        <v>-1.510718807804301</v>
      </c>
      <c r="V1204" s="97">
        <v>1E-8</v>
      </c>
      <c r="W1204" s="97">
        <v>1E-8</v>
      </c>
      <c r="X1204" s="97">
        <v>1E-8</v>
      </c>
      <c r="Y1204" s="97">
        <v>1E-8</v>
      </c>
      <c r="Z1204" s="97">
        <v>1E-8</v>
      </c>
      <c r="AA1204" s="97">
        <v>1E-8</v>
      </c>
      <c r="AB1204" s="97">
        <v>1E-8</v>
      </c>
      <c r="AC1204" s="97">
        <v>1E-8</v>
      </c>
      <c r="AD1204" s="4"/>
    </row>
    <row r="1205" spans="1:30" x14ac:dyDescent="0.3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34"/>
      <c r="O1205" s="4"/>
      <c r="P1205" s="96"/>
      <c r="Q1205" s="96" t="s">
        <v>205</v>
      </c>
      <c r="R1205" s="107" t="s">
        <v>729</v>
      </c>
      <c r="S1205" s="107" t="s">
        <v>586</v>
      </c>
      <c r="T1205" s="97">
        <v>12.718544702116109</v>
      </c>
      <c r="U1205" s="78">
        <v>0.43744931565363743</v>
      </c>
      <c r="V1205" s="97">
        <v>1E-8</v>
      </c>
      <c r="W1205" s="97">
        <v>1E-8</v>
      </c>
      <c r="X1205" s="97">
        <v>1E-8</v>
      </c>
      <c r="Y1205" s="97">
        <v>1E-8</v>
      </c>
      <c r="Z1205" s="97">
        <v>1E-8</v>
      </c>
      <c r="AA1205" s="97">
        <v>1E-8</v>
      </c>
      <c r="AB1205" s="97">
        <v>1E-8</v>
      </c>
      <c r="AC1205" s="97">
        <v>1E-8</v>
      </c>
      <c r="AD1205" s="4"/>
    </row>
    <row r="1206" spans="1:30" x14ac:dyDescent="0.3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34"/>
      <c r="O1206" s="4"/>
      <c r="P1206" s="68"/>
      <c r="Q1206" s="68" t="s">
        <v>690</v>
      </c>
      <c r="R1206" s="108" t="s">
        <v>729</v>
      </c>
      <c r="S1206" s="108" t="s">
        <v>587</v>
      </c>
      <c r="T1206" s="98">
        <v>0.27446098824823217</v>
      </c>
      <c r="U1206" s="80">
        <v>0.16505208921113734</v>
      </c>
      <c r="V1206" s="98">
        <v>1E-8</v>
      </c>
      <c r="W1206" s="98">
        <v>1E-8</v>
      </c>
      <c r="X1206" s="98">
        <v>1E-8</v>
      </c>
      <c r="Y1206" s="98">
        <v>1E-8</v>
      </c>
      <c r="Z1206" s="98">
        <v>1E-8</v>
      </c>
      <c r="AA1206" s="98">
        <v>1E-8</v>
      </c>
      <c r="AB1206" s="98">
        <v>1E-8</v>
      </c>
      <c r="AC1206" s="98">
        <v>1E-8</v>
      </c>
      <c r="AD1206" s="4"/>
    </row>
    <row r="1207" spans="1:30" x14ac:dyDescent="0.3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34"/>
      <c r="O1207" s="4"/>
      <c r="P1207" s="68"/>
      <c r="Q1207" s="68" t="s">
        <v>691</v>
      </c>
      <c r="R1207" s="108" t="s">
        <v>729</v>
      </c>
      <c r="S1207" s="108" t="s">
        <v>588</v>
      </c>
      <c r="T1207" s="98">
        <v>0.29725302580650098</v>
      </c>
      <c r="U1207" s="80">
        <v>0.69632307725286946</v>
      </c>
      <c r="V1207" s="98">
        <v>1E-8</v>
      </c>
      <c r="W1207" s="98">
        <v>1E-8</v>
      </c>
      <c r="X1207" s="98">
        <v>1E-8</v>
      </c>
      <c r="Y1207" s="98">
        <v>1E-8</v>
      </c>
      <c r="Z1207" s="98">
        <v>1E-8</v>
      </c>
      <c r="AA1207" s="98">
        <v>1E-8</v>
      </c>
      <c r="AB1207" s="98">
        <v>1E-8</v>
      </c>
      <c r="AC1207" s="98">
        <v>1E-8</v>
      </c>
      <c r="AD1207" s="4"/>
    </row>
    <row r="1208" spans="1:30" x14ac:dyDescent="0.3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34"/>
      <c r="O1208" s="4"/>
      <c r="P1208" s="68"/>
      <c r="Q1208" s="68" t="s">
        <v>692</v>
      </c>
      <c r="R1208" s="108" t="s">
        <v>729</v>
      </c>
      <c r="S1208" s="108" t="s">
        <v>589</v>
      </c>
      <c r="T1208" s="98">
        <v>1.3266841070561088</v>
      </c>
      <c r="U1208" s="80">
        <v>2.2978033914176743</v>
      </c>
      <c r="V1208" s="98">
        <v>1E-8</v>
      </c>
      <c r="W1208" s="98">
        <v>1E-8</v>
      </c>
      <c r="X1208" s="98">
        <v>1E-8</v>
      </c>
      <c r="Y1208" s="98">
        <v>1E-8</v>
      </c>
      <c r="Z1208" s="98">
        <v>1E-8</v>
      </c>
      <c r="AA1208" s="98">
        <v>1E-8</v>
      </c>
      <c r="AB1208" s="98">
        <v>1E-8</v>
      </c>
      <c r="AC1208" s="98">
        <v>1E-8</v>
      </c>
      <c r="AD1208" s="4"/>
    </row>
    <row r="1209" spans="1:30" x14ac:dyDescent="0.3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34"/>
      <c r="O1209" s="4"/>
      <c r="P1209" s="68"/>
      <c r="Q1209" s="68" t="s">
        <v>693</v>
      </c>
      <c r="R1209" s="108" t="s">
        <v>729</v>
      </c>
      <c r="S1209" s="108" t="s">
        <v>361</v>
      </c>
      <c r="T1209" s="98">
        <v>6.2126193388117725</v>
      </c>
      <c r="U1209" s="80">
        <v>-0.18628791628155783</v>
      </c>
      <c r="V1209" s="98">
        <v>1E-8</v>
      </c>
      <c r="W1209" s="98">
        <v>1E-8</v>
      </c>
      <c r="X1209" s="98">
        <v>1E-8</v>
      </c>
      <c r="Y1209" s="98">
        <v>1E-8</v>
      </c>
      <c r="Z1209" s="98">
        <v>1E-8</v>
      </c>
      <c r="AA1209" s="98">
        <v>1E-8</v>
      </c>
      <c r="AB1209" s="98">
        <v>1E-8</v>
      </c>
      <c r="AC1209" s="98">
        <v>1E-8</v>
      </c>
      <c r="AD1209" s="4"/>
    </row>
    <row r="1210" spans="1:30" x14ac:dyDescent="0.3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34"/>
      <c r="O1210" s="4"/>
      <c r="P1210" s="68"/>
      <c r="Q1210" s="68" t="s">
        <v>694</v>
      </c>
      <c r="R1210" s="108" t="s">
        <v>729</v>
      </c>
      <c r="S1210" s="108" t="s">
        <v>590</v>
      </c>
      <c r="T1210" s="98">
        <v>4.6075272421934939</v>
      </c>
      <c r="U1210" s="80">
        <v>0.74233111728649881</v>
      </c>
      <c r="V1210" s="98">
        <v>1E-8</v>
      </c>
      <c r="W1210" s="98">
        <v>1E-8</v>
      </c>
      <c r="X1210" s="98">
        <v>1E-8</v>
      </c>
      <c r="Y1210" s="98">
        <v>1E-8</v>
      </c>
      <c r="Z1210" s="98">
        <v>1E-8</v>
      </c>
      <c r="AA1210" s="98">
        <v>1E-8</v>
      </c>
      <c r="AB1210" s="98">
        <v>1E-8</v>
      </c>
      <c r="AC1210" s="98">
        <v>1E-8</v>
      </c>
      <c r="AD1210" s="4"/>
    </row>
    <row r="1211" spans="1:30" ht="15" thickBot="1" x14ac:dyDescent="0.4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34"/>
      <c r="O1211" s="4"/>
      <c r="P1211" s="102"/>
      <c r="Q1211" s="102" t="s">
        <v>695</v>
      </c>
      <c r="R1211" s="113" t="s">
        <v>729</v>
      </c>
      <c r="S1211" s="113" t="s">
        <v>591</v>
      </c>
      <c r="T1211" s="103">
        <v>1E-8</v>
      </c>
      <c r="U1211" s="104">
        <v>1E-8</v>
      </c>
      <c r="V1211" s="103">
        <v>1E-8</v>
      </c>
      <c r="W1211" s="103">
        <v>1E-8</v>
      </c>
      <c r="X1211" s="103">
        <v>1E-8</v>
      </c>
      <c r="Y1211" s="103">
        <v>1E-8</v>
      </c>
      <c r="Z1211" s="103">
        <v>1E-8</v>
      </c>
      <c r="AA1211" s="103">
        <v>1E-8</v>
      </c>
      <c r="AB1211" s="103">
        <v>1E-8</v>
      </c>
      <c r="AC1211" s="103">
        <v>1E-8</v>
      </c>
      <c r="AD1211" s="4"/>
    </row>
    <row r="1212" spans="1:30" x14ac:dyDescent="0.3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34"/>
      <c r="O1212" s="4"/>
      <c r="P1212" s="47" t="s">
        <v>727</v>
      </c>
      <c r="Q1212" s="47" t="s">
        <v>102</v>
      </c>
      <c r="R1212" s="105" t="s">
        <v>730</v>
      </c>
      <c r="S1212" s="105" t="s">
        <v>288</v>
      </c>
      <c r="T1212" s="95">
        <v>100</v>
      </c>
      <c r="U1212" s="74">
        <v>1E-8</v>
      </c>
      <c r="V1212" s="95">
        <v>1E-8</v>
      </c>
      <c r="W1212" s="95">
        <v>1E-8</v>
      </c>
      <c r="X1212" s="95">
        <v>1E-8</v>
      </c>
      <c r="Y1212" s="95">
        <v>1E-8</v>
      </c>
      <c r="Z1212" s="95">
        <v>1E-8</v>
      </c>
      <c r="AA1212" s="95">
        <v>1E-8</v>
      </c>
      <c r="AB1212" s="95">
        <v>1E-8</v>
      </c>
      <c r="AC1212" s="95">
        <v>1E-8</v>
      </c>
      <c r="AD1212" s="4"/>
    </row>
    <row r="1213" spans="1:30" x14ac:dyDescent="0.3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34"/>
      <c r="O1213" s="4"/>
      <c r="P1213" s="47" t="s">
        <v>475</v>
      </c>
      <c r="Q1213" s="47" t="s">
        <v>278</v>
      </c>
      <c r="R1213" s="106" t="s">
        <v>730</v>
      </c>
      <c r="S1213" s="106" t="s">
        <v>289</v>
      </c>
      <c r="T1213" s="75">
        <v>17.492868500516256</v>
      </c>
      <c r="U1213" s="76">
        <v>0.60001133690938957</v>
      </c>
      <c r="V1213" s="75">
        <v>1E-8</v>
      </c>
      <c r="W1213" s="75">
        <v>1E-8</v>
      </c>
      <c r="X1213" s="75">
        <v>1E-8</v>
      </c>
      <c r="Y1213" s="75">
        <v>1E-8</v>
      </c>
      <c r="Z1213" s="75">
        <v>1E-8</v>
      </c>
      <c r="AA1213" s="75">
        <v>1E-8</v>
      </c>
      <c r="AB1213" s="75">
        <v>1E-8</v>
      </c>
      <c r="AC1213" s="75">
        <v>1E-8</v>
      </c>
      <c r="AD1213" s="4"/>
    </row>
    <row r="1214" spans="1:30" x14ac:dyDescent="0.3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34"/>
      <c r="O1214" s="4"/>
      <c r="P1214" s="96"/>
      <c r="Q1214" s="96" t="s">
        <v>279</v>
      </c>
      <c r="R1214" s="107" t="s">
        <v>730</v>
      </c>
      <c r="S1214" s="107" t="s">
        <v>290</v>
      </c>
      <c r="T1214" s="97">
        <v>9.579309578234529</v>
      </c>
      <c r="U1214" s="78">
        <v>0.60274079660926905</v>
      </c>
      <c r="V1214" s="97">
        <v>1E-8</v>
      </c>
      <c r="W1214" s="97">
        <v>1E-8</v>
      </c>
      <c r="X1214" s="97">
        <v>1E-8</v>
      </c>
      <c r="Y1214" s="97">
        <v>1E-8</v>
      </c>
      <c r="Z1214" s="97">
        <v>1E-8</v>
      </c>
      <c r="AA1214" s="97">
        <v>1E-8</v>
      </c>
      <c r="AB1214" s="97">
        <v>1E-8</v>
      </c>
      <c r="AC1214" s="97">
        <v>1E-8</v>
      </c>
      <c r="AD1214" s="4"/>
    </row>
    <row r="1215" spans="1:30" x14ac:dyDescent="0.3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34"/>
      <c r="O1215" s="4"/>
      <c r="P1215" s="96"/>
      <c r="Q1215" s="96" t="s">
        <v>362</v>
      </c>
      <c r="R1215" s="107" t="s">
        <v>730</v>
      </c>
      <c r="S1215" s="107" t="s">
        <v>291</v>
      </c>
      <c r="T1215" s="97">
        <v>9.1970073557181262</v>
      </c>
      <c r="U1215" s="78">
        <v>0.53400823898017702</v>
      </c>
      <c r="V1215" s="97">
        <v>1E-8</v>
      </c>
      <c r="W1215" s="97">
        <v>1E-8</v>
      </c>
      <c r="X1215" s="97">
        <v>1E-8</v>
      </c>
      <c r="Y1215" s="97">
        <v>1E-8</v>
      </c>
      <c r="Z1215" s="97">
        <v>1E-8</v>
      </c>
      <c r="AA1215" s="97">
        <v>1E-8</v>
      </c>
      <c r="AB1215" s="97">
        <v>1E-8</v>
      </c>
      <c r="AC1215" s="97">
        <v>1E-8</v>
      </c>
      <c r="AD1215" s="4"/>
    </row>
    <row r="1216" spans="1:30" x14ac:dyDescent="0.3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34"/>
      <c r="O1216" s="4"/>
      <c r="P1216" s="96"/>
      <c r="Q1216" s="96" t="s">
        <v>363</v>
      </c>
      <c r="R1216" s="107" t="s">
        <v>730</v>
      </c>
      <c r="S1216" s="107" t="s">
        <v>292</v>
      </c>
      <c r="T1216" s="97">
        <v>0.38230222251640328</v>
      </c>
      <c r="U1216" s="78">
        <v>2.256233245414152</v>
      </c>
      <c r="V1216" s="97">
        <v>1E-8</v>
      </c>
      <c r="W1216" s="97">
        <v>1E-8</v>
      </c>
      <c r="X1216" s="97">
        <v>1E-8</v>
      </c>
      <c r="Y1216" s="97">
        <v>1E-8</v>
      </c>
      <c r="Z1216" s="97">
        <v>1E-8</v>
      </c>
      <c r="AA1216" s="97">
        <v>1E-8</v>
      </c>
      <c r="AB1216" s="97">
        <v>1E-8</v>
      </c>
      <c r="AC1216" s="97">
        <v>1E-8</v>
      </c>
      <c r="AD1216" s="4"/>
    </row>
    <row r="1217" spans="1:30" x14ac:dyDescent="0.3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34"/>
      <c r="O1217" s="4"/>
      <c r="P1217" s="68"/>
      <c r="Q1217" s="68" t="s">
        <v>592</v>
      </c>
      <c r="R1217" s="108" t="s">
        <v>730</v>
      </c>
      <c r="S1217" s="108" t="s">
        <v>294</v>
      </c>
      <c r="T1217" s="98">
        <v>0.31278733800925279</v>
      </c>
      <c r="U1217" s="80">
        <v>1.709689848381335</v>
      </c>
      <c r="V1217" s="98">
        <v>1E-8</v>
      </c>
      <c r="W1217" s="98">
        <v>1E-8</v>
      </c>
      <c r="X1217" s="98">
        <v>1E-8</v>
      </c>
      <c r="Y1217" s="98">
        <v>1E-8</v>
      </c>
      <c r="Z1217" s="98">
        <v>1E-8</v>
      </c>
      <c r="AA1217" s="98">
        <v>1E-8</v>
      </c>
      <c r="AB1217" s="98">
        <v>1E-8</v>
      </c>
      <c r="AC1217" s="98">
        <v>1E-8</v>
      </c>
      <c r="AD1217" s="4"/>
    </row>
    <row r="1218" spans="1:30" x14ac:dyDescent="0.3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34"/>
      <c r="O1218" s="4"/>
      <c r="P1218" s="68"/>
      <c r="Q1218" s="68" t="s">
        <v>593</v>
      </c>
      <c r="R1218" s="108" t="s">
        <v>730</v>
      </c>
      <c r="S1218" s="108" t="s">
        <v>293</v>
      </c>
      <c r="T1218" s="98">
        <v>0.54971865648198193</v>
      </c>
      <c r="U1218" s="80">
        <v>2.6618577411282374</v>
      </c>
      <c r="V1218" s="98">
        <v>1E-8</v>
      </c>
      <c r="W1218" s="98">
        <v>1E-8</v>
      </c>
      <c r="X1218" s="98">
        <v>1E-8</v>
      </c>
      <c r="Y1218" s="98">
        <v>1E-8</v>
      </c>
      <c r="Z1218" s="98">
        <v>1E-8</v>
      </c>
      <c r="AA1218" s="98">
        <v>1E-8</v>
      </c>
      <c r="AB1218" s="98">
        <v>1E-8</v>
      </c>
      <c r="AC1218" s="98">
        <v>1E-8</v>
      </c>
      <c r="AD1218" s="4"/>
    </row>
    <row r="1219" spans="1:30" x14ac:dyDescent="0.3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34"/>
      <c r="O1219" s="4"/>
      <c r="P1219" s="68"/>
      <c r="Q1219" s="68" t="s">
        <v>594</v>
      </c>
      <c r="R1219" s="108" t="s">
        <v>730</v>
      </c>
      <c r="S1219" s="108" t="s">
        <v>296</v>
      </c>
      <c r="T1219" s="98">
        <v>3.9814834114601698E-3</v>
      </c>
      <c r="U1219" s="80">
        <v>3.7231839235733588</v>
      </c>
      <c r="V1219" s="98">
        <v>1E-8</v>
      </c>
      <c r="W1219" s="98">
        <v>1E-8</v>
      </c>
      <c r="X1219" s="98">
        <v>1E-8</v>
      </c>
      <c r="Y1219" s="98">
        <v>1E-8</v>
      </c>
      <c r="Z1219" s="98">
        <v>1E-8</v>
      </c>
      <c r="AA1219" s="98">
        <v>1E-8</v>
      </c>
      <c r="AB1219" s="98">
        <v>1E-8</v>
      </c>
      <c r="AC1219" s="98">
        <v>1E-8</v>
      </c>
      <c r="AD1219" s="4"/>
    </row>
    <row r="1220" spans="1:30" x14ac:dyDescent="0.3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34"/>
      <c r="O1220" s="4"/>
      <c r="P1220" s="68"/>
      <c r="Q1220" s="68" t="s">
        <v>595</v>
      </c>
      <c r="R1220" s="108" t="s">
        <v>730</v>
      </c>
      <c r="S1220" s="108" t="s">
        <v>295</v>
      </c>
      <c r="T1220" s="98">
        <v>9.7892401676586874E-2</v>
      </c>
      <c r="U1220" s="80">
        <v>1.0406471168272313</v>
      </c>
      <c r="V1220" s="98">
        <v>1E-8</v>
      </c>
      <c r="W1220" s="98">
        <v>1E-8</v>
      </c>
      <c r="X1220" s="98">
        <v>1E-8</v>
      </c>
      <c r="Y1220" s="98">
        <v>1E-8</v>
      </c>
      <c r="Z1220" s="98">
        <v>1E-8</v>
      </c>
      <c r="AA1220" s="98">
        <v>1E-8</v>
      </c>
      <c r="AB1220" s="98">
        <v>1E-8</v>
      </c>
      <c r="AC1220" s="98">
        <v>1E-8</v>
      </c>
      <c r="AD1220" s="4"/>
    </row>
    <row r="1221" spans="1:30" x14ac:dyDescent="0.3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34"/>
      <c r="O1221" s="4"/>
      <c r="P1221" s="68"/>
      <c r="Q1221" s="68" t="s">
        <v>596</v>
      </c>
      <c r="R1221" s="108" t="s">
        <v>730</v>
      </c>
      <c r="S1221" s="108" t="s">
        <v>297</v>
      </c>
      <c r="T1221" s="98">
        <v>2.5251379375295762E-4</v>
      </c>
      <c r="U1221" s="80">
        <v>3.7327425789277724</v>
      </c>
      <c r="V1221" s="98">
        <v>1E-8</v>
      </c>
      <c r="W1221" s="98">
        <v>1E-8</v>
      </c>
      <c r="X1221" s="98">
        <v>1E-8</v>
      </c>
      <c r="Y1221" s="98">
        <v>1E-8</v>
      </c>
      <c r="Z1221" s="98">
        <v>1E-8</v>
      </c>
      <c r="AA1221" s="98">
        <v>1E-8</v>
      </c>
      <c r="AB1221" s="98">
        <v>1E-8</v>
      </c>
      <c r="AC1221" s="98">
        <v>1E-8</v>
      </c>
      <c r="AD1221" s="4"/>
    </row>
    <row r="1222" spans="1:30" x14ac:dyDescent="0.3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34"/>
      <c r="O1222" s="4"/>
      <c r="P1222" s="68"/>
      <c r="Q1222" s="68" t="s">
        <v>597</v>
      </c>
      <c r="R1222" s="108" t="s">
        <v>730</v>
      </c>
      <c r="S1222" s="108" t="s">
        <v>301</v>
      </c>
      <c r="T1222" s="98">
        <v>0.47988751589378775</v>
      </c>
      <c r="U1222" s="80">
        <v>-0.6137567393421417</v>
      </c>
      <c r="V1222" s="98">
        <v>1E-8</v>
      </c>
      <c r="W1222" s="98">
        <v>1E-8</v>
      </c>
      <c r="X1222" s="98">
        <v>1E-8</v>
      </c>
      <c r="Y1222" s="98">
        <v>1E-8</v>
      </c>
      <c r="Z1222" s="98">
        <v>1E-8</v>
      </c>
      <c r="AA1222" s="98">
        <v>1E-8</v>
      </c>
      <c r="AB1222" s="98">
        <v>1E-8</v>
      </c>
      <c r="AC1222" s="98">
        <v>1E-8</v>
      </c>
      <c r="AD1222" s="4"/>
    </row>
    <row r="1223" spans="1:30" x14ac:dyDescent="0.3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34"/>
      <c r="O1223" s="4"/>
      <c r="P1223" s="68"/>
      <c r="Q1223" s="68" t="s">
        <v>598</v>
      </c>
      <c r="R1223" s="108" t="s">
        <v>730</v>
      </c>
      <c r="S1223" s="108" t="s">
        <v>302</v>
      </c>
      <c r="T1223" s="98">
        <v>0.45760330754033191</v>
      </c>
      <c r="U1223" s="80">
        <v>-1.5360350993991467</v>
      </c>
      <c r="V1223" s="98">
        <v>1E-8</v>
      </c>
      <c r="W1223" s="98">
        <v>1E-8</v>
      </c>
      <c r="X1223" s="98">
        <v>1E-8</v>
      </c>
      <c r="Y1223" s="98">
        <v>1E-8</v>
      </c>
      <c r="Z1223" s="98">
        <v>1E-8</v>
      </c>
      <c r="AA1223" s="98">
        <v>1E-8</v>
      </c>
      <c r="AB1223" s="98">
        <v>1E-8</v>
      </c>
      <c r="AC1223" s="98">
        <v>1E-8</v>
      </c>
      <c r="AD1223" s="4"/>
    </row>
    <row r="1224" spans="1:30" x14ac:dyDescent="0.3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34"/>
      <c r="O1224" s="4"/>
      <c r="P1224" s="68"/>
      <c r="Q1224" s="68" t="s">
        <v>599</v>
      </c>
      <c r="R1224" s="108" t="s">
        <v>730</v>
      </c>
      <c r="S1224" s="108" t="s">
        <v>300</v>
      </c>
      <c r="T1224" s="98">
        <v>0.65022080830356055</v>
      </c>
      <c r="U1224" s="80">
        <v>0.87034430941961283</v>
      </c>
      <c r="V1224" s="98">
        <v>1E-8</v>
      </c>
      <c r="W1224" s="98">
        <v>1E-8</v>
      </c>
      <c r="X1224" s="98">
        <v>1E-8</v>
      </c>
      <c r="Y1224" s="98">
        <v>1E-8</v>
      </c>
      <c r="Z1224" s="98">
        <v>1E-8</v>
      </c>
      <c r="AA1224" s="98">
        <v>1E-8</v>
      </c>
      <c r="AB1224" s="98">
        <v>1E-8</v>
      </c>
      <c r="AC1224" s="98">
        <v>1E-8</v>
      </c>
      <c r="AD1224" s="4"/>
    </row>
    <row r="1225" spans="1:30" x14ac:dyDescent="0.3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34"/>
      <c r="O1225" s="4"/>
      <c r="P1225" s="68"/>
      <c r="Q1225" s="68" t="s">
        <v>600</v>
      </c>
      <c r="R1225" s="108" t="s">
        <v>730</v>
      </c>
      <c r="S1225" s="108" t="s">
        <v>303</v>
      </c>
      <c r="T1225" s="98">
        <v>9.4808304079479516E-2</v>
      </c>
      <c r="U1225" s="80">
        <v>-1.2002686693227349</v>
      </c>
      <c r="V1225" s="98">
        <v>1E-8</v>
      </c>
      <c r="W1225" s="98">
        <v>1E-8</v>
      </c>
      <c r="X1225" s="98">
        <v>1E-8</v>
      </c>
      <c r="Y1225" s="98">
        <v>1E-8</v>
      </c>
      <c r="Z1225" s="98">
        <v>1E-8</v>
      </c>
      <c r="AA1225" s="98">
        <v>1E-8</v>
      </c>
      <c r="AB1225" s="98">
        <v>1E-8</v>
      </c>
      <c r="AC1225" s="98">
        <v>1E-8</v>
      </c>
      <c r="AD1225" s="4"/>
    </row>
    <row r="1226" spans="1:30" x14ac:dyDescent="0.3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34"/>
      <c r="O1226" s="4"/>
      <c r="P1226" s="68"/>
      <c r="Q1226" s="68" t="s">
        <v>601</v>
      </c>
      <c r="R1226" s="108" t="s">
        <v>730</v>
      </c>
      <c r="S1226" s="108" t="s">
        <v>533</v>
      </c>
      <c r="T1226" s="98">
        <v>2.0822891873888216</v>
      </c>
      <c r="U1226" s="80">
        <v>0.47290726739908084</v>
      </c>
      <c r="V1226" s="98">
        <v>1E-8</v>
      </c>
      <c r="W1226" s="98">
        <v>1E-8</v>
      </c>
      <c r="X1226" s="98">
        <v>1E-8</v>
      </c>
      <c r="Y1226" s="98">
        <v>1E-8</v>
      </c>
      <c r="Z1226" s="98">
        <v>1E-8</v>
      </c>
      <c r="AA1226" s="98">
        <v>1E-8</v>
      </c>
      <c r="AB1226" s="98">
        <v>1E-8</v>
      </c>
      <c r="AC1226" s="98">
        <v>1E-8</v>
      </c>
      <c r="AD1226" s="4"/>
    </row>
    <row r="1227" spans="1:30" x14ac:dyDescent="0.3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34"/>
      <c r="O1227" s="4"/>
      <c r="P1227" s="68"/>
      <c r="Q1227" s="68" t="s">
        <v>602</v>
      </c>
      <c r="R1227" s="108" t="s">
        <v>730</v>
      </c>
      <c r="S1227" s="108" t="s">
        <v>534</v>
      </c>
      <c r="T1227" s="98">
        <v>0.19274645960980905</v>
      </c>
      <c r="U1227" s="80">
        <v>-0.2099890515065983</v>
      </c>
      <c r="V1227" s="98">
        <v>1E-8</v>
      </c>
      <c r="W1227" s="98">
        <v>1E-8</v>
      </c>
      <c r="X1227" s="98">
        <v>1E-8</v>
      </c>
      <c r="Y1227" s="98">
        <v>1E-8</v>
      </c>
      <c r="Z1227" s="98">
        <v>1E-8</v>
      </c>
      <c r="AA1227" s="98">
        <v>1E-8</v>
      </c>
      <c r="AB1227" s="98">
        <v>1E-8</v>
      </c>
      <c r="AC1227" s="98">
        <v>1E-8</v>
      </c>
      <c r="AD1227" s="4"/>
    </row>
    <row r="1228" spans="1:30" x14ac:dyDescent="0.3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34"/>
      <c r="O1228" s="4"/>
      <c r="P1228" s="68"/>
      <c r="Q1228" s="68" t="s">
        <v>603</v>
      </c>
      <c r="R1228" s="108" t="s">
        <v>730</v>
      </c>
      <c r="S1228" s="108" t="s">
        <v>304</v>
      </c>
      <c r="T1228" s="98">
        <v>1.0726088957370914</v>
      </c>
      <c r="U1228" s="80">
        <v>0.16465523060393839</v>
      </c>
      <c r="V1228" s="98">
        <v>1E-8</v>
      </c>
      <c r="W1228" s="98">
        <v>1E-8</v>
      </c>
      <c r="X1228" s="98">
        <v>1E-8</v>
      </c>
      <c r="Y1228" s="98">
        <v>1E-8</v>
      </c>
      <c r="Z1228" s="98">
        <v>1E-8</v>
      </c>
      <c r="AA1228" s="98">
        <v>1E-8</v>
      </c>
      <c r="AB1228" s="98">
        <v>1E-8</v>
      </c>
      <c r="AC1228" s="98">
        <v>1E-8</v>
      </c>
      <c r="AD1228" s="4"/>
    </row>
    <row r="1229" spans="1:30" x14ac:dyDescent="0.3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34"/>
      <c r="O1229" s="4"/>
      <c r="P1229" s="68"/>
      <c r="Q1229" s="68" t="s">
        <v>604</v>
      </c>
      <c r="R1229" s="108" t="s">
        <v>730</v>
      </c>
      <c r="S1229" s="108" t="s">
        <v>535</v>
      </c>
      <c r="T1229" s="98">
        <v>0.29870193315830823</v>
      </c>
      <c r="U1229" s="80">
        <v>0.38845458343301775</v>
      </c>
      <c r="V1229" s="98">
        <v>1E-8</v>
      </c>
      <c r="W1229" s="98">
        <v>1E-8</v>
      </c>
      <c r="X1229" s="98">
        <v>1E-8</v>
      </c>
      <c r="Y1229" s="98">
        <v>1E-8</v>
      </c>
      <c r="Z1229" s="98">
        <v>1E-8</v>
      </c>
      <c r="AA1229" s="98">
        <v>1E-8</v>
      </c>
      <c r="AB1229" s="98">
        <v>1E-8</v>
      </c>
      <c r="AC1229" s="98">
        <v>1E-8</v>
      </c>
      <c r="AD1229" s="4"/>
    </row>
    <row r="1230" spans="1:30" x14ac:dyDescent="0.3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34"/>
      <c r="O1230" s="4"/>
      <c r="P1230" s="68"/>
      <c r="Q1230" s="68" t="s">
        <v>605</v>
      </c>
      <c r="R1230" s="108" t="s">
        <v>730</v>
      </c>
      <c r="S1230" s="108" t="s">
        <v>536</v>
      </c>
      <c r="T1230" s="98">
        <v>1.9553390392236323</v>
      </c>
      <c r="U1230" s="80">
        <v>0.21009961181046588</v>
      </c>
      <c r="V1230" s="98">
        <v>1E-8</v>
      </c>
      <c r="W1230" s="98">
        <v>1E-8</v>
      </c>
      <c r="X1230" s="98">
        <v>1E-8</v>
      </c>
      <c r="Y1230" s="98">
        <v>1E-8</v>
      </c>
      <c r="Z1230" s="98">
        <v>1E-8</v>
      </c>
      <c r="AA1230" s="98">
        <v>1E-8</v>
      </c>
      <c r="AB1230" s="98">
        <v>1E-8</v>
      </c>
      <c r="AC1230" s="98">
        <v>1E-8</v>
      </c>
      <c r="AD1230" s="4"/>
    </row>
    <row r="1231" spans="1:30" x14ac:dyDescent="0.3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34"/>
      <c r="O1231" s="4"/>
      <c r="P1231" s="68"/>
      <c r="Q1231" s="68" t="s">
        <v>606</v>
      </c>
      <c r="R1231" s="108" t="s">
        <v>730</v>
      </c>
      <c r="S1231" s="108" t="s">
        <v>537</v>
      </c>
      <c r="T1231" s="98">
        <v>0.53940507546199912</v>
      </c>
      <c r="U1231" s="80">
        <v>0.99241293691065824</v>
      </c>
      <c r="V1231" s="98">
        <v>1E-8</v>
      </c>
      <c r="W1231" s="98">
        <v>1E-8</v>
      </c>
      <c r="X1231" s="98">
        <v>1E-8</v>
      </c>
      <c r="Y1231" s="98">
        <v>1E-8</v>
      </c>
      <c r="Z1231" s="98">
        <v>1E-8</v>
      </c>
      <c r="AA1231" s="98">
        <v>1E-8</v>
      </c>
      <c r="AB1231" s="98">
        <v>1E-8</v>
      </c>
      <c r="AC1231" s="98">
        <v>1E-8</v>
      </c>
      <c r="AD1231" s="4"/>
    </row>
    <row r="1232" spans="1:30" x14ac:dyDescent="0.3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34"/>
      <c r="O1232" s="4"/>
      <c r="P1232" s="68"/>
      <c r="Q1232" s="68" t="s">
        <v>607</v>
      </c>
      <c r="R1232" s="108" t="s">
        <v>730</v>
      </c>
      <c r="S1232" s="108" t="s">
        <v>307</v>
      </c>
      <c r="T1232" s="98">
        <v>0.34440549727039499</v>
      </c>
      <c r="U1232" s="80">
        <v>2.5351433120773592</v>
      </c>
      <c r="V1232" s="98">
        <v>1E-8</v>
      </c>
      <c r="W1232" s="98">
        <v>1E-8</v>
      </c>
      <c r="X1232" s="98">
        <v>1E-8</v>
      </c>
      <c r="Y1232" s="98">
        <v>1E-8</v>
      </c>
      <c r="Z1232" s="98">
        <v>1E-8</v>
      </c>
      <c r="AA1232" s="98">
        <v>1E-8</v>
      </c>
      <c r="AB1232" s="98">
        <v>1E-8</v>
      </c>
      <c r="AC1232" s="98">
        <v>1E-8</v>
      </c>
      <c r="AD1232" s="4"/>
    </row>
    <row r="1233" spans="1:30" x14ac:dyDescent="0.3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34"/>
      <c r="O1233" s="4"/>
      <c r="P1233" s="68"/>
      <c r="Q1233" s="68" t="s">
        <v>608</v>
      </c>
      <c r="R1233" s="108" t="s">
        <v>730</v>
      </c>
      <c r="S1233" s="108" t="s">
        <v>298</v>
      </c>
      <c r="T1233" s="98">
        <v>3.8801213357407612E-2</v>
      </c>
      <c r="U1233" s="80">
        <v>5.9609724980935974</v>
      </c>
      <c r="V1233" s="98">
        <v>1E-8</v>
      </c>
      <c r="W1233" s="98">
        <v>1E-8</v>
      </c>
      <c r="X1233" s="98">
        <v>1E-8</v>
      </c>
      <c r="Y1233" s="98">
        <v>1E-8</v>
      </c>
      <c r="Z1233" s="98">
        <v>1E-8</v>
      </c>
      <c r="AA1233" s="98">
        <v>1E-8</v>
      </c>
      <c r="AB1233" s="98">
        <v>1E-8</v>
      </c>
      <c r="AC1233" s="98">
        <v>1E-8</v>
      </c>
      <c r="AD1233" s="4"/>
    </row>
    <row r="1234" spans="1:30" x14ac:dyDescent="0.3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34"/>
      <c r="O1234" s="4"/>
      <c r="P1234" s="68"/>
      <c r="Q1234" s="68" t="s">
        <v>609</v>
      </c>
      <c r="R1234" s="108" t="s">
        <v>730</v>
      </c>
      <c r="S1234" s="108" t="s">
        <v>538</v>
      </c>
      <c r="T1234" s="98">
        <v>2.5557725320467066E-2</v>
      </c>
      <c r="U1234" s="80">
        <v>2.0921048009535648</v>
      </c>
      <c r="V1234" s="98">
        <v>1E-8</v>
      </c>
      <c r="W1234" s="98">
        <v>1E-8</v>
      </c>
      <c r="X1234" s="98">
        <v>1E-8</v>
      </c>
      <c r="Y1234" s="98">
        <v>1E-8</v>
      </c>
      <c r="Z1234" s="98">
        <v>1E-8</v>
      </c>
      <c r="AA1234" s="98">
        <v>1E-8</v>
      </c>
      <c r="AB1234" s="98">
        <v>1E-8</v>
      </c>
      <c r="AC1234" s="98">
        <v>1E-8</v>
      </c>
      <c r="AD1234" s="4"/>
    </row>
    <row r="1235" spans="1:30" x14ac:dyDescent="0.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34"/>
      <c r="O1235" s="4"/>
      <c r="P1235" s="68"/>
      <c r="Q1235" s="68" t="s">
        <v>610</v>
      </c>
      <c r="R1235" s="108" t="s">
        <v>730</v>
      </c>
      <c r="S1235" s="108" t="s">
        <v>299</v>
      </c>
      <c r="T1235" s="98">
        <v>1E-8</v>
      </c>
      <c r="U1235" s="80">
        <v>1E-8</v>
      </c>
      <c r="V1235" s="98">
        <v>1E-8</v>
      </c>
      <c r="W1235" s="98">
        <v>1E-8</v>
      </c>
      <c r="X1235" s="98">
        <v>1E-8</v>
      </c>
      <c r="Y1235" s="98">
        <v>1E-8</v>
      </c>
      <c r="Z1235" s="98">
        <v>1E-8</v>
      </c>
      <c r="AA1235" s="98">
        <v>1E-8</v>
      </c>
      <c r="AB1235" s="98">
        <v>1E-8</v>
      </c>
      <c r="AC1235" s="98">
        <v>1E-8</v>
      </c>
      <c r="AD1235" s="4"/>
    </row>
    <row r="1236" spans="1:30" x14ac:dyDescent="0.3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34"/>
      <c r="O1236" s="4"/>
      <c r="P1236" s="68"/>
      <c r="Q1236" s="68" t="s">
        <v>611</v>
      </c>
      <c r="R1236" s="108" t="s">
        <v>730</v>
      </c>
      <c r="S1236" s="108" t="s">
        <v>309</v>
      </c>
      <c r="T1236" s="98">
        <v>4.5134527220527928E-3</v>
      </c>
      <c r="U1236" s="80">
        <v>14.053937371483149</v>
      </c>
      <c r="V1236" s="98">
        <v>1E-8</v>
      </c>
      <c r="W1236" s="98">
        <v>1E-8</v>
      </c>
      <c r="X1236" s="98">
        <v>1E-8</v>
      </c>
      <c r="Y1236" s="98">
        <v>1E-8</v>
      </c>
      <c r="Z1236" s="98">
        <v>1E-8</v>
      </c>
      <c r="AA1236" s="98">
        <v>1E-8</v>
      </c>
      <c r="AB1236" s="98">
        <v>1E-8</v>
      </c>
      <c r="AC1236" s="98">
        <v>1E-8</v>
      </c>
      <c r="AD1236" s="4"/>
    </row>
    <row r="1237" spans="1:30" x14ac:dyDescent="0.3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34"/>
      <c r="O1237" s="4"/>
      <c r="P1237" s="68"/>
      <c r="Q1237" s="68" t="s">
        <v>612</v>
      </c>
      <c r="R1237" s="108" t="s">
        <v>730</v>
      </c>
      <c r="S1237" s="108" t="s">
        <v>308</v>
      </c>
      <c r="T1237" s="98">
        <v>1E-8</v>
      </c>
      <c r="U1237" s="80">
        <v>1E-8</v>
      </c>
      <c r="V1237" s="98">
        <v>1E-8</v>
      </c>
      <c r="W1237" s="98">
        <v>1E-8</v>
      </c>
      <c r="X1237" s="98">
        <v>1E-8</v>
      </c>
      <c r="Y1237" s="98">
        <v>1E-8</v>
      </c>
      <c r="Z1237" s="98">
        <v>1E-8</v>
      </c>
      <c r="AA1237" s="98">
        <v>1E-8</v>
      </c>
      <c r="AB1237" s="98">
        <v>1E-8</v>
      </c>
      <c r="AC1237" s="98">
        <v>1E-8</v>
      </c>
      <c r="AD1237" s="4"/>
    </row>
    <row r="1238" spans="1:30" x14ac:dyDescent="0.3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34"/>
      <c r="O1238" s="4"/>
      <c r="P1238" s="68"/>
      <c r="Q1238" s="68" t="s">
        <v>613</v>
      </c>
      <c r="R1238" s="108" t="s">
        <v>730</v>
      </c>
      <c r="S1238" s="108" t="s">
        <v>306</v>
      </c>
      <c r="T1238" s="98">
        <v>8.2400219206831576E-2</v>
      </c>
      <c r="U1238" s="80">
        <v>-1.0914678339126738</v>
      </c>
      <c r="V1238" s="98">
        <v>1E-8</v>
      </c>
      <c r="W1238" s="98">
        <v>1E-8</v>
      </c>
      <c r="X1238" s="98">
        <v>1E-8</v>
      </c>
      <c r="Y1238" s="98">
        <v>1E-8</v>
      </c>
      <c r="Z1238" s="98">
        <v>1E-8</v>
      </c>
      <c r="AA1238" s="98">
        <v>1E-8</v>
      </c>
      <c r="AB1238" s="98">
        <v>1E-8</v>
      </c>
      <c r="AC1238" s="98">
        <v>1E-8</v>
      </c>
      <c r="AD1238" s="4"/>
    </row>
    <row r="1239" spans="1:30" x14ac:dyDescent="0.3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34"/>
      <c r="O1239" s="4"/>
      <c r="P1239" s="68"/>
      <c r="Q1239" s="68" t="s">
        <v>614</v>
      </c>
      <c r="R1239" s="108" t="s">
        <v>730</v>
      </c>
      <c r="S1239" s="108" t="s">
        <v>305</v>
      </c>
      <c r="T1239" s="98">
        <v>0.13971817865807809</v>
      </c>
      <c r="U1239" s="80">
        <v>0.8869856592463643</v>
      </c>
      <c r="V1239" s="98">
        <v>1E-8</v>
      </c>
      <c r="W1239" s="98">
        <v>1E-8</v>
      </c>
      <c r="X1239" s="98">
        <v>1E-8</v>
      </c>
      <c r="Y1239" s="98">
        <v>1E-8</v>
      </c>
      <c r="Z1239" s="98">
        <v>1E-8</v>
      </c>
      <c r="AA1239" s="98">
        <v>1E-8</v>
      </c>
      <c r="AB1239" s="98">
        <v>1E-8</v>
      </c>
      <c r="AC1239" s="98">
        <v>1E-8</v>
      </c>
      <c r="AD1239" s="4"/>
    </row>
    <row r="1240" spans="1:30" x14ac:dyDescent="0.3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34"/>
      <c r="O1240" s="4"/>
      <c r="P1240" s="68"/>
      <c r="Q1240" s="68" t="s">
        <v>615</v>
      </c>
      <c r="R1240" s="108" t="s">
        <v>730</v>
      </c>
      <c r="S1240" s="108" t="s">
        <v>539</v>
      </c>
      <c r="T1240" s="98">
        <v>1.1401580907448413E-2</v>
      </c>
      <c r="U1240" s="80">
        <v>17.06439955092085</v>
      </c>
      <c r="V1240" s="98">
        <v>1E-8</v>
      </c>
      <c r="W1240" s="98">
        <v>1E-8</v>
      </c>
      <c r="X1240" s="98">
        <v>1E-8</v>
      </c>
      <c r="Y1240" s="98">
        <v>1E-8</v>
      </c>
      <c r="Z1240" s="98">
        <v>1E-8</v>
      </c>
      <c r="AA1240" s="98">
        <v>1E-8</v>
      </c>
      <c r="AB1240" s="98">
        <v>1E-8</v>
      </c>
      <c r="AC1240" s="98">
        <v>1E-8</v>
      </c>
      <c r="AD1240" s="4"/>
    </row>
    <row r="1241" spans="1:30" x14ac:dyDescent="0.3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34"/>
      <c r="O1241" s="4"/>
      <c r="P1241" s="68"/>
      <c r="Q1241" s="68" t="s">
        <v>616</v>
      </c>
      <c r="R1241" s="109" t="s">
        <v>730</v>
      </c>
      <c r="S1241" s="109" t="s">
        <v>310</v>
      </c>
      <c r="T1241" s="81">
        <v>0.14426879102199239</v>
      </c>
      <c r="U1241" s="82">
        <v>3.9549734503174339</v>
      </c>
      <c r="V1241" s="81">
        <v>1E-8</v>
      </c>
      <c r="W1241" s="81">
        <v>1E-8</v>
      </c>
      <c r="X1241" s="81">
        <v>1E-8</v>
      </c>
      <c r="Y1241" s="81">
        <v>1E-8</v>
      </c>
      <c r="Z1241" s="81">
        <v>1E-8</v>
      </c>
      <c r="AA1241" s="81">
        <v>1E-8</v>
      </c>
      <c r="AB1241" s="81">
        <v>1E-8</v>
      </c>
      <c r="AC1241" s="81">
        <v>1E-8</v>
      </c>
      <c r="AD1241" s="4"/>
    </row>
    <row r="1242" spans="1:30" x14ac:dyDescent="0.3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34"/>
      <c r="O1242" s="4"/>
      <c r="P1242" s="96"/>
      <c r="Q1242" s="96" t="s">
        <v>280</v>
      </c>
      <c r="R1242" s="107" t="s">
        <v>730</v>
      </c>
      <c r="S1242" s="107" t="s">
        <v>311</v>
      </c>
      <c r="T1242" s="97">
        <v>2.4359559647550943</v>
      </c>
      <c r="U1242" s="78">
        <v>0.19656511437424751</v>
      </c>
      <c r="V1242" s="97">
        <v>1E-8</v>
      </c>
      <c r="W1242" s="97">
        <v>1E-8</v>
      </c>
      <c r="X1242" s="97">
        <v>1E-8</v>
      </c>
      <c r="Y1242" s="97">
        <v>1E-8</v>
      </c>
      <c r="Z1242" s="97">
        <v>1E-8</v>
      </c>
      <c r="AA1242" s="97">
        <v>1E-8</v>
      </c>
      <c r="AB1242" s="97">
        <v>1E-8</v>
      </c>
      <c r="AC1242" s="97">
        <v>1E-8</v>
      </c>
      <c r="AD1242" s="4"/>
    </row>
    <row r="1243" spans="1:30" x14ac:dyDescent="0.3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34"/>
      <c r="O1243" s="4"/>
      <c r="P1243" s="68"/>
      <c r="Q1243" s="68" t="s">
        <v>617</v>
      </c>
      <c r="R1243" s="108" t="s">
        <v>730</v>
      </c>
      <c r="S1243" s="108" t="s">
        <v>312</v>
      </c>
      <c r="T1243" s="98">
        <v>0.68992036348573282</v>
      </c>
      <c r="U1243" s="80">
        <v>-0.91613792018861995</v>
      </c>
      <c r="V1243" s="98">
        <v>1E-8</v>
      </c>
      <c r="W1243" s="98">
        <v>1E-8</v>
      </c>
      <c r="X1243" s="98">
        <v>1E-8</v>
      </c>
      <c r="Y1243" s="98">
        <v>1E-8</v>
      </c>
      <c r="Z1243" s="98">
        <v>1E-8</v>
      </c>
      <c r="AA1243" s="98">
        <v>1E-8</v>
      </c>
      <c r="AB1243" s="98">
        <v>1E-8</v>
      </c>
      <c r="AC1243" s="98">
        <v>1E-8</v>
      </c>
      <c r="AD1243" s="4"/>
    </row>
    <row r="1244" spans="1:30" x14ac:dyDescent="0.3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34"/>
      <c r="O1244" s="4"/>
      <c r="P1244" s="68"/>
      <c r="Q1244" s="68" t="s">
        <v>618</v>
      </c>
      <c r="R1244" s="108" t="s">
        <v>730</v>
      </c>
      <c r="S1244" s="108" t="s">
        <v>316</v>
      </c>
      <c r="T1244" s="98">
        <v>0.41474907340460054</v>
      </c>
      <c r="U1244" s="80">
        <v>-2.9179154726349577</v>
      </c>
      <c r="V1244" s="98">
        <v>1E-8</v>
      </c>
      <c r="W1244" s="98">
        <v>1E-8</v>
      </c>
      <c r="X1244" s="98">
        <v>1E-8</v>
      </c>
      <c r="Y1244" s="98">
        <v>1E-8</v>
      </c>
      <c r="Z1244" s="98">
        <v>1E-8</v>
      </c>
      <c r="AA1244" s="98">
        <v>1E-8</v>
      </c>
      <c r="AB1244" s="98">
        <v>1E-8</v>
      </c>
      <c r="AC1244" s="98">
        <v>1E-8</v>
      </c>
      <c r="AD1244" s="4"/>
    </row>
    <row r="1245" spans="1:30" x14ac:dyDescent="0.3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34"/>
      <c r="O1245" s="4"/>
      <c r="P1245" s="68"/>
      <c r="Q1245" s="68" t="s">
        <v>619</v>
      </c>
      <c r="R1245" s="108" t="s">
        <v>730</v>
      </c>
      <c r="S1245" s="108" t="s">
        <v>314</v>
      </c>
      <c r="T1245" s="98">
        <v>0.21368180709750947</v>
      </c>
      <c r="U1245" s="80">
        <v>3.9984412746629117</v>
      </c>
      <c r="V1245" s="98">
        <v>1E-8</v>
      </c>
      <c r="W1245" s="98">
        <v>1E-8</v>
      </c>
      <c r="X1245" s="98">
        <v>1E-8</v>
      </c>
      <c r="Y1245" s="98">
        <v>1E-8</v>
      </c>
      <c r="Z1245" s="98">
        <v>1E-8</v>
      </c>
      <c r="AA1245" s="98">
        <v>1E-8</v>
      </c>
      <c r="AB1245" s="98">
        <v>1E-8</v>
      </c>
      <c r="AC1245" s="98">
        <v>1E-8</v>
      </c>
      <c r="AD1245" s="4"/>
    </row>
    <row r="1246" spans="1:30" x14ac:dyDescent="0.3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34"/>
      <c r="O1246" s="4"/>
      <c r="P1246" s="68"/>
      <c r="Q1246" s="68" t="s">
        <v>620</v>
      </c>
      <c r="R1246" s="108" t="s">
        <v>730</v>
      </c>
      <c r="S1246" s="108" t="s">
        <v>317</v>
      </c>
      <c r="T1246" s="98">
        <v>3.5055076350920027E-2</v>
      </c>
      <c r="U1246" s="80">
        <v>1.0939155454496419</v>
      </c>
      <c r="V1246" s="98">
        <v>1E-8</v>
      </c>
      <c r="W1246" s="98">
        <v>1E-8</v>
      </c>
      <c r="X1246" s="98">
        <v>1E-8</v>
      </c>
      <c r="Y1246" s="98">
        <v>1E-8</v>
      </c>
      <c r="Z1246" s="98">
        <v>1E-8</v>
      </c>
      <c r="AA1246" s="98">
        <v>1E-8</v>
      </c>
      <c r="AB1246" s="98">
        <v>1E-8</v>
      </c>
      <c r="AC1246" s="98">
        <v>1E-8</v>
      </c>
      <c r="AD1246" s="4"/>
    </row>
    <row r="1247" spans="1:30" x14ac:dyDescent="0.3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34"/>
      <c r="O1247" s="4"/>
      <c r="P1247" s="68"/>
      <c r="Q1247" s="68" t="s">
        <v>621</v>
      </c>
      <c r="R1247" s="108" t="s">
        <v>730</v>
      </c>
      <c r="S1247" s="108" t="s">
        <v>313</v>
      </c>
      <c r="T1247" s="98">
        <v>0.95062920047873922</v>
      </c>
      <c r="U1247" s="80">
        <v>0.99705444272282229</v>
      </c>
      <c r="V1247" s="98">
        <v>1E-8</v>
      </c>
      <c r="W1247" s="98">
        <v>1E-8</v>
      </c>
      <c r="X1247" s="98">
        <v>1E-8</v>
      </c>
      <c r="Y1247" s="98">
        <v>1E-8</v>
      </c>
      <c r="Z1247" s="98">
        <v>1E-8</v>
      </c>
      <c r="AA1247" s="98">
        <v>1E-8</v>
      </c>
      <c r="AB1247" s="98">
        <v>1E-8</v>
      </c>
      <c r="AC1247" s="98">
        <v>1E-8</v>
      </c>
      <c r="AD1247" s="4"/>
    </row>
    <row r="1248" spans="1:30" x14ac:dyDescent="0.3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34"/>
      <c r="O1248" s="4"/>
      <c r="P1248" s="68"/>
      <c r="Q1248" s="68" t="s">
        <v>622</v>
      </c>
      <c r="R1248" s="108" t="s">
        <v>730</v>
      </c>
      <c r="S1248" s="108" t="s">
        <v>315</v>
      </c>
      <c r="T1248" s="98">
        <v>9.1365906538107486E-2</v>
      </c>
      <c r="U1248" s="80">
        <v>2.2319008972314203</v>
      </c>
      <c r="V1248" s="98">
        <v>1E-8</v>
      </c>
      <c r="W1248" s="98">
        <v>1E-8</v>
      </c>
      <c r="X1248" s="98">
        <v>1E-8</v>
      </c>
      <c r="Y1248" s="98">
        <v>1E-8</v>
      </c>
      <c r="Z1248" s="98">
        <v>1E-8</v>
      </c>
      <c r="AA1248" s="98">
        <v>1E-8</v>
      </c>
      <c r="AB1248" s="98">
        <v>1E-8</v>
      </c>
      <c r="AC1248" s="98">
        <v>1E-8</v>
      </c>
      <c r="AD1248" s="4"/>
    </row>
    <row r="1249" spans="1:30" x14ac:dyDescent="0.3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34"/>
      <c r="O1249" s="4"/>
      <c r="P1249" s="68"/>
      <c r="Q1249" s="68" t="s">
        <v>623</v>
      </c>
      <c r="R1249" s="108" t="s">
        <v>730</v>
      </c>
      <c r="S1249" s="108" t="s">
        <v>540</v>
      </c>
      <c r="T1249" s="98">
        <v>8.4187286509720873E-3</v>
      </c>
      <c r="U1249" s="80">
        <v>2.5782726821504953</v>
      </c>
      <c r="V1249" s="98">
        <v>1E-8</v>
      </c>
      <c r="W1249" s="98">
        <v>1E-8</v>
      </c>
      <c r="X1249" s="98">
        <v>1E-8</v>
      </c>
      <c r="Y1249" s="98">
        <v>1E-8</v>
      </c>
      <c r="Z1249" s="98">
        <v>1E-8</v>
      </c>
      <c r="AA1249" s="98">
        <v>1E-8</v>
      </c>
      <c r="AB1249" s="98">
        <v>1E-8</v>
      </c>
      <c r="AC1249" s="98">
        <v>1E-8</v>
      </c>
      <c r="AD1249" s="4"/>
    </row>
    <row r="1250" spans="1:30" x14ac:dyDescent="0.3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34"/>
      <c r="O1250" s="4"/>
      <c r="P1250" s="68"/>
      <c r="Q1250" s="68" t="s">
        <v>624</v>
      </c>
      <c r="R1250" s="109" t="s">
        <v>730</v>
      </c>
      <c r="S1250" s="109" t="s">
        <v>541</v>
      </c>
      <c r="T1250" s="81">
        <v>3.213580874851233E-2</v>
      </c>
      <c r="U1250" s="82">
        <v>7.9317426101687571</v>
      </c>
      <c r="V1250" s="81">
        <v>1E-8</v>
      </c>
      <c r="W1250" s="81">
        <v>1E-8</v>
      </c>
      <c r="X1250" s="81">
        <v>1E-8</v>
      </c>
      <c r="Y1250" s="81">
        <v>1E-8</v>
      </c>
      <c r="Z1250" s="81">
        <v>1E-8</v>
      </c>
      <c r="AA1250" s="81">
        <v>1E-8</v>
      </c>
      <c r="AB1250" s="81">
        <v>1E-8</v>
      </c>
      <c r="AC1250" s="81">
        <v>1E-8</v>
      </c>
      <c r="AD1250" s="4"/>
    </row>
    <row r="1251" spans="1:30" x14ac:dyDescent="0.3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34"/>
      <c r="O1251" s="4"/>
      <c r="P1251" s="96"/>
      <c r="Q1251" s="96" t="s">
        <v>281</v>
      </c>
      <c r="R1251" s="107" t="s">
        <v>730</v>
      </c>
      <c r="S1251" s="107" t="s">
        <v>318</v>
      </c>
      <c r="T1251" s="97">
        <v>5.4776029575266314</v>
      </c>
      <c r="U1251" s="78">
        <v>0.77465541027763596</v>
      </c>
      <c r="V1251" s="97">
        <v>1E-8</v>
      </c>
      <c r="W1251" s="97">
        <v>1E-8</v>
      </c>
      <c r="X1251" s="97">
        <v>1E-8</v>
      </c>
      <c r="Y1251" s="97">
        <v>1E-8</v>
      </c>
      <c r="Z1251" s="97">
        <v>1E-8</v>
      </c>
      <c r="AA1251" s="97">
        <v>1E-8</v>
      </c>
      <c r="AB1251" s="97">
        <v>1E-8</v>
      </c>
      <c r="AC1251" s="97">
        <v>1E-8</v>
      </c>
      <c r="AD1251" s="4"/>
    </row>
    <row r="1252" spans="1:30" x14ac:dyDescent="0.3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34"/>
      <c r="O1252" s="4"/>
      <c r="P1252" s="96"/>
      <c r="Q1252" s="96" t="s">
        <v>135</v>
      </c>
      <c r="R1252" s="107" t="s">
        <v>730</v>
      </c>
      <c r="S1252" s="107" t="s">
        <v>542</v>
      </c>
      <c r="T1252" s="97">
        <v>5.4776029575266314</v>
      </c>
      <c r="U1252" s="78">
        <v>0.77465541027763596</v>
      </c>
      <c r="V1252" s="97">
        <v>1E-8</v>
      </c>
      <c r="W1252" s="97">
        <v>1E-8</v>
      </c>
      <c r="X1252" s="97">
        <v>1E-8</v>
      </c>
      <c r="Y1252" s="97">
        <v>1E-8</v>
      </c>
      <c r="Z1252" s="97">
        <v>1E-8</v>
      </c>
      <c r="AA1252" s="97">
        <v>1E-8</v>
      </c>
      <c r="AB1252" s="97">
        <v>1E-8</v>
      </c>
      <c r="AC1252" s="97">
        <v>1E-8</v>
      </c>
      <c r="AD1252" s="4"/>
    </row>
    <row r="1253" spans="1:30" x14ac:dyDescent="0.3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34"/>
      <c r="O1253" s="4"/>
      <c r="P1253" s="68"/>
      <c r="Q1253" s="68" t="s">
        <v>625</v>
      </c>
      <c r="R1253" s="108" t="s">
        <v>730</v>
      </c>
      <c r="S1253" s="108" t="s">
        <v>543</v>
      </c>
      <c r="T1253" s="98">
        <v>4.3971822605223654</v>
      </c>
      <c r="U1253" s="80">
        <v>0.92582346188707643</v>
      </c>
      <c r="V1253" s="98">
        <v>1E-8</v>
      </c>
      <c r="W1253" s="98">
        <v>1E-8</v>
      </c>
      <c r="X1253" s="98">
        <v>1E-8</v>
      </c>
      <c r="Y1253" s="98">
        <v>1E-8</v>
      </c>
      <c r="Z1253" s="98">
        <v>1E-8</v>
      </c>
      <c r="AA1253" s="98">
        <v>1E-8</v>
      </c>
      <c r="AB1253" s="98">
        <v>1E-8</v>
      </c>
      <c r="AC1253" s="98">
        <v>1E-8</v>
      </c>
      <c r="AD1253" s="4"/>
    </row>
    <row r="1254" spans="1:30" x14ac:dyDescent="0.3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34"/>
      <c r="O1254" s="4"/>
      <c r="P1254" s="68"/>
      <c r="Q1254" s="68" t="s">
        <v>626</v>
      </c>
      <c r="R1254" s="108" t="s">
        <v>730</v>
      </c>
      <c r="S1254" s="108" t="s">
        <v>544</v>
      </c>
      <c r="T1254" s="98">
        <v>0.83483571794648415</v>
      </c>
      <c r="U1254" s="80">
        <v>0.47695241561214186</v>
      </c>
      <c r="V1254" s="98">
        <v>1E-8</v>
      </c>
      <c r="W1254" s="98">
        <v>1E-8</v>
      </c>
      <c r="X1254" s="98">
        <v>1E-8</v>
      </c>
      <c r="Y1254" s="98">
        <v>1E-8</v>
      </c>
      <c r="Z1254" s="98">
        <v>1E-8</v>
      </c>
      <c r="AA1254" s="98">
        <v>1E-8</v>
      </c>
      <c r="AB1254" s="98">
        <v>1E-8</v>
      </c>
      <c r="AC1254" s="98">
        <v>1E-8</v>
      </c>
      <c r="AD1254" s="4"/>
    </row>
    <row r="1255" spans="1:30" x14ac:dyDescent="0.3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34"/>
      <c r="O1255" s="4"/>
      <c r="P1255" s="68"/>
      <c r="Q1255" s="68" t="s">
        <v>627</v>
      </c>
      <c r="R1255" s="108" t="s">
        <v>730</v>
      </c>
      <c r="S1255" s="108" t="s">
        <v>319</v>
      </c>
      <c r="T1255" s="98">
        <v>0.24558497905778168</v>
      </c>
      <c r="U1255" s="80">
        <v>-0.91999376250617715</v>
      </c>
      <c r="V1255" s="98">
        <v>1E-8</v>
      </c>
      <c r="W1255" s="98">
        <v>1E-8</v>
      </c>
      <c r="X1255" s="98">
        <v>1E-8</v>
      </c>
      <c r="Y1255" s="98">
        <v>1E-8</v>
      </c>
      <c r="Z1255" s="98">
        <v>1E-8</v>
      </c>
      <c r="AA1255" s="98">
        <v>1E-8</v>
      </c>
      <c r="AB1255" s="98">
        <v>1E-8</v>
      </c>
      <c r="AC1255" s="98">
        <v>1E-8</v>
      </c>
      <c r="AD1255" s="4"/>
    </row>
    <row r="1256" spans="1:30" x14ac:dyDescent="0.3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34"/>
      <c r="O1256" s="4"/>
      <c r="P1256" s="71"/>
      <c r="Q1256" s="71" t="s">
        <v>628</v>
      </c>
      <c r="R1256" s="110" t="s">
        <v>730</v>
      </c>
      <c r="S1256" s="110" t="s">
        <v>320</v>
      </c>
      <c r="T1256" s="83">
        <v>1E-8</v>
      </c>
      <c r="U1256" s="84">
        <v>1E-8</v>
      </c>
      <c r="V1256" s="83">
        <v>1E-8</v>
      </c>
      <c r="W1256" s="83">
        <v>1E-8</v>
      </c>
      <c r="X1256" s="83">
        <v>1E-8</v>
      </c>
      <c r="Y1256" s="83">
        <v>1E-8</v>
      </c>
      <c r="Z1256" s="83">
        <v>1E-8</v>
      </c>
      <c r="AA1256" s="83">
        <v>1E-8</v>
      </c>
      <c r="AB1256" s="83">
        <v>1E-8</v>
      </c>
      <c r="AC1256" s="83">
        <v>1E-8</v>
      </c>
      <c r="AD1256" s="4"/>
    </row>
    <row r="1257" spans="1:30" x14ac:dyDescent="0.3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34"/>
      <c r="O1257" s="4"/>
      <c r="P1257" s="99"/>
      <c r="Q1257" s="99" t="s">
        <v>282</v>
      </c>
      <c r="R1257" s="105" t="s">
        <v>730</v>
      </c>
      <c r="S1257" s="105" t="s">
        <v>321</v>
      </c>
      <c r="T1257" s="95">
        <v>82.507131499483748</v>
      </c>
      <c r="U1257" s="74">
        <v>-0.12721226910500372</v>
      </c>
      <c r="V1257" s="95">
        <v>1E-8</v>
      </c>
      <c r="W1257" s="95">
        <v>1E-8</v>
      </c>
      <c r="X1257" s="95">
        <v>1E-8</v>
      </c>
      <c r="Y1257" s="95">
        <v>1E-8</v>
      </c>
      <c r="Z1257" s="95">
        <v>1E-8</v>
      </c>
      <c r="AA1257" s="95">
        <v>1E-8</v>
      </c>
      <c r="AB1257" s="95">
        <v>1E-8</v>
      </c>
      <c r="AC1257" s="95">
        <v>1E-8</v>
      </c>
      <c r="AD1257" s="4"/>
    </row>
    <row r="1258" spans="1:30" x14ac:dyDescent="0.3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34"/>
      <c r="O1258" s="4"/>
      <c r="P1258" s="99"/>
      <c r="Q1258" s="99" t="s">
        <v>283</v>
      </c>
      <c r="R1258" s="105" t="s">
        <v>730</v>
      </c>
      <c r="S1258" s="105" t="s">
        <v>322</v>
      </c>
      <c r="T1258" s="95">
        <v>24.919690674796527</v>
      </c>
      <c r="U1258" s="74">
        <v>-0.67437525023499312</v>
      </c>
      <c r="V1258" s="95">
        <v>1E-8</v>
      </c>
      <c r="W1258" s="95">
        <v>1E-8</v>
      </c>
      <c r="X1258" s="95">
        <v>1E-8</v>
      </c>
      <c r="Y1258" s="95">
        <v>1E-8</v>
      </c>
      <c r="Z1258" s="95">
        <v>1E-8</v>
      </c>
      <c r="AA1258" s="95">
        <v>1E-8</v>
      </c>
      <c r="AB1258" s="95">
        <v>1E-8</v>
      </c>
      <c r="AC1258" s="95">
        <v>1E-8</v>
      </c>
      <c r="AD1258" s="4"/>
    </row>
    <row r="1259" spans="1:30" x14ac:dyDescent="0.3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34"/>
      <c r="O1259" s="4"/>
      <c r="P1259" s="96"/>
      <c r="Q1259" s="96" t="s">
        <v>284</v>
      </c>
      <c r="R1259" s="107" t="s">
        <v>730</v>
      </c>
      <c r="S1259" s="107" t="s">
        <v>323</v>
      </c>
      <c r="T1259" s="97">
        <v>0.10908960915169061</v>
      </c>
      <c r="U1259" s="78">
        <v>5.9471434045704763</v>
      </c>
      <c r="V1259" s="97">
        <v>1E-8</v>
      </c>
      <c r="W1259" s="97">
        <v>1E-8</v>
      </c>
      <c r="X1259" s="97">
        <v>1E-8</v>
      </c>
      <c r="Y1259" s="97">
        <v>1E-8</v>
      </c>
      <c r="Z1259" s="97">
        <v>1E-8</v>
      </c>
      <c r="AA1259" s="97">
        <v>1E-8</v>
      </c>
      <c r="AB1259" s="97">
        <v>1E-8</v>
      </c>
      <c r="AC1259" s="97">
        <v>1E-8</v>
      </c>
      <c r="AD1259" s="4"/>
    </row>
    <row r="1260" spans="1:30" x14ac:dyDescent="0.3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34"/>
      <c r="O1260" s="4"/>
      <c r="P1260" s="68"/>
      <c r="Q1260" s="68" t="s">
        <v>629</v>
      </c>
      <c r="R1260" s="108" t="s">
        <v>730</v>
      </c>
      <c r="S1260" s="108" t="s">
        <v>324</v>
      </c>
      <c r="T1260" s="98">
        <v>4.9202145847331493E-5</v>
      </c>
      <c r="U1260" s="80">
        <v>4.3128366009705044</v>
      </c>
      <c r="V1260" s="98">
        <v>1E-8</v>
      </c>
      <c r="W1260" s="98">
        <v>1E-8</v>
      </c>
      <c r="X1260" s="98">
        <v>1E-8</v>
      </c>
      <c r="Y1260" s="98">
        <v>1E-8</v>
      </c>
      <c r="Z1260" s="98">
        <v>1E-8</v>
      </c>
      <c r="AA1260" s="98">
        <v>1E-8</v>
      </c>
      <c r="AB1260" s="98">
        <v>1E-8</v>
      </c>
      <c r="AC1260" s="98">
        <v>1E-8</v>
      </c>
      <c r="AD1260" s="4"/>
    </row>
    <row r="1261" spans="1:30" x14ac:dyDescent="0.3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34"/>
      <c r="O1261" s="4"/>
      <c r="P1261" s="68"/>
      <c r="Q1261" s="68" t="s">
        <v>630</v>
      </c>
      <c r="R1261" s="108" t="s">
        <v>730</v>
      </c>
      <c r="S1261" s="108" t="s">
        <v>545</v>
      </c>
      <c r="T1261" s="98">
        <v>6.8689604054981854E-2</v>
      </c>
      <c r="U1261" s="80">
        <v>3.9339651418190735</v>
      </c>
      <c r="V1261" s="98">
        <v>1E-8</v>
      </c>
      <c r="W1261" s="98">
        <v>1E-8</v>
      </c>
      <c r="X1261" s="98">
        <v>1E-8</v>
      </c>
      <c r="Y1261" s="98">
        <v>1E-8</v>
      </c>
      <c r="Z1261" s="98">
        <v>1E-8</v>
      </c>
      <c r="AA1261" s="98">
        <v>1E-8</v>
      </c>
      <c r="AB1261" s="98">
        <v>1E-8</v>
      </c>
      <c r="AC1261" s="98">
        <v>1E-8</v>
      </c>
      <c r="AD1261" s="4"/>
    </row>
    <row r="1262" spans="1:30" x14ac:dyDescent="0.3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34"/>
      <c r="O1262" s="4"/>
      <c r="P1262" s="68"/>
      <c r="Q1262" s="68" t="s">
        <v>631</v>
      </c>
      <c r="R1262" s="109" t="s">
        <v>730</v>
      </c>
      <c r="S1262" s="109" t="s">
        <v>325</v>
      </c>
      <c r="T1262" s="81">
        <v>4.0350802950861429E-2</v>
      </c>
      <c r="U1262" s="82">
        <v>9.3761911320889411</v>
      </c>
      <c r="V1262" s="81">
        <v>1E-8</v>
      </c>
      <c r="W1262" s="81">
        <v>1E-8</v>
      </c>
      <c r="X1262" s="81">
        <v>1E-8</v>
      </c>
      <c r="Y1262" s="81">
        <v>1E-8</v>
      </c>
      <c r="Z1262" s="81">
        <v>1E-8</v>
      </c>
      <c r="AA1262" s="81">
        <v>1E-8</v>
      </c>
      <c r="AB1262" s="81">
        <v>1E-8</v>
      </c>
      <c r="AC1262" s="81">
        <v>1E-8</v>
      </c>
      <c r="AD1262" s="4"/>
    </row>
    <row r="1263" spans="1:30" x14ac:dyDescent="0.3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34"/>
      <c r="O1263" s="4"/>
      <c r="P1263" s="96"/>
      <c r="Q1263" s="96" t="s">
        <v>285</v>
      </c>
      <c r="R1263" s="107" t="s">
        <v>730</v>
      </c>
      <c r="S1263" s="107" t="s">
        <v>326</v>
      </c>
      <c r="T1263" s="97">
        <v>8.2927726562206558</v>
      </c>
      <c r="U1263" s="78">
        <v>4.4109678135064945</v>
      </c>
      <c r="V1263" s="97">
        <v>1E-8</v>
      </c>
      <c r="W1263" s="97">
        <v>1E-8</v>
      </c>
      <c r="X1263" s="97">
        <v>1E-8</v>
      </c>
      <c r="Y1263" s="97">
        <v>1E-8</v>
      </c>
      <c r="Z1263" s="97">
        <v>1E-8</v>
      </c>
      <c r="AA1263" s="97">
        <v>1E-8</v>
      </c>
      <c r="AB1263" s="97">
        <v>1E-8</v>
      </c>
      <c r="AC1263" s="97">
        <v>1E-8</v>
      </c>
      <c r="AD1263" s="4"/>
    </row>
    <row r="1264" spans="1:30" x14ac:dyDescent="0.3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34"/>
      <c r="O1264" s="4"/>
      <c r="P1264" s="68"/>
      <c r="Q1264" s="68" t="s">
        <v>364</v>
      </c>
      <c r="R1264" s="108" t="s">
        <v>730</v>
      </c>
      <c r="S1264" s="108" t="s">
        <v>327</v>
      </c>
      <c r="T1264" s="98">
        <v>1.7368124002761123</v>
      </c>
      <c r="U1264" s="80">
        <v>3.0796508802947598</v>
      </c>
      <c r="V1264" s="98">
        <v>1E-8</v>
      </c>
      <c r="W1264" s="98">
        <v>1E-8</v>
      </c>
      <c r="X1264" s="98">
        <v>1E-8</v>
      </c>
      <c r="Y1264" s="98">
        <v>1E-8</v>
      </c>
      <c r="Z1264" s="98">
        <v>1E-8</v>
      </c>
      <c r="AA1264" s="98">
        <v>1E-8</v>
      </c>
      <c r="AB1264" s="98">
        <v>1E-8</v>
      </c>
      <c r="AC1264" s="98">
        <v>1E-8</v>
      </c>
      <c r="AD1264" s="4"/>
    </row>
    <row r="1265" spans="1:30" x14ac:dyDescent="0.3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34"/>
      <c r="O1265" s="4"/>
      <c r="P1265" s="100"/>
      <c r="Q1265" s="100" t="s">
        <v>632</v>
      </c>
      <c r="R1265" s="111" t="s">
        <v>730</v>
      </c>
      <c r="S1265" s="111" t="s">
        <v>328</v>
      </c>
      <c r="T1265" s="101">
        <v>0.25835711293811098</v>
      </c>
      <c r="U1265" s="86">
        <v>1.1742923690926999</v>
      </c>
      <c r="V1265" s="101">
        <v>1E-8</v>
      </c>
      <c r="W1265" s="101">
        <v>1E-8</v>
      </c>
      <c r="X1265" s="101">
        <v>1E-8</v>
      </c>
      <c r="Y1265" s="101">
        <v>1E-8</v>
      </c>
      <c r="Z1265" s="101">
        <v>1E-8</v>
      </c>
      <c r="AA1265" s="101">
        <v>1E-8</v>
      </c>
      <c r="AB1265" s="101">
        <v>1E-8</v>
      </c>
      <c r="AC1265" s="101">
        <v>1E-8</v>
      </c>
      <c r="AD1265" s="4"/>
    </row>
    <row r="1266" spans="1:30" x14ac:dyDescent="0.3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34"/>
      <c r="O1266" s="4"/>
      <c r="P1266" s="100"/>
      <c r="Q1266" s="100" t="s">
        <v>633</v>
      </c>
      <c r="R1266" s="111" t="s">
        <v>730</v>
      </c>
      <c r="S1266" s="111" t="s">
        <v>329</v>
      </c>
      <c r="T1266" s="101">
        <v>1E-8</v>
      </c>
      <c r="U1266" s="86">
        <v>1E-8</v>
      </c>
      <c r="V1266" s="101">
        <v>1E-8</v>
      </c>
      <c r="W1266" s="101">
        <v>1E-8</v>
      </c>
      <c r="X1266" s="101">
        <v>1E-8</v>
      </c>
      <c r="Y1266" s="101">
        <v>1E-8</v>
      </c>
      <c r="Z1266" s="101">
        <v>1E-8</v>
      </c>
      <c r="AA1266" s="101">
        <v>1E-8</v>
      </c>
      <c r="AB1266" s="101">
        <v>1E-8</v>
      </c>
      <c r="AC1266" s="101">
        <v>1E-8</v>
      </c>
      <c r="AD1266" s="4"/>
    </row>
    <row r="1267" spans="1:30" x14ac:dyDescent="0.3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34"/>
      <c r="O1267" s="4"/>
      <c r="P1267" s="100"/>
      <c r="Q1267" s="100" t="s">
        <v>634</v>
      </c>
      <c r="R1267" s="111" t="s">
        <v>730</v>
      </c>
      <c r="S1267" s="111" t="s">
        <v>331</v>
      </c>
      <c r="T1267" s="101">
        <v>5.375139504559303E-2</v>
      </c>
      <c r="U1267" s="86">
        <v>2.7736442306566023</v>
      </c>
      <c r="V1267" s="101">
        <v>1E-8</v>
      </c>
      <c r="W1267" s="101">
        <v>1E-8</v>
      </c>
      <c r="X1267" s="101">
        <v>1E-8</v>
      </c>
      <c r="Y1267" s="101">
        <v>1E-8</v>
      </c>
      <c r="Z1267" s="101">
        <v>1E-8</v>
      </c>
      <c r="AA1267" s="101">
        <v>1E-8</v>
      </c>
      <c r="AB1267" s="101">
        <v>1E-8</v>
      </c>
      <c r="AC1267" s="101">
        <v>1E-8</v>
      </c>
      <c r="AD1267" s="4"/>
    </row>
    <row r="1268" spans="1:30" x14ac:dyDescent="0.3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34"/>
      <c r="O1268" s="4"/>
      <c r="P1268" s="100"/>
      <c r="Q1268" s="100" t="s">
        <v>635</v>
      </c>
      <c r="R1268" s="111" t="s">
        <v>730</v>
      </c>
      <c r="S1268" s="111" t="s">
        <v>332</v>
      </c>
      <c r="T1268" s="101">
        <v>6.1949168495178369E-2</v>
      </c>
      <c r="U1268" s="86">
        <v>11.152900731321381</v>
      </c>
      <c r="V1268" s="101">
        <v>1E-8</v>
      </c>
      <c r="W1268" s="101">
        <v>1E-8</v>
      </c>
      <c r="X1268" s="101">
        <v>1E-8</v>
      </c>
      <c r="Y1268" s="101">
        <v>1E-8</v>
      </c>
      <c r="Z1268" s="101">
        <v>1E-8</v>
      </c>
      <c r="AA1268" s="101">
        <v>1E-8</v>
      </c>
      <c r="AB1268" s="101">
        <v>1E-8</v>
      </c>
      <c r="AC1268" s="101">
        <v>1E-8</v>
      </c>
      <c r="AD1268" s="4"/>
    </row>
    <row r="1269" spans="1:30" x14ac:dyDescent="0.3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34"/>
      <c r="O1269" s="4"/>
      <c r="P1269" s="100"/>
      <c r="Q1269" s="100" t="s">
        <v>636</v>
      </c>
      <c r="R1269" s="111" t="s">
        <v>730</v>
      </c>
      <c r="S1269" s="111" t="s">
        <v>330</v>
      </c>
      <c r="T1269" s="101">
        <v>0.14081777750581859</v>
      </c>
      <c r="U1269" s="86">
        <v>2.5517666398876537</v>
      </c>
      <c r="V1269" s="101">
        <v>1E-8</v>
      </c>
      <c r="W1269" s="101">
        <v>1E-8</v>
      </c>
      <c r="X1269" s="101">
        <v>1E-8</v>
      </c>
      <c r="Y1269" s="101">
        <v>1E-8</v>
      </c>
      <c r="Z1269" s="101">
        <v>1E-8</v>
      </c>
      <c r="AA1269" s="101">
        <v>1E-8</v>
      </c>
      <c r="AB1269" s="101">
        <v>1E-8</v>
      </c>
      <c r="AC1269" s="101">
        <v>1E-8</v>
      </c>
      <c r="AD1269" s="4"/>
    </row>
    <row r="1270" spans="1:30" x14ac:dyDescent="0.3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34"/>
      <c r="O1270" s="4"/>
      <c r="P1270" s="100"/>
      <c r="Q1270" s="100" t="s">
        <v>637</v>
      </c>
      <c r="R1270" s="111" t="s">
        <v>730</v>
      </c>
      <c r="S1270" s="111" t="s">
        <v>333</v>
      </c>
      <c r="T1270" s="101">
        <v>0.62895413560717872</v>
      </c>
      <c r="U1270" s="86">
        <v>2.5149977345616747</v>
      </c>
      <c r="V1270" s="101">
        <v>1E-8</v>
      </c>
      <c r="W1270" s="101">
        <v>1E-8</v>
      </c>
      <c r="X1270" s="101">
        <v>1E-8</v>
      </c>
      <c r="Y1270" s="101">
        <v>1E-8</v>
      </c>
      <c r="Z1270" s="101">
        <v>1E-8</v>
      </c>
      <c r="AA1270" s="101">
        <v>1E-8</v>
      </c>
      <c r="AB1270" s="101">
        <v>1E-8</v>
      </c>
      <c r="AC1270" s="101">
        <v>1E-8</v>
      </c>
      <c r="AD1270" s="4"/>
    </row>
    <row r="1271" spans="1:30" x14ac:dyDescent="0.3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34"/>
      <c r="O1271" s="4"/>
      <c r="P1271" s="100"/>
      <c r="Q1271" s="100" t="s">
        <v>638</v>
      </c>
      <c r="R1271" s="111" t="s">
        <v>730</v>
      </c>
      <c r="S1271" s="111" t="s">
        <v>546</v>
      </c>
      <c r="T1271" s="101">
        <v>0.33650858691977759</v>
      </c>
      <c r="U1271" s="86">
        <v>0.65887701786706554</v>
      </c>
      <c r="V1271" s="101">
        <v>1E-8</v>
      </c>
      <c r="W1271" s="101">
        <v>1E-8</v>
      </c>
      <c r="X1271" s="101">
        <v>1E-8</v>
      </c>
      <c r="Y1271" s="101">
        <v>1E-8</v>
      </c>
      <c r="Z1271" s="101">
        <v>1E-8</v>
      </c>
      <c r="AA1271" s="101">
        <v>1E-8</v>
      </c>
      <c r="AB1271" s="101">
        <v>1E-8</v>
      </c>
      <c r="AC1271" s="101">
        <v>1E-8</v>
      </c>
      <c r="AD1271" s="4"/>
    </row>
    <row r="1272" spans="1:30" x14ac:dyDescent="0.3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34"/>
      <c r="O1272" s="4"/>
      <c r="P1272" s="100"/>
      <c r="Q1272" s="100" t="s">
        <v>639</v>
      </c>
      <c r="R1272" s="111" t="s">
        <v>730</v>
      </c>
      <c r="S1272" s="111" t="s">
        <v>335</v>
      </c>
      <c r="T1272" s="101">
        <v>4.1050568933641944E-2</v>
      </c>
      <c r="U1272" s="86">
        <v>-3.1456122317523816</v>
      </c>
      <c r="V1272" s="101">
        <v>1E-8</v>
      </c>
      <c r="W1272" s="101">
        <v>1E-8</v>
      </c>
      <c r="X1272" s="101">
        <v>1E-8</v>
      </c>
      <c r="Y1272" s="101">
        <v>1E-8</v>
      </c>
      <c r="Z1272" s="101">
        <v>1E-8</v>
      </c>
      <c r="AA1272" s="101">
        <v>1E-8</v>
      </c>
      <c r="AB1272" s="101">
        <v>1E-8</v>
      </c>
      <c r="AC1272" s="101">
        <v>1E-8</v>
      </c>
      <c r="AD1272" s="4"/>
    </row>
    <row r="1273" spans="1:30" x14ac:dyDescent="0.3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34"/>
      <c r="O1273" s="4"/>
      <c r="P1273" s="100"/>
      <c r="Q1273" s="100" t="s">
        <v>640</v>
      </c>
      <c r="R1273" s="111" t="s">
        <v>730</v>
      </c>
      <c r="S1273" s="111" t="s">
        <v>334</v>
      </c>
      <c r="T1273" s="101">
        <v>0.21542365483081302</v>
      </c>
      <c r="U1273" s="86">
        <v>10.080823964805985</v>
      </c>
      <c r="V1273" s="101">
        <v>1E-8</v>
      </c>
      <c r="W1273" s="101">
        <v>1E-8</v>
      </c>
      <c r="X1273" s="101">
        <v>1E-8</v>
      </c>
      <c r="Y1273" s="101">
        <v>1E-8</v>
      </c>
      <c r="Z1273" s="101">
        <v>1E-8</v>
      </c>
      <c r="AA1273" s="101">
        <v>1E-8</v>
      </c>
      <c r="AB1273" s="101">
        <v>1E-8</v>
      </c>
      <c r="AC1273" s="101">
        <v>1E-8</v>
      </c>
      <c r="AD1273" s="4"/>
    </row>
    <row r="1274" spans="1:30" x14ac:dyDescent="0.3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34"/>
      <c r="O1274" s="4"/>
      <c r="P1274" s="68"/>
      <c r="Q1274" s="68" t="s">
        <v>365</v>
      </c>
      <c r="R1274" s="108" t="s">
        <v>730</v>
      </c>
      <c r="S1274" s="108" t="s">
        <v>374</v>
      </c>
      <c r="T1274" s="98">
        <v>2.0264795918713241</v>
      </c>
      <c r="U1274" s="80">
        <v>-0.83342600331064443</v>
      </c>
      <c r="V1274" s="98">
        <v>1E-8</v>
      </c>
      <c r="W1274" s="98">
        <v>1E-8</v>
      </c>
      <c r="X1274" s="98">
        <v>1E-8</v>
      </c>
      <c r="Y1274" s="98">
        <v>1E-8</v>
      </c>
      <c r="Z1274" s="98">
        <v>1E-8</v>
      </c>
      <c r="AA1274" s="98">
        <v>1E-8</v>
      </c>
      <c r="AB1274" s="98">
        <v>1E-8</v>
      </c>
      <c r="AC1274" s="98">
        <v>1E-8</v>
      </c>
      <c r="AD1274" s="4"/>
    </row>
    <row r="1275" spans="1:30" x14ac:dyDescent="0.3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34"/>
      <c r="O1275" s="4"/>
      <c r="P1275" s="100"/>
      <c r="Q1275" s="100" t="s">
        <v>641</v>
      </c>
      <c r="R1275" s="111" t="s">
        <v>730</v>
      </c>
      <c r="S1275" s="111" t="s">
        <v>547</v>
      </c>
      <c r="T1275" s="101">
        <v>1.6893174595423295</v>
      </c>
      <c r="U1275" s="86">
        <v>-1.43806127407754</v>
      </c>
      <c r="V1275" s="101">
        <v>1E-8</v>
      </c>
      <c r="W1275" s="101">
        <v>1E-8</v>
      </c>
      <c r="X1275" s="101">
        <v>1E-8</v>
      </c>
      <c r="Y1275" s="101">
        <v>1E-8</v>
      </c>
      <c r="Z1275" s="101">
        <v>1E-8</v>
      </c>
      <c r="AA1275" s="101">
        <v>1E-8</v>
      </c>
      <c r="AB1275" s="101">
        <v>1E-8</v>
      </c>
      <c r="AC1275" s="101">
        <v>1E-8</v>
      </c>
      <c r="AD1275" s="4"/>
    </row>
    <row r="1276" spans="1:30" x14ac:dyDescent="0.3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34"/>
      <c r="O1276" s="4"/>
      <c r="P1276" s="100"/>
      <c r="Q1276" s="100" t="s">
        <v>642</v>
      </c>
      <c r="R1276" s="111" t="s">
        <v>730</v>
      </c>
      <c r="S1276" s="111" t="s">
        <v>336</v>
      </c>
      <c r="T1276" s="101">
        <v>0.33167085369728566</v>
      </c>
      <c r="U1276" s="86">
        <v>2.2492352631986012</v>
      </c>
      <c r="V1276" s="101">
        <v>1E-8</v>
      </c>
      <c r="W1276" s="101">
        <v>1E-8</v>
      </c>
      <c r="X1276" s="101">
        <v>1E-8</v>
      </c>
      <c r="Y1276" s="101">
        <v>1E-8</v>
      </c>
      <c r="Z1276" s="101">
        <v>1E-8</v>
      </c>
      <c r="AA1276" s="101">
        <v>1E-8</v>
      </c>
      <c r="AB1276" s="101">
        <v>1E-8</v>
      </c>
      <c r="AC1276" s="101">
        <v>1E-8</v>
      </c>
      <c r="AD1276" s="4"/>
    </row>
    <row r="1277" spans="1:30" x14ac:dyDescent="0.3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34"/>
      <c r="O1277" s="4"/>
      <c r="P1277" s="100"/>
      <c r="Q1277" s="100" t="s">
        <v>643</v>
      </c>
      <c r="R1277" s="112" t="s">
        <v>730</v>
      </c>
      <c r="S1277" s="112" t="s">
        <v>337</v>
      </c>
      <c r="T1277" s="87">
        <v>5.4912786317088437E-3</v>
      </c>
      <c r="U1277" s="88">
        <v>-1.0169851392888174</v>
      </c>
      <c r="V1277" s="87">
        <v>1E-8</v>
      </c>
      <c r="W1277" s="87">
        <v>1E-8</v>
      </c>
      <c r="X1277" s="87">
        <v>1E-8</v>
      </c>
      <c r="Y1277" s="87">
        <v>1E-8</v>
      </c>
      <c r="Z1277" s="87">
        <v>1E-8</v>
      </c>
      <c r="AA1277" s="87">
        <v>1E-8</v>
      </c>
      <c r="AB1277" s="87">
        <v>1E-8</v>
      </c>
      <c r="AC1277" s="87">
        <v>1E-8</v>
      </c>
      <c r="AD1277" s="4"/>
    </row>
    <row r="1278" spans="1:30" x14ac:dyDescent="0.3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34"/>
      <c r="O1278" s="4"/>
      <c r="P1278" s="68"/>
      <c r="Q1278" s="68" t="s">
        <v>644</v>
      </c>
      <c r="R1278" s="108" t="s">
        <v>730</v>
      </c>
      <c r="S1278" s="108" t="s">
        <v>338</v>
      </c>
      <c r="T1278" s="98">
        <v>1.8095061836243451</v>
      </c>
      <c r="U1278" s="80">
        <v>4.5162244122271655</v>
      </c>
      <c r="V1278" s="98">
        <v>1E-8</v>
      </c>
      <c r="W1278" s="98">
        <v>1E-8</v>
      </c>
      <c r="X1278" s="98">
        <v>1E-8</v>
      </c>
      <c r="Y1278" s="98">
        <v>1E-8</v>
      </c>
      <c r="Z1278" s="98">
        <v>1E-8</v>
      </c>
      <c r="AA1278" s="98">
        <v>1E-8</v>
      </c>
      <c r="AB1278" s="98">
        <v>1E-8</v>
      </c>
      <c r="AC1278" s="98">
        <v>1E-8</v>
      </c>
      <c r="AD1278" s="4"/>
    </row>
    <row r="1279" spans="1:30" x14ac:dyDescent="0.3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34"/>
      <c r="O1279" s="4"/>
      <c r="P1279" s="68"/>
      <c r="Q1279" s="68" t="s">
        <v>366</v>
      </c>
      <c r="R1279" s="108" t="s">
        <v>730</v>
      </c>
      <c r="S1279" s="108" t="s">
        <v>339</v>
      </c>
      <c r="T1279" s="98">
        <v>0.26409784647111112</v>
      </c>
      <c r="U1279" s="80">
        <v>6.5717485286946209</v>
      </c>
      <c r="V1279" s="98">
        <v>1E-8</v>
      </c>
      <c r="W1279" s="98">
        <v>1E-8</v>
      </c>
      <c r="X1279" s="98">
        <v>1E-8</v>
      </c>
      <c r="Y1279" s="98">
        <v>1E-8</v>
      </c>
      <c r="Z1279" s="98">
        <v>1E-8</v>
      </c>
      <c r="AA1279" s="98">
        <v>1E-8</v>
      </c>
      <c r="AB1279" s="98">
        <v>1E-8</v>
      </c>
      <c r="AC1279" s="98">
        <v>1E-8</v>
      </c>
      <c r="AD1279" s="4"/>
    </row>
    <row r="1280" spans="1:30" x14ac:dyDescent="0.3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34"/>
      <c r="O1280" s="4"/>
      <c r="P1280" s="100"/>
      <c r="Q1280" s="100" t="s">
        <v>645</v>
      </c>
      <c r="R1280" s="111" t="s">
        <v>730</v>
      </c>
      <c r="S1280" s="111" t="s">
        <v>340</v>
      </c>
      <c r="T1280" s="101">
        <v>9.5551304878967971E-2</v>
      </c>
      <c r="U1280" s="86">
        <v>7.8907634782028557</v>
      </c>
      <c r="V1280" s="101">
        <v>1E-8</v>
      </c>
      <c r="W1280" s="101">
        <v>1E-8</v>
      </c>
      <c r="X1280" s="101">
        <v>1E-8</v>
      </c>
      <c r="Y1280" s="101">
        <v>1E-8</v>
      </c>
      <c r="Z1280" s="101">
        <v>1E-8</v>
      </c>
      <c r="AA1280" s="101">
        <v>1E-8</v>
      </c>
      <c r="AB1280" s="101">
        <v>1E-8</v>
      </c>
      <c r="AC1280" s="101">
        <v>1E-8</v>
      </c>
      <c r="AD1280" s="4"/>
    </row>
    <row r="1281" spans="1:30" x14ac:dyDescent="0.3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34"/>
      <c r="O1281" s="4"/>
      <c r="P1281" s="100"/>
      <c r="Q1281" s="100" t="s">
        <v>646</v>
      </c>
      <c r="R1281" s="111" t="s">
        <v>730</v>
      </c>
      <c r="S1281" s="111" t="s">
        <v>548</v>
      </c>
      <c r="T1281" s="101">
        <v>0.16854654159214319</v>
      </c>
      <c r="U1281" s="86">
        <v>5.8239811856816814</v>
      </c>
      <c r="V1281" s="101">
        <v>1E-8</v>
      </c>
      <c r="W1281" s="101">
        <v>1E-8</v>
      </c>
      <c r="X1281" s="101">
        <v>1E-8</v>
      </c>
      <c r="Y1281" s="101">
        <v>1E-8</v>
      </c>
      <c r="Z1281" s="101">
        <v>1E-8</v>
      </c>
      <c r="AA1281" s="101">
        <v>1E-8</v>
      </c>
      <c r="AB1281" s="101">
        <v>1E-8</v>
      </c>
      <c r="AC1281" s="101">
        <v>1E-8</v>
      </c>
      <c r="AD1281" s="4"/>
    </row>
    <row r="1282" spans="1:30" x14ac:dyDescent="0.3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34"/>
      <c r="O1282" s="4"/>
      <c r="P1282" s="68"/>
      <c r="Q1282" s="68" t="s">
        <v>367</v>
      </c>
      <c r="R1282" s="108" t="s">
        <v>730</v>
      </c>
      <c r="S1282" s="108" t="s">
        <v>341</v>
      </c>
      <c r="T1282" s="98">
        <v>0.17133571923534222</v>
      </c>
      <c r="U1282" s="80">
        <v>36.295858312853532</v>
      </c>
      <c r="V1282" s="98">
        <v>1E-8</v>
      </c>
      <c r="W1282" s="98">
        <v>1E-8</v>
      </c>
      <c r="X1282" s="98">
        <v>1E-8</v>
      </c>
      <c r="Y1282" s="98">
        <v>1E-8</v>
      </c>
      <c r="Z1282" s="98">
        <v>1E-8</v>
      </c>
      <c r="AA1282" s="98">
        <v>1E-8</v>
      </c>
      <c r="AB1282" s="98">
        <v>1E-8</v>
      </c>
      <c r="AC1282" s="98">
        <v>1E-8</v>
      </c>
      <c r="AD1282" s="4"/>
    </row>
    <row r="1283" spans="1:30" x14ac:dyDescent="0.3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34"/>
      <c r="O1283" s="4"/>
      <c r="P1283" s="100"/>
      <c r="Q1283" s="100" t="s">
        <v>647</v>
      </c>
      <c r="R1283" s="111" t="s">
        <v>730</v>
      </c>
      <c r="S1283" s="111" t="s">
        <v>342</v>
      </c>
      <c r="T1283" s="101">
        <v>1.1003710703830123E-3</v>
      </c>
      <c r="U1283" s="86">
        <v>6.7868673035001326</v>
      </c>
      <c r="V1283" s="101">
        <v>1E-8</v>
      </c>
      <c r="W1283" s="101">
        <v>1E-8</v>
      </c>
      <c r="X1283" s="101">
        <v>1E-8</v>
      </c>
      <c r="Y1283" s="101">
        <v>1E-8</v>
      </c>
      <c r="Z1283" s="101">
        <v>1E-8</v>
      </c>
      <c r="AA1283" s="101">
        <v>1E-8</v>
      </c>
      <c r="AB1283" s="101">
        <v>1E-8</v>
      </c>
      <c r="AC1283" s="101">
        <v>1E-8</v>
      </c>
      <c r="AD1283" s="4"/>
    </row>
    <row r="1284" spans="1:30" x14ac:dyDescent="0.3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34"/>
      <c r="O1284" s="4"/>
      <c r="P1284" s="100"/>
      <c r="Q1284" s="100" t="s">
        <v>648</v>
      </c>
      <c r="R1284" s="111" t="s">
        <v>730</v>
      </c>
      <c r="S1284" s="111" t="s">
        <v>343</v>
      </c>
      <c r="T1284" s="101">
        <v>0.12426959669416783</v>
      </c>
      <c r="U1284" s="86">
        <v>46.814842540336386</v>
      </c>
      <c r="V1284" s="101">
        <v>1E-8</v>
      </c>
      <c r="W1284" s="101">
        <v>1E-8</v>
      </c>
      <c r="X1284" s="101">
        <v>1E-8</v>
      </c>
      <c r="Y1284" s="101">
        <v>1E-8</v>
      </c>
      <c r="Z1284" s="101">
        <v>1E-8</v>
      </c>
      <c r="AA1284" s="101">
        <v>1E-8</v>
      </c>
      <c r="AB1284" s="101">
        <v>1E-8</v>
      </c>
      <c r="AC1284" s="101">
        <v>1E-8</v>
      </c>
      <c r="AD1284" s="4"/>
    </row>
    <row r="1285" spans="1:30" x14ac:dyDescent="0.3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34"/>
      <c r="O1285" s="4"/>
      <c r="P1285" s="100"/>
      <c r="Q1285" s="100" t="s">
        <v>649</v>
      </c>
      <c r="R1285" s="111" t="s">
        <v>730</v>
      </c>
      <c r="S1285" s="111" t="s">
        <v>549</v>
      </c>
      <c r="T1285" s="101">
        <v>2.7870482249374402E-2</v>
      </c>
      <c r="U1285" s="86">
        <v>6.5539332899552605</v>
      </c>
      <c r="V1285" s="101">
        <v>1E-8</v>
      </c>
      <c r="W1285" s="101">
        <v>1E-8</v>
      </c>
      <c r="X1285" s="101">
        <v>1E-8</v>
      </c>
      <c r="Y1285" s="101">
        <v>1E-8</v>
      </c>
      <c r="Z1285" s="101">
        <v>1E-8</v>
      </c>
      <c r="AA1285" s="101">
        <v>1E-8</v>
      </c>
      <c r="AB1285" s="101">
        <v>1E-8</v>
      </c>
      <c r="AC1285" s="101">
        <v>1E-8</v>
      </c>
      <c r="AD1285" s="4"/>
    </row>
    <row r="1286" spans="1:30" x14ac:dyDescent="0.3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34"/>
      <c r="O1286" s="4"/>
      <c r="P1286" s="100"/>
      <c r="Q1286" s="100" t="s">
        <v>650</v>
      </c>
      <c r="R1286" s="111" t="s">
        <v>730</v>
      </c>
      <c r="S1286" s="111" t="s">
        <v>550</v>
      </c>
      <c r="T1286" s="101">
        <v>1.8095269221416986E-2</v>
      </c>
      <c r="U1286" s="86">
        <v>11.659734434786341</v>
      </c>
      <c r="V1286" s="101">
        <v>1E-8</v>
      </c>
      <c r="W1286" s="101">
        <v>1E-8</v>
      </c>
      <c r="X1286" s="101">
        <v>1E-8</v>
      </c>
      <c r="Y1286" s="101">
        <v>1E-8</v>
      </c>
      <c r="Z1286" s="101">
        <v>1E-8</v>
      </c>
      <c r="AA1286" s="101">
        <v>1E-8</v>
      </c>
      <c r="AB1286" s="101">
        <v>1E-8</v>
      </c>
      <c r="AC1286" s="101">
        <v>1E-8</v>
      </c>
      <c r="AD1286" s="4"/>
    </row>
    <row r="1287" spans="1:30" x14ac:dyDescent="0.3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34"/>
      <c r="O1287" s="4"/>
      <c r="P1287" s="68"/>
      <c r="Q1287" s="68" t="s">
        <v>172</v>
      </c>
      <c r="R1287" s="108" t="s">
        <v>730</v>
      </c>
      <c r="S1287" s="108" t="s">
        <v>551</v>
      </c>
      <c r="T1287" s="98">
        <v>1.0889149428918783E-2</v>
      </c>
      <c r="U1287" s="80">
        <v>-1.5790367517819037</v>
      </c>
      <c r="V1287" s="98">
        <v>1E-8</v>
      </c>
      <c r="W1287" s="98">
        <v>1E-8</v>
      </c>
      <c r="X1287" s="98">
        <v>1E-8</v>
      </c>
      <c r="Y1287" s="98">
        <v>1E-8</v>
      </c>
      <c r="Z1287" s="98">
        <v>1E-8</v>
      </c>
      <c r="AA1287" s="98">
        <v>1E-8</v>
      </c>
      <c r="AB1287" s="98">
        <v>1E-8</v>
      </c>
      <c r="AC1287" s="98">
        <v>1E-8</v>
      </c>
      <c r="AD1287" s="4"/>
    </row>
    <row r="1288" spans="1:30" x14ac:dyDescent="0.3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34"/>
      <c r="O1288" s="4"/>
      <c r="P1288" s="100"/>
      <c r="Q1288" s="100" t="s">
        <v>651</v>
      </c>
      <c r="R1288" s="111" t="s">
        <v>730</v>
      </c>
      <c r="S1288" s="111" t="s">
        <v>344</v>
      </c>
      <c r="T1288" s="101">
        <v>7.1476850001553338E-4</v>
      </c>
      <c r="U1288" s="86">
        <v>13.547476061024177</v>
      </c>
      <c r="V1288" s="101">
        <v>1E-8</v>
      </c>
      <c r="W1288" s="101">
        <v>1E-8</v>
      </c>
      <c r="X1288" s="101">
        <v>1E-8</v>
      </c>
      <c r="Y1288" s="101">
        <v>1E-8</v>
      </c>
      <c r="Z1288" s="101">
        <v>1E-8</v>
      </c>
      <c r="AA1288" s="101">
        <v>1E-8</v>
      </c>
      <c r="AB1288" s="101">
        <v>1E-8</v>
      </c>
      <c r="AC1288" s="101">
        <v>1E-8</v>
      </c>
      <c r="AD1288" s="4"/>
    </row>
    <row r="1289" spans="1:30" x14ac:dyDescent="0.3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34"/>
      <c r="O1289" s="4"/>
      <c r="P1289" s="100"/>
      <c r="Q1289" s="100" t="s">
        <v>652</v>
      </c>
      <c r="R1289" s="111" t="s">
        <v>730</v>
      </c>
      <c r="S1289" s="111" t="s">
        <v>552</v>
      </c>
      <c r="T1289" s="101">
        <v>6.5683585181897869E-3</v>
      </c>
      <c r="U1289" s="86">
        <v>4.7749209718209729</v>
      </c>
      <c r="V1289" s="101">
        <v>1E-8</v>
      </c>
      <c r="W1289" s="101">
        <v>1E-8</v>
      </c>
      <c r="X1289" s="101">
        <v>1E-8</v>
      </c>
      <c r="Y1289" s="101">
        <v>1E-8</v>
      </c>
      <c r="Z1289" s="101">
        <v>1E-8</v>
      </c>
      <c r="AA1289" s="101">
        <v>1E-8</v>
      </c>
      <c r="AB1289" s="101">
        <v>1E-8</v>
      </c>
      <c r="AC1289" s="101">
        <v>1E-8</v>
      </c>
      <c r="AD1289" s="4"/>
    </row>
    <row r="1290" spans="1:30" x14ac:dyDescent="0.3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34"/>
      <c r="O1290" s="4"/>
      <c r="P1290" s="100"/>
      <c r="Q1290" s="100" t="s">
        <v>653</v>
      </c>
      <c r="R1290" s="111" t="s">
        <v>730</v>
      </c>
      <c r="S1290" s="111" t="s">
        <v>553</v>
      </c>
      <c r="T1290" s="101">
        <v>3.6060224107134615E-3</v>
      </c>
      <c r="U1290" s="86">
        <v>-16.151055787382806</v>
      </c>
      <c r="V1290" s="101">
        <v>1E-8</v>
      </c>
      <c r="W1290" s="101">
        <v>1E-8</v>
      </c>
      <c r="X1290" s="101">
        <v>1E-8</v>
      </c>
      <c r="Y1290" s="101">
        <v>1E-8</v>
      </c>
      <c r="Z1290" s="101">
        <v>1E-8</v>
      </c>
      <c r="AA1290" s="101">
        <v>1E-8</v>
      </c>
      <c r="AB1290" s="101">
        <v>1E-8</v>
      </c>
      <c r="AC1290" s="101">
        <v>1E-8</v>
      </c>
      <c r="AD1290" s="4"/>
    </row>
    <row r="1291" spans="1:30" x14ac:dyDescent="0.3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34"/>
      <c r="O1291" s="4"/>
      <c r="P1291" s="68"/>
      <c r="Q1291" s="68" t="s">
        <v>368</v>
      </c>
      <c r="R1291" s="108" t="s">
        <v>730</v>
      </c>
      <c r="S1291" s="108" t="s">
        <v>345</v>
      </c>
      <c r="T1291" s="98">
        <v>0.64951918207612347</v>
      </c>
      <c r="U1291" s="80">
        <v>10.027015127992666</v>
      </c>
      <c r="V1291" s="98">
        <v>1E-8</v>
      </c>
      <c r="W1291" s="98">
        <v>1E-8</v>
      </c>
      <c r="X1291" s="98">
        <v>1E-8</v>
      </c>
      <c r="Y1291" s="98">
        <v>1E-8</v>
      </c>
      <c r="Z1291" s="98">
        <v>1E-8</v>
      </c>
      <c r="AA1291" s="98">
        <v>1E-8</v>
      </c>
      <c r="AB1291" s="98">
        <v>1E-8</v>
      </c>
      <c r="AC1291" s="98">
        <v>1E-8</v>
      </c>
      <c r="AD1291" s="4"/>
    </row>
    <row r="1292" spans="1:30" x14ac:dyDescent="0.3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34"/>
      <c r="O1292" s="4"/>
      <c r="P1292" s="100"/>
      <c r="Q1292" s="100" t="s">
        <v>654</v>
      </c>
      <c r="R1292" s="111" t="s">
        <v>730</v>
      </c>
      <c r="S1292" s="111" t="s">
        <v>346</v>
      </c>
      <c r="T1292" s="101">
        <v>0.36213133146195187</v>
      </c>
      <c r="U1292" s="86">
        <v>15.160388002557056</v>
      </c>
      <c r="V1292" s="101">
        <v>1E-8</v>
      </c>
      <c r="W1292" s="101">
        <v>1E-8</v>
      </c>
      <c r="X1292" s="101">
        <v>1E-8</v>
      </c>
      <c r="Y1292" s="101">
        <v>1E-8</v>
      </c>
      <c r="Z1292" s="101">
        <v>1E-8</v>
      </c>
      <c r="AA1292" s="101">
        <v>1E-8</v>
      </c>
      <c r="AB1292" s="101">
        <v>1E-8</v>
      </c>
      <c r="AC1292" s="101">
        <v>1E-8</v>
      </c>
      <c r="AD1292" s="4"/>
    </row>
    <row r="1293" spans="1:30" x14ac:dyDescent="0.3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34"/>
      <c r="O1293" s="4"/>
      <c r="P1293" s="100"/>
      <c r="Q1293" s="100" t="s">
        <v>655</v>
      </c>
      <c r="R1293" s="111" t="s">
        <v>730</v>
      </c>
      <c r="S1293" s="111" t="s">
        <v>347</v>
      </c>
      <c r="T1293" s="101">
        <v>0.18854029440016637</v>
      </c>
      <c r="U1293" s="86">
        <v>0.20912671966055729</v>
      </c>
      <c r="V1293" s="101">
        <v>1E-8</v>
      </c>
      <c r="W1293" s="101">
        <v>1E-8</v>
      </c>
      <c r="X1293" s="101">
        <v>1E-8</v>
      </c>
      <c r="Y1293" s="101">
        <v>1E-8</v>
      </c>
      <c r="Z1293" s="101">
        <v>1E-8</v>
      </c>
      <c r="AA1293" s="101">
        <v>1E-8</v>
      </c>
      <c r="AB1293" s="101">
        <v>1E-8</v>
      </c>
      <c r="AC1293" s="101">
        <v>1E-8</v>
      </c>
      <c r="AD1293" s="4"/>
    </row>
    <row r="1294" spans="1:30" x14ac:dyDescent="0.3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34"/>
      <c r="O1294" s="4"/>
      <c r="P1294" s="100"/>
      <c r="Q1294" s="100" t="s">
        <v>656</v>
      </c>
      <c r="R1294" s="111" t="s">
        <v>730</v>
      </c>
      <c r="S1294" s="111" t="s">
        <v>348</v>
      </c>
      <c r="T1294" s="101">
        <v>9.8847556214005233E-2</v>
      </c>
      <c r="U1294" s="86">
        <v>9.947219699922849</v>
      </c>
      <c r="V1294" s="101">
        <v>1E-8</v>
      </c>
      <c r="W1294" s="101">
        <v>1E-8</v>
      </c>
      <c r="X1294" s="101">
        <v>1E-8</v>
      </c>
      <c r="Y1294" s="101">
        <v>1E-8</v>
      </c>
      <c r="Z1294" s="101">
        <v>1E-8</v>
      </c>
      <c r="AA1294" s="101">
        <v>1E-8</v>
      </c>
      <c r="AB1294" s="101">
        <v>1E-8</v>
      </c>
      <c r="AC1294" s="101">
        <v>1E-8</v>
      </c>
      <c r="AD1294" s="4"/>
    </row>
    <row r="1295" spans="1:30" x14ac:dyDescent="0.3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34"/>
      <c r="O1295" s="4"/>
      <c r="P1295" s="68"/>
      <c r="Q1295" s="68" t="s">
        <v>181</v>
      </c>
      <c r="R1295" s="108" t="s">
        <v>730</v>
      </c>
      <c r="S1295" s="108" t="s">
        <v>554</v>
      </c>
      <c r="T1295" s="98">
        <v>1.6241325832373774</v>
      </c>
      <c r="U1295" s="80">
        <v>6.3401574513870074</v>
      </c>
      <c r="V1295" s="98">
        <v>1E-8</v>
      </c>
      <c r="W1295" s="98">
        <v>1E-8</v>
      </c>
      <c r="X1295" s="98">
        <v>1E-8</v>
      </c>
      <c r="Y1295" s="98">
        <v>1E-8</v>
      </c>
      <c r="Z1295" s="98">
        <v>1E-8</v>
      </c>
      <c r="AA1295" s="98">
        <v>1E-8</v>
      </c>
      <c r="AB1295" s="98">
        <v>1E-8</v>
      </c>
      <c r="AC1295" s="98">
        <v>1E-8</v>
      </c>
      <c r="AD1295" s="4"/>
    </row>
    <row r="1296" spans="1:30" x14ac:dyDescent="0.3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34"/>
      <c r="O1296" s="4"/>
      <c r="P1296" s="100"/>
      <c r="Q1296" s="100" t="s">
        <v>657</v>
      </c>
      <c r="R1296" s="111" t="s">
        <v>730</v>
      </c>
      <c r="S1296" s="111" t="s">
        <v>555</v>
      </c>
      <c r="T1296" s="101">
        <v>0.500273889812895</v>
      </c>
      <c r="U1296" s="86">
        <v>5.8446664465015674</v>
      </c>
      <c r="V1296" s="101">
        <v>1E-8</v>
      </c>
      <c r="W1296" s="101">
        <v>1E-8</v>
      </c>
      <c r="X1296" s="101">
        <v>1E-8</v>
      </c>
      <c r="Y1296" s="101">
        <v>1E-8</v>
      </c>
      <c r="Z1296" s="101">
        <v>1E-8</v>
      </c>
      <c r="AA1296" s="101">
        <v>1E-8</v>
      </c>
      <c r="AB1296" s="101">
        <v>1E-8</v>
      </c>
      <c r="AC1296" s="101">
        <v>1E-8</v>
      </c>
      <c r="AD1296" s="4"/>
    </row>
    <row r="1297" spans="1:30" x14ac:dyDescent="0.3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34"/>
      <c r="O1297" s="4"/>
      <c r="P1297" s="100"/>
      <c r="Q1297" s="100" t="s">
        <v>658</v>
      </c>
      <c r="R1297" s="111" t="s">
        <v>730</v>
      </c>
      <c r="S1297" s="111" t="s">
        <v>349</v>
      </c>
      <c r="T1297" s="101">
        <v>1.1161686570385356</v>
      </c>
      <c r="U1297" s="86">
        <v>6.6305290621242685</v>
      </c>
      <c r="V1297" s="101">
        <v>1E-8</v>
      </c>
      <c r="W1297" s="101">
        <v>1E-8</v>
      </c>
      <c r="X1297" s="101">
        <v>1E-8</v>
      </c>
      <c r="Y1297" s="101">
        <v>1E-8</v>
      </c>
      <c r="Z1297" s="101">
        <v>1E-8</v>
      </c>
      <c r="AA1297" s="101">
        <v>1E-8</v>
      </c>
      <c r="AB1297" s="101">
        <v>1E-8</v>
      </c>
      <c r="AC1297" s="101">
        <v>1E-8</v>
      </c>
      <c r="AD1297" s="4"/>
    </row>
    <row r="1298" spans="1:30" x14ac:dyDescent="0.3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34"/>
      <c r="O1298" s="4"/>
      <c r="P1298" s="100"/>
      <c r="Q1298" s="100" t="s">
        <v>659</v>
      </c>
      <c r="R1298" s="112" t="s">
        <v>730</v>
      </c>
      <c r="S1298" s="112" t="s">
        <v>556</v>
      </c>
      <c r="T1298" s="87">
        <v>7.6900363859470538E-3</v>
      </c>
      <c r="U1298" s="88">
        <v>-3.5716914127711052</v>
      </c>
      <c r="V1298" s="87">
        <v>1E-8</v>
      </c>
      <c r="W1298" s="87">
        <v>1E-8</v>
      </c>
      <c r="X1298" s="87">
        <v>1E-8</v>
      </c>
      <c r="Y1298" s="87">
        <v>1E-8</v>
      </c>
      <c r="Z1298" s="87">
        <v>1E-8</v>
      </c>
      <c r="AA1298" s="87">
        <v>1E-8</v>
      </c>
      <c r="AB1298" s="87">
        <v>1E-8</v>
      </c>
      <c r="AC1298" s="87">
        <v>1E-8</v>
      </c>
      <c r="AD1298" s="4"/>
    </row>
    <row r="1299" spans="1:30" x14ac:dyDescent="0.3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34"/>
      <c r="O1299" s="4"/>
      <c r="P1299" s="96"/>
      <c r="Q1299" s="96" t="s">
        <v>286</v>
      </c>
      <c r="R1299" s="107" t="s">
        <v>730</v>
      </c>
      <c r="S1299" s="107" t="s">
        <v>350</v>
      </c>
      <c r="T1299" s="97">
        <v>16.51782840942418</v>
      </c>
      <c r="U1299" s="78">
        <v>-3.2712016444398806</v>
      </c>
      <c r="V1299" s="97">
        <v>1E-8</v>
      </c>
      <c r="W1299" s="97">
        <v>1E-8</v>
      </c>
      <c r="X1299" s="97">
        <v>1E-8</v>
      </c>
      <c r="Y1299" s="97">
        <v>1E-8</v>
      </c>
      <c r="Z1299" s="97">
        <v>1E-8</v>
      </c>
      <c r="AA1299" s="97">
        <v>1E-8</v>
      </c>
      <c r="AB1299" s="97">
        <v>1E-8</v>
      </c>
      <c r="AC1299" s="97">
        <v>1E-8</v>
      </c>
      <c r="AD1299" s="4"/>
    </row>
    <row r="1300" spans="1:30" x14ac:dyDescent="0.3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34"/>
      <c r="O1300" s="4"/>
      <c r="P1300" s="96"/>
      <c r="Q1300" s="96" t="s">
        <v>369</v>
      </c>
      <c r="R1300" s="107" t="s">
        <v>730</v>
      </c>
      <c r="S1300" s="107" t="s">
        <v>557</v>
      </c>
      <c r="T1300" s="97">
        <v>0.48939052894776341</v>
      </c>
      <c r="U1300" s="78">
        <v>-2.3327291801422678E-2</v>
      </c>
      <c r="V1300" s="97">
        <v>1E-8</v>
      </c>
      <c r="W1300" s="97">
        <v>1E-8</v>
      </c>
      <c r="X1300" s="97">
        <v>1E-8</v>
      </c>
      <c r="Y1300" s="97">
        <v>1E-8</v>
      </c>
      <c r="Z1300" s="97">
        <v>1E-8</v>
      </c>
      <c r="AA1300" s="97">
        <v>1E-8</v>
      </c>
      <c r="AB1300" s="97">
        <v>1E-8</v>
      </c>
      <c r="AC1300" s="97">
        <v>1E-8</v>
      </c>
      <c r="AD1300" s="4"/>
    </row>
    <row r="1301" spans="1:30" x14ac:dyDescent="0.3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34"/>
      <c r="O1301" s="4"/>
      <c r="P1301" s="68"/>
      <c r="Q1301" s="68" t="s">
        <v>660</v>
      </c>
      <c r="R1301" s="108" t="s">
        <v>730</v>
      </c>
      <c r="S1301" s="108" t="s">
        <v>351</v>
      </c>
      <c r="T1301" s="98">
        <v>0.38005612475984968</v>
      </c>
      <c r="U1301" s="80">
        <v>-9.8555640132236277E-2</v>
      </c>
      <c r="V1301" s="98">
        <v>1E-8</v>
      </c>
      <c r="W1301" s="98">
        <v>1E-8</v>
      </c>
      <c r="X1301" s="98">
        <v>1E-8</v>
      </c>
      <c r="Y1301" s="98">
        <v>1E-8</v>
      </c>
      <c r="Z1301" s="98">
        <v>1E-8</v>
      </c>
      <c r="AA1301" s="98">
        <v>1E-8</v>
      </c>
      <c r="AB1301" s="98">
        <v>1E-8</v>
      </c>
      <c r="AC1301" s="98">
        <v>1E-8</v>
      </c>
      <c r="AD1301" s="4"/>
    </row>
    <row r="1302" spans="1:30" x14ac:dyDescent="0.3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34"/>
      <c r="O1302" s="4"/>
      <c r="P1302" s="68"/>
      <c r="Q1302" s="68" t="s">
        <v>661</v>
      </c>
      <c r="R1302" s="108" t="s">
        <v>730</v>
      </c>
      <c r="S1302" s="108" t="s">
        <v>352</v>
      </c>
      <c r="T1302" s="98">
        <v>0.10088647821141586</v>
      </c>
      <c r="U1302" s="80">
        <v>0.34338862662446346</v>
      </c>
      <c r="V1302" s="98">
        <v>1E-8</v>
      </c>
      <c r="W1302" s="98">
        <v>1E-8</v>
      </c>
      <c r="X1302" s="98">
        <v>1E-8</v>
      </c>
      <c r="Y1302" s="98">
        <v>1E-8</v>
      </c>
      <c r="Z1302" s="98">
        <v>1E-8</v>
      </c>
      <c r="AA1302" s="98">
        <v>1E-8</v>
      </c>
      <c r="AB1302" s="98">
        <v>1E-8</v>
      </c>
      <c r="AC1302" s="98">
        <v>1E-8</v>
      </c>
      <c r="AD1302" s="4"/>
    </row>
    <row r="1303" spans="1:30" x14ac:dyDescent="0.3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34"/>
      <c r="O1303" s="4"/>
      <c r="P1303" s="68"/>
      <c r="Q1303" s="68" t="s">
        <v>662</v>
      </c>
      <c r="R1303" s="108" t="s">
        <v>730</v>
      </c>
      <c r="S1303" s="108" t="s">
        <v>558</v>
      </c>
      <c r="T1303" s="98">
        <v>8.4479259764979053E-3</v>
      </c>
      <c r="U1303" s="80">
        <v>-1.018326892739152</v>
      </c>
      <c r="V1303" s="98">
        <v>1E-8</v>
      </c>
      <c r="W1303" s="98">
        <v>1E-8</v>
      </c>
      <c r="X1303" s="98">
        <v>1E-8</v>
      </c>
      <c r="Y1303" s="98">
        <v>1E-8</v>
      </c>
      <c r="Z1303" s="98">
        <v>1E-8</v>
      </c>
      <c r="AA1303" s="98">
        <v>1E-8</v>
      </c>
      <c r="AB1303" s="98">
        <v>1E-8</v>
      </c>
      <c r="AC1303" s="98">
        <v>1E-8</v>
      </c>
      <c r="AD1303" s="4"/>
    </row>
    <row r="1304" spans="1:30" x14ac:dyDescent="0.3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34"/>
      <c r="O1304" s="4"/>
      <c r="P1304" s="96"/>
      <c r="Q1304" s="96" t="s">
        <v>188</v>
      </c>
      <c r="R1304" s="107" t="s">
        <v>730</v>
      </c>
      <c r="S1304" s="107" t="s">
        <v>559</v>
      </c>
      <c r="T1304" s="97">
        <v>16.028437880476417</v>
      </c>
      <c r="U1304" s="78">
        <v>-3.3703678239045409</v>
      </c>
      <c r="V1304" s="97">
        <v>1E-8</v>
      </c>
      <c r="W1304" s="97">
        <v>1E-8</v>
      </c>
      <c r="X1304" s="97">
        <v>1E-8</v>
      </c>
      <c r="Y1304" s="97">
        <v>1E-8</v>
      </c>
      <c r="Z1304" s="97">
        <v>1E-8</v>
      </c>
      <c r="AA1304" s="97">
        <v>1E-8</v>
      </c>
      <c r="AB1304" s="97">
        <v>1E-8</v>
      </c>
      <c r="AC1304" s="97">
        <v>1E-8</v>
      </c>
      <c r="AD1304" s="4"/>
    </row>
    <row r="1305" spans="1:30" x14ac:dyDescent="0.3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34"/>
      <c r="O1305" s="4"/>
      <c r="P1305" s="68"/>
      <c r="Q1305" s="68" t="s">
        <v>663</v>
      </c>
      <c r="R1305" s="108" t="s">
        <v>730</v>
      </c>
      <c r="S1305" s="108" t="s">
        <v>353</v>
      </c>
      <c r="T1305" s="98">
        <v>16.028437880476417</v>
      </c>
      <c r="U1305" s="80">
        <v>-3.3703678239045409</v>
      </c>
      <c r="V1305" s="98">
        <v>1E-8</v>
      </c>
      <c r="W1305" s="98">
        <v>1E-8</v>
      </c>
      <c r="X1305" s="98">
        <v>1E-8</v>
      </c>
      <c r="Y1305" s="98">
        <v>1E-8</v>
      </c>
      <c r="Z1305" s="98">
        <v>1E-8</v>
      </c>
      <c r="AA1305" s="98">
        <v>1E-8</v>
      </c>
      <c r="AB1305" s="98">
        <v>1E-8</v>
      </c>
      <c r="AC1305" s="98">
        <v>1E-8</v>
      </c>
      <c r="AD1305" s="4"/>
    </row>
    <row r="1306" spans="1:30" x14ac:dyDescent="0.3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34"/>
      <c r="O1306" s="4"/>
      <c r="P1306" s="72"/>
      <c r="Q1306" s="72" t="s">
        <v>664</v>
      </c>
      <c r="R1306" s="109" t="s">
        <v>730</v>
      </c>
      <c r="S1306" s="109" t="s">
        <v>560</v>
      </c>
      <c r="T1306" s="81">
        <v>1E-8</v>
      </c>
      <c r="U1306" s="82">
        <v>1E-8</v>
      </c>
      <c r="V1306" s="81">
        <v>1E-8</v>
      </c>
      <c r="W1306" s="81">
        <v>1E-8</v>
      </c>
      <c r="X1306" s="81">
        <v>1E-8</v>
      </c>
      <c r="Y1306" s="81">
        <v>1E-8</v>
      </c>
      <c r="Z1306" s="81">
        <v>1E-8</v>
      </c>
      <c r="AA1306" s="81">
        <v>1E-8</v>
      </c>
      <c r="AB1306" s="81">
        <v>1E-8</v>
      </c>
      <c r="AC1306" s="81">
        <v>1E-8</v>
      </c>
      <c r="AD1306" s="4"/>
    </row>
    <row r="1307" spans="1:30" x14ac:dyDescent="0.3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34"/>
      <c r="O1307" s="4"/>
      <c r="P1307" s="47"/>
      <c r="Q1307" s="47" t="s">
        <v>287</v>
      </c>
      <c r="R1307" s="105" t="s">
        <v>730</v>
      </c>
      <c r="S1307" s="105" t="s">
        <v>354</v>
      </c>
      <c r="T1307" s="95">
        <v>57.587440824687206</v>
      </c>
      <c r="U1307" s="74">
        <v>0.10956040290810432</v>
      </c>
      <c r="V1307" s="95">
        <v>1E-8</v>
      </c>
      <c r="W1307" s="95">
        <v>1E-8</v>
      </c>
      <c r="X1307" s="95">
        <v>1E-8</v>
      </c>
      <c r="Y1307" s="95">
        <v>1E-8</v>
      </c>
      <c r="Z1307" s="95">
        <v>1E-8</v>
      </c>
      <c r="AA1307" s="95">
        <v>1E-8</v>
      </c>
      <c r="AB1307" s="95">
        <v>1E-8</v>
      </c>
      <c r="AC1307" s="95">
        <v>1E-8</v>
      </c>
      <c r="AD1307" s="4"/>
    </row>
    <row r="1308" spans="1:30" x14ac:dyDescent="0.3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34"/>
      <c r="O1308" s="4"/>
      <c r="P1308" s="96"/>
      <c r="Q1308" s="96" t="s">
        <v>370</v>
      </c>
      <c r="R1308" s="107" t="s">
        <v>730</v>
      </c>
      <c r="S1308" s="107" t="s">
        <v>561</v>
      </c>
      <c r="T1308" s="97">
        <v>19.334556258395462</v>
      </c>
      <c r="U1308" s="78">
        <v>-1.3676753953302589</v>
      </c>
      <c r="V1308" s="97">
        <v>1E-8</v>
      </c>
      <c r="W1308" s="97">
        <v>1E-8</v>
      </c>
      <c r="X1308" s="97">
        <v>1E-8</v>
      </c>
      <c r="Y1308" s="97">
        <v>1E-8</v>
      </c>
      <c r="Z1308" s="97">
        <v>1E-8</v>
      </c>
      <c r="AA1308" s="97">
        <v>1E-8</v>
      </c>
      <c r="AB1308" s="97">
        <v>1E-8</v>
      </c>
      <c r="AC1308" s="97">
        <v>1E-8</v>
      </c>
      <c r="AD1308" s="4"/>
    </row>
    <row r="1309" spans="1:30" x14ac:dyDescent="0.3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34"/>
      <c r="O1309" s="4"/>
      <c r="P1309" s="68"/>
      <c r="Q1309" s="68" t="s">
        <v>665</v>
      </c>
      <c r="R1309" s="108" t="s">
        <v>730</v>
      </c>
      <c r="S1309" s="108" t="s">
        <v>562</v>
      </c>
      <c r="T1309" s="98">
        <v>1.7748695586981804</v>
      </c>
      <c r="U1309" s="80">
        <v>-0.20269041113799569</v>
      </c>
      <c r="V1309" s="98">
        <v>1E-8</v>
      </c>
      <c r="W1309" s="98">
        <v>1E-8</v>
      </c>
      <c r="X1309" s="98">
        <v>1E-8</v>
      </c>
      <c r="Y1309" s="98">
        <v>1E-8</v>
      </c>
      <c r="Z1309" s="98">
        <v>1E-8</v>
      </c>
      <c r="AA1309" s="98">
        <v>1E-8</v>
      </c>
      <c r="AB1309" s="98">
        <v>1E-8</v>
      </c>
      <c r="AC1309" s="98">
        <v>1E-8</v>
      </c>
      <c r="AD1309" s="4"/>
    </row>
    <row r="1310" spans="1:30" x14ac:dyDescent="0.3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34"/>
      <c r="O1310" s="4"/>
      <c r="P1310" s="68"/>
      <c r="Q1310" s="68" t="s">
        <v>666</v>
      </c>
      <c r="R1310" s="108" t="s">
        <v>730</v>
      </c>
      <c r="S1310" s="108" t="s">
        <v>563</v>
      </c>
      <c r="T1310" s="98">
        <v>0.20028429379823215</v>
      </c>
      <c r="U1310" s="80">
        <v>-6.6874109956848731</v>
      </c>
      <c r="V1310" s="98">
        <v>1E-8</v>
      </c>
      <c r="W1310" s="98">
        <v>1E-8</v>
      </c>
      <c r="X1310" s="98">
        <v>1E-8</v>
      </c>
      <c r="Y1310" s="98">
        <v>1E-8</v>
      </c>
      <c r="Z1310" s="98">
        <v>1E-8</v>
      </c>
      <c r="AA1310" s="98">
        <v>1E-8</v>
      </c>
      <c r="AB1310" s="98">
        <v>1E-8</v>
      </c>
      <c r="AC1310" s="98">
        <v>1E-8</v>
      </c>
      <c r="AD1310" s="4"/>
    </row>
    <row r="1311" spans="1:30" x14ac:dyDescent="0.3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34"/>
      <c r="O1311" s="4"/>
      <c r="P1311" s="68"/>
      <c r="Q1311" s="68" t="s">
        <v>667</v>
      </c>
      <c r="R1311" s="108" t="s">
        <v>730</v>
      </c>
      <c r="S1311" s="108" t="s">
        <v>564</v>
      </c>
      <c r="T1311" s="98">
        <v>6.755517168227847</v>
      </c>
      <c r="U1311" s="80">
        <v>-1.4452602072280274</v>
      </c>
      <c r="V1311" s="98">
        <v>1E-8</v>
      </c>
      <c r="W1311" s="98">
        <v>1E-8</v>
      </c>
      <c r="X1311" s="98">
        <v>1E-8</v>
      </c>
      <c r="Y1311" s="98">
        <v>1E-8</v>
      </c>
      <c r="Z1311" s="98">
        <v>1E-8</v>
      </c>
      <c r="AA1311" s="98">
        <v>1E-8</v>
      </c>
      <c r="AB1311" s="98">
        <v>1E-8</v>
      </c>
      <c r="AC1311" s="98">
        <v>1E-8</v>
      </c>
      <c r="AD1311" s="4"/>
    </row>
    <row r="1312" spans="1:30" x14ac:dyDescent="0.3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34"/>
      <c r="O1312" s="4"/>
      <c r="P1312" s="68"/>
      <c r="Q1312" s="68" t="s">
        <v>668</v>
      </c>
      <c r="R1312" s="108" t="s">
        <v>730</v>
      </c>
      <c r="S1312" s="108" t="s">
        <v>565</v>
      </c>
      <c r="T1312" s="98">
        <v>10.603885237671205</v>
      </c>
      <c r="U1312" s="80">
        <v>-1.4127637150722738</v>
      </c>
      <c r="V1312" s="98">
        <v>1E-8</v>
      </c>
      <c r="W1312" s="98">
        <v>1E-8</v>
      </c>
      <c r="X1312" s="98">
        <v>1E-8</v>
      </c>
      <c r="Y1312" s="98">
        <v>1E-8</v>
      </c>
      <c r="Z1312" s="98">
        <v>1E-8</v>
      </c>
      <c r="AA1312" s="98">
        <v>1E-8</v>
      </c>
      <c r="AB1312" s="98">
        <v>1E-8</v>
      </c>
      <c r="AC1312" s="98">
        <v>1E-8</v>
      </c>
      <c r="AD1312" s="4"/>
    </row>
    <row r="1313" spans="1:30" x14ac:dyDescent="0.3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34"/>
      <c r="O1313" s="4"/>
      <c r="P1313" s="96"/>
      <c r="Q1313" s="96" t="s">
        <v>371</v>
      </c>
      <c r="R1313" s="107" t="s">
        <v>730</v>
      </c>
      <c r="S1313" s="107" t="s">
        <v>566</v>
      </c>
      <c r="T1313" s="97">
        <v>10.908371459951132</v>
      </c>
      <c r="U1313" s="78">
        <v>0.7627237642748419</v>
      </c>
      <c r="V1313" s="97">
        <v>1E-8</v>
      </c>
      <c r="W1313" s="97">
        <v>1E-8</v>
      </c>
      <c r="X1313" s="97">
        <v>1E-8</v>
      </c>
      <c r="Y1313" s="97">
        <v>1E-8</v>
      </c>
      <c r="Z1313" s="97">
        <v>1E-8</v>
      </c>
      <c r="AA1313" s="97">
        <v>1E-8</v>
      </c>
      <c r="AB1313" s="97">
        <v>1E-8</v>
      </c>
      <c r="AC1313" s="97">
        <v>1E-8</v>
      </c>
      <c r="AD1313" s="4"/>
    </row>
    <row r="1314" spans="1:30" x14ac:dyDescent="0.3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34"/>
      <c r="O1314" s="4"/>
      <c r="P1314" s="68"/>
      <c r="Q1314" s="68" t="s">
        <v>669</v>
      </c>
      <c r="R1314" s="108" t="s">
        <v>730</v>
      </c>
      <c r="S1314" s="108" t="s">
        <v>567</v>
      </c>
      <c r="T1314" s="98">
        <v>5.2191062866150428</v>
      </c>
      <c r="U1314" s="80">
        <v>-0.42133667003551034</v>
      </c>
      <c r="V1314" s="98">
        <v>1E-8</v>
      </c>
      <c r="W1314" s="98">
        <v>1E-8</v>
      </c>
      <c r="X1314" s="98">
        <v>1E-8</v>
      </c>
      <c r="Y1314" s="98">
        <v>1E-8</v>
      </c>
      <c r="Z1314" s="98">
        <v>1E-8</v>
      </c>
      <c r="AA1314" s="98">
        <v>1E-8</v>
      </c>
      <c r="AB1314" s="98">
        <v>1E-8</v>
      </c>
      <c r="AC1314" s="98">
        <v>1E-8</v>
      </c>
      <c r="AD1314" s="4"/>
    </row>
    <row r="1315" spans="1:30" x14ac:dyDescent="0.3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34"/>
      <c r="O1315" s="4"/>
      <c r="P1315" s="68"/>
      <c r="Q1315" s="68" t="s">
        <v>670</v>
      </c>
      <c r="R1315" s="108" t="s">
        <v>730</v>
      </c>
      <c r="S1315" s="108" t="s">
        <v>568</v>
      </c>
      <c r="T1315" s="98">
        <v>3.8575915971163401</v>
      </c>
      <c r="U1315" s="80">
        <v>1.510989807893437</v>
      </c>
      <c r="V1315" s="98">
        <v>1E-8</v>
      </c>
      <c r="W1315" s="98">
        <v>1E-8</v>
      </c>
      <c r="X1315" s="98">
        <v>1E-8</v>
      </c>
      <c r="Y1315" s="98">
        <v>1E-8</v>
      </c>
      <c r="Z1315" s="98">
        <v>1E-8</v>
      </c>
      <c r="AA1315" s="98">
        <v>1E-8</v>
      </c>
      <c r="AB1315" s="98">
        <v>1E-8</v>
      </c>
      <c r="AC1315" s="98">
        <v>1E-8</v>
      </c>
      <c r="AD1315" s="4"/>
    </row>
    <row r="1316" spans="1:30" x14ac:dyDescent="0.3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34"/>
      <c r="O1316" s="4"/>
      <c r="P1316" s="68"/>
      <c r="Q1316" s="68" t="s">
        <v>671</v>
      </c>
      <c r="R1316" s="108" t="s">
        <v>730</v>
      </c>
      <c r="S1316" s="108" t="s">
        <v>569</v>
      </c>
      <c r="T1316" s="98">
        <v>1.4740765882767424</v>
      </c>
      <c r="U1316" s="80">
        <v>2.1268750473034892</v>
      </c>
      <c r="V1316" s="98">
        <v>1E-8</v>
      </c>
      <c r="W1316" s="98">
        <v>1E-8</v>
      </c>
      <c r="X1316" s="98">
        <v>1E-8</v>
      </c>
      <c r="Y1316" s="98">
        <v>1E-8</v>
      </c>
      <c r="Z1316" s="98">
        <v>1E-8</v>
      </c>
      <c r="AA1316" s="98">
        <v>1E-8</v>
      </c>
      <c r="AB1316" s="98">
        <v>1E-8</v>
      </c>
      <c r="AC1316" s="98">
        <v>1E-8</v>
      </c>
      <c r="AD1316" s="4"/>
    </row>
    <row r="1317" spans="1:30" x14ac:dyDescent="0.3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34"/>
      <c r="O1317" s="4"/>
      <c r="P1317" s="68"/>
      <c r="Q1317" s="68" t="s">
        <v>672</v>
      </c>
      <c r="R1317" s="108" t="s">
        <v>730</v>
      </c>
      <c r="S1317" s="108" t="s">
        <v>570</v>
      </c>
      <c r="T1317" s="98">
        <v>0.35759698794300659</v>
      </c>
      <c r="U1317" s="80">
        <v>4.3487969925953829</v>
      </c>
      <c r="V1317" s="98">
        <v>1E-8</v>
      </c>
      <c r="W1317" s="98">
        <v>1E-8</v>
      </c>
      <c r="X1317" s="98">
        <v>1E-8</v>
      </c>
      <c r="Y1317" s="98">
        <v>1E-8</v>
      </c>
      <c r="Z1317" s="98">
        <v>1E-8</v>
      </c>
      <c r="AA1317" s="98">
        <v>1E-8</v>
      </c>
      <c r="AB1317" s="98">
        <v>1E-8</v>
      </c>
      <c r="AC1317" s="98">
        <v>1E-8</v>
      </c>
      <c r="AD1317" s="4"/>
    </row>
    <row r="1318" spans="1:30" x14ac:dyDescent="0.3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34"/>
      <c r="O1318" s="4"/>
      <c r="P1318" s="96"/>
      <c r="Q1318" s="96" t="s">
        <v>673</v>
      </c>
      <c r="R1318" s="107" t="s">
        <v>730</v>
      </c>
      <c r="S1318" s="107" t="s">
        <v>355</v>
      </c>
      <c r="T1318" s="97">
        <v>2.7204817446337208</v>
      </c>
      <c r="U1318" s="78">
        <v>-0.36603380075708181</v>
      </c>
      <c r="V1318" s="97">
        <v>1E-8</v>
      </c>
      <c r="W1318" s="97">
        <v>1E-8</v>
      </c>
      <c r="X1318" s="97">
        <v>1E-8</v>
      </c>
      <c r="Y1318" s="97">
        <v>1E-8</v>
      </c>
      <c r="Z1318" s="97">
        <v>1E-8</v>
      </c>
      <c r="AA1318" s="97">
        <v>1E-8</v>
      </c>
      <c r="AB1318" s="97">
        <v>1E-8</v>
      </c>
      <c r="AC1318" s="97">
        <v>1E-8</v>
      </c>
      <c r="AD1318" s="4"/>
    </row>
    <row r="1319" spans="1:30" x14ac:dyDescent="0.3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34"/>
      <c r="O1319" s="4"/>
      <c r="P1319" s="96"/>
      <c r="Q1319" s="96" t="s">
        <v>372</v>
      </c>
      <c r="R1319" s="107" t="s">
        <v>730</v>
      </c>
      <c r="S1319" s="107" t="s">
        <v>571</v>
      </c>
      <c r="T1319" s="97">
        <v>0.149125905627775</v>
      </c>
      <c r="U1319" s="78">
        <v>1.0488180444725215</v>
      </c>
      <c r="V1319" s="97">
        <v>1E-8</v>
      </c>
      <c r="W1319" s="97">
        <v>1E-8</v>
      </c>
      <c r="X1319" s="97">
        <v>1E-8</v>
      </c>
      <c r="Y1319" s="97">
        <v>1E-8</v>
      </c>
      <c r="Z1319" s="97">
        <v>1E-8</v>
      </c>
      <c r="AA1319" s="97">
        <v>1E-8</v>
      </c>
      <c r="AB1319" s="97">
        <v>1E-8</v>
      </c>
      <c r="AC1319" s="97">
        <v>1E-8</v>
      </c>
      <c r="AD1319" s="4"/>
    </row>
    <row r="1320" spans="1:30" x14ac:dyDescent="0.3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34"/>
      <c r="O1320" s="4"/>
      <c r="P1320" s="68"/>
      <c r="Q1320" s="68" t="s">
        <v>674</v>
      </c>
      <c r="R1320" s="108" t="s">
        <v>730</v>
      </c>
      <c r="S1320" s="108" t="s">
        <v>572</v>
      </c>
      <c r="T1320" s="98">
        <v>2.8817154958908946E-2</v>
      </c>
      <c r="U1320" s="80">
        <v>1.2135938057044715</v>
      </c>
      <c r="V1320" s="98">
        <v>1E-8</v>
      </c>
      <c r="W1320" s="98">
        <v>1E-8</v>
      </c>
      <c r="X1320" s="98">
        <v>1E-8</v>
      </c>
      <c r="Y1320" s="98">
        <v>1E-8</v>
      </c>
      <c r="Z1320" s="98">
        <v>1E-8</v>
      </c>
      <c r="AA1320" s="98">
        <v>1E-8</v>
      </c>
      <c r="AB1320" s="98">
        <v>1E-8</v>
      </c>
      <c r="AC1320" s="98">
        <v>1E-8</v>
      </c>
      <c r="AD1320" s="4"/>
    </row>
    <row r="1321" spans="1:30" x14ac:dyDescent="0.3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34"/>
      <c r="O1321" s="4"/>
      <c r="P1321" s="68"/>
      <c r="Q1321" s="68" t="s">
        <v>675</v>
      </c>
      <c r="R1321" s="108" t="s">
        <v>730</v>
      </c>
      <c r="S1321" s="108" t="s">
        <v>356</v>
      </c>
      <c r="T1321" s="98">
        <v>9.2234062473209324E-2</v>
      </c>
      <c r="U1321" s="80">
        <v>1.1126617156482332</v>
      </c>
      <c r="V1321" s="98">
        <v>1E-8</v>
      </c>
      <c r="W1321" s="98">
        <v>1E-8</v>
      </c>
      <c r="X1321" s="98">
        <v>1E-8</v>
      </c>
      <c r="Y1321" s="98">
        <v>1E-8</v>
      </c>
      <c r="Z1321" s="98">
        <v>1E-8</v>
      </c>
      <c r="AA1321" s="98">
        <v>1E-8</v>
      </c>
      <c r="AB1321" s="98">
        <v>1E-8</v>
      </c>
      <c r="AC1321" s="98">
        <v>1E-8</v>
      </c>
      <c r="AD1321" s="4"/>
    </row>
    <row r="1322" spans="1:30" x14ac:dyDescent="0.3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34"/>
      <c r="O1322" s="4"/>
      <c r="P1322" s="68"/>
      <c r="Q1322" s="68" t="s">
        <v>676</v>
      </c>
      <c r="R1322" s="109" t="s">
        <v>730</v>
      </c>
      <c r="S1322" s="109" t="s">
        <v>573</v>
      </c>
      <c r="T1322" s="81">
        <v>2.8074688195656731E-2</v>
      </c>
      <c r="U1322" s="82">
        <v>0.66993833166852923</v>
      </c>
      <c r="V1322" s="81">
        <v>1E-8</v>
      </c>
      <c r="W1322" s="81">
        <v>1E-8</v>
      </c>
      <c r="X1322" s="81">
        <v>1E-8</v>
      </c>
      <c r="Y1322" s="81">
        <v>1E-8</v>
      </c>
      <c r="Z1322" s="81">
        <v>1E-8</v>
      </c>
      <c r="AA1322" s="81">
        <v>1E-8</v>
      </c>
      <c r="AB1322" s="81">
        <v>1E-8</v>
      </c>
      <c r="AC1322" s="81">
        <v>1E-8</v>
      </c>
      <c r="AD1322" s="4"/>
    </row>
    <row r="1323" spans="1:30" x14ac:dyDescent="0.3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34"/>
      <c r="O1323" s="4"/>
      <c r="P1323" s="96"/>
      <c r="Q1323" s="96" t="s">
        <v>373</v>
      </c>
      <c r="R1323" s="107" t="s">
        <v>730</v>
      </c>
      <c r="S1323" s="107" t="s">
        <v>574</v>
      </c>
      <c r="T1323" s="97">
        <v>1.2478110335794217</v>
      </c>
      <c r="U1323" s="78">
        <v>1.4654169064314493</v>
      </c>
      <c r="V1323" s="97">
        <v>1E-8</v>
      </c>
      <c r="W1323" s="97">
        <v>1E-8</v>
      </c>
      <c r="X1323" s="97">
        <v>1E-8</v>
      </c>
      <c r="Y1323" s="97">
        <v>1E-8</v>
      </c>
      <c r="Z1323" s="97">
        <v>1E-8</v>
      </c>
      <c r="AA1323" s="97">
        <v>1E-8</v>
      </c>
      <c r="AB1323" s="97">
        <v>1E-8</v>
      </c>
      <c r="AC1323" s="97">
        <v>1E-8</v>
      </c>
      <c r="AD1323" s="4"/>
    </row>
    <row r="1324" spans="1:30" x14ac:dyDescent="0.3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34"/>
      <c r="O1324" s="4"/>
      <c r="P1324" s="68"/>
      <c r="Q1324" s="68" t="s">
        <v>677</v>
      </c>
      <c r="R1324" s="108" t="s">
        <v>730</v>
      </c>
      <c r="S1324" s="108" t="s">
        <v>575</v>
      </c>
      <c r="T1324" s="98">
        <v>0.3644891089639945</v>
      </c>
      <c r="U1324" s="80">
        <v>3.0193846302198235</v>
      </c>
      <c r="V1324" s="98">
        <v>1E-8</v>
      </c>
      <c r="W1324" s="98">
        <v>1E-8</v>
      </c>
      <c r="X1324" s="98">
        <v>1E-8</v>
      </c>
      <c r="Y1324" s="98">
        <v>1E-8</v>
      </c>
      <c r="Z1324" s="98">
        <v>1E-8</v>
      </c>
      <c r="AA1324" s="98">
        <v>1E-8</v>
      </c>
      <c r="AB1324" s="98">
        <v>1E-8</v>
      </c>
      <c r="AC1324" s="98">
        <v>1E-8</v>
      </c>
      <c r="AD1324" s="4"/>
    </row>
    <row r="1325" spans="1:30" x14ac:dyDescent="0.3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34"/>
      <c r="O1325" s="4"/>
      <c r="P1325" s="68"/>
      <c r="Q1325" s="68" t="s">
        <v>678</v>
      </c>
      <c r="R1325" s="108" t="s">
        <v>730</v>
      </c>
      <c r="S1325" s="108" t="s">
        <v>576</v>
      </c>
      <c r="T1325" s="98">
        <v>0.23026273552930529</v>
      </c>
      <c r="U1325" s="80">
        <v>0.84021783064363031</v>
      </c>
      <c r="V1325" s="98">
        <v>1E-8</v>
      </c>
      <c r="W1325" s="98">
        <v>1E-8</v>
      </c>
      <c r="X1325" s="98">
        <v>1E-8</v>
      </c>
      <c r="Y1325" s="98">
        <v>1E-8</v>
      </c>
      <c r="Z1325" s="98">
        <v>1E-8</v>
      </c>
      <c r="AA1325" s="98">
        <v>1E-8</v>
      </c>
      <c r="AB1325" s="98">
        <v>1E-8</v>
      </c>
      <c r="AC1325" s="98">
        <v>1E-8</v>
      </c>
      <c r="AD1325" s="4"/>
    </row>
    <row r="1326" spans="1:30" x14ac:dyDescent="0.3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34"/>
      <c r="O1326" s="4"/>
      <c r="P1326" s="68"/>
      <c r="Q1326" s="68" t="s">
        <v>679</v>
      </c>
      <c r="R1326" s="108" t="s">
        <v>730</v>
      </c>
      <c r="S1326" s="108" t="s">
        <v>577</v>
      </c>
      <c r="T1326" s="98">
        <v>0.65305918908612204</v>
      </c>
      <c r="U1326" s="80">
        <v>0.81854711480922049</v>
      </c>
      <c r="V1326" s="98">
        <v>1E-8</v>
      </c>
      <c r="W1326" s="98">
        <v>1E-8</v>
      </c>
      <c r="X1326" s="98">
        <v>1E-8</v>
      </c>
      <c r="Y1326" s="98">
        <v>1E-8</v>
      </c>
      <c r="Z1326" s="98">
        <v>1E-8</v>
      </c>
      <c r="AA1326" s="98">
        <v>1E-8</v>
      </c>
      <c r="AB1326" s="98">
        <v>1E-8</v>
      </c>
      <c r="AC1326" s="98">
        <v>1E-8</v>
      </c>
      <c r="AD1326" s="4"/>
    </row>
    <row r="1327" spans="1:30" x14ac:dyDescent="0.3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34"/>
      <c r="O1327" s="4"/>
      <c r="P1327" s="96"/>
      <c r="Q1327" s="96" t="s">
        <v>195</v>
      </c>
      <c r="R1327" s="107" t="s">
        <v>730</v>
      </c>
      <c r="S1327" s="107" t="s">
        <v>578</v>
      </c>
      <c r="T1327" s="97">
        <v>3.983215005518141</v>
      </c>
      <c r="U1327" s="78">
        <v>0.24567770354602114</v>
      </c>
      <c r="V1327" s="97">
        <v>1E-8</v>
      </c>
      <c r="W1327" s="97">
        <v>1E-8</v>
      </c>
      <c r="X1327" s="97">
        <v>1E-8</v>
      </c>
      <c r="Y1327" s="97">
        <v>1E-8</v>
      </c>
      <c r="Z1327" s="97">
        <v>1E-8</v>
      </c>
      <c r="AA1327" s="97">
        <v>1E-8</v>
      </c>
      <c r="AB1327" s="97">
        <v>1E-8</v>
      </c>
      <c r="AC1327" s="97">
        <v>1E-8</v>
      </c>
      <c r="AD1327" s="4"/>
    </row>
    <row r="1328" spans="1:30" x14ac:dyDescent="0.3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34"/>
      <c r="O1328" s="4"/>
      <c r="P1328" s="68"/>
      <c r="Q1328" s="68" t="s">
        <v>680</v>
      </c>
      <c r="R1328" s="108" t="s">
        <v>730</v>
      </c>
      <c r="S1328" s="108" t="s">
        <v>579</v>
      </c>
      <c r="T1328" s="98">
        <v>2.9468433934997624</v>
      </c>
      <c r="U1328" s="80">
        <v>0.94894362725286285</v>
      </c>
      <c r="V1328" s="98">
        <v>1E-8</v>
      </c>
      <c r="W1328" s="98">
        <v>1E-8</v>
      </c>
      <c r="X1328" s="98">
        <v>1E-8</v>
      </c>
      <c r="Y1328" s="98">
        <v>1E-8</v>
      </c>
      <c r="Z1328" s="98">
        <v>1E-8</v>
      </c>
      <c r="AA1328" s="98">
        <v>1E-8</v>
      </c>
      <c r="AB1328" s="98">
        <v>1E-8</v>
      </c>
      <c r="AC1328" s="98">
        <v>1E-8</v>
      </c>
      <c r="AD1328" s="4"/>
    </row>
    <row r="1329" spans="1:30" x14ac:dyDescent="0.3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34"/>
      <c r="O1329" s="4"/>
      <c r="P1329" s="68"/>
      <c r="Q1329" s="68" t="s">
        <v>681</v>
      </c>
      <c r="R1329" s="108" t="s">
        <v>730</v>
      </c>
      <c r="S1329" s="108" t="s">
        <v>357</v>
      </c>
      <c r="T1329" s="98">
        <v>1.0363716120183788</v>
      </c>
      <c r="U1329" s="80">
        <v>-1.7540051487398789</v>
      </c>
      <c r="V1329" s="98">
        <v>1E-8</v>
      </c>
      <c r="W1329" s="98">
        <v>1E-8</v>
      </c>
      <c r="X1329" s="98">
        <v>1E-8</v>
      </c>
      <c r="Y1329" s="98">
        <v>1E-8</v>
      </c>
      <c r="Z1329" s="98">
        <v>1E-8</v>
      </c>
      <c r="AA1329" s="98">
        <v>1E-8</v>
      </c>
      <c r="AB1329" s="98">
        <v>1E-8</v>
      </c>
      <c r="AC1329" s="98">
        <v>1E-8</v>
      </c>
      <c r="AD1329" s="4"/>
    </row>
    <row r="1330" spans="1:30" x14ac:dyDescent="0.3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34"/>
      <c r="O1330" s="4"/>
      <c r="P1330" s="96"/>
      <c r="Q1330" s="96" t="s">
        <v>196</v>
      </c>
      <c r="R1330" s="107" t="s">
        <v>730</v>
      </c>
      <c r="S1330" s="107" t="s">
        <v>580</v>
      </c>
      <c r="T1330" s="97">
        <v>4.7064152329996825</v>
      </c>
      <c r="U1330" s="78">
        <v>1.9104586777532351</v>
      </c>
      <c r="V1330" s="97">
        <v>1E-8</v>
      </c>
      <c r="W1330" s="97">
        <v>1E-8</v>
      </c>
      <c r="X1330" s="97">
        <v>1E-8</v>
      </c>
      <c r="Y1330" s="97">
        <v>1E-8</v>
      </c>
      <c r="Z1330" s="97">
        <v>1E-8</v>
      </c>
      <c r="AA1330" s="97">
        <v>1E-8</v>
      </c>
      <c r="AB1330" s="97">
        <v>1E-8</v>
      </c>
      <c r="AC1330" s="97">
        <v>1E-8</v>
      </c>
      <c r="AD1330" s="4"/>
    </row>
    <row r="1331" spans="1:30" x14ac:dyDescent="0.3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34"/>
      <c r="O1331" s="4"/>
      <c r="P1331" s="68"/>
      <c r="Q1331" s="68" t="s">
        <v>682</v>
      </c>
      <c r="R1331" s="108" t="s">
        <v>730</v>
      </c>
      <c r="S1331" s="108" t="s">
        <v>581</v>
      </c>
      <c r="T1331" s="98">
        <v>0.68037937652501501</v>
      </c>
      <c r="U1331" s="80">
        <v>-1.0629548913423603</v>
      </c>
      <c r="V1331" s="98">
        <v>1E-8</v>
      </c>
      <c r="W1331" s="98">
        <v>1E-8</v>
      </c>
      <c r="X1331" s="98">
        <v>1E-8</v>
      </c>
      <c r="Y1331" s="98">
        <v>1E-8</v>
      </c>
      <c r="Z1331" s="98">
        <v>1E-8</v>
      </c>
      <c r="AA1331" s="98">
        <v>1E-8</v>
      </c>
      <c r="AB1331" s="98">
        <v>1E-8</v>
      </c>
      <c r="AC1331" s="98">
        <v>1E-8</v>
      </c>
      <c r="AD1331" s="4"/>
    </row>
    <row r="1332" spans="1:30" x14ac:dyDescent="0.3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34"/>
      <c r="O1332" s="4"/>
      <c r="P1332" s="68"/>
      <c r="Q1332" s="68" t="s">
        <v>683</v>
      </c>
      <c r="R1332" s="108" t="s">
        <v>730</v>
      </c>
      <c r="S1332" s="108" t="s">
        <v>582</v>
      </c>
      <c r="T1332" s="98">
        <v>0.20949551103698105</v>
      </c>
      <c r="U1332" s="80">
        <v>1.4441720811015024</v>
      </c>
      <c r="V1332" s="98">
        <v>1E-8</v>
      </c>
      <c r="W1332" s="98">
        <v>1E-8</v>
      </c>
      <c r="X1332" s="98">
        <v>1E-8</v>
      </c>
      <c r="Y1332" s="98">
        <v>1E-8</v>
      </c>
      <c r="Z1332" s="98">
        <v>1E-8</v>
      </c>
      <c r="AA1332" s="98">
        <v>1E-8</v>
      </c>
      <c r="AB1332" s="98">
        <v>1E-8</v>
      </c>
      <c r="AC1332" s="98">
        <v>1E-8</v>
      </c>
      <c r="AD1332" s="4"/>
    </row>
    <row r="1333" spans="1:30" x14ac:dyDescent="0.3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34"/>
      <c r="O1333" s="4"/>
      <c r="P1333" s="68"/>
      <c r="Q1333" s="68" t="s">
        <v>684</v>
      </c>
      <c r="R1333" s="108" t="s">
        <v>730</v>
      </c>
      <c r="S1333" s="108" t="s">
        <v>583</v>
      </c>
      <c r="T1333" s="98">
        <v>1.4263692557924172</v>
      </c>
      <c r="U1333" s="80">
        <v>3.1831452249490244</v>
      </c>
      <c r="V1333" s="98">
        <v>1E-8</v>
      </c>
      <c r="W1333" s="98">
        <v>1E-8</v>
      </c>
      <c r="X1333" s="98">
        <v>1E-8</v>
      </c>
      <c r="Y1333" s="98">
        <v>1E-8</v>
      </c>
      <c r="Z1333" s="98">
        <v>1E-8</v>
      </c>
      <c r="AA1333" s="98">
        <v>1E-8</v>
      </c>
      <c r="AB1333" s="98">
        <v>1E-8</v>
      </c>
      <c r="AC1333" s="98">
        <v>1E-8</v>
      </c>
      <c r="AD1333" s="4"/>
    </row>
    <row r="1334" spans="1:30" x14ac:dyDescent="0.3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34"/>
      <c r="O1334" s="4"/>
      <c r="P1334" s="68"/>
      <c r="Q1334" s="68" t="s">
        <v>685</v>
      </c>
      <c r="R1334" s="108" t="s">
        <v>730</v>
      </c>
      <c r="S1334" s="108" t="s">
        <v>584</v>
      </c>
      <c r="T1334" s="98">
        <v>0.14706068115238768</v>
      </c>
      <c r="U1334" s="80">
        <v>-8.4990908892634831E-2</v>
      </c>
      <c r="V1334" s="98">
        <v>1E-8</v>
      </c>
      <c r="W1334" s="98">
        <v>1E-8</v>
      </c>
      <c r="X1334" s="98">
        <v>1E-8</v>
      </c>
      <c r="Y1334" s="98">
        <v>1E-8</v>
      </c>
      <c r="Z1334" s="98">
        <v>1E-8</v>
      </c>
      <c r="AA1334" s="98">
        <v>1E-8</v>
      </c>
      <c r="AB1334" s="98">
        <v>1E-8</v>
      </c>
      <c r="AC1334" s="98">
        <v>1E-8</v>
      </c>
      <c r="AD1334" s="4"/>
    </row>
    <row r="1335" spans="1:30" x14ac:dyDescent="0.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34"/>
      <c r="O1335" s="4"/>
      <c r="P1335" s="68"/>
      <c r="Q1335" s="68" t="s">
        <v>686</v>
      </c>
      <c r="R1335" s="109" t="s">
        <v>730</v>
      </c>
      <c r="S1335" s="109" t="s">
        <v>585</v>
      </c>
      <c r="T1335" s="81">
        <v>2.2431104084928819</v>
      </c>
      <c r="U1335" s="82">
        <v>2.1774385950666053</v>
      </c>
      <c r="V1335" s="81">
        <v>1E-8</v>
      </c>
      <c r="W1335" s="81">
        <v>1E-8</v>
      </c>
      <c r="X1335" s="81">
        <v>1E-8</v>
      </c>
      <c r="Y1335" s="81">
        <v>1E-8</v>
      </c>
      <c r="Z1335" s="81">
        <v>1E-8</v>
      </c>
      <c r="AA1335" s="81">
        <v>1E-8</v>
      </c>
      <c r="AB1335" s="81">
        <v>1E-8</v>
      </c>
      <c r="AC1335" s="81">
        <v>1E-8</v>
      </c>
      <c r="AD1335" s="4"/>
    </row>
    <row r="1336" spans="1:30" x14ac:dyDescent="0.3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34"/>
      <c r="O1336" s="4"/>
      <c r="P1336" s="96"/>
      <c r="Q1336" s="96" t="s">
        <v>687</v>
      </c>
      <c r="R1336" s="107" t="s">
        <v>730</v>
      </c>
      <c r="S1336" s="107" t="s">
        <v>358</v>
      </c>
      <c r="T1336" s="97">
        <v>3.0196964544957625</v>
      </c>
      <c r="U1336" s="78">
        <v>1.1001938890816021</v>
      </c>
      <c r="V1336" s="97">
        <v>1E-8</v>
      </c>
      <c r="W1336" s="97">
        <v>1E-8</v>
      </c>
      <c r="X1336" s="97">
        <v>1E-8</v>
      </c>
      <c r="Y1336" s="97">
        <v>1E-8</v>
      </c>
      <c r="Z1336" s="97">
        <v>1E-8</v>
      </c>
      <c r="AA1336" s="97">
        <v>1E-8</v>
      </c>
      <c r="AB1336" s="97">
        <v>1E-8</v>
      </c>
      <c r="AC1336" s="97">
        <v>1E-8</v>
      </c>
      <c r="AD1336" s="4"/>
    </row>
    <row r="1337" spans="1:30" x14ac:dyDescent="0.3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34"/>
      <c r="O1337" s="4"/>
      <c r="P1337" s="96"/>
      <c r="Q1337" s="96" t="s">
        <v>688</v>
      </c>
      <c r="R1337" s="107" t="s">
        <v>730</v>
      </c>
      <c r="S1337" s="107" t="s">
        <v>359</v>
      </c>
      <c r="T1337" s="97">
        <v>0.36148336312487228</v>
      </c>
      <c r="U1337" s="78">
        <v>0.37063506336325602</v>
      </c>
      <c r="V1337" s="97">
        <v>1E-8</v>
      </c>
      <c r="W1337" s="97">
        <v>1E-8</v>
      </c>
      <c r="X1337" s="97">
        <v>1E-8</v>
      </c>
      <c r="Y1337" s="97">
        <v>1E-8</v>
      </c>
      <c r="Z1337" s="97">
        <v>1E-8</v>
      </c>
      <c r="AA1337" s="97">
        <v>1E-8</v>
      </c>
      <c r="AB1337" s="97">
        <v>1E-8</v>
      </c>
      <c r="AC1337" s="97">
        <v>1E-8</v>
      </c>
      <c r="AD1337" s="4"/>
    </row>
    <row r="1338" spans="1:30" x14ac:dyDescent="0.3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34"/>
      <c r="O1338" s="4"/>
      <c r="P1338" s="96"/>
      <c r="Q1338" s="96" t="s">
        <v>689</v>
      </c>
      <c r="R1338" s="107" t="s">
        <v>730</v>
      </c>
      <c r="S1338" s="107" t="s">
        <v>360</v>
      </c>
      <c r="T1338" s="97">
        <v>0.46751839143818602</v>
      </c>
      <c r="U1338" s="78">
        <v>-1.0441661110070499</v>
      </c>
      <c r="V1338" s="97">
        <v>1E-8</v>
      </c>
      <c r="W1338" s="97">
        <v>1E-8</v>
      </c>
      <c r="X1338" s="97">
        <v>1E-8</v>
      </c>
      <c r="Y1338" s="97">
        <v>1E-8</v>
      </c>
      <c r="Z1338" s="97">
        <v>1E-8</v>
      </c>
      <c r="AA1338" s="97">
        <v>1E-8</v>
      </c>
      <c r="AB1338" s="97">
        <v>1E-8</v>
      </c>
      <c r="AC1338" s="97">
        <v>1E-8</v>
      </c>
      <c r="AD1338" s="4"/>
    </row>
    <row r="1339" spans="1:30" x14ac:dyDescent="0.3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34"/>
      <c r="O1339" s="4"/>
      <c r="P1339" s="96"/>
      <c r="Q1339" s="96" t="s">
        <v>205</v>
      </c>
      <c r="R1339" s="107" t="s">
        <v>730</v>
      </c>
      <c r="S1339" s="107" t="s">
        <v>586</v>
      </c>
      <c r="T1339" s="97">
        <v>10.688765974923058</v>
      </c>
      <c r="U1339" s="78">
        <v>0.98284337505150088</v>
      </c>
      <c r="V1339" s="97">
        <v>1E-8</v>
      </c>
      <c r="W1339" s="97">
        <v>1E-8</v>
      </c>
      <c r="X1339" s="97">
        <v>1E-8</v>
      </c>
      <c r="Y1339" s="97">
        <v>1E-8</v>
      </c>
      <c r="Z1339" s="97">
        <v>1E-8</v>
      </c>
      <c r="AA1339" s="97">
        <v>1E-8</v>
      </c>
      <c r="AB1339" s="97">
        <v>1E-8</v>
      </c>
      <c r="AC1339" s="97">
        <v>1E-8</v>
      </c>
      <c r="AD1339" s="4"/>
    </row>
    <row r="1340" spans="1:30" x14ac:dyDescent="0.3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34"/>
      <c r="O1340" s="4"/>
      <c r="P1340" s="68"/>
      <c r="Q1340" s="68" t="s">
        <v>690</v>
      </c>
      <c r="R1340" s="108" t="s">
        <v>730</v>
      </c>
      <c r="S1340" s="108" t="s">
        <v>587</v>
      </c>
      <c r="T1340" s="98">
        <v>0.56521441142745399</v>
      </c>
      <c r="U1340" s="80">
        <v>0.63954306540092709</v>
      </c>
      <c r="V1340" s="98">
        <v>1E-8</v>
      </c>
      <c r="W1340" s="98">
        <v>1E-8</v>
      </c>
      <c r="X1340" s="98">
        <v>1E-8</v>
      </c>
      <c r="Y1340" s="98">
        <v>1E-8</v>
      </c>
      <c r="Z1340" s="98">
        <v>1E-8</v>
      </c>
      <c r="AA1340" s="98">
        <v>1E-8</v>
      </c>
      <c r="AB1340" s="98">
        <v>1E-8</v>
      </c>
      <c r="AC1340" s="98">
        <v>1E-8</v>
      </c>
      <c r="AD1340" s="4"/>
    </row>
    <row r="1341" spans="1:30" x14ac:dyDescent="0.3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34"/>
      <c r="O1341" s="4"/>
      <c r="P1341" s="68"/>
      <c r="Q1341" s="68" t="s">
        <v>691</v>
      </c>
      <c r="R1341" s="108" t="s">
        <v>730</v>
      </c>
      <c r="S1341" s="108" t="s">
        <v>588</v>
      </c>
      <c r="T1341" s="98">
        <v>0.17518928325115557</v>
      </c>
      <c r="U1341" s="80">
        <v>1.1733307325084263</v>
      </c>
      <c r="V1341" s="98">
        <v>1E-8</v>
      </c>
      <c r="W1341" s="98">
        <v>1E-8</v>
      </c>
      <c r="X1341" s="98">
        <v>1E-8</v>
      </c>
      <c r="Y1341" s="98">
        <v>1E-8</v>
      </c>
      <c r="Z1341" s="98">
        <v>1E-8</v>
      </c>
      <c r="AA1341" s="98">
        <v>1E-8</v>
      </c>
      <c r="AB1341" s="98">
        <v>1E-8</v>
      </c>
      <c r="AC1341" s="98">
        <v>1E-8</v>
      </c>
      <c r="AD1341" s="4"/>
    </row>
    <row r="1342" spans="1:30" x14ac:dyDescent="0.3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34"/>
      <c r="O1342" s="4"/>
      <c r="P1342" s="68"/>
      <c r="Q1342" s="68" t="s">
        <v>692</v>
      </c>
      <c r="R1342" s="108" t="s">
        <v>730</v>
      </c>
      <c r="S1342" s="108" t="s">
        <v>589</v>
      </c>
      <c r="T1342" s="98">
        <v>0.78189561631966409</v>
      </c>
      <c r="U1342" s="80">
        <v>2.7823974048070355</v>
      </c>
      <c r="V1342" s="98">
        <v>1E-8</v>
      </c>
      <c r="W1342" s="98">
        <v>1E-8</v>
      </c>
      <c r="X1342" s="98">
        <v>1E-8</v>
      </c>
      <c r="Y1342" s="98">
        <v>1E-8</v>
      </c>
      <c r="Z1342" s="98">
        <v>1E-8</v>
      </c>
      <c r="AA1342" s="98">
        <v>1E-8</v>
      </c>
      <c r="AB1342" s="98">
        <v>1E-8</v>
      </c>
      <c r="AC1342" s="98">
        <v>1E-8</v>
      </c>
      <c r="AD1342" s="4"/>
    </row>
    <row r="1343" spans="1:30" x14ac:dyDescent="0.3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34"/>
      <c r="O1343" s="4"/>
      <c r="P1343" s="68"/>
      <c r="Q1343" s="68" t="s">
        <v>693</v>
      </c>
      <c r="R1343" s="108" t="s">
        <v>730</v>
      </c>
      <c r="S1343" s="108" t="s">
        <v>361</v>
      </c>
      <c r="T1343" s="98">
        <v>3.6614743487495889</v>
      </c>
      <c r="U1343" s="80">
        <v>0.28653873029693688</v>
      </c>
      <c r="V1343" s="98">
        <v>1E-8</v>
      </c>
      <c r="W1343" s="98">
        <v>1E-8</v>
      </c>
      <c r="X1343" s="98">
        <v>1E-8</v>
      </c>
      <c r="Y1343" s="98">
        <v>1E-8</v>
      </c>
      <c r="Z1343" s="98">
        <v>1E-8</v>
      </c>
      <c r="AA1343" s="98">
        <v>1E-8</v>
      </c>
      <c r="AB1343" s="98">
        <v>1E-8</v>
      </c>
      <c r="AC1343" s="98">
        <v>1E-8</v>
      </c>
      <c r="AD1343" s="4"/>
    </row>
    <row r="1344" spans="1:30" x14ac:dyDescent="0.3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34"/>
      <c r="O1344" s="4"/>
      <c r="P1344" s="68"/>
      <c r="Q1344" s="68" t="s">
        <v>694</v>
      </c>
      <c r="R1344" s="108" t="s">
        <v>730</v>
      </c>
      <c r="S1344" s="108" t="s">
        <v>590</v>
      </c>
      <c r="T1344" s="98">
        <v>5.5049923151751958</v>
      </c>
      <c r="U1344" s="80">
        <v>1.2195567168188148</v>
      </c>
      <c r="V1344" s="98">
        <v>1E-8</v>
      </c>
      <c r="W1344" s="98">
        <v>1E-8</v>
      </c>
      <c r="X1344" s="98">
        <v>1E-8</v>
      </c>
      <c r="Y1344" s="98">
        <v>1E-8</v>
      </c>
      <c r="Z1344" s="98">
        <v>1E-8</v>
      </c>
      <c r="AA1344" s="98">
        <v>1E-8</v>
      </c>
      <c r="AB1344" s="98">
        <v>1E-8</v>
      </c>
      <c r="AC1344" s="98">
        <v>1E-8</v>
      </c>
      <c r="AD1344" s="4"/>
    </row>
    <row r="1345" spans="1:30" ht="15" thickBot="1" x14ac:dyDescent="0.4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34"/>
      <c r="O1345" s="4"/>
      <c r="P1345" s="102"/>
      <c r="Q1345" s="102" t="s">
        <v>695</v>
      </c>
      <c r="R1345" s="113" t="s">
        <v>730</v>
      </c>
      <c r="S1345" s="113" t="s">
        <v>591</v>
      </c>
      <c r="T1345" s="103">
        <v>1E-8</v>
      </c>
      <c r="U1345" s="104">
        <v>1E-8</v>
      </c>
      <c r="V1345" s="103">
        <v>1E-8</v>
      </c>
      <c r="W1345" s="103">
        <v>1E-8</v>
      </c>
      <c r="X1345" s="103">
        <v>1E-8</v>
      </c>
      <c r="Y1345" s="103">
        <v>1E-8</v>
      </c>
      <c r="Z1345" s="103">
        <v>1E-8</v>
      </c>
      <c r="AA1345" s="103">
        <v>1E-8</v>
      </c>
      <c r="AB1345" s="103">
        <v>1E-8</v>
      </c>
      <c r="AC1345" s="103">
        <v>1E-8</v>
      </c>
      <c r="AD1345" s="4"/>
    </row>
    <row r="1346" spans="1:30" x14ac:dyDescent="0.3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34"/>
      <c r="O1346" s="4"/>
      <c r="P1346" s="47" t="s">
        <v>727</v>
      </c>
      <c r="Q1346" s="47" t="s">
        <v>102</v>
      </c>
      <c r="R1346" s="105" t="s">
        <v>731</v>
      </c>
      <c r="S1346" s="105" t="s">
        <v>288</v>
      </c>
      <c r="T1346" s="95">
        <v>100</v>
      </c>
      <c r="U1346" s="74">
        <v>1E-8</v>
      </c>
      <c r="V1346" s="95">
        <v>1E-8</v>
      </c>
      <c r="W1346" s="95">
        <v>1E-8</v>
      </c>
      <c r="X1346" s="95">
        <v>1E-8</v>
      </c>
      <c r="Y1346" s="95">
        <v>1E-8</v>
      </c>
      <c r="Z1346" s="95">
        <v>1E-8</v>
      </c>
      <c r="AA1346" s="95">
        <v>1E-8</v>
      </c>
      <c r="AB1346" s="95">
        <v>1E-8</v>
      </c>
      <c r="AC1346" s="95">
        <v>1E-8</v>
      </c>
      <c r="AD1346" s="4"/>
    </row>
    <row r="1347" spans="1:30" x14ac:dyDescent="0.3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34"/>
      <c r="O1347" s="4"/>
      <c r="P1347" s="47" t="s">
        <v>476</v>
      </c>
      <c r="Q1347" s="47" t="s">
        <v>278</v>
      </c>
      <c r="R1347" s="106" t="s">
        <v>731</v>
      </c>
      <c r="S1347" s="106" t="s">
        <v>289</v>
      </c>
      <c r="T1347" s="75">
        <v>4.1567974330585473</v>
      </c>
      <c r="U1347" s="76">
        <v>0.22995925258395555</v>
      </c>
      <c r="V1347" s="75">
        <v>1E-8</v>
      </c>
      <c r="W1347" s="75">
        <v>1E-8</v>
      </c>
      <c r="X1347" s="75">
        <v>1E-8</v>
      </c>
      <c r="Y1347" s="75">
        <v>1E-8</v>
      </c>
      <c r="Z1347" s="75">
        <v>1E-8</v>
      </c>
      <c r="AA1347" s="75">
        <v>1E-8</v>
      </c>
      <c r="AB1347" s="75">
        <v>1E-8</v>
      </c>
      <c r="AC1347" s="75">
        <v>1E-8</v>
      </c>
      <c r="AD1347" s="4"/>
    </row>
    <row r="1348" spans="1:30" x14ac:dyDescent="0.3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34"/>
      <c r="O1348" s="4"/>
      <c r="P1348" s="96"/>
      <c r="Q1348" s="96" t="s">
        <v>279</v>
      </c>
      <c r="R1348" s="107" t="s">
        <v>731</v>
      </c>
      <c r="S1348" s="107" t="s">
        <v>290</v>
      </c>
      <c r="T1348" s="97">
        <v>1.1822760008438498</v>
      </c>
      <c r="U1348" s="78">
        <v>4.3947952671929968E-2</v>
      </c>
      <c r="V1348" s="97">
        <v>1E-8</v>
      </c>
      <c r="W1348" s="97">
        <v>1E-8</v>
      </c>
      <c r="X1348" s="97">
        <v>1E-8</v>
      </c>
      <c r="Y1348" s="97">
        <v>1E-8</v>
      </c>
      <c r="Z1348" s="97">
        <v>1E-8</v>
      </c>
      <c r="AA1348" s="97">
        <v>1E-8</v>
      </c>
      <c r="AB1348" s="97">
        <v>1E-8</v>
      </c>
      <c r="AC1348" s="97">
        <v>1E-8</v>
      </c>
      <c r="AD1348" s="4"/>
    </row>
    <row r="1349" spans="1:30" x14ac:dyDescent="0.3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34"/>
      <c r="O1349" s="4"/>
      <c r="P1349" s="96"/>
      <c r="Q1349" s="96" t="s">
        <v>362</v>
      </c>
      <c r="R1349" s="107" t="s">
        <v>731</v>
      </c>
      <c r="S1349" s="107" t="s">
        <v>291</v>
      </c>
      <c r="T1349" s="97">
        <v>1.1817930534837626</v>
      </c>
      <c r="U1349" s="78">
        <v>4.333017829456498E-2</v>
      </c>
      <c r="V1349" s="97">
        <v>1E-8</v>
      </c>
      <c r="W1349" s="97">
        <v>1E-8</v>
      </c>
      <c r="X1349" s="97">
        <v>1E-8</v>
      </c>
      <c r="Y1349" s="97">
        <v>1E-8</v>
      </c>
      <c r="Z1349" s="97">
        <v>1E-8</v>
      </c>
      <c r="AA1349" s="97">
        <v>1E-8</v>
      </c>
      <c r="AB1349" s="97">
        <v>1E-8</v>
      </c>
      <c r="AC1349" s="97">
        <v>1E-8</v>
      </c>
      <c r="AD1349" s="4"/>
    </row>
    <row r="1350" spans="1:30" x14ac:dyDescent="0.3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34"/>
      <c r="O1350" s="4"/>
      <c r="P1350" s="96"/>
      <c r="Q1350" s="96" t="s">
        <v>363</v>
      </c>
      <c r="R1350" s="107" t="s">
        <v>731</v>
      </c>
      <c r="S1350" s="107" t="s">
        <v>292</v>
      </c>
      <c r="T1350" s="97">
        <v>4.8294736008715336E-4</v>
      </c>
      <c r="U1350" s="78">
        <v>1.5556685419762628</v>
      </c>
      <c r="V1350" s="97">
        <v>1E-8</v>
      </c>
      <c r="W1350" s="97">
        <v>1E-8</v>
      </c>
      <c r="X1350" s="97">
        <v>1E-8</v>
      </c>
      <c r="Y1350" s="97">
        <v>1E-8</v>
      </c>
      <c r="Z1350" s="97">
        <v>1E-8</v>
      </c>
      <c r="AA1350" s="97">
        <v>1E-8</v>
      </c>
      <c r="AB1350" s="97">
        <v>1E-8</v>
      </c>
      <c r="AC1350" s="97">
        <v>1E-8</v>
      </c>
      <c r="AD1350" s="4"/>
    </row>
    <row r="1351" spans="1:30" x14ac:dyDescent="0.3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34"/>
      <c r="O1351" s="4"/>
      <c r="P1351" s="68"/>
      <c r="Q1351" s="68" t="s">
        <v>592</v>
      </c>
      <c r="R1351" s="108" t="s">
        <v>731</v>
      </c>
      <c r="S1351" s="108" t="s">
        <v>294</v>
      </c>
      <c r="T1351" s="98">
        <v>5.9780087272419347E-2</v>
      </c>
      <c r="U1351" s="80">
        <v>1.1522954040780631</v>
      </c>
      <c r="V1351" s="98">
        <v>1E-8</v>
      </c>
      <c r="W1351" s="98">
        <v>1E-8</v>
      </c>
      <c r="X1351" s="98">
        <v>1E-8</v>
      </c>
      <c r="Y1351" s="98">
        <v>1E-8</v>
      </c>
      <c r="Z1351" s="98">
        <v>1E-8</v>
      </c>
      <c r="AA1351" s="98">
        <v>1E-8</v>
      </c>
      <c r="AB1351" s="98">
        <v>1E-8</v>
      </c>
      <c r="AC1351" s="98">
        <v>1E-8</v>
      </c>
      <c r="AD1351" s="4"/>
    </row>
    <row r="1352" spans="1:30" x14ac:dyDescent="0.3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34"/>
      <c r="O1352" s="4"/>
      <c r="P1352" s="68"/>
      <c r="Q1352" s="68" t="s">
        <v>593</v>
      </c>
      <c r="R1352" s="108" t="s">
        <v>731</v>
      </c>
      <c r="S1352" s="108" t="s">
        <v>293</v>
      </c>
      <c r="T1352" s="98">
        <v>0.10506253056444975</v>
      </c>
      <c r="U1352" s="80">
        <v>2.0992451795122102</v>
      </c>
      <c r="V1352" s="98">
        <v>1E-8</v>
      </c>
      <c r="W1352" s="98">
        <v>1E-8</v>
      </c>
      <c r="X1352" s="98">
        <v>1E-8</v>
      </c>
      <c r="Y1352" s="98">
        <v>1E-8</v>
      </c>
      <c r="Z1352" s="98">
        <v>1E-8</v>
      </c>
      <c r="AA1352" s="98">
        <v>1E-8</v>
      </c>
      <c r="AB1352" s="98">
        <v>1E-8</v>
      </c>
      <c r="AC1352" s="98">
        <v>1E-8</v>
      </c>
      <c r="AD1352" s="4"/>
    </row>
    <row r="1353" spans="1:30" x14ac:dyDescent="0.3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34"/>
      <c r="O1353" s="4"/>
      <c r="P1353" s="68"/>
      <c r="Q1353" s="68" t="s">
        <v>594</v>
      </c>
      <c r="R1353" s="108" t="s">
        <v>731</v>
      </c>
      <c r="S1353" s="108" t="s">
        <v>296</v>
      </c>
      <c r="T1353" s="98">
        <v>7.6094328921888141E-4</v>
      </c>
      <c r="U1353" s="80">
        <v>3.1547550300172311</v>
      </c>
      <c r="V1353" s="98">
        <v>1E-8</v>
      </c>
      <c r="W1353" s="98">
        <v>1E-8</v>
      </c>
      <c r="X1353" s="98">
        <v>1E-8</v>
      </c>
      <c r="Y1353" s="98">
        <v>1E-8</v>
      </c>
      <c r="Z1353" s="98">
        <v>1E-8</v>
      </c>
      <c r="AA1353" s="98">
        <v>1E-8</v>
      </c>
      <c r="AB1353" s="98">
        <v>1E-8</v>
      </c>
      <c r="AC1353" s="98">
        <v>1E-8</v>
      </c>
      <c r="AD1353" s="4"/>
    </row>
    <row r="1354" spans="1:30" x14ac:dyDescent="0.3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34"/>
      <c r="O1354" s="4"/>
      <c r="P1354" s="68"/>
      <c r="Q1354" s="68" t="s">
        <v>595</v>
      </c>
      <c r="R1354" s="108" t="s">
        <v>731</v>
      </c>
      <c r="S1354" s="108" t="s">
        <v>295</v>
      </c>
      <c r="T1354" s="98">
        <v>1.8709249398580135E-2</v>
      </c>
      <c r="U1354" s="80">
        <v>0.48691919340444478</v>
      </c>
      <c r="V1354" s="98">
        <v>1E-8</v>
      </c>
      <c r="W1354" s="98">
        <v>1E-8</v>
      </c>
      <c r="X1354" s="98">
        <v>1E-8</v>
      </c>
      <c r="Y1354" s="98">
        <v>1E-8</v>
      </c>
      <c r="Z1354" s="98">
        <v>1E-8</v>
      </c>
      <c r="AA1354" s="98">
        <v>1E-8</v>
      </c>
      <c r="AB1354" s="98">
        <v>1E-8</v>
      </c>
      <c r="AC1354" s="98">
        <v>1E-8</v>
      </c>
      <c r="AD1354" s="4"/>
    </row>
    <row r="1355" spans="1:30" x14ac:dyDescent="0.3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34"/>
      <c r="O1355" s="4"/>
      <c r="P1355" s="68"/>
      <c r="Q1355" s="68" t="s">
        <v>596</v>
      </c>
      <c r="R1355" s="108" t="s">
        <v>731</v>
      </c>
      <c r="S1355" s="108" t="s">
        <v>297</v>
      </c>
      <c r="T1355" s="98">
        <v>4.8260574498047505E-5</v>
      </c>
      <c r="U1355" s="80">
        <v>3.1642613015585797</v>
      </c>
      <c r="V1355" s="98">
        <v>1E-8</v>
      </c>
      <c r="W1355" s="98">
        <v>1E-8</v>
      </c>
      <c r="X1355" s="98">
        <v>1E-8</v>
      </c>
      <c r="Y1355" s="98">
        <v>1E-8</v>
      </c>
      <c r="Z1355" s="98">
        <v>1E-8</v>
      </c>
      <c r="AA1355" s="98">
        <v>1E-8</v>
      </c>
      <c r="AB1355" s="98">
        <v>1E-8</v>
      </c>
      <c r="AC1355" s="98">
        <v>1E-8</v>
      </c>
      <c r="AD1355" s="4"/>
    </row>
    <row r="1356" spans="1:30" x14ac:dyDescent="0.3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34"/>
      <c r="O1356" s="4"/>
      <c r="P1356" s="68"/>
      <c r="Q1356" s="68" t="s">
        <v>597</v>
      </c>
      <c r="R1356" s="108" t="s">
        <v>731</v>
      </c>
      <c r="S1356" s="108" t="s">
        <v>301</v>
      </c>
      <c r="T1356" s="98">
        <v>4.7915089747735111E-2</v>
      </c>
      <c r="U1356" s="80">
        <v>-1.1584181173902364</v>
      </c>
      <c r="V1356" s="98">
        <v>1E-8</v>
      </c>
      <c r="W1356" s="98">
        <v>1E-8</v>
      </c>
      <c r="X1356" s="98">
        <v>1E-8</v>
      </c>
      <c r="Y1356" s="98">
        <v>1E-8</v>
      </c>
      <c r="Z1356" s="98">
        <v>1E-8</v>
      </c>
      <c r="AA1356" s="98">
        <v>1E-8</v>
      </c>
      <c r="AB1356" s="98">
        <v>1E-8</v>
      </c>
      <c r="AC1356" s="98">
        <v>1E-8</v>
      </c>
      <c r="AD1356" s="4"/>
    </row>
    <row r="1357" spans="1:30" x14ac:dyDescent="0.3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34"/>
      <c r="O1357" s="4"/>
      <c r="P1357" s="68"/>
      <c r="Q1357" s="68" t="s">
        <v>598</v>
      </c>
      <c r="R1357" s="108" t="s">
        <v>731</v>
      </c>
      <c r="S1357" s="108" t="s">
        <v>302</v>
      </c>
      <c r="T1357" s="98">
        <v>4.5690089496948444E-2</v>
      </c>
      <c r="U1357" s="80">
        <v>-2.0756421622214249</v>
      </c>
      <c r="V1357" s="98">
        <v>1E-8</v>
      </c>
      <c r="W1357" s="98">
        <v>1E-8</v>
      </c>
      <c r="X1357" s="98">
        <v>1E-8</v>
      </c>
      <c r="Y1357" s="98">
        <v>1E-8</v>
      </c>
      <c r="Z1357" s="98">
        <v>1E-8</v>
      </c>
      <c r="AA1357" s="98">
        <v>1E-8</v>
      </c>
      <c r="AB1357" s="98">
        <v>1E-8</v>
      </c>
      <c r="AC1357" s="98">
        <v>1E-8</v>
      </c>
      <c r="AD1357" s="4"/>
    </row>
    <row r="1358" spans="1:30" x14ac:dyDescent="0.35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34"/>
      <c r="O1358" s="4"/>
      <c r="P1358" s="68"/>
      <c r="Q1358" s="68" t="s">
        <v>599</v>
      </c>
      <c r="R1358" s="108" t="s">
        <v>731</v>
      </c>
      <c r="S1358" s="108" t="s">
        <v>300</v>
      </c>
      <c r="T1358" s="98">
        <v>6.4922273144954037E-2</v>
      </c>
      <c r="U1358" s="80">
        <v>0.31754968781725346</v>
      </c>
      <c r="V1358" s="98">
        <v>1E-8</v>
      </c>
      <c r="W1358" s="98">
        <v>1E-8</v>
      </c>
      <c r="X1358" s="98">
        <v>1E-8</v>
      </c>
      <c r="Y1358" s="98">
        <v>1E-8</v>
      </c>
      <c r="Z1358" s="98">
        <v>1E-8</v>
      </c>
      <c r="AA1358" s="98">
        <v>1E-8</v>
      </c>
      <c r="AB1358" s="98">
        <v>1E-8</v>
      </c>
      <c r="AC1358" s="98">
        <v>1E-8</v>
      </c>
      <c r="AD1358" s="4"/>
    </row>
    <row r="1359" spans="1:30" x14ac:dyDescent="0.3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34"/>
      <c r="O1359" s="4"/>
      <c r="P1359" s="68"/>
      <c r="Q1359" s="68" t="s">
        <v>600</v>
      </c>
      <c r="R1359" s="108" t="s">
        <v>731</v>
      </c>
      <c r="S1359" s="108" t="s">
        <v>303</v>
      </c>
      <c r="T1359" s="98">
        <v>9.4662775095075737E-3</v>
      </c>
      <c r="U1359" s="80">
        <v>-1.741715815848055</v>
      </c>
      <c r="V1359" s="98">
        <v>1E-8</v>
      </c>
      <c r="W1359" s="98">
        <v>1E-8</v>
      </c>
      <c r="X1359" s="98">
        <v>1E-8</v>
      </c>
      <c r="Y1359" s="98">
        <v>1E-8</v>
      </c>
      <c r="Z1359" s="98">
        <v>1E-8</v>
      </c>
      <c r="AA1359" s="98">
        <v>1E-8</v>
      </c>
      <c r="AB1359" s="98">
        <v>1E-8</v>
      </c>
      <c r="AC1359" s="98">
        <v>1E-8</v>
      </c>
      <c r="AD1359" s="4"/>
    </row>
    <row r="1360" spans="1:30" x14ac:dyDescent="0.35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34"/>
      <c r="O1360" s="4"/>
      <c r="P1360" s="68"/>
      <c r="Q1360" s="68" t="s">
        <v>601</v>
      </c>
      <c r="R1360" s="108" t="s">
        <v>731</v>
      </c>
      <c r="S1360" s="108" t="s">
        <v>533</v>
      </c>
      <c r="T1360" s="98">
        <v>0.39177426105687096</v>
      </c>
      <c r="U1360" s="80">
        <v>-7.7709300179962248E-2</v>
      </c>
      <c r="V1360" s="98">
        <v>1E-8</v>
      </c>
      <c r="W1360" s="98">
        <v>1E-8</v>
      </c>
      <c r="X1360" s="98">
        <v>1E-8</v>
      </c>
      <c r="Y1360" s="98">
        <v>1E-8</v>
      </c>
      <c r="Z1360" s="98">
        <v>1E-8</v>
      </c>
      <c r="AA1360" s="98">
        <v>1E-8</v>
      </c>
      <c r="AB1360" s="98">
        <v>1E-8</v>
      </c>
      <c r="AC1360" s="98">
        <v>1E-8</v>
      </c>
      <c r="AD1360" s="4"/>
    </row>
    <row r="1361" spans="1:30" x14ac:dyDescent="0.3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34"/>
      <c r="O1361" s="4"/>
      <c r="P1361" s="68"/>
      <c r="Q1361" s="68" t="s">
        <v>602</v>
      </c>
      <c r="R1361" s="108" t="s">
        <v>731</v>
      </c>
      <c r="S1361" s="108" t="s">
        <v>534</v>
      </c>
      <c r="T1361" s="98">
        <v>3.626446424555177E-2</v>
      </c>
      <c r="U1361" s="80">
        <v>-0.75686317709450224</v>
      </c>
      <c r="V1361" s="98">
        <v>1E-8</v>
      </c>
      <c r="W1361" s="98">
        <v>1E-8</v>
      </c>
      <c r="X1361" s="98">
        <v>1E-8</v>
      </c>
      <c r="Y1361" s="98">
        <v>1E-8</v>
      </c>
      <c r="Z1361" s="98">
        <v>1E-8</v>
      </c>
      <c r="AA1361" s="98">
        <v>1E-8</v>
      </c>
      <c r="AB1361" s="98">
        <v>1E-8</v>
      </c>
      <c r="AC1361" s="98">
        <v>1E-8</v>
      </c>
      <c r="AD1361" s="4"/>
    </row>
    <row r="1362" spans="1:30" x14ac:dyDescent="0.3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34"/>
      <c r="O1362" s="4"/>
      <c r="P1362" s="68"/>
      <c r="Q1362" s="68" t="s">
        <v>603</v>
      </c>
      <c r="R1362" s="108" t="s">
        <v>731</v>
      </c>
      <c r="S1362" s="108" t="s">
        <v>304</v>
      </c>
      <c r="T1362" s="98">
        <v>0.20180701128135786</v>
      </c>
      <c r="U1362" s="80">
        <v>-0.38427203900339713</v>
      </c>
      <c r="V1362" s="98">
        <v>1E-8</v>
      </c>
      <c r="W1362" s="98">
        <v>1E-8</v>
      </c>
      <c r="X1362" s="98">
        <v>1E-8</v>
      </c>
      <c r="Y1362" s="98">
        <v>1E-8</v>
      </c>
      <c r="Z1362" s="98">
        <v>1E-8</v>
      </c>
      <c r="AA1362" s="98">
        <v>1E-8</v>
      </c>
      <c r="AB1362" s="98">
        <v>1E-8</v>
      </c>
      <c r="AC1362" s="98">
        <v>1E-8</v>
      </c>
      <c r="AD1362" s="4"/>
    </row>
    <row r="1363" spans="1:30" x14ac:dyDescent="0.3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34"/>
      <c r="O1363" s="4"/>
      <c r="P1363" s="68"/>
      <c r="Q1363" s="68" t="s">
        <v>604</v>
      </c>
      <c r="R1363" s="108" t="s">
        <v>731</v>
      </c>
      <c r="S1363" s="108" t="s">
        <v>535</v>
      </c>
      <c r="T1363" s="98">
        <v>1.8529301124505397E-2</v>
      </c>
      <c r="U1363" s="80">
        <v>-0.16169916239394677</v>
      </c>
      <c r="V1363" s="98">
        <v>1E-8</v>
      </c>
      <c r="W1363" s="98">
        <v>1E-8</v>
      </c>
      <c r="X1363" s="98">
        <v>1E-8</v>
      </c>
      <c r="Y1363" s="98">
        <v>1E-8</v>
      </c>
      <c r="Z1363" s="98">
        <v>1E-8</v>
      </c>
      <c r="AA1363" s="98">
        <v>1E-8</v>
      </c>
      <c r="AB1363" s="98">
        <v>1E-8</v>
      </c>
      <c r="AC1363" s="98">
        <v>1E-8</v>
      </c>
      <c r="AD1363" s="4"/>
    </row>
    <row r="1364" spans="1:30" x14ac:dyDescent="0.35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34"/>
      <c r="O1364" s="4"/>
      <c r="P1364" s="68"/>
      <c r="Q1364" s="68" t="s">
        <v>605</v>
      </c>
      <c r="R1364" s="108" t="s">
        <v>731</v>
      </c>
      <c r="S1364" s="108" t="s">
        <v>536</v>
      </c>
      <c r="T1364" s="98">
        <v>0.12129504980161528</v>
      </c>
      <c r="U1364" s="80">
        <v>-0.33907670432968828</v>
      </c>
      <c r="V1364" s="98">
        <v>1E-8</v>
      </c>
      <c r="W1364" s="98">
        <v>1E-8</v>
      </c>
      <c r="X1364" s="98">
        <v>1E-8</v>
      </c>
      <c r="Y1364" s="98">
        <v>1E-8</v>
      </c>
      <c r="Z1364" s="98">
        <v>1E-8</v>
      </c>
      <c r="AA1364" s="98">
        <v>1E-8</v>
      </c>
      <c r="AB1364" s="98">
        <v>1E-8</v>
      </c>
      <c r="AC1364" s="98">
        <v>1E-8</v>
      </c>
      <c r="AD1364" s="4"/>
    </row>
    <row r="1365" spans="1:30" x14ac:dyDescent="0.3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34"/>
      <c r="O1365" s="4"/>
      <c r="P1365" s="68"/>
      <c r="Q1365" s="68" t="s">
        <v>606</v>
      </c>
      <c r="R1365" s="108" t="s">
        <v>731</v>
      </c>
      <c r="S1365" s="108" t="s">
        <v>537</v>
      </c>
      <c r="T1365" s="98">
        <v>3.3460777992437095E-2</v>
      </c>
      <c r="U1365" s="80">
        <v>0.4389493488125451</v>
      </c>
      <c r="V1365" s="98">
        <v>1E-8</v>
      </c>
      <c r="W1365" s="98">
        <v>1E-8</v>
      </c>
      <c r="X1365" s="98">
        <v>1E-8</v>
      </c>
      <c r="Y1365" s="98">
        <v>1E-8</v>
      </c>
      <c r="Z1365" s="98">
        <v>1E-8</v>
      </c>
      <c r="AA1365" s="98">
        <v>1E-8</v>
      </c>
      <c r="AB1365" s="98">
        <v>1E-8</v>
      </c>
      <c r="AC1365" s="98">
        <v>1E-8</v>
      </c>
      <c r="AD1365" s="4"/>
    </row>
    <row r="1366" spans="1:30" x14ac:dyDescent="0.3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34"/>
      <c r="O1366" s="4"/>
      <c r="P1366" s="68"/>
      <c r="Q1366" s="68" t="s">
        <v>607</v>
      </c>
      <c r="R1366" s="108" t="s">
        <v>731</v>
      </c>
      <c r="S1366" s="108" t="s">
        <v>307</v>
      </c>
      <c r="T1366" s="98">
        <v>2.1364418704568632E-2</v>
      </c>
      <c r="U1366" s="80">
        <v>1.9732251771070075</v>
      </c>
      <c r="V1366" s="98">
        <v>1E-8</v>
      </c>
      <c r="W1366" s="98">
        <v>1E-8</v>
      </c>
      <c r="X1366" s="98">
        <v>1E-8</v>
      </c>
      <c r="Y1366" s="98">
        <v>1E-8</v>
      </c>
      <c r="Z1366" s="98">
        <v>1E-8</v>
      </c>
      <c r="AA1366" s="98">
        <v>1E-8</v>
      </c>
      <c r="AB1366" s="98">
        <v>1E-8</v>
      </c>
      <c r="AC1366" s="98">
        <v>1E-8</v>
      </c>
      <c r="AD1366" s="4"/>
    </row>
    <row r="1367" spans="1:30" x14ac:dyDescent="0.35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34"/>
      <c r="O1367" s="4"/>
      <c r="P1367" s="68"/>
      <c r="Q1367" s="68" t="s">
        <v>608</v>
      </c>
      <c r="R1367" s="108" t="s">
        <v>731</v>
      </c>
      <c r="S1367" s="108" t="s">
        <v>298</v>
      </c>
      <c r="T1367" s="98">
        <v>2.9800548414050197E-3</v>
      </c>
      <c r="U1367" s="80">
        <v>5.380279965538981</v>
      </c>
      <c r="V1367" s="98">
        <v>1E-8</v>
      </c>
      <c r="W1367" s="98">
        <v>1E-8</v>
      </c>
      <c r="X1367" s="98">
        <v>1E-8</v>
      </c>
      <c r="Y1367" s="98">
        <v>1E-8</v>
      </c>
      <c r="Z1367" s="98">
        <v>1E-8</v>
      </c>
      <c r="AA1367" s="98">
        <v>1E-8</v>
      </c>
      <c r="AB1367" s="98">
        <v>1E-8</v>
      </c>
      <c r="AC1367" s="98">
        <v>1E-8</v>
      </c>
      <c r="AD1367" s="4"/>
    </row>
    <row r="1368" spans="1:30" x14ac:dyDescent="0.3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34"/>
      <c r="O1368" s="4"/>
      <c r="P1368" s="68"/>
      <c r="Q1368" s="68" t="s">
        <v>609</v>
      </c>
      <c r="R1368" s="108" t="s">
        <v>731</v>
      </c>
      <c r="S1368" s="108" t="s">
        <v>538</v>
      </c>
      <c r="T1368" s="98">
        <v>1.9629134371391258E-3</v>
      </c>
      <c r="U1368" s="80">
        <v>1.5326146274203811</v>
      </c>
      <c r="V1368" s="98">
        <v>1E-8</v>
      </c>
      <c r="W1368" s="98">
        <v>1E-8</v>
      </c>
      <c r="X1368" s="98">
        <v>1E-8</v>
      </c>
      <c r="Y1368" s="98">
        <v>1E-8</v>
      </c>
      <c r="Z1368" s="98">
        <v>1E-8</v>
      </c>
      <c r="AA1368" s="98">
        <v>1E-8</v>
      </c>
      <c r="AB1368" s="98">
        <v>1E-8</v>
      </c>
      <c r="AC1368" s="98">
        <v>1E-8</v>
      </c>
      <c r="AD1368" s="4"/>
    </row>
    <row r="1369" spans="1:30" x14ac:dyDescent="0.35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34"/>
      <c r="O1369" s="4"/>
      <c r="P1369" s="68"/>
      <c r="Q1369" s="68" t="s">
        <v>610</v>
      </c>
      <c r="R1369" s="108" t="s">
        <v>731</v>
      </c>
      <c r="S1369" s="108" t="s">
        <v>299</v>
      </c>
      <c r="T1369" s="98">
        <v>1E-8</v>
      </c>
      <c r="U1369" s="80">
        <v>1E-8</v>
      </c>
      <c r="V1369" s="98">
        <v>1E-8</v>
      </c>
      <c r="W1369" s="98">
        <v>1E-8</v>
      </c>
      <c r="X1369" s="98">
        <v>1E-8</v>
      </c>
      <c r="Y1369" s="98">
        <v>1E-8</v>
      </c>
      <c r="Z1369" s="98">
        <v>1E-8</v>
      </c>
      <c r="AA1369" s="98">
        <v>1E-8</v>
      </c>
      <c r="AB1369" s="98">
        <v>1E-8</v>
      </c>
      <c r="AC1369" s="98">
        <v>1E-8</v>
      </c>
      <c r="AD1369" s="4"/>
    </row>
    <row r="1370" spans="1:30" x14ac:dyDescent="0.3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34"/>
      <c r="O1370" s="4"/>
      <c r="P1370" s="68"/>
      <c r="Q1370" s="68" t="s">
        <v>611</v>
      </c>
      <c r="R1370" s="108" t="s">
        <v>731</v>
      </c>
      <c r="S1370" s="108" t="s">
        <v>309</v>
      </c>
      <c r="T1370" s="98">
        <v>1E-8</v>
      </c>
      <c r="U1370" s="80">
        <v>1E-8</v>
      </c>
      <c r="V1370" s="98">
        <v>1E-8</v>
      </c>
      <c r="W1370" s="98">
        <v>1E-8</v>
      </c>
      <c r="X1370" s="98">
        <v>1E-8</v>
      </c>
      <c r="Y1370" s="98">
        <v>1E-8</v>
      </c>
      <c r="Z1370" s="98">
        <v>1E-8</v>
      </c>
      <c r="AA1370" s="98">
        <v>1E-8</v>
      </c>
      <c r="AB1370" s="98">
        <v>1E-8</v>
      </c>
      <c r="AC1370" s="98">
        <v>1E-8</v>
      </c>
      <c r="AD1370" s="4"/>
    </row>
    <row r="1371" spans="1:30" x14ac:dyDescent="0.35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34"/>
      <c r="O1371" s="4"/>
      <c r="P1371" s="68"/>
      <c r="Q1371" s="68" t="s">
        <v>612</v>
      </c>
      <c r="R1371" s="108" t="s">
        <v>731</v>
      </c>
      <c r="S1371" s="108" t="s">
        <v>308</v>
      </c>
      <c r="T1371" s="98">
        <v>1E-8</v>
      </c>
      <c r="U1371" s="80">
        <v>1E-8</v>
      </c>
      <c r="V1371" s="98">
        <v>1E-8</v>
      </c>
      <c r="W1371" s="98">
        <v>1E-8</v>
      </c>
      <c r="X1371" s="98">
        <v>1E-8</v>
      </c>
      <c r="Y1371" s="98">
        <v>1E-8</v>
      </c>
      <c r="Z1371" s="98">
        <v>1E-8</v>
      </c>
      <c r="AA1371" s="98">
        <v>1E-8</v>
      </c>
      <c r="AB1371" s="98">
        <v>1E-8</v>
      </c>
      <c r="AC1371" s="98">
        <v>1E-8</v>
      </c>
      <c r="AD1371" s="4"/>
    </row>
    <row r="1372" spans="1:30" x14ac:dyDescent="0.3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34"/>
      <c r="O1372" s="4"/>
      <c r="P1372" s="68"/>
      <c r="Q1372" s="68" t="s">
        <v>613</v>
      </c>
      <c r="R1372" s="108" t="s">
        <v>731</v>
      </c>
      <c r="S1372" s="108" t="s">
        <v>306</v>
      </c>
      <c r="T1372" s="98">
        <v>1.0533655714065952E-4</v>
      </c>
      <c r="U1372" s="80">
        <v>-1.6335112361266946</v>
      </c>
      <c r="V1372" s="98">
        <v>1E-8</v>
      </c>
      <c r="W1372" s="98">
        <v>1E-8</v>
      </c>
      <c r="X1372" s="98">
        <v>1E-8</v>
      </c>
      <c r="Y1372" s="98">
        <v>1E-8</v>
      </c>
      <c r="Z1372" s="98">
        <v>1E-8</v>
      </c>
      <c r="AA1372" s="98">
        <v>1E-8</v>
      </c>
      <c r="AB1372" s="98">
        <v>1E-8</v>
      </c>
      <c r="AC1372" s="98">
        <v>1E-8</v>
      </c>
      <c r="AD1372" s="4"/>
    </row>
    <row r="1373" spans="1:30" x14ac:dyDescent="0.35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34"/>
      <c r="O1373" s="4"/>
      <c r="P1373" s="68"/>
      <c r="Q1373" s="68" t="s">
        <v>614</v>
      </c>
      <c r="R1373" s="108" t="s">
        <v>731</v>
      </c>
      <c r="S1373" s="108" t="s">
        <v>305</v>
      </c>
      <c r="T1373" s="98">
        <v>1.786091354061026E-4</v>
      </c>
      <c r="U1373" s="80">
        <v>0.33409983890013706</v>
      </c>
      <c r="V1373" s="98">
        <v>1E-8</v>
      </c>
      <c r="W1373" s="98">
        <v>1E-8</v>
      </c>
      <c r="X1373" s="98">
        <v>1E-8</v>
      </c>
      <c r="Y1373" s="98">
        <v>1E-8</v>
      </c>
      <c r="Z1373" s="98">
        <v>1E-8</v>
      </c>
      <c r="AA1373" s="98">
        <v>1E-8</v>
      </c>
      <c r="AB1373" s="98">
        <v>1E-8</v>
      </c>
      <c r="AC1373" s="98">
        <v>1E-8</v>
      </c>
      <c r="AD1373" s="4"/>
    </row>
    <row r="1374" spans="1:30" x14ac:dyDescent="0.3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34"/>
      <c r="O1374" s="4"/>
      <c r="P1374" s="68"/>
      <c r="Q1374" s="68" t="s">
        <v>615</v>
      </c>
      <c r="R1374" s="108" t="s">
        <v>731</v>
      </c>
      <c r="S1374" s="108" t="s">
        <v>539</v>
      </c>
      <c r="T1374" s="98">
        <v>1.4575243734930749E-5</v>
      </c>
      <c r="U1374" s="80">
        <v>16.422857471387942</v>
      </c>
      <c r="V1374" s="98">
        <v>1E-8</v>
      </c>
      <c r="W1374" s="98">
        <v>1E-8</v>
      </c>
      <c r="X1374" s="98">
        <v>1E-8</v>
      </c>
      <c r="Y1374" s="98">
        <v>1E-8</v>
      </c>
      <c r="Z1374" s="98">
        <v>1E-8</v>
      </c>
      <c r="AA1374" s="98">
        <v>1E-8</v>
      </c>
      <c r="AB1374" s="98">
        <v>1E-8</v>
      </c>
      <c r="AC1374" s="98">
        <v>1E-8</v>
      </c>
      <c r="AD1374" s="4"/>
    </row>
    <row r="1375" spans="1:30" x14ac:dyDescent="0.3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34"/>
      <c r="O1375" s="4"/>
      <c r="P1375" s="68"/>
      <c r="Q1375" s="68" t="s">
        <v>616</v>
      </c>
      <c r="R1375" s="109" t="s">
        <v>731</v>
      </c>
      <c r="S1375" s="109" t="s">
        <v>310</v>
      </c>
      <c r="T1375" s="81">
        <v>1.8442642380546049E-4</v>
      </c>
      <c r="U1375" s="82">
        <v>3.3852742923976553</v>
      </c>
      <c r="V1375" s="81">
        <v>1E-8</v>
      </c>
      <c r="W1375" s="81">
        <v>1E-8</v>
      </c>
      <c r="X1375" s="81">
        <v>1E-8</v>
      </c>
      <c r="Y1375" s="81">
        <v>1E-8</v>
      </c>
      <c r="Z1375" s="81">
        <v>1E-8</v>
      </c>
      <c r="AA1375" s="81">
        <v>1E-8</v>
      </c>
      <c r="AB1375" s="81">
        <v>1E-8</v>
      </c>
      <c r="AC1375" s="81">
        <v>1E-8</v>
      </c>
      <c r="AD1375" s="4"/>
    </row>
    <row r="1376" spans="1:30" x14ac:dyDescent="0.3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34"/>
      <c r="O1376" s="4"/>
      <c r="P1376" s="96"/>
      <c r="Q1376" s="96" t="s">
        <v>280</v>
      </c>
      <c r="R1376" s="107" t="s">
        <v>731</v>
      </c>
      <c r="S1376" s="107" t="s">
        <v>311</v>
      </c>
      <c r="T1376" s="97">
        <v>2.9745214322146971</v>
      </c>
      <c r="U1376" s="78">
        <v>0.30389272416362356</v>
      </c>
      <c r="V1376" s="97">
        <v>1E-8</v>
      </c>
      <c r="W1376" s="97">
        <v>1E-8</v>
      </c>
      <c r="X1376" s="97">
        <v>1E-8</v>
      </c>
      <c r="Y1376" s="97">
        <v>1E-8</v>
      </c>
      <c r="Z1376" s="97">
        <v>1E-8</v>
      </c>
      <c r="AA1376" s="97">
        <v>1E-8</v>
      </c>
      <c r="AB1376" s="97">
        <v>1E-8</v>
      </c>
      <c r="AC1376" s="97">
        <v>1E-8</v>
      </c>
      <c r="AD1376" s="4"/>
    </row>
    <row r="1377" spans="1:30" x14ac:dyDescent="0.35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34"/>
      <c r="O1377" s="4"/>
      <c r="P1377" s="68"/>
      <c r="Q1377" s="68" t="s">
        <v>617</v>
      </c>
      <c r="R1377" s="108" t="s">
        <v>731</v>
      </c>
      <c r="S1377" s="108" t="s">
        <v>312</v>
      </c>
      <c r="T1377" s="98">
        <v>0.43501399855129891</v>
      </c>
      <c r="U1377" s="80">
        <v>-1.459142174018635</v>
      </c>
      <c r="V1377" s="98">
        <v>1E-8</v>
      </c>
      <c r="W1377" s="98">
        <v>1E-8</v>
      </c>
      <c r="X1377" s="98">
        <v>1E-8</v>
      </c>
      <c r="Y1377" s="98">
        <v>1E-8</v>
      </c>
      <c r="Z1377" s="98">
        <v>1E-8</v>
      </c>
      <c r="AA1377" s="98">
        <v>1E-8</v>
      </c>
      <c r="AB1377" s="98">
        <v>1E-8</v>
      </c>
      <c r="AC1377" s="98">
        <v>1E-8</v>
      </c>
      <c r="AD1377" s="4"/>
    </row>
    <row r="1378" spans="1:30" x14ac:dyDescent="0.3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34"/>
      <c r="O1378" s="4"/>
      <c r="P1378" s="68"/>
      <c r="Q1378" s="68" t="s">
        <v>618</v>
      </c>
      <c r="R1378" s="108" t="s">
        <v>731</v>
      </c>
      <c r="S1378" s="108" t="s">
        <v>316</v>
      </c>
      <c r="T1378" s="98">
        <v>2.8223752933339528E-2</v>
      </c>
      <c r="U1378" s="80">
        <v>-3.4499494866764069</v>
      </c>
      <c r="V1378" s="98">
        <v>1E-8</v>
      </c>
      <c r="W1378" s="98">
        <v>1E-8</v>
      </c>
      <c r="X1378" s="98">
        <v>1E-8</v>
      </c>
      <c r="Y1378" s="98">
        <v>1E-8</v>
      </c>
      <c r="Z1378" s="98">
        <v>1E-8</v>
      </c>
      <c r="AA1378" s="98">
        <v>1E-8</v>
      </c>
      <c r="AB1378" s="98">
        <v>1E-8</v>
      </c>
      <c r="AC1378" s="98">
        <v>1E-8</v>
      </c>
      <c r="AD1378" s="4"/>
    </row>
    <row r="1379" spans="1:30" x14ac:dyDescent="0.35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34"/>
      <c r="O1379" s="4"/>
      <c r="P1379" s="68"/>
      <c r="Q1379" s="68" t="s">
        <v>619</v>
      </c>
      <c r="R1379" s="108" t="s">
        <v>731</v>
      </c>
      <c r="S1379" s="108" t="s">
        <v>314</v>
      </c>
      <c r="T1379" s="98">
        <v>3.6421927453514913E-2</v>
      </c>
      <c r="U1379" s="80">
        <v>3.4285039022346142</v>
      </c>
      <c r="V1379" s="98">
        <v>1E-8</v>
      </c>
      <c r="W1379" s="98">
        <v>1E-8</v>
      </c>
      <c r="X1379" s="98">
        <v>1E-8</v>
      </c>
      <c r="Y1379" s="98">
        <v>1E-8</v>
      </c>
      <c r="Z1379" s="98">
        <v>1E-8</v>
      </c>
      <c r="AA1379" s="98">
        <v>1E-8</v>
      </c>
      <c r="AB1379" s="98">
        <v>1E-8</v>
      </c>
      <c r="AC1379" s="98">
        <v>1E-8</v>
      </c>
      <c r="AD1379" s="4"/>
    </row>
    <row r="1380" spans="1:30" x14ac:dyDescent="0.3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34"/>
      <c r="O1380" s="4"/>
      <c r="P1380" s="68"/>
      <c r="Q1380" s="68" t="s">
        <v>620</v>
      </c>
      <c r="R1380" s="108" t="s">
        <v>731</v>
      </c>
      <c r="S1380" s="108" t="s">
        <v>317</v>
      </c>
      <c r="T1380" s="98">
        <v>2.3855045795908112E-3</v>
      </c>
      <c r="U1380" s="80">
        <v>0.53989569776464741</v>
      </c>
      <c r="V1380" s="98">
        <v>1E-8</v>
      </c>
      <c r="W1380" s="98">
        <v>1E-8</v>
      </c>
      <c r="X1380" s="98">
        <v>1E-8</v>
      </c>
      <c r="Y1380" s="98">
        <v>1E-8</v>
      </c>
      <c r="Z1380" s="98">
        <v>1E-8</v>
      </c>
      <c r="AA1380" s="98">
        <v>1E-8</v>
      </c>
      <c r="AB1380" s="98">
        <v>1E-8</v>
      </c>
      <c r="AC1380" s="98">
        <v>1E-8</v>
      </c>
      <c r="AD1380" s="4"/>
    </row>
    <row r="1381" spans="1:30" x14ac:dyDescent="0.35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34"/>
      <c r="O1381" s="4"/>
      <c r="P1381" s="68"/>
      <c r="Q1381" s="68" t="s">
        <v>621</v>
      </c>
      <c r="R1381" s="108" t="s">
        <v>731</v>
      </c>
      <c r="S1381" s="108" t="s">
        <v>313</v>
      </c>
      <c r="T1381" s="98">
        <v>2.1462807647582922</v>
      </c>
      <c r="U1381" s="80">
        <v>0.44356541801628957</v>
      </c>
      <c r="V1381" s="98">
        <v>1E-8</v>
      </c>
      <c r="W1381" s="98">
        <v>1E-8</v>
      </c>
      <c r="X1381" s="98">
        <v>1E-8</v>
      </c>
      <c r="Y1381" s="98">
        <v>1E-8</v>
      </c>
      <c r="Z1381" s="98">
        <v>1E-8</v>
      </c>
      <c r="AA1381" s="98">
        <v>1E-8</v>
      </c>
      <c r="AB1381" s="98">
        <v>1E-8</v>
      </c>
      <c r="AC1381" s="98">
        <v>1E-8</v>
      </c>
      <c r="AD1381" s="4"/>
    </row>
    <row r="1382" spans="1:30" x14ac:dyDescent="0.3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34"/>
      <c r="O1382" s="4"/>
      <c r="P1382" s="68"/>
      <c r="Q1382" s="68" t="s">
        <v>622</v>
      </c>
      <c r="R1382" s="108" t="s">
        <v>731</v>
      </c>
      <c r="S1382" s="108" t="s">
        <v>315</v>
      </c>
      <c r="T1382" s="98">
        <v>0.3234357399939829</v>
      </c>
      <c r="U1382" s="80">
        <v>1.6716446062562174</v>
      </c>
      <c r="V1382" s="98">
        <v>1E-8</v>
      </c>
      <c r="W1382" s="98">
        <v>1E-8</v>
      </c>
      <c r="X1382" s="98">
        <v>1E-8</v>
      </c>
      <c r="Y1382" s="98">
        <v>1E-8</v>
      </c>
      <c r="Z1382" s="98">
        <v>1E-8</v>
      </c>
      <c r="AA1382" s="98">
        <v>1E-8</v>
      </c>
      <c r="AB1382" s="98">
        <v>1E-8</v>
      </c>
      <c r="AC1382" s="98">
        <v>1E-8</v>
      </c>
      <c r="AD1382" s="4"/>
    </row>
    <row r="1383" spans="1:30" x14ac:dyDescent="0.35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34"/>
      <c r="O1383" s="4"/>
      <c r="P1383" s="68"/>
      <c r="Q1383" s="68" t="s">
        <v>623</v>
      </c>
      <c r="R1383" s="108" t="s">
        <v>731</v>
      </c>
      <c r="S1383" s="108" t="s">
        <v>540</v>
      </c>
      <c r="T1383" s="98">
        <v>5.728960778800076E-4</v>
      </c>
      <c r="U1383" s="80">
        <v>2.0161181874851941</v>
      </c>
      <c r="V1383" s="98">
        <v>1E-8</v>
      </c>
      <c r="W1383" s="98">
        <v>1E-8</v>
      </c>
      <c r="X1383" s="98">
        <v>1E-8</v>
      </c>
      <c r="Y1383" s="98">
        <v>1E-8</v>
      </c>
      <c r="Z1383" s="98">
        <v>1E-8</v>
      </c>
      <c r="AA1383" s="98">
        <v>1E-8</v>
      </c>
      <c r="AB1383" s="98">
        <v>1E-8</v>
      </c>
      <c r="AC1383" s="98">
        <v>1E-8</v>
      </c>
      <c r="AD1383" s="4"/>
    </row>
    <row r="1384" spans="1:30" x14ac:dyDescent="0.3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34"/>
      <c r="O1384" s="4"/>
      <c r="P1384" s="68"/>
      <c r="Q1384" s="68" t="s">
        <v>624</v>
      </c>
      <c r="R1384" s="109" t="s">
        <v>731</v>
      </c>
      <c r="S1384" s="109" t="s">
        <v>541</v>
      </c>
      <c r="T1384" s="81">
        <v>2.1868478667974342E-3</v>
      </c>
      <c r="U1384" s="82">
        <v>7.3402497663257016</v>
      </c>
      <c r="V1384" s="81">
        <v>1E-8</v>
      </c>
      <c r="W1384" s="81">
        <v>1E-8</v>
      </c>
      <c r="X1384" s="81">
        <v>1E-8</v>
      </c>
      <c r="Y1384" s="81">
        <v>1E-8</v>
      </c>
      <c r="Z1384" s="81">
        <v>1E-8</v>
      </c>
      <c r="AA1384" s="81">
        <v>1E-8</v>
      </c>
      <c r="AB1384" s="81">
        <v>1E-8</v>
      </c>
      <c r="AC1384" s="81">
        <v>1E-8</v>
      </c>
      <c r="AD1384" s="4"/>
    </row>
    <row r="1385" spans="1:30" x14ac:dyDescent="0.3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34"/>
      <c r="O1385" s="4"/>
      <c r="P1385" s="96"/>
      <c r="Q1385" s="96" t="s">
        <v>281</v>
      </c>
      <c r="R1385" s="107" t="s">
        <v>731</v>
      </c>
      <c r="S1385" s="107" t="s">
        <v>318</v>
      </c>
      <c r="T1385" s="97">
        <v>1E-8</v>
      </c>
      <c r="U1385" s="78">
        <v>1E-8</v>
      </c>
      <c r="V1385" s="97">
        <v>1E-8</v>
      </c>
      <c r="W1385" s="97">
        <v>1E-8</v>
      </c>
      <c r="X1385" s="97">
        <v>1E-8</v>
      </c>
      <c r="Y1385" s="97">
        <v>1E-8</v>
      </c>
      <c r="Z1385" s="97">
        <v>1E-8</v>
      </c>
      <c r="AA1385" s="97">
        <v>1E-8</v>
      </c>
      <c r="AB1385" s="97">
        <v>1E-8</v>
      </c>
      <c r="AC1385" s="97">
        <v>1E-8</v>
      </c>
      <c r="AD1385" s="4"/>
    </row>
    <row r="1386" spans="1:30" x14ac:dyDescent="0.3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34"/>
      <c r="O1386" s="4"/>
      <c r="P1386" s="96"/>
      <c r="Q1386" s="96" t="s">
        <v>135</v>
      </c>
      <c r="R1386" s="107" t="s">
        <v>731</v>
      </c>
      <c r="S1386" s="107" t="s">
        <v>542</v>
      </c>
      <c r="T1386" s="97">
        <v>1E-8</v>
      </c>
      <c r="U1386" s="78">
        <v>1E-8</v>
      </c>
      <c r="V1386" s="97">
        <v>1E-8</v>
      </c>
      <c r="W1386" s="97">
        <v>1E-8</v>
      </c>
      <c r="X1386" s="97">
        <v>1E-8</v>
      </c>
      <c r="Y1386" s="97">
        <v>1E-8</v>
      </c>
      <c r="Z1386" s="97">
        <v>1E-8</v>
      </c>
      <c r="AA1386" s="97">
        <v>1E-8</v>
      </c>
      <c r="AB1386" s="97">
        <v>1E-8</v>
      </c>
      <c r="AC1386" s="97">
        <v>1E-8</v>
      </c>
      <c r="AD1386" s="4"/>
    </row>
    <row r="1387" spans="1:30" x14ac:dyDescent="0.35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34"/>
      <c r="O1387" s="4"/>
      <c r="P1387" s="68"/>
      <c r="Q1387" s="68" t="s">
        <v>625</v>
      </c>
      <c r="R1387" s="108" t="s">
        <v>731</v>
      </c>
      <c r="S1387" s="108" t="s">
        <v>543</v>
      </c>
      <c r="T1387" s="98">
        <v>1E-8</v>
      </c>
      <c r="U1387" s="80">
        <v>1E-8</v>
      </c>
      <c r="V1387" s="98">
        <v>1E-8</v>
      </c>
      <c r="W1387" s="98">
        <v>1E-8</v>
      </c>
      <c r="X1387" s="98">
        <v>1E-8</v>
      </c>
      <c r="Y1387" s="98">
        <v>1E-8</v>
      </c>
      <c r="Z1387" s="98">
        <v>1E-8</v>
      </c>
      <c r="AA1387" s="98">
        <v>1E-8</v>
      </c>
      <c r="AB1387" s="98">
        <v>1E-8</v>
      </c>
      <c r="AC1387" s="98">
        <v>1E-8</v>
      </c>
      <c r="AD1387" s="4"/>
    </row>
    <row r="1388" spans="1:30" x14ac:dyDescent="0.3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34"/>
      <c r="O1388" s="4"/>
      <c r="P1388" s="68"/>
      <c r="Q1388" s="68" t="s">
        <v>626</v>
      </c>
      <c r="R1388" s="108" t="s">
        <v>731</v>
      </c>
      <c r="S1388" s="108" t="s">
        <v>544</v>
      </c>
      <c r="T1388" s="98">
        <v>1E-8</v>
      </c>
      <c r="U1388" s="80">
        <v>1E-8</v>
      </c>
      <c r="V1388" s="98">
        <v>1E-8</v>
      </c>
      <c r="W1388" s="98">
        <v>1E-8</v>
      </c>
      <c r="X1388" s="98">
        <v>1E-8</v>
      </c>
      <c r="Y1388" s="98">
        <v>1E-8</v>
      </c>
      <c r="Z1388" s="98">
        <v>1E-8</v>
      </c>
      <c r="AA1388" s="98">
        <v>1E-8</v>
      </c>
      <c r="AB1388" s="98">
        <v>1E-8</v>
      </c>
      <c r="AC1388" s="98">
        <v>1E-8</v>
      </c>
      <c r="AD1388" s="4"/>
    </row>
    <row r="1389" spans="1:30" x14ac:dyDescent="0.35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34"/>
      <c r="O1389" s="4"/>
      <c r="P1389" s="68"/>
      <c r="Q1389" s="68" t="s">
        <v>627</v>
      </c>
      <c r="R1389" s="108" t="s">
        <v>731</v>
      </c>
      <c r="S1389" s="108" t="s">
        <v>319</v>
      </c>
      <c r="T1389" s="98">
        <v>1E-8</v>
      </c>
      <c r="U1389" s="80">
        <v>1E-8</v>
      </c>
      <c r="V1389" s="98">
        <v>1E-8</v>
      </c>
      <c r="W1389" s="98">
        <v>1E-8</v>
      </c>
      <c r="X1389" s="98">
        <v>1E-8</v>
      </c>
      <c r="Y1389" s="98">
        <v>1E-8</v>
      </c>
      <c r="Z1389" s="98">
        <v>1E-8</v>
      </c>
      <c r="AA1389" s="98">
        <v>1E-8</v>
      </c>
      <c r="AB1389" s="98">
        <v>1E-8</v>
      </c>
      <c r="AC1389" s="98">
        <v>1E-8</v>
      </c>
      <c r="AD1389" s="4"/>
    </row>
    <row r="1390" spans="1:30" x14ac:dyDescent="0.3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34"/>
      <c r="O1390" s="4"/>
      <c r="P1390" s="71"/>
      <c r="Q1390" s="71" t="s">
        <v>628</v>
      </c>
      <c r="R1390" s="110" t="s">
        <v>731</v>
      </c>
      <c r="S1390" s="110" t="s">
        <v>320</v>
      </c>
      <c r="T1390" s="83">
        <v>1E-8</v>
      </c>
      <c r="U1390" s="84">
        <v>1E-8</v>
      </c>
      <c r="V1390" s="83">
        <v>1E-8</v>
      </c>
      <c r="W1390" s="83">
        <v>1E-8</v>
      </c>
      <c r="X1390" s="83">
        <v>1E-8</v>
      </c>
      <c r="Y1390" s="83">
        <v>1E-8</v>
      </c>
      <c r="Z1390" s="83">
        <v>1E-8</v>
      </c>
      <c r="AA1390" s="83">
        <v>1E-8</v>
      </c>
      <c r="AB1390" s="83">
        <v>1E-8</v>
      </c>
      <c r="AC1390" s="83">
        <v>1E-8</v>
      </c>
      <c r="AD1390" s="4"/>
    </row>
    <row r="1391" spans="1:30" x14ac:dyDescent="0.35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34"/>
      <c r="O1391" s="4"/>
      <c r="P1391" s="99"/>
      <c r="Q1391" s="99" t="s">
        <v>282</v>
      </c>
      <c r="R1391" s="105" t="s">
        <v>731</v>
      </c>
      <c r="S1391" s="105" t="s">
        <v>321</v>
      </c>
      <c r="T1391" s="95">
        <v>95.843202566941457</v>
      </c>
      <c r="U1391" s="74">
        <v>-9.9735193027861158E-3</v>
      </c>
      <c r="V1391" s="95">
        <v>1E-8</v>
      </c>
      <c r="W1391" s="95">
        <v>1E-8</v>
      </c>
      <c r="X1391" s="95">
        <v>1E-8</v>
      </c>
      <c r="Y1391" s="95">
        <v>1E-8</v>
      </c>
      <c r="Z1391" s="95">
        <v>1E-8</v>
      </c>
      <c r="AA1391" s="95">
        <v>1E-8</v>
      </c>
      <c r="AB1391" s="95">
        <v>1E-8</v>
      </c>
      <c r="AC1391" s="95">
        <v>1E-8</v>
      </c>
      <c r="AD1391" s="4"/>
    </row>
    <row r="1392" spans="1:30" x14ac:dyDescent="0.3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34"/>
      <c r="O1392" s="4"/>
      <c r="P1392" s="99"/>
      <c r="Q1392" s="99" t="s">
        <v>283</v>
      </c>
      <c r="R1392" s="105" t="s">
        <v>731</v>
      </c>
      <c r="S1392" s="105" t="s">
        <v>322</v>
      </c>
      <c r="T1392" s="95">
        <v>19.047665122356815</v>
      </c>
      <c r="U1392" s="74">
        <v>1.7566151990156653</v>
      </c>
      <c r="V1392" s="95">
        <v>1E-8</v>
      </c>
      <c r="W1392" s="95">
        <v>1E-8</v>
      </c>
      <c r="X1392" s="95">
        <v>1E-8</v>
      </c>
      <c r="Y1392" s="95">
        <v>1E-8</v>
      </c>
      <c r="Z1392" s="95">
        <v>1E-8</v>
      </c>
      <c r="AA1392" s="95">
        <v>1E-8</v>
      </c>
      <c r="AB1392" s="95">
        <v>1E-8</v>
      </c>
      <c r="AC1392" s="95">
        <v>1E-8</v>
      </c>
      <c r="AD1392" s="4"/>
    </row>
    <row r="1393" spans="1:30" x14ac:dyDescent="0.35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34"/>
      <c r="O1393" s="4"/>
      <c r="P1393" s="96"/>
      <c r="Q1393" s="96" t="s">
        <v>284</v>
      </c>
      <c r="R1393" s="107" t="s">
        <v>731</v>
      </c>
      <c r="S1393" s="107" t="s">
        <v>323</v>
      </c>
      <c r="T1393" s="97">
        <v>0.6318247270199655</v>
      </c>
      <c r="U1393" s="78">
        <v>5.3665266588943661</v>
      </c>
      <c r="V1393" s="97">
        <v>1E-8</v>
      </c>
      <c r="W1393" s="97">
        <v>1E-8</v>
      </c>
      <c r="X1393" s="97">
        <v>1E-8</v>
      </c>
      <c r="Y1393" s="97">
        <v>1E-8</v>
      </c>
      <c r="Z1393" s="97">
        <v>1E-8</v>
      </c>
      <c r="AA1393" s="97">
        <v>1E-8</v>
      </c>
      <c r="AB1393" s="97">
        <v>1E-8</v>
      </c>
      <c r="AC1393" s="97">
        <v>1E-8</v>
      </c>
      <c r="AD1393" s="4"/>
    </row>
    <row r="1394" spans="1:30" x14ac:dyDescent="0.3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34"/>
      <c r="O1394" s="4"/>
      <c r="P1394" s="68"/>
      <c r="Q1394" s="68" t="s">
        <v>629</v>
      </c>
      <c r="R1394" s="108" t="s">
        <v>731</v>
      </c>
      <c r="S1394" s="108" t="s">
        <v>324</v>
      </c>
      <c r="T1394" s="98">
        <v>2.8496877576634876E-4</v>
      </c>
      <c r="U1394" s="80">
        <v>3.7411762638126955</v>
      </c>
      <c r="V1394" s="98">
        <v>1E-8</v>
      </c>
      <c r="W1394" s="98">
        <v>1E-8</v>
      </c>
      <c r="X1394" s="98">
        <v>1E-8</v>
      </c>
      <c r="Y1394" s="98">
        <v>1E-8</v>
      </c>
      <c r="Z1394" s="98">
        <v>1E-8</v>
      </c>
      <c r="AA1394" s="98">
        <v>1E-8</v>
      </c>
      <c r="AB1394" s="98">
        <v>1E-8</v>
      </c>
      <c r="AC1394" s="98">
        <v>1E-8</v>
      </c>
      <c r="AD1394" s="4"/>
    </row>
    <row r="1395" spans="1:30" x14ac:dyDescent="0.3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34"/>
      <c r="O1395" s="4"/>
      <c r="P1395" s="68"/>
      <c r="Q1395" s="68" t="s">
        <v>630</v>
      </c>
      <c r="R1395" s="108" t="s">
        <v>731</v>
      </c>
      <c r="S1395" s="108" t="s">
        <v>545</v>
      </c>
      <c r="T1395" s="98">
        <v>0.39783615202801226</v>
      </c>
      <c r="U1395" s="80">
        <v>3.3643811146648828</v>
      </c>
      <c r="V1395" s="98">
        <v>1E-8</v>
      </c>
      <c r="W1395" s="98">
        <v>1E-8</v>
      </c>
      <c r="X1395" s="98">
        <v>1E-8</v>
      </c>
      <c r="Y1395" s="98">
        <v>1E-8</v>
      </c>
      <c r="Z1395" s="98">
        <v>1E-8</v>
      </c>
      <c r="AA1395" s="98">
        <v>1E-8</v>
      </c>
      <c r="AB1395" s="98">
        <v>1E-8</v>
      </c>
      <c r="AC1395" s="98">
        <v>1E-8</v>
      </c>
      <c r="AD1395" s="4"/>
    </row>
    <row r="1396" spans="1:30" x14ac:dyDescent="0.3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34"/>
      <c r="O1396" s="4"/>
      <c r="P1396" s="68"/>
      <c r="Q1396" s="68" t="s">
        <v>631</v>
      </c>
      <c r="R1396" s="109" t="s">
        <v>731</v>
      </c>
      <c r="S1396" s="109" t="s">
        <v>325</v>
      </c>
      <c r="T1396" s="81">
        <v>0.23370360621618688</v>
      </c>
      <c r="U1396" s="82">
        <v>8.7767823504189444</v>
      </c>
      <c r="V1396" s="81">
        <v>1E-8</v>
      </c>
      <c r="W1396" s="81">
        <v>1E-8</v>
      </c>
      <c r="X1396" s="81">
        <v>1E-8</v>
      </c>
      <c r="Y1396" s="81">
        <v>1E-8</v>
      </c>
      <c r="Z1396" s="81">
        <v>1E-8</v>
      </c>
      <c r="AA1396" s="81">
        <v>1E-8</v>
      </c>
      <c r="AB1396" s="81">
        <v>1E-8</v>
      </c>
      <c r="AC1396" s="81">
        <v>1E-8</v>
      </c>
      <c r="AD1396" s="4"/>
    </row>
    <row r="1397" spans="1:30" x14ac:dyDescent="0.35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34"/>
      <c r="O1397" s="4"/>
      <c r="P1397" s="96"/>
      <c r="Q1397" s="96" t="s">
        <v>285</v>
      </c>
      <c r="R1397" s="107" t="s">
        <v>731</v>
      </c>
      <c r="S1397" s="107" t="s">
        <v>326</v>
      </c>
      <c r="T1397" s="97">
        <v>9.7632600146782433</v>
      </c>
      <c r="U1397" s="78">
        <v>5.7839439997673603</v>
      </c>
      <c r="V1397" s="97">
        <v>1E-8</v>
      </c>
      <c r="W1397" s="97">
        <v>1E-8</v>
      </c>
      <c r="X1397" s="97">
        <v>1E-8</v>
      </c>
      <c r="Y1397" s="97">
        <v>1E-8</v>
      </c>
      <c r="Z1397" s="97">
        <v>1E-8</v>
      </c>
      <c r="AA1397" s="97">
        <v>1E-8</v>
      </c>
      <c r="AB1397" s="97">
        <v>1E-8</v>
      </c>
      <c r="AC1397" s="97">
        <v>1E-8</v>
      </c>
      <c r="AD1397" s="4"/>
    </row>
    <row r="1398" spans="1:30" x14ac:dyDescent="0.3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34"/>
      <c r="O1398" s="4"/>
      <c r="P1398" s="68"/>
      <c r="Q1398" s="68" t="s">
        <v>364</v>
      </c>
      <c r="R1398" s="108" t="s">
        <v>731</v>
      </c>
      <c r="S1398" s="108" t="s">
        <v>327</v>
      </c>
      <c r="T1398" s="98">
        <v>1.1510673719331275</v>
      </c>
      <c r="U1398" s="80">
        <v>2.5147487081710995</v>
      </c>
      <c r="V1398" s="98">
        <v>1E-8</v>
      </c>
      <c r="W1398" s="98">
        <v>1E-8</v>
      </c>
      <c r="X1398" s="98">
        <v>1E-8</v>
      </c>
      <c r="Y1398" s="98">
        <v>1E-8</v>
      </c>
      <c r="Z1398" s="98">
        <v>1E-8</v>
      </c>
      <c r="AA1398" s="98">
        <v>1E-8</v>
      </c>
      <c r="AB1398" s="98">
        <v>1E-8</v>
      </c>
      <c r="AC1398" s="98">
        <v>1E-8</v>
      </c>
      <c r="AD1398" s="4"/>
    </row>
    <row r="1399" spans="1:30" x14ac:dyDescent="0.35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34"/>
      <c r="O1399" s="4"/>
      <c r="P1399" s="100"/>
      <c r="Q1399" s="100" t="s">
        <v>632</v>
      </c>
      <c r="R1399" s="111" t="s">
        <v>731</v>
      </c>
      <c r="S1399" s="111" t="s">
        <v>328</v>
      </c>
      <c r="T1399" s="101">
        <v>0.17122542593697751</v>
      </c>
      <c r="U1399" s="86">
        <v>0.61983203638589224</v>
      </c>
      <c r="V1399" s="101">
        <v>1E-8</v>
      </c>
      <c r="W1399" s="101">
        <v>1E-8</v>
      </c>
      <c r="X1399" s="101">
        <v>1E-8</v>
      </c>
      <c r="Y1399" s="101">
        <v>1E-8</v>
      </c>
      <c r="Z1399" s="101">
        <v>1E-8</v>
      </c>
      <c r="AA1399" s="101">
        <v>1E-8</v>
      </c>
      <c r="AB1399" s="101">
        <v>1E-8</v>
      </c>
      <c r="AC1399" s="101">
        <v>1E-8</v>
      </c>
      <c r="AD1399" s="4"/>
    </row>
    <row r="1400" spans="1:30" x14ac:dyDescent="0.3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34"/>
      <c r="O1400" s="4"/>
      <c r="P1400" s="100"/>
      <c r="Q1400" s="100" t="s">
        <v>633</v>
      </c>
      <c r="R1400" s="111" t="s">
        <v>731</v>
      </c>
      <c r="S1400" s="111" t="s">
        <v>329</v>
      </c>
      <c r="T1400" s="101">
        <v>1E-8</v>
      </c>
      <c r="U1400" s="86">
        <v>1E-8</v>
      </c>
      <c r="V1400" s="101">
        <v>1E-8</v>
      </c>
      <c r="W1400" s="101">
        <v>1E-8</v>
      </c>
      <c r="X1400" s="101">
        <v>1E-8</v>
      </c>
      <c r="Y1400" s="101">
        <v>1E-8</v>
      </c>
      <c r="Z1400" s="101">
        <v>1E-8</v>
      </c>
      <c r="AA1400" s="101">
        <v>1E-8</v>
      </c>
      <c r="AB1400" s="101">
        <v>1E-8</v>
      </c>
      <c r="AC1400" s="101">
        <v>1E-8</v>
      </c>
      <c r="AD1400" s="4"/>
    </row>
    <row r="1401" spans="1:30" x14ac:dyDescent="0.35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34"/>
      <c r="O1401" s="4"/>
      <c r="P1401" s="100"/>
      <c r="Q1401" s="100" t="s">
        <v>634</v>
      </c>
      <c r="R1401" s="111" t="s">
        <v>731</v>
      </c>
      <c r="S1401" s="111" t="s">
        <v>331</v>
      </c>
      <c r="T1401" s="101">
        <v>3.5623580890506053E-2</v>
      </c>
      <c r="U1401" s="86">
        <v>2.2104190512233224</v>
      </c>
      <c r="V1401" s="101">
        <v>1E-8</v>
      </c>
      <c r="W1401" s="101">
        <v>1E-8</v>
      </c>
      <c r="X1401" s="101">
        <v>1E-8</v>
      </c>
      <c r="Y1401" s="101">
        <v>1E-8</v>
      </c>
      <c r="Z1401" s="101">
        <v>1E-8</v>
      </c>
      <c r="AA1401" s="101">
        <v>1E-8</v>
      </c>
      <c r="AB1401" s="101">
        <v>1E-8</v>
      </c>
      <c r="AC1401" s="101">
        <v>1E-8</v>
      </c>
      <c r="AD1401" s="4"/>
    </row>
    <row r="1402" spans="1:30" x14ac:dyDescent="0.3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34"/>
      <c r="O1402" s="4"/>
      <c r="P1402" s="100"/>
      <c r="Q1402" s="100" t="s">
        <v>635</v>
      </c>
      <c r="R1402" s="111" t="s">
        <v>731</v>
      </c>
      <c r="S1402" s="111" t="s">
        <v>332</v>
      </c>
      <c r="T1402" s="101">
        <v>4.1056631425392405E-2</v>
      </c>
      <c r="U1402" s="86">
        <v>10.543755138330258</v>
      </c>
      <c r="V1402" s="101">
        <v>1E-8</v>
      </c>
      <c r="W1402" s="101">
        <v>1E-8</v>
      </c>
      <c r="X1402" s="101">
        <v>1E-8</v>
      </c>
      <c r="Y1402" s="101">
        <v>1E-8</v>
      </c>
      <c r="Z1402" s="101">
        <v>1E-8</v>
      </c>
      <c r="AA1402" s="101">
        <v>1E-8</v>
      </c>
      <c r="AB1402" s="101">
        <v>1E-8</v>
      </c>
      <c r="AC1402" s="101">
        <v>1E-8</v>
      </c>
      <c r="AD1402" s="4"/>
    </row>
    <row r="1403" spans="1:30" x14ac:dyDescent="0.3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34"/>
      <c r="O1403" s="4"/>
      <c r="P1403" s="100"/>
      <c r="Q1403" s="100" t="s">
        <v>636</v>
      </c>
      <c r="R1403" s="111" t="s">
        <v>731</v>
      </c>
      <c r="S1403" s="111" t="s">
        <v>330</v>
      </c>
      <c r="T1403" s="101">
        <v>9.3326572892569043E-2</v>
      </c>
      <c r="U1403" s="86">
        <v>1.9897574049387634</v>
      </c>
      <c r="V1403" s="101">
        <v>1E-8</v>
      </c>
      <c r="W1403" s="101">
        <v>1E-8</v>
      </c>
      <c r="X1403" s="101">
        <v>1E-8</v>
      </c>
      <c r="Y1403" s="101">
        <v>1E-8</v>
      </c>
      <c r="Z1403" s="101">
        <v>1E-8</v>
      </c>
      <c r="AA1403" s="101">
        <v>1E-8</v>
      </c>
      <c r="AB1403" s="101">
        <v>1E-8</v>
      </c>
      <c r="AC1403" s="101">
        <v>1E-8</v>
      </c>
      <c r="AD1403" s="4"/>
    </row>
    <row r="1404" spans="1:30" x14ac:dyDescent="0.3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34"/>
      <c r="O1404" s="4"/>
      <c r="P1404" s="100"/>
      <c r="Q1404" s="100" t="s">
        <v>637</v>
      </c>
      <c r="R1404" s="111" t="s">
        <v>731</v>
      </c>
      <c r="S1404" s="111" t="s">
        <v>333</v>
      </c>
      <c r="T1404" s="101">
        <v>0.41683752593241102</v>
      </c>
      <c r="U1404" s="86">
        <v>1.9531900023760373</v>
      </c>
      <c r="V1404" s="101">
        <v>1E-8</v>
      </c>
      <c r="W1404" s="101">
        <v>1E-8</v>
      </c>
      <c r="X1404" s="101">
        <v>1E-8</v>
      </c>
      <c r="Y1404" s="101">
        <v>1E-8</v>
      </c>
      <c r="Z1404" s="101">
        <v>1E-8</v>
      </c>
      <c r="AA1404" s="101">
        <v>1E-8</v>
      </c>
      <c r="AB1404" s="101">
        <v>1E-8</v>
      </c>
      <c r="AC1404" s="101">
        <v>1E-8</v>
      </c>
      <c r="AD1404" s="4"/>
    </row>
    <row r="1405" spans="1:30" x14ac:dyDescent="0.3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34"/>
      <c r="O1405" s="4"/>
      <c r="P1405" s="100"/>
      <c r="Q1405" s="100" t="s">
        <v>638</v>
      </c>
      <c r="R1405" s="111" t="s">
        <v>731</v>
      </c>
      <c r="S1405" s="111" t="s">
        <v>546</v>
      </c>
      <c r="T1405" s="101">
        <v>0.22302008824735481</v>
      </c>
      <c r="U1405" s="86">
        <v>0.10724128971570934</v>
      </c>
      <c r="V1405" s="101">
        <v>1E-8</v>
      </c>
      <c r="W1405" s="101">
        <v>1E-8</v>
      </c>
      <c r="X1405" s="101">
        <v>1E-8</v>
      </c>
      <c r="Y1405" s="101">
        <v>1E-8</v>
      </c>
      <c r="Z1405" s="101">
        <v>1E-8</v>
      </c>
      <c r="AA1405" s="101">
        <v>1E-8</v>
      </c>
      <c r="AB1405" s="101">
        <v>1E-8</v>
      </c>
      <c r="AC1405" s="101">
        <v>1E-8</v>
      </c>
      <c r="AD1405" s="4"/>
    </row>
    <row r="1406" spans="1:30" x14ac:dyDescent="0.3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34"/>
      <c r="O1406" s="4"/>
      <c r="P1406" s="100"/>
      <c r="Q1406" s="100" t="s">
        <v>639</v>
      </c>
      <c r="R1406" s="111" t="s">
        <v>731</v>
      </c>
      <c r="S1406" s="111" t="s">
        <v>335</v>
      </c>
      <c r="T1406" s="101">
        <v>2.7206145287363773E-2</v>
      </c>
      <c r="U1406" s="86">
        <v>-3.676398410816506</v>
      </c>
      <c r="V1406" s="101">
        <v>1E-8</v>
      </c>
      <c r="W1406" s="101">
        <v>1E-8</v>
      </c>
      <c r="X1406" s="101">
        <v>1E-8</v>
      </c>
      <c r="Y1406" s="101">
        <v>1E-8</v>
      </c>
      <c r="Z1406" s="101">
        <v>1E-8</v>
      </c>
      <c r="AA1406" s="101">
        <v>1E-8</v>
      </c>
      <c r="AB1406" s="101">
        <v>1E-8</v>
      </c>
      <c r="AC1406" s="101">
        <v>1E-8</v>
      </c>
      <c r="AD1406" s="4"/>
    </row>
    <row r="1407" spans="1:30" x14ac:dyDescent="0.35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34"/>
      <c r="O1407" s="4"/>
      <c r="P1407" s="100"/>
      <c r="Q1407" s="100" t="s">
        <v>640</v>
      </c>
      <c r="R1407" s="111" t="s">
        <v>731</v>
      </c>
      <c r="S1407" s="111" t="s">
        <v>334</v>
      </c>
      <c r="T1407" s="101">
        <v>0.14277140132055258</v>
      </c>
      <c r="U1407" s="86">
        <v>9.4775536196342927</v>
      </c>
      <c r="V1407" s="101">
        <v>1E-8</v>
      </c>
      <c r="W1407" s="101">
        <v>1E-8</v>
      </c>
      <c r="X1407" s="101">
        <v>1E-8</v>
      </c>
      <c r="Y1407" s="101">
        <v>1E-8</v>
      </c>
      <c r="Z1407" s="101">
        <v>1E-8</v>
      </c>
      <c r="AA1407" s="101">
        <v>1E-8</v>
      </c>
      <c r="AB1407" s="101">
        <v>1E-8</v>
      </c>
      <c r="AC1407" s="101">
        <v>1E-8</v>
      </c>
      <c r="AD1407" s="4"/>
    </row>
    <row r="1408" spans="1:30" x14ac:dyDescent="0.3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34"/>
      <c r="O1408" s="4"/>
      <c r="P1408" s="68"/>
      <c r="Q1408" s="68" t="s">
        <v>365</v>
      </c>
      <c r="R1408" s="108" t="s">
        <v>731</v>
      </c>
      <c r="S1408" s="108" t="s">
        <v>374</v>
      </c>
      <c r="T1408" s="98">
        <v>2.4437549839483714</v>
      </c>
      <c r="U1408" s="80">
        <v>-1.3768835390551404</v>
      </c>
      <c r="V1408" s="98">
        <v>1E-8</v>
      </c>
      <c r="W1408" s="98">
        <v>1E-8</v>
      </c>
      <c r="X1408" s="98">
        <v>1E-8</v>
      </c>
      <c r="Y1408" s="98">
        <v>1E-8</v>
      </c>
      <c r="Z1408" s="98">
        <v>1E-8</v>
      </c>
      <c r="AA1408" s="98">
        <v>1E-8</v>
      </c>
      <c r="AB1408" s="98">
        <v>1E-8</v>
      </c>
      <c r="AC1408" s="98">
        <v>1E-8</v>
      </c>
      <c r="AD1408" s="4"/>
    </row>
    <row r="1409" spans="1:30" x14ac:dyDescent="0.35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34"/>
      <c r="O1409" s="4"/>
      <c r="P1409" s="100"/>
      <c r="Q1409" s="100" t="s">
        <v>641</v>
      </c>
      <c r="R1409" s="111" t="s">
        <v>731</v>
      </c>
      <c r="S1409" s="111" t="s">
        <v>547</v>
      </c>
      <c r="T1409" s="101">
        <v>2.0371673012583211</v>
      </c>
      <c r="U1409" s="86">
        <v>-1.9782052578757203</v>
      </c>
      <c r="V1409" s="101">
        <v>1E-8</v>
      </c>
      <c r="W1409" s="101">
        <v>1E-8</v>
      </c>
      <c r="X1409" s="101">
        <v>1E-8</v>
      </c>
      <c r="Y1409" s="101">
        <v>1E-8</v>
      </c>
      <c r="Z1409" s="101">
        <v>1E-8</v>
      </c>
      <c r="AA1409" s="101">
        <v>1E-8</v>
      </c>
      <c r="AB1409" s="101">
        <v>1E-8</v>
      </c>
      <c r="AC1409" s="101">
        <v>1E-8</v>
      </c>
      <c r="AD1409" s="4"/>
    </row>
    <row r="1410" spans="1:30" x14ac:dyDescent="0.3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34"/>
      <c r="O1410" s="4"/>
      <c r="P1410" s="100"/>
      <c r="Q1410" s="100" t="s">
        <v>642</v>
      </c>
      <c r="R1410" s="111" t="s">
        <v>731</v>
      </c>
      <c r="S1410" s="111" t="s">
        <v>336</v>
      </c>
      <c r="T1410" s="101">
        <v>0.39996568680205058</v>
      </c>
      <c r="U1410" s="86">
        <v>1.688883975578559</v>
      </c>
      <c r="V1410" s="101">
        <v>1E-8</v>
      </c>
      <c r="W1410" s="101">
        <v>1E-8</v>
      </c>
      <c r="X1410" s="101">
        <v>1E-8</v>
      </c>
      <c r="Y1410" s="101">
        <v>1E-8</v>
      </c>
      <c r="Z1410" s="101">
        <v>1E-8</v>
      </c>
      <c r="AA1410" s="101">
        <v>1E-8</v>
      </c>
      <c r="AB1410" s="101">
        <v>1E-8</v>
      </c>
      <c r="AC1410" s="101">
        <v>1E-8</v>
      </c>
      <c r="AD1410" s="4"/>
    </row>
    <row r="1411" spans="1:30" x14ac:dyDescent="0.35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34"/>
      <c r="O1411" s="4"/>
      <c r="P1411" s="100"/>
      <c r="Q1411" s="100" t="s">
        <v>643</v>
      </c>
      <c r="R1411" s="112" t="s">
        <v>731</v>
      </c>
      <c r="S1411" s="112" t="s">
        <v>337</v>
      </c>
      <c r="T1411" s="87">
        <v>6.62199588799993E-3</v>
      </c>
      <c r="U1411" s="88">
        <v>-1.5594367252289132</v>
      </c>
      <c r="V1411" s="87">
        <v>1E-8</v>
      </c>
      <c r="W1411" s="87">
        <v>1E-8</v>
      </c>
      <c r="X1411" s="87">
        <v>1E-8</v>
      </c>
      <c r="Y1411" s="87">
        <v>1E-8</v>
      </c>
      <c r="Z1411" s="87">
        <v>1E-8</v>
      </c>
      <c r="AA1411" s="87">
        <v>1E-8</v>
      </c>
      <c r="AB1411" s="87">
        <v>1E-8</v>
      </c>
      <c r="AC1411" s="87">
        <v>1E-8</v>
      </c>
      <c r="AD1411" s="4"/>
    </row>
    <row r="1412" spans="1:30" x14ac:dyDescent="0.3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34"/>
      <c r="O1412" s="4"/>
      <c r="P1412" s="68"/>
      <c r="Q1412" s="68" t="s">
        <v>644</v>
      </c>
      <c r="R1412" s="108" t="s">
        <v>731</v>
      </c>
      <c r="S1412" s="108" t="s">
        <v>338</v>
      </c>
      <c r="T1412" s="98">
        <v>1.5102573627644851</v>
      </c>
      <c r="U1412" s="80">
        <v>3.9434494591841007</v>
      </c>
      <c r="V1412" s="98">
        <v>1E-8</v>
      </c>
      <c r="W1412" s="98">
        <v>1E-8</v>
      </c>
      <c r="X1412" s="98">
        <v>1E-8</v>
      </c>
      <c r="Y1412" s="98">
        <v>1E-8</v>
      </c>
      <c r="Z1412" s="98">
        <v>1E-8</v>
      </c>
      <c r="AA1412" s="98">
        <v>1E-8</v>
      </c>
      <c r="AB1412" s="98">
        <v>1E-8</v>
      </c>
      <c r="AC1412" s="98">
        <v>1E-8</v>
      </c>
      <c r="AD1412" s="4"/>
    </row>
    <row r="1413" spans="1:30" x14ac:dyDescent="0.35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34"/>
      <c r="O1413" s="4"/>
      <c r="P1413" s="68"/>
      <c r="Q1413" s="68" t="s">
        <v>366</v>
      </c>
      <c r="R1413" s="108" t="s">
        <v>731</v>
      </c>
      <c r="S1413" s="108" t="s">
        <v>339</v>
      </c>
      <c r="T1413" s="98">
        <v>2.1574091157121593</v>
      </c>
      <c r="U1413" s="80">
        <v>5.9877087912996396</v>
      </c>
      <c r="V1413" s="98">
        <v>1E-8</v>
      </c>
      <c r="W1413" s="98">
        <v>1E-8</v>
      </c>
      <c r="X1413" s="98">
        <v>1E-8</v>
      </c>
      <c r="Y1413" s="98">
        <v>1E-8</v>
      </c>
      <c r="Z1413" s="98">
        <v>1E-8</v>
      </c>
      <c r="AA1413" s="98">
        <v>1E-8</v>
      </c>
      <c r="AB1413" s="98">
        <v>1E-8</v>
      </c>
      <c r="AC1413" s="98">
        <v>1E-8</v>
      </c>
      <c r="AD1413" s="4"/>
    </row>
    <row r="1414" spans="1:30" x14ac:dyDescent="0.3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34"/>
      <c r="O1414" s="4"/>
      <c r="P1414" s="100"/>
      <c r="Q1414" s="100" t="s">
        <v>645</v>
      </c>
      <c r="R1414" s="111" t="s">
        <v>731</v>
      </c>
      <c r="S1414" s="111" t="s">
        <v>340</v>
      </c>
      <c r="T1414" s="101">
        <v>0.78055636923425886</v>
      </c>
      <c r="U1414" s="86">
        <v>7.2994952102138244</v>
      </c>
      <c r="V1414" s="101">
        <v>1E-8</v>
      </c>
      <c r="W1414" s="101">
        <v>1E-8</v>
      </c>
      <c r="X1414" s="101">
        <v>1E-8</v>
      </c>
      <c r="Y1414" s="101">
        <v>1E-8</v>
      </c>
      <c r="Z1414" s="101">
        <v>1E-8</v>
      </c>
      <c r="AA1414" s="101">
        <v>1E-8</v>
      </c>
      <c r="AB1414" s="101">
        <v>1E-8</v>
      </c>
      <c r="AC1414" s="101">
        <v>1E-8</v>
      </c>
      <c r="AD1414" s="4"/>
    </row>
    <row r="1415" spans="1:30" x14ac:dyDescent="0.3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34"/>
      <c r="O1415" s="4"/>
      <c r="P1415" s="100"/>
      <c r="Q1415" s="100" t="s">
        <v>646</v>
      </c>
      <c r="R1415" s="111" t="s">
        <v>731</v>
      </c>
      <c r="S1415" s="111" t="s">
        <v>548</v>
      </c>
      <c r="T1415" s="101">
        <v>1.3768527464779006</v>
      </c>
      <c r="U1415" s="86">
        <v>5.2440393996542545</v>
      </c>
      <c r="V1415" s="101">
        <v>1E-8</v>
      </c>
      <c r="W1415" s="101">
        <v>1E-8</v>
      </c>
      <c r="X1415" s="101">
        <v>1E-8</v>
      </c>
      <c r="Y1415" s="101">
        <v>1E-8</v>
      </c>
      <c r="Z1415" s="101">
        <v>1E-8</v>
      </c>
      <c r="AA1415" s="101">
        <v>1E-8</v>
      </c>
      <c r="AB1415" s="101">
        <v>1E-8</v>
      </c>
      <c r="AC1415" s="101">
        <v>1E-8</v>
      </c>
      <c r="AD1415" s="4"/>
    </row>
    <row r="1416" spans="1:30" x14ac:dyDescent="0.3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34"/>
      <c r="O1416" s="4"/>
      <c r="P1416" s="68"/>
      <c r="Q1416" s="68" t="s">
        <v>367</v>
      </c>
      <c r="R1416" s="108" t="s">
        <v>731</v>
      </c>
      <c r="S1416" s="108" t="s">
        <v>341</v>
      </c>
      <c r="T1416" s="98">
        <v>0.69059100275712493</v>
      </c>
      <c r="U1416" s="80">
        <v>35.548923047014554</v>
      </c>
      <c r="V1416" s="98">
        <v>1E-8</v>
      </c>
      <c r="W1416" s="98">
        <v>1E-8</v>
      </c>
      <c r="X1416" s="98">
        <v>1E-8</v>
      </c>
      <c r="Y1416" s="98">
        <v>1E-8</v>
      </c>
      <c r="Z1416" s="98">
        <v>1E-8</v>
      </c>
      <c r="AA1416" s="98">
        <v>1E-8</v>
      </c>
      <c r="AB1416" s="98">
        <v>1E-8</v>
      </c>
      <c r="AC1416" s="98">
        <v>1E-8</v>
      </c>
      <c r="AD1416" s="4"/>
    </row>
    <row r="1417" spans="1:30" x14ac:dyDescent="0.35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34"/>
      <c r="O1417" s="4"/>
      <c r="P1417" s="100"/>
      <c r="Q1417" s="100" t="s">
        <v>647</v>
      </c>
      <c r="R1417" s="111" t="s">
        <v>731</v>
      </c>
      <c r="S1417" s="111" t="s">
        <v>342</v>
      </c>
      <c r="T1417" s="101">
        <v>4.4351893714406855E-3</v>
      </c>
      <c r="U1417" s="86">
        <v>6.2016486616160993</v>
      </c>
      <c r="V1417" s="101">
        <v>1E-8</v>
      </c>
      <c r="W1417" s="101">
        <v>1E-8</v>
      </c>
      <c r="X1417" s="101">
        <v>1E-8</v>
      </c>
      <c r="Y1417" s="101">
        <v>1E-8</v>
      </c>
      <c r="Z1417" s="101">
        <v>1E-8</v>
      </c>
      <c r="AA1417" s="101">
        <v>1E-8</v>
      </c>
      <c r="AB1417" s="101">
        <v>1E-8</v>
      </c>
      <c r="AC1417" s="101">
        <v>1E-8</v>
      </c>
      <c r="AD1417" s="4"/>
    </row>
    <row r="1418" spans="1:30" x14ac:dyDescent="0.3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34"/>
      <c r="O1418" s="4"/>
      <c r="P1418" s="100"/>
      <c r="Q1418" s="100" t="s">
        <v>648</v>
      </c>
      <c r="R1418" s="111" t="s">
        <v>731</v>
      </c>
      <c r="S1418" s="111" t="s">
        <v>343</v>
      </c>
      <c r="T1418" s="101">
        <v>0.50088484629039609</v>
      </c>
      <c r="U1418" s="86">
        <v>46.010260619744159</v>
      </c>
      <c r="V1418" s="101">
        <v>1E-8</v>
      </c>
      <c r="W1418" s="101">
        <v>1E-8</v>
      </c>
      <c r="X1418" s="101">
        <v>1E-8</v>
      </c>
      <c r="Y1418" s="101">
        <v>1E-8</v>
      </c>
      <c r="Z1418" s="101">
        <v>1E-8</v>
      </c>
      <c r="AA1418" s="101">
        <v>1E-8</v>
      </c>
      <c r="AB1418" s="101">
        <v>1E-8</v>
      </c>
      <c r="AC1418" s="101">
        <v>1E-8</v>
      </c>
      <c r="AD1418" s="4"/>
    </row>
    <row r="1419" spans="1:30" x14ac:dyDescent="0.35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34"/>
      <c r="O1419" s="4"/>
      <c r="P1419" s="100"/>
      <c r="Q1419" s="100" t="s">
        <v>649</v>
      </c>
      <c r="R1419" s="111" t="s">
        <v>731</v>
      </c>
      <c r="S1419" s="111" t="s">
        <v>549</v>
      </c>
      <c r="T1419" s="101">
        <v>0.11233562020703225</v>
      </c>
      <c r="U1419" s="86">
        <v>5.9699911845077169</v>
      </c>
      <c r="V1419" s="101">
        <v>1E-8</v>
      </c>
      <c r="W1419" s="101">
        <v>1E-8</v>
      </c>
      <c r="X1419" s="101">
        <v>1E-8</v>
      </c>
      <c r="Y1419" s="101">
        <v>1E-8</v>
      </c>
      <c r="Z1419" s="101">
        <v>1E-8</v>
      </c>
      <c r="AA1419" s="101">
        <v>1E-8</v>
      </c>
      <c r="AB1419" s="101">
        <v>1E-8</v>
      </c>
      <c r="AC1419" s="101">
        <v>1E-8</v>
      </c>
      <c r="AD1419" s="4"/>
    </row>
    <row r="1420" spans="1:30" x14ac:dyDescent="0.3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34"/>
      <c r="O1420" s="4"/>
      <c r="P1420" s="100"/>
      <c r="Q1420" s="100" t="s">
        <v>650</v>
      </c>
      <c r="R1420" s="111" t="s">
        <v>731</v>
      </c>
      <c r="S1420" s="111" t="s">
        <v>550</v>
      </c>
      <c r="T1420" s="101">
        <v>7.2935346888255842E-2</v>
      </c>
      <c r="U1420" s="86">
        <v>11.047811266805541</v>
      </c>
      <c r="V1420" s="101">
        <v>1E-8</v>
      </c>
      <c r="W1420" s="101">
        <v>1E-8</v>
      </c>
      <c r="X1420" s="101">
        <v>1E-8</v>
      </c>
      <c r="Y1420" s="101">
        <v>1E-8</v>
      </c>
      <c r="Z1420" s="101">
        <v>1E-8</v>
      </c>
      <c r="AA1420" s="101">
        <v>1E-8</v>
      </c>
      <c r="AB1420" s="101">
        <v>1E-8</v>
      </c>
      <c r="AC1420" s="101">
        <v>1E-8</v>
      </c>
      <c r="AD1420" s="4"/>
    </row>
    <row r="1421" spans="1:30" x14ac:dyDescent="0.35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34"/>
      <c r="O1421" s="4"/>
      <c r="P1421" s="68"/>
      <c r="Q1421" s="68" t="s">
        <v>172</v>
      </c>
      <c r="R1421" s="108" t="s">
        <v>731</v>
      </c>
      <c r="S1421" s="108" t="s">
        <v>551</v>
      </c>
      <c r="T1421" s="98">
        <v>4.389013952753186E-2</v>
      </c>
      <c r="U1421" s="80">
        <v>-2.1184081548118239</v>
      </c>
      <c r="V1421" s="98">
        <v>1E-8</v>
      </c>
      <c r="W1421" s="98">
        <v>1E-8</v>
      </c>
      <c r="X1421" s="98">
        <v>1E-8</v>
      </c>
      <c r="Y1421" s="98">
        <v>1E-8</v>
      </c>
      <c r="Z1421" s="98">
        <v>1E-8</v>
      </c>
      <c r="AA1421" s="98">
        <v>1E-8</v>
      </c>
      <c r="AB1421" s="98">
        <v>1E-8</v>
      </c>
      <c r="AC1421" s="98">
        <v>1E-8</v>
      </c>
      <c r="AD1421" s="4"/>
    </row>
    <row r="1422" spans="1:30" x14ac:dyDescent="0.3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34"/>
      <c r="O1422" s="4"/>
      <c r="P1422" s="100"/>
      <c r="Q1422" s="100" t="s">
        <v>651</v>
      </c>
      <c r="R1422" s="111" t="s">
        <v>731</v>
      </c>
      <c r="S1422" s="111" t="s">
        <v>344</v>
      </c>
      <c r="T1422" s="101">
        <v>2.8809678295214081E-3</v>
      </c>
      <c r="U1422" s="86">
        <v>12.925207598546539</v>
      </c>
      <c r="V1422" s="101">
        <v>1E-8</v>
      </c>
      <c r="W1422" s="101">
        <v>1E-8</v>
      </c>
      <c r="X1422" s="101">
        <v>1E-8</v>
      </c>
      <c r="Y1422" s="101">
        <v>1E-8</v>
      </c>
      <c r="Z1422" s="101">
        <v>1E-8</v>
      </c>
      <c r="AA1422" s="101">
        <v>1E-8</v>
      </c>
      <c r="AB1422" s="101">
        <v>1E-8</v>
      </c>
      <c r="AC1422" s="101">
        <v>1E-8</v>
      </c>
      <c r="AD1422" s="4"/>
    </row>
    <row r="1423" spans="1:30" x14ac:dyDescent="0.35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34"/>
      <c r="O1423" s="4"/>
      <c r="P1423" s="100"/>
      <c r="Q1423" s="100" t="s">
        <v>652</v>
      </c>
      <c r="R1423" s="111" t="s">
        <v>731</v>
      </c>
      <c r="S1423" s="111" t="s">
        <v>552</v>
      </c>
      <c r="T1423" s="101">
        <v>2.647462721602371E-2</v>
      </c>
      <c r="U1423" s="86">
        <v>4.2007282971695314</v>
      </c>
      <c r="V1423" s="101">
        <v>1E-8</v>
      </c>
      <c r="W1423" s="101">
        <v>1E-8</v>
      </c>
      <c r="X1423" s="101">
        <v>1E-8</v>
      </c>
      <c r="Y1423" s="101">
        <v>1E-8</v>
      </c>
      <c r="Z1423" s="101">
        <v>1E-8</v>
      </c>
      <c r="AA1423" s="101">
        <v>1E-8</v>
      </c>
      <c r="AB1423" s="101">
        <v>1E-8</v>
      </c>
      <c r="AC1423" s="101">
        <v>1E-8</v>
      </c>
      <c r="AD1423" s="4"/>
    </row>
    <row r="1424" spans="1:30" x14ac:dyDescent="0.3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34"/>
      <c r="O1424" s="4"/>
      <c r="P1424" s="100"/>
      <c r="Q1424" s="100" t="s">
        <v>653</v>
      </c>
      <c r="R1424" s="111" t="s">
        <v>731</v>
      </c>
      <c r="S1424" s="111" t="s">
        <v>553</v>
      </c>
      <c r="T1424" s="101">
        <v>1.4534544481986747E-2</v>
      </c>
      <c r="U1424" s="86">
        <v>-16.610568895009191</v>
      </c>
      <c r="V1424" s="101">
        <v>1E-8</v>
      </c>
      <c r="W1424" s="101">
        <v>1E-8</v>
      </c>
      <c r="X1424" s="101">
        <v>1E-8</v>
      </c>
      <c r="Y1424" s="101">
        <v>1E-8</v>
      </c>
      <c r="Z1424" s="101">
        <v>1E-8</v>
      </c>
      <c r="AA1424" s="101">
        <v>1E-8</v>
      </c>
      <c r="AB1424" s="101">
        <v>1E-8</v>
      </c>
      <c r="AC1424" s="101">
        <v>1E-8</v>
      </c>
      <c r="AD1424" s="4"/>
    </row>
    <row r="1425" spans="1:30" x14ac:dyDescent="0.3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34"/>
      <c r="O1425" s="4"/>
      <c r="P1425" s="68"/>
      <c r="Q1425" s="68" t="s">
        <v>368</v>
      </c>
      <c r="R1425" s="108" t="s">
        <v>731</v>
      </c>
      <c r="S1425" s="108" t="s">
        <v>345</v>
      </c>
      <c r="T1425" s="98">
        <v>0.93837753640611155</v>
      </c>
      <c r="U1425" s="80">
        <v>9.424039668653883</v>
      </c>
      <c r="V1425" s="98">
        <v>1E-8</v>
      </c>
      <c r="W1425" s="98">
        <v>1E-8</v>
      </c>
      <c r="X1425" s="98">
        <v>1E-8</v>
      </c>
      <c r="Y1425" s="98">
        <v>1E-8</v>
      </c>
      <c r="Z1425" s="98">
        <v>1E-8</v>
      </c>
      <c r="AA1425" s="98">
        <v>1E-8</v>
      </c>
      <c r="AB1425" s="98">
        <v>1E-8</v>
      </c>
      <c r="AC1425" s="98">
        <v>1E-8</v>
      </c>
      <c r="AD1425" s="4"/>
    </row>
    <row r="1426" spans="1:30" x14ac:dyDescent="0.3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34"/>
      <c r="O1426" s="4"/>
      <c r="P1426" s="100"/>
      <c r="Q1426" s="100" t="s">
        <v>654</v>
      </c>
      <c r="R1426" s="111" t="s">
        <v>731</v>
      </c>
      <c r="S1426" s="111" t="s">
        <v>346</v>
      </c>
      <c r="T1426" s="101">
        <v>0.52318070974677544</v>
      </c>
      <c r="U1426" s="86">
        <v>14.529280380736886</v>
      </c>
      <c r="V1426" s="101">
        <v>1E-8</v>
      </c>
      <c r="W1426" s="101">
        <v>1E-8</v>
      </c>
      <c r="X1426" s="101">
        <v>1E-8</v>
      </c>
      <c r="Y1426" s="101">
        <v>1E-8</v>
      </c>
      <c r="Z1426" s="101">
        <v>1E-8</v>
      </c>
      <c r="AA1426" s="101">
        <v>1E-8</v>
      </c>
      <c r="AB1426" s="101">
        <v>1E-8</v>
      </c>
      <c r="AC1426" s="101">
        <v>1E-8</v>
      </c>
      <c r="AD1426" s="4"/>
    </row>
    <row r="1427" spans="1:30" x14ac:dyDescent="0.35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34"/>
      <c r="O1427" s="4"/>
      <c r="P1427" s="100"/>
      <c r="Q1427" s="100" t="s">
        <v>655</v>
      </c>
      <c r="R1427" s="111" t="s">
        <v>731</v>
      </c>
      <c r="S1427" s="111" t="s">
        <v>347</v>
      </c>
      <c r="T1427" s="101">
        <v>0.27238914854985136</v>
      </c>
      <c r="U1427" s="86">
        <v>-0.34004426478864147</v>
      </c>
      <c r="V1427" s="101">
        <v>1E-8</v>
      </c>
      <c r="W1427" s="101">
        <v>1E-8</v>
      </c>
      <c r="X1427" s="101">
        <v>1E-8</v>
      </c>
      <c r="Y1427" s="101">
        <v>1E-8</v>
      </c>
      <c r="Z1427" s="101">
        <v>1E-8</v>
      </c>
      <c r="AA1427" s="101">
        <v>1E-8</v>
      </c>
      <c r="AB1427" s="101">
        <v>1E-8</v>
      </c>
      <c r="AC1427" s="101">
        <v>1E-8</v>
      </c>
      <c r="AD1427" s="4"/>
    </row>
    <row r="1428" spans="1:30" x14ac:dyDescent="0.3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34"/>
      <c r="O1428" s="4"/>
      <c r="P1428" s="100"/>
      <c r="Q1428" s="100" t="s">
        <v>656</v>
      </c>
      <c r="R1428" s="111" t="s">
        <v>731</v>
      </c>
      <c r="S1428" s="111" t="s">
        <v>348</v>
      </c>
      <c r="T1428" s="101">
        <v>0.14280767810948475</v>
      </c>
      <c r="U1428" s="86">
        <v>9.3446815394127469</v>
      </c>
      <c r="V1428" s="101">
        <v>1E-8</v>
      </c>
      <c r="W1428" s="101">
        <v>1E-8</v>
      </c>
      <c r="X1428" s="101">
        <v>1E-8</v>
      </c>
      <c r="Y1428" s="101">
        <v>1E-8</v>
      </c>
      <c r="Z1428" s="101">
        <v>1E-8</v>
      </c>
      <c r="AA1428" s="101">
        <v>1E-8</v>
      </c>
      <c r="AB1428" s="101">
        <v>1E-8</v>
      </c>
      <c r="AC1428" s="101">
        <v>1E-8</v>
      </c>
      <c r="AD1428" s="4"/>
    </row>
    <row r="1429" spans="1:30" x14ac:dyDescent="0.35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34"/>
      <c r="O1429" s="4"/>
      <c r="P1429" s="68"/>
      <c r="Q1429" s="68" t="s">
        <v>181</v>
      </c>
      <c r="R1429" s="108" t="s">
        <v>731</v>
      </c>
      <c r="S1429" s="108" t="s">
        <v>554</v>
      </c>
      <c r="T1429" s="98">
        <v>0.82791250162933117</v>
      </c>
      <c r="U1429" s="80">
        <v>5.7573868908033399</v>
      </c>
      <c r="V1429" s="98">
        <v>1E-8</v>
      </c>
      <c r="W1429" s="98">
        <v>1E-8</v>
      </c>
      <c r="X1429" s="98">
        <v>1E-8</v>
      </c>
      <c r="Y1429" s="98">
        <v>1E-8</v>
      </c>
      <c r="Z1429" s="98">
        <v>1E-8</v>
      </c>
      <c r="AA1429" s="98">
        <v>1E-8</v>
      </c>
      <c r="AB1429" s="98">
        <v>1E-8</v>
      </c>
      <c r="AC1429" s="98">
        <v>1E-8</v>
      </c>
      <c r="AD1429" s="4"/>
    </row>
    <row r="1430" spans="1:30" x14ac:dyDescent="0.3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34"/>
      <c r="O1430" s="4"/>
      <c r="P1430" s="100"/>
      <c r="Q1430" s="100" t="s">
        <v>657</v>
      </c>
      <c r="R1430" s="111" t="s">
        <v>731</v>
      </c>
      <c r="S1430" s="111" t="s">
        <v>555</v>
      </c>
      <c r="T1430" s="101">
        <v>0.25501797814390298</v>
      </c>
      <c r="U1430" s="86">
        <v>5.2646113000904826</v>
      </c>
      <c r="V1430" s="101">
        <v>1E-8</v>
      </c>
      <c r="W1430" s="101">
        <v>1E-8</v>
      </c>
      <c r="X1430" s="101">
        <v>1E-8</v>
      </c>
      <c r="Y1430" s="101">
        <v>1E-8</v>
      </c>
      <c r="Z1430" s="101">
        <v>1E-8</v>
      </c>
      <c r="AA1430" s="101">
        <v>1E-8</v>
      </c>
      <c r="AB1430" s="101">
        <v>1E-8</v>
      </c>
      <c r="AC1430" s="101">
        <v>1E-8</v>
      </c>
      <c r="AD1430" s="4"/>
    </row>
    <row r="1431" spans="1:30" x14ac:dyDescent="0.3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34"/>
      <c r="O1431" s="4"/>
      <c r="P1431" s="100"/>
      <c r="Q1431" s="100" t="s">
        <v>658</v>
      </c>
      <c r="R1431" s="111" t="s">
        <v>731</v>
      </c>
      <c r="S1431" s="111" t="s">
        <v>349</v>
      </c>
      <c r="T1431" s="101">
        <v>0.56897447574571758</v>
      </c>
      <c r="U1431" s="86">
        <v>6.0461671927592997</v>
      </c>
      <c r="V1431" s="101">
        <v>1E-8</v>
      </c>
      <c r="W1431" s="101">
        <v>1E-8</v>
      </c>
      <c r="X1431" s="101">
        <v>1E-8</v>
      </c>
      <c r="Y1431" s="101">
        <v>1E-8</v>
      </c>
      <c r="Z1431" s="101">
        <v>1E-8</v>
      </c>
      <c r="AA1431" s="101">
        <v>1E-8</v>
      </c>
      <c r="AB1431" s="101">
        <v>1E-8</v>
      </c>
      <c r="AC1431" s="101">
        <v>1E-8</v>
      </c>
      <c r="AD1431" s="4"/>
    </row>
    <row r="1432" spans="1:30" x14ac:dyDescent="0.3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34"/>
      <c r="O1432" s="4"/>
      <c r="P1432" s="100"/>
      <c r="Q1432" s="100" t="s">
        <v>659</v>
      </c>
      <c r="R1432" s="112" t="s">
        <v>731</v>
      </c>
      <c r="S1432" s="112" t="s">
        <v>556</v>
      </c>
      <c r="T1432" s="87">
        <v>3.9200477397105917E-3</v>
      </c>
      <c r="U1432" s="88">
        <v>-4.1001425717532509</v>
      </c>
      <c r="V1432" s="87">
        <v>1E-8</v>
      </c>
      <c r="W1432" s="87">
        <v>1E-8</v>
      </c>
      <c r="X1432" s="87">
        <v>1E-8</v>
      </c>
      <c r="Y1432" s="87">
        <v>1E-8</v>
      </c>
      <c r="Z1432" s="87">
        <v>1E-8</v>
      </c>
      <c r="AA1432" s="87">
        <v>1E-8</v>
      </c>
      <c r="AB1432" s="87">
        <v>1E-8</v>
      </c>
      <c r="AC1432" s="87">
        <v>1E-8</v>
      </c>
      <c r="AD1432" s="4"/>
    </row>
    <row r="1433" spans="1:30" x14ac:dyDescent="0.3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34"/>
      <c r="O1433" s="4"/>
      <c r="P1433" s="96"/>
      <c r="Q1433" s="96" t="s">
        <v>286</v>
      </c>
      <c r="R1433" s="107" t="s">
        <v>731</v>
      </c>
      <c r="S1433" s="107" t="s">
        <v>350</v>
      </c>
      <c r="T1433" s="97">
        <v>8.6525803806586037</v>
      </c>
      <c r="U1433" s="78">
        <v>-3.0512788324615681</v>
      </c>
      <c r="V1433" s="97">
        <v>1E-8</v>
      </c>
      <c r="W1433" s="97">
        <v>1E-8</v>
      </c>
      <c r="X1433" s="97">
        <v>1E-8</v>
      </c>
      <c r="Y1433" s="97">
        <v>1E-8</v>
      </c>
      <c r="Z1433" s="97">
        <v>1E-8</v>
      </c>
      <c r="AA1433" s="97">
        <v>1E-8</v>
      </c>
      <c r="AB1433" s="97">
        <v>1E-8</v>
      </c>
      <c r="AC1433" s="97">
        <v>1E-8</v>
      </c>
      <c r="AD1433" s="4"/>
    </row>
    <row r="1434" spans="1:30" x14ac:dyDescent="0.3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34"/>
      <c r="O1434" s="4"/>
      <c r="P1434" s="96"/>
      <c r="Q1434" s="96" t="s">
        <v>369</v>
      </c>
      <c r="R1434" s="107" t="s">
        <v>731</v>
      </c>
      <c r="S1434" s="107" t="s">
        <v>557</v>
      </c>
      <c r="T1434" s="97">
        <v>2.205954365454438</v>
      </c>
      <c r="U1434" s="78">
        <v>-0.57122437034471396</v>
      </c>
      <c r="V1434" s="97">
        <v>1E-8</v>
      </c>
      <c r="W1434" s="97">
        <v>1E-8</v>
      </c>
      <c r="X1434" s="97">
        <v>1E-8</v>
      </c>
      <c r="Y1434" s="97">
        <v>1E-8</v>
      </c>
      <c r="Z1434" s="97">
        <v>1E-8</v>
      </c>
      <c r="AA1434" s="97">
        <v>1E-8</v>
      </c>
      <c r="AB1434" s="97">
        <v>1E-8</v>
      </c>
      <c r="AC1434" s="97">
        <v>1E-8</v>
      </c>
      <c r="AD1434" s="4"/>
    </row>
    <row r="1435" spans="1:30" x14ac:dyDescent="0.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34"/>
      <c r="O1435" s="4"/>
      <c r="P1435" s="68"/>
      <c r="Q1435" s="68" t="s">
        <v>660</v>
      </c>
      <c r="R1435" s="108" t="s">
        <v>731</v>
      </c>
      <c r="S1435" s="108" t="s">
        <v>351</v>
      </c>
      <c r="T1435" s="98">
        <v>1.7131236056698897</v>
      </c>
      <c r="U1435" s="80">
        <v>-0.64604044858128651</v>
      </c>
      <c r="V1435" s="98">
        <v>1E-8</v>
      </c>
      <c r="W1435" s="98">
        <v>1E-8</v>
      </c>
      <c r="X1435" s="98">
        <v>1E-8</v>
      </c>
      <c r="Y1435" s="98">
        <v>1E-8</v>
      </c>
      <c r="Z1435" s="98">
        <v>1E-8</v>
      </c>
      <c r="AA1435" s="98">
        <v>1E-8</v>
      </c>
      <c r="AB1435" s="98">
        <v>1E-8</v>
      </c>
      <c r="AC1435" s="98">
        <v>1E-8</v>
      </c>
      <c r="AD1435" s="4"/>
    </row>
    <row r="1436" spans="1:30" x14ac:dyDescent="0.3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34"/>
      <c r="O1436" s="4"/>
      <c r="P1436" s="68"/>
      <c r="Q1436" s="68" t="s">
        <v>661</v>
      </c>
      <c r="R1436" s="108" t="s">
        <v>731</v>
      </c>
      <c r="S1436" s="108" t="s">
        <v>352</v>
      </c>
      <c r="T1436" s="98">
        <v>0.45475127502835583</v>
      </c>
      <c r="U1436" s="80">
        <v>-0.2065181465298882</v>
      </c>
      <c r="V1436" s="98">
        <v>1E-8</v>
      </c>
      <c r="W1436" s="98">
        <v>1E-8</v>
      </c>
      <c r="X1436" s="98">
        <v>1E-8</v>
      </c>
      <c r="Y1436" s="98">
        <v>1E-8</v>
      </c>
      <c r="Z1436" s="98">
        <v>1E-8</v>
      </c>
      <c r="AA1436" s="98">
        <v>1E-8</v>
      </c>
      <c r="AB1436" s="98">
        <v>1E-8</v>
      </c>
      <c r="AC1436" s="98">
        <v>1E-8</v>
      </c>
      <c r="AD1436" s="4"/>
    </row>
    <row r="1437" spans="1:30" x14ac:dyDescent="0.3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34"/>
      <c r="O1437" s="4"/>
      <c r="P1437" s="68"/>
      <c r="Q1437" s="68" t="s">
        <v>662</v>
      </c>
      <c r="R1437" s="108" t="s">
        <v>731</v>
      </c>
      <c r="S1437" s="108" t="s">
        <v>558</v>
      </c>
      <c r="T1437" s="98">
        <v>3.807948475619282E-2</v>
      </c>
      <c r="U1437" s="80">
        <v>-1.5607711255361423</v>
      </c>
      <c r="V1437" s="98">
        <v>1E-8</v>
      </c>
      <c r="W1437" s="98">
        <v>1E-8</v>
      </c>
      <c r="X1437" s="98">
        <v>1E-8</v>
      </c>
      <c r="Y1437" s="98">
        <v>1E-8</v>
      </c>
      <c r="Z1437" s="98">
        <v>1E-8</v>
      </c>
      <c r="AA1437" s="98">
        <v>1E-8</v>
      </c>
      <c r="AB1437" s="98">
        <v>1E-8</v>
      </c>
      <c r="AC1437" s="98">
        <v>1E-8</v>
      </c>
      <c r="AD1437" s="4"/>
    </row>
    <row r="1438" spans="1:30" x14ac:dyDescent="0.3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34"/>
      <c r="O1438" s="4"/>
      <c r="P1438" s="96"/>
      <c r="Q1438" s="96" t="s">
        <v>188</v>
      </c>
      <c r="R1438" s="107" t="s">
        <v>731</v>
      </c>
      <c r="S1438" s="107" t="s">
        <v>559</v>
      </c>
      <c r="T1438" s="97">
        <v>6.4466260152041652</v>
      </c>
      <c r="U1438" s="78">
        <v>-3.8999222863192129</v>
      </c>
      <c r="V1438" s="97">
        <v>1E-8</v>
      </c>
      <c r="W1438" s="97">
        <v>1E-8</v>
      </c>
      <c r="X1438" s="97">
        <v>1E-8</v>
      </c>
      <c r="Y1438" s="97">
        <v>1E-8</v>
      </c>
      <c r="Z1438" s="97">
        <v>1E-8</v>
      </c>
      <c r="AA1438" s="97">
        <v>1E-8</v>
      </c>
      <c r="AB1438" s="97">
        <v>1E-8</v>
      </c>
      <c r="AC1438" s="97">
        <v>1E-8</v>
      </c>
      <c r="AD1438" s="4"/>
    </row>
    <row r="1439" spans="1:30" x14ac:dyDescent="0.3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34"/>
      <c r="O1439" s="4"/>
      <c r="P1439" s="68"/>
      <c r="Q1439" s="68" t="s">
        <v>663</v>
      </c>
      <c r="R1439" s="108" t="s">
        <v>731</v>
      </c>
      <c r="S1439" s="108" t="s">
        <v>353</v>
      </c>
      <c r="T1439" s="98">
        <v>6.4466260152041652</v>
      </c>
      <c r="U1439" s="80">
        <v>-3.8999222863192129</v>
      </c>
      <c r="V1439" s="98">
        <v>1E-8</v>
      </c>
      <c r="W1439" s="98">
        <v>1E-8</v>
      </c>
      <c r="X1439" s="98">
        <v>1E-8</v>
      </c>
      <c r="Y1439" s="98">
        <v>1E-8</v>
      </c>
      <c r="Z1439" s="98">
        <v>1E-8</v>
      </c>
      <c r="AA1439" s="98">
        <v>1E-8</v>
      </c>
      <c r="AB1439" s="98">
        <v>1E-8</v>
      </c>
      <c r="AC1439" s="98">
        <v>1E-8</v>
      </c>
      <c r="AD1439" s="4"/>
    </row>
    <row r="1440" spans="1:30" x14ac:dyDescent="0.3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34"/>
      <c r="O1440" s="4"/>
      <c r="P1440" s="72"/>
      <c r="Q1440" s="72" t="s">
        <v>664</v>
      </c>
      <c r="R1440" s="109" t="s">
        <v>731</v>
      </c>
      <c r="S1440" s="109" t="s">
        <v>560</v>
      </c>
      <c r="T1440" s="81">
        <v>1E-8</v>
      </c>
      <c r="U1440" s="82">
        <v>1E-8</v>
      </c>
      <c r="V1440" s="81">
        <v>1E-8</v>
      </c>
      <c r="W1440" s="81">
        <v>1E-8</v>
      </c>
      <c r="X1440" s="81">
        <v>1E-8</v>
      </c>
      <c r="Y1440" s="81">
        <v>1E-8</v>
      </c>
      <c r="Z1440" s="81">
        <v>1E-8</v>
      </c>
      <c r="AA1440" s="81">
        <v>1E-8</v>
      </c>
      <c r="AB1440" s="81">
        <v>1E-8</v>
      </c>
      <c r="AC1440" s="81">
        <v>1E-8</v>
      </c>
      <c r="AD1440" s="4"/>
    </row>
    <row r="1441" spans="1:30" x14ac:dyDescent="0.3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34"/>
      <c r="O1441" s="4"/>
      <c r="P1441" s="47"/>
      <c r="Q1441" s="47" t="s">
        <v>287</v>
      </c>
      <c r="R1441" s="105" t="s">
        <v>731</v>
      </c>
      <c r="S1441" s="105" t="s">
        <v>354</v>
      </c>
      <c r="T1441" s="95">
        <v>76.795537444584639</v>
      </c>
      <c r="U1441" s="74">
        <v>-0.44814208267464073</v>
      </c>
      <c r="V1441" s="95">
        <v>1E-8</v>
      </c>
      <c r="W1441" s="95">
        <v>1E-8</v>
      </c>
      <c r="X1441" s="95">
        <v>1E-8</v>
      </c>
      <c r="Y1441" s="95">
        <v>1E-8</v>
      </c>
      <c r="Z1441" s="95">
        <v>1E-8</v>
      </c>
      <c r="AA1441" s="95">
        <v>1E-8</v>
      </c>
      <c r="AB1441" s="95">
        <v>1E-8</v>
      </c>
      <c r="AC1441" s="95">
        <v>1E-8</v>
      </c>
      <c r="AD1441" s="4"/>
    </row>
    <row r="1442" spans="1:30" x14ac:dyDescent="0.3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34"/>
      <c r="O1442" s="4"/>
      <c r="P1442" s="96"/>
      <c r="Q1442" s="96" t="s">
        <v>370</v>
      </c>
      <c r="R1442" s="107" t="s">
        <v>731</v>
      </c>
      <c r="S1442" s="107" t="s">
        <v>561</v>
      </c>
      <c r="T1442" s="97">
        <v>24.275670338226135</v>
      </c>
      <c r="U1442" s="78">
        <v>-1.9082051112828347</v>
      </c>
      <c r="V1442" s="97">
        <v>1E-8</v>
      </c>
      <c r="W1442" s="97">
        <v>1E-8</v>
      </c>
      <c r="X1442" s="97">
        <v>1E-8</v>
      </c>
      <c r="Y1442" s="97">
        <v>1E-8</v>
      </c>
      <c r="Z1442" s="97">
        <v>1E-8</v>
      </c>
      <c r="AA1442" s="97">
        <v>1E-8</v>
      </c>
      <c r="AB1442" s="97">
        <v>1E-8</v>
      </c>
      <c r="AC1442" s="97">
        <v>1E-8</v>
      </c>
      <c r="AD1442" s="4"/>
    </row>
    <row r="1443" spans="1:30" x14ac:dyDescent="0.3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34"/>
      <c r="O1443" s="4"/>
      <c r="P1443" s="68"/>
      <c r="Q1443" s="68" t="s">
        <v>665</v>
      </c>
      <c r="R1443" s="108" t="s">
        <v>731</v>
      </c>
      <c r="S1443" s="108" t="s">
        <v>562</v>
      </c>
      <c r="T1443" s="98">
        <v>2.2284529173821115</v>
      </c>
      <c r="U1443" s="80">
        <v>-0.74960453509396174</v>
      </c>
      <c r="V1443" s="98">
        <v>1E-8</v>
      </c>
      <c r="W1443" s="98">
        <v>1E-8</v>
      </c>
      <c r="X1443" s="98">
        <v>1E-8</v>
      </c>
      <c r="Y1443" s="98">
        <v>1E-8</v>
      </c>
      <c r="Z1443" s="98">
        <v>1E-8</v>
      </c>
      <c r="AA1443" s="98">
        <v>1E-8</v>
      </c>
      <c r="AB1443" s="98">
        <v>1E-8</v>
      </c>
      <c r="AC1443" s="98">
        <v>1E-8</v>
      </c>
      <c r="AD1443" s="4"/>
    </row>
    <row r="1444" spans="1:30" x14ac:dyDescent="0.3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34"/>
      <c r="O1444" s="4"/>
      <c r="P1444" s="68"/>
      <c r="Q1444" s="68" t="s">
        <v>666</v>
      </c>
      <c r="R1444" s="108" t="s">
        <v>731</v>
      </c>
      <c r="S1444" s="108" t="s">
        <v>563</v>
      </c>
      <c r="T1444" s="98">
        <v>0.25146868773153852</v>
      </c>
      <c r="U1444" s="80">
        <v>-7.198787234980597</v>
      </c>
      <c r="V1444" s="98">
        <v>1E-8</v>
      </c>
      <c r="W1444" s="98">
        <v>1E-8</v>
      </c>
      <c r="X1444" s="98">
        <v>1E-8</v>
      </c>
      <c r="Y1444" s="98">
        <v>1E-8</v>
      </c>
      <c r="Z1444" s="98">
        <v>1E-8</v>
      </c>
      <c r="AA1444" s="98">
        <v>1E-8</v>
      </c>
      <c r="AB1444" s="98">
        <v>1E-8</v>
      </c>
      <c r="AC1444" s="98">
        <v>1E-8</v>
      </c>
      <c r="AD1444" s="4"/>
    </row>
    <row r="1445" spans="1:30" x14ac:dyDescent="0.3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34"/>
      <c r="O1445" s="4"/>
      <c r="P1445" s="68"/>
      <c r="Q1445" s="68" t="s">
        <v>667</v>
      </c>
      <c r="R1445" s="108" t="s">
        <v>731</v>
      </c>
      <c r="S1445" s="108" t="s">
        <v>564</v>
      </c>
      <c r="T1445" s="98">
        <v>8.4819483596328347</v>
      </c>
      <c r="U1445" s="80">
        <v>-1.9853647390788542</v>
      </c>
      <c r="V1445" s="98">
        <v>1E-8</v>
      </c>
      <c r="W1445" s="98">
        <v>1E-8</v>
      </c>
      <c r="X1445" s="98">
        <v>1E-8</v>
      </c>
      <c r="Y1445" s="98">
        <v>1E-8</v>
      </c>
      <c r="Z1445" s="98">
        <v>1E-8</v>
      </c>
      <c r="AA1445" s="98">
        <v>1E-8</v>
      </c>
      <c r="AB1445" s="98">
        <v>1E-8</v>
      </c>
      <c r="AC1445" s="98">
        <v>1E-8</v>
      </c>
      <c r="AD1445" s="4"/>
    </row>
    <row r="1446" spans="1:30" x14ac:dyDescent="0.3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34"/>
      <c r="O1446" s="4"/>
      <c r="P1446" s="68"/>
      <c r="Q1446" s="68" t="s">
        <v>668</v>
      </c>
      <c r="R1446" s="108" t="s">
        <v>731</v>
      </c>
      <c r="S1446" s="108" t="s">
        <v>565</v>
      </c>
      <c r="T1446" s="98">
        <v>13.313800373479651</v>
      </c>
      <c r="U1446" s="80">
        <v>-1.9530463357976258</v>
      </c>
      <c r="V1446" s="98">
        <v>1E-8</v>
      </c>
      <c r="W1446" s="98">
        <v>1E-8</v>
      </c>
      <c r="X1446" s="98">
        <v>1E-8</v>
      </c>
      <c r="Y1446" s="98">
        <v>1E-8</v>
      </c>
      <c r="Z1446" s="98">
        <v>1E-8</v>
      </c>
      <c r="AA1446" s="98">
        <v>1E-8</v>
      </c>
      <c r="AB1446" s="98">
        <v>1E-8</v>
      </c>
      <c r="AC1446" s="98">
        <v>1E-8</v>
      </c>
      <c r="AD1446" s="4"/>
    </row>
    <row r="1447" spans="1:30" x14ac:dyDescent="0.3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34"/>
      <c r="O1447" s="4"/>
      <c r="P1447" s="96"/>
      <c r="Q1447" s="96" t="s">
        <v>371</v>
      </c>
      <c r="R1447" s="107" t="s">
        <v>731</v>
      </c>
      <c r="S1447" s="107" t="s">
        <v>566</v>
      </c>
      <c r="T1447" s="97">
        <v>13.512325645004749</v>
      </c>
      <c r="U1447" s="78">
        <v>0.21051893007657529</v>
      </c>
      <c r="V1447" s="97">
        <v>1E-8</v>
      </c>
      <c r="W1447" s="97">
        <v>1E-8</v>
      </c>
      <c r="X1447" s="97">
        <v>1E-8</v>
      </c>
      <c r="Y1447" s="97">
        <v>1E-8</v>
      </c>
      <c r="Z1447" s="97">
        <v>1E-8</v>
      </c>
      <c r="AA1447" s="97">
        <v>1E-8</v>
      </c>
      <c r="AB1447" s="97">
        <v>1E-8</v>
      </c>
      <c r="AC1447" s="97">
        <v>1E-8</v>
      </c>
      <c r="AD1447" s="4"/>
    </row>
    <row r="1448" spans="1:30" x14ac:dyDescent="0.3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34"/>
      <c r="O1448" s="4"/>
      <c r="P1448" s="68"/>
      <c r="Q1448" s="68" t="s">
        <v>669</v>
      </c>
      <c r="R1448" s="108" t="s">
        <v>731</v>
      </c>
      <c r="S1448" s="108" t="s">
        <v>567</v>
      </c>
      <c r="T1448" s="98">
        <v>6.4649672024415921</v>
      </c>
      <c r="U1448" s="80">
        <v>-0.96705255801050605</v>
      </c>
      <c r="V1448" s="98">
        <v>1E-8</v>
      </c>
      <c r="W1448" s="98">
        <v>1E-8</v>
      </c>
      <c r="X1448" s="98">
        <v>1E-8</v>
      </c>
      <c r="Y1448" s="98">
        <v>1E-8</v>
      </c>
      <c r="Z1448" s="98">
        <v>1E-8</v>
      </c>
      <c r="AA1448" s="98">
        <v>1E-8</v>
      </c>
      <c r="AB1448" s="98">
        <v>1E-8</v>
      </c>
      <c r="AC1448" s="98">
        <v>1E-8</v>
      </c>
      <c r="AD1448" s="4"/>
    </row>
    <row r="1449" spans="1:30" x14ac:dyDescent="0.3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34"/>
      <c r="O1449" s="4"/>
      <c r="P1449" s="68"/>
      <c r="Q1449" s="68" t="s">
        <v>670</v>
      </c>
      <c r="R1449" s="108" t="s">
        <v>731</v>
      </c>
      <c r="S1449" s="108" t="s">
        <v>568</v>
      </c>
      <c r="T1449" s="98">
        <v>4.7784432403169603</v>
      </c>
      <c r="U1449" s="80">
        <v>0.95468428932381499</v>
      </c>
      <c r="V1449" s="98">
        <v>1E-8</v>
      </c>
      <c r="W1449" s="98">
        <v>1E-8</v>
      </c>
      <c r="X1449" s="98">
        <v>1E-8</v>
      </c>
      <c r="Y1449" s="98">
        <v>1E-8</v>
      </c>
      <c r="Z1449" s="98">
        <v>1E-8</v>
      </c>
      <c r="AA1449" s="98">
        <v>1E-8</v>
      </c>
      <c r="AB1449" s="98">
        <v>1E-8</v>
      </c>
      <c r="AC1449" s="98">
        <v>1E-8</v>
      </c>
      <c r="AD1449" s="4"/>
    </row>
    <row r="1450" spans="1:30" x14ac:dyDescent="0.3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34"/>
      <c r="O1450" s="4"/>
      <c r="P1450" s="68"/>
      <c r="Q1450" s="68" t="s">
        <v>671</v>
      </c>
      <c r="R1450" s="108" t="s">
        <v>731</v>
      </c>
      <c r="S1450" s="108" t="s">
        <v>569</v>
      </c>
      <c r="T1450" s="98">
        <v>1.8259556854660099</v>
      </c>
      <c r="U1450" s="80">
        <v>1.5671943241561959</v>
      </c>
      <c r="V1450" s="98">
        <v>1E-8</v>
      </c>
      <c r="W1450" s="98">
        <v>1E-8</v>
      </c>
      <c r="X1450" s="98">
        <v>1E-8</v>
      </c>
      <c r="Y1450" s="98">
        <v>1E-8</v>
      </c>
      <c r="Z1450" s="98">
        <v>1E-8</v>
      </c>
      <c r="AA1450" s="98">
        <v>1E-8</v>
      </c>
      <c r="AB1450" s="98">
        <v>1E-8</v>
      </c>
      <c r="AC1450" s="98">
        <v>1E-8</v>
      </c>
      <c r="AD1450" s="4"/>
    </row>
    <row r="1451" spans="1:30" x14ac:dyDescent="0.3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34"/>
      <c r="O1451" s="4"/>
      <c r="P1451" s="68"/>
      <c r="Q1451" s="68" t="s">
        <v>672</v>
      </c>
      <c r="R1451" s="108" t="s">
        <v>731</v>
      </c>
      <c r="S1451" s="108" t="s">
        <v>570</v>
      </c>
      <c r="T1451" s="98">
        <v>0.44295951678018747</v>
      </c>
      <c r="U1451" s="80">
        <v>3.7769395835312025</v>
      </c>
      <c r="V1451" s="98">
        <v>1E-8</v>
      </c>
      <c r="W1451" s="98">
        <v>1E-8</v>
      </c>
      <c r="X1451" s="98">
        <v>1E-8</v>
      </c>
      <c r="Y1451" s="98">
        <v>1E-8</v>
      </c>
      <c r="Z1451" s="98">
        <v>1E-8</v>
      </c>
      <c r="AA1451" s="98">
        <v>1E-8</v>
      </c>
      <c r="AB1451" s="98">
        <v>1E-8</v>
      </c>
      <c r="AC1451" s="98">
        <v>1E-8</v>
      </c>
      <c r="AD1451" s="4"/>
    </row>
    <row r="1452" spans="1:30" x14ac:dyDescent="0.3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34"/>
      <c r="O1452" s="4"/>
      <c r="P1452" s="96"/>
      <c r="Q1452" s="96" t="s">
        <v>673</v>
      </c>
      <c r="R1452" s="107" t="s">
        <v>731</v>
      </c>
      <c r="S1452" s="107" t="s">
        <v>355</v>
      </c>
      <c r="T1452" s="97">
        <v>7.5870698755911929</v>
      </c>
      <c r="U1452" s="78">
        <v>-0.91205276223590426</v>
      </c>
      <c r="V1452" s="97">
        <v>1E-8</v>
      </c>
      <c r="W1452" s="97">
        <v>1E-8</v>
      </c>
      <c r="X1452" s="97">
        <v>1E-8</v>
      </c>
      <c r="Y1452" s="97">
        <v>1E-8</v>
      </c>
      <c r="Z1452" s="97">
        <v>1E-8</v>
      </c>
      <c r="AA1452" s="97">
        <v>1E-8</v>
      </c>
      <c r="AB1452" s="97">
        <v>1E-8</v>
      </c>
      <c r="AC1452" s="97">
        <v>1E-8</v>
      </c>
      <c r="AD1452" s="4"/>
    </row>
    <row r="1453" spans="1:30" x14ac:dyDescent="0.3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34"/>
      <c r="O1453" s="4"/>
      <c r="P1453" s="96"/>
      <c r="Q1453" s="96" t="s">
        <v>372</v>
      </c>
      <c r="R1453" s="107" t="s">
        <v>731</v>
      </c>
      <c r="S1453" s="107" t="s">
        <v>571</v>
      </c>
      <c r="T1453" s="97">
        <v>1.5431342646932202</v>
      </c>
      <c r="U1453" s="78">
        <v>0.49504534233015818</v>
      </c>
      <c r="V1453" s="97">
        <v>1E-8</v>
      </c>
      <c r="W1453" s="97">
        <v>1E-8</v>
      </c>
      <c r="X1453" s="97">
        <v>1E-8</v>
      </c>
      <c r="Y1453" s="97">
        <v>1E-8</v>
      </c>
      <c r="Z1453" s="97">
        <v>1E-8</v>
      </c>
      <c r="AA1453" s="97">
        <v>1E-8</v>
      </c>
      <c r="AB1453" s="97">
        <v>1E-8</v>
      </c>
      <c r="AC1453" s="97">
        <v>1E-8</v>
      </c>
      <c r="AD1453" s="4"/>
    </row>
    <row r="1454" spans="1:30" x14ac:dyDescent="0.3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34"/>
      <c r="O1454" s="4"/>
      <c r="P1454" s="68"/>
      <c r="Q1454" s="68" t="s">
        <v>674</v>
      </c>
      <c r="R1454" s="108" t="s">
        <v>731</v>
      </c>
      <c r="S1454" s="108" t="s">
        <v>572</v>
      </c>
      <c r="T1454" s="98">
        <v>0.29819593745879752</v>
      </c>
      <c r="U1454" s="80">
        <v>0.65891809133187262</v>
      </c>
      <c r="V1454" s="98">
        <v>1E-8</v>
      </c>
      <c r="W1454" s="98">
        <v>1E-8</v>
      </c>
      <c r="X1454" s="98">
        <v>1E-8</v>
      </c>
      <c r="Y1454" s="98">
        <v>1E-8</v>
      </c>
      <c r="Z1454" s="98">
        <v>1E-8</v>
      </c>
      <c r="AA1454" s="98">
        <v>1E-8</v>
      </c>
      <c r="AB1454" s="98">
        <v>1E-8</v>
      </c>
      <c r="AC1454" s="98">
        <v>1E-8</v>
      </c>
      <c r="AD1454" s="4"/>
    </row>
    <row r="1455" spans="1:30" x14ac:dyDescent="0.3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34"/>
      <c r="O1455" s="4"/>
      <c r="P1455" s="68"/>
      <c r="Q1455" s="68" t="s">
        <v>675</v>
      </c>
      <c r="R1455" s="108" t="s">
        <v>731</v>
      </c>
      <c r="S1455" s="108" t="s">
        <v>356</v>
      </c>
      <c r="T1455" s="98">
        <v>0.95442533324508594</v>
      </c>
      <c r="U1455" s="80">
        <v>0.55853913427936774</v>
      </c>
      <c r="V1455" s="98">
        <v>1E-8</v>
      </c>
      <c r="W1455" s="98">
        <v>1E-8</v>
      </c>
      <c r="X1455" s="98">
        <v>1E-8</v>
      </c>
      <c r="Y1455" s="98">
        <v>1E-8</v>
      </c>
      <c r="Z1455" s="98">
        <v>1E-8</v>
      </c>
      <c r="AA1455" s="98">
        <v>1E-8</v>
      </c>
      <c r="AB1455" s="98">
        <v>1E-8</v>
      </c>
      <c r="AC1455" s="98">
        <v>1E-8</v>
      </c>
      <c r="AD1455" s="4"/>
    </row>
    <row r="1456" spans="1:30" x14ac:dyDescent="0.3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34"/>
      <c r="O1456" s="4"/>
      <c r="P1456" s="68"/>
      <c r="Q1456" s="68" t="s">
        <v>676</v>
      </c>
      <c r="R1456" s="109" t="s">
        <v>731</v>
      </c>
      <c r="S1456" s="109" t="s">
        <v>573</v>
      </c>
      <c r="T1456" s="81">
        <v>0.29051299398933655</v>
      </c>
      <c r="U1456" s="82">
        <v>0.11824198476115821</v>
      </c>
      <c r="V1456" s="81">
        <v>1E-8</v>
      </c>
      <c r="W1456" s="81">
        <v>1E-8</v>
      </c>
      <c r="X1456" s="81">
        <v>1E-8</v>
      </c>
      <c r="Y1456" s="81">
        <v>1E-8</v>
      </c>
      <c r="Z1456" s="81">
        <v>1E-8</v>
      </c>
      <c r="AA1456" s="81">
        <v>1E-8</v>
      </c>
      <c r="AB1456" s="81">
        <v>1E-8</v>
      </c>
      <c r="AC1456" s="81">
        <v>1E-8</v>
      </c>
      <c r="AD1456" s="4"/>
    </row>
    <row r="1457" spans="1:30" x14ac:dyDescent="0.3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34"/>
      <c r="O1457" s="4"/>
      <c r="P1457" s="96"/>
      <c r="Q1457" s="96" t="s">
        <v>373</v>
      </c>
      <c r="R1457" s="107" t="s">
        <v>731</v>
      </c>
      <c r="S1457" s="107" t="s">
        <v>574</v>
      </c>
      <c r="T1457" s="97">
        <v>0.91350288967894522</v>
      </c>
      <c r="U1457" s="78">
        <v>0.90936113871771251</v>
      </c>
      <c r="V1457" s="97">
        <v>1E-8</v>
      </c>
      <c r="W1457" s="97">
        <v>1E-8</v>
      </c>
      <c r="X1457" s="97">
        <v>1E-8</v>
      </c>
      <c r="Y1457" s="97">
        <v>1E-8</v>
      </c>
      <c r="Z1457" s="97">
        <v>1E-8</v>
      </c>
      <c r="AA1457" s="97">
        <v>1E-8</v>
      </c>
      <c r="AB1457" s="97">
        <v>1E-8</v>
      </c>
      <c r="AC1457" s="97">
        <v>1E-8</v>
      </c>
      <c r="AD1457" s="4"/>
    </row>
    <row r="1458" spans="1:30" x14ac:dyDescent="0.3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34"/>
      <c r="O1458" s="4"/>
      <c r="P1458" s="68"/>
      <c r="Q1458" s="68" t="s">
        <v>677</v>
      </c>
      <c r="R1458" s="108" t="s">
        <v>731</v>
      </c>
      <c r="S1458" s="108" t="s">
        <v>575</v>
      </c>
      <c r="T1458" s="98">
        <v>0.26683676080342994</v>
      </c>
      <c r="U1458" s="80">
        <v>2.4548127321633029</v>
      </c>
      <c r="V1458" s="98">
        <v>1E-8</v>
      </c>
      <c r="W1458" s="98">
        <v>1E-8</v>
      </c>
      <c r="X1458" s="98">
        <v>1E-8</v>
      </c>
      <c r="Y1458" s="98">
        <v>1E-8</v>
      </c>
      <c r="Z1458" s="98">
        <v>1E-8</v>
      </c>
      <c r="AA1458" s="98">
        <v>1E-8</v>
      </c>
      <c r="AB1458" s="98">
        <v>1E-8</v>
      </c>
      <c r="AC1458" s="98">
        <v>1E-8</v>
      </c>
      <c r="AD1458" s="4"/>
    </row>
    <row r="1459" spans="1:30" x14ac:dyDescent="0.3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34"/>
      <c r="O1459" s="4"/>
      <c r="P1459" s="68"/>
      <c r="Q1459" s="68" t="s">
        <v>678</v>
      </c>
      <c r="R1459" s="108" t="s">
        <v>731</v>
      </c>
      <c r="S1459" s="108" t="s">
        <v>576</v>
      </c>
      <c r="T1459" s="98">
        <v>0.16857173773180198</v>
      </c>
      <c r="U1459" s="80">
        <v>0.28758830965165405</v>
      </c>
      <c r="V1459" s="98">
        <v>1E-8</v>
      </c>
      <c r="W1459" s="98">
        <v>1E-8</v>
      </c>
      <c r="X1459" s="98">
        <v>1E-8</v>
      </c>
      <c r="Y1459" s="98">
        <v>1E-8</v>
      </c>
      <c r="Z1459" s="98">
        <v>1E-8</v>
      </c>
      <c r="AA1459" s="98">
        <v>1E-8</v>
      </c>
      <c r="AB1459" s="98">
        <v>1E-8</v>
      </c>
      <c r="AC1459" s="98">
        <v>1E-8</v>
      </c>
      <c r="AD1459" s="4"/>
    </row>
    <row r="1460" spans="1:30" x14ac:dyDescent="0.3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34"/>
      <c r="O1460" s="4"/>
      <c r="P1460" s="68"/>
      <c r="Q1460" s="68" t="s">
        <v>679</v>
      </c>
      <c r="R1460" s="108" t="s">
        <v>731</v>
      </c>
      <c r="S1460" s="108" t="s">
        <v>577</v>
      </c>
      <c r="T1460" s="98">
        <v>0.4780943911437131</v>
      </c>
      <c r="U1460" s="80">
        <v>0.26603635474007348</v>
      </c>
      <c r="V1460" s="98">
        <v>1E-8</v>
      </c>
      <c r="W1460" s="98">
        <v>1E-8</v>
      </c>
      <c r="X1460" s="98">
        <v>1E-8</v>
      </c>
      <c r="Y1460" s="98">
        <v>1E-8</v>
      </c>
      <c r="Z1460" s="98">
        <v>1E-8</v>
      </c>
      <c r="AA1460" s="98">
        <v>1E-8</v>
      </c>
      <c r="AB1460" s="98">
        <v>1E-8</v>
      </c>
      <c r="AC1460" s="98">
        <v>1E-8</v>
      </c>
      <c r="AD1460" s="4"/>
    </row>
    <row r="1461" spans="1:30" x14ac:dyDescent="0.3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34"/>
      <c r="O1461" s="4"/>
      <c r="P1461" s="96"/>
      <c r="Q1461" s="96" t="s">
        <v>195</v>
      </c>
      <c r="R1461" s="107" t="s">
        <v>731</v>
      </c>
      <c r="S1461" s="107" t="s">
        <v>578</v>
      </c>
      <c r="T1461" s="97">
        <v>1E-8</v>
      </c>
      <c r="U1461" s="78">
        <v>1E-8</v>
      </c>
      <c r="V1461" s="97">
        <v>1E-8</v>
      </c>
      <c r="W1461" s="97">
        <v>1E-8</v>
      </c>
      <c r="X1461" s="97">
        <v>1E-8</v>
      </c>
      <c r="Y1461" s="97">
        <v>1E-8</v>
      </c>
      <c r="Z1461" s="97">
        <v>1E-8</v>
      </c>
      <c r="AA1461" s="97">
        <v>1E-8</v>
      </c>
      <c r="AB1461" s="97">
        <v>1E-8</v>
      </c>
      <c r="AC1461" s="97">
        <v>1E-8</v>
      </c>
      <c r="AD1461" s="4"/>
    </row>
    <row r="1462" spans="1:30" x14ac:dyDescent="0.3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34"/>
      <c r="O1462" s="4"/>
      <c r="P1462" s="68"/>
      <c r="Q1462" s="68" t="s">
        <v>680</v>
      </c>
      <c r="R1462" s="108" t="s">
        <v>731</v>
      </c>
      <c r="S1462" s="108" t="s">
        <v>579</v>
      </c>
      <c r="T1462" s="98">
        <v>1E-8</v>
      </c>
      <c r="U1462" s="80">
        <v>1E-8</v>
      </c>
      <c r="V1462" s="98">
        <v>1E-8</v>
      </c>
      <c r="W1462" s="98">
        <v>1E-8</v>
      </c>
      <c r="X1462" s="98">
        <v>1E-8</v>
      </c>
      <c r="Y1462" s="98">
        <v>1E-8</v>
      </c>
      <c r="Z1462" s="98">
        <v>1E-8</v>
      </c>
      <c r="AA1462" s="98">
        <v>1E-8</v>
      </c>
      <c r="AB1462" s="98">
        <v>1E-8</v>
      </c>
      <c r="AC1462" s="98">
        <v>1E-8</v>
      </c>
      <c r="AD1462" s="4"/>
    </row>
    <row r="1463" spans="1:30" x14ac:dyDescent="0.3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34"/>
      <c r="O1463" s="4"/>
      <c r="P1463" s="68"/>
      <c r="Q1463" s="68" t="s">
        <v>681</v>
      </c>
      <c r="R1463" s="108" t="s">
        <v>731</v>
      </c>
      <c r="S1463" s="108" t="s">
        <v>357</v>
      </c>
      <c r="T1463" s="98">
        <v>1E-8</v>
      </c>
      <c r="U1463" s="80">
        <v>1E-8</v>
      </c>
      <c r="V1463" s="98">
        <v>1E-8</v>
      </c>
      <c r="W1463" s="98">
        <v>1E-8</v>
      </c>
      <c r="X1463" s="98">
        <v>1E-8</v>
      </c>
      <c r="Y1463" s="98">
        <v>1E-8</v>
      </c>
      <c r="Z1463" s="98">
        <v>1E-8</v>
      </c>
      <c r="AA1463" s="98">
        <v>1E-8</v>
      </c>
      <c r="AB1463" s="98">
        <v>1E-8</v>
      </c>
      <c r="AC1463" s="98">
        <v>1E-8</v>
      </c>
      <c r="AD1463" s="4"/>
    </row>
    <row r="1464" spans="1:30" x14ac:dyDescent="0.3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34"/>
      <c r="O1464" s="4"/>
      <c r="P1464" s="96"/>
      <c r="Q1464" s="96" t="s">
        <v>196</v>
      </c>
      <c r="R1464" s="107" t="s">
        <v>731</v>
      </c>
      <c r="S1464" s="107" t="s">
        <v>580</v>
      </c>
      <c r="T1464" s="97">
        <v>7.8668069356803638</v>
      </c>
      <c r="U1464" s="78">
        <v>1.3519639702374242</v>
      </c>
      <c r="V1464" s="97">
        <v>1E-8</v>
      </c>
      <c r="W1464" s="97">
        <v>1E-8</v>
      </c>
      <c r="X1464" s="97">
        <v>1E-8</v>
      </c>
      <c r="Y1464" s="97">
        <v>1E-8</v>
      </c>
      <c r="Z1464" s="97">
        <v>1E-8</v>
      </c>
      <c r="AA1464" s="97">
        <v>1E-8</v>
      </c>
      <c r="AB1464" s="97">
        <v>1E-8</v>
      </c>
      <c r="AC1464" s="97">
        <v>1E-8</v>
      </c>
      <c r="AD1464" s="4"/>
    </row>
    <row r="1465" spans="1:30" x14ac:dyDescent="0.3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34"/>
      <c r="O1465" s="4"/>
      <c r="P1465" s="68"/>
      <c r="Q1465" s="68" t="s">
        <v>682</v>
      </c>
      <c r="R1465" s="108" t="s">
        <v>731</v>
      </c>
      <c r="S1465" s="108" t="s">
        <v>581</v>
      </c>
      <c r="T1465" s="98">
        <v>1.1372590247906054</v>
      </c>
      <c r="U1465" s="80">
        <v>-1.6051545515867294</v>
      </c>
      <c r="V1465" s="98">
        <v>1E-8</v>
      </c>
      <c r="W1465" s="98">
        <v>1E-8</v>
      </c>
      <c r="X1465" s="98">
        <v>1E-8</v>
      </c>
      <c r="Y1465" s="98">
        <v>1E-8</v>
      </c>
      <c r="Z1465" s="98">
        <v>1E-8</v>
      </c>
      <c r="AA1465" s="98">
        <v>1E-8</v>
      </c>
      <c r="AB1465" s="98">
        <v>1E-8</v>
      </c>
      <c r="AC1465" s="98">
        <v>1E-8</v>
      </c>
      <c r="AD1465" s="4"/>
    </row>
    <row r="1466" spans="1:30" x14ac:dyDescent="0.3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34"/>
      <c r="O1466" s="4"/>
      <c r="P1466" s="68"/>
      <c r="Q1466" s="68" t="s">
        <v>683</v>
      </c>
      <c r="R1466" s="108" t="s">
        <v>731</v>
      </c>
      <c r="S1466" s="108" t="s">
        <v>582</v>
      </c>
      <c r="T1466" s="98">
        <v>0.35017325451099557</v>
      </c>
      <c r="U1466" s="80">
        <v>0.88823274032403532</v>
      </c>
      <c r="V1466" s="98">
        <v>1E-8</v>
      </c>
      <c r="W1466" s="98">
        <v>1E-8</v>
      </c>
      <c r="X1466" s="98">
        <v>1E-8</v>
      </c>
      <c r="Y1466" s="98">
        <v>1E-8</v>
      </c>
      <c r="Z1466" s="98">
        <v>1E-8</v>
      </c>
      <c r="AA1466" s="98">
        <v>1E-8</v>
      </c>
      <c r="AB1466" s="98">
        <v>1E-8</v>
      </c>
      <c r="AC1466" s="98">
        <v>1E-8</v>
      </c>
      <c r="AD1466" s="4"/>
    </row>
    <row r="1467" spans="1:30" x14ac:dyDescent="0.3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34"/>
      <c r="O1467" s="4"/>
      <c r="P1467" s="68"/>
      <c r="Q1467" s="68" t="s">
        <v>684</v>
      </c>
      <c r="R1467" s="108" t="s">
        <v>731</v>
      </c>
      <c r="S1467" s="108" t="s">
        <v>583</v>
      </c>
      <c r="T1467" s="98">
        <v>2.3841864771369159</v>
      </c>
      <c r="U1467" s="80">
        <v>2.6176758780276144</v>
      </c>
      <c r="V1467" s="98">
        <v>1E-8</v>
      </c>
      <c r="W1467" s="98">
        <v>1E-8</v>
      </c>
      <c r="X1467" s="98">
        <v>1E-8</v>
      </c>
      <c r="Y1467" s="98">
        <v>1E-8</v>
      </c>
      <c r="Z1467" s="98">
        <v>1E-8</v>
      </c>
      <c r="AA1467" s="98">
        <v>1E-8</v>
      </c>
      <c r="AB1467" s="98">
        <v>1E-8</v>
      </c>
      <c r="AC1467" s="98">
        <v>1E-8</v>
      </c>
      <c r="AD1467" s="4"/>
    </row>
    <row r="1468" spans="1:30" x14ac:dyDescent="0.3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34"/>
      <c r="O1468" s="4"/>
      <c r="P1468" s="68"/>
      <c r="Q1468" s="68" t="s">
        <v>685</v>
      </c>
      <c r="R1468" s="108" t="s">
        <v>731</v>
      </c>
      <c r="S1468" s="108" t="s">
        <v>584</v>
      </c>
      <c r="T1468" s="98">
        <v>0.24581298699352566</v>
      </c>
      <c r="U1468" s="80">
        <v>-0.63255005544899934</v>
      </c>
      <c r="V1468" s="98">
        <v>1E-8</v>
      </c>
      <c r="W1468" s="98">
        <v>1E-8</v>
      </c>
      <c r="X1468" s="98">
        <v>1E-8</v>
      </c>
      <c r="Y1468" s="98">
        <v>1E-8</v>
      </c>
      <c r="Z1468" s="98">
        <v>1E-8</v>
      </c>
      <c r="AA1468" s="98">
        <v>1E-8</v>
      </c>
      <c r="AB1468" s="98">
        <v>1E-8</v>
      </c>
      <c r="AC1468" s="98">
        <v>1E-8</v>
      </c>
      <c r="AD1468" s="4"/>
    </row>
    <row r="1469" spans="1:30" x14ac:dyDescent="0.3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34"/>
      <c r="O1469" s="4"/>
      <c r="P1469" s="68"/>
      <c r="Q1469" s="68" t="s">
        <v>686</v>
      </c>
      <c r="R1469" s="109" t="s">
        <v>731</v>
      </c>
      <c r="S1469" s="109" t="s">
        <v>585</v>
      </c>
      <c r="T1469" s="81">
        <v>3.7493751922483218</v>
      </c>
      <c r="U1469" s="82">
        <v>1.6174807710780836</v>
      </c>
      <c r="V1469" s="81">
        <v>1E-8</v>
      </c>
      <c r="W1469" s="81">
        <v>1E-8</v>
      </c>
      <c r="X1469" s="81">
        <v>1E-8</v>
      </c>
      <c r="Y1469" s="81">
        <v>1E-8</v>
      </c>
      <c r="Z1469" s="81">
        <v>1E-8</v>
      </c>
      <c r="AA1469" s="81">
        <v>1E-8</v>
      </c>
      <c r="AB1469" s="81">
        <v>1E-8</v>
      </c>
      <c r="AC1469" s="81">
        <v>1E-8</v>
      </c>
      <c r="AD1469" s="4"/>
    </row>
    <row r="1470" spans="1:30" x14ac:dyDescent="0.3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34"/>
      <c r="O1470" s="4"/>
      <c r="P1470" s="96"/>
      <c r="Q1470" s="96" t="s">
        <v>687</v>
      </c>
      <c r="R1470" s="107" t="s">
        <v>731</v>
      </c>
      <c r="S1470" s="107" t="s">
        <v>358</v>
      </c>
      <c r="T1470" s="97">
        <v>6.325800567903503</v>
      </c>
      <c r="U1470" s="78">
        <v>0.5461396345088243</v>
      </c>
      <c r="V1470" s="97">
        <v>1E-8</v>
      </c>
      <c r="W1470" s="97">
        <v>1E-8</v>
      </c>
      <c r="X1470" s="97">
        <v>1E-8</v>
      </c>
      <c r="Y1470" s="97">
        <v>1E-8</v>
      </c>
      <c r="Z1470" s="97">
        <v>1E-8</v>
      </c>
      <c r="AA1470" s="97">
        <v>1E-8</v>
      </c>
      <c r="AB1470" s="97">
        <v>1E-8</v>
      </c>
      <c r="AC1470" s="97">
        <v>1E-8</v>
      </c>
      <c r="AD1470" s="4"/>
    </row>
    <row r="1471" spans="1:30" x14ac:dyDescent="0.3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34"/>
      <c r="O1471" s="4"/>
      <c r="P1471" s="96"/>
      <c r="Q1471" s="96" t="s">
        <v>688</v>
      </c>
      <c r="R1471" s="107" t="s">
        <v>731</v>
      </c>
      <c r="S1471" s="107" t="s">
        <v>359</v>
      </c>
      <c r="T1471" s="97">
        <v>4.3945247533894856</v>
      </c>
      <c r="U1471" s="78">
        <v>-0.17942102705360563</v>
      </c>
      <c r="V1471" s="97">
        <v>1E-8</v>
      </c>
      <c r="W1471" s="97">
        <v>1E-8</v>
      </c>
      <c r="X1471" s="97">
        <v>1E-8</v>
      </c>
      <c r="Y1471" s="97">
        <v>1E-8</v>
      </c>
      <c r="Z1471" s="97">
        <v>1E-8</v>
      </c>
      <c r="AA1471" s="97">
        <v>1E-8</v>
      </c>
      <c r="AB1471" s="97">
        <v>1E-8</v>
      </c>
      <c r="AC1471" s="97">
        <v>1E-8</v>
      </c>
      <c r="AD1471" s="4"/>
    </row>
    <row r="1472" spans="1:30" x14ac:dyDescent="0.3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34"/>
      <c r="O1472" s="4"/>
      <c r="P1472" s="96"/>
      <c r="Q1472" s="96" t="s">
        <v>689</v>
      </c>
      <c r="R1472" s="107" t="s">
        <v>731</v>
      </c>
      <c r="S1472" s="107" t="s">
        <v>360</v>
      </c>
      <c r="T1472" s="97">
        <v>0.67683015625286924</v>
      </c>
      <c r="U1472" s="78">
        <v>-1.5864687384492315</v>
      </c>
      <c r="V1472" s="97">
        <v>1E-8</v>
      </c>
      <c r="W1472" s="97">
        <v>1E-8</v>
      </c>
      <c r="X1472" s="97">
        <v>1E-8</v>
      </c>
      <c r="Y1472" s="97">
        <v>1E-8</v>
      </c>
      <c r="Z1472" s="97">
        <v>1E-8</v>
      </c>
      <c r="AA1472" s="97">
        <v>1E-8</v>
      </c>
      <c r="AB1472" s="97">
        <v>1E-8</v>
      </c>
      <c r="AC1472" s="97">
        <v>1E-8</v>
      </c>
      <c r="AD1472" s="4"/>
    </row>
    <row r="1473" spans="1:30" x14ac:dyDescent="0.3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34"/>
      <c r="O1473" s="4"/>
      <c r="P1473" s="96"/>
      <c r="Q1473" s="96" t="s">
        <v>205</v>
      </c>
      <c r="R1473" s="107" t="s">
        <v>731</v>
      </c>
      <c r="S1473" s="107" t="s">
        <v>586</v>
      </c>
      <c r="T1473" s="97">
        <v>9.6998720181641822</v>
      </c>
      <c r="U1473" s="78">
        <v>0.22268937639839947</v>
      </c>
      <c r="V1473" s="97">
        <v>1E-8</v>
      </c>
      <c r="W1473" s="97">
        <v>1E-8</v>
      </c>
      <c r="X1473" s="97">
        <v>1E-8</v>
      </c>
      <c r="Y1473" s="97">
        <v>1E-8</v>
      </c>
      <c r="Z1473" s="97">
        <v>1E-8</v>
      </c>
      <c r="AA1473" s="97">
        <v>1E-8</v>
      </c>
      <c r="AB1473" s="97">
        <v>1E-8</v>
      </c>
      <c r="AC1473" s="97">
        <v>1E-8</v>
      </c>
      <c r="AD1473" s="4"/>
    </row>
    <row r="1474" spans="1:30" x14ac:dyDescent="0.3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34"/>
      <c r="O1474" s="4"/>
      <c r="P1474" s="68"/>
      <c r="Q1474" s="68" t="s">
        <v>690</v>
      </c>
      <c r="R1474" s="108" t="s">
        <v>731</v>
      </c>
      <c r="S1474" s="108" t="s">
        <v>587</v>
      </c>
      <c r="T1474" s="98">
        <v>0.81826547448967546</v>
      </c>
      <c r="U1474" s="80">
        <v>8.801329212662079E-2</v>
      </c>
      <c r="V1474" s="98">
        <v>1E-8</v>
      </c>
      <c r="W1474" s="98">
        <v>1E-8</v>
      </c>
      <c r="X1474" s="98">
        <v>1E-8</v>
      </c>
      <c r="Y1474" s="98">
        <v>1E-8</v>
      </c>
      <c r="Z1474" s="98">
        <v>1E-8</v>
      </c>
      <c r="AA1474" s="98">
        <v>1E-8</v>
      </c>
      <c r="AB1474" s="98">
        <v>1E-8</v>
      </c>
      <c r="AC1474" s="98">
        <v>1E-8</v>
      </c>
      <c r="AD1474" s="4"/>
    </row>
    <row r="1475" spans="1:30" x14ac:dyDescent="0.3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34"/>
      <c r="O1475" s="4"/>
      <c r="P1475" s="68"/>
      <c r="Q1475" s="68" t="s">
        <v>691</v>
      </c>
      <c r="R1475" s="108" t="s">
        <v>731</v>
      </c>
      <c r="S1475" s="108" t="s">
        <v>588</v>
      </c>
      <c r="T1475" s="98">
        <v>0.30529387727857304</v>
      </c>
      <c r="U1475" s="80">
        <v>0.61887566980969311</v>
      </c>
      <c r="V1475" s="98">
        <v>1E-8</v>
      </c>
      <c r="W1475" s="98">
        <v>1E-8</v>
      </c>
      <c r="X1475" s="98">
        <v>1E-8</v>
      </c>
      <c r="Y1475" s="98">
        <v>1E-8</v>
      </c>
      <c r="Z1475" s="98">
        <v>1E-8</v>
      </c>
      <c r="AA1475" s="98">
        <v>1E-8</v>
      </c>
      <c r="AB1475" s="98">
        <v>1E-8</v>
      </c>
      <c r="AC1475" s="98">
        <v>1E-8</v>
      </c>
      <c r="AD1475" s="4"/>
    </row>
    <row r="1476" spans="1:30" x14ac:dyDescent="0.3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34"/>
      <c r="O1476" s="4"/>
      <c r="P1476" s="68"/>
      <c r="Q1476" s="68" t="s">
        <v>692</v>
      </c>
      <c r="R1476" s="108" t="s">
        <v>731</v>
      </c>
      <c r="S1476" s="108" t="s">
        <v>589</v>
      </c>
      <c r="T1476" s="98">
        <v>1.3625716134195971</v>
      </c>
      <c r="U1476" s="80">
        <v>2.2191242557980884</v>
      </c>
      <c r="V1476" s="98">
        <v>1E-8</v>
      </c>
      <c r="W1476" s="98">
        <v>1E-8</v>
      </c>
      <c r="X1476" s="98">
        <v>1E-8</v>
      </c>
      <c r="Y1476" s="98">
        <v>1E-8</v>
      </c>
      <c r="Z1476" s="98">
        <v>1E-8</v>
      </c>
      <c r="AA1476" s="98">
        <v>1E-8</v>
      </c>
      <c r="AB1476" s="98">
        <v>1E-8</v>
      </c>
      <c r="AC1476" s="98">
        <v>1E-8</v>
      </c>
      <c r="AD1476" s="4"/>
    </row>
    <row r="1477" spans="1:30" x14ac:dyDescent="0.3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34"/>
      <c r="O1477" s="4"/>
      <c r="P1477" s="68"/>
      <c r="Q1477" s="68" t="s">
        <v>693</v>
      </c>
      <c r="R1477" s="108" t="s">
        <v>731</v>
      </c>
      <c r="S1477" s="108" t="s">
        <v>361</v>
      </c>
      <c r="T1477" s="98">
        <v>6.3806739758348021</v>
      </c>
      <c r="U1477" s="80">
        <v>-0.26305649125963892</v>
      </c>
      <c r="V1477" s="98">
        <v>1E-8</v>
      </c>
      <c r="W1477" s="98">
        <v>1E-8</v>
      </c>
      <c r="X1477" s="98">
        <v>1E-8</v>
      </c>
      <c r="Y1477" s="98">
        <v>1E-8</v>
      </c>
      <c r="Z1477" s="98">
        <v>1E-8</v>
      </c>
      <c r="AA1477" s="98">
        <v>1E-8</v>
      </c>
      <c r="AB1477" s="98">
        <v>1E-8</v>
      </c>
      <c r="AC1477" s="98">
        <v>1E-8</v>
      </c>
      <c r="AD1477" s="4"/>
    </row>
    <row r="1478" spans="1:30" x14ac:dyDescent="0.3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34"/>
      <c r="O1478" s="4"/>
      <c r="P1478" s="68"/>
      <c r="Q1478" s="68" t="s">
        <v>694</v>
      </c>
      <c r="R1478" s="108" t="s">
        <v>731</v>
      </c>
      <c r="S1478" s="108" t="s">
        <v>590</v>
      </c>
      <c r="T1478" s="98">
        <v>0.83306707714153305</v>
      </c>
      <c r="U1478" s="80">
        <v>0.66484832420743434</v>
      </c>
      <c r="V1478" s="98">
        <v>1E-8</v>
      </c>
      <c r="W1478" s="98">
        <v>1E-8</v>
      </c>
      <c r="X1478" s="98">
        <v>1E-8</v>
      </c>
      <c r="Y1478" s="98">
        <v>1E-8</v>
      </c>
      <c r="Z1478" s="98">
        <v>1E-8</v>
      </c>
      <c r="AA1478" s="98">
        <v>1E-8</v>
      </c>
      <c r="AB1478" s="98">
        <v>1E-8</v>
      </c>
      <c r="AC1478" s="98">
        <v>1E-8</v>
      </c>
      <c r="AD1478" s="4"/>
    </row>
    <row r="1479" spans="1:30" ht="15" thickBot="1" x14ac:dyDescent="0.4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34"/>
      <c r="O1479" s="4"/>
      <c r="P1479" s="102"/>
      <c r="Q1479" s="102" t="s">
        <v>695</v>
      </c>
      <c r="R1479" s="113" t="s">
        <v>731</v>
      </c>
      <c r="S1479" s="113" t="s">
        <v>591</v>
      </c>
      <c r="T1479" s="103">
        <v>1E-8</v>
      </c>
      <c r="U1479" s="104">
        <v>1E-8</v>
      </c>
      <c r="V1479" s="103">
        <v>1E-8</v>
      </c>
      <c r="W1479" s="103">
        <v>1E-8</v>
      </c>
      <c r="X1479" s="103">
        <v>1E-8</v>
      </c>
      <c r="Y1479" s="103">
        <v>1E-8</v>
      </c>
      <c r="Z1479" s="103">
        <v>1E-8</v>
      </c>
      <c r="AA1479" s="103">
        <v>1E-8</v>
      </c>
      <c r="AB1479" s="103">
        <v>1E-8</v>
      </c>
      <c r="AC1479" s="103">
        <v>1E-8</v>
      </c>
      <c r="AD1479" s="4"/>
    </row>
    <row r="1480" spans="1:30" x14ac:dyDescent="0.3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34"/>
      <c r="O1480" s="4"/>
      <c r="P1480" s="47" t="s">
        <v>727</v>
      </c>
      <c r="Q1480" s="47" t="s">
        <v>102</v>
      </c>
      <c r="R1480" s="105" t="s">
        <v>732</v>
      </c>
      <c r="S1480" s="105" t="s">
        <v>288</v>
      </c>
      <c r="T1480" s="95">
        <v>100</v>
      </c>
      <c r="U1480" s="74">
        <v>1E-8</v>
      </c>
      <c r="V1480" s="95">
        <v>1E-8</v>
      </c>
      <c r="W1480" s="95">
        <v>1E-8</v>
      </c>
      <c r="X1480" s="95">
        <v>1E-8</v>
      </c>
      <c r="Y1480" s="95">
        <v>1E-8</v>
      </c>
      <c r="Z1480" s="95">
        <v>1E-8</v>
      </c>
      <c r="AA1480" s="95">
        <v>1E-8</v>
      </c>
      <c r="AB1480" s="95">
        <v>1E-8</v>
      </c>
      <c r="AC1480" s="95">
        <v>1E-8</v>
      </c>
      <c r="AD1480" s="4"/>
    </row>
    <row r="1481" spans="1:30" x14ac:dyDescent="0.3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34"/>
      <c r="O1481" s="4"/>
      <c r="P1481" s="47" t="s">
        <v>477</v>
      </c>
      <c r="Q1481" s="47" t="s">
        <v>278</v>
      </c>
      <c r="R1481" s="106" t="s">
        <v>732</v>
      </c>
      <c r="S1481" s="106" t="s">
        <v>289</v>
      </c>
      <c r="T1481" s="75">
        <v>0.98425957845010881</v>
      </c>
      <c r="U1481" s="76">
        <v>-0.39337585867118552</v>
      </c>
      <c r="V1481" s="75">
        <v>1E-8</v>
      </c>
      <c r="W1481" s="75">
        <v>1E-8</v>
      </c>
      <c r="X1481" s="75">
        <v>1E-8</v>
      </c>
      <c r="Y1481" s="75">
        <v>1E-8</v>
      </c>
      <c r="Z1481" s="75">
        <v>1E-8</v>
      </c>
      <c r="AA1481" s="75">
        <v>1E-8</v>
      </c>
      <c r="AB1481" s="75">
        <v>1E-8</v>
      </c>
      <c r="AC1481" s="75">
        <v>1E-8</v>
      </c>
      <c r="AD1481" s="4"/>
    </row>
    <row r="1482" spans="1:30" x14ac:dyDescent="0.3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34"/>
      <c r="O1482" s="4"/>
      <c r="P1482" s="96"/>
      <c r="Q1482" s="96" t="s">
        <v>279</v>
      </c>
      <c r="R1482" s="107" t="s">
        <v>732</v>
      </c>
      <c r="S1482" s="107" t="s">
        <v>290</v>
      </c>
      <c r="T1482" s="97">
        <v>0.69870862821839119</v>
      </c>
      <c r="U1482" s="78">
        <v>-0.29767084918681519</v>
      </c>
      <c r="V1482" s="97">
        <v>1E-8</v>
      </c>
      <c r="W1482" s="97">
        <v>1E-8</v>
      </c>
      <c r="X1482" s="97">
        <v>1E-8</v>
      </c>
      <c r="Y1482" s="97">
        <v>1E-8</v>
      </c>
      <c r="Z1482" s="97">
        <v>1E-8</v>
      </c>
      <c r="AA1482" s="97">
        <v>1E-8</v>
      </c>
      <c r="AB1482" s="97">
        <v>1E-8</v>
      </c>
      <c r="AC1482" s="97">
        <v>1E-8</v>
      </c>
      <c r="AD1482" s="4"/>
    </row>
    <row r="1483" spans="1:30" x14ac:dyDescent="0.3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34"/>
      <c r="O1483" s="4"/>
      <c r="P1483" s="96"/>
      <c r="Q1483" s="96" t="s">
        <v>362</v>
      </c>
      <c r="R1483" s="107" t="s">
        <v>732</v>
      </c>
      <c r="S1483" s="107" t="s">
        <v>291</v>
      </c>
      <c r="T1483" s="97">
        <v>0.69725642191200765</v>
      </c>
      <c r="U1483" s="78">
        <v>-0.30112394247086005</v>
      </c>
      <c r="V1483" s="97">
        <v>1E-8</v>
      </c>
      <c r="W1483" s="97">
        <v>1E-8</v>
      </c>
      <c r="X1483" s="97">
        <v>1E-8</v>
      </c>
      <c r="Y1483" s="97">
        <v>1E-8</v>
      </c>
      <c r="Z1483" s="97">
        <v>1E-8</v>
      </c>
      <c r="AA1483" s="97">
        <v>1E-8</v>
      </c>
      <c r="AB1483" s="97">
        <v>1E-8</v>
      </c>
      <c r="AC1483" s="97">
        <v>1E-8</v>
      </c>
      <c r="AD1483" s="4"/>
    </row>
    <row r="1484" spans="1:30" x14ac:dyDescent="0.3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34"/>
      <c r="O1484" s="4"/>
      <c r="P1484" s="96"/>
      <c r="Q1484" s="96" t="s">
        <v>363</v>
      </c>
      <c r="R1484" s="107" t="s">
        <v>732</v>
      </c>
      <c r="S1484" s="107" t="s">
        <v>292</v>
      </c>
      <c r="T1484" s="97">
        <v>1.4522063063836315E-3</v>
      </c>
      <c r="U1484" s="78">
        <v>1.3602832976692847</v>
      </c>
      <c r="V1484" s="97">
        <v>1E-8</v>
      </c>
      <c r="W1484" s="97">
        <v>1E-8</v>
      </c>
      <c r="X1484" s="97">
        <v>1E-8</v>
      </c>
      <c r="Y1484" s="97">
        <v>1E-8</v>
      </c>
      <c r="Z1484" s="97">
        <v>1E-8</v>
      </c>
      <c r="AA1484" s="97">
        <v>1E-8</v>
      </c>
      <c r="AB1484" s="97">
        <v>1E-8</v>
      </c>
      <c r="AC1484" s="97">
        <v>1E-8</v>
      </c>
      <c r="AD1484" s="4"/>
    </row>
    <row r="1485" spans="1:30" x14ac:dyDescent="0.3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34"/>
      <c r="O1485" s="4"/>
      <c r="P1485" s="68"/>
      <c r="Q1485" s="68" t="s">
        <v>592</v>
      </c>
      <c r="R1485" s="108" t="s">
        <v>732</v>
      </c>
      <c r="S1485" s="108" t="s">
        <v>294</v>
      </c>
      <c r="T1485" s="98">
        <v>1.3523414708339117E-2</v>
      </c>
      <c r="U1485" s="80">
        <v>0.95768621846050728</v>
      </c>
      <c r="V1485" s="98">
        <v>1E-8</v>
      </c>
      <c r="W1485" s="98">
        <v>1E-8</v>
      </c>
      <c r="X1485" s="98">
        <v>1E-8</v>
      </c>
      <c r="Y1485" s="98">
        <v>1E-8</v>
      </c>
      <c r="Z1485" s="98">
        <v>1E-8</v>
      </c>
      <c r="AA1485" s="98">
        <v>1E-8</v>
      </c>
      <c r="AB1485" s="98">
        <v>1E-8</v>
      </c>
      <c r="AC1485" s="98">
        <v>1E-8</v>
      </c>
      <c r="AD1485" s="4"/>
    </row>
    <row r="1486" spans="1:30" x14ac:dyDescent="0.3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34"/>
      <c r="O1486" s="4"/>
      <c r="P1486" s="68"/>
      <c r="Q1486" s="68" t="s">
        <v>593</v>
      </c>
      <c r="R1486" s="108" t="s">
        <v>732</v>
      </c>
      <c r="S1486" s="108" t="s">
        <v>293</v>
      </c>
      <c r="T1486" s="98">
        <v>2.3767181279879493E-2</v>
      </c>
      <c r="U1486" s="80">
        <v>1.9028141358355066</v>
      </c>
      <c r="V1486" s="98">
        <v>1E-8</v>
      </c>
      <c r="W1486" s="98">
        <v>1E-8</v>
      </c>
      <c r="X1486" s="98">
        <v>1E-8</v>
      </c>
      <c r="Y1486" s="98">
        <v>1E-8</v>
      </c>
      <c r="Z1486" s="98">
        <v>1E-8</v>
      </c>
      <c r="AA1486" s="98">
        <v>1E-8</v>
      </c>
      <c r="AB1486" s="98">
        <v>1E-8</v>
      </c>
      <c r="AC1486" s="98">
        <v>1E-8</v>
      </c>
      <c r="AD1486" s="4"/>
    </row>
    <row r="1487" spans="1:30" x14ac:dyDescent="0.3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34"/>
      <c r="O1487" s="4"/>
      <c r="P1487" s="68"/>
      <c r="Q1487" s="68" t="s">
        <v>594</v>
      </c>
      <c r="R1487" s="108" t="s">
        <v>732</v>
      </c>
      <c r="S1487" s="108" t="s">
        <v>296</v>
      </c>
      <c r="T1487" s="98">
        <v>1.7214012456589879E-4</v>
      </c>
      <c r="U1487" s="80">
        <v>2.9562932671009623</v>
      </c>
      <c r="V1487" s="98">
        <v>1E-8</v>
      </c>
      <c r="W1487" s="98">
        <v>1E-8</v>
      </c>
      <c r="X1487" s="98">
        <v>1E-8</v>
      </c>
      <c r="Y1487" s="98">
        <v>1E-8</v>
      </c>
      <c r="Z1487" s="98">
        <v>1E-8</v>
      </c>
      <c r="AA1487" s="98">
        <v>1E-8</v>
      </c>
      <c r="AB1487" s="98">
        <v>1E-8</v>
      </c>
      <c r="AC1487" s="98">
        <v>1E-8</v>
      </c>
      <c r="AD1487" s="4"/>
    </row>
    <row r="1488" spans="1:30" x14ac:dyDescent="0.3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34"/>
      <c r="O1488" s="4"/>
      <c r="P1488" s="68"/>
      <c r="Q1488" s="68" t="s">
        <v>595</v>
      </c>
      <c r="R1488" s="108" t="s">
        <v>732</v>
      </c>
      <c r="S1488" s="108" t="s">
        <v>295</v>
      </c>
      <c r="T1488" s="98">
        <v>4.2323949335463015E-3</v>
      </c>
      <c r="U1488" s="80">
        <v>0.29359014010588158</v>
      </c>
      <c r="V1488" s="98">
        <v>1E-8</v>
      </c>
      <c r="W1488" s="98">
        <v>1E-8</v>
      </c>
      <c r="X1488" s="98">
        <v>1E-8</v>
      </c>
      <c r="Y1488" s="98">
        <v>1E-8</v>
      </c>
      <c r="Z1488" s="98">
        <v>1E-8</v>
      </c>
      <c r="AA1488" s="98">
        <v>1E-8</v>
      </c>
      <c r="AB1488" s="98">
        <v>1E-8</v>
      </c>
      <c r="AC1488" s="98">
        <v>1E-8</v>
      </c>
      <c r="AD1488" s="4"/>
    </row>
    <row r="1489" spans="1:30" x14ac:dyDescent="0.3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34"/>
      <c r="O1489" s="4"/>
      <c r="P1489" s="68"/>
      <c r="Q1489" s="68" t="s">
        <v>596</v>
      </c>
      <c r="R1489" s="108" t="s">
        <v>732</v>
      </c>
      <c r="S1489" s="108" t="s">
        <v>297</v>
      </c>
      <c r="T1489" s="98">
        <v>1.0917477587907478E-5</v>
      </c>
      <c r="U1489" s="80">
        <v>2.9657812493119051</v>
      </c>
      <c r="V1489" s="98">
        <v>1E-8</v>
      </c>
      <c r="W1489" s="98">
        <v>1E-8</v>
      </c>
      <c r="X1489" s="98">
        <v>1E-8</v>
      </c>
      <c r="Y1489" s="98">
        <v>1E-8</v>
      </c>
      <c r="Z1489" s="98">
        <v>1E-8</v>
      </c>
      <c r="AA1489" s="98">
        <v>1E-8</v>
      </c>
      <c r="AB1489" s="98">
        <v>1E-8</v>
      </c>
      <c r="AC1489" s="98">
        <v>1E-8</v>
      </c>
      <c r="AD1489" s="4"/>
    </row>
    <row r="1490" spans="1:30" x14ac:dyDescent="0.3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34"/>
      <c r="O1490" s="4"/>
      <c r="P1490" s="68"/>
      <c r="Q1490" s="68" t="s">
        <v>597</v>
      </c>
      <c r="R1490" s="108" t="s">
        <v>732</v>
      </c>
      <c r="S1490" s="108" t="s">
        <v>301</v>
      </c>
      <c r="T1490" s="98">
        <v>2.2789091182782401E-2</v>
      </c>
      <c r="U1490" s="80">
        <v>-1.34858166907732</v>
      </c>
      <c r="V1490" s="98">
        <v>1E-8</v>
      </c>
      <c r="W1490" s="98">
        <v>1E-8</v>
      </c>
      <c r="X1490" s="98">
        <v>1E-8</v>
      </c>
      <c r="Y1490" s="98">
        <v>1E-8</v>
      </c>
      <c r="Z1490" s="98">
        <v>1E-8</v>
      </c>
      <c r="AA1490" s="98">
        <v>1E-8</v>
      </c>
      <c r="AB1490" s="98">
        <v>1E-8</v>
      </c>
      <c r="AC1490" s="98">
        <v>1E-8</v>
      </c>
      <c r="AD1490" s="4"/>
    </row>
    <row r="1491" spans="1:30" x14ac:dyDescent="0.3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34"/>
      <c r="O1491" s="4"/>
      <c r="P1491" s="68"/>
      <c r="Q1491" s="68" t="s">
        <v>598</v>
      </c>
      <c r="R1491" s="108" t="s">
        <v>732</v>
      </c>
      <c r="S1491" s="108" t="s">
        <v>302</v>
      </c>
      <c r="T1491" s="98">
        <v>2.1730849742270693E-2</v>
      </c>
      <c r="U1491" s="80">
        <v>-2.2640410458534821</v>
      </c>
      <c r="V1491" s="98">
        <v>1E-8</v>
      </c>
      <c r="W1491" s="98">
        <v>1E-8</v>
      </c>
      <c r="X1491" s="98">
        <v>1E-8</v>
      </c>
      <c r="Y1491" s="98">
        <v>1E-8</v>
      </c>
      <c r="Z1491" s="98">
        <v>1E-8</v>
      </c>
      <c r="AA1491" s="98">
        <v>1E-8</v>
      </c>
      <c r="AB1491" s="98">
        <v>1E-8</v>
      </c>
      <c r="AC1491" s="98">
        <v>1E-8</v>
      </c>
      <c r="AD1491" s="4"/>
    </row>
    <row r="1492" spans="1:30" x14ac:dyDescent="0.3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34"/>
      <c r="O1492" s="4"/>
      <c r="P1492" s="68"/>
      <c r="Q1492" s="68" t="s">
        <v>599</v>
      </c>
      <c r="R1492" s="108" t="s">
        <v>732</v>
      </c>
      <c r="S1492" s="108" t="s">
        <v>300</v>
      </c>
      <c r="T1492" s="98">
        <v>3.0877947015925146E-2</v>
      </c>
      <c r="U1492" s="80">
        <v>0.12454648833559734</v>
      </c>
      <c r="V1492" s="98">
        <v>1E-8</v>
      </c>
      <c r="W1492" s="98">
        <v>1E-8</v>
      </c>
      <c r="X1492" s="98">
        <v>1E-8</v>
      </c>
      <c r="Y1492" s="98">
        <v>1E-8</v>
      </c>
      <c r="Z1492" s="98">
        <v>1E-8</v>
      </c>
      <c r="AA1492" s="98">
        <v>1E-8</v>
      </c>
      <c r="AB1492" s="98">
        <v>1E-8</v>
      </c>
      <c r="AC1492" s="98">
        <v>1E-8</v>
      </c>
      <c r="AD1492" s="4"/>
    </row>
    <row r="1493" spans="1:30" x14ac:dyDescent="0.3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34"/>
      <c r="O1493" s="4"/>
      <c r="P1493" s="68"/>
      <c r="Q1493" s="68" t="s">
        <v>600</v>
      </c>
      <c r="R1493" s="108" t="s">
        <v>732</v>
      </c>
      <c r="S1493" s="108" t="s">
        <v>303</v>
      </c>
      <c r="T1493" s="98">
        <v>4.5022948399233171E-3</v>
      </c>
      <c r="U1493" s="80">
        <v>-1.9307571479196151</v>
      </c>
      <c r="V1493" s="98">
        <v>1E-8</v>
      </c>
      <c r="W1493" s="98">
        <v>1E-8</v>
      </c>
      <c r="X1493" s="98">
        <v>1E-8</v>
      </c>
      <c r="Y1493" s="98">
        <v>1E-8</v>
      </c>
      <c r="Z1493" s="98">
        <v>1E-8</v>
      </c>
      <c r="AA1493" s="98">
        <v>1E-8</v>
      </c>
      <c r="AB1493" s="98">
        <v>1E-8</v>
      </c>
      <c r="AC1493" s="98">
        <v>1E-8</v>
      </c>
      <c r="AD1493" s="4"/>
    </row>
    <row r="1494" spans="1:30" x14ac:dyDescent="0.3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34"/>
      <c r="O1494" s="4"/>
      <c r="P1494" s="68"/>
      <c r="Q1494" s="68" t="s">
        <v>601</v>
      </c>
      <c r="R1494" s="108" t="s">
        <v>732</v>
      </c>
      <c r="S1494" s="108" t="s">
        <v>533</v>
      </c>
      <c r="T1494" s="98">
        <v>0.27518158942813681</v>
      </c>
      <c r="U1494" s="80">
        <v>-0.26995205196781447</v>
      </c>
      <c r="V1494" s="98">
        <v>1E-8</v>
      </c>
      <c r="W1494" s="98">
        <v>1E-8</v>
      </c>
      <c r="X1494" s="98">
        <v>1E-8</v>
      </c>
      <c r="Y1494" s="98">
        <v>1E-8</v>
      </c>
      <c r="Z1494" s="98">
        <v>1E-8</v>
      </c>
      <c r="AA1494" s="98">
        <v>1E-8</v>
      </c>
      <c r="AB1494" s="98">
        <v>1E-8</v>
      </c>
      <c r="AC1494" s="98">
        <v>1E-8</v>
      </c>
      <c r="AD1494" s="4"/>
    </row>
    <row r="1495" spans="1:30" x14ac:dyDescent="0.3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34"/>
      <c r="O1495" s="4"/>
      <c r="P1495" s="68"/>
      <c r="Q1495" s="68" t="s">
        <v>602</v>
      </c>
      <c r="R1495" s="108" t="s">
        <v>732</v>
      </c>
      <c r="S1495" s="108" t="s">
        <v>534</v>
      </c>
      <c r="T1495" s="98">
        <v>2.5472099376641161E-2</v>
      </c>
      <c r="U1495" s="80">
        <v>-0.94779928940013081</v>
      </c>
      <c r="V1495" s="98">
        <v>1E-8</v>
      </c>
      <c r="W1495" s="98">
        <v>1E-8</v>
      </c>
      <c r="X1495" s="98">
        <v>1E-8</v>
      </c>
      <c r="Y1495" s="98">
        <v>1E-8</v>
      </c>
      <c r="Z1495" s="98">
        <v>1E-8</v>
      </c>
      <c r="AA1495" s="98">
        <v>1E-8</v>
      </c>
      <c r="AB1495" s="98">
        <v>1E-8</v>
      </c>
      <c r="AC1495" s="98">
        <v>1E-8</v>
      </c>
      <c r="AD1495" s="4"/>
    </row>
    <row r="1496" spans="1:30" x14ac:dyDescent="0.3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34"/>
      <c r="O1496" s="4"/>
      <c r="P1496" s="68"/>
      <c r="Q1496" s="68" t="s">
        <v>603</v>
      </c>
      <c r="R1496" s="108" t="s">
        <v>732</v>
      </c>
      <c r="S1496" s="108" t="s">
        <v>304</v>
      </c>
      <c r="T1496" s="98">
        <v>0.14174890910989321</v>
      </c>
      <c r="U1496" s="80">
        <v>-0.5759249878144912</v>
      </c>
      <c r="V1496" s="98">
        <v>1E-8</v>
      </c>
      <c r="W1496" s="98">
        <v>1E-8</v>
      </c>
      <c r="X1496" s="98">
        <v>1E-8</v>
      </c>
      <c r="Y1496" s="98">
        <v>1E-8</v>
      </c>
      <c r="Z1496" s="98">
        <v>1E-8</v>
      </c>
      <c r="AA1496" s="98">
        <v>1E-8</v>
      </c>
      <c r="AB1496" s="98">
        <v>1E-8</v>
      </c>
      <c r="AC1496" s="98">
        <v>1E-8</v>
      </c>
      <c r="AD1496" s="4"/>
    </row>
    <row r="1497" spans="1:30" x14ac:dyDescent="0.3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34"/>
      <c r="O1497" s="4"/>
      <c r="P1497" s="68"/>
      <c r="Q1497" s="68" t="s">
        <v>604</v>
      </c>
      <c r="R1497" s="108" t="s">
        <v>732</v>
      </c>
      <c r="S1497" s="108" t="s">
        <v>535</v>
      </c>
      <c r="T1497" s="98">
        <v>1.2385316773149769E-2</v>
      </c>
      <c r="U1497" s="80">
        <v>-0.35378032418891259</v>
      </c>
      <c r="V1497" s="98">
        <v>1E-8</v>
      </c>
      <c r="W1497" s="98">
        <v>1E-8</v>
      </c>
      <c r="X1497" s="98">
        <v>1E-8</v>
      </c>
      <c r="Y1497" s="98">
        <v>1E-8</v>
      </c>
      <c r="Z1497" s="98">
        <v>1E-8</v>
      </c>
      <c r="AA1497" s="98">
        <v>1E-8</v>
      </c>
      <c r="AB1497" s="98">
        <v>1E-8</v>
      </c>
      <c r="AC1497" s="98">
        <v>1E-8</v>
      </c>
      <c r="AD1497" s="4"/>
    </row>
    <row r="1498" spans="1:30" x14ac:dyDescent="0.3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34"/>
      <c r="O1498" s="4"/>
      <c r="P1498" s="68"/>
      <c r="Q1498" s="68" t="s">
        <v>605</v>
      </c>
      <c r="R1498" s="108" t="s">
        <v>732</v>
      </c>
      <c r="S1498" s="108" t="s">
        <v>536</v>
      </c>
      <c r="T1498" s="98">
        <v>8.1075783955023947E-2</v>
      </c>
      <c r="U1498" s="80">
        <v>-0.53081660546582254</v>
      </c>
      <c r="V1498" s="98">
        <v>1E-8</v>
      </c>
      <c r="W1498" s="98">
        <v>1E-8</v>
      </c>
      <c r="X1498" s="98">
        <v>1E-8</v>
      </c>
      <c r="Y1498" s="98">
        <v>1E-8</v>
      </c>
      <c r="Z1498" s="98">
        <v>1E-8</v>
      </c>
      <c r="AA1498" s="98">
        <v>1E-8</v>
      </c>
      <c r="AB1498" s="98">
        <v>1E-8</v>
      </c>
      <c r="AC1498" s="98">
        <v>1E-8</v>
      </c>
      <c r="AD1498" s="4"/>
    </row>
    <row r="1499" spans="1:30" x14ac:dyDescent="0.3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34"/>
      <c r="O1499" s="4"/>
      <c r="P1499" s="68"/>
      <c r="Q1499" s="68" t="s">
        <v>606</v>
      </c>
      <c r="R1499" s="108" t="s">
        <v>732</v>
      </c>
      <c r="S1499" s="108" t="s">
        <v>537</v>
      </c>
      <c r="T1499" s="98">
        <v>2.2365783368067212E-2</v>
      </c>
      <c r="U1499" s="80">
        <v>0.24571258578161004</v>
      </c>
      <c r="V1499" s="98">
        <v>1E-8</v>
      </c>
      <c r="W1499" s="98">
        <v>1E-8</v>
      </c>
      <c r="X1499" s="98">
        <v>1E-8</v>
      </c>
      <c r="Y1499" s="98">
        <v>1E-8</v>
      </c>
      <c r="Z1499" s="98">
        <v>1E-8</v>
      </c>
      <c r="AA1499" s="98">
        <v>1E-8</v>
      </c>
      <c r="AB1499" s="98">
        <v>1E-8</v>
      </c>
      <c r="AC1499" s="98">
        <v>1E-8</v>
      </c>
      <c r="AD1499" s="4"/>
    </row>
    <row r="1500" spans="1:30" x14ac:dyDescent="0.3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34"/>
      <c r="O1500" s="4"/>
      <c r="P1500" s="68"/>
      <c r="Q1500" s="68" t="s">
        <v>607</v>
      </c>
      <c r="R1500" s="108" t="s">
        <v>732</v>
      </c>
      <c r="S1500" s="108" t="s">
        <v>307</v>
      </c>
      <c r="T1500" s="98">
        <v>1.4280360147007521E-2</v>
      </c>
      <c r="U1500" s="80">
        <v>1.7770365861592863</v>
      </c>
      <c r="V1500" s="98">
        <v>1E-8</v>
      </c>
      <c r="W1500" s="98">
        <v>1E-8</v>
      </c>
      <c r="X1500" s="98">
        <v>1E-8</v>
      </c>
      <c r="Y1500" s="98">
        <v>1E-8</v>
      </c>
      <c r="Z1500" s="98">
        <v>1E-8</v>
      </c>
      <c r="AA1500" s="98">
        <v>1E-8</v>
      </c>
      <c r="AB1500" s="98">
        <v>1E-8</v>
      </c>
      <c r="AC1500" s="98">
        <v>1E-8</v>
      </c>
      <c r="AD1500" s="4"/>
    </row>
    <row r="1501" spans="1:30" x14ac:dyDescent="0.3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34"/>
      <c r="O1501" s="4"/>
      <c r="P1501" s="68"/>
      <c r="Q1501" s="68" t="s">
        <v>608</v>
      </c>
      <c r="R1501" s="108" t="s">
        <v>732</v>
      </c>
      <c r="S1501" s="108" t="s">
        <v>298</v>
      </c>
      <c r="T1501" s="98">
        <v>1.8932774949337022E-3</v>
      </c>
      <c r="U1501" s="80">
        <v>5.1775364649372824</v>
      </c>
      <c r="V1501" s="98">
        <v>1E-8</v>
      </c>
      <c r="W1501" s="98">
        <v>1E-8</v>
      </c>
      <c r="X1501" s="98">
        <v>1E-8</v>
      </c>
      <c r="Y1501" s="98">
        <v>1E-8</v>
      </c>
      <c r="Z1501" s="98">
        <v>1E-8</v>
      </c>
      <c r="AA1501" s="98">
        <v>1E-8</v>
      </c>
      <c r="AB1501" s="98">
        <v>1E-8</v>
      </c>
      <c r="AC1501" s="98">
        <v>1E-8</v>
      </c>
      <c r="AD1501" s="4"/>
    </row>
    <row r="1502" spans="1:30" x14ac:dyDescent="0.3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34"/>
      <c r="O1502" s="4"/>
      <c r="P1502" s="68"/>
      <c r="Q1502" s="68" t="s">
        <v>609</v>
      </c>
      <c r="R1502" s="108" t="s">
        <v>732</v>
      </c>
      <c r="S1502" s="108" t="s">
        <v>538</v>
      </c>
      <c r="T1502" s="98">
        <v>1.2470709543339505E-3</v>
      </c>
      <c r="U1502" s="80">
        <v>1.3372737370597632</v>
      </c>
      <c r="V1502" s="98">
        <v>1E-8</v>
      </c>
      <c r="W1502" s="98">
        <v>1E-8</v>
      </c>
      <c r="X1502" s="98">
        <v>1E-8</v>
      </c>
      <c r="Y1502" s="98">
        <v>1E-8</v>
      </c>
      <c r="Z1502" s="98">
        <v>1E-8</v>
      </c>
      <c r="AA1502" s="98">
        <v>1E-8</v>
      </c>
      <c r="AB1502" s="98">
        <v>1E-8</v>
      </c>
      <c r="AC1502" s="98">
        <v>1E-8</v>
      </c>
      <c r="AD1502" s="4"/>
    </row>
    <row r="1503" spans="1:30" x14ac:dyDescent="0.3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34"/>
      <c r="O1503" s="4"/>
      <c r="P1503" s="68"/>
      <c r="Q1503" s="68" t="s">
        <v>610</v>
      </c>
      <c r="R1503" s="108" t="s">
        <v>732</v>
      </c>
      <c r="S1503" s="108" t="s">
        <v>299</v>
      </c>
      <c r="T1503" s="98">
        <v>1E-8</v>
      </c>
      <c r="U1503" s="80">
        <v>1E-8</v>
      </c>
      <c r="V1503" s="98">
        <v>1E-8</v>
      </c>
      <c r="W1503" s="98">
        <v>1E-8</v>
      </c>
      <c r="X1503" s="98">
        <v>1E-8</v>
      </c>
      <c r="Y1503" s="98">
        <v>1E-8</v>
      </c>
      <c r="Z1503" s="98">
        <v>1E-8</v>
      </c>
      <c r="AA1503" s="98">
        <v>1E-8</v>
      </c>
      <c r="AB1503" s="98">
        <v>1E-8</v>
      </c>
      <c r="AC1503" s="98">
        <v>1E-8</v>
      </c>
      <c r="AD1503" s="4"/>
    </row>
    <row r="1504" spans="1:30" x14ac:dyDescent="0.3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34"/>
      <c r="O1504" s="4"/>
      <c r="P1504" s="68"/>
      <c r="Q1504" s="68" t="s">
        <v>611</v>
      </c>
      <c r="R1504" s="108" t="s">
        <v>732</v>
      </c>
      <c r="S1504" s="108" t="s">
        <v>309</v>
      </c>
      <c r="T1504" s="98">
        <v>1E-8</v>
      </c>
      <c r="U1504" s="80">
        <v>1E-8</v>
      </c>
      <c r="V1504" s="98">
        <v>1E-8</v>
      </c>
      <c r="W1504" s="98">
        <v>1E-8</v>
      </c>
      <c r="X1504" s="98">
        <v>1E-8</v>
      </c>
      <c r="Y1504" s="98">
        <v>1E-8</v>
      </c>
      <c r="Z1504" s="98">
        <v>1E-8</v>
      </c>
      <c r="AA1504" s="98">
        <v>1E-8</v>
      </c>
      <c r="AB1504" s="98">
        <v>1E-8</v>
      </c>
      <c r="AC1504" s="98">
        <v>1E-8</v>
      </c>
      <c r="AD1504" s="4"/>
    </row>
    <row r="1505" spans="1:30" x14ac:dyDescent="0.3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34"/>
      <c r="O1505" s="4"/>
      <c r="P1505" s="68"/>
      <c r="Q1505" s="68" t="s">
        <v>612</v>
      </c>
      <c r="R1505" s="108" t="s">
        <v>732</v>
      </c>
      <c r="S1505" s="108" t="s">
        <v>308</v>
      </c>
      <c r="T1505" s="98">
        <v>1E-8</v>
      </c>
      <c r="U1505" s="80">
        <v>1E-8</v>
      </c>
      <c r="V1505" s="98">
        <v>1E-8</v>
      </c>
      <c r="W1505" s="98">
        <v>1E-8</v>
      </c>
      <c r="X1505" s="98">
        <v>1E-8</v>
      </c>
      <c r="Y1505" s="98">
        <v>1E-8</v>
      </c>
      <c r="Z1505" s="98">
        <v>1E-8</v>
      </c>
      <c r="AA1505" s="98">
        <v>1E-8</v>
      </c>
      <c r="AB1505" s="98">
        <v>1E-8</v>
      </c>
      <c r="AC1505" s="98">
        <v>1E-8</v>
      </c>
      <c r="AD1505" s="4"/>
    </row>
    <row r="1506" spans="1:30" x14ac:dyDescent="0.3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34"/>
      <c r="O1506" s="4"/>
      <c r="P1506" s="68"/>
      <c r="Q1506" s="68" t="s">
        <v>613</v>
      </c>
      <c r="R1506" s="108" t="s">
        <v>732</v>
      </c>
      <c r="S1506" s="108" t="s">
        <v>306</v>
      </c>
      <c r="T1506" s="98">
        <v>3.1674344910965092E-4</v>
      </c>
      <c r="U1506" s="80">
        <v>-1.8227607454328498</v>
      </c>
      <c r="V1506" s="98">
        <v>1E-8</v>
      </c>
      <c r="W1506" s="98">
        <v>1E-8</v>
      </c>
      <c r="X1506" s="98">
        <v>1E-8</v>
      </c>
      <c r="Y1506" s="98">
        <v>1E-8</v>
      </c>
      <c r="Z1506" s="98">
        <v>1E-8</v>
      </c>
      <c r="AA1506" s="98">
        <v>1E-8</v>
      </c>
      <c r="AB1506" s="98">
        <v>1E-8</v>
      </c>
      <c r="AC1506" s="98">
        <v>1E-8</v>
      </c>
      <c r="AD1506" s="4"/>
    </row>
    <row r="1507" spans="1:30" x14ac:dyDescent="0.3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34"/>
      <c r="O1507" s="4"/>
      <c r="P1507" s="68"/>
      <c r="Q1507" s="68" t="s">
        <v>614</v>
      </c>
      <c r="R1507" s="108" t="s">
        <v>732</v>
      </c>
      <c r="S1507" s="108" t="s">
        <v>305</v>
      </c>
      <c r="T1507" s="98">
        <v>5.3707160293341822E-4</v>
      </c>
      <c r="U1507" s="80">
        <v>0.14106479820914508</v>
      </c>
      <c r="V1507" s="98">
        <v>1E-8</v>
      </c>
      <c r="W1507" s="98">
        <v>1E-8</v>
      </c>
      <c r="X1507" s="98">
        <v>1E-8</v>
      </c>
      <c r="Y1507" s="98">
        <v>1E-8</v>
      </c>
      <c r="Z1507" s="98">
        <v>1E-8</v>
      </c>
      <c r="AA1507" s="98">
        <v>1E-8</v>
      </c>
      <c r="AB1507" s="98">
        <v>1E-8</v>
      </c>
      <c r="AC1507" s="98">
        <v>1E-8</v>
      </c>
      <c r="AD1507" s="4"/>
    </row>
    <row r="1508" spans="1:30" x14ac:dyDescent="0.3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34"/>
      <c r="O1508" s="4"/>
      <c r="P1508" s="68"/>
      <c r="Q1508" s="68" t="s">
        <v>615</v>
      </c>
      <c r="R1508" s="108" t="s">
        <v>732</v>
      </c>
      <c r="S1508" s="108" t="s">
        <v>539</v>
      </c>
      <c r="T1508" s="98">
        <v>4.3827262799666732E-5</v>
      </c>
      <c r="U1508" s="80">
        <v>16.198868906538589</v>
      </c>
      <c r="V1508" s="98">
        <v>1E-8</v>
      </c>
      <c r="W1508" s="98">
        <v>1E-8</v>
      </c>
      <c r="X1508" s="98">
        <v>1E-8</v>
      </c>
      <c r="Y1508" s="98">
        <v>1E-8</v>
      </c>
      <c r="Z1508" s="98">
        <v>1E-8</v>
      </c>
      <c r="AA1508" s="98">
        <v>1E-8</v>
      </c>
      <c r="AB1508" s="98">
        <v>1E-8</v>
      </c>
      <c r="AC1508" s="98">
        <v>1E-8</v>
      </c>
      <c r="AD1508" s="4"/>
    </row>
    <row r="1509" spans="1:30" x14ac:dyDescent="0.3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34"/>
      <c r="O1509" s="4"/>
      <c r="P1509" s="68"/>
      <c r="Q1509" s="68" t="s">
        <v>616</v>
      </c>
      <c r="R1509" s="109" t="s">
        <v>732</v>
      </c>
      <c r="S1509" s="109" t="s">
        <v>310</v>
      </c>
      <c r="T1509" s="81">
        <v>5.5456399154089572E-4</v>
      </c>
      <c r="U1509" s="82">
        <v>3.1863690282666779</v>
      </c>
      <c r="V1509" s="81">
        <v>1E-8</v>
      </c>
      <c r="W1509" s="81">
        <v>1E-8</v>
      </c>
      <c r="X1509" s="81">
        <v>1E-8</v>
      </c>
      <c r="Y1509" s="81">
        <v>1E-8</v>
      </c>
      <c r="Z1509" s="81">
        <v>1E-8</v>
      </c>
      <c r="AA1509" s="81">
        <v>1E-8</v>
      </c>
      <c r="AB1509" s="81">
        <v>1E-8</v>
      </c>
      <c r="AC1509" s="81">
        <v>1E-8</v>
      </c>
      <c r="AD1509" s="4"/>
    </row>
    <row r="1510" spans="1:30" x14ac:dyDescent="0.3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34"/>
      <c r="O1510" s="4"/>
      <c r="P1510" s="96"/>
      <c r="Q1510" s="96" t="s">
        <v>280</v>
      </c>
      <c r="R1510" s="107" t="s">
        <v>732</v>
      </c>
      <c r="S1510" s="107" t="s">
        <v>311</v>
      </c>
      <c r="T1510" s="97">
        <v>0.28555095023171773</v>
      </c>
      <c r="U1510" s="78">
        <v>-0.62755443813727885</v>
      </c>
      <c r="V1510" s="97">
        <v>1E-8</v>
      </c>
      <c r="W1510" s="97">
        <v>1E-8</v>
      </c>
      <c r="X1510" s="97">
        <v>1E-8</v>
      </c>
      <c r="Y1510" s="97">
        <v>1E-8</v>
      </c>
      <c r="Z1510" s="97">
        <v>1E-8</v>
      </c>
      <c r="AA1510" s="97">
        <v>1E-8</v>
      </c>
      <c r="AB1510" s="97">
        <v>1E-8</v>
      </c>
      <c r="AC1510" s="97">
        <v>1E-8</v>
      </c>
      <c r="AD1510" s="4"/>
    </row>
    <row r="1511" spans="1:30" x14ac:dyDescent="0.3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34"/>
      <c r="O1511" s="4"/>
      <c r="P1511" s="68"/>
      <c r="Q1511" s="68" t="s">
        <v>617</v>
      </c>
      <c r="R1511" s="108" t="s">
        <v>732</v>
      </c>
      <c r="S1511" s="108" t="s">
        <v>312</v>
      </c>
      <c r="T1511" s="98">
        <v>9.3052722011980352E-2</v>
      </c>
      <c r="U1511" s="80">
        <v>-1.648727155901264</v>
      </c>
      <c r="V1511" s="98">
        <v>1E-8</v>
      </c>
      <c r="W1511" s="98">
        <v>1E-8</v>
      </c>
      <c r="X1511" s="98">
        <v>1E-8</v>
      </c>
      <c r="Y1511" s="98">
        <v>1E-8</v>
      </c>
      <c r="Z1511" s="98">
        <v>1E-8</v>
      </c>
      <c r="AA1511" s="98">
        <v>1E-8</v>
      </c>
      <c r="AB1511" s="98">
        <v>1E-8</v>
      </c>
      <c r="AC1511" s="98">
        <v>1E-8</v>
      </c>
      <c r="AD1511" s="4"/>
    </row>
    <row r="1512" spans="1:30" x14ac:dyDescent="0.3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34"/>
      <c r="O1512" s="4"/>
      <c r="P1512" s="68"/>
      <c r="Q1512" s="68" t="s">
        <v>618</v>
      </c>
      <c r="R1512" s="108" t="s">
        <v>732</v>
      </c>
      <c r="S1512" s="108" t="s">
        <v>316</v>
      </c>
      <c r="T1512" s="98">
        <v>2.9960709349827447E-2</v>
      </c>
      <c r="U1512" s="80">
        <v>-3.6357043094084829</v>
      </c>
      <c r="V1512" s="98">
        <v>1E-8</v>
      </c>
      <c r="W1512" s="98">
        <v>1E-8</v>
      </c>
      <c r="X1512" s="98">
        <v>1E-8</v>
      </c>
      <c r="Y1512" s="98">
        <v>1E-8</v>
      </c>
      <c r="Z1512" s="98">
        <v>1E-8</v>
      </c>
      <c r="AA1512" s="98">
        <v>1E-8</v>
      </c>
      <c r="AB1512" s="98">
        <v>1E-8</v>
      </c>
      <c r="AC1512" s="98">
        <v>1E-8</v>
      </c>
      <c r="AD1512" s="4"/>
    </row>
    <row r="1513" spans="1:30" x14ac:dyDescent="0.3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34"/>
      <c r="O1513" s="4"/>
      <c r="P1513" s="68"/>
      <c r="Q1513" s="68" t="s">
        <v>619</v>
      </c>
      <c r="R1513" s="108" t="s">
        <v>732</v>
      </c>
      <c r="S1513" s="108" t="s">
        <v>314</v>
      </c>
      <c r="T1513" s="98">
        <v>8.0105678599625314E-3</v>
      </c>
      <c r="U1513" s="80">
        <v>3.2295154676806881</v>
      </c>
      <c r="V1513" s="98">
        <v>1E-8</v>
      </c>
      <c r="W1513" s="98">
        <v>1E-8</v>
      </c>
      <c r="X1513" s="98">
        <v>1E-8</v>
      </c>
      <c r="Y1513" s="98">
        <v>1E-8</v>
      </c>
      <c r="Z1513" s="98">
        <v>1E-8</v>
      </c>
      <c r="AA1513" s="98">
        <v>1E-8</v>
      </c>
      <c r="AB1513" s="98">
        <v>1E-8</v>
      </c>
      <c r="AC1513" s="98">
        <v>1E-8</v>
      </c>
      <c r="AD1513" s="4"/>
    </row>
    <row r="1514" spans="1:30" x14ac:dyDescent="0.3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34"/>
      <c r="O1514" s="4"/>
      <c r="P1514" s="68"/>
      <c r="Q1514" s="68" t="s">
        <v>620</v>
      </c>
      <c r="R1514" s="108" t="s">
        <v>732</v>
      </c>
      <c r="S1514" s="108" t="s">
        <v>317</v>
      </c>
      <c r="T1514" s="98">
        <v>2.5323141656819303E-3</v>
      </c>
      <c r="U1514" s="80">
        <v>0.34646472177299881</v>
      </c>
      <c r="V1514" s="98">
        <v>1E-8</v>
      </c>
      <c r="W1514" s="98">
        <v>1E-8</v>
      </c>
      <c r="X1514" s="98">
        <v>1E-8</v>
      </c>
      <c r="Y1514" s="98">
        <v>1E-8</v>
      </c>
      <c r="Z1514" s="98">
        <v>1E-8</v>
      </c>
      <c r="AA1514" s="98">
        <v>1E-8</v>
      </c>
      <c r="AB1514" s="98">
        <v>1E-8</v>
      </c>
      <c r="AC1514" s="98">
        <v>1E-8</v>
      </c>
      <c r="AD1514" s="4"/>
    </row>
    <row r="1515" spans="1:30" x14ac:dyDescent="0.3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34"/>
      <c r="O1515" s="4"/>
      <c r="P1515" s="68"/>
      <c r="Q1515" s="68" t="s">
        <v>621</v>
      </c>
      <c r="R1515" s="108" t="s">
        <v>732</v>
      </c>
      <c r="S1515" s="108" t="s">
        <v>313</v>
      </c>
      <c r="T1515" s="98">
        <v>0.14790711854756</v>
      </c>
      <c r="U1515" s="80">
        <v>0.25031977402554251</v>
      </c>
      <c r="V1515" s="98">
        <v>1E-8</v>
      </c>
      <c r="W1515" s="98">
        <v>1E-8</v>
      </c>
      <c r="X1515" s="98">
        <v>1E-8</v>
      </c>
      <c r="Y1515" s="98">
        <v>1E-8</v>
      </c>
      <c r="Z1515" s="98">
        <v>1E-8</v>
      </c>
      <c r="AA1515" s="98">
        <v>1E-8</v>
      </c>
      <c r="AB1515" s="98">
        <v>1E-8</v>
      </c>
      <c r="AC1515" s="98">
        <v>1E-8</v>
      </c>
      <c r="AD1515" s="4"/>
    </row>
    <row r="1516" spans="1:30" x14ac:dyDescent="0.3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34"/>
      <c r="O1516" s="4"/>
      <c r="P1516" s="68"/>
      <c r="Q1516" s="68" t="s">
        <v>622</v>
      </c>
      <c r="R1516" s="108" t="s">
        <v>732</v>
      </c>
      <c r="S1516" s="108" t="s">
        <v>315</v>
      </c>
      <c r="T1516" s="98">
        <v>1.1579331915028879E-3</v>
      </c>
      <c r="U1516" s="80">
        <v>1.4760362329795607</v>
      </c>
      <c r="V1516" s="98">
        <v>1E-8</v>
      </c>
      <c r="W1516" s="98">
        <v>1E-8</v>
      </c>
      <c r="X1516" s="98">
        <v>1E-8</v>
      </c>
      <c r="Y1516" s="98">
        <v>1E-8</v>
      </c>
      <c r="Z1516" s="98">
        <v>1E-8</v>
      </c>
      <c r="AA1516" s="98">
        <v>1E-8</v>
      </c>
      <c r="AB1516" s="98">
        <v>1E-8</v>
      </c>
      <c r="AC1516" s="98">
        <v>1E-8</v>
      </c>
      <c r="AD1516" s="4"/>
    </row>
    <row r="1517" spans="1:30" x14ac:dyDescent="0.3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34"/>
      <c r="O1517" s="4"/>
      <c r="P1517" s="68"/>
      <c r="Q1517" s="68" t="s">
        <v>623</v>
      </c>
      <c r="R1517" s="108" t="s">
        <v>732</v>
      </c>
      <c r="S1517" s="108" t="s">
        <v>540</v>
      </c>
      <c r="T1517" s="98">
        <v>6.0815345562154023E-4</v>
      </c>
      <c r="U1517" s="80">
        <v>1.8198470737059269</v>
      </c>
      <c r="V1517" s="98">
        <v>1E-8</v>
      </c>
      <c r="W1517" s="98">
        <v>1E-8</v>
      </c>
      <c r="X1517" s="98">
        <v>1E-8</v>
      </c>
      <c r="Y1517" s="98">
        <v>1E-8</v>
      </c>
      <c r="Z1517" s="98">
        <v>1E-8</v>
      </c>
      <c r="AA1517" s="98">
        <v>1E-8</v>
      </c>
      <c r="AB1517" s="98">
        <v>1E-8</v>
      </c>
      <c r="AC1517" s="98">
        <v>1E-8</v>
      </c>
      <c r="AD1517" s="4"/>
    </row>
    <row r="1518" spans="1:30" x14ac:dyDescent="0.3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34"/>
      <c r="O1518" s="4"/>
      <c r="P1518" s="68"/>
      <c r="Q1518" s="68" t="s">
        <v>624</v>
      </c>
      <c r="R1518" s="109" t="s">
        <v>732</v>
      </c>
      <c r="S1518" s="109" t="s">
        <v>541</v>
      </c>
      <c r="T1518" s="81">
        <v>2.321431649580969E-3</v>
      </c>
      <c r="U1518" s="82">
        <v>7.1337354355595961</v>
      </c>
      <c r="V1518" s="81">
        <v>1E-8</v>
      </c>
      <c r="W1518" s="81">
        <v>1E-8</v>
      </c>
      <c r="X1518" s="81">
        <v>1E-8</v>
      </c>
      <c r="Y1518" s="81">
        <v>1E-8</v>
      </c>
      <c r="Z1518" s="81">
        <v>1E-8</v>
      </c>
      <c r="AA1518" s="81">
        <v>1E-8</v>
      </c>
      <c r="AB1518" s="81">
        <v>1E-8</v>
      </c>
      <c r="AC1518" s="81">
        <v>1E-8</v>
      </c>
      <c r="AD1518" s="4"/>
    </row>
    <row r="1519" spans="1:30" x14ac:dyDescent="0.3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34"/>
      <c r="O1519" s="4"/>
      <c r="P1519" s="96"/>
      <c r="Q1519" s="96" t="s">
        <v>281</v>
      </c>
      <c r="R1519" s="107" t="s">
        <v>732</v>
      </c>
      <c r="S1519" s="107" t="s">
        <v>318</v>
      </c>
      <c r="T1519" s="97">
        <v>1E-8</v>
      </c>
      <c r="U1519" s="78">
        <v>1E-8</v>
      </c>
      <c r="V1519" s="97">
        <v>1E-8</v>
      </c>
      <c r="W1519" s="97">
        <v>1E-8</v>
      </c>
      <c r="X1519" s="97">
        <v>1E-8</v>
      </c>
      <c r="Y1519" s="97">
        <v>1E-8</v>
      </c>
      <c r="Z1519" s="97">
        <v>1E-8</v>
      </c>
      <c r="AA1519" s="97">
        <v>1E-8</v>
      </c>
      <c r="AB1519" s="97">
        <v>1E-8</v>
      </c>
      <c r="AC1519" s="97">
        <v>1E-8</v>
      </c>
      <c r="AD1519" s="4"/>
    </row>
    <row r="1520" spans="1:30" x14ac:dyDescent="0.3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34"/>
      <c r="O1520" s="4"/>
      <c r="P1520" s="96"/>
      <c r="Q1520" s="96" t="s">
        <v>135</v>
      </c>
      <c r="R1520" s="107" t="s">
        <v>732</v>
      </c>
      <c r="S1520" s="107" t="s">
        <v>542</v>
      </c>
      <c r="T1520" s="97">
        <v>1E-8</v>
      </c>
      <c r="U1520" s="78">
        <v>1E-8</v>
      </c>
      <c r="V1520" s="97">
        <v>1E-8</v>
      </c>
      <c r="W1520" s="97">
        <v>1E-8</v>
      </c>
      <c r="X1520" s="97">
        <v>1E-8</v>
      </c>
      <c r="Y1520" s="97">
        <v>1E-8</v>
      </c>
      <c r="Z1520" s="97">
        <v>1E-8</v>
      </c>
      <c r="AA1520" s="97">
        <v>1E-8</v>
      </c>
      <c r="AB1520" s="97">
        <v>1E-8</v>
      </c>
      <c r="AC1520" s="97">
        <v>1E-8</v>
      </c>
      <c r="AD1520" s="4"/>
    </row>
    <row r="1521" spans="1:30" x14ac:dyDescent="0.3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34"/>
      <c r="O1521" s="4"/>
      <c r="P1521" s="68"/>
      <c r="Q1521" s="68" t="s">
        <v>625</v>
      </c>
      <c r="R1521" s="108" t="s">
        <v>732</v>
      </c>
      <c r="S1521" s="108" t="s">
        <v>543</v>
      </c>
      <c r="T1521" s="98">
        <v>1E-8</v>
      </c>
      <c r="U1521" s="80">
        <v>1E-8</v>
      </c>
      <c r="V1521" s="98">
        <v>1E-8</v>
      </c>
      <c r="W1521" s="98">
        <v>1E-8</v>
      </c>
      <c r="X1521" s="98">
        <v>1E-8</v>
      </c>
      <c r="Y1521" s="98">
        <v>1E-8</v>
      </c>
      <c r="Z1521" s="98">
        <v>1E-8</v>
      </c>
      <c r="AA1521" s="98">
        <v>1E-8</v>
      </c>
      <c r="AB1521" s="98">
        <v>1E-8</v>
      </c>
      <c r="AC1521" s="98">
        <v>1E-8</v>
      </c>
      <c r="AD1521" s="4"/>
    </row>
    <row r="1522" spans="1:30" x14ac:dyDescent="0.3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34"/>
      <c r="O1522" s="4"/>
      <c r="P1522" s="68"/>
      <c r="Q1522" s="68" t="s">
        <v>626</v>
      </c>
      <c r="R1522" s="108" t="s">
        <v>732</v>
      </c>
      <c r="S1522" s="108" t="s">
        <v>544</v>
      </c>
      <c r="T1522" s="98">
        <v>1E-8</v>
      </c>
      <c r="U1522" s="80">
        <v>1E-8</v>
      </c>
      <c r="V1522" s="98">
        <v>1E-8</v>
      </c>
      <c r="W1522" s="98">
        <v>1E-8</v>
      </c>
      <c r="X1522" s="98">
        <v>1E-8</v>
      </c>
      <c r="Y1522" s="98">
        <v>1E-8</v>
      </c>
      <c r="Z1522" s="98">
        <v>1E-8</v>
      </c>
      <c r="AA1522" s="98">
        <v>1E-8</v>
      </c>
      <c r="AB1522" s="98">
        <v>1E-8</v>
      </c>
      <c r="AC1522" s="98">
        <v>1E-8</v>
      </c>
      <c r="AD1522" s="4"/>
    </row>
    <row r="1523" spans="1:30" x14ac:dyDescent="0.3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34"/>
      <c r="O1523" s="4"/>
      <c r="P1523" s="68"/>
      <c r="Q1523" s="68" t="s">
        <v>627</v>
      </c>
      <c r="R1523" s="108" t="s">
        <v>732</v>
      </c>
      <c r="S1523" s="108" t="s">
        <v>319</v>
      </c>
      <c r="T1523" s="98">
        <v>1E-8</v>
      </c>
      <c r="U1523" s="80">
        <v>1E-8</v>
      </c>
      <c r="V1523" s="98">
        <v>1E-8</v>
      </c>
      <c r="W1523" s="98">
        <v>1E-8</v>
      </c>
      <c r="X1523" s="98">
        <v>1E-8</v>
      </c>
      <c r="Y1523" s="98">
        <v>1E-8</v>
      </c>
      <c r="Z1523" s="98">
        <v>1E-8</v>
      </c>
      <c r="AA1523" s="98">
        <v>1E-8</v>
      </c>
      <c r="AB1523" s="98">
        <v>1E-8</v>
      </c>
      <c r="AC1523" s="98">
        <v>1E-8</v>
      </c>
      <c r="AD1523" s="4"/>
    </row>
    <row r="1524" spans="1:30" x14ac:dyDescent="0.3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34"/>
      <c r="O1524" s="4"/>
      <c r="P1524" s="71"/>
      <c r="Q1524" s="71" t="s">
        <v>628</v>
      </c>
      <c r="R1524" s="110" t="s">
        <v>732</v>
      </c>
      <c r="S1524" s="110" t="s">
        <v>320</v>
      </c>
      <c r="T1524" s="83">
        <v>1E-8</v>
      </c>
      <c r="U1524" s="84">
        <v>1E-8</v>
      </c>
      <c r="V1524" s="83">
        <v>1E-8</v>
      </c>
      <c r="W1524" s="83">
        <v>1E-8</v>
      </c>
      <c r="X1524" s="83">
        <v>1E-8</v>
      </c>
      <c r="Y1524" s="83">
        <v>1E-8</v>
      </c>
      <c r="Z1524" s="83">
        <v>1E-8</v>
      </c>
      <c r="AA1524" s="83">
        <v>1E-8</v>
      </c>
      <c r="AB1524" s="83">
        <v>1E-8</v>
      </c>
      <c r="AC1524" s="83">
        <v>1E-8</v>
      </c>
      <c r="AD1524" s="4"/>
    </row>
    <row r="1525" spans="1:30" x14ac:dyDescent="0.3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34"/>
      <c r="O1525" s="4"/>
      <c r="P1525" s="99"/>
      <c r="Q1525" s="99" t="s">
        <v>282</v>
      </c>
      <c r="R1525" s="105" t="s">
        <v>732</v>
      </c>
      <c r="S1525" s="105" t="s">
        <v>321</v>
      </c>
      <c r="T1525" s="95">
        <v>99.015740421549879</v>
      </c>
      <c r="U1525" s="74">
        <v>3.9103273392404603E-3</v>
      </c>
      <c r="V1525" s="95">
        <v>1E-8</v>
      </c>
      <c r="W1525" s="95">
        <v>1E-8</v>
      </c>
      <c r="X1525" s="95">
        <v>1E-8</v>
      </c>
      <c r="Y1525" s="95">
        <v>1E-8</v>
      </c>
      <c r="Z1525" s="95">
        <v>1E-8</v>
      </c>
      <c r="AA1525" s="95">
        <v>1E-8</v>
      </c>
      <c r="AB1525" s="95">
        <v>1E-8</v>
      </c>
      <c r="AC1525" s="95">
        <v>1E-8</v>
      </c>
      <c r="AD1525" s="4"/>
    </row>
    <row r="1526" spans="1:30" x14ac:dyDescent="0.3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34"/>
      <c r="O1526" s="4"/>
      <c r="P1526" s="99"/>
      <c r="Q1526" s="99" t="s">
        <v>283</v>
      </c>
      <c r="R1526" s="105" t="s">
        <v>732</v>
      </c>
      <c r="S1526" s="105" t="s">
        <v>322</v>
      </c>
      <c r="T1526" s="95">
        <v>7.9143322761045614</v>
      </c>
      <c r="U1526" s="74">
        <v>0.63241170698689064</v>
      </c>
      <c r="V1526" s="95">
        <v>1E-8</v>
      </c>
      <c r="W1526" s="95">
        <v>1E-8</v>
      </c>
      <c r="X1526" s="95">
        <v>1E-8</v>
      </c>
      <c r="Y1526" s="95">
        <v>1E-8</v>
      </c>
      <c r="Z1526" s="95">
        <v>1E-8</v>
      </c>
      <c r="AA1526" s="95">
        <v>1E-8</v>
      </c>
      <c r="AB1526" s="95">
        <v>1E-8</v>
      </c>
      <c r="AC1526" s="95">
        <v>1E-8</v>
      </c>
      <c r="AD1526" s="4"/>
    </row>
    <row r="1527" spans="1:30" x14ac:dyDescent="0.3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34"/>
      <c r="O1527" s="4"/>
      <c r="P1527" s="96"/>
      <c r="Q1527" s="96" t="s">
        <v>284</v>
      </c>
      <c r="R1527" s="107" t="s">
        <v>732</v>
      </c>
      <c r="S1527" s="107" t="s">
        <v>323</v>
      </c>
      <c r="T1527" s="97">
        <v>0.24848149765791058</v>
      </c>
      <c r="U1527" s="78">
        <v>5.1638096185893545</v>
      </c>
      <c r="V1527" s="97">
        <v>1E-8</v>
      </c>
      <c r="W1527" s="97">
        <v>1E-8</v>
      </c>
      <c r="X1527" s="97">
        <v>1E-8</v>
      </c>
      <c r="Y1527" s="97">
        <v>1E-8</v>
      </c>
      <c r="Z1527" s="97">
        <v>1E-8</v>
      </c>
      <c r="AA1527" s="97">
        <v>1E-8</v>
      </c>
      <c r="AB1527" s="97">
        <v>1E-8</v>
      </c>
      <c r="AC1527" s="97">
        <v>1E-8</v>
      </c>
      <c r="AD1527" s="4"/>
    </row>
    <row r="1528" spans="1:30" x14ac:dyDescent="0.3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34"/>
      <c r="O1528" s="4"/>
      <c r="P1528" s="68"/>
      <c r="Q1528" s="68" t="s">
        <v>629</v>
      </c>
      <c r="R1528" s="108" t="s">
        <v>732</v>
      </c>
      <c r="S1528" s="108" t="s">
        <v>324</v>
      </c>
      <c r="T1528" s="98">
        <v>1.1207137859599169E-4</v>
      </c>
      <c r="U1528" s="80">
        <v>3.541586271840802</v>
      </c>
      <c r="V1528" s="98">
        <v>1E-8</v>
      </c>
      <c r="W1528" s="98">
        <v>1E-8</v>
      </c>
      <c r="X1528" s="98">
        <v>1E-8</v>
      </c>
      <c r="Y1528" s="98">
        <v>1E-8</v>
      </c>
      <c r="Z1528" s="98">
        <v>1E-8</v>
      </c>
      <c r="AA1528" s="98">
        <v>1E-8</v>
      </c>
      <c r="AB1528" s="98">
        <v>1E-8</v>
      </c>
      <c r="AC1528" s="98">
        <v>1E-8</v>
      </c>
      <c r="AD1528" s="4"/>
    </row>
    <row r="1529" spans="1:30" x14ac:dyDescent="0.3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34"/>
      <c r="O1529" s="4"/>
      <c r="P1529" s="68"/>
      <c r="Q1529" s="68" t="s">
        <v>630</v>
      </c>
      <c r="R1529" s="108" t="s">
        <v>732</v>
      </c>
      <c r="S1529" s="108" t="s">
        <v>545</v>
      </c>
      <c r="T1529" s="98">
        <v>0.15645940820428969</v>
      </c>
      <c r="U1529" s="80">
        <v>3.1655160473893718</v>
      </c>
      <c r="V1529" s="98">
        <v>1E-8</v>
      </c>
      <c r="W1529" s="98">
        <v>1E-8</v>
      </c>
      <c r="X1529" s="98">
        <v>1E-8</v>
      </c>
      <c r="Y1529" s="98">
        <v>1E-8</v>
      </c>
      <c r="Z1529" s="98">
        <v>1E-8</v>
      </c>
      <c r="AA1529" s="98">
        <v>1E-8</v>
      </c>
      <c r="AB1529" s="98">
        <v>1E-8</v>
      </c>
      <c r="AC1529" s="98">
        <v>1E-8</v>
      </c>
      <c r="AD1529" s="4"/>
    </row>
    <row r="1530" spans="1:30" x14ac:dyDescent="0.3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34"/>
      <c r="O1530" s="4"/>
      <c r="P1530" s="68"/>
      <c r="Q1530" s="68" t="s">
        <v>631</v>
      </c>
      <c r="R1530" s="109" t="s">
        <v>732</v>
      </c>
      <c r="S1530" s="109" t="s">
        <v>325</v>
      </c>
      <c r="T1530" s="81">
        <v>9.1910018075024899E-2</v>
      </c>
      <c r="U1530" s="82">
        <v>8.5675042421708767</v>
      </c>
      <c r="V1530" s="81">
        <v>1E-8</v>
      </c>
      <c r="W1530" s="81">
        <v>1E-8</v>
      </c>
      <c r="X1530" s="81">
        <v>1E-8</v>
      </c>
      <c r="Y1530" s="81">
        <v>1E-8</v>
      </c>
      <c r="Z1530" s="81">
        <v>1E-8</v>
      </c>
      <c r="AA1530" s="81">
        <v>1E-8</v>
      </c>
      <c r="AB1530" s="81">
        <v>1E-8</v>
      </c>
      <c r="AC1530" s="81">
        <v>1E-8</v>
      </c>
      <c r="AD1530" s="4"/>
    </row>
    <row r="1531" spans="1:30" x14ac:dyDescent="0.3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34"/>
      <c r="O1531" s="4"/>
      <c r="P1531" s="96"/>
      <c r="Q1531" s="96" t="s">
        <v>285</v>
      </c>
      <c r="R1531" s="107" t="s">
        <v>732</v>
      </c>
      <c r="S1531" s="107" t="s">
        <v>326</v>
      </c>
      <c r="T1531" s="97">
        <v>3.4134888267503745</v>
      </c>
      <c r="U1531" s="78">
        <v>3.4241302678847951</v>
      </c>
      <c r="V1531" s="97">
        <v>1E-8</v>
      </c>
      <c r="W1531" s="97">
        <v>1E-8</v>
      </c>
      <c r="X1531" s="97">
        <v>1E-8</v>
      </c>
      <c r="Y1531" s="97">
        <v>1E-8</v>
      </c>
      <c r="Z1531" s="97">
        <v>1E-8</v>
      </c>
      <c r="AA1531" s="97">
        <v>1E-8</v>
      </c>
      <c r="AB1531" s="97">
        <v>1E-8</v>
      </c>
      <c r="AC1531" s="97">
        <v>1E-8</v>
      </c>
      <c r="AD1531" s="4"/>
    </row>
    <row r="1532" spans="1:30" x14ac:dyDescent="0.3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34"/>
      <c r="O1532" s="4"/>
      <c r="P1532" s="68"/>
      <c r="Q1532" s="68" t="s">
        <v>364</v>
      </c>
      <c r="R1532" s="108" t="s">
        <v>732</v>
      </c>
      <c r="S1532" s="108" t="s">
        <v>327</v>
      </c>
      <c r="T1532" s="98">
        <v>0.18823905329357335</v>
      </c>
      <c r="U1532" s="80">
        <v>2.3175182678719208</v>
      </c>
      <c r="V1532" s="98">
        <v>1E-8</v>
      </c>
      <c r="W1532" s="98">
        <v>1E-8</v>
      </c>
      <c r="X1532" s="98">
        <v>1E-8</v>
      </c>
      <c r="Y1532" s="98">
        <v>1E-8</v>
      </c>
      <c r="Z1532" s="98">
        <v>1E-8</v>
      </c>
      <c r="AA1532" s="98">
        <v>1E-8</v>
      </c>
      <c r="AB1532" s="98">
        <v>1E-8</v>
      </c>
      <c r="AC1532" s="98">
        <v>1E-8</v>
      </c>
      <c r="AD1532" s="4"/>
    </row>
    <row r="1533" spans="1:30" x14ac:dyDescent="0.3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34"/>
      <c r="O1533" s="4"/>
      <c r="P1533" s="100"/>
      <c r="Q1533" s="100" t="s">
        <v>632</v>
      </c>
      <c r="R1533" s="111" t="s">
        <v>732</v>
      </c>
      <c r="S1533" s="111" t="s">
        <v>328</v>
      </c>
      <c r="T1533" s="101">
        <v>2.8001238558291813E-2</v>
      </c>
      <c r="U1533" s="86">
        <v>0.42624726906690391</v>
      </c>
      <c r="V1533" s="101">
        <v>1E-8</v>
      </c>
      <c r="W1533" s="101">
        <v>1E-8</v>
      </c>
      <c r="X1533" s="101">
        <v>1E-8</v>
      </c>
      <c r="Y1533" s="101">
        <v>1E-8</v>
      </c>
      <c r="Z1533" s="101">
        <v>1E-8</v>
      </c>
      <c r="AA1533" s="101">
        <v>1E-8</v>
      </c>
      <c r="AB1533" s="101">
        <v>1E-8</v>
      </c>
      <c r="AC1533" s="101">
        <v>1E-8</v>
      </c>
      <c r="AD1533" s="4"/>
    </row>
    <row r="1534" spans="1:30" x14ac:dyDescent="0.3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34"/>
      <c r="O1534" s="4"/>
      <c r="P1534" s="100"/>
      <c r="Q1534" s="100" t="s">
        <v>633</v>
      </c>
      <c r="R1534" s="111" t="s">
        <v>732</v>
      </c>
      <c r="S1534" s="111" t="s">
        <v>329</v>
      </c>
      <c r="T1534" s="101">
        <v>1E-8</v>
      </c>
      <c r="U1534" s="86">
        <v>1E-8</v>
      </c>
      <c r="V1534" s="101">
        <v>1E-8</v>
      </c>
      <c r="W1534" s="101">
        <v>1E-8</v>
      </c>
      <c r="X1534" s="101">
        <v>1E-8</v>
      </c>
      <c r="Y1534" s="101">
        <v>1E-8</v>
      </c>
      <c r="Z1534" s="101">
        <v>1E-8</v>
      </c>
      <c r="AA1534" s="101">
        <v>1E-8</v>
      </c>
      <c r="AB1534" s="101">
        <v>1E-8</v>
      </c>
      <c r="AC1534" s="101">
        <v>1E-8</v>
      </c>
      <c r="AD1534" s="4"/>
    </row>
    <row r="1535" spans="1:30" x14ac:dyDescent="0.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34"/>
      <c r="O1535" s="4"/>
      <c r="P1535" s="100"/>
      <c r="Q1535" s="100" t="s">
        <v>634</v>
      </c>
      <c r="R1535" s="111" t="s">
        <v>732</v>
      </c>
      <c r="S1535" s="111" t="s">
        <v>331</v>
      </c>
      <c r="T1535" s="101">
        <v>5.8256791090291376E-3</v>
      </c>
      <c r="U1535" s="86">
        <v>2.013774117624223</v>
      </c>
      <c r="V1535" s="101">
        <v>1E-8</v>
      </c>
      <c r="W1535" s="101">
        <v>1E-8</v>
      </c>
      <c r="X1535" s="101">
        <v>1E-8</v>
      </c>
      <c r="Y1535" s="101">
        <v>1E-8</v>
      </c>
      <c r="Z1535" s="101">
        <v>1E-8</v>
      </c>
      <c r="AA1535" s="101">
        <v>1E-8</v>
      </c>
      <c r="AB1535" s="101">
        <v>1E-8</v>
      </c>
      <c r="AC1535" s="101">
        <v>1E-8</v>
      </c>
      <c r="AD1535" s="4"/>
    </row>
    <row r="1536" spans="1:30" x14ac:dyDescent="0.3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34"/>
      <c r="O1536" s="4"/>
      <c r="P1536" s="100"/>
      <c r="Q1536" s="100" t="s">
        <v>635</v>
      </c>
      <c r="R1536" s="111" t="s">
        <v>732</v>
      </c>
      <c r="S1536" s="111" t="s">
        <v>332</v>
      </c>
      <c r="T1536" s="101">
        <v>6.7141694911912013E-3</v>
      </c>
      <c r="U1536" s="86">
        <v>10.331077511229903</v>
      </c>
      <c r="V1536" s="101">
        <v>1E-8</v>
      </c>
      <c r="W1536" s="101">
        <v>1E-8</v>
      </c>
      <c r="X1536" s="101">
        <v>1E-8</v>
      </c>
      <c r="Y1536" s="101">
        <v>1E-8</v>
      </c>
      <c r="Z1536" s="101">
        <v>1E-8</v>
      </c>
      <c r="AA1536" s="101">
        <v>1E-8</v>
      </c>
      <c r="AB1536" s="101">
        <v>1E-8</v>
      </c>
      <c r="AC1536" s="101">
        <v>1E-8</v>
      </c>
      <c r="AD1536" s="4"/>
    </row>
    <row r="1537" spans="1:30" x14ac:dyDescent="0.3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34"/>
      <c r="O1537" s="4"/>
      <c r="P1537" s="100"/>
      <c r="Q1537" s="100" t="s">
        <v>636</v>
      </c>
      <c r="R1537" s="111" t="s">
        <v>732</v>
      </c>
      <c r="S1537" s="111" t="s">
        <v>330</v>
      </c>
      <c r="T1537" s="101">
        <v>1.5262100339902154E-2</v>
      </c>
      <c r="U1537" s="86">
        <v>1.793537007264745</v>
      </c>
      <c r="V1537" s="101">
        <v>1E-8</v>
      </c>
      <c r="W1537" s="101">
        <v>1E-8</v>
      </c>
      <c r="X1537" s="101">
        <v>1E-8</v>
      </c>
      <c r="Y1537" s="101">
        <v>1E-8</v>
      </c>
      <c r="Z1537" s="101">
        <v>1E-8</v>
      </c>
      <c r="AA1537" s="101">
        <v>1E-8</v>
      </c>
      <c r="AB1537" s="101">
        <v>1E-8</v>
      </c>
      <c r="AC1537" s="101">
        <v>1E-8</v>
      </c>
      <c r="AD1537" s="4"/>
    </row>
    <row r="1538" spans="1:30" x14ac:dyDescent="0.3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34"/>
      <c r="O1538" s="4"/>
      <c r="P1538" s="100"/>
      <c r="Q1538" s="100" t="s">
        <v>637</v>
      </c>
      <c r="R1538" s="111" t="s">
        <v>732</v>
      </c>
      <c r="S1538" s="111" t="s">
        <v>333</v>
      </c>
      <c r="T1538" s="101">
        <v>6.8167253431027586E-2</v>
      </c>
      <c r="U1538" s="86">
        <v>1.7570399575533635</v>
      </c>
      <c r="V1538" s="101">
        <v>1E-8</v>
      </c>
      <c r="W1538" s="101">
        <v>1E-8</v>
      </c>
      <c r="X1538" s="101">
        <v>1E-8</v>
      </c>
      <c r="Y1538" s="101">
        <v>1E-8</v>
      </c>
      <c r="Z1538" s="101">
        <v>1E-8</v>
      </c>
      <c r="AA1538" s="101">
        <v>1E-8</v>
      </c>
      <c r="AB1538" s="101">
        <v>1E-8</v>
      </c>
      <c r="AC1538" s="101">
        <v>1E-8</v>
      </c>
      <c r="AD1538" s="4"/>
    </row>
    <row r="1539" spans="1:30" x14ac:dyDescent="0.3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34"/>
      <c r="O1539" s="4"/>
      <c r="P1539" s="100"/>
      <c r="Q1539" s="100" t="s">
        <v>638</v>
      </c>
      <c r="R1539" s="111" t="s">
        <v>732</v>
      </c>
      <c r="S1539" s="111" t="s">
        <v>546</v>
      </c>
      <c r="T1539" s="101">
        <v>3.6471444939514971E-2</v>
      </c>
      <c r="U1539" s="86">
        <v>-8.535729268903669E-2</v>
      </c>
      <c r="V1539" s="101">
        <v>1E-8</v>
      </c>
      <c r="W1539" s="101">
        <v>1E-8</v>
      </c>
      <c r="X1539" s="101">
        <v>1E-8</v>
      </c>
      <c r="Y1539" s="101">
        <v>1E-8</v>
      </c>
      <c r="Z1539" s="101">
        <v>1E-8</v>
      </c>
      <c r="AA1539" s="101">
        <v>1E-8</v>
      </c>
      <c r="AB1539" s="101">
        <v>1E-8</v>
      </c>
      <c r="AC1539" s="101">
        <v>1E-8</v>
      </c>
      <c r="AD1539" s="4"/>
    </row>
    <row r="1540" spans="1:30" x14ac:dyDescent="0.3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34"/>
      <c r="O1540" s="4"/>
      <c r="P1540" s="100"/>
      <c r="Q1540" s="100" t="s">
        <v>639</v>
      </c>
      <c r="R1540" s="111" t="s">
        <v>732</v>
      </c>
      <c r="S1540" s="111" t="s">
        <v>335</v>
      </c>
      <c r="T1540" s="101">
        <v>4.4491392576439855E-3</v>
      </c>
      <c r="U1540" s="86">
        <v>-3.8617175633493206</v>
      </c>
      <c r="V1540" s="101">
        <v>1E-8</v>
      </c>
      <c r="W1540" s="101">
        <v>1E-8</v>
      </c>
      <c r="X1540" s="101">
        <v>1E-8</v>
      </c>
      <c r="Y1540" s="101">
        <v>1E-8</v>
      </c>
      <c r="Z1540" s="101">
        <v>1E-8</v>
      </c>
      <c r="AA1540" s="101">
        <v>1E-8</v>
      </c>
      <c r="AB1540" s="101">
        <v>1E-8</v>
      </c>
      <c r="AC1540" s="101">
        <v>1E-8</v>
      </c>
      <c r="AD1540" s="4"/>
    </row>
    <row r="1541" spans="1:30" x14ac:dyDescent="0.3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34"/>
      <c r="O1541" s="4"/>
      <c r="P1541" s="100"/>
      <c r="Q1541" s="100" t="s">
        <v>640</v>
      </c>
      <c r="R1541" s="111" t="s">
        <v>732</v>
      </c>
      <c r="S1541" s="111" t="s">
        <v>334</v>
      </c>
      <c r="T1541" s="101">
        <v>2.3348028166972488E-2</v>
      </c>
      <c r="U1541" s="86">
        <v>9.2669272817153203</v>
      </c>
      <c r="V1541" s="101">
        <v>1E-8</v>
      </c>
      <c r="W1541" s="101">
        <v>1E-8</v>
      </c>
      <c r="X1541" s="101">
        <v>1E-8</v>
      </c>
      <c r="Y1541" s="101">
        <v>1E-8</v>
      </c>
      <c r="Z1541" s="101">
        <v>1E-8</v>
      </c>
      <c r="AA1541" s="101">
        <v>1E-8</v>
      </c>
      <c r="AB1541" s="101">
        <v>1E-8</v>
      </c>
      <c r="AC1541" s="101">
        <v>1E-8</v>
      </c>
      <c r="AD1541" s="4"/>
    </row>
    <row r="1542" spans="1:30" x14ac:dyDescent="0.3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34"/>
      <c r="O1542" s="4"/>
      <c r="P1542" s="68"/>
      <c r="Q1542" s="68" t="s">
        <v>365</v>
      </c>
      <c r="R1542" s="108" t="s">
        <v>732</v>
      </c>
      <c r="S1542" s="108" t="s">
        <v>374</v>
      </c>
      <c r="T1542" s="98">
        <v>2.2868752287207075</v>
      </c>
      <c r="U1542" s="80">
        <v>-1.566626780183511</v>
      </c>
      <c r="V1542" s="98">
        <v>1E-8</v>
      </c>
      <c r="W1542" s="98">
        <v>1E-8</v>
      </c>
      <c r="X1542" s="98">
        <v>1E-8</v>
      </c>
      <c r="Y1542" s="98">
        <v>1E-8</v>
      </c>
      <c r="Z1542" s="98">
        <v>1E-8</v>
      </c>
      <c r="AA1542" s="98">
        <v>1E-8</v>
      </c>
      <c r="AB1542" s="98">
        <v>1E-8</v>
      </c>
      <c r="AC1542" s="98">
        <v>1E-8</v>
      </c>
      <c r="AD1542" s="4"/>
    </row>
    <row r="1543" spans="1:30" x14ac:dyDescent="0.3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34"/>
      <c r="O1543" s="4"/>
      <c r="P1543" s="100"/>
      <c r="Q1543" s="100" t="s">
        <v>641</v>
      </c>
      <c r="R1543" s="111" t="s">
        <v>732</v>
      </c>
      <c r="S1543" s="111" t="s">
        <v>547</v>
      </c>
      <c r="T1543" s="101">
        <v>1.9063889254888955</v>
      </c>
      <c r="U1543" s="86">
        <v>-2.1667916025687073</v>
      </c>
      <c r="V1543" s="101">
        <v>1E-8</v>
      </c>
      <c r="W1543" s="101">
        <v>1E-8</v>
      </c>
      <c r="X1543" s="101">
        <v>1E-8</v>
      </c>
      <c r="Y1543" s="101">
        <v>1E-8</v>
      </c>
      <c r="Z1543" s="101">
        <v>1E-8</v>
      </c>
      <c r="AA1543" s="101">
        <v>1E-8</v>
      </c>
      <c r="AB1543" s="101">
        <v>1E-8</v>
      </c>
      <c r="AC1543" s="101">
        <v>1E-8</v>
      </c>
      <c r="AD1543" s="4"/>
    </row>
    <row r="1544" spans="1:30" x14ac:dyDescent="0.3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34"/>
      <c r="O1544" s="4"/>
      <c r="P1544" s="100"/>
      <c r="Q1544" s="100" t="s">
        <v>642</v>
      </c>
      <c r="R1544" s="111" t="s">
        <v>732</v>
      </c>
      <c r="S1544" s="111" t="s">
        <v>336</v>
      </c>
      <c r="T1544" s="101">
        <v>0.3742894142390823</v>
      </c>
      <c r="U1544" s="86">
        <v>1.4932424350900364</v>
      </c>
      <c r="V1544" s="101">
        <v>1E-8</v>
      </c>
      <c r="W1544" s="101">
        <v>1E-8</v>
      </c>
      <c r="X1544" s="101">
        <v>1E-8</v>
      </c>
      <c r="Y1544" s="101">
        <v>1E-8</v>
      </c>
      <c r="Z1544" s="101">
        <v>1E-8</v>
      </c>
      <c r="AA1544" s="101">
        <v>1E-8</v>
      </c>
      <c r="AB1544" s="101">
        <v>1E-8</v>
      </c>
      <c r="AC1544" s="101">
        <v>1E-8</v>
      </c>
      <c r="AD1544" s="4"/>
    </row>
    <row r="1545" spans="1:30" x14ac:dyDescent="0.3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34"/>
      <c r="O1545" s="4"/>
      <c r="P1545" s="100"/>
      <c r="Q1545" s="100" t="s">
        <v>643</v>
      </c>
      <c r="R1545" s="112" t="s">
        <v>732</v>
      </c>
      <c r="S1545" s="112" t="s">
        <v>337</v>
      </c>
      <c r="T1545" s="87">
        <v>6.1968889927294605E-3</v>
      </c>
      <c r="U1545" s="88">
        <v>-1.7488287481596032</v>
      </c>
      <c r="V1545" s="87">
        <v>1E-8</v>
      </c>
      <c r="W1545" s="87">
        <v>1E-8</v>
      </c>
      <c r="X1545" s="87">
        <v>1E-8</v>
      </c>
      <c r="Y1545" s="87">
        <v>1E-8</v>
      </c>
      <c r="Z1545" s="87">
        <v>1E-8</v>
      </c>
      <c r="AA1545" s="87">
        <v>1E-8</v>
      </c>
      <c r="AB1545" s="87">
        <v>1E-8</v>
      </c>
      <c r="AC1545" s="87">
        <v>1E-8</v>
      </c>
      <c r="AD1545" s="4"/>
    </row>
    <row r="1546" spans="1:30" x14ac:dyDescent="0.3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34"/>
      <c r="O1546" s="4"/>
      <c r="P1546" s="68"/>
      <c r="Q1546" s="68" t="s">
        <v>644</v>
      </c>
      <c r="R1546" s="108" t="s">
        <v>732</v>
      </c>
      <c r="S1546" s="108" t="s">
        <v>338</v>
      </c>
      <c r="T1546" s="98">
        <v>0.23976421832184661</v>
      </c>
      <c r="U1546" s="80">
        <v>3.7434703092428467</v>
      </c>
      <c r="V1546" s="98">
        <v>1E-8</v>
      </c>
      <c r="W1546" s="98">
        <v>1E-8</v>
      </c>
      <c r="X1546" s="98">
        <v>1E-8</v>
      </c>
      <c r="Y1546" s="98">
        <v>1E-8</v>
      </c>
      <c r="Z1546" s="98">
        <v>1E-8</v>
      </c>
      <c r="AA1546" s="98">
        <v>1E-8</v>
      </c>
      <c r="AB1546" s="98">
        <v>1E-8</v>
      </c>
      <c r="AC1546" s="98">
        <v>1E-8</v>
      </c>
      <c r="AD1546" s="4"/>
    </row>
    <row r="1547" spans="1:30" x14ac:dyDescent="0.3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34"/>
      <c r="O1547" s="4"/>
      <c r="P1547" s="68"/>
      <c r="Q1547" s="68" t="s">
        <v>366</v>
      </c>
      <c r="R1547" s="108" t="s">
        <v>732</v>
      </c>
      <c r="S1547" s="108" t="s">
        <v>339</v>
      </c>
      <c r="T1547" s="98">
        <v>0.14995657394624773</v>
      </c>
      <c r="U1547" s="80">
        <v>5.7837966446613986</v>
      </c>
      <c r="V1547" s="98">
        <v>1E-8</v>
      </c>
      <c r="W1547" s="98">
        <v>1E-8</v>
      </c>
      <c r="X1547" s="98">
        <v>1E-8</v>
      </c>
      <c r="Y1547" s="98">
        <v>1E-8</v>
      </c>
      <c r="Z1547" s="98">
        <v>1E-8</v>
      </c>
      <c r="AA1547" s="98">
        <v>1E-8</v>
      </c>
      <c r="AB1547" s="98">
        <v>1E-8</v>
      </c>
      <c r="AC1547" s="98">
        <v>1E-8</v>
      </c>
      <c r="AD1547" s="4"/>
    </row>
    <row r="1548" spans="1:30" x14ac:dyDescent="0.3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34"/>
      <c r="O1548" s="4"/>
      <c r="P1548" s="100"/>
      <c r="Q1548" s="100" t="s">
        <v>645</v>
      </c>
      <c r="R1548" s="111" t="s">
        <v>732</v>
      </c>
      <c r="S1548" s="111" t="s">
        <v>340</v>
      </c>
      <c r="T1548" s="101">
        <v>5.4254688204399174E-2</v>
      </c>
      <c r="U1548" s="86">
        <v>7.0930592880582122</v>
      </c>
      <c r="V1548" s="101">
        <v>1E-8</v>
      </c>
      <c r="W1548" s="101">
        <v>1E-8</v>
      </c>
      <c r="X1548" s="101">
        <v>1E-8</v>
      </c>
      <c r="Y1548" s="101">
        <v>1E-8</v>
      </c>
      <c r="Z1548" s="101">
        <v>1E-8</v>
      </c>
      <c r="AA1548" s="101">
        <v>1E-8</v>
      </c>
      <c r="AB1548" s="101">
        <v>1E-8</v>
      </c>
      <c r="AC1548" s="101">
        <v>1E-8</v>
      </c>
      <c r="AD1548" s="4"/>
    </row>
    <row r="1549" spans="1:30" x14ac:dyDescent="0.3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34"/>
      <c r="O1549" s="4"/>
      <c r="P1549" s="100"/>
      <c r="Q1549" s="100" t="s">
        <v>646</v>
      </c>
      <c r="R1549" s="111" t="s">
        <v>732</v>
      </c>
      <c r="S1549" s="111" t="s">
        <v>548</v>
      </c>
      <c r="T1549" s="101">
        <v>9.5701885741848527E-2</v>
      </c>
      <c r="U1549" s="86">
        <v>5.0415580153540196</v>
      </c>
      <c r="V1549" s="101">
        <v>1E-8</v>
      </c>
      <c r="W1549" s="101">
        <v>1E-8</v>
      </c>
      <c r="X1549" s="101">
        <v>1E-8</v>
      </c>
      <c r="Y1549" s="101">
        <v>1E-8</v>
      </c>
      <c r="Z1549" s="101">
        <v>1E-8</v>
      </c>
      <c r="AA1549" s="101">
        <v>1E-8</v>
      </c>
      <c r="AB1549" s="101">
        <v>1E-8</v>
      </c>
      <c r="AC1549" s="101">
        <v>1E-8</v>
      </c>
      <c r="AD1549" s="4"/>
    </row>
    <row r="1550" spans="1:30" x14ac:dyDescent="0.3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34"/>
      <c r="O1550" s="4"/>
      <c r="P1550" s="68"/>
      <c r="Q1550" s="68" t="s">
        <v>367</v>
      </c>
      <c r="R1550" s="108" t="s">
        <v>732</v>
      </c>
      <c r="S1550" s="108" t="s">
        <v>341</v>
      </c>
      <c r="T1550" s="98">
        <v>0.3355809033838224</v>
      </c>
      <c r="U1550" s="80">
        <v>35.28813741257084</v>
      </c>
      <c r="V1550" s="98">
        <v>1E-8</v>
      </c>
      <c r="W1550" s="98">
        <v>1E-8</v>
      </c>
      <c r="X1550" s="98">
        <v>1E-8</v>
      </c>
      <c r="Y1550" s="98">
        <v>1E-8</v>
      </c>
      <c r="Z1550" s="98">
        <v>1E-8</v>
      </c>
      <c r="AA1550" s="98">
        <v>1E-8</v>
      </c>
      <c r="AB1550" s="98">
        <v>1E-8</v>
      </c>
      <c r="AC1550" s="98">
        <v>1E-8</v>
      </c>
      <c r="AD1550" s="4"/>
    </row>
    <row r="1551" spans="1:30" x14ac:dyDescent="0.3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34"/>
      <c r="O1551" s="4"/>
      <c r="P1551" s="100"/>
      <c r="Q1551" s="100" t="s">
        <v>647</v>
      </c>
      <c r="R1551" s="111" t="s">
        <v>732</v>
      </c>
      <c r="S1551" s="111" t="s">
        <v>342</v>
      </c>
      <c r="T1551" s="101">
        <v>2.1552045277222335E-3</v>
      </c>
      <c r="U1551" s="86">
        <v>5.9973249112297733</v>
      </c>
      <c r="V1551" s="101">
        <v>1E-8</v>
      </c>
      <c r="W1551" s="101">
        <v>1E-8</v>
      </c>
      <c r="X1551" s="101">
        <v>1E-8</v>
      </c>
      <c r="Y1551" s="101">
        <v>1E-8</v>
      </c>
      <c r="Z1551" s="101">
        <v>1E-8</v>
      </c>
      <c r="AA1551" s="101">
        <v>1E-8</v>
      </c>
      <c r="AB1551" s="101">
        <v>1E-8</v>
      </c>
      <c r="AC1551" s="101">
        <v>1E-8</v>
      </c>
      <c r="AD1551" s="4"/>
    </row>
    <row r="1552" spans="1:30" x14ac:dyDescent="0.3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34"/>
      <c r="O1552" s="4"/>
      <c r="P1552" s="100"/>
      <c r="Q1552" s="100" t="s">
        <v>648</v>
      </c>
      <c r="R1552" s="111" t="s">
        <v>732</v>
      </c>
      <c r="S1552" s="111" t="s">
        <v>343</v>
      </c>
      <c r="T1552" s="101">
        <v>0.2433964365859442</v>
      </c>
      <c r="U1552" s="86">
        <v>45.729348181652398</v>
      </c>
      <c r="V1552" s="101">
        <v>1E-8</v>
      </c>
      <c r="W1552" s="101">
        <v>1E-8</v>
      </c>
      <c r="X1552" s="101">
        <v>1E-8</v>
      </c>
      <c r="Y1552" s="101">
        <v>1E-8</v>
      </c>
      <c r="Z1552" s="101">
        <v>1E-8</v>
      </c>
      <c r="AA1552" s="101">
        <v>1E-8</v>
      </c>
      <c r="AB1552" s="101">
        <v>1E-8</v>
      </c>
      <c r="AC1552" s="101">
        <v>1E-8</v>
      </c>
      <c r="AD1552" s="4"/>
    </row>
    <row r="1553" spans="1:30" x14ac:dyDescent="0.3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34"/>
      <c r="O1553" s="4"/>
      <c r="P1553" s="100"/>
      <c r="Q1553" s="100" t="s">
        <v>649</v>
      </c>
      <c r="R1553" s="111" t="s">
        <v>732</v>
      </c>
      <c r="S1553" s="111" t="s">
        <v>549</v>
      </c>
      <c r="T1553" s="101">
        <v>5.4587576091714343E-2</v>
      </c>
      <c r="U1553" s="86">
        <v>5.7661131251732334</v>
      </c>
      <c r="V1553" s="101">
        <v>1E-8</v>
      </c>
      <c r="W1553" s="101">
        <v>1E-8</v>
      </c>
      <c r="X1553" s="101">
        <v>1E-8</v>
      </c>
      <c r="Y1553" s="101">
        <v>1E-8</v>
      </c>
      <c r="Z1553" s="101">
        <v>1E-8</v>
      </c>
      <c r="AA1553" s="101">
        <v>1E-8</v>
      </c>
      <c r="AB1553" s="101">
        <v>1E-8</v>
      </c>
      <c r="AC1553" s="101">
        <v>1E-8</v>
      </c>
      <c r="AD1553" s="4"/>
    </row>
    <row r="1554" spans="1:30" x14ac:dyDescent="0.3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34"/>
      <c r="O1554" s="4"/>
      <c r="P1554" s="100"/>
      <c r="Q1554" s="100" t="s">
        <v>650</v>
      </c>
      <c r="R1554" s="111" t="s">
        <v>732</v>
      </c>
      <c r="S1554" s="111" t="s">
        <v>550</v>
      </c>
      <c r="T1554" s="101">
        <v>3.5441686178441664E-2</v>
      </c>
      <c r="U1554" s="86">
        <v>10.834163874733926</v>
      </c>
      <c r="V1554" s="101">
        <v>1E-8</v>
      </c>
      <c r="W1554" s="101">
        <v>1E-8</v>
      </c>
      <c r="X1554" s="101">
        <v>1E-8</v>
      </c>
      <c r="Y1554" s="101">
        <v>1E-8</v>
      </c>
      <c r="Z1554" s="101">
        <v>1E-8</v>
      </c>
      <c r="AA1554" s="101">
        <v>1E-8</v>
      </c>
      <c r="AB1554" s="101">
        <v>1E-8</v>
      </c>
      <c r="AC1554" s="101">
        <v>1E-8</v>
      </c>
      <c r="AD1554" s="4"/>
    </row>
    <row r="1555" spans="1:30" x14ac:dyDescent="0.3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34"/>
      <c r="O1555" s="4"/>
      <c r="P1555" s="68"/>
      <c r="Q1555" s="68" t="s">
        <v>172</v>
      </c>
      <c r="R1555" s="108" t="s">
        <v>732</v>
      </c>
      <c r="S1555" s="108" t="s">
        <v>551</v>
      </c>
      <c r="T1555" s="98">
        <v>2.1327663716277985E-2</v>
      </c>
      <c r="U1555" s="80">
        <v>-2.3067247599752427</v>
      </c>
      <c r="V1555" s="98">
        <v>1E-8</v>
      </c>
      <c r="W1555" s="98">
        <v>1E-8</v>
      </c>
      <c r="X1555" s="98">
        <v>1E-8</v>
      </c>
      <c r="Y1555" s="98">
        <v>1E-8</v>
      </c>
      <c r="Z1555" s="98">
        <v>1E-8</v>
      </c>
      <c r="AA1555" s="98">
        <v>1E-8</v>
      </c>
      <c r="AB1555" s="98">
        <v>1E-8</v>
      </c>
      <c r="AC1555" s="98">
        <v>1E-8</v>
      </c>
      <c r="AD1555" s="4"/>
    </row>
    <row r="1556" spans="1:30" x14ac:dyDescent="0.3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34"/>
      <c r="O1556" s="4"/>
      <c r="P1556" s="100"/>
      <c r="Q1556" s="100" t="s">
        <v>651</v>
      </c>
      <c r="R1556" s="111" t="s">
        <v>732</v>
      </c>
      <c r="S1556" s="111" t="s">
        <v>344</v>
      </c>
      <c r="T1556" s="101">
        <v>1.3999571135312622E-3</v>
      </c>
      <c r="U1556" s="86">
        <v>12.707948241272504</v>
      </c>
      <c r="V1556" s="101">
        <v>1E-8</v>
      </c>
      <c r="W1556" s="101">
        <v>1E-8</v>
      </c>
      <c r="X1556" s="101">
        <v>1E-8</v>
      </c>
      <c r="Y1556" s="101">
        <v>1E-8</v>
      </c>
      <c r="Z1556" s="101">
        <v>1E-8</v>
      </c>
      <c r="AA1556" s="101">
        <v>1E-8</v>
      </c>
      <c r="AB1556" s="101">
        <v>1E-8</v>
      </c>
      <c r="AC1556" s="101">
        <v>1E-8</v>
      </c>
      <c r="AD1556" s="4"/>
    </row>
    <row r="1557" spans="1:30" x14ac:dyDescent="0.3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34"/>
      <c r="O1557" s="4"/>
      <c r="P1557" s="100"/>
      <c r="Q1557" s="100" t="s">
        <v>652</v>
      </c>
      <c r="R1557" s="111" t="s">
        <v>732</v>
      </c>
      <c r="S1557" s="111" t="s">
        <v>552</v>
      </c>
      <c r="T1557" s="101">
        <v>1.2864892943048857E-2</v>
      </c>
      <c r="U1557" s="86">
        <v>4.0002541626616317</v>
      </c>
      <c r="V1557" s="101">
        <v>1E-8</v>
      </c>
      <c r="W1557" s="101">
        <v>1E-8</v>
      </c>
      <c r="X1557" s="101">
        <v>1E-8</v>
      </c>
      <c r="Y1557" s="101">
        <v>1E-8</v>
      </c>
      <c r="Z1557" s="101">
        <v>1E-8</v>
      </c>
      <c r="AA1557" s="101">
        <v>1E-8</v>
      </c>
      <c r="AB1557" s="101">
        <v>1E-8</v>
      </c>
      <c r="AC1557" s="101">
        <v>1E-8</v>
      </c>
      <c r="AD1557" s="4"/>
    </row>
    <row r="1558" spans="1:30" x14ac:dyDescent="0.3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34"/>
      <c r="O1558" s="4"/>
      <c r="P1558" s="100"/>
      <c r="Q1558" s="100" t="s">
        <v>653</v>
      </c>
      <c r="R1558" s="111" t="s">
        <v>732</v>
      </c>
      <c r="S1558" s="111" t="s">
        <v>553</v>
      </c>
      <c r="T1558" s="101">
        <v>7.0628136596978617E-3</v>
      </c>
      <c r="U1558" s="86">
        <v>-16.771003704806077</v>
      </c>
      <c r="V1558" s="101">
        <v>1E-8</v>
      </c>
      <c r="W1558" s="101">
        <v>1E-8</v>
      </c>
      <c r="X1558" s="101">
        <v>1E-8</v>
      </c>
      <c r="Y1558" s="101">
        <v>1E-8</v>
      </c>
      <c r="Z1558" s="101">
        <v>1E-8</v>
      </c>
      <c r="AA1558" s="101">
        <v>1E-8</v>
      </c>
      <c r="AB1558" s="101">
        <v>1E-8</v>
      </c>
      <c r="AC1558" s="101">
        <v>1E-8</v>
      </c>
      <c r="AD1558" s="4"/>
    </row>
    <row r="1559" spans="1:30" x14ac:dyDescent="0.3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34"/>
      <c r="O1559" s="4"/>
      <c r="P1559" s="68"/>
      <c r="Q1559" s="68" t="s">
        <v>368</v>
      </c>
      <c r="R1559" s="108" t="s">
        <v>732</v>
      </c>
      <c r="S1559" s="108" t="s">
        <v>345</v>
      </c>
      <c r="T1559" s="98">
        <v>5.7937883820777282E-2</v>
      </c>
      <c r="U1559" s="80">
        <v>9.2135162874328778</v>
      </c>
      <c r="V1559" s="98">
        <v>1E-8</v>
      </c>
      <c r="W1559" s="98">
        <v>1E-8</v>
      </c>
      <c r="X1559" s="98">
        <v>1E-8</v>
      </c>
      <c r="Y1559" s="98">
        <v>1E-8</v>
      </c>
      <c r="Z1559" s="98">
        <v>1E-8</v>
      </c>
      <c r="AA1559" s="98">
        <v>1E-8</v>
      </c>
      <c r="AB1559" s="98">
        <v>1E-8</v>
      </c>
      <c r="AC1559" s="98">
        <v>1E-8</v>
      </c>
      <c r="AD1559" s="4"/>
    </row>
    <row r="1560" spans="1:30" x14ac:dyDescent="0.3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34"/>
      <c r="O1560" s="4"/>
      <c r="P1560" s="100"/>
      <c r="Q1560" s="100" t="s">
        <v>654</v>
      </c>
      <c r="R1560" s="111" t="s">
        <v>732</v>
      </c>
      <c r="S1560" s="111" t="s">
        <v>346</v>
      </c>
      <c r="T1560" s="101">
        <v>3.2302545620041395E-2</v>
      </c>
      <c r="U1560" s="86">
        <v>14.308934911610582</v>
      </c>
      <c r="V1560" s="101">
        <v>1E-8</v>
      </c>
      <c r="W1560" s="101">
        <v>1E-8</v>
      </c>
      <c r="X1560" s="101">
        <v>1E-8</v>
      </c>
      <c r="Y1560" s="101">
        <v>1E-8</v>
      </c>
      <c r="Z1560" s="101">
        <v>1E-8</v>
      </c>
      <c r="AA1560" s="101">
        <v>1E-8</v>
      </c>
      <c r="AB1560" s="101">
        <v>1E-8</v>
      </c>
      <c r="AC1560" s="101">
        <v>1E-8</v>
      </c>
      <c r="AD1560" s="4"/>
    </row>
    <row r="1561" spans="1:30" x14ac:dyDescent="0.3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34"/>
      <c r="O1561" s="4"/>
      <c r="P1561" s="100"/>
      <c r="Q1561" s="100" t="s">
        <v>655</v>
      </c>
      <c r="R1561" s="111" t="s">
        <v>732</v>
      </c>
      <c r="S1561" s="111" t="s">
        <v>347</v>
      </c>
      <c r="T1561" s="101">
        <v>1.6818018580414675E-2</v>
      </c>
      <c r="U1561" s="86">
        <v>-0.53178230441307539</v>
      </c>
      <c r="V1561" s="101">
        <v>1E-8</v>
      </c>
      <c r="W1561" s="101">
        <v>1E-8</v>
      </c>
      <c r="X1561" s="101">
        <v>1E-8</v>
      </c>
      <c r="Y1561" s="101">
        <v>1E-8</v>
      </c>
      <c r="Z1561" s="101">
        <v>1E-8</v>
      </c>
      <c r="AA1561" s="101">
        <v>1E-8</v>
      </c>
      <c r="AB1561" s="101">
        <v>1E-8</v>
      </c>
      <c r="AC1561" s="101">
        <v>1E-8</v>
      </c>
      <c r="AD1561" s="4"/>
    </row>
    <row r="1562" spans="1:30" x14ac:dyDescent="0.3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34"/>
      <c r="O1562" s="4"/>
      <c r="P1562" s="100"/>
      <c r="Q1562" s="100" t="s">
        <v>656</v>
      </c>
      <c r="R1562" s="111" t="s">
        <v>732</v>
      </c>
      <c r="S1562" s="111" t="s">
        <v>348</v>
      </c>
      <c r="T1562" s="101">
        <v>8.8173196203212099E-3</v>
      </c>
      <c r="U1562" s="86">
        <v>9.1343108370887549</v>
      </c>
      <c r="V1562" s="101">
        <v>1E-8</v>
      </c>
      <c r="W1562" s="101">
        <v>1E-8</v>
      </c>
      <c r="X1562" s="101">
        <v>1E-8</v>
      </c>
      <c r="Y1562" s="101">
        <v>1E-8</v>
      </c>
      <c r="Z1562" s="101">
        <v>1E-8</v>
      </c>
      <c r="AA1562" s="101">
        <v>1E-8</v>
      </c>
      <c r="AB1562" s="101">
        <v>1E-8</v>
      </c>
      <c r="AC1562" s="101">
        <v>1E-8</v>
      </c>
      <c r="AD1562" s="4"/>
    </row>
    <row r="1563" spans="1:30" x14ac:dyDescent="0.3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34"/>
      <c r="O1563" s="4"/>
      <c r="P1563" s="68"/>
      <c r="Q1563" s="68" t="s">
        <v>181</v>
      </c>
      <c r="R1563" s="108" t="s">
        <v>732</v>
      </c>
      <c r="S1563" s="108" t="s">
        <v>554</v>
      </c>
      <c r="T1563" s="98">
        <v>0.13380730154712153</v>
      </c>
      <c r="U1563" s="80">
        <v>5.553917865671365</v>
      </c>
      <c r="V1563" s="98">
        <v>1E-8</v>
      </c>
      <c r="W1563" s="98">
        <v>1E-8</v>
      </c>
      <c r="X1563" s="98">
        <v>1E-8</v>
      </c>
      <c r="Y1563" s="98">
        <v>1E-8</v>
      </c>
      <c r="Z1563" s="98">
        <v>1E-8</v>
      </c>
      <c r="AA1563" s="98">
        <v>1E-8</v>
      </c>
      <c r="AB1563" s="98">
        <v>1E-8</v>
      </c>
      <c r="AC1563" s="98">
        <v>1E-8</v>
      </c>
      <c r="AD1563" s="4"/>
    </row>
    <row r="1564" spans="1:30" x14ac:dyDescent="0.3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34"/>
      <c r="O1564" s="4"/>
      <c r="P1564" s="100"/>
      <c r="Q1564" s="100" t="s">
        <v>657</v>
      </c>
      <c r="R1564" s="111" t="s">
        <v>732</v>
      </c>
      <c r="S1564" s="111" t="s">
        <v>555</v>
      </c>
      <c r="T1564" s="101">
        <v>4.1216031204123517E-2</v>
      </c>
      <c r="U1564" s="86">
        <v>5.06209033704621</v>
      </c>
      <c r="V1564" s="101">
        <v>1E-8</v>
      </c>
      <c r="W1564" s="101">
        <v>1E-8</v>
      </c>
      <c r="X1564" s="101">
        <v>1E-8</v>
      </c>
      <c r="Y1564" s="101">
        <v>1E-8</v>
      </c>
      <c r="Z1564" s="101">
        <v>1E-8</v>
      </c>
      <c r="AA1564" s="101">
        <v>1E-8</v>
      </c>
      <c r="AB1564" s="101">
        <v>1E-8</v>
      </c>
      <c r="AC1564" s="101">
        <v>1E-8</v>
      </c>
      <c r="AD1564" s="4"/>
    </row>
    <row r="1565" spans="1:30" x14ac:dyDescent="0.3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34"/>
      <c r="O1565" s="4"/>
      <c r="P1565" s="100"/>
      <c r="Q1565" s="100" t="s">
        <v>658</v>
      </c>
      <c r="R1565" s="111" t="s">
        <v>732</v>
      </c>
      <c r="S1565" s="111" t="s">
        <v>349</v>
      </c>
      <c r="T1565" s="101">
        <v>9.1957711834152814E-2</v>
      </c>
      <c r="U1565" s="86">
        <v>5.8421425766826074</v>
      </c>
      <c r="V1565" s="101">
        <v>1E-8</v>
      </c>
      <c r="W1565" s="101">
        <v>1E-8</v>
      </c>
      <c r="X1565" s="101">
        <v>1E-8</v>
      </c>
      <c r="Y1565" s="101">
        <v>1E-8</v>
      </c>
      <c r="Z1565" s="101">
        <v>1E-8</v>
      </c>
      <c r="AA1565" s="101">
        <v>1E-8</v>
      </c>
      <c r="AB1565" s="101">
        <v>1E-8</v>
      </c>
      <c r="AC1565" s="101">
        <v>1E-8</v>
      </c>
      <c r="AD1565" s="4"/>
    </row>
    <row r="1566" spans="1:30" x14ac:dyDescent="0.3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34"/>
      <c r="O1566" s="4"/>
      <c r="P1566" s="100"/>
      <c r="Q1566" s="100" t="s">
        <v>659</v>
      </c>
      <c r="R1566" s="112" t="s">
        <v>732</v>
      </c>
      <c r="S1566" s="112" t="s">
        <v>556</v>
      </c>
      <c r="T1566" s="87">
        <v>6.3355850884518658E-4</v>
      </c>
      <c r="U1566" s="88">
        <v>-4.2846464733244822</v>
      </c>
      <c r="V1566" s="87">
        <v>1E-8</v>
      </c>
      <c r="W1566" s="87">
        <v>1E-8</v>
      </c>
      <c r="X1566" s="87">
        <v>1E-8</v>
      </c>
      <c r="Y1566" s="87">
        <v>1E-8</v>
      </c>
      <c r="Z1566" s="87">
        <v>1E-8</v>
      </c>
      <c r="AA1566" s="87">
        <v>1E-8</v>
      </c>
      <c r="AB1566" s="87">
        <v>1E-8</v>
      </c>
      <c r="AC1566" s="87">
        <v>1E-8</v>
      </c>
      <c r="AD1566" s="4"/>
    </row>
    <row r="1567" spans="1:30" x14ac:dyDescent="0.3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34"/>
      <c r="O1567" s="4"/>
      <c r="P1567" s="96"/>
      <c r="Q1567" s="96" t="s">
        <v>286</v>
      </c>
      <c r="R1567" s="107" t="s">
        <v>732</v>
      </c>
      <c r="S1567" s="107" t="s">
        <v>350</v>
      </c>
      <c r="T1567" s="97">
        <v>4.2523619516962761</v>
      </c>
      <c r="U1567" s="78">
        <v>-1.8733647945559762</v>
      </c>
      <c r="V1567" s="97">
        <v>1E-8</v>
      </c>
      <c r="W1567" s="97">
        <v>1E-8</v>
      </c>
      <c r="X1567" s="97">
        <v>1E-8</v>
      </c>
      <c r="Y1567" s="97">
        <v>1E-8</v>
      </c>
      <c r="Z1567" s="97">
        <v>1E-8</v>
      </c>
      <c r="AA1567" s="97">
        <v>1E-8</v>
      </c>
      <c r="AB1567" s="97">
        <v>1E-8</v>
      </c>
      <c r="AC1567" s="97">
        <v>1E-8</v>
      </c>
      <c r="AD1567" s="4"/>
    </row>
    <row r="1568" spans="1:30" x14ac:dyDescent="0.3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34"/>
      <c r="O1568" s="4"/>
      <c r="P1568" s="96"/>
      <c r="Q1568" s="96" t="s">
        <v>369</v>
      </c>
      <c r="R1568" s="107" t="s">
        <v>732</v>
      </c>
      <c r="S1568" s="107" t="s">
        <v>557</v>
      </c>
      <c r="T1568" s="97">
        <v>2.8305357893164507</v>
      </c>
      <c r="U1568" s="78">
        <v>-0.76251763734314082</v>
      </c>
      <c r="V1568" s="97">
        <v>1E-8</v>
      </c>
      <c r="W1568" s="97">
        <v>1E-8</v>
      </c>
      <c r="X1568" s="97">
        <v>1E-8</v>
      </c>
      <c r="Y1568" s="97">
        <v>1E-8</v>
      </c>
      <c r="Z1568" s="97">
        <v>1E-8</v>
      </c>
      <c r="AA1568" s="97">
        <v>1E-8</v>
      </c>
      <c r="AB1568" s="97">
        <v>1E-8</v>
      </c>
      <c r="AC1568" s="97">
        <v>1E-8</v>
      </c>
      <c r="AD1568" s="4"/>
    </row>
    <row r="1569" spans="1:30" x14ac:dyDescent="0.3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34"/>
      <c r="O1569" s="4"/>
      <c r="P1569" s="68"/>
      <c r="Q1569" s="68" t="s">
        <v>660</v>
      </c>
      <c r="R1569" s="108" t="s">
        <v>732</v>
      </c>
      <c r="S1569" s="108" t="s">
        <v>351</v>
      </c>
      <c r="T1569" s="98">
        <v>2.198167719744526</v>
      </c>
      <c r="U1569" s="80">
        <v>-0.83718977523710159</v>
      </c>
      <c r="V1569" s="98">
        <v>1E-8</v>
      </c>
      <c r="W1569" s="98">
        <v>1E-8</v>
      </c>
      <c r="X1569" s="98">
        <v>1E-8</v>
      </c>
      <c r="Y1569" s="98">
        <v>1E-8</v>
      </c>
      <c r="Z1569" s="98">
        <v>1E-8</v>
      </c>
      <c r="AA1569" s="98">
        <v>1E-8</v>
      </c>
      <c r="AB1569" s="98">
        <v>1E-8</v>
      </c>
      <c r="AC1569" s="98">
        <v>1E-8</v>
      </c>
      <c r="AD1569" s="4"/>
    </row>
    <row r="1570" spans="1:30" x14ac:dyDescent="0.3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34"/>
      <c r="O1570" s="4"/>
      <c r="P1570" s="68"/>
      <c r="Q1570" s="68" t="s">
        <v>661</v>
      </c>
      <c r="R1570" s="108" t="s">
        <v>732</v>
      </c>
      <c r="S1570" s="108" t="s">
        <v>352</v>
      </c>
      <c r="T1570" s="98">
        <v>0.58350697519523786</v>
      </c>
      <c r="U1570" s="80">
        <v>-0.39851308006909614</v>
      </c>
      <c r="V1570" s="98">
        <v>1E-8</v>
      </c>
      <c r="W1570" s="98">
        <v>1E-8</v>
      </c>
      <c r="X1570" s="98">
        <v>1E-8</v>
      </c>
      <c r="Y1570" s="98">
        <v>1E-8</v>
      </c>
      <c r="Z1570" s="98">
        <v>1E-8</v>
      </c>
      <c r="AA1570" s="98">
        <v>1E-8</v>
      </c>
      <c r="AB1570" s="98">
        <v>1E-8</v>
      </c>
      <c r="AC1570" s="98">
        <v>1E-8</v>
      </c>
      <c r="AD1570" s="4"/>
    </row>
    <row r="1571" spans="1:30" x14ac:dyDescent="0.3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34"/>
      <c r="O1571" s="4"/>
      <c r="P1571" s="68"/>
      <c r="Q1571" s="68" t="s">
        <v>662</v>
      </c>
      <c r="R1571" s="108" t="s">
        <v>732</v>
      </c>
      <c r="S1571" s="108" t="s">
        <v>558</v>
      </c>
      <c r="T1571" s="98">
        <v>4.8861094376687009E-2</v>
      </c>
      <c r="U1571" s="80">
        <v>-1.7501605811839016</v>
      </c>
      <c r="V1571" s="98">
        <v>1E-8</v>
      </c>
      <c r="W1571" s="98">
        <v>1E-8</v>
      </c>
      <c r="X1571" s="98">
        <v>1E-8</v>
      </c>
      <c r="Y1571" s="98">
        <v>1E-8</v>
      </c>
      <c r="Z1571" s="98">
        <v>1E-8</v>
      </c>
      <c r="AA1571" s="98">
        <v>1E-8</v>
      </c>
      <c r="AB1571" s="98">
        <v>1E-8</v>
      </c>
      <c r="AC1571" s="98">
        <v>1E-8</v>
      </c>
      <c r="AD1571" s="4"/>
    </row>
    <row r="1572" spans="1:30" x14ac:dyDescent="0.3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34"/>
      <c r="O1572" s="4"/>
      <c r="P1572" s="96"/>
      <c r="Q1572" s="96" t="s">
        <v>188</v>
      </c>
      <c r="R1572" s="107" t="s">
        <v>732</v>
      </c>
      <c r="S1572" s="107" t="s">
        <v>559</v>
      </c>
      <c r="T1572" s="97">
        <v>1.4218261623798258</v>
      </c>
      <c r="U1572" s="78">
        <v>-4.0848113962196457</v>
      </c>
      <c r="V1572" s="97">
        <v>1E-8</v>
      </c>
      <c r="W1572" s="97">
        <v>1E-8</v>
      </c>
      <c r="X1572" s="97">
        <v>1E-8</v>
      </c>
      <c r="Y1572" s="97">
        <v>1E-8</v>
      </c>
      <c r="Z1572" s="97">
        <v>1E-8</v>
      </c>
      <c r="AA1572" s="97">
        <v>1E-8</v>
      </c>
      <c r="AB1572" s="97">
        <v>1E-8</v>
      </c>
      <c r="AC1572" s="97">
        <v>1E-8</v>
      </c>
      <c r="AD1572" s="4"/>
    </row>
    <row r="1573" spans="1:30" x14ac:dyDescent="0.3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34"/>
      <c r="O1573" s="4"/>
      <c r="P1573" s="68"/>
      <c r="Q1573" s="68" t="s">
        <v>663</v>
      </c>
      <c r="R1573" s="108" t="s">
        <v>732</v>
      </c>
      <c r="S1573" s="108" t="s">
        <v>353</v>
      </c>
      <c r="T1573" s="98">
        <v>1.4218261623798258</v>
      </c>
      <c r="U1573" s="80">
        <v>-4.0848113962196457</v>
      </c>
      <c r="V1573" s="98">
        <v>1E-8</v>
      </c>
      <c r="W1573" s="98">
        <v>1E-8</v>
      </c>
      <c r="X1573" s="98">
        <v>1E-8</v>
      </c>
      <c r="Y1573" s="98">
        <v>1E-8</v>
      </c>
      <c r="Z1573" s="98">
        <v>1E-8</v>
      </c>
      <c r="AA1573" s="98">
        <v>1E-8</v>
      </c>
      <c r="AB1573" s="98">
        <v>1E-8</v>
      </c>
      <c r="AC1573" s="98">
        <v>1E-8</v>
      </c>
      <c r="AD1573" s="4"/>
    </row>
    <row r="1574" spans="1:30" x14ac:dyDescent="0.3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34"/>
      <c r="O1574" s="4"/>
      <c r="P1574" s="72"/>
      <c r="Q1574" s="72" t="s">
        <v>664</v>
      </c>
      <c r="R1574" s="109" t="s">
        <v>732</v>
      </c>
      <c r="S1574" s="109" t="s">
        <v>560</v>
      </c>
      <c r="T1574" s="81">
        <v>1E-8</v>
      </c>
      <c r="U1574" s="82">
        <v>1E-8</v>
      </c>
      <c r="V1574" s="81">
        <v>1E-8</v>
      </c>
      <c r="W1574" s="81">
        <v>1E-8</v>
      </c>
      <c r="X1574" s="81">
        <v>1E-8</v>
      </c>
      <c r="Y1574" s="81">
        <v>1E-8</v>
      </c>
      <c r="Z1574" s="81">
        <v>1E-8</v>
      </c>
      <c r="AA1574" s="81">
        <v>1E-8</v>
      </c>
      <c r="AB1574" s="81">
        <v>1E-8</v>
      </c>
      <c r="AC1574" s="81">
        <v>1E-8</v>
      </c>
      <c r="AD1574" s="4"/>
    </row>
    <row r="1575" spans="1:30" x14ac:dyDescent="0.3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34"/>
      <c r="O1575" s="4"/>
      <c r="P1575" s="47"/>
      <c r="Q1575" s="47" t="s">
        <v>287</v>
      </c>
      <c r="R1575" s="105" t="s">
        <v>732</v>
      </c>
      <c r="S1575" s="105" t="s">
        <v>354</v>
      </c>
      <c r="T1575" s="95">
        <v>91.101408145445333</v>
      </c>
      <c r="U1575" s="74">
        <v>-5.0690022488308895E-2</v>
      </c>
      <c r="V1575" s="95">
        <v>1E-8</v>
      </c>
      <c r="W1575" s="95">
        <v>1E-8</v>
      </c>
      <c r="X1575" s="95">
        <v>1E-8</v>
      </c>
      <c r="Y1575" s="95">
        <v>1E-8</v>
      </c>
      <c r="Z1575" s="95">
        <v>1E-8</v>
      </c>
      <c r="AA1575" s="95">
        <v>1E-8</v>
      </c>
      <c r="AB1575" s="95">
        <v>1E-8</v>
      </c>
      <c r="AC1575" s="95">
        <v>1E-8</v>
      </c>
      <c r="AD1575" s="4"/>
    </row>
    <row r="1576" spans="1:30" x14ac:dyDescent="0.3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34"/>
      <c r="O1576" s="4"/>
      <c r="P1576" s="96"/>
      <c r="Q1576" s="96" t="s">
        <v>370</v>
      </c>
      <c r="R1576" s="107" t="s">
        <v>732</v>
      </c>
      <c r="S1576" s="107" t="s">
        <v>561</v>
      </c>
      <c r="T1576" s="97">
        <v>9.3687436791145231</v>
      </c>
      <c r="U1576" s="78">
        <v>-2.0969261308381948</v>
      </c>
      <c r="V1576" s="97">
        <v>1E-8</v>
      </c>
      <c r="W1576" s="97">
        <v>1E-8</v>
      </c>
      <c r="X1576" s="97">
        <v>1E-8</v>
      </c>
      <c r="Y1576" s="97">
        <v>1E-8</v>
      </c>
      <c r="Z1576" s="97">
        <v>1E-8</v>
      </c>
      <c r="AA1576" s="97">
        <v>1E-8</v>
      </c>
      <c r="AB1576" s="97">
        <v>1E-8</v>
      </c>
      <c r="AC1576" s="97">
        <v>1E-8</v>
      </c>
      <c r="AD1576" s="4"/>
    </row>
    <row r="1577" spans="1:30" x14ac:dyDescent="0.3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34"/>
      <c r="O1577" s="4"/>
      <c r="P1577" s="68"/>
      <c r="Q1577" s="68" t="s">
        <v>665</v>
      </c>
      <c r="R1577" s="108" t="s">
        <v>732</v>
      </c>
      <c r="S1577" s="108" t="s">
        <v>562</v>
      </c>
      <c r="T1577" s="98">
        <v>0.86002997622901289</v>
      </c>
      <c r="U1577" s="80">
        <v>-0.94055461246452809</v>
      </c>
      <c r="V1577" s="98">
        <v>1E-8</v>
      </c>
      <c r="W1577" s="98">
        <v>1E-8</v>
      </c>
      <c r="X1577" s="98">
        <v>1E-8</v>
      </c>
      <c r="Y1577" s="98">
        <v>1E-8</v>
      </c>
      <c r="Z1577" s="98">
        <v>1E-8</v>
      </c>
      <c r="AA1577" s="98">
        <v>1E-8</v>
      </c>
      <c r="AB1577" s="98">
        <v>1E-8</v>
      </c>
      <c r="AC1577" s="98">
        <v>1E-8</v>
      </c>
      <c r="AD1577" s="4"/>
    </row>
    <row r="1578" spans="1:30" x14ac:dyDescent="0.3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34"/>
      <c r="O1578" s="4"/>
      <c r="P1578" s="68"/>
      <c r="Q1578" s="68" t="s">
        <v>666</v>
      </c>
      <c r="R1578" s="108" t="s">
        <v>732</v>
      </c>
      <c r="S1578" s="108" t="s">
        <v>563</v>
      </c>
      <c r="T1578" s="98">
        <v>9.7049665193806894E-2</v>
      </c>
      <c r="U1578" s="80">
        <v>-7.3773295841019877</v>
      </c>
      <c r="V1578" s="98">
        <v>1E-8</v>
      </c>
      <c r="W1578" s="98">
        <v>1E-8</v>
      </c>
      <c r="X1578" s="98">
        <v>1E-8</v>
      </c>
      <c r="Y1578" s="98">
        <v>1E-8</v>
      </c>
      <c r="Z1578" s="98">
        <v>1E-8</v>
      </c>
      <c r="AA1578" s="98">
        <v>1E-8</v>
      </c>
      <c r="AB1578" s="98">
        <v>1E-8</v>
      </c>
      <c r="AC1578" s="98">
        <v>1E-8</v>
      </c>
      <c r="AD1578" s="4"/>
    </row>
    <row r="1579" spans="1:30" x14ac:dyDescent="0.3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34"/>
      <c r="O1579" s="4"/>
      <c r="P1579" s="68"/>
      <c r="Q1579" s="68" t="s">
        <v>667</v>
      </c>
      <c r="R1579" s="108" t="s">
        <v>732</v>
      </c>
      <c r="S1579" s="108" t="s">
        <v>564</v>
      </c>
      <c r="T1579" s="98">
        <v>3.2734502888579176</v>
      </c>
      <c r="U1579" s="80">
        <v>-2.1739373094836867</v>
      </c>
      <c r="V1579" s="98">
        <v>1E-8</v>
      </c>
      <c r="W1579" s="98">
        <v>1E-8</v>
      </c>
      <c r="X1579" s="98">
        <v>1E-8</v>
      </c>
      <c r="Y1579" s="98">
        <v>1E-8</v>
      </c>
      <c r="Z1579" s="98">
        <v>1E-8</v>
      </c>
      <c r="AA1579" s="98">
        <v>1E-8</v>
      </c>
      <c r="AB1579" s="98">
        <v>1E-8</v>
      </c>
      <c r="AC1579" s="98">
        <v>1E-8</v>
      </c>
      <c r="AD1579" s="4"/>
    </row>
    <row r="1580" spans="1:30" x14ac:dyDescent="0.3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34"/>
      <c r="O1580" s="4"/>
      <c r="P1580" s="68"/>
      <c r="Q1580" s="68" t="s">
        <v>668</v>
      </c>
      <c r="R1580" s="108" t="s">
        <v>732</v>
      </c>
      <c r="S1580" s="108" t="s">
        <v>565</v>
      </c>
      <c r="T1580" s="98">
        <v>5.1382137488337856</v>
      </c>
      <c r="U1580" s="80">
        <v>-2.1416810843083778</v>
      </c>
      <c r="V1580" s="98">
        <v>1E-8</v>
      </c>
      <c r="W1580" s="98">
        <v>1E-8</v>
      </c>
      <c r="X1580" s="98">
        <v>1E-8</v>
      </c>
      <c r="Y1580" s="98">
        <v>1E-8</v>
      </c>
      <c r="Z1580" s="98">
        <v>1E-8</v>
      </c>
      <c r="AA1580" s="98">
        <v>1E-8</v>
      </c>
      <c r="AB1580" s="98">
        <v>1E-8</v>
      </c>
      <c r="AC1580" s="98">
        <v>1E-8</v>
      </c>
      <c r="AD1580" s="4"/>
    </row>
    <row r="1581" spans="1:30" x14ac:dyDescent="0.3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34"/>
      <c r="O1581" s="4"/>
      <c r="P1581" s="96"/>
      <c r="Q1581" s="96" t="s">
        <v>371</v>
      </c>
      <c r="R1581" s="107" t="s">
        <v>732</v>
      </c>
      <c r="S1581" s="107" t="s">
        <v>566</v>
      </c>
      <c r="T1581" s="97">
        <v>5.7085589618040009</v>
      </c>
      <c r="U1581" s="78">
        <v>1.7721649487345559E-2</v>
      </c>
      <c r="V1581" s="97">
        <v>1E-8</v>
      </c>
      <c r="W1581" s="97">
        <v>1E-8</v>
      </c>
      <c r="X1581" s="97">
        <v>1E-8</v>
      </c>
      <c r="Y1581" s="97">
        <v>1E-8</v>
      </c>
      <c r="Z1581" s="97">
        <v>1E-8</v>
      </c>
      <c r="AA1581" s="97">
        <v>1E-8</v>
      </c>
      <c r="AB1581" s="97">
        <v>1E-8</v>
      </c>
      <c r="AC1581" s="97">
        <v>1E-8</v>
      </c>
      <c r="AD1581" s="4"/>
    </row>
    <row r="1582" spans="1:30" x14ac:dyDescent="0.3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34"/>
      <c r="O1582" s="4"/>
      <c r="P1582" s="68"/>
      <c r="Q1582" s="68" t="s">
        <v>669</v>
      </c>
      <c r="R1582" s="108" t="s">
        <v>732</v>
      </c>
      <c r="S1582" s="108" t="s">
        <v>567</v>
      </c>
      <c r="T1582" s="98">
        <v>2.7312579219040805</v>
      </c>
      <c r="U1582" s="80">
        <v>-1.1575842822189819</v>
      </c>
      <c r="V1582" s="98">
        <v>1E-8</v>
      </c>
      <c r="W1582" s="98">
        <v>1E-8</v>
      </c>
      <c r="X1582" s="98">
        <v>1E-8</v>
      </c>
      <c r="Y1582" s="98">
        <v>1E-8</v>
      </c>
      <c r="Z1582" s="98">
        <v>1E-8</v>
      </c>
      <c r="AA1582" s="98">
        <v>1E-8</v>
      </c>
      <c r="AB1582" s="98">
        <v>1E-8</v>
      </c>
      <c r="AC1582" s="98">
        <v>1E-8</v>
      </c>
      <c r="AD1582" s="4"/>
    </row>
    <row r="1583" spans="1:30" x14ac:dyDescent="0.3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34"/>
      <c r="O1583" s="4"/>
      <c r="P1583" s="68"/>
      <c r="Q1583" s="68" t="s">
        <v>670</v>
      </c>
      <c r="R1583" s="108" t="s">
        <v>732</v>
      </c>
      <c r="S1583" s="108" t="s">
        <v>568</v>
      </c>
      <c r="T1583" s="98">
        <v>2.0187513015620153</v>
      </c>
      <c r="U1583" s="80">
        <v>0.760455292193285</v>
      </c>
      <c r="V1583" s="98">
        <v>1E-8</v>
      </c>
      <c r="W1583" s="98">
        <v>1E-8</v>
      </c>
      <c r="X1583" s="98">
        <v>1E-8</v>
      </c>
      <c r="Y1583" s="98">
        <v>1E-8</v>
      </c>
      <c r="Z1583" s="98">
        <v>1E-8</v>
      </c>
      <c r="AA1583" s="98">
        <v>1E-8</v>
      </c>
      <c r="AB1583" s="98">
        <v>1E-8</v>
      </c>
      <c r="AC1583" s="98">
        <v>1E-8</v>
      </c>
      <c r="AD1583" s="4"/>
    </row>
    <row r="1584" spans="1:30" x14ac:dyDescent="0.3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34"/>
      <c r="O1584" s="4"/>
      <c r="P1584" s="68"/>
      <c r="Q1584" s="68" t="s">
        <v>671</v>
      </c>
      <c r="R1584" s="108" t="s">
        <v>732</v>
      </c>
      <c r="S1584" s="108" t="s">
        <v>569</v>
      </c>
      <c r="T1584" s="98">
        <v>0.77141241011885742</v>
      </c>
      <c r="U1584" s="80">
        <v>1.3717869051364628</v>
      </c>
      <c r="V1584" s="98">
        <v>1E-8</v>
      </c>
      <c r="W1584" s="98">
        <v>1E-8</v>
      </c>
      <c r="X1584" s="98">
        <v>1E-8</v>
      </c>
      <c r="Y1584" s="98">
        <v>1E-8</v>
      </c>
      <c r="Z1584" s="98">
        <v>1E-8</v>
      </c>
      <c r="AA1584" s="98">
        <v>1E-8</v>
      </c>
      <c r="AB1584" s="98">
        <v>1E-8</v>
      </c>
      <c r="AC1584" s="98">
        <v>1E-8</v>
      </c>
      <c r="AD1584" s="4"/>
    </row>
    <row r="1585" spans="1:30" x14ac:dyDescent="0.3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34"/>
      <c r="O1585" s="4"/>
      <c r="P1585" s="68"/>
      <c r="Q1585" s="68" t="s">
        <v>672</v>
      </c>
      <c r="R1585" s="108" t="s">
        <v>732</v>
      </c>
      <c r="S1585" s="108" t="s">
        <v>570</v>
      </c>
      <c r="T1585" s="98">
        <v>0.18713732821904763</v>
      </c>
      <c r="U1585" s="80">
        <v>3.577280785700987</v>
      </c>
      <c r="V1585" s="98">
        <v>1E-8</v>
      </c>
      <c r="W1585" s="98">
        <v>1E-8</v>
      </c>
      <c r="X1585" s="98">
        <v>1E-8</v>
      </c>
      <c r="Y1585" s="98">
        <v>1E-8</v>
      </c>
      <c r="Z1585" s="98">
        <v>1E-8</v>
      </c>
      <c r="AA1585" s="98">
        <v>1E-8</v>
      </c>
      <c r="AB1585" s="98">
        <v>1E-8</v>
      </c>
      <c r="AC1585" s="98">
        <v>1E-8</v>
      </c>
      <c r="AD1585" s="4"/>
    </row>
    <row r="1586" spans="1:30" x14ac:dyDescent="0.3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34"/>
      <c r="O1586" s="4"/>
      <c r="P1586" s="96"/>
      <c r="Q1586" s="96" t="s">
        <v>673</v>
      </c>
      <c r="R1586" s="107" t="s">
        <v>732</v>
      </c>
      <c r="S1586" s="107" t="s">
        <v>355</v>
      </c>
      <c r="T1586" s="97">
        <v>1.9776657209431194</v>
      </c>
      <c r="U1586" s="78">
        <v>-1.1026903017938294</v>
      </c>
      <c r="V1586" s="97">
        <v>1E-8</v>
      </c>
      <c r="W1586" s="97">
        <v>1E-8</v>
      </c>
      <c r="X1586" s="97">
        <v>1E-8</v>
      </c>
      <c r="Y1586" s="97">
        <v>1E-8</v>
      </c>
      <c r="Z1586" s="97">
        <v>1E-8</v>
      </c>
      <c r="AA1586" s="97">
        <v>1E-8</v>
      </c>
      <c r="AB1586" s="97">
        <v>1E-8</v>
      </c>
      <c r="AC1586" s="97">
        <v>1E-8</v>
      </c>
      <c r="AD1586" s="4"/>
    </row>
    <row r="1587" spans="1:30" x14ac:dyDescent="0.3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34"/>
      <c r="O1587" s="4"/>
      <c r="P1587" s="96"/>
      <c r="Q1587" s="96" t="s">
        <v>372</v>
      </c>
      <c r="R1587" s="107" t="s">
        <v>732</v>
      </c>
      <c r="S1587" s="107" t="s">
        <v>571</v>
      </c>
      <c r="T1587" s="97">
        <v>3.1336299510836438</v>
      </c>
      <c r="U1587" s="78">
        <v>0.30170065495027654</v>
      </c>
      <c r="V1587" s="97">
        <v>1E-8</v>
      </c>
      <c r="W1587" s="97">
        <v>1E-8</v>
      </c>
      <c r="X1587" s="97">
        <v>1E-8</v>
      </c>
      <c r="Y1587" s="97">
        <v>1E-8</v>
      </c>
      <c r="Z1587" s="97">
        <v>1E-8</v>
      </c>
      <c r="AA1587" s="97">
        <v>1E-8</v>
      </c>
      <c r="AB1587" s="97">
        <v>1E-8</v>
      </c>
      <c r="AC1587" s="97">
        <v>1E-8</v>
      </c>
      <c r="AD1587" s="4"/>
    </row>
    <row r="1588" spans="1:30" x14ac:dyDescent="0.3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34"/>
      <c r="O1588" s="4"/>
      <c r="P1588" s="68"/>
      <c r="Q1588" s="68" t="s">
        <v>674</v>
      </c>
      <c r="R1588" s="108" t="s">
        <v>732</v>
      </c>
      <c r="S1588" s="108" t="s">
        <v>572</v>
      </c>
      <c r="T1588" s="98">
        <v>0.6055440166757764</v>
      </c>
      <c r="U1588" s="80">
        <v>0.46525812546922563</v>
      </c>
      <c r="V1588" s="98">
        <v>1E-8</v>
      </c>
      <c r="W1588" s="98">
        <v>1E-8</v>
      </c>
      <c r="X1588" s="98">
        <v>1E-8</v>
      </c>
      <c r="Y1588" s="98">
        <v>1E-8</v>
      </c>
      <c r="Z1588" s="98">
        <v>1E-8</v>
      </c>
      <c r="AA1588" s="98">
        <v>1E-8</v>
      </c>
      <c r="AB1588" s="98">
        <v>1E-8</v>
      </c>
      <c r="AC1588" s="98">
        <v>1E-8</v>
      </c>
      <c r="AD1588" s="4"/>
    </row>
    <row r="1589" spans="1:30" x14ac:dyDescent="0.3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34"/>
      <c r="O1589" s="4"/>
      <c r="P1589" s="68"/>
      <c r="Q1589" s="68" t="s">
        <v>675</v>
      </c>
      <c r="R1589" s="108" t="s">
        <v>732</v>
      </c>
      <c r="S1589" s="108" t="s">
        <v>356</v>
      </c>
      <c r="T1589" s="98">
        <v>1.9381436073058576</v>
      </c>
      <c r="U1589" s="80">
        <v>0.36507228975910522</v>
      </c>
      <c r="V1589" s="98">
        <v>1E-8</v>
      </c>
      <c r="W1589" s="98">
        <v>1E-8</v>
      </c>
      <c r="X1589" s="98">
        <v>1E-8</v>
      </c>
      <c r="Y1589" s="98">
        <v>1E-8</v>
      </c>
      <c r="Z1589" s="98">
        <v>1E-8</v>
      </c>
      <c r="AA1589" s="98">
        <v>1E-8</v>
      </c>
      <c r="AB1589" s="98">
        <v>1E-8</v>
      </c>
      <c r="AC1589" s="98">
        <v>1E-8</v>
      </c>
      <c r="AD1589" s="4"/>
    </row>
    <row r="1590" spans="1:30" x14ac:dyDescent="0.3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34"/>
      <c r="O1590" s="4"/>
      <c r="P1590" s="68"/>
      <c r="Q1590" s="68" t="s">
        <v>676</v>
      </c>
      <c r="R1590" s="109" t="s">
        <v>732</v>
      </c>
      <c r="S1590" s="109" t="s">
        <v>573</v>
      </c>
      <c r="T1590" s="81">
        <v>0.58994232710201022</v>
      </c>
      <c r="U1590" s="82">
        <v>-7.4377762129118619E-2</v>
      </c>
      <c r="V1590" s="81">
        <v>1E-8</v>
      </c>
      <c r="W1590" s="81">
        <v>1E-8</v>
      </c>
      <c r="X1590" s="81">
        <v>1E-8</v>
      </c>
      <c r="Y1590" s="81">
        <v>1E-8</v>
      </c>
      <c r="Z1590" s="81">
        <v>1E-8</v>
      </c>
      <c r="AA1590" s="81">
        <v>1E-8</v>
      </c>
      <c r="AB1590" s="81">
        <v>1E-8</v>
      </c>
      <c r="AC1590" s="81">
        <v>1E-8</v>
      </c>
      <c r="AD1590" s="4"/>
    </row>
    <row r="1591" spans="1:30" x14ac:dyDescent="0.3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34"/>
      <c r="O1591" s="4"/>
      <c r="P1591" s="96"/>
      <c r="Q1591" s="96" t="s">
        <v>373</v>
      </c>
      <c r="R1591" s="107" t="s">
        <v>732</v>
      </c>
      <c r="S1591" s="107" t="s">
        <v>574</v>
      </c>
      <c r="T1591" s="97">
        <v>7.036342193577755</v>
      </c>
      <c r="U1591" s="78">
        <v>0.71521933982010566</v>
      </c>
      <c r="V1591" s="97">
        <v>1E-8</v>
      </c>
      <c r="W1591" s="97">
        <v>1E-8</v>
      </c>
      <c r="X1591" s="97">
        <v>1E-8</v>
      </c>
      <c r="Y1591" s="97">
        <v>1E-8</v>
      </c>
      <c r="Z1591" s="97">
        <v>1E-8</v>
      </c>
      <c r="AA1591" s="97">
        <v>1E-8</v>
      </c>
      <c r="AB1591" s="97">
        <v>1E-8</v>
      </c>
      <c r="AC1591" s="97">
        <v>1E-8</v>
      </c>
      <c r="AD1591" s="4"/>
    </row>
    <row r="1592" spans="1:30" x14ac:dyDescent="0.3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34"/>
      <c r="O1592" s="4"/>
      <c r="P1592" s="68"/>
      <c r="Q1592" s="68" t="s">
        <v>677</v>
      </c>
      <c r="R1592" s="108" t="s">
        <v>732</v>
      </c>
      <c r="S1592" s="108" t="s">
        <v>575</v>
      </c>
      <c r="T1592" s="98">
        <v>2.0553353252102626</v>
      </c>
      <c r="U1592" s="80">
        <v>2.2576976040418639</v>
      </c>
      <c r="V1592" s="98">
        <v>1E-8</v>
      </c>
      <c r="W1592" s="98">
        <v>1E-8</v>
      </c>
      <c r="X1592" s="98">
        <v>1E-8</v>
      </c>
      <c r="Y1592" s="98">
        <v>1E-8</v>
      </c>
      <c r="Z1592" s="98">
        <v>1E-8</v>
      </c>
      <c r="AA1592" s="98">
        <v>1E-8</v>
      </c>
      <c r="AB1592" s="98">
        <v>1E-8</v>
      </c>
      <c r="AC1592" s="98">
        <v>1E-8</v>
      </c>
      <c r="AD1592" s="4"/>
    </row>
    <row r="1593" spans="1:30" x14ac:dyDescent="0.3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34"/>
      <c r="O1593" s="4"/>
      <c r="P1593" s="68"/>
      <c r="Q1593" s="68" t="s">
        <v>678</v>
      </c>
      <c r="R1593" s="108" t="s">
        <v>732</v>
      </c>
      <c r="S1593" s="108" t="s">
        <v>576</v>
      </c>
      <c r="T1593" s="98">
        <v>1.2984397140373272</v>
      </c>
      <c r="U1593" s="80">
        <v>9.4642753542406588E-2</v>
      </c>
      <c r="V1593" s="98">
        <v>1E-8</v>
      </c>
      <c r="W1593" s="98">
        <v>1E-8</v>
      </c>
      <c r="X1593" s="98">
        <v>1E-8</v>
      </c>
      <c r="Y1593" s="98">
        <v>1E-8</v>
      </c>
      <c r="Z1593" s="98">
        <v>1E-8</v>
      </c>
      <c r="AA1593" s="98">
        <v>1E-8</v>
      </c>
      <c r="AB1593" s="98">
        <v>1E-8</v>
      </c>
      <c r="AC1593" s="98">
        <v>1E-8</v>
      </c>
      <c r="AD1593" s="4"/>
    </row>
    <row r="1594" spans="1:30" x14ac:dyDescent="0.3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34"/>
      <c r="O1594" s="4"/>
      <c r="P1594" s="68"/>
      <c r="Q1594" s="68" t="s">
        <v>679</v>
      </c>
      <c r="R1594" s="108" t="s">
        <v>732</v>
      </c>
      <c r="S1594" s="108" t="s">
        <v>577</v>
      </c>
      <c r="T1594" s="98">
        <v>3.6825671543301643</v>
      </c>
      <c r="U1594" s="80">
        <v>7.3132262923514268E-2</v>
      </c>
      <c r="V1594" s="98">
        <v>1E-8</v>
      </c>
      <c r="W1594" s="98">
        <v>1E-8</v>
      </c>
      <c r="X1594" s="98">
        <v>1E-8</v>
      </c>
      <c r="Y1594" s="98">
        <v>1E-8</v>
      </c>
      <c r="Z1594" s="98">
        <v>1E-8</v>
      </c>
      <c r="AA1594" s="98">
        <v>1E-8</v>
      </c>
      <c r="AB1594" s="98">
        <v>1E-8</v>
      </c>
      <c r="AC1594" s="98">
        <v>1E-8</v>
      </c>
      <c r="AD1594" s="4"/>
    </row>
    <row r="1595" spans="1:30" x14ac:dyDescent="0.3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34"/>
      <c r="O1595" s="4"/>
      <c r="P1595" s="96"/>
      <c r="Q1595" s="96" t="s">
        <v>195</v>
      </c>
      <c r="R1595" s="107" t="s">
        <v>732</v>
      </c>
      <c r="S1595" s="107" t="s">
        <v>578</v>
      </c>
      <c r="T1595" s="97">
        <v>8.606946678995623</v>
      </c>
      <c r="U1595" s="78">
        <v>-0.49550156491205977</v>
      </c>
      <c r="V1595" s="97">
        <v>1E-8</v>
      </c>
      <c r="W1595" s="97">
        <v>1E-8</v>
      </c>
      <c r="X1595" s="97">
        <v>1E-8</v>
      </c>
      <c r="Y1595" s="97">
        <v>1E-8</v>
      </c>
      <c r="Z1595" s="97">
        <v>1E-8</v>
      </c>
      <c r="AA1595" s="97">
        <v>1E-8</v>
      </c>
      <c r="AB1595" s="97">
        <v>1E-8</v>
      </c>
      <c r="AC1595" s="97">
        <v>1E-8</v>
      </c>
      <c r="AD1595" s="4"/>
    </row>
    <row r="1596" spans="1:30" x14ac:dyDescent="0.3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34"/>
      <c r="O1596" s="4"/>
      <c r="P1596" s="68"/>
      <c r="Q1596" s="68" t="s">
        <v>680</v>
      </c>
      <c r="R1596" s="108" t="s">
        <v>732</v>
      </c>
      <c r="S1596" s="108" t="s">
        <v>579</v>
      </c>
      <c r="T1596" s="98">
        <v>6.3675508161286611</v>
      </c>
      <c r="U1596" s="80">
        <v>0.20256467203709771</v>
      </c>
      <c r="V1596" s="98">
        <v>1E-8</v>
      </c>
      <c r="W1596" s="98">
        <v>1E-8</v>
      </c>
      <c r="X1596" s="98">
        <v>1E-8</v>
      </c>
      <c r="Y1596" s="98">
        <v>1E-8</v>
      </c>
      <c r="Z1596" s="98">
        <v>1E-8</v>
      </c>
      <c r="AA1596" s="98">
        <v>1E-8</v>
      </c>
      <c r="AB1596" s="98">
        <v>1E-8</v>
      </c>
      <c r="AC1596" s="98">
        <v>1E-8</v>
      </c>
      <c r="AD1596" s="4"/>
    </row>
    <row r="1597" spans="1:30" x14ac:dyDescent="0.3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34"/>
      <c r="O1597" s="4"/>
      <c r="P1597" s="68"/>
      <c r="Q1597" s="68" t="s">
        <v>681</v>
      </c>
      <c r="R1597" s="108" t="s">
        <v>732</v>
      </c>
      <c r="S1597" s="108" t="s">
        <v>357</v>
      </c>
      <c r="T1597" s="98">
        <v>2.2393958628669615</v>
      </c>
      <c r="U1597" s="80">
        <v>-2.4803995056928207</v>
      </c>
      <c r="V1597" s="98">
        <v>1E-8</v>
      </c>
      <c r="W1597" s="98">
        <v>1E-8</v>
      </c>
      <c r="X1597" s="98">
        <v>1E-8</v>
      </c>
      <c r="Y1597" s="98">
        <v>1E-8</v>
      </c>
      <c r="Z1597" s="98">
        <v>1E-8</v>
      </c>
      <c r="AA1597" s="98">
        <v>1E-8</v>
      </c>
      <c r="AB1597" s="98">
        <v>1E-8</v>
      </c>
      <c r="AC1597" s="98">
        <v>1E-8</v>
      </c>
      <c r="AD1597" s="4"/>
    </row>
    <row r="1598" spans="1:30" x14ac:dyDescent="0.3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34"/>
      <c r="O1598" s="4"/>
      <c r="P1598" s="96"/>
      <c r="Q1598" s="96" t="s">
        <v>196</v>
      </c>
      <c r="R1598" s="107" t="s">
        <v>732</v>
      </c>
      <c r="S1598" s="107" t="s">
        <v>580</v>
      </c>
      <c r="T1598" s="97">
        <v>11.594094560043883</v>
      </c>
      <c r="U1598" s="78">
        <v>1.1569706377564382</v>
      </c>
      <c r="V1598" s="97">
        <v>1E-8</v>
      </c>
      <c r="W1598" s="97">
        <v>1E-8</v>
      </c>
      <c r="X1598" s="97">
        <v>1E-8</v>
      </c>
      <c r="Y1598" s="97">
        <v>1E-8</v>
      </c>
      <c r="Z1598" s="97">
        <v>1E-8</v>
      </c>
      <c r="AA1598" s="97">
        <v>1E-8</v>
      </c>
      <c r="AB1598" s="97">
        <v>1E-8</v>
      </c>
      <c r="AC1598" s="97">
        <v>1E-8</v>
      </c>
      <c r="AD1598" s="4"/>
    </row>
    <row r="1599" spans="1:30" x14ac:dyDescent="0.3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34"/>
      <c r="O1599" s="4"/>
      <c r="P1599" s="68"/>
      <c r="Q1599" s="68" t="s">
        <v>682</v>
      </c>
      <c r="R1599" s="108" t="s">
        <v>732</v>
      </c>
      <c r="S1599" s="108" t="s">
        <v>581</v>
      </c>
      <c r="T1599" s="98">
        <v>1.6760915553783344</v>
      </c>
      <c r="U1599" s="80">
        <v>-1.794458616958472</v>
      </c>
      <c r="V1599" s="98">
        <v>1E-8</v>
      </c>
      <c r="W1599" s="98">
        <v>1E-8</v>
      </c>
      <c r="X1599" s="98">
        <v>1E-8</v>
      </c>
      <c r="Y1599" s="98">
        <v>1E-8</v>
      </c>
      <c r="Z1599" s="98">
        <v>1E-8</v>
      </c>
      <c r="AA1599" s="98">
        <v>1E-8</v>
      </c>
      <c r="AB1599" s="98">
        <v>1E-8</v>
      </c>
      <c r="AC1599" s="98">
        <v>1E-8</v>
      </c>
      <c r="AD1599" s="4"/>
    </row>
    <row r="1600" spans="1:30" x14ac:dyDescent="0.3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34"/>
      <c r="O1600" s="4"/>
      <c r="P1600" s="68"/>
      <c r="Q1600" s="68" t="s">
        <v>683</v>
      </c>
      <c r="R1600" s="108" t="s">
        <v>732</v>
      </c>
      <c r="S1600" s="108" t="s">
        <v>582</v>
      </c>
      <c r="T1600" s="98">
        <v>0.51608509759972521</v>
      </c>
      <c r="U1600" s="80">
        <v>0.69413159082938325</v>
      </c>
      <c r="V1600" s="98">
        <v>1E-8</v>
      </c>
      <c r="W1600" s="98">
        <v>1E-8</v>
      </c>
      <c r="X1600" s="98">
        <v>1E-8</v>
      </c>
      <c r="Y1600" s="98">
        <v>1E-8</v>
      </c>
      <c r="Z1600" s="98">
        <v>1E-8</v>
      </c>
      <c r="AA1600" s="98">
        <v>1E-8</v>
      </c>
      <c r="AB1600" s="98">
        <v>1E-8</v>
      </c>
      <c r="AC1600" s="98">
        <v>1E-8</v>
      </c>
      <c r="AD1600" s="4"/>
    </row>
    <row r="1601" spans="1:30" x14ac:dyDescent="0.3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34"/>
      <c r="O1601" s="4"/>
      <c r="P1601" s="68"/>
      <c r="Q1601" s="68" t="s">
        <v>684</v>
      </c>
      <c r="R1601" s="108" t="s">
        <v>732</v>
      </c>
      <c r="S1601" s="108" t="s">
        <v>583</v>
      </c>
      <c r="T1601" s="98">
        <v>3.5138123625901114</v>
      </c>
      <c r="U1601" s="80">
        <v>2.4202474138217855</v>
      </c>
      <c r="V1601" s="98">
        <v>1E-8</v>
      </c>
      <c r="W1601" s="98">
        <v>1E-8</v>
      </c>
      <c r="X1601" s="98">
        <v>1E-8</v>
      </c>
      <c r="Y1601" s="98">
        <v>1E-8</v>
      </c>
      <c r="Z1601" s="98">
        <v>1E-8</v>
      </c>
      <c r="AA1601" s="98">
        <v>1E-8</v>
      </c>
      <c r="AB1601" s="98">
        <v>1E-8</v>
      </c>
      <c r="AC1601" s="98">
        <v>1E-8</v>
      </c>
      <c r="AD1601" s="4"/>
    </row>
    <row r="1602" spans="1:30" x14ac:dyDescent="0.3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34"/>
      <c r="O1602" s="4"/>
      <c r="P1602" s="68"/>
      <c r="Q1602" s="68" t="s">
        <v>685</v>
      </c>
      <c r="R1602" s="108" t="s">
        <v>732</v>
      </c>
      <c r="S1602" s="108" t="s">
        <v>584</v>
      </c>
      <c r="T1602" s="98">
        <v>0.36227900831829585</v>
      </c>
      <c r="U1602" s="80">
        <v>-0.82372533657695257</v>
      </c>
      <c r="V1602" s="98">
        <v>1E-8</v>
      </c>
      <c r="W1602" s="98">
        <v>1E-8</v>
      </c>
      <c r="X1602" s="98">
        <v>1E-8</v>
      </c>
      <c r="Y1602" s="98">
        <v>1E-8</v>
      </c>
      <c r="Z1602" s="98">
        <v>1E-8</v>
      </c>
      <c r="AA1602" s="98">
        <v>1E-8</v>
      </c>
      <c r="AB1602" s="98">
        <v>1E-8</v>
      </c>
      <c r="AC1602" s="98">
        <v>1E-8</v>
      </c>
      <c r="AD1602" s="4"/>
    </row>
    <row r="1603" spans="1:30" x14ac:dyDescent="0.3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34"/>
      <c r="O1603" s="4"/>
      <c r="P1603" s="68"/>
      <c r="Q1603" s="68" t="s">
        <v>686</v>
      </c>
      <c r="R1603" s="109" t="s">
        <v>732</v>
      </c>
      <c r="S1603" s="109" t="s">
        <v>585</v>
      </c>
      <c r="T1603" s="81">
        <v>5.5258265361574157</v>
      </c>
      <c r="U1603" s="82">
        <v>1.4219766048273907</v>
      </c>
      <c r="V1603" s="81">
        <v>1E-8</v>
      </c>
      <c r="W1603" s="81">
        <v>1E-8</v>
      </c>
      <c r="X1603" s="81">
        <v>1E-8</v>
      </c>
      <c r="Y1603" s="81">
        <v>1E-8</v>
      </c>
      <c r="Z1603" s="81">
        <v>1E-8</v>
      </c>
      <c r="AA1603" s="81">
        <v>1E-8</v>
      </c>
      <c r="AB1603" s="81">
        <v>1E-8</v>
      </c>
      <c r="AC1603" s="81">
        <v>1E-8</v>
      </c>
      <c r="AD1603" s="4"/>
    </row>
    <row r="1604" spans="1:30" x14ac:dyDescent="0.3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34"/>
      <c r="O1604" s="4"/>
      <c r="P1604" s="96"/>
      <c r="Q1604" s="96" t="s">
        <v>687</v>
      </c>
      <c r="R1604" s="107" t="s">
        <v>732</v>
      </c>
      <c r="S1604" s="107" t="s">
        <v>358</v>
      </c>
      <c r="T1604" s="97">
        <v>19.801453738564376</v>
      </c>
      <c r="U1604" s="78">
        <v>0.35269664566639491</v>
      </c>
      <c r="V1604" s="97">
        <v>1E-8</v>
      </c>
      <c r="W1604" s="97">
        <v>1E-8</v>
      </c>
      <c r="X1604" s="97">
        <v>1E-8</v>
      </c>
      <c r="Y1604" s="97">
        <v>1E-8</v>
      </c>
      <c r="Z1604" s="97">
        <v>1E-8</v>
      </c>
      <c r="AA1604" s="97">
        <v>1E-8</v>
      </c>
      <c r="AB1604" s="97">
        <v>1E-8</v>
      </c>
      <c r="AC1604" s="97">
        <v>1E-8</v>
      </c>
      <c r="AD1604" s="4"/>
    </row>
    <row r="1605" spans="1:30" x14ac:dyDescent="0.3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34"/>
      <c r="O1605" s="4"/>
      <c r="P1605" s="96"/>
      <c r="Q1605" s="96" t="s">
        <v>688</v>
      </c>
      <c r="R1605" s="107" t="s">
        <v>732</v>
      </c>
      <c r="S1605" s="107" t="s">
        <v>359</v>
      </c>
      <c r="T1605" s="97">
        <v>4.3129128490257127</v>
      </c>
      <c r="U1605" s="78">
        <v>-0.37146809335288911</v>
      </c>
      <c r="V1605" s="97">
        <v>1E-8</v>
      </c>
      <c r="W1605" s="97">
        <v>1E-8</v>
      </c>
      <c r="X1605" s="97">
        <v>1E-8</v>
      </c>
      <c r="Y1605" s="97">
        <v>1E-8</v>
      </c>
      <c r="Z1605" s="97">
        <v>1E-8</v>
      </c>
      <c r="AA1605" s="97">
        <v>1E-8</v>
      </c>
      <c r="AB1605" s="97">
        <v>1E-8</v>
      </c>
      <c r="AC1605" s="97">
        <v>1E-8</v>
      </c>
      <c r="AD1605" s="4"/>
    </row>
    <row r="1606" spans="1:30" x14ac:dyDescent="0.3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34"/>
      <c r="O1606" s="4"/>
      <c r="P1606" s="96"/>
      <c r="Q1606" s="96" t="s">
        <v>689</v>
      </c>
      <c r="R1606" s="107" t="s">
        <v>732</v>
      </c>
      <c r="S1606" s="107" t="s">
        <v>360</v>
      </c>
      <c r="T1606" s="97">
        <v>1.7758211761138505</v>
      </c>
      <c r="U1606" s="78">
        <v>-1.7758087538791489</v>
      </c>
      <c r="V1606" s="97">
        <v>1E-8</v>
      </c>
      <c r="W1606" s="97">
        <v>1E-8</v>
      </c>
      <c r="X1606" s="97">
        <v>1E-8</v>
      </c>
      <c r="Y1606" s="97">
        <v>1E-8</v>
      </c>
      <c r="Z1606" s="97">
        <v>1E-8</v>
      </c>
      <c r="AA1606" s="97">
        <v>1E-8</v>
      </c>
      <c r="AB1606" s="97">
        <v>1E-8</v>
      </c>
      <c r="AC1606" s="97">
        <v>1E-8</v>
      </c>
      <c r="AD1606" s="4"/>
    </row>
    <row r="1607" spans="1:30" x14ac:dyDescent="0.3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34"/>
      <c r="O1607" s="4"/>
      <c r="P1607" s="96"/>
      <c r="Q1607" s="96" t="s">
        <v>205</v>
      </c>
      <c r="R1607" s="107" t="s">
        <v>732</v>
      </c>
      <c r="S1607" s="107" t="s">
        <v>586</v>
      </c>
      <c r="T1607" s="97">
        <v>17.785238636178846</v>
      </c>
      <c r="U1607" s="78">
        <v>-1.3959718798728371E-2</v>
      </c>
      <c r="V1607" s="97">
        <v>1E-8</v>
      </c>
      <c r="W1607" s="97">
        <v>1E-8</v>
      </c>
      <c r="X1607" s="97">
        <v>1E-8</v>
      </c>
      <c r="Y1607" s="97">
        <v>1E-8</v>
      </c>
      <c r="Z1607" s="97">
        <v>1E-8</v>
      </c>
      <c r="AA1607" s="97">
        <v>1E-8</v>
      </c>
      <c r="AB1607" s="97">
        <v>1E-8</v>
      </c>
      <c r="AC1607" s="97">
        <v>1E-8</v>
      </c>
      <c r="AD1607" s="4"/>
    </row>
    <row r="1608" spans="1:30" x14ac:dyDescent="0.3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34"/>
      <c r="O1608" s="4"/>
      <c r="P1608" s="68"/>
      <c r="Q1608" s="68" t="s">
        <v>690</v>
      </c>
      <c r="R1608" s="108" t="s">
        <v>732</v>
      </c>
      <c r="S1608" s="108" t="s">
        <v>587</v>
      </c>
      <c r="T1608" s="98">
        <v>2.1469095959411217</v>
      </c>
      <c r="U1608" s="80">
        <v>-0.1045482970992051</v>
      </c>
      <c r="V1608" s="98">
        <v>1E-8</v>
      </c>
      <c r="W1608" s="98">
        <v>1E-8</v>
      </c>
      <c r="X1608" s="98">
        <v>1E-8</v>
      </c>
      <c r="Y1608" s="98">
        <v>1E-8</v>
      </c>
      <c r="Z1608" s="98">
        <v>1E-8</v>
      </c>
      <c r="AA1608" s="98">
        <v>1E-8</v>
      </c>
      <c r="AB1608" s="98">
        <v>1E-8</v>
      </c>
      <c r="AC1608" s="98">
        <v>1E-8</v>
      </c>
      <c r="AD1608" s="4"/>
    </row>
    <row r="1609" spans="1:30" x14ac:dyDescent="0.3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34"/>
      <c r="O1609" s="4"/>
      <c r="P1609" s="68"/>
      <c r="Q1609" s="68" t="s">
        <v>691</v>
      </c>
      <c r="R1609" s="108" t="s">
        <v>732</v>
      </c>
      <c r="S1609" s="108" t="s">
        <v>588</v>
      </c>
      <c r="T1609" s="98">
        <v>0.59240943213449493</v>
      </c>
      <c r="U1609" s="80">
        <v>0.42529274246603244</v>
      </c>
      <c r="V1609" s="98">
        <v>1E-8</v>
      </c>
      <c r="W1609" s="98">
        <v>1E-8</v>
      </c>
      <c r="X1609" s="98">
        <v>1E-8</v>
      </c>
      <c r="Y1609" s="98">
        <v>1E-8</v>
      </c>
      <c r="Z1609" s="98">
        <v>1E-8</v>
      </c>
      <c r="AA1609" s="98">
        <v>1E-8</v>
      </c>
      <c r="AB1609" s="98">
        <v>1E-8</v>
      </c>
      <c r="AC1609" s="98">
        <v>1E-8</v>
      </c>
      <c r="AD1609" s="4"/>
    </row>
    <row r="1610" spans="1:30" x14ac:dyDescent="0.3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34"/>
      <c r="O1610" s="4"/>
      <c r="P1610" s="68"/>
      <c r="Q1610" s="68" t="s">
        <v>692</v>
      </c>
      <c r="R1610" s="108" t="s">
        <v>732</v>
      </c>
      <c r="S1610" s="108" t="s">
        <v>589</v>
      </c>
      <c r="T1610" s="98">
        <v>2.6440106920714159</v>
      </c>
      <c r="U1610" s="80">
        <v>2.0224625740592694</v>
      </c>
      <c r="V1610" s="98">
        <v>1E-8</v>
      </c>
      <c r="W1610" s="98">
        <v>1E-8</v>
      </c>
      <c r="X1610" s="98">
        <v>1E-8</v>
      </c>
      <c r="Y1610" s="98">
        <v>1E-8</v>
      </c>
      <c r="Z1610" s="98">
        <v>1E-8</v>
      </c>
      <c r="AA1610" s="98">
        <v>1E-8</v>
      </c>
      <c r="AB1610" s="98">
        <v>1E-8</v>
      </c>
      <c r="AC1610" s="98">
        <v>1E-8</v>
      </c>
      <c r="AD1610" s="4"/>
    </row>
    <row r="1611" spans="1:30" x14ac:dyDescent="0.3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34"/>
      <c r="O1611" s="4"/>
      <c r="P1611" s="68"/>
      <c r="Q1611" s="68" t="s">
        <v>693</v>
      </c>
      <c r="R1611" s="108" t="s">
        <v>732</v>
      </c>
      <c r="S1611" s="108" t="s">
        <v>361</v>
      </c>
      <c r="T1611" s="98">
        <v>12.381419111168464</v>
      </c>
      <c r="U1611" s="80">
        <v>-0.45494264940040274</v>
      </c>
      <c r="V1611" s="98">
        <v>1E-8</v>
      </c>
      <c r="W1611" s="98">
        <v>1E-8</v>
      </c>
      <c r="X1611" s="98">
        <v>1E-8</v>
      </c>
      <c r="Y1611" s="98">
        <v>1E-8</v>
      </c>
      <c r="Z1611" s="98">
        <v>1E-8</v>
      </c>
      <c r="AA1611" s="98">
        <v>1E-8</v>
      </c>
      <c r="AB1611" s="98">
        <v>1E-8</v>
      </c>
      <c r="AC1611" s="98">
        <v>1E-8</v>
      </c>
      <c r="AD1611" s="4"/>
    </row>
    <row r="1612" spans="1:30" x14ac:dyDescent="0.3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34"/>
      <c r="O1612" s="4"/>
      <c r="P1612" s="68"/>
      <c r="Q1612" s="68" t="s">
        <v>694</v>
      </c>
      <c r="R1612" s="108" t="s">
        <v>732</v>
      </c>
      <c r="S1612" s="108" t="s">
        <v>590</v>
      </c>
      <c r="T1612" s="98">
        <v>2.0489804863351963E-2</v>
      </c>
      <c r="U1612" s="80">
        <v>0.47117694903580087</v>
      </c>
      <c r="V1612" s="98">
        <v>1E-8</v>
      </c>
      <c r="W1612" s="98">
        <v>1E-8</v>
      </c>
      <c r="X1612" s="98">
        <v>1E-8</v>
      </c>
      <c r="Y1612" s="98">
        <v>1E-8</v>
      </c>
      <c r="Z1612" s="98">
        <v>1E-8</v>
      </c>
      <c r="AA1612" s="98">
        <v>1E-8</v>
      </c>
      <c r="AB1612" s="98">
        <v>1E-8</v>
      </c>
      <c r="AC1612" s="98">
        <v>1E-8</v>
      </c>
      <c r="AD1612" s="4"/>
    </row>
    <row r="1613" spans="1:30" ht="15" thickBot="1" x14ac:dyDescent="0.4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34"/>
      <c r="O1613" s="4"/>
      <c r="P1613" s="102"/>
      <c r="Q1613" s="102" t="s">
        <v>695</v>
      </c>
      <c r="R1613" s="113" t="s">
        <v>732</v>
      </c>
      <c r="S1613" s="113" t="s">
        <v>591</v>
      </c>
      <c r="T1613" s="103">
        <v>1E-8</v>
      </c>
      <c r="U1613" s="104">
        <v>1E-8</v>
      </c>
      <c r="V1613" s="103">
        <v>1E-8</v>
      </c>
      <c r="W1613" s="103">
        <v>1E-8</v>
      </c>
      <c r="X1613" s="103">
        <v>1E-8</v>
      </c>
      <c r="Y1613" s="103">
        <v>1E-8</v>
      </c>
      <c r="Z1613" s="103">
        <v>1E-8</v>
      </c>
      <c r="AA1613" s="103">
        <v>1E-8</v>
      </c>
      <c r="AB1613" s="103">
        <v>1E-8</v>
      </c>
      <c r="AC1613" s="103">
        <v>1E-8</v>
      </c>
      <c r="AD1613" s="4"/>
    </row>
    <row r="1614" spans="1:30" x14ac:dyDescent="0.3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34"/>
      <c r="O1614" s="4"/>
      <c r="P1614" s="47" t="s">
        <v>69</v>
      </c>
      <c r="Q1614" s="47" t="s">
        <v>102</v>
      </c>
      <c r="R1614" s="105" t="s">
        <v>68</v>
      </c>
      <c r="S1614" s="105" t="s">
        <v>288</v>
      </c>
      <c r="T1614" s="95">
        <v>100</v>
      </c>
      <c r="U1614" s="74">
        <v>1E-8</v>
      </c>
      <c r="V1614" s="95">
        <v>1E-8</v>
      </c>
      <c r="W1614" s="95">
        <v>1E-8</v>
      </c>
      <c r="X1614" s="95">
        <v>1E-8</v>
      </c>
      <c r="Y1614" s="95">
        <v>1E-8</v>
      </c>
      <c r="Z1614" s="95">
        <v>1E-8</v>
      </c>
      <c r="AA1614" s="95">
        <v>1E-8</v>
      </c>
      <c r="AB1614" s="95">
        <v>1E-8</v>
      </c>
      <c r="AC1614" s="95">
        <v>1E-8</v>
      </c>
      <c r="AD1614" s="4"/>
    </row>
    <row r="1615" spans="1:30" x14ac:dyDescent="0.3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34"/>
      <c r="O1615" s="4"/>
      <c r="P1615" s="47"/>
      <c r="Q1615" s="47" t="s">
        <v>278</v>
      </c>
      <c r="R1615" s="106" t="s">
        <v>68</v>
      </c>
      <c r="S1615" s="106" t="s">
        <v>289</v>
      </c>
      <c r="T1615" s="75">
        <v>100</v>
      </c>
      <c r="U1615" s="76">
        <v>1E-8</v>
      </c>
      <c r="V1615" s="75">
        <v>1E-8</v>
      </c>
      <c r="W1615" s="75">
        <v>1E-8</v>
      </c>
      <c r="X1615" s="75">
        <v>1E-8</v>
      </c>
      <c r="Y1615" s="75">
        <v>1E-8</v>
      </c>
      <c r="Z1615" s="75">
        <v>1E-8</v>
      </c>
      <c r="AA1615" s="75">
        <v>1E-8</v>
      </c>
      <c r="AB1615" s="75">
        <v>1E-8</v>
      </c>
      <c r="AC1615" s="75">
        <v>1E-8</v>
      </c>
      <c r="AD1615" s="4"/>
    </row>
    <row r="1616" spans="1:30" x14ac:dyDescent="0.3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34"/>
      <c r="O1616" s="4"/>
      <c r="P1616" s="96"/>
      <c r="Q1616" s="96" t="s">
        <v>279</v>
      </c>
      <c r="R1616" s="107" t="s">
        <v>68</v>
      </c>
      <c r="S1616" s="107" t="s">
        <v>290</v>
      </c>
      <c r="T1616" s="97">
        <v>100</v>
      </c>
      <c r="U1616" s="78">
        <v>1E-8</v>
      </c>
      <c r="V1616" s="97">
        <v>1E-8</v>
      </c>
      <c r="W1616" s="97">
        <v>1E-8</v>
      </c>
      <c r="X1616" s="97">
        <v>1E-8</v>
      </c>
      <c r="Y1616" s="97">
        <v>1E-8</v>
      </c>
      <c r="Z1616" s="97">
        <v>1E-8</v>
      </c>
      <c r="AA1616" s="97">
        <v>1E-8</v>
      </c>
      <c r="AB1616" s="97">
        <v>1E-8</v>
      </c>
      <c r="AC1616" s="97">
        <v>1E-8</v>
      </c>
      <c r="AD1616" s="4"/>
    </row>
    <row r="1617" spans="1:30" x14ac:dyDescent="0.3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34"/>
      <c r="O1617" s="4"/>
      <c r="P1617" s="96"/>
      <c r="Q1617" s="96" t="s">
        <v>362</v>
      </c>
      <c r="R1617" s="107" t="s">
        <v>68</v>
      </c>
      <c r="S1617" s="107" t="s">
        <v>291</v>
      </c>
      <c r="T1617" s="97">
        <v>94.147978087640354</v>
      </c>
      <c r="U1617" s="78">
        <v>-0.46897991354308832</v>
      </c>
      <c r="V1617" s="97">
        <v>1E-8</v>
      </c>
      <c r="W1617" s="97">
        <v>1E-8</v>
      </c>
      <c r="X1617" s="97">
        <v>1E-8</v>
      </c>
      <c r="Y1617" s="97">
        <v>1E-8</v>
      </c>
      <c r="Z1617" s="97">
        <v>1E-8</v>
      </c>
      <c r="AA1617" s="97">
        <v>1E-8</v>
      </c>
      <c r="AB1617" s="97">
        <v>1E-8</v>
      </c>
      <c r="AC1617" s="97">
        <v>1E-8</v>
      </c>
      <c r="AD1617" s="4"/>
    </row>
    <row r="1618" spans="1:30" x14ac:dyDescent="0.3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34"/>
      <c r="O1618" s="4"/>
      <c r="P1618" s="96"/>
      <c r="Q1618" s="96" t="s">
        <v>363</v>
      </c>
      <c r="R1618" s="107" t="s">
        <v>68</v>
      </c>
      <c r="S1618" s="107" t="s">
        <v>292</v>
      </c>
      <c r="T1618" s="97">
        <v>5.8520219123596302</v>
      </c>
      <c r="U1618" s="78">
        <v>7.5450009048180222</v>
      </c>
      <c r="V1618" s="97">
        <v>1E-8</v>
      </c>
      <c r="W1618" s="97">
        <v>1E-8</v>
      </c>
      <c r="X1618" s="97">
        <v>1E-8</v>
      </c>
      <c r="Y1618" s="97">
        <v>1E-8</v>
      </c>
      <c r="Z1618" s="97">
        <v>1E-8</v>
      </c>
      <c r="AA1618" s="97">
        <v>1E-8</v>
      </c>
      <c r="AB1618" s="97">
        <v>1E-8</v>
      </c>
      <c r="AC1618" s="97">
        <v>1E-8</v>
      </c>
      <c r="AD1618" s="4"/>
    </row>
    <row r="1619" spans="1:30" x14ac:dyDescent="0.3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34"/>
      <c r="O1619" s="4"/>
      <c r="P1619" s="68"/>
      <c r="Q1619" s="68" t="s">
        <v>592</v>
      </c>
      <c r="R1619" s="108" t="s">
        <v>68</v>
      </c>
      <c r="S1619" s="108" t="s">
        <v>294</v>
      </c>
      <c r="T1619" s="98">
        <v>3.6999200292180836</v>
      </c>
      <c r="U1619" s="80">
        <v>0.858825359634241</v>
      </c>
      <c r="V1619" s="98">
        <v>1E-8</v>
      </c>
      <c r="W1619" s="98">
        <v>1E-8</v>
      </c>
      <c r="X1619" s="98">
        <v>1E-8</v>
      </c>
      <c r="Y1619" s="98">
        <v>1E-8</v>
      </c>
      <c r="Z1619" s="98">
        <v>1E-8</v>
      </c>
      <c r="AA1619" s="98">
        <v>1E-8</v>
      </c>
      <c r="AB1619" s="98">
        <v>1E-8</v>
      </c>
      <c r="AC1619" s="98">
        <v>1E-8</v>
      </c>
      <c r="AD1619" s="4"/>
    </row>
    <row r="1620" spans="1:30" x14ac:dyDescent="0.3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34"/>
      <c r="O1620" s="4"/>
      <c r="P1620" s="68"/>
      <c r="Q1620" s="68" t="s">
        <v>593</v>
      </c>
      <c r="R1620" s="108" t="s">
        <v>68</v>
      </c>
      <c r="S1620" s="108" t="s">
        <v>293</v>
      </c>
      <c r="T1620" s="98">
        <v>7.7462494125253887</v>
      </c>
      <c r="U1620" s="80">
        <v>1.8030277788006366</v>
      </c>
      <c r="V1620" s="98">
        <v>1E-8</v>
      </c>
      <c r="W1620" s="98">
        <v>1E-8</v>
      </c>
      <c r="X1620" s="98">
        <v>1E-8</v>
      </c>
      <c r="Y1620" s="98">
        <v>1E-8</v>
      </c>
      <c r="Z1620" s="98">
        <v>1E-8</v>
      </c>
      <c r="AA1620" s="98">
        <v>1E-8</v>
      </c>
      <c r="AB1620" s="98">
        <v>1E-8</v>
      </c>
      <c r="AC1620" s="98">
        <v>1E-8</v>
      </c>
      <c r="AD1620" s="4"/>
    </row>
    <row r="1621" spans="1:30" x14ac:dyDescent="0.3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34"/>
      <c r="O1621" s="4"/>
      <c r="P1621" s="68"/>
      <c r="Q1621" s="68" t="s">
        <v>594</v>
      </c>
      <c r="R1621" s="108" t="s">
        <v>68</v>
      </c>
      <c r="S1621" s="108" t="s">
        <v>296</v>
      </c>
      <c r="T1621" s="98">
        <v>0.23946183893000941</v>
      </c>
      <c r="U1621" s="80">
        <v>2.8554753110293873</v>
      </c>
      <c r="V1621" s="98">
        <v>1E-8</v>
      </c>
      <c r="W1621" s="98">
        <v>1E-8</v>
      </c>
      <c r="X1621" s="98">
        <v>1E-8</v>
      </c>
      <c r="Y1621" s="98">
        <v>1E-8</v>
      </c>
      <c r="Z1621" s="98">
        <v>1E-8</v>
      </c>
      <c r="AA1621" s="98">
        <v>1E-8</v>
      </c>
      <c r="AB1621" s="98">
        <v>1E-8</v>
      </c>
      <c r="AC1621" s="98">
        <v>1E-8</v>
      </c>
      <c r="AD1621" s="4"/>
    </row>
    <row r="1622" spans="1:30" x14ac:dyDescent="0.3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34"/>
      <c r="O1622" s="4"/>
      <c r="P1622" s="68"/>
      <c r="Q1622" s="68" t="s">
        <v>595</v>
      </c>
      <c r="R1622" s="108" t="s">
        <v>68</v>
      </c>
      <c r="S1622" s="108" t="s">
        <v>295</v>
      </c>
      <c r="T1622" s="98">
        <v>4.1854809361063321</v>
      </c>
      <c r="U1622" s="80">
        <v>0.19537958450315251</v>
      </c>
      <c r="V1622" s="98">
        <v>1E-8</v>
      </c>
      <c r="W1622" s="98">
        <v>1E-8</v>
      </c>
      <c r="X1622" s="98">
        <v>1E-8</v>
      </c>
      <c r="Y1622" s="98">
        <v>1E-8</v>
      </c>
      <c r="Z1622" s="98">
        <v>1E-8</v>
      </c>
      <c r="AA1622" s="98">
        <v>1E-8</v>
      </c>
      <c r="AB1622" s="98">
        <v>1E-8</v>
      </c>
      <c r="AC1622" s="98">
        <v>1E-8</v>
      </c>
      <c r="AD1622" s="4"/>
    </row>
    <row r="1623" spans="1:30" x14ac:dyDescent="0.3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34"/>
      <c r="O1623" s="4"/>
      <c r="P1623" s="68"/>
      <c r="Q1623" s="68" t="s">
        <v>596</v>
      </c>
      <c r="R1623" s="108" t="s">
        <v>68</v>
      </c>
      <c r="S1623" s="108" t="s">
        <v>297</v>
      </c>
      <c r="T1623" s="98">
        <v>2.3710854598383856E-2</v>
      </c>
      <c r="U1623" s="80">
        <v>2.8649540023174103</v>
      </c>
      <c r="V1623" s="98">
        <v>1E-8</v>
      </c>
      <c r="W1623" s="98">
        <v>1E-8</v>
      </c>
      <c r="X1623" s="98">
        <v>1E-8</v>
      </c>
      <c r="Y1623" s="98">
        <v>1E-8</v>
      </c>
      <c r="Z1623" s="98">
        <v>1E-8</v>
      </c>
      <c r="AA1623" s="98">
        <v>1E-8</v>
      </c>
      <c r="AB1623" s="98">
        <v>1E-8</v>
      </c>
      <c r="AC1623" s="98">
        <v>1E-8</v>
      </c>
      <c r="AD1623" s="4"/>
    </row>
    <row r="1624" spans="1:30" x14ac:dyDescent="0.3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34"/>
      <c r="O1624" s="4"/>
      <c r="P1624" s="68"/>
      <c r="Q1624" s="68" t="s">
        <v>597</v>
      </c>
      <c r="R1624" s="108" t="s">
        <v>68</v>
      </c>
      <c r="S1624" s="108" t="s">
        <v>301</v>
      </c>
      <c r="T1624" s="98">
        <v>11.681181154094448</v>
      </c>
      <c r="U1624" s="80">
        <v>-1.4451841597395099</v>
      </c>
      <c r="V1624" s="98">
        <v>1E-8</v>
      </c>
      <c r="W1624" s="98">
        <v>1E-8</v>
      </c>
      <c r="X1624" s="98">
        <v>1E-8</v>
      </c>
      <c r="Y1624" s="98">
        <v>1E-8</v>
      </c>
      <c r="Z1624" s="98">
        <v>1E-8</v>
      </c>
      <c r="AA1624" s="98">
        <v>1E-8</v>
      </c>
      <c r="AB1624" s="98">
        <v>1E-8</v>
      </c>
      <c r="AC1624" s="98">
        <v>1E-8</v>
      </c>
      <c r="AD1624" s="4"/>
    </row>
    <row r="1625" spans="1:30" x14ac:dyDescent="0.3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34"/>
      <c r="O1625" s="4"/>
      <c r="P1625" s="68"/>
      <c r="Q1625" s="68" t="s">
        <v>598</v>
      </c>
      <c r="R1625" s="108" t="s">
        <v>68</v>
      </c>
      <c r="S1625" s="108" t="s">
        <v>302</v>
      </c>
      <c r="T1625" s="98">
        <v>12.174248984986331</v>
      </c>
      <c r="U1625" s="80">
        <v>-2.3597470906508655</v>
      </c>
      <c r="V1625" s="98">
        <v>1E-8</v>
      </c>
      <c r="W1625" s="98">
        <v>1E-8</v>
      </c>
      <c r="X1625" s="98">
        <v>1E-8</v>
      </c>
      <c r="Y1625" s="98">
        <v>1E-8</v>
      </c>
      <c r="Z1625" s="98">
        <v>1E-8</v>
      </c>
      <c r="AA1625" s="98">
        <v>1E-8</v>
      </c>
      <c r="AB1625" s="98">
        <v>1E-8</v>
      </c>
      <c r="AC1625" s="98">
        <v>1E-8</v>
      </c>
      <c r="AD1625" s="4"/>
    </row>
    <row r="1626" spans="1:30" x14ac:dyDescent="0.3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34"/>
      <c r="O1626" s="4"/>
      <c r="P1626" s="68"/>
      <c r="Q1626" s="68" t="s">
        <v>599</v>
      </c>
      <c r="R1626" s="108" t="s">
        <v>68</v>
      </c>
      <c r="S1626" s="108" t="s">
        <v>300</v>
      </c>
      <c r="T1626" s="98">
        <v>9.9550999881314155</v>
      </c>
      <c r="U1626" s="80">
        <v>2.650146545493115E-2</v>
      </c>
      <c r="V1626" s="98">
        <v>1E-8</v>
      </c>
      <c r="W1626" s="98">
        <v>1E-8</v>
      </c>
      <c r="X1626" s="98">
        <v>1E-8</v>
      </c>
      <c r="Y1626" s="98">
        <v>1E-8</v>
      </c>
      <c r="Z1626" s="98">
        <v>1E-8</v>
      </c>
      <c r="AA1626" s="98">
        <v>1E-8</v>
      </c>
      <c r="AB1626" s="98">
        <v>1E-8</v>
      </c>
      <c r="AC1626" s="98">
        <v>1E-8</v>
      </c>
      <c r="AD1626" s="4"/>
    </row>
    <row r="1627" spans="1:30" x14ac:dyDescent="0.3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34"/>
      <c r="O1627" s="4"/>
      <c r="P1627" s="68"/>
      <c r="Q1627" s="68" t="s">
        <v>600</v>
      </c>
      <c r="R1627" s="108" t="s">
        <v>68</v>
      </c>
      <c r="S1627" s="108" t="s">
        <v>303</v>
      </c>
      <c r="T1627" s="98">
        <v>1.5763018099567188</v>
      </c>
      <c r="U1627" s="80">
        <v>-2.0267895545193482</v>
      </c>
      <c r="V1627" s="98">
        <v>1E-8</v>
      </c>
      <c r="W1627" s="98">
        <v>1E-8</v>
      </c>
      <c r="X1627" s="98">
        <v>1E-8</v>
      </c>
      <c r="Y1627" s="98">
        <v>1E-8</v>
      </c>
      <c r="Z1627" s="98">
        <v>1E-8</v>
      </c>
      <c r="AA1627" s="98">
        <v>1E-8</v>
      </c>
      <c r="AB1627" s="98">
        <v>1E-8</v>
      </c>
      <c r="AC1627" s="98">
        <v>1E-8</v>
      </c>
      <c r="AD1627" s="4"/>
    </row>
    <row r="1628" spans="1:30" x14ac:dyDescent="0.3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34"/>
      <c r="O1628" s="4"/>
      <c r="P1628" s="68"/>
      <c r="Q1628" s="68" t="s">
        <v>601</v>
      </c>
      <c r="R1628" s="108" t="s">
        <v>68</v>
      </c>
      <c r="S1628" s="108" t="s">
        <v>533</v>
      </c>
      <c r="T1628" s="98">
        <v>13.020780760895715</v>
      </c>
      <c r="U1628" s="80">
        <v>-0.36761076979358043</v>
      </c>
      <c r="V1628" s="98">
        <v>1E-8</v>
      </c>
      <c r="W1628" s="98">
        <v>1E-8</v>
      </c>
      <c r="X1628" s="98">
        <v>1E-8</v>
      </c>
      <c r="Y1628" s="98">
        <v>1E-8</v>
      </c>
      <c r="Z1628" s="98">
        <v>1E-8</v>
      </c>
      <c r="AA1628" s="98">
        <v>1E-8</v>
      </c>
      <c r="AB1628" s="98">
        <v>1E-8</v>
      </c>
      <c r="AC1628" s="98">
        <v>1E-8</v>
      </c>
      <c r="AD1628" s="4"/>
    </row>
    <row r="1629" spans="1:30" x14ac:dyDescent="0.3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34"/>
      <c r="O1629" s="4"/>
      <c r="P1629" s="68"/>
      <c r="Q1629" s="68" t="s">
        <v>602</v>
      </c>
      <c r="R1629" s="108" t="s">
        <v>68</v>
      </c>
      <c r="S1629" s="108" t="s">
        <v>534</v>
      </c>
      <c r="T1629" s="98">
        <v>1.2290610588344539</v>
      </c>
      <c r="U1629" s="80">
        <v>-1.044794238446467</v>
      </c>
      <c r="V1629" s="98">
        <v>1E-8</v>
      </c>
      <c r="W1629" s="98">
        <v>1E-8</v>
      </c>
      <c r="X1629" s="98">
        <v>1E-8</v>
      </c>
      <c r="Y1629" s="98">
        <v>1E-8</v>
      </c>
      <c r="Z1629" s="98">
        <v>1E-8</v>
      </c>
      <c r="AA1629" s="98">
        <v>1E-8</v>
      </c>
      <c r="AB1629" s="98">
        <v>1E-8</v>
      </c>
      <c r="AC1629" s="98">
        <v>1E-8</v>
      </c>
      <c r="AD1629" s="4"/>
    </row>
    <row r="1630" spans="1:30" x14ac:dyDescent="0.3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34"/>
      <c r="O1630" s="4"/>
      <c r="P1630" s="68"/>
      <c r="Q1630" s="68" t="s">
        <v>603</v>
      </c>
      <c r="R1630" s="108" t="s">
        <v>68</v>
      </c>
      <c r="S1630" s="108" t="s">
        <v>304</v>
      </c>
      <c r="T1630" s="98">
        <v>7.6761896161144465</v>
      </c>
      <c r="U1630" s="80">
        <v>-0.67328408756847091</v>
      </c>
      <c r="V1630" s="98">
        <v>1E-8</v>
      </c>
      <c r="W1630" s="98">
        <v>1E-8</v>
      </c>
      <c r="X1630" s="98">
        <v>1E-8</v>
      </c>
      <c r="Y1630" s="98">
        <v>1E-8</v>
      </c>
      <c r="Z1630" s="98">
        <v>1E-8</v>
      </c>
      <c r="AA1630" s="98">
        <v>1E-8</v>
      </c>
      <c r="AB1630" s="98">
        <v>1E-8</v>
      </c>
      <c r="AC1630" s="98">
        <v>1E-8</v>
      </c>
      <c r="AD1630" s="4"/>
    </row>
    <row r="1631" spans="1:30" x14ac:dyDescent="0.3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34"/>
      <c r="O1631" s="4"/>
      <c r="P1631" s="68"/>
      <c r="Q1631" s="68" t="s">
        <v>604</v>
      </c>
      <c r="R1631" s="108" t="s">
        <v>68</v>
      </c>
      <c r="S1631" s="108" t="s">
        <v>535</v>
      </c>
      <c r="T1631" s="98">
        <v>5.7994662279384368</v>
      </c>
      <c r="U1631" s="80">
        <v>-0.4513569548025953</v>
      </c>
      <c r="V1631" s="98">
        <v>1E-8</v>
      </c>
      <c r="W1631" s="98">
        <v>1E-8</v>
      </c>
      <c r="X1631" s="98">
        <v>1E-8</v>
      </c>
      <c r="Y1631" s="98">
        <v>1E-8</v>
      </c>
      <c r="Z1631" s="98">
        <v>1E-8</v>
      </c>
      <c r="AA1631" s="98">
        <v>1E-8</v>
      </c>
      <c r="AB1631" s="98">
        <v>1E-8</v>
      </c>
      <c r="AC1631" s="98">
        <v>1E-8</v>
      </c>
      <c r="AD1631" s="4"/>
    </row>
    <row r="1632" spans="1:30" x14ac:dyDescent="0.3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34"/>
      <c r="O1632" s="4"/>
      <c r="P1632" s="68"/>
      <c r="Q1632" s="68" t="s">
        <v>605</v>
      </c>
      <c r="R1632" s="108" t="s">
        <v>68</v>
      </c>
      <c r="S1632" s="108" t="s">
        <v>536</v>
      </c>
      <c r="T1632" s="98">
        <v>10.825278329573539</v>
      </c>
      <c r="U1632" s="80">
        <v>-0.62821987673041813</v>
      </c>
      <c r="V1632" s="98">
        <v>1E-8</v>
      </c>
      <c r="W1632" s="98">
        <v>1E-8</v>
      </c>
      <c r="X1632" s="98">
        <v>1E-8</v>
      </c>
      <c r="Y1632" s="98">
        <v>1E-8</v>
      </c>
      <c r="Z1632" s="98">
        <v>1E-8</v>
      </c>
      <c r="AA1632" s="98">
        <v>1E-8</v>
      </c>
      <c r="AB1632" s="98">
        <v>1E-8</v>
      </c>
      <c r="AC1632" s="98">
        <v>1E-8</v>
      </c>
      <c r="AD1632" s="4"/>
    </row>
    <row r="1633" spans="1:30" x14ac:dyDescent="0.3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34"/>
      <c r="O1633" s="4"/>
      <c r="P1633" s="68"/>
      <c r="Q1633" s="68" t="s">
        <v>606</v>
      </c>
      <c r="R1633" s="108" t="s">
        <v>68</v>
      </c>
      <c r="S1633" s="108" t="s">
        <v>537</v>
      </c>
      <c r="T1633" s="98">
        <v>1.9882755638462182</v>
      </c>
      <c r="U1633" s="80">
        <v>0.14754891334518572</v>
      </c>
      <c r="V1633" s="98">
        <v>1E-8</v>
      </c>
      <c r="W1633" s="98">
        <v>1E-8</v>
      </c>
      <c r="X1633" s="98">
        <v>1E-8</v>
      </c>
      <c r="Y1633" s="98">
        <v>1E-8</v>
      </c>
      <c r="Z1633" s="98">
        <v>1E-8</v>
      </c>
      <c r="AA1633" s="98">
        <v>1E-8</v>
      </c>
      <c r="AB1633" s="98">
        <v>1E-8</v>
      </c>
      <c r="AC1633" s="98">
        <v>1E-8</v>
      </c>
      <c r="AD1633" s="4"/>
    </row>
    <row r="1634" spans="1:30" x14ac:dyDescent="0.3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34"/>
      <c r="O1634" s="4"/>
      <c r="P1634" s="68"/>
      <c r="Q1634" s="68" t="s">
        <v>607</v>
      </c>
      <c r="R1634" s="108" t="s">
        <v>68</v>
      </c>
      <c r="S1634" s="108" t="s">
        <v>307</v>
      </c>
      <c r="T1634" s="98">
        <v>1.451324781391846</v>
      </c>
      <c r="U1634" s="80">
        <v>1.6773733943524327</v>
      </c>
      <c r="V1634" s="98">
        <v>1E-8</v>
      </c>
      <c r="W1634" s="98">
        <v>1E-8</v>
      </c>
      <c r="X1634" s="98">
        <v>1E-8</v>
      </c>
      <c r="Y1634" s="98">
        <v>1E-8</v>
      </c>
      <c r="Z1634" s="98">
        <v>1E-8</v>
      </c>
      <c r="AA1634" s="98">
        <v>1E-8</v>
      </c>
      <c r="AB1634" s="98">
        <v>1E-8</v>
      </c>
      <c r="AC1634" s="98">
        <v>1E-8</v>
      </c>
      <c r="AD1634" s="4"/>
    </row>
    <row r="1635" spans="1:30" x14ac:dyDescent="0.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34"/>
      <c r="O1635" s="4"/>
      <c r="P1635" s="68"/>
      <c r="Q1635" s="68" t="s">
        <v>608</v>
      </c>
      <c r="R1635" s="108" t="s">
        <v>68</v>
      </c>
      <c r="S1635" s="108" t="s">
        <v>298</v>
      </c>
      <c r="T1635" s="98">
        <v>0.65641722709770844</v>
      </c>
      <c r="U1635" s="80">
        <v>5.0745433994831446</v>
      </c>
      <c r="V1635" s="98">
        <v>1E-8</v>
      </c>
      <c r="W1635" s="98">
        <v>1E-8</v>
      </c>
      <c r="X1635" s="98">
        <v>1E-8</v>
      </c>
      <c r="Y1635" s="98">
        <v>1E-8</v>
      </c>
      <c r="Z1635" s="98">
        <v>1E-8</v>
      </c>
      <c r="AA1635" s="98">
        <v>1E-8</v>
      </c>
      <c r="AB1635" s="98">
        <v>1E-8</v>
      </c>
      <c r="AC1635" s="98">
        <v>1E-8</v>
      </c>
      <c r="AD1635" s="4"/>
    </row>
    <row r="1636" spans="1:30" x14ac:dyDescent="0.3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34"/>
      <c r="O1636" s="4"/>
      <c r="P1636" s="68"/>
      <c r="Q1636" s="68" t="s">
        <v>609</v>
      </c>
      <c r="R1636" s="108" t="s">
        <v>68</v>
      </c>
      <c r="S1636" s="108" t="s">
        <v>538</v>
      </c>
      <c r="T1636" s="98">
        <v>0.21952951340089782</v>
      </c>
      <c r="U1636" s="80">
        <v>1.2380411745076092</v>
      </c>
      <c r="V1636" s="98">
        <v>1E-8</v>
      </c>
      <c r="W1636" s="98">
        <v>1E-8</v>
      </c>
      <c r="X1636" s="98">
        <v>1E-8</v>
      </c>
      <c r="Y1636" s="98">
        <v>1E-8</v>
      </c>
      <c r="Z1636" s="98">
        <v>1E-8</v>
      </c>
      <c r="AA1636" s="98">
        <v>1E-8</v>
      </c>
      <c r="AB1636" s="98">
        <v>1E-8</v>
      </c>
      <c r="AC1636" s="98">
        <v>1E-8</v>
      </c>
      <c r="AD1636" s="4"/>
    </row>
    <row r="1637" spans="1:30" x14ac:dyDescent="0.3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34"/>
      <c r="O1637" s="4"/>
      <c r="P1637" s="68"/>
      <c r="Q1637" s="68" t="s">
        <v>610</v>
      </c>
      <c r="R1637" s="108" t="s">
        <v>68</v>
      </c>
      <c r="S1637" s="108" t="s">
        <v>299</v>
      </c>
      <c r="T1637" s="98">
        <v>1E-8</v>
      </c>
      <c r="U1637" s="80">
        <v>1E-8</v>
      </c>
      <c r="V1637" s="98">
        <v>1E-8</v>
      </c>
      <c r="W1637" s="98">
        <v>1E-8</v>
      </c>
      <c r="X1637" s="98">
        <v>1E-8</v>
      </c>
      <c r="Y1637" s="98">
        <v>1E-8</v>
      </c>
      <c r="Z1637" s="98">
        <v>1E-8</v>
      </c>
      <c r="AA1637" s="98">
        <v>1E-8</v>
      </c>
      <c r="AB1637" s="98">
        <v>1E-8</v>
      </c>
      <c r="AC1637" s="98">
        <v>1E-8</v>
      </c>
      <c r="AD1637" s="4"/>
    </row>
    <row r="1638" spans="1:30" x14ac:dyDescent="0.3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34"/>
      <c r="O1638" s="4"/>
      <c r="P1638" s="68"/>
      <c r="Q1638" s="68" t="s">
        <v>611</v>
      </c>
      <c r="R1638" s="108" t="s">
        <v>68</v>
      </c>
      <c r="S1638" s="108" t="s">
        <v>309</v>
      </c>
      <c r="T1638" s="98">
        <v>2.3524076497254631</v>
      </c>
      <c r="U1638" s="80">
        <v>13.099805614165883</v>
      </c>
      <c r="V1638" s="98">
        <v>1E-8</v>
      </c>
      <c r="W1638" s="98">
        <v>1E-8</v>
      </c>
      <c r="X1638" s="98">
        <v>1E-8</v>
      </c>
      <c r="Y1638" s="98">
        <v>1E-8</v>
      </c>
      <c r="Z1638" s="98">
        <v>1E-8</v>
      </c>
      <c r="AA1638" s="98">
        <v>1E-8</v>
      </c>
      <c r="AB1638" s="98">
        <v>1E-8</v>
      </c>
      <c r="AC1638" s="98">
        <v>1E-8</v>
      </c>
      <c r="AD1638" s="4"/>
    </row>
    <row r="1639" spans="1:30" x14ac:dyDescent="0.3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34"/>
      <c r="O1639" s="4"/>
      <c r="P1639" s="68"/>
      <c r="Q1639" s="68" t="s">
        <v>612</v>
      </c>
      <c r="R1639" s="108" t="s">
        <v>68</v>
      </c>
      <c r="S1639" s="108" t="s">
        <v>308</v>
      </c>
      <c r="T1639" s="98">
        <v>0.82997758088294826</v>
      </c>
      <c r="U1639" s="80">
        <v>4.7389787600762734</v>
      </c>
      <c r="V1639" s="98">
        <v>1E-8</v>
      </c>
      <c r="W1639" s="98">
        <v>1E-8</v>
      </c>
      <c r="X1639" s="98">
        <v>1E-8</v>
      </c>
      <c r="Y1639" s="98">
        <v>1E-8</v>
      </c>
      <c r="Z1639" s="98">
        <v>1E-8</v>
      </c>
      <c r="AA1639" s="98">
        <v>1E-8</v>
      </c>
      <c r="AB1639" s="98">
        <v>1E-8</v>
      </c>
      <c r="AC1639" s="98">
        <v>1E-8</v>
      </c>
      <c r="AD1639" s="4"/>
    </row>
    <row r="1640" spans="1:30" x14ac:dyDescent="0.3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34"/>
      <c r="O1640" s="4"/>
      <c r="P1640" s="68"/>
      <c r="Q1640" s="68" t="s">
        <v>613</v>
      </c>
      <c r="R1640" s="108" t="s">
        <v>68</v>
      </c>
      <c r="S1640" s="108" t="s">
        <v>306</v>
      </c>
      <c r="T1640" s="98">
        <v>0.23491404650361827</v>
      </c>
      <c r="U1640" s="80">
        <v>-1.9188989054182315</v>
      </c>
      <c r="V1640" s="98">
        <v>1E-8</v>
      </c>
      <c r="W1640" s="98">
        <v>1E-8</v>
      </c>
      <c r="X1640" s="98">
        <v>1E-8</v>
      </c>
      <c r="Y1640" s="98">
        <v>1E-8</v>
      </c>
      <c r="Z1640" s="98">
        <v>1E-8</v>
      </c>
      <c r="AA1640" s="98">
        <v>1E-8</v>
      </c>
      <c r="AB1640" s="98">
        <v>1E-8</v>
      </c>
      <c r="AC1640" s="98">
        <v>1E-8</v>
      </c>
      <c r="AD1640" s="4"/>
    </row>
    <row r="1641" spans="1:30" x14ac:dyDescent="0.3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34"/>
      <c r="O1641" s="4"/>
      <c r="P1641" s="68"/>
      <c r="Q1641" s="68" t="s">
        <v>614</v>
      </c>
      <c r="R1641" s="108" t="s">
        <v>68</v>
      </c>
      <c r="S1641" s="108" t="s">
        <v>305</v>
      </c>
      <c r="T1641" s="98">
        <v>0.46351141714977828</v>
      </c>
      <c r="U1641" s="80">
        <v>4.3003600093838301E-2</v>
      </c>
      <c r="V1641" s="98">
        <v>1E-8</v>
      </c>
      <c r="W1641" s="98">
        <v>1E-8</v>
      </c>
      <c r="X1641" s="98">
        <v>1E-8</v>
      </c>
      <c r="Y1641" s="98">
        <v>1E-8</v>
      </c>
      <c r="Z1641" s="98">
        <v>1E-8</v>
      </c>
      <c r="AA1641" s="98">
        <v>1E-8</v>
      </c>
      <c r="AB1641" s="98">
        <v>1E-8</v>
      </c>
      <c r="AC1641" s="98">
        <v>1E-8</v>
      </c>
      <c r="AD1641" s="4"/>
    </row>
    <row r="1642" spans="1:30" x14ac:dyDescent="0.3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34"/>
      <c r="O1642" s="4"/>
      <c r="P1642" s="68"/>
      <c r="Q1642" s="68" t="s">
        <v>615</v>
      </c>
      <c r="R1642" s="108" t="s">
        <v>68</v>
      </c>
      <c r="S1642" s="108" t="s">
        <v>539</v>
      </c>
      <c r="T1642" s="98">
        <v>0.28871280003333211</v>
      </c>
      <c r="U1642" s="80">
        <v>16.085083414742705</v>
      </c>
      <c r="V1642" s="98">
        <v>1E-8</v>
      </c>
      <c r="W1642" s="98">
        <v>1E-8</v>
      </c>
      <c r="X1642" s="98">
        <v>1E-8</v>
      </c>
      <c r="Y1642" s="98">
        <v>1E-8</v>
      </c>
      <c r="Z1642" s="98">
        <v>1E-8</v>
      </c>
      <c r="AA1642" s="98">
        <v>1E-8</v>
      </c>
      <c r="AB1642" s="98">
        <v>1E-8</v>
      </c>
      <c r="AC1642" s="98">
        <v>1E-8</v>
      </c>
      <c r="AD1642" s="4"/>
    </row>
    <row r="1643" spans="1:30" x14ac:dyDescent="0.3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34"/>
      <c r="O1643" s="4"/>
      <c r="P1643" s="68"/>
      <c r="Q1643" s="68" t="s">
        <v>616</v>
      </c>
      <c r="R1643" s="109" t="s">
        <v>68</v>
      </c>
      <c r="S1643" s="109" t="s">
        <v>310</v>
      </c>
      <c r="T1643" s="81">
        <v>1.6824984180644895</v>
      </c>
      <c r="U1643" s="82">
        <v>3.0853257749608565</v>
      </c>
      <c r="V1643" s="81">
        <v>1E-8</v>
      </c>
      <c r="W1643" s="81">
        <v>1E-8</v>
      </c>
      <c r="X1643" s="81">
        <v>1E-8</v>
      </c>
      <c r="Y1643" s="81">
        <v>1E-8</v>
      </c>
      <c r="Z1643" s="81">
        <v>1E-8</v>
      </c>
      <c r="AA1643" s="81">
        <v>1E-8</v>
      </c>
      <c r="AB1643" s="81">
        <v>1E-8</v>
      </c>
      <c r="AC1643" s="81">
        <v>1E-8</v>
      </c>
      <c r="AD1643" s="4"/>
    </row>
    <row r="1644" spans="1:30" x14ac:dyDescent="0.3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34"/>
      <c r="O1644" s="4"/>
      <c r="P1644" s="96"/>
      <c r="Q1644" s="96" t="s">
        <v>280</v>
      </c>
      <c r="R1644" s="107" t="s">
        <v>68</v>
      </c>
      <c r="S1644" s="107" t="s">
        <v>311</v>
      </c>
      <c r="T1644" s="97">
        <v>1E-8</v>
      </c>
      <c r="U1644" s="78">
        <v>1E-8</v>
      </c>
      <c r="V1644" s="97">
        <v>1E-8</v>
      </c>
      <c r="W1644" s="97">
        <v>1E-8</v>
      </c>
      <c r="X1644" s="97">
        <v>1E-8</v>
      </c>
      <c r="Y1644" s="97">
        <v>1E-8</v>
      </c>
      <c r="Z1644" s="97">
        <v>1E-8</v>
      </c>
      <c r="AA1644" s="97">
        <v>1E-8</v>
      </c>
      <c r="AB1644" s="97">
        <v>1E-8</v>
      </c>
      <c r="AC1644" s="97">
        <v>1E-8</v>
      </c>
      <c r="AD1644" s="4"/>
    </row>
    <row r="1645" spans="1:30" x14ac:dyDescent="0.3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34"/>
      <c r="O1645" s="4"/>
      <c r="P1645" s="68"/>
      <c r="Q1645" s="68" t="s">
        <v>617</v>
      </c>
      <c r="R1645" s="108" t="s">
        <v>68</v>
      </c>
      <c r="S1645" s="108" t="s">
        <v>312</v>
      </c>
      <c r="T1645" s="98">
        <v>1E-8</v>
      </c>
      <c r="U1645" s="80">
        <v>1E-8</v>
      </c>
      <c r="V1645" s="98">
        <v>1E-8</v>
      </c>
      <c r="W1645" s="98">
        <v>1E-8</v>
      </c>
      <c r="X1645" s="98">
        <v>1E-8</v>
      </c>
      <c r="Y1645" s="98">
        <v>1E-8</v>
      </c>
      <c r="Z1645" s="98">
        <v>1E-8</v>
      </c>
      <c r="AA1645" s="98">
        <v>1E-8</v>
      </c>
      <c r="AB1645" s="98">
        <v>1E-8</v>
      </c>
      <c r="AC1645" s="98">
        <v>1E-8</v>
      </c>
      <c r="AD1645" s="4"/>
    </row>
    <row r="1646" spans="1:30" x14ac:dyDescent="0.3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34"/>
      <c r="O1646" s="4"/>
      <c r="P1646" s="68"/>
      <c r="Q1646" s="68" t="s">
        <v>618</v>
      </c>
      <c r="R1646" s="108" t="s">
        <v>68</v>
      </c>
      <c r="S1646" s="108" t="s">
        <v>316</v>
      </c>
      <c r="T1646" s="98">
        <v>1E-8</v>
      </c>
      <c r="U1646" s="80">
        <v>1E-8</v>
      </c>
      <c r="V1646" s="98">
        <v>1E-8</v>
      </c>
      <c r="W1646" s="98">
        <v>1E-8</v>
      </c>
      <c r="X1646" s="98">
        <v>1E-8</v>
      </c>
      <c r="Y1646" s="98">
        <v>1E-8</v>
      </c>
      <c r="Z1646" s="98">
        <v>1E-8</v>
      </c>
      <c r="AA1646" s="98">
        <v>1E-8</v>
      </c>
      <c r="AB1646" s="98">
        <v>1E-8</v>
      </c>
      <c r="AC1646" s="98">
        <v>1E-8</v>
      </c>
      <c r="AD1646" s="4"/>
    </row>
    <row r="1647" spans="1:30" x14ac:dyDescent="0.3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34"/>
      <c r="O1647" s="4"/>
      <c r="P1647" s="68"/>
      <c r="Q1647" s="68" t="s">
        <v>619</v>
      </c>
      <c r="R1647" s="108" t="s">
        <v>68</v>
      </c>
      <c r="S1647" s="108" t="s">
        <v>314</v>
      </c>
      <c r="T1647" s="98">
        <v>1E-8</v>
      </c>
      <c r="U1647" s="80">
        <v>1E-8</v>
      </c>
      <c r="V1647" s="98">
        <v>1E-8</v>
      </c>
      <c r="W1647" s="98">
        <v>1E-8</v>
      </c>
      <c r="X1647" s="98">
        <v>1E-8</v>
      </c>
      <c r="Y1647" s="98">
        <v>1E-8</v>
      </c>
      <c r="Z1647" s="98">
        <v>1E-8</v>
      </c>
      <c r="AA1647" s="98">
        <v>1E-8</v>
      </c>
      <c r="AB1647" s="98">
        <v>1E-8</v>
      </c>
      <c r="AC1647" s="98">
        <v>1E-8</v>
      </c>
      <c r="AD1647" s="4"/>
    </row>
    <row r="1648" spans="1:30" x14ac:dyDescent="0.3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34"/>
      <c r="O1648" s="4"/>
      <c r="P1648" s="68"/>
      <c r="Q1648" s="68" t="s">
        <v>620</v>
      </c>
      <c r="R1648" s="108" t="s">
        <v>68</v>
      </c>
      <c r="S1648" s="108" t="s">
        <v>317</v>
      </c>
      <c r="T1648" s="98">
        <v>1E-8</v>
      </c>
      <c r="U1648" s="80">
        <v>1E-8</v>
      </c>
      <c r="V1648" s="98">
        <v>1E-8</v>
      </c>
      <c r="W1648" s="98">
        <v>1E-8</v>
      </c>
      <c r="X1648" s="98">
        <v>1E-8</v>
      </c>
      <c r="Y1648" s="98">
        <v>1E-8</v>
      </c>
      <c r="Z1648" s="98">
        <v>1E-8</v>
      </c>
      <c r="AA1648" s="98">
        <v>1E-8</v>
      </c>
      <c r="AB1648" s="98">
        <v>1E-8</v>
      </c>
      <c r="AC1648" s="98">
        <v>1E-8</v>
      </c>
      <c r="AD1648" s="4"/>
    </row>
    <row r="1649" spans="1:30" x14ac:dyDescent="0.3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34"/>
      <c r="O1649" s="4"/>
      <c r="P1649" s="68"/>
      <c r="Q1649" s="68" t="s">
        <v>621</v>
      </c>
      <c r="R1649" s="108" t="s">
        <v>68</v>
      </c>
      <c r="S1649" s="108" t="s">
        <v>313</v>
      </c>
      <c r="T1649" s="98">
        <v>1E-8</v>
      </c>
      <c r="U1649" s="80">
        <v>1E-8</v>
      </c>
      <c r="V1649" s="98">
        <v>1E-8</v>
      </c>
      <c r="W1649" s="98">
        <v>1E-8</v>
      </c>
      <c r="X1649" s="98">
        <v>1E-8</v>
      </c>
      <c r="Y1649" s="98">
        <v>1E-8</v>
      </c>
      <c r="Z1649" s="98">
        <v>1E-8</v>
      </c>
      <c r="AA1649" s="98">
        <v>1E-8</v>
      </c>
      <c r="AB1649" s="98">
        <v>1E-8</v>
      </c>
      <c r="AC1649" s="98">
        <v>1E-8</v>
      </c>
      <c r="AD1649" s="4"/>
    </row>
    <row r="1650" spans="1:30" x14ac:dyDescent="0.3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34"/>
      <c r="O1650" s="4"/>
      <c r="P1650" s="68"/>
      <c r="Q1650" s="68" t="s">
        <v>622</v>
      </c>
      <c r="R1650" s="108" t="s">
        <v>68</v>
      </c>
      <c r="S1650" s="108" t="s">
        <v>315</v>
      </c>
      <c r="T1650" s="98">
        <v>1E-8</v>
      </c>
      <c r="U1650" s="80">
        <v>1E-8</v>
      </c>
      <c r="V1650" s="98">
        <v>1E-8</v>
      </c>
      <c r="W1650" s="98">
        <v>1E-8</v>
      </c>
      <c r="X1650" s="98">
        <v>1E-8</v>
      </c>
      <c r="Y1650" s="98">
        <v>1E-8</v>
      </c>
      <c r="Z1650" s="98">
        <v>1E-8</v>
      </c>
      <c r="AA1650" s="98">
        <v>1E-8</v>
      </c>
      <c r="AB1650" s="98">
        <v>1E-8</v>
      </c>
      <c r="AC1650" s="98">
        <v>1E-8</v>
      </c>
      <c r="AD1650" s="4"/>
    </row>
    <row r="1651" spans="1:30" x14ac:dyDescent="0.3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34"/>
      <c r="O1651" s="4"/>
      <c r="P1651" s="68"/>
      <c r="Q1651" s="68" t="s">
        <v>623</v>
      </c>
      <c r="R1651" s="108" t="s">
        <v>68</v>
      </c>
      <c r="S1651" s="108" t="s">
        <v>540</v>
      </c>
      <c r="T1651" s="98">
        <v>1E-8</v>
      </c>
      <c r="U1651" s="80">
        <v>1E-8</v>
      </c>
      <c r="V1651" s="98">
        <v>1E-8</v>
      </c>
      <c r="W1651" s="98">
        <v>1E-8</v>
      </c>
      <c r="X1651" s="98">
        <v>1E-8</v>
      </c>
      <c r="Y1651" s="98">
        <v>1E-8</v>
      </c>
      <c r="Z1651" s="98">
        <v>1E-8</v>
      </c>
      <c r="AA1651" s="98">
        <v>1E-8</v>
      </c>
      <c r="AB1651" s="98">
        <v>1E-8</v>
      </c>
      <c r="AC1651" s="98">
        <v>1E-8</v>
      </c>
      <c r="AD1651" s="4"/>
    </row>
    <row r="1652" spans="1:30" x14ac:dyDescent="0.3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34"/>
      <c r="O1652" s="4"/>
      <c r="P1652" s="68"/>
      <c r="Q1652" s="68" t="s">
        <v>624</v>
      </c>
      <c r="R1652" s="109" t="s">
        <v>68</v>
      </c>
      <c r="S1652" s="109" t="s">
        <v>541</v>
      </c>
      <c r="T1652" s="81">
        <v>1E-8</v>
      </c>
      <c r="U1652" s="82">
        <v>1E-8</v>
      </c>
      <c r="V1652" s="81">
        <v>1E-8</v>
      </c>
      <c r="W1652" s="81">
        <v>1E-8</v>
      </c>
      <c r="X1652" s="81">
        <v>1E-8</v>
      </c>
      <c r="Y1652" s="81">
        <v>1E-8</v>
      </c>
      <c r="Z1652" s="81">
        <v>1E-8</v>
      </c>
      <c r="AA1652" s="81">
        <v>1E-8</v>
      </c>
      <c r="AB1652" s="81">
        <v>1E-8</v>
      </c>
      <c r="AC1652" s="81">
        <v>1E-8</v>
      </c>
      <c r="AD1652" s="4"/>
    </row>
    <row r="1653" spans="1:30" x14ac:dyDescent="0.3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34"/>
      <c r="O1653" s="4"/>
      <c r="P1653" s="96"/>
      <c r="Q1653" s="96" t="s">
        <v>281</v>
      </c>
      <c r="R1653" s="107" t="s">
        <v>68</v>
      </c>
      <c r="S1653" s="107" t="s">
        <v>318</v>
      </c>
      <c r="T1653" s="97">
        <v>1E-8</v>
      </c>
      <c r="U1653" s="78">
        <v>1E-8</v>
      </c>
      <c r="V1653" s="97">
        <v>1E-8</v>
      </c>
      <c r="W1653" s="97">
        <v>1E-8</v>
      </c>
      <c r="X1653" s="97">
        <v>1E-8</v>
      </c>
      <c r="Y1653" s="97">
        <v>1E-8</v>
      </c>
      <c r="Z1653" s="97">
        <v>1E-8</v>
      </c>
      <c r="AA1653" s="97">
        <v>1E-8</v>
      </c>
      <c r="AB1653" s="97">
        <v>1E-8</v>
      </c>
      <c r="AC1653" s="97">
        <v>1E-8</v>
      </c>
      <c r="AD1653" s="4"/>
    </row>
    <row r="1654" spans="1:30" x14ac:dyDescent="0.3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34"/>
      <c r="O1654" s="4"/>
      <c r="P1654" s="96"/>
      <c r="Q1654" s="96" t="s">
        <v>135</v>
      </c>
      <c r="R1654" s="107" t="s">
        <v>68</v>
      </c>
      <c r="S1654" s="107" t="s">
        <v>542</v>
      </c>
      <c r="T1654" s="97">
        <v>1E-8</v>
      </c>
      <c r="U1654" s="78">
        <v>1E-8</v>
      </c>
      <c r="V1654" s="97">
        <v>1E-8</v>
      </c>
      <c r="W1654" s="97">
        <v>1E-8</v>
      </c>
      <c r="X1654" s="97">
        <v>1E-8</v>
      </c>
      <c r="Y1654" s="97">
        <v>1E-8</v>
      </c>
      <c r="Z1654" s="97">
        <v>1E-8</v>
      </c>
      <c r="AA1654" s="97">
        <v>1E-8</v>
      </c>
      <c r="AB1654" s="97">
        <v>1E-8</v>
      </c>
      <c r="AC1654" s="97">
        <v>1E-8</v>
      </c>
      <c r="AD1654" s="4"/>
    </row>
    <row r="1655" spans="1:30" x14ac:dyDescent="0.3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34"/>
      <c r="O1655" s="4"/>
      <c r="P1655" s="68"/>
      <c r="Q1655" s="68" t="s">
        <v>625</v>
      </c>
      <c r="R1655" s="108" t="s">
        <v>68</v>
      </c>
      <c r="S1655" s="108" t="s">
        <v>543</v>
      </c>
      <c r="T1655" s="98">
        <v>1E-8</v>
      </c>
      <c r="U1655" s="80">
        <v>1E-8</v>
      </c>
      <c r="V1655" s="98">
        <v>1E-8</v>
      </c>
      <c r="W1655" s="98">
        <v>1E-8</v>
      </c>
      <c r="X1655" s="98">
        <v>1E-8</v>
      </c>
      <c r="Y1655" s="98">
        <v>1E-8</v>
      </c>
      <c r="Z1655" s="98">
        <v>1E-8</v>
      </c>
      <c r="AA1655" s="98">
        <v>1E-8</v>
      </c>
      <c r="AB1655" s="98">
        <v>1E-8</v>
      </c>
      <c r="AC1655" s="98">
        <v>1E-8</v>
      </c>
      <c r="AD1655" s="4"/>
    </row>
    <row r="1656" spans="1:30" x14ac:dyDescent="0.3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34"/>
      <c r="O1656" s="4"/>
      <c r="P1656" s="68"/>
      <c r="Q1656" s="68" t="s">
        <v>626</v>
      </c>
      <c r="R1656" s="108" t="s">
        <v>68</v>
      </c>
      <c r="S1656" s="108" t="s">
        <v>544</v>
      </c>
      <c r="T1656" s="98">
        <v>1E-8</v>
      </c>
      <c r="U1656" s="80">
        <v>1E-8</v>
      </c>
      <c r="V1656" s="98">
        <v>1E-8</v>
      </c>
      <c r="W1656" s="98">
        <v>1E-8</v>
      </c>
      <c r="X1656" s="98">
        <v>1E-8</v>
      </c>
      <c r="Y1656" s="98">
        <v>1E-8</v>
      </c>
      <c r="Z1656" s="98">
        <v>1E-8</v>
      </c>
      <c r="AA1656" s="98">
        <v>1E-8</v>
      </c>
      <c r="AB1656" s="98">
        <v>1E-8</v>
      </c>
      <c r="AC1656" s="98">
        <v>1E-8</v>
      </c>
      <c r="AD1656" s="4"/>
    </row>
    <row r="1657" spans="1:30" x14ac:dyDescent="0.3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34"/>
      <c r="O1657" s="4"/>
      <c r="P1657" s="68"/>
      <c r="Q1657" s="68" t="s">
        <v>627</v>
      </c>
      <c r="R1657" s="108" t="s">
        <v>68</v>
      </c>
      <c r="S1657" s="108" t="s">
        <v>319</v>
      </c>
      <c r="T1657" s="98">
        <v>1E-8</v>
      </c>
      <c r="U1657" s="80">
        <v>1E-8</v>
      </c>
      <c r="V1657" s="98">
        <v>1E-8</v>
      </c>
      <c r="W1657" s="98">
        <v>1E-8</v>
      </c>
      <c r="X1657" s="98">
        <v>1E-8</v>
      </c>
      <c r="Y1657" s="98">
        <v>1E-8</v>
      </c>
      <c r="Z1657" s="98">
        <v>1E-8</v>
      </c>
      <c r="AA1657" s="98">
        <v>1E-8</v>
      </c>
      <c r="AB1657" s="98">
        <v>1E-8</v>
      </c>
      <c r="AC1657" s="98">
        <v>1E-8</v>
      </c>
      <c r="AD1657" s="4"/>
    </row>
    <row r="1658" spans="1:30" x14ac:dyDescent="0.3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34"/>
      <c r="O1658" s="4"/>
      <c r="P1658" s="71"/>
      <c r="Q1658" s="71" t="s">
        <v>628</v>
      </c>
      <c r="R1658" s="110" t="s">
        <v>68</v>
      </c>
      <c r="S1658" s="110" t="s">
        <v>320</v>
      </c>
      <c r="T1658" s="83">
        <v>1E-8</v>
      </c>
      <c r="U1658" s="84">
        <v>1E-8</v>
      </c>
      <c r="V1658" s="83">
        <v>1E-8</v>
      </c>
      <c r="W1658" s="83">
        <v>1E-8</v>
      </c>
      <c r="X1658" s="83">
        <v>1E-8</v>
      </c>
      <c r="Y1658" s="83">
        <v>1E-8</v>
      </c>
      <c r="Z1658" s="83">
        <v>1E-8</v>
      </c>
      <c r="AA1658" s="83">
        <v>1E-8</v>
      </c>
      <c r="AB1658" s="83">
        <v>1E-8</v>
      </c>
      <c r="AC1658" s="83">
        <v>1E-8</v>
      </c>
      <c r="AD1658" s="4"/>
    </row>
    <row r="1659" spans="1:30" x14ac:dyDescent="0.3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34"/>
      <c r="O1659" s="4"/>
      <c r="P1659" s="99"/>
      <c r="Q1659" s="99" t="s">
        <v>282</v>
      </c>
      <c r="R1659" s="105" t="s">
        <v>68</v>
      </c>
      <c r="S1659" s="105" t="s">
        <v>321</v>
      </c>
      <c r="T1659" s="95">
        <v>1E-8</v>
      </c>
      <c r="U1659" s="74">
        <v>1E-8</v>
      </c>
      <c r="V1659" s="95">
        <v>1E-8</v>
      </c>
      <c r="W1659" s="95">
        <v>1E-8</v>
      </c>
      <c r="X1659" s="95">
        <v>1E-8</v>
      </c>
      <c r="Y1659" s="95">
        <v>1E-8</v>
      </c>
      <c r="Z1659" s="95">
        <v>1E-8</v>
      </c>
      <c r="AA1659" s="95">
        <v>1E-8</v>
      </c>
      <c r="AB1659" s="95">
        <v>1E-8</v>
      </c>
      <c r="AC1659" s="95">
        <v>1E-8</v>
      </c>
      <c r="AD1659" s="4"/>
    </row>
    <row r="1660" spans="1:30" x14ac:dyDescent="0.3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34"/>
      <c r="O1660" s="4"/>
      <c r="P1660" s="99"/>
      <c r="Q1660" s="99" t="s">
        <v>283</v>
      </c>
      <c r="R1660" s="105" t="s">
        <v>68</v>
      </c>
      <c r="S1660" s="105" t="s">
        <v>322</v>
      </c>
      <c r="T1660" s="95">
        <v>1E-8</v>
      </c>
      <c r="U1660" s="74">
        <v>1E-8</v>
      </c>
      <c r="V1660" s="95">
        <v>1E-8</v>
      </c>
      <c r="W1660" s="95">
        <v>1E-8</v>
      </c>
      <c r="X1660" s="95">
        <v>1E-8</v>
      </c>
      <c r="Y1660" s="95">
        <v>1E-8</v>
      </c>
      <c r="Z1660" s="95">
        <v>1E-8</v>
      </c>
      <c r="AA1660" s="95">
        <v>1E-8</v>
      </c>
      <c r="AB1660" s="95">
        <v>1E-8</v>
      </c>
      <c r="AC1660" s="95">
        <v>1E-8</v>
      </c>
      <c r="AD1660" s="4"/>
    </row>
    <row r="1661" spans="1:30" x14ac:dyDescent="0.3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34"/>
      <c r="O1661" s="4"/>
      <c r="P1661" s="96"/>
      <c r="Q1661" s="96" t="s">
        <v>284</v>
      </c>
      <c r="R1661" s="107" t="s">
        <v>68</v>
      </c>
      <c r="S1661" s="107" t="s">
        <v>323</v>
      </c>
      <c r="T1661" s="97">
        <v>1E-8</v>
      </c>
      <c r="U1661" s="78">
        <v>1E-8</v>
      </c>
      <c r="V1661" s="97">
        <v>1E-8</v>
      </c>
      <c r="W1661" s="97">
        <v>1E-8</v>
      </c>
      <c r="X1661" s="97">
        <v>1E-8</v>
      </c>
      <c r="Y1661" s="97">
        <v>1E-8</v>
      </c>
      <c r="Z1661" s="97">
        <v>1E-8</v>
      </c>
      <c r="AA1661" s="97">
        <v>1E-8</v>
      </c>
      <c r="AB1661" s="97">
        <v>1E-8</v>
      </c>
      <c r="AC1661" s="97">
        <v>1E-8</v>
      </c>
      <c r="AD1661" s="4"/>
    </row>
    <row r="1662" spans="1:30" x14ac:dyDescent="0.3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34"/>
      <c r="O1662" s="4"/>
      <c r="P1662" s="68"/>
      <c r="Q1662" s="68" t="s">
        <v>629</v>
      </c>
      <c r="R1662" s="108" t="s">
        <v>68</v>
      </c>
      <c r="S1662" s="108" t="s">
        <v>324</v>
      </c>
      <c r="T1662" s="98">
        <v>1E-8</v>
      </c>
      <c r="U1662" s="80">
        <v>1E-8</v>
      </c>
      <c r="V1662" s="98">
        <v>1E-8</v>
      </c>
      <c r="W1662" s="98">
        <v>1E-8</v>
      </c>
      <c r="X1662" s="98">
        <v>1E-8</v>
      </c>
      <c r="Y1662" s="98">
        <v>1E-8</v>
      </c>
      <c r="Z1662" s="98">
        <v>1E-8</v>
      </c>
      <c r="AA1662" s="98">
        <v>1E-8</v>
      </c>
      <c r="AB1662" s="98">
        <v>1E-8</v>
      </c>
      <c r="AC1662" s="98">
        <v>1E-8</v>
      </c>
      <c r="AD1662" s="4"/>
    </row>
    <row r="1663" spans="1:30" x14ac:dyDescent="0.3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34"/>
      <c r="O1663" s="4"/>
      <c r="P1663" s="68"/>
      <c r="Q1663" s="68" t="s">
        <v>630</v>
      </c>
      <c r="R1663" s="108" t="s">
        <v>68</v>
      </c>
      <c r="S1663" s="108" t="s">
        <v>545</v>
      </c>
      <c r="T1663" s="98">
        <v>1E-8</v>
      </c>
      <c r="U1663" s="80">
        <v>1E-8</v>
      </c>
      <c r="V1663" s="98">
        <v>1E-8</v>
      </c>
      <c r="W1663" s="98">
        <v>1E-8</v>
      </c>
      <c r="X1663" s="98">
        <v>1E-8</v>
      </c>
      <c r="Y1663" s="98">
        <v>1E-8</v>
      </c>
      <c r="Z1663" s="98">
        <v>1E-8</v>
      </c>
      <c r="AA1663" s="98">
        <v>1E-8</v>
      </c>
      <c r="AB1663" s="98">
        <v>1E-8</v>
      </c>
      <c r="AC1663" s="98">
        <v>1E-8</v>
      </c>
      <c r="AD1663" s="4"/>
    </row>
    <row r="1664" spans="1:30" x14ac:dyDescent="0.3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34"/>
      <c r="O1664" s="4"/>
      <c r="P1664" s="68"/>
      <c r="Q1664" s="68" t="s">
        <v>631</v>
      </c>
      <c r="R1664" s="109" t="s">
        <v>68</v>
      </c>
      <c r="S1664" s="109" t="s">
        <v>325</v>
      </c>
      <c r="T1664" s="81">
        <v>1E-8</v>
      </c>
      <c r="U1664" s="82">
        <v>1E-8</v>
      </c>
      <c r="V1664" s="81">
        <v>1E-8</v>
      </c>
      <c r="W1664" s="81">
        <v>1E-8</v>
      </c>
      <c r="X1664" s="81">
        <v>1E-8</v>
      </c>
      <c r="Y1664" s="81">
        <v>1E-8</v>
      </c>
      <c r="Z1664" s="81">
        <v>1E-8</v>
      </c>
      <c r="AA1664" s="81">
        <v>1E-8</v>
      </c>
      <c r="AB1664" s="81">
        <v>1E-8</v>
      </c>
      <c r="AC1664" s="81">
        <v>1E-8</v>
      </c>
      <c r="AD1664" s="4"/>
    </row>
    <row r="1665" spans="1:30" x14ac:dyDescent="0.3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34"/>
      <c r="O1665" s="4"/>
      <c r="P1665" s="96"/>
      <c r="Q1665" s="96" t="s">
        <v>285</v>
      </c>
      <c r="R1665" s="107" t="s">
        <v>68</v>
      </c>
      <c r="S1665" s="107" t="s">
        <v>326</v>
      </c>
      <c r="T1665" s="97">
        <v>1E-8</v>
      </c>
      <c r="U1665" s="78">
        <v>1E-8</v>
      </c>
      <c r="V1665" s="97">
        <v>1E-8</v>
      </c>
      <c r="W1665" s="97">
        <v>1E-8</v>
      </c>
      <c r="X1665" s="97">
        <v>1E-8</v>
      </c>
      <c r="Y1665" s="97">
        <v>1E-8</v>
      </c>
      <c r="Z1665" s="97">
        <v>1E-8</v>
      </c>
      <c r="AA1665" s="97">
        <v>1E-8</v>
      </c>
      <c r="AB1665" s="97">
        <v>1E-8</v>
      </c>
      <c r="AC1665" s="97">
        <v>1E-8</v>
      </c>
      <c r="AD1665" s="4"/>
    </row>
    <row r="1666" spans="1:30" x14ac:dyDescent="0.3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34"/>
      <c r="O1666" s="4"/>
      <c r="P1666" s="68"/>
      <c r="Q1666" s="68" t="s">
        <v>364</v>
      </c>
      <c r="R1666" s="108" t="s">
        <v>68</v>
      </c>
      <c r="S1666" s="108" t="s">
        <v>327</v>
      </c>
      <c r="T1666" s="98">
        <v>1E-8</v>
      </c>
      <c r="U1666" s="80">
        <v>1E-8</v>
      </c>
      <c r="V1666" s="98">
        <v>1E-8</v>
      </c>
      <c r="W1666" s="98">
        <v>1E-8</v>
      </c>
      <c r="X1666" s="98">
        <v>1E-8</v>
      </c>
      <c r="Y1666" s="98">
        <v>1E-8</v>
      </c>
      <c r="Z1666" s="98">
        <v>1E-8</v>
      </c>
      <c r="AA1666" s="98">
        <v>1E-8</v>
      </c>
      <c r="AB1666" s="98">
        <v>1E-8</v>
      </c>
      <c r="AC1666" s="98">
        <v>1E-8</v>
      </c>
      <c r="AD1666" s="4"/>
    </row>
    <row r="1667" spans="1:30" x14ac:dyDescent="0.3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34"/>
      <c r="O1667" s="4"/>
      <c r="P1667" s="100"/>
      <c r="Q1667" s="100" t="s">
        <v>632</v>
      </c>
      <c r="R1667" s="111" t="s">
        <v>68</v>
      </c>
      <c r="S1667" s="111" t="s">
        <v>328</v>
      </c>
      <c r="T1667" s="101">
        <v>1E-8</v>
      </c>
      <c r="U1667" s="86">
        <v>1E-8</v>
      </c>
      <c r="V1667" s="101">
        <v>1E-8</v>
      </c>
      <c r="W1667" s="101">
        <v>1E-8</v>
      </c>
      <c r="X1667" s="101">
        <v>1E-8</v>
      </c>
      <c r="Y1667" s="101">
        <v>1E-8</v>
      </c>
      <c r="Z1667" s="101">
        <v>1E-8</v>
      </c>
      <c r="AA1667" s="101">
        <v>1E-8</v>
      </c>
      <c r="AB1667" s="101">
        <v>1E-8</v>
      </c>
      <c r="AC1667" s="101">
        <v>1E-8</v>
      </c>
      <c r="AD1667" s="4"/>
    </row>
    <row r="1668" spans="1:30" x14ac:dyDescent="0.3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34"/>
      <c r="O1668" s="4"/>
      <c r="P1668" s="100"/>
      <c r="Q1668" s="100" t="s">
        <v>633</v>
      </c>
      <c r="R1668" s="111" t="s">
        <v>68</v>
      </c>
      <c r="S1668" s="111" t="s">
        <v>329</v>
      </c>
      <c r="T1668" s="101">
        <v>1E-8</v>
      </c>
      <c r="U1668" s="86">
        <v>1E-8</v>
      </c>
      <c r="V1668" s="101">
        <v>1E-8</v>
      </c>
      <c r="W1668" s="101">
        <v>1E-8</v>
      </c>
      <c r="X1668" s="101">
        <v>1E-8</v>
      </c>
      <c r="Y1668" s="101">
        <v>1E-8</v>
      </c>
      <c r="Z1668" s="101">
        <v>1E-8</v>
      </c>
      <c r="AA1668" s="101">
        <v>1E-8</v>
      </c>
      <c r="AB1668" s="101">
        <v>1E-8</v>
      </c>
      <c r="AC1668" s="101">
        <v>1E-8</v>
      </c>
      <c r="AD1668" s="4"/>
    </row>
    <row r="1669" spans="1:30" x14ac:dyDescent="0.3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34"/>
      <c r="O1669" s="4"/>
      <c r="P1669" s="100"/>
      <c r="Q1669" s="100" t="s">
        <v>634</v>
      </c>
      <c r="R1669" s="111" t="s">
        <v>68</v>
      </c>
      <c r="S1669" s="111" t="s">
        <v>331</v>
      </c>
      <c r="T1669" s="101">
        <v>1E-8</v>
      </c>
      <c r="U1669" s="86">
        <v>1E-8</v>
      </c>
      <c r="V1669" s="101">
        <v>1E-8</v>
      </c>
      <c r="W1669" s="101">
        <v>1E-8</v>
      </c>
      <c r="X1669" s="101">
        <v>1E-8</v>
      </c>
      <c r="Y1669" s="101">
        <v>1E-8</v>
      </c>
      <c r="Z1669" s="101">
        <v>1E-8</v>
      </c>
      <c r="AA1669" s="101">
        <v>1E-8</v>
      </c>
      <c r="AB1669" s="101">
        <v>1E-8</v>
      </c>
      <c r="AC1669" s="101">
        <v>1E-8</v>
      </c>
      <c r="AD1669" s="4"/>
    </row>
    <row r="1670" spans="1:30" x14ac:dyDescent="0.3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34"/>
      <c r="O1670" s="4"/>
      <c r="P1670" s="100"/>
      <c r="Q1670" s="100" t="s">
        <v>635</v>
      </c>
      <c r="R1670" s="111" t="s">
        <v>68</v>
      </c>
      <c r="S1670" s="111" t="s">
        <v>332</v>
      </c>
      <c r="T1670" s="101">
        <v>1E-8</v>
      </c>
      <c r="U1670" s="86">
        <v>1E-8</v>
      </c>
      <c r="V1670" s="101">
        <v>1E-8</v>
      </c>
      <c r="W1670" s="101">
        <v>1E-8</v>
      </c>
      <c r="X1670" s="101">
        <v>1E-8</v>
      </c>
      <c r="Y1670" s="101">
        <v>1E-8</v>
      </c>
      <c r="Z1670" s="101">
        <v>1E-8</v>
      </c>
      <c r="AA1670" s="101">
        <v>1E-8</v>
      </c>
      <c r="AB1670" s="101">
        <v>1E-8</v>
      </c>
      <c r="AC1670" s="101">
        <v>1E-8</v>
      </c>
      <c r="AD1670" s="4"/>
    </row>
    <row r="1671" spans="1:30" x14ac:dyDescent="0.3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34"/>
      <c r="O1671" s="4"/>
      <c r="P1671" s="100"/>
      <c r="Q1671" s="100" t="s">
        <v>636</v>
      </c>
      <c r="R1671" s="111" t="s">
        <v>68</v>
      </c>
      <c r="S1671" s="111" t="s">
        <v>330</v>
      </c>
      <c r="T1671" s="101">
        <v>1E-8</v>
      </c>
      <c r="U1671" s="86">
        <v>1E-8</v>
      </c>
      <c r="V1671" s="101">
        <v>1E-8</v>
      </c>
      <c r="W1671" s="101">
        <v>1E-8</v>
      </c>
      <c r="X1671" s="101">
        <v>1E-8</v>
      </c>
      <c r="Y1671" s="101">
        <v>1E-8</v>
      </c>
      <c r="Z1671" s="101">
        <v>1E-8</v>
      </c>
      <c r="AA1671" s="101">
        <v>1E-8</v>
      </c>
      <c r="AB1671" s="101">
        <v>1E-8</v>
      </c>
      <c r="AC1671" s="101">
        <v>1E-8</v>
      </c>
      <c r="AD1671" s="4"/>
    </row>
    <row r="1672" spans="1:30" x14ac:dyDescent="0.3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34"/>
      <c r="O1672" s="4"/>
      <c r="P1672" s="100"/>
      <c r="Q1672" s="100" t="s">
        <v>637</v>
      </c>
      <c r="R1672" s="111" t="s">
        <v>68</v>
      </c>
      <c r="S1672" s="111" t="s">
        <v>333</v>
      </c>
      <c r="T1672" s="101">
        <v>1E-8</v>
      </c>
      <c r="U1672" s="86">
        <v>1E-8</v>
      </c>
      <c r="V1672" s="101">
        <v>1E-8</v>
      </c>
      <c r="W1672" s="101">
        <v>1E-8</v>
      </c>
      <c r="X1672" s="101">
        <v>1E-8</v>
      </c>
      <c r="Y1672" s="101">
        <v>1E-8</v>
      </c>
      <c r="Z1672" s="101">
        <v>1E-8</v>
      </c>
      <c r="AA1672" s="101">
        <v>1E-8</v>
      </c>
      <c r="AB1672" s="101">
        <v>1E-8</v>
      </c>
      <c r="AC1672" s="101">
        <v>1E-8</v>
      </c>
      <c r="AD1672" s="4"/>
    </row>
    <row r="1673" spans="1:30" x14ac:dyDescent="0.3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34"/>
      <c r="O1673" s="4"/>
      <c r="P1673" s="100"/>
      <c r="Q1673" s="100" t="s">
        <v>638</v>
      </c>
      <c r="R1673" s="111" t="s">
        <v>68</v>
      </c>
      <c r="S1673" s="111" t="s">
        <v>546</v>
      </c>
      <c r="T1673" s="101">
        <v>1E-8</v>
      </c>
      <c r="U1673" s="86">
        <v>1E-8</v>
      </c>
      <c r="V1673" s="101">
        <v>1E-8</v>
      </c>
      <c r="W1673" s="101">
        <v>1E-8</v>
      </c>
      <c r="X1673" s="101">
        <v>1E-8</v>
      </c>
      <c r="Y1673" s="101">
        <v>1E-8</v>
      </c>
      <c r="Z1673" s="101">
        <v>1E-8</v>
      </c>
      <c r="AA1673" s="101">
        <v>1E-8</v>
      </c>
      <c r="AB1673" s="101">
        <v>1E-8</v>
      </c>
      <c r="AC1673" s="101">
        <v>1E-8</v>
      </c>
      <c r="AD1673" s="4"/>
    </row>
    <row r="1674" spans="1:30" x14ac:dyDescent="0.3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34"/>
      <c r="O1674" s="4"/>
      <c r="P1674" s="100"/>
      <c r="Q1674" s="100" t="s">
        <v>639</v>
      </c>
      <c r="R1674" s="111" t="s">
        <v>68</v>
      </c>
      <c r="S1674" s="111" t="s">
        <v>335</v>
      </c>
      <c r="T1674" s="101">
        <v>1E-8</v>
      </c>
      <c r="U1674" s="86">
        <v>1E-8</v>
      </c>
      <c r="V1674" s="101">
        <v>1E-8</v>
      </c>
      <c r="W1674" s="101">
        <v>1E-8</v>
      </c>
      <c r="X1674" s="101">
        <v>1E-8</v>
      </c>
      <c r="Y1674" s="101">
        <v>1E-8</v>
      </c>
      <c r="Z1674" s="101">
        <v>1E-8</v>
      </c>
      <c r="AA1674" s="101">
        <v>1E-8</v>
      </c>
      <c r="AB1674" s="101">
        <v>1E-8</v>
      </c>
      <c r="AC1674" s="101">
        <v>1E-8</v>
      </c>
      <c r="AD1674" s="4"/>
    </row>
    <row r="1675" spans="1:30" x14ac:dyDescent="0.3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34"/>
      <c r="O1675" s="4"/>
      <c r="P1675" s="100"/>
      <c r="Q1675" s="100" t="s">
        <v>640</v>
      </c>
      <c r="R1675" s="111" t="s">
        <v>68</v>
      </c>
      <c r="S1675" s="111" t="s">
        <v>334</v>
      </c>
      <c r="T1675" s="101">
        <v>1E-8</v>
      </c>
      <c r="U1675" s="86">
        <v>1E-8</v>
      </c>
      <c r="V1675" s="101">
        <v>1E-8</v>
      </c>
      <c r="W1675" s="101">
        <v>1E-8</v>
      </c>
      <c r="X1675" s="101">
        <v>1E-8</v>
      </c>
      <c r="Y1675" s="101">
        <v>1E-8</v>
      </c>
      <c r="Z1675" s="101">
        <v>1E-8</v>
      </c>
      <c r="AA1675" s="101">
        <v>1E-8</v>
      </c>
      <c r="AB1675" s="101">
        <v>1E-8</v>
      </c>
      <c r="AC1675" s="101">
        <v>1E-8</v>
      </c>
      <c r="AD1675" s="4"/>
    </row>
    <row r="1676" spans="1:30" x14ac:dyDescent="0.3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34"/>
      <c r="O1676" s="4"/>
      <c r="P1676" s="68"/>
      <c r="Q1676" s="68" t="s">
        <v>365</v>
      </c>
      <c r="R1676" s="108" t="s">
        <v>68</v>
      </c>
      <c r="S1676" s="108" t="s">
        <v>374</v>
      </c>
      <c r="T1676" s="98">
        <v>1E-8</v>
      </c>
      <c r="U1676" s="80">
        <v>1E-8</v>
      </c>
      <c r="V1676" s="98">
        <v>1E-8</v>
      </c>
      <c r="W1676" s="98">
        <v>1E-8</v>
      </c>
      <c r="X1676" s="98">
        <v>1E-8</v>
      </c>
      <c r="Y1676" s="98">
        <v>1E-8</v>
      </c>
      <c r="Z1676" s="98">
        <v>1E-8</v>
      </c>
      <c r="AA1676" s="98">
        <v>1E-8</v>
      </c>
      <c r="AB1676" s="98">
        <v>1E-8</v>
      </c>
      <c r="AC1676" s="98">
        <v>1E-8</v>
      </c>
      <c r="AD1676" s="4"/>
    </row>
    <row r="1677" spans="1:30" x14ac:dyDescent="0.3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34"/>
      <c r="O1677" s="4"/>
      <c r="P1677" s="100"/>
      <c r="Q1677" s="100" t="s">
        <v>641</v>
      </c>
      <c r="R1677" s="111" t="s">
        <v>68</v>
      </c>
      <c r="S1677" s="111" t="s">
        <v>547</v>
      </c>
      <c r="T1677" s="101">
        <v>1E-8</v>
      </c>
      <c r="U1677" s="86">
        <v>1E-8</v>
      </c>
      <c r="V1677" s="101">
        <v>1E-8</v>
      </c>
      <c r="W1677" s="101">
        <v>1E-8</v>
      </c>
      <c r="X1677" s="101">
        <v>1E-8</v>
      </c>
      <c r="Y1677" s="101">
        <v>1E-8</v>
      </c>
      <c r="Z1677" s="101">
        <v>1E-8</v>
      </c>
      <c r="AA1677" s="101">
        <v>1E-8</v>
      </c>
      <c r="AB1677" s="101">
        <v>1E-8</v>
      </c>
      <c r="AC1677" s="101">
        <v>1E-8</v>
      </c>
      <c r="AD1677" s="4"/>
    </row>
    <row r="1678" spans="1:30" x14ac:dyDescent="0.3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34"/>
      <c r="O1678" s="4"/>
      <c r="P1678" s="100"/>
      <c r="Q1678" s="100" t="s">
        <v>642</v>
      </c>
      <c r="R1678" s="111" t="s">
        <v>68</v>
      </c>
      <c r="S1678" s="111" t="s">
        <v>336</v>
      </c>
      <c r="T1678" s="101">
        <v>1E-8</v>
      </c>
      <c r="U1678" s="86">
        <v>1E-8</v>
      </c>
      <c r="V1678" s="101">
        <v>1E-8</v>
      </c>
      <c r="W1678" s="101">
        <v>1E-8</v>
      </c>
      <c r="X1678" s="101">
        <v>1E-8</v>
      </c>
      <c r="Y1678" s="101">
        <v>1E-8</v>
      </c>
      <c r="Z1678" s="101">
        <v>1E-8</v>
      </c>
      <c r="AA1678" s="101">
        <v>1E-8</v>
      </c>
      <c r="AB1678" s="101">
        <v>1E-8</v>
      </c>
      <c r="AC1678" s="101">
        <v>1E-8</v>
      </c>
      <c r="AD1678" s="4"/>
    </row>
    <row r="1679" spans="1:30" x14ac:dyDescent="0.3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34"/>
      <c r="O1679" s="4"/>
      <c r="P1679" s="100"/>
      <c r="Q1679" s="100" t="s">
        <v>643</v>
      </c>
      <c r="R1679" s="112" t="s">
        <v>68</v>
      </c>
      <c r="S1679" s="112" t="s">
        <v>337</v>
      </c>
      <c r="T1679" s="87">
        <v>1E-8</v>
      </c>
      <c r="U1679" s="88">
        <v>1E-8</v>
      </c>
      <c r="V1679" s="87">
        <v>1E-8</v>
      </c>
      <c r="W1679" s="87">
        <v>1E-8</v>
      </c>
      <c r="X1679" s="87">
        <v>1E-8</v>
      </c>
      <c r="Y1679" s="87">
        <v>1E-8</v>
      </c>
      <c r="Z1679" s="87">
        <v>1E-8</v>
      </c>
      <c r="AA1679" s="87">
        <v>1E-8</v>
      </c>
      <c r="AB1679" s="87">
        <v>1E-8</v>
      </c>
      <c r="AC1679" s="87">
        <v>1E-8</v>
      </c>
      <c r="AD1679" s="4"/>
    </row>
    <row r="1680" spans="1:30" x14ac:dyDescent="0.3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34"/>
      <c r="O1680" s="4"/>
      <c r="P1680" s="68"/>
      <c r="Q1680" s="68" t="s">
        <v>644</v>
      </c>
      <c r="R1680" s="108" t="s">
        <v>68</v>
      </c>
      <c r="S1680" s="108" t="s">
        <v>338</v>
      </c>
      <c r="T1680" s="98">
        <v>1E-8</v>
      </c>
      <c r="U1680" s="80">
        <v>1E-8</v>
      </c>
      <c r="V1680" s="98">
        <v>1E-8</v>
      </c>
      <c r="W1680" s="98">
        <v>1E-8</v>
      </c>
      <c r="X1680" s="98">
        <v>1E-8</v>
      </c>
      <c r="Y1680" s="98">
        <v>1E-8</v>
      </c>
      <c r="Z1680" s="98">
        <v>1E-8</v>
      </c>
      <c r="AA1680" s="98">
        <v>1E-8</v>
      </c>
      <c r="AB1680" s="98">
        <v>1E-8</v>
      </c>
      <c r="AC1680" s="98">
        <v>1E-8</v>
      </c>
      <c r="AD1680" s="4"/>
    </row>
    <row r="1681" spans="1:30" x14ac:dyDescent="0.3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34"/>
      <c r="O1681" s="4"/>
      <c r="P1681" s="68"/>
      <c r="Q1681" s="68" t="s">
        <v>366</v>
      </c>
      <c r="R1681" s="108" t="s">
        <v>68</v>
      </c>
      <c r="S1681" s="108" t="s">
        <v>339</v>
      </c>
      <c r="T1681" s="98">
        <v>1E-8</v>
      </c>
      <c r="U1681" s="80">
        <v>1E-8</v>
      </c>
      <c r="V1681" s="98">
        <v>1E-8</v>
      </c>
      <c r="W1681" s="98">
        <v>1E-8</v>
      </c>
      <c r="X1681" s="98">
        <v>1E-8</v>
      </c>
      <c r="Y1681" s="98">
        <v>1E-8</v>
      </c>
      <c r="Z1681" s="98">
        <v>1E-8</v>
      </c>
      <c r="AA1681" s="98">
        <v>1E-8</v>
      </c>
      <c r="AB1681" s="98">
        <v>1E-8</v>
      </c>
      <c r="AC1681" s="98">
        <v>1E-8</v>
      </c>
      <c r="AD1681" s="4"/>
    </row>
    <row r="1682" spans="1:30" x14ac:dyDescent="0.3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34"/>
      <c r="O1682" s="4"/>
      <c r="P1682" s="100"/>
      <c r="Q1682" s="100" t="s">
        <v>645</v>
      </c>
      <c r="R1682" s="111" t="s">
        <v>68</v>
      </c>
      <c r="S1682" s="111" t="s">
        <v>340</v>
      </c>
      <c r="T1682" s="101">
        <v>1E-8</v>
      </c>
      <c r="U1682" s="86">
        <v>1E-8</v>
      </c>
      <c r="V1682" s="101">
        <v>1E-8</v>
      </c>
      <c r="W1682" s="101">
        <v>1E-8</v>
      </c>
      <c r="X1682" s="101">
        <v>1E-8</v>
      </c>
      <c r="Y1682" s="101">
        <v>1E-8</v>
      </c>
      <c r="Z1682" s="101">
        <v>1E-8</v>
      </c>
      <c r="AA1682" s="101">
        <v>1E-8</v>
      </c>
      <c r="AB1682" s="101">
        <v>1E-8</v>
      </c>
      <c r="AC1682" s="101">
        <v>1E-8</v>
      </c>
      <c r="AD1682" s="4"/>
    </row>
    <row r="1683" spans="1:30" x14ac:dyDescent="0.3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34"/>
      <c r="O1683" s="4"/>
      <c r="P1683" s="100"/>
      <c r="Q1683" s="100" t="s">
        <v>646</v>
      </c>
      <c r="R1683" s="111" t="s">
        <v>68</v>
      </c>
      <c r="S1683" s="111" t="s">
        <v>548</v>
      </c>
      <c r="T1683" s="101">
        <v>1E-8</v>
      </c>
      <c r="U1683" s="86">
        <v>1E-8</v>
      </c>
      <c r="V1683" s="101">
        <v>1E-8</v>
      </c>
      <c r="W1683" s="101">
        <v>1E-8</v>
      </c>
      <c r="X1683" s="101">
        <v>1E-8</v>
      </c>
      <c r="Y1683" s="101">
        <v>1E-8</v>
      </c>
      <c r="Z1683" s="101">
        <v>1E-8</v>
      </c>
      <c r="AA1683" s="101">
        <v>1E-8</v>
      </c>
      <c r="AB1683" s="101">
        <v>1E-8</v>
      </c>
      <c r="AC1683" s="101">
        <v>1E-8</v>
      </c>
      <c r="AD1683" s="4"/>
    </row>
    <row r="1684" spans="1:30" x14ac:dyDescent="0.3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34"/>
      <c r="O1684" s="4"/>
      <c r="P1684" s="68"/>
      <c r="Q1684" s="68" t="s">
        <v>367</v>
      </c>
      <c r="R1684" s="108" t="s">
        <v>68</v>
      </c>
      <c r="S1684" s="108" t="s">
        <v>341</v>
      </c>
      <c r="T1684" s="98">
        <v>1E-8</v>
      </c>
      <c r="U1684" s="80">
        <v>1E-8</v>
      </c>
      <c r="V1684" s="98">
        <v>1E-8</v>
      </c>
      <c r="W1684" s="98">
        <v>1E-8</v>
      </c>
      <c r="X1684" s="98">
        <v>1E-8</v>
      </c>
      <c r="Y1684" s="98">
        <v>1E-8</v>
      </c>
      <c r="Z1684" s="98">
        <v>1E-8</v>
      </c>
      <c r="AA1684" s="98">
        <v>1E-8</v>
      </c>
      <c r="AB1684" s="98">
        <v>1E-8</v>
      </c>
      <c r="AC1684" s="98">
        <v>1E-8</v>
      </c>
      <c r="AD1684" s="4"/>
    </row>
    <row r="1685" spans="1:30" x14ac:dyDescent="0.3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34"/>
      <c r="O1685" s="4"/>
      <c r="P1685" s="100"/>
      <c r="Q1685" s="100" t="s">
        <v>647</v>
      </c>
      <c r="R1685" s="111" t="s">
        <v>68</v>
      </c>
      <c r="S1685" s="111" t="s">
        <v>342</v>
      </c>
      <c r="T1685" s="101">
        <v>1E-8</v>
      </c>
      <c r="U1685" s="86">
        <v>1E-8</v>
      </c>
      <c r="V1685" s="101">
        <v>1E-8</v>
      </c>
      <c r="W1685" s="101">
        <v>1E-8</v>
      </c>
      <c r="X1685" s="101">
        <v>1E-8</v>
      </c>
      <c r="Y1685" s="101">
        <v>1E-8</v>
      </c>
      <c r="Z1685" s="101">
        <v>1E-8</v>
      </c>
      <c r="AA1685" s="101">
        <v>1E-8</v>
      </c>
      <c r="AB1685" s="101">
        <v>1E-8</v>
      </c>
      <c r="AC1685" s="101">
        <v>1E-8</v>
      </c>
      <c r="AD1685" s="4"/>
    </row>
    <row r="1686" spans="1:30" x14ac:dyDescent="0.3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34"/>
      <c r="O1686" s="4"/>
      <c r="P1686" s="100"/>
      <c r="Q1686" s="100" t="s">
        <v>648</v>
      </c>
      <c r="R1686" s="111" t="s">
        <v>68</v>
      </c>
      <c r="S1686" s="111" t="s">
        <v>343</v>
      </c>
      <c r="T1686" s="101">
        <v>1E-8</v>
      </c>
      <c r="U1686" s="86">
        <v>1E-8</v>
      </c>
      <c r="V1686" s="101">
        <v>1E-8</v>
      </c>
      <c r="W1686" s="101">
        <v>1E-8</v>
      </c>
      <c r="X1686" s="101">
        <v>1E-8</v>
      </c>
      <c r="Y1686" s="101">
        <v>1E-8</v>
      </c>
      <c r="Z1686" s="101">
        <v>1E-8</v>
      </c>
      <c r="AA1686" s="101">
        <v>1E-8</v>
      </c>
      <c r="AB1686" s="101">
        <v>1E-8</v>
      </c>
      <c r="AC1686" s="101">
        <v>1E-8</v>
      </c>
      <c r="AD1686" s="4"/>
    </row>
    <row r="1687" spans="1:30" x14ac:dyDescent="0.3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34"/>
      <c r="O1687" s="4"/>
      <c r="P1687" s="100"/>
      <c r="Q1687" s="100" t="s">
        <v>649</v>
      </c>
      <c r="R1687" s="111" t="s">
        <v>68</v>
      </c>
      <c r="S1687" s="111" t="s">
        <v>549</v>
      </c>
      <c r="T1687" s="101">
        <v>1E-8</v>
      </c>
      <c r="U1687" s="86">
        <v>1E-8</v>
      </c>
      <c r="V1687" s="101">
        <v>1E-8</v>
      </c>
      <c r="W1687" s="101">
        <v>1E-8</v>
      </c>
      <c r="X1687" s="101">
        <v>1E-8</v>
      </c>
      <c r="Y1687" s="101">
        <v>1E-8</v>
      </c>
      <c r="Z1687" s="101">
        <v>1E-8</v>
      </c>
      <c r="AA1687" s="101">
        <v>1E-8</v>
      </c>
      <c r="AB1687" s="101">
        <v>1E-8</v>
      </c>
      <c r="AC1687" s="101">
        <v>1E-8</v>
      </c>
      <c r="AD1687" s="4"/>
    </row>
    <row r="1688" spans="1:30" x14ac:dyDescent="0.3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34"/>
      <c r="O1688" s="4"/>
      <c r="P1688" s="100"/>
      <c r="Q1688" s="100" t="s">
        <v>650</v>
      </c>
      <c r="R1688" s="111" t="s">
        <v>68</v>
      </c>
      <c r="S1688" s="111" t="s">
        <v>550</v>
      </c>
      <c r="T1688" s="101">
        <v>1E-8</v>
      </c>
      <c r="U1688" s="86">
        <v>1E-8</v>
      </c>
      <c r="V1688" s="101">
        <v>1E-8</v>
      </c>
      <c r="W1688" s="101">
        <v>1E-8</v>
      </c>
      <c r="X1688" s="101">
        <v>1E-8</v>
      </c>
      <c r="Y1688" s="101">
        <v>1E-8</v>
      </c>
      <c r="Z1688" s="101">
        <v>1E-8</v>
      </c>
      <c r="AA1688" s="101">
        <v>1E-8</v>
      </c>
      <c r="AB1688" s="101">
        <v>1E-8</v>
      </c>
      <c r="AC1688" s="101">
        <v>1E-8</v>
      </c>
      <c r="AD1688" s="4"/>
    </row>
    <row r="1689" spans="1:30" x14ac:dyDescent="0.3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34"/>
      <c r="O1689" s="4"/>
      <c r="P1689" s="68"/>
      <c r="Q1689" s="68" t="s">
        <v>172</v>
      </c>
      <c r="R1689" s="108" t="s">
        <v>68</v>
      </c>
      <c r="S1689" s="108" t="s">
        <v>551</v>
      </c>
      <c r="T1689" s="98">
        <v>1E-8</v>
      </c>
      <c r="U1689" s="80">
        <v>1E-8</v>
      </c>
      <c r="V1689" s="98">
        <v>1E-8</v>
      </c>
      <c r="W1689" s="98">
        <v>1E-8</v>
      </c>
      <c r="X1689" s="98">
        <v>1E-8</v>
      </c>
      <c r="Y1689" s="98">
        <v>1E-8</v>
      </c>
      <c r="Z1689" s="98">
        <v>1E-8</v>
      </c>
      <c r="AA1689" s="98">
        <v>1E-8</v>
      </c>
      <c r="AB1689" s="98">
        <v>1E-8</v>
      </c>
      <c r="AC1689" s="98">
        <v>1E-8</v>
      </c>
      <c r="AD1689" s="4"/>
    </row>
    <row r="1690" spans="1:30" x14ac:dyDescent="0.3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34"/>
      <c r="O1690" s="4"/>
      <c r="P1690" s="100"/>
      <c r="Q1690" s="100" t="s">
        <v>651</v>
      </c>
      <c r="R1690" s="111" t="s">
        <v>68</v>
      </c>
      <c r="S1690" s="111" t="s">
        <v>344</v>
      </c>
      <c r="T1690" s="101">
        <v>1E-8</v>
      </c>
      <c r="U1690" s="86">
        <v>1E-8</v>
      </c>
      <c r="V1690" s="101">
        <v>1E-8</v>
      </c>
      <c r="W1690" s="101">
        <v>1E-8</v>
      </c>
      <c r="X1690" s="101">
        <v>1E-8</v>
      </c>
      <c r="Y1690" s="101">
        <v>1E-8</v>
      </c>
      <c r="Z1690" s="101">
        <v>1E-8</v>
      </c>
      <c r="AA1690" s="101">
        <v>1E-8</v>
      </c>
      <c r="AB1690" s="101">
        <v>1E-8</v>
      </c>
      <c r="AC1690" s="101">
        <v>1E-8</v>
      </c>
      <c r="AD1690" s="4"/>
    </row>
    <row r="1691" spans="1:30" x14ac:dyDescent="0.3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34"/>
      <c r="O1691" s="4"/>
      <c r="P1691" s="100"/>
      <c r="Q1691" s="100" t="s">
        <v>652</v>
      </c>
      <c r="R1691" s="111" t="s">
        <v>68</v>
      </c>
      <c r="S1691" s="111" t="s">
        <v>552</v>
      </c>
      <c r="T1691" s="101">
        <v>1E-8</v>
      </c>
      <c r="U1691" s="86">
        <v>1E-8</v>
      </c>
      <c r="V1691" s="101">
        <v>1E-8</v>
      </c>
      <c r="W1691" s="101">
        <v>1E-8</v>
      </c>
      <c r="X1691" s="101">
        <v>1E-8</v>
      </c>
      <c r="Y1691" s="101">
        <v>1E-8</v>
      </c>
      <c r="Z1691" s="101">
        <v>1E-8</v>
      </c>
      <c r="AA1691" s="101">
        <v>1E-8</v>
      </c>
      <c r="AB1691" s="101">
        <v>1E-8</v>
      </c>
      <c r="AC1691" s="101">
        <v>1E-8</v>
      </c>
      <c r="AD1691" s="4"/>
    </row>
    <row r="1692" spans="1:30" x14ac:dyDescent="0.3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34"/>
      <c r="O1692" s="4"/>
      <c r="P1692" s="100"/>
      <c r="Q1692" s="100" t="s">
        <v>653</v>
      </c>
      <c r="R1692" s="111" t="s">
        <v>68</v>
      </c>
      <c r="S1692" s="111" t="s">
        <v>553</v>
      </c>
      <c r="T1692" s="101">
        <v>1E-8</v>
      </c>
      <c r="U1692" s="86">
        <v>1E-8</v>
      </c>
      <c r="V1692" s="101">
        <v>1E-8</v>
      </c>
      <c r="W1692" s="101">
        <v>1E-8</v>
      </c>
      <c r="X1692" s="101">
        <v>1E-8</v>
      </c>
      <c r="Y1692" s="101">
        <v>1E-8</v>
      </c>
      <c r="Z1692" s="101">
        <v>1E-8</v>
      </c>
      <c r="AA1692" s="101">
        <v>1E-8</v>
      </c>
      <c r="AB1692" s="101">
        <v>1E-8</v>
      </c>
      <c r="AC1692" s="101">
        <v>1E-8</v>
      </c>
      <c r="AD1692" s="4"/>
    </row>
    <row r="1693" spans="1:30" x14ac:dyDescent="0.3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34"/>
      <c r="O1693" s="4"/>
      <c r="P1693" s="68"/>
      <c r="Q1693" s="68" t="s">
        <v>368</v>
      </c>
      <c r="R1693" s="108" t="s">
        <v>68</v>
      </c>
      <c r="S1693" s="108" t="s">
        <v>345</v>
      </c>
      <c r="T1693" s="98">
        <v>1E-8</v>
      </c>
      <c r="U1693" s="80">
        <v>1E-8</v>
      </c>
      <c r="V1693" s="98">
        <v>1E-8</v>
      </c>
      <c r="W1693" s="98">
        <v>1E-8</v>
      </c>
      <c r="X1693" s="98">
        <v>1E-8</v>
      </c>
      <c r="Y1693" s="98">
        <v>1E-8</v>
      </c>
      <c r="Z1693" s="98">
        <v>1E-8</v>
      </c>
      <c r="AA1693" s="98">
        <v>1E-8</v>
      </c>
      <c r="AB1693" s="98">
        <v>1E-8</v>
      </c>
      <c r="AC1693" s="98">
        <v>1E-8</v>
      </c>
      <c r="AD1693" s="4"/>
    </row>
    <row r="1694" spans="1:30" x14ac:dyDescent="0.3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34"/>
      <c r="O1694" s="4"/>
      <c r="P1694" s="100"/>
      <c r="Q1694" s="100" t="s">
        <v>654</v>
      </c>
      <c r="R1694" s="111" t="s">
        <v>68</v>
      </c>
      <c r="S1694" s="111" t="s">
        <v>346</v>
      </c>
      <c r="T1694" s="101">
        <v>1E-8</v>
      </c>
      <c r="U1694" s="86">
        <v>1E-8</v>
      </c>
      <c r="V1694" s="101">
        <v>1E-8</v>
      </c>
      <c r="W1694" s="101">
        <v>1E-8</v>
      </c>
      <c r="X1694" s="101">
        <v>1E-8</v>
      </c>
      <c r="Y1694" s="101">
        <v>1E-8</v>
      </c>
      <c r="Z1694" s="101">
        <v>1E-8</v>
      </c>
      <c r="AA1694" s="101">
        <v>1E-8</v>
      </c>
      <c r="AB1694" s="101">
        <v>1E-8</v>
      </c>
      <c r="AC1694" s="101">
        <v>1E-8</v>
      </c>
      <c r="AD1694" s="4"/>
    </row>
    <row r="1695" spans="1:30" x14ac:dyDescent="0.3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34"/>
      <c r="O1695" s="4"/>
      <c r="P1695" s="100"/>
      <c r="Q1695" s="100" t="s">
        <v>655</v>
      </c>
      <c r="R1695" s="111" t="s">
        <v>68</v>
      </c>
      <c r="S1695" s="111" t="s">
        <v>347</v>
      </c>
      <c r="T1695" s="101">
        <v>1E-8</v>
      </c>
      <c r="U1695" s="86">
        <v>1E-8</v>
      </c>
      <c r="V1695" s="101">
        <v>1E-8</v>
      </c>
      <c r="W1695" s="101">
        <v>1E-8</v>
      </c>
      <c r="X1695" s="101">
        <v>1E-8</v>
      </c>
      <c r="Y1695" s="101">
        <v>1E-8</v>
      </c>
      <c r="Z1695" s="101">
        <v>1E-8</v>
      </c>
      <c r="AA1695" s="101">
        <v>1E-8</v>
      </c>
      <c r="AB1695" s="101">
        <v>1E-8</v>
      </c>
      <c r="AC1695" s="101">
        <v>1E-8</v>
      </c>
      <c r="AD1695" s="4"/>
    </row>
    <row r="1696" spans="1:30" x14ac:dyDescent="0.3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34"/>
      <c r="O1696" s="4"/>
      <c r="P1696" s="100"/>
      <c r="Q1696" s="100" t="s">
        <v>656</v>
      </c>
      <c r="R1696" s="111" t="s">
        <v>68</v>
      </c>
      <c r="S1696" s="111" t="s">
        <v>348</v>
      </c>
      <c r="T1696" s="101">
        <v>1E-8</v>
      </c>
      <c r="U1696" s="86">
        <v>1E-8</v>
      </c>
      <c r="V1696" s="101">
        <v>1E-8</v>
      </c>
      <c r="W1696" s="101">
        <v>1E-8</v>
      </c>
      <c r="X1696" s="101">
        <v>1E-8</v>
      </c>
      <c r="Y1696" s="101">
        <v>1E-8</v>
      </c>
      <c r="Z1696" s="101">
        <v>1E-8</v>
      </c>
      <c r="AA1696" s="101">
        <v>1E-8</v>
      </c>
      <c r="AB1696" s="101">
        <v>1E-8</v>
      </c>
      <c r="AC1696" s="101">
        <v>1E-8</v>
      </c>
      <c r="AD1696" s="4"/>
    </row>
    <row r="1697" spans="1:30" x14ac:dyDescent="0.3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34"/>
      <c r="O1697" s="4"/>
      <c r="P1697" s="68"/>
      <c r="Q1697" s="68" t="s">
        <v>181</v>
      </c>
      <c r="R1697" s="108" t="s">
        <v>68</v>
      </c>
      <c r="S1697" s="108" t="s">
        <v>554</v>
      </c>
      <c r="T1697" s="98">
        <v>1E-8</v>
      </c>
      <c r="U1697" s="80">
        <v>1E-8</v>
      </c>
      <c r="V1697" s="98">
        <v>1E-8</v>
      </c>
      <c r="W1697" s="98">
        <v>1E-8</v>
      </c>
      <c r="X1697" s="98">
        <v>1E-8</v>
      </c>
      <c r="Y1697" s="98">
        <v>1E-8</v>
      </c>
      <c r="Z1697" s="98">
        <v>1E-8</v>
      </c>
      <c r="AA1697" s="98">
        <v>1E-8</v>
      </c>
      <c r="AB1697" s="98">
        <v>1E-8</v>
      </c>
      <c r="AC1697" s="98">
        <v>1E-8</v>
      </c>
      <c r="AD1697" s="4"/>
    </row>
    <row r="1698" spans="1:30" x14ac:dyDescent="0.3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34"/>
      <c r="O1698" s="4"/>
      <c r="P1698" s="100"/>
      <c r="Q1698" s="100" t="s">
        <v>657</v>
      </c>
      <c r="R1698" s="111" t="s">
        <v>68</v>
      </c>
      <c r="S1698" s="111" t="s">
        <v>555</v>
      </c>
      <c r="T1698" s="101">
        <v>1E-8</v>
      </c>
      <c r="U1698" s="86">
        <v>1E-8</v>
      </c>
      <c r="V1698" s="101">
        <v>1E-8</v>
      </c>
      <c r="W1698" s="101">
        <v>1E-8</v>
      </c>
      <c r="X1698" s="101">
        <v>1E-8</v>
      </c>
      <c r="Y1698" s="101">
        <v>1E-8</v>
      </c>
      <c r="Z1698" s="101">
        <v>1E-8</v>
      </c>
      <c r="AA1698" s="101">
        <v>1E-8</v>
      </c>
      <c r="AB1698" s="101">
        <v>1E-8</v>
      </c>
      <c r="AC1698" s="101">
        <v>1E-8</v>
      </c>
      <c r="AD1698" s="4"/>
    </row>
    <row r="1699" spans="1:30" x14ac:dyDescent="0.3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34"/>
      <c r="O1699" s="4"/>
      <c r="P1699" s="100"/>
      <c r="Q1699" s="100" t="s">
        <v>658</v>
      </c>
      <c r="R1699" s="111" t="s">
        <v>68</v>
      </c>
      <c r="S1699" s="111" t="s">
        <v>349</v>
      </c>
      <c r="T1699" s="101">
        <v>1E-8</v>
      </c>
      <c r="U1699" s="86">
        <v>1E-8</v>
      </c>
      <c r="V1699" s="101">
        <v>1E-8</v>
      </c>
      <c r="W1699" s="101">
        <v>1E-8</v>
      </c>
      <c r="X1699" s="101">
        <v>1E-8</v>
      </c>
      <c r="Y1699" s="101">
        <v>1E-8</v>
      </c>
      <c r="Z1699" s="101">
        <v>1E-8</v>
      </c>
      <c r="AA1699" s="101">
        <v>1E-8</v>
      </c>
      <c r="AB1699" s="101">
        <v>1E-8</v>
      </c>
      <c r="AC1699" s="101">
        <v>1E-8</v>
      </c>
      <c r="AD1699" s="4"/>
    </row>
    <row r="1700" spans="1:30" x14ac:dyDescent="0.3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34"/>
      <c r="O1700" s="4"/>
      <c r="P1700" s="100"/>
      <c r="Q1700" s="100" t="s">
        <v>659</v>
      </c>
      <c r="R1700" s="112" t="s">
        <v>68</v>
      </c>
      <c r="S1700" s="112" t="s">
        <v>556</v>
      </c>
      <c r="T1700" s="87">
        <v>1E-8</v>
      </c>
      <c r="U1700" s="88">
        <v>1E-8</v>
      </c>
      <c r="V1700" s="87">
        <v>1E-8</v>
      </c>
      <c r="W1700" s="87">
        <v>1E-8</v>
      </c>
      <c r="X1700" s="87">
        <v>1E-8</v>
      </c>
      <c r="Y1700" s="87">
        <v>1E-8</v>
      </c>
      <c r="Z1700" s="87">
        <v>1E-8</v>
      </c>
      <c r="AA1700" s="87">
        <v>1E-8</v>
      </c>
      <c r="AB1700" s="87">
        <v>1E-8</v>
      </c>
      <c r="AC1700" s="87">
        <v>1E-8</v>
      </c>
      <c r="AD1700" s="4"/>
    </row>
    <row r="1701" spans="1:30" x14ac:dyDescent="0.3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34"/>
      <c r="O1701" s="4"/>
      <c r="P1701" s="96"/>
      <c r="Q1701" s="96" t="s">
        <v>286</v>
      </c>
      <c r="R1701" s="107" t="s">
        <v>68</v>
      </c>
      <c r="S1701" s="107" t="s">
        <v>350</v>
      </c>
      <c r="T1701" s="97">
        <v>1E-8</v>
      </c>
      <c r="U1701" s="78">
        <v>1E-8</v>
      </c>
      <c r="V1701" s="97">
        <v>1E-8</v>
      </c>
      <c r="W1701" s="97">
        <v>1E-8</v>
      </c>
      <c r="X1701" s="97">
        <v>1E-8</v>
      </c>
      <c r="Y1701" s="97">
        <v>1E-8</v>
      </c>
      <c r="Z1701" s="97">
        <v>1E-8</v>
      </c>
      <c r="AA1701" s="97">
        <v>1E-8</v>
      </c>
      <c r="AB1701" s="97">
        <v>1E-8</v>
      </c>
      <c r="AC1701" s="97">
        <v>1E-8</v>
      </c>
      <c r="AD1701" s="4"/>
    </row>
    <row r="1702" spans="1:30" x14ac:dyDescent="0.3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34"/>
      <c r="O1702" s="4"/>
      <c r="P1702" s="96"/>
      <c r="Q1702" s="96" t="s">
        <v>369</v>
      </c>
      <c r="R1702" s="107" t="s">
        <v>68</v>
      </c>
      <c r="S1702" s="107" t="s">
        <v>557</v>
      </c>
      <c r="T1702" s="97">
        <v>1E-8</v>
      </c>
      <c r="U1702" s="78">
        <v>1E-8</v>
      </c>
      <c r="V1702" s="97">
        <v>1E-8</v>
      </c>
      <c r="W1702" s="97">
        <v>1E-8</v>
      </c>
      <c r="X1702" s="97">
        <v>1E-8</v>
      </c>
      <c r="Y1702" s="97">
        <v>1E-8</v>
      </c>
      <c r="Z1702" s="97">
        <v>1E-8</v>
      </c>
      <c r="AA1702" s="97">
        <v>1E-8</v>
      </c>
      <c r="AB1702" s="97">
        <v>1E-8</v>
      </c>
      <c r="AC1702" s="97">
        <v>1E-8</v>
      </c>
      <c r="AD1702" s="4"/>
    </row>
    <row r="1703" spans="1:30" x14ac:dyDescent="0.3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34"/>
      <c r="O1703" s="4"/>
      <c r="P1703" s="68"/>
      <c r="Q1703" s="68" t="s">
        <v>660</v>
      </c>
      <c r="R1703" s="108" t="s">
        <v>68</v>
      </c>
      <c r="S1703" s="108" t="s">
        <v>351</v>
      </c>
      <c r="T1703" s="98">
        <v>1E-8</v>
      </c>
      <c r="U1703" s="80">
        <v>1E-8</v>
      </c>
      <c r="V1703" s="98">
        <v>1E-8</v>
      </c>
      <c r="W1703" s="98">
        <v>1E-8</v>
      </c>
      <c r="X1703" s="98">
        <v>1E-8</v>
      </c>
      <c r="Y1703" s="98">
        <v>1E-8</v>
      </c>
      <c r="Z1703" s="98">
        <v>1E-8</v>
      </c>
      <c r="AA1703" s="98">
        <v>1E-8</v>
      </c>
      <c r="AB1703" s="98">
        <v>1E-8</v>
      </c>
      <c r="AC1703" s="98">
        <v>1E-8</v>
      </c>
      <c r="AD1703" s="4"/>
    </row>
    <row r="1704" spans="1:30" x14ac:dyDescent="0.3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34"/>
      <c r="O1704" s="4"/>
      <c r="P1704" s="68"/>
      <c r="Q1704" s="68" t="s">
        <v>661</v>
      </c>
      <c r="R1704" s="108" t="s">
        <v>68</v>
      </c>
      <c r="S1704" s="108" t="s">
        <v>352</v>
      </c>
      <c r="T1704" s="98">
        <v>1E-8</v>
      </c>
      <c r="U1704" s="80">
        <v>1E-8</v>
      </c>
      <c r="V1704" s="98">
        <v>1E-8</v>
      </c>
      <c r="W1704" s="98">
        <v>1E-8</v>
      </c>
      <c r="X1704" s="98">
        <v>1E-8</v>
      </c>
      <c r="Y1704" s="98">
        <v>1E-8</v>
      </c>
      <c r="Z1704" s="98">
        <v>1E-8</v>
      </c>
      <c r="AA1704" s="98">
        <v>1E-8</v>
      </c>
      <c r="AB1704" s="98">
        <v>1E-8</v>
      </c>
      <c r="AC1704" s="98">
        <v>1E-8</v>
      </c>
      <c r="AD1704" s="4"/>
    </row>
    <row r="1705" spans="1:30" x14ac:dyDescent="0.3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34"/>
      <c r="O1705" s="4"/>
      <c r="P1705" s="68"/>
      <c r="Q1705" s="68" t="s">
        <v>662</v>
      </c>
      <c r="R1705" s="108" t="s">
        <v>68</v>
      </c>
      <c r="S1705" s="108" t="s">
        <v>558</v>
      </c>
      <c r="T1705" s="98">
        <v>1E-8</v>
      </c>
      <c r="U1705" s="80">
        <v>1E-8</v>
      </c>
      <c r="V1705" s="98">
        <v>1E-8</v>
      </c>
      <c r="W1705" s="98">
        <v>1E-8</v>
      </c>
      <c r="X1705" s="98">
        <v>1E-8</v>
      </c>
      <c r="Y1705" s="98">
        <v>1E-8</v>
      </c>
      <c r="Z1705" s="98">
        <v>1E-8</v>
      </c>
      <c r="AA1705" s="98">
        <v>1E-8</v>
      </c>
      <c r="AB1705" s="98">
        <v>1E-8</v>
      </c>
      <c r="AC1705" s="98">
        <v>1E-8</v>
      </c>
      <c r="AD1705" s="4"/>
    </row>
    <row r="1706" spans="1:30" x14ac:dyDescent="0.3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34"/>
      <c r="O1706" s="4"/>
      <c r="P1706" s="96"/>
      <c r="Q1706" s="96" t="s">
        <v>188</v>
      </c>
      <c r="R1706" s="107" t="s">
        <v>68</v>
      </c>
      <c r="S1706" s="107" t="s">
        <v>559</v>
      </c>
      <c r="T1706" s="97">
        <v>1E-8</v>
      </c>
      <c r="U1706" s="78">
        <v>1E-8</v>
      </c>
      <c r="V1706" s="97">
        <v>1E-8</v>
      </c>
      <c r="W1706" s="97">
        <v>1E-8</v>
      </c>
      <c r="X1706" s="97">
        <v>1E-8</v>
      </c>
      <c r="Y1706" s="97">
        <v>1E-8</v>
      </c>
      <c r="Z1706" s="97">
        <v>1E-8</v>
      </c>
      <c r="AA1706" s="97">
        <v>1E-8</v>
      </c>
      <c r="AB1706" s="97">
        <v>1E-8</v>
      </c>
      <c r="AC1706" s="97">
        <v>1E-8</v>
      </c>
      <c r="AD1706" s="4"/>
    </row>
    <row r="1707" spans="1:30" x14ac:dyDescent="0.3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34"/>
      <c r="O1707" s="4"/>
      <c r="P1707" s="68"/>
      <c r="Q1707" s="68" t="s">
        <v>663</v>
      </c>
      <c r="R1707" s="108" t="s">
        <v>68</v>
      </c>
      <c r="S1707" s="108" t="s">
        <v>353</v>
      </c>
      <c r="T1707" s="98">
        <v>1E-8</v>
      </c>
      <c r="U1707" s="80">
        <v>1E-8</v>
      </c>
      <c r="V1707" s="98">
        <v>1E-8</v>
      </c>
      <c r="W1707" s="98">
        <v>1E-8</v>
      </c>
      <c r="X1707" s="98">
        <v>1E-8</v>
      </c>
      <c r="Y1707" s="98">
        <v>1E-8</v>
      </c>
      <c r="Z1707" s="98">
        <v>1E-8</v>
      </c>
      <c r="AA1707" s="98">
        <v>1E-8</v>
      </c>
      <c r="AB1707" s="98">
        <v>1E-8</v>
      </c>
      <c r="AC1707" s="98">
        <v>1E-8</v>
      </c>
      <c r="AD1707" s="4"/>
    </row>
    <row r="1708" spans="1:30" x14ac:dyDescent="0.3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34"/>
      <c r="O1708" s="4"/>
      <c r="P1708" s="72"/>
      <c r="Q1708" s="72" t="s">
        <v>664</v>
      </c>
      <c r="R1708" s="109" t="s">
        <v>68</v>
      </c>
      <c r="S1708" s="109" t="s">
        <v>560</v>
      </c>
      <c r="T1708" s="81">
        <v>1E-8</v>
      </c>
      <c r="U1708" s="82">
        <v>1E-8</v>
      </c>
      <c r="V1708" s="81">
        <v>1E-8</v>
      </c>
      <c r="W1708" s="81">
        <v>1E-8</v>
      </c>
      <c r="X1708" s="81">
        <v>1E-8</v>
      </c>
      <c r="Y1708" s="81">
        <v>1E-8</v>
      </c>
      <c r="Z1708" s="81">
        <v>1E-8</v>
      </c>
      <c r="AA1708" s="81">
        <v>1E-8</v>
      </c>
      <c r="AB1708" s="81">
        <v>1E-8</v>
      </c>
      <c r="AC1708" s="81">
        <v>1E-8</v>
      </c>
      <c r="AD1708" s="4"/>
    </row>
    <row r="1709" spans="1:30" x14ac:dyDescent="0.3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34"/>
      <c r="O1709" s="4"/>
      <c r="P1709" s="47"/>
      <c r="Q1709" s="47" t="s">
        <v>287</v>
      </c>
      <c r="R1709" s="105" t="s">
        <v>68</v>
      </c>
      <c r="S1709" s="105" t="s">
        <v>354</v>
      </c>
      <c r="T1709" s="95">
        <v>1E-8</v>
      </c>
      <c r="U1709" s="74">
        <v>1E-8</v>
      </c>
      <c r="V1709" s="95">
        <v>1E-8</v>
      </c>
      <c r="W1709" s="95">
        <v>1E-8</v>
      </c>
      <c r="X1709" s="95">
        <v>1E-8</v>
      </c>
      <c r="Y1709" s="95">
        <v>1E-8</v>
      </c>
      <c r="Z1709" s="95">
        <v>1E-8</v>
      </c>
      <c r="AA1709" s="95">
        <v>1E-8</v>
      </c>
      <c r="AB1709" s="95">
        <v>1E-8</v>
      </c>
      <c r="AC1709" s="95">
        <v>1E-8</v>
      </c>
      <c r="AD1709" s="4"/>
    </row>
    <row r="1710" spans="1:30" x14ac:dyDescent="0.3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34"/>
      <c r="O1710" s="4"/>
      <c r="P1710" s="96"/>
      <c r="Q1710" s="96" t="s">
        <v>370</v>
      </c>
      <c r="R1710" s="107" t="s">
        <v>68</v>
      </c>
      <c r="S1710" s="107" t="s">
        <v>561</v>
      </c>
      <c r="T1710" s="97">
        <v>1E-8</v>
      </c>
      <c r="U1710" s="78">
        <v>1E-8</v>
      </c>
      <c r="V1710" s="97">
        <v>1E-8</v>
      </c>
      <c r="W1710" s="97">
        <v>1E-8</v>
      </c>
      <c r="X1710" s="97">
        <v>1E-8</v>
      </c>
      <c r="Y1710" s="97">
        <v>1E-8</v>
      </c>
      <c r="Z1710" s="97">
        <v>1E-8</v>
      </c>
      <c r="AA1710" s="97">
        <v>1E-8</v>
      </c>
      <c r="AB1710" s="97">
        <v>1E-8</v>
      </c>
      <c r="AC1710" s="97">
        <v>1E-8</v>
      </c>
      <c r="AD1710" s="4"/>
    </row>
    <row r="1711" spans="1:30" x14ac:dyDescent="0.3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34"/>
      <c r="O1711" s="4"/>
      <c r="P1711" s="68"/>
      <c r="Q1711" s="68" t="s">
        <v>665</v>
      </c>
      <c r="R1711" s="108" t="s">
        <v>68</v>
      </c>
      <c r="S1711" s="108" t="s">
        <v>562</v>
      </c>
      <c r="T1711" s="98">
        <v>1E-8</v>
      </c>
      <c r="U1711" s="80">
        <v>1E-8</v>
      </c>
      <c r="V1711" s="98">
        <v>1E-8</v>
      </c>
      <c r="W1711" s="98">
        <v>1E-8</v>
      </c>
      <c r="X1711" s="98">
        <v>1E-8</v>
      </c>
      <c r="Y1711" s="98">
        <v>1E-8</v>
      </c>
      <c r="Z1711" s="98">
        <v>1E-8</v>
      </c>
      <c r="AA1711" s="98">
        <v>1E-8</v>
      </c>
      <c r="AB1711" s="98">
        <v>1E-8</v>
      </c>
      <c r="AC1711" s="98">
        <v>1E-8</v>
      </c>
      <c r="AD1711" s="4"/>
    </row>
    <row r="1712" spans="1:30" x14ac:dyDescent="0.3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34"/>
      <c r="O1712" s="4"/>
      <c r="P1712" s="68"/>
      <c r="Q1712" s="68" t="s">
        <v>666</v>
      </c>
      <c r="R1712" s="108" t="s">
        <v>68</v>
      </c>
      <c r="S1712" s="108" t="s">
        <v>563</v>
      </c>
      <c r="T1712" s="98">
        <v>1E-8</v>
      </c>
      <c r="U1712" s="80">
        <v>1E-8</v>
      </c>
      <c r="V1712" s="98">
        <v>1E-8</v>
      </c>
      <c r="W1712" s="98">
        <v>1E-8</v>
      </c>
      <c r="X1712" s="98">
        <v>1E-8</v>
      </c>
      <c r="Y1712" s="98">
        <v>1E-8</v>
      </c>
      <c r="Z1712" s="98">
        <v>1E-8</v>
      </c>
      <c r="AA1712" s="98">
        <v>1E-8</v>
      </c>
      <c r="AB1712" s="98">
        <v>1E-8</v>
      </c>
      <c r="AC1712" s="98">
        <v>1E-8</v>
      </c>
      <c r="AD1712" s="4"/>
    </row>
    <row r="1713" spans="1:30" x14ac:dyDescent="0.3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34"/>
      <c r="O1713" s="4"/>
      <c r="P1713" s="68"/>
      <c r="Q1713" s="68" t="s">
        <v>667</v>
      </c>
      <c r="R1713" s="108" t="s">
        <v>68</v>
      </c>
      <c r="S1713" s="108" t="s">
        <v>564</v>
      </c>
      <c r="T1713" s="98">
        <v>1E-8</v>
      </c>
      <c r="U1713" s="80">
        <v>1E-8</v>
      </c>
      <c r="V1713" s="98">
        <v>1E-8</v>
      </c>
      <c r="W1713" s="98">
        <v>1E-8</v>
      </c>
      <c r="X1713" s="98">
        <v>1E-8</v>
      </c>
      <c r="Y1713" s="98">
        <v>1E-8</v>
      </c>
      <c r="Z1713" s="98">
        <v>1E-8</v>
      </c>
      <c r="AA1713" s="98">
        <v>1E-8</v>
      </c>
      <c r="AB1713" s="98">
        <v>1E-8</v>
      </c>
      <c r="AC1713" s="98">
        <v>1E-8</v>
      </c>
      <c r="AD1713" s="4"/>
    </row>
    <row r="1714" spans="1:30" x14ac:dyDescent="0.3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34"/>
      <c r="O1714" s="4"/>
      <c r="P1714" s="68"/>
      <c r="Q1714" s="68" t="s">
        <v>668</v>
      </c>
      <c r="R1714" s="108" t="s">
        <v>68</v>
      </c>
      <c r="S1714" s="108" t="s">
        <v>565</v>
      </c>
      <c r="T1714" s="98">
        <v>1E-8</v>
      </c>
      <c r="U1714" s="80">
        <v>1E-8</v>
      </c>
      <c r="V1714" s="98">
        <v>1E-8</v>
      </c>
      <c r="W1714" s="98">
        <v>1E-8</v>
      </c>
      <c r="X1714" s="98">
        <v>1E-8</v>
      </c>
      <c r="Y1714" s="98">
        <v>1E-8</v>
      </c>
      <c r="Z1714" s="98">
        <v>1E-8</v>
      </c>
      <c r="AA1714" s="98">
        <v>1E-8</v>
      </c>
      <c r="AB1714" s="98">
        <v>1E-8</v>
      </c>
      <c r="AC1714" s="98">
        <v>1E-8</v>
      </c>
      <c r="AD1714" s="4"/>
    </row>
    <row r="1715" spans="1:30" x14ac:dyDescent="0.3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34"/>
      <c r="O1715" s="4"/>
      <c r="P1715" s="96"/>
      <c r="Q1715" s="96" t="s">
        <v>371</v>
      </c>
      <c r="R1715" s="107" t="s">
        <v>68</v>
      </c>
      <c r="S1715" s="107" t="s">
        <v>566</v>
      </c>
      <c r="T1715" s="97">
        <v>1E-8</v>
      </c>
      <c r="U1715" s="78">
        <v>1E-8</v>
      </c>
      <c r="V1715" s="97">
        <v>1E-8</v>
      </c>
      <c r="W1715" s="97">
        <v>1E-8</v>
      </c>
      <c r="X1715" s="97">
        <v>1E-8</v>
      </c>
      <c r="Y1715" s="97">
        <v>1E-8</v>
      </c>
      <c r="Z1715" s="97">
        <v>1E-8</v>
      </c>
      <c r="AA1715" s="97">
        <v>1E-8</v>
      </c>
      <c r="AB1715" s="97">
        <v>1E-8</v>
      </c>
      <c r="AC1715" s="97">
        <v>1E-8</v>
      </c>
      <c r="AD1715" s="4"/>
    </row>
    <row r="1716" spans="1:30" x14ac:dyDescent="0.3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34"/>
      <c r="O1716" s="4"/>
      <c r="P1716" s="68"/>
      <c r="Q1716" s="68" t="s">
        <v>669</v>
      </c>
      <c r="R1716" s="108" t="s">
        <v>68</v>
      </c>
      <c r="S1716" s="108" t="s">
        <v>567</v>
      </c>
      <c r="T1716" s="98">
        <v>1E-8</v>
      </c>
      <c r="U1716" s="80">
        <v>1E-8</v>
      </c>
      <c r="V1716" s="98">
        <v>1E-8</v>
      </c>
      <c r="W1716" s="98">
        <v>1E-8</v>
      </c>
      <c r="X1716" s="98">
        <v>1E-8</v>
      </c>
      <c r="Y1716" s="98">
        <v>1E-8</v>
      </c>
      <c r="Z1716" s="98">
        <v>1E-8</v>
      </c>
      <c r="AA1716" s="98">
        <v>1E-8</v>
      </c>
      <c r="AB1716" s="98">
        <v>1E-8</v>
      </c>
      <c r="AC1716" s="98">
        <v>1E-8</v>
      </c>
      <c r="AD1716" s="4"/>
    </row>
    <row r="1717" spans="1:30" x14ac:dyDescent="0.3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34"/>
      <c r="O1717" s="4"/>
      <c r="P1717" s="68"/>
      <c r="Q1717" s="68" t="s">
        <v>670</v>
      </c>
      <c r="R1717" s="108" t="s">
        <v>68</v>
      </c>
      <c r="S1717" s="108" t="s">
        <v>568</v>
      </c>
      <c r="T1717" s="98">
        <v>1E-8</v>
      </c>
      <c r="U1717" s="80">
        <v>1E-8</v>
      </c>
      <c r="V1717" s="98">
        <v>1E-8</v>
      </c>
      <c r="W1717" s="98">
        <v>1E-8</v>
      </c>
      <c r="X1717" s="98">
        <v>1E-8</v>
      </c>
      <c r="Y1717" s="98">
        <v>1E-8</v>
      </c>
      <c r="Z1717" s="98">
        <v>1E-8</v>
      </c>
      <c r="AA1717" s="98">
        <v>1E-8</v>
      </c>
      <c r="AB1717" s="98">
        <v>1E-8</v>
      </c>
      <c r="AC1717" s="98">
        <v>1E-8</v>
      </c>
      <c r="AD1717" s="4"/>
    </row>
    <row r="1718" spans="1:30" x14ac:dyDescent="0.3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34"/>
      <c r="O1718" s="4"/>
      <c r="P1718" s="68"/>
      <c r="Q1718" s="68" t="s">
        <v>671</v>
      </c>
      <c r="R1718" s="108" t="s">
        <v>68</v>
      </c>
      <c r="S1718" s="108" t="s">
        <v>569</v>
      </c>
      <c r="T1718" s="98">
        <v>1E-8</v>
      </c>
      <c r="U1718" s="80">
        <v>1E-8</v>
      </c>
      <c r="V1718" s="98">
        <v>1E-8</v>
      </c>
      <c r="W1718" s="98">
        <v>1E-8</v>
      </c>
      <c r="X1718" s="98">
        <v>1E-8</v>
      </c>
      <c r="Y1718" s="98">
        <v>1E-8</v>
      </c>
      <c r="Z1718" s="98">
        <v>1E-8</v>
      </c>
      <c r="AA1718" s="98">
        <v>1E-8</v>
      </c>
      <c r="AB1718" s="98">
        <v>1E-8</v>
      </c>
      <c r="AC1718" s="98">
        <v>1E-8</v>
      </c>
      <c r="AD1718" s="4"/>
    </row>
    <row r="1719" spans="1:30" x14ac:dyDescent="0.3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34"/>
      <c r="O1719" s="4"/>
      <c r="P1719" s="68"/>
      <c r="Q1719" s="68" t="s">
        <v>672</v>
      </c>
      <c r="R1719" s="108" t="s">
        <v>68</v>
      </c>
      <c r="S1719" s="108" t="s">
        <v>570</v>
      </c>
      <c r="T1719" s="98">
        <v>1E-8</v>
      </c>
      <c r="U1719" s="80">
        <v>1E-8</v>
      </c>
      <c r="V1719" s="98">
        <v>1E-8</v>
      </c>
      <c r="W1719" s="98">
        <v>1E-8</v>
      </c>
      <c r="X1719" s="98">
        <v>1E-8</v>
      </c>
      <c r="Y1719" s="98">
        <v>1E-8</v>
      </c>
      <c r="Z1719" s="98">
        <v>1E-8</v>
      </c>
      <c r="AA1719" s="98">
        <v>1E-8</v>
      </c>
      <c r="AB1719" s="98">
        <v>1E-8</v>
      </c>
      <c r="AC1719" s="98">
        <v>1E-8</v>
      </c>
      <c r="AD1719" s="4"/>
    </row>
    <row r="1720" spans="1:30" x14ac:dyDescent="0.3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34"/>
      <c r="O1720" s="4"/>
      <c r="P1720" s="96"/>
      <c r="Q1720" s="96" t="s">
        <v>673</v>
      </c>
      <c r="R1720" s="107" t="s">
        <v>68</v>
      </c>
      <c r="S1720" s="107" t="s">
        <v>355</v>
      </c>
      <c r="T1720" s="97">
        <v>1E-8</v>
      </c>
      <c r="U1720" s="78">
        <v>1E-8</v>
      </c>
      <c r="V1720" s="97">
        <v>1E-8</v>
      </c>
      <c r="W1720" s="97">
        <v>1E-8</v>
      </c>
      <c r="X1720" s="97">
        <v>1E-8</v>
      </c>
      <c r="Y1720" s="97">
        <v>1E-8</v>
      </c>
      <c r="Z1720" s="97">
        <v>1E-8</v>
      </c>
      <c r="AA1720" s="97">
        <v>1E-8</v>
      </c>
      <c r="AB1720" s="97">
        <v>1E-8</v>
      </c>
      <c r="AC1720" s="97">
        <v>1E-8</v>
      </c>
      <c r="AD1720" s="4"/>
    </row>
    <row r="1721" spans="1:30" x14ac:dyDescent="0.3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34"/>
      <c r="O1721" s="4"/>
      <c r="P1721" s="96"/>
      <c r="Q1721" s="96" t="s">
        <v>372</v>
      </c>
      <c r="R1721" s="107" t="s">
        <v>68</v>
      </c>
      <c r="S1721" s="107" t="s">
        <v>571</v>
      </c>
      <c r="T1721" s="97">
        <v>1E-8</v>
      </c>
      <c r="U1721" s="78">
        <v>1E-8</v>
      </c>
      <c r="V1721" s="97">
        <v>1E-8</v>
      </c>
      <c r="W1721" s="97">
        <v>1E-8</v>
      </c>
      <c r="X1721" s="97">
        <v>1E-8</v>
      </c>
      <c r="Y1721" s="97">
        <v>1E-8</v>
      </c>
      <c r="Z1721" s="97">
        <v>1E-8</v>
      </c>
      <c r="AA1721" s="97">
        <v>1E-8</v>
      </c>
      <c r="AB1721" s="97">
        <v>1E-8</v>
      </c>
      <c r="AC1721" s="97">
        <v>1E-8</v>
      </c>
      <c r="AD1721" s="4"/>
    </row>
    <row r="1722" spans="1:30" x14ac:dyDescent="0.3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34"/>
      <c r="O1722" s="4"/>
      <c r="P1722" s="68"/>
      <c r="Q1722" s="68" t="s">
        <v>674</v>
      </c>
      <c r="R1722" s="108" t="s">
        <v>68</v>
      </c>
      <c r="S1722" s="108" t="s">
        <v>572</v>
      </c>
      <c r="T1722" s="98">
        <v>1E-8</v>
      </c>
      <c r="U1722" s="80">
        <v>1E-8</v>
      </c>
      <c r="V1722" s="98">
        <v>1E-8</v>
      </c>
      <c r="W1722" s="98">
        <v>1E-8</v>
      </c>
      <c r="X1722" s="98">
        <v>1E-8</v>
      </c>
      <c r="Y1722" s="98">
        <v>1E-8</v>
      </c>
      <c r="Z1722" s="98">
        <v>1E-8</v>
      </c>
      <c r="AA1722" s="98">
        <v>1E-8</v>
      </c>
      <c r="AB1722" s="98">
        <v>1E-8</v>
      </c>
      <c r="AC1722" s="98">
        <v>1E-8</v>
      </c>
      <c r="AD1722" s="4"/>
    </row>
    <row r="1723" spans="1:30" x14ac:dyDescent="0.3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34"/>
      <c r="O1723" s="4"/>
      <c r="P1723" s="68"/>
      <c r="Q1723" s="68" t="s">
        <v>675</v>
      </c>
      <c r="R1723" s="108" t="s">
        <v>68</v>
      </c>
      <c r="S1723" s="108" t="s">
        <v>356</v>
      </c>
      <c r="T1723" s="98">
        <v>1E-8</v>
      </c>
      <c r="U1723" s="80">
        <v>1E-8</v>
      </c>
      <c r="V1723" s="98">
        <v>1E-8</v>
      </c>
      <c r="W1723" s="98">
        <v>1E-8</v>
      </c>
      <c r="X1723" s="98">
        <v>1E-8</v>
      </c>
      <c r="Y1723" s="98">
        <v>1E-8</v>
      </c>
      <c r="Z1723" s="98">
        <v>1E-8</v>
      </c>
      <c r="AA1723" s="98">
        <v>1E-8</v>
      </c>
      <c r="AB1723" s="98">
        <v>1E-8</v>
      </c>
      <c r="AC1723" s="98">
        <v>1E-8</v>
      </c>
      <c r="AD1723" s="4"/>
    </row>
    <row r="1724" spans="1:30" x14ac:dyDescent="0.3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34"/>
      <c r="O1724" s="4"/>
      <c r="P1724" s="68"/>
      <c r="Q1724" s="68" t="s">
        <v>676</v>
      </c>
      <c r="R1724" s="109" t="s">
        <v>68</v>
      </c>
      <c r="S1724" s="109" t="s">
        <v>573</v>
      </c>
      <c r="T1724" s="81">
        <v>1E-8</v>
      </c>
      <c r="U1724" s="82">
        <v>1E-8</v>
      </c>
      <c r="V1724" s="81">
        <v>1E-8</v>
      </c>
      <c r="W1724" s="81">
        <v>1E-8</v>
      </c>
      <c r="X1724" s="81">
        <v>1E-8</v>
      </c>
      <c r="Y1724" s="81">
        <v>1E-8</v>
      </c>
      <c r="Z1724" s="81">
        <v>1E-8</v>
      </c>
      <c r="AA1724" s="81">
        <v>1E-8</v>
      </c>
      <c r="AB1724" s="81">
        <v>1E-8</v>
      </c>
      <c r="AC1724" s="81">
        <v>1E-8</v>
      </c>
      <c r="AD1724" s="4"/>
    </row>
    <row r="1725" spans="1:30" x14ac:dyDescent="0.3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34"/>
      <c r="O1725" s="4"/>
      <c r="P1725" s="96"/>
      <c r="Q1725" s="96" t="s">
        <v>373</v>
      </c>
      <c r="R1725" s="107" t="s">
        <v>68</v>
      </c>
      <c r="S1725" s="107" t="s">
        <v>574</v>
      </c>
      <c r="T1725" s="97">
        <v>1E-8</v>
      </c>
      <c r="U1725" s="78">
        <v>1E-8</v>
      </c>
      <c r="V1725" s="97">
        <v>1E-8</v>
      </c>
      <c r="W1725" s="97">
        <v>1E-8</v>
      </c>
      <c r="X1725" s="97">
        <v>1E-8</v>
      </c>
      <c r="Y1725" s="97">
        <v>1E-8</v>
      </c>
      <c r="Z1725" s="97">
        <v>1E-8</v>
      </c>
      <c r="AA1725" s="97">
        <v>1E-8</v>
      </c>
      <c r="AB1725" s="97">
        <v>1E-8</v>
      </c>
      <c r="AC1725" s="97">
        <v>1E-8</v>
      </c>
      <c r="AD1725" s="4"/>
    </row>
    <row r="1726" spans="1:30" x14ac:dyDescent="0.3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34"/>
      <c r="O1726" s="4"/>
      <c r="P1726" s="68"/>
      <c r="Q1726" s="68" t="s">
        <v>677</v>
      </c>
      <c r="R1726" s="108" t="s">
        <v>68</v>
      </c>
      <c r="S1726" s="108" t="s">
        <v>575</v>
      </c>
      <c r="T1726" s="98">
        <v>1E-8</v>
      </c>
      <c r="U1726" s="80">
        <v>1E-8</v>
      </c>
      <c r="V1726" s="98">
        <v>1E-8</v>
      </c>
      <c r="W1726" s="98">
        <v>1E-8</v>
      </c>
      <c r="X1726" s="98">
        <v>1E-8</v>
      </c>
      <c r="Y1726" s="98">
        <v>1E-8</v>
      </c>
      <c r="Z1726" s="98">
        <v>1E-8</v>
      </c>
      <c r="AA1726" s="98">
        <v>1E-8</v>
      </c>
      <c r="AB1726" s="98">
        <v>1E-8</v>
      </c>
      <c r="AC1726" s="98">
        <v>1E-8</v>
      </c>
      <c r="AD1726" s="4"/>
    </row>
    <row r="1727" spans="1:30" x14ac:dyDescent="0.3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34"/>
      <c r="O1727" s="4"/>
      <c r="P1727" s="68"/>
      <c r="Q1727" s="68" t="s">
        <v>678</v>
      </c>
      <c r="R1727" s="108" t="s">
        <v>68</v>
      </c>
      <c r="S1727" s="108" t="s">
        <v>576</v>
      </c>
      <c r="T1727" s="98">
        <v>1E-8</v>
      </c>
      <c r="U1727" s="80">
        <v>1E-8</v>
      </c>
      <c r="V1727" s="98">
        <v>1E-8</v>
      </c>
      <c r="W1727" s="98">
        <v>1E-8</v>
      </c>
      <c r="X1727" s="98">
        <v>1E-8</v>
      </c>
      <c r="Y1727" s="98">
        <v>1E-8</v>
      </c>
      <c r="Z1727" s="98">
        <v>1E-8</v>
      </c>
      <c r="AA1727" s="98">
        <v>1E-8</v>
      </c>
      <c r="AB1727" s="98">
        <v>1E-8</v>
      </c>
      <c r="AC1727" s="98">
        <v>1E-8</v>
      </c>
      <c r="AD1727" s="4"/>
    </row>
    <row r="1728" spans="1:30" x14ac:dyDescent="0.3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34"/>
      <c r="O1728" s="4"/>
      <c r="P1728" s="68"/>
      <c r="Q1728" s="68" t="s">
        <v>679</v>
      </c>
      <c r="R1728" s="108" t="s">
        <v>68</v>
      </c>
      <c r="S1728" s="108" t="s">
        <v>577</v>
      </c>
      <c r="T1728" s="98">
        <v>1E-8</v>
      </c>
      <c r="U1728" s="80">
        <v>1E-8</v>
      </c>
      <c r="V1728" s="98">
        <v>1E-8</v>
      </c>
      <c r="W1728" s="98">
        <v>1E-8</v>
      </c>
      <c r="X1728" s="98">
        <v>1E-8</v>
      </c>
      <c r="Y1728" s="98">
        <v>1E-8</v>
      </c>
      <c r="Z1728" s="98">
        <v>1E-8</v>
      </c>
      <c r="AA1728" s="98">
        <v>1E-8</v>
      </c>
      <c r="AB1728" s="98">
        <v>1E-8</v>
      </c>
      <c r="AC1728" s="98">
        <v>1E-8</v>
      </c>
      <c r="AD1728" s="4"/>
    </row>
    <row r="1729" spans="1:30" x14ac:dyDescent="0.3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34"/>
      <c r="O1729" s="4"/>
      <c r="P1729" s="96"/>
      <c r="Q1729" s="96" t="s">
        <v>195</v>
      </c>
      <c r="R1729" s="107" t="s">
        <v>68</v>
      </c>
      <c r="S1729" s="107" t="s">
        <v>578</v>
      </c>
      <c r="T1729" s="97">
        <v>1E-8</v>
      </c>
      <c r="U1729" s="78">
        <v>1E-8</v>
      </c>
      <c r="V1729" s="97">
        <v>1E-8</v>
      </c>
      <c r="W1729" s="97">
        <v>1E-8</v>
      </c>
      <c r="X1729" s="97">
        <v>1E-8</v>
      </c>
      <c r="Y1729" s="97">
        <v>1E-8</v>
      </c>
      <c r="Z1729" s="97">
        <v>1E-8</v>
      </c>
      <c r="AA1729" s="97">
        <v>1E-8</v>
      </c>
      <c r="AB1729" s="97">
        <v>1E-8</v>
      </c>
      <c r="AC1729" s="97">
        <v>1E-8</v>
      </c>
      <c r="AD1729" s="4"/>
    </row>
    <row r="1730" spans="1:30" x14ac:dyDescent="0.3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34"/>
      <c r="O1730" s="4"/>
      <c r="P1730" s="68"/>
      <c r="Q1730" s="68" t="s">
        <v>680</v>
      </c>
      <c r="R1730" s="108" t="s">
        <v>68</v>
      </c>
      <c r="S1730" s="108" t="s">
        <v>579</v>
      </c>
      <c r="T1730" s="98">
        <v>1E-8</v>
      </c>
      <c r="U1730" s="80">
        <v>1E-8</v>
      </c>
      <c r="V1730" s="98">
        <v>1E-8</v>
      </c>
      <c r="W1730" s="98">
        <v>1E-8</v>
      </c>
      <c r="X1730" s="98">
        <v>1E-8</v>
      </c>
      <c r="Y1730" s="98">
        <v>1E-8</v>
      </c>
      <c r="Z1730" s="98">
        <v>1E-8</v>
      </c>
      <c r="AA1730" s="98">
        <v>1E-8</v>
      </c>
      <c r="AB1730" s="98">
        <v>1E-8</v>
      </c>
      <c r="AC1730" s="98">
        <v>1E-8</v>
      </c>
      <c r="AD1730" s="4"/>
    </row>
    <row r="1731" spans="1:30" x14ac:dyDescent="0.3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34"/>
      <c r="O1731" s="4"/>
      <c r="P1731" s="68"/>
      <c r="Q1731" s="68" t="s">
        <v>681</v>
      </c>
      <c r="R1731" s="108" t="s">
        <v>68</v>
      </c>
      <c r="S1731" s="108" t="s">
        <v>357</v>
      </c>
      <c r="T1731" s="98">
        <v>1E-8</v>
      </c>
      <c r="U1731" s="80">
        <v>1E-8</v>
      </c>
      <c r="V1731" s="98">
        <v>1E-8</v>
      </c>
      <c r="W1731" s="98">
        <v>1E-8</v>
      </c>
      <c r="X1731" s="98">
        <v>1E-8</v>
      </c>
      <c r="Y1731" s="98">
        <v>1E-8</v>
      </c>
      <c r="Z1731" s="98">
        <v>1E-8</v>
      </c>
      <c r="AA1731" s="98">
        <v>1E-8</v>
      </c>
      <c r="AB1731" s="98">
        <v>1E-8</v>
      </c>
      <c r="AC1731" s="98">
        <v>1E-8</v>
      </c>
      <c r="AD1731" s="4"/>
    </row>
    <row r="1732" spans="1:30" x14ac:dyDescent="0.3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34"/>
      <c r="O1732" s="4"/>
      <c r="P1732" s="96"/>
      <c r="Q1732" s="96" t="s">
        <v>196</v>
      </c>
      <c r="R1732" s="107" t="s">
        <v>68</v>
      </c>
      <c r="S1732" s="107" t="s">
        <v>580</v>
      </c>
      <c r="T1732" s="97">
        <v>1E-8</v>
      </c>
      <c r="U1732" s="78">
        <v>1E-8</v>
      </c>
      <c r="V1732" s="97">
        <v>1E-8</v>
      </c>
      <c r="W1732" s="97">
        <v>1E-8</v>
      </c>
      <c r="X1732" s="97">
        <v>1E-8</v>
      </c>
      <c r="Y1732" s="97">
        <v>1E-8</v>
      </c>
      <c r="Z1732" s="97">
        <v>1E-8</v>
      </c>
      <c r="AA1732" s="97">
        <v>1E-8</v>
      </c>
      <c r="AB1732" s="97">
        <v>1E-8</v>
      </c>
      <c r="AC1732" s="97">
        <v>1E-8</v>
      </c>
      <c r="AD1732" s="4"/>
    </row>
    <row r="1733" spans="1:30" x14ac:dyDescent="0.3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34"/>
      <c r="O1733" s="4"/>
      <c r="P1733" s="68"/>
      <c r="Q1733" s="68" t="s">
        <v>682</v>
      </c>
      <c r="R1733" s="108" t="s">
        <v>68</v>
      </c>
      <c r="S1733" s="108" t="s">
        <v>581</v>
      </c>
      <c r="T1733" s="98">
        <v>1E-8</v>
      </c>
      <c r="U1733" s="80">
        <v>1E-8</v>
      </c>
      <c r="V1733" s="98">
        <v>1E-8</v>
      </c>
      <c r="W1733" s="98">
        <v>1E-8</v>
      </c>
      <c r="X1733" s="98">
        <v>1E-8</v>
      </c>
      <c r="Y1733" s="98">
        <v>1E-8</v>
      </c>
      <c r="Z1733" s="98">
        <v>1E-8</v>
      </c>
      <c r="AA1733" s="98">
        <v>1E-8</v>
      </c>
      <c r="AB1733" s="98">
        <v>1E-8</v>
      </c>
      <c r="AC1733" s="98">
        <v>1E-8</v>
      </c>
      <c r="AD1733" s="4"/>
    </row>
    <row r="1734" spans="1:30" x14ac:dyDescent="0.3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34"/>
      <c r="O1734" s="4"/>
      <c r="P1734" s="68"/>
      <c r="Q1734" s="68" t="s">
        <v>683</v>
      </c>
      <c r="R1734" s="108" t="s">
        <v>68</v>
      </c>
      <c r="S1734" s="108" t="s">
        <v>582</v>
      </c>
      <c r="T1734" s="98">
        <v>1E-8</v>
      </c>
      <c r="U1734" s="80">
        <v>1E-8</v>
      </c>
      <c r="V1734" s="98">
        <v>1E-8</v>
      </c>
      <c r="W1734" s="98">
        <v>1E-8</v>
      </c>
      <c r="X1734" s="98">
        <v>1E-8</v>
      </c>
      <c r="Y1734" s="98">
        <v>1E-8</v>
      </c>
      <c r="Z1734" s="98">
        <v>1E-8</v>
      </c>
      <c r="AA1734" s="98">
        <v>1E-8</v>
      </c>
      <c r="AB1734" s="98">
        <v>1E-8</v>
      </c>
      <c r="AC1734" s="98">
        <v>1E-8</v>
      </c>
      <c r="AD1734" s="4"/>
    </row>
    <row r="1735" spans="1:30" x14ac:dyDescent="0.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34"/>
      <c r="O1735" s="4"/>
      <c r="P1735" s="68"/>
      <c r="Q1735" s="68" t="s">
        <v>684</v>
      </c>
      <c r="R1735" s="108" t="s">
        <v>68</v>
      </c>
      <c r="S1735" s="108" t="s">
        <v>583</v>
      </c>
      <c r="T1735" s="98">
        <v>1E-8</v>
      </c>
      <c r="U1735" s="80">
        <v>1E-8</v>
      </c>
      <c r="V1735" s="98">
        <v>1E-8</v>
      </c>
      <c r="W1735" s="98">
        <v>1E-8</v>
      </c>
      <c r="X1735" s="98">
        <v>1E-8</v>
      </c>
      <c r="Y1735" s="98">
        <v>1E-8</v>
      </c>
      <c r="Z1735" s="98">
        <v>1E-8</v>
      </c>
      <c r="AA1735" s="98">
        <v>1E-8</v>
      </c>
      <c r="AB1735" s="98">
        <v>1E-8</v>
      </c>
      <c r="AC1735" s="98">
        <v>1E-8</v>
      </c>
      <c r="AD1735" s="4"/>
    </row>
    <row r="1736" spans="1:30" x14ac:dyDescent="0.3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34"/>
      <c r="O1736" s="4"/>
      <c r="P1736" s="68"/>
      <c r="Q1736" s="68" t="s">
        <v>685</v>
      </c>
      <c r="R1736" s="108" t="s">
        <v>68</v>
      </c>
      <c r="S1736" s="108" t="s">
        <v>584</v>
      </c>
      <c r="T1736" s="98">
        <v>1E-8</v>
      </c>
      <c r="U1736" s="80">
        <v>1E-8</v>
      </c>
      <c r="V1736" s="98">
        <v>1E-8</v>
      </c>
      <c r="W1736" s="98">
        <v>1E-8</v>
      </c>
      <c r="X1736" s="98">
        <v>1E-8</v>
      </c>
      <c r="Y1736" s="98">
        <v>1E-8</v>
      </c>
      <c r="Z1736" s="98">
        <v>1E-8</v>
      </c>
      <c r="AA1736" s="98">
        <v>1E-8</v>
      </c>
      <c r="AB1736" s="98">
        <v>1E-8</v>
      </c>
      <c r="AC1736" s="98">
        <v>1E-8</v>
      </c>
      <c r="AD1736" s="4"/>
    </row>
    <row r="1737" spans="1:30" x14ac:dyDescent="0.3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34"/>
      <c r="O1737" s="4"/>
      <c r="P1737" s="68"/>
      <c r="Q1737" s="68" t="s">
        <v>686</v>
      </c>
      <c r="R1737" s="109" t="s">
        <v>68</v>
      </c>
      <c r="S1737" s="109" t="s">
        <v>585</v>
      </c>
      <c r="T1737" s="81">
        <v>1E-8</v>
      </c>
      <c r="U1737" s="82">
        <v>1E-8</v>
      </c>
      <c r="V1737" s="81">
        <v>1E-8</v>
      </c>
      <c r="W1737" s="81">
        <v>1E-8</v>
      </c>
      <c r="X1737" s="81">
        <v>1E-8</v>
      </c>
      <c r="Y1737" s="81">
        <v>1E-8</v>
      </c>
      <c r="Z1737" s="81">
        <v>1E-8</v>
      </c>
      <c r="AA1737" s="81">
        <v>1E-8</v>
      </c>
      <c r="AB1737" s="81">
        <v>1E-8</v>
      </c>
      <c r="AC1737" s="81">
        <v>1E-8</v>
      </c>
      <c r="AD1737" s="4"/>
    </row>
    <row r="1738" spans="1:30" x14ac:dyDescent="0.3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34"/>
      <c r="O1738" s="4"/>
      <c r="P1738" s="96"/>
      <c r="Q1738" s="96" t="s">
        <v>687</v>
      </c>
      <c r="R1738" s="107" t="s">
        <v>68</v>
      </c>
      <c r="S1738" s="107" t="s">
        <v>358</v>
      </c>
      <c r="T1738" s="97">
        <v>1E-8</v>
      </c>
      <c r="U1738" s="78">
        <v>1E-8</v>
      </c>
      <c r="V1738" s="97">
        <v>1E-8</v>
      </c>
      <c r="W1738" s="97">
        <v>1E-8</v>
      </c>
      <c r="X1738" s="97">
        <v>1E-8</v>
      </c>
      <c r="Y1738" s="97">
        <v>1E-8</v>
      </c>
      <c r="Z1738" s="97">
        <v>1E-8</v>
      </c>
      <c r="AA1738" s="97">
        <v>1E-8</v>
      </c>
      <c r="AB1738" s="97">
        <v>1E-8</v>
      </c>
      <c r="AC1738" s="97">
        <v>1E-8</v>
      </c>
      <c r="AD1738" s="4"/>
    </row>
    <row r="1739" spans="1:30" x14ac:dyDescent="0.3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34"/>
      <c r="O1739" s="4"/>
      <c r="P1739" s="96"/>
      <c r="Q1739" s="96" t="s">
        <v>688</v>
      </c>
      <c r="R1739" s="107" t="s">
        <v>68</v>
      </c>
      <c r="S1739" s="107" t="s">
        <v>359</v>
      </c>
      <c r="T1739" s="97">
        <v>1E-8</v>
      </c>
      <c r="U1739" s="78">
        <v>1E-8</v>
      </c>
      <c r="V1739" s="97">
        <v>1E-8</v>
      </c>
      <c r="W1739" s="97">
        <v>1E-8</v>
      </c>
      <c r="X1739" s="97">
        <v>1E-8</v>
      </c>
      <c r="Y1739" s="97">
        <v>1E-8</v>
      </c>
      <c r="Z1739" s="97">
        <v>1E-8</v>
      </c>
      <c r="AA1739" s="97">
        <v>1E-8</v>
      </c>
      <c r="AB1739" s="97">
        <v>1E-8</v>
      </c>
      <c r="AC1739" s="97">
        <v>1E-8</v>
      </c>
      <c r="AD1739" s="4"/>
    </row>
    <row r="1740" spans="1:30" x14ac:dyDescent="0.3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34"/>
      <c r="O1740" s="4"/>
      <c r="P1740" s="96"/>
      <c r="Q1740" s="96" t="s">
        <v>689</v>
      </c>
      <c r="R1740" s="107" t="s">
        <v>68</v>
      </c>
      <c r="S1740" s="107" t="s">
        <v>360</v>
      </c>
      <c r="T1740" s="97">
        <v>1E-8</v>
      </c>
      <c r="U1740" s="78">
        <v>1E-8</v>
      </c>
      <c r="V1740" s="97">
        <v>1E-8</v>
      </c>
      <c r="W1740" s="97">
        <v>1E-8</v>
      </c>
      <c r="X1740" s="97">
        <v>1E-8</v>
      </c>
      <c r="Y1740" s="97">
        <v>1E-8</v>
      </c>
      <c r="Z1740" s="97">
        <v>1E-8</v>
      </c>
      <c r="AA1740" s="97">
        <v>1E-8</v>
      </c>
      <c r="AB1740" s="97">
        <v>1E-8</v>
      </c>
      <c r="AC1740" s="97">
        <v>1E-8</v>
      </c>
      <c r="AD1740" s="4"/>
    </row>
    <row r="1741" spans="1:30" x14ac:dyDescent="0.3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34"/>
      <c r="O1741" s="4"/>
      <c r="P1741" s="96"/>
      <c r="Q1741" s="96" t="s">
        <v>205</v>
      </c>
      <c r="R1741" s="107" t="s">
        <v>68</v>
      </c>
      <c r="S1741" s="107" t="s">
        <v>586</v>
      </c>
      <c r="T1741" s="97">
        <v>1E-8</v>
      </c>
      <c r="U1741" s="78">
        <v>1E-8</v>
      </c>
      <c r="V1741" s="97">
        <v>1E-8</v>
      </c>
      <c r="W1741" s="97">
        <v>1E-8</v>
      </c>
      <c r="X1741" s="97">
        <v>1E-8</v>
      </c>
      <c r="Y1741" s="97">
        <v>1E-8</v>
      </c>
      <c r="Z1741" s="97">
        <v>1E-8</v>
      </c>
      <c r="AA1741" s="97">
        <v>1E-8</v>
      </c>
      <c r="AB1741" s="97">
        <v>1E-8</v>
      </c>
      <c r="AC1741" s="97">
        <v>1E-8</v>
      </c>
      <c r="AD1741" s="4"/>
    </row>
    <row r="1742" spans="1:30" x14ac:dyDescent="0.3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34"/>
      <c r="O1742" s="4"/>
      <c r="P1742" s="68"/>
      <c r="Q1742" s="68" t="s">
        <v>690</v>
      </c>
      <c r="R1742" s="108" t="s">
        <v>68</v>
      </c>
      <c r="S1742" s="108" t="s">
        <v>587</v>
      </c>
      <c r="T1742" s="98">
        <v>1E-8</v>
      </c>
      <c r="U1742" s="80">
        <v>1E-8</v>
      </c>
      <c r="V1742" s="98">
        <v>1E-8</v>
      </c>
      <c r="W1742" s="98">
        <v>1E-8</v>
      </c>
      <c r="X1742" s="98">
        <v>1E-8</v>
      </c>
      <c r="Y1742" s="98">
        <v>1E-8</v>
      </c>
      <c r="Z1742" s="98">
        <v>1E-8</v>
      </c>
      <c r="AA1742" s="98">
        <v>1E-8</v>
      </c>
      <c r="AB1742" s="98">
        <v>1E-8</v>
      </c>
      <c r="AC1742" s="98">
        <v>1E-8</v>
      </c>
      <c r="AD1742" s="4"/>
    </row>
    <row r="1743" spans="1:30" x14ac:dyDescent="0.3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34"/>
      <c r="O1743" s="4"/>
      <c r="P1743" s="68"/>
      <c r="Q1743" s="68" t="s">
        <v>691</v>
      </c>
      <c r="R1743" s="108" t="s">
        <v>68</v>
      </c>
      <c r="S1743" s="108" t="s">
        <v>588</v>
      </c>
      <c r="T1743" s="98">
        <v>1E-8</v>
      </c>
      <c r="U1743" s="80">
        <v>1E-8</v>
      </c>
      <c r="V1743" s="98">
        <v>1E-8</v>
      </c>
      <c r="W1743" s="98">
        <v>1E-8</v>
      </c>
      <c r="X1743" s="98">
        <v>1E-8</v>
      </c>
      <c r="Y1743" s="98">
        <v>1E-8</v>
      </c>
      <c r="Z1743" s="98">
        <v>1E-8</v>
      </c>
      <c r="AA1743" s="98">
        <v>1E-8</v>
      </c>
      <c r="AB1743" s="98">
        <v>1E-8</v>
      </c>
      <c r="AC1743" s="98">
        <v>1E-8</v>
      </c>
      <c r="AD1743" s="4"/>
    </row>
    <row r="1744" spans="1:30" x14ac:dyDescent="0.3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34"/>
      <c r="O1744" s="4"/>
      <c r="P1744" s="68"/>
      <c r="Q1744" s="68" t="s">
        <v>692</v>
      </c>
      <c r="R1744" s="108" t="s">
        <v>68</v>
      </c>
      <c r="S1744" s="108" t="s">
        <v>589</v>
      </c>
      <c r="T1744" s="98">
        <v>1E-8</v>
      </c>
      <c r="U1744" s="80">
        <v>1E-8</v>
      </c>
      <c r="V1744" s="98">
        <v>1E-8</v>
      </c>
      <c r="W1744" s="98">
        <v>1E-8</v>
      </c>
      <c r="X1744" s="98">
        <v>1E-8</v>
      </c>
      <c r="Y1744" s="98">
        <v>1E-8</v>
      </c>
      <c r="Z1744" s="98">
        <v>1E-8</v>
      </c>
      <c r="AA1744" s="98">
        <v>1E-8</v>
      </c>
      <c r="AB1744" s="98">
        <v>1E-8</v>
      </c>
      <c r="AC1744" s="98">
        <v>1E-8</v>
      </c>
      <c r="AD1744" s="4"/>
    </row>
    <row r="1745" spans="1:30" x14ac:dyDescent="0.3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34"/>
      <c r="O1745" s="4"/>
      <c r="P1745" s="68"/>
      <c r="Q1745" s="68" t="s">
        <v>693</v>
      </c>
      <c r="R1745" s="108" t="s">
        <v>68</v>
      </c>
      <c r="S1745" s="108" t="s">
        <v>361</v>
      </c>
      <c r="T1745" s="98">
        <v>1E-8</v>
      </c>
      <c r="U1745" s="80">
        <v>1E-8</v>
      </c>
      <c r="V1745" s="98">
        <v>1E-8</v>
      </c>
      <c r="W1745" s="98">
        <v>1E-8</v>
      </c>
      <c r="X1745" s="98">
        <v>1E-8</v>
      </c>
      <c r="Y1745" s="98">
        <v>1E-8</v>
      </c>
      <c r="Z1745" s="98">
        <v>1E-8</v>
      </c>
      <c r="AA1745" s="98">
        <v>1E-8</v>
      </c>
      <c r="AB1745" s="98">
        <v>1E-8</v>
      </c>
      <c r="AC1745" s="98">
        <v>1E-8</v>
      </c>
      <c r="AD1745" s="4"/>
    </row>
    <row r="1746" spans="1:30" x14ac:dyDescent="0.3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34"/>
      <c r="O1746" s="4"/>
      <c r="P1746" s="68"/>
      <c r="Q1746" s="68" t="s">
        <v>694</v>
      </c>
      <c r="R1746" s="108" t="s">
        <v>68</v>
      </c>
      <c r="S1746" s="108" t="s">
        <v>590</v>
      </c>
      <c r="T1746" s="98">
        <v>1E-8</v>
      </c>
      <c r="U1746" s="80">
        <v>1E-8</v>
      </c>
      <c r="V1746" s="98">
        <v>1E-8</v>
      </c>
      <c r="W1746" s="98">
        <v>1E-8</v>
      </c>
      <c r="X1746" s="98">
        <v>1E-8</v>
      </c>
      <c r="Y1746" s="98">
        <v>1E-8</v>
      </c>
      <c r="Z1746" s="98">
        <v>1E-8</v>
      </c>
      <c r="AA1746" s="98">
        <v>1E-8</v>
      </c>
      <c r="AB1746" s="98">
        <v>1E-8</v>
      </c>
      <c r="AC1746" s="98">
        <v>1E-8</v>
      </c>
      <c r="AD1746" s="4"/>
    </row>
    <row r="1747" spans="1:30" ht="15" thickBot="1" x14ac:dyDescent="0.4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34"/>
      <c r="O1747" s="4"/>
      <c r="P1747" s="102"/>
      <c r="Q1747" s="102" t="s">
        <v>695</v>
      </c>
      <c r="R1747" s="113" t="s">
        <v>68</v>
      </c>
      <c r="S1747" s="113" t="s">
        <v>591</v>
      </c>
      <c r="T1747" s="103">
        <v>1E-8</v>
      </c>
      <c r="U1747" s="104">
        <v>1E-8</v>
      </c>
      <c r="V1747" s="103">
        <v>1E-8</v>
      </c>
      <c r="W1747" s="103">
        <v>1E-8</v>
      </c>
      <c r="X1747" s="103">
        <v>1E-8</v>
      </c>
      <c r="Y1747" s="103">
        <v>1E-8</v>
      </c>
      <c r="Z1747" s="103">
        <v>1E-8</v>
      </c>
      <c r="AA1747" s="103">
        <v>1E-8</v>
      </c>
      <c r="AB1747" s="103">
        <v>1E-8</v>
      </c>
      <c r="AC1747" s="103">
        <v>1E-8</v>
      </c>
      <c r="AD1747" s="4"/>
    </row>
    <row r="1748" spans="1:30" x14ac:dyDescent="0.3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34"/>
      <c r="O1748" s="4"/>
      <c r="P1748" s="47" t="s">
        <v>733</v>
      </c>
      <c r="Q1748" s="47" t="s">
        <v>102</v>
      </c>
      <c r="R1748" s="105" t="s">
        <v>75</v>
      </c>
      <c r="S1748" s="105" t="s">
        <v>288</v>
      </c>
      <c r="T1748" s="95">
        <v>100</v>
      </c>
      <c r="U1748" s="74">
        <v>1E-8</v>
      </c>
      <c r="V1748" s="95">
        <v>1E-8</v>
      </c>
      <c r="W1748" s="95">
        <v>1E-8</v>
      </c>
      <c r="X1748" s="95">
        <v>1E-8</v>
      </c>
      <c r="Y1748" s="95">
        <v>1E-8</v>
      </c>
      <c r="Z1748" s="95">
        <v>1E-8</v>
      </c>
      <c r="AA1748" s="95">
        <v>1E-8</v>
      </c>
      <c r="AB1748" s="95">
        <v>1E-8</v>
      </c>
      <c r="AC1748" s="95">
        <v>1E-8</v>
      </c>
      <c r="AD1748" s="4"/>
    </row>
    <row r="1749" spans="1:30" x14ac:dyDescent="0.3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34"/>
      <c r="O1749" s="4"/>
      <c r="P1749" s="47" t="s">
        <v>481</v>
      </c>
      <c r="Q1749" s="47" t="s">
        <v>278</v>
      </c>
      <c r="R1749" s="106" t="s">
        <v>75</v>
      </c>
      <c r="S1749" s="106" t="s">
        <v>289</v>
      </c>
      <c r="T1749" s="75">
        <v>100</v>
      </c>
      <c r="U1749" s="76">
        <v>1E-8</v>
      </c>
      <c r="V1749" s="75">
        <v>1E-8</v>
      </c>
      <c r="W1749" s="75">
        <v>1E-8</v>
      </c>
      <c r="X1749" s="75">
        <v>1E-8</v>
      </c>
      <c r="Y1749" s="75">
        <v>1E-8</v>
      </c>
      <c r="Z1749" s="75">
        <v>1E-8</v>
      </c>
      <c r="AA1749" s="75">
        <v>1E-8</v>
      </c>
      <c r="AB1749" s="75">
        <v>1E-8</v>
      </c>
      <c r="AC1749" s="75">
        <v>1E-8</v>
      </c>
      <c r="AD1749" s="4"/>
    </row>
    <row r="1750" spans="1:30" x14ac:dyDescent="0.3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34"/>
      <c r="O1750" s="4"/>
      <c r="P1750" s="96"/>
      <c r="Q1750" s="96" t="s">
        <v>279</v>
      </c>
      <c r="R1750" s="107" t="s">
        <v>75</v>
      </c>
      <c r="S1750" s="107" t="s">
        <v>290</v>
      </c>
      <c r="T1750" s="97">
        <v>48.826296172366071</v>
      </c>
      <c r="U1750" s="78">
        <v>1E-8</v>
      </c>
      <c r="V1750" s="97">
        <v>1E-8</v>
      </c>
      <c r="W1750" s="97">
        <v>1E-8</v>
      </c>
      <c r="X1750" s="97">
        <v>1E-8</v>
      </c>
      <c r="Y1750" s="97">
        <v>1E-8</v>
      </c>
      <c r="Z1750" s="97">
        <v>1E-8</v>
      </c>
      <c r="AA1750" s="97">
        <v>1E-8</v>
      </c>
      <c r="AB1750" s="97">
        <v>1E-8</v>
      </c>
      <c r="AC1750" s="97">
        <v>1E-8</v>
      </c>
      <c r="AD1750" s="4"/>
    </row>
    <row r="1751" spans="1:30" x14ac:dyDescent="0.3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34"/>
      <c r="O1751" s="4"/>
      <c r="P1751" s="96"/>
      <c r="Q1751" s="96" t="s">
        <v>362</v>
      </c>
      <c r="R1751" s="107" t="s">
        <v>75</v>
      </c>
      <c r="S1751" s="107" t="s">
        <v>291</v>
      </c>
      <c r="T1751" s="97">
        <v>43.254776882385109</v>
      </c>
      <c r="U1751" s="78">
        <v>1E-8</v>
      </c>
      <c r="V1751" s="97">
        <v>1E-8</v>
      </c>
      <c r="W1751" s="97">
        <v>1E-8</v>
      </c>
      <c r="X1751" s="97">
        <v>1E-8</v>
      </c>
      <c r="Y1751" s="97">
        <v>1E-8</v>
      </c>
      <c r="Z1751" s="97">
        <v>1E-8</v>
      </c>
      <c r="AA1751" s="97">
        <v>1E-8</v>
      </c>
      <c r="AB1751" s="97">
        <v>1E-8</v>
      </c>
      <c r="AC1751" s="97">
        <v>1E-8</v>
      </c>
      <c r="AD1751" s="4"/>
    </row>
    <row r="1752" spans="1:30" x14ac:dyDescent="0.3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34"/>
      <c r="O1752" s="4"/>
      <c r="P1752" s="96"/>
      <c r="Q1752" s="96" t="s">
        <v>363</v>
      </c>
      <c r="R1752" s="107" t="s">
        <v>75</v>
      </c>
      <c r="S1752" s="107" t="s">
        <v>292</v>
      </c>
      <c r="T1752" s="97">
        <v>5.5715192899809622</v>
      </c>
      <c r="U1752" s="78">
        <v>1E-8</v>
      </c>
      <c r="V1752" s="97">
        <v>1E-8</v>
      </c>
      <c r="W1752" s="97">
        <v>1E-8</v>
      </c>
      <c r="X1752" s="97">
        <v>1E-8</v>
      </c>
      <c r="Y1752" s="97">
        <v>1E-8</v>
      </c>
      <c r="Z1752" s="97">
        <v>1E-8</v>
      </c>
      <c r="AA1752" s="97">
        <v>1E-8</v>
      </c>
      <c r="AB1752" s="97">
        <v>1E-8</v>
      </c>
      <c r="AC1752" s="97">
        <v>1E-8</v>
      </c>
      <c r="AD1752" s="4"/>
    </row>
    <row r="1753" spans="1:30" x14ac:dyDescent="0.3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34"/>
      <c r="O1753" s="4"/>
      <c r="P1753" s="68"/>
      <c r="Q1753" s="68" t="s">
        <v>592</v>
      </c>
      <c r="R1753" s="108" t="s">
        <v>75</v>
      </c>
      <c r="S1753" s="108" t="s">
        <v>294</v>
      </c>
      <c r="T1753" s="98">
        <v>0.97880722421180544</v>
      </c>
      <c r="U1753" s="80">
        <v>1E-8</v>
      </c>
      <c r="V1753" s="98">
        <v>1E-8</v>
      </c>
      <c r="W1753" s="98">
        <v>1E-8</v>
      </c>
      <c r="X1753" s="98">
        <v>1E-8</v>
      </c>
      <c r="Y1753" s="98">
        <v>1E-8</v>
      </c>
      <c r="Z1753" s="98">
        <v>1E-8</v>
      </c>
      <c r="AA1753" s="98">
        <v>1E-8</v>
      </c>
      <c r="AB1753" s="98">
        <v>1E-8</v>
      </c>
      <c r="AC1753" s="98">
        <v>1E-8</v>
      </c>
      <c r="AD1753" s="4"/>
    </row>
    <row r="1754" spans="1:30" x14ac:dyDescent="0.3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34"/>
      <c r="O1754" s="4"/>
      <c r="P1754" s="68"/>
      <c r="Q1754" s="68" t="s">
        <v>593</v>
      </c>
      <c r="R1754" s="108" t="s">
        <v>75</v>
      </c>
      <c r="S1754" s="108" t="s">
        <v>293</v>
      </c>
      <c r="T1754" s="98">
        <v>2.3273801289173366</v>
      </c>
      <c r="U1754" s="80">
        <v>1E-8</v>
      </c>
      <c r="V1754" s="98">
        <v>1E-8</v>
      </c>
      <c r="W1754" s="98">
        <v>1E-8</v>
      </c>
      <c r="X1754" s="98">
        <v>1E-8</v>
      </c>
      <c r="Y1754" s="98">
        <v>1E-8</v>
      </c>
      <c r="Z1754" s="98">
        <v>1E-8</v>
      </c>
      <c r="AA1754" s="98">
        <v>1E-8</v>
      </c>
      <c r="AB1754" s="98">
        <v>1E-8</v>
      </c>
      <c r="AC1754" s="98">
        <v>1E-8</v>
      </c>
      <c r="AD1754" s="4"/>
    </row>
    <row r="1755" spans="1:30" x14ac:dyDescent="0.3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34"/>
      <c r="O1755" s="4"/>
      <c r="P1755" s="68"/>
      <c r="Q1755" s="68" t="s">
        <v>594</v>
      </c>
      <c r="R1755" s="108" t="s">
        <v>75</v>
      </c>
      <c r="S1755" s="108" t="s">
        <v>296</v>
      </c>
      <c r="T1755" s="98">
        <v>8.9079289768267858E-2</v>
      </c>
      <c r="U1755" s="80">
        <v>1E-8</v>
      </c>
      <c r="V1755" s="98">
        <v>1E-8</v>
      </c>
      <c r="W1755" s="98">
        <v>1E-8</v>
      </c>
      <c r="X1755" s="98">
        <v>1E-8</v>
      </c>
      <c r="Y1755" s="98">
        <v>1E-8</v>
      </c>
      <c r="Z1755" s="98">
        <v>1E-8</v>
      </c>
      <c r="AA1755" s="98">
        <v>1E-8</v>
      </c>
      <c r="AB1755" s="98">
        <v>1E-8</v>
      </c>
      <c r="AC1755" s="98">
        <v>1E-8</v>
      </c>
      <c r="AD1755" s="4"/>
    </row>
    <row r="1756" spans="1:30" x14ac:dyDescent="0.3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34"/>
      <c r="O1756" s="4"/>
      <c r="P1756" s="68"/>
      <c r="Q1756" s="68" t="s">
        <v>595</v>
      </c>
      <c r="R1756" s="108" t="s">
        <v>75</v>
      </c>
      <c r="S1756" s="108" t="s">
        <v>295</v>
      </c>
      <c r="T1756" s="98">
        <v>1.9746500954711803</v>
      </c>
      <c r="U1756" s="80">
        <v>1E-8</v>
      </c>
      <c r="V1756" s="98">
        <v>1E-8</v>
      </c>
      <c r="W1756" s="98">
        <v>1E-8</v>
      </c>
      <c r="X1756" s="98">
        <v>1E-8</v>
      </c>
      <c r="Y1756" s="98">
        <v>1E-8</v>
      </c>
      <c r="Z1756" s="98">
        <v>1E-8</v>
      </c>
      <c r="AA1756" s="98">
        <v>1E-8</v>
      </c>
      <c r="AB1756" s="98">
        <v>1E-8</v>
      </c>
      <c r="AC1756" s="98">
        <v>1E-8</v>
      </c>
      <c r="AD1756" s="4"/>
    </row>
    <row r="1757" spans="1:30" x14ac:dyDescent="0.3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34"/>
      <c r="O1757" s="4"/>
      <c r="P1757" s="68"/>
      <c r="Q1757" s="68" t="s">
        <v>596</v>
      </c>
      <c r="R1757" s="108" t="s">
        <v>75</v>
      </c>
      <c r="S1757" s="108" t="s">
        <v>297</v>
      </c>
      <c r="T1757" s="98">
        <v>6.2970582346612448E-3</v>
      </c>
      <c r="U1757" s="80">
        <v>1E-8</v>
      </c>
      <c r="V1757" s="98">
        <v>1E-8</v>
      </c>
      <c r="W1757" s="98">
        <v>1E-8</v>
      </c>
      <c r="X1757" s="98">
        <v>1E-8</v>
      </c>
      <c r="Y1757" s="98">
        <v>1E-8</v>
      </c>
      <c r="Z1757" s="98">
        <v>1E-8</v>
      </c>
      <c r="AA1757" s="98">
        <v>1E-8</v>
      </c>
      <c r="AB1757" s="98">
        <v>1E-8</v>
      </c>
      <c r="AC1757" s="98">
        <v>1E-8</v>
      </c>
      <c r="AD1757" s="4"/>
    </row>
    <row r="1758" spans="1:30" x14ac:dyDescent="0.3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34"/>
      <c r="O1758" s="4"/>
      <c r="P1758" s="68"/>
      <c r="Q1758" s="68" t="s">
        <v>597</v>
      </c>
      <c r="R1758" s="108" t="s">
        <v>75</v>
      </c>
      <c r="S1758" s="108" t="s">
        <v>301</v>
      </c>
      <c r="T1758" s="98">
        <v>5.4327003825948141</v>
      </c>
      <c r="U1758" s="80">
        <v>1E-8</v>
      </c>
      <c r="V1758" s="98">
        <v>1E-8</v>
      </c>
      <c r="W1758" s="98">
        <v>1E-8</v>
      </c>
      <c r="X1758" s="98">
        <v>1E-8</v>
      </c>
      <c r="Y1758" s="98">
        <v>1E-8</v>
      </c>
      <c r="Z1758" s="98">
        <v>1E-8</v>
      </c>
      <c r="AA1758" s="98">
        <v>1E-8</v>
      </c>
      <c r="AB1758" s="98">
        <v>1E-8</v>
      </c>
      <c r="AC1758" s="98">
        <v>1E-8</v>
      </c>
      <c r="AD1758" s="4"/>
    </row>
    <row r="1759" spans="1:30" x14ac:dyDescent="0.3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34"/>
      <c r="O1759" s="4"/>
      <c r="P1759" s="68"/>
      <c r="Q1759" s="68" t="s">
        <v>598</v>
      </c>
      <c r="R1759" s="108" t="s">
        <v>75</v>
      </c>
      <c r="S1759" s="108" t="s">
        <v>302</v>
      </c>
      <c r="T1759" s="98">
        <v>3.2521692771005646</v>
      </c>
      <c r="U1759" s="80">
        <v>1E-8</v>
      </c>
      <c r="V1759" s="98">
        <v>1E-8</v>
      </c>
      <c r="W1759" s="98">
        <v>1E-8</v>
      </c>
      <c r="X1759" s="98">
        <v>1E-8</v>
      </c>
      <c r="Y1759" s="98">
        <v>1E-8</v>
      </c>
      <c r="Z1759" s="98">
        <v>1E-8</v>
      </c>
      <c r="AA1759" s="98">
        <v>1E-8</v>
      </c>
      <c r="AB1759" s="98">
        <v>1E-8</v>
      </c>
      <c r="AC1759" s="98">
        <v>1E-8</v>
      </c>
      <c r="AD1759" s="4"/>
    </row>
    <row r="1760" spans="1:30" x14ac:dyDescent="0.3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34"/>
      <c r="O1760" s="4"/>
      <c r="P1760" s="68"/>
      <c r="Q1760" s="68" t="s">
        <v>599</v>
      </c>
      <c r="R1760" s="108" t="s">
        <v>75</v>
      </c>
      <c r="S1760" s="108" t="s">
        <v>300</v>
      </c>
      <c r="T1760" s="98">
        <v>2.9901231056783386</v>
      </c>
      <c r="U1760" s="80">
        <v>1E-8</v>
      </c>
      <c r="V1760" s="98">
        <v>1E-8</v>
      </c>
      <c r="W1760" s="98">
        <v>1E-8</v>
      </c>
      <c r="X1760" s="98">
        <v>1E-8</v>
      </c>
      <c r="Y1760" s="98">
        <v>1E-8</v>
      </c>
      <c r="Z1760" s="98">
        <v>1E-8</v>
      </c>
      <c r="AA1760" s="98">
        <v>1E-8</v>
      </c>
      <c r="AB1760" s="98">
        <v>1E-8</v>
      </c>
      <c r="AC1760" s="98">
        <v>1E-8</v>
      </c>
      <c r="AD1760" s="4"/>
    </row>
    <row r="1761" spans="1:30" x14ac:dyDescent="0.3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34"/>
      <c r="O1761" s="4"/>
      <c r="P1761" s="68"/>
      <c r="Q1761" s="68" t="s">
        <v>600</v>
      </c>
      <c r="R1761" s="108" t="s">
        <v>75</v>
      </c>
      <c r="S1761" s="108" t="s">
        <v>303</v>
      </c>
      <c r="T1761" s="98">
        <v>0.54089683283969814</v>
      </c>
      <c r="U1761" s="80">
        <v>1E-8</v>
      </c>
      <c r="V1761" s="98">
        <v>1E-8</v>
      </c>
      <c r="W1761" s="98">
        <v>1E-8</v>
      </c>
      <c r="X1761" s="98">
        <v>1E-8</v>
      </c>
      <c r="Y1761" s="98">
        <v>1E-8</v>
      </c>
      <c r="Z1761" s="98">
        <v>1E-8</v>
      </c>
      <c r="AA1761" s="98">
        <v>1E-8</v>
      </c>
      <c r="AB1761" s="98">
        <v>1E-8</v>
      </c>
      <c r="AC1761" s="98">
        <v>1E-8</v>
      </c>
      <c r="AD1761" s="4"/>
    </row>
    <row r="1762" spans="1:30" x14ac:dyDescent="0.3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34"/>
      <c r="O1762" s="4"/>
      <c r="P1762" s="68"/>
      <c r="Q1762" s="68" t="s">
        <v>601</v>
      </c>
      <c r="R1762" s="108" t="s">
        <v>75</v>
      </c>
      <c r="S1762" s="108" t="s">
        <v>533</v>
      </c>
      <c r="T1762" s="98">
        <v>9.4941706061133022</v>
      </c>
      <c r="U1762" s="80">
        <v>1E-8</v>
      </c>
      <c r="V1762" s="98">
        <v>1E-8</v>
      </c>
      <c r="W1762" s="98">
        <v>1E-8</v>
      </c>
      <c r="X1762" s="98">
        <v>1E-8</v>
      </c>
      <c r="Y1762" s="98">
        <v>1E-8</v>
      </c>
      <c r="Z1762" s="98">
        <v>1E-8</v>
      </c>
      <c r="AA1762" s="98">
        <v>1E-8</v>
      </c>
      <c r="AB1762" s="98">
        <v>1E-8</v>
      </c>
      <c r="AC1762" s="98">
        <v>1E-8</v>
      </c>
      <c r="AD1762" s="4"/>
    </row>
    <row r="1763" spans="1:30" x14ac:dyDescent="0.3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34"/>
      <c r="O1763" s="4"/>
      <c r="P1763" s="68"/>
      <c r="Q1763" s="68" t="s">
        <v>602</v>
      </c>
      <c r="R1763" s="108" t="s">
        <v>75</v>
      </c>
      <c r="S1763" s="108" t="s">
        <v>534</v>
      </c>
      <c r="T1763" s="98">
        <v>0.91510773886058616</v>
      </c>
      <c r="U1763" s="80">
        <v>1E-8</v>
      </c>
      <c r="V1763" s="98">
        <v>1E-8</v>
      </c>
      <c r="W1763" s="98">
        <v>1E-8</v>
      </c>
      <c r="X1763" s="98">
        <v>1E-8</v>
      </c>
      <c r="Y1763" s="98">
        <v>1E-8</v>
      </c>
      <c r="Z1763" s="98">
        <v>1E-8</v>
      </c>
      <c r="AA1763" s="98">
        <v>1E-8</v>
      </c>
      <c r="AB1763" s="98">
        <v>1E-8</v>
      </c>
      <c r="AC1763" s="98">
        <v>1E-8</v>
      </c>
      <c r="AD1763" s="4"/>
    </row>
    <row r="1764" spans="1:30" x14ac:dyDescent="0.3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34"/>
      <c r="O1764" s="4"/>
      <c r="P1764" s="68"/>
      <c r="Q1764" s="68" t="s">
        <v>603</v>
      </c>
      <c r="R1764" s="108" t="s">
        <v>75</v>
      </c>
      <c r="S1764" s="108" t="s">
        <v>304</v>
      </c>
      <c r="T1764" s="98">
        <v>5.4024360701605225</v>
      </c>
      <c r="U1764" s="80">
        <v>1E-8</v>
      </c>
      <c r="V1764" s="98">
        <v>1E-8</v>
      </c>
      <c r="W1764" s="98">
        <v>1E-8</v>
      </c>
      <c r="X1764" s="98">
        <v>1E-8</v>
      </c>
      <c r="Y1764" s="98">
        <v>1E-8</v>
      </c>
      <c r="Z1764" s="98">
        <v>1E-8</v>
      </c>
      <c r="AA1764" s="98">
        <v>1E-8</v>
      </c>
      <c r="AB1764" s="98">
        <v>1E-8</v>
      </c>
      <c r="AC1764" s="98">
        <v>1E-8</v>
      </c>
      <c r="AD1764" s="4"/>
    </row>
    <row r="1765" spans="1:30" x14ac:dyDescent="0.3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34"/>
      <c r="O1765" s="4"/>
      <c r="P1765" s="68"/>
      <c r="Q1765" s="68" t="s">
        <v>604</v>
      </c>
      <c r="R1765" s="108" t="s">
        <v>75</v>
      </c>
      <c r="S1765" s="108" t="s">
        <v>535</v>
      </c>
      <c r="T1765" s="98">
        <v>2.7472241570501041</v>
      </c>
      <c r="U1765" s="80">
        <v>1E-8</v>
      </c>
      <c r="V1765" s="98">
        <v>1E-8</v>
      </c>
      <c r="W1765" s="98">
        <v>1E-8</v>
      </c>
      <c r="X1765" s="98">
        <v>1E-8</v>
      </c>
      <c r="Y1765" s="98">
        <v>1E-8</v>
      </c>
      <c r="Z1765" s="98">
        <v>1E-8</v>
      </c>
      <c r="AA1765" s="98">
        <v>1E-8</v>
      </c>
      <c r="AB1765" s="98">
        <v>1E-8</v>
      </c>
      <c r="AC1765" s="98">
        <v>1E-8</v>
      </c>
      <c r="AD1765" s="4"/>
    </row>
    <row r="1766" spans="1:30" x14ac:dyDescent="0.3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34"/>
      <c r="O1766" s="4"/>
      <c r="P1766" s="68"/>
      <c r="Q1766" s="68" t="s">
        <v>605</v>
      </c>
      <c r="R1766" s="108" t="s">
        <v>75</v>
      </c>
      <c r="S1766" s="108" t="s">
        <v>536</v>
      </c>
      <c r="T1766" s="98">
        <v>5.034281643832748</v>
      </c>
      <c r="U1766" s="80">
        <v>1E-8</v>
      </c>
      <c r="V1766" s="98">
        <v>1E-8</v>
      </c>
      <c r="W1766" s="98">
        <v>1E-8</v>
      </c>
      <c r="X1766" s="98">
        <v>1E-8</v>
      </c>
      <c r="Y1766" s="98">
        <v>1E-8</v>
      </c>
      <c r="Z1766" s="98">
        <v>1E-8</v>
      </c>
      <c r="AA1766" s="98">
        <v>1E-8</v>
      </c>
      <c r="AB1766" s="98">
        <v>1E-8</v>
      </c>
      <c r="AC1766" s="98">
        <v>1E-8</v>
      </c>
      <c r="AD1766" s="4"/>
    </row>
    <row r="1767" spans="1:30" x14ac:dyDescent="0.3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34"/>
      <c r="O1767" s="4"/>
      <c r="P1767" s="68"/>
      <c r="Q1767" s="68" t="s">
        <v>606</v>
      </c>
      <c r="R1767" s="108" t="s">
        <v>75</v>
      </c>
      <c r="S1767" s="108" t="s">
        <v>537</v>
      </c>
      <c r="T1767" s="98">
        <v>0.91566703332056421</v>
      </c>
      <c r="U1767" s="80">
        <v>1E-8</v>
      </c>
      <c r="V1767" s="98">
        <v>1E-8</v>
      </c>
      <c r="W1767" s="98">
        <v>1E-8</v>
      </c>
      <c r="X1767" s="98">
        <v>1E-8</v>
      </c>
      <c r="Y1767" s="98">
        <v>1E-8</v>
      </c>
      <c r="Z1767" s="98">
        <v>1E-8</v>
      </c>
      <c r="AA1767" s="98">
        <v>1E-8</v>
      </c>
      <c r="AB1767" s="98">
        <v>1E-8</v>
      </c>
      <c r="AC1767" s="98">
        <v>1E-8</v>
      </c>
      <c r="AD1767" s="4"/>
    </row>
    <row r="1768" spans="1:30" x14ac:dyDescent="0.3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34"/>
      <c r="O1768" s="4"/>
      <c r="P1768" s="68"/>
      <c r="Q1768" s="68" t="s">
        <v>607</v>
      </c>
      <c r="R1768" s="108" t="s">
        <v>75</v>
      </c>
      <c r="S1768" s="108" t="s">
        <v>307</v>
      </c>
      <c r="T1768" s="98">
        <v>0.81662127385750427</v>
      </c>
      <c r="U1768" s="80">
        <v>1E-8</v>
      </c>
      <c r="V1768" s="98">
        <v>1E-8</v>
      </c>
      <c r="W1768" s="98">
        <v>1E-8</v>
      </c>
      <c r="X1768" s="98">
        <v>1E-8</v>
      </c>
      <c r="Y1768" s="98">
        <v>1E-8</v>
      </c>
      <c r="Z1768" s="98">
        <v>1E-8</v>
      </c>
      <c r="AA1768" s="98">
        <v>1E-8</v>
      </c>
      <c r="AB1768" s="98">
        <v>1E-8</v>
      </c>
      <c r="AC1768" s="98">
        <v>1E-8</v>
      </c>
      <c r="AD1768" s="4"/>
    </row>
    <row r="1769" spans="1:30" x14ac:dyDescent="0.3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34"/>
      <c r="O1769" s="4"/>
      <c r="P1769" s="68"/>
      <c r="Q1769" s="68" t="s">
        <v>608</v>
      </c>
      <c r="R1769" s="108" t="s">
        <v>75</v>
      </c>
      <c r="S1769" s="108" t="s">
        <v>298</v>
      </c>
      <c r="T1769" s="98">
        <v>0.25358655672963482</v>
      </c>
      <c r="U1769" s="80">
        <v>1E-8</v>
      </c>
      <c r="V1769" s="98">
        <v>1E-8</v>
      </c>
      <c r="W1769" s="98">
        <v>1E-8</v>
      </c>
      <c r="X1769" s="98">
        <v>1E-8</v>
      </c>
      <c r="Y1769" s="98">
        <v>1E-8</v>
      </c>
      <c r="Z1769" s="98">
        <v>1E-8</v>
      </c>
      <c r="AA1769" s="98">
        <v>1E-8</v>
      </c>
      <c r="AB1769" s="98">
        <v>1E-8</v>
      </c>
      <c r="AC1769" s="98">
        <v>1E-8</v>
      </c>
      <c r="AD1769" s="4"/>
    </row>
    <row r="1770" spans="1:30" x14ac:dyDescent="0.3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34"/>
      <c r="O1770" s="4"/>
      <c r="P1770" s="68"/>
      <c r="Q1770" s="68" t="s">
        <v>609</v>
      </c>
      <c r="R1770" s="108" t="s">
        <v>75</v>
      </c>
      <c r="S1770" s="108" t="s">
        <v>538</v>
      </c>
      <c r="T1770" s="98">
        <v>8.3578407643465802E-2</v>
      </c>
      <c r="U1770" s="80">
        <v>1E-8</v>
      </c>
      <c r="V1770" s="98">
        <v>1E-8</v>
      </c>
      <c r="W1770" s="98">
        <v>1E-8</v>
      </c>
      <c r="X1770" s="98">
        <v>1E-8</v>
      </c>
      <c r="Y1770" s="98">
        <v>1E-8</v>
      </c>
      <c r="Z1770" s="98">
        <v>1E-8</v>
      </c>
      <c r="AA1770" s="98">
        <v>1E-8</v>
      </c>
      <c r="AB1770" s="98">
        <v>1E-8</v>
      </c>
      <c r="AC1770" s="98">
        <v>1E-8</v>
      </c>
      <c r="AD1770" s="4"/>
    </row>
    <row r="1771" spans="1:30" x14ac:dyDescent="0.3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34"/>
      <c r="O1771" s="4"/>
      <c r="P1771" s="68"/>
      <c r="Q1771" s="68" t="s">
        <v>610</v>
      </c>
      <c r="R1771" s="108" t="s">
        <v>75</v>
      </c>
      <c r="S1771" s="108" t="s">
        <v>299</v>
      </c>
      <c r="T1771" s="98">
        <v>1E-8</v>
      </c>
      <c r="U1771" s="80">
        <v>1E-8</v>
      </c>
      <c r="V1771" s="98">
        <v>1E-8</v>
      </c>
      <c r="W1771" s="98">
        <v>1E-8</v>
      </c>
      <c r="X1771" s="98">
        <v>1E-8</v>
      </c>
      <c r="Y1771" s="98">
        <v>1E-8</v>
      </c>
      <c r="Z1771" s="98">
        <v>1E-8</v>
      </c>
      <c r="AA1771" s="98">
        <v>1E-8</v>
      </c>
      <c r="AB1771" s="98">
        <v>1E-8</v>
      </c>
      <c r="AC1771" s="98">
        <v>1E-8</v>
      </c>
      <c r="AD1771" s="4"/>
    </row>
    <row r="1772" spans="1:30" x14ac:dyDescent="0.3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34"/>
      <c r="O1772" s="4"/>
      <c r="P1772" s="68"/>
      <c r="Q1772" s="68" t="s">
        <v>611</v>
      </c>
      <c r="R1772" s="108" t="s">
        <v>75</v>
      </c>
      <c r="S1772" s="108" t="s">
        <v>309</v>
      </c>
      <c r="T1772" s="98">
        <v>3.0186433872072036</v>
      </c>
      <c r="U1772" s="80">
        <v>1E-8</v>
      </c>
      <c r="V1772" s="98">
        <v>1E-8</v>
      </c>
      <c r="W1772" s="98">
        <v>1E-8</v>
      </c>
      <c r="X1772" s="98">
        <v>1E-8</v>
      </c>
      <c r="Y1772" s="98">
        <v>1E-8</v>
      </c>
      <c r="Z1772" s="98">
        <v>1E-8</v>
      </c>
      <c r="AA1772" s="98">
        <v>1E-8</v>
      </c>
      <c r="AB1772" s="98">
        <v>1E-8</v>
      </c>
      <c r="AC1772" s="98">
        <v>1E-8</v>
      </c>
      <c r="AD1772" s="4"/>
    </row>
    <row r="1773" spans="1:30" x14ac:dyDescent="0.3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34"/>
      <c r="O1773" s="4"/>
      <c r="P1773" s="68"/>
      <c r="Q1773" s="68" t="s">
        <v>612</v>
      </c>
      <c r="R1773" s="108" t="s">
        <v>75</v>
      </c>
      <c r="S1773" s="108" t="s">
        <v>308</v>
      </c>
      <c r="T1773" s="98">
        <v>0.88116784963058781</v>
      </c>
      <c r="U1773" s="80">
        <v>1E-8</v>
      </c>
      <c r="V1773" s="98">
        <v>1E-8</v>
      </c>
      <c r="W1773" s="98">
        <v>1E-8</v>
      </c>
      <c r="X1773" s="98">
        <v>1E-8</v>
      </c>
      <c r="Y1773" s="98">
        <v>1E-8</v>
      </c>
      <c r="Z1773" s="98">
        <v>1E-8</v>
      </c>
      <c r="AA1773" s="98">
        <v>1E-8</v>
      </c>
      <c r="AB1773" s="98">
        <v>1E-8</v>
      </c>
      <c r="AC1773" s="98">
        <v>1E-8</v>
      </c>
      <c r="AD1773" s="4"/>
    </row>
    <row r="1774" spans="1:30" x14ac:dyDescent="0.3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34"/>
      <c r="O1774" s="4"/>
      <c r="P1774" s="68"/>
      <c r="Q1774" s="68" t="s">
        <v>613</v>
      </c>
      <c r="R1774" s="108" t="s">
        <v>75</v>
      </c>
      <c r="S1774" s="108" t="s">
        <v>306</v>
      </c>
      <c r="T1774" s="98">
        <v>0.13954056186512623</v>
      </c>
      <c r="U1774" s="80">
        <v>1E-8</v>
      </c>
      <c r="V1774" s="98">
        <v>1E-8</v>
      </c>
      <c r="W1774" s="98">
        <v>1E-8</v>
      </c>
      <c r="X1774" s="98">
        <v>1E-8</v>
      </c>
      <c r="Y1774" s="98">
        <v>1E-8</v>
      </c>
      <c r="Z1774" s="98">
        <v>1E-8</v>
      </c>
      <c r="AA1774" s="98">
        <v>1E-8</v>
      </c>
      <c r="AB1774" s="98">
        <v>1E-8</v>
      </c>
      <c r="AC1774" s="98">
        <v>1E-8</v>
      </c>
      <c r="AD1774" s="4"/>
    </row>
    <row r="1775" spans="1:30" x14ac:dyDescent="0.3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34"/>
      <c r="O1775" s="4"/>
      <c r="P1775" s="68"/>
      <c r="Q1775" s="68" t="s">
        <v>614</v>
      </c>
      <c r="R1775" s="108" t="s">
        <v>75</v>
      </c>
      <c r="S1775" s="108" t="s">
        <v>305</v>
      </c>
      <c r="T1775" s="98">
        <v>0.3080113208188644</v>
      </c>
      <c r="U1775" s="80">
        <v>1E-8</v>
      </c>
      <c r="V1775" s="98">
        <v>1E-8</v>
      </c>
      <c r="W1775" s="98">
        <v>1E-8</v>
      </c>
      <c r="X1775" s="98">
        <v>1E-8</v>
      </c>
      <c r="Y1775" s="98">
        <v>1E-8</v>
      </c>
      <c r="Z1775" s="98">
        <v>1E-8</v>
      </c>
      <c r="AA1775" s="98">
        <v>1E-8</v>
      </c>
      <c r="AB1775" s="98">
        <v>1E-8</v>
      </c>
      <c r="AC1775" s="98">
        <v>1E-8</v>
      </c>
      <c r="AD1775" s="4"/>
    </row>
    <row r="1776" spans="1:30" x14ac:dyDescent="0.3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34"/>
      <c r="O1776" s="4"/>
      <c r="P1776" s="68"/>
      <c r="Q1776" s="68" t="s">
        <v>615</v>
      </c>
      <c r="R1776" s="108" t="s">
        <v>75</v>
      </c>
      <c r="S1776" s="108" t="s">
        <v>539</v>
      </c>
      <c r="T1776" s="98">
        <v>0.25221088897023403</v>
      </c>
      <c r="U1776" s="80">
        <v>1E-8</v>
      </c>
      <c r="V1776" s="98">
        <v>1E-8</v>
      </c>
      <c r="W1776" s="98">
        <v>1E-8</v>
      </c>
      <c r="X1776" s="98">
        <v>1E-8</v>
      </c>
      <c r="Y1776" s="98">
        <v>1E-8</v>
      </c>
      <c r="Z1776" s="98">
        <v>1E-8</v>
      </c>
      <c r="AA1776" s="98">
        <v>1E-8</v>
      </c>
      <c r="AB1776" s="98">
        <v>1E-8</v>
      </c>
      <c r="AC1776" s="98">
        <v>1E-8</v>
      </c>
      <c r="AD1776" s="4"/>
    </row>
    <row r="1777" spans="1:30" x14ac:dyDescent="0.3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34"/>
      <c r="O1777" s="4"/>
      <c r="P1777" s="68"/>
      <c r="Q1777" s="68" t="s">
        <v>616</v>
      </c>
      <c r="R1777" s="109" t="s">
        <v>75</v>
      </c>
      <c r="S1777" s="109" t="s">
        <v>310</v>
      </c>
      <c r="T1777" s="81">
        <v>0.97194528148894699</v>
      </c>
      <c r="U1777" s="82">
        <v>1E-8</v>
      </c>
      <c r="V1777" s="81">
        <v>1E-8</v>
      </c>
      <c r="W1777" s="81">
        <v>1E-8</v>
      </c>
      <c r="X1777" s="81">
        <v>1E-8</v>
      </c>
      <c r="Y1777" s="81">
        <v>1E-8</v>
      </c>
      <c r="Z1777" s="81">
        <v>1E-8</v>
      </c>
      <c r="AA1777" s="81">
        <v>1E-8</v>
      </c>
      <c r="AB1777" s="81">
        <v>1E-8</v>
      </c>
      <c r="AC1777" s="81">
        <v>1E-8</v>
      </c>
      <c r="AD1777" s="4"/>
    </row>
    <row r="1778" spans="1:30" x14ac:dyDescent="0.3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34"/>
      <c r="O1778" s="4"/>
      <c r="P1778" s="96"/>
      <c r="Q1778" s="96" t="s">
        <v>280</v>
      </c>
      <c r="R1778" s="107" t="s">
        <v>75</v>
      </c>
      <c r="S1778" s="107" t="s">
        <v>311</v>
      </c>
      <c r="T1778" s="97">
        <v>1E-8</v>
      </c>
      <c r="U1778" s="78">
        <v>1E-8</v>
      </c>
      <c r="V1778" s="97">
        <v>1E-8</v>
      </c>
      <c r="W1778" s="97">
        <v>1E-8</v>
      </c>
      <c r="X1778" s="97">
        <v>1E-8</v>
      </c>
      <c r="Y1778" s="97">
        <v>1E-8</v>
      </c>
      <c r="Z1778" s="97">
        <v>1E-8</v>
      </c>
      <c r="AA1778" s="97">
        <v>1E-8</v>
      </c>
      <c r="AB1778" s="97">
        <v>1E-8</v>
      </c>
      <c r="AC1778" s="97">
        <v>1E-8</v>
      </c>
      <c r="AD1778" s="4"/>
    </row>
    <row r="1779" spans="1:30" x14ac:dyDescent="0.3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34"/>
      <c r="O1779" s="4"/>
      <c r="P1779" s="68"/>
      <c r="Q1779" s="68" t="s">
        <v>617</v>
      </c>
      <c r="R1779" s="108" t="s">
        <v>75</v>
      </c>
      <c r="S1779" s="108" t="s">
        <v>312</v>
      </c>
      <c r="T1779" s="98">
        <v>1E-8</v>
      </c>
      <c r="U1779" s="80">
        <v>1E-8</v>
      </c>
      <c r="V1779" s="98">
        <v>1E-8</v>
      </c>
      <c r="W1779" s="98">
        <v>1E-8</v>
      </c>
      <c r="X1779" s="98">
        <v>1E-8</v>
      </c>
      <c r="Y1779" s="98">
        <v>1E-8</v>
      </c>
      <c r="Z1779" s="98">
        <v>1E-8</v>
      </c>
      <c r="AA1779" s="98">
        <v>1E-8</v>
      </c>
      <c r="AB1779" s="98">
        <v>1E-8</v>
      </c>
      <c r="AC1779" s="98">
        <v>1E-8</v>
      </c>
      <c r="AD1779" s="4"/>
    </row>
    <row r="1780" spans="1:30" x14ac:dyDescent="0.3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34"/>
      <c r="O1780" s="4"/>
      <c r="P1780" s="68"/>
      <c r="Q1780" s="68" t="s">
        <v>618</v>
      </c>
      <c r="R1780" s="108" t="s">
        <v>75</v>
      </c>
      <c r="S1780" s="108" t="s">
        <v>316</v>
      </c>
      <c r="T1780" s="98">
        <v>1E-8</v>
      </c>
      <c r="U1780" s="80">
        <v>1E-8</v>
      </c>
      <c r="V1780" s="98">
        <v>1E-8</v>
      </c>
      <c r="W1780" s="98">
        <v>1E-8</v>
      </c>
      <c r="X1780" s="98">
        <v>1E-8</v>
      </c>
      <c r="Y1780" s="98">
        <v>1E-8</v>
      </c>
      <c r="Z1780" s="98">
        <v>1E-8</v>
      </c>
      <c r="AA1780" s="98">
        <v>1E-8</v>
      </c>
      <c r="AB1780" s="98">
        <v>1E-8</v>
      </c>
      <c r="AC1780" s="98">
        <v>1E-8</v>
      </c>
      <c r="AD1780" s="4"/>
    </row>
    <row r="1781" spans="1:30" x14ac:dyDescent="0.3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34"/>
      <c r="O1781" s="4"/>
      <c r="P1781" s="68"/>
      <c r="Q1781" s="68" t="s">
        <v>619</v>
      </c>
      <c r="R1781" s="108" t="s">
        <v>75</v>
      </c>
      <c r="S1781" s="108" t="s">
        <v>314</v>
      </c>
      <c r="T1781" s="98">
        <v>1E-8</v>
      </c>
      <c r="U1781" s="80">
        <v>1E-8</v>
      </c>
      <c r="V1781" s="98">
        <v>1E-8</v>
      </c>
      <c r="W1781" s="98">
        <v>1E-8</v>
      </c>
      <c r="X1781" s="98">
        <v>1E-8</v>
      </c>
      <c r="Y1781" s="98">
        <v>1E-8</v>
      </c>
      <c r="Z1781" s="98">
        <v>1E-8</v>
      </c>
      <c r="AA1781" s="98">
        <v>1E-8</v>
      </c>
      <c r="AB1781" s="98">
        <v>1E-8</v>
      </c>
      <c r="AC1781" s="98">
        <v>1E-8</v>
      </c>
      <c r="AD1781" s="4"/>
    </row>
    <row r="1782" spans="1:30" x14ac:dyDescent="0.3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34"/>
      <c r="O1782" s="4"/>
      <c r="P1782" s="68"/>
      <c r="Q1782" s="68" t="s">
        <v>620</v>
      </c>
      <c r="R1782" s="108" t="s">
        <v>75</v>
      </c>
      <c r="S1782" s="108" t="s">
        <v>317</v>
      </c>
      <c r="T1782" s="98">
        <v>1E-8</v>
      </c>
      <c r="U1782" s="80">
        <v>1E-8</v>
      </c>
      <c r="V1782" s="98">
        <v>1E-8</v>
      </c>
      <c r="W1782" s="98">
        <v>1E-8</v>
      </c>
      <c r="X1782" s="98">
        <v>1E-8</v>
      </c>
      <c r="Y1782" s="98">
        <v>1E-8</v>
      </c>
      <c r="Z1782" s="98">
        <v>1E-8</v>
      </c>
      <c r="AA1782" s="98">
        <v>1E-8</v>
      </c>
      <c r="AB1782" s="98">
        <v>1E-8</v>
      </c>
      <c r="AC1782" s="98">
        <v>1E-8</v>
      </c>
      <c r="AD1782" s="4"/>
    </row>
    <row r="1783" spans="1:30" x14ac:dyDescent="0.3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34"/>
      <c r="O1783" s="4"/>
      <c r="P1783" s="68"/>
      <c r="Q1783" s="68" t="s">
        <v>621</v>
      </c>
      <c r="R1783" s="108" t="s">
        <v>75</v>
      </c>
      <c r="S1783" s="108" t="s">
        <v>313</v>
      </c>
      <c r="T1783" s="98">
        <v>1E-8</v>
      </c>
      <c r="U1783" s="80">
        <v>1E-8</v>
      </c>
      <c r="V1783" s="98">
        <v>1E-8</v>
      </c>
      <c r="W1783" s="98">
        <v>1E-8</v>
      </c>
      <c r="X1783" s="98">
        <v>1E-8</v>
      </c>
      <c r="Y1783" s="98">
        <v>1E-8</v>
      </c>
      <c r="Z1783" s="98">
        <v>1E-8</v>
      </c>
      <c r="AA1783" s="98">
        <v>1E-8</v>
      </c>
      <c r="AB1783" s="98">
        <v>1E-8</v>
      </c>
      <c r="AC1783" s="98">
        <v>1E-8</v>
      </c>
      <c r="AD1783" s="4"/>
    </row>
    <row r="1784" spans="1:30" x14ac:dyDescent="0.3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34"/>
      <c r="O1784" s="4"/>
      <c r="P1784" s="68"/>
      <c r="Q1784" s="68" t="s">
        <v>622</v>
      </c>
      <c r="R1784" s="108" t="s">
        <v>75</v>
      </c>
      <c r="S1784" s="108" t="s">
        <v>315</v>
      </c>
      <c r="T1784" s="98">
        <v>1E-8</v>
      </c>
      <c r="U1784" s="80">
        <v>1E-8</v>
      </c>
      <c r="V1784" s="98">
        <v>1E-8</v>
      </c>
      <c r="W1784" s="98">
        <v>1E-8</v>
      </c>
      <c r="X1784" s="98">
        <v>1E-8</v>
      </c>
      <c r="Y1784" s="98">
        <v>1E-8</v>
      </c>
      <c r="Z1784" s="98">
        <v>1E-8</v>
      </c>
      <c r="AA1784" s="98">
        <v>1E-8</v>
      </c>
      <c r="AB1784" s="98">
        <v>1E-8</v>
      </c>
      <c r="AC1784" s="98">
        <v>1E-8</v>
      </c>
      <c r="AD1784" s="4"/>
    </row>
    <row r="1785" spans="1:30" x14ac:dyDescent="0.3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34"/>
      <c r="O1785" s="4"/>
      <c r="P1785" s="68"/>
      <c r="Q1785" s="68" t="s">
        <v>623</v>
      </c>
      <c r="R1785" s="108" t="s">
        <v>75</v>
      </c>
      <c r="S1785" s="108" t="s">
        <v>540</v>
      </c>
      <c r="T1785" s="98">
        <v>1E-8</v>
      </c>
      <c r="U1785" s="80">
        <v>1E-8</v>
      </c>
      <c r="V1785" s="98">
        <v>1E-8</v>
      </c>
      <c r="W1785" s="98">
        <v>1E-8</v>
      </c>
      <c r="X1785" s="98">
        <v>1E-8</v>
      </c>
      <c r="Y1785" s="98">
        <v>1E-8</v>
      </c>
      <c r="Z1785" s="98">
        <v>1E-8</v>
      </c>
      <c r="AA1785" s="98">
        <v>1E-8</v>
      </c>
      <c r="AB1785" s="98">
        <v>1E-8</v>
      </c>
      <c r="AC1785" s="98">
        <v>1E-8</v>
      </c>
      <c r="AD1785" s="4"/>
    </row>
    <row r="1786" spans="1:30" x14ac:dyDescent="0.3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34"/>
      <c r="O1786" s="4"/>
      <c r="P1786" s="68"/>
      <c r="Q1786" s="68" t="s">
        <v>624</v>
      </c>
      <c r="R1786" s="109" t="s">
        <v>75</v>
      </c>
      <c r="S1786" s="109" t="s">
        <v>541</v>
      </c>
      <c r="T1786" s="81">
        <v>1E-8</v>
      </c>
      <c r="U1786" s="82">
        <v>1E-8</v>
      </c>
      <c r="V1786" s="81">
        <v>1E-8</v>
      </c>
      <c r="W1786" s="81">
        <v>1E-8</v>
      </c>
      <c r="X1786" s="81">
        <v>1E-8</v>
      </c>
      <c r="Y1786" s="81">
        <v>1E-8</v>
      </c>
      <c r="Z1786" s="81">
        <v>1E-8</v>
      </c>
      <c r="AA1786" s="81">
        <v>1E-8</v>
      </c>
      <c r="AB1786" s="81">
        <v>1E-8</v>
      </c>
      <c r="AC1786" s="81">
        <v>1E-8</v>
      </c>
      <c r="AD1786" s="4"/>
    </row>
    <row r="1787" spans="1:30" x14ac:dyDescent="0.3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34"/>
      <c r="O1787" s="4"/>
      <c r="P1787" s="96"/>
      <c r="Q1787" s="96" t="s">
        <v>281</v>
      </c>
      <c r="R1787" s="107" t="s">
        <v>75</v>
      </c>
      <c r="S1787" s="107" t="s">
        <v>318</v>
      </c>
      <c r="T1787" s="97">
        <v>51.173703827633929</v>
      </c>
      <c r="U1787" s="78">
        <v>1E-8</v>
      </c>
      <c r="V1787" s="97">
        <v>1E-8</v>
      </c>
      <c r="W1787" s="97">
        <v>1E-8</v>
      </c>
      <c r="X1787" s="97">
        <v>1E-8</v>
      </c>
      <c r="Y1787" s="97">
        <v>1E-8</v>
      </c>
      <c r="Z1787" s="97">
        <v>1E-8</v>
      </c>
      <c r="AA1787" s="97">
        <v>1E-8</v>
      </c>
      <c r="AB1787" s="97">
        <v>1E-8</v>
      </c>
      <c r="AC1787" s="97">
        <v>1E-8</v>
      </c>
      <c r="AD1787" s="4"/>
    </row>
    <row r="1788" spans="1:30" x14ac:dyDescent="0.3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34"/>
      <c r="O1788" s="4"/>
      <c r="P1788" s="96"/>
      <c r="Q1788" s="96" t="s">
        <v>135</v>
      </c>
      <c r="R1788" s="107" t="s">
        <v>75</v>
      </c>
      <c r="S1788" s="107" t="s">
        <v>542</v>
      </c>
      <c r="T1788" s="97">
        <v>47.971226478823787</v>
      </c>
      <c r="U1788" s="78">
        <v>1E-8</v>
      </c>
      <c r="V1788" s="97">
        <v>1E-8</v>
      </c>
      <c r="W1788" s="97">
        <v>1E-8</v>
      </c>
      <c r="X1788" s="97">
        <v>1E-8</v>
      </c>
      <c r="Y1788" s="97">
        <v>1E-8</v>
      </c>
      <c r="Z1788" s="97">
        <v>1E-8</v>
      </c>
      <c r="AA1788" s="97">
        <v>1E-8</v>
      </c>
      <c r="AB1788" s="97">
        <v>1E-8</v>
      </c>
      <c r="AC1788" s="97">
        <v>1E-8</v>
      </c>
      <c r="AD1788" s="4"/>
    </row>
    <row r="1789" spans="1:30" x14ac:dyDescent="0.3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34"/>
      <c r="O1789" s="4"/>
      <c r="P1789" s="68"/>
      <c r="Q1789" s="68" t="s">
        <v>625</v>
      </c>
      <c r="R1789" s="108" t="s">
        <v>75</v>
      </c>
      <c r="S1789" s="108" t="s">
        <v>543</v>
      </c>
      <c r="T1789" s="98">
        <v>38.374796465162312</v>
      </c>
      <c r="U1789" s="80">
        <v>1E-8</v>
      </c>
      <c r="V1789" s="98">
        <v>1E-8</v>
      </c>
      <c r="W1789" s="98">
        <v>1E-8</v>
      </c>
      <c r="X1789" s="98">
        <v>1E-8</v>
      </c>
      <c r="Y1789" s="98">
        <v>1E-8</v>
      </c>
      <c r="Z1789" s="98">
        <v>1E-8</v>
      </c>
      <c r="AA1789" s="98">
        <v>1E-8</v>
      </c>
      <c r="AB1789" s="98">
        <v>1E-8</v>
      </c>
      <c r="AC1789" s="98">
        <v>1E-8</v>
      </c>
      <c r="AD1789" s="4"/>
    </row>
    <row r="1790" spans="1:30" x14ac:dyDescent="0.3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34"/>
      <c r="O1790" s="4"/>
      <c r="P1790" s="68"/>
      <c r="Q1790" s="68" t="s">
        <v>626</v>
      </c>
      <c r="R1790" s="108" t="s">
        <v>75</v>
      </c>
      <c r="S1790" s="108" t="s">
        <v>544</v>
      </c>
      <c r="T1790" s="98">
        <v>7.3158703549011728</v>
      </c>
      <c r="U1790" s="80">
        <v>1E-8</v>
      </c>
      <c r="V1790" s="98">
        <v>1E-8</v>
      </c>
      <c r="W1790" s="98">
        <v>1E-8</v>
      </c>
      <c r="X1790" s="98">
        <v>1E-8</v>
      </c>
      <c r="Y1790" s="98">
        <v>1E-8</v>
      </c>
      <c r="Z1790" s="98">
        <v>1E-8</v>
      </c>
      <c r="AA1790" s="98">
        <v>1E-8</v>
      </c>
      <c r="AB1790" s="98">
        <v>1E-8</v>
      </c>
      <c r="AC1790" s="98">
        <v>1E-8</v>
      </c>
      <c r="AD1790" s="4"/>
    </row>
    <row r="1791" spans="1:30" x14ac:dyDescent="0.3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34"/>
      <c r="O1791" s="4"/>
      <c r="P1791" s="68"/>
      <c r="Q1791" s="68" t="s">
        <v>627</v>
      </c>
      <c r="R1791" s="108" t="s">
        <v>75</v>
      </c>
      <c r="S1791" s="108" t="s">
        <v>319</v>
      </c>
      <c r="T1791" s="98">
        <v>2.2805596587602972</v>
      </c>
      <c r="U1791" s="80">
        <v>1E-8</v>
      </c>
      <c r="V1791" s="98">
        <v>1E-8</v>
      </c>
      <c r="W1791" s="98">
        <v>1E-8</v>
      </c>
      <c r="X1791" s="98">
        <v>1E-8</v>
      </c>
      <c r="Y1791" s="98">
        <v>1E-8</v>
      </c>
      <c r="Z1791" s="98">
        <v>1E-8</v>
      </c>
      <c r="AA1791" s="98">
        <v>1E-8</v>
      </c>
      <c r="AB1791" s="98">
        <v>1E-8</v>
      </c>
      <c r="AC1791" s="98">
        <v>1E-8</v>
      </c>
      <c r="AD1791" s="4"/>
    </row>
    <row r="1792" spans="1:30" x14ac:dyDescent="0.3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34"/>
      <c r="O1792" s="4"/>
      <c r="P1792" s="71"/>
      <c r="Q1792" s="71" t="s">
        <v>628</v>
      </c>
      <c r="R1792" s="110" t="s">
        <v>75</v>
      </c>
      <c r="S1792" s="110" t="s">
        <v>320</v>
      </c>
      <c r="T1792" s="83">
        <v>3.2024773488101448</v>
      </c>
      <c r="U1792" s="84">
        <v>1E-8</v>
      </c>
      <c r="V1792" s="83">
        <v>1E-8</v>
      </c>
      <c r="W1792" s="83">
        <v>1E-8</v>
      </c>
      <c r="X1792" s="83">
        <v>1E-8</v>
      </c>
      <c r="Y1792" s="83">
        <v>1E-8</v>
      </c>
      <c r="Z1792" s="83">
        <v>1E-8</v>
      </c>
      <c r="AA1792" s="83">
        <v>1E-8</v>
      </c>
      <c r="AB1792" s="83">
        <v>1E-8</v>
      </c>
      <c r="AC1792" s="83">
        <v>1E-8</v>
      </c>
      <c r="AD1792" s="4"/>
    </row>
    <row r="1793" spans="1:30" x14ac:dyDescent="0.3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34"/>
      <c r="O1793" s="4"/>
      <c r="P1793" s="99"/>
      <c r="Q1793" s="99" t="s">
        <v>282</v>
      </c>
      <c r="R1793" s="105" t="s">
        <v>75</v>
      </c>
      <c r="S1793" s="105" t="s">
        <v>321</v>
      </c>
      <c r="T1793" s="95">
        <v>1E-8</v>
      </c>
      <c r="U1793" s="74">
        <v>1E-8</v>
      </c>
      <c r="V1793" s="95">
        <v>1E-8</v>
      </c>
      <c r="W1793" s="95">
        <v>1E-8</v>
      </c>
      <c r="X1793" s="95">
        <v>1E-8</v>
      </c>
      <c r="Y1793" s="95">
        <v>1E-8</v>
      </c>
      <c r="Z1793" s="95">
        <v>1E-8</v>
      </c>
      <c r="AA1793" s="95">
        <v>1E-8</v>
      </c>
      <c r="AB1793" s="95">
        <v>1E-8</v>
      </c>
      <c r="AC1793" s="95">
        <v>1E-8</v>
      </c>
      <c r="AD1793" s="4"/>
    </row>
    <row r="1794" spans="1:30" x14ac:dyDescent="0.3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34"/>
      <c r="O1794" s="4"/>
      <c r="P1794" s="99"/>
      <c r="Q1794" s="99" t="s">
        <v>283</v>
      </c>
      <c r="R1794" s="105" t="s">
        <v>75</v>
      </c>
      <c r="S1794" s="105" t="s">
        <v>322</v>
      </c>
      <c r="T1794" s="95">
        <v>1E-8</v>
      </c>
      <c r="U1794" s="74">
        <v>1E-8</v>
      </c>
      <c r="V1794" s="95">
        <v>1E-8</v>
      </c>
      <c r="W1794" s="95">
        <v>1E-8</v>
      </c>
      <c r="X1794" s="95">
        <v>1E-8</v>
      </c>
      <c r="Y1794" s="95">
        <v>1E-8</v>
      </c>
      <c r="Z1794" s="95">
        <v>1E-8</v>
      </c>
      <c r="AA1794" s="95">
        <v>1E-8</v>
      </c>
      <c r="AB1794" s="95">
        <v>1E-8</v>
      </c>
      <c r="AC1794" s="95">
        <v>1E-8</v>
      </c>
      <c r="AD1794" s="4"/>
    </row>
    <row r="1795" spans="1:30" x14ac:dyDescent="0.3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34"/>
      <c r="O1795" s="4"/>
      <c r="P1795" s="96"/>
      <c r="Q1795" s="96" t="s">
        <v>284</v>
      </c>
      <c r="R1795" s="107" t="s">
        <v>75</v>
      </c>
      <c r="S1795" s="107" t="s">
        <v>323</v>
      </c>
      <c r="T1795" s="97">
        <v>1E-8</v>
      </c>
      <c r="U1795" s="78">
        <v>1E-8</v>
      </c>
      <c r="V1795" s="97">
        <v>1E-8</v>
      </c>
      <c r="W1795" s="97">
        <v>1E-8</v>
      </c>
      <c r="X1795" s="97">
        <v>1E-8</v>
      </c>
      <c r="Y1795" s="97">
        <v>1E-8</v>
      </c>
      <c r="Z1795" s="97">
        <v>1E-8</v>
      </c>
      <c r="AA1795" s="97">
        <v>1E-8</v>
      </c>
      <c r="AB1795" s="97">
        <v>1E-8</v>
      </c>
      <c r="AC1795" s="97">
        <v>1E-8</v>
      </c>
      <c r="AD1795" s="4"/>
    </row>
    <row r="1796" spans="1:30" x14ac:dyDescent="0.3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34"/>
      <c r="O1796" s="4"/>
      <c r="P1796" s="68"/>
      <c r="Q1796" s="68" t="s">
        <v>629</v>
      </c>
      <c r="R1796" s="108" t="s">
        <v>75</v>
      </c>
      <c r="S1796" s="108" t="s">
        <v>324</v>
      </c>
      <c r="T1796" s="98">
        <v>1E-8</v>
      </c>
      <c r="U1796" s="80">
        <v>1E-8</v>
      </c>
      <c r="V1796" s="98">
        <v>1E-8</v>
      </c>
      <c r="W1796" s="98">
        <v>1E-8</v>
      </c>
      <c r="X1796" s="98">
        <v>1E-8</v>
      </c>
      <c r="Y1796" s="98">
        <v>1E-8</v>
      </c>
      <c r="Z1796" s="98">
        <v>1E-8</v>
      </c>
      <c r="AA1796" s="98">
        <v>1E-8</v>
      </c>
      <c r="AB1796" s="98">
        <v>1E-8</v>
      </c>
      <c r="AC1796" s="98">
        <v>1E-8</v>
      </c>
      <c r="AD1796" s="4"/>
    </row>
    <row r="1797" spans="1:30" x14ac:dyDescent="0.3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34"/>
      <c r="O1797" s="4"/>
      <c r="P1797" s="68"/>
      <c r="Q1797" s="68" t="s">
        <v>630</v>
      </c>
      <c r="R1797" s="108" t="s">
        <v>75</v>
      </c>
      <c r="S1797" s="108" t="s">
        <v>545</v>
      </c>
      <c r="T1797" s="98">
        <v>1E-8</v>
      </c>
      <c r="U1797" s="80">
        <v>1E-8</v>
      </c>
      <c r="V1797" s="98">
        <v>1E-8</v>
      </c>
      <c r="W1797" s="98">
        <v>1E-8</v>
      </c>
      <c r="X1797" s="98">
        <v>1E-8</v>
      </c>
      <c r="Y1797" s="98">
        <v>1E-8</v>
      </c>
      <c r="Z1797" s="98">
        <v>1E-8</v>
      </c>
      <c r="AA1797" s="98">
        <v>1E-8</v>
      </c>
      <c r="AB1797" s="98">
        <v>1E-8</v>
      </c>
      <c r="AC1797" s="98">
        <v>1E-8</v>
      </c>
      <c r="AD1797" s="4"/>
    </row>
    <row r="1798" spans="1:30" x14ac:dyDescent="0.3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34"/>
      <c r="O1798" s="4"/>
      <c r="P1798" s="68"/>
      <c r="Q1798" s="68" t="s">
        <v>631</v>
      </c>
      <c r="R1798" s="109" t="s">
        <v>75</v>
      </c>
      <c r="S1798" s="109" t="s">
        <v>325</v>
      </c>
      <c r="T1798" s="81">
        <v>1E-8</v>
      </c>
      <c r="U1798" s="82">
        <v>1E-8</v>
      </c>
      <c r="V1798" s="81">
        <v>1E-8</v>
      </c>
      <c r="W1798" s="81">
        <v>1E-8</v>
      </c>
      <c r="X1798" s="81">
        <v>1E-8</v>
      </c>
      <c r="Y1798" s="81">
        <v>1E-8</v>
      </c>
      <c r="Z1798" s="81">
        <v>1E-8</v>
      </c>
      <c r="AA1798" s="81">
        <v>1E-8</v>
      </c>
      <c r="AB1798" s="81">
        <v>1E-8</v>
      </c>
      <c r="AC1798" s="81">
        <v>1E-8</v>
      </c>
      <c r="AD1798" s="4"/>
    </row>
    <row r="1799" spans="1:30" x14ac:dyDescent="0.3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34"/>
      <c r="O1799" s="4"/>
      <c r="P1799" s="96"/>
      <c r="Q1799" s="96" t="s">
        <v>285</v>
      </c>
      <c r="R1799" s="107" t="s">
        <v>75</v>
      </c>
      <c r="S1799" s="107" t="s">
        <v>326</v>
      </c>
      <c r="T1799" s="97">
        <v>1E-8</v>
      </c>
      <c r="U1799" s="78">
        <v>1E-8</v>
      </c>
      <c r="V1799" s="97">
        <v>1E-8</v>
      </c>
      <c r="W1799" s="97">
        <v>1E-8</v>
      </c>
      <c r="X1799" s="97">
        <v>1E-8</v>
      </c>
      <c r="Y1799" s="97">
        <v>1E-8</v>
      </c>
      <c r="Z1799" s="97">
        <v>1E-8</v>
      </c>
      <c r="AA1799" s="97">
        <v>1E-8</v>
      </c>
      <c r="AB1799" s="97">
        <v>1E-8</v>
      </c>
      <c r="AC1799" s="97">
        <v>1E-8</v>
      </c>
      <c r="AD1799" s="4"/>
    </row>
    <row r="1800" spans="1:30" x14ac:dyDescent="0.3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34"/>
      <c r="O1800" s="4"/>
      <c r="P1800" s="68"/>
      <c r="Q1800" s="68" t="s">
        <v>364</v>
      </c>
      <c r="R1800" s="108" t="s">
        <v>75</v>
      </c>
      <c r="S1800" s="108" t="s">
        <v>327</v>
      </c>
      <c r="T1800" s="98">
        <v>1E-8</v>
      </c>
      <c r="U1800" s="80">
        <v>1E-8</v>
      </c>
      <c r="V1800" s="98">
        <v>1E-8</v>
      </c>
      <c r="W1800" s="98">
        <v>1E-8</v>
      </c>
      <c r="X1800" s="98">
        <v>1E-8</v>
      </c>
      <c r="Y1800" s="98">
        <v>1E-8</v>
      </c>
      <c r="Z1800" s="98">
        <v>1E-8</v>
      </c>
      <c r="AA1800" s="98">
        <v>1E-8</v>
      </c>
      <c r="AB1800" s="98">
        <v>1E-8</v>
      </c>
      <c r="AC1800" s="98">
        <v>1E-8</v>
      </c>
      <c r="AD1800" s="4"/>
    </row>
    <row r="1801" spans="1:30" x14ac:dyDescent="0.3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34"/>
      <c r="O1801" s="4"/>
      <c r="P1801" s="100"/>
      <c r="Q1801" s="100" t="s">
        <v>632</v>
      </c>
      <c r="R1801" s="111" t="s">
        <v>75</v>
      </c>
      <c r="S1801" s="111" t="s">
        <v>328</v>
      </c>
      <c r="T1801" s="101">
        <v>1E-8</v>
      </c>
      <c r="U1801" s="86">
        <v>1E-8</v>
      </c>
      <c r="V1801" s="101">
        <v>1E-8</v>
      </c>
      <c r="W1801" s="101">
        <v>1E-8</v>
      </c>
      <c r="X1801" s="101">
        <v>1E-8</v>
      </c>
      <c r="Y1801" s="101">
        <v>1E-8</v>
      </c>
      <c r="Z1801" s="101">
        <v>1E-8</v>
      </c>
      <c r="AA1801" s="101">
        <v>1E-8</v>
      </c>
      <c r="AB1801" s="101">
        <v>1E-8</v>
      </c>
      <c r="AC1801" s="101">
        <v>1E-8</v>
      </c>
      <c r="AD1801" s="4"/>
    </row>
    <row r="1802" spans="1:30" x14ac:dyDescent="0.3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34"/>
      <c r="O1802" s="4"/>
      <c r="P1802" s="100"/>
      <c r="Q1802" s="100" t="s">
        <v>633</v>
      </c>
      <c r="R1802" s="111" t="s">
        <v>75</v>
      </c>
      <c r="S1802" s="111" t="s">
        <v>329</v>
      </c>
      <c r="T1802" s="101">
        <v>1E-8</v>
      </c>
      <c r="U1802" s="86">
        <v>1E-8</v>
      </c>
      <c r="V1802" s="101">
        <v>1E-8</v>
      </c>
      <c r="W1802" s="101">
        <v>1E-8</v>
      </c>
      <c r="X1802" s="101">
        <v>1E-8</v>
      </c>
      <c r="Y1802" s="101">
        <v>1E-8</v>
      </c>
      <c r="Z1802" s="101">
        <v>1E-8</v>
      </c>
      <c r="AA1802" s="101">
        <v>1E-8</v>
      </c>
      <c r="AB1802" s="101">
        <v>1E-8</v>
      </c>
      <c r="AC1802" s="101">
        <v>1E-8</v>
      </c>
      <c r="AD1802" s="4"/>
    </row>
    <row r="1803" spans="1:30" x14ac:dyDescent="0.3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34"/>
      <c r="O1803" s="4"/>
      <c r="P1803" s="100"/>
      <c r="Q1803" s="100" t="s">
        <v>634</v>
      </c>
      <c r="R1803" s="111" t="s">
        <v>75</v>
      </c>
      <c r="S1803" s="111" t="s">
        <v>331</v>
      </c>
      <c r="T1803" s="101">
        <v>1E-8</v>
      </c>
      <c r="U1803" s="86">
        <v>1E-8</v>
      </c>
      <c r="V1803" s="101">
        <v>1E-8</v>
      </c>
      <c r="W1803" s="101">
        <v>1E-8</v>
      </c>
      <c r="X1803" s="101">
        <v>1E-8</v>
      </c>
      <c r="Y1803" s="101">
        <v>1E-8</v>
      </c>
      <c r="Z1803" s="101">
        <v>1E-8</v>
      </c>
      <c r="AA1803" s="101">
        <v>1E-8</v>
      </c>
      <c r="AB1803" s="101">
        <v>1E-8</v>
      </c>
      <c r="AC1803" s="101">
        <v>1E-8</v>
      </c>
      <c r="AD1803" s="4"/>
    </row>
    <row r="1804" spans="1:30" x14ac:dyDescent="0.3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34"/>
      <c r="O1804" s="4"/>
      <c r="P1804" s="100"/>
      <c r="Q1804" s="100" t="s">
        <v>635</v>
      </c>
      <c r="R1804" s="111" t="s">
        <v>75</v>
      </c>
      <c r="S1804" s="111" t="s">
        <v>332</v>
      </c>
      <c r="T1804" s="101">
        <v>1E-8</v>
      </c>
      <c r="U1804" s="86">
        <v>1E-8</v>
      </c>
      <c r="V1804" s="101">
        <v>1E-8</v>
      </c>
      <c r="W1804" s="101">
        <v>1E-8</v>
      </c>
      <c r="X1804" s="101">
        <v>1E-8</v>
      </c>
      <c r="Y1804" s="101">
        <v>1E-8</v>
      </c>
      <c r="Z1804" s="101">
        <v>1E-8</v>
      </c>
      <c r="AA1804" s="101">
        <v>1E-8</v>
      </c>
      <c r="AB1804" s="101">
        <v>1E-8</v>
      </c>
      <c r="AC1804" s="101">
        <v>1E-8</v>
      </c>
      <c r="AD1804" s="4"/>
    </row>
    <row r="1805" spans="1:30" x14ac:dyDescent="0.3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34"/>
      <c r="O1805" s="4"/>
      <c r="P1805" s="100"/>
      <c r="Q1805" s="100" t="s">
        <v>636</v>
      </c>
      <c r="R1805" s="111" t="s">
        <v>75</v>
      </c>
      <c r="S1805" s="111" t="s">
        <v>330</v>
      </c>
      <c r="T1805" s="101">
        <v>1E-8</v>
      </c>
      <c r="U1805" s="86">
        <v>1E-8</v>
      </c>
      <c r="V1805" s="101">
        <v>1E-8</v>
      </c>
      <c r="W1805" s="101">
        <v>1E-8</v>
      </c>
      <c r="X1805" s="101">
        <v>1E-8</v>
      </c>
      <c r="Y1805" s="101">
        <v>1E-8</v>
      </c>
      <c r="Z1805" s="101">
        <v>1E-8</v>
      </c>
      <c r="AA1805" s="101">
        <v>1E-8</v>
      </c>
      <c r="AB1805" s="101">
        <v>1E-8</v>
      </c>
      <c r="AC1805" s="101">
        <v>1E-8</v>
      </c>
      <c r="AD1805" s="4"/>
    </row>
    <row r="1806" spans="1:30" x14ac:dyDescent="0.3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34"/>
      <c r="O1806" s="4"/>
      <c r="P1806" s="100"/>
      <c r="Q1806" s="100" t="s">
        <v>637</v>
      </c>
      <c r="R1806" s="111" t="s">
        <v>75</v>
      </c>
      <c r="S1806" s="111" t="s">
        <v>333</v>
      </c>
      <c r="T1806" s="101">
        <v>1E-8</v>
      </c>
      <c r="U1806" s="86">
        <v>1E-8</v>
      </c>
      <c r="V1806" s="101">
        <v>1E-8</v>
      </c>
      <c r="W1806" s="101">
        <v>1E-8</v>
      </c>
      <c r="X1806" s="101">
        <v>1E-8</v>
      </c>
      <c r="Y1806" s="101">
        <v>1E-8</v>
      </c>
      <c r="Z1806" s="101">
        <v>1E-8</v>
      </c>
      <c r="AA1806" s="101">
        <v>1E-8</v>
      </c>
      <c r="AB1806" s="101">
        <v>1E-8</v>
      </c>
      <c r="AC1806" s="101">
        <v>1E-8</v>
      </c>
      <c r="AD1806" s="4"/>
    </row>
    <row r="1807" spans="1:30" x14ac:dyDescent="0.3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34"/>
      <c r="O1807" s="4"/>
      <c r="P1807" s="100"/>
      <c r="Q1807" s="100" t="s">
        <v>638</v>
      </c>
      <c r="R1807" s="111" t="s">
        <v>75</v>
      </c>
      <c r="S1807" s="111" t="s">
        <v>546</v>
      </c>
      <c r="T1807" s="101">
        <v>1E-8</v>
      </c>
      <c r="U1807" s="86">
        <v>1E-8</v>
      </c>
      <c r="V1807" s="101">
        <v>1E-8</v>
      </c>
      <c r="W1807" s="101">
        <v>1E-8</v>
      </c>
      <c r="X1807" s="101">
        <v>1E-8</v>
      </c>
      <c r="Y1807" s="101">
        <v>1E-8</v>
      </c>
      <c r="Z1807" s="101">
        <v>1E-8</v>
      </c>
      <c r="AA1807" s="101">
        <v>1E-8</v>
      </c>
      <c r="AB1807" s="101">
        <v>1E-8</v>
      </c>
      <c r="AC1807" s="101">
        <v>1E-8</v>
      </c>
      <c r="AD1807" s="4"/>
    </row>
    <row r="1808" spans="1:30" x14ac:dyDescent="0.3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34"/>
      <c r="O1808" s="4"/>
      <c r="P1808" s="100"/>
      <c r="Q1808" s="100" t="s">
        <v>639</v>
      </c>
      <c r="R1808" s="111" t="s">
        <v>75</v>
      </c>
      <c r="S1808" s="111" t="s">
        <v>335</v>
      </c>
      <c r="T1808" s="101">
        <v>1E-8</v>
      </c>
      <c r="U1808" s="86">
        <v>1E-8</v>
      </c>
      <c r="V1808" s="101">
        <v>1E-8</v>
      </c>
      <c r="W1808" s="101">
        <v>1E-8</v>
      </c>
      <c r="X1808" s="101">
        <v>1E-8</v>
      </c>
      <c r="Y1808" s="101">
        <v>1E-8</v>
      </c>
      <c r="Z1808" s="101">
        <v>1E-8</v>
      </c>
      <c r="AA1808" s="101">
        <v>1E-8</v>
      </c>
      <c r="AB1808" s="101">
        <v>1E-8</v>
      </c>
      <c r="AC1808" s="101">
        <v>1E-8</v>
      </c>
      <c r="AD1808" s="4"/>
    </row>
    <row r="1809" spans="1:30" x14ac:dyDescent="0.3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34"/>
      <c r="O1809" s="4"/>
      <c r="P1809" s="100"/>
      <c r="Q1809" s="100" t="s">
        <v>640</v>
      </c>
      <c r="R1809" s="111" t="s">
        <v>75</v>
      </c>
      <c r="S1809" s="111" t="s">
        <v>334</v>
      </c>
      <c r="T1809" s="101">
        <v>1E-8</v>
      </c>
      <c r="U1809" s="86">
        <v>1E-8</v>
      </c>
      <c r="V1809" s="101">
        <v>1E-8</v>
      </c>
      <c r="W1809" s="101">
        <v>1E-8</v>
      </c>
      <c r="X1809" s="101">
        <v>1E-8</v>
      </c>
      <c r="Y1809" s="101">
        <v>1E-8</v>
      </c>
      <c r="Z1809" s="101">
        <v>1E-8</v>
      </c>
      <c r="AA1809" s="101">
        <v>1E-8</v>
      </c>
      <c r="AB1809" s="101">
        <v>1E-8</v>
      </c>
      <c r="AC1809" s="101">
        <v>1E-8</v>
      </c>
      <c r="AD1809" s="4"/>
    </row>
    <row r="1810" spans="1:30" x14ac:dyDescent="0.3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34"/>
      <c r="O1810" s="4"/>
      <c r="P1810" s="68"/>
      <c r="Q1810" s="68" t="s">
        <v>365</v>
      </c>
      <c r="R1810" s="108" t="s">
        <v>75</v>
      </c>
      <c r="S1810" s="108" t="s">
        <v>374</v>
      </c>
      <c r="T1810" s="98">
        <v>1E-8</v>
      </c>
      <c r="U1810" s="80">
        <v>1E-8</v>
      </c>
      <c r="V1810" s="98">
        <v>1E-8</v>
      </c>
      <c r="W1810" s="98">
        <v>1E-8</v>
      </c>
      <c r="X1810" s="98">
        <v>1E-8</v>
      </c>
      <c r="Y1810" s="98">
        <v>1E-8</v>
      </c>
      <c r="Z1810" s="98">
        <v>1E-8</v>
      </c>
      <c r="AA1810" s="98">
        <v>1E-8</v>
      </c>
      <c r="AB1810" s="98">
        <v>1E-8</v>
      </c>
      <c r="AC1810" s="98">
        <v>1E-8</v>
      </c>
      <c r="AD1810" s="4"/>
    </row>
    <row r="1811" spans="1:30" x14ac:dyDescent="0.3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34"/>
      <c r="O1811" s="4"/>
      <c r="P1811" s="100"/>
      <c r="Q1811" s="100" t="s">
        <v>641</v>
      </c>
      <c r="R1811" s="111" t="s">
        <v>75</v>
      </c>
      <c r="S1811" s="111" t="s">
        <v>547</v>
      </c>
      <c r="T1811" s="101">
        <v>1E-8</v>
      </c>
      <c r="U1811" s="86">
        <v>1E-8</v>
      </c>
      <c r="V1811" s="101">
        <v>1E-8</v>
      </c>
      <c r="W1811" s="101">
        <v>1E-8</v>
      </c>
      <c r="X1811" s="101">
        <v>1E-8</v>
      </c>
      <c r="Y1811" s="101">
        <v>1E-8</v>
      </c>
      <c r="Z1811" s="101">
        <v>1E-8</v>
      </c>
      <c r="AA1811" s="101">
        <v>1E-8</v>
      </c>
      <c r="AB1811" s="101">
        <v>1E-8</v>
      </c>
      <c r="AC1811" s="101">
        <v>1E-8</v>
      </c>
      <c r="AD1811" s="4"/>
    </row>
    <row r="1812" spans="1:30" x14ac:dyDescent="0.3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34"/>
      <c r="O1812" s="4"/>
      <c r="P1812" s="100"/>
      <c r="Q1812" s="100" t="s">
        <v>642</v>
      </c>
      <c r="R1812" s="111" t="s">
        <v>75</v>
      </c>
      <c r="S1812" s="111" t="s">
        <v>336</v>
      </c>
      <c r="T1812" s="101">
        <v>1E-8</v>
      </c>
      <c r="U1812" s="86">
        <v>1E-8</v>
      </c>
      <c r="V1812" s="101">
        <v>1E-8</v>
      </c>
      <c r="W1812" s="101">
        <v>1E-8</v>
      </c>
      <c r="X1812" s="101">
        <v>1E-8</v>
      </c>
      <c r="Y1812" s="101">
        <v>1E-8</v>
      </c>
      <c r="Z1812" s="101">
        <v>1E-8</v>
      </c>
      <c r="AA1812" s="101">
        <v>1E-8</v>
      </c>
      <c r="AB1812" s="101">
        <v>1E-8</v>
      </c>
      <c r="AC1812" s="101">
        <v>1E-8</v>
      </c>
      <c r="AD1812" s="4"/>
    </row>
    <row r="1813" spans="1:30" x14ac:dyDescent="0.3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34"/>
      <c r="O1813" s="4"/>
      <c r="P1813" s="100"/>
      <c r="Q1813" s="100" t="s">
        <v>643</v>
      </c>
      <c r="R1813" s="112" t="s">
        <v>75</v>
      </c>
      <c r="S1813" s="112" t="s">
        <v>337</v>
      </c>
      <c r="T1813" s="87">
        <v>1E-8</v>
      </c>
      <c r="U1813" s="88">
        <v>1E-8</v>
      </c>
      <c r="V1813" s="87">
        <v>1E-8</v>
      </c>
      <c r="W1813" s="87">
        <v>1E-8</v>
      </c>
      <c r="X1813" s="87">
        <v>1E-8</v>
      </c>
      <c r="Y1813" s="87">
        <v>1E-8</v>
      </c>
      <c r="Z1813" s="87">
        <v>1E-8</v>
      </c>
      <c r="AA1813" s="87">
        <v>1E-8</v>
      </c>
      <c r="AB1813" s="87">
        <v>1E-8</v>
      </c>
      <c r="AC1813" s="87">
        <v>1E-8</v>
      </c>
      <c r="AD1813" s="4"/>
    </row>
    <row r="1814" spans="1:30" x14ac:dyDescent="0.3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34"/>
      <c r="O1814" s="4"/>
      <c r="P1814" s="68"/>
      <c r="Q1814" s="68" t="s">
        <v>644</v>
      </c>
      <c r="R1814" s="108" t="s">
        <v>75</v>
      </c>
      <c r="S1814" s="108" t="s">
        <v>338</v>
      </c>
      <c r="T1814" s="98">
        <v>1E-8</v>
      </c>
      <c r="U1814" s="80">
        <v>1E-8</v>
      </c>
      <c r="V1814" s="98">
        <v>1E-8</v>
      </c>
      <c r="W1814" s="98">
        <v>1E-8</v>
      </c>
      <c r="X1814" s="98">
        <v>1E-8</v>
      </c>
      <c r="Y1814" s="98">
        <v>1E-8</v>
      </c>
      <c r="Z1814" s="98">
        <v>1E-8</v>
      </c>
      <c r="AA1814" s="98">
        <v>1E-8</v>
      </c>
      <c r="AB1814" s="98">
        <v>1E-8</v>
      </c>
      <c r="AC1814" s="98">
        <v>1E-8</v>
      </c>
      <c r="AD1814" s="4"/>
    </row>
    <row r="1815" spans="1:30" x14ac:dyDescent="0.3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34"/>
      <c r="O1815" s="4"/>
      <c r="P1815" s="68"/>
      <c r="Q1815" s="68" t="s">
        <v>366</v>
      </c>
      <c r="R1815" s="108" t="s">
        <v>75</v>
      </c>
      <c r="S1815" s="108" t="s">
        <v>339</v>
      </c>
      <c r="T1815" s="98">
        <v>1E-8</v>
      </c>
      <c r="U1815" s="80">
        <v>1E-8</v>
      </c>
      <c r="V1815" s="98">
        <v>1E-8</v>
      </c>
      <c r="W1815" s="98">
        <v>1E-8</v>
      </c>
      <c r="X1815" s="98">
        <v>1E-8</v>
      </c>
      <c r="Y1815" s="98">
        <v>1E-8</v>
      </c>
      <c r="Z1815" s="98">
        <v>1E-8</v>
      </c>
      <c r="AA1815" s="98">
        <v>1E-8</v>
      </c>
      <c r="AB1815" s="98">
        <v>1E-8</v>
      </c>
      <c r="AC1815" s="98">
        <v>1E-8</v>
      </c>
      <c r="AD1815" s="4"/>
    </row>
    <row r="1816" spans="1:30" x14ac:dyDescent="0.3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34"/>
      <c r="O1816" s="4"/>
      <c r="P1816" s="100"/>
      <c r="Q1816" s="100" t="s">
        <v>645</v>
      </c>
      <c r="R1816" s="111" t="s">
        <v>75</v>
      </c>
      <c r="S1816" s="111" t="s">
        <v>340</v>
      </c>
      <c r="T1816" s="101">
        <v>1E-8</v>
      </c>
      <c r="U1816" s="86">
        <v>1E-8</v>
      </c>
      <c r="V1816" s="101">
        <v>1E-8</v>
      </c>
      <c r="W1816" s="101">
        <v>1E-8</v>
      </c>
      <c r="X1816" s="101">
        <v>1E-8</v>
      </c>
      <c r="Y1816" s="101">
        <v>1E-8</v>
      </c>
      <c r="Z1816" s="101">
        <v>1E-8</v>
      </c>
      <c r="AA1816" s="101">
        <v>1E-8</v>
      </c>
      <c r="AB1816" s="101">
        <v>1E-8</v>
      </c>
      <c r="AC1816" s="101">
        <v>1E-8</v>
      </c>
      <c r="AD1816" s="4"/>
    </row>
    <row r="1817" spans="1:30" x14ac:dyDescent="0.3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34"/>
      <c r="O1817" s="4"/>
      <c r="P1817" s="100"/>
      <c r="Q1817" s="100" t="s">
        <v>646</v>
      </c>
      <c r="R1817" s="111" t="s">
        <v>75</v>
      </c>
      <c r="S1817" s="111" t="s">
        <v>548</v>
      </c>
      <c r="T1817" s="101">
        <v>1E-8</v>
      </c>
      <c r="U1817" s="86">
        <v>1E-8</v>
      </c>
      <c r="V1817" s="101">
        <v>1E-8</v>
      </c>
      <c r="W1817" s="101">
        <v>1E-8</v>
      </c>
      <c r="X1817" s="101">
        <v>1E-8</v>
      </c>
      <c r="Y1817" s="101">
        <v>1E-8</v>
      </c>
      <c r="Z1817" s="101">
        <v>1E-8</v>
      </c>
      <c r="AA1817" s="101">
        <v>1E-8</v>
      </c>
      <c r="AB1817" s="101">
        <v>1E-8</v>
      </c>
      <c r="AC1817" s="101">
        <v>1E-8</v>
      </c>
      <c r="AD1817" s="4"/>
    </row>
    <row r="1818" spans="1:30" x14ac:dyDescent="0.3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34"/>
      <c r="O1818" s="4"/>
      <c r="P1818" s="68"/>
      <c r="Q1818" s="68" t="s">
        <v>367</v>
      </c>
      <c r="R1818" s="108" t="s">
        <v>75</v>
      </c>
      <c r="S1818" s="108" t="s">
        <v>341</v>
      </c>
      <c r="T1818" s="98">
        <v>1E-8</v>
      </c>
      <c r="U1818" s="80">
        <v>1E-8</v>
      </c>
      <c r="V1818" s="98">
        <v>1E-8</v>
      </c>
      <c r="W1818" s="98">
        <v>1E-8</v>
      </c>
      <c r="X1818" s="98">
        <v>1E-8</v>
      </c>
      <c r="Y1818" s="98">
        <v>1E-8</v>
      </c>
      <c r="Z1818" s="98">
        <v>1E-8</v>
      </c>
      <c r="AA1818" s="98">
        <v>1E-8</v>
      </c>
      <c r="AB1818" s="98">
        <v>1E-8</v>
      </c>
      <c r="AC1818" s="98">
        <v>1E-8</v>
      </c>
      <c r="AD1818" s="4"/>
    </row>
    <row r="1819" spans="1:30" x14ac:dyDescent="0.3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34"/>
      <c r="O1819" s="4"/>
      <c r="P1819" s="100"/>
      <c r="Q1819" s="100" t="s">
        <v>647</v>
      </c>
      <c r="R1819" s="111" t="s">
        <v>75</v>
      </c>
      <c r="S1819" s="111" t="s">
        <v>342</v>
      </c>
      <c r="T1819" s="101">
        <v>1E-8</v>
      </c>
      <c r="U1819" s="86">
        <v>1E-8</v>
      </c>
      <c r="V1819" s="101">
        <v>1E-8</v>
      </c>
      <c r="W1819" s="101">
        <v>1E-8</v>
      </c>
      <c r="X1819" s="101">
        <v>1E-8</v>
      </c>
      <c r="Y1819" s="101">
        <v>1E-8</v>
      </c>
      <c r="Z1819" s="101">
        <v>1E-8</v>
      </c>
      <c r="AA1819" s="101">
        <v>1E-8</v>
      </c>
      <c r="AB1819" s="101">
        <v>1E-8</v>
      </c>
      <c r="AC1819" s="101">
        <v>1E-8</v>
      </c>
      <c r="AD1819" s="4"/>
    </row>
    <row r="1820" spans="1:30" x14ac:dyDescent="0.3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34"/>
      <c r="O1820" s="4"/>
      <c r="P1820" s="100"/>
      <c r="Q1820" s="100" t="s">
        <v>648</v>
      </c>
      <c r="R1820" s="111" t="s">
        <v>75</v>
      </c>
      <c r="S1820" s="111" t="s">
        <v>343</v>
      </c>
      <c r="T1820" s="101">
        <v>1E-8</v>
      </c>
      <c r="U1820" s="86">
        <v>1E-8</v>
      </c>
      <c r="V1820" s="101">
        <v>1E-8</v>
      </c>
      <c r="W1820" s="101">
        <v>1E-8</v>
      </c>
      <c r="X1820" s="101">
        <v>1E-8</v>
      </c>
      <c r="Y1820" s="101">
        <v>1E-8</v>
      </c>
      <c r="Z1820" s="101">
        <v>1E-8</v>
      </c>
      <c r="AA1820" s="101">
        <v>1E-8</v>
      </c>
      <c r="AB1820" s="101">
        <v>1E-8</v>
      </c>
      <c r="AC1820" s="101">
        <v>1E-8</v>
      </c>
      <c r="AD1820" s="4"/>
    </row>
    <row r="1821" spans="1:30" x14ac:dyDescent="0.3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34"/>
      <c r="O1821" s="4"/>
      <c r="P1821" s="100"/>
      <c r="Q1821" s="100" t="s">
        <v>649</v>
      </c>
      <c r="R1821" s="111" t="s">
        <v>75</v>
      </c>
      <c r="S1821" s="111" t="s">
        <v>549</v>
      </c>
      <c r="T1821" s="101">
        <v>1E-8</v>
      </c>
      <c r="U1821" s="86">
        <v>1E-8</v>
      </c>
      <c r="V1821" s="101">
        <v>1E-8</v>
      </c>
      <c r="W1821" s="101">
        <v>1E-8</v>
      </c>
      <c r="X1821" s="101">
        <v>1E-8</v>
      </c>
      <c r="Y1821" s="101">
        <v>1E-8</v>
      </c>
      <c r="Z1821" s="101">
        <v>1E-8</v>
      </c>
      <c r="AA1821" s="101">
        <v>1E-8</v>
      </c>
      <c r="AB1821" s="101">
        <v>1E-8</v>
      </c>
      <c r="AC1821" s="101">
        <v>1E-8</v>
      </c>
      <c r="AD1821" s="4"/>
    </row>
    <row r="1822" spans="1:30" x14ac:dyDescent="0.3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34"/>
      <c r="O1822" s="4"/>
      <c r="P1822" s="100"/>
      <c r="Q1822" s="100" t="s">
        <v>650</v>
      </c>
      <c r="R1822" s="111" t="s">
        <v>75</v>
      </c>
      <c r="S1822" s="111" t="s">
        <v>550</v>
      </c>
      <c r="T1822" s="101">
        <v>1E-8</v>
      </c>
      <c r="U1822" s="86">
        <v>1E-8</v>
      </c>
      <c r="V1822" s="101">
        <v>1E-8</v>
      </c>
      <c r="W1822" s="101">
        <v>1E-8</v>
      </c>
      <c r="X1822" s="101">
        <v>1E-8</v>
      </c>
      <c r="Y1822" s="101">
        <v>1E-8</v>
      </c>
      <c r="Z1822" s="101">
        <v>1E-8</v>
      </c>
      <c r="AA1822" s="101">
        <v>1E-8</v>
      </c>
      <c r="AB1822" s="101">
        <v>1E-8</v>
      </c>
      <c r="AC1822" s="101">
        <v>1E-8</v>
      </c>
      <c r="AD1822" s="4"/>
    </row>
    <row r="1823" spans="1:30" x14ac:dyDescent="0.3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34"/>
      <c r="O1823" s="4"/>
      <c r="P1823" s="68"/>
      <c r="Q1823" s="68" t="s">
        <v>172</v>
      </c>
      <c r="R1823" s="108" t="s">
        <v>75</v>
      </c>
      <c r="S1823" s="108" t="s">
        <v>551</v>
      </c>
      <c r="T1823" s="98">
        <v>1E-8</v>
      </c>
      <c r="U1823" s="80">
        <v>1E-8</v>
      </c>
      <c r="V1823" s="98">
        <v>1E-8</v>
      </c>
      <c r="W1823" s="98">
        <v>1E-8</v>
      </c>
      <c r="X1823" s="98">
        <v>1E-8</v>
      </c>
      <c r="Y1823" s="98">
        <v>1E-8</v>
      </c>
      <c r="Z1823" s="98">
        <v>1E-8</v>
      </c>
      <c r="AA1823" s="98">
        <v>1E-8</v>
      </c>
      <c r="AB1823" s="98">
        <v>1E-8</v>
      </c>
      <c r="AC1823" s="98">
        <v>1E-8</v>
      </c>
      <c r="AD1823" s="4"/>
    </row>
    <row r="1824" spans="1:30" x14ac:dyDescent="0.35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34"/>
      <c r="O1824" s="4"/>
      <c r="P1824" s="100"/>
      <c r="Q1824" s="100" t="s">
        <v>651</v>
      </c>
      <c r="R1824" s="111" t="s">
        <v>75</v>
      </c>
      <c r="S1824" s="111" t="s">
        <v>344</v>
      </c>
      <c r="T1824" s="101">
        <v>1E-8</v>
      </c>
      <c r="U1824" s="86">
        <v>1E-8</v>
      </c>
      <c r="V1824" s="101">
        <v>1E-8</v>
      </c>
      <c r="W1824" s="101">
        <v>1E-8</v>
      </c>
      <c r="X1824" s="101">
        <v>1E-8</v>
      </c>
      <c r="Y1824" s="101">
        <v>1E-8</v>
      </c>
      <c r="Z1824" s="101">
        <v>1E-8</v>
      </c>
      <c r="AA1824" s="101">
        <v>1E-8</v>
      </c>
      <c r="AB1824" s="101">
        <v>1E-8</v>
      </c>
      <c r="AC1824" s="101">
        <v>1E-8</v>
      </c>
      <c r="AD1824" s="4"/>
    </row>
    <row r="1825" spans="1:30" x14ac:dyDescent="0.3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34"/>
      <c r="O1825" s="4"/>
      <c r="P1825" s="100"/>
      <c r="Q1825" s="100" t="s">
        <v>652</v>
      </c>
      <c r="R1825" s="111" t="s">
        <v>75</v>
      </c>
      <c r="S1825" s="111" t="s">
        <v>552</v>
      </c>
      <c r="T1825" s="101">
        <v>1E-8</v>
      </c>
      <c r="U1825" s="86">
        <v>1E-8</v>
      </c>
      <c r="V1825" s="101">
        <v>1E-8</v>
      </c>
      <c r="W1825" s="101">
        <v>1E-8</v>
      </c>
      <c r="X1825" s="101">
        <v>1E-8</v>
      </c>
      <c r="Y1825" s="101">
        <v>1E-8</v>
      </c>
      <c r="Z1825" s="101">
        <v>1E-8</v>
      </c>
      <c r="AA1825" s="101">
        <v>1E-8</v>
      </c>
      <c r="AB1825" s="101">
        <v>1E-8</v>
      </c>
      <c r="AC1825" s="101">
        <v>1E-8</v>
      </c>
      <c r="AD1825" s="4"/>
    </row>
    <row r="1826" spans="1:30" x14ac:dyDescent="0.35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34"/>
      <c r="O1826" s="4"/>
      <c r="P1826" s="100"/>
      <c r="Q1826" s="100" t="s">
        <v>653</v>
      </c>
      <c r="R1826" s="111" t="s">
        <v>75</v>
      </c>
      <c r="S1826" s="111" t="s">
        <v>553</v>
      </c>
      <c r="T1826" s="101">
        <v>1E-8</v>
      </c>
      <c r="U1826" s="86">
        <v>1E-8</v>
      </c>
      <c r="V1826" s="101">
        <v>1E-8</v>
      </c>
      <c r="W1826" s="101">
        <v>1E-8</v>
      </c>
      <c r="X1826" s="101">
        <v>1E-8</v>
      </c>
      <c r="Y1826" s="101">
        <v>1E-8</v>
      </c>
      <c r="Z1826" s="101">
        <v>1E-8</v>
      </c>
      <c r="AA1826" s="101">
        <v>1E-8</v>
      </c>
      <c r="AB1826" s="101">
        <v>1E-8</v>
      </c>
      <c r="AC1826" s="101">
        <v>1E-8</v>
      </c>
      <c r="AD1826" s="4"/>
    </row>
    <row r="1827" spans="1:30" x14ac:dyDescent="0.35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34"/>
      <c r="O1827" s="4"/>
      <c r="P1827" s="68"/>
      <c r="Q1827" s="68" t="s">
        <v>368</v>
      </c>
      <c r="R1827" s="108" t="s">
        <v>75</v>
      </c>
      <c r="S1827" s="108" t="s">
        <v>345</v>
      </c>
      <c r="T1827" s="98">
        <v>1E-8</v>
      </c>
      <c r="U1827" s="80">
        <v>1E-8</v>
      </c>
      <c r="V1827" s="98">
        <v>1E-8</v>
      </c>
      <c r="W1827" s="98">
        <v>1E-8</v>
      </c>
      <c r="X1827" s="98">
        <v>1E-8</v>
      </c>
      <c r="Y1827" s="98">
        <v>1E-8</v>
      </c>
      <c r="Z1827" s="98">
        <v>1E-8</v>
      </c>
      <c r="AA1827" s="98">
        <v>1E-8</v>
      </c>
      <c r="AB1827" s="98">
        <v>1E-8</v>
      </c>
      <c r="AC1827" s="98">
        <v>1E-8</v>
      </c>
      <c r="AD1827" s="4"/>
    </row>
    <row r="1828" spans="1:30" x14ac:dyDescent="0.35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34"/>
      <c r="O1828" s="4"/>
      <c r="P1828" s="100"/>
      <c r="Q1828" s="100" t="s">
        <v>654</v>
      </c>
      <c r="R1828" s="111" t="s">
        <v>75</v>
      </c>
      <c r="S1828" s="111" t="s">
        <v>346</v>
      </c>
      <c r="T1828" s="101">
        <v>1E-8</v>
      </c>
      <c r="U1828" s="86">
        <v>1E-8</v>
      </c>
      <c r="V1828" s="101">
        <v>1E-8</v>
      </c>
      <c r="W1828" s="101">
        <v>1E-8</v>
      </c>
      <c r="X1828" s="101">
        <v>1E-8</v>
      </c>
      <c r="Y1828" s="101">
        <v>1E-8</v>
      </c>
      <c r="Z1828" s="101">
        <v>1E-8</v>
      </c>
      <c r="AA1828" s="101">
        <v>1E-8</v>
      </c>
      <c r="AB1828" s="101">
        <v>1E-8</v>
      </c>
      <c r="AC1828" s="101">
        <v>1E-8</v>
      </c>
      <c r="AD1828" s="4"/>
    </row>
    <row r="1829" spans="1:30" x14ac:dyDescent="0.35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34"/>
      <c r="O1829" s="4"/>
      <c r="P1829" s="100"/>
      <c r="Q1829" s="100" t="s">
        <v>655</v>
      </c>
      <c r="R1829" s="111" t="s">
        <v>75</v>
      </c>
      <c r="S1829" s="111" t="s">
        <v>347</v>
      </c>
      <c r="T1829" s="101">
        <v>1E-8</v>
      </c>
      <c r="U1829" s="86">
        <v>1E-8</v>
      </c>
      <c r="V1829" s="101">
        <v>1E-8</v>
      </c>
      <c r="W1829" s="101">
        <v>1E-8</v>
      </c>
      <c r="X1829" s="101">
        <v>1E-8</v>
      </c>
      <c r="Y1829" s="101">
        <v>1E-8</v>
      </c>
      <c r="Z1829" s="101">
        <v>1E-8</v>
      </c>
      <c r="AA1829" s="101">
        <v>1E-8</v>
      </c>
      <c r="AB1829" s="101">
        <v>1E-8</v>
      </c>
      <c r="AC1829" s="101">
        <v>1E-8</v>
      </c>
      <c r="AD1829" s="4"/>
    </row>
    <row r="1830" spans="1:30" x14ac:dyDescent="0.35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34"/>
      <c r="O1830" s="4"/>
      <c r="P1830" s="100"/>
      <c r="Q1830" s="100" t="s">
        <v>656</v>
      </c>
      <c r="R1830" s="111" t="s">
        <v>75</v>
      </c>
      <c r="S1830" s="111" t="s">
        <v>348</v>
      </c>
      <c r="T1830" s="101">
        <v>1E-8</v>
      </c>
      <c r="U1830" s="86">
        <v>1E-8</v>
      </c>
      <c r="V1830" s="101">
        <v>1E-8</v>
      </c>
      <c r="W1830" s="101">
        <v>1E-8</v>
      </c>
      <c r="X1830" s="101">
        <v>1E-8</v>
      </c>
      <c r="Y1830" s="101">
        <v>1E-8</v>
      </c>
      <c r="Z1830" s="101">
        <v>1E-8</v>
      </c>
      <c r="AA1830" s="101">
        <v>1E-8</v>
      </c>
      <c r="AB1830" s="101">
        <v>1E-8</v>
      </c>
      <c r="AC1830" s="101">
        <v>1E-8</v>
      </c>
      <c r="AD1830" s="4"/>
    </row>
    <row r="1831" spans="1:30" x14ac:dyDescent="0.35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34"/>
      <c r="O1831" s="4"/>
      <c r="P1831" s="68"/>
      <c r="Q1831" s="68" t="s">
        <v>181</v>
      </c>
      <c r="R1831" s="108" t="s">
        <v>75</v>
      </c>
      <c r="S1831" s="108" t="s">
        <v>554</v>
      </c>
      <c r="T1831" s="98">
        <v>1E-8</v>
      </c>
      <c r="U1831" s="80">
        <v>1E-8</v>
      </c>
      <c r="V1831" s="98">
        <v>1E-8</v>
      </c>
      <c r="W1831" s="98">
        <v>1E-8</v>
      </c>
      <c r="X1831" s="98">
        <v>1E-8</v>
      </c>
      <c r="Y1831" s="98">
        <v>1E-8</v>
      </c>
      <c r="Z1831" s="98">
        <v>1E-8</v>
      </c>
      <c r="AA1831" s="98">
        <v>1E-8</v>
      </c>
      <c r="AB1831" s="98">
        <v>1E-8</v>
      </c>
      <c r="AC1831" s="98">
        <v>1E-8</v>
      </c>
      <c r="AD1831" s="4"/>
    </row>
    <row r="1832" spans="1:30" x14ac:dyDescent="0.35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34"/>
      <c r="O1832" s="4"/>
      <c r="P1832" s="100"/>
      <c r="Q1832" s="100" t="s">
        <v>657</v>
      </c>
      <c r="R1832" s="111" t="s">
        <v>75</v>
      </c>
      <c r="S1832" s="111" t="s">
        <v>555</v>
      </c>
      <c r="T1832" s="101">
        <v>1E-8</v>
      </c>
      <c r="U1832" s="86">
        <v>1E-8</v>
      </c>
      <c r="V1832" s="101">
        <v>1E-8</v>
      </c>
      <c r="W1832" s="101">
        <v>1E-8</v>
      </c>
      <c r="X1832" s="101">
        <v>1E-8</v>
      </c>
      <c r="Y1832" s="101">
        <v>1E-8</v>
      </c>
      <c r="Z1832" s="101">
        <v>1E-8</v>
      </c>
      <c r="AA1832" s="101">
        <v>1E-8</v>
      </c>
      <c r="AB1832" s="101">
        <v>1E-8</v>
      </c>
      <c r="AC1832" s="101">
        <v>1E-8</v>
      </c>
      <c r="AD1832" s="4"/>
    </row>
    <row r="1833" spans="1:30" x14ac:dyDescent="0.35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34"/>
      <c r="O1833" s="4"/>
      <c r="P1833" s="100"/>
      <c r="Q1833" s="100" t="s">
        <v>658</v>
      </c>
      <c r="R1833" s="111" t="s">
        <v>75</v>
      </c>
      <c r="S1833" s="111" t="s">
        <v>349</v>
      </c>
      <c r="T1833" s="101">
        <v>1E-8</v>
      </c>
      <c r="U1833" s="86">
        <v>1E-8</v>
      </c>
      <c r="V1833" s="101">
        <v>1E-8</v>
      </c>
      <c r="W1833" s="101">
        <v>1E-8</v>
      </c>
      <c r="X1833" s="101">
        <v>1E-8</v>
      </c>
      <c r="Y1833" s="101">
        <v>1E-8</v>
      </c>
      <c r="Z1833" s="101">
        <v>1E-8</v>
      </c>
      <c r="AA1833" s="101">
        <v>1E-8</v>
      </c>
      <c r="AB1833" s="101">
        <v>1E-8</v>
      </c>
      <c r="AC1833" s="101">
        <v>1E-8</v>
      </c>
      <c r="AD1833" s="4"/>
    </row>
    <row r="1834" spans="1:30" x14ac:dyDescent="0.35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34"/>
      <c r="O1834" s="4"/>
      <c r="P1834" s="100"/>
      <c r="Q1834" s="100" t="s">
        <v>659</v>
      </c>
      <c r="R1834" s="112" t="s">
        <v>75</v>
      </c>
      <c r="S1834" s="112" t="s">
        <v>556</v>
      </c>
      <c r="T1834" s="87">
        <v>1E-8</v>
      </c>
      <c r="U1834" s="88">
        <v>1E-8</v>
      </c>
      <c r="V1834" s="87">
        <v>1E-8</v>
      </c>
      <c r="W1834" s="87">
        <v>1E-8</v>
      </c>
      <c r="X1834" s="87">
        <v>1E-8</v>
      </c>
      <c r="Y1834" s="87">
        <v>1E-8</v>
      </c>
      <c r="Z1834" s="87">
        <v>1E-8</v>
      </c>
      <c r="AA1834" s="87">
        <v>1E-8</v>
      </c>
      <c r="AB1834" s="87">
        <v>1E-8</v>
      </c>
      <c r="AC1834" s="87">
        <v>1E-8</v>
      </c>
      <c r="AD1834" s="4"/>
    </row>
    <row r="1835" spans="1:30" x14ac:dyDescent="0.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34"/>
      <c r="O1835" s="4"/>
      <c r="P1835" s="96"/>
      <c r="Q1835" s="96" t="s">
        <v>286</v>
      </c>
      <c r="R1835" s="107" t="s">
        <v>75</v>
      </c>
      <c r="S1835" s="107" t="s">
        <v>350</v>
      </c>
      <c r="T1835" s="97">
        <v>1E-8</v>
      </c>
      <c r="U1835" s="78">
        <v>1E-8</v>
      </c>
      <c r="V1835" s="97">
        <v>1E-8</v>
      </c>
      <c r="W1835" s="97">
        <v>1E-8</v>
      </c>
      <c r="X1835" s="97">
        <v>1E-8</v>
      </c>
      <c r="Y1835" s="97">
        <v>1E-8</v>
      </c>
      <c r="Z1835" s="97">
        <v>1E-8</v>
      </c>
      <c r="AA1835" s="97">
        <v>1E-8</v>
      </c>
      <c r="AB1835" s="97">
        <v>1E-8</v>
      </c>
      <c r="AC1835" s="97">
        <v>1E-8</v>
      </c>
      <c r="AD1835" s="4"/>
    </row>
    <row r="1836" spans="1:30" x14ac:dyDescent="0.35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34"/>
      <c r="O1836" s="4"/>
      <c r="P1836" s="96"/>
      <c r="Q1836" s="96" t="s">
        <v>369</v>
      </c>
      <c r="R1836" s="107" t="s">
        <v>75</v>
      </c>
      <c r="S1836" s="107" t="s">
        <v>557</v>
      </c>
      <c r="T1836" s="97">
        <v>1E-8</v>
      </c>
      <c r="U1836" s="78">
        <v>1E-8</v>
      </c>
      <c r="V1836" s="97">
        <v>1E-8</v>
      </c>
      <c r="W1836" s="97">
        <v>1E-8</v>
      </c>
      <c r="X1836" s="97">
        <v>1E-8</v>
      </c>
      <c r="Y1836" s="97">
        <v>1E-8</v>
      </c>
      <c r="Z1836" s="97">
        <v>1E-8</v>
      </c>
      <c r="AA1836" s="97">
        <v>1E-8</v>
      </c>
      <c r="AB1836" s="97">
        <v>1E-8</v>
      </c>
      <c r="AC1836" s="97">
        <v>1E-8</v>
      </c>
      <c r="AD1836" s="4"/>
    </row>
    <row r="1837" spans="1:30" x14ac:dyDescent="0.35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34"/>
      <c r="O1837" s="4"/>
      <c r="P1837" s="68"/>
      <c r="Q1837" s="68" t="s">
        <v>660</v>
      </c>
      <c r="R1837" s="108" t="s">
        <v>75</v>
      </c>
      <c r="S1837" s="108" t="s">
        <v>351</v>
      </c>
      <c r="T1837" s="98">
        <v>1E-8</v>
      </c>
      <c r="U1837" s="80">
        <v>1E-8</v>
      </c>
      <c r="V1837" s="98">
        <v>1E-8</v>
      </c>
      <c r="W1837" s="98">
        <v>1E-8</v>
      </c>
      <c r="X1837" s="98">
        <v>1E-8</v>
      </c>
      <c r="Y1837" s="98">
        <v>1E-8</v>
      </c>
      <c r="Z1837" s="98">
        <v>1E-8</v>
      </c>
      <c r="AA1837" s="98">
        <v>1E-8</v>
      </c>
      <c r="AB1837" s="98">
        <v>1E-8</v>
      </c>
      <c r="AC1837" s="98">
        <v>1E-8</v>
      </c>
      <c r="AD1837" s="4"/>
    </row>
    <row r="1838" spans="1:30" x14ac:dyDescent="0.35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34"/>
      <c r="O1838" s="4"/>
      <c r="P1838" s="68"/>
      <c r="Q1838" s="68" t="s">
        <v>661</v>
      </c>
      <c r="R1838" s="108" t="s">
        <v>75</v>
      </c>
      <c r="S1838" s="108" t="s">
        <v>352</v>
      </c>
      <c r="T1838" s="98">
        <v>1E-8</v>
      </c>
      <c r="U1838" s="80">
        <v>1E-8</v>
      </c>
      <c r="V1838" s="98">
        <v>1E-8</v>
      </c>
      <c r="W1838" s="98">
        <v>1E-8</v>
      </c>
      <c r="X1838" s="98">
        <v>1E-8</v>
      </c>
      <c r="Y1838" s="98">
        <v>1E-8</v>
      </c>
      <c r="Z1838" s="98">
        <v>1E-8</v>
      </c>
      <c r="AA1838" s="98">
        <v>1E-8</v>
      </c>
      <c r="AB1838" s="98">
        <v>1E-8</v>
      </c>
      <c r="AC1838" s="98">
        <v>1E-8</v>
      </c>
      <c r="AD1838" s="4"/>
    </row>
    <row r="1839" spans="1:30" x14ac:dyDescent="0.35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34"/>
      <c r="O1839" s="4"/>
      <c r="P1839" s="68"/>
      <c r="Q1839" s="68" t="s">
        <v>662</v>
      </c>
      <c r="R1839" s="108" t="s">
        <v>75</v>
      </c>
      <c r="S1839" s="108" t="s">
        <v>558</v>
      </c>
      <c r="T1839" s="98">
        <v>1E-8</v>
      </c>
      <c r="U1839" s="80">
        <v>1E-8</v>
      </c>
      <c r="V1839" s="98">
        <v>1E-8</v>
      </c>
      <c r="W1839" s="98">
        <v>1E-8</v>
      </c>
      <c r="X1839" s="98">
        <v>1E-8</v>
      </c>
      <c r="Y1839" s="98">
        <v>1E-8</v>
      </c>
      <c r="Z1839" s="98">
        <v>1E-8</v>
      </c>
      <c r="AA1839" s="98">
        <v>1E-8</v>
      </c>
      <c r="AB1839" s="98">
        <v>1E-8</v>
      </c>
      <c r="AC1839" s="98">
        <v>1E-8</v>
      </c>
      <c r="AD1839" s="4"/>
    </row>
    <row r="1840" spans="1:30" x14ac:dyDescent="0.35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34"/>
      <c r="O1840" s="4"/>
      <c r="P1840" s="96"/>
      <c r="Q1840" s="96" t="s">
        <v>188</v>
      </c>
      <c r="R1840" s="107" t="s">
        <v>75</v>
      </c>
      <c r="S1840" s="107" t="s">
        <v>559</v>
      </c>
      <c r="T1840" s="97">
        <v>1E-8</v>
      </c>
      <c r="U1840" s="78">
        <v>1E-8</v>
      </c>
      <c r="V1840" s="97">
        <v>1E-8</v>
      </c>
      <c r="W1840" s="97">
        <v>1E-8</v>
      </c>
      <c r="X1840" s="97">
        <v>1E-8</v>
      </c>
      <c r="Y1840" s="97">
        <v>1E-8</v>
      </c>
      <c r="Z1840" s="97">
        <v>1E-8</v>
      </c>
      <c r="AA1840" s="97">
        <v>1E-8</v>
      </c>
      <c r="AB1840" s="97">
        <v>1E-8</v>
      </c>
      <c r="AC1840" s="97">
        <v>1E-8</v>
      </c>
      <c r="AD1840" s="4"/>
    </row>
    <row r="1841" spans="1:30" x14ac:dyDescent="0.35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34"/>
      <c r="O1841" s="4"/>
      <c r="P1841" s="68"/>
      <c r="Q1841" s="68" t="s">
        <v>663</v>
      </c>
      <c r="R1841" s="108" t="s">
        <v>75</v>
      </c>
      <c r="S1841" s="108" t="s">
        <v>353</v>
      </c>
      <c r="T1841" s="98">
        <v>1E-8</v>
      </c>
      <c r="U1841" s="80">
        <v>1E-8</v>
      </c>
      <c r="V1841" s="98">
        <v>1E-8</v>
      </c>
      <c r="W1841" s="98">
        <v>1E-8</v>
      </c>
      <c r="X1841" s="98">
        <v>1E-8</v>
      </c>
      <c r="Y1841" s="98">
        <v>1E-8</v>
      </c>
      <c r="Z1841" s="98">
        <v>1E-8</v>
      </c>
      <c r="AA1841" s="98">
        <v>1E-8</v>
      </c>
      <c r="AB1841" s="98">
        <v>1E-8</v>
      </c>
      <c r="AC1841" s="98">
        <v>1E-8</v>
      </c>
      <c r="AD1841" s="4"/>
    </row>
    <row r="1842" spans="1:30" x14ac:dyDescent="0.35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34"/>
      <c r="O1842" s="4"/>
      <c r="P1842" s="72"/>
      <c r="Q1842" s="72" t="s">
        <v>664</v>
      </c>
      <c r="R1842" s="109" t="s">
        <v>75</v>
      </c>
      <c r="S1842" s="109" t="s">
        <v>560</v>
      </c>
      <c r="T1842" s="81">
        <v>1E-8</v>
      </c>
      <c r="U1842" s="82">
        <v>1E-8</v>
      </c>
      <c r="V1842" s="81">
        <v>1E-8</v>
      </c>
      <c r="W1842" s="81">
        <v>1E-8</v>
      </c>
      <c r="X1842" s="81">
        <v>1E-8</v>
      </c>
      <c r="Y1842" s="81">
        <v>1E-8</v>
      </c>
      <c r="Z1842" s="81">
        <v>1E-8</v>
      </c>
      <c r="AA1842" s="81">
        <v>1E-8</v>
      </c>
      <c r="AB1842" s="81">
        <v>1E-8</v>
      </c>
      <c r="AC1842" s="81">
        <v>1E-8</v>
      </c>
      <c r="AD1842" s="4"/>
    </row>
    <row r="1843" spans="1:30" x14ac:dyDescent="0.35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34"/>
      <c r="O1843" s="4"/>
      <c r="P1843" s="47"/>
      <c r="Q1843" s="47" t="s">
        <v>287</v>
      </c>
      <c r="R1843" s="105" t="s">
        <v>75</v>
      </c>
      <c r="S1843" s="105" t="s">
        <v>354</v>
      </c>
      <c r="T1843" s="95">
        <v>1E-8</v>
      </c>
      <c r="U1843" s="74">
        <v>1E-8</v>
      </c>
      <c r="V1843" s="95">
        <v>1E-8</v>
      </c>
      <c r="W1843" s="95">
        <v>1E-8</v>
      </c>
      <c r="X1843" s="95">
        <v>1E-8</v>
      </c>
      <c r="Y1843" s="95">
        <v>1E-8</v>
      </c>
      <c r="Z1843" s="95">
        <v>1E-8</v>
      </c>
      <c r="AA1843" s="95">
        <v>1E-8</v>
      </c>
      <c r="AB1843" s="95">
        <v>1E-8</v>
      </c>
      <c r="AC1843" s="95">
        <v>1E-8</v>
      </c>
      <c r="AD1843" s="4"/>
    </row>
    <row r="1844" spans="1:30" x14ac:dyDescent="0.35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34"/>
      <c r="O1844" s="4"/>
      <c r="P1844" s="96"/>
      <c r="Q1844" s="96" t="s">
        <v>370</v>
      </c>
      <c r="R1844" s="107" t="s">
        <v>75</v>
      </c>
      <c r="S1844" s="107" t="s">
        <v>561</v>
      </c>
      <c r="T1844" s="97">
        <v>1E-8</v>
      </c>
      <c r="U1844" s="78">
        <v>1E-8</v>
      </c>
      <c r="V1844" s="97">
        <v>1E-8</v>
      </c>
      <c r="W1844" s="97">
        <v>1E-8</v>
      </c>
      <c r="X1844" s="97">
        <v>1E-8</v>
      </c>
      <c r="Y1844" s="97">
        <v>1E-8</v>
      </c>
      <c r="Z1844" s="97">
        <v>1E-8</v>
      </c>
      <c r="AA1844" s="97">
        <v>1E-8</v>
      </c>
      <c r="AB1844" s="97">
        <v>1E-8</v>
      </c>
      <c r="AC1844" s="97">
        <v>1E-8</v>
      </c>
      <c r="AD1844" s="4"/>
    </row>
    <row r="1845" spans="1:30" x14ac:dyDescent="0.3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34"/>
      <c r="O1845" s="4"/>
      <c r="P1845" s="68"/>
      <c r="Q1845" s="68" t="s">
        <v>665</v>
      </c>
      <c r="R1845" s="108" t="s">
        <v>75</v>
      </c>
      <c r="S1845" s="108" t="s">
        <v>562</v>
      </c>
      <c r="T1845" s="98">
        <v>1E-8</v>
      </c>
      <c r="U1845" s="80">
        <v>1E-8</v>
      </c>
      <c r="V1845" s="98">
        <v>1E-8</v>
      </c>
      <c r="W1845" s="98">
        <v>1E-8</v>
      </c>
      <c r="X1845" s="98">
        <v>1E-8</v>
      </c>
      <c r="Y1845" s="98">
        <v>1E-8</v>
      </c>
      <c r="Z1845" s="98">
        <v>1E-8</v>
      </c>
      <c r="AA1845" s="98">
        <v>1E-8</v>
      </c>
      <c r="AB1845" s="98">
        <v>1E-8</v>
      </c>
      <c r="AC1845" s="98">
        <v>1E-8</v>
      </c>
      <c r="AD1845" s="4"/>
    </row>
    <row r="1846" spans="1:30" x14ac:dyDescent="0.35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34"/>
      <c r="O1846" s="4"/>
      <c r="P1846" s="68"/>
      <c r="Q1846" s="68" t="s">
        <v>666</v>
      </c>
      <c r="R1846" s="108" t="s">
        <v>75</v>
      </c>
      <c r="S1846" s="108" t="s">
        <v>563</v>
      </c>
      <c r="T1846" s="98">
        <v>1E-8</v>
      </c>
      <c r="U1846" s="80">
        <v>1E-8</v>
      </c>
      <c r="V1846" s="98">
        <v>1E-8</v>
      </c>
      <c r="W1846" s="98">
        <v>1E-8</v>
      </c>
      <c r="X1846" s="98">
        <v>1E-8</v>
      </c>
      <c r="Y1846" s="98">
        <v>1E-8</v>
      </c>
      <c r="Z1846" s="98">
        <v>1E-8</v>
      </c>
      <c r="AA1846" s="98">
        <v>1E-8</v>
      </c>
      <c r="AB1846" s="98">
        <v>1E-8</v>
      </c>
      <c r="AC1846" s="98">
        <v>1E-8</v>
      </c>
      <c r="AD1846" s="4"/>
    </row>
    <row r="1847" spans="1:30" x14ac:dyDescent="0.35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34"/>
      <c r="O1847" s="4"/>
      <c r="P1847" s="68"/>
      <c r="Q1847" s="68" t="s">
        <v>667</v>
      </c>
      <c r="R1847" s="108" t="s">
        <v>75</v>
      </c>
      <c r="S1847" s="108" t="s">
        <v>564</v>
      </c>
      <c r="T1847" s="98">
        <v>1E-8</v>
      </c>
      <c r="U1847" s="80">
        <v>1E-8</v>
      </c>
      <c r="V1847" s="98">
        <v>1E-8</v>
      </c>
      <c r="W1847" s="98">
        <v>1E-8</v>
      </c>
      <c r="X1847" s="98">
        <v>1E-8</v>
      </c>
      <c r="Y1847" s="98">
        <v>1E-8</v>
      </c>
      <c r="Z1847" s="98">
        <v>1E-8</v>
      </c>
      <c r="AA1847" s="98">
        <v>1E-8</v>
      </c>
      <c r="AB1847" s="98">
        <v>1E-8</v>
      </c>
      <c r="AC1847" s="98">
        <v>1E-8</v>
      </c>
      <c r="AD1847" s="4"/>
    </row>
    <row r="1848" spans="1:30" x14ac:dyDescent="0.35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34"/>
      <c r="O1848" s="4"/>
      <c r="P1848" s="68"/>
      <c r="Q1848" s="68" t="s">
        <v>668</v>
      </c>
      <c r="R1848" s="108" t="s">
        <v>75</v>
      </c>
      <c r="S1848" s="108" t="s">
        <v>565</v>
      </c>
      <c r="T1848" s="98">
        <v>1E-8</v>
      </c>
      <c r="U1848" s="80">
        <v>1E-8</v>
      </c>
      <c r="V1848" s="98">
        <v>1E-8</v>
      </c>
      <c r="W1848" s="98">
        <v>1E-8</v>
      </c>
      <c r="X1848" s="98">
        <v>1E-8</v>
      </c>
      <c r="Y1848" s="98">
        <v>1E-8</v>
      </c>
      <c r="Z1848" s="98">
        <v>1E-8</v>
      </c>
      <c r="AA1848" s="98">
        <v>1E-8</v>
      </c>
      <c r="AB1848" s="98">
        <v>1E-8</v>
      </c>
      <c r="AC1848" s="98">
        <v>1E-8</v>
      </c>
      <c r="AD1848" s="4"/>
    </row>
    <row r="1849" spans="1:30" x14ac:dyDescent="0.35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34"/>
      <c r="O1849" s="4"/>
      <c r="P1849" s="96"/>
      <c r="Q1849" s="96" t="s">
        <v>371</v>
      </c>
      <c r="R1849" s="107" t="s">
        <v>75</v>
      </c>
      <c r="S1849" s="107" t="s">
        <v>566</v>
      </c>
      <c r="T1849" s="97">
        <v>1E-8</v>
      </c>
      <c r="U1849" s="78">
        <v>1E-8</v>
      </c>
      <c r="V1849" s="97">
        <v>1E-8</v>
      </c>
      <c r="W1849" s="97">
        <v>1E-8</v>
      </c>
      <c r="X1849" s="97">
        <v>1E-8</v>
      </c>
      <c r="Y1849" s="97">
        <v>1E-8</v>
      </c>
      <c r="Z1849" s="97">
        <v>1E-8</v>
      </c>
      <c r="AA1849" s="97">
        <v>1E-8</v>
      </c>
      <c r="AB1849" s="97">
        <v>1E-8</v>
      </c>
      <c r="AC1849" s="97">
        <v>1E-8</v>
      </c>
      <c r="AD1849" s="4"/>
    </row>
    <row r="1850" spans="1:30" x14ac:dyDescent="0.35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34"/>
      <c r="O1850" s="4"/>
      <c r="P1850" s="68"/>
      <c r="Q1850" s="68" t="s">
        <v>669</v>
      </c>
      <c r="R1850" s="108" t="s">
        <v>75</v>
      </c>
      <c r="S1850" s="108" t="s">
        <v>567</v>
      </c>
      <c r="T1850" s="98">
        <v>1E-8</v>
      </c>
      <c r="U1850" s="80">
        <v>1E-8</v>
      </c>
      <c r="V1850" s="98">
        <v>1E-8</v>
      </c>
      <c r="W1850" s="98">
        <v>1E-8</v>
      </c>
      <c r="X1850" s="98">
        <v>1E-8</v>
      </c>
      <c r="Y1850" s="98">
        <v>1E-8</v>
      </c>
      <c r="Z1850" s="98">
        <v>1E-8</v>
      </c>
      <c r="AA1850" s="98">
        <v>1E-8</v>
      </c>
      <c r="AB1850" s="98">
        <v>1E-8</v>
      </c>
      <c r="AC1850" s="98">
        <v>1E-8</v>
      </c>
      <c r="AD1850" s="4"/>
    </row>
    <row r="1851" spans="1:30" x14ac:dyDescent="0.35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34"/>
      <c r="O1851" s="4"/>
      <c r="P1851" s="68"/>
      <c r="Q1851" s="68" t="s">
        <v>670</v>
      </c>
      <c r="R1851" s="108" t="s">
        <v>75</v>
      </c>
      <c r="S1851" s="108" t="s">
        <v>568</v>
      </c>
      <c r="T1851" s="98">
        <v>1E-8</v>
      </c>
      <c r="U1851" s="80">
        <v>1E-8</v>
      </c>
      <c r="V1851" s="98">
        <v>1E-8</v>
      </c>
      <c r="W1851" s="98">
        <v>1E-8</v>
      </c>
      <c r="X1851" s="98">
        <v>1E-8</v>
      </c>
      <c r="Y1851" s="98">
        <v>1E-8</v>
      </c>
      <c r="Z1851" s="98">
        <v>1E-8</v>
      </c>
      <c r="AA1851" s="98">
        <v>1E-8</v>
      </c>
      <c r="AB1851" s="98">
        <v>1E-8</v>
      </c>
      <c r="AC1851" s="98">
        <v>1E-8</v>
      </c>
      <c r="AD1851" s="4"/>
    </row>
    <row r="1852" spans="1:30" x14ac:dyDescent="0.35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34"/>
      <c r="O1852" s="4"/>
      <c r="P1852" s="68"/>
      <c r="Q1852" s="68" t="s">
        <v>671</v>
      </c>
      <c r="R1852" s="108" t="s">
        <v>75</v>
      </c>
      <c r="S1852" s="108" t="s">
        <v>569</v>
      </c>
      <c r="T1852" s="98">
        <v>1E-8</v>
      </c>
      <c r="U1852" s="80">
        <v>1E-8</v>
      </c>
      <c r="V1852" s="98">
        <v>1E-8</v>
      </c>
      <c r="W1852" s="98">
        <v>1E-8</v>
      </c>
      <c r="X1852" s="98">
        <v>1E-8</v>
      </c>
      <c r="Y1852" s="98">
        <v>1E-8</v>
      </c>
      <c r="Z1852" s="98">
        <v>1E-8</v>
      </c>
      <c r="AA1852" s="98">
        <v>1E-8</v>
      </c>
      <c r="AB1852" s="98">
        <v>1E-8</v>
      </c>
      <c r="AC1852" s="98">
        <v>1E-8</v>
      </c>
      <c r="AD1852" s="4"/>
    </row>
    <row r="1853" spans="1:30" x14ac:dyDescent="0.35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34"/>
      <c r="O1853" s="4"/>
      <c r="P1853" s="68"/>
      <c r="Q1853" s="68" t="s">
        <v>672</v>
      </c>
      <c r="R1853" s="108" t="s">
        <v>75</v>
      </c>
      <c r="S1853" s="108" t="s">
        <v>570</v>
      </c>
      <c r="T1853" s="98">
        <v>1E-8</v>
      </c>
      <c r="U1853" s="80">
        <v>1E-8</v>
      </c>
      <c r="V1853" s="98">
        <v>1E-8</v>
      </c>
      <c r="W1853" s="98">
        <v>1E-8</v>
      </c>
      <c r="X1853" s="98">
        <v>1E-8</v>
      </c>
      <c r="Y1853" s="98">
        <v>1E-8</v>
      </c>
      <c r="Z1853" s="98">
        <v>1E-8</v>
      </c>
      <c r="AA1853" s="98">
        <v>1E-8</v>
      </c>
      <c r="AB1853" s="98">
        <v>1E-8</v>
      </c>
      <c r="AC1853" s="98">
        <v>1E-8</v>
      </c>
      <c r="AD1853" s="4"/>
    </row>
    <row r="1854" spans="1:30" x14ac:dyDescent="0.35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34"/>
      <c r="O1854" s="4"/>
      <c r="P1854" s="96"/>
      <c r="Q1854" s="96" t="s">
        <v>673</v>
      </c>
      <c r="R1854" s="107" t="s">
        <v>75</v>
      </c>
      <c r="S1854" s="107" t="s">
        <v>355</v>
      </c>
      <c r="T1854" s="97">
        <v>1E-8</v>
      </c>
      <c r="U1854" s="78">
        <v>1E-8</v>
      </c>
      <c r="V1854" s="97">
        <v>1E-8</v>
      </c>
      <c r="W1854" s="97">
        <v>1E-8</v>
      </c>
      <c r="X1854" s="97">
        <v>1E-8</v>
      </c>
      <c r="Y1854" s="97">
        <v>1E-8</v>
      </c>
      <c r="Z1854" s="97">
        <v>1E-8</v>
      </c>
      <c r="AA1854" s="97">
        <v>1E-8</v>
      </c>
      <c r="AB1854" s="97">
        <v>1E-8</v>
      </c>
      <c r="AC1854" s="97">
        <v>1E-8</v>
      </c>
      <c r="AD1854" s="4"/>
    </row>
    <row r="1855" spans="1:30" x14ac:dyDescent="0.3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34"/>
      <c r="O1855" s="4"/>
      <c r="P1855" s="96"/>
      <c r="Q1855" s="96" t="s">
        <v>372</v>
      </c>
      <c r="R1855" s="107" t="s">
        <v>75</v>
      </c>
      <c r="S1855" s="107" t="s">
        <v>571</v>
      </c>
      <c r="T1855" s="97">
        <v>1E-8</v>
      </c>
      <c r="U1855" s="78">
        <v>1E-8</v>
      </c>
      <c r="V1855" s="97">
        <v>1E-8</v>
      </c>
      <c r="W1855" s="97">
        <v>1E-8</v>
      </c>
      <c r="X1855" s="97">
        <v>1E-8</v>
      </c>
      <c r="Y1855" s="97">
        <v>1E-8</v>
      </c>
      <c r="Z1855" s="97">
        <v>1E-8</v>
      </c>
      <c r="AA1855" s="97">
        <v>1E-8</v>
      </c>
      <c r="AB1855" s="97">
        <v>1E-8</v>
      </c>
      <c r="AC1855" s="97">
        <v>1E-8</v>
      </c>
      <c r="AD1855" s="4"/>
    </row>
    <row r="1856" spans="1:30" x14ac:dyDescent="0.35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34"/>
      <c r="O1856" s="4"/>
      <c r="P1856" s="68"/>
      <c r="Q1856" s="68" t="s">
        <v>674</v>
      </c>
      <c r="R1856" s="108" t="s">
        <v>75</v>
      </c>
      <c r="S1856" s="108" t="s">
        <v>572</v>
      </c>
      <c r="T1856" s="98">
        <v>1E-8</v>
      </c>
      <c r="U1856" s="80">
        <v>1E-8</v>
      </c>
      <c r="V1856" s="98">
        <v>1E-8</v>
      </c>
      <c r="W1856" s="98">
        <v>1E-8</v>
      </c>
      <c r="X1856" s="98">
        <v>1E-8</v>
      </c>
      <c r="Y1856" s="98">
        <v>1E-8</v>
      </c>
      <c r="Z1856" s="98">
        <v>1E-8</v>
      </c>
      <c r="AA1856" s="98">
        <v>1E-8</v>
      </c>
      <c r="AB1856" s="98">
        <v>1E-8</v>
      </c>
      <c r="AC1856" s="98">
        <v>1E-8</v>
      </c>
      <c r="AD1856" s="4"/>
    </row>
    <row r="1857" spans="1:30" x14ac:dyDescent="0.35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34"/>
      <c r="O1857" s="4"/>
      <c r="P1857" s="68"/>
      <c r="Q1857" s="68" t="s">
        <v>675</v>
      </c>
      <c r="R1857" s="108" t="s">
        <v>75</v>
      </c>
      <c r="S1857" s="108" t="s">
        <v>356</v>
      </c>
      <c r="T1857" s="98">
        <v>1E-8</v>
      </c>
      <c r="U1857" s="80">
        <v>1E-8</v>
      </c>
      <c r="V1857" s="98">
        <v>1E-8</v>
      </c>
      <c r="W1857" s="98">
        <v>1E-8</v>
      </c>
      <c r="X1857" s="98">
        <v>1E-8</v>
      </c>
      <c r="Y1857" s="98">
        <v>1E-8</v>
      </c>
      <c r="Z1857" s="98">
        <v>1E-8</v>
      </c>
      <c r="AA1857" s="98">
        <v>1E-8</v>
      </c>
      <c r="AB1857" s="98">
        <v>1E-8</v>
      </c>
      <c r="AC1857" s="98">
        <v>1E-8</v>
      </c>
      <c r="AD1857" s="4"/>
    </row>
    <row r="1858" spans="1:30" x14ac:dyDescent="0.35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34"/>
      <c r="O1858" s="4"/>
      <c r="P1858" s="68"/>
      <c r="Q1858" s="68" t="s">
        <v>676</v>
      </c>
      <c r="R1858" s="109" t="s">
        <v>75</v>
      </c>
      <c r="S1858" s="109" t="s">
        <v>573</v>
      </c>
      <c r="T1858" s="81">
        <v>1E-8</v>
      </c>
      <c r="U1858" s="82">
        <v>1E-8</v>
      </c>
      <c r="V1858" s="81">
        <v>1E-8</v>
      </c>
      <c r="W1858" s="81">
        <v>1E-8</v>
      </c>
      <c r="X1858" s="81">
        <v>1E-8</v>
      </c>
      <c r="Y1858" s="81">
        <v>1E-8</v>
      </c>
      <c r="Z1858" s="81">
        <v>1E-8</v>
      </c>
      <c r="AA1858" s="81">
        <v>1E-8</v>
      </c>
      <c r="AB1858" s="81">
        <v>1E-8</v>
      </c>
      <c r="AC1858" s="81">
        <v>1E-8</v>
      </c>
      <c r="AD1858" s="4"/>
    </row>
    <row r="1859" spans="1:30" x14ac:dyDescent="0.35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34"/>
      <c r="O1859" s="4"/>
      <c r="P1859" s="96"/>
      <c r="Q1859" s="96" t="s">
        <v>373</v>
      </c>
      <c r="R1859" s="107" t="s">
        <v>75</v>
      </c>
      <c r="S1859" s="107" t="s">
        <v>574</v>
      </c>
      <c r="T1859" s="97">
        <v>1E-8</v>
      </c>
      <c r="U1859" s="78">
        <v>1E-8</v>
      </c>
      <c r="V1859" s="97">
        <v>1E-8</v>
      </c>
      <c r="W1859" s="97">
        <v>1E-8</v>
      </c>
      <c r="X1859" s="97">
        <v>1E-8</v>
      </c>
      <c r="Y1859" s="97">
        <v>1E-8</v>
      </c>
      <c r="Z1859" s="97">
        <v>1E-8</v>
      </c>
      <c r="AA1859" s="97">
        <v>1E-8</v>
      </c>
      <c r="AB1859" s="97">
        <v>1E-8</v>
      </c>
      <c r="AC1859" s="97">
        <v>1E-8</v>
      </c>
      <c r="AD1859" s="4"/>
    </row>
    <row r="1860" spans="1:30" x14ac:dyDescent="0.35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34"/>
      <c r="O1860" s="4"/>
      <c r="P1860" s="68"/>
      <c r="Q1860" s="68" t="s">
        <v>677</v>
      </c>
      <c r="R1860" s="108" t="s">
        <v>75</v>
      </c>
      <c r="S1860" s="108" t="s">
        <v>575</v>
      </c>
      <c r="T1860" s="98">
        <v>1E-8</v>
      </c>
      <c r="U1860" s="80">
        <v>1E-8</v>
      </c>
      <c r="V1860" s="98">
        <v>1E-8</v>
      </c>
      <c r="W1860" s="98">
        <v>1E-8</v>
      </c>
      <c r="X1860" s="98">
        <v>1E-8</v>
      </c>
      <c r="Y1860" s="98">
        <v>1E-8</v>
      </c>
      <c r="Z1860" s="98">
        <v>1E-8</v>
      </c>
      <c r="AA1860" s="98">
        <v>1E-8</v>
      </c>
      <c r="AB1860" s="98">
        <v>1E-8</v>
      </c>
      <c r="AC1860" s="98">
        <v>1E-8</v>
      </c>
      <c r="AD1860" s="4"/>
    </row>
    <row r="1861" spans="1:30" x14ac:dyDescent="0.35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34"/>
      <c r="O1861" s="4"/>
      <c r="P1861" s="68"/>
      <c r="Q1861" s="68" t="s">
        <v>678</v>
      </c>
      <c r="R1861" s="108" t="s">
        <v>75</v>
      </c>
      <c r="S1861" s="108" t="s">
        <v>576</v>
      </c>
      <c r="T1861" s="98">
        <v>1E-8</v>
      </c>
      <c r="U1861" s="80">
        <v>1E-8</v>
      </c>
      <c r="V1861" s="98">
        <v>1E-8</v>
      </c>
      <c r="W1861" s="98">
        <v>1E-8</v>
      </c>
      <c r="X1861" s="98">
        <v>1E-8</v>
      </c>
      <c r="Y1861" s="98">
        <v>1E-8</v>
      </c>
      <c r="Z1861" s="98">
        <v>1E-8</v>
      </c>
      <c r="AA1861" s="98">
        <v>1E-8</v>
      </c>
      <c r="AB1861" s="98">
        <v>1E-8</v>
      </c>
      <c r="AC1861" s="98">
        <v>1E-8</v>
      </c>
      <c r="AD1861" s="4"/>
    </row>
    <row r="1862" spans="1:30" x14ac:dyDescent="0.35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34"/>
      <c r="O1862" s="4"/>
      <c r="P1862" s="68"/>
      <c r="Q1862" s="68" t="s">
        <v>679</v>
      </c>
      <c r="R1862" s="108" t="s">
        <v>75</v>
      </c>
      <c r="S1862" s="108" t="s">
        <v>577</v>
      </c>
      <c r="T1862" s="98">
        <v>1E-8</v>
      </c>
      <c r="U1862" s="80">
        <v>1E-8</v>
      </c>
      <c r="V1862" s="98">
        <v>1E-8</v>
      </c>
      <c r="W1862" s="98">
        <v>1E-8</v>
      </c>
      <c r="X1862" s="98">
        <v>1E-8</v>
      </c>
      <c r="Y1862" s="98">
        <v>1E-8</v>
      </c>
      <c r="Z1862" s="98">
        <v>1E-8</v>
      </c>
      <c r="AA1862" s="98">
        <v>1E-8</v>
      </c>
      <c r="AB1862" s="98">
        <v>1E-8</v>
      </c>
      <c r="AC1862" s="98">
        <v>1E-8</v>
      </c>
      <c r="AD1862" s="4"/>
    </row>
    <row r="1863" spans="1:30" x14ac:dyDescent="0.35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34"/>
      <c r="O1863" s="4"/>
      <c r="P1863" s="96"/>
      <c r="Q1863" s="96" t="s">
        <v>195</v>
      </c>
      <c r="R1863" s="107" t="s">
        <v>75</v>
      </c>
      <c r="S1863" s="107" t="s">
        <v>578</v>
      </c>
      <c r="T1863" s="97">
        <v>1E-8</v>
      </c>
      <c r="U1863" s="78">
        <v>1E-8</v>
      </c>
      <c r="V1863" s="97">
        <v>1E-8</v>
      </c>
      <c r="W1863" s="97">
        <v>1E-8</v>
      </c>
      <c r="X1863" s="97">
        <v>1E-8</v>
      </c>
      <c r="Y1863" s="97">
        <v>1E-8</v>
      </c>
      <c r="Z1863" s="97">
        <v>1E-8</v>
      </c>
      <c r="AA1863" s="97">
        <v>1E-8</v>
      </c>
      <c r="AB1863" s="97">
        <v>1E-8</v>
      </c>
      <c r="AC1863" s="97">
        <v>1E-8</v>
      </c>
      <c r="AD1863" s="4"/>
    </row>
    <row r="1864" spans="1:30" x14ac:dyDescent="0.35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34"/>
      <c r="O1864" s="4"/>
      <c r="P1864" s="68"/>
      <c r="Q1864" s="68" t="s">
        <v>680</v>
      </c>
      <c r="R1864" s="108" t="s">
        <v>75</v>
      </c>
      <c r="S1864" s="108" t="s">
        <v>579</v>
      </c>
      <c r="T1864" s="98">
        <v>1E-8</v>
      </c>
      <c r="U1864" s="80">
        <v>1E-8</v>
      </c>
      <c r="V1864" s="98">
        <v>1E-8</v>
      </c>
      <c r="W1864" s="98">
        <v>1E-8</v>
      </c>
      <c r="X1864" s="98">
        <v>1E-8</v>
      </c>
      <c r="Y1864" s="98">
        <v>1E-8</v>
      </c>
      <c r="Z1864" s="98">
        <v>1E-8</v>
      </c>
      <c r="AA1864" s="98">
        <v>1E-8</v>
      </c>
      <c r="AB1864" s="98">
        <v>1E-8</v>
      </c>
      <c r="AC1864" s="98">
        <v>1E-8</v>
      </c>
      <c r="AD1864" s="4"/>
    </row>
    <row r="1865" spans="1:30" x14ac:dyDescent="0.3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34"/>
      <c r="O1865" s="4"/>
      <c r="P1865" s="68"/>
      <c r="Q1865" s="68" t="s">
        <v>681</v>
      </c>
      <c r="R1865" s="108" t="s">
        <v>75</v>
      </c>
      <c r="S1865" s="108" t="s">
        <v>357</v>
      </c>
      <c r="T1865" s="98">
        <v>1E-8</v>
      </c>
      <c r="U1865" s="80">
        <v>1E-8</v>
      </c>
      <c r="V1865" s="98">
        <v>1E-8</v>
      </c>
      <c r="W1865" s="98">
        <v>1E-8</v>
      </c>
      <c r="X1865" s="98">
        <v>1E-8</v>
      </c>
      <c r="Y1865" s="98">
        <v>1E-8</v>
      </c>
      <c r="Z1865" s="98">
        <v>1E-8</v>
      </c>
      <c r="AA1865" s="98">
        <v>1E-8</v>
      </c>
      <c r="AB1865" s="98">
        <v>1E-8</v>
      </c>
      <c r="AC1865" s="98">
        <v>1E-8</v>
      </c>
      <c r="AD1865" s="4"/>
    </row>
    <row r="1866" spans="1:30" x14ac:dyDescent="0.35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34"/>
      <c r="O1866" s="4"/>
      <c r="P1866" s="96"/>
      <c r="Q1866" s="96" t="s">
        <v>196</v>
      </c>
      <c r="R1866" s="107" t="s">
        <v>75</v>
      </c>
      <c r="S1866" s="107" t="s">
        <v>580</v>
      </c>
      <c r="T1866" s="97">
        <v>1E-8</v>
      </c>
      <c r="U1866" s="78">
        <v>1E-8</v>
      </c>
      <c r="V1866" s="97">
        <v>1E-8</v>
      </c>
      <c r="W1866" s="97">
        <v>1E-8</v>
      </c>
      <c r="X1866" s="97">
        <v>1E-8</v>
      </c>
      <c r="Y1866" s="97">
        <v>1E-8</v>
      </c>
      <c r="Z1866" s="97">
        <v>1E-8</v>
      </c>
      <c r="AA1866" s="97">
        <v>1E-8</v>
      </c>
      <c r="AB1866" s="97">
        <v>1E-8</v>
      </c>
      <c r="AC1866" s="97">
        <v>1E-8</v>
      </c>
      <c r="AD1866" s="4"/>
    </row>
    <row r="1867" spans="1:30" x14ac:dyDescent="0.35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34"/>
      <c r="O1867" s="4"/>
      <c r="P1867" s="68"/>
      <c r="Q1867" s="68" t="s">
        <v>682</v>
      </c>
      <c r="R1867" s="108" t="s">
        <v>75</v>
      </c>
      <c r="S1867" s="108" t="s">
        <v>581</v>
      </c>
      <c r="T1867" s="98">
        <v>1E-8</v>
      </c>
      <c r="U1867" s="80">
        <v>1E-8</v>
      </c>
      <c r="V1867" s="98">
        <v>1E-8</v>
      </c>
      <c r="W1867" s="98">
        <v>1E-8</v>
      </c>
      <c r="X1867" s="98">
        <v>1E-8</v>
      </c>
      <c r="Y1867" s="98">
        <v>1E-8</v>
      </c>
      <c r="Z1867" s="98">
        <v>1E-8</v>
      </c>
      <c r="AA1867" s="98">
        <v>1E-8</v>
      </c>
      <c r="AB1867" s="98">
        <v>1E-8</v>
      </c>
      <c r="AC1867" s="98">
        <v>1E-8</v>
      </c>
      <c r="AD1867" s="4"/>
    </row>
    <row r="1868" spans="1:30" x14ac:dyDescent="0.35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34"/>
      <c r="O1868" s="4"/>
      <c r="P1868" s="68"/>
      <c r="Q1868" s="68" t="s">
        <v>683</v>
      </c>
      <c r="R1868" s="108" t="s">
        <v>75</v>
      </c>
      <c r="S1868" s="108" t="s">
        <v>582</v>
      </c>
      <c r="T1868" s="98">
        <v>1E-8</v>
      </c>
      <c r="U1868" s="80">
        <v>1E-8</v>
      </c>
      <c r="V1868" s="98">
        <v>1E-8</v>
      </c>
      <c r="W1868" s="98">
        <v>1E-8</v>
      </c>
      <c r="X1868" s="98">
        <v>1E-8</v>
      </c>
      <c r="Y1868" s="98">
        <v>1E-8</v>
      </c>
      <c r="Z1868" s="98">
        <v>1E-8</v>
      </c>
      <c r="AA1868" s="98">
        <v>1E-8</v>
      </c>
      <c r="AB1868" s="98">
        <v>1E-8</v>
      </c>
      <c r="AC1868" s="98">
        <v>1E-8</v>
      </c>
      <c r="AD1868" s="4"/>
    </row>
    <row r="1869" spans="1:30" x14ac:dyDescent="0.35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34"/>
      <c r="O1869" s="4"/>
      <c r="P1869" s="68"/>
      <c r="Q1869" s="68" t="s">
        <v>684</v>
      </c>
      <c r="R1869" s="108" t="s">
        <v>75</v>
      </c>
      <c r="S1869" s="108" t="s">
        <v>583</v>
      </c>
      <c r="T1869" s="98">
        <v>1E-8</v>
      </c>
      <c r="U1869" s="80">
        <v>1E-8</v>
      </c>
      <c r="V1869" s="98">
        <v>1E-8</v>
      </c>
      <c r="W1869" s="98">
        <v>1E-8</v>
      </c>
      <c r="X1869" s="98">
        <v>1E-8</v>
      </c>
      <c r="Y1869" s="98">
        <v>1E-8</v>
      </c>
      <c r="Z1869" s="98">
        <v>1E-8</v>
      </c>
      <c r="AA1869" s="98">
        <v>1E-8</v>
      </c>
      <c r="AB1869" s="98">
        <v>1E-8</v>
      </c>
      <c r="AC1869" s="98">
        <v>1E-8</v>
      </c>
      <c r="AD1869" s="4"/>
    </row>
    <row r="1870" spans="1:30" x14ac:dyDescent="0.35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34"/>
      <c r="O1870" s="4"/>
      <c r="P1870" s="68"/>
      <c r="Q1870" s="68" t="s">
        <v>685</v>
      </c>
      <c r="R1870" s="108" t="s">
        <v>75</v>
      </c>
      <c r="S1870" s="108" t="s">
        <v>584</v>
      </c>
      <c r="T1870" s="98">
        <v>1E-8</v>
      </c>
      <c r="U1870" s="80">
        <v>1E-8</v>
      </c>
      <c r="V1870" s="98">
        <v>1E-8</v>
      </c>
      <c r="W1870" s="98">
        <v>1E-8</v>
      </c>
      <c r="X1870" s="98">
        <v>1E-8</v>
      </c>
      <c r="Y1870" s="98">
        <v>1E-8</v>
      </c>
      <c r="Z1870" s="98">
        <v>1E-8</v>
      </c>
      <c r="AA1870" s="98">
        <v>1E-8</v>
      </c>
      <c r="AB1870" s="98">
        <v>1E-8</v>
      </c>
      <c r="AC1870" s="98">
        <v>1E-8</v>
      </c>
      <c r="AD1870" s="4"/>
    </row>
    <row r="1871" spans="1:30" x14ac:dyDescent="0.35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34"/>
      <c r="O1871" s="4"/>
      <c r="P1871" s="68"/>
      <c r="Q1871" s="68" t="s">
        <v>686</v>
      </c>
      <c r="R1871" s="109" t="s">
        <v>75</v>
      </c>
      <c r="S1871" s="109" t="s">
        <v>585</v>
      </c>
      <c r="T1871" s="81">
        <v>1E-8</v>
      </c>
      <c r="U1871" s="82">
        <v>1E-8</v>
      </c>
      <c r="V1871" s="81">
        <v>1E-8</v>
      </c>
      <c r="W1871" s="81">
        <v>1E-8</v>
      </c>
      <c r="X1871" s="81">
        <v>1E-8</v>
      </c>
      <c r="Y1871" s="81">
        <v>1E-8</v>
      </c>
      <c r="Z1871" s="81">
        <v>1E-8</v>
      </c>
      <c r="AA1871" s="81">
        <v>1E-8</v>
      </c>
      <c r="AB1871" s="81">
        <v>1E-8</v>
      </c>
      <c r="AC1871" s="81">
        <v>1E-8</v>
      </c>
      <c r="AD1871" s="4"/>
    </row>
    <row r="1872" spans="1:30" x14ac:dyDescent="0.35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34"/>
      <c r="O1872" s="4"/>
      <c r="P1872" s="96"/>
      <c r="Q1872" s="96" t="s">
        <v>687</v>
      </c>
      <c r="R1872" s="107" t="s">
        <v>75</v>
      </c>
      <c r="S1872" s="107" t="s">
        <v>358</v>
      </c>
      <c r="T1872" s="97">
        <v>1E-8</v>
      </c>
      <c r="U1872" s="78">
        <v>1E-8</v>
      </c>
      <c r="V1872" s="97">
        <v>1E-8</v>
      </c>
      <c r="W1872" s="97">
        <v>1E-8</v>
      </c>
      <c r="X1872" s="97">
        <v>1E-8</v>
      </c>
      <c r="Y1872" s="97">
        <v>1E-8</v>
      </c>
      <c r="Z1872" s="97">
        <v>1E-8</v>
      </c>
      <c r="AA1872" s="97">
        <v>1E-8</v>
      </c>
      <c r="AB1872" s="97">
        <v>1E-8</v>
      </c>
      <c r="AC1872" s="97">
        <v>1E-8</v>
      </c>
      <c r="AD1872" s="4"/>
    </row>
    <row r="1873" spans="1:30" x14ac:dyDescent="0.35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34"/>
      <c r="O1873" s="4"/>
      <c r="P1873" s="96"/>
      <c r="Q1873" s="96" t="s">
        <v>688</v>
      </c>
      <c r="R1873" s="107" t="s">
        <v>75</v>
      </c>
      <c r="S1873" s="107" t="s">
        <v>359</v>
      </c>
      <c r="T1873" s="97">
        <v>1E-8</v>
      </c>
      <c r="U1873" s="78">
        <v>1E-8</v>
      </c>
      <c r="V1873" s="97">
        <v>1E-8</v>
      </c>
      <c r="W1873" s="97">
        <v>1E-8</v>
      </c>
      <c r="X1873" s="97">
        <v>1E-8</v>
      </c>
      <c r="Y1873" s="97">
        <v>1E-8</v>
      </c>
      <c r="Z1873" s="97">
        <v>1E-8</v>
      </c>
      <c r="AA1873" s="97">
        <v>1E-8</v>
      </c>
      <c r="AB1873" s="97">
        <v>1E-8</v>
      </c>
      <c r="AC1873" s="97">
        <v>1E-8</v>
      </c>
      <c r="AD1873" s="4"/>
    </row>
    <row r="1874" spans="1:30" x14ac:dyDescent="0.35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34"/>
      <c r="O1874" s="4"/>
      <c r="P1874" s="96"/>
      <c r="Q1874" s="96" t="s">
        <v>689</v>
      </c>
      <c r="R1874" s="107" t="s">
        <v>75</v>
      </c>
      <c r="S1874" s="107" t="s">
        <v>360</v>
      </c>
      <c r="T1874" s="97">
        <v>1E-8</v>
      </c>
      <c r="U1874" s="78">
        <v>1E-8</v>
      </c>
      <c r="V1874" s="97">
        <v>1E-8</v>
      </c>
      <c r="W1874" s="97">
        <v>1E-8</v>
      </c>
      <c r="X1874" s="97">
        <v>1E-8</v>
      </c>
      <c r="Y1874" s="97">
        <v>1E-8</v>
      </c>
      <c r="Z1874" s="97">
        <v>1E-8</v>
      </c>
      <c r="AA1874" s="97">
        <v>1E-8</v>
      </c>
      <c r="AB1874" s="97">
        <v>1E-8</v>
      </c>
      <c r="AC1874" s="97">
        <v>1E-8</v>
      </c>
      <c r="AD1874" s="4"/>
    </row>
    <row r="1875" spans="1:30" x14ac:dyDescent="0.3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34"/>
      <c r="O1875" s="4"/>
      <c r="P1875" s="96"/>
      <c r="Q1875" s="96" t="s">
        <v>205</v>
      </c>
      <c r="R1875" s="107" t="s">
        <v>75</v>
      </c>
      <c r="S1875" s="107" t="s">
        <v>586</v>
      </c>
      <c r="T1875" s="97">
        <v>1E-8</v>
      </c>
      <c r="U1875" s="78">
        <v>1E-8</v>
      </c>
      <c r="V1875" s="97">
        <v>1E-8</v>
      </c>
      <c r="W1875" s="97">
        <v>1E-8</v>
      </c>
      <c r="X1875" s="97">
        <v>1E-8</v>
      </c>
      <c r="Y1875" s="97">
        <v>1E-8</v>
      </c>
      <c r="Z1875" s="97">
        <v>1E-8</v>
      </c>
      <c r="AA1875" s="97">
        <v>1E-8</v>
      </c>
      <c r="AB1875" s="97">
        <v>1E-8</v>
      </c>
      <c r="AC1875" s="97">
        <v>1E-8</v>
      </c>
      <c r="AD1875" s="4"/>
    </row>
    <row r="1876" spans="1:30" x14ac:dyDescent="0.35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34"/>
      <c r="O1876" s="4"/>
      <c r="P1876" s="68"/>
      <c r="Q1876" s="68" t="s">
        <v>690</v>
      </c>
      <c r="R1876" s="108" t="s">
        <v>75</v>
      </c>
      <c r="S1876" s="108" t="s">
        <v>587</v>
      </c>
      <c r="T1876" s="98">
        <v>1E-8</v>
      </c>
      <c r="U1876" s="80">
        <v>1E-8</v>
      </c>
      <c r="V1876" s="98">
        <v>1E-8</v>
      </c>
      <c r="W1876" s="98">
        <v>1E-8</v>
      </c>
      <c r="X1876" s="98">
        <v>1E-8</v>
      </c>
      <c r="Y1876" s="98">
        <v>1E-8</v>
      </c>
      <c r="Z1876" s="98">
        <v>1E-8</v>
      </c>
      <c r="AA1876" s="98">
        <v>1E-8</v>
      </c>
      <c r="AB1876" s="98">
        <v>1E-8</v>
      </c>
      <c r="AC1876" s="98">
        <v>1E-8</v>
      </c>
      <c r="AD1876" s="4"/>
    </row>
    <row r="1877" spans="1:30" x14ac:dyDescent="0.35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34"/>
      <c r="O1877" s="4"/>
      <c r="P1877" s="68"/>
      <c r="Q1877" s="68" t="s">
        <v>691</v>
      </c>
      <c r="R1877" s="108" t="s">
        <v>75</v>
      </c>
      <c r="S1877" s="108" t="s">
        <v>588</v>
      </c>
      <c r="T1877" s="98">
        <v>1E-8</v>
      </c>
      <c r="U1877" s="80">
        <v>1E-8</v>
      </c>
      <c r="V1877" s="98">
        <v>1E-8</v>
      </c>
      <c r="W1877" s="98">
        <v>1E-8</v>
      </c>
      <c r="X1877" s="98">
        <v>1E-8</v>
      </c>
      <c r="Y1877" s="98">
        <v>1E-8</v>
      </c>
      <c r="Z1877" s="98">
        <v>1E-8</v>
      </c>
      <c r="AA1877" s="98">
        <v>1E-8</v>
      </c>
      <c r="AB1877" s="98">
        <v>1E-8</v>
      </c>
      <c r="AC1877" s="98">
        <v>1E-8</v>
      </c>
      <c r="AD1877" s="4"/>
    </row>
    <row r="1878" spans="1:30" x14ac:dyDescent="0.35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34"/>
      <c r="O1878" s="4"/>
      <c r="P1878" s="68"/>
      <c r="Q1878" s="68" t="s">
        <v>692</v>
      </c>
      <c r="R1878" s="108" t="s">
        <v>75</v>
      </c>
      <c r="S1878" s="108" t="s">
        <v>589</v>
      </c>
      <c r="T1878" s="98">
        <v>1E-8</v>
      </c>
      <c r="U1878" s="80">
        <v>1E-8</v>
      </c>
      <c r="V1878" s="98">
        <v>1E-8</v>
      </c>
      <c r="W1878" s="98">
        <v>1E-8</v>
      </c>
      <c r="X1878" s="98">
        <v>1E-8</v>
      </c>
      <c r="Y1878" s="98">
        <v>1E-8</v>
      </c>
      <c r="Z1878" s="98">
        <v>1E-8</v>
      </c>
      <c r="AA1878" s="98">
        <v>1E-8</v>
      </c>
      <c r="AB1878" s="98">
        <v>1E-8</v>
      </c>
      <c r="AC1878" s="98">
        <v>1E-8</v>
      </c>
      <c r="AD1878" s="4"/>
    </row>
    <row r="1879" spans="1:30" x14ac:dyDescent="0.35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34"/>
      <c r="O1879" s="4"/>
      <c r="P1879" s="68"/>
      <c r="Q1879" s="68" t="s">
        <v>693</v>
      </c>
      <c r="R1879" s="108" t="s">
        <v>75</v>
      </c>
      <c r="S1879" s="108" t="s">
        <v>361</v>
      </c>
      <c r="T1879" s="98">
        <v>1E-8</v>
      </c>
      <c r="U1879" s="80">
        <v>1E-8</v>
      </c>
      <c r="V1879" s="98">
        <v>1E-8</v>
      </c>
      <c r="W1879" s="98">
        <v>1E-8</v>
      </c>
      <c r="X1879" s="98">
        <v>1E-8</v>
      </c>
      <c r="Y1879" s="98">
        <v>1E-8</v>
      </c>
      <c r="Z1879" s="98">
        <v>1E-8</v>
      </c>
      <c r="AA1879" s="98">
        <v>1E-8</v>
      </c>
      <c r="AB1879" s="98">
        <v>1E-8</v>
      </c>
      <c r="AC1879" s="98">
        <v>1E-8</v>
      </c>
      <c r="AD1879" s="4"/>
    </row>
    <row r="1880" spans="1:30" x14ac:dyDescent="0.35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34"/>
      <c r="O1880" s="4"/>
      <c r="P1880" s="68"/>
      <c r="Q1880" s="68" t="s">
        <v>694</v>
      </c>
      <c r="R1880" s="108" t="s">
        <v>75</v>
      </c>
      <c r="S1880" s="108" t="s">
        <v>590</v>
      </c>
      <c r="T1880" s="98">
        <v>1E-8</v>
      </c>
      <c r="U1880" s="80">
        <v>1E-8</v>
      </c>
      <c r="V1880" s="98">
        <v>1E-8</v>
      </c>
      <c r="W1880" s="98">
        <v>1E-8</v>
      </c>
      <c r="X1880" s="98">
        <v>1E-8</v>
      </c>
      <c r="Y1880" s="98">
        <v>1E-8</v>
      </c>
      <c r="Z1880" s="98">
        <v>1E-8</v>
      </c>
      <c r="AA1880" s="98">
        <v>1E-8</v>
      </c>
      <c r="AB1880" s="98">
        <v>1E-8</v>
      </c>
      <c r="AC1880" s="98">
        <v>1E-8</v>
      </c>
      <c r="AD1880" s="4"/>
    </row>
    <row r="1881" spans="1:30" ht="15" thickBot="1" x14ac:dyDescent="0.4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34"/>
      <c r="O1881" s="4"/>
      <c r="P1881" s="102"/>
      <c r="Q1881" s="102" t="s">
        <v>695</v>
      </c>
      <c r="R1881" s="113" t="s">
        <v>75</v>
      </c>
      <c r="S1881" s="113" t="s">
        <v>591</v>
      </c>
      <c r="T1881" s="103">
        <v>1E-8</v>
      </c>
      <c r="U1881" s="104">
        <v>1E-8</v>
      </c>
      <c r="V1881" s="103">
        <v>1E-8</v>
      </c>
      <c r="W1881" s="103">
        <v>1E-8</v>
      </c>
      <c r="X1881" s="103">
        <v>1E-8</v>
      </c>
      <c r="Y1881" s="103">
        <v>1E-8</v>
      </c>
      <c r="Z1881" s="103">
        <v>1E-8</v>
      </c>
      <c r="AA1881" s="103">
        <v>1E-8</v>
      </c>
      <c r="AB1881" s="103">
        <v>1E-8</v>
      </c>
      <c r="AC1881" s="103">
        <v>1E-8</v>
      </c>
      <c r="AD1881" s="4"/>
    </row>
    <row r="1882" spans="1:30" x14ac:dyDescent="0.35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34"/>
      <c r="O1882" s="4"/>
      <c r="P1882" s="47" t="s">
        <v>733</v>
      </c>
      <c r="Q1882" s="47" t="s">
        <v>102</v>
      </c>
      <c r="R1882" s="105" t="s">
        <v>83</v>
      </c>
      <c r="S1882" s="105" t="s">
        <v>288</v>
      </c>
      <c r="T1882" s="95">
        <v>100</v>
      </c>
      <c r="U1882" s="74">
        <v>1E-8</v>
      </c>
      <c r="V1882" s="95">
        <v>1E-8</v>
      </c>
      <c r="W1882" s="95">
        <v>1E-8</v>
      </c>
      <c r="X1882" s="95">
        <v>1E-8</v>
      </c>
      <c r="Y1882" s="95">
        <v>1E-8</v>
      </c>
      <c r="Z1882" s="95">
        <v>1E-8</v>
      </c>
      <c r="AA1882" s="95">
        <v>1E-8</v>
      </c>
      <c r="AB1882" s="95">
        <v>1E-8</v>
      </c>
      <c r="AC1882" s="95">
        <v>1E-8</v>
      </c>
      <c r="AD1882" s="4"/>
    </row>
    <row r="1883" spans="1:30" x14ac:dyDescent="0.35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34"/>
      <c r="O1883" s="4"/>
      <c r="P1883" s="47" t="s">
        <v>482</v>
      </c>
      <c r="Q1883" s="47" t="s">
        <v>278</v>
      </c>
      <c r="R1883" s="106" t="s">
        <v>83</v>
      </c>
      <c r="S1883" s="106" t="s">
        <v>289</v>
      </c>
      <c r="T1883" s="75">
        <v>100</v>
      </c>
      <c r="U1883" s="76">
        <v>1E-8</v>
      </c>
      <c r="V1883" s="75">
        <v>1E-8</v>
      </c>
      <c r="W1883" s="75">
        <v>1E-8</v>
      </c>
      <c r="X1883" s="75">
        <v>1E-8</v>
      </c>
      <c r="Y1883" s="75">
        <v>1E-8</v>
      </c>
      <c r="Z1883" s="75">
        <v>1E-8</v>
      </c>
      <c r="AA1883" s="75">
        <v>1E-8</v>
      </c>
      <c r="AB1883" s="75">
        <v>1E-8</v>
      </c>
      <c r="AC1883" s="75">
        <v>1E-8</v>
      </c>
      <c r="AD1883" s="4"/>
    </row>
    <row r="1884" spans="1:30" x14ac:dyDescent="0.35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34"/>
      <c r="O1884" s="4"/>
      <c r="P1884" s="96"/>
      <c r="Q1884" s="96" t="s">
        <v>279</v>
      </c>
      <c r="R1884" s="107" t="s">
        <v>83</v>
      </c>
      <c r="S1884" s="107" t="s">
        <v>290</v>
      </c>
      <c r="T1884" s="97">
        <v>1E-8</v>
      </c>
      <c r="U1884" s="78">
        <v>1E-8</v>
      </c>
      <c r="V1884" s="97">
        <v>1E-8</v>
      </c>
      <c r="W1884" s="97">
        <v>1E-8</v>
      </c>
      <c r="X1884" s="97">
        <v>1E-8</v>
      </c>
      <c r="Y1884" s="97">
        <v>1E-8</v>
      </c>
      <c r="Z1884" s="97">
        <v>1E-8</v>
      </c>
      <c r="AA1884" s="97">
        <v>1E-8</v>
      </c>
      <c r="AB1884" s="97">
        <v>1E-8</v>
      </c>
      <c r="AC1884" s="97">
        <v>1E-8</v>
      </c>
      <c r="AD1884" s="4"/>
    </row>
    <row r="1885" spans="1:30" x14ac:dyDescent="0.3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34"/>
      <c r="O1885" s="4"/>
      <c r="P1885" s="96"/>
      <c r="Q1885" s="96" t="s">
        <v>362</v>
      </c>
      <c r="R1885" s="107" t="s">
        <v>83</v>
      </c>
      <c r="S1885" s="107" t="s">
        <v>291</v>
      </c>
      <c r="T1885" s="97">
        <v>1E-8</v>
      </c>
      <c r="U1885" s="78">
        <v>1E-8</v>
      </c>
      <c r="V1885" s="97">
        <v>1E-8</v>
      </c>
      <c r="W1885" s="97">
        <v>1E-8</v>
      </c>
      <c r="X1885" s="97">
        <v>1E-8</v>
      </c>
      <c r="Y1885" s="97">
        <v>1E-8</v>
      </c>
      <c r="Z1885" s="97">
        <v>1E-8</v>
      </c>
      <c r="AA1885" s="97">
        <v>1E-8</v>
      </c>
      <c r="AB1885" s="97">
        <v>1E-8</v>
      </c>
      <c r="AC1885" s="97">
        <v>1E-8</v>
      </c>
      <c r="AD1885" s="4"/>
    </row>
    <row r="1886" spans="1:30" x14ac:dyDescent="0.35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34"/>
      <c r="O1886" s="4"/>
      <c r="P1886" s="96"/>
      <c r="Q1886" s="96" t="s">
        <v>363</v>
      </c>
      <c r="R1886" s="107" t="s">
        <v>83</v>
      </c>
      <c r="S1886" s="107" t="s">
        <v>292</v>
      </c>
      <c r="T1886" s="97">
        <v>1E-8</v>
      </c>
      <c r="U1886" s="78">
        <v>1E-8</v>
      </c>
      <c r="V1886" s="97">
        <v>1E-8</v>
      </c>
      <c r="W1886" s="97">
        <v>1E-8</v>
      </c>
      <c r="X1886" s="97">
        <v>1E-8</v>
      </c>
      <c r="Y1886" s="97">
        <v>1E-8</v>
      </c>
      <c r="Z1886" s="97">
        <v>1E-8</v>
      </c>
      <c r="AA1886" s="97">
        <v>1E-8</v>
      </c>
      <c r="AB1886" s="97">
        <v>1E-8</v>
      </c>
      <c r="AC1886" s="97">
        <v>1E-8</v>
      </c>
      <c r="AD1886" s="4"/>
    </row>
    <row r="1887" spans="1:30" x14ac:dyDescent="0.35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34"/>
      <c r="O1887" s="4"/>
      <c r="P1887" s="68"/>
      <c r="Q1887" s="68" t="s">
        <v>592</v>
      </c>
      <c r="R1887" s="108" t="s">
        <v>83</v>
      </c>
      <c r="S1887" s="108" t="s">
        <v>294</v>
      </c>
      <c r="T1887" s="98">
        <v>1E-8</v>
      </c>
      <c r="U1887" s="80">
        <v>1E-8</v>
      </c>
      <c r="V1887" s="98">
        <v>1E-8</v>
      </c>
      <c r="W1887" s="98">
        <v>1E-8</v>
      </c>
      <c r="X1887" s="98">
        <v>1E-8</v>
      </c>
      <c r="Y1887" s="98">
        <v>1E-8</v>
      </c>
      <c r="Z1887" s="98">
        <v>1E-8</v>
      </c>
      <c r="AA1887" s="98">
        <v>1E-8</v>
      </c>
      <c r="AB1887" s="98">
        <v>1E-8</v>
      </c>
      <c r="AC1887" s="98">
        <v>1E-8</v>
      </c>
      <c r="AD1887" s="4"/>
    </row>
    <row r="1888" spans="1:30" x14ac:dyDescent="0.35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34"/>
      <c r="O1888" s="4"/>
      <c r="P1888" s="68"/>
      <c r="Q1888" s="68" t="s">
        <v>593</v>
      </c>
      <c r="R1888" s="108" t="s">
        <v>83</v>
      </c>
      <c r="S1888" s="108" t="s">
        <v>293</v>
      </c>
      <c r="T1888" s="98">
        <v>1E-8</v>
      </c>
      <c r="U1888" s="80">
        <v>1E-8</v>
      </c>
      <c r="V1888" s="98">
        <v>1E-8</v>
      </c>
      <c r="W1888" s="98">
        <v>1E-8</v>
      </c>
      <c r="X1888" s="98">
        <v>1E-8</v>
      </c>
      <c r="Y1888" s="98">
        <v>1E-8</v>
      </c>
      <c r="Z1888" s="98">
        <v>1E-8</v>
      </c>
      <c r="AA1888" s="98">
        <v>1E-8</v>
      </c>
      <c r="AB1888" s="98">
        <v>1E-8</v>
      </c>
      <c r="AC1888" s="98">
        <v>1E-8</v>
      </c>
      <c r="AD1888" s="4"/>
    </row>
    <row r="1889" spans="1:30" x14ac:dyDescent="0.3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34"/>
      <c r="O1889" s="4"/>
      <c r="P1889" s="68"/>
      <c r="Q1889" s="68" t="s">
        <v>594</v>
      </c>
      <c r="R1889" s="108" t="s">
        <v>83</v>
      </c>
      <c r="S1889" s="108" t="s">
        <v>296</v>
      </c>
      <c r="T1889" s="98">
        <v>1E-8</v>
      </c>
      <c r="U1889" s="80">
        <v>1E-8</v>
      </c>
      <c r="V1889" s="98">
        <v>1E-8</v>
      </c>
      <c r="W1889" s="98">
        <v>1E-8</v>
      </c>
      <c r="X1889" s="98">
        <v>1E-8</v>
      </c>
      <c r="Y1889" s="98">
        <v>1E-8</v>
      </c>
      <c r="Z1889" s="98">
        <v>1E-8</v>
      </c>
      <c r="AA1889" s="98">
        <v>1E-8</v>
      </c>
      <c r="AB1889" s="98">
        <v>1E-8</v>
      </c>
      <c r="AC1889" s="98">
        <v>1E-8</v>
      </c>
      <c r="AD1889" s="4"/>
    </row>
    <row r="1890" spans="1:30" x14ac:dyDescent="0.35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34"/>
      <c r="O1890" s="4"/>
      <c r="P1890" s="68"/>
      <c r="Q1890" s="68" t="s">
        <v>595</v>
      </c>
      <c r="R1890" s="108" t="s">
        <v>83</v>
      </c>
      <c r="S1890" s="108" t="s">
        <v>295</v>
      </c>
      <c r="T1890" s="98">
        <v>1E-8</v>
      </c>
      <c r="U1890" s="80">
        <v>1E-8</v>
      </c>
      <c r="V1890" s="98">
        <v>1E-8</v>
      </c>
      <c r="W1890" s="98">
        <v>1E-8</v>
      </c>
      <c r="X1890" s="98">
        <v>1E-8</v>
      </c>
      <c r="Y1890" s="98">
        <v>1E-8</v>
      </c>
      <c r="Z1890" s="98">
        <v>1E-8</v>
      </c>
      <c r="AA1890" s="98">
        <v>1E-8</v>
      </c>
      <c r="AB1890" s="98">
        <v>1E-8</v>
      </c>
      <c r="AC1890" s="98">
        <v>1E-8</v>
      </c>
      <c r="AD1890" s="4"/>
    </row>
    <row r="1891" spans="1:30" x14ac:dyDescent="0.35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34"/>
      <c r="O1891" s="4"/>
      <c r="P1891" s="68"/>
      <c r="Q1891" s="68" t="s">
        <v>596</v>
      </c>
      <c r="R1891" s="108" t="s">
        <v>83</v>
      </c>
      <c r="S1891" s="108" t="s">
        <v>297</v>
      </c>
      <c r="T1891" s="98">
        <v>1E-8</v>
      </c>
      <c r="U1891" s="80">
        <v>1E-8</v>
      </c>
      <c r="V1891" s="98">
        <v>1E-8</v>
      </c>
      <c r="W1891" s="98">
        <v>1E-8</v>
      </c>
      <c r="X1891" s="98">
        <v>1E-8</v>
      </c>
      <c r="Y1891" s="98">
        <v>1E-8</v>
      </c>
      <c r="Z1891" s="98">
        <v>1E-8</v>
      </c>
      <c r="AA1891" s="98">
        <v>1E-8</v>
      </c>
      <c r="AB1891" s="98">
        <v>1E-8</v>
      </c>
      <c r="AC1891" s="98">
        <v>1E-8</v>
      </c>
      <c r="AD1891" s="4"/>
    </row>
    <row r="1892" spans="1:30" x14ac:dyDescent="0.35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34"/>
      <c r="O1892" s="4"/>
      <c r="P1892" s="68"/>
      <c r="Q1892" s="68" t="s">
        <v>597</v>
      </c>
      <c r="R1892" s="108" t="s">
        <v>83</v>
      </c>
      <c r="S1892" s="108" t="s">
        <v>301</v>
      </c>
      <c r="T1892" s="98">
        <v>1E-8</v>
      </c>
      <c r="U1892" s="80">
        <v>1E-8</v>
      </c>
      <c r="V1892" s="98">
        <v>1E-8</v>
      </c>
      <c r="W1892" s="98">
        <v>1E-8</v>
      </c>
      <c r="X1892" s="98">
        <v>1E-8</v>
      </c>
      <c r="Y1892" s="98">
        <v>1E-8</v>
      </c>
      <c r="Z1892" s="98">
        <v>1E-8</v>
      </c>
      <c r="AA1892" s="98">
        <v>1E-8</v>
      </c>
      <c r="AB1892" s="98">
        <v>1E-8</v>
      </c>
      <c r="AC1892" s="98">
        <v>1E-8</v>
      </c>
      <c r="AD1892" s="4"/>
    </row>
    <row r="1893" spans="1:30" x14ac:dyDescent="0.35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34"/>
      <c r="O1893" s="4"/>
      <c r="P1893" s="68"/>
      <c r="Q1893" s="68" t="s">
        <v>598</v>
      </c>
      <c r="R1893" s="108" t="s">
        <v>83</v>
      </c>
      <c r="S1893" s="108" t="s">
        <v>302</v>
      </c>
      <c r="T1893" s="98">
        <v>1E-8</v>
      </c>
      <c r="U1893" s="80">
        <v>1E-8</v>
      </c>
      <c r="V1893" s="98">
        <v>1E-8</v>
      </c>
      <c r="W1893" s="98">
        <v>1E-8</v>
      </c>
      <c r="X1893" s="98">
        <v>1E-8</v>
      </c>
      <c r="Y1893" s="98">
        <v>1E-8</v>
      </c>
      <c r="Z1893" s="98">
        <v>1E-8</v>
      </c>
      <c r="AA1893" s="98">
        <v>1E-8</v>
      </c>
      <c r="AB1893" s="98">
        <v>1E-8</v>
      </c>
      <c r="AC1893" s="98">
        <v>1E-8</v>
      </c>
      <c r="AD1893" s="4"/>
    </row>
    <row r="1894" spans="1:30" x14ac:dyDescent="0.35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34"/>
      <c r="O1894" s="4"/>
      <c r="P1894" s="68"/>
      <c r="Q1894" s="68" t="s">
        <v>599</v>
      </c>
      <c r="R1894" s="108" t="s">
        <v>83</v>
      </c>
      <c r="S1894" s="108" t="s">
        <v>300</v>
      </c>
      <c r="T1894" s="98">
        <v>1E-8</v>
      </c>
      <c r="U1894" s="80">
        <v>1E-8</v>
      </c>
      <c r="V1894" s="98">
        <v>1E-8</v>
      </c>
      <c r="W1894" s="98">
        <v>1E-8</v>
      </c>
      <c r="X1894" s="98">
        <v>1E-8</v>
      </c>
      <c r="Y1894" s="98">
        <v>1E-8</v>
      </c>
      <c r="Z1894" s="98">
        <v>1E-8</v>
      </c>
      <c r="AA1894" s="98">
        <v>1E-8</v>
      </c>
      <c r="AB1894" s="98">
        <v>1E-8</v>
      </c>
      <c r="AC1894" s="98">
        <v>1E-8</v>
      </c>
      <c r="AD1894" s="4"/>
    </row>
    <row r="1895" spans="1:30" x14ac:dyDescent="0.3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34"/>
      <c r="O1895" s="4"/>
      <c r="P1895" s="68"/>
      <c r="Q1895" s="68" t="s">
        <v>600</v>
      </c>
      <c r="R1895" s="108" t="s">
        <v>83</v>
      </c>
      <c r="S1895" s="108" t="s">
        <v>303</v>
      </c>
      <c r="T1895" s="98">
        <v>1E-8</v>
      </c>
      <c r="U1895" s="80">
        <v>1E-8</v>
      </c>
      <c r="V1895" s="98">
        <v>1E-8</v>
      </c>
      <c r="W1895" s="98">
        <v>1E-8</v>
      </c>
      <c r="X1895" s="98">
        <v>1E-8</v>
      </c>
      <c r="Y1895" s="98">
        <v>1E-8</v>
      </c>
      <c r="Z1895" s="98">
        <v>1E-8</v>
      </c>
      <c r="AA1895" s="98">
        <v>1E-8</v>
      </c>
      <c r="AB1895" s="98">
        <v>1E-8</v>
      </c>
      <c r="AC1895" s="98">
        <v>1E-8</v>
      </c>
      <c r="AD1895" s="4"/>
    </row>
    <row r="1896" spans="1:30" x14ac:dyDescent="0.35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34"/>
      <c r="O1896" s="4"/>
      <c r="P1896" s="68"/>
      <c r="Q1896" s="68" t="s">
        <v>601</v>
      </c>
      <c r="R1896" s="108" t="s">
        <v>83</v>
      </c>
      <c r="S1896" s="108" t="s">
        <v>533</v>
      </c>
      <c r="T1896" s="98">
        <v>1E-8</v>
      </c>
      <c r="U1896" s="80">
        <v>1E-8</v>
      </c>
      <c r="V1896" s="98">
        <v>1E-8</v>
      </c>
      <c r="W1896" s="98">
        <v>1E-8</v>
      </c>
      <c r="X1896" s="98">
        <v>1E-8</v>
      </c>
      <c r="Y1896" s="98">
        <v>1E-8</v>
      </c>
      <c r="Z1896" s="98">
        <v>1E-8</v>
      </c>
      <c r="AA1896" s="98">
        <v>1E-8</v>
      </c>
      <c r="AB1896" s="98">
        <v>1E-8</v>
      </c>
      <c r="AC1896" s="98">
        <v>1E-8</v>
      </c>
      <c r="AD1896" s="4"/>
    </row>
    <row r="1897" spans="1:30" x14ac:dyDescent="0.35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34"/>
      <c r="O1897" s="4"/>
      <c r="P1897" s="68"/>
      <c r="Q1897" s="68" t="s">
        <v>602</v>
      </c>
      <c r="R1897" s="108" t="s">
        <v>83</v>
      </c>
      <c r="S1897" s="108" t="s">
        <v>534</v>
      </c>
      <c r="T1897" s="98">
        <v>1E-8</v>
      </c>
      <c r="U1897" s="80">
        <v>1E-8</v>
      </c>
      <c r="V1897" s="98">
        <v>1E-8</v>
      </c>
      <c r="W1897" s="98">
        <v>1E-8</v>
      </c>
      <c r="X1897" s="98">
        <v>1E-8</v>
      </c>
      <c r="Y1897" s="98">
        <v>1E-8</v>
      </c>
      <c r="Z1897" s="98">
        <v>1E-8</v>
      </c>
      <c r="AA1897" s="98">
        <v>1E-8</v>
      </c>
      <c r="AB1897" s="98">
        <v>1E-8</v>
      </c>
      <c r="AC1897" s="98">
        <v>1E-8</v>
      </c>
      <c r="AD1897" s="4"/>
    </row>
    <row r="1898" spans="1:30" x14ac:dyDescent="0.35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34"/>
      <c r="O1898" s="4"/>
      <c r="P1898" s="68"/>
      <c r="Q1898" s="68" t="s">
        <v>603</v>
      </c>
      <c r="R1898" s="108" t="s">
        <v>83</v>
      </c>
      <c r="S1898" s="108" t="s">
        <v>304</v>
      </c>
      <c r="T1898" s="98">
        <v>1E-8</v>
      </c>
      <c r="U1898" s="80">
        <v>1E-8</v>
      </c>
      <c r="V1898" s="98">
        <v>1E-8</v>
      </c>
      <c r="W1898" s="98">
        <v>1E-8</v>
      </c>
      <c r="X1898" s="98">
        <v>1E-8</v>
      </c>
      <c r="Y1898" s="98">
        <v>1E-8</v>
      </c>
      <c r="Z1898" s="98">
        <v>1E-8</v>
      </c>
      <c r="AA1898" s="98">
        <v>1E-8</v>
      </c>
      <c r="AB1898" s="98">
        <v>1E-8</v>
      </c>
      <c r="AC1898" s="98">
        <v>1E-8</v>
      </c>
      <c r="AD1898" s="4"/>
    </row>
    <row r="1899" spans="1:30" x14ac:dyDescent="0.35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34"/>
      <c r="O1899" s="4"/>
      <c r="P1899" s="68"/>
      <c r="Q1899" s="68" t="s">
        <v>604</v>
      </c>
      <c r="R1899" s="108" t="s">
        <v>83</v>
      </c>
      <c r="S1899" s="108" t="s">
        <v>535</v>
      </c>
      <c r="T1899" s="98">
        <v>1E-8</v>
      </c>
      <c r="U1899" s="80">
        <v>1E-8</v>
      </c>
      <c r="V1899" s="98">
        <v>1E-8</v>
      </c>
      <c r="W1899" s="98">
        <v>1E-8</v>
      </c>
      <c r="X1899" s="98">
        <v>1E-8</v>
      </c>
      <c r="Y1899" s="98">
        <v>1E-8</v>
      </c>
      <c r="Z1899" s="98">
        <v>1E-8</v>
      </c>
      <c r="AA1899" s="98">
        <v>1E-8</v>
      </c>
      <c r="AB1899" s="98">
        <v>1E-8</v>
      </c>
      <c r="AC1899" s="98">
        <v>1E-8</v>
      </c>
      <c r="AD1899" s="4"/>
    </row>
    <row r="1900" spans="1:30" x14ac:dyDescent="0.35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34"/>
      <c r="O1900" s="4"/>
      <c r="P1900" s="68"/>
      <c r="Q1900" s="68" t="s">
        <v>605</v>
      </c>
      <c r="R1900" s="108" t="s">
        <v>83</v>
      </c>
      <c r="S1900" s="108" t="s">
        <v>536</v>
      </c>
      <c r="T1900" s="98">
        <v>1E-8</v>
      </c>
      <c r="U1900" s="80">
        <v>1E-8</v>
      </c>
      <c r="V1900" s="98">
        <v>1E-8</v>
      </c>
      <c r="W1900" s="98">
        <v>1E-8</v>
      </c>
      <c r="X1900" s="98">
        <v>1E-8</v>
      </c>
      <c r="Y1900" s="98">
        <v>1E-8</v>
      </c>
      <c r="Z1900" s="98">
        <v>1E-8</v>
      </c>
      <c r="AA1900" s="98">
        <v>1E-8</v>
      </c>
      <c r="AB1900" s="98">
        <v>1E-8</v>
      </c>
      <c r="AC1900" s="98">
        <v>1E-8</v>
      </c>
      <c r="AD1900" s="4"/>
    </row>
    <row r="1901" spans="1:30" x14ac:dyDescent="0.35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34"/>
      <c r="O1901" s="4"/>
      <c r="P1901" s="68"/>
      <c r="Q1901" s="68" t="s">
        <v>606</v>
      </c>
      <c r="R1901" s="108" t="s">
        <v>83</v>
      </c>
      <c r="S1901" s="108" t="s">
        <v>537</v>
      </c>
      <c r="T1901" s="98">
        <v>1E-8</v>
      </c>
      <c r="U1901" s="80">
        <v>1E-8</v>
      </c>
      <c r="V1901" s="98">
        <v>1E-8</v>
      </c>
      <c r="W1901" s="98">
        <v>1E-8</v>
      </c>
      <c r="X1901" s="98">
        <v>1E-8</v>
      </c>
      <c r="Y1901" s="98">
        <v>1E-8</v>
      </c>
      <c r="Z1901" s="98">
        <v>1E-8</v>
      </c>
      <c r="AA1901" s="98">
        <v>1E-8</v>
      </c>
      <c r="AB1901" s="98">
        <v>1E-8</v>
      </c>
      <c r="AC1901" s="98">
        <v>1E-8</v>
      </c>
      <c r="AD1901" s="4"/>
    </row>
    <row r="1902" spans="1:30" x14ac:dyDescent="0.35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34"/>
      <c r="O1902" s="4"/>
      <c r="P1902" s="68"/>
      <c r="Q1902" s="68" t="s">
        <v>607</v>
      </c>
      <c r="R1902" s="108" t="s">
        <v>83</v>
      </c>
      <c r="S1902" s="108" t="s">
        <v>307</v>
      </c>
      <c r="T1902" s="98">
        <v>1E-8</v>
      </c>
      <c r="U1902" s="80">
        <v>1E-8</v>
      </c>
      <c r="V1902" s="98">
        <v>1E-8</v>
      </c>
      <c r="W1902" s="98">
        <v>1E-8</v>
      </c>
      <c r="X1902" s="98">
        <v>1E-8</v>
      </c>
      <c r="Y1902" s="98">
        <v>1E-8</v>
      </c>
      <c r="Z1902" s="98">
        <v>1E-8</v>
      </c>
      <c r="AA1902" s="98">
        <v>1E-8</v>
      </c>
      <c r="AB1902" s="98">
        <v>1E-8</v>
      </c>
      <c r="AC1902" s="98">
        <v>1E-8</v>
      </c>
      <c r="AD1902" s="4"/>
    </row>
    <row r="1903" spans="1:30" x14ac:dyDescent="0.35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34"/>
      <c r="O1903" s="4"/>
      <c r="P1903" s="68"/>
      <c r="Q1903" s="68" t="s">
        <v>608</v>
      </c>
      <c r="R1903" s="108" t="s">
        <v>83</v>
      </c>
      <c r="S1903" s="108" t="s">
        <v>298</v>
      </c>
      <c r="T1903" s="98">
        <v>1E-8</v>
      </c>
      <c r="U1903" s="80">
        <v>1E-8</v>
      </c>
      <c r="V1903" s="98">
        <v>1E-8</v>
      </c>
      <c r="W1903" s="98">
        <v>1E-8</v>
      </c>
      <c r="X1903" s="98">
        <v>1E-8</v>
      </c>
      <c r="Y1903" s="98">
        <v>1E-8</v>
      </c>
      <c r="Z1903" s="98">
        <v>1E-8</v>
      </c>
      <c r="AA1903" s="98">
        <v>1E-8</v>
      </c>
      <c r="AB1903" s="98">
        <v>1E-8</v>
      </c>
      <c r="AC1903" s="98">
        <v>1E-8</v>
      </c>
      <c r="AD1903" s="4"/>
    </row>
    <row r="1904" spans="1:30" x14ac:dyDescent="0.35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34"/>
      <c r="O1904" s="4"/>
      <c r="P1904" s="68"/>
      <c r="Q1904" s="68" t="s">
        <v>609</v>
      </c>
      <c r="R1904" s="108" t="s">
        <v>83</v>
      </c>
      <c r="S1904" s="108" t="s">
        <v>538</v>
      </c>
      <c r="T1904" s="98">
        <v>1E-8</v>
      </c>
      <c r="U1904" s="80">
        <v>1E-8</v>
      </c>
      <c r="V1904" s="98">
        <v>1E-8</v>
      </c>
      <c r="W1904" s="98">
        <v>1E-8</v>
      </c>
      <c r="X1904" s="98">
        <v>1E-8</v>
      </c>
      <c r="Y1904" s="98">
        <v>1E-8</v>
      </c>
      <c r="Z1904" s="98">
        <v>1E-8</v>
      </c>
      <c r="AA1904" s="98">
        <v>1E-8</v>
      </c>
      <c r="AB1904" s="98">
        <v>1E-8</v>
      </c>
      <c r="AC1904" s="98">
        <v>1E-8</v>
      </c>
      <c r="AD1904" s="4"/>
    </row>
    <row r="1905" spans="1:30" x14ac:dyDescent="0.3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34"/>
      <c r="O1905" s="4"/>
      <c r="P1905" s="68"/>
      <c r="Q1905" s="68" t="s">
        <v>610</v>
      </c>
      <c r="R1905" s="108" t="s">
        <v>83</v>
      </c>
      <c r="S1905" s="108" t="s">
        <v>299</v>
      </c>
      <c r="T1905" s="98">
        <v>1E-8</v>
      </c>
      <c r="U1905" s="80">
        <v>1E-8</v>
      </c>
      <c r="V1905" s="98">
        <v>1E-8</v>
      </c>
      <c r="W1905" s="98">
        <v>1E-8</v>
      </c>
      <c r="X1905" s="98">
        <v>1E-8</v>
      </c>
      <c r="Y1905" s="98">
        <v>1E-8</v>
      </c>
      <c r="Z1905" s="98">
        <v>1E-8</v>
      </c>
      <c r="AA1905" s="98">
        <v>1E-8</v>
      </c>
      <c r="AB1905" s="98">
        <v>1E-8</v>
      </c>
      <c r="AC1905" s="98">
        <v>1E-8</v>
      </c>
      <c r="AD1905" s="4"/>
    </row>
    <row r="1906" spans="1:30" x14ac:dyDescent="0.35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34"/>
      <c r="O1906" s="4"/>
      <c r="P1906" s="68"/>
      <c r="Q1906" s="68" t="s">
        <v>611</v>
      </c>
      <c r="R1906" s="108" t="s">
        <v>83</v>
      </c>
      <c r="S1906" s="108" t="s">
        <v>309</v>
      </c>
      <c r="T1906" s="98">
        <v>1E-8</v>
      </c>
      <c r="U1906" s="80">
        <v>1E-8</v>
      </c>
      <c r="V1906" s="98">
        <v>1E-8</v>
      </c>
      <c r="W1906" s="98">
        <v>1E-8</v>
      </c>
      <c r="X1906" s="98">
        <v>1E-8</v>
      </c>
      <c r="Y1906" s="98">
        <v>1E-8</v>
      </c>
      <c r="Z1906" s="98">
        <v>1E-8</v>
      </c>
      <c r="AA1906" s="98">
        <v>1E-8</v>
      </c>
      <c r="AB1906" s="98">
        <v>1E-8</v>
      </c>
      <c r="AC1906" s="98">
        <v>1E-8</v>
      </c>
      <c r="AD1906" s="4"/>
    </row>
    <row r="1907" spans="1:30" x14ac:dyDescent="0.35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34"/>
      <c r="O1907" s="4"/>
      <c r="P1907" s="68"/>
      <c r="Q1907" s="68" t="s">
        <v>612</v>
      </c>
      <c r="R1907" s="108" t="s">
        <v>83</v>
      </c>
      <c r="S1907" s="108" t="s">
        <v>308</v>
      </c>
      <c r="T1907" s="98">
        <v>1E-8</v>
      </c>
      <c r="U1907" s="80">
        <v>1E-8</v>
      </c>
      <c r="V1907" s="98">
        <v>1E-8</v>
      </c>
      <c r="W1907" s="98">
        <v>1E-8</v>
      </c>
      <c r="X1907" s="98">
        <v>1E-8</v>
      </c>
      <c r="Y1907" s="98">
        <v>1E-8</v>
      </c>
      <c r="Z1907" s="98">
        <v>1E-8</v>
      </c>
      <c r="AA1907" s="98">
        <v>1E-8</v>
      </c>
      <c r="AB1907" s="98">
        <v>1E-8</v>
      </c>
      <c r="AC1907" s="98">
        <v>1E-8</v>
      </c>
      <c r="AD1907" s="4"/>
    </row>
    <row r="1908" spans="1:30" x14ac:dyDescent="0.35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34"/>
      <c r="O1908" s="4"/>
      <c r="P1908" s="68"/>
      <c r="Q1908" s="68" t="s">
        <v>613</v>
      </c>
      <c r="R1908" s="108" t="s">
        <v>83</v>
      </c>
      <c r="S1908" s="108" t="s">
        <v>306</v>
      </c>
      <c r="T1908" s="98">
        <v>1E-8</v>
      </c>
      <c r="U1908" s="80">
        <v>1E-8</v>
      </c>
      <c r="V1908" s="98">
        <v>1E-8</v>
      </c>
      <c r="W1908" s="98">
        <v>1E-8</v>
      </c>
      <c r="X1908" s="98">
        <v>1E-8</v>
      </c>
      <c r="Y1908" s="98">
        <v>1E-8</v>
      </c>
      <c r="Z1908" s="98">
        <v>1E-8</v>
      </c>
      <c r="AA1908" s="98">
        <v>1E-8</v>
      </c>
      <c r="AB1908" s="98">
        <v>1E-8</v>
      </c>
      <c r="AC1908" s="98">
        <v>1E-8</v>
      </c>
      <c r="AD1908" s="4"/>
    </row>
    <row r="1909" spans="1:30" x14ac:dyDescent="0.35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34"/>
      <c r="O1909" s="4"/>
      <c r="P1909" s="68"/>
      <c r="Q1909" s="68" t="s">
        <v>614</v>
      </c>
      <c r="R1909" s="108" t="s">
        <v>83</v>
      </c>
      <c r="S1909" s="108" t="s">
        <v>305</v>
      </c>
      <c r="T1909" s="98">
        <v>1E-8</v>
      </c>
      <c r="U1909" s="80">
        <v>1E-8</v>
      </c>
      <c r="V1909" s="98">
        <v>1E-8</v>
      </c>
      <c r="W1909" s="98">
        <v>1E-8</v>
      </c>
      <c r="X1909" s="98">
        <v>1E-8</v>
      </c>
      <c r="Y1909" s="98">
        <v>1E-8</v>
      </c>
      <c r="Z1909" s="98">
        <v>1E-8</v>
      </c>
      <c r="AA1909" s="98">
        <v>1E-8</v>
      </c>
      <c r="AB1909" s="98">
        <v>1E-8</v>
      </c>
      <c r="AC1909" s="98">
        <v>1E-8</v>
      </c>
      <c r="AD1909" s="4"/>
    </row>
    <row r="1910" spans="1:30" x14ac:dyDescent="0.35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34"/>
      <c r="O1910" s="4"/>
      <c r="P1910" s="68"/>
      <c r="Q1910" s="68" t="s">
        <v>615</v>
      </c>
      <c r="R1910" s="108" t="s">
        <v>83</v>
      </c>
      <c r="S1910" s="108" t="s">
        <v>539</v>
      </c>
      <c r="T1910" s="98">
        <v>1E-8</v>
      </c>
      <c r="U1910" s="80">
        <v>1E-8</v>
      </c>
      <c r="V1910" s="98">
        <v>1E-8</v>
      </c>
      <c r="W1910" s="98">
        <v>1E-8</v>
      </c>
      <c r="X1910" s="98">
        <v>1E-8</v>
      </c>
      <c r="Y1910" s="98">
        <v>1E-8</v>
      </c>
      <c r="Z1910" s="98">
        <v>1E-8</v>
      </c>
      <c r="AA1910" s="98">
        <v>1E-8</v>
      </c>
      <c r="AB1910" s="98">
        <v>1E-8</v>
      </c>
      <c r="AC1910" s="98">
        <v>1E-8</v>
      </c>
      <c r="AD1910" s="4"/>
    </row>
    <row r="1911" spans="1:30" x14ac:dyDescent="0.35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34"/>
      <c r="O1911" s="4"/>
      <c r="P1911" s="68"/>
      <c r="Q1911" s="68" t="s">
        <v>616</v>
      </c>
      <c r="R1911" s="109" t="s">
        <v>83</v>
      </c>
      <c r="S1911" s="109" t="s">
        <v>310</v>
      </c>
      <c r="T1911" s="81">
        <v>1E-8</v>
      </c>
      <c r="U1911" s="82">
        <v>1E-8</v>
      </c>
      <c r="V1911" s="81">
        <v>1E-8</v>
      </c>
      <c r="W1911" s="81">
        <v>1E-8</v>
      </c>
      <c r="X1911" s="81">
        <v>1E-8</v>
      </c>
      <c r="Y1911" s="81">
        <v>1E-8</v>
      </c>
      <c r="Z1911" s="81">
        <v>1E-8</v>
      </c>
      <c r="AA1911" s="81">
        <v>1E-8</v>
      </c>
      <c r="AB1911" s="81">
        <v>1E-8</v>
      </c>
      <c r="AC1911" s="81">
        <v>1E-8</v>
      </c>
      <c r="AD1911" s="4"/>
    </row>
    <row r="1912" spans="1:30" x14ac:dyDescent="0.35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34"/>
      <c r="O1912" s="4"/>
      <c r="P1912" s="96"/>
      <c r="Q1912" s="96" t="s">
        <v>280</v>
      </c>
      <c r="R1912" s="107" t="s">
        <v>83</v>
      </c>
      <c r="S1912" s="107" t="s">
        <v>311</v>
      </c>
      <c r="T1912" s="97">
        <v>100</v>
      </c>
      <c r="U1912" s="78">
        <v>1E-8</v>
      </c>
      <c r="V1912" s="97">
        <v>1E-8</v>
      </c>
      <c r="W1912" s="97">
        <v>1E-8</v>
      </c>
      <c r="X1912" s="97">
        <v>1E-8</v>
      </c>
      <c r="Y1912" s="97">
        <v>1E-8</v>
      </c>
      <c r="Z1912" s="97">
        <v>1E-8</v>
      </c>
      <c r="AA1912" s="97">
        <v>1E-8</v>
      </c>
      <c r="AB1912" s="97">
        <v>1E-8</v>
      </c>
      <c r="AC1912" s="97">
        <v>1E-8</v>
      </c>
      <c r="AD1912" s="4"/>
    </row>
    <row r="1913" spans="1:30" x14ac:dyDescent="0.35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34"/>
      <c r="O1913" s="4"/>
      <c r="P1913" s="68"/>
      <c r="Q1913" s="68" t="s">
        <v>617</v>
      </c>
      <c r="R1913" s="108" t="s">
        <v>83</v>
      </c>
      <c r="S1913" s="108" t="s">
        <v>312</v>
      </c>
      <c r="T1913" s="98">
        <v>45.023925438987945</v>
      </c>
      <c r="U1913" s="80">
        <v>1E-8</v>
      </c>
      <c r="V1913" s="98">
        <v>1E-8</v>
      </c>
      <c r="W1913" s="98">
        <v>1E-8</v>
      </c>
      <c r="X1913" s="98">
        <v>1E-8</v>
      </c>
      <c r="Y1913" s="98">
        <v>1E-8</v>
      </c>
      <c r="Z1913" s="98">
        <v>1E-8</v>
      </c>
      <c r="AA1913" s="98">
        <v>1E-8</v>
      </c>
      <c r="AB1913" s="98">
        <v>1E-8</v>
      </c>
      <c r="AC1913" s="98">
        <v>1E-8</v>
      </c>
      <c r="AD1913" s="4"/>
    </row>
    <row r="1914" spans="1:30" x14ac:dyDescent="0.35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34"/>
      <c r="O1914" s="4"/>
      <c r="P1914" s="68"/>
      <c r="Q1914" s="68" t="s">
        <v>618</v>
      </c>
      <c r="R1914" s="108" t="s">
        <v>83</v>
      </c>
      <c r="S1914" s="108" t="s">
        <v>316</v>
      </c>
      <c r="T1914" s="98">
        <v>17.927036337416972</v>
      </c>
      <c r="U1914" s="80">
        <v>1E-8</v>
      </c>
      <c r="V1914" s="98">
        <v>1E-8</v>
      </c>
      <c r="W1914" s="98">
        <v>1E-8</v>
      </c>
      <c r="X1914" s="98">
        <v>1E-8</v>
      </c>
      <c r="Y1914" s="98">
        <v>1E-8</v>
      </c>
      <c r="Z1914" s="98">
        <v>1E-8</v>
      </c>
      <c r="AA1914" s="98">
        <v>1E-8</v>
      </c>
      <c r="AB1914" s="98">
        <v>1E-8</v>
      </c>
      <c r="AC1914" s="98">
        <v>1E-8</v>
      </c>
      <c r="AD1914" s="4"/>
    </row>
    <row r="1915" spans="1:30" x14ac:dyDescent="0.3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34"/>
      <c r="O1915" s="4"/>
      <c r="P1915" s="68"/>
      <c r="Q1915" s="68" t="s">
        <v>619</v>
      </c>
      <c r="R1915" s="108" t="s">
        <v>83</v>
      </c>
      <c r="S1915" s="108" t="s">
        <v>314</v>
      </c>
      <c r="T1915" s="98">
        <v>6.9055431238271003</v>
      </c>
      <c r="U1915" s="80">
        <v>1E-8</v>
      </c>
      <c r="V1915" s="98">
        <v>1E-8</v>
      </c>
      <c r="W1915" s="98">
        <v>1E-8</v>
      </c>
      <c r="X1915" s="98">
        <v>1E-8</v>
      </c>
      <c r="Y1915" s="98">
        <v>1E-8</v>
      </c>
      <c r="Z1915" s="98">
        <v>1E-8</v>
      </c>
      <c r="AA1915" s="98">
        <v>1E-8</v>
      </c>
      <c r="AB1915" s="98">
        <v>1E-8</v>
      </c>
      <c r="AC1915" s="98">
        <v>1E-8</v>
      </c>
      <c r="AD1915" s="4"/>
    </row>
    <row r="1916" spans="1:30" x14ac:dyDescent="0.35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34"/>
      <c r="O1916" s="4"/>
      <c r="P1916" s="68"/>
      <c r="Q1916" s="68" t="s">
        <v>620</v>
      </c>
      <c r="R1916" s="108" t="s">
        <v>83</v>
      </c>
      <c r="S1916" s="108" t="s">
        <v>317</v>
      </c>
      <c r="T1916" s="98">
        <v>1.2270625289586476</v>
      </c>
      <c r="U1916" s="80">
        <v>1E-8</v>
      </c>
      <c r="V1916" s="98">
        <v>1E-8</v>
      </c>
      <c r="W1916" s="98">
        <v>1E-8</v>
      </c>
      <c r="X1916" s="98">
        <v>1E-8</v>
      </c>
      <c r="Y1916" s="98">
        <v>1E-8</v>
      </c>
      <c r="Z1916" s="98">
        <v>1E-8</v>
      </c>
      <c r="AA1916" s="98">
        <v>1E-8</v>
      </c>
      <c r="AB1916" s="98">
        <v>1E-8</v>
      </c>
      <c r="AC1916" s="98">
        <v>1E-8</v>
      </c>
      <c r="AD1916" s="4"/>
    </row>
    <row r="1917" spans="1:30" x14ac:dyDescent="0.35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34"/>
      <c r="O1917" s="4"/>
      <c r="P1917" s="68"/>
      <c r="Q1917" s="68" t="s">
        <v>621</v>
      </c>
      <c r="R1917" s="108" t="s">
        <v>83</v>
      </c>
      <c r="S1917" s="108" t="s">
        <v>313</v>
      </c>
      <c r="T1917" s="98">
        <v>18.500041269392177</v>
      </c>
      <c r="U1917" s="80">
        <v>1E-8</v>
      </c>
      <c r="V1917" s="98">
        <v>1E-8</v>
      </c>
      <c r="W1917" s="98">
        <v>1E-8</v>
      </c>
      <c r="X1917" s="98">
        <v>1E-8</v>
      </c>
      <c r="Y1917" s="98">
        <v>1E-8</v>
      </c>
      <c r="Z1917" s="98">
        <v>1E-8</v>
      </c>
      <c r="AA1917" s="98">
        <v>1E-8</v>
      </c>
      <c r="AB1917" s="98">
        <v>1E-8</v>
      </c>
      <c r="AC1917" s="98">
        <v>1E-8</v>
      </c>
      <c r="AD1917" s="4"/>
    </row>
    <row r="1918" spans="1:30" x14ac:dyDescent="0.35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34"/>
      <c r="O1918" s="4"/>
      <c r="P1918" s="68"/>
      <c r="Q1918" s="68" t="s">
        <v>622</v>
      </c>
      <c r="R1918" s="108" t="s">
        <v>83</v>
      </c>
      <c r="S1918" s="108" t="s">
        <v>315</v>
      </c>
      <c r="T1918" s="98">
        <v>8.2123419501303605</v>
      </c>
      <c r="U1918" s="80">
        <v>1E-8</v>
      </c>
      <c r="V1918" s="98">
        <v>1E-8</v>
      </c>
      <c r="W1918" s="98">
        <v>1E-8</v>
      </c>
      <c r="X1918" s="98">
        <v>1E-8</v>
      </c>
      <c r="Y1918" s="98">
        <v>1E-8</v>
      </c>
      <c r="Z1918" s="98">
        <v>1E-8</v>
      </c>
      <c r="AA1918" s="98">
        <v>1E-8</v>
      </c>
      <c r="AB1918" s="98">
        <v>1E-8</v>
      </c>
      <c r="AC1918" s="98">
        <v>1E-8</v>
      </c>
      <c r="AD1918" s="4"/>
    </row>
    <row r="1919" spans="1:30" x14ac:dyDescent="0.35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34"/>
      <c r="O1919" s="4"/>
      <c r="P1919" s="68"/>
      <c r="Q1919" s="68" t="s">
        <v>623</v>
      </c>
      <c r="R1919" s="108" t="s">
        <v>83</v>
      </c>
      <c r="S1919" s="108" t="s">
        <v>540</v>
      </c>
      <c r="T1919" s="98">
        <v>0.27209789632537085</v>
      </c>
      <c r="U1919" s="80">
        <v>1E-8</v>
      </c>
      <c r="V1919" s="98">
        <v>1E-8</v>
      </c>
      <c r="W1919" s="98">
        <v>1E-8</v>
      </c>
      <c r="X1919" s="98">
        <v>1E-8</v>
      </c>
      <c r="Y1919" s="98">
        <v>1E-8</v>
      </c>
      <c r="Z1919" s="98">
        <v>1E-8</v>
      </c>
      <c r="AA1919" s="98">
        <v>1E-8</v>
      </c>
      <c r="AB1919" s="98">
        <v>1E-8</v>
      </c>
      <c r="AC1919" s="98">
        <v>1E-8</v>
      </c>
      <c r="AD1919" s="4"/>
    </row>
    <row r="1920" spans="1:30" x14ac:dyDescent="0.35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34"/>
      <c r="O1920" s="4"/>
      <c r="P1920" s="68"/>
      <c r="Q1920" s="68" t="s">
        <v>624</v>
      </c>
      <c r="R1920" s="109" t="s">
        <v>83</v>
      </c>
      <c r="S1920" s="109" t="s">
        <v>541</v>
      </c>
      <c r="T1920" s="81">
        <v>1.9319514549614387</v>
      </c>
      <c r="U1920" s="82">
        <v>1E-8</v>
      </c>
      <c r="V1920" s="81">
        <v>1E-8</v>
      </c>
      <c r="W1920" s="81">
        <v>1E-8</v>
      </c>
      <c r="X1920" s="81">
        <v>1E-8</v>
      </c>
      <c r="Y1920" s="81">
        <v>1E-8</v>
      </c>
      <c r="Z1920" s="81">
        <v>1E-8</v>
      </c>
      <c r="AA1920" s="81">
        <v>1E-8</v>
      </c>
      <c r="AB1920" s="81">
        <v>1E-8</v>
      </c>
      <c r="AC1920" s="81">
        <v>1E-8</v>
      </c>
      <c r="AD1920" s="4"/>
    </row>
    <row r="1921" spans="1:30" x14ac:dyDescent="0.35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34"/>
      <c r="O1921" s="4"/>
      <c r="P1921" s="96"/>
      <c r="Q1921" s="96" t="s">
        <v>281</v>
      </c>
      <c r="R1921" s="107" t="s">
        <v>83</v>
      </c>
      <c r="S1921" s="107" t="s">
        <v>318</v>
      </c>
      <c r="T1921" s="97">
        <v>1E-8</v>
      </c>
      <c r="U1921" s="78">
        <v>1E-8</v>
      </c>
      <c r="V1921" s="97">
        <v>1E-8</v>
      </c>
      <c r="W1921" s="97">
        <v>1E-8</v>
      </c>
      <c r="X1921" s="97">
        <v>1E-8</v>
      </c>
      <c r="Y1921" s="97">
        <v>1E-8</v>
      </c>
      <c r="Z1921" s="97">
        <v>1E-8</v>
      </c>
      <c r="AA1921" s="97">
        <v>1E-8</v>
      </c>
      <c r="AB1921" s="97">
        <v>1E-8</v>
      </c>
      <c r="AC1921" s="97">
        <v>1E-8</v>
      </c>
      <c r="AD1921" s="4"/>
    </row>
    <row r="1922" spans="1:30" x14ac:dyDescent="0.35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34"/>
      <c r="O1922" s="4"/>
      <c r="P1922" s="96"/>
      <c r="Q1922" s="96" t="s">
        <v>135</v>
      </c>
      <c r="R1922" s="107" t="s">
        <v>83</v>
      </c>
      <c r="S1922" s="107" t="s">
        <v>542</v>
      </c>
      <c r="T1922" s="97">
        <v>1E-8</v>
      </c>
      <c r="U1922" s="78">
        <v>1E-8</v>
      </c>
      <c r="V1922" s="97">
        <v>1E-8</v>
      </c>
      <c r="W1922" s="97">
        <v>1E-8</v>
      </c>
      <c r="X1922" s="97">
        <v>1E-8</v>
      </c>
      <c r="Y1922" s="97">
        <v>1E-8</v>
      </c>
      <c r="Z1922" s="97">
        <v>1E-8</v>
      </c>
      <c r="AA1922" s="97">
        <v>1E-8</v>
      </c>
      <c r="AB1922" s="97">
        <v>1E-8</v>
      </c>
      <c r="AC1922" s="97">
        <v>1E-8</v>
      </c>
      <c r="AD1922" s="4"/>
    </row>
    <row r="1923" spans="1:30" x14ac:dyDescent="0.35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34"/>
      <c r="O1923" s="4"/>
      <c r="P1923" s="68"/>
      <c r="Q1923" s="68" t="s">
        <v>625</v>
      </c>
      <c r="R1923" s="108" t="s">
        <v>83</v>
      </c>
      <c r="S1923" s="108" t="s">
        <v>543</v>
      </c>
      <c r="T1923" s="98">
        <v>1E-8</v>
      </c>
      <c r="U1923" s="80">
        <v>1E-8</v>
      </c>
      <c r="V1923" s="98">
        <v>1E-8</v>
      </c>
      <c r="W1923" s="98">
        <v>1E-8</v>
      </c>
      <c r="X1923" s="98">
        <v>1E-8</v>
      </c>
      <c r="Y1923" s="98">
        <v>1E-8</v>
      </c>
      <c r="Z1923" s="98">
        <v>1E-8</v>
      </c>
      <c r="AA1923" s="98">
        <v>1E-8</v>
      </c>
      <c r="AB1923" s="98">
        <v>1E-8</v>
      </c>
      <c r="AC1923" s="98">
        <v>1E-8</v>
      </c>
      <c r="AD1923" s="4"/>
    </row>
    <row r="1924" spans="1:30" x14ac:dyDescent="0.35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34"/>
      <c r="O1924" s="4"/>
      <c r="P1924" s="68"/>
      <c r="Q1924" s="68" t="s">
        <v>626</v>
      </c>
      <c r="R1924" s="108" t="s">
        <v>83</v>
      </c>
      <c r="S1924" s="108" t="s">
        <v>544</v>
      </c>
      <c r="T1924" s="98">
        <v>1E-8</v>
      </c>
      <c r="U1924" s="80">
        <v>1E-8</v>
      </c>
      <c r="V1924" s="98">
        <v>1E-8</v>
      </c>
      <c r="W1924" s="98">
        <v>1E-8</v>
      </c>
      <c r="X1924" s="98">
        <v>1E-8</v>
      </c>
      <c r="Y1924" s="98">
        <v>1E-8</v>
      </c>
      <c r="Z1924" s="98">
        <v>1E-8</v>
      </c>
      <c r="AA1924" s="98">
        <v>1E-8</v>
      </c>
      <c r="AB1924" s="98">
        <v>1E-8</v>
      </c>
      <c r="AC1924" s="98">
        <v>1E-8</v>
      </c>
      <c r="AD1924" s="4"/>
    </row>
    <row r="1925" spans="1:30" x14ac:dyDescent="0.3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34"/>
      <c r="O1925" s="4"/>
      <c r="P1925" s="68"/>
      <c r="Q1925" s="68" t="s">
        <v>627</v>
      </c>
      <c r="R1925" s="108" t="s">
        <v>83</v>
      </c>
      <c r="S1925" s="108" t="s">
        <v>319</v>
      </c>
      <c r="T1925" s="98">
        <v>1E-8</v>
      </c>
      <c r="U1925" s="80">
        <v>1E-8</v>
      </c>
      <c r="V1925" s="98">
        <v>1E-8</v>
      </c>
      <c r="W1925" s="98">
        <v>1E-8</v>
      </c>
      <c r="X1925" s="98">
        <v>1E-8</v>
      </c>
      <c r="Y1925" s="98">
        <v>1E-8</v>
      </c>
      <c r="Z1925" s="98">
        <v>1E-8</v>
      </c>
      <c r="AA1925" s="98">
        <v>1E-8</v>
      </c>
      <c r="AB1925" s="98">
        <v>1E-8</v>
      </c>
      <c r="AC1925" s="98">
        <v>1E-8</v>
      </c>
      <c r="AD1925" s="4"/>
    </row>
    <row r="1926" spans="1:30" x14ac:dyDescent="0.35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34"/>
      <c r="O1926" s="4"/>
      <c r="P1926" s="71"/>
      <c r="Q1926" s="71" t="s">
        <v>628</v>
      </c>
      <c r="R1926" s="110" t="s">
        <v>83</v>
      </c>
      <c r="S1926" s="110" t="s">
        <v>320</v>
      </c>
      <c r="T1926" s="83">
        <v>1E-8</v>
      </c>
      <c r="U1926" s="84">
        <v>1E-8</v>
      </c>
      <c r="V1926" s="83">
        <v>1E-8</v>
      </c>
      <c r="W1926" s="83">
        <v>1E-8</v>
      </c>
      <c r="X1926" s="83">
        <v>1E-8</v>
      </c>
      <c r="Y1926" s="83">
        <v>1E-8</v>
      </c>
      <c r="Z1926" s="83">
        <v>1E-8</v>
      </c>
      <c r="AA1926" s="83">
        <v>1E-8</v>
      </c>
      <c r="AB1926" s="83">
        <v>1E-8</v>
      </c>
      <c r="AC1926" s="83">
        <v>1E-8</v>
      </c>
      <c r="AD1926" s="4"/>
    </row>
    <row r="1927" spans="1:30" x14ac:dyDescent="0.35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34"/>
      <c r="O1927" s="4"/>
      <c r="P1927" s="99"/>
      <c r="Q1927" s="99" t="s">
        <v>282</v>
      </c>
      <c r="R1927" s="105" t="s">
        <v>83</v>
      </c>
      <c r="S1927" s="105" t="s">
        <v>321</v>
      </c>
      <c r="T1927" s="95">
        <v>1E-8</v>
      </c>
      <c r="U1927" s="74">
        <v>1E-8</v>
      </c>
      <c r="V1927" s="95">
        <v>1E-8</v>
      </c>
      <c r="W1927" s="95">
        <v>1E-8</v>
      </c>
      <c r="X1927" s="95">
        <v>1E-8</v>
      </c>
      <c r="Y1927" s="95">
        <v>1E-8</v>
      </c>
      <c r="Z1927" s="95">
        <v>1E-8</v>
      </c>
      <c r="AA1927" s="95">
        <v>1E-8</v>
      </c>
      <c r="AB1927" s="95">
        <v>1E-8</v>
      </c>
      <c r="AC1927" s="95">
        <v>1E-8</v>
      </c>
      <c r="AD1927" s="4"/>
    </row>
    <row r="1928" spans="1:30" x14ac:dyDescent="0.3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34"/>
      <c r="O1928" s="4"/>
      <c r="P1928" s="99"/>
      <c r="Q1928" s="99" t="s">
        <v>283</v>
      </c>
      <c r="R1928" s="105" t="s">
        <v>83</v>
      </c>
      <c r="S1928" s="105" t="s">
        <v>322</v>
      </c>
      <c r="T1928" s="95">
        <v>1E-8</v>
      </c>
      <c r="U1928" s="74">
        <v>1E-8</v>
      </c>
      <c r="V1928" s="95">
        <v>1E-8</v>
      </c>
      <c r="W1928" s="95">
        <v>1E-8</v>
      </c>
      <c r="X1928" s="95">
        <v>1E-8</v>
      </c>
      <c r="Y1928" s="95">
        <v>1E-8</v>
      </c>
      <c r="Z1928" s="95">
        <v>1E-8</v>
      </c>
      <c r="AA1928" s="95">
        <v>1E-8</v>
      </c>
      <c r="AB1928" s="95">
        <v>1E-8</v>
      </c>
      <c r="AC1928" s="95">
        <v>1E-8</v>
      </c>
      <c r="AD1928" s="4"/>
    </row>
    <row r="1929" spans="1:30" x14ac:dyDescent="0.3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34"/>
      <c r="O1929" s="4"/>
      <c r="P1929" s="96"/>
      <c r="Q1929" s="96" t="s">
        <v>284</v>
      </c>
      <c r="R1929" s="107" t="s">
        <v>83</v>
      </c>
      <c r="S1929" s="107" t="s">
        <v>323</v>
      </c>
      <c r="T1929" s="97">
        <v>1E-8</v>
      </c>
      <c r="U1929" s="78">
        <v>1E-8</v>
      </c>
      <c r="V1929" s="97">
        <v>1E-8</v>
      </c>
      <c r="W1929" s="97">
        <v>1E-8</v>
      </c>
      <c r="X1929" s="97">
        <v>1E-8</v>
      </c>
      <c r="Y1929" s="97">
        <v>1E-8</v>
      </c>
      <c r="Z1929" s="97">
        <v>1E-8</v>
      </c>
      <c r="AA1929" s="97">
        <v>1E-8</v>
      </c>
      <c r="AB1929" s="97">
        <v>1E-8</v>
      </c>
      <c r="AC1929" s="97">
        <v>1E-8</v>
      </c>
      <c r="AD1929" s="4"/>
    </row>
    <row r="1930" spans="1:30" x14ac:dyDescent="0.35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34"/>
      <c r="O1930" s="4"/>
      <c r="P1930" s="68"/>
      <c r="Q1930" s="68" t="s">
        <v>629</v>
      </c>
      <c r="R1930" s="108" t="s">
        <v>83</v>
      </c>
      <c r="S1930" s="108" t="s">
        <v>324</v>
      </c>
      <c r="T1930" s="98">
        <v>1E-8</v>
      </c>
      <c r="U1930" s="80">
        <v>1E-8</v>
      </c>
      <c r="V1930" s="98">
        <v>1E-8</v>
      </c>
      <c r="W1930" s="98">
        <v>1E-8</v>
      </c>
      <c r="X1930" s="98">
        <v>1E-8</v>
      </c>
      <c r="Y1930" s="98">
        <v>1E-8</v>
      </c>
      <c r="Z1930" s="98">
        <v>1E-8</v>
      </c>
      <c r="AA1930" s="98">
        <v>1E-8</v>
      </c>
      <c r="AB1930" s="98">
        <v>1E-8</v>
      </c>
      <c r="AC1930" s="98">
        <v>1E-8</v>
      </c>
      <c r="AD1930" s="4"/>
    </row>
    <row r="1931" spans="1:30" x14ac:dyDescent="0.35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34"/>
      <c r="O1931" s="4"/>
      <c r="P1931" s="68"/>
      <c r="Q1931" s="68" t="s">
        <v>630</v>
      </c>
      <c r="R1931" s="108" t="s">
        <v>83</v>
      </c>
      <c r="S1931" s="108" t="s">
        <v>545</v>
      </c>
      <c r="T1931" s="98">
        <v>1E-8</v>
      </c>
      <c r="U1931" s="80">
        <v>1E-8</v>
      </c>
      <c r="V1931" s="98">
        <v>1E-8</v>
      </c>
      <c r="W1931" s="98">
        <v>1E-8</v>
      </c>
      <c r="X1931" s="98">
        <v>1E-8</v>
      </c>
      <c r="Y1931" s="98">
        <v>1E-8</v>
      </c>
      <c r="Z1931" s="98">
        <v>1E-8</v>
      </c>
      <c r="AA1931" s="98">
        <v>1E-8</v>
      </c>
      <c r="AB1931" s="98">
        <v>1E-8</v>
      </c>
      <c r="AC1931" s="98">
        <v>1E-8</v>
      </c>
      <c r="AD1931" s="4"/>
    </row>
    <row r="1932" spans="1:30" x14ac:dyDescent="0.35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34"/>
      <c r="O1932" s="4"/>
      <c r="P1932" s="68"/>
      <c r="Q1932" s="68" t="s">
        <v>631</v>
      </c>
      <c r="R1932" s="109" t="s">
        <v>83</v>
      </c>
      <c r="S1932" s="109" t="s">
        <v>325</v>
      </c>
      <c r="T1932" s="81">
        <v>1E-8</v>
      </c>
      <c r="U1932" s="82">
        <v>1E-8</v>
      </c>
      <c r="V1932" s="81">
        <v>1E-8</v>
      </c>
      <c r="W1932" s="81">
        <v>1E-8</v>
      </c>
      <c r="X1932" s="81">
        <v>1E-8</v>
      </c>
      <c r="Y1932" s="81">
        <v>1E-8</v>
      </c>
      <c r="Z1932" s="81">
        <v>1E-8</v>
      </c>
      <c r="AA1932" s="81">
        <v>1E-8</v>
      </c>
      <c r="AB1932" s="81">
        <v>1E-8</v>
      </c>
      <c r="AC1932" s="81">
        <v>1E-8</v>
      </c>
      <c r="AD1932" s="4"/>
    </row>
    <row r="1933" spans="1:30" x14ac:dyDescent="0.35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34"/>
      <c r="O1933" s="4"/>
      <c r="P1933" s="96"/>
      <c r="Q1933" s="96" t="s">
        <v>285</v>
      </c>
      <c r="R1933" s="107" t="s">
        <v>83</v>
      </c>
      <c r="S1933" s="107" t="s">
        <v>326</v>
      </c>
      <c r="T1933" s="97">
        <v>1E-8</v>
      </c>
      <c r="U1933" s="78">
        <v>1E-8</v>
      </c>
      <c r="V1933" s="97">
        <v>1E-8</v>
      </c>
      <c r="W1933" s="97">
        <v>1E-8</v>
      </c>
      <c r="X1933" s="97">
        <v>1E-8</v>
      </c>
      <c r="Y1933" s="97">
        <v>1E-8</v>
      </c>
      <c r="Z1933" s="97">
        <v>1E-8</v>
      </c>
      <c r="AA1933" s="97">
        <v>1E-8</v>
      </c>
      <c r="AB1933" s="97">
        <v>1E-8</v>
      </c>
      <c r="AC1933" s="97">
        <v>1E-8</v>
      </c>
      <c r="AD1933" s="4"/>
    </row>
    <row r="1934" spans="1:30" x14ac:dyDescent="0.35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34"/>
      <c r="O1934" s="4"/>
      <c r="P1934" s="68"/>
      <c r="Q1934" s="68" t="s">
        <v>364</v>
      </c>
      <c r="R1934" s="108" t="s">
        <v>83</v>
      </c>
      <c r="S1934" s="108" t="s">
        <v>327</v>
      </c>
      <c r="T1934" s="98">
        <v>1E-8</v>
      </c>
      <c r="U1934" s="80">
        <v>1E-8</v>
      </c>
      <c r="V1934" s="98">
        <v>1E-8</v>
      </c>
      <c r="W1934" s="98">
        <v>1E-8</v>
      </c>
      <c r="X1934" s="98">
        <v>1E-8</v>
      </c>
      <c r="Y1934" s="98">
        <v>1E-8</v>
      </c>
      <c r="Z1934" s="98">
        <v>1E-8</v>
      </c>
      <c r="AA1934" s="98">
        <v>1E-8</v>
      </c>
      <c r="AB1934" s="98">
        <v>1E-8</v>
      </c>
      <c r="AC1934" s="98">
        <v>1E-8</v>
      </c>
      <c r="AD1934" s="4"/>
    </row>
    <row r="1935" spans="1:30" x14ac:dyDescent="0.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34"/>
      <c r="O1935" s="4"/>
      <c r="P1935" s="100"/>
      <c r="Q1935" s="100" t="s">
        <v>632</v>
      </c>
      <c r="R1935" s="111" t="s">
        <v>83</v>
      </c>
      <c r="S1935" s="111" t="s">
        <v>328</v>
      </c>
      <c r="T1935" s="101">
        <v>1E-8</v>
      </c>
      <c r="U1935" s="86">
        <v>1E-8</v>
      </c>
      <c r="V1935" s="101">
        <v>1E-8</v>
      </c>
      <c r="W1935" s="101">
        <v>1E-8</v>
      </c>
      <c r="X1935" s="101">
        <v>1E-8</v>
      </c>
      <c r="Y1935" s="101">
        <v>1E-8</v>
      </c>
      <c r="Z1935" s="101">
        <v>1E-8</v>
      </c>
      <c r="AA1935" s="101">
        <v>1E-8</v>
      </c>
      <c r="AB1935" s="101">
        <v>1E-8</v>
      </c>
      <c r="AC1935" s="101">
        <v>1E-8</v>
      </c>
      <c r="AD1935" s="4"/>
    </row>
    <row r="1936" spans="1:30" x14ac:dyDescent="0.35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34"/>
      <c r="O1936" s="4"/>
      <c r="P1936" s="100"/>
      <c r="Q1936" s="100" t="s">
        <v>633</v>
      </c>
      <c r="R1936" s="111" t="s">
        <v>83</v>
      </c>
      <c r="S1936" s="111" t="s">
        <v>329</v>
      </c>
      <c r="T1936" s="101">
        <v>1E-8</v>
      </c>
      <c r="U1936" s="86">
        <v>1E-8</v>
      </c>
      <c r="V1936" s="101">
        <v>1E-8</v>
      </c>
      <c r="W1936" s="101">
        <v>1E-8</v>
      </c>
      <c r="X1936" s="101">
        <v>1E-8</v>
      </c>
      <c r="Y1936" s="101">
        <v>1E-8</v>
      </c>
      <c r="Z1936" s="101">
        <v>1E-8</v>
      </c>
      <c r="AA1936" s="101">
        <v>1E-8</v>
      </c>
      <c r="AB1936" s="101">
        <v>1E-8</v>
      </c>
      <c r="AC1936" s="101">
        <v>1E-8</v>
      </c>
      <c r="AD1936" s="4"/>
    </row>
    <row r="1937" spans="1:30" x14ac:dyDescent="0.35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34"/>
      <c r="O1937" s="4"/>
      <c r="P1937" s="100"/>
      <c r="Q1937" s="100" t="s">
        <v>634</v>
      </c>
      <c r="R1937" s="111" t="s">
        <v>83</v>
      </c>
      <c r="S1937" s="111" t="s">
        <v>331</v>
      </c>
      <c r="T1937" s="101">
        <v>1E-8</v>
      </c>
      <c r="U1937" s="86">
        <v>1E-8</v>
      </c>
      <c r="V1937" s="101">
        <v>1E-8</v>
      </c>
      <c r="W1937" s="101">
        <v>1E-8</v>
      </c>
      <c r="X1937" s="101">
        <v>1E-8</v>
      </c>
      <c r="Y1937" s="101">
        <v>1E-8</v>
      </c>
      <c r="Z1937" s="101">
        <v>1E-8</v>
      </c>
      <c r="AA1937" s="101">
        <v>1E-8</v>
      </c>
      <c r="AB1937" s="101">
        <v>1E-8</v>
      </c>
      <c r="AC1937" s="101">
        <v>1E-8</v>
      </c>
      <c r="AD1937" s="4"/>
    </row>
    <row r="1938" spans="1:30" x14ac:dyDescent="0.35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34"/>
      <c r="O1938" s="4"/>
      <c r="P1938" s="100"/>
      <c r="Q1938" s="100" t="s">
        <v>635</v>
      </c>
      <c r="R1938" s="111" t="s">
        <v>83</v>
      </c>
      <c r="S1938" s="111" t="s">
        <v>332</v>
      </c>
      <c r="T1938" s="101">
        <v>1E-8</v>
      </c>
      <c r="U1938" s="86">
        <v>1E-8</v>
      </c>
      <c r="V1938" s="101">
        <v>1E-8</v>
      </c>
      <c r="W1938" s="101">
        <v>1E-8</v>
      </c>
      <c r="X1938" s="101">
        <v>1E-8</v>
      </c>
      <c r="Y1938" s="101">
        <v>1E-8</v>
      </c>
      <c r="Z1938" s="101">
        <v>1E-8</v>
      </c>
      <c r="AA1938" s="101">
        <v>1E-8</v>
      </c>
      <c r="AB1938" s="101">
        <v>1E-8</v>
      </c>
      <c r="AC1938" s="101">
        <v>1E-8</v>
      </c>
      <c r="AD1938" s="4"/>
    </row>
    <row r="1939" spans="1:30" x14ac:dyDescent="0.35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34"/>
      <c r="O1939" s="4"/>
      <c r="P1939" s="100"/>
      <c r="Q1939" s="100" t="s">
        <v>636</v>
      </c>
      <c r="R1939" s="111" t="s">
        <v>83</v>
      </c>
      <c r="S1939" s="111" t="s">
        <v>330</v>
      </c>
      <c r="T1939" s="101">
        <v>1E-8</v>
      </c>
      <c r="U1939" s="86">
        <v>1E-8</v>
      </c>
      <c r="V1939" s="101">
        <v>1E-8</v>
      </c>
      <c r="W1939" s="101">
        <v>1E-8</v>
      </c>
      <c r="X1939" s="101">
        <v>1E-8</v>
      </c>
      <c r="Y1939" s="101">
        <v>1E-8</v>
      </c>
      <c r="Z1939" s="101">
        <v>1E-8</v>
      </c>
      <c r="AA1939" s="101">
        <v>1E-8</v>
      </c>
      <c r="AB1939" s="101">
        <v>1E-8</v>
      </c>
      <c r="AC1939" s="101">
        <v>1E-8</v>
      </c>
      <c r="AD1939" s="4"/>
    </row>
    <row r="1940" spans="1:30" x14ac:dyDescent="0.35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34"/>
      <c r="O1940" s="4"/>
      <c r="P1940" s="100"/>
      <c r="Q1940" s="100" t="s">
        <v>637</v>
      </c>
      <c r="R1940" s="111" t="s">
        <v>83</v>
      </c>
      <c r="S1940" s="111" t="s">
        <v>333</v>
      </c>
      <c r="T1940" s="101">
        <v>1E-8</v>
      </c>
      <c r="U1940" s="86">
        <v>1E-8</v>
      </c>
      <c r="V1940" s="101">
        <v>1E-8</v>
      </c>
      <c r="W1940" s="101">
        <v>1E-8</v>
      </c>
      <c r="X1940" s="101">
        <v>1E-8</v>
      </c>
      <c r="Y1940" s="101">
        <v>1E-8</v>
      </c>
      <c r="Z1940" s="101">
        <v>1E-8</v>
      </c>
      <c r="AA1940" s="101">
        <v>1E-8</v>
      </c>
      <c r="AB1940" s="101">
        <v>1E-8</v>
      </c>
      <c r="AC1940" s="101">
        <v>1E-8</v>
      </c>
      <c r="AD1940" s="4"/>
    </row>
    <row r="1941" spans="1:30" x14ac:dyDescent="0.35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34"/>
      <c r="O1941" s="4"/>
      <c r="P1941" s="100"/>
      <c r="Q1941" s="100" t="s">
        <v>638</v>
      </c>
      <c r="R1941" s="111" t="s">
        <v>83</v>
      </c>
      <c r="S1941" s="111" t="s">
        <v>546</v>
      </c>
      <c r="T1941" s="101">
        <v>1E-8</v>
      </c>
      <c r="U1941" s="86">
        <v>1E-8</v>
      </c>
      <c r="V1941" s="101">
        <v>1E-8</v>
      </c>
      <c r="W1941" s="101">
        <v>1E-8</v>
      </c>
      <c r="X1941" s="101">
        <v>1E-8</v>
      </c>
      <c r="Y1941" s="101">
        <v>1E-8</v>
      </c>
      <c r="Z1941" s="101">
        <v>1E-8</v>
      </c>
      <c r="AA1941" s="101">
        <v>1E-8</v>
      </c>
      <c r="AB1941" s="101">
        <v>1E-8</v>
      </c>
      <c r="AC1941" s="101">
        <v>1E-8</v>
      </c>
      <c r="AD1941" s="4"/>
    </row>
    <row r="1942" spans="1:30" x14ac:dyDescent="0.35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34"/>
      <c r="O1942" s="4"/>
      <c r="P1942" s="100"/>
      <c r="Q1942" s="100" t="s">
        <v>639</v>
      </c>
      <c r="R1942" s="111" t="s">
        <v>83</v>
      </c>
      <c r="S1942" s="111" t="s">
        <v>335</v>
      </c>
      <c r="T1942" s="101">
        <v>1E-8</v>
      </c>
      <c r="U1942" s="86">
        <v>1E-8</v>
      </c>
      <c r="V1942" s="101">
        <v>1E-8</v>
      </c>
      <c r="W1942" s="101">
        <v>1E-8</v>
      </c>
      <c r="X1942" s="101">
        <v>1E-8</v>
      </c>
      <c r="Y1942" s="101">
        <v>1E-8</v>
      </c>
      <c r="Z1942" s="101">
        <v>1E-8</v>
      </c>
      <c r="AA1942" s="101">
        <v>1E-8</v>
      </c>
      <c r="AB1942" s="101">
        <v>1E-8</v>
      </c>
      <c r="AC1942" s="101">
        <v>1E-8</v>
      </c>
      <c r="AD1942" s="4"/>
    </row>
    <row r="1943" spans="1:30" x14ac:dyDescent="0.3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34"/>
      <c r="O1943" s="4"/>
      <c r="P1943" s="100"/>
      <c r="Q1943" s="100" t="s">
        <v>640</v>
      </c>
      <c r="R1943" s="111" t="s">
        <v>83</v>
      </c>
      <c r="S1943" s="111" t="s">
        <v>334</v>
      </c>
      <c r="T1943" s="101">
        <v>1E-8</v>
      </c>
      <c r="U1943" s="86">
        <v>1E-8</v>
      </c>
      <c r="V1943" s="101">
        <v>1E-8</v>
      </c>
      <c r="W1943" s="101">
        <v>1E-8</v>
      </c>
      <c r="X1943" s="101">
        <v>1E-8</v>
      </c>
      <c r="Y1943" s="101">
        <v>1E-8</v>
      </c>
      <c r="Z1943" s="101">
        <v>1E-8</v>
      </c>
      <c r="AA1943" s="101">
        <v>1E-8</v>
      </c>
      <c r="AB1943" s="101">
        <v>1E-8</v>
      </c>
      <c r="AC1943" s="101">
        <v>1E-8</v>
      </c>
      <c r="AD1943" s="4"/>
    </row>
    <row r="1944" spans="1:30" x14ac:dyDescent="0.35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34"/>
      <c r="O1944" s="4"/>
      <c r="P1944" s="68"/>
      <c r="Q1944" s="68" t="s">
        <v>365</v>
      </c>
      <c r="R1944" s="108" t="s">
        <v>83</v>
      </c>
      <c r="S1944" s="108" t="s">
        <v>374</v>
      </c>
      <c r="T1944" s="98">
        <v>1E-8</v>
      </c>
      <c r="U1944" s="80">
        <v>1E-8</v>
      </c>
      <c r="V1944" s="98">
        <v>1E-8</v>
      </c>
      <c r="W1944" s="98">
        <v>1E-8</v>
      </c>
      <c r="X1944" s="98">
        <v>1E-8</v>
      </c>
      <c r="Y1944" s="98">
        <v>1E-8</v>
      </c>
      <c r="Z1944" s="98">
        <v>1E-8</v>
      </c>
      <c r="AA1944" s="98">
        <v>1E-8</v>
      </c>
      <c r="AB1944" s="98">
        <v>1E-8</v>
      </c>
      <c r="AC1944" s="98">
        <v>1E-8</v>
      </c>
      <c r="AD1944" s="4"/>
    </row>
    <row r="1945" spans="1:30" x14ac:dyDescent="0.3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34"/>
      <c r="O1945" s="4"/>
      <c r="P1945" s="100"/>
      <c r="Q1945" s="100" t="s">
        <v>641</v>
      </c>
      <c r="R1945" s="111" t="s">
        <v>83</v>
      </c>
      <c r="S1945" s="111" t="s">
        <v>547</v>
      </c>
      <c r="T1945" s="101">
        <v>1E-8</v>
      </c>
      <c r="U1945" s="86">
        <v>1E-8</v>
      </c>
      <c r="V1945" s="101">
        <v>1E-8</v>
      </c>
      <c r="W1945" s="101">
        <v>1E-8</v>
      </c>
      <c r="X1945" s="101">
        <v>1E-8</v>
      </c>
      <c r="Y1945" s="101">
        <v>1E-8</v>
      </c>
      <c r="Z1945" s="101">
        <v>1E-8</v>
      </c>
      <c r="AA1945" s="101">
        <v>1E-8</v>
      </c>
      <c r="AB1945" s="101">
        <v>1E-8</v>
      </c>
      <c r="AC1945" s="101">
        <v>1E-8</v>
      </c>
      <c r="AD1945" s="4"/>
    </row>
    <row r="1946" spans="1:30" x14ac:dyDescent="0.35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34"/>
      <c r="O1946" s="4"/>
      <c r="P1946" s="100"/>
      <c r="Q1946" s="100" t="s">
        <v>642</v>
      </c>
      <c r="R1946" s="111" t="s">
        <v>83</v>
      </c>
      <c r="S1946" s="111" t="s">
        <v>336</v>
      </c>
      <c r="T1946" s="101">
        <v>1E-8</v>
      </c>
      <c r="U1946" s="86">
        <v>1E-8</v>
      </c>
      <c r="V1946" s="101">
        <v>1E-8</v>
      </c>
      <c r="W1946" s="101">
        <v>1E-8</v>
      </c>
      <c r="X1946" s="101">
        <v>1E-8</v>
      </c>
      <c r="Y1946" s="101">
        <v>1E-8</v>
      </c>
      <c r="Z1946" s="101">
        <v>1E-8</v>
      </c>
      <c r="AA1946" s="101">
        <v>1E-8</v>
      </c>
      <c r="AB1946" s="101">
        <v>1E-8</v>
      </c>
      <c r="AC1946" s="101">
        <v>1E-8</v>
      </c>
      <c r="AD1946" s="4"/>
    </row>
    <row r="1947" spans="1:30" x14ac:dyDescent="0.35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34"/>
      <c r="O1947" s="4"/>
      <c r="P1947" s="100"/>
      <c r="Q1947" s="100" t="s">
        <v>643</v>
      </c>
      <c r="R1947" s="112" t="s">
        <v>83</v>
      </c>
      <c r="S1947" s="112" t="s">
        <v>337</v>
      </c>
      <c r="T1947" s="87">
        <v>1E-8</v>
      </c>
      <c r="U1947" s="88">
        <v>1E-8</v>
      </c>
      <c r="V1947" s="87">
        <v>1E-8</v>
      </c>
      <c r="W1947" s="87">
        <v>1E-8</v>
      </c>
      <c r="X1947" s="87">
        <v>1E-8</v>
      </c>
      <c r="Y1947" s="87">
        <v>1E-8</v>
      </c>
      <c r="Z1947" s="87">
        <v>1E-8</v>
      </c>
      <c r="AA1947" s="87">
        <v>1E-8</v>
      </c>
      <c r="AB1947" s="87">
        <v>1E-8</v>
      </c>
      <c r="AC1947" s="87">
        <v>1E-8</v>
      </c>
      <c r="AD1947" s="4"/>
    </row>
    <row r="1948" spans="1:30" x14ac:dyDescent="0.35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34"/>
      <c r="O1948" s="4"/>
      <c r="P1948" s="68"/>
      <c r="Q1948" s="68" t="s">
        <v>644</v>
      </c>
      <c r="R1948" s="108" t="s">
        <v>83</v>
      </c>
      <c r="S1948" s="108" t="s">
        <v>338</v>
      </c>
      <c r="T1948" s="98">
        <v>1E-8</v>
      </c>
      <c r="U1948" s="80">
        <v>1E-8</v>
      </c>
      <c r="V1948" s="98">
        <v>1E-8</v>
      </c>
      <c r="W1948" s="98">
        <v>1E-8</v>
      </c>
      <c r="X1948" s="98">
        <v>1E-8</v>
      </c>
      <c r="Y1948" s="98">
        <v>1E-8</v>
      </c>
      <c r="Z1948" s="98">
        <v>1E-8</v>
      </c>
      <c r="AA1948" s="98">
        <v>1E-8</v>
      </c>
      <c r="AB1948" s="98">
        <v>1E-8</v>
      </c>
      <c r="AC1948" s="98">
        <v>1E-8</v>
      </c>
      <c r="AD1948" s="4"/>
    </row>
    <row r="1949" spans="1:30" x14ac:dyDescent="0.35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34"/>
      <c r="O1949" s="4"/>
      <c r="P1949" s="68"/>
      <c r="Q1949" s="68" t="s">
        <v>366</v>
      </c>
      <c r="R1949" s="108" t="s">
        <v>83</v>
      </c>
      <c r="S1949" s="108" t="s">
        <v>339</v>
      </c>
      <c r="T1949" s="98">
        <v>1E-8</v>
      </c>
      <c r="U1949" s="80">
        <v>1E-8</v>
      </c>
      <c r="V1949" s="98">
        <v>1E-8</v>
      </c>
      <c r="W1949" s="98">
        <v>1E-8</v>
      </c>
      <c r="X1949" s="98">
        <v>1E-8</v>
      </c>
      <c r="Y1949" s="98">
        <v>1E-8</v>
      </c>
      <c r="Z1949" s="98">
        <v>1E-8</v>
      </c>
      <c r="AA1949" s="98">
        <v>1E-8</v>
      </c>
      <c r="AB1949" s="98">
        <v>1E-8</v>
      </c>
      <c r="AC1949" s="98">
        <v>1E-8</v>
      </c>
      <c r="AD1949" s="4"/>
    </row>
    <row r="1950" spans="1:30" x14ac:dyDescent="0.35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34"/>
      <c r="O1950" s="4"/>
      <c r="P1950" s="100"/>
      <c r="Q1950" s="100" t="s">
        <v>645</v>
      </c>
      <c r="R1950" s="111" t="s">
        <v>83</v>
      </c>
      <c r="S1950" s="111" t="s">
        <v>340</v>
      </c>
      <c r="T1950" s="101">
        <v>1E-8</v>
      </c>
      <c r="U1950" s="86">
        <v>1E-8</v>
      </c>
      <c r="V1950" s="101">
        <v>1E-8</v>
      </c>
      <c r="W1950" s="101">
        <v>1E-8</v>
      </c>
      <c r="X1950" s="101">
        <v>1E-8</v>
      </c>
      <c r="Y1950" s="101">
        <v>1E-8</v>
      </c>
      <c r="Z1950" s="101">
        <v>1E-8</v>
      </c>
      <c r="AA1950" s="101">
        <v>1E-8</v>
      </c>
      <c r="AB1950" s="101">
        <v>1E-8</v>
      </c>
      <c r="AC1950" s="101">
        <v>1E-8</v>
      </c>
      <c r="AD1950" s="4"/>
    </row>
    <row r="1951" spans="1:30" x14ac:dyDescent="0.35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34"/>
      <c r="O1951" s="4"/>
      <c r="P1951" s="100"/>
      <c r="Q1951" s="100" t="s">
        <v>646</v>
      </c>
      <c r="R1951" s="111" t="s">
        <v>83</v>
      </c>
      <c r="S1951" s="111" t="s">
        <v>548</v>
      </c>
      <c r="T1951" s="101">
        <v>1E-8</v>
      </c>
      <c r="U1951" s="86">
        <v>1E-8</v>
      </c>
      <c r="V1951" s="101">
        <v>1E-8</v>
      </c>
      <c r="W1951" s="101">
        <v>1E-8</v>
      </c>
      <c r="X1951" s="101">
        <v>1E-8</v>
      </c>
      <c r="Y1951" s="101">
        <v>1E-8</v>
      </c>
      <c r="Z1951" s="101">
        <v>1E-8</v>
      </c>
      <c r="AA1951" s="101">
        <v>1E-8</v>
      </c>
      <c r="AB1951" s="101">
        <v>1E-8</v>
      </c>
      <c r="AC1951" s="101">
        <v>1E-8</v>
      </c>
      <c r="AD1951" s="4"/>
    </row>
    <row r="1952" spans="1:30" x14ac:dyDescent="0.35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34"/>
      <c r="O1952" s="4"/>
      <c r="P1952" s="68"/>
      <c r="Q1952" s="68" t="s">
        <v>367</v>
      </c>
      <c r="R1952" s="108" t="s">
        <v>83</v>
      </c>
      <c r="S1952" s="108" t="s">
        <v>341</v>
      </c>
      <c r="T1952" s="98">
        <v>1E-8</v>
      </c>
      <c r="U1952" s="80">
        <v>1E-8</v>
      </c>
      <c r="V1952" s="98">
        <v>1E-8</v>
      </c>
      <c r="W1952" s="98">
        <v>1E-8</v>
      </c>
      <c r="X1952" s="98">
        <v>1E-8</v>
      </c>
      <c r="Y1952" s="98">
        <v>1E-8</v>
      </c>
      <c r="Z1952" s="98">
        <v>1E-8</v>
      </c>
      <c r="AA1952" s="98">
        <v>1E-8</v>
      </c>
      <c r="AB1952" s="98">
        <v>1E-8</v>
      </c>
      <c r="AC1952" s="98">
        <v>1E-8</v>
      </c>
      <c r="AD1952" s="4"/>
    </row>
    <row r="1953" spans="1:30" x14ac:dyDescent="0.35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34"/>
      <c r="O1953" s="4"/>
      <c r="P1953" s="100"/>
      <c r="Q1953" s="100" t="s">
        <v>647</v>
      </c>
      <c r="R1953" s="111" t="s">
        <v>83</v>
      </c>
      <c r="S1953" s="111" t="s">
        <v>342</v>
      </c>
      <c r="T1953" s="101">
        <v>1E-8</v>
      </c>
      <c r="U1953" s="86">
        <v>1E-8</v>
      </c>
      <c r="V1953" s="101">
        <v>1E-8</v>
      </c>
      <c r="W1953" s="101">
        <v>1E-8</v>
      </c>
      <c r="X1953" s="101">
        <v>1E-8</v>
      </c>
      <c r="Y1953" s="101">
        <v>1E-8</v>
      </c>
      <c r="Z1953" s="101">
        <v>1E-8</v>
      </c>
      <c r="AA1953" s="101">
        <v>1E-8</v>
      </c>
      <c r="AB1953" s="101">
        <v>1E-8</v>
      </c>
      <c r="AC1953" s="101">
        <v>1E-8</v>
      </c>
      <c r="AD1953" s="4"/>
    </row>
    <row r="1954" spans="1:30" x14ac:dyDescent="0.35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34"/>
      <c r="O1954" s="4"/>
      <c r="P1954" s="100"/>
      <c r="Q1954" s="100" t="s">
        <v>648</v>
      </c>
      <c r="R1954" s="111" t="s">
        <v>83</v>
      </c>
      <c r="S1954" s="111" t="s">
        <v>343</v>
      </c>
      <c r="T1954" s="101">
        <v>1E-8</v>
      </c>
      <c r="U1954" s="86">
        <v>1E-8</v>
      </c>
      <c r="V1954" s="101">
        <v>1E-8</v>
      </c>
      <c r="W1954" s="101">
        <v>1E-8</v>
      </c>
      <c r="X1954" s="101">
        <v>1E-8</v>
      </c>
      <c r="Y1954" s="101">
        <v>1E-8</v>
      </c>
      <c r="Z1954" s="101">
        <v>1E-8</v>
      </c>
      <c r="AA1954" s="101">
        <v>1E-8</v>
      </c>
      <c r="AB1954" s="101">
        <v>1E-8</v>
      </c>
      <c r="AC1954" s="101">
        <v>1E-8</v>
      </c>
      <c r="AD1954" s="4"/>
    </row>
    <row r="1955" spans="1:30" x14ac:dyDescent="0.3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34"/>
      <c r="O1955" s="4"/>
      <c r="P1955" s="100"/>
      <c r="Q1955" s="100" t="s">
        <v>649</v>
      </c>
      <c r="R1955" s="111" t="s">
        <v>83</v>
      </c>
      <c r="S1955" s="111" t="s">
        <v>549</v>
      </c>
      <c r="T1955" s="101">
        <v>1E-8</v>
      </c>
      <c r="U1955" s="86">
        <v>1E-8</v>
      </c>
      <c r="V1955" s="101">
        <v>1E-8</v>
      </c>
      <c r="W1955" s="101">
        <v>1E-8</v>
      </c>
      <c r="X1955" s="101">
        <v>1E-8</v>
      </c>
      <c r="Y1955" s="101">
        <v>1E-8</v>
      </c>
      <c r="Z1955" s="101">
        <v>1E-8</v>
      </c>
      <c r="AA1955" s="101">
        <v>1E-8</v>
      </c>
      <c r="AB1955" s="101">
        <v>1E-8</v>
      </c>
      <c r="AC1955" s="101">
        <v>1E-8</v>
      </c>
      <c r="AD1955" s="4"/>
    </row>
    <row r="1956" spans="1:30" x14ac:dyDescent="0.35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34"/>
      <c r="O1956" s="4"/>
      <c r="P1956" s="100"/>
      <c r="Q1956" s="100" t="s">
        <v>650</v>
      </c>
      <c r="R1956" s="111" t="s">
        <v>83</v>
      </c>
      <c r="S1956" s="111" t="s">
        <v>550</v>
      </c>
      <c r="T1956" s="101">
        <v>1E-8</v>
      </c>
      <c r="U1956" s="86">
        <v>1E-8</v>
      </c>
      <c r="V1956" s="101">
        <v>1E-8</v>
      </c>
      <c r="W1956" s="101">
        <v>1E-8</v>
      </c>
      <c r="X1956" s="101">
        <v>1E-8</v>
      </c>
      <c r="Y1956" s="101">
        <v>1E-8</v>
      </c>
      <c r="Z1956" s="101">
        <v>1E-8</v>
      </c>
      <c r="AA1956" s="101">
        <v>1E-8</v>
      </c>
      <c r="AB1956" s="101">
        <v>1E-8</v>
      </c>
      <c r="AC1956" s="101">
        <v>1E-8</v>
      </c>
      <c r="AD1956" s="4"/>
    </row>
    <row r="1957" spans="1:30" x14ac:dyDescent="0.35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34"/>
      <c r="O1957" s="4"/>
      <c r="P1957" s="68"/>
      <c r="Q1957" s="68" t="s">
        <v>172</v>
      </c>
      <c r="R1957" s="108" t="s">
        <v>83</v>
      </c>
      <c r="S1957" s="108" t="s">
        <v>551</v>
      </c>
      <c r="T1957" s="98">
        <v>1E-8</v>
      </c>
      <c r="U1957" s="80">
        <v>1E-8</v>
      </c>
      <c r="V1957" s="98">
        <v>1E-8</v>
      </c>
      <c r="W1957" s="98">
        <v>1E-8</v>
      </c>
      <c r="X1957" s="98">
        <v>1E-8</v>
      </c>
      <c r="Y1957" s="98">
        <v>1E-8</v>
      </c>
      <c r="Z1957" s="98">
        <v>1E-8</v>
      </c>
      <c r="AA1957" s="98">
        <v>1E-8</v>
      </c>
      <c r="AB1957" s="98">
        <v>1E-8</v>
      </c>
      <c r="AC1957" s="98">
        <v>1E-8</v>
      </c>
      <c r="AD1957" s="4"/>
    </row>
    <row r="1958" spans="1:30" x14ac:dyDescent="0.35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34"/>
      <c r="O1958" s="4"/>
      <c r="P1958" s="100"/>
      <c r="Q1958" s="100" t="s">
        <v>651</v>
      </c>
      <c r="R1958" s="111" t="s">
        <v>83</v>
      </c>
      <c r="S1958" s="111" t="s">
        <v>344</v>
      </c>
      <c r="T1958" s="101">
        <v>1E-8</v>
      </c>
      <c r="U1958" s="86">
        <v>1E-8</v>
      </c>
      <c r="V1958" s="101">
        <v>1E-8</v>
      </c>
      <c r="W1958" s="101">
        <v>1E-8</v>
      </c>
      <c r="X1958" s="101">
        <v>1E-8</v>
      </c>
      <c r="Y1958" s="101">
        <v>1E-8</v>
      </c>
      <c r="Z1958" s="101">
        <v>1E-8</v>
      </c>
      <c r="AA1958" s="101">
        <v>1E-8</v>
      </c>
      <c r="AB1958" s="101">
        <v>1E-8</v>
      </c>
      <c r="AC1958" s="101">
        <v>1E-8</v>
      </c>
      <c r="AD1958" s="4"/>
    </row>
    <row r="1959" spans="1:30" x14ac:dyDescent="0.35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34"/>
      <c r="O1959" s="4"/>
      <c r="P1959" s="100"/>
      <c r="Q1959" s="100" t="s">
        <v>652</v>
      </c>
      <c r="R1959" s="111" t="s">
        <v>83</v>
      </c>
      <c r="S1959" s="111" t="s">
        <v>552</v>
      </c>
      <c r="T1959" s="101">
        <v>1E-8</v>
      </c>
      <c r="U1959" s="86">
        <v>1E-8</v>
      </c>
      <c r="V1959" s="101">
        <v>1E-8</v>
      </c>
      <c r="W1959" s="101">
        <v>1E-8</v>
      </c>
      <c r="X1959" s="101">
        <v>1E-8</v>
      </c>
      <c r="Y1959" s="101">
        <v>1E-8</v>
      </c>
      <c r="Z1959" s="101">
        <v>1E-8</v>
      </c>
      <c r="AA1959" s="101">
        <v>1E-8</v>
      </c>
      <c r="AB1959" s="101">
        <v>1E-8</v>
      </c>
      <c r="AC1959" s="101">
        <v>1E-8</v>
      </c>
      <c r="AD1959" s="4"/>
    </row>
    <row r="1960" spans="1:30" x14ac:dyDescent="0.35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34"/>
      <c r="O1960" s="4"/>
      <c r="P1960" s="100"/>
      <c r="Q1960" s="100" t="s">
        <v>653</v>
      </c>
      <c r="R1960" s="111" t="s">
        <v>83</v>
      </c>
      <c r="S1960" s="111" t="s">
        <v>553</v>
      </c>
      <c r="T1960" s="101">
        <v>1E-8</v>
      </c>
      <c r="U1960" s="86">
        <v>1E-8</v>
      </c>
      <c r="V1960" s="101">
        <v>1E-8</v>
      </c>
      <c r="W1960" s="101">
        <v>1E-8</v>
      </c>
      <c r="X1960" s="101">
        <v>1E-8</v>
      </c>
      <c r="Y1960" s="101">
        <v>1E-8</v>
      </c>
      <c r="Z1960" s="101">
        <v>1E-8</v>
      </c>
      <c r="AA1960" s="101">
        <v>1E-8</v>
      </c>
      <c r="AB1960" s="101">
        <v>1E-8</v>
      </c>
      <c r="AC1960" s="101">
        <v>1E-8</v>
      </c>
      <c r="AD1960" s="4"/>
    </row>
    <row r="1961" spans="1:30" x14ac:dyDescent="0.35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34"/>
      <c r="O1961" s="4"/>
      <c r="P1961" s="68"/>
      <c r="Q1961" s="68" t="s">
        <v>368</v>
      </c>
      <c r="R1961" s="108" t="s">
        <v>83</v>
      </c>
      <c r="S1961" s="108" t="s">
        <v>345</v>
      </c>
      <c r="T1961" s="98">
        <v>1E-8</v>
      </c>
      <c r="U1961" s="80">
        <v>1E-8</v>
      </c>
      <c r="V1961" s="98">
        <v>1E-8</v>
      </c>
      <c r="W1961" s="98">
        <v>1E-8</v>
      </c>
      <c r="X1961" s="98">
        <v>1E-8</v>
      </c>
      <c r="Y1961" s="98">
        <v>1E-8</v>
      </c>
      <c r="Z1961" s="98">
        <v>1E-8</v>
      </c>
      <c r="AA1961" s="98">
        <v>1E-8</v>
      </c>
      <c r="AB1961" s="98">
        <v>1E-8</v>
      </c>
      <c r="AC1961" s="98">
        <v>1E-8</v>
      </c>
      <c r="AD1961" s="4"/>
    </row>
    <row r="1962" spans="1:30" x14ac:dyDescent="0.35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34"/>
      <c r="O1962" s="4"/>
      <c r="P1962" s="100"/>
      <c r="Q1962" s="100" t="s">
        <v>654</v>
      </c>
      <c r="R1962" s="111" t="s">
        <v>83</v>
      </c>
      <c r="S1962" s="111" t="s">
        <v>346</v>
      </c>
      <c r="T1962" s="101">
        <v>1E-8</v>
      </c>
      <c r="U1962" s="86">
        <v>1E-8</v>
      </c>
      <c r="V1962" s="101">
        <v>1E-8</v>
      </c>
      <c r="W1962" s="101">
        <v>1E-8</v>
      </c>
      <c r="X1962" s="101">
        <v>1E-8</v>
      </c>
      <c r="Y1962" s="101">
        <v>1E-8</v>
      </c>
      <c r="Z1962" s="101">
        <v>1E-8</v>
      </c>
      <c r="AA1962" s="101">
        <v>1E-8</v>
      </c>
      <c r="AB1962" s="101">
        <v>1E-8</v>
      </c>
      <c r="AC1962" s="101">
        <v>1E-8</v>
      </c>
      <c r="AD1962" s="4"/>
    </row>
    <row r="1963" spans="1:30" x14ac:dyDescent="0.35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34"/>
      <c r="O1963" s="4"/>
      <c r="P1963" s="100"/>
      <c r="Q1963" s="100" t="s">
        <v>655</v>
      </c>
      <c r="R1963" s="111" t="s">
        <v>83</v>
      </c>
      <c r="S1963" s="111" t="s">
        <v>347</v>
      </c>
      <c r="T1963" s="101">
        <v>1E-8</v>
      </c>
      <c r="U1963" s="86">
        <v>1E-8</v>
      </c>
      <c r="V1963" s="101">
        <v>1E-8</v>
      </c>
      <c r="W1963" s="101">
        <v>1E-8</v>
      </c>
      <c r="X1963" s="101">
        <v>1E-8</v>
      </c>
      <c r="Y1963" s="101">
        <v>1E-8</v>
      </c>
      <c r="Z1963" s="101">
        <v>1E-8</v>
      </c>
      <c r="AA1963" s="101">
        <v>1E-8</v>
      </c>
      <c r="AB1963" s="101">
        <v>1E-8</v>
      </c>
      <c r="AC1963" s="101">
        <v>1E-8</v>
      </c>
      <c r="AD1963" s="4"/>
    </row>
    <row r="1964" spans="1:30" x14ac:dyDescent="0.35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34"/>
      <c r="O1964" s="4"/>
      <c r="P1964" s="100"/>
      <c r="Q1964" s="100" t="s">
        <v>656</v>
      </c>
      <c r="R1964" s="111" t="s">
        <v>83</v>
      </c>
      <c r="S1964" s="111" t="s">
        <v>348</v>
      </c>
      <c r="T1964" s="101">
        <v>1E-8</v>
      </c>
      <c r="U1964" s="86">
        <v>1E-8</v>
      </c>
      <c r="V1964" s="101">
        <v>1E-8</v>
      </c>
      <c r="W1964" s="101">
        <v>1E-8</v>
      </c>
      <c r="X1964" s="101">
        <v>1E-8</v>
      </c>
      <c r="Y1964" s="101">
        <v>1E-8</v>
      </c>
      <c r="Z1964" s="101">
        <v>1E-8</v>
      </c>
      <c r="AA1964" s="101">
        <v>1E-8</v>
      </c>
      <c r="AB1964" s="101">
        <v>1E-8</v>
      </c>
      <c r="AC1964" s="101">
        <v>1E-8</v>
      </c>
      <c r="AD1964" s="4"/>
    </row>
    <row r="1965" spans="1:30" x14ac:dyDescent="0.3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34"/>
      <c r="O1965" s="4"/>
      <c r="P1965" s="68"/>
      <c r="Q1965" s="68" t="s">
        <v>181</v>
      </c>
      <c r="R1965" s="108" t="s">
        <v>83</v>
      </c>
      <c r="S1965" s="108" t="s">
        <v>554</v>
      </c>
      <c r="T1965" s="98">
        <v>1E-8</v>
      </c>
      <c r="U1965" s="80">
        <v>1E-8</v>
      </c>
      <c r="V1965" s="98">
        <v>1E-8</v>
      </c>
      <c r="W1965" s="98">
        <v>1E-8</v>
      </c>
      <c r="X1965" s="98">
        <v>1E-8</v>
      </c>
      <c r="Y1965" s="98">
        <v>1E-8</v>
      </c>
      <c r="Z1965" s="98">
        <v>1E-8</v>
      </c>
      <c r="AA1965" s="98">
        <v>1E-8</v>
      </c>
      <c r="AB1965" s="98">
        <v>1E-8</v>
      </c>
      <c r="AC1965" s="98">
        <v>1E-8</v>
      </c>
      <c r="AD1965" s="4"/>
    </row>
    <row r="1966" spans="1:30" x14ac:dyDescent="0.35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34"/>
      <c r="O1966" s="4"/>
      <c r="P1966" s="100"/>
      <c r="Q1966" s="100" t="s">
        <v>657</v>
      </c>
      <c r="R1966" s="111" t="s">
        <v>83</v>
      </c>
      <c r="S1966" s="111" t="s">
        <v>555</v>
      </c>
      <c r="T1966" s="101">
        <v>1E-8</v>
      </c>
      <c r="U1966" s="86">
        <v>1E-8</v>
      </c>
      <c r="V1966" s="101">
        <v>1E-8</v>
      </c>
      <c r="W1966" s="101">
        <v>1E-8</v>
      </c>
      <c r="X1966" s="101">
        <v>1E-8</v>
      </c>
      <c r="Y1966" s="101">
        <v>1E-8</v>
      </c>
      <c r="Z1966" s="101">
        <v>1E-8</v>
      </c>
      <c r="AA1966" s="101">
        <v>1E-8</v>
      </c>
      <c r="AB1966" s="101">
        <v>1E-8</v>
      </c>
      <c r="AC1966" s="101">
        <v>1E-8</v>
      </c>
      <c r="AD1966" s="4"/>
    </row>
    <row r="1967" spans="1:30" x14ac:dyDescent="0.35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34"/>
      <c r="O1967" s="4"/>
      <c r="P1967" s="100"/>
      <c r="Q1967" s="100" t="s">
        <v>658</v>
      </c>
      <c r="R1967" s="111" t="s">
        <v>83</v>
      </c>
      <c r="S1967" s="111" t="s">
        <v>349</v>
      </c>
      <c r="T1967" s="101">
        <v>1E-8</v>
      </c>
      <c r="U1967" s="86">
        <v>1E-8</v>
      </c>
      <c r="V1967" s="101">
        <v>1E-8</v>
      </c>
      <c r="W1967" s="101">
        <v>1E-8</v>
      </c>
      <c r="X1967" s="101">
        <v>1E-8</v>
      </c>
      <c r="Y1967" s="101">
        <v>1E-8</v>
      </c>
      <c r="Z1967" s="101">
        <v>1E-8</v>
      </c>
      <c r="AA1967" s="101">
        <v>1E-8</v>
      </c>
      <c r="AB1967" s="101">
        <v>1E-8</v>
      </c>
      <c r="AC1967" s="101">
        <v>1E-8</v>
      </c>
      <c r="AD1967" s="4"/>
    </row>
    <row r="1968" spans="1:30" x14ac:dyDescent="0.35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34"/>
      <c r="O1968" s="4"/>
      <c r="P1968" s="100"/>
      <c r="Q1968" s="100" t="s">
        <v>659</v>
      </c>
      <c r="R1968" s="112" t="s">
        <v>83</v>
      </c>
      <c r="S1968" s="112" t="s">
        <v>556</v>
      </c>
      <c r="T1968" s="87">
        <v>1E-8</v>
      </c>
      <c r="U1968" s="88">
        <v>1E-8</v>
      </c>
      <c r="V1968" s="87">
        <v>1E-8</v>
      </c>
      <c r="W1968" s="87">
        <v>1E-8</v>
      </c>
      <c r="X1968" s="87">
        <v>1E-8</v>
      </c>
      <c r="Y1968" s="87">
        <v>1E-8</v>
      </c>
      <c r="Z1968" s="87">
        <v>1E-8</v>
      </c>
      <c r="AA1968" s="87">
        <v>1E-8</v>
      </c>
      <c r="AB1968" s="87">
        <v>1E-8</v>
      </c>
      <c r="AC1968" s="87">
        <v>1E-8</v>
      </c>
      <c r="AD1968" s="4"/>
    </row>
    <row r="1969" spans="1:30" x14ac:dyDescent="0.35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34"/>
      <c r="O1969" s="4"/>
      <c r="P1969" s="96"/>
      <c r="Q1969" s="96" t="s">
        <v>286</v>
      </c>
      <c r="R1969" s="107" t="s">
        <v>83</v>
      </c>
      <c r="S1969" s="107" t="s">
        <v>350</v>
      </c>
      <c r="T1969" s="97">
        <v>1E-8</v>
      </c>
      <c r="U1969" s="78">
        <v>1E-8</v>
      </c>
      <c r="V1969" s="97">
        <v>1E-8</v>
      </c>
      <c r="W1969" s="97">
        <v>1E-8</v>
      </c>
      <c r="X1969" s="97">
        <v>1E-8</v>
      </c>
      <c r="Y1969" s="97">
        <v>1E-8</v>
      </c>
      <c r="Z1969" s="97">
        <v>1E-8</v>
      </c>
      <c r="AA1969" s="97">
        <v>1E-8</v>
      </c>
      <c r="AB1969" s="97">
        <v>1E-8</v>
      </c>
      <c r="AC1969" s="97">
        <v>1E-8</v>
      </c>
      <c r="AD1969" s="4"/>
    </row>
    <row r="1970" spans="1:30" x14ac:dyDescent="0.35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34"/>
      <c r="O1970" s="4"/>
      <c r="P1970" s="96"/>
      <c r="Q1970" s="96" t="s">
        <v>369</v>
      </c>
      <c r="R1970" s="107" t="s">
        <v>83</v>
      </c>
      <c r="S1970" s="107" t="s">
        <v>557</v>
      </c>
      <c r="T1970" s="97">
        <v>1E-8</v>
      </c>
      <c r="U1970" s="78">
        <v>1E-8</v>
      </c>
      <c r="V1970" s="97">
        <v>1E-8</v>
      </c>
      <c r="W1970" s="97">
        <v>1E-8</v>
      </c>
      <c r="X1970" s="97">
        <v>1E-8</v>
      </c>
      <c r="Y1970" s="97">
        <v>1E-8</v>
      </c>
      <c r="Z1970" s="97">
        <v>1E-8</v>
      </c>
      <c r="AA1970" s="97">
        <v>1E-8</v>
      </c>
      <c r="AB1970" s="97">
        <v>1E-8</v>
      </c>
      <c r="AC1970" s="97">
        <v>1E-8</v>
      </c>
      <c r="AD1970" s="4"/>
    </row>
    <row r="1971" spans="1:30" x14ac:dyDescent="0.35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34"/>
      <c r="O1971" s="4"/>
      <c r="P1971" s="68"/>
      <c r="Q1971" s="68" t="s">
        <v>660</v>
      </c>
      <c r="R1971" s="108" t="s">
        <v>83</v>
      </c>
      <c r="S1971" s="108" t="s">
        <v>351</v>
      </c>
      <c r="T1971" s="98">
        <v>1E-8</v>
      </c>
      <c r="U1971" s="80">
        <v>1E-8</v>
      </c>
      <c r="V1971" s="98">
        <v>1E-8</v>
      </c>
      <c r="W1971" s="98">
        <v>1E-8</v>
      </c>
      <c r="X1971" s="98">
        <v>1E-8</v>
      </c>
      <c r="Y1971" s="98">
        <v>1E-8</v>
      </c>
      <c r="Z1971" s="98">
        <v>1E-8</v>
      </c>
      <c r="AA1971" s="98">
        <v>1E-8</v>
      </c>
      <c r="AB1971" s="98">
        <v>1E-8</v>
      </c>
      <c r="AC1971" s="98">
        <v>1E-8</v>
      </c>
      <c r="AD1971" s="4"/>
    </row>
    <row r="1972" spans="1:30" x14ac:dyDescent="0.35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34"/>
      <c r="O1972" s="4"/>
      <c r="P1972" s="68"/>
      <c r="Q1972" s="68" t="s">
        <v>661</v>
      </c>
      <c r="R1972" s="108" t="s">
        <v>83</v>
      </c>
      <c r="S1972" s="108" t="s">
        <v>352</v>
      </c>
      <c r="T1972" s="98">
        <v>1E-8</v>
      </c>
      <c r="U1972" s="80">
        <v>1E-8</v>
      </c>
      <c r="V1972" s="98">
        <v>1E-8</v>
      </c>
      <c r="W1972" s="98">
        <v>1E-8</v>
      </c>
      <c r="X1972" s="98">
        <v>1E-8</v>
      </c>
      <c r="Y1972" s="98">
        <v>1E-8</v>
      </c>
      <c r="Z1972" s="98">
        <v>1E-8</v>
      </c>
      <c r="AA1972" s="98">
        <v>1E-8</v>
      </c>
      <c r="AB1972" s="98">
        <v>1E-8</v>
      </c>
      <c r="AC1972" s="98">
        <v>1E-8</v>
      </c>
      <c r="AD1972" s="4"/>
    </row>
    <row r="1973" spans="1:30" x14ac:dyDescent="0.35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34"/>
      <c r="O1973" s="4"/>
      <c r="P1973" s="68"/>
      <c r="Q1973" s="68" t="s">
        <v>662</v>
      </c>
      <c r="R1973" s="108" t="s">
        <v>83</v>
      </c>
      <c r="S1973" s="108" t="s">
        <v>558</v>
      </c>
      <c r="T1973" s="98">
        <v>1E-8</v>
      </c>
      <c r="U1973" s="80">
        <v>1E-8</v>
      </c>
      <c r="V1973" s="98">
        <v>1E-8</v>
      </c>
      <c r="W1973" s="98">
        <v>1E-8</v>
      </c>
      <c r="X1973" s="98">
        <v>1E-8</v>
      </c>
      <c r="Y1973" s="98">
        <v>1E-8</v>
      </c>
      <c r="Z1973" s="98">
        <v>1E-8</v>
      </c>
      <c r="AA1973" s="98">
        <v>1E-8</v>
      </c>
      <c r="AB1973" s="98">
        <v>1E-8</v>
      </c>
      <c r="AC1973" s="98">
        <v>1E-8</v>
      </c>
      <c r="AD1973" s="4"/>
    </row>
    <row r="1974" spans="1:30" x14ac:dyDescent="0.35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34"/>
      <c r="O1974" s="4"/>
      <c r="P1974" s="96"/>
      <c r="Q1974" s="96" t="s">
        <v>188</v>
      </c>
      <c r="R1974" s="107" t="s">
        <v>83</v>
      </c>
      <c r="S1974" s="107" t="s">
        <v>559</v>
      </c>
      <c r="T1974" s="97">
        <v>1E-8</v>
      </c>
      <c r="U1974" s="78">
        <v>1E-8</v>
      </c>
      <c r="V1974" s="97">
        <v>1E-8</v>
      </c>
      <c r="W1974" s="97">
        <v>1E-8</v>
      </c>
      <c r="X1974" s="97">
        <v>1E-8</v>
      </c>
      <c r="Y1974" s="97">
        <v>1E-8</v>
      </c>
      <c r="Z1974" s="97">
        <v>1E-8</v>
      </c>
      <c r="AA1974" s="97">
        <v>1E-8</v>
      </c>
      <c r="AB1974" s="97">
        <v>1E-8</v>
      </c>
      <c r="AC1974" s="97">
        <v>1E-8</v>
      </c>
      <c r="AD1974" s="4"/>
    </row>
    <row r="1975" spans="1:30" x14ac:dyDescent="0.3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34"/>
      <c r="O1975" s="4"/>
      <c r="P1975" s="68"/>
      <c r="Q1975" s="68" t="s">
        <v>663</v>
      </c>
      <c r="R1975" s="108" t="s">
        <v>83</v>
      </c>
      <c r="S1975" s="108" t="s">
        <v>353</v>
      </c>
      <c r="T1975" s="98">
        <v>1E-8</v>
      </c>
      <c r="U1975" s="80">
        <v>1E-8</v>
      </c>
      <c r="V1975" s="98">
        <v>1E-8</v>
      </c>
      <c r="W1975" s="98">
        <v>1E-8</v>
      </c>
      <c r="X1975" s="98">
        <v>1E-8</v>
      </c>
      <c r="Y1975" s="98">
        <v>1E-8</v>
      </c>
      <c r="Z1975" s="98">
        <v>1E-8</v>
      </c>
      <c r="AA1975" s="98">
        <v>1E-8</v>
      </c>
      <c r="AB1975" s="98">
        <v>1E-8</v>
      </c>
      <c r="AC1975" s="98">
        <v>1E-8</v>
      </c>
      <c r="AD1975" s="4"/>
    </row>
    <row r="1976" spans="1:30" x14ac:dyDescent="0.35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34"/>
      <c r="O1976" s="4"/>
      <c r="P1976" s="72"/>
      <c r="Q1976" s="72" t="s">
        <v>664</v>
      </c>
      <c r="R1976" s="109" t="s">
        <v>83</v>
      </c>
      <c r="S1976" s="109" t="s">
        <v>560</v>
      </c>
      <c r="T1976" s="81">
        <v>1E-8</v>
      </c>
      <c r="U1976" s="82">
        <v>1E-8</v>
      </c>
      <c r="V1976" s="81">
        <v>1E-8</v>
      </c>
      <c r="W1976" s="81">
        <v>1E-8</v>
      </c>
      <c r="X1976" s="81">
        <v>1E-8</v>
      </c>
      <c r="Y1976" s="81">
        <v>1E-8</v>
      </c>
      <c r="Z1976" s="81">
        <v>1E-8</v>
      </c>
      <c r="AA1976" s="81">
        <v>1E-8</v>
      </c>
      <c r="AB1976" s="81">
        <v>1E-8</v>
      </c>
      <c r="AC1976" s="81">
        <v>1E-8</v>
      </c>
      <c r="AD1976" s="4"/>
    </row>
    <row r="1977" spans="1:30" x14ac:dyDescent="0.35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34"/>
      <c r="O1977" s="4"/>
      <c r="P1977" s="47"/>
      <c r="Q1977" s="47" t="s">
        <v>287</v>
      </c>
      <c r="R1977" s="105" t="s">
        <v>83</v>
      </c>
      <c r="S1977" s="105" t="s">
        <v>354</v>
      </c>
      <c r="T1977" s="95">
        <v>1E-8</v>
      </c>
      <c r="U1977" s="74">
        <v>1E-8</v>
      </c>
      <c r="V1977" s="95">
        <v>1E-8</v>
      </c>
      <c r="W1977" s="95">
        <v>1E-8</v>
      </c>
      <c r="X1977" s="95">
        <v>1E-8</v>
      </c>
      <c r="Y1977" s="95">
        <v>1E-8</v>
      </c>
      <c r="Z1977" s="95">
        <v>1E-8</v>
      </c>
      <c r="AA1977" s="95">
        <v>1E-8</v>
      </c>
      <c r="AB1977" s="95">
        <v>1E-8</v>
      </c>
      <c r="AC1977" s="95">
        <v>1E-8</v>
      </c>
      <c r="AD1977" s="4"/>
    </row>
    <row r="1978" spans="1:30" x14ac:dyDescent="0.35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34"/>
      <c r="O1978" s="4"/>
      <c r="P1978" s="96"/>
      <c r="Q1978" s="96" t="s">
        <v>370</v>
      </c>
      <c r="R1978" s="107" t="s">
        <v>83</v>
      </c>
      <c r="S1978" s="107" t="s">
        <v>561</v>
      </c>
      <c r="T1978" s="97">
        <v>1E-8</v>
      </c>
      <c r="U1978" s="78">
        <v>1E-8</v>
      </c>
      <c r="V1978" s="97">
        <v>1E-8</v>
      </c>
      <c r="W1978" s="97">
        <v>1E-8</v>
      </c>
      <c r="X1978" s="97">
        <v>1E-8</v>
      </c>
      <c r="Y1978" s="97">
        <v>1E-8</v>
      </c>
      <c r="Z1978" s="97">
        <v>1E-8</v>
      </c>
      <c r="AA1978" s="97">
        <v>1E-8</v>
      </c>
      <c r="AB1978" s="97">
        <v>1E-8</v>
      </c>
      <c r="AC1978" s="97">
        <v>1E-8</v>
      </c>
      <c r="AD1978" s="4"/>
    </row>
    <row r="1979" spans="1:30" x14ac:dyDescent="0.35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34"/>
      <c r="O1979" s="4"/>
      <c r="P1979" s="68"/>
      <c r="Q1979" s="68" t="s">
        <v>665</v>
      </c>
      <c r="R1979" s="108" t="s">
        <v>83</v>
      </c>
      <c r="S1979" s="108" t="s">
        <v>562</v>
      </c>
      <c r="T1979" s="98">
        <v>1E-8</v>
      </c>
      <c r="U1979" s="80">
        <v>1E-8</v>
      </c>
      <c r="V1979" s="98">
        <v>1E-8</v>
      </c>
      <c r="W1979" s="98">
        <v>1E-8</v>
      </c>
      <c r="X1979" s="98">
        <v>1E-8</v>
      </c>
      <c r="Y1979" s="98">
        <v>1E-8</v>
      </c>
      <c r="Z1979" s="98">
        <v>1E-8</v>
      </c>
      <c r="AA1979" s="98">
        <v>1E-8</v>
      </c>
      <c r="AB1979" s="98">
        <v>1E-8</v>
      </c>
      <c r="AC1979" s="98">
        <v>1E-8</v>
      </c>
      <c r="AD1979" s="4"/>
    </row>
    <row r="1980" spans="1:30" x14ac:dyDescent="0.35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34"/>
      <c r="O1980" s="4"/>
      <c r="P1980" s="68"/>
      <c r="Q1980" s="68" t="s">
        <v>666</v>
      </c>
      <c r="R1980" s="108" t="s">
        <v>83</v>
      </c>
      <c r="S1980" s="108" t="s">
        <v>563</v>
      </c>
      <c r="T1980" s="98">
        <v>1E-8</v>
      </c>
      <c r="U1980" s="80">
        <v>1E-8</v>
      </c>
      <c r="V1980" s="98">
        <v>1E-8</v>
      </c>
      <c r="W1980" s="98">
        <v>1E-8</v>
      </c>
      <c r="X1980" s="98">
        <v>1E-8</v>
      </c>
      <c r="Y1980" s="98">
        <v>1E-8</v>
      </c>
      <c r="Z1980" s="98">
        <v>1E-8</v>
      </c>
      <c r="AA1980" s="98">
        <v>1E-8</v>
      </c>
      <c r="AB1980" s="98">
        <v>1E-8</v>
      </c>
      <c r="AC1980" s="98">
        <v>1E-8</v>
      </c>
      <c r="AD1980" s="4"/>
    </row>
    <row r="1981" spans="1:30" x14ac:dyDescent="0.35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34"/>
      <c r="O1981" s="4"/>
      <c r="P1981" s="68"/>
      <c r="Q1981" s="68" t="s">
        <v>667</v>
      </c>
      <c r="R1981" s="108" t="s">
        <v>83</v>
      </c>
      <c r="S1981" s="108" t="s">
        <v>564</v>
      </c>
      <c r="T1981" s="98">
        <v>1E-8</v>
      </c>
      <c r="U1981" s="80">
        <v>1E-8</v>
      </c>
      <c r="V1981" s="98">
        <v>1E-8</v>
      </c>
      <c r="W1981" s="98">
        <v>1E-8</v>
      </c>
      <c r="X1981" s="98">
        <v>1E-8</v>
      </c>
      <c r="Y1981" s="98">
        <v>1E-8</v>
      </c>
      <c r="Z1981" s="98">
        <v>1E-8</v>
      </c>
      <c r="AA1981" s="98">
        <v>1E-8</v>
      </c>
      <c r="AB1981" s="98">
        <v>1E-8</v>
      </c>
      <c r="AC1981" s="98">
        <v>1E-8</v>
      </c>
      <c r="AD1981" s="4"/>
    </row>
    <row r="1982" spans="1:30" x14ac:dyDescent="0.35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34"/>
      <c r="O1982" s="4"/>
      <c r="P1982" s="68"/>
      <c r="Q1982" s="68" t="s">
        <v>668</v>
      </c>
      <c r="R1982" s="108" t="s">
        <v>83</v>
      </c>
      <c r="S1982" s="108" t="s">
        <v>565</v>
      </c>
      <c r="T1982" s="98">
        <v>1E-8</v>
      </c>
      <c r="U1982" s="80">
        <v>1E-8</v>
      </c>
      <c r="V1982" s="98">
        <v>1E-8</v>
      </c>
      <c r="W1982" s="98">
        <v>1E-8</v>
      </c>
      <c r="X1982" s="98">
        <v>1E-8</v>
      </c>
      <c r="Y1982" s="98">
        <v>1E-8</v>
      </c>
      <c r="Z1982" s="98">
        <v>1E-8</v>
      </c>
      <c r="AA1982" s="98">
        <v>1E-8</v>
      </c>
      <c r="AB1982" s="98">
        <v>1E-8</v>
      </c>
      <c r="AC1982" s="98">
        <v>1E-8</v>
      </c>
      <c r="AD1982" s="4"/>
    </row>
    <row r="1983" spans="1:30" x14ac:dyDescent="0.35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34"/>
      <c r="O1983" s="4"/>
      <c r="P1983" s="96"/>
      <c r="Q1983" s="96" t="s">
        <v>371</v>
      </c>
      <c r="R1983" s="107" t="s">
        <v>83</v>
      </c>
      <c r="S1983" s="107" t="s">
        <v>566</v>
      </c>
      <c r="T1983" s="97">
        <v>1E-8</v>
      </c>
      <c r="U1983" s="78">
        <v>1E-8</v>
      </c>
      <c r="V1983" s="97">
        <v>1E-8</v>
      </c>
      <c r="W1983" s="97">
        <v>1E-8</v>
      </c>
      <c r="X1983" s="97">
        <v>1E-8</v>
      </c>
      <c r="Y1983" s="97">
        <v>1E-8</v>
      </c>
      <c r="Z1983" s="97">
        <v>1E-8</v>
      </c>
      <c r="AA1983" s="97">
        <v>1E-8</v>
      </c>
      <c r="AB1983" s="97">
        <v>1E-8</v>
      </c>
      <c r="AC1983" s="97">
        <v>1E-8</v>
      </c>
      <c r="AD1983" s="4"/>
    </row>
    <row r="1984" spans="1:30" x14ac:dyDescent="0.35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34"/>
      <c r="O1984" s="4"/>
      <c r="P1984" s="68"/>
      <c r="Q1984" s="68" t="s">
        <v>669</v>
      </c>
      <c r="R1984" s="108" t="s">
        <v>83</v>
      </c>
      <c r="S1984" s="108" t="s">
        <v>567</v>
      </c>
      <c r="T1984" s="98">
        <v>1E-8</v>
      </c>
      <c r="U1984" s="80">
        <v>1E-8</v>
      </c>
      <c r="V1984" s="98">
        <v>1E-8</v>
      </c>
      <c r="W1984" s="98">
        <v>1E-8</v>
      </c>
      <c r="X1984" s="98">
        <v>1E-8</v>
      </c>
      <c r="Y1984" s="98">
        <v>1E-8</v>
      </c>
      <c r="Z1984" s="98">
        <v>1E-8</v>
      </c>
      <c r="AA1984" s="98">
        <v>1E-8</v>
      </c>
      <c r="AB1984" s="98">
        <v>1E-8</v>
      </c>
      <c r="AC1984" s="98">
        <v>1E-8</v>
      </c>
      <c r="AD1984" s="4"/>
    </row>
    <row r="1985" spans="1:30" x14ac:dyDescent="0.3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34"/>
      <c r="O1985" s="4"/>
      <c r="P1985" s="68"/>
      <c r="Q1985" s="68" t="s">
        <v>670</v>
      </c>
      <c r="R1985" s="108" t="s">
        <v>83</v>
      </c>
      <c r="S1985" s="108" t="s">
        <v>568</v>
      </c>
      <c r="T1985" s="98">
        <v>1E-8</v>
      </c>
      <c r="U1985" s="80">
        <v>1E-8</v>
      </c>
      <c r="V1985" s="98">
        <v>1E-8</v>
      </c>
      <c r="W1985" s="98">
        <v>1E-8</v>
      </c>
      <c r="X1985" s="98">
        <v>1E-8</v>
      </c>
      <c r="Y1985" s="98">
        <v>1E-8</v>
      </c>
      <c r="Z1985" s="98">
        <v>1E-8</v>
      </c>
      <c r="AA1985" s="98">
        <v>1E-8</v>
      </c>
      <c r="AB1985" s="98">
        <v>1E-8</v>
      </c>
      <c r="AC1985" s="98">
        <v>1E-8</v>
      </c>
      <c r="AD1985" s="4"/>
    </row>
    <row r="1986" spans="1:30" x14ac:dyDescent="0.35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34"/>
      <c r="O1986" s="4"/>
      <c r="P1986" s="68"/>
      <c r="Q1986" s="68" t="s">
        <v>671</v>
      </c>
      <c r="R1986" s="108" t="s">
        <v>83</v>
      </c>
      <c r="S1986" s="108" t="s">
        <v>569</v>
      </c>
      <c r="T1986" s="98">
        <v>1E-8</v>
      </c>
      <c r="U1986" s="80">
        <v>1E-8</v>
      </c>
      <c r="V1986" s="98">
        <v>1E-8</v>
      </c>
      <c r="W1986" s="98">
        <v>1E-8</v>
      </c>
      <c r="X1986" s="98">
        <v>1E-8</v>
      </c>
      <c r="Y1986" s="98">
        <v>1E-8</v>
      </c>
      <c r="Z1986" s="98">
        <v>1E-8</v>
      </c>
      <c r="AA1986" s="98">
        <v>1E-8</v>
      </c>
      <c r="AB1986" s="98">
        <v>1E-8</v>
      </c>
      <c r="AC1986" s="98">
        <v>1E-8</v>
      </c>
      <c r="AD1986" s="4"/>
    </row>
    <row r="1987" spans="1:30" x14ac:dyDescent="0.35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34"/>
      <c r="O1987" s="4"/>
      <c r="P1987" s="68"/>
      <c r="Q1987" s="68" t="s">
        <v>672</v>
      </c>
      <c r="R1987" s="108" t="s">
        <v>83</v>
      </c>
      <c r="S1987" s="108" t="s">
        <v>570</v>
      </c>
      <c r="T1987" s="98">
        <v>1E-8</v>
      </c>
      <c r="U1987" s="80">
        <v>1E-8</v>
      </c>
      <c r="V1987" s="98">
        <v>1E-8</v>
      </c>
      <c r="W1987" s="98">
        <v>1E-8</v>
      </c>
      <c r="X1987" s="98">
        <v>1E-8</v>
      </c>
      <c r="Y1987" s="98">
        <v>1E-8</v>
      </c>
      <c r="Z1987" s="98">
        <v>1E-8</v>
      </c>
      <c r="AA1987" s="98">
        <v>1E-8</v>
      </c>
      <c r="AB1987" s="98">
        <v>1E-8</v>
      </c>
      <c r="AC1987" s="98">
        <v>1E-8</v>
      </c>
      <c r="AD1987" s="4"/>
    </row>
    <row r="1988" spans="1:30" x14ac:dyDescent="0.35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34"/>
      <c r="O1988" s="4"/>
      <c r="P1988" s="96"/>
      <c r="Q1988" s="96" t="s">
        <v>673</v>
      </c>
      <c r="R1988" s="107" t="s">
        <v>83</v>
      </c>
      <c r="S1988" s="107" t="s">
        <v>355</v>
      </c>
      <c r="T1988" s="97">
        <v>1E-8</v>
      </c>
      <c r="U1988" s="78">
        <v>1E-8</v>
      </c>
      <c r="V1988" s="97">
        <v>1E-8</v>
      </c>
      <c r="W1988" s="97">
        <v>1E-8</v>
      </c>
      <c r="X1988" s="97">
        <v>1E-8</v>
      </c>
      <c r="Y1988" s="97">
        <v>1E-8</v>
      </c>
      <c r="Z1988" s="97">
        <v>1E-8</v>
      </c>
      <c r="AA1988" s="97">
        <v>1E-8</v>
      </c>
      <c r="AB1988" s="97">
        <v>1E-8</v>
      </c>
      <c r="AC1988" s="97">
        <v>1E-8</v>
      </c>
      <c r="AD1988" s="4"/>
    </row>
    <row r="1989" spans="1:30" x14ac:dyDescent="0.35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34"/>
      <c r="O1989" s="4"/>
      <c r="P1989" s="96"/>
      <c r="Q1989" s="96" t="s">
        <v>372</v>
      </c>
      <c r="R1989" s="107" t="s">
        <v>83</v>
      </c>
      <c r="S1989" s="107" t="s">
        <v>571</v>
      </c>
      <c r="T1989" s="97">
        <v>1E-8</v>
      </c>
      <c r="U1989" s="78">
        <v>1E-8</v>
      </c>
      <c r="V1989" s="97">
        <v>1E-8</v>
      </c>
      <c r="W1989" s="97">
        <v>1E-8</v>
      </c>
      <c r="X1989" s="97">
        <v>1E-8</v>
      </c>
      <c r="Y1989" s="97">
        <v>1E-8</v>
      </c>
      <c r="Z1989" s="97">
        <v>1E-8</v>
      </c>
      <c r="AA1989" s="97">
        <v>1E-8</v>
      </c>
      <c r="AB1989" s="97">
        <v>1E-8</v>
      </c>
      <c r="AC1989" s="97">
        <v>1E-8</v>
      </c>
      <c r="AD1989" s="4"/>
    </row>
    <row r="1990" spans="1:30" x14ac:dyDescent="0.35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34"/>
      <c r="O1990" s="4"/>
      <c r="P1990" s="68"/>
      <c r="Q1990" s="68" t="s">
        <v>674</v>
      </c>
      <c r="R1990" s="108" t="s">
        <v>83</v>
      </c>
      <c r="S1990" s="108" t="s">
        <v>572</v>
      </c>
      <c r="T1990" s="98">
        <v>1E-8</v>
      </c>
      <c r="U1990" s="80">
        <v>1E-8</v>
      </c>
      <c r="V1990" s="98">
        <v>1E-8</v>
      </c>
      <c r="W1990" s="98">
        <v>1E-8</v>
      </c>
      <c r="X1990" s="98">
        <v>1E-8</v>
      </c>
      <c r="Y1990" s="98">
        <v>1E-8</v>
      </c>
      <c r="Z1990" s="98">
        <v>1E-8</v>
      </c>
      <c r="AA1990" s="98">
        <v>1E-8</v>
      </c>
      <c r="AB1990" s="98">
        <v>1E-8</v>
      </c>
      <c r="AC1990" s="98">
        <v>1E-8</v>
      </c>
      <c r="AD1990" s="4"/>
    </row>
    <row r="1991" spans="1:30" x14ac:dyDescent="0.35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34"/>
      <c r="O1991" s="4"/>
      <c r="P1991" s="68"/>
      <c r="Q1991" s="68" t="s">
        <v>675</v>
      </c>
      <c r="R1991" s="108" t="s">
        <v>83</v>
      </c>
      <c r="S1991" s="108" t="s">
        <v>356</v>
      </c>
      <c r="T1991" s="98">
        <v>1E-8</v>
      </c>
      <c r="U1991" s="80">
        <v>1E-8</v>
      </c>
      <c r="V1991" s="98">
        <v>1E-8</v>
      </c>
      <c r="W1991" s="98">
        <v>1E-8</v>
      </c>
      <c r="X1991" s="98">
        <v>1E-8</v>
      </c>
      <c r="Y1991" s="98">
        <v>1E-8</v>
      </c>
      <c r="Z1991" s="98">
        <v>1E-8</v>
      </c>
      <c r="AA1991" s="98">
        <v>1E-8</v>
      </c>
      <c r="AB1991" s="98">
        <v>1E-8</v>
      </c>
      <c r="AC1991" s="98">
        <v>1E-8</v>
      </c>
      <c r="AD1991" s="4"/>
    </row>
    <row r="1992" spans="1:30" x14ac:dyDescent="0.35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34"/>
      <c r="O1992" s="4"/>
      <c r="P1992" s="68"/>
      <c r="Q1992" s="68" t="s">
        <v>676</v>
      </c>
      <c r="R1992" s="109" t="s">
        <v>83</v>
      </c>
      <c r="S1992" s="109" t="s">
        <v>573</v>
      </c>
      <c r="T1992" s="81">
        <v>1E-8</v>
      </c>
      <c r="U1992" s="82">
        <v>1E-8</v>
      </c>
      <c r="V1992" s="81">
        <v>1E-8</v>
      </c>
      <c r="W1992" s="81">
        <v>1E-8</v>
      </c>
      <c r="X1992" s="81">
        <v>1E-8</v>
      </c>
      <c r="Y1992" s="81">
        <v>1E-8</v>
      </c>
      <c r="Z1992" s="81">
        <v>1E-8</v>
      </c>
      <c r="AA1992" s="81">
        <v>1E-8</v>
      </c>
      <c r="AB1992" s="81">
        <v>1E-8</v>
      </c>
      <c r="AC1992" s="81">
        <v>1E-8</v>
      </c>
      <c r="AD1992" s="4"/>
    </row>
    <row r="1993" spans="1:30" x14ac:dyDescent="0.35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34"/>
      <c r="O1993" s="4"/>
      <c r="P1993" s="96"/>
      <c r="Q1993" s="96" t="s">
        <v>373</v>
      </c>
      <c r="R1993" s="107" t="s">
        <v>83</v>
      </c>
      <c r="S1993" s="107" t="s">
        <v>574</v>
      </c>
      <c r="T1993" s="97">
        <v>1E-8</v>
      </c>
      <c r="U1993" s="78">
        <v>1E-8</v>
      </c>
      <c r="V1993" s="97">
        <v>1E-8</v>
      </c>
      <c r="W1993" s="97">
        <v>1E-8</v>
      </c>
      <c r="X1993" s="97">
        <v>1E-8</v>
      </c>
      <c r="Y1993" s="97">
        <v>1E-8</v>
      </c>
      <c r="Z1993" s="97">
        <v>1E-8</v>
      </c>
      <c r="AA1993" s="97">
        <v>1E-8</v>
      </c>
      <c r="AB1993" s="97">
        <v>1E-8</v>
      </c>
      <c r="AC1993" s="97">
        <v>1E-8</v>
      </c>
      <c r="AD1993" s="4"/>
    </row>
    <row r="1994" spans="1:30" x14ac:dyDescent="0.35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34"/>
      <c r="O1994" s="4"/>
      <c r="P1994" s="68"/>
      <c r="Q1994" s="68" t="s">
        <v>677</v>
      </c>
      <c r="R1994" s="108" t="s">
        <v>83</v>
      </c>
      <c r="S1994" s="108" t="s">
        <v>575</v>
      </c>
      <c r="T1994" s="98">
        <v>1E-8</v>
      </c>
      <c r="U1994" s="80">
        <v>1E-8</v>
      </c>
      <c r="V1994" s="98">
        <v>1E-8</v>
      </c>
      <c r="W1994" s="98">
        <v>1E-8</v>
      </c>
      <c r="X1994" s="98">
        <v>1E-8</v>
      </c>
      <c r="Y1994" s="98">
        <v>1E-8</v>
      </c>
      <c r="Z1994" s="98">
        <v>1E-8</v>
      </c>
      <c r="AA1994" s="98">
        <v>1E-8</v>
      </c>
      <c r="AB1994" s="98">
        <v>1E-8</v>
      </c>
      <c r="AC1994" s="98">
        <v>1E-8</v>
      </c>
      <c r="AD1994" s="4"/>
    </row>
    <row r="1995" spans="1:30" x14ac:dyDescent="0.3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34"/>
      <c r="O1995" s="4"/>
      <c r="P1995" s="68"/>
      <c r="Q1995" s="68" t="s">
        <v>678</v>
      </c>
      <c r="R1995" s="108" t="s">
        <v>83</v>
      </c>
      <c r="S1995" s="108" t="s">
        <v>576</v>
      </c>
      <c r="T1995" s="98">
        <v>1E-8</v>
      </c>
      <c r="U1995" s="80">
        <v>1E-8</v>
      </c>
      <c r="V1995" s="98">
        <v>1E-8</v>
      </c>
      <c r="W1995" s="98">
        <v>1E-8</v>
      </c>
      <c r="X1995" s="98">
        <v>1E-8</v>
      </c>
      <c r="Y1995" s="98">
        <v>1E-8</v>
      </c>
      <c r="Z1995" s="98">
        <v>1E-8</v>
      </c>
      <c r="AA1995" s="98">
        <v>1E-8</v>
      </c>
      <c r="AB1995" s="98">
        <v>1E-8</v>
      </c>
      <c r="AC1995" s="98">
        <v>1E-8</v>
      </c>
      <c r="AD1995" s="4"/>
    </row>
    <row r="1996" spans="1:30" x14ac:dyDescent="0.35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34"/>
      <c r="O1996" s="4"/>
      <c r="P1996" s="68"/>
      <c r="Q1996" s="68" t="s">
        <v>679</v>
      </c>
      <c r="R1996" s="108" t="s">
        <v>83</v>
      </c>
      <c r="S1996" s="108" t="s">
        <v>577</v>
      </c>
      <c r="T1996" s="98">
        <v>1E-8</v>
      </c>
      <c r="U1996" s="80">
        <v>1E-8</v>
      </c>
      <c r="V1996" s="98">
        <v>1E-8</v>
      </c>
      <c r="W1996" s="98">
        <v>1E-8</v>
      </c>
      <c r="X1996" s="98">
        <v>1E-8</v>
      </c>
      <c r="Y1996" s="98">
        <v>1E-8</v>
      </c>
      <c r="Z1996" s="98">
        <v>1E-8</v>
      </c>
      <c r="AA1996" s="98">
        <v>1E-8</v>
      </c>
      <c r="AB1996" s="98">
        <v>1E-8</v>
      </c>
      <c r="AC1996" s="98">
        <v>1E-8</v>
      </c>
      <c r="AD1996" s="4"/>
    </row>
    <row r="1997" spans="1:30" x14ac:dyDescent="0.3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34"/>
      <c r="O1997" s="4"/>
      <c r="P1997" s="96"/>
      <c r="Q1997" s="96" t="s">
        <v>195</v>
      </c>
      <c r="R1997" s="107" t="s">
        <v>83</v>
      </c>
      <c r="S1997" s="107" t="s">
        <v>578</v>
      </c>
      <c r="T1997" s="97">
        <v>1E-8</v>
      </c>
      <c r="U1997" s="78">
        <v>1E-8</v>
      </c>
      <c r="V1997" s="97">
        <v>1E-8</v>
      </c>
      <c r="W1997" s="97">
        <v>1E-8</v>
      </c>
      <c r="X1997" s="97">
        <v>1E-8</v>
      </c>
      <c r="Y1997" s="97">
        <v>1E-8</v>
      </c>
      <c r="Z1997" s="97">
        <v>1E-8</v>
      </c>
      <c r="AA1997" s="97">
        <v>1E-8</v>
      </c>
      <c r="AB1997" s="97">
        <v>1E-8</v>
      </c>
      <c r="AC1997" s="97">
        <v>1E-8</v>
      </c>
      <c r="AD1997" s="4"/>
    </row>
    <row r="1998" spans="1:30" x14ac:dyDescent="0.35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34"/>
      <c r="O1998" s="4"/>
      <c r="P1998" s="68"/>
      <c r="Q1998" s="68" t="s">
        <v>680</v>
      </c>
      <c r="R1998" s="108" t="s">
        <v>83</v>
      </c>
      <c r="S1998" s="108" t="s">
        <v>579</v>
      </c>
      <c r="T1998" s="98">
        <v>1E-8</v>
      </c>
      <c r="U1998" s="80">
        <v>1E-8</v>
      </c>
      <c r="V1998" s="98">
        <v>1E-8</v>
      </c>
      <c r="W1998" s="98">
        <v>1E-8</v>
      </c>
      <c r="X1998" s="98">
        <v>1E-8</v>
      </c>
      <c r="Y1998" s="98">
        <v>1E-8</v>
      </c>
      <c r="Z1998" s="98">
        <v>1E-8</v>
      </c>
      <c r="AA1998" s="98">
        <v>1E-8</v>
      </c>
      <c r="AB1998" s="98">
        <v>1E-8</v>
      </c>
      <c r="AC1998" s="98">
        <v>1E-8</v>
      </c>
      <c r="AD1998" s="4"/>
    </row>
    <row r="1999" spans="1:30" x14ac:dyDescent="0.35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34"/>
      <c r="O1999" s="4"/>
      <c r="P1999" s="68"/>
      <c r="Q1999" s="68" t="s">
        <v>681</v>
      </c>
      <c r="R1999" s="108" t="s">
        <v>83</v>
      </c>
      <c r="S1999" s="108" t="s">
        <v>357</v>
      </c>
      <c r="T1999" s="98">
        <v>1E-8</v>
      </c>
      <c r="U1999" s="80">
        <v>1E-8</v>
      </c>
      <c r="V1999" s="98">
        <v>1E-8</v>
      </c>
      <c r="W1999" s="98">
        <v>1E-8</v>
      </c>
      <c r="X1999" s="98">
        <v>1E-8</v>
      </c>
      <c r="Y1999" s="98">
        <v>1E-8</v>
      </c>
      <c r="Z1999" s="98">
        <v>1E-8</v>
      </c>
      <c r="AA1999" s="98">
        <v>1E-8</v>
      </c>
      <c r="AB1999" s="98">
        <v>1E-8</v>
      </c>
      <c r="AC1999" s="98">
        <v>1E-8</v>
      </c>
      <c r="AD1999" s="4"/>
    </row>
    <row r="2000" spans="1:30" x14ac:dyDescent="0.35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34"/>
      <c r="O2000" s="4"/>
      <c r="P2000" s="96"/>
      <c r="Q2000" s="96" t="s">
        <v>196</v>
      </c>
      <c r="R2000" s="107" t="s">
        <v>83</v>
      </c>
      <c r="S2000" s="107" t="s">
        <v>580</v>
      </c>
      <c r="T2000" s="97">
        <v>1E-8</v>
      </c>
      <c r="U2000" s="78">
        <v>1E-8</v>
      </c>
      <c r="V2000" s="97">
        <v>1E-8</v>
      </c>
      <c r="W2000" s="97">
        <v>1E-8</v>
      </c>
      <c r="X2000" s="97">
        <v>1E-8</v>
      </c>
      <c r="Y2000" s="97">
        <v>1E-8</v>
      </c>
      <c r="Z2000" s="97">
        <v>1E-8</v>
      </c>
      <c r="AA2000" s="97">
        <v>1E-8</v>
      </c>
      <c r="AB2000" s="97">
        <v>1E-8</v>
      </c>
      <c r="AC2000" s="97">
        <v>1E-8</v>
      </c>
      <c r="AD2000" s="4"/>
    </row>
    <row r="2001" spans="1:30" x14ac:dyDescent="0.35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34"/>
      <c r="O2001" s="4"/>
      <c r="P2001" s="68"/>
      <c r="Q2001" s="68" t="s">
        <v>682</v>
      </c>
      <c r="R2001" s="108" t="s">
        <v>83</v>
      </c>
      <c r="S2001" s="108" t="s">
        <v>581</v>
      </c>
      <c r="T2001" s="98">
        <v>1E-8</v>
      </c>
      <c r="U2001" s="80">
        <v>1E-8</v>
      </c>
      <c r="V2001" s="98">
        <v>1E-8</v>
      </c>
      <c r="W2001" s="98">
        <v>1E-8</v>
      </c>
      <c r="X2001" s="98">
        <v>1E-8</v>
      </c>
      <c r="Y2001" s="98">
        <v>1E-8</v>
      </c>
      <c r="Z2001" s="98">
        <v>1E-8</v>
      </c>
      <c r="AA2001" s="98">
        <v>1E-8</v>
      </c>
      <c r="AB2001" s="98">
        <v>1E-8</v>
      </c>
      <c r="AC2001" s="98">
        <v>1E-8</v>
      </c>
      <c r="AD2001" s="4"/>
    </row>
    <row r="2002" spans="1:30" x14ac:dyDescent="0.35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34"/>
      <c r="O2002" s="4"/>
      <c r="P2002" s="68"/>
      <c r="Q2002" s="68" t="s">
        <v>683</v>
      </c>
      <c r="R2002" s="108" t="s">
        <v>83</v>
      </c>
      <c r="S2002" s="108" t="s">
        <v>582</v>
      </c>
      <c r="T2002" s="98">
        <v>1E-8</v>
      </c>
      <c r="U2002" s="80">
        <v>1E-8</v>
      </c>
      <c r="V2002" s="98">
        <v>1E-8</v>
      </c>
      <c r="W2002" s="98">
        <v>1E-8</v>
      </c>
      <c r="X2002" s="98">
        <v>1E-8</v>
      </c>
      <c r="Y2002" s="98">
        <v>1E-8</v>
      </c>
      <c r="Z2002" s="98">
        <v>1E-8</v>
      </c>
      <c r="AA2002" s="98">
        <v>1E-8</v>
      </c>
      <c r="AB2002" s="98">
        <v>1E-8</v>
      </c>
      <c r="AC2002" s="98">
        <v>1E-8</v>
      </c>
      <c r="AD2002" s="4"/>
    </row>
    <row r="2003" spans="1:30" x14ac:dyDescent="0.35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34"/>
      <c r="O2003" s="4"/>
      <c r="P2003" s="68"/>
      <c r="Q2003" s="68" t="s">
        <v>684</v>
      </c>
      <c r="R2003" s="108" t="s">
        <v>83</v>
      </c>
      <c r="S2003" s="108" t="s">
        <v>583</v>
      </c>
      <c r="T2003" s="98">
        <v>1E-8</v>
      </c>
      <c r="U2003" s="80">
        <v>1E-8</v>
      </c>
      <c r="V2003" s="98">
        <v>1E-8</v>
      </c>
      <c r="W2003" s="98">
        <v>1E-8</v>
      </c>
      <c r="X2003" s="98">
        <v>1E-8</v>
      </c>
      <c r="Y2003" s="98">
        <v>1E-8</v>
      </c>
      <c r="Z2003" s="98">
        <v>1E-8</v>
      </c>
      <c r="AA2003" s="98">
        <v>1E-8</v>
      </c>
      <c r="AB2003" s="98">
        <v>1E-8</v>
      </c>
      <c r="AC2003" s="98">
        <v>1E-8</v>
      </c>
      <c r="AD2003" s="4"/>
    </row>
    <row r="2004" spans="1:30" x14ac:dyDescent="0.35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34"/>
      <c r="O2004" s="4"/>
      <c r="P2004" s="68"/>
      <c r="Q2004" s="68" t="s">
        <v>685</v>
      </c>
      <c r="R2004" s="108" t="s">
        <v>83</v>
      </c>
      <c r="S2004" s="108" t="s">
        <v>584</v>
      </c>
      <c r="T2004" s="98">
        <v>1E-8</v>
      </c>
      <c r="U2004" s="80">
        <v>1E-8</v>
      </c>
      <c r="V2004" s="98">
        <v>1E-8</v>
      </c>
      <c r="W2004" s="98">
        <v>1E-8</v>
      </c>
      <c r="X2004" s="98">
        <v>1E-8</v>
      </c>
      <c r="Y2004" s="98">
        <v>1E-8</v>
      </c>
      <c r="Z2004" s="98">
        <v>1E-8</v>
      </c>
      <c r="AA2004" s="98">
        <v>1E-8</v>
      </c>
      <c r="AB2004" s="98">
        <v>1E-8</v>
      </c>
      <c r="AC2004" s="98">
        <v>1E-8</v>
      </c>
      <c r="AD2004" s="4"/>
    </row>
    <row r="2005" spans="1:30" x14ac:dyDescent="0.3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34"/>
      <c r="O2005" s="4"/>
      <c r="P2005" s="68"/>
      <c r="Q2005" s="68" t="s">
        <v>686</v>
      </c>
      <c r="R2005" s="109" t="s">
        <v>83</v>
      </c>
      <c r="S2005" s="109" t="s">
        <v>585</v>
      </c>
      <c r="T2005" s="81">
        <v>1E-8</v>
      </c>
      <c r="U2005" s="82">
        <v>1E-8</v>
      </c>
      <c r="V2005" s="81">
        <v>1E-8</v>
      </c>
      <c r="W2005" s="81">
        <v>1E-8</v>
      </c>
      <c r="X2005" s="81">
        <v>1E-8</v>
      </c>
      <c r="Y2005" s="81">
        <v>1E-8</v>
      </c>
      <c r="Z2005" s="81">
        <v>1E-8</v>
      </c>
      <c r="AA2005" s="81">
        <v>1E-8</v>
      </c>
      <c r="AB2005" s="81">
        <v>1E-8</v>
      </c>
      <c r="AC2005" s="81">
        <v>1E-8</v>
      </c>
      <c r="AD2005" s="4"/>
    </row>
    <row r="2006" spans="1:30" x14ac:dyDescent="0.35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34"/>
      <c r="O2006" s="4"/>
      <c r="P2006" s="96"/>
      <c r="Q2006" s="96" t="s">
        <v>687</v>
      </c>
      <c r="R2006" s="107" t="s">
        <v>83</v>
      </c>
      <c r="S2006" s="107" t="s">
        <v>358</v>
      </c>
      <c r="T2006" s="97">
        <v>1E-8</v>
      </c>
      <c r="U2006" s="78">
        <v>1E-8</v>
      </c>
      <c r="V2006" s="97">
        <v>1E-8</v>
      </c>
      <c r="W2006" s="97">
        <v>1E-8</v>
      </c>
      <c r="X2006" s="97">
        <v>1E-8</v>
      </c>
      <c r="Y2006" s="97">
        <v>1E-8</v>
      </c>
      <c r="Z2006" s="97">
        <v>1E-8</v>
      </c>
      <c r="AA2006" s="97">
        <v>1E-8</v>
      </c>
      <c r="AB2006" s="97">
        <v>1E-8</v>
      </c>
      <c r="AC2006" s="97">
        <v>1E-8</v>
      </c>
      <c r="AD2006" s="4"/>
    </row>
    <row r="2007" spans="1:30" x14ac:dyDescent="0.35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34"/>
      <c r="O2007" s="4"/>
      <c r="P2007" s="96"/>
      <c r="Q2007" s="96" t="s">
        <v>688</v>
      </c>
      <c r="R2007" s="107" t="s">
        <v>83</v>
      </c>
      <c r="S2007" s="107" t="s">
        <v>359</v>
      </c>
      <c r="T2007" s="97">
        <v>1E-8</v>
      </c>
      <c r="U2007" s="78">
        <v>1E-8</v>
      </c>
      <c r="V2007" s="97">
        <v>1E-8</v>
      </c>
      <c r="W2007" s="97">
        <v>1E-8</v>
      </c>
      <c r="X2007" s="97">
        <v>1E-8</v>
      </c>
      <c r="Y2007" s="97">
        <v>1E-8</v>
      </c>
      <c r="Z2007" s="97">
        <v>1E-8</v>
      </c>
      <c r="AA2007" s="97">
        <v>1E-8</v>
      </c>
      <c r="AB2007" s="97">
        <v>1E-8</v>
      </c>
      <c r="AC2007" s="97">
        <v>1E-8</v>
      </c>
      <c r="AD2007" s="4"/>
    </row>
    <row r="2008" spans="1:30" x14ac:dyDescent="0.35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34"/>
      <c r="O2008" s="4"/>
      <c r="P2008" s="96"/>
      <c r="Q2008" s="96" t="s">
        <v>689</v>
      </c>
      <c r="R2008" s="107" t="s">
        <v>83</v>
      </c>
      <c r="S2008" s="107" t="s">
        <v>360</v>
      </c>
      <c r="T2008" s="97">
        <v>1E-8</v>
      </c>
      <c r="U2008" s="78">
        <v>1E-8</v>
      </c>
      <c r="V2008" s="97">
        <v>1E-8</v>
      </c>
      <c r="W2008" s="97">
        <v>1E-8</v>
      </c>
      <c r="X2008" s="97">
        <v>1E-8</v>
      </c>
      <c r="Y2008" s="97">
        <v>1E-8</v>
      </c>
      <c r="Z2008" s="97">
        <v>1E-8</v>
      </c>
      <c r="AA2008" s="97">
        <v>1E-8</v>
      </c>
      <c r="AB2008" s="97">
        <v>1E-8</v>
      </c>
      <c r="AC2008" s="97">
        <v>1E-8</v>
      </c>
      <c r="AD2008" s="4"/>
    </row>
    <row r="2009" spans="1:30" x14ac:dyDescent="0.35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34"/>
      <c r="O2009" s="4"/>
      <c r="P2009" s="96"/>
      <c r="Q2009" s="96" t="s">
        <v>205</v>
      </c>
      <c r="R2009" s="107" t="s">
        <v>83</v>
      </c>
      <c r="S2009" s="107" t="s">
        <v>586</v>
      </c>
      <c r="T2009" s="97">
        <v>1E-8</v>
      </c>
      <c r="U2009" s="78">
        <v>1E-8</v>
      </c>
      <c r="V2009" s="97">
        <v>1E-8</v>
      </c>
      <c r="W2009" s="97">
        <v>1E-8</v>
      </c>
      <c r="X2009" s="97">
        <v>1E-8</v>
      </c>
      <c r="Y2009" s="97">
        <v>1E-8</v>
      </c>
      <c r="Z2009" s="97">
        <v>1E-8</v>
      </c>
      <c r="AA2009" s="97">
        <v>1E-8</v>
      </c>
      <c r="AB2009" s="97">
        <v>1E-8</v>
      </c>
      <c r="AC2009" s="97">
        <v>1E-8</v>
      </c>
      <c r="AD2009" s="4"/>
    </row>
    <row r="2010" spans="1:30" x14ac:dyDescent="0.35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34"/>
      <c r="O2010" s="4"/>
      <c r="P2010" s="68"/>
      <c r="Q2010" s="68" t="s">
        <v>690</v>
      </c>
      <c r="R2010" s="108" t="s">
        <v>83</v>
      </c>
      <c r="S2010" s="108" t="s">
        <v>587</v>
      </c>
      <c r="T2010" s="98">
        <v>1E-8</v>
      </c>
      <c r="U2010" s="80">
        <v>1E-8</v>
      </c>
      <c r="V2010" s="98">
        <v>1E-8</v>
      </c>
      <c r="W2010" s="98">
        <v>1E-8</v>
      </c>
      <c r="X2010" s="98">
        <v>1E-8</v>
      </c>
      <c r="Y2010" s="98">
        <v>1E-8</v>
      </c>
      <c r="Z2010" s="98">
        <v>1E-8</v>
      </c>
      <c r="AA2010" s="98">
        <v>1E-8</v>
      </c>
      <c r="AB2010" s="98">
        <v>1E-8</v>
      </c>
      <c r="AC2010" s="98">
        <v>1E-8</v>
      </c>
      <c r="AD2010" s="4"/>
    </row>
    <row r="2011" spans="1:30" x14ac:dyDescent="0.35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34"/>
      <c r="O2011" s="4"/>
      <c r="P2011" s="68"/>
      <c r="Q2011" s="68" t="s">
        <v>691</v>
      </c>
      <c r="R2011" s="108" t="s">
        <v>83</v>
      </c>
      <c r="S2011" s="108" t="s">
        <v>588</v>
      </c>
      <c r="T2011" s="98">
        <v>1E-8</v>
      </c>
      <c r="U2011" s="80">
        <v>1E-8</v>
      </c>
      <c r="V2011" s="98">
        <v>1E-8</v>
      </c>
      <c r="W2011" s="98">
        <v>1E-8</v>
      </c>
      <c r="X2011" s="98">
        <v>1E-8</v>
      </c>
      <c r="Y2011" s="98">
        <v>1E-8</v>
      </c>
      <c r="Z2011" s="98">
        <v>1E-8</v>
      </c>
      <c r="AA2011" s="98">
        <v>1E-8</v>
      </c>
      <c r="AB2011" s="98">
        <v>1E-8</v>
      </c>
      <c r="AC2011" s="98">
        <v>1E-8</v>
      </c>
      <c r="AD2011" s="4"/>
    </row>
    <row r="2012" spans="1:30" x14ac:dyDescent="0.35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34"/>
      <c r="O2012" s="4"/>
      <c r="P2012" s="68"/>
      <c r="Q2012" s="68" t="s">
        <v>692</v>
      </c>
      <c r="R2012" s="108" t="s">
        <v>83</v>
      </c>
      <c r="S2012" s="108" t="s">
        <v>589</v>
      </c>
      <c r="T2012" s="98">
        <v>1E-8</v>
      </c>
      <c r="U2012" s="80">
        <v>1E-8</v>
      </c>
      <c r="V2012" s="98">
        <v>1E-8</v>
      </c>
      <c r="W2012" s="98">
        <v>1E-8</v>
      </c>
      <c r="X2012" s="98">
        <v>1E-8</v>
      </c>
      <c r="Y2012" s="98">
        <v>1E-8</v>
      </c>
      <c r="Z2012" s="98">
        <v>1E-8</v>
      </c>
      <c r="AA2012" s="98">
        <v>1E-8</v>
      </c>
      <c r="AB2012" s="98">
        <v>1E-8</v>
      </c>
      <c r="AC2012" s="98">
        <v>1E-8</v>
      </c>
      <c r="AD2012" s="4"/>
    </row>
    <row r="2013" spans="1:30" x14ac:dyDescent="0.35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34"/>
      <c r="O2013" s="4"/>
      <c r="P2013" s="68"/>
      <c r="Q2013" s="68" t="s">
        <v>693</v>
      </c>
      <c r="R2013" s="108" t="s">
        <v>83</v>
      </c>
      <c r="S2013" s="108" t="s">
        <v>361</v>
      </c>
      <c r="T2013" s="98">
        <v>1E-8</v>
      </c>
      <c r="U2013" s="80">
        <v>1E-8</v>
      </c>
      <c r="V2013" s="98">
        <v>1E-8</v>
      </c>
      <c r="W2013" s="98">
        <v>1E-8</v>
      </c>
      <c r="X2013" s="98">
        <v>1E-8</v>
      </c>
      <c r="Y2013" s="98">
        <v>1E-8</v>
      </c>
      <c r="Z2013" s="98">
        <v>1E-8</v>
      </c>
      <c r="AA2013" s="98">
        <v>1E-8</v>
      </c>
      <c r="AB2013" s="98">
        <v>1E-8</v>
      </c>
      <c r="AC2013" s="98">
        <v>1E-8</v>
      </c>
      <c r="AD2013" s="4"/>
    </row>
    <row r="2014" spans="1:30" x14ac:dyDescent="0.35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34"/>
      <c r="O2014" s="4"/>
      <c r="P2014" s="68"/>
      <c r="Q2014" s="68" t="s">
        <v>694</v>
      </c>
      <c r="R2014" s="108" t="s">
        <v>83</v>
      </c>
      <c r="S2014" s="108" t="s">
        <v>590</v>
      </c>
      <c r="T2014" s="98">
        <v>1E-8</v>
      </c>
      <c r="U2014" s="80">
        <v>1E-8</v>
      </c>
      <c r="V2014" s="98">
        <v>1E-8</v>
      </c>
      <c r="W2014" s="98">
        <v>1E-8</v>
      </c>
      <c r="X2014" s="98">
        <v>1E-8</v>
      </c>
      <c r="Y2014" s="98">
        <v>1E-8</v>
      </c>
      <c r="Z2014" s="98">
        <v>1E-8</v>
      </c>
      <c r="AA2014" s="98">
        <v>1E-8</v>
      </c>
      <c r="AB2014" s="98">
        <v>1E-8</v>
      </c>
      <c r="AC2014" s="98">
        <v>1E-8</v>
      </c>
      <c r="AD2014" s="4"/>
    </row>
    <row r="2015" spans="1:30" ht="15" thickBot="1" x14ac:dyDescent="0.4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34"/>
      <c r="O2015" s="4"/>
      <c r="P2015" s="102"/>
      <c r="Q2015" s="102" t="s">
        <v>695</v>
      </c>
      <c r="R2015" s="113" t="s">
        <v>83</v>
      </c>
      <c r="S2015" s="113" t="s">
        <v>591</v>
      </c>
      <c r="T2015" s="103">
        <v>1E-8</v>
      </c>
      <c r="U2015" s="104">
        <v>1E-8</v>
      </c>
      <c r="V2015" s="103">
        <v>1E-8</v>
      </c>
      <c r="W2015" s="103">
        <v>1E-8</v>
      </c>
      <c r="X2015" s="103">
        <v>1E-8</v>
      </c>
      <c r="Y2015" s="103">
        <v>1E-8</v>
      </c>
      <c r="Z2015" s="103">
        <v>1E-8</v>
      </c>
      <c r="AA2015" s="103">
        <v>1E-8</v>
      </c>
      <c r="AB2015" s="103">
        <v>1E-8</v>
      </c>
      <c r="AC2015" s="103">
        <v>1E-8</v>
      </c>
      <c r="AD2015" s="4"/>
    </row>
    <row r="2016" spans="1:30" x14ac:dyDescent="0.35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34"/>
      <c r="O2016" s="4"/>
      <c r="P2016" s="47" t="s">
        <v>733</v>
      </c>
      <c r="Q2016" s="47" t="s">
        <v>102</v>
      </c>
      <c r="R2016" s="105" t="s">
        <v>91</v>
      </c>
      <c r="S2016" s="105" t="s">
        <v>288</v>
      </c>
      <c r="T2016" s="95">
        <v>100</v>
      </c>
      <c r="U2016" s="74">
        <v>1E-8</v>
      </c>
      <c r="V2016" s="95">
        <v>1E-8</v>
      </c>
      <c r="W2016" s="95">
        <v>1E-8</v>
      </c>
      <c r="X2016" s="95">
        <v>1E-8</v>
      </c>
      <c r="Y2016" s="95">
        <v>1E-8</v>
      </c>
      <c r="Z2016" s="95">
        <v>1E-8</v>
      </c>
      <c r="AA2016" s="95">
        <v>1E-8</v>
      </c>
      <c r="AB2016" s="95">
        <v>1E-8</v>
      </c>
      <c r="AC2016" s="95">
        <v>1E-8</v>
      </c>
      <c r="AD2016" s="4"/>
    </row>
    <row r="2017" spans="1:30" x14ac:dyDescent="0.35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34"/>
      <c r="O2017" s="4"/>
      <c r="P2017" s="47" t="s">
        <v>483</v>
      </c>
      <c r="Q2017" s="47" t="s">
        <v>278</v>
      </c>
      <c r="R2017" s="106" t="s">
        <v>91</v>
      </c>
      <c r="S2017" s="106" t="s">
        <v>289</v>
      </c>
      <c r="T2017" s="75">
        <v>1E-8</v>
      </c>
      <c r="U2017" s="76">
        <v>1E-8</v>
      </c>
      <c r="V2017" s="75">
        <v>1E-8</v>
      </c>
      <c r="W2017" s="75">
        <v>1E-8</v>
      </c>
      <c r="X2017" s="75">
        <v>1E-8</v>
      </c>
      <c r="Y2017" s="75">
        <v>1E-8</v>
      </c>
      <c r="Z2017" s="75">
        <v>1E-8</v>
      </c>
      <c r="AA2017" s="75">
        <v>1E-8</v>
      </c>
      <c r="AB2017" s="75">
        <v>1E-8</v>
      </c>
      <c r="AC2017" s="75">
        <v>1E-8</v>
      </c>
      <c r="AD2017" s="4"/>
    </row>
    <row r="2018" spans="1:30" x14ac:dyDescent="0.35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34"/>
      <c r="O2018" s="4"/>
      <c r="P2018" s="96"/>
      <c r="Q2018" s="96" t="s">
        <v>279</v>
      </c>
      <c r="R2018" s="107" t="s">
        <v>91</v>
      </c>
      <c r="S2018" s="107" t="s">
        <v>290</v>
      </c>
      <c r="T2018" s="97">
        <v>1E-8</v>
      </c>
      <c r="U2018" s="78">
        <v>1E-8</v>
      </c>
      <c r="V2018" s="97">
        <v>1E-8</v>
      </c>
      <c r="W2018" s="97">
        <v>1E-8</v>
      </c>
      <c r="X2018" s="97">
        <v>1E-8</v>
      </c>
      <c r="Y2018" s="97">
        <v>1E-8</v>
      </c>
      <c r="Z2018" s="97">
        <v>1E-8</v>
      </c>
      <c r="AA2018" s="97">
        <v>1E-8</v>
      </c>
      <c r="AB2018" s="97">
        <v>1E-8</v>
      </c>
      <c r="AC2018" s="97">
        <v>1E-8</v>
      </c>
      <c r="AD2018" s="4"/>
    </row>
    <row r="2019" spans="1:30" x14ac:dyDescent="0.35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34"/>
      <c r="O2019" s="4"/>
      <c r="P2019" s="96"/>
      <c r="Q2019" s="96" t="s">
        <v>362</v>
      </c>
      <c r="R2019" s="107" t="s">
        <v>91</v>
      </c>
      <c r="S2019" s="107" t="s">
        <v>291</v>
      </c>
      <c r="T2019" s="97">
        <v>1E-8</v>
      </c>
      <c r="U2019" s="78">
        <v>1E-8</v>
      </c>
      <c r="V2019" s="97">
        <v>1E-8</v>
      </c>
      <c r="W2019" s="97">
        <v>1E-8</v>
      </c>
      <c r="X2019" s="97">
        <v>1E-8</v>
      </c>
      <c r="Y2019" s="97">
        <v>1E-8</v>
      </c>
      <c r="Z2019" s="97">
        <v>1E-8</v>
      </c>
      <c r="AA2019" s="97">
        <v>1E-8</v>
      </c>
      <c r="AB2019" s="97">
        <v>1E-8</v>
      </c>
      <c r="AC2019" s="97">
        <v>1E-8</v>
      </c>
      <c r="AD2019" s="4"/>
    </row>
    <row r="2020" spans="1:30" x14ac:dyDescent="0.35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34"/>
      <c r="O2020" s="4"/>
      <c r="P2020" s="96"/>
      <c r="Q2020" s="96" t="s">
        <v>363</v>
      </c>
      <c r="R2020" s="107" t="s">
        <v>91</v>
      </c>
      <c r="S2020" s="107" t="s">
        <v>292</v>
      </c>
      <c r="T2020" s="97">
        <v>1E-8</v>
      </c>
      <c r="U2020" s="78">
        <v>1E-8</v>
      </c>
      <c r="V2020" s="97">
        <v>1E-8</v>
      </c>
      <c r="W2020" s="97">
        <v>1E-8</v>
      </c>
      <c r="X2020" s="97">
        <v>1E-8</v>
      </c>
      <c r="Y2020" s="97">
        <v>1E-8</v>
      </c>
      <c r="Z2020" s="97">
        <v>1E-8</v>
      </c>
      <c r="AA2020" s="97">
        <v>1E-8</v>
      </c>
      <c r="AB2020" s="97">
        <v>1E-8</v>
      </c>
      <c r="AC2020" s="97">
        <v>1E-8</v>
      </c>
      <c r="AD2020" s="4"/>
    </row>
    <row r="2021" spans="1:30" x14ac:dyDescent="0.35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34"/>
      <c r="O2021" s="4"/>
      <c r="P2021" s="68"/>
      <c r="Q2021" s="68" t="s">
        <v>592</v>
      </c>
      <c r="R2021" s="108" t="s">
        <v>91</v>
      </c>
      <c r="S2021" s="108" t="s">
        <v>294</v>
      </c>
      <c r="T2021" s="98">
        <v>1E-8</v>
      </c>
      <c r="U2021" s="80">
        <v>1E-8</v>
      </c>
      <c r="V2021" s="98">
        <v>1E-8</v>
      </c>
      <c r="W2021" s="98">
        <v>1E-8</v>
      </c>
      <c r="X2021" s="98">
        <v>1E-8</v>
      </c>
      <c r="Y2021" s="98">
        <v>1E-8</v>
      </c>
      <c r="Z2021" s="98">
        <v>1E-8</v>
      </c>
      <c r="AA2021" s="98">
        <v>1E-8</v>
      </c>
      <c r="AB2021" s="98">
        <v>1E-8</v>
      </c>
      <c r="AC2021" s="98">
        <v>1E-8</v>
      </c>
      <c r="AD2021" s="4"/>
    </row>
    <row r="2022" spans="1:30" x14ac:dyDescent="0.35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34"/>
      <c r="O2022" s="4"/>
      <c r="P2022" s="68"/>
      <c r="Q2022" s="68" t="s">
        <v>593</v>
      </c>
      <c r="R2022" s="108" t="s">
        <v>91</v>
      </c>
      <c r="S2022" s="108" t="s">
        <v>293</v>
      </c>
      <c r="T2022" s="98">
        <v>1E-8</v>
      </c>
      <c r="U2022" s="80">
        <v>1E-8</v>
      </c>
      <c r="V2022" s="98">
        <v>1E-8</v>
      </c>
      <c r="W2022" s="98">
        <v>1E-8</v>
      </c>
      <c r="X2022" s="98">
        <v>1E-8</v>
      </c>
      <c r="Y2022" s="98">
        <v>1E-8</v>
      </c>
      <c r="Z2022" s="98">
        <v>1E-8</v>
      </c>
      <c r="AA2022" s="98">
        <v>1E-8</v>
      </c>
      <c r="AB2022" s="98">
        <v>1E-8</v>
      </c>
      <c r="AC2022" s="98">
        <v>1E-8</v>
      </c>
      <c r="AD2022" s="4"/>
    </row>
    <row r="2023" spans="1:30" x14ac:dyDescent="0.35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34"/>
      <c r="O2023" s="4"/>
      <c r="P2023" s="68"/>
      <c r="Q2023" s="68" t="s">
        <v>594</v>
      </c>
      <c r="R2023" s="108" t="s">
        <v>91</v>
      </c>
      <c r="S2023" s="108" t="s">
        <v>296</v>
      </c>
      <c r="T2023" s="98">
        <v>1E-8</v>
      </c>
      <c r="U2023" s="80">
        <v>1E-8</v>
      </c>
      <c r="V2023" s="98">
        <v>1E-8</v>
      </c>
      <c r="W2023" s="98">
        <v>1E-8</v>
      </c>
      <c r="X2023" s="98">
        <v>1E-8</v>
      </c>
      <c r="Y2023" s="98">
        <v>1E-8</v>
      </c>
      <c r="Z2023" s="98">
        <v>1E-8</v>
      </c>
      <c r="AA2023" s="98">
        <v>1E-8</v>
      </c>
      <c r="AB2023" s="98">
        <v>1E-8</v>
      </c>
      <c r="AC2023" s="98">
        <v>1E-8</v>
      </c>
      <c r="AD2023" s="4"/>
    </row>
    <row r="2024" spans="1:30" x14ac:dyDescent="0.35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34"/>
      <c r="O2024" s="4"/>
      <c r="P2024" s="68"/>
      <c r="Q2024" s="68" t="s">
        <v>595</v>
      </c>
      <c r="R2024" s="108" t="s">
        <v>91</v>
      </c>
      <c r="S2024" s="108" t="s">
        <v>295</v>
      </c>
      <c r="T2024" s="98">
        <v>1E-8</v>
      </c>
      <c r="U2024" s="80">
        <v>1E-8</v>
      </c>
      <c r="V2024" s="98">
        <v>1E-8</v>
      </c>
      <c r="W2024" s="98">
        <v>1E-8</v>
      </c>
      <c r="X2024" s="98">
        <v>1E-8</v>
      </c>
      <c r="Y2024" s="98">
        <v>1E-8</v>
      </c>
      <c r="Z2024" s="98">
        <v>1E-8</v>
      </c>
      <c r="AA2024" s="98">
        <v>1E-8</v>
      </c>
      <c r="AB2024" s="98">
        <v>1E-8</v>
      </c>
      <c r="AC2024" s="98">
        <v>1E-8</v>
      </c>
      <c r="AD2024" s="4"/>
    </row>
    <row r="2025" spans="1:30" x14ac:dyDescent="0.3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34"/>
      <c r="O2025" s="4"/>
      <c r="P2025" s="68"/>
      <c r="Q2025" s="68" t="s">
        <v>596</v>
      </c>
      <c r="R2025" s="108" t="s">
        <v>91</v>
      </c>
      <c r="S2025" s="108" t="s">
        <v>297</v>
      </c>
      <c r="T2025" s="98">
        <v>1E-8</v>
      </c>
      <c r="U2025" s="80">
        <v>1E-8</v>
      </c>
      <c r="V2025" s="98">
        <v>1E-8</v>
      </c>
      <c r="W2025" s="98">
        <v>1E-8</v>
      </c>
      <c r="X2025" s="98">
        <v>1E-8</v>
      </c>
      <c r="Y2025" s="98">
        <v>1E-8</v>
      </c>
      <c r="Z2025" s="98">
        <v>1E-8</v>
      </c>
      <c r="AA2025" s="98">
        <v>1E-8</v>
      </c>
      <c r="AB2025" s="98">
        <v>1E-8</v>
      </c>
      <c r="AC2025" s="98">
        <v>1E-8</v>
      </c>
      <c r="AD2025" s="4"/>
    </row>
    <row r="2026" spans="1:30" x14ac:dyDescent="0.35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34"/>
      <c r="O2026" s="4"/>
      <c r="P2026" s="68"/>
      <c r="Q2026" s="68" t="s">
        <v>597</v>
      </c>
      <c r="R2026" s="108" t="s">
        <v>91</v>
      </c>
      <c r="S2026" s="108" t="s">
        <v>301</v>
      </c>
      <c r="T2026" s="98">
        <v>1E-8</v>
      </c>
      <c r="U2026" s="80">
        <v>1E-8</v>
      </c>
      <c r="V2026" s="98">
        <v>1E-8</v>
      </c>
      <c r="W2026" s="98">
        <v>1E-8</v>
      </c>
      <c r="X2026" s="98">
        <v>1E-8</v>
      </c>
      <c r="Y2026" s="98">
        <v>1E-8</v>
      </c>
      <c r="Z2026" s="98">
        <v>1E-8</v>
      </c>
      <c r="AA2026" s="98">
        <v>1E-8</v>
      </c>
      <c r="AB2026" s="98">
        <v>1E-8</v>
      </c>
      <c r="AC2026" s="98">
        <v>1E-8</v>
      </c>
      <c r="AD2026" s="4"/>
    </row>
    <row r="2027" spans="1:30" x14ac:dyDescent="0.35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34"/>
      <c r="O2027" s="4"/>
      <c r="P2027" s="68"/>
      <c r="Q2027" s="68" t="s">
        <v>598</v>
      </c>
      <c r="R2027" s="108" t="s">
        <v>91</v>
      </c>
      <c r="S2027" s="108" t="s">
        <v>302</v>
      </c>
      <c r="T2027" s="98">
        <v>1E-8</v>
      </c>
      <c r="U2027" s="80">
        <v>1E-8</v>
      </c>
      <c r="V2027" s="98">
        <v>1E-8</v>
      </c>
      <c r="W2027" s="98">
        <v>1E-8</v>
      </c>
      <c r="X2027" s="98">
        <v>1E-8</v>
      </c>
      <c r="Y2027" s="98">
        <v>1E-8</v>
      </c>
      <c r="Z2027" s="98">
        <v>1E-8</v>
      </c>
      <c r="AA2027" s="98">
        <v>1E-8</v>
      </c>
      <c r="AB2027" s="98">
        <v>1E-8</v>
      </c>
      <c r="AC2027" s="98">
        <v>1E-8</v>
      </c>
      <c r="AD2027" s="4"/>
    </row>
    <row r="2028" spans="1:30" x14ac:dyDescent="0.35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34"/>
      <c r="O2028" s="4"/>
      <c r="P2028" s="68"/>
      <c r="Q2028" s="68" t="s">
        <v>599</v>
      </c>
      <c r="R2028" s="108" t="s">
        <v>91</v>
      </c>
      <c r="S2028" s="108" t="s">
        <v>300</v>
      </c>
      <c r="T2028" s="98">
        <v>1E-8</v>
      </c>
      <c r="U2028" s="80">
        <v>1E-8</v>
      </c>
      <c r="V2028" s="98">
        <v>1E-8</v>
      </c>
      <c r="W2028" s="98">
        <v>1E-8</v>
      </c>
      <c r="X2028" s="98">
        <v>1E-8</v>
      </c>
      <c r="Y2028" s="98">
        <v>1E-8</v>
      </c>
      <c r="Z2028" s="98">
        <v>1E-8</v>
      </c>
      <c r="AA2028" s="98">
        <v>1E-8</v>
      </c>
      <c r="AB2028" s="98">
        <v>1E-8</v>
      </c>
      <c r="AC2028" s="98">
        <v>1E-8</v>
      </c>
      <c r="AD2028" s="4"/>
    </row>
    <row r="2029" spans="1:30" x14ac:dyDescent="0.35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34"/>
      <c r="O2029" s="4"/>
      <c r="P2029" s="68"/>
      <c r="Q2029" s="68" t="s">
        <v>600</v>
      </c>
      <c r="R2029" s="108" t="s">
        <v>91</v>
      </c>
      <c r="S2029" s="108" t="s">
        <v>303</v>
      </c>
      <c r="T2029" s="98">
        <v>1E-8</v>
      </c>
      <c r="U2029" s="80">
        <v>1E-8</v>
      </c>
      <c r="V2029" s="98">
        <v>1E-8</v>
      </c>
      <c r="W2029" s="98">
        <v>1E-8</v>
      </c>
      <c r="X2029" s="98">
        <v>1E-8</v>
      </c>
      <c r="Y2029" s="98">
        <v>1E-8</v>
      </c>
      <c r="Z2029" s="98">
        <v>1E-8</v>
      </c>
      <c r="AA2029" s="98">
        <v>1E-8</v>
      </c>
      <c r="AB2029" s="98">
        <v>1E-8</v>
      </c>
      <c r="AC2029" s="98">
        <v>1E-8</v>
      </c>
      <c r="AD2029" s="4"/>
    </row>
    <row r="2030" spans="1:30" x14ac:dyDescent="0.35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34"/>
      <c r="O2030" s="4"/>
      <c r="P2030" s="68"/>
      <c r="Q2030" s="68" t="s">
        <v>601</v>
      </c>
      <c r="R2030" s="108" t="s">
        <v>91</v>
      </c>
      <c r="S2030" s="108" t="s">
        <v>533</v>
      </c>
      <c r="T2030" s="98">
        <v>1E-8</v>
      </c>
      <c r="U2030" s="80">
        <v>1E-8</v>
      </c>
      <c r="V2030" s="98">
        <v>1E-8</v>
      </c>
      <c r="W2030" s="98">
        <v>1E-8</v>
      </c>
      <c r="X2030" s="98">
        <v>1E-8</v>
      </c>
      <c r="Y2030" s="98">
        <v>1E-8</v>
      </c>
      <c r="Z2030" s="98">
        <v>1E-8</v>
      </c>
      <c r="AA2030" s="98">
        <v>1E-8</v>
      </c>
      <c r="AB2030" s="98">
        <v>1E-8</v>
      </c>
      <c r="AC2030" s="98">
        <v>1E-8</v>
      </c>
      <c r="AD2030" s="4"/>
    </row>
    <row r="2031" spans="1:30" x14ac:dyDescent="0.35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34"/>
      <c r="O2031" s="4"/>
      <c r="P2031" s="68"/>
      <c r="Q2031" s="68" t="s">
        <v>602</v>
      </c>
      <c r="R2031" s="108" t="s">
        <v>91</v>
      </c>
      <c r="S2031" s="108" t="s">
        <v>534</v>
      </c>
      <c r="T2031" s="98">
        <v>1E-8</v>
      </c>
      <c r="U2031" s="80">
        <v>1E-8</v>
      </c>
      <c r="V2031" s="98">
        <v>1E-8</v>
      </c>
      <c r="W2031" s="98">
        <v>1E-8</v>
      </c>
      <c r="X2031" s="98">
        <v>1E-8</v>
      </c>
      <c r="Y2031" s="98">
        <v>1E-8</v>
      </c>
      <c r="Z2031" s="98">
        <v>1E-8</v>
      </c>
      <c r="AA2031" s="98">
        <v>1E-8</v>
      </c>
      <c r="AB2031" s="98">
        <v>1E-8</v>
      </c>
      <c r="AC2031" s="98">
        <v>1E-8</v>
      </c>
      <c r="AD2031" s="4"/>
    </row>
    <row r="2032" spans="1:30" x14ac:dyDescent="0.35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34"/>
      <c r="O2032" s="4"/>
      <c r="P2032" s="68"/>
      <c r="Q2032" s="68" t="s">
        <v>603</v>
      </c>
      <c r="R2032" s="108" t="s">
        <v>91</v>
      </c>
      <c r="S2032" s="108" t="s">
        <v>304</v>
      </c>
      <c r="T2032" s="98">
        <v>1E-8</v>
      </c>
      <c r="U2032" s="80">
        <v>1E-8</v>
      </c>
      <c r="V2032" s="98">
        <v>1E-8</v>
      </c>
      <c r="W2032" s="98">
        <v>1E-8</v>
      </c>
      <c r="X2032" s="98">
        <v>1E-8</v>
      </c>
      <c r="Y2032" s="98">
        <v>1E-8</v>
      </c>
      <c r="Z2032" s="98">
        <v>1E-8</v>
      </c>
      <c r="AA2032" s="98">
        <v>1E-8</v>
      </c>
      <c r="AB2032" s="98">
        <v>1E-8</v>
      </c>
      <c r="AC2032" s="98">
        <v>1E-8</v>
      </c>
      <c r="AD2032" s="4"/>
    </row>
    <row r="2033" spans="1:30" x14ac:dyDescent="0.35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34"/>
      <c r="O2033" s="4"/>
      <c r="P2033" s="68"/>
      <c r="Q2033" s="68" t="s">
        <v>604</v>
      </c>
      <c r="R2033" s="108" t="s">
        <v>91</v>
      </c>
      <c r="S2033" s="108" t="s">
        <v>535</v>
      </c>
      <c r="T2033" s="98">
        <v>1E-8</v>
      </c>
      <c r="U2033" s="80">
        <v>1E-8</v>
      </c>
      <c r="V2033" s="98">
        <v>1E-8</v>
      </c>
      <c r="W2033" s="98">
        <v>1E-8</v>
      </c>
      <c r="X2033" s="98">
        <v>1E-8</v>
      </c>
      <c r="Y2033" s="98">
        <v>1E-8</v>
      </c>
      <c r="Z2033" s="98">
        <v>1E-8</v>
      </c>
      <c r="AA2033" s="98">
        <v>1E-8</v>
      </c>
      <c r="AB2033" s="98">
        <v>1E-8</v>
      </c>
      <c r="AC2033" s="98">
        <v>1E-8</v>
      </c>
      <c r="AD2033" s="4"/>
    </row>
    <row r="2034" spans="1:30" x14ac:dyDescent="0.35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34"/>
      <c r="O2034" s="4"/>
      <c r="P2034" s="68"/>
      <c r="Q2034" s="68" t="s">
        <v>605</v>
      </c>
      <c r="R2034" s="108" t="s">
        <v>91</v>
      </c>
      <c r="S2034" s="108" t="s">
        <v>536</v>
      </c>
      <c r="T2034" s="98">
        <v>1E-8</v>
      </c>
      <c r="U2034" s="80">
        <v>1E-8</v>
      </c>
      <c r="V2034" s="98">
        <v>1E-8</v>
      </c>
      <c r="W2034" s="98">
        <v>1E-8</v>
      </c>
      <c r="X2034" s="98">
        <v>1E-8</v>
      </c>
      <c r="Y2034" s="98">
        <v>1E-8</v>
      </c>
      <c r="Z2034" s="98">
        <v>1E-8</v>
      </c>
      <c r="AA2034" s="98">
        <v>1E-8</v>
      </c>
      <c r="AB2034" s="98">
        <v>1E-8</v>
      </c>
      <c r="AC2034" s="98">
        <v>1E-8</v>
      </c>
      <c r="AD2034" s="4"/>
    </row>
    <row r="2035" spans="1:30" x14ac:dyDescent="0.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34"/>
      <c r="O2035" s="4"/>
      <c r="P2035" s="68"/>
      <c r="Q2035" s="68" t="s">
        <v>606</v>
      </c>
      <c r="R2035" s="108" t="s">
        <v>91</v>
      </c>
      <c r="S2035" s="108" t="s">
        <v>537</v>
      </c>
      <c r="T2035" s="98">
        <v>1E-8</v>
      </c>
      <c r="U2035" s="80">
        <v>1E-8</v>
      </c>
      <c r="V2035" s="98">
        <v>1E-8</v>
      </c>
      <c r="W2035" s="98">
        <v>1E-8</v>
      </c>
      <c r="X2035" s="98">
        <v>1E-8</v>
      </c>
      <c r="Y2035" s="98">
        <v>1E-8</v>
      </c>
      <c r="Z2035" s="98">
        <v>1E-8</v>
      </c>
      <c r="AA2035" s="98">
        <v>1E-8</v>
      </c>
      <c r="AB2035" s="98">
        <v>1E-8</v>
      </c>
      <c r="AC2035" s="98">
        <v>1E-8</v>
      </c>
      <c r="AD2035" s="4"/>
    </row>
    <row r="2036" spans="1:30" x14ac:dyDescent="0.35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34"/>
      <c r="O2036" s="4"/>
      <c r="P2036" s="68"/>
      <c r="Q2036" s="68" t="s">
        <v>607</v>
      </c>
      <c r="R2036" s="108" t="s">
        <v>91</v>
      </c>
      <c r="S2036" s="108" t="s">
        <v>307</v>
      </c>
      <c r="T2036" s="98">
        <v>1E-8</v>
      </c>
      <c r="U2036" s="80">
        <v>1E-8</v>
      </c>
      <c r="V2036" s="98">
        <v>1E-8</v>
      </c>
      <c r="W2036" s="98">
        <v>1E-8</v>
      </c>
      <c r="X2036" s="98">
        <v>1E-8</v>
      </c>
      <c r="Y2036" s="98">
        <v>1E-8</v>
      </c>
      <c r="Z2036" s="98">
        <v>1E-8</v>
      </c>
      <c r="AA2036" s="98">
        <v>1E-8</v>
      </c>
      <c r="AB2036" s="98">
        <v>1E-8</v>
      </c>
      <c r="AC2036" s="98">
        <v>1E-8</v>
      </c>
      <c r="AD2036" s="4"/>
    </row>
    <row r="2037" spans="1:30" x14ac:dyDescent="0.35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34"/>
      <c r="O2037" s="4"/>
      <c r="P2037" s="68"/>
      <c r="Q2037" s="68" t="s">
        <v>608</v>
      </c>
      <c r="R2037" s="108" t="s">
        <v>91</v>
      </c>
      <c r="S2037" s="108" t="s">
        <v>298</v>
      </c>
      <c r="T2037" s="98">
        <v>1E-8</v>
      </c>
      <c r="U2037" s="80">
        <v>1E-8</v>
      </c>
      <c r="V2037" s="98">
        <v>1E-8</v>
      </c>
      <c r="W2037" s="98">
        <v>1E-8</v>
      </c>
      <c r="X2037" s="98">
        <v>1E-8</v>
      </c>
      <c r="Y2037" s="98">
        <v>1E-8</v>
      </c>
      <c r="Z2037" s="98">
        <v>1E-8</v>
      </c>
      <c r="AA2037" s="98">
        <v>1E-8</v>
      </c>
      <c r="AB2037" s="98">
        <v>1E-8</v>
      </c>
      <c r="AC2037" s="98">
        <v>1E-8</v>
      </c>
      <c r="AD2037" s="4"/>
    </row>
    <row r="2038" spans="1:30" x14ac:dyDescent="0.35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34"/>
      <c r="O2038" s="4"/>
      <c r="P2038" s="68"/>
      <c r="Q2038" s="68" t="s">
        <v>609</v>
      </c>
      <c r="R2038" s="108" t="s">
        <v>91</v>
      </c>
      <c r="S2038" s="108" t="s">
        <v>538</v>
      </c>
      <c r="T2038" s="98">
        <v>1E-8</v>
      </c>
      <c r="U2038" s="80">
        <v>1E-8</v>
      </c>
      <c r="V2038" s="98">
        <v>1E-8</v>
      </c>
      <c r="W2038" s="98">
        <v>1E-8</v>
      </c>
      <c r="X2038" s="98">
        <v>1E-8</v>
      </c>
      <c r="Y2038" s="98">
        <v>1E-8</v>
      </c>
      <c r="Z2038" s="98">
        <v>1E-8</v>
      </c>
      <c r="AA2038" s="98">
        <v>1E-8</v>
      </c>
      <c r="AB2038" s="98">
        <v>1E-8</v>
      </c>
      <c r="AC2038" s="98">
        <v>1E-8</v>
      </c>
      <c r="AD2038" s="4"/>
    </row>
    <row r="2039" spans="1:30" x14ac:dyDescent="0.35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34"/>
      <c r="O2039" s="4"/>
      <c r="P2039" s="68"/>
      <c r="Q2039" s="68" t="s">
        <v>610</v>
      </c>
      <c r="R2039" s="108" t="s">
        <v>91</v>
      </c>
      <c r="S2039" s="108" t="s">
        <v>299</v>
      </c>
      <c r="T2039" s="98">
        <v>1E-8</v>
      </c>
      <c r="U2039" s="80">
        <v>1E-8</v>
      </c>
      <c r="V2039" s="98">
        <v>1E-8</v>
      </c>
      <c r="W2039" s="98">
        <v>1E-8</v>
      </c>
      <c r="X2039" s="98">
        <v>1E-8</v>
      </c>
      <c r="Y2039" s="98">
        <v>1E-8</v>
      </c>
      <c r="Z2039" s="98">
        <v>1E-8</v>
      </c>
      <c r="AA2039" s="98">
        <v>1E-8</v>
      </c>
      <c r="AB2039" s="98">
        <v>1E-8</v>
      </c>
      <c r="AC2039" s="98">
        <v>1E-8</v>
      </c>
      <c r="AD2039" s="4"/>
    </row>
    <row r="2040" spans="1:30" x14ac:dyDescent="0.35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34"/>
      <c r="O2040" s="4"/>
      <c r="P2040" s="68"/>
      <c r="Q2040" s="68" t="s">
        <v>611</v>
      </c>
      <c r="R2040" s="108" t="s">
        <v>91</v>
      </c>
      <c r="S2040" s="108" t="s">
        <v>309</v>
      </c>
      <c r="T2040" s="98">
        <v>1E-8</v>
      </c>
      <c r="U2040" s="80">
        <v>1E-8</v>
      </c>
      <c r="V2040" s="98">
        <v>1E-8</v>
      </c>
      <c r="W2040" s="98">
        <v>1E-8</v>
      </c>
      <c r="X2040" s="98">
        <v>1E-8</v>
      </c>
      <c r="Y2040" s="98">
        <v>1E-8</v>
      </c>
      <c r="Z2040" s="98">
        <v>1E-8</v>
      </c>
      <c r="AA2040" s="98">
        <v>1E-8</v>
      </c>
      <c r="AB2040" s="98">
        <v>1E-8</v>
      </c>
      <c r="AC2040" s="98">
        <v>1E-8</v>
      </c>
      <c r="AD2040" s="4"/>
    </row>
    <row r="2041" spans="1:30" x14ac:dyDescent="0.35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34"/>
      <c r="O2041" s="4"/>
      <c r="P2041" s="68"/>
      <c r="Q2041" s="68" t="s">
        <v>612</v>
      </c>
      <c r="R2041" s="108" t="s">
        <v>91</v>
      </c>
      <c r="S2041" s="108" t="s">
        <v>308</v>
      </c>
      <c r="T2041" s="98">
        <v>1E-8</v>
      </c>
      <c r="U2041" s="80">
        <v>1E-8</v>
      </c>
      <c r="V2041" s="98">
        <v>1E-8</v>
      </c>
      <c r="W2041" s="98">
        <v>1E-8</v>
      </c>
      <c r="X2041" s="98">
        <v>1E-8</v>
      </c>
      <c r="Y2041" s="98">
        <v>1E-8</v>
      </c>
      <c r="Z2041" s="98">
        <v>1E-8</v>
      </c>
      <c r="AA2041" s="98">
        <v>1E-8</v>
      </c>
      <c r="AB2041" s="98">
        <v>1E-8</v>
      </c>
      <c r="AC2041" s="98">
        <v>1E-8</v>
      </c>
      <c r="AD2041" s="4"/>
    </row>
    <row r="2042" spans="1:30" x14ac:dyDescent="0.35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34"/>
      <c r="O2042" s="4"/>
      <c r="P2042" s="68"/>
      <c r="Q2042" s="68" t="s">
        <v>613</v>
      </c>
      <c r="R2042" s="108" t="s">
        <v>91</v>
      </c>
      <c r="S2042" s="108" t="s">
        <v>306</v>
      </c>
      <c r="T2042" s="98">
        <v>1E-8</v>
      </c>
      <c r="U2042" s="80">
        <v>1E-8</v>
      </c>
      <c r="V2042" s="98">
        <v>1E-8</v>
      </c>
      <c r="W2042" s="98">
        <v>1E-8</v>
      </c>
      <c r="X2042" s="98">
        <v>1E-8</v>
      </c>
      <c r="Y2042" s="98">
        <v>1E-8</v>
      </c>
      <c r="Z2042" s="98">
        <v>1E-8</v>
      </c>
      <c r="AA2042" s="98">
        <v>1E-8</v>
      </c>
      <c r="AB2042" s="98">
        <v>1E-8</v>
      </c>
      <c r="AC2042" s="98">
        <v>1E-8</v>
      </c>
      <c r="AD2042" s="4"/>
    </row>
    <row r="2043" spans="1:30" x14ac:dyDescent="0.35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34"/>
      <c r="O2043" s="4"/>
      <c r="P2043" s="68"/>
      <c r="Q2043" s="68" t="s">
        <v>614</v>
      </c>
      <c r="R2043" s="108" t="s">
        <v>91</v>
      </c>
      <c r="S2043" s="108" t="s">
        <v>305</v>
      </c>
      <c r="T2043" s="98">
        <v>1E-8</v>
      </c>
      <c r="U2043" s="80">
        <v>1E-8</v>
      </c>
      <c r="V2043" s="98">
        <v>1E-8</v>
      </c>
      <c r="W2043" s="98">
        <v>1E-8</v>
      </c>
      <c r="X2043" s="98">
        <v>1E-8</v>
      </c>
      <c r="Y2043" s="98">
        <v>1E-8</v>
      </c>
      <c r="Z2043" s="98">
        <v>1E-8</v>
      </c>
      <c r="AA2043" s="98">
        <v>1E-8</v>
      </c>
      <c r="AB2043" s="98">
        <v>1E-8</v>
      </c>
      <c r="AC2043" s="98">
        <v>1E-8</v>
      </c>
      <c r="AD2043" s="4"/>
    </row>
    <row r="2044" spans="1:30" x14ac:dyDescent="0.35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34"/>
      <c r="O2044" s="4"/>
      <c r="P2044" s="68"/>
      <c r="Q2044" s="68" t="s">
        <v>615</v>
      </c>
      <c r="R2044" s="108" t="s">
        <v>91</v>
      </c>
      <c r="S2044" s="108" t="s">
        <v>539</v>
      </c>
      <c r="T2044" s="98">
        <v>1E-8</v>
      </c>
      <c r="U2044" s="80">
        <v>1E-8</v>
      </c>
      <c r="V2044" s="98">
        <v>1E-8</v>
      </c>
      <c r="W2044" s="98">
        <v>1E-8</v>
      </c>
      <c r="X2044" s="98">
        <v>1E-8</v>
      </c>
      <c r="Y2044" s="98">
        <v>1E-8</v>
      </c>
      <c r="Z2044" s="98">
        <v>1E-8</v>
      </c>
      <c r="AA2044" s="98">
        <v>1E-8</v>
      </c>
      <c r="AB2044" s="98">
        <v>1E-8</v>
      </c>
      <c r="AC2044" s="98">
        <v>1E-8</v>
      </c>
      <c r="AD2044" s="4"/>
    </row>
    <row r="2045" spans="1:30" x14ac:dyDescent="0.3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34"/>
      <c r="O2045" s="4"/>
      <c r="P2045" s="68"/>
      <c r="Q2045" s="68" t="s">
        <v>616</v>
      </c>
      <c r="R2045" s="109" t="s">
        <v>91</v>
      </c>
      <c r="S2045" s="109" t="s">
        <v>310</v>
      </c>
      <c r="T2045" s="81">
        <v>1E-8</v>
      </c>
      <c r="U2045" s="82">
        <v>1E-8</v>
      </c>
      <c r="V2045" s="81">
        <v>1E-8</v>
      </c>
      <c r="W2045" s="81">
        <v>1E-8</v>
      </c>
      <c r="X2045" s="81">
        <v>1E-8</v>
      </c>
      <c r="Y2045" s="81">
        <v>1E-8</v>
      </c>
      <c r="Z2045" s="81">
        <v>1E-8</v>
      </c>
      <c r="AA2045" s="81">
        <v>1E-8</v>
      </c>
      <c r="AB2045" s="81">
        <v>1E-8</v>
      </c>
      <c r="AC2045" s="81">
        <v>1E-8</v>
      </c>
      <c r="AD2045" s="4"/>
    </row>
    <row r="2046" spans="1:30" x14ac:dyDescent="0.35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34"/>
      <c r="O2046" s="4"/>
      <c r="P2046" s="96"/>
      <c r="Q2046" s="96" t="s">
        <v>280</v>
      </c>
      <c r="R2046" s="107" t="s">
        <v>91</v>
      </c>
      <c r="S2046" s="107" t="s">
        <v>311</v>
      </c>
      <c r="T2046" s="97">
        <v>1E-8</v>
      </c>
      <c r="U2046" s="78">
        <v>1E-8</v>
      </c>
      <c r="V2046" s="97">
        <v>1E-8</v>
      </c>
      <c r="W2046" s="97">
        <v>1E-8</v>
      </c>
      <c r="X2046" s="97">
        <v>1E-8</v>
      </c>
      <c r="Y2046" s="97">
        <v>1E-8</v>
      </c>
      <c r="Z2046" s="97">
        <v>1E-8</v>
      </c>
      <c r="AA2046" s="97">
        <v>1E-8</v>
      </c>
      <c r="AB2046" s="97">
        <v>1E-8</v>
      </c>
      <c r="AC2046" s="97">
        <v>1E-8</v>
      </c>
      <c r="AD2046" s="4"/>
    </row>
    <row r="2047" spans="1:30" x14ac:dyDescent="0.35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34"/>
      <c r="O2047" s="4"/>
      <c r="P2047" s="68"/>
      <c r="Q2047" s="68" t="s">
        <v>617</v>
      </c>
      <c r="R2047" s="108" t="s">
        <v>91</v>
      </c>
      <c r="S2047" s="108" t="s">
        <v>312</v>
      </c>
      <c r="T2047" s="98">
        <v>1E-8</v>
      </c>
      <c r="U2047" s="80">
        <v>1E-8</v>
      </c>
      <c r="V2047" s="98">
        <v>1E-8</v>
      </c>
      <c r="W2047" s="98">
        <v>1E-8</v>
      </c>
      <c r="X2047" s="98">
        <v>1E-8</v>
      </c>
      <c r="Y2047" s="98">
        <v>1E-8</v>
      </c>
      <c r="Z2047" s="98">
        <v>1E-8</v>
      </c>
      <c r="AA2047" s="98">
        <v>1E-8</v>
      </c>
      <c r="AB2047" s="98">
        <v>1E-8</v>
      </c>
      <c r="AC2047" s="98">
        <v>1E-8</v>
      </c>
      <c r="AD2047" s="4"/>
    </row>
    <row r="2048" spans="1:30" x14ac:dyDescent="0.35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34"/>
      <c r="O2048" s="4"/>
      <c r="P2048" s="68"/>
      <c r="Q2048" s="68" t="s">
        <v>618</v>
      </c>
      <c r="R2048" s="108" t="s">
        <v>91</v>
      </c>
      <c r="S2048" s="108" t="s">
        <v>316</v>
      </c>
      <c r="T2048" s="98">
        <v>1E-8</v>
      </c>
      <c r="U2048" s="80">
        <v>1E-8</v>
      </c>
      <c r="V2048" s="98">
        <v>1E-8</v>
      </c>
      <c r="W2048" s="98">
        <v>1E-8</v>
      </c>
      <c r="X2048" s="98">
        <v>1E-8</v>
      </c>
      <c r="Y2048" s="98">
        <v>1E-8</v>
      </c>
      <c r="Z2048" s="98">
        <v>1E-8</v>
      </c>
      <c r="AA2048" s="98">
        <v>1E-8</v>
      </c>
      <c r="AB2048" s="98">
        <v>1E-8</v>
      </c>
      <c r="AC2048" s="98">
        <v>1E-8</v>
      </c>
      <c r="AD2048" s="4"/>
    </row>
    <row r="2049" spans="1:30" x14ac:dyDescent="0.35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34"/>
      <c r="O2049" s="4"/>
      <c r="P2049" s="68"/>
      <c r="Q2049" s="68" t="s">
        <v>619</v>
      </c>
      <c r="R2049" s="108" t="s">
        <v>91</v>
      </c>
      <c r="S2049" s="108" t="s">
        <v>314</v>
      </c>
      <c r="T2049" s="98">
        <v>1E-8</v>
      </c>
      <c r="U2049" s="80">
        <v>1E-8</v>
      </c>
      <c r="V2049" s="98">
        <v>1E-8</v>
      </c>
      <c r="W2049" s="98">
        <v>1E-8</v>
      </c>
      <c r="X2049" s="98">
        <v>1E-8</v>
      </c>
      <c r="Y2049" s="98">
        <v>1E-8</v>
      </c>
      <c r="Z2049" s="98">
        <v>1E-8</v>
      </c>
      <c r="AA2049" s="98">
        <v>1E-8</v>
      </c>
      <c r="AB2049" s="98">
        <v>1E-8</v>
      </c>
      <c r="AC2049" s="98">
        <v>1E-8</v>
      </c>
      <c r="AD2049" s="4"/>
    </row>
    <row r="2050" spans="1:30" x14ac:dyDescent="0.35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34"/>
      <c r="O2050" s="4"/>
      <c r="P2050" s="68"/>
      <c r="Q2050" s="68" t="s">
        <v>620</v>
      </c>
      <c r="R2050" s="108" t="s">
        <v>91</v>
      </c>
      <c r="S2050" s="108" t="s">
        <v>317</v>
      </c>
      <c r="T2050" s="98">
        <v>1E-8</v>
      </c>
      <c r="U2050" s="80">
        <v>1E-8</v>
      </c>
      <c r="V2050" s="98">
        <v>1E-8</v>
      </c>
      <c r="W2050" s="98">
        <v>1E-8</v>
      </c>
      <c r="X2050" s="98">
        <v>1E-8</v>
      </c>
      <c r="Y2050" s="98">
        <v>1E-8</v>
      </c>
      <c r="Z2050" s="98">
        <v>1E-8</v>
      </c>
      <c r="AA2050" s="98">
        <v>1E-8</v>
      </c>
      <c r="AB2050" s="98">
        <v>1E-8</v>
      </c>
      <c r="AC2050" s="98">
        <v>1E-8</v>
      </c>
      <c r="AD2050" s="4"/>
    </row>
    <row r="2051" spans="1:30" x14ac:dyDescent="0.3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34"/>
      <c r="O2051" s="4"/>
      <c r="P2051" s="68"/>
      <c r="Q2051" s="68" t="s">
        <v>621</v>
      </c>
      <c r="R2051" s="108" t="s">
        <v>91</v>
      </c>
      <c r="S2051" s="108" t="s">
        <v>313</v>
      </c>
      <c r="T2051" s="98">
        <v>1E-8</v>
      </c>
      <c r="U2051" s="80">
        <v>1E-8</v>
      </c>
      <c r="V2051" s="98">
        <v>1E-8</v>
      </c>
      <c r="W2051" s="98">
        <v>1E-8</v>
      </c>
      <c r="X2051" s="98">
        <v>1E-8</v>
      </c>
      <c r="Y2051" s="98">
        <v>1E-8</v>
      </c>
      <c r="Z2051" s="98">
        <v>1E-8</v>
      </c>
      <c r="AA2051" s="98">
        <v>1E-8</v>
      </c>
      <c r="AB2051" s="98">
        <v>1E-8</v>
      </c>
      <c r="AC2051" s="98">
        <v>1E-8</v>
      </c>
      <c r="AD2051" s="4"/>
    </row>
    <row r="2052" spans="1:30" x14ac:dyDescent="0.35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34"/>
      <c r="O2052" s="4"/>
      <c r="P2052" s="68"/>
      <c r="Q2052" s="68" t="s">
        <v>622</v>
      </c>
      <c r="R2052" s="108" t="s">
        <v>91</v>
      </c>
      <c r="S2052" s="108" t="s">
        <v>315</v>
      </c>
      <c r="T2052" s="98">
        <v>1E-8</v>
      </c>
      <c r="U2052" s="80">
        <v>1E-8</v>
      </c>
      <c r="V2052" s="98">
        <v>1E-8</v>
      </c>
      <c r="W2052" s="98">
        <v>1E-8</v>
      </c>
      <c r="X2052" s="98">
        <v>1E-8</v>
      </c>
      <c r="Y2052" s="98">
        <v>1E-8</v>
      </c>
      <c r="Z2052" s="98">
        <v>1E-8</v>
      </c>
      <c r="AA2052" s="98">
        <v>1E-8</v>
      </c>
      <c r="AB2052" s="98">
        <v>1E-8</v>
      </c>
      <c r="AC2052" s="98">
        <v>1E-8</v>
      </c>
      <c r="AD2052" s="4"/>
    </row>
    <row r="2053" spans="1:30" x14ac:dyDescent="0.35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34"/>
      <c r="O2053" s="4"/>
      <c r="P2053" s="68"/>
      <c r="Q2053" s="68" t="s">
        <v>623</v>
      </c>
      <c r="R2053" s="108" t="s">
        <v>91</v>
      </c>
      <c r="S2053" s="108" t="s">
        <v>540</v>
      </c>
      <c r="T2053" s="98">
        <v>1E-8</v>
      </c>
      <c r="U2053" s="80">
        <v>1E-8</v>
      </c>
      <c r="V2053" s="98">
        <v>1E-8</v>
      </c>
      <c r="W2053" s="98">
        <v>1E-8</v>
      </c>
      <c r="X2053" s="98">
        <v>1E-8</v>
      </c>
      <c r="Y2053" s="98">
        <v>1E-8</v>
      </c>
      <c r="Z2053" s="98">
        <v>1E-8</v>
      </c>
      <c r="AA2053" s="98">
        <v>1E-8</v>
      </c>
      <c r="AB2053" s="98">
        <v>1E-8</v>
      </c>
      <c r="AC2053" s="98">
        <v>1E-8</v>
      </c>
      <c r="AD2053" s="4"/>
    </row>
    <row r="2054" spans="1:30" x14ac:dyDescent="0.35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34"/>
      <c r="O2054" s="4"/>
      <c r="P2054" s="68"/>
      <c r="Q2054" s="68" t="s">
        <v>624</v>
      </c>
      <c r="R2054" s="109" t="s">
        <v>91</v>
      </c>
      <c r="S2054" s="109" t="s">
        <v>541</v>
      </c>
      <c r="T2054" s="81">
        <v>1E-8</v>
      </c>
      <c r="U2054" s="82">
        <v>1E-8</v>
      </c>
      <c r="V2054" s="81">
        <v>1E-8</v>
      </c>
      <c r="W2054" s="81">
        <v>1E-8</v>
      </c>
      <c r="X2054" s="81">
        <v>1E-8</v>
      </c>
      <c r="Y2054" s="81">
        <v>1E-8</v>
      </c>
      <c r="Z2054" s="81">
        <v>1E-8</v>
      </c>
      <c r="AA2054" s="81">
        <v>1E-8</v>
      </c>
      <c r="AB2054" s="81">
        <v>1E-8</v>
      </c>
      <c r="AC2054" s="81">
        <v>1E-8</v>
      </c>
      <c r="AD2054" s="4"/>
    </row>
    <row r="2055" spans="1:30" x14ac:dyDescent="0.3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34"/>
      <c r="O2055" s="4"/>
      <c r="P2055" s="96"/>
      <c r="Q2055" s="96" t="s">
        <v>281</v>
      </c>
      <c r="R2055" s="107" t="s">
        <v>91</v>
      </c>
      <c r="S2055" s="107" t="s">
        <v>318</v>
      </c>
      <c r="T2055" s="97">
        <v>1E-8</v>
      </c>
      <c r="U2055" s="78">
        <v>1E-8</v>
      </c>
      <c r="V2055" s="97">
        <v>1E-8</v>
      </c>
      <c r="W2055" s="97">
        <v>1E-8</v>
      </c>
      <c r="X2055" s="97">
        <v>1E-8</v>
      </c>
      <c r="Y2055" s="97">
        <v>1E-8</v>
      </c>
      <c r="Z2055" s="97">
        <v>1E-8</v>
      </c>
      <c r="AA2055" s="97">
        <v>1E-8</v>
      </c>
      <c r="AB2055" s="97">
        <v>1E-8</v>
      </c>
      <c r="AC2055" s="97">
        <v>1E-8</v>
      </c>
      <c r="AD2055" s="4"/>
    </row>
    <row r="2056" spans="1:30" x14ac:dyDescent="0.35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34"/>
      <c r="O2056" s="4"/>
      <c r="P2056" s="96"/>
      <c r="Q2056" s="96" t="s">
        <v>135</v>
      </c>
      <c r="R2056" s="107" t="s">
        <v>91</v>
      </c>
      <c r="S2056" s="107" t="s">
        <v>542</v>
      </c>
      <c r="T2056" s="97">
        <v>1E-8</v>
      </c>
      <c r="U2056" s="78">
        <v>1E-8</v>
      </c>
      <c r="V2056" s="97">
        <v>1E-8</v>
      </c>
      <c r="W2056" s="97">
        <v>1E-8</v>
      </c>
      <c r="X2056" s="97">
        <v>1E-8</v>
      </c>
      <c r="Y2056" s="97">
        <v>1E-8</v>
      </c>
      <c r="Z2056" s="97">
        <v>1E-8</v>
      </c>
      <c r="AA2056" s="97">
        <v>1E-8</v>
      </c>
      <c r="AB2056" s="97">
        <v>1E-8</v>
      </c>
      <c r="AC2056" s="97">
        <v>1E-8</v>
      </c>
      <c r="AD2056" s="4"/>
    </row>
    <row r="2057" spans="1:30" x14ac:dyDescent="0.35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34"/>
      <c r="O2057" s="4"/>
      <c r="P2057" s="68"/>
      <c r="Q2057" s="68" t="s">
        <v>625</v>
      </c>
      <c r="R2057" s="108" t="s">
        <v>91</v>
      </c>
      <c r="S2057" s="108" t="s">
        <v>543</v>
      </c>
      <c r="T2057" s="98">
        <v>1E-8</v>
      </c>
      <c r="U2057" s="80">
        <v>1E-8</v>
      </c>
      <c r="V2057" s="98">
        <v>1E-8</v>
      </c>
      <c r="W2057" s="98">
        <v>1E-8</v>
      </c>
      <c r="X2057" s="98">
        <v>1E-8</v>
      </c>
      <c r="Y2057" s="98">
        <v>1E-8</v>
      </c>
      <c r="Z2057" s="98">
        <v>1E-8</v>
      </c>
      <c r="AA2057" s="98">
        <v>1E-8</v>
      </c>
      <c r="AB2057" s="98">
        <v>1E-8</v>
      </c>
      <c r="AC2057" s="98">
        <v>1E-8</v>
      </c>
      <c r="AD2057" s="4"/>
    </row>
    <row r="2058" spans="1:30" x14ac:dyDescent="0.35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34"/>
      <c r="O2058" s="4"/>
      <c r="P2058" s="68"/>
      <c r="Q2058" s="68" t="s">
        <v>626</v>
      </c>
      <c r="R2058" s="108" t="s">
        <v>91</v>
      </c>
      <c r="S2058" s="108" t="s">
        <v>544</v>
      </c>
      <c r="T2058" s="98">
        <v>1E-8</v>
      </c>
      <c r="U2058" s="80">
        <v>1E-8</v>
      </c>
      <c r="V2058" s="98">
        <v>1E-8</v>
      </c>
      <c r="W2058" s="98">
        <v>1E-8</v>
      </c>
      <c r="X2058" s="98">
        <v>1E-8</v>
      </c>
      <c r="Y2058" s="98">
        <v>1E-8</v>
      </c>
      <c r="Z2058" s="98">
        <v>1E-8</v>
      </c>
      <c r="AA2058" s="98">
        <v>1E-8</v>
      </c>
      <c r="AB2058" s="98">
        <v>1E-8</v>
      </c>
      <c r="AC2058" s="98">
        <v>1E-8</v>
      </c>
      <c r="AD2058" s="4"/>
    </row>
    <row r="2059" spans="1:30" x14ac:dyDescent="0.35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34"/>
      <c r="O2059" s="4"/>
      <c r="P2059" s="68"/>
      <c r="Q2059" s="68" t="s">
        <v>627</v>
      </c>
      <c r="R2059" s="108" t="s">
        <v>91</v>
      </c>
      <c r="S2059" s="108" t="s">
        <v>319</v>
      </c>
      <c r="T2059" s="98">
        <v>1E-8</v>
      </c>
      <c r="U2059" s="80">
        <v>1E-8</v>
      </c>
      <c r="V2059" s="98">
        <v>1E-8</v>
      </c>
      <c r="W2059" s="98">
        <v>1E-8</v>
      </c>
      <c r="X2059" s="98">
        <v>1E-8</v>
      </c>
      <c r="Y2059" s="98">
        <v>1E-8</v>
      </c>
      <c r="Z2059" s="98">
        <v>1E-8</v>
      </c>
      <c r="AA2059" s="98">
        <v>1E-8</v>
      </c>
      <c r="AB2059" s="98">
        <v>1E-8</v>
      </c>
      <c r="AC2059" s="98">
        <v>1E-8</v>
      </c>
      <c r="AD2059" s="4"/>
    </row>
    <row r="2060" spans="1:30" x14ac:dyDescent="0.35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34"/>
      <c r="O2060" s="4"/>
      <c r="P2060" s="71"/>
      <c r="Q2060" s="71" t="s">
        <v>628</v>
      </c>
      <c r="R2060" s="110" t="s">
        <v>91</v>
      </c>
      <c r="S2060" s="110" t="s">
        <v>320</v>
      </c>
      <c r="T2060" s="83">
        <v>1E-8</v>
      </c>
      <c r="U2060" s="84">
        <v>1E-8</v>
      </c>
      <c r="V2060" s="83">
        <v>1E-8</v>
      </c>
      <c r="W2060" s="83">
        <v>1E-8</v>
      </c>
      <c r="X2060" s="83">
        <v>1E-8</v>
      </c>
      <c r="Y2060" s="83">
        <v>1E-8</v>
      </c>
      <c r="Z2060" s="83">
        <v>1E-8</v>
      </c>
      <c r="AA2060" s="83">
        <v>1E-8</v>
      </c>
      <c r="AB2060" s="83">
        <v>1E-8</v>
      </c>
      <c r="AC2060" s="83">
        <v>1E-8</v>
      </c>
      <c r="AD2060" s="4"/>
    </row>
    <row r="2061" spans="1:30" x14ac:dyDescent="0.35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34"/>
      <c r="O2061" s="4"/>
      <c r="P2061" s="99"/>
      <c r="Q2061" s="99" t="s">
        <v>282</v>
      </c>
      <c r="R2061" s="105" t="s">
        <v>91</v>
      </c>
      <c r="S2061" s="105" t="s">
        <v>321</v>
      </c>
      <c r="T2061" s="95">
        <v>100</v>
      </c>
      <c r="U2061" s="74">
        <v>1E-8</v>
      </c>
      <c r="V2061" s="95">
        <v>1E-8</v>
      </c>
      <c r="W2061" s="95">
        <v>1E-8</v>
      </c>
      <c r="X2061" s="95">
        <v>1E-8</v>
      </c>
      <c r="Y2061" s="95">
        <v>1E-8</v>
      </c>
      <c r="Z2061" s="95">
        <v>1E-8</v>
      </c>
      <c r="AA2061" s="95">
        <v>1E-8</v>
      </c>
      <c r="AB2061" s="95">
        <v>1E-8</v>
      </c>
      <c r="AC2061" s="95">
        <v>1E-8</v>
      </c>
      <c r="AD2061" s="4"/>
    </row>
    <row r="2062" spans="1:30" x14ac:dyDescent="0.35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34"/>
      <c r="O2062" s="4"/>
      <c r="P2062" s="99"/>
      <c r="Q2062" s="99" t="s">
        <v>283</v>
      </c>
      <c r="R2062" s="105" t="s">
        <v>91</v>
      </c>
      <c r="S2062" s="105" t="s">
        <v>322</v>
      </c>
      <c r="T2062" s="95">
        <v>100</v>
      </c>
      <c r="U2062" s="74">
        <v>1E-8</v>
      </c>
      <c r="V2062" s="95">
        <v>1E-8</v>
      </c>
      <c r="W2062" s="95">
        <v>1E-8</v>
      </c>
      <c r="X2062" s="95">
        <v>1E-8</v>
      </c>
      <c r="Y2062" s="95">
        <v>1E-8</v>
      </c>
      <c r="Z2062" s="95">
        <v>1E-8</v>
      </c>
      <c r="AA2062" s="95">
        <v>1E-8</v>
      </c>
      <c r="AB2062" s="95">
        <v>1E-8</v>
      </c>
      <c r="AC2062" s="95">
        <v>1E-8</v>
      </c>
      <c r="AD2062" s="4"/>
    </row>
    <row r="2063" spans="1:30" x14ac:dyDescent="0.35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34"/>
      <c r="O2063" s="4"/>
      <c r="P2063" s="96"/>
      <c r="Q2063" s="96" t="s">
        <v>284</v>
      </c>
      <c r="R2063" s="107" t="s">
        <v>91</v>
      </c>
      <c r="S2063" s="107" t="s">
        <v>323</v>
      </c>
      <c r="T2063" s="97">
        <v>100</v>
      </c>
      <c r="U2063" s="78">
        <v>1E-8</v>
      </c>
      <c r="V2063" s="97">
        <v>1E-8</v>
      </c>
      <c r="W2063" s="97">
        <v>1E-8</v>
      </c>
      <c r="X2063" s="97">
        <v>1E-8</v>
      </c>
      <c r="Y2063" s="97">
        <v>1E-8</v>
      </c>
      <c r="Z2063" s="97">
        <v>1E-8</v>
      </c>
      <c r="AA2063" s="97">
        <v>1E-8</v>
      </c>
      <c r="AB2063" s="97">
        <v>1E-8</v>
      </c>
      <c r="AC2063" s="97">
        <v>1E-8</v>
      </c>
      <c r="AD2063" s="4"/>
    </row>
    <row r="2064" spans="1:30" x14ac:dyDescent="0.35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34"/>
      <c r="O2064" s="4"/>
      <c r="P2064" s="68"/>
      <c r="Q2064" s="68" t="s">
        <v>629</v>
      </c>
      <c r="R2064" s="108" t="s">
        <v>91</v>
      </c>
      <c r="S2064" s="108" t="s">
        <v>324</v>
      </c>
      <c r="T2064" s="98">
        <v>4.2011774740769822E-2</v>
      </c>
      <c r="U2064" s="80">
        <v>1E-8</v>
      </c>
      <c r="V2064" s="98">
        <v>1E-8</v>
      </c>
      <c r="W2064" s="98">
        <v>1E-8</v>
      </c>
      <c r="X2064" s="98">
        <v>1E-8</v>
      </c>
      <c r="Y2064" s="98">
        <v>1E-8</v>
      </c>
      <c r="Z2064" s="98">
        <v>1E-8</v>
      </c>
      <c r="AA2064" s="98">
        <v>1E-8</v>
      </c>
      <c r="AB2064" s="98">
        <v>1E-8</v>
      </c>
      <c r="AC2064" s="98">
        <v>1E-8</v>
      </c>
      <c r="AD2064" s="4"/>
    </row>
    <row r="2065" spans="1:30" x14ac:dyDescent="0.3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34"/>
      <c r="O2065" s="4"/>
      <c r="P2065" s="68"/>
      <c r="Q2065" s="68" t="s">
        <v>630</v>
      </c>
      <c r="R2065" s="108" t="s">
        <v>91</v>
      </c>
      <c r="S2065" s="108" t="s">
        <v>545</v>
      </c>
      <c r="T2065" s="98">
        <v>41.644862705960861</v>
      </c>
      <c r="U2065" s="80">
        <v>1E-8</v>
      </c>
      <c r="V2065" s="98">
        <v>1E-8</v>
      </c>
      <c r="W2065" s="98">
        <v>1E-8</v>
      </c>
      <c r="X2065" s="98">
        <v>1E-8</v>
      </c>
      <c r="Y2065" s="98">
        <v>1E-8</v>
      </c>
      <c r="Z2065" s="98">
        <v>1E-8</v>
      </c>
      <c r="AA2065" s="98">
        <v>1E-8</v>
      </c>
      <c r="AB2065" s="98">
        <v>1E-8</v>
      </c>
      <c r="AC2065" s="98">
        <v>1E-8</v>
      </c>
      <c r="AD2065" s="4"/>
    </row>
    <row r="2066" spans="1:30" x14ac:dyDescent="0.35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34"/>
      <c r="O2066" s="4"/>
      <c r="P2066" s="68"/>
      <c r="Q2066" s="68" t="s">
        <v>631</v>
      </c>
      <c r="R2066" s="109" t="s">
        <v>91</v>
      </c>
      <c r="S2066" s="109" t="s">
        <v>325</v>
      </c>
      <c r="T2066" s="81">
        <v>58.313125519298367</v>
      </c>
      <c r="U2066" s="82">
        <v>1E-8</v>
      </c>
      <c r="V2066" s="81">
        <v>1E-8</v>
      </c>
      <c r="W2066" s="81">
        <v>1E-8</v>
      </c>
      <c r="X2066" s="81">
        <v>1E-8</v>
      </c>
      <c r="Y2066" s="81">
        <v>1E-8</v>
      </c>
      <c r="Z2066" s="81">
        <v>1E-8</v>
      </c>
      <c r="AA2066" s="81">
        <v>1E-8</v>
      </c>
      <c r="AB2066" s="81">
        <v>1E-8</v>
      </c>
      <c r="AC2066" s="81">
        <v>1E-8</v>
      </c>
      <c r="AD2066" s="4"/>
    </row>
    <row r="2067" spans="1:30" x14ac:dyDescent="0.35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34"/>
      <c r="O2067" s="4"/>
      <c r="P2067" s="96"/>
      <c r="Q2067" s="96" t="s">
        <v>285</v>
      </c>
      <c r="R2067" s="107" t="s">
        <v>91</v>
      </c>
      <c r="S2067" s="107" t="s">
        <v>326</v>
      </c>
      <c r="T2067" s="97">
        <v>1E-8</v>
      </c>
      <c r="U2067" s="78">
        <v>1E-8</v>
      </c>
      <c r="V2067" s="97">
        <v>1E-8</v>
      </c>
      <c r="W2067" s="97">
        <v>1E-8</v>
      </c>
      <c r="X2067" s="97">
        <v>1E-8</v>
      </c>
      <c r="Y2067" s="97">
        <v>1E-8</v>
      </c>
      <c r="Z2067" s="97">
        <v>1E-8</v>
      </c>
      <c r="AA2067" s="97">
        <v>1E-8</v>
      </c>
      <c r="AB2067" s="97">
        <v>1E-8</v>
      </c>
      <c r="AC2067" s="97">
        <v>1E-8</v>
      </c>
      <c r="AD2067" s="4"/>
    </row>
    <row r="2068" spans="1:30" x14ac:dyDescent="0.35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34"/>
      <c r="O2068" s="4"/>
      <c r="P2068" s="68"/>
      <c r="Q2068" s="68" t="s">
        <v>364</v>
      </c>
      <c r="R2068" s="108" t="s">
        <v>91</v>
      </c>
      <c r="S2068" s="108" t="s">
        <v>327</v>
      </c>
      <c r="T2068" s="98">
        <v>1E-8</v>
      </c>
      <c r="U2068" s="80">
        <v>1E-8</v>
      </c>
      <c r="V2068" s="98">
        <v>1E-8</v>
      </c>
      <c r="W2068" s="98">
        <v>1E-8</v>
      </c>
      <c r="X2068" s="98">
        <v>1E-8</v>
      </c>
      <c r="Y2068" s="98">
        <v>1E-8</v>
      </c>
      <c r="Z2068" s="98">
        <v>1E-8</v>
      </c>
      <c r="AA2068" s="98">
        <v>1E-8</v>
      </c>
      <c r="AB2068" s="98">
        <v>1E-8</v>
      </c>
      <c r="AC2068" s="98">
        <v>1E-8</v>
      </c>
      <c r="AD2068" s="4"/>
    </row>
    <row r="2069" spans="1:30" x14ac:dyDescent="0.35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34"/>
      <c r="O2069" s="4"/>
      <c r="P2069" s="100"/>
      <c r="Q2069" s="100" t="s">
        <v>632</v>
      </c>
      <c r="R2069" s="111" t="s">
        <v>91</v>
      </c>
      <c r="S2069" s="111" t="s">
        <v>328</v>
      </c>
      <c r="T2069" s="101">
        <v>1E-8</v>
      </c>
      <c r="U2069" s="86">
        <v>1E-8</v>
      </c>
      <c r="V2069" s="101">
        <v>1E-8</v>
      </c>
      <c r="W2069" s="101">
        <v>1E-8</v>
      </c>
      <c r="X2069" s="101">
        <v>1E-8</v>
      </c>
      <c r="Y2069" s="101">
        <v>1E-8</v>
      </c>
      <c r="Z2069" s="101">
        <v>1E-8</v>
      </c>
      <c r="AA2069" s="101">
        <v>1E-8</v>
      </c>
      <c r="AB2069" s="101">
        <v>1E-8</v>
      </c>
      <c r="AC2069" s="101">
        <v>1E-8</v>
      </c>
      <c r="AD2069" s="4"/>
    </row>
    <row r="2070" spans="1:30" x14ac:dyDescent="0.35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34"/>
      <c r="O2070" s="4"/>
      <c r="P2070" s="100"/>
      <c r="Q2070" s="100" t="s">
        <v>633</v>
      </c>
      <c r="R2070" s="111" t="s">
        <v>91</v>
      </c>
      <c r="S2070" s="111" t="s">
        <v>329</v>
      </c>
      <c r="T2070" s="101">
        <v>1E-8</v>
      </c>
      <c r="U2070" s="86">
        <v>1E-8</v>
      </c>
      <c r="V2070" s="101">
        <v>1E-8</v>
      </c>
      <c r="W2070" s="101">
        <v>1E-8</v>
      </c>
      <c r="X2070" s="101">
        <v>1E-8</v>
      </c>
      <c r="Y2070" s="101">
        <v>1E-8</v>
      </c>
      <c r="Z2070" s="101">
        <v>1E-8</v>
      </c>
      <c r="AA2070" s="101">
        <v>1E-8</v>
      </c>
      <c r="AB2070" s="101">
        <v>1E-8</v>
      </c>
      <c r="AC2070" s="101">
        <v>1E-8</v>
      </c>
      <c r="AD2070" s="4"/>
    </row>
    <row r="2071" spans="1:30" x14ac:dyDescent="0.35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34"/>
      <c r="O2071" s="4"/>
      <c r="P2071" s="100"/>
      <c r="Q2071" s="100" t="s">
        <v>634</v>
      </c>
      <c r="R2071" s="111" t="s">
        <v>91</v>
      </c>
      <c r="S2071" s="111" t="s">
        <v>331</v>
      </c>
      <c r="T2071" s="101">
        <v>1E-8</v>
      </c>
      <c r="U2071" s="86">
        <v>1E-8</v>
      </c>
      <c r="V2071" s="101">
        <v>1E-8</v>
      </c>
      <c r="W2071" s="101">
        <v>1E-8</v>
      </c>
      <c r="X2071" s="101">
        <v>1E-8</v>
      </c>
      <c r="Y2071" s="101">
        <v>1E-8</v>
      </c>
      <c r="Z2071" s="101">
        <v>1E-8</v>
      </c>
      <c r="AA2071" s="101">
        <v>1E-8</v>
      </c>
      <c r="AB2071" s="101">
        <v>1E-8</v>
      </c>
      <c r="AC2071" s="101">
        <v>1E-8</v>
      </c>
      <c r="AD2071" s="4"/>
    </row>
    <row r="2072" spans="1:30" x14ac:dyDescent="0.35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34"/>
      <c r="O2072" s="4"/>
      <c r="P2072" s="100"/>
      <c r="Q2072" s="100" t="s">
        <v>635</v>
      </c>
      <c r="R2072" s="111" t="s">
        <v>91</v>
      </c>
      <c r="S2072" s="111" t="s">
        <v>332</v>
      </c>
      <c r="T2072" s="101">
        <v>1E-8</v>
      </c>
      <c r="U2072" s="86">
        <v>1E-8</v>
      </c>
      <c r="V2072" s="101">
        <v>1E-8</v>
      </c>
      <c r="W2072" s="101">
        <v>1E-8</v>
      </c>
      <c r="X2072" s="101">
        <v>1E-8</v>
      </c>
      <c r="Y2072" s="101">
        <v>1E-8</v>
      </c>
      <c r="Z2072" s="101">
        <v>1E-8</v>
      </c>
      <c r="AA2072" s="101">
        <v>1E-8</v>
      </c>
      <c r="AB2072" s="101">
        <v>1E-8</v>
      </c>
      <c r="AC2072" s="101">
        <v>1E-8</v>
      </c>
      <c r="AD2072" s="4"/>
    </row>
    <row r="2073" spans="1:30" x14ac:dyDescent="0.35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34"/>
      <c r="O2073" s="4"/>
      <c r="P2073" s="100"/>
      <c r="Q2073" s="100" t="s">
        <v>636</v>
      </c>
      <c r="R2073" s="111" t="s">
        <v>91</v>
      </c>
      <c r="S2073" s="111" t="s">
        <v>330</v>
      </c>
      <c r="T2073" s="101">
        <v>1E-8</v>
      </c>
      <c r="U2073" s="86">
        <v>1E-8</v>
      </c>
      <c r="V2073" s="101">
        <v>1E-8</v>
      </c>
      <c r="W2073" s="101">
        <v>1E-8</v>
      </c>
      <c r="X2073" s="101">
        <v>1E-8</v>
      </c>
      <c r="Y2073" s="101">
        <v>1E-8</v>
      </c>
      <c r="Z2073" s="101">
        <v>1E-8</v>
      </c>
      <c r="AA2073" s="101">
        <v>1E-8</v>
      </c>
      <c r="AB2073" s="101">
        <v>1E-8</v>
      </c>
      <c r="AC2073" s="101">
        <v>1E-8</v>
      </c>
      <c r="AD2073" s="4"/>
    </row>
    <row r="2074" spans="1:30" x14ac:dyDescent="0.35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34"/>
      <c r="O2074" s="4"/>
      <c r="P2074" s="100"/>
      <c r="Q2074" s="100" t="s">
        <v>637</v>
      </c>
      <c r="R2074" s="111" t="s">
        <v>91</v>
      </c>
      <c r="S2074" s="111" t="s">
        <v>333</v>
      </c>
      <c r="T2074" s="101">
        <v>1E-8</v>
      </c>
      <c r="U2074" s="86">
        <v>1E-8</v>
      </c>
      <c r="V2074" s="101">
        <v>1E-8</v>
      </c>
      <c r="W2074" s="101">
        <v>1E-8</v>
      </c>
      <c r="X2074" s="101">
        <v>1E-8</v>
      </c>
      <c r="Y2074" s="101">
        <v>1E-8</v>
      </c>
      <c r="Z2074" s="101">
        <v>1E-8</v>
      </c>
      <c r="AA2074" s="101">
        <v>1E-8</v>
      </c>
      <c r="AB2074" s="101">
        <v>1E-8</v>
      </c>
      <c r="AC2074" s="101">
        <v>1E-8</v>
      </c>
      <c r="AD2074" s="4"/>
    </row>
    <row r="2075" spans="1:30" x14ac:dyDescent="0.3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34"/>
      <c r="O2075" s="4"/>
      <c r="P2075" s="100"/>
      <c r="Q2075" s="100" t="s">
        <v>638</v>
      </c>
      <c r="R2075" s="111" t="s">
        <v>91</v>
      </c>
      <c r="S2075" s="111" t="s">
        <v>546</v>
      </c>
      <c r="T2075" s="101">
        <v>1E-8</v>
      </c>
      <c r="U2075" s="86">
        <v>1E-8</v>
      </c>
      <c r="V2075" s="101">
        <v>1E-8</v>
      </c>
      <c r="W2075" s="101">
        <v>1E-8</v>
      </c>
      <c r="X2075" s="101">
        <v>1E-8</v>
      </c>
      <c r="Y2075" s="101">
        <v>1E-8</v>
      </c>
      <c r="Z2075" s="101">
        <v>1E-8</v>
      </c>
      <c r="AA2075" s="101">
        <v>1E-8</v>
      </c>
      <c r="AB2075" s="101">
        <v>1E-8</v>
      </c>
      <c r="AC2075" s="101">
        <v>1E-8</v>
      </c>
      <c r="AD2075" s="4"/>
    </row>
    <row r="2076" spans="1:30" x14ac:dyDescent="0.35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34"/>
      <c r="O2076" s="4"/>
      <c r="P2076" s="100"/>
      <c r="Q2076" s="100" t="s">
        <v>639</v>
      </c>
      <c r="R2076" s="111" t="s">
        <v>91</v>
      </c>
      <c r="S2076" s="111" t="s">
        <v>335</v>
      </c>
      <c r="T2076" s="101">
        <v>1E-8</v>
      </c>
      <c r="U2076" s="86">
        <v>1E-8</v>
      </c>
      <c r="V2076" s="101">
        <v>1E-8</v>
      </c>
      <c r="W2076" s="101">
        <v>1E-8</v>
      </c>
      <c r="X2076" s="101">
        <v>1E-8</v>
      </c>
      <c r="Y2076" s="101">
        <v>1E-8</v>
      </c>
      <c r="Z2076" s="101">
        <v>1E-8</v>
      </c>
      <c r="AA2076" s="101">
        <v>1E-8</v>
      </c>
      <c r="AB2076" s="101">
        <v>1E-8</v>
      </c>
      <c r="AC2076" s="101">
        <v>1E-8</v>
      </c>
      <c r="AD2076" s="4"/>
    </row>
    <row r="2077" spans="1:30" x14ac:dyDescent="0.35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34"/>
      <c r="O2077" s="4"/>
      <c r="P2077" s="100"/>
      <c r="Q2077" s="100" t="s">
        <v>640</v>
      </c>
      <c r="R2077" s="111" t="s">
        <v>91</v>
      </c>
      <c r="S2077" s="111" t="s">
        <v>334</v>
      </c>
      <c r="T2077" s="101">
        <v>1E-8</v>
      </c>
      <c r="U2077" s="86">
        <v>1E-8</v>
      </c>
      <c r="V2077" s="101">
        <v>1E-8</v>
      </c>
      <c r="W2077" s="101">
        <v>1E-8</v>
      </c>
      <c r="X2077" s="101">
        <v>1E-8</v>
      </c>
      <c r="Y2077" s="101">
        <v>1E-8</v>
      </c>
      <c r="Z2077" s="101">
        <v>1E-8</v>
      </c>
      <c r="AA2077" s="101">
        <v>1E-8</v>
      </c>
      <c r="AB2077" s="101">
        <v>1E-8</v>
      </c>
      <c r="AC2077" s="101">
        <v>1E-8</v>
      </c>
      <c r="AD2077" s="4"/>
    </row>
    <row r="2078" spans="1:30" x14ac:dyDescent="0.35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34"/>
      <c r="O2078" s="4"/>
      <c r="P2078" s="68"/>
      <c r="Q2078" s="68" t="s">
        <v>365</v>
      </c>
      <c r="R2078" s="108" t="s">
        <v>91</v>
      </c>
      <c r="S2078" s="108" t="s">
        <v>374</v>
      </c>
      <c r="T2078" s="98">
        <v>1E-8</v>
      </c>
      <c r="U2078" s="80">
        <v>1E-8</v>
      </c>
      <c r="V2078" s="98">
        <v>1E-8</v>
      </c>
      <c r="W2078" s="98">
        <v>1E-8</v>
      </c>
      <c r="X2078" s="98">
        <v>1E-8</v>
      </c>
      <c r="Y2078" s="98">
        <v>1E-8</v>
      </c>
      <c r="Z2078" s="98">
        <v>1E-8</v>
      </c>
      <c r="AA2078" s="98">
        <v>1E-8</v>
      </c>
      <c r="AB2078" s="98">
        <v>1E-8</v>
      </c>
      <c r="AC2078" s="98">
        <v>1E-8</v>
      </c>
      <c r="AD2078" s="4"/>
    </row>
    <row r="2079" spans="1:30" x14ac:dyDescent="0.35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34"/>
      <c r="O2079" s="4"/>
      <c r="P2079" s="100"/>
      <c r="Q2079" s="100" t="s">
        <v>641</v>
      </c>
      <c r="R2079" s="111" t="s">
        <v>91</v>
      </c>
      <c r="S2079" s="111" t="s">
        <v>547</v>
      </c>
      <c r="T2079" s="101">
        <v>1E-8</v>
      </c>
      <c r="U2079" s="86">
        <v>1E-8</v>
      </c>
      <c r="V2079" s="101">
        <v>1E-8</v>
      </c>
      <c r="W2079" s="101">
        <v>1E-8</v>
      </c>
      <c r="X2079" s="101">
        <v>1E-8</v>
      </c>
      <c r="Y2079" s="101">
        <v>1E-8</v>
      </c>
      <c r="Z2079" s="101">
        <v>1E-8</v>
      </c>
      <c r="AA2079" s="101">
        <v>1E-8</v>
      </c>
      <c r="AB2079" s="101">
        <v>1E-8</v>
      </c>
      <c r="AC2079" s="101">
        <v>1E-8</v>
      </c>
      <c r="AD2079" s="4"/>
    </row>
    <row r="2080" spans="1:30" x14ac:dyDescent="0.35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34"/>
      <c r="O2080" s="4"/>
      <c r="P2080" s="100"/>
      <c r="Q2080" s="100" t="s">
        <v>642</v>
      </c>
      <c r="R2080" s="111" t="s">
        <v>91</v>
      </c>
      <c r="S2080" s="111" t="s">
        <v>336</v>
      </c>
      <c r="T2080" s="101">
        <v>1E-8</v>
      </c>
      <c r="U2080" s="86">
        <v>1E-8</v>
      </c>
      <c r="V2080" s="101">
        <v>1E-8</v>
      </c>
      <c r="W2080" s="101">
        <v>1E-8</v>
      </c>
      <c r="X2080" s="101">
        <v>1E-8</v>
      </c>
      <c r="Y2080" s="101">
        <v>1E-8</v>
      </c>
      <c r="Z2080" s="101">
        <v>1E-8</v>
      </c>
      <c r="AA2080" s="101">
        <v>1E-8</v>
      </c>
      <c r="AB2080" s="101">
        <v>1E-8</v>
      </c>
      <c r="AC2080" s="101">
        <v>1E-8</v>
      </c>
      <c r="AD2080" s="4"/>
    </row>
    <row r="2081" spans="1:30" x14ac:dyDescent="0.35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34"/>
      <c r="O2081" s="4"/>
      <c r="P2081" s="100"/>
      <c r="Q2081" s="100" t="s">
        <v>643</v>
      </c>
      <c r="R2081" s="112" t="s">
        <v>91</v>
      </c>
      <c r="S2081" s="112" t="s">
        <v>337</v>
      </c>
      <c r="T2081" s="87">
        <v>1E-8</v>
      </c>
      <c r="U2081" s="88">
        <v>1E-8</v>
      </c>
      <c r="V2081" s="87">
        <v>1E-8</v>
      </c>
      <c r="W2081" s="87">
        <v>1E-8</v>
      </c>
      <c r="X2081" s="87">
        <v>1E-8</v>
      </c>
      <c r="Y2081" s="87">
        <v>1E-8</v>
      </c>
      <c r="Z2081" s="87">
        <v>1E-8</v>
      </c>
      <c r="AA2081" s="87">
        <v>1E-8</v>
      </c>
      <c r="AB2081" s="87">
        <v>1E-8</v>
      </c>
      <c r="AC2081" s="87">
        <v>1E-8</v>
      </c>
      <c r="AD2081" s="4"/>
    </row>
    <row r="2082" spans="1:30" x14ac:dyDescent="0.35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34"/>
      <c r="O2082" s="4"/>
      <c r="P2082" s="68"/>
      <c r="Q2082" s="68" t="s">
        <v>644</v>
      </c>
      <c r="R2082" s="108" t="s">
        <v>91</v>
      </c>
      <c r="S2082" s="108" t="s">
        <v>338</v>
      </c>
      <c r="T2082" s="98">
        <v>1E-8</v>
      </c>
      <c r="U2082" s="80">
        <v>1E-8</v>
      </c>
      <c r="V2082" s="98">
        <v>1E-8</v>
      </c>
      <c r="W2082" s="98">
        <v>1E-8</v>
      </c>
      <c r="X2082" s="98">
        <v>1E-8</v>
      </c>
      <c r="Y2082" s="98">
        <v>1E-8</v>
      </c>
      <c r="Z2082" s="98">
        <v>1E-8</v>
      </c>
      <c r="AA2082" s="98">
        <v>1E-8</v>
      </c>
      <c r="AB2082" s="98">
        <v>1E-8</v>
      </c>
      <c r="AC2082" s="98">
        <v>1E-8</v>
      </c>
      <c r="AD2082" s="4"/>
    </row>
    <row r="2083" spans="1:30" x14ac:dyDescent="0.35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34"/>
      <c r="O2083" s="4"/>
      <c r="P2083" s="68"/>
      <c r="Q2083" s="68" t="s">
        <v>366</v>
      </c>
      <c r="R2083" s="108" t="s">
        <v>91</v>
      </c>
      <c r="S2083" s="108" t="s">
        <v>339</v>
      </c>
      <c r="T2083" s="98">
        <v>1E-8</v>
      </c>
      <c r="U2083" s="80">
        <v>1E-8</v>
      </c>
      <c r="V2083" s="98">
        <v>1E-8</v>
      </c>
      <c r="W2083" s="98">
        <v>1E-8</v>
      </c>
      <c r="X2083" s="98">
        <v>1E-8</v>
      </c>
      <c r="Y2083" s="98">
        <v>1E-8</v>
      </c>
      <c r="Z2083" s="98">
        <v>1E-8</v>
      </c>
      <c r="AA2083" s="98">
        <v>1E-8</v>
      </c>
      <c r="AB2083" s="98">
        <v>1E-8</v>
      </c>
      <c r="AC2083" s="98">
        <v>1E-8</v>
      </c>
      <c r="AD2083" s="4"/>
    </row>
    <row r="2084" spans="1:30" x14ac:dyDescent="0.35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34"/>
      <c r="O2084" s="4"/>
      <c r="P2084" s="100"/>
      <c r="Q2084" s="100" t="s">
        <v>645</v>
      </c>
      <c r="R2084" s="111" t="s">
        <v>91</v>
      </c>
      <c r="S2084" s="111" t="s">
        <v>340</v>
      </c>
      <c r="T2084" s="101">
        <v>1E-8</v>
      </c>
      <c r="U2084" s="86">
        <v>1E-8</v>
      </c>
      <c r="V2084" s="101">
        <v>1E-8</v>
      </c>
      <c r="W2084" s="101">
        <v>1E-8</v>
      </c>
      <c r="X2084" s="101">
        <v>1E-8</v>
      </c>
      <c r="Y2084" s="101">
        <v>1E-8</v>
      </c>
      <c r="Z2084" s="101">
        <v>1E-8</v>
      </c>
      <c r="AA2084" s="101">
        <v>1E-8</v>
      </c>
      <c r="AB2084" s="101">
        <v>1E-8</v>
      </c>
      <c r="AC2084" s="101">
        <v>1E-8</v>
      </c>
      <c r="AD2084" s="4"/>
    </row>
    <row r="2085" spans="1:30" x14ac:dyDescent="0.3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34"/>
      <c r="O2085" s="4"/>
      <c r="P2085" s="100"/>
      <c r="Q2085" s="100" t="s">
        <v>646</v>
      </c>
      <c r="R2085" s="111" t="s">
        <v>91</v>
      </c>
      <c r="S2085" s="111" t="s">
        <v>548</v>
      </c>
      <c r="T2085" s="101">
        <v>1E-8</v>
      </c>
      <c r="U2085" s="86">
        <v>1E-8</v>
      </c>
      <c r="V2085" s="101">
        <v>1E-8</v>
      </c>
      <c r="W2085" s="101">
        <v>1E-8</v>
      </c>
      <c r="X2085" s="101">
        <v>1E-8</v>
      </c>
      <c r="Y2085" s="101">
        <v>1E-8</v>
      </c>
      <c r="Z2085" s="101">
        <v>1E-8</v>
      </c>
      <c r="AA2085" s="101">
        <v>1E-8</v>
      </c>
      <c r="AB2085" s="101">
        <v>1E-8</v>
      </c>
      <c r="AC2085" s="101">
        <v>1E-8</v>
      </c>
      <c r="AD2085" s="4"/>
    </row>
    <row r="2086" spans="1:30" x14ac:dyDescent="0.35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34"/>
      <c r="O2086" s="4"/>
      <c r="P2086" s="68"/>
      <c r="Q2086" s="68" t="s">
        <v>367</v>
      </c>
      <c r="R2086" s="108" t="s">
        <v>91</v>
      </c>
      <c r="S2086" s="108" t="s">
        <v>341</v>
      </c>
      <c r="T2086" s="98">
        <v>1E-8</v>
      </c>
      <c r="U2086" s="80">
        <v>1E-8</v>
      </c>
      <c r="V2086" s="98">
        <v>1E-8</v>
      </c>
      <c r="W2086" s="98">
        <v>1E-8</v>
      </c>
      <c r="X2086" s="98">
        <v>1E-8</v>
      </c>
      <c r="Y2086" s="98">
        <v>1E-8</v>
      </c>
      <c r="Z2086" s="98">
        <v>1E-8</v>
      </c>
      <c r="AA2086" s="98">
        <v>1E-8</v>
      </c>
      <c r="AB2086" s="98">
        <v>1E-8</v>
      </c>
      <c r="AC2086" s="98">
        <v>1E-8</v>
      </c>
      <c r="AD2086" s="4"/>
    </row>
    <row r="2087" spans="1:30" x14ac:dyDescent="0.35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34"/>
      <c r="O2087" s="4"/>
      <c r="P2087" s="100"/>
      <c r="Q2087" s="100" t="s">
        <v>647</v>
      </c>
      <c r="R2087" s="111" t="s">
        <v>91</v>
      </c>
      <c r="S2087" s="111" t="s">
        <v>342</v>
      </c>
      <c r="T2087" s="101">
        <v>1E-8</v>
      </c>
      <c r="U2087" s="86">
        <v>1E-8</v>
      </c>
      <c r="V2087" s="101">
        <v>1E-8</v>
      </c>
      <c r="W2087" s="101">
        <v>1E-8</v>
      </c>
      <c r="X2087" s="101">
        <v>1E-8</v>
      </c>
      <c r="Y2087" s="101">
        <v>1E-8</v>
      </c>
      <c r="Z2087" s="101">
        <v>1E-8</v>
      </c>
      <c r="AA2087" s="101">
        <v>1E-8</v>
      </c>
      <c r="AB2087" s="101">
        <v>1E-8</v>
      </c>
      <c r="AC2087" s="101">
        <v>1E-8</v>
      </c>
      <c r="AD2087" s="4"/>
    </row>
    <row r="2088" spans="1:30" x14ac:dyDescent="0.35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34"/>
      <c r="O2088" s="4"/>
      <c r="P2088" s="100"/>
      <c r="Q2088" s="100" t="s">
        <v>648</v>
      </c>
      <c r="R2088" s="111" t="s">
        <v>91</v>
      </c>
      <c r="S2088" s="111" t="s">
        <v>343</v>
      </c>
      <c r="T2088" s="101">
        <v>1E-8</v>
      </c>
      <c r="U2088" s="86">
        <v>1E-8</v>
      </c>
      <c r="V2088" s="101">
        <v>1E-8</v>
      </c>
      <c r="W2088" s="101">
        <v>1E-8</v>
      </c>
      <c r="X2088" s="101">
        <v>1E-8</v>
      </c>
      <c r="Y2088" s="101">
        <v>1E-8</v>
      </c>
      <c r="Z2088" s="101">
        <v>1E-8</v>
      </c>
      <c r="AA2088" s="101">
        <v>1E-8</v>
      </c>
      <c r="AB2088" s="101">
        <v>1E-8</v>
      </c>
      <c r="AC2088" s="101">
        <v>1E-8</v>
      </c>
      <c r="AD2088" s="4"/>
    </row>
    <row r="2089" spans="1:30" x14ac:dyDescent="0.35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34"/>
      <c r="O2089" s="4"/>
      <c r="P2089" s="100"/>
      <c r="Q2089" s="100" t="s">
        <v>649</v>
      </c>
      <c r="R2089" s="111" t="s">
        <v>91</v>
      </c>
      <c r="S2089" s="111" t="s">
        <v>549</v>
      </c>
      <c r="T2089" s="101">
        <v>1E-8</v>
      </c>
      <c r="U2089" s="86">
        <v>1E-8</v>
      </c>
      <c r="V2089" s="101">
        <v>1E-8</v>
      </c>
      <c r="W2089" s="101">
        <v>1E-8</v>
      </c>
      <c r="X2089" s="101">
        <v>1E-8</v>
      </c>
      <c r="Y2089" s="101">
        <v>1E-8</v>
      </c>
      <c r="Z2089" s="101">
        <v>1E-8</v>
      </c>
      <c r="AA2089" s="101">
        <v>1E-8</v>
      </c>
      <c r="AB2089" s="101">
        <v>1E-8</v>
      </c>
      <c r="AC2089" s="101">
        <v>1E-8</v>
      </c>
      <c r="AD2089" s="4"/>
    </row>
    <row r="2090" spans="1:30" x14ac:dyDescent="0.35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34"/>
      <c r="O2090" s="4"/>
      <c r="P2090" s="100"/>
      <c r="Q2090" s="100" t="s">
        <v>650</v>
      </c>
      <c r="R2090" s="111" t="s">
        <v>91</v>
      </c>
      <c r="S2090" s="111" t="s">
        <v>550</v>
      </c>
      <c r="T2090" s="101">
        <v>1E-8</v>
      </c>
      <c r="U2090" s="86">
        <v>1E-8</v>
      </c>
      <c r="V2090" s="101">
        <v>1E-8</v>
      </c>
      <c r="W2090" s="101">
        <v>1E-8</v>
      </c>
      <c r="X2090" s="101">
        <v>1E-8</v>
      </c>
      <c r="Y2090" s="101">
        <v>1E-8</v>
      </c>
      <c r="Z2090" s="101">
        <v>1E-8</v>
      </c>
      <c r="AA2090" s="101">
        <v>1E-8</v>
      </c>
      <c r="AB2090" s="101">
        <v>1E-8</v>
      </c>
      <c r="AC2090" s="101">
        <v>1E-8</v>
      </c>
      <c r="AD2090" s="4"/>
    </row>
    <row r="2091" spans="1:30" x14ac:dyDescent="0.35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34"/>
      <c r="O2091" s="4"/>
      <c r="P2091" s="68"/>
      <c r="Q2091" s="68" t="s">
        <v>172</v>
      </c>
      <c r="R2091" s="108" t="s">
        <v>91</v>
      </c>
      <c r="S2091" s="108" t="s">
        <v>551</v>
      </c>
      <c r="T2091" s="98">
        <v>1E-8</v>
      </c>
      <c r="U2091" s="80">
        <v>1E-8</v>
      </c>
      <c r="V2091" s="98">
        <v>1E-8</v>
      </c>
      <c r="W2091" s="98">
        <v>1E-8</v>
      </c>
      <c r="X2091" s="98">
        <v>1E-8</v>
      </c>
      <c r="Y2091" s="98">
        <v>1E-8</v>
      </c>
      <c r="Z2091" s="98">
        <v>1E-8</v>
      </c>
      <c r="AA2091" s="98">
        <v>1E-8</v>
      </c>
      <c r="AB2091" s="98">
        <v>1E-8</v>
      </c>
      <c r="AC2091" s="98">
        <v>1E-8</v>
      </c>
      <c r="AD2091" s="4"/>
    </row>
    <row r="2092" spans="1:30" x14ac:dyDescent="0.35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34"/>
      <c r="O2092" s="4"/>
      <c r="P2092" s="100"/>
      <c r="Q2092" s="100" t="s">
        <v>651</v>
      </c>
      <c r="R2092" s="111" t="s">
        <v>91</v>
      </c>
      <c r="S2092" s="111" t="s">
        <v>344</v>
      </c>
      <c r="T2092" s="101">
        <v>1E-8</v>
      </c>
      <c r="U2092" s="86">
        <v>1E-8</v>
      </c>
      <c r="V2092" s="101">
        <v>1E-8</v>
      </c>
      <c r="W2092" s="101">
        <v>1E-8</v>
      </c>
      <c r="X2092" s="101">
        <v>1E-8</v>
      </c>
      <c r="Y2092" s="101">
        <v>1E-8</v>
      </c>
      <c r="Z2092" s="101">
        <v>1E-8</v>
      </c>
      <c r="AA2092" s="101">
        <v>1E-8</v>
      </c>
      <c r="AB2092" s="101">
        <v>1E-8</v>
      </c>
      <c r="AC2092" s="101">
        <v>1E-8</v>
      </c>
      <c r="AD2092" s="4"/>
    </row>
    <row r="2093" spans="1:30" x14ac:dyDescent="0.35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34"/>
      <c r="O2093" s="4"/>
      <c r="P2093" s="100"/>
      <c r="Q2093" s="100" t="s">
        <v>652</v>
      </c>
      <c r="R2093" s="111" t="s">
        <v>91</v>
      </c>
      <c r="S2093" s="111" t="s">
        <v>552</v>
      </c>
      <c r="T2093" s="101">
        <v>1E-8</v>
      </c>
      <c r="U2093" s="86">
        <v>1E-8</v>
      </c>
      <c r="V2093" s="101">
        <v>1E-8</v>
      </c>
      <c r="W2093" s="101">
        <v>1E-8</v>
      </c>
      <c r="X2093" s="101">
        <v>1E-8</v>
      </c>
      <c r="Y2093" s="101">
        <v>1E-8</v>
      </c>
      <c r="Z2093" s="101">
        <v>1E-8</v>
      </c>
      <c r="AA2093" s="101">
        <v>1E-8</v>
      </c>
      <c r="AB2093" s="101">
        <v>1E-8</v>
      </c>
      <c r="AC2093" s="101">
        <v>1E-8</v>
      </c>
      <c r="AD2093" s="4"/>
    </row>
    <row r="2094" spans="1:30" x14ac:dyDescent="0.35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34"/>
      <c r="O2094" s="4"/>
      <c r="P2094" s="100"/>
      <c r="Q2094" s="100" t="s">
        <v>653</v>
      </c>
      <c r="R2094" s="111" t="s">
        <v>91</v>
      </c>
      <c r="S2094" s="111" t="s">
        <v>553</v>
      </c>
      <c r="T2094" s="101">
        <v>1E-8</v>
      </c>
      <c r="U2094" s="86">
        <v>1E-8</v>
      </c>
      <c r="V2094" s="101">
        <v>1E-8</v>
      </c>
      <c r="W2094" s="101">
        <v>1E-8</v>
      </c>
      <c r="X2094" s="101">
        <v>1E-8</v>
      </c>
      <c r="Y2094" s="101">
        <v>1E-8</v>
      </c>
      <c r="Z2094" s="101">
        <v>1E-8</v>
      </c>
      <c r="AA2094" s="101">
        <v>1E-8</v>
      </c>
      <c r="AB2094" s="101">
        <v>1E-8</v>
      </c>
      <c r="AC2094" s="101">
        <v>1E-8</v>
      </c>
      <c r="AD2094" s="4"/>
    </row>
    <row r="2095" spans="1:30" x14ac:dyDescent="0.3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34"/>
      <c r="O2095" s="4"/>
      <c r="P2095" s="68"/>
      <c r="Q2095" s="68" t="s">
        <v>368</v>
      </c>
      <c r="R2095" s="108" t="s">
        <v>91</v>
      </c>
      <c r="S2095" s="108" t="s">
        <v>345</v>
      </c>
      <c r="T2095" s="98">
        <v>1E-8</v>
      </c>
      <c r="U2095" s="80">
        <v>1E-8</v>
      </c>
      <c r="V2095" s="98">
        <v>1E-8</v>
      </c>
      <c r="W2095" s="98">
        <v>1E-8</v>
      </c>
      <c r="X2095" s="98">
        <v>1E-8</v>
      </c>
      <c r="Y2095" s="98">
        <v>1E-8</v>
      </c>
      <c r="Z2095" s="98">
        <v>1E-8</v>
      </c>
      <c r="AA2095" s="98">
        <v>1E-8</v>
      </c>
      <c r="AB2095" s="98">
        <v>1E-8</v>
      </c>
      <c r="AC2095" s="98">
        <v>1E-8</v>
      </c>
      <c r="AD2095" s="4"/>
    </row>
    <row r="2096" spans="1:30" x14ac:dyDescent="0.35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34"/>
      <c r="O2096" s="4"/>
      <c r="P2096" s="100"/>
      <c r="Q2096" s="100" t="s">
        <v>654</v>
      </c>
      <c r="R2096" s="111" t="s">
        <v>91</v>
      </c>
      <c r="S2096" s="111" t="s">
        <v>346</v>
      </c>
      <c r="T2096" s="101">
        <v>1E-8</v>
      </c>
      <c r="U2096" s="86">
        <v>1E-8</v>
      </c>
      <c r="V2096" s="101">
        <v>1E-8</v>
      </c>
      <c r="W2096" s="101">
        <v>1E-8</v>
      </c>
      <c r="X2096" s="101">
        <v>1E-8</v>
      </c>
      <c r="Y2096" s="101">
        <v>1E-8</v>
      </c>
      <c r="Z2096" s="101">
        <v>1E-8</v>
      </c>
      <c r="AA2096" s="101">
        <v>1E-8</v>
      </c>
      <c r="AB2096" s="101">
        <v>1E-8</v>
      </c>
      <c r="AC2096" s="101">
        <v>1E-8</v>
      </c>
      <c r="AD2096" s="4"/>
    </row>
    <row r="2097" spans="1:30" x14ac:dyDescent="0.35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34"/>
      <c r="O2097" s="4"/>
      <c r="P2097" s="100"/>
      <c r="Q2097" s="100" t="s">
        <v>655</v>
      </c>
      <c r="R2097" s="111" t="s">
        <v>91</v>
      </c>
      <c r="S2097" s="111" t="s">
        <v>347</v>
      </c>
      <c r="T2097" s="101">
        <v>1E-8</v>
      </c>
      <c r="U2097" s="86">
        <v>1E-8</v>
      </c>
      <c r="V2097" s="101">
        <v>1E-8</v>
      </c>
      <c r="W2097" s="101">
        <v>1E-8</v>
      </c>
      <c r="X2097" s="101">
        <v>1E-8</v>
      </c>
      <c r="Y2097" s="101">
        <v>1E-8</v>
      </c>
      <c r="Z2097" s="101">
        <v>1E-8</v>
      </c>
      <c r="AA2097" s="101">
        <v>1E-8</v>
      </c>
      <c r="AB2097" s="101">
        <v>1E-8</v>
      </c>
      <c r="AC2097" s="101">
        <v>1E-8</v>
      </c>
      <c r="AD2097" s="4"/>
    </row>
    <row r="2098" spans="1:30" x14ac:dyDescent="0.35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34"/>
      <c r="O2098" s="4"/>
      <c r="P2098" s="100"/>
      <c r="Q2098" s="100" t="s">
        <v>656</v>
      </c>
      <c r="R2098" s="111" t="s">
        <v>91</v>
      </c>
      <c r="S2098" s="111" t="s">
        <v>348</v>
      </c>
      <c r="T2098" s="101">
        <v>1E-8</v>
      </c>
      <c r="U2098" s="86">
        <v>1E-8</v>
      </c>
      <c r="V2098" s="101">
        <v>1E-8</v>
      </c>
      <c r="W2098" s="101">
        <v>1E-8</v>
      </c>
      <c r="X2098" s="101">
        <v>1E-8</v>
      </c>
      <c r="Y2098" s="101">
        <v>1E-8</v>
      </c>
      <c r="Z2098" s="101">
        <v>1E-8</v>
      </c>
      <c r="AA2098" s="101">
        <v>1E-8</v>
      </c>
      <c r="AB2098" s="101">
        <v>1E-8</v>
      </c>
      <c r="AC2098" s="101">
        <v>1E-8</v>
      </c>
      <c r="AD2098" s="4"/>
    </row>
    <row r="2099" spans="1:30" x14ac:dyDescent="0.35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34"/>
      <c r="O2099" s="4"/>
      <c r="P2099" s="68"/>
      <c r="Q2099" s="68" t="s">
        <v>181</v>
      </c>
      <c r="R2099" s="108" t="s">
        <v>91</v>
      </c>
      <c r="S2099" s="108" t="s">
        <v>554</v>
      </c>
      <c r="T2099" s="98">
        <v>1E-8</v>
      </c>
      <c r="U2099" s="80">
        <v>1E-8</v>
      </c>
      <c r="V2099" s="98">
        <v>1E-8</v>
      </c>
      <c r="W2099" s="98">
        <v>1E-8</v>
      </c>
      <c r="X2099" s="98">
        <v>1E-8</v>
      </c>
      <c r="Y2099" s="98">
        <v>1E-8</v>
      </c>
      <c r="Z2099" s="98">
        <v>1E-8</v>
      </c>
      <c r="AA2099" s="98">
        <v>1E-8</v>
      </c>
      <c r="AB2099" s="98">
        <v>1E-8</v>
      </c>
      <c r="AC2099" s="98">
        <v>1E-8</v>
      </c>
      <c r="AD2099" s="4"/>
    </row>
    <row r="2100" spans="1:30" x14ac:dyDescent="0.35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34"/>
      <c r="O2100" s="4"/>
      <c r="P2100" s="100"/>
      <c r="Q2100" s="100" t="s">
        <v>657</v>
      </c>
      <c r="R2100" s="111" t="s">
        <v>91</v>
      </c>
      <c r="S2100" s="111" t="s">
        <v>555</v>
      </c>
      <c r="T2100" s="101">
        <v>1E-8</v>
      </c>
      <c r="U2100" s="86">
        <v>1E-8</v>
      </c>
      <c r="V2100" s="101">
        <v>1E-8</v>
      </c>
      <c r="W2100" s="101">
        <v>1E-8</v>
      </c>
      <c r="X2100" s="101">
        <v>1E-8</v>
      </c>
      <c r="Y2100" s="101">
        <v>1E-8</v>
      </c>
      <c r="Z2100" s="101">
        <v>1E-8</v>
      </c>
      <c r="AA2100" s="101">
        <v>1E-8</v>
      </c>
      <c r="AB2100" s="101">
        <v>1E-8</v>
      </c>
      <c r="AC2100" s="101">
        <v>1E-8</v>
      </c>
      <c r="AD2100" s="4"/>
    </row>
    <row r="2101" spans="1:30" x14ac:dyDescent="0.35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34"/>
      <c r="O2101" s="4"/>
      <c r="P2101" s="100"/>
      <c r="Q2101" s="100" t="s">
        <v>658</v>
      </c>
      <c r="R2101" s="111" t="s">
        <v>91</v>
      </c>
      <c r="S2101" s="111" t="s">
        <v>349</v>
      </c>
      <c r="T2101" s="101">
        <v>1E-8</v>
      </c>
      <c r="U2101" s="86">
        <v>1E-8</v>
      </c>
      <c r="V2101" s="101">
        <v>1E-8</v>
      </c>
      <c r="W2101" s="101">
        <v>1E-8</v>
      </c>
      <c r="X2101" s="101">
        <v>1E-8</v>
      </c>
      <c r="Y2101" s="101">
        <v>1E-8</v>
      </c>
      <c r="Z2101" s="101">
        <v>1E-8</v>
      </c>
      <c r="AA2101" s="101">
        <v>1E-8</v>
      </c>
      <c r="AB2101" s="101">
        <v>1E-8</v>
      </c>
      <c r="AC2101" s="101">
        <v>1E-8</v>
      </c>
      <c r="AD2101" s="4"/>
    </row>
    <row r="2102" spans="1:30" x14ac:dyDescent="0.35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34"/>
      <c r="O2102" s="4"/>
      <c r="P2102" s="100"/>
      <c r="Q2102" s="100" t="s">
        <v>659</v>
      </c>
      <c r="R2102" s="112" t="s">
        <v>91</v>
      </c>
      <c r="S2102" s="112" t="s">
        <v>556</v>
      </c>
      <c r="T2102" s="87">
        <v>1E-8</v>
      </c>
      <c r="U2102" s="88">
        <v>1E-8</v>
      </c>
      <c r="V2102" s="87">
        <v>1E-8</v>
      </c>
      <c r="W2102" s="87">
        <v>1E-8</v>
      </c>
      <c r="X2102" s="87">
        <v>1E-8</v>
      </c>
      <c r="Y2102" s="87">
        <v>1E-8</v>
      </c>
      <c r="Z2102" s="87">
        <v>1E-8</v>
      </c>
      <c r="AA2102" s="87">
        <v>1E-8</v>
      </c>
      <c r="AB2102" s="87">
        <v>1E-8</v>
      </c>
      <c r="AC2102" s="87">
        <v>1E-8</v>
      </c>
      <c r="AD2102" s="4"/>
    </row>
    <row r="2103" spans="1:30" x14ac:dyDescent="0.35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34"/>
      <c r="O2103" s="4"/>
      <c r="P2103" s="96"/>
      <c r="Q2103" s="96" t="s">
        <v>286</v>
      </c>
      <c r="R2103" s="107" t="s">
        <v>91</v>
      </c>
      <c r="S2103" s="107" t="s">
        <v>350</v>
      </c>
      <c r="T2103" s="97">
        <v>1E-8</v>
      </c>
      <c r="U2103" s="78">
        <v>1E-8</v>
      </c>
      <c r="V2103" s="97">
        <v>1E-8</v>
      </c>
      <c r="W2103" s="97">
        <v>1E-8</v>
      </c>
      <c r="X2103" s="97">
        <v>1E-8</v>
      </c>
      <c r="Y2103" s="97">
        <v>1E-8</v>
      </c>
      <c r="Z2103" s="97">
        <v>1E-8</v>
      </c>
      <c r="AA2103" s="97">
        <v>1E-8</v>
      </c>
      <c r="AB2103" s="97">
        <v>1E-8</v>
      </c>
      <c r="AC2103" s="97">
        <v>1E-8</v>
      </c>
      <c r="AD2103" s="4"/>
    </row>
    <row r="2104" spans="1:30" x14ac:dyDescent="0.35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34"/>
      <c r="O2104" s="4"/>
      <c r="P2104" s="96"/>
      <c r="Q2104" s="96" t="s">
        <v>369</v>
      </c>
      <c r="R2104" s="107" t="s">
        <v>91</v>
      </c>
      <c r="S2104" s="107" t="s">
        <v>557</v>
      </c>
      <c r="T2104" s="97">
        <v>1E-8</v>
      </c>
      <c r="U2104" s="78">
        <v>1E-8</v>
      </c>
      <c r="V2104" s="97">
        <v>1E-8</v>
      </c>
      <c r="W2104" s="97">
        <v>1E-8</v>
      </c>
      <c r="X2104" s="97">
        <v>1E-8</v>
      </c>
      <c r="Y2104" s="97">
        <v>1E-8</v>
      </c>
      <c r="Z2104" s="97">
        <v>1E-8</v>
      </c>
      <c r="AA2104" s="97">
        <v>1E-8</v>
      </c>
      <c r="AB2104" s="97">
        <v>1E-8</v>
      </c>
      <c r="AC2104" s="97">
        <v>1E-8</v>
      </c>
      <c r="AD2104" s="4"/>
    </row>
    <row r="2105" spans="1:30" x14ac:dyDescent="0.3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34"/>
      <c r="O2105" s="4"/>
      <c r="P2105" s="68"/>
      <c r="Q2105" s="68" t="s">
        <v>660</v>
      </c>
      <c r="R2105" s="108" t="s">
        <v>91</v>
      </c>
      <c r="S2105" s="108" t="s">
        <v>351</v>
      </c>
      <c r="T2105" s="98">
        <v>1E-8</v>
      </c>
      <c r="U2105" s="80">
        <v>1E-8</v>
      </c>
      <c r="V2105" s="98">
        <v>1E-8</v>
      </c>
      <c r="W2105" s="98">
        <v>1E-8</v>
      </c>
      <c r="X2105" s="98">
        <v>1E-8</v>
      </c>
      <c r="Y2105" s="98">
        <v>1E-8</v>
      </c>
      <c r="Z2105" s="98">
        <v>1E-8</v>
      </c>
      <c r="AA2105" s="98">
        <v>1E-8</v>
      </c>
      <c r="AB2105" s="98">
        <v>1E-8</v>
      </c>
      <c r="AC2105" s="98">
        <v>1E-8</v>
      </c>
      <c r="AD2105" s="4"/>
    </row>
    <row r="2106" spans="1:30" x14ac:dyDescent="0.35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34"/>
      <c r="O2106" s="4"/>
      <c r="P2106" s="68"/>
      <c r="Q2106" s="68" t="s">
        <v>661</v>
      </c>
      <c r="R2106" s="108" t="s">
        <v>91</v>
      </c>
      <c r="S2106" s="108" t="s">
        <v>352</v>
      </c>
      <c r="T2106" s="98">
        <v>1E-8</v>
      </c>
      <c r="U2106" s="80">
        <v>1E-8</v>
      </c>
      <c r="V2106" s="98">
        <v>1E-8</v>
      </c>
      <c r="W2106" s="98">
        <v>1E-8</v>
      </c>
      <c r="X2106" s="98">
        <v>1E-8</v>
      </c>
      <c r="Y2106" s="98">
        <v>1E-8</v>
      </c>
      <c r="Z2106" s="98">
        <v>1E-8</v>
      </c>
      <c r="AA2106" s="98">
        <v>1E-8</v>
      </c>
      <c r="AB2106" s="98">
        <v>1E-8</v>
      </c>
      <c r="AC2106" s="98">
        <v>1E-8</v>
      </c>
      <c r="AD2106" s="4"/>
    </row>
    <row r="2107" spans="1:30" x14ac:dyDescent="0.35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34"/>
      <c r="O2107" s="4"/>
      <c r="P2107" s="68"/>
      <c r="Q2107" s="68" t="s">
        <v>662</v>
      </c>
      <c r="R2107" s="108" t="s">
        <v>91</v>
      </c>
      <c r="S2107" s="108" t="s">
        <v>558</v>
      </c>
      <c r="T2107" s="98">
        <v>1E-8</v>
      </c>
      <c r="U2107" s="80">
        <v>1E-8</v>
      </c>
      <c r="V2107" s="98">
        <v>1E-8</v>
      </c>
      <c r="W2107" s="98">
        <v>1E-8</v>
      </c>
      <c r="X2107" s="98">
        <v>1E-8</v>
      </c>
      <c r="Y2107" s="98">
        <v>1E-8</v>
      </c>
      <c r="Z2107" s="98">
        <v>1E-8</v>
      </c>
      <c r="AA2107" s="98">
        <v>1E-8</v>
      </c>
      <c r="AB2107" s="98">
        <v>1E-8</v>
      </c>
      <c r="AC2107" s="98">
        <v>1E-8</v>
      </c>
      <c r="AD2107" s="4"/>
    </row>
    <row r="2108" spans="1:30" x14ac:dyDescent="0.35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34"/>
      <c r="O2108" s="4"/>
      <c r="P2108" s="96"/>
      <c r="Q2108" s="96" t="s">
        <v>188</v>
      </c>
      <c r="R2108" s="107" t="s">
        <v>91</v>
      </c>
      <c r="S2108" s="107" t="s">
        <v>559</v>
      </c>
      <c r="T2108" s="97">
        <v>1E-8</v>
      </c>
      <c r="U2108" s="78">
        <v>1E-8</v>
      </c>
      <c r="V2108" s="97">
        <v>1E-8</v>
      </c>
      <c r="W2108" s="97">
        <v>1E-8</v>
      </c>
      <c r="X2108" s="97">
        <v>1E-8</v>
      </c>
      <c r="Y2108" s="97">
        <v>1E-8</v>
      </c>
      <c r="Z2108" s="97">
        <v>1E-8</v>
      </c>
      <c r="AA2108" s="97">
        <v>1E-8</v>
      </c>
      <c r="AB2108" s="97">
        <v>1E-8</v>
      </c>
      <c r="AC2108" s="97">
        <v>1E-8</v>
      </c>
      <c r="AD2108" s="4"/>
    </row>
    <row r="2109" spans="1:30" x14ac:dyDescent="0.35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34"/>
      <c r="O2109" s="4"/>
      <c r="P2109" s="68"/>
      <c r="Q2109" s="68" t="s">
        <v>663</v>
      </c>
      <c r="R2109" s="108" t="s">
        <v>91</v>
      </c>
      <c r="S2109" s="108" t="s">
        <v>353</v>
      </c>
      <c r="T2109" s="98">
        <v>1E-8</v>
      </c>
      <c r="U2109" s="80">
        <v>1E-8</v>
      </c>
      <c r="V2109" s="98">
        <v>1E-8</v>
      </c>
      <c r="W2109" s="98">
        <v>1E-8</v>
      </c>
      <c r="X2109" s="98">
        <v>1E-8</v>
      </c>
      <c r="Y2109" s="98">
        <v>1E-8</v>
      </c>
      <c r="Z2109" s="98">
        <v>1E-8</v>
      </c>
      <c r="AA2109" s="98">
        <v>1E-8</v>
      </c>
      <c r="AB2109" s="98">
        <v>1E-8</v>
      </c>
      <c r="AC2109" s="98">
        <v>1E-8</v>
      </c>
      <c r="AD2109" s="4"/>
    </row>
    <row r="2110" spans="1:30" x14ac:dyDescent="0.35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34"/>
      <c r="O2110" s="4"/>
      <c r="P2110" s="72"/>
      <c r="Q2110" s="72" t="s">
        <v>664</v>
      </c>
      <c r="R2110" s="109" t="s">
        <v>91</v>
      </c>
      <c r="S2110" s="109" t="s">
        <v>560</v>
      </c>
      <c r="T2110" s="81">
        <v>1E-8</v>
      </c>
      <c r="U2110" s="82">
        <v>1E-8</v>
      </c>
      <c r="V2110" s="81">
        <v>1E-8</v>
      </c>
      <c r="W2110" s="81">
        <v>1E-8</v>
      </c>
      <c r="X2110" s="81">
        <v>1E-8</v>
      </c>
      <c r="Y2110" s="81">
        <v>1E-8</v>
      </c>
      <c r="Z2110" s="81">
        <v>1E-8</v>
      </c>
      <c r="AA2110" s="81">
        <v>1E-8</v>
      </c>
      <c r="AB2110" s="81">
        <v>1E-8</v>
      </c>
      <c r="AC2110" s="81">
        <v>1E-8</v>
      </c>
      <c r="AD2110" s="4"/>
    </row>
    <row r="2111" spans="1:30" x14ac:dyDescent="0.35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34"/>
      <c r="O2111" s="4"/>
      <c r="P2111" s="47"/>
      <c r="Q2111" s="47" t="s">
        <v>287</v>
      </c>
      <c r="R2111" s="105" t="s">
        <v>91</v>
      </c>
      <c r="S2111" s="105" t="s">
        <v>354</v>
      </c>
      <c r="T2111" s="95">
        <v>1E-8</v>
      </c>
      <c r="U2111" s="74">
        <v>1E-8</v>
      </c>
      <c r="V2111" s="95">
        <v>1E-8</v>
      </c>
      <c r="W2111" s="95">
        <v>1E-8</v>
      </c>
      <c r="X2111" s="95">
        <v>1E-8</v>
      </c>
      <c r="Y2111" s="95">
        <v>1E-8</v>
      </c>
      <c r="Z2111" s="95">
        <v>1E-8</v>
      </c>
      <c r="AA2111" s="95">
        <v>1E-8</v>
      </c>
      <c r="AB2111" s="95">
        <v>1E-8</v>
      </c>
      <c r="AC2111" s="95">
        <v>1E-8</v>
      </c>
      <c r="AD2111" s="4"/>
    </row>
    <row r="2112" spans="1:30" x14ac:dyDescent="0.35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34"/>
      <c r="O2112" s="4"/>
      <c r="P2112" s="96"/>
      <c r="Q2112" s="96" t="s">
        <v>370</v>
      </c>
      <c r="R2112" s="107" t="s">
        <v>91</v>
      </c>
      <c r="S2112" s="107" t="s">
        <v>561</v>
      </c>
      <c r="T2112" s="97">
        <v>1E-8</v>
      </c>
      <c r="U2112" s="78">
        <v>1E-8</v>
      </c>
      <c r="V2112" s="97">
        <v>1E-8</v>
      </c>
      <c r="W2112" s="97">
        <v>1E-8</v>
      </c>
      <c r="X2112" s="97">
        <v>1E-8</v>
      </c>
      <c r="Y2112" s="97">
        <v>1E-8</v>
      </c>
      <c r="Z2112" s="97">
        <v>1E-8</v>
      </c>
      <c r="AA2112" s="97">
        <v>1E-8</v>
      </c>
      <c r="AB2112" s="97">
        <v>1E-8</v>
      </c>
      <c r="AC2112" s="97">
        <v>1E-8</v>
      </c>
      <c r="AD2112" s="4"/>
    </row>
    <row r="2113" spans="1:30" x14ac:dyDescent="0.35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34"/>
      <c r="O2113" s="4"/>
      <c r="P2113" s="68"/>
      <c r="Q2113" s="68" t="s">
        <v>665</v>
      </c>
      <c r="R2113" s="108" t="s">
        <v>91</v>
      </c>
      <c r="S2113" s="108" t="s">
        <v>562</v>
      </c>
      <c r="T2113" s="98">
        <v>1E-8</v>
      </c>
      <c r="U2113" s="80">
        <v>1E-8</v>
      </c>
      <c r="V2113" s="98">
        <v>1E-8</v>
      </c>
      <c r="W2113" s="98">
        <v>1E-8</v>
      </c>
      <c r="X2113" s="98">
        <v>1E-8</v>
      </c>
      <c r="Y2113" s="98">
        <v>1E-8</v>
      </c>
      <c r="Z2113" s="98">
        <v>1E-8</v>
      </c>
      <c r="AA2113" s="98">
        <v>1E-8</v>
      </c>
      <c r="AB2113" s="98">
        <v>1E-8</v>
      </c>
      <c r="AC2113" s="98">
        <v>1E-8</v>
      </c>
      <c r="AD2113" s="4"/>
    </row>
    <row r="2114" spans="1:30" x14ac:dyDescent="0.35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34"/>
      <c r="O2114" s="4"/>
      <c r="P2114" s="68"/>
      <c r="Q2114" s="68" t="s">
        <v>666</v>
      </c>
      <c r="R2114" s="108" t="s">
        <v>91</v>
      </c>
      <c r="S2114" s="108" t="s">
        <v>563</v>
      </c>
      <c r="T2114" s="98">
        <v>1E-8</v>
      </c>
      <c r="U2114" s="80">
        <v>1E-8</v>
      </c>
      <c r="V2114" s="98">
        <v>1E-8</v>
      </c>
      <c r="W2114" s="98">
        <v>1E-8</v>
      </c>
      <c r="X2114" s="98">
        <v>1E-8</v>
      </c>
      <c r="Y2114" s="98">
        <v>1E-8</v>
      </c>
      <c r="Z2114" s="98">
        <v>1E-8</v>
      </c>
      <c r="AA2114" s="98">
        <v>1E-8</v>
      </c>
      <c r="AB2114" s="98">
        <v>1E-8</v>
      </c>
      <c r="AC2114" s="98">
        <v>1E-8</v>
      </c>
      <c r="AD2114" s="4"/>
    </row>
    <row r="2115" spans="1:30" x14ac:dyDescent="0.3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34"/>
      <c r="O2115" s="4"/>
      <c r="P2115" s="68"/>
      <c r="Q2115" s="68" t="s">
        <v>667</v>
      </c>
      <c r="R2115" s="108" t="s">
        <v>91</v>
      </c>
      <c r="S2115" s="108" t="s">
        <v>564</v>
      </c>
      <c r="T2115" s="98">
        <v>1E-8</v>
      </c>
      <c r="U2115" s="80">
        <v>1E-8</v>
      </c>
      <c r="V2115" s="98">
        <v>1E-8</v>
      </c>
      <c r="W2115" s="98">
        <v>1E-8</v>
      </c>
      <c r="X2115" s="98">
        <v>1E-8</v>
      </c>
      <c r="Y2115" s="98">
        <v>1E-8</v>
      </c>
      <c r="Z2115" s="98">
        <v>1E-8</v>
      </c>
      <c r="AA2115" s="98">
        <v>1E-8</v>
      </c>
      <c r="AB2115" s="98">
        <v>1E-8</v>
      </c>
      <c r="AC2115" s="98">
        <v>1E-8</v>
      </c>
      <c r="AD2115" s="4"/>
    </row>
    <row r="2116" spans="1:30" x14ac:dyDescent="0.35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34"/>
      <c r="O2116" s="4"/>
      <c r="P2116" s="68"/>
      <c r="Q2116" s="68" t="s">
        <v>668</v>
      </c>
      <c r="R2116" s="108" t="s">
        <v>91</v>
      </c>
      <c r="S2116" s="108" t="s">
        <v>565</v>
      </c>
      <c r="T2116" s="98">
        <v>1E-8</v>
      </c>
      <c r="U2116" s="80">
        <v>1E-8</v>
      </c>
      <c r="V2116" s="98">
        <v>1E-8</v>
      </c>
      <c r="W2116" s="98">
        <v>1E-8</v>
      </c>
      <c r="X2116" s="98">
        <v>1E-8</v>
      </c>
      <c r="Y2116" s="98">
        <v>1E-8</v>
      </c>
      <c r="Z2116" s="98">
        <v>1E-8</v>
      </c>
      <c r="AA2116" s="98">
        <v>1E-8</v>
      </c>
      <c r="AB2116" s="98">
        <v>1E-8</v>
      </c>
      <c r="AC2116" s="98">
        <v>1E-8</v>
      </c>
      <c r="AD2116" s="4"/>
    </row>
    <row r="2117" spans="1:30" x14ac:dyDescent="0.35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34"/>
      <c r="O2117" s="4"/>
      <c r="P2117" s="96"/>
      <c r="Q2117" s="96" t="s">
        <v>371</v>
      </c>
      <c r="R2117" s="107" t="s">
        <v>91</v>
      </c>
      <c r="S2117" s="107" t="s">
        <v>566</v>
      </c>
      <c r="T2117" s="97">
        <v>1E-8</v>
      </c>
      <c r="U2117" s="78">
        <v>1E-8</v>
      </c>
      <c r="V2117" s="97">
        <v>1E-8</v>
      </c>
      <c r="W2117" s="97">
        <v>1E-8</v>
      </c>
      <c r="X2117" s="97">
        <v>1E-8</v>
      </c>
      <c r="Y2117" s="97">
        <v>1E-8</v>
      </c>
      <c r="Z2117" s="97">
        <v>1E-8</v>
      </c>
      <c r="AA2117" s="97">
        <v>1E-8</v>
      </c>
      <c r="AB2117" s="97">
        <v>1E-8</v>
      </c>
      <c r="AC2117" s="97">
        <v>1E-8</v>
      </c>
      <c r="AD2117" s="4"/>
    </row>
    <row r="2118" spans="1:30" x14ac:dyDescent="0.35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34"/>
      <c r="O2118" s="4"/>
      <c r="P2118" s="68"/>
      <c r="Q2118" s="68" t="s">
        <v>669</v>
      </c>
      <c r="R2118" s="108" t="s">
        <v>91</v>
      </c>
      <c r="S2118" s="108" t="s">
        <v>567</v>
      </c>
      <c r="T2118" s="98">
        <v>1E-8</v>
      </c>
      <c r="U2118" s="80">
        <v>1E-8</v>
      </c>
      <c r="V2118" s="98">
        <v>1E-8</v>
      </c>
      <c r="W2118" s="98">
        <v>1E-8</v>
      </c>
      <c r="X2118" s="98">
        <v>1E-8</v>
      </c>
      <c r="Y2118" s="98">
        <v>1E-8</v>
      </c>
      <c r="Z2118" s="98">
        <v>1E-8</v>
      </c>
      <c r="AA2118" s="98">
        <v>1E-8</v>
      </c>
      <c r="AB2118" s="98">
        <v>1E-8</v>
      </c>
      <c r="AC2118" s="98">
        <v>1E-8</v>
      </c>
      <c r="AD2118" s="4"/>
    </row>
    <row r="2119" spans="1:30" x14ac:dyDescent="0.35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34"/>
      <c r="O2119" s="4"/>
      <c r="P2119" s="68"/>
      <c r="Q2119" s="68" t="s">
        <v>670</v>
      </c>
      <c r="R2119" s="108" t="s">
        <v>91</v>
      </c>
      <c r="S2119" s="108" t="s">
        <v>568</v>
      </c>
      <c r="T2119" s="98">
        <v>1E-8</v>
      </c>
      <c r="U2119" s="80">
        <v>1E-8</v>
      </c>
      <c r="V2119" s="98">
        <v>1E-8</v>
      </c>
      <c r="W2119" s="98">
        <v>1E-8</v>
      </c>
      <c r="X2119" s="98">
        <v>1E-8</v>
      </c>
      <c r="Y2119" s="98">
        <v>1E-8</v>
      </c>
      <c r="Z2119" s="98">
        <v>1E-8</v>
      </c>
      <c r="AA2119" s="98">
        <v>1E-8</v>
      </c>
      <c r="AB2119" s="98">
        <v>1E-8</v>
      </c>
      <c r="AC2119" s="98">
        <v>1E-8</v>
      </c>
      <c r="AD2119" s="4"/>
    </row>
    <row r="2120" spans="1:30" x14ac:dyDescent="0.35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34"/>
      <c r="O2120" s="4"/>
      <c r="P2120" s="68"/>
      <c r="Q2120" s="68" t="s">
        <v>671</v>
      </c>
      <c r="R2120" s="108" t="s">
        <v>91</v>
      </c>
      <c r="S2120" s="108" t="s">
        <v>569</v>
      </c>
      <c r="T2120" s="98">
        <v>1E-8</v>
      </c>
      <c r="U2120" s="80">
        <v>1E-8</v>
      </c>
      <c r="V2120" s="98">
        <v>1E-8</v>
      </c>
      <c r="W2120" s="98">
        <v>1E-8</v>
      </c>
      <c r="X2120" s="98">
        <v>1E-8</v>
      </c>
      <c r="Y2120" s="98">
        <v>1E-8</v>
      </c>
      <c r="Z2120" s="98">
        <v>1E-8</v>
      </c>
      <c r="AA2120" s="98">
        <v>1E-8</v>
      </c>
      <c r="AB2120" s="98">
        <v>1E-8</v>
      </c>
      <c r="AC2120" s="98">
        <v>1E-8</v>
      </c>
      <c r="AD2120" s="4"/>
    </row>
    <row r="2121" spans="1:30" x14ac:dyDescent="0.35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34"/>
      <c r="O2121" s="4"/>
      <c r="P2121" s="68"/>
      <c r="Q2121" s="68" t="s">
        <v>672</v>
      </c>
      <c r="R2121" s="108" t="s">
        <v>91</v>
      </c>
      <c r="S2121" s="108" t="s">
        <v>570</v>
      </c>
      <c r="T2121" s="98">
        <v>1E-8</v>
      </c>
      <c r="U2121" s="80">
        <v>1E-8</v>
      </c>
      <c r="V2121" s="98">
        <v>1E-8</v>
      </c>
      <c r="W2121" s="98">
        <v>1E-8</v>
      </c>
      <c r="X2121" s="98">
        <v>1E-8</v>
      </c>
      <c r="Y2121" s="98">
        <v>1E-8</v>
      </c>
      <c r="Z2121" s="98">
        <v>1E-8</v>
      </c>
      <c r="AA2121" s="98">
        <v>1E-8</v>
      </c>
      <c r="AB2121" s="98">
        <v>1E-8</v>
      </c>
      <c r="AC2121" s="98">
        <v>1E-8</v>
      </c>
      <c r="AD2121" s="4"/>
    </row>
    <row r="2122" spans="1:30" x14ac:dyDescent="0.35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34"/>
      <c r="O2122" s="4"/>
      <c r="P2122" s="96"/>
      <c r="Q2122" s="96" t="s">
        <v>673</v>
      </c>
      <c r="R2122" s="107" t="s">
        <v>91</v>
      </c>
      <c r="S2122" s="107" t="s">
        <v>355</v>
      </c>
      <c r="T2122" s="97">
        <v>1E-8</v>
      </c>
      <c r="U2122" s="78">
        <v>1E-8</v>
      </c>
      <c r="V2122" s="97">
        <v>1E-8</v>
      </c>
      <c r="W2122" s="97">
        <v>1E-8</v>
      </c>
      <c r="X2122" s="97">
        <v>1E-8</v>
      </c>
      <c r="Y2122" s="97">
        <v>1E-8</v>
      </c>
      <c r="Z2122" s="97">
        <v>1E-8</v>
      </c>
      <c r="AA2122" s="97">
        <v>1E-8</v>
      </c>
      <c r="AB2122" s="97">
        <v>1E-8</v>
      </c>
      <c r="AC2122" s="97">
        <v>1E-8</v>
      </c>
      <c r="AD2122" s="4"/>
    </row>
    <row r="2123" spans="1:30" x14ac:dyDescent="0.35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34"/>
      <c r="O2123" s="4"/>
      <c r="P2123" s="96"/>
      <c r="Q2123" s="96" t="s">
        <v>372</v>
      </c>
      <c r="R2123" s="107" t="s">
        <v>91</v>
      </c>
      <c r="S2123" s="107" t="s">
        <v>571</v>
      </c>
      <c r="T2123" s="97">
        <v>1E-8</v>
      </c>
      <c r="U2123" s="78">
        <v>1E-8</v>
      </c>
      <c r="V2123" s="97">
        <v>1E-8</v>
      </c>
      <c r="W2123" s="97">
        <v>1E-8</v>
      </c>
      <c r="X2123" s="97">
        <v>1E-8</v>
      </c>
      <c r="Y2123" s="97">
        <v>1E-8</v>
      </c>
      <c r="Z2123" s="97">
        <v>1E-8</v>
      </c>
      <c r="AA2123" s="97">
        <v>1E-8</v>
      </c>
      <c r="AB2123" s="97">
        <v>1E-8</v>
      </c>
      <c r="AC2123" s="97">
        <v>1E-8</v>
      </c>
      <c r="AD2123" s="4"/>
    </row>
    <row r="2124" spans="1:30" x14ac:dyDescent="0.35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34"/>
      <c r="O2124" s="4"/>
      <c r="P2124" s="68"/>
      <c r="Q2124" s="68" t="s">
        <v>674</v>
      </c>
      <c r="R2124" s="108" t="s">
        <v>91</v>
      </c>
      <c r="S2124" s="108" t="s">
        <v>572</v>
      </c>
      <c r="T2124" s="98">
        <v>1E-8</v>
      </c>
      <c r="U2124" s="80">
        <v>1E-8</v>
      </c>
      <c r="V2124" s="98">
        <v>1E-8</v>
      </c>
      <c r="W2124" s="98">
        <v>1E-8</v>
      </c>
      <c r="X2124" s="98">
        <v>1E-8</v>
      </c>
      <c r="Y2124" s="98">
        <v>1E-8</v>
      </c>
      <c r="Z2124" s="98">
        <v>1E-8</v>
      </c>
      <c r="AA2124" s="98">
        <v>1E-8</v>
      </c>
      <c r="AB2124" s="98">
        <v>1E-8</v>
      </c>
      <c r="AC2124" s="98">
        <v>1E-8</v>
      </c>
      <c r="AD2124" s="4"/>
    </row>
    <row r="2125" spans="1:30" x14ac:dyDescent="0.3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34"/>
      <c r="O2125" s="4"/>
      <c r="P2125" s="68"/>
      <c r="Q2125" s="68" t="s">
        <v>675</v>
      </c>
      <c r="R2125" s="108" t="s">
        <v>91</v>
      </c>
      <c r="S2125" s="108" t="s">
        <v>356</v>
      </c>
      <c r="T2125" s="98">
        <v>1E-8</v>
      </c>
      <c r="U2125" s="80">
        <v>1E-8</v>
      </c>
      <c r="V2125" s="98">
        <v>1E-8</v>
      </c>
      <c r="W2125" s="98">
        <v>1E-8</v>
      </c>
      <c r="X2125" s="98">
        <v>1E-8</v>
      </c>
      <c r="Y2125" s="98">
        <v>1E-8</v>
      </c>
      <c r="Z2125" s="98">
        <v>1E-8</v>
      </c>
      <c r="AA2125" s="98">
        <v>1E-8</v>
      </c>
      <c r="AB2125" s="98">
        <v>1E-8</v>
      </c>
      <c r="AC2125" s="98">
        <v>1E-8</v>
      </c>
      <c r="AD2125" s="4"/>
    </row>
    <row r="2126" spans="1:30" x14ac:dyDescent="0.35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34"/>
      <c r="O2126" s="4"/>
      <c r="P2126" s="68"/>
      <c r="Q2126" s="68" t="s">
        <v>676</v>
      </c>
      <c r="R2126" s="109" t="s">
        <v>91</v>
      </c>
      <c r="S2126" s="109" t="s">
        <v>573</v>
      </c>
      <c r="T2126" s="81">
        <v>1E-8</v>
      </c>
      <c r="U2126" s="82">
        <v>1E-8</v>
      </c>
      <c r="V2126" s="81">
        <v>1E-8</v>
      </c>
      <c r="W2126" s="81">
        <v>1E-8</v>
      </c>
      <c r="X2126" s="81">
        <v>1E-8</v>
      </c>
      <c r="Y2126" s="81">
        <v>1E-8</v>
      </c>
      <c r="Z2126" s="81">
        <v>1E-8</v>
      </c>
      <c r="AA2126" s="81">
        <v>1E-8</v>
      </c>
      <c r="AB2126" s="81">
        <v>1E-8</v>
      </c>
      <c r="AC2126" s="81">
        <v>1E-8</v>
      </c>
      <c r="AD2126" s="4"/>
    </row>
    <row r="2127" spans="1:30" x14ac:dyDescent="0.35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34"/>
      <c r="O2127" s="4"/>
      <c r="P2127" s="96"/>
      <c r="Q2127" s="96" t="s">
        <v>373</v>
      </c>
      <c r="R2127" s="107" t="s">
        <v>91</v>
      </c>
      <c r="S2127" s="107" t="s">
        <v>574</v>
      </c>
      <c r="T2127" s="97">
        <v>1E-8</v>
      </c>
      <c r="U2127" s="78">
        <v>1E-8</v>
      </c>
      <c r="V2127" s="97">
        <v>1E-8</v>
      </c>
      <c r="W2127" s="97">
        <v>1E-8</v>
      </c>
      <c r="X2127" s="97">
        <v>1E-8</v>
      </c>
      <c r="Y2127" s="97">
        <v>1E-8</v>
      </c>
      <c r="Z2127" s="97">
        <v>1E-8</v>
      </c>
      <c r="AA2127" s="97">
        <v>1E-8</v>
      </c>
      <c r="AB2127" s="97">
        <v>1E-8</v>
      </c>
      <c r="AC2127" s="97">
        <v>1E-8</v>
      </c>
      <c r="AD2127" s="4"/>
    </row>
    <row r="2128" spans="1:30" x14ac:dyDescent="0.35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34"/>
      <c r="O2128" s="4"/>
      <c r="P2128" s="68"/>
      <c r="Q2128" s="68" t="s">
        <v>677</v>
      </c>
      <c r="R2128" s="108" t="s">
        <v>91</v>
      </c>
      <c r="S2128" s="108" t="s">
        <v>575</v>
      </c>
      <c r="T2128" s="98">
        <v>1E-8</v>
      </c>
      <c r="U2128" s="80">
        <v>1E-8</v>
      </c>
      <c r="V2128" s="98">
        <v>1E-8</v>
      </c>
      <c r="W2128" s="98">
        <v>1E-8</v>
      </c>
      <c r="X2128" s="98">
        <v>1E-8</v>
      </c>
      <c r="Y2128" s="98">
        <v>1E-8</v>
      </c>
      <c r="Z2128" s="98">
        <v>1E-8</v>
      </c>
      <c r="AA2128" s="98">
        <v>1E-8</v>
      </c>
      <c r="AB2128" s="98">
        <v>1E-8</v>
      </c>
      <c r="AC2128" s="98">
        <v>1E-8</v>
      </c>
      <c r="AD2128" s="4"/>
    </row>
    <row r="2129" spans="1:30" x14ac:dyDescent="0.35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34"/>
      <c r="O2129" s="4"/>
      <c r="P2129" s="68"/>
      <c r="Q2129" s="68" t="s">
        <v>678</v>
      </c>
      <c r="R2129" s="108" t="s">
        <v>91</v>
      </c>
      <c r="S2129" s="108" t="s">
        <v>576</v>
      </c>
      <c r="T2129" s="98">
        <v>1E-8</v>
      </c>
      <c r="U2129" s="80">
        <v>1E-8</v>
      </c>
      <c r="V2129" s="98">
        <v>1E-8</v>
      </c>
      <c r="W2129" s="98">
        <v>1E-8</v>
      </c>
      <c r="X2129" s="98">
        <v>1E-8</v>
      </c>
      <c r="Y2129" s="98">
        <v>1E-8</v>
      </c>
      <c r="Z2129" s="98">
        <v>1E-8</v>
      </c>
      <c r="AA2129" s="98">
        <v>1E-8</v>
      </c>
      <c r="AB2129" s="98">
        <v>1E-8</v>
      </c>
      <c r="AC2129" s="98">
        <v>1E-8</v>
      </c>
      <c r="AD2129" s="4"/>
    </row>
    <row r="2130" spans="1:30" x14ac:dyDescent="0.35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34"/>
      <c r="O2130" s="4"/>
      <c r="P2130" s="68"/>
      <c r="Q2130" s="68" t="s">
        <v>679</v>
      </c>
      <c r="R2130" s="108" t="s">
        <v>91</v>
      </c>
      <c r="S2130" s="108" t="s">
        <v>577</v>
      </c>
      <c r="T2130" s="98">
        <v>1E-8</v>
      </c>
      <c r="U2130" s="80">
        <v>1E-8</v>
      </c>
      <c r="V2130" s="98">
        <v>1E-8</v>
      </c>
      <c r="W2130" s="98">
        <v>1E-8</v>
      </c>
      <c r="X2130" s="98">
        <v>1E-8</v>
      </c>
      <c r="Y2130" s="98">
        <v>1E-8</v>
      </c>
      <c r="Z2130" s="98">
        <v>1E-8</v>
      </c>
      <c r="AA2130" s="98">
        <v>1E-8</v>
      </c>
      <c r="AB2130" s="98">
        <v>1E-8</v>
      </c>
      <c r="AC2130" s="98">
        <v>1E-8</v>
      </c>
      <c r="AD2130" s="4"/>
    </row>
    <row r="2131" spans="1:30" x14ac:dyDescent="0.35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34"/>
      <c r="O2131" s="4"/>
      <c r="P2131" s="96"/>
      <c r="Q2131" s="96" t="s">
        <v>195</v>
      </c>
      <c r="R2131" s="107" t="s">
        <v>91</v>
      </c>
      <c r="S2131" s="107" t="s">
        <v>578</v>
      </c>
      <c r="T2131" s="97">
        <v>1E-8</v>
      </c>
      <c r="U2131" s="78">
        <v>1E-8</v>
      </c>
      <c r="V2131" s="97">
        <v>1E-8</v>
      </c>
      <c r="W2131" s="97">
        <v>1E-8</v>
      </c>
      <c r="X2131" s="97">
        <v>1E-8</v>
      </c>
      <c r="Y2131" s="97">
        <v>1E-8</v>
      </c>
      <c r="Z2131" s="97">
        <v>1E-8</v>
      </c>
      <c r="AA2131" s="97">
        <v>1E-8</v>
      </c>
      <c r="AB2131" s="97">
        <v>1E-8</v>
      </c>
      <c r="AC2131" s="97">
        <v>1E-8</v>
      </c>
      <c r="AD2131" s="4"/>
    </row>
    <row r="2132" spans="1:30" x14ac:dyDescent="0.35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34"/>
      <c r="O2132" s="4"/>
      <c r="P2132" s="68"/>
      <c r="Q2132" s="68" t="s">
        <v>680</v>
      </c>
      <c r="R2132" s="108" t="s">
        <v>91</v>
      </c>
      <c r="S2132" s="108" t="s">
        <v>579</v>
      </c>
      <c r="T2132" s="98">
        <v>1E-8</v>
      </c>
      <c r="U2132" s="80">
        <v>1E-8</v>
      </c>
      <c r="V2132" s="98">
        <v>1E-8</v>
      </c>
      <c r="W2132" s="98">
        <v>1E-8</v>
      </c>
      <c r="X2132" s="98">
        <v>1E-8</v>
      </c>
      <c r="Y2132" s="98">
        <v>1E-8</v>
      </c>
      <c r="Z2132" s="98">
        <v>1E-8</v>
      </c>
      <c r="AA2132" s="98">
        <v>1E-8</v>
      </c>
      <c r="AB2132" s="98">
        <v>1E-8</v>
      </c>
      <c r="AC2132" s="98">
        <v>1E-8</v>
      </c>
      <c r="AD2132" s="4"/>
    </row>
    <row r="2133" spans="1:30" x14ac:dyDescent="0.35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34"/>
      <c r="O2133" s="4"/>
      <c r="P2133" s="68"/>
      <c r="Q2133" s="68" t="s">
        <v>681</v>
      </c>
      <c r="R2133" s="108" t="s">
        <v>91</v>
      </c>
      <c r="S2133" s="108" t="s">
        <v>357</v>
      </c>
      <c r="T2133" s="98">
        <v>1E-8</v>
      </c>
      <c r="U2133" s="80">
        <v>1E-8</v>
      </c>
      <c r="V2133" s="98">
        <v>1E-8</v>
      </c>
      <c r="W2133" s="98">
        <v>1E-8</v>
      </c>
      <c r="X2133" s="98">
        <v>1E-8</v>
      </c>
      <c r="Y2133" s="98">
        <v>1E-8</v>
      </c>
      <c r="Z2133" s="98">
        <v>1E-8</v>
      </c>
      <c r="AA2133" s="98">
        <v>1E-8</v>
      </c>
      <c r="AB2133" s="98">
        <v>1E-8</v>
      </c>
      <c r="AC2133" s="98">
        <v>1E-8</v>
      </c>
      <c r="AD2133" s="4"/>
    </row>
    <row r="2134" spans="1:30" x14ac:dyDescent="0.35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34"/>
      <c r="O2134" s="4"/>
      <c r="P2134" s="96"/>
      <c r="Q2134" s="96" t="s">
        <v>196</v>
      </c>
      <c r="R2134" s="107" t="s">
        <v>91</v>
      </c>
      <c r="S2134" s="107" t="s">
        <v>580</v>
      </c>
      <c r="T2134" s="97">
        <v>1E-8</v>
      </c>
      <c r="U2134" s="78">
        <v>1E-8</v>
      </c>
      <c r="V2134" s="97">
        <v>1E-8</v>
      </c>
      <c r="W2134" s="97">
        <v>1E-8</v>
      </c>
      <c r="X2134" s="97">
        <v>1E-8</v>
      </c>
      <c r="Y2134" s="97">
        <v>1E-8</v>
      </c>
      <c r="Z2134" s="97">
        <v>1E-8</v>
      </c>
      <c r="AA2134" s="97">
        <v>1E-8</v>
      </c>
      <c r="AB2134" s="97">
        <v>1E-8</v>
      </c>
      <c r="AC2134" s="97">
        <v>1E-8</v>
      </c>
      <c r="AD2134" s="4"/>
    </row>
    <row r="2135" spans="1:30" x14ac:dyDescent="0.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34"/>
      <c r="O2135" s="4"/>
      <c r="P2135" s="68"/>
      <c r="Q2135" s="68" t="s">
        <v>682</v>
      </c>
      <c r="R2135" s="108" t="s">
        <v>91</v>
      </c>
      <c r="S2135" s="108" t="s">
        <v>581</v>
      </c>
      <c r="T2135" s="98">
        <v>1E-8</v>
      </c>
      <c r="U2135" s="80">
        <v>1E-8</v>
      </c>
      <c r="V2135" s="98">
        <v>1E-8</v>
      </c>
      <c r="W2135" s="98">
        <v>1E-8</v>
      </c>
      <c r="X2135" s="98">
        <v>1E-8</v>
      </c>
      <c r="Y2135" s="98">
        <v>1E-8</v>
      </c>
      <c r="Z2135" s="98">
        <v>1E-8</v>
      </c>
      <c r="AA2135" s="98">
        <v>1E-8</v>
      </c>
      <c r="AB2135" s="98">
        <v>1E-8</v>
      </c>
      <c r="AC2135" s="98">
        <v>1E-8</v>
      </c>
      <c r="AD2135" s="4"/>
    </row>
    <row r="2136" spans="1:30" x14ac:dyDescent="0.35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34"/>
      <c r="O2136" s="4"/>
      <c r="P2136" s="68"/>
      <c r="Q2136" s="68" t="s">
        <v>683</v>
      </c>
      <c r="R2136" s="108" t="s">
        <v>91</v>
      </c>
      <c r="S2136" s="108" t="s">
        <v>582</v>
      </c>
      <c r="T2136" s="98">
        <v>1E-8</v>
      </c>
      <c r="U2136" s="80">
        <v>1E-8</v>
      </c>
      <c r="V2136" s="98">
        <v>1E-8</v>
      </c>
      <c r="W2136" s="98">
        <v>1E-8</v>
      </c>
      <c r="X2136" s="98">
        <v>1E-8</v>
      </c>
      <c r="Y2136" s="98">
        <v>1E-8</v>
      </c>
      <c r="Z2136" s="98">
        <v>1E-8</v>
      </c>
      <c r="AA2136" s="98">
        <v>1E-8</v>
      </c>
      <c r="AB2136" s="98">
        <v>1E-8</v>
      </c>
      <c r="AC2136" s="98">
        <v>1E-8</v>
      </c>
      <c r="AD2136" s="4"/>
    </row>
    <row r="2137" spans="1:30" x14ac:dyDescent="0.35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34"/>
      <c r="O2137" s="4"/>
      <c r="P2137" s="68"/>
      <c r="Q2137" s="68" t="s">
        <v>684</v>
      </c>
      <c r="R2137" s="108" t="s">
        <v>91</v>
      </c>
      <c r="S2137" s="108" t="s">
        <v>583</v>
      </c>
      <c r="T2137" s="98">
        <v>1E-8</v>
      </c>
      <c r="U2137" s="80">
        <v>1E-8</v>
      </c>
      <c r="V2137" s="98">
        <v>1E-8</v>
      </c>
      <c r="W2137" s="98">
        <v>1E-8</v>
      </c>
      <c r="X2137" s="98">
        <v>1E-8</v>
      </c>
      <c r="Y2137" s="98">
        <v>1E-8</v>
      </c>
      <c r="Z2137" s="98">
        <v>1E-8</v>
      </c>
      <c r="AA2137" s="98">
        <v>1E-8</v>
      </c>
      <c r="AB2137" s="98">
        <v>1E-8</v>
      </c>
      <c r="AC2137" s="98">
        <v>1E-8</v>
      </c>
      <c r="AD2137" s="4"/>
    </row>
    <row r="2138" spans="1:30" x14ac:dyDescent="0.35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34"/>
      <c r="O2138" s="4"/>
      <c r="P2138" s="68"/>
      <c r="Q2138" s="68" t="s">
        <v>685</v>
      </c>
      <c r="R2138" s="108" t="s">
        <v>91</v>
      </c>
      <c r="S2138" s="108" t="s">
        <v>584</v>
      </c>
      <c r="T2138" s="98">
        <v>1E-8</v>
      </c>
      <c r="U2138" s="80">
        <v>1E-8</v>
      </c>
      <c r="V2138" s="98">
        <v>1E-8</v>
      </c>
      <c r="W2138" s="98">
        <v>1E-8</v>
      </c>
      <c r="X2138" s="98">
        <v>1E-8</v>
      </c>
      <c r="Y2138" s="98">
        <v>1E-8</v>
      </c>
      <c r="Z2138" s="98">
        <v>1E-8</v>
      </c>
      <c r="AA2138" s="98">
        <v>1E-8</v>
      </c>
      <c r="AB2138" s="98">
        <v>1E-8</v>
      </c>
      <c r="AC2138" s="98">
        <v>1E-8</v>
      </c>
      <c r="AD2138" s="4"/>
    </row>
    <row r="2139" spans="1:30" x14ac:dyDescent="0.35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34"/>
      <c r="O2139" s="4"/>
      <c r="P2139" s="68"/>
      <c r="Q2139" s="68" t="s">
        <v>686</v>
      </c>
      <c r="R2139" s="109" t="s">
        <v>91</v>
      </c>
      <c r="S2139" s="109" t="s">
        <v>585</v>
      </c>
      <c r="T2139" s="81">
        <v>1E-8</v>
      </c>
      <c r="U2139" s="82">
        <v>1E-8</v>
      </c>
      <c r="V2139" s="81">
        <v>1E-8</v>
      </c>
      <c r="W2139" s="81">
        <v>1E-8</v>
      </c>
      <c r="X2139" s="81">
        <v>1E-8</v>
      </c>
      <c r="Y2139" s="81">
        <v>1E-8</v>
      </c>
      <c r="Z2139" s="81">
        <v>1E-8</v>
      </c>
      <c r="AA2139" s="81">
        <v>1E-8</v>
      </c>
      <c r="AB2139" s="81">
        <v>1E-8</v>
      </c>
      <c r="AC2139" s="81">
        <v>1E-8</v>
      </c>
      <c r="AD2139" s="4"/>
    </row>
    <row r="2140" spans="1:30" x14ac:dyDescent="0.35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34"/>
      <c r="O2140" s="4"/>
      <c r="P2140" s="96"/>
      <c r="Q2140" s="96" t="s">
        <v>687</v>
      </c>
      <c r="R2140" s="107" t="s">
        <v>91</v>
      </c>
      <c r="S2140" s="107" t="s">
        <v>358</v>
      </c>
      <c r="T2140" s="97">
        <v>1E-8</v>
      </c>
      <c r="U2140" s="78">
        <v>1E-8</v>
      </c>
      <c r="V2140" s="97">
        <v>1E-8</v>
      </c>
      <c r="W2140" s="97">
        <v>1E-8</v>
      </c>
      <c r="X2140" s="97">
        <v>1E-8</v>
      </c>
      <c r="Y2140" s="97">
        <v>1E-8</v>
      </c>
      <c r="Z2140" s="97">
        <v>1E-8</v>
      </c>
      <c r="AA2140" s="97">
        <v>1E-8</v>
      </c>
      <c r="AB2140" s="97">
        <v>1E-8</v>
      </c>
      <c r="AC2140" s="97">
        <v>1E-8</v>
      </c>
      <c r="AD2140" s="4"/>
    </row>
    <row r="2141" spans="1:30" x14ac:dyDescent="0.35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34"/>
      <c r="O2141" s="4"/>
      <c r="P2141" s="96"/>
      <c r="Q2141" s="96" t="s">
        <v>688</v>
      </c>
      <c r="R2141" s="107" t="s">
        <v>91</v>
      </c>
      <c r="S2141" s="107" t="s">
        <v>359</v>
      </c>
      <c r="T2141" s="97">
        <v>1E-8</v>
      </c>
      <c r="U2141" s="78">
        <v>1E-8</v>
      </c>
      <c r="V2141" s="97">
        <v>1E-8</v>
      </c>
      <c r="W2141" s="97">
        <v>1E-8</v>
      </c>
      <c r="X2141" s="97">
        <v>1E-8</v>
      </c>
      <c r="Y2141" s="97">
        <v>1E-8</v>
      </c>
      <c r="Z2141" s="97">
        <v>1E-8</v>
      </c>
      <c r="AA2141" s="97">
        <v>1E-8</v>
      </c>
      <c r="AB2141" s="97">
        <v>1E-8</v>
      </c>
      <c r="AC2141" s="97">
        <v>1E-8</v>
      </c>
      <c r="AD2141" s="4"/>
    </row>
    <row r="2142" spans="1:30" x14ac:dyDescent="0.35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34"/>
      <c r="O2142" s="4"/>
      <c r="P2142" s="96"/>
      <c r="Q2142" s="96" t="s">
        <v>689</v>
      </c>
      <c r="R2142" s="107" t="s">
        <v>91</v>
      </c>
      <c r="S2142" s="107" t="s">
        <v>360</v>
      </c>
      <c r="T2142" s="97">
        <v>1E-8</v>
      </c>
      <c r="U2142" s="78">
        <v>1E-8</v>
      </c>
      <c r="V2142" s="97">
        <v>1E-8</v>
      </c>
      <c r="W2142" s="97">
        <v>1E-8</v>
      </c>
      <c r="X2142" s="97">
        <v>1E-8</v>
      </c>
      <c r="Y2142" s="97">
        <v>1E-8</v>
      </c>
      <c r="Z2142" s="97">
        <v>1E-8</v>
      </c>
      <c r="AA2142" s="97">
        <v>1E-8</v>
      </c>
      <c r="AB2142" s="97">
        <v>1E-8</v>
      </c>
      <c r="AC2142" s="97">
        <v>1E-8</v>
      </c>
      <c r="AD2142" s="4"/>
    </row>
    <row r="2143" spans="1:30" x14ac:dyDescent="0.35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34"/>
      <c r="O2143" s="4"/>
      <c r="P2143" s="96"/>
      <c r="Q2143" s="96" t="s">
        <v>205</v>
      </c>
      <c r="R2143" s="107" t="s">
        <v>91</v>
      </c>
      <c r="S2143" s="107" t="s">
        <v>586</v>
      </c>
      <c r="T2143" s="97">
        <v>1E-8</v>
      </c>
      <c r="U2143" s="78">
        <v>1E-8</v>
      </c>
      <c r="V2143" s="97">
        <v>1E-8</v>
      </c>
      <c r="W2143" s="97">
        <v>1E-8</v>
      </c>
      <c r="X2143" s="97">
        <v>1E-8</v>
      </c>
      <c r="Y2143" s="97">
        <v>1E-8</v>
      </c>
      <c r="Z2143" s="97">
        <v>1E-8</v>
      </c>
      <c r="AA2143" s="97">
        <v>1E-8</v>
      </c>
      <c r="AB2143" s="97">
        <v>1E-8</v>
      </c>
      <c r="AC2143" s="97">
        <v>1E-8</v>
      </c>
      <c r="AD2143" s="4"/>
    </row>
    <row r="2144" spans="1:30" x14ac:dyDescent="0.35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34"/>
      <c r="O2144" s="4"/>
      <c r="P2144" s="68"/>
      <c r="Q2144" s="68" t="s">
        <v>690</v>
      </c>
      <c r="R2144" s="108" t="s">
        <v>91</v>
      </c>
      <c r="S2144" s="108" t="s">
        <v>587</v>
      </c>
      <c r="T2144" s="98">
        <v>1E-8</v>
      </c>
      <c r="U2144" s="80">
        <v>1E-8</v>
      </c>
      <c r="V2144" s="98">
        <v>1E-8</v>
      </c>
      <c r="W2144" s="98">
        <v>1E-8</v>
      </c>
      <c r="X2144" s="98">
        <v>1E-8</v>
      </c>
      <c r="Y2144" s="98">
        <v>1E-8</v>
      </c>
      <c r="Z2144" s="98">
        <v>1E-8</v>
      </c>
      <c r="AA2144" s="98">
        <v>1E-8</v>
      </c>
      <c r="AB2144" s="98">
        <v>1E-8</v>
      </c>
      <c r="AC2144" s="98">
        <v>1E-8</v>
      </c>
      <c r="AD2144" s="4"/>
    </row>
    <row r="2145" spans="1:30" x14ac:dyDescent="0.3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34"/>
      <c r="O2145" s="4"/>
      <c r="P2145" s="68"/>
      <c r="Q2145" s="68" t="s">
        <v>691</v>
      </c>
      <c r="R2145" s="108" t="s">
        <v>91</v>
      </c>
      <c r="S2145" s="108" t="s">
        <v>588</v>
      </c>
      <c r="T2145" s="98">
        <v>1E-8</v>
      </c>
      <c r="U2145" s="80">
        <v>1E-8</v>
      </c>
      <c r="V2145" s="98">
        <v>1E-8</v>
      </c>
      <c r="W2145" s="98">
        <v>1E-8</v>
      </c>
      <c r="X2145" s="98">
        <v>1E-8</v>
      </c>
      <c r="Y2145" s="98">
        <v>1E-8</v>
      </c>
      <c r="Z2145" s="98">
        <v>1E-8</v>
      </c>
      <c r="AA2145" s="98">
        <v>1E-8</v>
      </c>
      <c r="AB2145" s="98">
        <v>1E-8</v>
      </c>
      <c r="AC2145" s="98">
        <v>1E-8</v>
      </c>
      <c r="AD2145" s="4"/>
    </row>
    <row r="2146" spans="1:30" x14ac:dyDescent="0.35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34"/>
      <c r="O2146" s="4"/>
      <c r="P2146" s="68"/>
      <c r="Q2146" s="68" t="s">
        <v>692</v>
      </c>
      <c r="R2146" s="108" t="s">
        <v>91</v>
      </c>
      <c r="S2146" s="108" t="s">
        <v>589</v>
      </c>
      <c r="T2146" s="98">
        <v>1E-8</v>
      </c>
      <c r="U2146" s="80">
        <v>1E-8</v>
      </c>
      <c r="V2146" s="98">
        <v>1E-8</v>
      </c>
      <c r="W2146" s="98">
        <v>1E-8</v>
      </c>
      <c r="X2146" s="98">
        <v>1E-8</v>
      </c>
      <c r="Y2146" s="98">
        <v>1E-8</v>
      </c>
      <c r="Z2146" s="98">
        <v>1E-8</v>
      </c>
      <c r="AA2146" s="98">
        <v>1E-8</v>
      </c>
      <c r="AB2146" s="98">
        <v>1E-8</v>
      </c>
      <c r="AC2146" s="98">
        <v>1E-8</v>
      </c>
      <c r="AD2146" s="4"/>
    </row>
    <row r="2147" spans="1:30" x14ac:dyDescent="0.35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34"/>
      <c r="O2147" s="4"/>
      <c r="P2147" s="68"/>
      <c r="Q2147" s="68" t="s">
        <v>693</v>
      </c>
      <c r="R2147" s="108" t="s">
        <v>91</v>
      </c>
      <c r="S2147" s="108" t="s">
        <v>361</v>
      </c>
      <c r="T2147" s="98">
        <v>1E-8</v>
      </c>
      <c r="U2147" s="80">
        <v>1E-8</v>
      </c>
      <c r="V2147" s="98">
        <v>1E-8</v>
      </c>
      <c r="W2147" s="98">
        <v>1E-8</v>
      </c>
      <c r="X2147" s="98">
        <v>1E-8</v>
      </c>
      <c r="Y2147" s="98">
        <v>1E-8</v>
      </c>
      <c r="Z2147" s="98">
        <v>1E-8</v>
      </c>
      <c r="AA2147" s="98">
        <v>1E-8</v>
      </c>
      <c r="AB2147" s="98">
        <v>1E-8</v>
      </c>
      <c r="AC2147" s="98">
        <v>1E-8</v>
      </c>
      <c r="AD2147" s="4"/>
    </row>
    <row r="2148" spans="1:30" x14ac:dyDescent="0.35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34"/>
      <c r="O2148" s="4"/>
      <c r="P2148" s="68"/>
      <c r="Q2148" s="68" t="s">
        <v>694</v>
      </c>
      <c r="R2148" s="108" t="s">
        <v>91</v>
      </c>
      <c r="S2148" s="108" t="s">
        <v>590</v>
      </c>
      <c r="T2148" s="98">
        <v>1E-8</v>
      </c>
      <c r="U2148" s="80">
        <v>1E-8</v>
      </c>
      <c r="V2148" s="98">
        <v>1E-8</v>
      </c>
      <c r="W2148" s="98">
        <v>1E-8</v>
      </c>
      <c r="X2148" s="98">
        <v>1E-8</v>
      </c>
      <c r="Y2148" s="98">
        <v>1E-8</v>
      </c>
      <c r="Z2148" s="98">
        <v>1E-8</v>
      </c>
      <c r="AA2148" s="98">
        <v>1E-8</v>
      </c>
      <c r="AB2148" s="98">
        <v>1E-8</v>
      </c>
      <c r="AC2148" s="98">
        <v>1E-8</v>
      </c>
      <c r="AD2148" s="4"/>
    </row>
    <row r="2149" spans="1:30" ht="15" thickBot="1" x14ac:dyDescent="0.4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34"/>
      <c r="O2149" s="4"/>
      <c r="P2149" s="102"/>
      <c r="Q2149" s="102" t="s">
        <v>695</v>
      </c>
      <c r="R2149" s="113" t="s">
        <v>91</v>
      </c>
      <c r="S2149" s="113" t="s">
        <v>591</v>
      </c>
      <c r="T2149" s="103">
        <v>1E-8</v>
      </c>
      <c r="U2149" s="104">
        <v>1E-8</v>
      </c>
      <c r="V2149" s="103">
        <v>1E-8</v>
      </c>
      <c r="W2149" s="103">
        <v>1E-8</v>
      </c>
      <c r="X2149" s="103">
        <v>1E-8</v>
      </c>
      <c r="Y2149" s="103">
        <v>1E-8</v>
      </c>
      <c r="Z2149" s="103">
        <v>1E-8</v>
      </c>
      <c r="AA2149" s="103">
        <v>1E-8</v>
      </c>
      <c r="AB2149" s="103">
        <v>1E-8</v>
      </c>
      <c r="AC2149" s="103">
        <v>1E-8</v>
      </c>
      <c r="AD2149" s="4"/>
    </row>
    <row r="2150" spans="1:30" x14ac:dyDescent="0.35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34"/>
      <c r="O2150" s="4"/>
      <c r="P2150" s="47" t="s">
        <v>733</v>
      </c>
      <c r="Q2150" s="47" t="s">
        <v>102</v>
      </c>
      <c r="R2150" s="105" t="s">
        <v>97</v>
      </c>
      <c r="S2150" s="105" t="s">
        <v>288</v>
      </c>
      <c r="T2150" s="95">
        <v>100</v>
      </c>
      <c r="U2150" s="74">
        <v>1E-8</v>
      </c>
      <c r="V2150" s="95">
        <v>1E-8</v>
      </c>
      <c r="W2150" s="95">
        <v>1E-8</v>
      </c>
      <c r="X2150" s="95">
        <v>1E-8</v>
      </c>
      <c r="Y2150" s="95">
        <v>1E-8</v>
      </c>
      <c r="Z2150" s="95">
        <v>1E-8</v>
      </c>
      <c r="AA2150" s="95">
        <v>1E-8</v>
      </c>
      <c r="AB2150" s="95">
        <v>1E-8</v>
      </c>
      <c r="AC2150" s="95">
        <v>1E-8</v>
      </c>
      <c r="AD2150" s="4"/>
    </row>
    <row r="2151" spans="1:30" x14ac:dyDescent="0.35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34"/>
      <c r="O2151" s="4"/>
      <c r="P2151" s="47" t="s">
        <v>484</v>
      </c>
      <c r="Q2151" s="47" t="s">
        <v>278</v>
      </c>
      <c r="R2151" s="106" t="s">
        <v>97</v>
      </c>
      <c r="S2151" s="106" t="s">
        <v>289</v>
      </c>
      <c r="T2151" s="75">
        <v>1E-8</v>
      </c>
      <c r="U2151" s="76">
        <v>1E-8</v>
      </c>
      <c r="V2151" s="75">
        <v>1E-8</v>
      </c>
      <c r="W2151" s="75">
        <v>1E-8</v>
      </c>
      <c r="X2151" s="75">
        <v>1E-8</v>
      </c>
      <c r="Y2151" s="75">
        <v>1E-8</v>
      </c>
      <c r="Z2151" s="75">
        <v>1E-8</v>
      </c>
      <c r="AA2151" s="75">
        <v>1E-8</v>
      </c>
      <c r="AB2151" s="75">
        <v>1E-8</v>
      </c>
      <c r="AC2151" s="75">
        <v>1E-8</v>
      </c>
      <c r="AD2151" s="4"/>
    </row>
    <row r="2152" spans="1:30" x14ac:dyDescent="0.35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34"/>
      <c r="O2152" s="4"/>
      <c r="P2152" s="96"/>
      <c r="Q2152" s="96" t="s">
        <v>279</v>
      </c>
      <c r="R2152" s="107" t="s">
        <v>97</v>
      </c>
      <c r="S2152" s="107" t="s">
        <v>290</v>
      </c>
      <c r="T2152" s="97">
        <v>1E-8</v>
      </c>
      <c r="U2152" s="78">
        <v>1E-8</v>
      </c>
      <c r="V2152" s="97">
        <v>1E-8</v>
      </c>
      <c r="W2152" s="97">
        <v>1E-8</v>
      </c>
      <c r="X2152" s="97">
        <v>1E-8</v>
      </c>
      <c r="Y2152" s="97">
        <v>1E-8</v>
      </c>
      <c r="Z2152" s="97">
        <v>1E-8</v>
      </c>
      <c r="AA2152" s="97">
        <v>1E-8</v>
      </c>
      <c r="AB2152" s="97">
        <v>1E-8</v>
      </c>
      <c r="AC2152" s="97">
        <v>1E-8</v>
      </c>
      <c r="AD2152" s="4"/>
    </row>
    <row r="2153" spans="1:30" x14ac:dyDescent="0.35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34"/>
      <c r="O2153" s="4"/>
      <c r="P2153" s="96"/>
      <c r="Q2153" s="96" t="s">
        <v>362</v>
      </c>
      <c r="R2153" s="107" t="s">
        <v>97</v>
      </c>
      <c r="S2153" s="107" t="s">
        <v>291</v>
      </c>
      <c r="T2153" s="97">
        <v>1E-8</v>
      </c>
      <c r="U2153" s="78">
        <v>1E-8</v>
      </c>
      <c r="V2153" s="97">
        <v>1E-8</v>
      </c>
      <c r="W2153" s="97">
        <v>1E-8</v>
      </c>
      <c r="X2153" s="97">
        <v>1E-8</v>
      </c>
      <c r="Y2153" s="97">
        <v>1E-8</v>
      </c>
      <c r="Z2153" s="97">
        <v>1E-8</v>
      </c>
      <c r="AA2153" s="97">
        <v>1E-8</v>
      </c>
      <c r="AB2153" s="97">
        <v>1E-8</v>
      </c>
      <c r="AC2153" s="97">
        <v>1E-8</v>
      </c>
      <c r="AD2153" s="4"/>
    </row>
    <row r="2154" spans="1:30" x14ac:dyDescent="0.35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34"/>
      <c r="O2154" s="4"/>
      <c r="P2154" s="96"/>
      <c r="Q2154" s="96" t="s">
        <v>363</v>
      </c>
      <c r="R2154" s="107" t="s">
        <v>97</v>
      </c>
      <c r="S2154" s="107" t="s">
        <v>292</v>
      </c>
      <c r="T2154" s="97">
        <v>1E-8</v>
      </c>
      <c r="U2154" s="78">
        <v>1E-8</v>
      </c>
      <c r="V2154" s="97">
        <v>1E-8</v>
      </c>
      <c r="W2154" s="97">
        <v>1E-8</v>
      </c>
      <c r="X2154" s="97">
        <v>1E-8</v>
      </c>
      <c r="Y2154" s="97">
        <v>1E-8</v>
      </c>
      <c r="Z2154" s="97">
        <v>1E-8</v>
      </c>
      <c r="AA2154" s="97">
        <v>1E-8</v>
      </c>
      <c r="AB2154" s="97">
        <v>1E-8</v>
      </c>
      <c r="AC2154" s="97">
        <v>1E-8</v>
      </c>
      <c r="AD2154" s="4"/>
    </row>
    <row r="2155" spans="1:30" x14ac:dyDescent="0.3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34"/>
      <c r="O2155" s="4"/>
      <c r="P2155" s="68"/>
      <c r="Q2155" s="68" t="s">
        <v>592</v>
      </c>
      <c r="R2155" s="108" t="s">
        <v>97</v>
      </c>
      <c r="S2155" s="108" t="s">
        <v>294</v>
      </c>
      <c r="T2155" s="98">
        <v>1E-8</v>
      </c>
      <c r="U2155" s="80">
        <v>1E-8</v>
      </c>
      <c r="V2155" s="98">
        <v>1E-8</v>
      </c>
      <c r="W2155" s="98">
        <v>1E-8</v>
      </c>
      <c r="X2155" s="98">
        <v>1E-8</v>
      </c>
      <c r="Y2155" s="98">
        <v>1E-8</v>
      </c>
      <c r="Z2155" s="98">
        <v>1E-8</v>
      </c>
      <c r="AA2155" s="98">
        <v>1E-8</v>
      </c>
      <c r="AB2155" s="98">
        <v>1E-8</v>
      </c>
      <c r="AC2155" s="98">
        <v>1E-8</v>
      </c>
      <c r="AD2155" s="4"/>
    </row>
    <row r="2156" spans="1:30" x14ac:dyDescent="0.35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34"/>
      <c r="O2156" s="4"/>
      <c r="P2156" s="68"/>
      <c r="Q2156" s="68" t="s">
        <v>593</v>
      </c>
      <c r="R2156" s="108" t="s">
        <v>97</v>
      </c>
      <c r="S2156" s="108" t="s">
        <v>293</v>
      </c>
      <c r="T2156" s="98">
        <v>1E-8</v>
      </c>
      <c r="U2156" s="80">
        <v>1E-8</v>
      </c>
      <c r="V2156" s="98">
        <v>1E-8</v>
      </c>
      <c r="W2156" s="98">
        <v>1E-8</v>
      </c>
      <c r="X2156" s="98">
        <v>1E-8</v>
      </c>
      <c r="Y2156" s="98">
        <v>1E-8</v>
      </c>
      <c r="Z2156" s="98">
        <v>1E-8</v>
      </c>
      <c r="AA2156" s="98">
        <v>1E-8</v>
      </c>
      <c r="AB2156" s="98">
        <v>1E-8</v>
      </c>
      <c r="AC2156" s="98">
        <v>1E-8</v>
      </c>
      <c r="AD2156" s="4"/>
    </row>
    <row r="2157" spans="1:30" x14ac:dyDescent="0.35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34"/>
      <c r="O2157" s="4"/>
      <c r="P2157" s="68"/>
      <c r="Q2157" s="68" t="s">
        <v>594</v>
      </c>
      <c r="R2157" s="108" t="s">
        <v>97</v>
      </c>
      <c r="S2157" s="108" t="s">
        <v>296</v>
      </c>
      <c r="T2157" s="98">
        <v>1E-8</v>
      </c>
      <c r="U2157" s="80">
        <v>1E-8</v>
      </c>
      <c r="V2157" s="98">
        <v>1E-8</v>
      </c>
      <c r="W2157" s="98">
        <v>1E-8</v>
      </c>
      <c r="X2157" s="98">
        <v>1E-8</v>
      </c>
      <c r="Y2157" s="98">
        <v>1E-8</v>
      </c>
      <c r="Z2157" s="98">
        <v>1E-8</v>
      </c>
      <c r="AA2157" s="98">
        <v>1E-8</v>
      </c>
      <c r="AB2157" s="98">
        <v>1E-8</v>
      </c>
      <c r="AC2157" s="98">
        <v>1E-8</v>
      </c>
      <c r="AD2157" s="4"/>
    </row>
    <row r="2158" spans="1:30" x14ac:dyDescent="0.35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34"/>
      <c r="O2158" s="4"/>
      <c r="P2158" s="68"/>
      <c r="Q2158" s="68" t="s">
        <v>595</v>
      </c>
      <c r="R2158" s="108" t="s">
        <v>97</v>
      </c>
      <c r="S2158" s="108" t="s">
        <v>295</v>
      </c>
      <c r="T2158" s="98">
        <v>1E-8</v>
      </c>
      <c r="U2158" s="80">
        <v>1E-8</v>
      </c>
      <c r="V2158" s="98">
        <v>1E-8</v>
      </c>
      <c r="W2158" s="98">
        <v>1E-8</v>
      </c>
      <c r="X2158" s="98">
        <v>1E-8</v>
      </c>
      <c r="Y2158" s="98">
        <v>1E-8</v>
      </c>
      <c r="Z2158" s="98">
        <v>1E-8</v>
      </c>
      <c r="AA2158" s="98">
        <v>1E-8</v>
      </c>
      <c r="AB2158" s="98">
        <v>1E-8</v>
      </c>
      <c r="AC2158" s="98">
        <v>1E-8</v>
      </c>
      <c r="AD2158" s="4"/>
    </row>
    <row r="2159" spans="1:30" x14ac:dyDescent="0.3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34"/>
      <c r="O2159" s="4"/>
      <c r="P2159" s="68"/>
      <c r="Q2159" s="68" t="s">
        <v>596</v>
      </c>
      <c r="R2159" s="108" t="s">
        <v>97</v>
      </c>
      <c r="S2159" s="108" t="s">
        <v>297</v>
      </c>
      <c r="T2159" s="98">
        <v>1E-8</v>
      </c>
      <c r="U2159" s="80">
        <v>1E-8</v>
      </c>
      <c r="V2159" s="98">
        <v>1E-8</v>
      </c>
      <c r="W2159" s="98">
        <v>1E-8</v>
      </c>
      <c r="X2159" s="98">
        <v>1E-8</v>
      </c>
      <c r="Y2159" s="98">
        <v>1E-8</v>
      </c>
      <c r="Z2159" s="98">
        <v>1E-8</v>
      </c>
      <c r="AA2159" s="98">
        <v>1E-8</v>
      </c>
      <c r="AB2159" s="98">
        <v>1E-8</v>
      </c>
      <c r="AC2159" s="98">
        <v>1E-8</v>
      </c>
      <c r="AD2159" s="4"/>
    </row>
    <row r="2160" spans="1:30" x14ac:dyDescent="0.35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34"/>
      <c r="O2160" s="4"/>
      <c r="P2160" s="68"/>
      <c r="Q2160" s="68" t="s">
        <v>597</v>
      </c>
      <c r="R2160" s="108" t="s">
        <v>97</v>
      </c>
      <c r="S2160" s="108" t="s">
        <v>301</v>
      </c>
      <c r="T2160" s="98">
        <v>1E-8</v>
      </c>
      <c r="U2160" s="80">
        <v>1E-8</v>
      </c>
      <c r="V2160" s="98">
        <v>1E-8</v>
      </c>
      <c r="W2160" s="98">
        <v>1E-8</v>
      </c>
      <c r="X2160" s="98">
        <v>1E-8</v>
      </c>
      <c r="Y2160" s="98">
        <v>1E-8</v>
      </c>
      <c r="Z2160" s="98">
        <v>1E-8</v>
      </c>
      <c r="AA2160" s="98">
        <v>1E-8</v>
      </c>
      <c r="AB2160" s="98">
        <v>1E-8</v>
      </c>
      <c r="AC2160" s="98">
        <v>1E-8</v>
      </c>
      <c r="AD2160" s="4"/>
    </row>
    <row r="2161" spans="1:30" x14ac:dyDescent="0.35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34"/>
      <c r="O2161" s="4"/>
      <c r="P2161" s="68"/>
      <c r="Q2161" s="68" t="s">
        <v>598</v>
      </c>
      <c r="R2161" s="108" t="s">
        <v>97</v>
      </c>
      <c r="S2161" s="108" t="s">
        <v>302</v>
      </c>
      <c r="T2161" s="98">
        <v>1E-8</v>
      </c>
      <c r="U2161" s="80">
        <v>1E-8</v>
      </c>
      <c r="V2161" s="98">
        <v>1E-8</v>
      </c>
      <c r="W2161" s="98">
        <v>1E-8</v>
      </c>
      <c r="X2161" s="98">
        <v>1E-8</v>
      </c>
      <c r="Y2161" s="98">
        <v>1E-8</v>
      </c>
      <c r="Z2161" s="98">
        <v>1E-8</v>
      </c>
      <c r="AA2161" s="98">
        <v>1E-8</v>
      </c>
      <c r="AB2161" s="98">
        <v>1E-8</v>
      </c>
      <c r="AC2161" s="98">
        <v>1E-8</v>
      </c>
      <c r="AD2161" s="4"/>
    </row>
    <row r="2162" spans="1:30" x14ac:dyDescent="0.35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34"/>
      <c r="O2162" s="4"/>
      <c r="P2162" s="68"/>
      <c r="Q2162" s="68" t="s">
        <v>599</v>
      </c>
      <c r="R2162" s="108" t="s">
        <v>97</v>
      </c>
      <c r="S2162" s="108" t="s">
        <v>300</v>
      </c>
      <c r="T2162" s="98">
        <v>1E-8</v>
      </c>
      <c r="U2162" s="80">
        <v>1E-8</v>
      </c>
      <c r="V2162" s="98">
        <v>1E-8</v>
      </c>
      <c r="W2162" s="98">
        <v>1E-8</v>
      </c>
      <c r="X2162" s="98">
        <v>1E-8</v>
      </c>
      <c r="Y2162" s="98">
        <v>1E-8</v>
      </c>
      <c r="Z2162" s="98">
        <v>1E-8</v>
      </c>
      <c r="AA2162" s="98">
        <v>1E-8</v>
      </c>
      <c r="AB2162" s="98">
        <v>1E-8</v>
      </c>
      <c r="AC2162" s="98">
        <v>1E-8</v>
      </c>
      <c r="AD2162" s="4"/>
    </row>
    <row r="2163" spans="1:30" x14ac:dyDescent="0.35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34"/>
      <c r="O2163" s="4"/>
      <c r="P2163" s="68"/>
      <c r="Q2163" s="68" t="s">
        <v>600</v>
      </c>
      <c r="R2163" s="108" t="s">
        <v>97</v>
      </c>
      <c r="S2163" s="108" t="s">
        <v>303</v>
      </c>
      <c r="T2163" s="98">
        <v>1E-8</v>
      </c>
      <c r="U2163" s="80">
        <v>1E-8</v>
      </c>
      <c r="V2163" s="98">
        <v>1E-8</v>
      </c>
      <c r="W2163" s="98">
        <v>1E-8</v>
      </c>
      <c r="X2163" s="98">
        <v>1E-8</v>
      </c>
      <c r="Y2163" s="98">
        <v>1E-8</v>
      </c>
      <c r="Z2163" s="98">
        <v>1E-8</v>
      </c>
      <c r="AA2163" s="98">
        <v>1E-8</v>
      </c>
      <c r="AB2163" s="98">
        <v>1E-8</v>
      </c>
      <c r="AC2163" s="98">
        <v>1E-8</v>
      </c>
      <c r="AD2163" s="4"/>
    </row>
    <row r="2164" spans="1:30" x14ac:dyDescent="0.35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34"/>
      <c r="O2164" s="4"/>
      <c r="P2164" s="68"/>
      <c r="Q2164" s="68" t="s">
        <v>601</v>
      </c>
      <c r="R2164" s="108" t="s">
        <v>97</v>
      </c>
      <c r="S2164" s="108" t="s">
        <v>533</v>
      </c>
      <c r="T2164" s="98">
        <v>1E-8</v>
      </c>
      <c r="U2164" s="80">
        <v>1E-8</v>
      </c>
      <c r="V2164" s="98">
        <v>1E-8</v>
      </c>
      <c r="W2164" s="98">
        <v>1E-8</v>
      </c>
      <c r="X2164" s="98">
        <v>1E-8</v>
      </c>
      <c r="Y2164" s="98">
        <v>1E-8</v>
      </c>
      <c r="Z2164" s="98">
        <v>1E-8</v>
      </c>
      <c r="AA2164" s="98">
        <v>1E-8</v>
      </c>
      <c r="AB2164" s="98">
        <v>1E-8</v>
      </c>
      <c r="AC2164" s="98">
        <v>1E-8</v>
      </c>
      <c r="AD2164" s="4"/>
    </row>
    <row r="2165" spans="1:30" x14ac:dyDescent="0.3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34"/>
      <c r="O2165" s="4"/>
      <c r="P2165" s="68"/>
      <c r="Q2165" s="68" t="s">
        <v>602</v>
      </c>
      <c r="R2165" s="108" t="s">
        <v>97</v>
      </c>
      <c r="S2165" s="108" t="s">
        <v>534</v>
      </c>
      <c r="T2165" s="98">
        <v>1E-8</v>
      </c>
      <c r="U2165" s="80">
        <v>1E-8</v>
      </c>
      <c r="V2165" s="98">
        <v>1E-8</v>
      </c>
      <c r="W2165" s="98">
        <v>1E-8</v>
      </c>
      <c r="X2165" s="98">
        <v>1E-8</v>
      </c>
      <c r="Y2165" s="98">
        <v>1E-8</v>
      </c>
      <c r="Z2165" s="98">
        <v>1E-8</v>
      </c>
      <c r="AA2165" s="98">
        <v>1E-8</v>
      </c>
      <c r="AB2165" s="98">
        <v>1E-8</v>
      </c>
      <c r="AC2165" s="98">
        <v>1E-8</v>
      </c>
      <c r="AD2165" s="4"/>
    </row>
    <row r="2166" spans="1:30" x14ac:dyDescent="0.35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34"/>
      <c r="O2166" s="4"/>
      <c r="P2166" s="68"/>
      <c r="Q2166" s="68" t="s">
        <v>603</v>
      </c>
      <c r="R2166" s="108" t="s">
        <v>97</v>
      </c>
      <c r="S2166" s="108" t="s">
        <v>304</v>
      </c>
      <c r="T2166" s="98">
        <v>1E-8</v>
      </c>
      <c r="U2166" s="80">
        <v>1E-8</v>
      </c>
      <c r="V2166" s="98">
        <v>1E-8</v>
      </c>
      <c r="W2166" s="98">
        <v>1E-8</v>
      </c>
      <c r="X2166" s="98">
        <v>1E-8</v>
      </c>
      <c r="Y2166" s="98">
        <v>1E-8</v>
      </c>
      <c r="Z2166" s="98">
        <v>1E-8</v>
      </c>
      <c r="AA2166" s="98">
        <v>1E-8</v>
      </c>
      <c r="AB2166" s="98">
        <v>1E-8</v>
      </c>
      <c r="AC2166" s="98">
        <v>1E-8</v>
      </c>
      <c r="AD2166" s="4"/>
    </row>
    <row r="2167" spans="1:30" x14ac:dyDescent="0.35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34"/>
      <c r="O2167" s="4"/>
      <c r="P2167" s="68"/>
      <c r="Q2167" s="68" t="s">
        <v>604</v>
      </c>
      <c r="R2167" s="108" t="s">
        <v>97</v>
      </c>
      <c r="S2167" s="108" t="s">
        <v>535</v>
      </c>
      <c r="T2167" s="98">
        <v>1E-8</v>
      </c>
      <c r="U2167" s="80">
        <v>1E-8</v>
      </c>
      <c r="V2167" s="98">
        <v>1E-8</v>
      </c>
      <c r="W2167" s="98">
        <v>1E-8</v>
      </c>
      <c r="X2167" s="98">
        <v>1E-8</v>
      </c>
      <c r="Y2167" s="98">
        <v>1E-8</v>
      </c>
      <c r="Z2167" s="98">
        <v>1E-8</v>
      </c>
      <c r="AA2167" s="98">
        <v>1E-8</v>
      </c>
      <c r="AB2167" s="98">
        <v>1E-8</v>
      </c>
      <c r="AC2167" s="98">
        <v>1E-8</v>
      </c>
      <c r="AD2167" s="4"/>
    </row>
    <row r="2168" spans="1:30" x14ac:dyDescent="0.35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34"/>
      <c r="O2168" s="4"/>
      <c r="P2168" s="68"/>
      <c r="Q2168" s="68" t="s">
        <v>605</v>
      </c>
      <c r="R2168" s="108" t="s">
        <v>97</v>
      </c>
      <c r="S2168" s="108" t="s">
        <v>536</v>
      </c>
      <c r="T2168" s="98">
        <v>1E-8</v>
      </c>
      <c r="U2168" s="80">
        <v>1E-8</v>
      </c>
      <c r="V2168" s="98">
        <v>1E-8</v>
      </c>
      <c r="W2168" s="98">
        <v>1E-8</v>
      </c>
      <c r="X2168" s="98">
        <v>1E-8</v>
      </c>
      <c r="Y2168" s="98">
        <v>1E-8</v>
      </c>
      <c r="Z2168" s="98">
        <v>1E-8</v>
      </c>
      <c r="AA2168" s="98">
        <v>1E-8</v>
      </c>
      <c r="AB2168" s="98">
        <v>1E-8</v>
      </c>
      <c r="AC2168" s="98">
        <v>1E-8</v>
      </c>
      <c r="AD2168" s="4"/>
    </row>
    <row r="2169" spans="1:30" x14ac:dyDescent="0.35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34"/>
      <c r="O2169" s="4"/>
      <c r="P2169" s="68"/>
      <c r="Q2169" s="68" t="s">
        <v>606</v>
      </c>
      <c r="R2169" s="108" t="s">
        <v>97</v>
      </c>
      <c r="S2169" s="108" t="s">
        <v>537</v>
      </c>
      <c r="T2169" s="98">
        <v>1E-8</v>
      </c>
      <c r="U2169" s="80">
        <v>1E-8</v>
      </c>
      <c r="V2169" s="98">
        <v>1E-8</v>
      </c>
      <c r="W2169" s="98">
        <v>1E-8</v>
      </c>
      <c r="X2169" s="98">
        <v>1E-8</v>
      </c>
      <c r="Y2169" s="98">
        <v>1E-8</v>
      </c>
      <c r="Z2169" s="98">
        <v>1E-8</v>
      </c>
      <c r="AA2169" s="98">
        <v>1E-8</v>
      </c>
      <c r="AB2169" s="98">
        <v>1E-8</v>
      </c>
      <c r="AC2169" s="98">
        <v>1E-8</v>
      </c>
      <c r="AD2169" s="4"/>
    </row>
    <row r="2170" spans="1:30" x14ac:dyDescent="0.35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34"/>
      <c r="O2170" s="4"/>
      <c r="P2170" s="68"/>
      <c r="Q2170" s="68" t="s">
        <v>607</v>
      </c>
      <c r="R2170" s="108" t="s">
        <v>97</v>
      </c>
      <c r="S2170" s="108" t="s">
        <v>307</v>
      </c>
      <c r="T2170" s="98">
        <v>1E-8</v>
      </c>
      <c r="U2170" s="80">
        <v>1E-8</v>
      </c>
      <c r="V2170" s="98">
        <v>1E-8</v>
      </c>
      <c r="W2170" s="98">
        <v>1E-8</v>
      </c>
      <c r="X2170" s="98">
        <v>1E-8</v>
      </c>
      <c r="Y2170" s="98">
        <v>1E-8</v>
      </c>
      <c r="Z2170" s="98">
        <v>1E-8</v>
      </c>
      <c r="AA2170" s="98">
        <v>1E-8</v>
      </c>
      <c r="AB2170" s="98">
        <v>1E-8</v>
      </c>
      <c r="AC2170" s="98">
        <v>1E-8</v>
      </c>
      <c r="AD2170" s="4"/>
    </row>
    <row r="2171" spans="1:30" x14ac:dyDescent="0.35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34"/>
      <c r="O2171" s="4"/>
      <c r="P2171" s="68"/>
      <c r="Q2171" s="68" t="s">
        <v>608</v>
      </c>
      <c r="R2171" s="108" t="s">
        <v>97</v>
      </c>
      <c r="S2171" s="108" t="s">
        <v>298</v>
      </c>
      <c r="T2171" s="98">
        <v>1E-8</v>
      </c>
      <c r="U2171" s="80">
        <v>1E-8</v>
      </c>
      <c r="V2171" s="98">
        <v>1E-8</v>
      </c>
      <c r="W2171" s="98">
        <v>1E-8</v>
      </c>
      <c r="X2171" s="98">
        <v>1E-8</v>
      </c>
      <c r="Y2171" s="98">
        <v>1E-8</v>
      </c>
      <c r="Z2171" s="98">
        <v>1E-8</v>
      </c>
      <c r="AA2171" s="98">
        <v>1E-8</v>
      </c>
      <c r="AB2171" s="98">
        <v>1E-8</v>
      </c>
      <c r="AC2171" s="98">
        <v>1E-8</v>
      </c>
      <c r="AD2171" s="4"/>
    </row>
    <row r="2172" spans="1:30" x14ac:dyDescent="0.35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34"/>
      <c r="O2172" s="4"/>
      <c r="P2172" s="68"/>
      <c r="Q2172" s="68" t="s">
        <v>609</v>
      </c>
      <c r="R2172" s="108" t="s">
        <v>97</v>
      </c>
      <c r="S2172" s="108" t="s">
        <v>538</v>
      </c>
      <c r="T2172" s="98">
        <v>1E-8</v>
      </c>
      <c r="U2172" s="80">
        <v>1E-8</v>
      </c>
      <c r="V2172" s="98">
        <v>1E-8</v>
      </c>
      <c r="W2172" s="98">
        <v>1E-8</v>
      </c>
      <c r="X2172" s="98">
        <v>1E-8</v>
      </c>
      <c r="Y2172" s="98">
        <v>1E-8</v>
      </c>
      <c r="Z2172" s="98">
        <v>1E-8</v>
      </c>
      <c r="AA2172" s="98">
        <v>1E-8</v>
      </c>
      <c r="AB2172" s="98">
        <v>1E-8</v>
      </c>
      <c r="AC2172" s="98">
        <v>1E-8</v>
      </c>
      <c r="AD2172" s="4"/>
    </row>
    <row r="2173" spans="1:30" x14ac:dyDescent="0.35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34"/>
      <c r="O2173" s="4"/>
      <c r="P2173" s="68"/>
      <c r="Q2173" s="68" t="s">
        <v>610</v>
      </c>
      <c r="R2173" s="108" t="s">
        <v>97</v>
      </c>
      <c r="S2173" s="108" t="s">
        <v>299</v>
      </c>
      <c r="T2173" s="98">
        <v>1E-8</v>
      </c>
      <c r="U2173" s="80">
        <v>1E-8</v>
      </c>
      <c r="V2173" s="98">
        <v>1E-8</v>
      </c>
      <c r="W2173" s="98">
        <v>1E-8</v>
      </c>
      <c r="X2173" s="98">
        <v>1E-8</v>
      </c>
      <c r="Y2173" s="98">
        <v>1E-8</v>
      </c>
      <c r="Z2173" s="98">
        <v>1E-8</v>
      </c>
      <c r="AA2173" s="98">
        <v>1E-8</v>
      </c>
      <c r="AB2173" s="98">
        <v>1E-8</v>
      </c>
      <c r="AC2173" s="98">
        <v>1E-8</v>
      </c>
      <c r="AD2173" s="4"/>
    </row>
    <row r="2174" spans="1:30" x14ac:dyDescent="0.35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34"/>
      <c r="O2174" s="4"/>
      <c r="P2174" s="68"/>
      <c r="Q2174" s="68" t="s">
        <v>611</v>
      </c>
      <c r="R2174" s="108" t="s">
        <v>97</v>
      </c>
      <c r="S2174" s="108" t="s">
        <v>309</v>
      </c>
      <c r="T2174" s="98">
        <v>1E-8</v>
      </c>
      <c r="U2174" s="80">
        <v>1E-8</v>
      </c>
      <c r="V2174" s="98">
        <v>1E-8</v>
      </c>
      <c r="W2174" s="98">
        <v>1E-8</v>
      </c>
      <c r="X2174" s="98">
        <v>1E-8</v>
      </c>
      <c r="Y2174" s="98">
        <v>1E-8</v>
      </c>
      <c r="Z2174" s="98">
        <v>1E-8</v>
      </c>
      <c r="AA2174" s="98">
        <v>1E-8</v>
      </c>
      <c r="AB2174" s="98">
        <v>1E-8</v>
      </c>
      <c r="AC2174" s="98">
        <v>1E-8</v>
      </c>
      <c r="AD2174" s="4"/>
    </row>
    <row r="2175" spans="1:30" x14ac:dyDescent="0.3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34"/>
      <c r="O2175" s="4"/>
      <c r="P2175" s="68"/>
      <c r="Q2175" s="68" t="s">
        <v>612</v>
      </c>
      <c r="R2175" s="108" t="s">
        <v>97</v>
      </c>
      <c r="S2175" s="108" t="s">
        <v>308</v>
      </c>
      <c r="T2175" s="98">
        <v>1E-8</v>
      </c>
      <c r="U2175" s="80">
        <v>1E-8</v>
      </c>
      <c r="V2175" s="98">
        <v>1E-8</v>
      </c>
      <c r="W2175" s="98">
        <v>1E-8</v>
      </c>
      <c r="X2175" s="98">
        <v>1E-8</v>
      </c>
      <c r="Y2175" s="98">
        <v>1E-8</v>
      </c>
      <c r="Z2175" s="98">
        <v>1E-8</v>
      </c>
      <c r="AA2175" s="98">
        <v>1E-8</v>
      </c>
      <c r="AB2175" s="98">
        <v>1E-8</v>
      </c>
      <c r="AC2175" s="98">
        <v>1E-8</v>
      </c>
      <c r="AD2175" s="4"/>
    </row>
    <row r="2176" spans="1:30" x14ac:dyDescent="0.35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34"/>
      <c r="O2176" s="4"/>
      <c r="P2176" s="68"/>
      <c r="Q2176" s="68" t="s">
        <v>613</v>
      </c>
      <c r="R2176" s="108" t="s">
        <v>97</v>
      </c>
      <c r="S2176" s="108" t="s">
        <v>306</v>
      </c>
      <c r="T2176" s="98">
        <v>1E-8</v>
      </c>
      <c r="U2176" s="80">
        <v>1E-8</v>
      </c>
      <c r="V2176" s="98">
        <v>1E-8</v>
      </c>
      <c r="W2176" s="98">
        <v>1E-8</v>
      </c>
      <c r="X2176" s="98">
        <v>1E-8</v>
      </c>
      <c r="Y2176" s="98">
        <v>1E-8</v>
      </c>
      <c r="Z2176" s="98">
        <v>1E-8</v>
      </c>
      <c r="AA2176" s="98">
        <v>1E-8</v>
      </c>
      <c r="AB2176" s="98">
        <v>1E-8</v>
      </c>
      <c r="AC2176" s="98">
        <v>1E-8</v>
      </c>
      <c r="AD2176" s="4"/>
    </row>
    <row r="2177" spans="1:30" x14ac:dyDescent="0.35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34"/>
      <c r="O2177" s="4"/>
      <c r="P2177" s="68"/>
      <c r="Q2177" s="68" t="s">
        <v>614</v>
      </c>
      <c r="R2177" s="108" t="s">
        <v>97</v>
      </c>
      <c r="S2177" s="108" t="s">
        <v>305</v>
      </c>
      <c r="T2177" s="98">
        <v>1E-8</v>
      </c>
      <c r="U2177" s="80">
        <v>1E-8</v>
      </c>
      <c r="V2177" s="98">
        <v>1E-8</v>
      </c>
      <c r="W2177" s="98">
        <v>1E-8</v>
      </c>
      <c r="X2177" s="98">
        <v>1E-8</v>
      </c>
      <c r="Y2177" s="98">
        <v>1E-8</v>
      </c>
      <c r="Z2177" s="98">
        <v>1E-8</v>
      </c>
      <c r="AA2177" s="98">
        <v>1E-8</v>
      </c>
      <c r="AB2177" s="98">
        <v>1E-8</v>
      </c>
      <c r="AC2177" s="98">
        <v>1E-8</v>
      </c>
      <c r="AD2177" s="4"/>
    </row>
    <row r="2178" spans="1:30" x14ac:dyDescent="0.35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34"/>
      <c r="O2178" s="4"/>
      <c r="P2178" s="68"/>
      <c r="Q2178" s="68" t="s">
        <v>615</v>
      </c>
      <c r="R2178" s="108" t="s">
        <v>97</v>
      </c>
      <c r="S2178" s="108" t="s">
        <v>539</v>
      </c>
      <c r="T2178" s="98">
        <v>1E-8</v>
      </c>
      <c r="U2178" s="80">
        <v>1E-8</v>
      </c>
      <c r="V2178" s="98">
        <v>1E-8</v>
      </c>
      <c r="W2178" s="98">
        <v>1E-8</v>
      </c>
      <c r="X2178" s="98">
        <v>1E-8</v>
      </c>
      <c r="Y2178" s="98">
        <v>1E-8</v>
      </c>
      <c r="Z2178" s="98">
        <v>1E-8</v>
      </c>
      <c r="AA2178" s="98">
        <v>1E-8</v>
      </c>
      <c r="AB2178" s="98">
        <v>1E-8</v>
      </c>
      <c r="AC2178" s="98">
        <v>1E-8</v>
      </c>
      <c r="AD2178" s="4"/>
    </row>
    <row r="2179" spans="1:30" x14ac:dyDescent="0.35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34"/>
      <c r="O2179" s="4"/>
      <c r="P2179" s="68"/>
      <c r="Q2179" s="68" t="s">
        <v>616</v>
      </c>
      <c r="R2179" s="109" t="s">
        <v>97</v>
      </c>
      <c r="S2179" s="109" t="s">
        <v>310</v>
      </c>
      <c r="T2179" s="81">
        <v>1E-8</v>
      </c>
      <c r="U2179" s="82">
        <v>1E-8</v>
      </c>
      <c r="V2179" s="81">
        <v>1E-8</v>
      </c>
      <c r="W2179" s="81">
        <v>1E-8</v>
      </c>
      <c r="X2179" s="81">
        <v>1E-8</v>
      </c>
      <c r="Y2179" s="81">
        <v>1E-8</v>
      </c>
      <c r="Z2179" s="81">
        <v>1E-8</v>
      </c>
      <c r="AA2179" s="81">
        <v>1E-8</v>
      </c>
      <c r="AB2179" s="81">
        <v>1E-8</v>
      </c>
      <c r="AC2179" s="81">
        <v>1E-8</v>
      </c>
      <c r="AD2179" s="4"/>
    </row>
    <row r="2180" spans="1:30" x14ac:dyDescent="0.35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34"/>
      <c r="O2180" s="4"/>
      <c r="P2180" s="96"/>
      <c r="Q2180" s="96" t="s">
        <v>280</v>
      </c>
      <c r="R2180" s="107" t="s">
        <v>97</v>
      </c>
      <c r="S2180" s="107" t="s">
        <v>311</v>
      </c>
      <c r="T2180" s="97">
        <v>1E-8</v>
      </c>
      <c r="U2180" s="78">
        <v>1E-8</v>
      </c>
      <c r="V2180" s="97">
        <v>1E-8</v>
      </c>
      <c r="W2180" s="97">
        <v>1E-8</v>
      </c>
      <c r="X2180" s="97">
        <v>1E-8</v>
      </c>
      <c r="Y2180" s="97">
        <v>1E-8</v>
      </c>
      <c r="Z2180" s="97">
        <v>1E-8</v>
      </c>
      <c r="AA2180" s="97">
        <v>1E-8</v>
      </c>
      <c r="AB2180" s="97">
        <v>1E-8</v>
      </c>
      <c r="AC2180" s="97">
        <v>1E-8</v>
      </c>
      <c r="AD2180" s="4"/>
    </row>
    <row r="2181" spans="1:30" x14ac:dyDescent="0.35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34"/>
      <c r="O2181" s="4"/>
      <c r="P2181" s="68"/>
      <c r="Q2181" s="68" t="s">
        <v>617</v>
      </c>
      <c r="R2181" s="108" t="s">
        <v>97</v>
      </c>
      <c r="S2181" s="108" t="s">
        <v>312</v>
      </c>
      <c r="T2181" s="98">
        <v>1E-8</v>
      </c>
      <c r="U2181" s="80">
        <v>1E-8</v>
      </c>
      <c r="V2181" s="98">
        <v>1E-8</v>
      </c>
      <c r="W2181" s="98">
        <v>1E-8</v>
      </c>
      <c r="X2181" s="98">
        <v>1E-8</v>
      </c>
      <c r="Y2181" s="98">
        <v>1E-8</v>
      </c>
      <c r="Z2181" s="98">
        <v>1E-8</v>
      </c>
      <c r="AA2181" s="98">
        <v>1E-8</v>
      </c>
      <c r="AB2181" s="98">
        <v>1E-8</v>
      </c>
      <c r="AC2181" s="98">
        <v>1E-8</v>
      </c>
      <c r="AD2181" s="4"/>
    </row>
    <row r="2182" spans="1:30" x14ac:dyDescent="0.35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34"/>
      <c r="O2182" s="4"/>
      <c r="P2182" s="68"/>
      <c r="Q2182" s="68" t="s">
        <v>618</v>
      </c>
      <c r="R2182" s="108" t="s">
        <v>97</v>
      </c>
      <c r="S2182" s="108" t="s">
        <v>316</v>
      </c>
      <c r="T2182" s="98">
        <v>1E-8</v>
      </c>
      <c r="U2182" s="80">
        <v>1E-8</v>
      </c>
      <c r="V2182" s="98">
        <v>1E-8</v>
      </c>
      <c r="W2182" s="98">
        <v>1E-8</v>
      </c>
      <c r="X2182" s="98">
        <v>1E-8</v>
      </c>
      <c r="Y2182" s="98">
        <v>1E-8</v>
      </c>
      <c r="Z2182" s="98">
        <v>1E-8</v>
      </c>
      <c r="AA2182" s="98">
        <v>1E-8</v>
      </c>
      <c r="AB2182" s="98">
        <v>1E-8</v>
      </c>
      <c r="AC2182" s="98">
        <v>1E-8</v>
      </c>
      <c r="AD2182" s="4"/>
    </row>
    <row r="2183" spans="1:30" x14ac:dyDescent="0.35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34"/>
      <c r="O2183" s="4"/>
      <c r="P2183" s="68"/>
      <c r="Q2183" s="68" t="s">
        <v>619</v>
      </c>
      <c r="R2183" s="108" t="s">
        <v>97</v>
      </c>
      <c r="S2183" s="108" t="s">
        <v>314</v>
      </c>
      <c r="T2183" s="98">
        <v>1E-8</v>
      </c>
      <c r="U2183" s="80">
        <v>1E-8</v>
      </c>
      <c r="V2183" s="98">
        <v>1E-8</v>
      </c>
      <c r="W2183" s="98">
        <v>1E-8</v>
      </c>
      <c r="X2183" s="98">
        <v>1E-8</v>
      </c>
      <c r="Y2183" s="98">
        <v>1E-8</v>
      </c>
      <c r="Z2183" s="98">
        <v>1E-8</v>
      </c>
      <c r="AA2183" s="98">
        <v>1E-8</v>
      </c>
      <c r="AB2183" s="98">
        <v>1E-8</v>
      </c>
      <c r="AC2183" s="98">
        <v>1E-8</v>
      </c>
      <c r="AD2183" s="4"/>
    </row>
    <row r="2184" spans="1:30" x14ac:dyDescent="0.35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34"/>
      <c r="O2184" s="4"/>
      <c r="P2184" s="68"/>
      <c r="Q2184" s="68" t="s">
        <v>620</v>
      </c>
      <c r="R2184" s="108" t="s">
        <v>97</v>
      </c>
      <c r="S2184" s="108" t="s">
        <v>317</v>
      </c>
      <c r="T2184" s="98">
        <v>1E-8</v>
      </c>
      <c r="U2184" s="80">
        <v>1E-8</v>
      </c>
      <c r="V2184" s="98">
        <v>1E-8</v>
      </c>
      <c r="W2184" s="98">
        <v>1E-8</v>
      </c>
      <c r="X2184" s="98">
        <v>1E-8</v>
      </c>
      <c r="Y2184" s="98">
        <v>1E-8</v>
      </c>
      <c r="Z2184" s="98">
        <v>1E-8</v>
      </c>
      <c r="AA2184" s="98">
        <v>1E-8</v>
      </c>
      <c r="AB2184" s="98">
        <v>1E-8</v>
      </c>
      <c r="AC2184" s="98">
        <v>1E-8</v>
      </c>
      <c r="AD2184" s="4"/>
    </row>
    <row r="2185" spans="1:30" x14ac:dyDescent="0.3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34"/>
      <c r="O2185" s="4"/>
      <c r="P2185" s="68"/>
      <c r="Q2185" s="68" t="s">
        <v>621</v>
      </c>
      <c r="R2185" s="108" t="s">
        <v>97</v>
      </c>
      <c r="S2185" s="108" t="s">
        <v>313</v>
      </c>
      <c r="T2185" s="98">
        <v>1E-8</v>
      </c>
      <c r="U2185" s="80">
        <v>1E-8</v>
      </c>
      <c r="V2185" s="98">
        <v>1E-8</v>
      </c>
      <c r="W2185" s="98">
        <v>1E-8</v>
      </c>
      <c r="X2185" s="98">
        <v>1E-8</v>
      </c>
      <c r="Y2185" s="98">
        <v>1E-8</v>
      </c>
      <c r="Z2185" s="98">
        <v>1E-8</v>
      </c>
      <c r="AA2185" s="98">
        <v>1E-8</v>
      </c>
      <c r="AB2185" s="98">
        <v>1E-8</v>
      </c>
      <c r="AC2185" s="98">
        <v>1E-8</v>
      </c>
      <c r="AD2185" s="4"/>
    </row>
    <row r="2186" spans="1:30" x14ac:dyDescent="0.35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34"/>
      <c r="O2186" s="4"/>
      <c r="P2186" s="68"/>
      <c r="Q2186" s="68" t="s">
        <v>622</v>
      </c>
      <c r="R2186" s="108" t="s">
        <v>97</v>
      </c>
      <c r="S2186" s="108" t="s">
        <v>315</v>
      </c>
      <c r="T2186" s="98">
        <v>1E-8</v>
      </c>
      <c r="U2186" s="80">
        <v>1E-8</v>
      </c>
      <c r="V2186" s="98">
        <v>1E-8</v>
      </c>
      <c r="W2186" s="98">
        <v>1E-8</v>
      </c>
      <c r="X2186" s="98">
        <v>1E-8</v>
      </c>
      <c r="Y2186" s="98">
        <v>1E-8</v>
      </c>
      <c r="Z2186" s="98">
        <v>1E-8</v>
      </c>
      <c r="AA2186" s="98">
        <v>1E-8</v>
      </c>
      <c r="AB2186" s="98">
        <v>1E-8</v>
      </c>
      <c r="AC2186" s="98">
        <v>1E-8</v>
      </c>
      <c r="AD2186" s="4"/>
    </row>
    <row r="2187" spans="1:30" x14ac:dyDescent="0.35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34"/>
      <c r="O2187" s="4"/>
      <c r="P2187" s="68"/>
      <c r="Q2187" s="68" t="s">
        <v>623</v>
      </c>
      <c r="R2187" s="108" t="s">
        <v>97</v>
      </c>
      <c r="S2187" s="108" t="s">
        <v>540</v>
      </c>
      <c r="T2187" s="98">
        <v>1E-8</v>
      </c>
      <c r="U2187" s="80">
        <v>1E-8</v>
      </c>
      <c r="V2187" s="98">
        <v>1E-8</v>
      </c>
      <c r="W2187" s="98">
        <v>1E-8</v>
      </c>
      <c r="X2187" s="98">
        <v>1E-8</v>
      </c>
      <c r="Y2187" s="98">
        <v>1E-8</v>
      </c>
      <c r="Z2187" s="98">
        <v>1E-8</v>
      </c>
      <c r="AA2187" s="98">
        <v>1E-8</v>
      </c>
      <c r="AB2187" s="98">
        <v>1E-8</v>
      </c>
      <c r="AC2187" s="98">
        <v>1E-8</v>
      </c>
      <c r="AD2187" s="4"/>
    </row>
    <row r="2188" spans="1:30" x14ac:dyDescent="0.35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34"/>
      <c r="O2188" s="4"/>
      <c r="P2188" s="68"/>
      <c r="Q2188" s="68" t="s">
        <v>624</v>
      </c>
      <c r="R2188" s="109" t="s">
        <v>97</v>
      </c>
      <c r="S2188" s="109" t="s">
        <v>541</v>
      </c>
      <c r="T2188" s="81">
        <v>1E-8</v>
      </c>
      <c r="U2188" s="82">
        <v>1E-8</v>
      </c>
      <c r="V2188" s="81">
        <v>1E-8</v>
      </c>
      <c r="W2188" s="81">
        <v>1E-8</v>
      </c>
      <c r="X2188" s="81">
        <v>1E-8</v>
      </c>
      <c r="Y2188" s="81">
        <v>1E-8</v>
      </c>
      <c r="Z2188" s="81">
        <v>1E-8</v>
      </c>
      <c r="AA2188" s="81">
        <v>1E-8</v>
      </c>
      <c r="AB2188" s="81">
        <v>1E-8</v>
      </c>
      <c r="AC2188" s="81">
        <v>1E-8</v>
      </c>
      <c r="AD2188" s="4"/>
    </row>
    <row r="2189" spans="1:30" x14ac:dyDescent="0.35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34"/>
      <c r="O2189" s="4"/>
      <c r="P2189" s="96"/>
      <c r="Q2189" s="96" t="s">
        <v>281</v>
      </c>
      <c r="R2189" s="107" t="s">
        <v>97</v>
      </c>
      <c r="S2189" s="107" t="s">
        <v>318</v>
      </c>
      <c r="T2189" s="97">
        <v>1E-8</v>
      </c>
      <c r="U2189" s="78">
        <v>1E-8</v>
      </c>
      <c r="V2189" s="97">
        <v>1E-8</v>
      </c>
      <c r="W2189" s="97">
        <v>1E-8</v>
      </c>
      <c r="X2189" s="97">
        <v>1E-8</v>
      </c>
      <c r="Y2189" s="97">
        <v>1E-8</v>
      </c>
      <c r="Z2189" s="97">
        <v>1E-8</v>
      </c>
      <c r="AA2189" s="97">
        <v>1E-8</v>
      </c>
      <c r="AB2189" s="97">
        <v>1E-8</v>
      </c>
      <c r="AC2189" s="97">
        <v>1E-8</v>
      </c>
      <c r="AD2189" s="4"/>
    </row>
    <row r="2190" spans="1:30" x14ac:dyDescent="0.35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34"/>
      <c r="O2190" s="4"/>
      <c r="P2190" s="96"/>
      <c r="Q2190" s="96" t="s">
        <v>135</v>
      </c>
      <c r="R2190" s="107" t="s">
        <v>97</v>
      </c>
      <c r="S2190" s="107" t="s">
        <v>542</v>
      </c>
      <c r="T2190" s="97">
        <v>1E-8</v>
      </c>
      <c r="U2190" s="78">
        <v>1E-8</v>
      </c>
      <c r="V2190" s="97">
        <v>1E-8</v>
      </c>
      <c r="W2190" s="97">
        <v>1E-8</v>
      </c>
      <c r="X2190" s="97">
        <v>1E-8</v>
      </c>
      <c r="Y2190" s="97">
        <v>1E-8</v>
      </c>
      <c r="Z2190" s="97">
        <v>1E-8</v>
      </c>
      <c r="AA2190" s="97">
        <v>1E-8</v>
      </c>
      <c r="AB2190" s="97">
        <v>1E-8</v>
      </c>
      <c r="AC2190" s="97">
        <v>1E-8</v>
      </c>
      <c r="AD2190" s="4"/>
    </row>
    <row r="2191" spans="1:30" x14ac:dyDescent="0.35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34"/>
      <c r="O2191" s="4"/>
      <c r="P2191" s="68"/>
      <c r="Q2191" s="68" t="s">
        <v>625</v>
      </c>
      <c r="R2191" s="108" t="s">
        <v>97</v>
      </c>
      <c r="S2191" s="108" t="s">
        <v>543</v>
      </c>
      <c r="T2191" s="98">
        <v>1E-8</v>
      </c>
      <c r="U2191" s="80">
        <v>1E-8</v>
      </c>
      <c r="V2191" s="98">
        <v>1E-8</v>
      </c>
      <c r="W2191" s="98">
        <v>1E-8</v>
      </c>
      <c r="X2191" s="98">
        <v>1E-8</v>
      </c>
      <c r="Y2191" s="98">
        <v>1E-8</v>
      </c>
      <c r="Z2191" s="98">
        <v>1E-8</v>
      </c>
      <c r="AA2191" s="98">
        <v>1E-8</v>
      </c>
      <c r="AB2191" s="98">
        <v>1E-8</v>
      </c>
      <c r="AC2191" s="98">
        <v>1E-8</v>
      </c>
      <c r="AD2191" s="4"/>
    </row>
    <row r="2192" spans="1:30" x14ac:dyDescent="0.35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34"/>
      <c r="O2192" s="4"/>
      <c r="P2192" s="68"/>
      <c r="Q2192" s="68" t="s">
        <v>626</v>
      </c>
      <c r="R2192" s="108" t="s">
        <v>97</v>
      </c>
      <c r="S2192" s="108" t="s">
        <v>544</v>
      </c>
      <c r="T2192" s="98">
        <v>1E-8</v>
      </c>
      <c r="U2192" s="80">
        <v>1E-8</v>
      </c>
      <c r="V2192" s="98">
        <v>1E-8</v>
      </c>
      <c r="W2192" s="98">
        <v>1E-8</v>
      </c>
      <c r="X2192" s="98">
        <v>1E-8</v>
      </c>
      <c r="Y2192" s="98">
        <v>1E-8</v>
      </c>
      <c r="Z2192" s="98">
        <v>1E-8</v>
      </c>
      <c r="AA2192" s="98">
        <v>1E-8</v>
      </c>
      <c r="AB2192" s="98">
        <v>1E-8</v>
      </c>
      <c r="AC2192" s="98">
        <v>1E-8</v>
      </c>
      <c r="AD2192" s="4"/>
    </row>
    <row r="2193" spans="1:30" x14ac:dyDescent="0.35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34"/>
      <c r="O2193" s="4"/>
      <c r="P2193" s="68"/>
      <c r="Q2193" s="68" t="s">
        <v>627</v>
      </c>
      <c r="R2193" s="108" t="s">
        <v>97</v>
      </c>
      <c r="S2193" s="108" t="s">
        <v>319</v>
      </c>
      <c r="T2193" s="98">
        <v>1E-8</v>
      </c>
      <c r="U2193" s="80">
        <v>1E-8</v>
      </c>
      <c r="V2193" s="98">
        <v>1E-8</v>
      </c>
      <c r="W2193" s="98">
        <v>1E-8</v>
      </c>
      <c r="X2193" s="98">
        <v>1E-8</v>
      </c>
      <c r="Y2193" s="98">
        <v>1E-8</v>
      </c>
      <c r="Z2193" s="98">
        <v>1E-8</v>
      </c>
      <c r="AA2193" s="98">
        <v>1E-8</v>
      </c>
      <c r="AB2193" s="98">
        <v>1E-8</v>
      </c>
      <c r="AC2193" s="98">
        <v>1E-8</v>
      </c>
      <c r="AD2193" s="4"/>
    </row>
    <row r="2194" spans="1:30" x14ac:dyDescent="0.35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34"/>
      <c r="O2194" s="4"/>
      <c r="P2194" s="71"/>
      <c r="Q2194" s="71" t="s">
        <v>628</v>
      </c>
      <c r="R2194" s="110" t="s">
        <v>97</v>
      </c>
      <c r="S2194" s="110" t="s">
        <v>320</v>
      </c>
      <c r="T2194" s="83">
        <v>1E-8</v>
      </c>
      <c r="U2194" s="84">
        <v>1E-8</v>
      </c>
      <c r="V2194" s="83">
        <v>1E-8</v>
      </c>
      <c r="W2194" s="83">
        <v>1E-8</v>
      </c>
      <c r="X2194" s="83">
        <v>1E-8</v>
      </c>
      <c r="Y2194" s="83">
        <v>1E-8</v>
      </c>
      <c r="Z2194" s="83">
        <v>1E-8</v>
      </c>
      <c r="AA2194" s="83">
        <v>1E-8</v>
      </c>
      <c r="AB2194" s="83">
        <v>1E-8</v>
      </c>
      <c r="AC2194" s="83">
        <v>1E-8</v>
      </c>
      <c r="AD2194" s="4"/>
    </row>
    <row r="2195" spans="1:30" x14ac:dyDescent="0.3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34"/>
      <c r="O2195" s="4"/>
      <c r="P2195" s="99"/>
      <c r="Q2195" s="99" t="s">
        <v>282</v>
      </c>
      <c r="R2195" s="105" t="s">
        <v>97</v>
      </c>
      <c r="S2195" s="105" t="s">
        <v>321</v>
      </c>
      <c r="T2195" s="95">
        <v>100</v>
      </c>
      <c r="U2195" s="74">
        <v>1E-8</v>
      </c>
      <c r="V2195" s="95">
        <v>1E-8</v>
      </c>
      <c r="W2195" s="95">
        <v>1E-8</v>
      </c>
      <c r="X2195" s="95">
        <v>1E-8</v>
      </c>
      <c r="Y2195" s="95">
        <v>1E-8</v>
      </c>
      <c r="Z2195" s="95">
        <v>1E-8</v>
      </c>
      <c r="AA2195" s="95">
        <v>1E-8</v>
      </c>
      <c r="AB2195" s="95">
        <v>1E-8</v>
      </c>
      <c r="AC2195" s="95">
        <v>1E-8</v>
      </c>
      <c r="AD2195" s="4"/>
    </row>
    <row r="2196" spans="1:30" x14ac:dyDescent="0.35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34"/>
      <c r="O2196" s="4"/>
      <c r="P2196" s="99"/>
      <c r="Q2196" s="99" t="s">
        <v>283</v>
      </c>
      <c r="R2196" s="105" t="s">
        <v>97</v>
      </c>
      <c r="S2196" s="105" t="s">
        <v>322</v>
      </c>
      <c r="T2196" s="95">
        <v>28.941332166411087</v>
      </c>
      <c r="U2196" s="74">
        <v>1E-8</v>
      </c>
      <c r="V2196" s="95">
        <v>1E-8</v>
      </c>
      <c r="W2196" s="95">
        <v>1E-8</v>
      </c>
      <c r="X2196" s="95">
        <v>1E-8</v>
      </c>
      <c r="Y2196" s="95">
        <v>1E-8</v>
      </c>
      <c r="Z2196" s="95">
        <v>1E-8</v>
      </c>
      <c r="AA2196" s="95">
        <v>1E-8</v>
      </c>
      <c r="AB2196" s="95">
        <v>1E-8</v>
      </c>
      <c r="AC2196" s="95">
        <v>1E-8</v>
      </c>
      <c r="AD2196" s="4"/>
    </row>
    <row r="2197" spans="1:30" x14ac:dyDescent="0.35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34"/>
      <c r="O2197" s="4"/>
      <c r="P2197" s="96"/>
      <c r="Q2197" s="96" t="s">
        <v>284</v>
      </c>
      <c r="R2197" s="107" t="s">
        <v>97</v>
      </c>
      <c r="S2197" s="107" t="s">
        <v>323</v>
      </c>
      <c r="T2197" s="97">
        <v>1E-8</v>
      </c>
      <c r="U2197" s="78">
        <v>1E-8</v>
      </c>
      <c r="V2197" s="97">
        <v>1E-8</v>
      </c>
      <c r="W2197" s="97">
        <v>1E-8</v>
      </c>
      <c r="X2197" s="97">
        <v>1E-8</v>
      </c>
      <c r="Y2197" s="97">
        <v>1E-8</v>
      </c>
      <c r="Z2197" s="97">
        <v>1E-8</v>
      </c>
      <c r="AA2197" s="97">
        <v>1E-8</v>
      </c>
      <c r="AB2197" s="97">
        <v>1E-8</v>
      </c>
      <c r="AC2197" s="97">
        <v>1E-8</v>
      </c>
      <c r="AD2197" s="4"/>
    </row>
    <row r="2198" spans="1:30" x14ac:dyDescent="0.35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34"/>
      <c r="O2198" s="4"/>
      <c r="P2198" s="68"/>
      <c r="Q2198" s="68" t="s">
        <v>629</v>
      </c>
      <c r="R2198" s="108" t="s">
        <v>97</v>
      </c>
      <c r="S2198" s="108" t="s">
        <v>324</v>
      </c>
      <c r="T2198" s="98">
        <v>1E-8</v>
      </c>
      <c r="U2198" s="80">
        <v>1E-8</v>
      </c>
      <c r="V2198" s="98">
        <v>1E-8</v>
      </c>
      <c r="W2198" s="98">
        <v>1E-8</v>
      </c>
      <c r="X2198" s="98">
        <v>1E-8</v>
      </c>
      <c r="Y2198" s="98">
        <v>1E-8</v>
      </c>
      <c r="Z2198" s="98">
        <v>1E-8</v>
      </c>
      <c r="AA2198" s="98">
        <v>1E-8</v>
      </c>
      <c r="AB2198" s="98">
        <v>1E-8</v>
      </c>
      <c r="AC2198" s="98">
        <v>1E-8</v>
      </c>
      <c r="AD2198" s="4"/>
    </row>
    <row r="2199" spans="1:30" x14ac:dyDescent="0.35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34"/>
      <c r="O2199" s="4"/>
      <c r="P2199" s="68"/>
      <c r="Q2199" s="68" t="s">
        <v>630</v>
      </c>
      <c r="R2199" s="108" t="s">
        <v>97</v>
      </c>
      <c r="S2199" s="108" t="s">
        <v>545</v>
      </c>
      <c r="T2199" s="98">
        <v>1E-8</v>
      </c>
      <c r="U2199" s="80">
        <v>1E-8</v>
      </c>
      <c r="V2199" s="98">
        <v>1E-8</v>
      </c>
      <c r="W2199" s="98">
        <v>1E-8</v>
      </c>
      <c r="X2199" s="98">
        <v>1E-8</v>
      </c>
      <c r="Y2199" s="98">
        <v>1E-8</v>
      </c>
      <c r="Z2199" s="98">
        <v>1E-8</v>
      </c>
      <c r="AA2199" s="98">
        <v>1E-8</v>
      </c>
      <c r="AB2199" s="98">
        <v>1E-8</v>
      </c>
      <c r="AC2199" s="98">
        <v>1E-8</v>
      </c>
      <c r="AD2199" s="4"/>
    </row>
    <row r="2200" spans="1:30" x14ac:dyDescent="0.35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34"/>
      <c r="O2200" s="4"/>
      <c r="P2200" s="68"/>
      <c r="Q2200" s="68" t="s">
        <v>631</v>
      </c>
      <c r="R2200" s="109" t="s">
        <v>97</v>
      </c>
      <c r="S2200" s="109" t="s">
        <v>325</v>
      </c>
      <c r="T2200" s="81">
        <v>1E-8</v>
      </c>
      <c r="U2200" s="82">
        <v>1E-8</v>
      </c>
      <c r="V2200" s="81">
        <v>1E-8</v>
      </c>
      <c r="W2200" s="81">
        <v>1E-8</v>
      </c>
      <c r="X2200" s="81">
        <v>1E-8</v>
      </c>
      <c r="Y2200" s="81">
        <v>1E-8</v>
      </c>
      <c r="Z2200" s="81">
        <v>1E-8</v>
      </c>
      <c r="AA2200" s="81">
        <v>1E-8</v>
      </c>
      <c r="AB2200" s="81">
        <v>1E-8</v>
      </c>
      <c r="AC2200" s="81">
        <v>1E-8</v>
      </c>
      <c r="AD2200" s="4"/>
    </row>
    <row r="2201" spans="1:30" x14ac:dyDescent="0.35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34"/>
      <c r="O2201" s="4"/>
      <c r="P2201" s="96"/>
      <c r="Q2201" s="96" t="s">
        <v>285</v>
      </c>
      <c r="R2201" s="107" t="s">
        <v>97</v>
      </c>
      <c r="S2201" s="107" t="s">
        <v>326</v>
      </c>
      <c r="T2201" s="97">
        <v>16.862775456456045</v>
      </c>
      <c r="U2201" s="78">
        <v>1E-8</v>
      </c>
      <c r="V2201" s="97">
        <v>1E-8</v>
      </c>
      <c r="W2201" s="97">
        <v>1E-8</v>
      </c>
      <c r="X2201" s="97">
        <v>1E-8</v>
      </c>
      <c r="Y2201" s="97">
        <v>1E-8</v>
      </c>
      <c r="Z2201" s="97">
        <v>1E-8</v>
      </c>
      <c r="AA2201" s="97">
        <v>1E-8</v>
      </c>
      <c r="AB2201" s="97">
        <v>1E-8</v>
      </c>
      <c r="AC2201" s="97">
        <v>1E-8</v>
      </c>
      <c r="AD2201" s="4"/>
    </row>
    <row r="2202" spans="1:30" x14ac:dyDescent="0.35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34"/>
      <c r="O2202" s="4"/>
      <c r="P2202" s="68"/>
      <c r="Q2202" s="68" t="s">
        <v>364</v>
      </c>
      <c r="R2202" s="108" t="s">
        <v>97</v>
      </c>
      <c r="S2202" s="108" t="s">
        <v>327</v>
      </c>
      <c r="T2202" s="98">
        <v>4.933031242021177</v>
      </c>
      <c r="U2202" s="80">
        <v>1E-8</v>
      </c>
      <c r="V2202" s="98">
        <v>1E-8</v>
      </c>
      <c r="W2202" s="98">
        <v>1E-8</v>
      </c>
      <c r="X2202" s="98">
        <v>1E-8</v>
      </c>
      <c r="Y2202" s="98">
        <v>1E-8</v>
      </c>
      <c r="Z2202" s="98">
        <v>1E-8</v>
      </c>
      <c r="AA2202" s="98">
        <v>1E-8</v>
      </c>
      <c r="AB2202" s="98">
        <v>1E-8</v>
      </c>
      <c r="AC2202" s="98">
        <v>1E-8</v>
      </c>
      <c r="AD2202" s="4"/>
    </row>
    <row r="2203" spans="1:30" x14ac:dyDescent="0.35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34"/>
      <c r="O2203" s="4"/>
      <c r="P2203" s="100"/>
      <c r="Q2203" s="100" t="s">
        <v>632</v>
      </c>
      <c r="R2203" s="111" t="s">
        <v>97</v>
      </c>
      <c r="S2203" s="111" t="s">
        <v>328</v>
      </c>
      <c r="T2203" s="101">
        <v>0.56022153226725036</v>
      </c>
      <c r="U2203" s="86">
        <v>1E-8</v>
      </c>
      <c r="V2203" s="101">
        <v>1E-8</v>
      </c>
      <c r="W2203" s="101">
        <v>1E-8</v>
      </c>
      <c r="X2203" s="101">
        <v>1E-8</v>
      </c>
      <c r="Y2203" s="101">
        <v>1E-8</v>
      </c>
      <c r="Z2203" s="101">
        <v>1E-8</v>
      </c>
      <c r="AA2203" s="101">
        <v>1E-8</v>
      </c>
      <c r="AB2203" s="101">
        <v>1E-8</v>
      </c>
      <c r="AC2203" s="101">
        <v>1E-8</v>
      </c>
      <c r="AD2203" s="4"/>
    </row>
    <row r="2204" spans="1:30" x14ac:dyDescent="0.35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34"/>
      <c r="O2204" s="4"/>
      <c r="P2204" s="100"/>
      <c r="Q2204" s="100" t="s">
        <v>633</v>
      </c>
      <c r="R2204" s="111" t="s">
        <v>97</v>
      </c>
      <c r="S2204" s="111" t="s">
        <v>329</v>
      </c>
      <c r="T2204" s="101">
        <v>1E-8</v>
      </c>
      <c r="U2204" s="86">
        <v>1E-8</v>
      </c>
      <c r="V2204" s="101">
        <v>1E-8</v>
      </c>
      <c r="W2204" s="101">
        <v>1E-8</v>
      </c>
      <c r="X2204" s="101">
        <v>1E-8</v>
      </c>
      <c r="Y2204" s="101">
        <v>1E-8</v>
      </c>
      <c r="Z2204" s="101">
        <v>1E-8</v>
      </c>
      <c r="AA2204" s="101">
        <v>1E-8</v>
      </c>
      <c r="AB2204" s="101">
        <v>1E-8</v>
      </c>
      <c r="AC2204" s="101">
        <v>1E-8</v>
      </c>
      <c r="AD2204" s="4"/>
    </row>
    <row r="2205" spans="1:30" x14ac:dyDescent="0.3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34"/>
      <c r="O2205" s="4"/>
      <c r="P2205" s="100"/>
      <c r="Q2205" s="100" t="s">
        <v>634</v>
      </c>
      <c r="R2205" s="111" t="s">
        <v>97</v>
      </c>
      <c r="S2205" s="111" t="s">
        <v>331</v>
      </c>
      <c r="T2205" s="101">
        <v>0.15452700853337559</v>
      </c>
      <c r="U2205" s="86">
        <v>1E-8</v>
      </c>
      <c r="V2205" s="101">
        <v>1E-8</v>
      </c>
      <c r="W2205" s="101">
        <v>1E-8</v>
      </c>
      <c r="X2205" s="101">
        <v>1E-8</v>
      </c>
      <c r="Y2205" s="101">
        <v>1E-8</v>
      </c>
      <c r="Z2205" s="101">
        <v>1E-8</v>
      </c>
      <c r="AA2205" s="101">
        <v>1E-8</v>
      </c>
      <c r="AB2205" s="101">
        <v>1E-8</v>
      </c>
      <c r="AC2205" s="101">
        <v>1E-8</v>
      </c>
      <c r="AD2205" s="4"/>
    </row>
    <row r="2206" spans="1:30" x14ac:dyDescent="0.35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34"/>
      <c r="O2206" s="4"/>
      <c r="P2206" s="100"/>
      <c r="Q2206" s="100" t="s">
        <v>635</v>
      </c>
      <c r="R2206" s="111" t="s">
        <v>97</v>
      </c>
      <c r="S2206" s="111" t="s">
        <v>332</v>
      </c>
      <c r="T2206" s="101">
        <v>0.19538287685162145</v>
      </c>
      <c r="U2206" s="86">
        <v>1E-8</v>
      </c>
      <c r="V2206" s="101">
        <v>1E-8</v>
      </c>
      <c r="W2206" s="101">
        <v>1E-8</v>
      </c>
      <c r="X2206" s="101">
        <v>1E-8</v>
      </c>
      <c r="Y2206" s="101">
        <v>1E-8</v>
      </c>
      <c r="Z2206" s="101">
        <v>1E-8</v>
      </c>
      <c r="AA2206" s="101">
        <v>1E-8</v>
      </c>
      <c r="AB2206" s="101">
        <v>1E-8</v>
      </c>
      <c r="AC2206" s="101">
        <v>1E-8</v>
      </c>
      <c r="AD2206" s="4"/>
    </row>
    <row r="2207" spans="1:30" x14ac:dyDescent="0.35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34"/>
      <c r="O2207" s="4"/>
      <c r="P2207" s="100"/>
      <c r="Q2207" s="100" t="s">
        <v>636</v>
      </c>
      <c r="R2207" s="111" t="s">
        <v>97</v>
      </c>
      <c r="S2207" s="111" t="s">
        <v>330</v>
      </c>
      <c r="T2207" s="101">
        <v>0.11446596826055727</v>
      </c>
      <c r="U2207" s="86">
        <v>1E-8</v>
      </c>
      <c r="V2207" s="101">
        <v>1E-8</v>
      </c>
      <c r="W2207" s="101">
        <v>1E-8</v>
      </c>
      <c r="X2207" s="101">
        <v>1E-8</v>
      </c>
      <c r="Y2207" s="101">
        <v>1E-8</v>
      </c>
      <c r="Z2207" s="101">
        <v>1E-8</v>
      </c>
      <c r="AA2207" s="101">
        <v>1E-8</v>
      </c>
      <c r="AB2207" s="101">
        <v>1E-8</v>
      </c>
      <c r="AC2207" s="101">
        <v>1E-8</v>
      </c>
      <c r="AD2207" s="4"/>
    </row>
    <row r="2208" spans="1:30" x14ac:dyDescent="0.35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34"/>
      <c r="O2208" s="4"/>
      <c r="P2208" s="100"/>
      <c r="Q2208" s="100" t="s">
        <v>637</v>
      </c>
      <c r="R2208" s="111" t="s">
        <v>97</v>
      </c>
      <c r="S2208" s="111" t="s">
        <v>333</v>
      </c>
      <c r="T2208" s="101">
        <v>2.3417041577261886</v>
      </c>
      <c r="U2208" s="86">
        <v>1E-8</v>
      </c>
      <c r="V2208" s="101">
        <v>1E-8</v>
      </c>
      <c r="W2208" s="101">
        <v>1E-8</v>
      </c>
      <c r="X2208" s="101">
        <v>1E-8</v>
      </c>
      <c r="Y2208" s="101">
        <v>1E-8</v>
      </c>
      <c r="Z2208" s="101">
        <v>1E-8</v>
      </c>
      <c r="AA2208" s="101">
        <v>1E-8</v>
      </c>
      <c r="AB2208" s="101">
        <v>1E-8</v>
      </c>
      <c r="AC2208" s="101">
        <v>1E-8</v>
      </c>
      <c r="AD2208" s="4"/>
    </row>
    <row r="2209" spans="1:30" x14ac:dyDescent="0.35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34"/>
      <c r="O2209" s="4"/>
      <c r="P2209" s="100"/>
      <c r="Q2209" s="100" t="s">
        <v>638</v>
      </c>
      <c r="R2209" s="111" t="s">
        <v>97</v>
      </c>
      <c r="S2209" s="111" t="s">
        <v>546</v>
      </c>
      <c r="T2209" s="101">
        <v>0.39725344776485993</v>
      </c>
      <c r="U2209" s="86">
        <v>1E-8</v>
      </c>
      <c r="V2209" s="101">
        <v>1E-8</v>
      </c>
      <c r="W2209" s="101">
        <v>1E-8</v>
      </c>
      <c r="X2209" s="101">
        <v>1E-8</v>
      </c>
      <c r="Y2209" s="101">
        <v>1E-8</v>
      </c>
      <c r="Z2209" s="101">
        <v>1E-8</v>
      </c>
      <c r="AA2209" s="101">
        <v>1E-8</v>
      </c>
      <c r="AB2209" s="101">
        <v>1E-8</v>
      </c>
      <c r="AC2209" s="101">
        <v>1E-8</v>
      </c>
      <c r="AD2209" s="4"/>
    </row>
    <row r="2210" spans="1:30" x14ac:dyDescent="0.35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34"/>
      <c r="O2210" s="4"/>
      <c r="P2210" s="100"/>
      <c r="Q2210" s="100" t="s">
        <v>639</v>
      </c>
      <c r="R2210" s="111" t="s">
        <v>97</v>
      </c>
      <c r="S2210" s="111" t="s">
        <v>335</v>
      </c>
      <c r="T2210" s="101">
        <v>9.5525556063287761E-2</v>
      </c>
      <c r="U2210" s="86">
        <v>1E-8</v>
      </c>
      <c r="V2210" s="101">
        <v>1E-8</v>
      </c>
      <c r="W2210" s="101">
        <v>1E-8</v>
      </c>
      <c r="X2210" s="101">
        <v>1E-8</v>
      </c>
      <c r="Y2210" s="101">
        <v>1E-8</v>
      </c>
      <c r="Z2210" s="101">
        <v>1E-8</v>
      </c>
      <c r="AA2210" s="101">
        <v>1E-8</v>
      </c>
      <c r="AB2210" s="101">
        <v>1E-8</v>
      </c>
      <c r="AC2210" s="101">
        <v>1E-8</v>
      </c>
      <c r="AD2210" s="4"/>
    </row>
    <row r="2211" spans="1:30" x14ac:dyDescent="0.35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34"/>
      <c r="O2211" s="4"/>
      <c r="P2211" s="100"/>
      <c r="Q2211" s="100" t="s">
        <v>640</v>
      </c>
      <c r="R2211" s="111" t="s">
        <v>97</v>
      </c>
      <c r="S2211" s="111" t="s">
        <v>334</v>
      </c>
      <c r="T2211" s="101">
        <v>1.073950694554036</v>
      </c>
      <c r="U2211" s="86">
        <v>1E-8</v>
      </c>
      <c r="V2211" s="101">
        <v>1E-8</v>
      </c>
      <c r="W2211" s="101">
        <v>1E-8</v>
      </c>
      <c r="X2211" s="101">
        <v>1E-8</v>
      </c>
      <c r="Y2211" s="101">
        <v>1E-8</v>
      </c>
      <c r="Z2211" s="101">
        <v>1E-8</v>
      </c>
      <c r="AA2211" s="101">
        <v>1E-8</v>
      </c>
      <c r="AB2211" s="101">
        <v>1E-8</v>
      </c>
      <c r="AC2211" s="101">
        <v>1E-8</v>
      </c>
      <c r="AD2211" s="4"/>
    </row>
    <row r="2212" spans="1:30" x14ac:dyDescent="0.35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34"/>
      <c r="O2212" s="4"/>
      <c r="P2212" s="68"/>
      <c r="Q2212" s="68" t="s">
        <v>365</v>
      </c>
      <c r="R2212" s="108" t="s">
        <v>97</v>
      </c>
      <c r="S2212" s="108" t="s">
        <v>374</v>
      </c>
      <c r="T2212" s="98">
        <v>4.7449802358450786</v>
      </c>
      <c r="U2212" s="80">
        <v>1E-8</v>
      </c>
      <c r="V2212" s="98">
        <v>1E-8</v>
      </c>
      <c r="W2212" s="98">
        <v>1E-8</v>
      </c>
      <c r="X2212" s="98">
        <v>1E-8</v>
      </c>
      <c r="Y2212" s="98">
        <v>1E-8</v>
      </c>
      <c r="Z2212" s="98">
        <v>1E-8</v>
      </c>
      <c r="AA2212" s="98">
        <v>1E-8</v>
      </c>
      <c r="AB2212" s="98">
        <v>1E-8</v>
      </c>
      <c r="AC2212" s="98">
        <v>1E-8</v>
      </c>
      <c r="AD2212" s="4"/>
    </row>
    <row r="2213" spans="1:30" x14ac:dyDescent="0.3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34"/>
      <c r="O2213" s="4"/>
      <c r="P2213" s="100"/>
      <c r="Q2213" s="100" t="s">
        <v>641</v>
      </c>
      <c r="R2213" s="111" t="s">
        <v>97</v>
      </c>
      <c r="S2213" s="111" t="s">
        <v>547</v>
      </c>
      <c r="T2213" s="101">
        <v>3.7889959714612336</v>
      </c>
      <c r="U2213" s="86">
        <v>1E-8</v>
      </c>
      <c r="V2213" s="101">
        <v>1E-8</v>
      </c>
      <c r="W2213" s="101">
        <v>1E-8</v>
      </c>
      <c r="X2213" s="101">
        <v>1E-8</v>
      </c>
      <c r="Y2213" s="101">
        <v>1E-8</v>
      </c>
      <c r="Z2213" s="101">
        <v>1E-8</v>
      </c>
      <c r="AA2213" s="101">
        <v>1E-8</v>
      </c>
      <c r="AB2213" s="101">
        <v>1E-8</v>
      </c>
      <c r="AC2213" s="101">
        <v>1E-8</v>
      </c>
      <c r="AD2213" s="4"/>
    </row>
    <row r="2214" spans="1:30" x14ac:dyDescent="0.35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34"/>
      <c r="O2214" s="4"/>
      <c r="P2214" s="100"/>
      <c r="Q2214" s="100" t="s">
        <v>642</v>
      </c>
      <c r="R2214" s="111" t="s">
        <v>97</v>
      </c>
      <c r="S2214" s="111" t="s">
        <v>336</v>
      </c>
      <c r="T2214" s="101">
        <v>0.74455287320217522</v>
      </c>
      <c r="U2214" s="86">
        <v>1E-8</v>
      </c>
      <c r="V2214" s="101">
        <v>1E-8</v>
      </c>
      <c r="W2214" s="101">
        <v>1E-8</v>
      </c>
      <c r="X2214" s="101">
        <v>1E-8</v>
      </c>
      <c r="Y2214" s="101">
        <v>1E-8</v>
      </c>
      <c r="Z2214" s="101">
        <v>1E-8</v>
      </c>
      <c r="AA2214" s="101">
        <v>1E-8</v>
      </c>
      <c r="AB2214" s="101">
        <v>1E-8</v>
      </c>
      <c r="AC2214" s="101">
        <v>1E-8</v>
      </c>
      <c r="AD2214" s="4"/>
    </row>
    <row r="2215" spans="1:30" x14ac:dyDescent="0.3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34"/>
      <c r="O2215" s="4"/>
      <c r="P2215" s="100"/>
      <c r="Q2215" s="100" t="s">
        <v>643</v>
      </c>
      <c r="R2215" s="112" t="s">
        <v>97</v>
      </c>
      <c r="S2215" s="112" t="s">
        <v>337</v>
      </c>
      <c r="T2215" s="87">
        <v>0.21143139118167037</v>
      </c>
      <c r="U2215" s="88">
        <v>1E-8</v>
      </c>
      <c r="V2215" s="87">
        <v>1E-8</v>
      </c>
      <c r="W2215" s="87">
        <v>1E-8</v>
      </c>
      <c r="X2215" s="87">
        <v>1E-8</v>
      </c>
      <c r="Y2215" s="87">
        <v>1E-8</v>
      </c>
      <c r="Z2215" s="87">
        <v>1E-8</v>
      </c>
      <c r="AA2215" s="87">
        <v>1E-8</v>
      </c>
      <c r="AB2215" s="87">
        <v>1E-8</v>
      </c>
      <c r="AC2215" s="87">
        <v>1E-8</v>
      </c>
      <c r="AD2215" s="4"/>
    </row>
    <row r="2216" spans="1:30" x14ac:dyDescent="0.35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34"/>
      <c r="O2216" s="4"/>
      <c r="P2216" s="68"/>
      <c r="Q2216" s="68" t="s">
        <v>644</v>
      </c>
      <c r="R2216" s="108" t="s">
        <v>97</v>
      </c>
      <c r="S2216" s="108" t="s">
        <v>338</v>
      </c>
      <c r="T2216" s="98">
        <v>0.62166640169043241</v>
      </c>
      <c r="U2216" s="80">
        <v>1E-8</v>
      </c>
      <c r="V2216" s="98">
        <v>1E-8</v>
      </c>
      <c r="W2216" s="98">
        <v>1E-8</v>
      </c>
      <c r="X2216" s="98">
        <v>1E-8</v>
      </c>
      <c r="Y2216" s="98">
        <v>1E-8</v>
      </c>
      <c r="Z2216" s="98">
        <v>1E-8</v>
      </c>
      <c r="AA2216" s="98">
        <v>1E-8</v>
      </c>
      <c r="AB2216" s="98">
        <v>1E-8</v>
      </c>
      <c r="AC2216" s="98">
        <v>1E-8</v>
      </c>
      <c r="AD2216" s="4"/>
    </row>
    <row r="2217" spans="1:30" x14ac:dyDescent="0.35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34"/>
      <c r="O2217" s="4"/>
      <c r="P2217" s="68"/>
      <c r="Q2217" s="68" t="s">
        <v>366</v>
      </c>
      <c r="R2217" s="108" t="s">
        <v>97</v>
      </c>
      <c r="S2217" s="108" t="s">
        <v>339</v>
      </c>
      <c r="T2217" s="98">
        <v>0.7796182527346921</v>
      </c>
      <c r="U2217" s="80">
        <v>1E-8</v>
      </c>
      <c r="V2217" s="98">
        <v>1E-8</v>
      </c>
      <c r="W2217" s="98">
        <v>1E-8</v>
      </c>
      <c r="X2217" s="98">
        <v>1E-8</v>
      </c>
      <c r="Y2217" s="98">
        <v>1E-8</v>
      </c>
      <c r="Z2217" s="98">
        <v>1E-8</v>
      </c>
      <c r="AA2217" s="98">
        <v>1E-8</v>
      </c>
      <c r="AB2217" s="98">
        <v>1E-8</v>
      </c>
      <c r="AC2217" s="98">
        <v>1E-8</v>
      </c>
      <c r="AD2217" s="4"/>
    </row>
    <row r="2218" spans="1:30" x14ac:dyDescent="0.35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34"/>
      <c r="O2218" s="4"/>
      <c r="P2218" s="100"/>
      <c r="Q2218" s="100" t="s">
        <v>645</v>
      </c>
      <c r="R2218" s="111" t="s">
        <v>97</v>
      </c>
      <c r="S2218" s="111" t="s">
        <v>340</v>
      </c>
      <c r="T2218" s="101">
        <v>0.45891708339607917</v>
      </c>
      <c r="U2218" s="86">
        <v>1E-8</v>
      </c>
      <c r="V2218" s="101">
        <v>1E-8</v>
      </c>
      <c r="W2218" s="101">
        <v>1E-8</v>
      </c>
      <c r="X2218" s="101">
        <v>1E-8</v>
      </c>
      <c r="Y2218" s="101">
        <v>1E-8</v>
      </c>
      <c r="Z2218" s="101">
        <v>1E-8</v>
      </c>
      <c r="AA2218" s="101">
        <v>1E-8</v>
      </c>
      <c r="AB2218" s="101">
        <v>1E-8</v>
      </c>
      <c r="AC2218" s="101">
        <v>1E-8</v>
      </c>
      <c r="AD2218" s="4"/>
    </row>
    <row r="2219" spans="1:30" x14ac:dyDescent="0.35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34"/>
      <c r="O2219" s="4"/>
      <c r="P2219" s="100"/>
      <c r="Q2219" s="100" t="s">
        <v>646</v>
      </c>
      <c r="R2219" s="111" t="s">
        <v>97</v>
      </c>
      <c r="S2219" s="111" t="s">
        <v>548</v>
      </c>
      <c r="T2219" s="101">
        <v>0.32070116933861292</v>
      </c>
      <c r="U2219" s="86">
        <v>1E-8</v>
      </c>
      <c r="V2219" s="101">
        <v>1E-8</v>
      </c>
      <c r="W2219" s="101">
        <v>1E-8</v>
      </c>
      <c r="X2219" s="101">
        <v>1E-8</v>
      </c>
      <c r="Y2219" s="101">
        <v>1E-8</v>
      </c>
      <c r="Z2219" s="101">
        <v>1E-8</v>
      </c>
      <c r="AA2219" s="101">
        <v>1E-8</v>
      </c>
      <c r="AB2219" s="101">
        <v>1E-8</v>
      </c>
      <c r="AC2219" s="101">
        <v>1E-8</v>
      </c>
      <c r="AD2219" s="4"/>
    </row>
    <row r="2220" spans="1:30" x14ac:dyDescent="0.35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34"/>
      <c r="O2220" s="4"/>
      <c r="P2220" s="68"/>
      <c r="Q2220" s="68" t="s">
        <v>367</v>
      </c>
      <c r="R2220" s="108" t="s">
        <v>97</v>
      </c>
      <c r="S2220" s="108" t="s">
        <v>341</v>
      </c>
      <c r="T2220" s="98">
        <v>1.3229807307086745</v>
      </c>
      <c r="U2220" s="80">
        <v>1E-8</v>
      </c>
      <c r="V2220" s="98">
        <v>1E-8</v>
      </c>
      <c r="W2220" s="98">
        <v>1E-8</v>
      </c>
      <c r="X2220" s="98">
        <v>1E-8</v>
      </c>
      <c r="Y2220" s="98">
        <v>1E-8</v>
      </c>
      <c r="Z2220" s="98">
        <v>1E-8</v>
      </c>
      <c r="AA2220" s="98">
        <v>1E-8</v>
      </c>
      <c r="AB2220" s="98">
        <v>1E-8</v>
      </c>
      <c r="AC2220" s="98">
        <v>1E-8</v>
      </c>
      <c r="AD2220" s="4"/>
    </row>
    <row r="2221" spans="1:30" x14ac:dyDescent="0.35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34"/>
      <c r="O2221" s="4"/>
      <c r="P2221" s="100"/>
      <c r="Q2221" s="100" t="s">
        <v>647</v>
      </c>
      <c r="R2221" s="111" t="s">
        <v>97</v>
      </c>
      <c r="S2221" s="111" t="s">
        <v>342</v>
      </c>
      <c r="T2221" s="101">
        <v>8.4899466900021404E-3</v>
      </c>
      <c r="U2221" s="86">
        <v>1E-8</v>
      </c>
      <c r="V2221" s="101">
        <v>1E-8</v>
      </c>
      <c r="W2221" s="101">
        <v>1E-8</v>
      </c>
      <c r="X2221" s="101">
        <v>1E-8</v>
      </c>
      <c r="Y2221" s="101">
        <v>1E-8</v>
      </c>
      <c r="Z2221" s="101">
        <v>1E-8</v>
      </c>
      <c r="AA2221" s="101">
        <v>1E-8</v>
      </c>
      <c r="AB2221" s="101">
        <v>1E-8</v>
      </c>
      <c r="AC2221" s="101">
        <v>1E-8</v>
      </c>
      <c r="AD2221" s="4"/>
    </row>
    <row r="2222" spans="1:30" x14ac:dyDescent="0.35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34"/>
      <c r="O2222" s="4"/>
      <c r="P2222" s="100"/>
      <c r="Q2222" s="100" t="s">
        <v>648</v>
      </c>
      <c r="R2222" s="111" t="s">
        <v>97</v>
      </c>
      <c r="S2222" s="111" t="s">
        <v>343</v>
      </c>
      <c r="T2222" s="101">
        <v>0.95989688971545495</v>
      </c>
      <c r="U2222" s="86">
        <v>1E-8</v>
      </c>
      <c r="V2222" s="101">
        <v>1E-8</v>
      </c>
      <c r="W2222" s="101">
        <v>1E-8</v>
      </c>
      <c r="X2222" s="101">
        <v>1E-8</v>
      </c>
      <c r="Y2222" s="101">
        <v>1E-8</v>
      </c>
      <c r="Z2222" s="101">
        <v>1E-8</v>
      </c>
      <c r="AA2222" s="101">
        <v>1E-8</v>
      </c>
      <c r="AB2222" s="101">
        <v>1E-8</v>
      </c>
      <c r="AC2222" s="101">
        <v>1E-8</v>
      </c>
      <c r="AD2222" s="4"/>
    </row>
    <row r="2223" spans="1:30" x14ac:dyDescent="0.35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34"/>
      <c r="O2223" s="4"/>
      <c r="P2223" s="100"/>
      <c r="Q2223" s="100" t="s">
        <v>649</v>
      </c>
      <c r="R2223" s="111" t="s">
        <v>97</v>
      </c>
      <c r="S2223" s="111" t="s">
        <v>549</v>
      </c>
      <c r="T2223" s="101">
        <v>0.21501962232125077</v>
      </c>
      <c r="U2223" s="86">
        <v>1E-8</v>
      </c>
      <c r="V2223" s="101">
        <v>1E-8</v>
      </c>
      <c r="W2223" s="101">
        <v>1E-8</v>
      </c>
      <c r="X2223" s="101">
        <v>1E-8</v>
      </c>
      <c r="Y2223" s="101">
        <v>1E-8</v>
      </c>
      <c r="Z2223" s="101">
        <v>1E-8</v>
      </c>
      <c r="AA2223" s="101">
        <v>1E-8</v>
      </c>
      <c r="AB2223" s="101">
        <v>1E-8</v>
      </c>
      <c r="AC2223" s="101">
        <v>1E-8</v>
      </c>
      <c r="AD2223" s="4"/>
    </row>
    <row r="2224" spans="1:30" x14ac:dyDescent="0.35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34"/>
      <c r="O2224" s="4"/>
      <c r="P2224" s="100"/>
      <c r="Q2224" s="100" t="s">
        <v>650</v>
      </c>
      <c r="R2224" s="111" t="s">
        <v>97</v>
      </c>
      <c r="S2224" s="111" t="s">
        <v>550</v>
      </c>
      <c r="T2224" s="101">
        <v>0.13957427198196659</v>
      </c>
      <c r="U2224" s="86">
        <v>1E-8</v>
      </c>
      <c r="V2224" s="101">
        <v>1E-8</v>
      </c>
      <c r="W2224" s="101">
        <v>1E-8</v>
      </c>
      <c r="X2224" s="101">
        <v>1E-8</v>
      </c>
      <c r="Y2224" s="101">
        <v>1E-8</v>
      </c>
      <c r="Z2224" s="101">
        <v>1E-8</v>
      </c>
      <c r="AA2224" s="101">
        <v>1E-8</v>
      </c>
      <c r="AB2224" s="101">
        <v>1E-8</v>
      </c>
      <c r="AC2224" s="101">
        <v>1E-8</v>
      </c>
      <c r="AD2224" s="4"/>
    </row>
    <row r="2225" spans="1:30" x14ac:dyDescent="0.3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34"/>
      <c r="O2225" s="4"/>
      <c r="P2225" s="68"/>
      <c r="Q2225" s="68" t="s">
        <v>172</v>
      </c>
      <c r="R2225" s="108" t="s">
        <v>97</v>
      </c>
      <c r="S2225" s="108" t="s">
        <v>551</v>
      </c>
      <c r="T2225" s="98">
        <v>1.3106346873499368</v>
      </c>
      <c r="U2225" s="80">
        <v>1E-8</v>
      </c>
      <c r="V2225" s="98">
        <v>1E-8</v>
      </c>
      <c r="W2225" s="98">
        <v>1E-8</v>
      </c>
      <c r="X2225" s="98">
        <v>1E-8</v>
      </c>
      <c r="Y2225" s="98">
        <v>1E-8</v>
      </c>
      <c r="Z2225" s="98">
        <v>1E-8</v>
      </c>
      <c r="AA2225" s="98">
        <v>1E-8</v>
      </c>
      <c r="AB2225" s="98">
        <v>1E-8</v>
      </c>
      <c r="AC2225" s="98">
        <v>1E-8</v>
      </c>
      <c r="AD2225" s="4"/>
    </row>
    <row r="2226" spans="1:30" x14ac:dyDescent="0.35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34"/>
      <c r="O2226" s="4"/>
      <c r="P2226" s="100"/>
      <c r="Q2226" s="100" t="s">
        <v>651</v>
      </c>
      <c r="R2226" s="111" t="s">
        <v>97</v>
      </c>
      <c r="S2226" s="111" t="s">
        <v>344</v>
      </c>
      <c r="T2226" s="101">
        <v>8.6223144275911046E-2</v>
      </c>
      <c r="U2226" s="86">
        <v>1E-8</v>
      </c>
      <c r="V2226" s="101">
        <v>1E-8</v>
      </c>
      <c r="W2226" s="101">
        <v>1E-8</v>
      </c>
      <c r="X2226" s="101">
        <v>1E-8</v>
      </c>
      <c r="Y2226" s="101">
        <v>1E-8</v>
      </c>
      <c r="Z2226" s="101">
        <v>1E-8</v>
      </c>
      <c r="AA2226" s="101">
        <v>1E-8</v>
      </c>
      <c r="AB2226" s="101">
        <v>1E-8</v>
      </c>
      <c r="AC2226" s="101">
        <v>1E-8</v>
      </c>
      <c r="AD2226" s="4"/>
    </row>
    <row r="2227" spans="1:30" x14ac:dyDescent="0.35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34"/>
      <c r="O2227" s="4"/>
      <c r="P2227" s="100"/>
      <c r="Q2227" s="100" t="s">
        <v>652</v>
      </c>
      <c r="R2227" s="111" t="s">
        <v>97</v>
      </c>
      <c r="S2227" s="111" t="s">
        <v>552</v>
      </c>
      <c r="T2227" s="101">
        <v>0.79085783296107048</v>
      </c>
      <c r="U2227" s="86">
        <v>1E-8</v>
      </c>
      <c r="V2227" s="101">
        <v>1E-8</v>
      </c>
      <c r="W2227" s="101">
        <v>1E-8</v>
      </c>
      <c r="X2227" s="101">
        <v>1E-8</v>
      </c>
      <c r="Y2227" s="101">
        <v>1E-8</v>
      </c>
      <c r="Z2227" s="101">
        <v>1E-8</v>
      </c>
      <c r="AA2227" s="101">
        <v>1E-8</v>
      </c>
      <c r="AB2227" s="101">
        <v>1E-8</v>
      </c>
      <c r="AC2227" s="101">
        <v>1E-8</v>
      </c>
      <c r="AD2227" s="4"/>
    </row>
    <row r="2228" spans="1:30" x14ac:dyDescent="0.35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34"/>
      <c r="O2228" s="4"/>
      <c r="P2228" s="100"/>
      <c r="Q2228" s="100" t="s">
        <v>653</v>
      </c>
      <c r="R2228" s="111" t="s">
        <v>97</v>
      </c>
      <c r="S2228" s="111" t="s">
        <v>553</v>
      </c>
      <c r="T2228" s="101">
        <v>0.4335537101129554</v>
      </c>
      <c r="U2228" s="86">
        <v>1E-8</v>
      </c>
      <c r="V2228" s="101">
        <v>1E-8</v>
      </c>
      <c r="W2228" s="101">
        <v>1E-8</v>
      </c>
      <c r="X2228" s="101">
        <v>1E-8</v>
      </c>
      <c r="Y2228" s="101">
        <v>1E-8</v>
      </c>
      <c r="Z2228" s="101">
        <v>1E-8</v>
      </c>
      <c r="AA2228" s="101">
        <v>1E-8</v>
      </c>
      <c r="AB2228" s="101">
        <v>1E-8</v>
      </c>
      <c r="AC2228" s="101">
        <v>1E-8</v>
      </c>
      <c r="AD2228" s="4"/>
    </row>
    <row r="2229" spans="1:30" x14ac:dyDescent="0.35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34"/>
      <c r="O2229" s="4"/>
      <c r="P2229" s="68"/>
      <c r="Q2229" s="68" t="s">
        <v>368</v>
      </c>
      <c r="R2229" s="108" t="s">
        <v>97</v>
      </c>
      <c r="S2229" s="108" t="s">
        <v>345</v>
      </c>
      <c r="T2229" s="98">
        <v>1.0838019954735945</v>
      </c>
      <c r="U2229" s="80">
        <v>1E-8</v>
      </c>
      <c r="V2229" s="98">
        <v>1E-8</v>
      </c>
      <c r="W2229" s="98">
        <v>1E-8</v>
      </c>
      <c r="X2229" s="98">
        <v>1E-8</v>
      </c>
      <c r="Y2229" s="98">
        <v>1E-8</v>
      </c>
      <c r="Z2229" s="98">
        <v>1E-8</v>
      </c>
      <c r="AA2229" s="98">
        <v>1E-8</v>
      </c>
      <c r="AB2229" s="98">
        <v>1E-8</v>
      </c>
      <c r="AC2229" s="98">
        <v>1E-8</v>
      </c>
      <c r="AD2229" s="4"/>
    </row>
    <row r="2230" spans="1:30" x14ac:dyDescent="0.35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34"/>
      <c r="O2230" s="4"/>
      <c r="P2230" s="100"/>
      <c r="Q2230" s="100" t="s">
        <v>654</v>
      </c>
      <c r="R2230" s="111" t="s">
        <v>97</v>
      </c>
      <c r="S2230" s="111" t="s">
        <v>346</v>
      </c>
      <c r="T2230" s="101">
        <v>0.64994988172878365</v>
      </c>
      <c r="U2230" s="86">
        <v>1E-8</v>
      </c>
      <c r="V2230" s="101">
        <v>1E-8</v>
      </c>
      <c r="W2230" s="101">
        <v>1E-8</v>
      </c>
      <c r="X2230" s="101">
        <v>1E-8</v>
      </c>
      <c r="Y2230" s="101">
        <v>1E-8</v>
      </c>
      <c r="Z2230" s="101">
        <v>1E-8</v>
      </c>
      <c r="AA2230" s="101">
        <v>1E-8</v>
      </c>
      <c r="AB2230" s="101">
        <v>1E-8</v>
      </c>
      <c r="AC2230" s="101">
        <v>1E-8</v>
      </c>
      <c r="AD2230" s="4"/>
    </row>
    <row r="2231" spans="1:30" x14ac:dyDescent="0.35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34"/>
      <c r="O2231" s="4"/>
      <c r="P2231" s="100"/>
      <c r="Q2231" s="100" t="s">
        <v>655</v>
      </c>
      <c r="R2231" s="111" t="s">
        <v>97</v>
      </c>
      <c r="S2231" s="111" t="s">
        <v>347</v>
      </c>
      <c r="T2231" s="101">
        <v>0.28464027056784252</v>
      </c>
      <c r="U2231" s="86">
        <v>1E-8</v>
      </c>
      <c r="V2231" s="101">
        <v>1E-8</v>
      </c>
      <c r="W2231" s="101">
        <v>1E-8</v>
      </c>
      <c r="X2231" s="101">
        <v>1E-8</v>
      </c>
      <c r="Y2231" s="101">
        <v>1E-8</v>
      </c>
      <c r="Z2231" s="101">
        <v>1E-8</v>
      </c>
      <c r="AA2231" s="101">
        <v>1E-8</v>
      </c>
      <c r="AB2231" s="101">
        <v>1E-8</v>
      </c>
      <c r="AC2231" s="101">
        <v>1E-8</v>
      </c>
      <c r="AD2231" s="4"/>
    </row>
    <row r="2232" spans="1:30" x14ac:dyDescent="0.35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34"/>
      <c r="O2232" s="4"/>
      <c r="P2232" s="100"/>
      <c r="Q2232" s="100" t="s">
        <v>656</v>
      </c>
      <c r="R2232" s="111" t="s">
        <v>97</v>
      </c>
      <c r="S2232" s="111" t="s">
        <v>348</v>
      </c>
      <c r="T2232" s="101">
        <v>0.14921184317696817</v>
      </c>
      <c r="U2232" s="86">
        <v>1E-8</v>
      </c>
      <c r="V2232" s="101">
        <v>1E-8</v>
      </c>
      <c r="W2232" s="101">
        <v>1E-8</v>
      </c>
      <c r="X2232" s="101">
        <v>1E-8</v>
      </c>
      <c r="Y2232" s="101">
        <v>1E-8</v>
      </c>
      <c r="Z2232" s="101">
        <v>1E-8</v>
      </c>
      <c r="AA2232" s="101">
        <v>1E-8</v>
      </c>
      <c r="AB2232" s="101">
        <v>1E-8</v>
      </c>
      <c r="AC2232" s="101">
        <v>1E-8</v>
      </c>
      <c r="AD2232" s="4"/>
    </row>
    <row r="2233" spans="1:30" x14ac:dyDescent="0.35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34"/>
      <c r="O2233" s="4"/>
      <c r="P2233" s="68"/>
      <c r="Q2233" s="68" t="s">
        <v>181</v>
      </c>
      <c r="R2233" s="108" t="s">
        <v>97</v>
      </c>
      <c r="S2233" s="108" t="s">
        <v>554</v>
      </c>
      <c r="T2233" s="98">
        <v>2.0660619106324583</v>
      </c>
      <c r="U2233" s="80">
        <v>1E-8</v>
      </c>
      <c r="V2233" s="98">
        <v>1E-8</v>
      </c>
      <c r="W2233" s="98">
        <v>1E-8</v>
      </c>
      <c r="X2233" s="98">
        <v>1E-8</v>
      </c>
      <c r="Y2233" s="98">
        <v>1E-8</v>
      </c>
      <c r="Z2233" s="98">
        <v>1E-8</v>
      </c>
      <c r="AA2233" s="98">
        <v>1E-8</v>
      </c>
      <c r="AB2233" s="98">
        <v>1E-8</v>
      </c>
      <c r="AC2233" s="98">
        <v>1E-8</v>
      </c>
      <c r="AD2233" s="4"/>
    </row>
    <row r="2234" spans="1:30" x14ac:dyDescent="0.35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34"/>
      <c r="O2234" s="4"/>
      <c r="P2234" s="100"/>
      <c r="Q2234" s="100" t="s">
        <v>657</v>
      </c>
      <c r="R2234" s="111" t="s">
        <v>97</v>
      </c>
      <c r="S2234" s="111" t="s">
        <v>555</v>
      </c>
      <c r="T2234" s="101">
        <v>0.80582233160348615</v>
      </c>
      <c r="U2234" s="86">
        <v>1E-8</v>
      </c>
      <c r="V2234" s="101">
        <v>1E-8</v>
      </c>
      <c r="W2234" s="101">
        <v>1E-8</v>
      </c>
      <c r="X2234" s="101">
        <v>1E-8</v>
      </c>
      <c r="Y2234" s="101">
        <v>1E-8</v>
      </c>
      <c r="Z2234" s="101">
        <v>1E-8</v>
      </c>
      <c r="AA2234" s="101">
        <v>1E-8</v>
      </c>
      <c r="AB2234" s="101">
        <v>1E-8</v>
      </c>
      <c r="AC2234" s="101">
        <v>1E-8</v>
      </c>
      <c r="AD2234" s="4"/>
    </row>
    <row r="2235" spans="1:30" x14ac:dyDescent="0.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34"/>
      <c r="O2235" s="4"/>
      <c r="P2235" s="100"/>
      <c r="Q2235" s="100" t="s">
        <v>658</v>
      </c>
      <c r="R2235" s="111" t="s">
        <v>97</v>
      </c>
      <c r="S2235" s="111" t="s">
        <v>349</v>
      </c>
      <c r="T2235" s="101">
        <v>1.2543950418091874</v>
      </c>
      <c r="U2235" s="86">
        <v>1E-8</v>
      </c>
      <c r="V2235" s="101">
        <v>1E-8</v>
      </c>
      <c r="W2235" s="101">
        <v>1E-8</v>
      </c>
      <c r="X2235" s="101">
        <v>1E-8</v>
      </c>
      <c r="Y2235" s="101">
        <v>1E-8</v>
      </c>
      <c r="Z2235" s="101">
        <v>1E-8</v>
      </c>
      <c r="AA2235" s="101">
        <v>1E-8</v>
      </c>
      <c r="AB2235" s="101">
        <v>1E-8</v>
      </c>
      <c r="AC2235" s="101">
        <v>1E-8</v>
      </c>
      <c r="AD2235" s="4"/>
    </row>
    <row r="2236" spans="1:30" x14ac:dyDescent="0.35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34"/>
      <c r="O2236" s="4"/>
      <c r="P2236" s="100"/>
      <c r="Q2236" s="100" t="s">
        <v>659</v>
      </c>
      <c r="R2236" s="112" t="s">
        <v>97</v>
      </c>
      <c r="S2236" s="112" t="s">
        <v>556</v>
      </c>
      <c r="T2236" s="87">
        <v>5.8445372197846587E-3</v>
      </c>
      <c r="U2236" s="88">
        <v>1E-8</v>
      </c>
      <c r="V2236" s="87">
        <v>1E-8</v>
      </c>
      <c r="W2236" s="87">
        <v>1E-8</v>
      </c>
      <c r="X2236" s="87">
        <v>1E-8</v>
      </c>
      <c r="Y2236" s="87">
        <v>1E-8</v>
      </c>
      <c r="Z2236" s="87">
        <v>1E-8</v>
      </c>
      <c r="AA2236" s="87">
        <v>1E-8</v>
      </c>
      <c r="AB2236" s="87">
        <v>1E-8</v>
      </c>
      <c r="AC2236" s="87">
        <v>1E-8</v>
      </c>
      <c r="AD2236" s="4"/>
    </row>
    <row r="2237" spans="1:30" x14ac:dyDescent="0.35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34"/>
      <c r="O2237" s="4"/>
      <c r="P2237" s="96"/>
      <c r="Q2237" s="96" t="s">
        <v>286</v>
      </c>
      <c r="R2237" s="107" t="s">
        <v>97</v>
      </c>
      <c r="S2237" s="107" t="s">
        <v>350</v>
      </c>
      <c r="T2237" s="97">
        <v>12.078556709955048</v>
      </c>
      <c r="U2237" s="78">
        <v>1E-8</v>
      </c>
      <c r="V2237" s="97">
        <v>1E-8</v>
      </c>
      <c r="W2237" s="97">
        <v>1E-8</v>
      </c>
      <c r="X2237" s="97">
        <v>1E-8</v>
      </c>
      <c r="Y2237" s="97">
        <v>1E-8</v>
      </c>
      <c r="Z2237" s="97">
        <v>1E-8</v>
      </c>
      <c r="AA2237" s="97">
        <v>1E-8</v>
      </c>
      <c r="AB2237" s="97">
        <v>1E-8</v>
      </c>
      <c r="AC2237" s="97">
        <v>1E-8</v>
      </c>
      <c r="AD2237" s="4"/>
    </row>
    <row r="2238" spans="1:30" x14ac:dyDescent="0.35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34"/>
      <c r="O2238" s="4"/>
      <c r="P2238" s="96"/>
      <c r="Q2238" s="96" t="s">
        <v>369</v>
      </c>
      <c r="R2238" s="107" t="s">
        <v>97</v>
      </c>
      <c r="S2238" s="107" t="s">
        <v>557</v>
      </c>
      <c r="T2238" s="97">
        <v>2.4389510263714862</v>
      </c>
      <c r="U2238" s="78">
        <v>1E-8</v>
      </c>
      <c r="V2238" s="97">
        <v>1E-8</v>
      </c>
      <c r="W2238" s="97">
        <v>1E-8</v>
      </c>
      <c r="X2238" s="97">
        <v>1E-8</v>
      </c>
      <c r="Y2238" s="97">
        <v>1E-8</v>
      </c>
      <c r="Z2238" s="97">
        <v>1E-8</v>
      </c>
      <c r="AA2238" s="97">
        <v>1E-8</v>
      </c>
      <c r="AB2238" s="97">
        <v>1E-8</v>
      </c>
      <c r="AC2238" s="97">
        <v>1E-8</v>
      </c>
      <c r="AD2238" s="4"/>
    </row>
    <row r="2239" spans="1:30" x14ac:dyDescent="0.35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34"/>
      <c r="O2239" s="4"/>
      <c r="P2239" s="68"/>
      <c r="Q2239" s="68" t="s">
        <v>660</v>
      </c>
      <c r="R2239" s="108" t="s">
        <v>97</v>
      </c>
      <c r="S2239" s="108" t="s">
        <v>351</v>
      </c>
      <c r="T2239" s="98">
        <v>1.7656864241603312</v>
      </c>
      <c r="U2239" s="80">
        <v>1E-8</v>
      </c>
      <c r="V2239" s="98">
        <v>1E-8</v>
      </c>
      <c r="W2239" s="98">
        <v>1E-8</v>
      </c>
      <c r="X2239" s="98">
        <v>1E-8</v>
      </c>
      <c r="Y2239" s="98">
        <v>1E-8</v>
      </c>
      <c r="Z2239" s="98">
        <v>1E-8</v>
      </c>
      <c r="AA2239" s="98">
        <v>1E-8</v>
      </c>
      <c r="AB2239" s="98">
        <v>1E-8</v>
      </c>
      <c r="AC2239" s="98">
        <v>1E-8</v>
      </c>
      <c r="AD2239" s="4"/>
    </row>
    <row r="2240" spans="1:30" x14ac:dyDescent="0.35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34"/>
      <c r="O2240" s="4"/>
      <c r="P2240" s="68"/>
      <c r="Q2240" s="68" t="s">
        <v>661</v>
      </c>
      <c r="R2240" s="108" t="s">
        <v>97</v>
      </c>
      <c r="S2240" s="108" t="s">
        <v>352</v>
      </c>
      <c r="T2240" s="98">
        <v>0.59096914910945508</v>
      </c>
      <c r="U2240" s="80">
        <v>1E-8</v>
      </c>
      <c r="V2240" s="98">
        <v>1E-8</v>
      </c>
      <c r="W2240" s="98">
        <v>1E-8</v>
      </c>
      <c r="X2240" s="98">
        <v>1E-8</v>
      </c>
      <c r="Y2240" s="98">
        <v>1E-8</v>
      </c>
      <c r="Z2240" s="98">
        <v>1E-8</v>
      </c>
      <c r="AA2240" s="98">
        <v>1E-8</v>
      </c>
      <c r="AB2240" s="98">
        <v>1E-8</v>
      </c>
      <c r="AC2240" s="98">
        <v>1E-8</v>
      </c>
      <c r="AD2240" s="4"/>
    </row>
    <row r="2241" spans="1:30" x14ac:dyDescent="0.35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34"/>
      <c r="O2241" s="4"/>
      <c r="P2241" s="68"/>
      <c r="Q2241" s="68" t="s">
        <v>662</v>
      </c>
      <c r="R2241" s="108" t="s">
        <v>97</v>
      </c>
      <c r="S2241" s="108" t="s">
        <v>558</v>
      </c>
      <c r="T2241" s="98">
        <v>8.2295453101700389E-2</v>
      </c>
      <c r="U2241" s="80">
        <v>1E-8</v>
      </c>
      <c r="V2241" s="98">
        <v>1E-8</v>
      </c>
      <c r="W2241" s="98">
        <v>1E-8</v>
      </c>
      <c r="X2241" s="98">
        <v>1E-8</v>
      </c>
      <c r="Y2241" s="98">
        <v>1E-8</v>
      </c>
      <c r="Z2241" s="98">
        <v>1E-8</v>
      </c>
      <c r="AA2241" s="98">
        <v>1E-8</v>
      </c>
      <c r="AB2241" s="98">
        <v>1E-8</v>
      </c>
      <c r="AC2241" s="98">
        <v>1E-8</v>
      </c>
      <c r="AD2241" s="4"/>
    </row>
    <row r="2242" spans="1:30" x14ac:dyDescent="0.35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34"/>
      <c r="O2242" s="4"/>
      <c r="P2242" s="96"/>
      <c r="Q2242" s="96" t="s">
        <v>188</v>
      </c>
      <c r="R2242" s="107" t="s">
        <v>97</v>
      </c>
      <c r="S2242" s="107" t="s">
        <v>559</v>
      </c>
      <c r="T2242" s="97">
        <v>9.6396056835835608</v>
      </c>
      <c r="U2242" s="78">
        <v>1E-8</v>
      </c>
      <c r="V2242" s="97">
        <v>1E-8</v>
      </c>
      <c r="W2242" s="97">
        <v>1E-8</v>
      </c>
      <c r="X2242" s="97">
        <v>1E-8</v>
      </c>
      <c r="Y2242" s="97">
        <v>1E-8</v>
      </c>
      <c r="Z2242" s="97">
        <v>1E-8</v>
      </c>
      <c r="AA2242" s="97">
        <v>1E-8</v>
      </c>
      <c r="AB2242" s="97">
        <v>1E-8</v>
      </c>
      <c r="AC2242" s="97">
        <v>1E-8</v>
      </c>
      <c r="AD2242" s="4"/>
    </row>
    <row r="2243" spans="1:30" x14ac:dyDescent="0.35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34"/>
      <c r="O2243" s="4"/>
      <c r="P2243" s="68"/>
      <c r="Q2243" s="68" t="s">
        <v>663</v>
      </c>
      <c r="R2243" s="108" t="s">
        <v>97</v>
      </c>
      <c r="S2243" s="108" t="s">
        <v>353</v>
      </c>
      <c r="T2243" s="98">
        <v>9.6396056835835608</v>
      </c>
      <c r="U2243" s="80">
        <v>1E-8</v>
      </c>
      <c r="V2243" s="98">
        <v>1E-8</v>
      </c>
      <c r="W2243" s="98">
        <v>1E-8</v>
      </c>
      <c r="X2243" s="98">
        <v>1E-8</v>
      </c>
      <c r="Y2243" s="98">
        <v>1E-8</v>
      </c>
      <c r="Z2243" s="98">
        <v>1E-8</v>
      </c>
      <c r="AA2243" s="98">
        <v>1E-8</v>
      </c>
      <c r="AB2243" s="98">
        <v>1E-8</v>
      </c>
      <c r="AC2243" s="98">
        <v>1E-8</v>
      </c>
      <c r="AD2243" s="4"/>
    </row>
    <row r="2244" spans="1:30" x14ac:dyDescent="0.35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34"/>
      <c r="O2244" s="4"/>
      <c r="P2244" s="72"/>
      <c r="Q2244" s="72" t="s">
        <v>664</v>
      </c>
      <c r="R2244" s="109" t="s">
        <v>97</v>
      </c>
      <c r="S2244" s="109" t="s">
        <v>560</v>
      </c>
      <c r="T2244" s="81">
        <v>1E-8</v>
      </c>
      <c r="U2244" s="82">
        <v>1E-8</v>
      </c>
      <c r="V2244" s="81">
        <v>1E-8</v>
      </c>
      <c r="W2244" s="81">
        <v>1E-8</v>
      </c>
      <c r="X2244" s="81">
        <v>1E-8</v>
      </c>
      <c r="Y2244" s="81">
        <v>1E-8</v>
      </c>
      <c r="Z2244" s="81">
        <v>1E-8</v>
      </c>
      <c r="AA2244" s="81">
        <v>1E-8</v>
      </c>
      <c r="AB2244" s="81">
        <v>1E-8</v>
      </c>
      <c r="AC2244" s="81">
        <v>1E-8</v>
      </c>
      <c r="AD2244" s="4"/>
    </row>
    <row r="2245" spans="1:30" x14ac:dyDescent="0.3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34"/>
      <c r="O2245" s="4"/>
      <c r="P2245" s="47"/>
      <c r="Q2245" s="47" t="s">
        <v>287</v>
      </c>
      <c r="R2245" s="105" t="s">
        <v>97</v>
      </c>
      <c r="S2245" s="105" t="s">
        <v>354</v>
      </c>
      <c r="T2245" s="95">
        <v>71.058667833588956</v>
      </c>
      <c r="U2245" s="74">
        <v>1E-8</v>
      </c>
      <c r="V2245" s="95">
        <v>1E-8</v>
      </c>
      <c r="W2245" s="95">
        <v>1E-8</v>
      </c>
      <c r="X2245" s="95">
        <v>1E-8</v>
      </c>
      <c r="Y2245" s="95">
        <v>1E-8</v>
      </c>
      <c r="Z2245" s="95">
        <v>1E-8</v>
      </c>
      <c r="AA2245" s="95">
        <v>1E-8</v>
      </c>
      <c r="AB2245" s="95">
        <v>1E-8</v>
      </c>
      <c r="AC2245" s="95">
        <v>1E-8</v>
      </c>
      <c r="AD2245" s="4"/>
    </row>
    <row r="2246" spans="1:30" x14ac:dyDescent="0.35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34"/>
      <c r="O2246" s="4"/>
      <c r="P2246" s="96"/>
      <c r="Q2246" s="96" t="s">
        <v>370</v>
      </c>
      <c r="R2246" s="107" t="s">
        <v>97</v>
      </c>
      <c r="S2246" s="107" t="s">
        <v>561</v>
      </c>
      <c r="T2246" s="97">
        <v>14.85257600106284</v>
      </c>
      <c r="U2246" s="78">
        <v>1E-8</v>
      </c>
      <c r="V2246" s="97">
        <v>1E-8</v>
      </c>
      <c r="W2246" s="97">
        <v>1E-8</v>
      </c>
      <c r="X2246" s="97">
        <v>1E-8</v>
      </c>
      <c r="Y2246" s="97">
        <v>1E-8</v>
      </c>
      <c r="Z2246" s="97">
        <v>1E-8</v>
      </c>
      <c r="AA2246" s="97">
        <v>1E-8</v>
      </c>
      <c r="AB2246" s="97">
        <v>1E-8</v>
      </c>
      <c r="AC2246" s="97">
        <v>1E-8</v>
      </c>
      <c r="AD2246" s="4"/>
    </row>
    <row r="2247" spans="1:30" x14ac:dyDescent="0.35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34"/>
      <c r="O2247" s="4"/>
      <c r="P2247" s="68"/>
      <c r="Q2247" s="68" t="s">
        <v>665</v>
      </c>
      <c r="R2247" s="108" t="s">
        <v>97</v>
      </c>
      <c r="S2247" s="108" t="s">
        <v>562</v>
      </c>
      <c r="T2247" s="98">
        <v>0.89239844079850328</v>
      </c>
      <c r="U2247" s="80">
        <v>1E-8</v>
      </c>
      <c r="V2247" s="98">
        <v>1E-8</v>
      </c>
      <c r="W2247" s="98">
        <v>1E-8</v>
      </c>
      <c r="X2247" s="98">
        <v>1E-8</v>
      </c>
      <c r="Y2247" s="98">
        <v>1E-8</v>
      </c>
      <c r="Z2247" s="98">
        <v>1E-8</v>
      </c>
      <c r="AA2247" s="98">
        <v>1E-8</v>
      </c>
      <c r="AB2247" s="98">
        <v>1E-8</v>
      </c>
      <c r="AC2247" s="98">
        <v>1E-8</v>
      </c>
      <c r="AD2247" s="4"/>
    </row>
    <row r="2248" spans="1:30" x14ac:dyDescent="0.35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34"/>
      <c r="O2248" s="4"/>
      <c r="P2248" s="68"/>
      <c r="Q2248" s="68" t="s">
        <v>666</v>
      </c>
      <c r="R2248" s="108" t="s">
        <v>97</v>
      </c>
      <c r="S2248" s="108" t="s">
        <v>563</v>
      </c>
      <c r="T2248" s="98">
        <v>0.10117984606837845</v>
      </c>
      <c r="U2248" s="80">
        <v>1E-8</v>
      </c>
      <c r="V2248" s="98">
        <v>1E-8</v>
      </c>
      <c r="W2248" s="98">
        <v>1E-8</v>
      </c>
      <c r="X2248" s="98">
        <v>1E-8</v>
      </c>
      <c r="Y2248" s="98">
        <v>1E-8</v>
      </c>
      <c r="Z2248" s="98">
        <v>1E-8</v>
      </c>
      <c r="AA2248" s="98">
        <v>1E-8</v>
      </c>
      <c r="AB2248" s="98">
        <v>1E-8</v>
      </c>
      <c r="AC2248" s="98">
        <v>1E-8</v>
      </c>
      <c r="AD2248" s="4"/>
    </row>
    <row r="2249" spans="1:30" x14ac:dyDescent="0.35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34"/>
      <c r="O2249" s="4"/>
      <c r="P2249" s="68"/>
      <c r="Q2249" s="68" t="s">
        <v>667</v>
      </c>
      <c r="R2249" s="108" t="s">
        <v>97</v>
      </c>
      <c r="S2249" s="108" t="s">
        <v>564</v>
      </c>
      <c r="T2249" s="98">
        <v>4.1935040776457821</v>
      </c>
      <c r="U2249" s="80">
        <v>1E-8</v>
      </c>
      <c r="V2249" s="98">
        <v>1E-8</v>
      </c>
      <c r="W2249" s="98">
        <v>1E-8</v>
      </c>
      <c r="X2249" s="98">
        <v>1E-8</v>
      </c>
      <c r="Y2249" s="98">
        <v>1E-8</v>
      </c>
      <c r="Z2249" s="98">
        <v>1E-8</v>
      </c>
      <c r="AA2249" s="98">
        <v>1E-8</v>
      </c>
      <c r="AB2249" s="98">
        <v>1E-8</v>
      </c>
      <c r="AC2249" s="98">
        <v>1E-8</v>
      </c>
      <c r="AD2249" s="4"/>
    </row>
    <row r="2250" spans="1:30" x14ac:dyDescent="0.35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34"/>
      <c r="O2250" s="4"/>
      <c r="P2250" s="68"/>
      <c r="Q2250" s="68" t="s">
        <v>668</v>
      </c>
      <c r="R2250" s="108" t="s">
        <v>97</v>
      </c>
      <c r="S2250" s="108" t="s">
        <v>565</v>
      </c>
      <c r="T2250" s="98">
        <v>9.6654936365501758</v>
      </c>
      <c r="U2250" s="80">
        <v>1E-8</v>
      </c>
      <c r="V2250" s="98">
        <v>1E-8</v>
      </c>
      <c r="W2250" s="98">
        <v>1E-8</v>
      </c>
      <c r="X2250" s="98">
        <v>1E-8</v>
      </c>
      <c r="Y2250" s="98">
        <v>1E-8</v>
      </c>
      <c r="Z2250" s="98">
        <v>1E-8</v>
      </c>
      <c r="AA2250" s="98">
        <v>1E-8</v>
      </c>
      <c r="AB2250" s="98">
        <v>1E-8</v>
      </c>
      <c r="AC2250" s="98">
        <v>1E-8</v>
      </c>
      <c r="AD2250" s="4"/>
    </row>
    <row r="2251" spans="1:30" x14ac:dyDescent="0.35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34"/>
      <c r="O2251" s="4"/>
      <c r="P2251" s="96"/>
      <c r="Q2251" s="96" t="s">
        <v>371</v>
      </c>
      <c r="R2251" s="107" t="s">
        <v>97</v>
      </c>
      <c r="S2251" s="107" t="s">
        <v>566</v>
      </c>
      <c r="T2251" s="97">
        <v>6.882076986369043</v>
      </c>
      <c r="U2251" s="78">
        <v>1E-8</v>
      </c>
      <c r="V2251" s="97">
        <v>1E-8</v>
      </c>
      <c r="W2251" s="97">
        <v>1E-8</v>
      </c>
      <c r="X2251" s="97">
        <v>1E-8</v>
      </c>
      <c r="Y2251" s="97">
        <v>1E-8</v>
      </c>
      <c r="Z2251" s="97">
        <v>1E-8</v>
      </c>
      <c r="AA2251" s="97">
        <v>1E-8</v>
      </c>
      <c r="AB2251" s="97">
        <v>1E-8</v>
      </c>
      <c r="AC2251" s="97">
        <v>1E-8</v>
      </c>
      <c r="AD2251" s="4"/>
    </row>
    <row r="2252" spans="1:30" x14ac:dyDescent="0.35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34"/>
      <c r="O2252" s="4"/>
      <c r="P2252" s="68"/>
      <c r="Q2252" s="68" t="s">
        <v>669</v>
      </c>
      <c r="R2252" s="108" t="s">
        <v>97</v>
      </c>
      <c r="S2252" s="108" t="s">
        <v>567</v>
      </c>
      <c r="T2252" s="98">
        <v>3.9735152041234003</v>
      </c>
      <c r="U2252" s="80">
        <v>1E-8</v>
      </c>
      <c r="V2252" s="98">
        <v>1E-8</v>
      </c>
      <c r="W2252" s="98">
        <v>1E-8</v>
      </c>
      <c r="X2252" s="98">
        <v>1E-8</v>
      </c>
      <c r="Y2252" s="98">
        <v>1E-8</v>
      </c>
      <c r="Z2252" s="98">
        <v>1E-8</v>
      </c>
      <c r="AA2252" s="98">
        <v>1E-8</v>
      </c>
      <c r="AB2252" s="98">
        <v>1E-8</v>
      </c>
      <c r="AC2252" s="98">
        <v>1E-8</v>
      </c>
      <c r="AD2252" s="4"/>
    </row>
    <row r="2253" spans="1:30" x14ac:dyDescent="0.35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34"/>
      <c r="O2253" s="4"/>
      <c r="P2253" s="68"/>
      <c r="Q2253" s="68" t="s">
        <v>670</v>
      </c>
      <c r="R2253" s="108" t="s">
        <v>97</v>
      </c>
      <c r="S2253" s="108" t="s">
        <v>568</v>
      </c>
      <c r="T2253" s="98">
        <v>1.8605878282693149</v>
      </c>
      <c r="U2253" s="80">
        <v>1E-8</v>
      </c>
      <c r="V2253" s="98">
        <v>1E-8</v>
      </c>
      <c r="W2253" s="98">
        <v>1E-8</v>
      </c>
      <c r="X2253" s="98">
        <v>1E-8</v>
      </c>
      <c r="Y2253" s="98">
        <v>1E-8</v>
      </c>
      <c r="Z2253" s="98">
        <v>1E-8</v>
      </c>
      <c r="AA2253" s="98">
        <v>1E-8</v>
      </c>
      <c r="AB2253" s="98">
        <v>1E-8</v>
      </c>
      <c r="AC2253" s="98">
        <v>1E-8</v>
      </c>
      <c r="AD2253" s="4"/>
    </row>
    <row r="2254" spans="1:30" x14ac:dyDescent="0.35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34"/>
      <c r="O2254" s="4"/>
      <c r="P2254" s="68"/>
      <c r="Q2254" s="68" t="s">
        <v>671</v>
      </c>
      <c r="R2254" s="108" t="s">
        <v>97</v>
      </c>
      <c r="S2254" s="108" t="s">
        <v>569</v>
      </c>
      <c r="T2254" s="98">
        <v>0.85405208864875759</v>
      </c>
      <c r="U2254" s="80">
        <v>1E-8</v>
      </c>
      <c r="V2254" s="98">
        <v>1E-8</v>
      </c>
      <c r="W2254" s="98">
        <v>1E-8</v>
      </c>
      <c r="X2254" s="98">
        <v>1E-8</v>
      </c>
      <c r="Y2254" s="98">
        <v>1E-8</v>
      </c>
      <c r="Z2254" s="98">
        <v>1E-8</v>
      </c>
      <c r="AA2254" s="98">
        <v>1E-8</v>
      </c>
      <c r="AB2254" s="98">
        <v>1E-8</v>
      </c>
      <c r="AC2254" s="98">
        <v>1E-8</v>
      </c>
      <c r="AD2254" s="4"/>
    </row>
    <row r="2255" spans="1:30" x14ac:dyDescent="0.3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34"/>
      <c r="O2255" s="4"/>
      <c r="P2255" s="68"/>
      <c r="Q2255" s="68" t="s">
        <v>672</v>
      </c>
      <c r="R2255" s="108" t="s">
        <v>97</v>
      </c>
      <c r="S2255" s="108" t="s">
        <v>570</v>
      </c>
      <c r="T2255" s="98">
        <v>0.19392186532757097</v>
      </c>
      <c r="U2255" s="80">
        <v>1E-8</v>
      </c>
      <c r="V2255" s="98">
        <v>1E-8</v>
      </c>
      <c r="W2255" s="98">
        <v>1E-8</v>
      </c>
      <c r="X2255" s="98">
        <v>1E-8</v>
      </c>
      <c r="Y2255" s="98">
        <v>1E-8</v>
      </c>
      <c r="Z2255" s="98">
        <v>1E-8</v>
      </c>
      <c r="AA2255" s="98">
        <v>1E-8</v>
      </c>
      <c r="AB2255" s="98">
        <v>1E-8</v>
      </c>
      <c r="AC2255" s="98">
        <v>1E-8</v>
      </c>
      <c r="AD2255" s="4"/>
    </row>
    <row r="2256" spans="1:30" x14ac:dyDescent="0.35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34"/>
      <c r="O2256" s="4"/>
      <c r="P2256" s="96"/>
      <c r="Q2256" s="96" t="s">
        <v>673</v>
      </c>
      <c r="R2256" s="107" t="s">
        <v>97</v>
      </c>
      <c r="S2256" s="107" t="s">
        <v>355</v>
      </c>
      <c r="T2256" s="97">
        <v>3.3583277205893736</v>
      </c>
      <c r="U2256" s="78">
        <v>1E-8</v>
      </c>
      <c r="V2256" s="97">
        <v>1E-8</v>
      </c>
      <c r="W2256" s="97">
        <v>1E-8</v>
      </c>
      <c r="X2256" s="97">
        <v>1E-8</v>
      </c>
      <c r="Y2256" s="97">
        <v>1E-8</v>
      </c>
      <c r="Z2256" s="97">
        <v>1E-8</v>
      </c>
      <c r="AA2256" s="97">
        <v>1E-8</v>
      </c>
      <c r="AB2256" s="97">
        <v>1E-8</v>
      </c>
      <c r="AC2256" s="97">
        <v>1E-8</v>
      </c>
      <c r="AD2256" s="4"/>
    </row>
    <row r="2257" spans="1:30" x14ac:dyDescent="0.35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34"/>
      <c r="O2257" s="4"/>
      <c r="P2257" s="96"/>
      <c r="Q2257" s="96" t="s">
        <v>372</v>
      </c>
      <c r="R2257" s="107" t="s">
        <v>97</v>
      </c>
      <c r="S2257" s="107" t="s">
        <v>571</v>
      </c>
      <c r="T2257" s="97">
        <v>3.8082904958834853</v>
      </c>
      <c r="U2257" s="78">
        <v>1E-8</v>
      </c>
      <c r="V2257" s="97">
        <v>1E-8</v>
      </c>
      <c r="W2257" s="97">
        <v>1E-8</v>
      </c>
      <c r="X2257" s="97">
        <v>1E-8</v>
      </c>
      <c r="Y2257" s="97">
        <v>1E-8</v>
      </c>
      <c r="Z2257" s="97">
        <v>1E-8</v>
      </c>
      <c r="AA2257" s="97">
        <v>1E-8</v>
      </c>
      <c r="AB2257" s="97">
        <v>1E-8</v>
      </c>
      <c r="AC2257" s="97">
        <v>1E-8</v>
      </c>
      <c r="AD2257" s="4"/>
    </row>
    <row r="2258" spans="1:30" x14ac:dyDescent="0.35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34"/>
      <c r="O2258" s="4"/>
      <c r="P2258" s="68"/>
      <c r="Q2258" s="68" t="s">
        <v>674</v>
      </c>
      <c r="R2258" s="108" t="s">
        <v>97</v>
      </c>
      <c r="S2258" s="108" t="s">
        <v>572</v>
      </c>
      <c r="T2258" s="98">
        <v>0.65247055260703424</v>
      </c>
      <c r="U2258" s="80">
        <v>1E-8</v>
      </c>
      <c r="V2258" s="98">
        <v>1E-8</v>
      </c>
      <c r="W2258" s="98">
        <v>1E-8</v>
      </c>
      <c r="X2258" s="98">
        <v>1E-8</v>
      </c>
      <c r="Y2258" s="98">
        <v>1E-8</v>
      </c>
      <c r="Z2258" s="98">
        <v>1E-8</v>
      </c>
      <c r="AA2258" s="98">
        <v>1E-8</v>
      </c>
      <c r="AB2258" s="98">
        <v>1E-8</v>
      </c>
      <c r="AC2258" s="98">
        <v>1E-8</v>
      </c>
      <c r="AD2258" s="4"/>
    </row>
    <row r="2259" spans="1:30" x14ac:dyDescent="0.35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34"/>
      <c r="O2259" s="4"/>
      <c r="P2259" s="68"/>
      <c r="Q2259" s="68" t="s">
        <v>675</v>
      </c>
      <c r="R2259" s="108" t="s">
        <v>97</v>
      </c>
      <c r="S2259" s="108" t="s">
        <v>356</v>
      </c>
      <c r="T2259" s="98">
        <v>2.5284382575593423</v>
      </c>
      <c r="U2259" s="80">
        <v>1E-8</v>
      </c>
      <c r="V2259" s="98">
        <v>1E-8</v>
      </c>
      <c r="W2259" s="98">
        <v>1E-8</v>
      </c>
      <c r="X2259" s="98">
        <v>1E-8</v>
      </c>
      <c r="Y2259" s="98">
        <v>1E-8</v>
      </c>
      <c r="Z2259" s="98">
        <v>1E-8</v>
      </c>
      <c r="AA2259" s="98">
        <v>1E-8</v>
      </c>
      <c r="AB2259" s="98">
        <v>1E-8</v>
      </c>
      <c r="AC2259" s="98">
        <v>1E-8</v>
      </c>
      <c r="AD2259" s="4"/>
    </row>
    <row r="2260" spans="1:30" x14ac:dyDescent="0.35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34"/>
      <c r="O2260" s="4"/>
      <c r="P2260" s="68"/>
      <c r="Q2260" s="68" t="s">
        <v>676</v>
      </c>
      <c r="R2260" s="109" t="s">
        <v>97</v>
      </c>
      <c r="S2260" s="109" t="s">
        <v>573</v>
      </c>
      <c r="T2260" s="81">
        <v>0.62738168571710906</v>
      </c>
      <c r="U2260" s="82">
        <v>1E-8</v>
      </c>
      <c r="V2260" s="81">
        <v>1E-8</v>
      </c>
      <c r="W2260" s="81">
        <v>1E-8</v>
      </c>
      <c r="X2260" s="81">
        <v>1E-8</v>
      </c>
      <c r="Y2260" s="81">
        <v>1E-8</v>
      </c>
      <c r="Z2260" s="81">
        <v>1E-8</v>
      </c>
      <c r="AA2260" s="81">
        <v>1E-8</v>
      </c>
      <c r="AB2260" s="81">
        <v>1E-8</v>
      </c>
      <c r="AC2260" s="81">
        <v>1E-8</v>
      </c>
      <c r="AD2260" s="4"/>
    </row>
    <row r="2261" spans="1:30" x14ac:dyDescent="0.35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34"/>
      <c r="O2261" s="4"/>
      <c r="P2261" s="96"/>
      <c r="Q2261" s="96" t="s">
        <v>373</v>
      </c>
      <c r="R2261" s="107" t="s">
        <v>97</v>
      </c>
      <c r="S2261" s="107" t="s">
        <v>574</v>
      </c>
      <c r="T2261" s="97">
        <v>3.6118537425830857</v>
      </c>
      <c r="U2261" s="78">
        <v>1E-8</v>
      </c>
      <c r="V2261" s="97">
        <v>1E-8</v>
      </c>
      <c r="W2261" s="97">
        <v>1E-8</v>
      </c>
      <c r="X2261" s="97">
        <v>1E-8</v>
      </c>
      <c r="Y2261" s="97">
        <v>1E-8</v>
      </c>
      <c r="Z2261" s="97">
        <v>1E-8</v>
      </c>
      <c r="AA2261" s="97">
        <v>1E-8</v>
      </c>
      <c r="AB2261" s="97">
        <v>1E-8</v>
      </c>
      <c r="AC2261" s="97">
        <v>1E-8</v>
      </c>
      <c r="AD2261" s="4"/>
    </row>
    <row r="2262" spans="1:30" x14ac:dyDescent="0.35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34"/>
      <c r="O2262" s="4"/>
      <c r="P2262" s="68"/>
      <c r="Q2262" s="68" t="s">
        <v>677</v>
      </c>
      <c r="R2262" s="108" t="s">
        <v>97</v>
      </c>
      <c r="S2262" s="108" t="s">
        <v>575</v>
      </c>
      <c r="T2262" s="98">
        <v>1.0222319365325656</v>
      </c>
      <c r="U2262" s="80">
        <v>1E-8</v>
      </c>
      <c r="V2262" s="98">
        <v>1E-8</v>
      </c>
      <c r="W2262" s="98">
        <v>1E-8</v>
      </c>
      <c r="X2262" s="98">
        <v>1E-8</v>
      </c>
      <c r="Y2262" s="98">
        <v>1E-8</v>
      </c>
      <c r="Z2262" s="98">
        <v>1E-8</v>
      </c>
      <c r="AA2262" s="98">
        <v>1E-8</v>
      </c>
      <c r="AB2262" s="98">
        <v>1E-8</v>
      </c>
      <c r="AC2262" s="98">
        <v>1E-8</v>
      </c>
      <c r="AD2262" s="4"/>
    </row>
    <row r="2263" spans="1:30" x14ac:dyDescent="0.35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34"/>
      <c r="O2263" s="4"/>
      <c r="P2263" s="68"/>
      <c r="Q2263" s="68" t="s">
        <v>678</v>
      </c>
      <c r="R2263" s="108" t="s">
        <v>97</v>
      </c>
      <c r="S2263" s="108" t="s">
        <v>576</v>
      </c>
      <c r="T2263" s="98">
        <v>0.75434498965336783</v>
      </c>
      <c r="U2263" s="80">
        <v>1E-8</v>
      </c>
      <c r="V2263" s="98">
        <v>1E-8</v>
      </c>
      <c r="W2263" s="98">
        <v>1E-8</v>
      </c>
      <c r="X2263" s="98">
        <v>1E-8</v>
      </c>
      <c r="Y2263" s="98">
        <v>1E-8</v>
      </c>
      <c r="Z2263" s="98">
        <v>1E-8</v>
      </c>
      <c r="AA2263" s="98">
        <v>1E-8</v>
      </c>
      <c r="AB2263" s="98">
        <v>1E-8</v>
      </c>
      <c r="AC2263" s="98">
        <v>1E-8</v>
      </c>
      <c r="AD2263" s="4"/>
    </row>
    <row r="2264" spans="1:30" x14ac:dyDescent="0.35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34"/>
      <c r="O2264" s="4"/>
      <c r="P2264" s="68"/>
      <c r="Q2264" s="68" t="s">
        <v>679</v>
      </c>
      <c r="R2264" s="108" t="s">
        <v>97</v>
      </c>
      <c r="S2264" s="108" t="s">
        <v>577</v>
      </c>
      <c r="T2264" s="98">
        <v>1.8352768163971527</v>
      </c>
      <c r="U2264" s="80">
        <v>1E-8</v>
      </c>
      <c r="V2264" s="98">
        <v>1E-8</v>
      </c>
      <c r="W2264" s="98">
        <v>1E-8</v>
      </c>
      <c r="X2264" s="98">
        <v>1E-8</v>
      </c>
      <c r="Y2264" s="98">
        <v>1E-8</v>
      </c>
      <c r="Z2264" s="98">
        <v>1E-8</v>
      </c>
      <c r="AA2264" s="98">
        <v>1E-8</v>
      </c>
      <c r="AB2264" s="98">
        <v>1E-8</v>
      </c>
      <c r="AC2264" s="98">
        <v>1E-8</v>
      </c>
      <c r="AD2264" s="4"/>
    </row>
    <row r="2265" spans="1:30" x14ac:dyDescent="0.3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34"/>
      <c r="O2265" s="4"/>
      <c r="P2265" s="96"/>
      <c r="Q2265" s="96" t="s">
        <v>195</v>
      </c>
      <c r="R2265" s="107" t="s">
        <v>97</v>
      </c>
      <c r="S2265" s="107" t="s">
        <v>578</v>
      </c>
      <c r="T2265" s="97">
        <v>21.875521654374957</v>
      </c>
      <c r="U2265" s="78">
        <v>1E-8</v>
      </c>
      <c r="V2265" s="97">
        <v>1E-8</v>
      </c>
      <c r="W2265" s="97">
        <v>1E-8</v>
      </c>
      <c r="X2265" s="97">
        <v>1E-8</v>
      </c>
      <c r="Y2265" s="97">
        <v>1E-8</v>
      </c>
      <c r="Z2265" s="97">
        <v>1E-8</v>
      </c>
      <c r="AA2265" s="97">
        <v>1E-8</v>
      </c>
      <c r="AB2265" s="97">
        <v>1E-8</v>
      </c>
      <c r="AC2265" s="97">
        <v>1E-8</v>
      </c>
      <c r="AD2265" s="4"/>
    </row>
    <row r="2266" spans="1:30" x14ac:dyDescent="0.35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34"/>
      <c r="O2266" s="4"/>
      <c r="P2266" s="68"/>
      <c r="Q2266" s="68" t="s">
        <v>680</v>
      </c>
      <c r="R2266" s="108" t="s">
        <v>97</v>
      </c>
      <c r="S2266" s="108" t="s">
        <v>579</v>
      </c>
      <c r="T2266" s="98">
        <v>16.178527199385336</v>
      </c>
      <c r="U2266" s="80">
        <v>1E-8</v>
      </c>
      <c r="V2266" s="98">
        <v>1E-8</v>
      </c>
      <c r="W2266" s="98">
        <v>1E-8</v>
      </c>
      <c r="X2266" s="98">
        <v>1E-8</v>
      </c>
      <c r="Y2266" s="98">
        <v>1E-8</v>
      </c>
      <c r="Z2266" s="98">
        <v>1E-8</v>
      </c>
      <c r="AA2266" s="98">
        <v>1E-8</v>
      </c>
      <c r="AB2266" s="98">
        <v>1E-8</v>
      </c>
      <c r="AC2266" s="98">
        <v>1E-8</v>
      </c>
      <c r="AD2266" s="4"/>
    </row>
    <row r="2267" spans="1:30" x14ac:dyDescent="0.3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34"/>
      <c r="O2267" s="4"/>
      <c r="P2267" s="68"/>
      <c r="Q2267" s="68" t="s">
        <v>681</v>
      </c>
      <c r="R2267" s="108" t="s">
        <v>97</v>
      </c>
      <c r="S2267" s="108" t="s">
        <v>357</v>
      </c>
      <c r="T2267" s="98">
        <v>5.6969944549896203</v>
      </c>
      <c r="U2267" s="80">
        <v>1E-8</v>
      </c>
      <c r="V2267" s="98">
        <v>1E-8</v>
      </c>
      <c r="W2267" s="98">
        <v>1E-8</v>
      </c>
      <c r="X2267" s="98">
        <v>1E-8</v>
      </c>
      <c r="Y2267" s="98">
        <v>1E-8</v>
      </c>
      <c r="Z2267" s="98">
        <v>1E-8</v>
      </c>
      <c r="AA2267" s="98">
        <v>1E-8</v>
      </c>
      <c r="AB2267" s="98">
        <v>1E-8</v>
      </c>
      <c r="AC2267" s="98">
        <v>1E-8</v>
      </c>
      <c r="AD2267" s="4"/>
    </row>
    <row r="2268" spans="1:30" x14ac:dyDescent="0.35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34"/>
      <c r="O2268" s="4"/>
      <c r="P2268" s="96"/>
      <c r="Q2268" s="96" t="s">
        <v>196</v>
      </c>
      <c r="R2268" s="107" t="s">
        <v>97</v>
      </c>
      <c r="S2268" s="107" t="s">
        <v>580</v>
      </c>
      <c r="T2268" s="97">
        <v>9.5876609565594357</v>
      </c>
      <c r="U2268" s="78">
        <v>1E-8</v>
      </c>
      <c r="V2268" s="97">
        <v>1E-8</v>
      </c>
      <c r="W2268" s="97">
        <v>1E-8</v>
      </c>
      <c r="X2268" s="97">
        <v>1E-8</v>
      </c>
      <c r="Y2268" s="97">
        <v>1E-8</v>
      </c>
      <c r="Z2268" s="97">
        <v>1E-8</v>
      </c>
      <c r="AA2268" s="97">
        <v>1E-8</v>
      </c>
      <c r="AB2268" s="97">
        <v>1E-8</v>
      </c>
      <c r="AC2268" s="97">
        <v>1E-8</v>
      </c>
      <c r="AD2268" s="4"/>
    </row>
    <row r="2269" spans="1:30" x14ac:dyDescent="0.35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34"/>
      <c r="O2269" s="4"/>
      <c r="P2269" s="68"/>
      <c r="Q2269" s="68" t="s">
        <v>682</v>
      </c>
      <c r="R2269" s="108" t="s">
        <v>97</v>
      </c>
      <c r="S2269" s="108" t="s">
        <v>581</v>
      </c>
      <c r="T2269" s="98">
        <v>1.0236915947957372</v>
      </c>
      <c r="U2269" s="80">
        <v>1E-8</v>
      </c>
      <c r="V2269" s="98">
        <v>1E-8</v>
      </c>
      <c r="W2269" s="98">
        <v>1E-8</v>
      </c>
      <c r="X2269" s="98">
        <v>1E-8</v>
      </c>
      <c r="Y2269" s="98">
        <v>1E-8</v>
      </c>
      <c r="Z2269" s="98">
        <v>1E-8</v>
      </c>
      <c r="AA2269" s="98">
        <v>1E-8</v>
      </c>
      <c r="AB2269" s="98">
        <v>1E-8</v>
      </c>
      <c r="AC2269" s="98">
        <v>1E-8</v>
      </c>
      <c r="AD2269" s="4"/>
    </row>
    <row r="2270" spans="1:30" x14ac:dyDescent="0.35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34"/>
      <c r="O2270" s="4"/>
      <c r="P2270" s="68"/>
      <c r="Q2270" s="68" t="s">
        <v>683</v>
      </c>
      <c r="R2270" s="108" t="s">
        <v>97</v>
      </c>
      <c r="S2270" s="108" t="s">
        <v>582</v>
      </c>
      <c r="T2270" s="98">
        <v>0.31536962834340548</v>
      </c>
      <c r="U2270" s="80">
        <v>1E-8</v>
      </c>
      <c r="V2270" s="98">
        <v>1E-8</v>
      </c>
      <c r="W2270" s="98">
        <v>1E-8</v>
      </c>
      <c r="X2270" s="98">
        <v>1E-8</v>
      </c>
      <c r="Y2270" s="98">
        <v>1E-8</v>
      </c>
      <c r="Z2270" s="98">
        <v>1E-8</v>
      </c>
      <c r="AA2270" s="98">
        <v>1E-8</v>
      </c>
      <c r="AB2270" s="98">
        <v>1E-8</v>
      </c>
      <c r="AC2270" s="98">
        <v>1E-8</v>
      </c>
      <c r="AD2270" s="4"/>
    </row>
    <row r="2271" spans="1:30" x14ac:dyDescent="0.35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34"/>
      <c r="O2271" s="4"/>
      <c r="P2271" s="68"/>
      <c r="Q2271" s="68" t="s">
        <v>684</v>
      </c>
      <c r="R2271" s="108" t="s">
        <v>97</v>
      </c>
      <c r="S2271" s="108" t="s">
        <v>583</v>
      </c>
      <c r="T2271" s="98">
        <v>2.2111254086737477</v>
      </c>
      <c r="U2271" s="80">
        <v>1E-8</v>
      </c>
      <c r="V2271" s="98">
        <v>1E-8</v>
      </c>
      <c r="W2271" s="98">
        <v>1E-8</v>
      </c>
      <c r="X2271" s="98">
        <v>1E-8</v>
      </c>
      <c r="Y2271" s="98">
        <v>1E-8</v>
      </c>
      <c r="Z2271" s="98">
        <v>1E-8</v>
      </c>
      <c r="AA2271" s="98">
        <v>1E-8</v>
      </c>
      <c r="AB2271" s="98">
        <v>1E-8</v>
      </c>
      <c r="AC2271" s="98">
        <v>1E-8</v>
      </c>
      <c r="AD2271" s="4"/>
    </row>
    <row r="2272" spans="1:30" x14ac:dyDescent="0.35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34"/>
      <c r="O2272" s="4"/>
      <c r="P2272" s="68"/>
      <c r="Q2272" s="68" t="s">
        <v>685</v>
      </c>
      <c r="R2272" s="108" t="s">
        <v>97</v>
      </c>
      <c r="S2272" s="108" t="s">
        <v>584</v>
      </c>
      <c r="T2272" s="98">
        <v>0.4456014196195765</v>
      </c>
      <c r="U2272" s="80">
        <v>1E-8</v>
      </c>
      <c r="V2272" s="98">
        <v>1E-8</v>
      </c>
      <c r="W2272" s="98">
        <v>1E-8</v>
      </c>
      <c r="X2272" s="98">
        <v>1E-8</v>
      </c>
      <c r="Y2272" s="98">
        <v>1E-8</v>
      </c>
      <c r="Z2272" s="98">
        <v>1E-8</v>
      </c>
      <c r="AA2272" s="98">
        <v>1E-8</v>
      </c>
      <c r="AB2272" s="98">
        <v>1E-8</v>
      </c>
      <c r="AC2272" s="98">
        <v>1E-8</v>
      </c>
      <c r="AD2272" s="4"/>
    </row>
    <row r="2273" spans="1:30" x14ac:dyDescent="0.35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34"/>
      <c r="O2273" s="4"/>
      <c r="P2273" s="68"/>
      <c r="Q2273" s="68" t="s">
        <v>686</v>
      </c>
      <c r="R2273" s="109" t="s">
        <v>97</v>
      </c>
      <c r="S2273" s="109" t="s">
        <v>585</v>
      </c>
      <c r="T2273" s="81">
        <v>5.5918729051269667</v>
      </c>
      <c r="U2273" s="82">
        <v>1E-8</v>
      </c>
      <c r="V2273" s="81">
        <v>1E-8</v>
      </c>
      <c r="W2273" s="81">
        <v>1E-8</v>
      </c>
      <c r="X2273" s="81">
        <v>1E-8</v>
      </c>
      <c r="Y2273" s="81">
        <v>1E-8</v>
      </c>
      <c r="Z2273" s="81">
        <v>1E-8</v>
      </c>
      <c r="AA2273" s="81">
        <v>1E-8</v>
      </c>
      <c r="AB2273" s="81">
        <v>1E-8</v>
      </c>
      <c r="AC2273" s="81">
        <v>1E-8</v>
      </c>
      <c r="AD2273" s="4"/>
    </row>
    <row r="2274" spans="1:30" x14ac:dyDescent="0.35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34"/>
      <c r="O2274" s="4"/>
      <c r="P2274" s="96"/>
      <c r="Q2274" s="96" t="s">
        <v>687</v>
      </c>
      <c r="R2274" s="107" t="s">
        <v>97</v>
      </c>
      <c r="S2274" s="107" t="s">
        <v>358</v>
      </c>
      <c r="T2274" s="97">
        <v>1E-8</v>
      </c>
      <c r="U2274" s="78">
        <v>1E-8</v>
      </c>
      <c r="V2274" s="97">
        <v>1E-8</v>
      </c>
      <c r="W2274" s="97">
        <v>1E-8</v>
      </c>
      <c r="X2274" s="97">
        <v>1E-8</v>
      </c>
      <c r="Y2274" s="97">
        <v>1E-8</v>
      </c>
      <c r="Z2274" s="97">
        <v>1E-8</v>
      </c>
      <c r="AA2274" s="97">
        <v>1E-8</v>
      </c>
      <c r="AB2274" s="97">
        <v>1E-8</v>
      </c>
      <c r="AC2274" s="97">
        <v>1E-8</v>
      </c>
      <c r="AD2274" s="4"/>
    </row>
    <row r="2275" spans="1:30" x14ac:dyDescent="0.3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34"/>
      <c r="O2275" s="4"/>
      <c r="P2275" s="96"/>
      <c r="Q2275" s="96" t="s">
        <v>688</v>
      </c>
      <c r="R2275" s="107" t="s">
        <v>97</v>
      </c>
      <c r="S2275" s="107" t="s">
        <v>359</v>
      </c>
      <c r="T2275" s="97">
        <v>2.5381056547760061</v>
      </c>
      <c r="U2275" s="78">
        <v>1E-8</v>
      </c>
      <c r="V2275" s="97">
        <v>1E-8</v>
      </c>
      <c r="W2275" s="97">
        <v>1E-8</v>
      </c>
      <c r="X2275" s="97">
        <v>1E-8</v>
      </c>
      <c r="Y2275" s="97">
        <v>1E-8</v>
      </c>
      <c r="Z2275" s="97">
        <v>1E-8</v>
      </c>
      <c r="AA2275" s="97">
        <v>1E-8</v>
      </c>
      <c r="AB2275" s="97">
        <v>1E-8</v>
      </c>
      <c r="AC2275" s="97">
        <v>1E-8</v>
      </c>
      <c r="AD2275" s="4"/>
    </row>
    <row r="2276" spans="1:30" x14ac:dyDescent="0.35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34"/>
      <c r="O2276" s="4"/>
      <c r="P2276" s="96"/>
      <c r="Q2276" s="96" t="s">
        <v>689</v>
      </c>
      <c r="R2276" s="107" t="s">
        <v>97</v>
      </c>
      <c r="S2276" s="107" t="s">
        <v>360</v>
      </c>
      <c r="T2276" s="97">
        <v>1.4051432329196045</v>
      </c>
      <c r="U2276" s="78">
        <v>1E-8</v>
      </c>
      <c r="V2276" s="97">
        <v>1E-8</v>
      </c>
      <c r="W2276" s="97">
        <v>1E-8</v>
      </c>
      <c r="X2276" s="97">
        <v>1E-8</v>
      </c>
      <c r="Y2276" s="97">
        <v>1E-8</v>
      </c>
      <c r="Z2276" s="97">
        <v>1E-8</v>
      </c>
      <c r="AA2276" s="97">
        <v>1E-8</v>
      </c>
      <c r="AB2276" s="97">
        <v>1E-8</v>
      </c>
      <c r="AC2276" s="97">
        <v>1E-8</v>
      </c>
      <c r="AD2276" s="4"/>
    </row>
    <row r="2277" spans="1:30" x14ac:dyDescent="0.35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34"/>
      <c r="O2277" s="4"/>
      <c r="P2277" s="96"/>
      <c r="Q2277" s="96" t="s">
        <v>205</v>
      </c>
      <c r="R2277" s="107" t="s">
        <v>97</v>
      </c>
      <c r="S2277" s="107" t="s">
        <v>586</v>
      </c>
      <c r="T2277" s="97">
        <v>3.1391113884711275</v>
      </c>
      <c r="U2277" s="78">
        <v>1E-8</v>
      </c>
      <c r="V2277" s="97">
        <v>1E-8</v>
      </c>
      <c r="W2277" s="97">
        <v>1E-8</v>
      </c>
      <c r="X2277" s="97">
        <v>1E-8</v>
      </c>
      <c r="Y2277" s="97">
        <v>1E-8</v>
      </c>
      <c r="Z2277" s="97">
        <v>1E-8</v>
      </c>
      <c r="AA2277" s="97">
        <v>1E-8</v>
      </c>
      <c r="AB2277" s="97">
        <v>1E-8</v>
      </c>
      <c r="AC2277" s="97">
        <v>1E-8</v>
      </c>
      <c r="AD2277" s="4"/>
    </row>
    <row r="2278" spans="1:30" x14ac:dyDescent="0.35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34"/>
      <c r="O2278" s="4"/>
      <c r="P2278" s="68"/>
      <c r="Q2278" s="68" t="s">
        <v>690</v>
      </c>
      <c r="R2278" s="108" t="s">
        <v>97</v>
      </c>
      <c r="S2278" s="108" t="s">
        <v>587</v>
      </c>
      <c r="T2278" s="98">
        <v>0.81442335377671349</v>
      </c>
      <c r="U2278" s="80">
        <v>1E-8</v>
      </c>
      <c r="V2278" s="98">
        <v>1E-8</v>
      </c>
      <c r="W2278" s="98">
        <v>1E-8</v>
      </c>
      <c r="X2278" s="98">
        <v>1E-8</v>
      </c>
      <c r="Y2278" s="98">
        <v>1E-8</v>
      </c>
      <c r="Z2278" s="98">
        <v>1E-8</v>
      </c>
      <c r="AA2278" s="98">
        <v>1E-8</v>
      </c>
      <c r="AB2278" s="98">
        <v>1E-8</v>
      </c>
      <c r="AC2278" s="98">
        <v>1E-8</v>
      </c>
      <c r="AD2278" s="4"/>
    </row>
    <row r="2279" spans="1:30" x14ac:dyDescent="0.35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34"/>
      <c r="O2279" s="4"/>
      <c r="P2279" s="68"/>
      <c r="Q2279" s="68" t="s">
        <v>691</v>
      </c>
      <c r="R2279" s="108" t="s">
        <v>97</v>
      </c>
      <c r="S2279" s="108" t="s">
        <v>588</v>
      </c>
      <c r="T2279" s="98">
        <v>7.3039068425986189E-2</v>
      </c>
      <c r="U2279" s="80">
        <v>1E-8</v>
      </c>
      <c r="V2279" s="98">
        <v>1E-8</v>
      </c>
      <c r="W2279" s="98">
        <v>1E-8</v>
      </c>
      <c r="X2279" s="98">
        <v>1E-8</v>
      </c>
      <c r="Y2279" s="98">
        <v>1E-8</v>
      </c>
      <c r="Z2279" s="98">
        <v>1E-8</v>
      </c>
      <c r="AA2279" s="98">
        <v>1E-8</v>
      </c>
      <c r="AB2279" s="98">
        <v>1E-8</v>
      </c>
      <c r="AC2279" s="98">
        <v>1E-8</v>
      </c>
      <c r="AD2279" s="4"/>
    </row>
    <row r="2280" spans="1:30" x14ac:dyDescent="0.35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34"/>
      <c r="O2280" s="4"/>
      <c r="P2280" s="68"/>
      <c r="Q2280" s="68" t="s">
        <v>692</v>
      </c>
      <c r="R2280" s="108" t="s">
        <v>97</v>
      </c>
      <c r="S2280" s="108" t="s">
        <v>589</v>
      </c>
      <c r="T2280" s="98">
        <v>0.31121725736201822</v>
      </c>
      <c r="U2280" s="80">
        <v>1E-8</v>
      </c>
      <c r="V2280" s="98">
        <v>1E-8</v>
      </c>
      <c r="W2280" s="98">
        <v>1E-8</v>
      </c>
      <c r="X2280" s="98">
        <v>1E-8</v>
      </c>
      <c r="Y2280" s="98">
        <v>1E-8</v>
      </c>
      <c r="Z2280" s="98">
        <v>1E-8</v>
      </c>
      <c r="AA2280" s="98">
        <v>1E-8</v>
      </c>
      <c r="AB2280" s="98">
        <v>1E-8</v>
      </c>
      <c r="AC2280" s="98">
        <v>1E-8</v>
      </c>
      <c r="AD2280" s="4"/>
    </row>
    <row r="2281" spans="1:30" x14ac:dyDescent="0.35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34"/>
      <c r="O2281" s="4"/>
      <c r="P2281" s="68"/>
      <c r="Q2281" s="68" t="s">
        <v>693</v>
      </c>
      <c r="R2281" s="108" t="s">
        <v>97</v>
      </c>
      <c r="S2281" s="108" t="s">
        <v>361</v>
      </c>
      <c r="T2281" s="98">
        <v>1.7926417253646199</v>
      </c>
      <c r="U2281" s="80">
        <v>1E-8</v>
      </c>
      <c r="V2281" s="98">
        <v>1E-8</v>
      </c>
      <c r="W2281" s="98">
        <v>1E-8</v>
      </c>
      <c r="X2281" s="98">
        <v>1E-8</v>
      </c>
      <c r="Y2281" s="98">
        <v>1E-8</v>
      </c>
      <c r="Z2281" s="98">
        <v>1E-8</v>
      </c>
      <c r="AA2281" s="98">
        <v>1E-8</v>
      </c>
      <c r="AB2281" s="98">
        <v>1E-8</v>
      </c>
      <c r="AC2281" s="98">
        <v>1E-8</v>
      </c>
      <c r="AD2281" s="4"/>
    </row>
    <row r="2282" spans="1:30" x14ac:dyDescent="0.35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34"/>
      <c r="O2282" s="4"/>
      <c r="P2282" s="68"/>
      <c r="Q2282" s="68" t="s">
        <v>694</v>
      </c>
      <c r="R2282" s="108" t="s">
        <v>97</v>
      </c>
      <c r="S2282" s="108" t="s">
        <v>590</v>
      </c>
      <c r="T2282" s="98">
        <v>0.14778998354178974</v>
      </c>
      <c r="U2282" s="80">
        <v>1E-8</v>
      </c>
      <c r="V2282" s="98">
        <v>1E-8</v>
      </c>
      <c r="W2282" s="98">
        <v>1E-8</v>
      </c>
      <c r="X2282" s="98">
        <v>1E-8</v>
      </c>
      <c r="Y2282" s="98">
        <v>1E-8</v>
      </c>
      <c r="Z2282" s="98">
        <v>1E-8</v>
      </c>
      <c r="AA2282" s="98">
        <v>1E-8</v>
      </c>
      <c r="AB2282" s="98">
        <v>1E-8</v>
      </c>
      <c r="AC2282" s="98">
        <v>1E-8</v>
      </c>
      <c r="AD2282" s="4"/>
    </row>
    <row r="2283" spans="1:30" x14ac:dyDescent="0.35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34"/>
      <c r="O2283" s="4"/>
      <c r="P2283" s="68"/>
      <c r="Q2283" s="68" t="s">
        <v>695</v>
      </c>
      <c r="R2283" s="108" t="s">
        <v>97</v>
      </c>
      <c r="S2283" s="108" t="s">
        <v>591</v>
      </c>
      <c r="T2283" s="98">
        <v>1E-8</v>
      </c>
      <c r="U2283" s="98">
        <v>1E-8</v>
      </c>
      <c r="V2283" s="98">
        <v>1E-8</v>
      </c>
      <c r="W2283" s="98">
        <v>1E-8</v>
      </c>
      <c r="X2283" s="98">
        <v>1E-8</v>
      </c>
      <c r="Y2283" s="98">
        <v>1E-8</v>
      </c>
      <c r="Z2283" s="98">
        <v>1E-8</v>
      </c>
      <c r="AA2283" s="98">
        <v>1E-8</v>
      </c>
      <c r="AB2283" s="98">
        <v>1E-8</v>
      </c>
      <c r="AC2283" s="98">
        <v>1E-8</v>
      </c>
      <c r="AD2283" s="4"/>
    </row>
    <row r="2284" spans="1:30" s="4" customFormat="1" x14ac:dyDescent="0.35">
      <c r="N2284" s="34"/>
    </row>
  </sheetData>
  <sheetProtection sheet="1" objects="1" scenarios="1"/>
  <conditionalFormatting sqref="C6:L15 C26:L36 C40:L49 C60:L70 C74:L83 C94:L104">
    <cfRule type="cellIs" dxfId="28" priority="265" operator="equal">
      <formula>0.00000001</formula>
    </cfRule>
  </conditionalFormatting>
  <conditionalFormatting sqref="C16:L20">
    <cfRule type="cellIs" dxfId="27" priority="23" operator="equal">
      <formula>0.00000001</formula>
    </cfRule>
  </conditionalFormatting>
  <conditionalFormatting sqref="C50:L54">
    <cfRule type="cellIs" dxfId="26" priority="22" operator="equal">
      <formula>0.00000001</formula>
    </cfRule>
  </conditionalFormatting>
  <conditionalFormatting sqref="C84:L88">
    <cfRule type="cellIs" dxfId="25" priority="21" operator="equal">
      <formula>0.00000001</formula>
    </cfRule>
  </conditionalFormatting>
  <conditionalFormatting sqref="C89:L93">
    <cfRule type="cellIs" dxfId="24" priority="20" operator="equal">
      <formula>0.00000001</formula>
    </cfRule>
  </conditionalFormatting>
  <conditionalFormatting sqref="C55:L59">
    <cfRule type="cellIs" dxfId="23" priority="19" operator="equal">
      <formula>0.00000001</formula>
    </cfRule>
  </conditionalFormatting>
  <conditionalFormatting sqref="C21:L25">
    <cfRule type="cellIs" dxfId="22" priority="18" operator="equal">
      <formula>0.00000001</formula>
    </cfRule>
  </conditionalFormatting>
  <conditionalFormatting sqref="R6:AC139">
    <cfRule type="cellIs" dxfId="21" priority="17" operator="equal">
      <formula>0.00000001</formula>
    </cfRule>
  </conditionalFormatting>
  <conditionalFormatting sqref="R140:AC273">
    <cfRule type="cellIs" dxfId="20" priority="16" operator="equal">
      <formula>0.00000001</formula>
    </cfRule>
  </conditionalFormatting>
  <conditionalFormatting sqref="R274:AC407">
    <cfRule type="cellIs" dxfId="19" priority="15" operator="equal">
      <formula>0.00000001</formula>
    </cfRule>
  </conditionalFormatting>
  <conditionalFormatting sqref="R408:AC541">
    <cfRule type="cellIs" dxfId="18" priority="14" operator="equal">
      <formula>0.00000001</formula>
    </cfRule>
  </conditionalFormatting>
  <conditionalFormatting sqref="R542:AC675">
    <cfRule type="cellIs" dxfId="17" priority="13" operator="equal">
      <formula>0.00000001</formula>
    </cfRule>
  </conditionalFormatting>
  <conditionalFormatting sqref="R676:AC809">
    <cfRule type="cellIs" dxfId="16" priority="12" operator="equal">
      <formula>0.00000001</formula>
    </cfRule>
  </conditionalFormatting>
  <conditionalFormatting sqref="R810:AC943">
    <cfRule type="cellIs" dxfId="15" priority="11" operator="equal">
      <formula>0.00000001</formula>
    </cfRule>
  </conditionalFormatting>
  <conditionalFormatting sqref="R944:AC1077">
    <cfRule type="cellIs" dxfId="14" priority="10" operator="equal">
      <formula>0.00000001</formula>
    </cfRule>
  </conditionalFormatting>
  <conditionalFormatting sqref="R1078:AC1211">
    <cfRule type="cellIs" dxfId="13" priority="9" operator="equal">
      <formula>0.00000001</formula>
    </cfRule>
  </conditionalFormatting>
  <conditionalFormatting sqref="R1212:AC1345">
    <cfRule type="cellIs" dxfId="12" priority="8" operator="equal">
      <formula>0.00000001</formula>
    </cfRule>
  </conditionalFormatting>
  <conditionalFormatting sqref="R1346:AC1479">
    <cfRule type="cellIs" dxfId="11" priority="7" operator="equal">
      <formula>0.00000001</formula>
    </cfRule>
  </conditionalFormatting>
  <conditionalFormatting sqref="R1480:AC1613">
    <cfRule type="cellIs" dxfId="10" priority="6" operator="equal">
      <formula>0.00000001</formula>
    </cfRule>
  </conditionalFormatting>
  <conditionalFormatting sqref="R1614:AC1747">
    <cfRule type="cellIs" dxfId="9" priority="5" operator="equal">
      <formula>0.00000001</formula>
    </cfRule>
  </conditionalFormatting>
  <conditionalFormatting sqref="R1748:AC1881">
    <cfRule type="cellIs" dxfId="8" priority="4" operator="equal">
      <formula>0.00000001</formula>
    </cfRule>
  </conditionalFormatting>
  <conditionalFormatting sqref="R1882:AC2015">
    <cfRule type="cellIs" dxfId="7" priority="3" operator="equal">
      <formula>0.00000001</formula>
    </cfRule>
  </conditionalFormatting>
  <conditionalFormatting sqref="R2016:AC2149">
    <cfRule type="cellIs" dxfId="6" priority="2" operator="equal">
      <formula>0.00000001</formula>
    </cfRule>
  </conditionalFormatting>
  <conditionalFormatting sqref="R2150:AC2283">
    <cfRule type="cellIs" dxfId="5" priority="1" operator="equal">
      <formula>0.00000001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S140"/>
  <sheetViews>
    <sheetView zoomScale="85" zoomScaleNormal="85" workbookViewId="0">
      <pane xSplit="2" ySplit="5" topLeftCell="G6" activePane="bottomRight" state="frozen"/>
      <selection pane="topRight" activeCell="C1" sqref="C1"/>
      <selection pane="bottomLeft" activeCell="A6" sqref="A6"/>
      <selection pane="bottomRight" activeCell="I6" sqref="I6"/>
    </sheetView>
  </sheetViews>
  <sheetFormatPr defaultColWidth="0" defaultRowHeight="14.5" zeroHeight="1" x14ac:dyDescent="0.35"/>
  <cols>
    <col min="1" max="1" width="22.54296875" customWidth="1"/>
    <col min="2" max="2" width="0.453125" customWidth="1"/>
    <col min="3" max="12" width="8.81640625" customWidth="1"/>
    <col min="13" max="15" width="1" customWidth="1"/>
    <col min="16" max="16" width="27" customWidth="1"/>
    <col min="17" max="17" width="0.453125" customWidth="1"/>
    <col min="18" max="27" width="8.81640625" customWidth="1"/>
    <col min="28" max="30" width="1" customWidth="1"/>
    <col min="31" max="31" width="7.54296875" customWidth="1"/>
    <col min="32" max="32" width="21.453125" customWidth="1"/>
    <col min="33" max="34" width="0.453125" customWidth="1"/>
    <col min="35" max="44" width="8.81640625" customWidth="1"/>
    <col min="45" max="45" width="1" customWidth="1"/>
    <col min="46" max="16384" width="8.81640625" hidden="1"/>
  </cols>
  <sheetData>
    <row r="1" spans="1:45" ht="18.5" x14ac:dyDescent="0.45">
      <c r="A1" s="1" t="s">
        <v>466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35">
      <c r="A4" s="36" t="s">
        <v>520</v>
      </c>
      <c r="B4" s="34"/>
      <c r="C4" s="34" t="s">
        <v>399</v>
      </c>
      <c r="D4" s="6" t="s">
        <v>400</v>
      </c>
      <c r="E4" s="34"/>
      <c r="F4" s="34"/>
      <c r="G4" s="34"/>
      <c r="H4" s="34"/>
      <c r="I4" s="34"/>
      <c r="J4" s="34"/>
      <c r="K4" s="34"/>
      <c r="L4" s="34"/>
      <c r="M4" s="36"/>
      <c r="N4" s="36"/>
      <c r="O4" s="36"/>
      <c r="P4" s="36" t="s">
        <v>519</v>
      </c>
      <c r="Q4" s="34"/>
      <c r="R4" s="34" t="s">
        <v>399</v>
      </c>
      <c r="S4" s="6" t="s">
        <v>400</v>
      </c>
      <c r="T4" s="34"/>
      <c r="U4" s="34"/>
      <c r="V4" s="34"/>
      <c r="W4" s="34"/>
      <c r="X4" s="34"/>
      <c r="Y4" s="34"/>
      <c r="Z4" s="34"/>
      <c r="AA4" s="34"/>
      <c r="AB4" s="36"/>
      <c r="AC4" s="36"/>
      <c r="AD4" s="36"/>
      <c r="AE4" s="36" t="s">
        <v>467</v>
      </c>
      <c r="AF4" s="36"/>
      <c r="AG4" s="36"/>
      <c r="AH4" s="34"/>
      <c r="AI4" s="34" t="s">
        <v>399</v>
      </c>
      <c r="AJ4" s="6" t="s">
        <v>400</v>
      </c>
      <c r="AK4" s="34"/>
      <c r="AL4" s="34"/>
      <c r="AM4" s="34"/>
      <c r="AN4" s="34"/>
      <c r="AO4" s="34"/>
      <c r="AP4" s="34"/>
      <c r="AQ4" s="34"/>
      <c r="AR4" s="34"/>
      <c r="AS4" s="34"/>
    </row>
    <row r="5" spans="1:45" x14ac:dyDescent="0.35">
      <c r="A5" s="35" t="s">
        <v>507</v>
      </c>
      <c r="B5" s="30"/>
      <c r="C5" s="33" t="s">
        <v>246</v>
      </c>
      <c r="D5" s="50" t="s">
        <v>890</v>
      </c>
      <c r="E5" s="33" t="s">
        <v>885</v>
      </c>
      <c r="F5" s="33" t="s">
        <v>891</v>
      </c>
      <c r="G5" s="33" t="s">
        <v>886</v>
      </c>
      <c r="H5" s="33" t="s">
        <v>887</v>
      </c>
      <c r="I5" s="33" t="s">
        <v>888</v>
      </c>
      <c r="J5" s="33" t="s">
        <v>889</v>
      </c>
      <c r="K5" s="33" t="s">
        <v>396</v>
      </c>
      <c r="L5" s="33" t="s">
        <v>397</v>
      </c>
      <c r="M5" s="35"/>
      <c r="N5" s="36"/>
      <c r="O5" s="35"/>
      <c r="P5" s="35"/>
      <c r="Q5" s="30"/>
      <c r="R5" s="33" t="s">
        <v>246</v>
      </c>
      <c r="S5" s="50" t="s">
        <v>890</v>
      </c>
      <c r="T5" s="33" t="s">
        <v>885</v>
      </c>
      <c r="U5" s="33" t="s">
        <v>891</v>
      </c>
      <c r="V5" s="33" t="s">
        <v>886</v>
      </c>
      <c r="W5" s="33" t="s">
        <v>887</v>
      </c>
      <c r="X5" s="33" t="s">
        <v>888</v>
      </c>
      <c r="Y5" s="33" t="s">
        <v>889</v>
      </c>
      <c r="Z5" s="33" t="s">
        <v>396</v>
      </c>
      <c r="AA5" s="33" t="s">
        <v>397</v>
      </c>
      <c r="AB5" s="35"/>
      <c r="AC5" s="36"/>
      <c r="AD5" s="35"/>
      <c r="AE5" s="35"/>
      <c r="AF5" s="35"/>
      <c r="AG5" s="35"/>
      <c r="AH5" s="30"/>
      <c r="AI5" s="33" t="s">
        <v>246</v>
      </c>
      <c r="AJ5" s="50" t="s">
        <v>890</v>
      </c>
      <c r="AK5" s="33" t="s">
        <v>885</v>
      </c>
      <c r="AL5" s="33" t="s">
        <v>891</v>
      </c>
      <c r="AM5" s="33" t="s">
        <v>886</v>
      </c>
      <c r="AN5" s="33" t="s">
        <v>887</v>
      </c>
      <c r="AO5" s="33" t="s">
        <v>888</v>
      </c>
      <c r="AP5" s="33" t="s">
        <v>889</v>
      </c>
      <c r="AQ5" s="33" t="s">
        <v>396</v>
      </c>
      <c r="AR5" s="33" t="s">
        <v>397</v>
      </c>
      <c r="AS5" s="30"/>
    </row>
    <row r="6" spans="1:45" x14ac:dyDescent="0.35">
      <c r="A6" s="5" t="s">
        <v>498</v>
      </c>
      <c r="B6" s="19" t="s">
        <v>490</v>
      </c>
      <c r="C6" s="20">
        <v>4.9111003652132066</v>
      </c>
      <c r="D6" s="21">
        <v>-2.6505287703941671</v>
      </c>
      <c r="E6" s="20">
        <v>1E-8</v>
      </c>
      <c r="F6" s="20">
        <v>1E-8</v>
      </c>
      <c r="G6" s="20">
        <v>1E-8</v>
      </c>
      <c r="H6" s="20">
        <v>1E-8</v>
      </c>
      <c r="I6" s="20">
        <v>1E-8</v>
      </c>
      <c r="J6" s="20">
        <v>1E-8</v>
      </c>
      <c r="K6" s="20">
        <v>1E-8</v>
      </c>
      <c r="L6" s="20">
        <v>1E-8</v>
      </c>
      <c r="M6" s="4"/>
      <c r="N6" s="36"/>
      <c r="O6" s="4"/>
      <c r="P6" s="5" t="s">
        <v>102</v>
      </c>
      <c r="Q6" s="114" t="s">
        <v>288</v>
      </c>
      <c r="R6" s="73">
        <v>5.9176346098634891</v>
      </c>
      <c r="S6" s="74">
        <v>-1.8100861895686493</v>
      </c>
      <c r="T6" s="73">
        <v>1E-8</v>
      </c>
      <c r="U6" s="73">
        <v>1E-8</v>
      </c>
      <c r="V6" s="73">
        <v>1E-8</v>
      </c>
      <c r="W6" s="73">
        <v>1E-8</v>
      </c>
      <c r="X6" s="73">
        <v>1E-8</v>
      </c>
      <c r="Y6" s="73">
        <v>1E-8</v>
      </c>
      <c r="Z6" s="73">
        <v>1E-8</v>
      </c>
      <c r="AA6" s="73">
        <v>1E-8</v>
      </c>
      <c r="AB6" s="4"/>
      <c r="AC6" s="36"/>
      <c r="AD6" s="4"/>
      <c r="AE6" s="5" t="s">
        <v>736</v>
      </c>
      <c r="AF6" s="53" t="s">
        <v>24</v>
      </c>
      <c r="AG6" s="57" t="s">
        <v>464</v>
      </c>
      <c r="AH6" s="57" t="s">
        <v>23</v>
      </c>
      <c r="AI6" s="55">
        <v>7.948934511148388</v>
      </c>
      <c r="AJ6" s="56">
        <v>7.948934511148388</v>
      </c>
      <c r="AK6" s="55">
        <v>1E-8</v>
      </c>
      <c r="AL6" s="55">
        <v>1E-8</v>
      </c>
      <c r="AM6" s="55">
        <v>1E-8</v>
      </c>
      <c r="AN6" s="55">
        <v>1E-8</v>
      </c>
      <c r="AO6" s="55">
        <v>1E-8</v>
      </c>
      <c r="AP6" s="55">
        <v>1E-8</v>
      </c>
      <c r="AQ6" s="55">
        <v>1E-8</v>
      </c>
      <c r="AR6" s="55">
        <v>1E-8</v>
      </c>
      <c r="AS6" s="4"/>
    </row>
    <row r="7" spans="1:45" x14ac:dyDescent="0.35">
      <c r="A7" s="44" t="s">
        <v>499</v>
      </c>
      <c r="B7" s="45" t="s">
        <v>491</v>
      </c>
      <c r="C7" s="46">
        <v>0.23197076041774756</v>
      </c>
      <c r="D7" s="23">
        <v>-2.3051429593621164</v>
      </c>
      <c r="E7" s="46">
        <v>1E-8</v>
      </c>
      <c r="F7" s="46">
        <v>1E-8</v>
      </c>
      <c r="G7" s="46">
        <v>1E-8</v>
      </c>
      <c r="H7" s="46">
        <v>1E-8</v>
      </c>
      <c r="I7" s="46">
        <v>1E-8</v>
      </c>
      <c r="J7" s="46">
        <v>1E-8</v>
      </c>
      <c r="K7" s="46">
        <v>1E-8</v>
      </c>
      <c r="L7" s="46">
        <v>1E-8</v>
      </c>
      <c r="M7" s="44"/>
      <c r="N7" s="36"/>
      <c r="O7" s="4"/>
      <c r="P7" s="5" t="s">
        <v>278</v>
      </c>
      <c r="Q7" s="106" t="s">
        <v>289</v>
      </c>
      <c r="R7" s="75">
        <v>1.5974474109847818</v>
      </c>
      <c r="S7" s="76">
        <v>-1.1951387083066423</v>
      </c>
      <c r="T7" s="75">
        <v>1E-8</v>
      </c>
      <c r="U7" s="75">
        <v>1E-8</v>
      </c>
      <c r="V7" s="75">
        <v>1E-8</v>
      </c>
      <c r="W7" s="75">
        <v>1E-8</v>
      </c>
      <c r="X7" s="75">
        <v>1E-8</v>
      </c>
      <c r="Y7" s="75">
        <v>1E-8</v>
      </c>
      <c r="Z7" s="75">
        <v>1E-8</v>
      </c>
      <c r="AA7" s="75">
        <v>1E-8</v>
      </c>
      <c r="AB7" s="4"/>
      <c r="AC7" s="36"/>
      <c r="AD7" s="4"/>
      <c r="AE7" s="5"/>
      <c r="AF7" s="4" t="s">
        <v>738</v>
      </c>
      <c r="AG7" s="40" t="s">
        <v>464</v>
      </c>
      <c r="AH7" s="40" t="s">
        <v>753</v>
      </c>
      <c r="AI7" s="22">
        <v>0.21173683029622201</v>
      </c>
      <c r="AJ7" s="23">
        <v>0.21173683029622201</v>
      </c>
      <c r="AK7" s="22">
        <v>1E-8</v>
      </c>
      <c r="AL7" s="22">
        <v>1E-8</v>
      </c>
      <c r="AM7" s="22">
        <v>1E-8</v>
      </c>
      <c r="AN7" s="22">
        <v>1E-8</v>
      </c>
      <c r="AO7" s="22">
        <v>1E-8</v>
      </c>
      <c r="AP7" s="22">
        <v>1E-8</v>
      </c>
      <c r="AQ7" s="22">
        <v>1E-8</v>
      </c>
      <c r="AR7" s="22">
        <v>1E-8</v>
      </c>
      <c r="AS7" s="4"/>
    </row>
    <row r="8" spans="1:45" x14ac:dyDescent="0.35">
      <c r="A8" s="44" t="s">
        <v>500</v>
      </c>
      <c r="B8" s="45" t="s">
        <v>492</v>
      </c>
      <c r="C8" s="46">
        <v>0.3780360915070885</v>
      </c>
      <c r="D8" s="23">
        <v>-2.3138587334651683</v>
      </c>
      <c r="E8" s="46">
        <v>1E-8</v>
      </c>
      <c r="F8" s="46">
        <v>1E-8</v>
      </c>
      <c r="G8" s="46">
        <v>1E-8</v>
      </c>
      <c r="H8" s="46">
        <v>1E-8</v>
      </c>
      <c r="I8" s="46">
        <v>1E-8</v>
      </c>
      <c r="J8" s="46">
        <v>1E-8</v>
      </c>
      <c r="K8" s="46">
        <v>1E-8</v>
      </c>
      <c r="L8" s="46">
        <v>1E-8</v>
      </c>
      <c r="M8" s="44"/>
      <c r="N8" s="36"/>
      <c r="O8" s="4"/>
      <c r="P8" s="11" t="s">
        <v>279</v>
      </c>
      <c r="Q8" s="115" t="s">
        <v>290</v>
      </c>
      <c r="R8" s="77">
        <v>1.1708668433332696</v>
      </c>
      <c r="S8" s="78">
        <v>-1.5848645625126112</v>
      </c>
      <c r="T8" s="77">
        <v>1E-8</v>
      </c>
      <c r="U8" s="77">
        <v>1E-8</v>
      </c>
      <c r="V8" s="77">
        <v>1E-8</v>
      </c>
      <c r="W8" s="77">
        <v>1E-8</v>
      </c>
      <c r="X8" s="77">
        <v>1E-8</v>
      </c>
      <c r="Y8" s="77">
        <v>1E-8</v>
      </c>
      <c r="Z8" s="77">
        <v>1E-8</v>
      </c>
      <c r="AA8" s="77">
        <v>1E-8</v>
      </c>
      <c r="AB8" s="4"/>
      <c r="AC8" s="36"/>
      <c r="AD8" s="4"/>
      <c r="AE8" s="5"/>
      <c r="AF8" s="4" t="s">
        <v>739</v>
      </c>
      <c r="AG8" s="40" t="s">
        <v>464</v>
      </c>
      <c r="AH8" s="40" t="s">
        <v>754</v>
      </c>
      <c r="AI8" s="22">
        <v>0.57207505277048332</v>
      </c>
      <c r="AJ8" s="23">
        <v>0.57207505277048332</v>
      </c>
      <c r="AK8" s="22">
        <v>1E-8</v>
      </c>
      <c r="AL8" s="22">
        <v>1E-8</v>
      </c>
      <c r="AM8" s="22">
        <v>1E-8</v>
      </c>
      <c r="AN8" s="22">
        <v>1E-8</v>
      </c>
      <c r="AO8" s="22">
        <v>1E-8</v>
      </c>
      <c r="AP8" s="22">
        <v>1E-8</v>
      </c>
      <c r="AQ8" s="22">
        <v>1E-8</v>
      </c>
      <c r="AR8" s="22">
        <v>1E-8</v>
      </c>
      <c r="AS8" s="4"/>
    </row>
    <row r="9" spans="1:45" x14ac:dyDescent="0.35">
      <c r="A9" s="44" t="s">
        <v>501</v>
      </c>
      <c r="B9" s="45" t="s">
        <v>493</v>
      </c>
      <c r="C9" s="46">
        <v>0.53203875229996633</v>
      </c>
      <c r="D9" s="23">
        <v>-2.476848487730976</v>
      </c>
      <c r="E9" s="46">
        <v>1E-8</v>
      </c>
      <c r="F9" s="46">
        <v>1E-8</v>
      </c>
      <c r="G9" s="46">
        <v>1E-8</v>
      </c>
      <c r="H9" s="46">
        <v>1E-8</v>
      </c>
      <c r="I9" s="46">
        <v>1E-8</v>
      </c>
      <c r="J9" s="46">
        <v>1E-8</v>
      </c>
      <c r="K9" s="46">
        <v>1E-8</v>
      </c>
      <c r="L9" s="46">
        <v>1E-8</v>
      </c>
      <c r="M9" s="44"/>
      <c r="N9" s="36"/>
      <c r="O9" s="4"/>
      <c r="P9" s="11" t="s">
        <v>362</v>
      </c>
      <c r="Q9" s="115" t="s">
        <v>291</v>
      </c>
      <c r="R9" s="77">
        <v>1.157575639813865</v>
      </c>
      <c r="S9" s="78">
        <v>-1.578636285388102</v>
      </c>
      <c r="T9" s="77">
        <v>1E-8</v>
      </c>
      <c r="U9" s="77">
        <v>1E-8</v>
      </c>
      <c r="V9" s="77">
        <v>1E-8</v>
      </c>
      <c r="W9" s="77">
        <v>1E-8</v>
      </c>
      <c r="X9" s="77">
        <v>1E-8</v>
      </c>
      <c r="Y9" s="77">
        <v>1E-8</v>
      </c>
      <c r="Z9" s="77">
        <v>1E-8</v>
      </c>
      <c r="AA9" s="77">
        <v>1E-8</v>
      </c>
      <c r="AB9" s="4"/>
      <c r="AC9" s="36"/>
      <c r="AD9" s="4"/>
      <c r="AE9" s="5"/>
      <c r="AF9" s="4" t="s">
        <v>740</v>
      </c>
      <c r="AG9" s="40" t="s">
        <v>464</v>
      </c>
      <c r="AH9" s="40" t="s">
        <v>755</v>
      </c>
      <c r="AI9" s="22">
        <v>0.7551537287395409</v>
      </c>
      <c r="AJ9" s="23">
        <v>0.7551537287395409</v>
      </c>
      <c r="AK9" s="22">
        <v>1E-8</v>
      </c>
      <c r="AL9" s="22">
        <v>1E-8</v>
      </c>
      <c r="AM9" s="22">
        <v>1E-8</v>
      </c>
      <c r="AN9" s="22">
        <v>1E-8</v>
      </c>
      <c r="AO9" s="22">
        <v>1E-8</v>
      </c>
      <c r="AP9" s="22">
        <v>1E-8</v>
      </c>
      <c r="AQ9" s="22">
        <v>1E-8</v>
      </c>
      <c r="AR9" s="22">
        <v>1E-8</v>
      </c>
      <c r="AS9" s="4"/>
    </row>
    <row r="10" spans="1:45" x14ac:dyDescent="0.35">
      <c r="A10" s="44" t="s">
        <v>502</v>
      </c>
      <c r="B10" s="45" t="s">
        <v>494</v>
      </c>
      <c r="C10" s="46">
        <v>0.81699546319529481</v>
      </c>
      <c r="D10" s="23">
        <v>-2.5615574762294924</v>
      </c>
      <c r="E10" s="46">
        <v>1E-8</v>
      </c>
      <c r="F10" s="46">
        <v>1E-8</v>
      </c>
      <c r="G10" s="46">
        <v>1E-8</v>
      </c>
      <c r="H10" s="46">
        <v>1E-8</v>
      </c>
      <c r="I10" s="46">
        <v>1E-8</v>
      </c>
      <c r="J10" s="46">
        <v>1E-8</v>
      </c>
      <c r="K10" s="46">
        <v>1E-8</v>
      </c>
      <c r="L10" s="46">
        <v>1E-8</v>
      </c>
      <c r="M10" s="44"/>
      <c r="N10" s="36"/>
      <c r="O10" s="4"/>
      <c r="P10" s="11" t="s">
        <v>363</v>
      </c>
      <c r="Q10" s="115" t="s">
        <v>292</v>
      </c>
      <c r="R10" s="77">
        <v>1.3291203519404824E-2</v>
      </c>
      <c r="S10" s="78">
        <v>-2.127306175631738</v>
      </c>
      <c r="T10" s="77">
        <v>1E-8</v>
      </c>
      <c r="U10" s="77">
        <v>1E-8</v>
      </c>
      <c r="V10" s="77">
        <v>1E-8</v>
      </c>
      <c r="W10" s="77">
        <v>1E-8</v>
      </c>
      <c r="X10" s="77">
        <v>1E-8</v>
      </c>
      <c r="Y10" s="77">
        <v>1E-8</v>
      </c>
      <c r="Z10" s="77">
        <v>1E-8</v>
      </c>
      <c r="AA10" s="77">
        <v>1E-8</v>
      </c>
      <c r="AB10" s="4"/>
      <c r="AC10" s="36"/>
      <c r="AD10" s="4"/>
      <c r="AE10" s="5"/>
      <c r="AF10" s="4" t="s">
        <v>741</v>
      </c>
      <c r="AG10" s="40" t="s">
        <v>464</v>
      </c>
      <c r="AH10" s="40" t="s">
        <v>756</v>
      </c>
      <c r="AI10" s="22">
        <v>1.9796596664481791</v>
      </c>
      <c r="AJ10" s="23">
        <v>1.9796596664481791</v>
      </c>
      <c r="AK10" s="22">
        <v>1E-8</v>
      </c>
      <c r="AL10" s="22">
        <v>1E-8</v>
      </c>
      <c r="AM10" s="22">
        <v>1E-8</v>
      </c>
      <c r="AN10" s="22">
        <v>1E-8</v>
      </c>
      <c r="AO10" s="22">
        <v>1E-8</v>
      </c>
      <c r="AP10" s="22">
        <v>1E-8</v>
      </c>
      <c r="AQ10" s="22">
        <v>1E-8</v>
      </c>
      <c r="AR10" s="22">
        <v>1E-8</v>
      </c>
      <c r="AS10" s="4"/>
    </row>
    <row r="11" spans="1:45" x14ac:dyDescent="0.35">
      <c r="A11" s="27" t="s">
        <v>503</v>
      </c>
      <c r="B11" s="31" t="s">
        <v>495</v>
      </c>
      <c r="C11" s="28">
        <v>2.9520592977931095</v>
      </c>
      <c r="D11" s="51">
        <v>-2.7767073396944397</v>
      </c>
      <c r="E11" s="28">
        <v>1E-8</v>
      </c>
      <c r="F11" s="28">
        <v>1E-8</v>
      </c>
      <c r="G11" s="28">
        <v>1E-8</v>
      </c>
      <c r="H11" s="28">
        <v>1E-8</v>
      </c>
      <c r="I11" s="28">
        <v>1E-8</v>
      </c>
      <c r="J11" s="28">
        <v>1E-8</v>
      </c>
      <c r="K11" s="28">
        <v>1E-8</v>
      </c>
      <c r="L11" s="28">
        <v>1E-8</v>
      </c>
      <c r="M11" s="27"/>
      <c r="N11" s="36"/>
      <c r="O11" s="4"/>
      <c r="P11" s="9" t="s">
        <v>592</v>
      </c>
      <c r="Q11" s="116" t="s">
        <v>294</v>
      </c>
      <c r="R11" s="79">
        <v>5.5935145377148015E-3</v>
      </c>
      <c r="S11" s="80">
        <v>-1.6679784867456027</v>
      </c>
      <c r="T11" s="79">
        <v>1E-8</v>
      </c>
      <c r="U11" s="79">
        <v>1E-8</v>
      </c>
      <c r="V11" s="79">
        <v>1E-8</v>
      </c>
      <c r="W11" s="79">
        <v>1E-8</v>
      </c>
      <c r="X11" s="79">
        <v>1E-8</v>
      </c>
      <c r="Y11" s="79">
        <v>1E-8</v>
      </c>
      <c r="Z11" s="79">
        <v>1E-8</v>
      </c>
      <c r="AA11" s="79">
        <v>1E-8</v>
      </c>
      <c r="AB11" s="4"/>
      <c r="AC11" s="36"/>
      <c r="AD11" s="4"/>
      <c r="AE11" s="5"/>
      <c r="AF11" s="53" t="s">
        <v>742</v>
      </c>
      <c r="AG11" s="57" t="s">
        <v>464</v>
      </c>
      <c r="AH11" s="57" t="s">
        <v>757</v>
      </c>
      <c r="AI11" s="55">
        <v>4.3306847461417446</v>
      </c>
      <c r="AJ11" s="56">
        <v>4.3306847461417446</v>
      </c>
      <c r="AK11" s="55">
        <v>1E-8</v>
      </c>
      <c r="AL11" s="55">
        <v>1E-8</v>
      </c>
      <c r="AM11" s="55">
        <v>1E-8</v>
      </c>
      <c r="AN11" s="55">
        <v>1E-8</v>
      </c>
      <c r="AO11" s="55">
        <v>1E-8</v>
      </c>
      <c r="AP11" s="55">
        <v>1E-8</v>
      </c>
      <c r="AQ11" s="55">
        <v>1E-8</v>
      </c>
      <c r="AR11" s="55">
        <v>1E-8</v>
      </c>
      <c r="AS11" s="4"/>
    </row>
    <row r="12" spans="1:45" x14ac:dyDescent="0.35">
      <c r="A12" s="47" t="s">
        <v>504</v>
      </c>
      <c r="B12" s="48" t="s">
        <v>496</v>
      </c>
      <c r="C12" s="49">
        <v>2.4917802912552505</v>
      </c>
      <c r="D12" s="21">
        <v>-2.3963459433115175</v>
      </c>
      <c r="E12" s="49">
        <v>1E-8</v>
      </c>
      <c r="F12" s="49">
        <v>1E-8</v>
      </c>
      <c r="G12" s="49">
        <v>1E-8</v>
      </c>
      <c r="H12" s="49">
        <v>1E-8</v>
      </c>
      <c r="I12" s="49">
        <v>1E-8</v>
      </c>
      <c r="J12" s="49">
        <v>1E-8</v>
      </c>
      <c r="K12" s="49">
        <v>1E-8</v>
      </c>
      <c r="L12" s="49">
        <v>1E-8</v>
      </c>
      <c r="M12" s="44"/>
      <c r="N12" s="36"/>
      <c r="O12" s="4"/>
      <c r="P12" s="9" t="s">
        <v>593</v>
      </c>
      <c r="Q12" s="116" t="s">
        <v>293</v>
      </c>
      <c r="R12" s="79">
        <v>4.0905906954272375E-2</v>
      </c>
      <c r="S12" s="80">
        <v>-2.6496804135445862</v>
      </c>
      <c r="T12" s="79">
        <v>1E-8</v>
      </c>
      <c r="U12" s="79">
        <v>1E-8</v>
      </c>
      <c r="V12" s="79">
        <v>1E-8</v>
      </c>
      <c r="W12" s="79">
        <v>1E-8</v>
      </c>
      <c r="X12" s="79">
        <v>1E-8</v>
      </c>
      <c r="Y12" s="79">
        <v>1E-8</v>
      </c>
      <c r="Z12" s="79">
        <v>1E-8</v>
      </c>
      <c r="AA12" s="79">
        <v>1E-8</v>
      </c>
      <c r="AB12" s="4"/>
      <c r="AC12" s="36"/>
      <c r="AD12" s="4"/>
      <c r="AE12" s="5"/>
      <c r="AF12" s="4" t="s">
        <v>748</v>
      </c>
      <c r="AG12" s="40" t="s">
        <v>464</v>
      </c>
      <c r="AH12" s="40" t="s">
        <v>85</v>
      </c>
      <c r="AI12" s="22">
        <v>0.7758681256096045</v>
      </c>
      <c r="AJ12" s="23">
        <v>0.7758681256096045</v>
      </c>
      <c r="AK12" s="22">
        <v>1E-8</v>
      </c>
      <c r="AL12" s="22">
        <v>1E-8</v>
      </c>
      <c r="AM12" s="22">
        <v>1E-8</v>
      </c>
      <c r="AN12" s="22">
        <v>1E-8</v>
      </c>
      <c r="AO12" s="22">
        <v>1E-8</v>
      </c>
      <c r="AP12" s="22">
        <v>1E-8</v>
      </c>
      <c r="AQ12" s="22">
        <v>1E-8</v>
      </c>
      <c r="AR12" s="22">
        <v>1E-8</v>
      </c>
      <c r="AS12" s="4"/>
    </row>
    <row r="13" spans="1:45" x14ac:dyDescent="0.35">
      <c r="A13" s="44" t="s">
        <v>499</v>
      </c>
      <c r="B13" s="45" t="s">
        <v>497</v>
      </c>
      <c r="C13" s="46">
        <v>0.20232789112731789</v>
      </c>
      <c r="D13" s="23">
        <v>-2.1727133733492887</v>
      </c>
      <c r="E13" s="46">
        <v>1E-8</v>
      </c>
      <c r="F13" s="46">
        <v>1E-8</v>
      </c>
      <c r="G13" s="46">
        <v>1E-8</v>
      </c>
      <c r="H13" s="46">
        <v>1E-8</v>
      </c>
      <c r="I13" s="46">
        <v>1E-8</v>
      </c>
      <c r="J13" s="46">
        <v>1E-8</v>
      </c>
      <c r="K13" s="46">
        <v>1E-8</v>
      </c>
      <c r="L13" s="46">
        <v>1E-8</v>
      </c>
      <c r="M13" s="44"/>
      <c r="N13" s="36"/>
      <c r="O13" s="4"/>
      <c r="P13" s="9" t="s">
        <v>594</v>
      </c>
      <c r="Q13" s="116" t="s">
        <v>296</v>
      </c>
      <c r="R13" s="79">
        <v>7.2736172194770132E-4</v>
      </c>
      <c r="S13" s="80">
        <v>-5.2573169004847653</v>
      </c>
      <c r="T13" s="79">
        <v>1E-8</v>
      </c>
      <c r="U13" s="79">
        <v>1E-8</v>
      </c>
      <c r="V13" s="79">
        <v>1E-8</v>
      </c>
      <c r="W13" s="79">
        <v>1E-8</v>
      </c>
      <c r="X13" s="79">
        <v>1E-8</v>
      </c>
      <c r="Y13" s="79">
        <v>1E-8</v>
      </c>
      <c r="Z13" s="79">
        <v>1E-8</v>
      </c>
      <c r="AA13" s="79">
        <v>1E-8</v>
      </c>
      <c r="AB13" s="4"/>
      <c r="AC13" s="36"/>
      <c r="AD13" s="4"/>
      <c r="AE13" s="5"/>
      <c r="AF13" s="4" t="s">
        <v>749</v>
      </c>
      <c r="AG13" s="40" t="s">
        <v>464</v>
      </c>
      <c r="AH13" s="40" t="s">
        <v>93</v>
      </c>
      <c r="AI13" s="22">
        <v>1.5144546571993016</v>
      </c>
      <c r="AJ13" s="23">
        <v>1.5144546571993016</v>
      </c>
      <c r="AK13" s="22">
        <v>1E-8</v>
      </c>
      <c r="AL13" s="22">
        <v>1E-8</v>
      </c>
      <c r="AM13" s="22">
        <v>1E-8</v>
      </c>
      <c r="AN13" s="22">
        <v>1E-8</v>
      </c>
      <c r="AO13" s="22">
        <v>1E-8</v>
      </c>
      <c r="AP13" s="22">
        <v>1E-8</v>
      </c>
      <c r="AQ13" s="22">
        <v>1E-8</v>
      </c>
      <c r="AR13" s="22">
        <v>1E-8</v>
      </c>
      <c r="AS13" s="4"/>
    </row>
    <row r="14" spans="1:45" x14ac:dyDescent="0.35">
      <c r="A14" s="44" t="s">
        <v>500</v>
      </c>
      <c r="B14" s="45" t="s">
        <v>509</v>
      </c>
      <c r="C14" s="46">
        <v>0.33633912714686193</v>
      </c>
      <c r="D14" s="23">
        <v>-2.1904576413937948</v>
      </c>
      <c r="E14" s="46">
        <v>1E-8</v>
      </c>
      <c r="F14" s="46">
        <v>1E-8</v>
      </c>
      <c r="G14" s="46">
        <v>1E-8</v>
      </c>
      <c r="H14" s="46">
        <v>1E-8</v>
      </c>
      <c r="I14" s="46">
        <v>1E-8</v>
      </c>
      <c r="J14" s="46">
        <v>1E-8</v>
      </c>
      <c r="K14" s="46">
        <v>1E-8</v>
      </c>
      <c r="L14" s="46">
        <v>1E-8</v>
      </c>
      <c r="M14" s="44"/>
      <c r="N14" s="36"/>
      <c r="O14" s="4"/>
      <c r="P14" s="9" t="s">
        <v>595</v>
      </c>
      <c r="Q14" s="116" t="s">
        <v>295</v>
      </c>
      <c r="R14" s="79">
        <v>7.6401162810772458E-2</v>
      </c>
      <c r="S14" s="80">
        <v>-2.7317784957854196</v>
      </c>
      <c r="T14" s="79">
        <v>1E-8</v>
      </c>
      <c r="U14" s="79">
        <v>1E-8</v>
      </c>
      <c r="V14" s="79">
        <v>1E-8</v>
      </c>
      <c r="W14" s="79">
        <v>1E-8</v>
      </c>
      <c r="X14" s="79">
        <v>1E-8</v>
      </c>
      <c r="Y14" s="79">
        <v>1E-8</v>
      </c>
      <c r="Z14" s="79">
        <v>1E-8</v>
      </c>
      <c r="AA14" s="79">
        <v>1E-8</v>
      </c>
      <c r="AB14" s="4"/>
      <c r="AC14" s="36"/>
      <c r="AD14" s="4"/>
      <c r="AE14" s="5"/>
      <c r="AF14" s="4" t="s">
        <v>750</v>
      </c>
      <c r="AG14" s="40" t="s">
        <v>464</v>
      </c>
      <c r="AH14" s="40" t="s">
        <v>99</v>
      </c>
      <c r="AI14" s="22">
        <v>1.7537593966848612</v>
      </c>
      <c r="AJ14" s="23">
        <v>1.7537593966848612</v>
      </c>
      <c r="AK14" s="22">
        <v>1E-8</v>
      </c>
      <c r="AL14" s="22">
        <v>1E-8</v>
      </c>
      <c r="AM14" s="22">
        <v>1E-8</v>
      </c>
      <c r="AN14" s="22">
        <v>1E-8</v>
      </c>
      <c r="AO14" s="22">
        <v>1E-8</v>
      </c>
      <c r="AP14" s="22">
        <v>1E-8</v>
      </c>
      <c r="AQ14" s="22">
        <v>1E-8</v>
      </c>
      <c r="AR14" s="22">
        <v>1E-8</v>
      </c>
      <c r="AS14" s="4"/>
    </row>
    <row r="15" spans="1:45" x14ac:dyDescent="0.35">
      <c r="A15" s="44" t="s">
        <v>501</v>
      </c>
      <c r="B15" s="45" t="s">
        <v>510</v>
      </c>
      <c r="C15" s="46">
        <v>0.45859723029410832</v>
      </c>
      <c r="D15" s="23">
        <v>-2.3446674915701293</v>
      </c>
      <c r="E15" s="46">
        <v>1E-8</v>
      </c>
      <c r="F15" s="46">
        <v>1E-8</v>
      </c>
      <c r="G15" s="46">
        <v>1E-8</v>
      </c>
      <c r="H15" s="46">
        <v>1E-8</v>
      </c>
      <c r="I15" s="46">
        <v>1E-8</v>
      </c>
      <c r="J15" s="46">
        <v>1E-8</v>
      </c>
      <c r="K15" s="46">
        <v>1E-8</v>
      </c>
      <c r="L15" s="46">
        <v>1E-8</v>
      </c>
      <c r="M15" s="44"/>
      <c r="N15" s="36"/>
      <c r="O15" s="4"/>
      <c r="P15" s="9" t="s">
        <v>596</v>
      </c>
      <c r="Q15" s="116" t="s">
        <v>297</v>
      </c>
      <c r="R15" s="79">
        <v>1.0816039649411962E-4</v>
      </c>
      <c r="S15" s="80">
        <v>-5.461053584973552</v>
      </c>
      <c r="T15" s="79">
        <v>1E-8</v>
      </c>
      <c r="U15" s="79">
        <v>1E-8</v>
      </c>
      <c r="V15" s="79">
        <v>1E-8</v>
      </c>
      <c r="W15" s="79">
        <v>1E-8</v>
      </c>
      <c r="X15" s="79">
        <v>1E-8</v>
      </c>
      <c r="Y15" s="79">
        <v>1E-8</v>
      </c>
      <c r="Z15" s="79">
        <v>1E-8</v>
      </c>
      <c r="AA15" s="79">
        <v>1E-8</v>
      </c>
      <c r="AB15" s="4"/>
      <c r="AC15" s="36"/>
      <c r="AD15" s="4"/>
      <c r="AE15" s="5"/>
      <c r="AF15" s="4" t="s">
        <v>751</v>
      </c>
      <c r="AG15" s="40" t="s">
        <v>464</v>
      </c>
      <c r="AH15" s="40" t="s">
        <v>105</v>
      </c>
      <c r="AI15" s="22">
        <v>4.4225827800903863</v>
      </c>
      <c r="AJ15" s="23">
        <v>4.4225827800903863</v>
      </c>
      <c r="AK15" s="22">
        <v>1E-8</v>
      </c>
      <c r="AL15" s="22">
        <v>1E-8</v>
      </c>
      <c r="AM15" s="22">
        <v>1E-8</v>
      </c>
      <c r="AN15" s="22">
        <v>1E-8</v>
      </c>
      <c r="AO15" s="22">
        <v>1E-8</v>
      </c>
      <c r="AP15" s="22">
        <v>1E-8</v>
      </c>
      <c r="AQ15" s="22">
        <v>1E-8</v>
      </c>
      <c r="AR15" s="22">
        <v>1E-8</v>
      </c>
      <c r="AS15" s="4"/>
    </row>
    <row r="16" spans="1:45" x14ac:dyDescent="0.35">
      <c r="A16" s="44" t="s">
        <v>502</v>
      </c>
      <c r="B16" s="45" t="s">
        <v>511</v>
      </c>
      <c r="C16" s="46">
        <v>0.6439760910773793</v>
      </c>
      <c r="D16" s="23">
        <v>-2.4013747298515686</v>
      </c>
      <c r="E16" s="46">
        <v>1E-8</v>
      </c>
      <c r="F16" s="46">
        <v>1E-8</v>
      </c>
      <c r="G16" s="46">
        <v>1E-8</v>
      </c>
      <c r="H16" s="46">
        <v>1E-8</v>
      </c>
      <c r="I16" s="46">
        <v>1E-8</v>
      </c>
      <c r="J16" s="46">
        <v>1E-8</v>
      </c>
      <c r="K16" s="46">
        <v>1E-8</v>
      </c>
      <c r="L16" s="46">
        <v>1E-8</v>
      </c>
      <c r="M16" s="44"/>
      <c r="N16" s="36"/>
      <c r="O16" s="4"/>
      <c r="P16" s="9" t="s">
        <v>597</v>
      </c>
      <c r="Q16" s="116" t="s">
        <v>301</v>
      </c>
      <c r="R16" s="79">
        <v>0.17784916527111611</v>
      </c>
      <c r="S16" s="80">
        <v>-1.9997537956823352</v>
      </c>
      <c r="T16" s="79">
        <v>1E-8</v>
      </c>
      <c r="U16" s="79">
        <v>1E-8</v>
      </c>
      <c r="V16" s="79">
        <v>1E-8</v>
      </c>
      <c r="W16" s="79">
        <v>1E-8</v>
      </c>
      <c r="X16" s="79">
        <v>1E-8</v>
      </c>
      <c r="Y16" s="79">
        <v>1E-8</v>
      </c>
      <c r="Z16" s="79">
        <v>1E-8</v>
      </c>
      <c r="AA16" s="79">
        <v>1E-8</v>
      </c>
      <c r="AB16" s="4"/>
      <c r="AC16" s="36"/>
      <c r="AD16" s="4"/>
      <c r="AE16" s="5"/>
      <c r="AF16" s="53" t="s">
        <v>752</v>
      </c>
      <c r="AG16" s="57" t="s">
        <v>464</v>
      </c>
      <c r="AH16" s="57" t="s">
        <v>109</v>
      </c>
      <c r="AI16" s="55">
        <v>6.3907065456527299</v>
      </c>
      <c r="AJ16" s="56">
        <v>6.3907065456527299</v>
      </c>
      <c r="AK16" s="55">
        <v>1E-8</v>
      </c>
      <c r="AL16" s="55">
        <v>1E-8</v>
      </c>
      <c r="AM16" s="55">
        <v>1E-8</v>
      </c>
      <c r="AN16" s="55">
        <v>1E-8</v>
      </c>
      <c r="AO16" s="55">
        <v>1E-8</v>
      </c>
      <c r="AP16" s="55">
        <v>1E-8</v>
      </c>
      <c r="AQ16" s="55">
        <v>1E-8</v>
      </c>
      <c r="AR16" s="55">
        <v>1E-8</v>
      </c>
      <c r="AS16" s="4"/>
    </row>
    <row r="17" spans="1:45" x14ac:dyDescent="0.35">
      <c r="A17" s="27" t="s">
        <v>503</v>
      </c>
      <c r="B17" s="31" t="s">
        <v>512</v>
      </c>
      <c r="C17" s="28">
        <v>0.85053995160958284</v>
      </c>
      <c r="D17" s="51">
        <v>-2.5550175898400029</v>
      </c>
      <c r="E17" s="28">
        <v>1E-8</v>
      </c>
      <c r="F17" s="28">
        <v>1E-8</v>
      </c>
      <c r="G17" s="28">
        <v>1E-8</v>
      </c>
      <c r="H17" s="28">
        <v>1E-8</v>
      </c>
      <c r="I17" s="28">
        <v>1E-8</v>
      </c>
      <c r="J17" s="28">
        <v>1E-8</v>
      </c>
      <c r="K17" s="28">
        <v>1E-8</v>
      </c>
      <c r="L17" s="28">
        <v>1E-8</v>
      </c>
      <c r="M17" s="27"/>
      <c r="N17" s="36"/>
      <c r="O17" s="4"/>
      <c r="P17" s="9" t="s">
        <v>598</v>
      </c>
      <c r="Q17" s="116" t="s">
        <v>302</v>
      </c>
      <c r="R17" s="79">
        <v>0.15497852651761063</v>
      </c>
      <c r="S17" s="80">
        <v>-2.2564301178690238</v>
      </c>
      <c r="T17" s="79">
        <v>1E-8</v>
      </c>
      <c r="U17" s="79">
        <v>1E-8</v>
      </c>
      <c r="V17" s="79">
        <v>1E-8</v>
      </c>
      <c r="W17" s="79">
        <v>1E-8</v>
      </c>
      <c r="X17" s="79">
        <v>1E-8</v>
      </c>
      <c r="Y17" s="79">
        <v>1E-8</v>
      </c>
      <c r="Z17" s="79">
        <v>1E-8</v>
      </c>
      <c r="AA17" s="79">
        <v>1E-8</v>
      </c>
      <c r="AB17" s="4"/>
      <c r="AC17" s="36"/>
      <c r="AD17" s="4"/>
      <c r="AE17" s="5"/>
      <c r="AF17" s="4" t="s">
        <v>743</v>
      </c>
      <c r="AG17" s="40" t="s">
        <v>464</v>
      </c>
      <c r="AH17" s="40" t="s">
        <v>758</v>
      </c>
      <c r="AI17" s="22">
        <v>1.5105702805724657</v>
      </c>
      <c r="AJ17" s="23">
        <v>1.5105702805724657</v>
      </c>
      <c r="AK17" s="22">
        <v>1E-8</v>
      </c>
      <c r="AL17" s="22">
        <v>1E-8</v>
      </c>
      <c r="AM17" s="22">
        <v>1E-8</v>
      </c>
      <c r="AN17" s="22">
        <v>1E-8</v>
      </c>
      <c r="AO17" s="22">
        <v>1E-8</v>
      </c>
      <c r="AP17" s="22">
        <v>1E-8</v>
      </c>
      <c r="AQ17" s="22">
        <v>1E-8</v>
      </c>
      <c r="AR17" s="22">
        <v>1E-8</v>
      </c>
      <c r="AS17" s="4"/>
    </row>
    <row r="18" spans="1:45" x14ac:dyDescent="0.35">
      <c r="A18" s="47" t="s">
        <v>505</v>
      </c>
      <c r="B18" s="48" t="s">
        <v>513</v>
      </c>
      <c r="C18" s="49">
        <v>2.4193200739579561</v>
      </c>
      <c r="D18" s="21">
        <v>-2.9123245392623232</v>
      </c>
      <c r="E18" s="49">
        <v>1E-8</v>
      </c>
      <c r="F18" s="49">
        <v>1E-8</v>
      </c>
      <c r="G18" s="49">
        <v>1E-8</v>
      </c>
      <c r="H18" s="49">
        <v>1E-8</v>
      </c>
      <c r="I18" s="49">
        <v>1E-8</v>
      </c>
      <c r="J18" s="49">
        <v>1E-8</v>
      </c>
      <c r="K18" s="49">
        <v>1E-8</v>
      </c>
      <c r="L18" s="49">
        <v>1E-8</v>
      </c>
      <c r="M18" s="44"/>
      <c r="N18" s="36"/>
      <c r="O18" s="4"/>
      <c r="P18" s="9" t="s">
        <v>599</v>
      </c>
      <c r="Q18" s="116" t="s">
        <v>300</v>
      </c>
      <c r="R18" s="79">
        <v>6.518639167598908E-2</v>
      </c>
      <c r="S18" s="80">
        <v>-2.0935191288137478</v>
      </c>
      <c r="T18" s="79">
        <v>1E-8</v>
      </c>
      <c r="U18" s="79">
        <v>1E-8</v>
      </c>
      <c r="V18" s="79">
        <v>1E-8</v>
      </c>
      <c r="W18" s="79">
        <v>1E-8</v>
      </c>
      <c r="X18" s="79">
        <v>1E-8</v>
      </c>
      <c r="Y18" s="79">
        <v>1E-8</v>
      </c>
      <c r="Z18" s="79">
        <v>1E-8</v>
      </c>
      <c r="AA18" s="79">
        <v>1E-8</v>
      </c>
      <c r="AB18" s="4"/>
      <c r="AC18" s="36"/>
      <c r="AD18" s="4"/>
      <c r="AE18" s="5"/>
      <c r="AF18" s="4" t="s">
        <v>744</v>
      </c>
      <c r="AG18" s="40" t="s">
        <v>464</v>
      </c>
      <c r="AH18" s="40" t="s">
        <v>759</v>
      </c>
      <c r="AI18" s="22">
        <v>1.2718759872768359</v>
      </c>
      <c r="AJ18" s="23">
        <v>1.2718759872768359</v>
      </c>
      <c r="AK18" s="22">
        <v>1E-8</v>
      </c>
      <c r="AL18" s="22">
        <v>1E-8</v>
      </c>
      <c r="AM18" s="22">
        <v>1E-8</v>
      </c>
      <c r="AN18" s="22">
        <v>1E-8</v>
      </c>
      <c r="AO18" s="22">
        <v>1E-8</v>
      </c>
      <c r="AP18" s="22">
        <v>1E-8</v>
      </c>
      <c r="AQ18" s="22">
        <v>1E-8</v>
      </c>
      <c r="AR18" s="22">
        <v>1E-8</v>
      </c>
      <c r="AS18" s="4"/>
    </row>
    <row r="19" spans="1:45" x14ac:dyDescent="0.35">
      <c r="A19" s="44" t="s">
        <v>499</v>
      </c>
      <c r="B19" s="45" t="s">
        <v>514</v>
      </c>
      <c r="C19" s="46">
        <v>2.9642869290429662E-2</v>
      </c>
      <c r="D19" s="23">
        <v>-3.2090432734079632</v>
      </c>
      <c r="E19" s="46">
        <v>1E-8</v>
      </c>
      <c r="F19" s="46">
        <v>1E-8</v>
      </c>
      <c r="G19" s="46">
        <v>1E-8</v>
      </c>
      <c r="H19" s="46">
        <v>1E-8</v>
      </c>
      <c r="I19" s="46">
        <v>1E-8</v>
      </c>
      <c r="J19" s="46">
        <v>1E-8</v>
      </c>
      <c r="K19" s="46">
        <v>1E-8</v>
      </c>
      <c r="L19" s="46">
        <v>1E-8</v>
      </c>
      <c r="M19" s="44"/>
      <c r="N19" s="36"/>
      <c r="O19" s="4"/>
      <c r="P19" s="9" t="s">
        <v>600</v>
      </c>
      <c r="Q19" s="116" t="s">
        <v>303</v>
      </c>
      <c r="R19" s="79">
        <v>2.1372482426270583E-2</v>
      </c>
      <c r="S19" s="80">
        <v>-2.0034867590293159</v>
      </c>
      <c r="T19" s="79">
        <v>1E-8</v>
      </c>
      <c r="U19" s="79">
        <v>1E-8</v>
      </c>
      <c r="V19" s="79">
        <v>1E-8</v>
      </c>
      <c r="W19" s="79">
        <v>1E-8</v>
      </c>
      <c r="X19" s="79">
        <v>1E-8</v>
      </c>
      <c r="Y19" s="79">
        <v>1E-8</v>
      </c>
      <c r="Z19" s="79">
        <v>1E-8</v>
      </c>
      <c r="AA19" s="79">
        <v>1E-8</v>
      </c>
      <c r="AB19" s="4"/>
      <c r="AC19" s="36"/>
      <c r="AD19" s="4"/>
      <c r="AE19" s="5"/>
      <c r="AF19" s="4" t="s">
        <v>745</v>
      </c>
      <c r="AG19" s="40" t="s">
        <v>464</v>
      </c>
      <c r="AH19" s="40" t="s">
        <v>760</v>
      </c>
      <c r="AI19" s="22">
        <v>3.4438904459504287</v>
      </c>
      <c r="AJ19" s="23">
        <v>3.4438904459504287</v>
      </c>
      <c r="AK19" s="22">
        <v>1E-8</v>
      </c>
      <c r="AL19" s="22">
        <v>1E-8</v>
      </c>
      <c r="AM19" s="22">
        <v>1E-8</v>
      </c>
      <c r="AN19" s="22">
        <v>1E-8</v>
      </c>
      <c r="AO19" s="22">
        <v>1E-8</v>
      </c>
      <c r="AP19" s="22">
        <v>1E-8</v>
      </c>
      <c r="AQ19" s="22">
        <v>1E-8</v>
      </c>
      <c r="AR19" s="22">
        <v>1E-8</v>
      </c>
      <c r="AS19" s="4"/>
    </row>
    <row r="20" spans="1:45" x14ac:dyDescent="0.35">
      <c r="A20" s="44" t="s">
        <v>500</v>
      </c>
      <c r="B20" s="45" t="s">
        <v>515</v>
      </c>
      <c r="C20" s="46">
        <v>4.1696964360226567E-2</v>
      </c>
      <c r="D20" s="23">
        <v>-3.30924571745983</v>
      </c>
      <c r="E20" s="46">
        <v>1E-8</v>
      </c>
      <c r="F20" s="46">
        <v>1E-8</v>
      </c>
      <c r="G20" s="46">
        <v>1E-8</v>
      </c>
      <c r="H20" s="46">
        <v>1E-8</v>
      </c>
      <c r="I20" s="46">
        <v>1E-8</v>
      </c>
      <c r="J20" s="46">
        <v>1E-8</v>
      </c>
      <c r="K20" s="46">
        <v>1E-8</v>
      </c>
      <c r="L20" s="46">
        <v>1E-8</v>
      </c>
      <c r="M20" s="44"/>
      <c r="N20" s="36"/>
      <c r="O20" s="4"/>
      <c r="P20" s="9" t="s">
        <v>601</v>
      </c>
      <c r="Q20" s="116" t="s">
        <v>533</v>
      </c>
      <c r="R20" s="79">
        <v>0.21978184811088777</v>
      </c>
      <c r="S20" s="80">
        <v>-1.1570891765992908</v>
      </c>
      <c r="T20" s="79">
        <v>1E-8</v>
      </c>
      <c r="U20" s="79">
        <v>1E-8</v>
      </c>
      <c r="V20" s="79">
        <v>1E-8</v>
      </c>
      <c r="W20" s="79">
        <v>1E-8</v>
      </c>
      <c r="X20" s="79">
        <v>1E-8</v>
      </c>
      <c r="Y20" s="79">
        <v>1E-8</v>
      </c>
      <c r="Z20" s="79">
        <v>1E-8</v>
      </c>
      <c r="AA20" s="79">
        <v>1E-8</v>
      </c>
      <c r="AB20" s="4"/>
      <c r="AC20" s="36"/>
      <c r="AD20" s="4"/>
      <c r="AE20" s="5"/>
      <c r="AF20" s="4" t="s">
        <v>746</v>
      </c>
      <c r="AG20" s="40" t="s">
        <v>464</v>
      </c>
      <c r="AH20" s="40" t="s">
        <v>761</v>
      </c>
      <c r="AI20" s="22">
        <v>3.9265170583741189</v>
      </c>
      <c r="AJ20" s="23">
        <v>3.9265170583741189</v>
      </c>
      <c r="AK20" s="22">
        <v>1E-8</v>
      </c>
      <c r="AL20" s="22">
        <v>1E-8</v>
      </c>
      <c r="AM20" s="22">
        <v>1E-8</v>
      </c>
      <c r="AN20" s="22">
        <v>1E-8</v>
      </c>
      <c r="AO20" s="22">
        <v>1E-8</v>
      </c>
      <c r="AP20" s="22">
        <v>1E-8</v>
      </c>
      <c r="AQ20" s="22">
        <v>1E-8</v>
      </c>
      <c r="AR20" s="22">
        <v>1E-8</v>
      </c>
      <c r="AS20" s="4"/>
    </row>
    <row r="21" spans="1:45" x14ac:dyDescent="0.35">
      <c r="A21" s="44" t="s">
        <v>501</v>
      </c>
      <c r="B21" s="45" t="s">
        <v>516</v>
      </c>
      <c r="C21" s="46">
        <v>7.344152200585799E-2</v>
      </c>
      <c r="D21" s="23">
        <v>-3.3022376828521161</v>
      </c>
      <c r="E21" s="46">
        <v>1E-8</v>
      </c>
      <c r="F21" s="46">
        <v>1E-8</v>
      </c>
      <c r="G21" s="46">
        <v>1E-8</v>
      </c>
      <c r="H21" s="46">
        <v>1E-8</v>
      </c>
      <c r="I21" s="46">
        <v>1E-8</v>
      </c>
      <c r="J21" s="46">
        <v>1E-8</v>
      </c>
      <c r="K21" s="46">
        <v>1E-8</v>
      </c>
      <c r="L21" s="46">
        <v>1E-8</v>
      </c>
      <c r="M21" s="44"/>
      <c r="N21" s="36"/>
      <c r="O21" s="4"/>
      <c r="P21" s="9" t="s">
        <v>602</v>
      </c>
      <c r="Q21" s="116" t="s">
        <v>534</v>
      </c>
      <c r="R21" s="79">
        <v>2.0267553261636876E-2</v>
      </c>
      <c r="S21" s="80">
        <v>-1.115185004435526</v>
      </c>
      <c r="T21" s="79">
        <v>1E-8</v>
      </c>
      <c r="U21" s="79">
        <v>1E-8</v>
      </c>
      <c r="V21" s="79">
        <v>1E-8</v>
      </c>
      <c r="W21" s="79">
        <v>1E-8</v>
      </c>
      <c r="X21" s="79">
        <v>1E-8</v>
      </c>
      <c r="Y21" s="79">
        <v>1E-8</v>
      </c>
      <c r="Z21" s="79">
        <v>1E-8</v>
      </c>
      <c r="AA21" s="79">
        <v>1E-8</v>
      </c>
      <c r="AB21" s="4"/>
      <c r="AC21" s="36"/>
      <c r="AD21" s="37"/>
      <c r="AE21" s="39"/>
      <c r="AF21" s="37" t="s">
        <v>747</v>
      </c>
      <c r="AG21" s="41" t="s">
        <v>464</v>
      </c>
      <c r="AH21" s="41" t="s">
        <v>762</v>
      </c>
      <c r="AI21" s="38">
        <v>7.9440487583591288</v>
      </c>
      <c r="AJ21" s="52">
        <v>7.9440487583591288</v>
      </c>
      <c r="AK21" s="38">
        <v>1E-8</v>
      </c>
      <c r="AL21" s="38">
        <v>1E-8</v>
      </c>
      <c r="AM21" s="38">
        <v>1E-8</v>
      </c>
      <c r="AN21" s="38">
        <v>1E-8</v>
      </c>
      <c r="AO21" s="38">
        <v>1E-8</v>
      </c>
      <c r="AP21" s="38">
        <v>1E-8</v>
      </c>
      <c r="AQ21" s="38">
        <v>1E-8</v>
      </c>
      <c r="AR21" s="38">
        <v>1E-8</v>
      </c>
      <c r="AS21" s="37"/>
    </row>
    <row r="22" spans="1:45" x14ac:dyDescent="0.35">
      <c r="A22" s="44" t="s">
        <v>502</v>
      </c>
      <c r="B22" s="45" t="s">
        <v>517</v>
      </c>
      <c r="C22" s="46">
        <v>0.17301937211791552</v>
      </c>
      <c r="D22" s="23">
        <v>-3.157755795572581</v>
      </c>
      <c r="E22" s="46">
        <v>1E-8</v>
      </c>
      <c r="F22" s="46">
        <v>1E-8</v>
      </c>
      <c r="G22" s="46">
        <v>1E-8</v>
      </c>
      <c r="H22" s="46">
        <v>1E-8</v>
      </c>
      <c r="I22" s="46">
        <v>1E-8</v>
      </c>
      <c r="J22" s="46">
        <v>1E-8</v>
      </c>
      <c r="K22" s="46">
        <v>1E-8</v>
      </c>
      <c r="L22" s="46">
        <v>1E-8</v>
      </c>
      <c r="M22" s="44"/>
      <c r="N22" s="36"/>
      <c r="O22" s="4"/>
      <c r="P22" s="9" t="s">
        <v>603</v>
      </c>
      <c r="Q22" s="116" t="s">
        <v>304</v>
      </c>
      <c r="R22" s="79">
        <v>0.15245082074757771</v>
      </c>
      <c r="S22" s="80">
        <v>-1.1172003637267336</v>
      </c>
      <c r="T22" s="79">
        <v>1E-8</v>
      </c>
      <c r="U22" s="79">
        <v>1E-8</v>
      </c>
      <c r="V22" s="79">
        <v>1E-8</v>
      </c>
      <c r="W22" s="79">
        <v>1E-8</v>
      </c>
      <c r="X22" s="79">
        <v>1E-8</v>
      </c>
      <c r="Y22" s="79">
        <v>1E-8</v>
      </c>
      <c r="Z22" s="79">
        <v>1E-8</v>
      </c>
      <c r="AA22" s="79">
        <v>1E-8</v>
      </c>
      <c r="AB22" s="4"/>
      <c r="AC22" s="36"/>
      <c r="AD22" s="4"/>
      <c r="AE22" s="5" t="s">
        <v>737</v>
      </c>
      <c r="AF22" s="58" t="s">
        <v>24</v>
      </c>
      <c r="AG22" s="59" t="s">
        <v>465</v>
      </c>
      <c r="AH22" s="59" t="s">
        <v>23</v>
      </c>
      <c r="AI22" s="60">
        <v>0.16348830532264244</v>
      </c>
      <c r="AJ22" s="61">
        <v>0.16263159939065641</v>
      </c>
      <c r="AK22" s="60">
        <v>1E-8</v>
      </c>
      <c r="AL22" s="60">
        <v>1E-8</v>
      </c>
      <c r="AM22" s="60">
        <v>1E-8</v>
      </c>
      <c r="AN22" s="60">
        <v>1E-8</v>
      </c>
      <c r="AO22" s="60">
        <v>1E-8</v>
      </c>
      <c r="AP22" s="60">
        <v>1E-8</v>
      </c>
      <c r="AQ22" s="60">
        <v>1E-8</v>
      </c>
      <c r="AR22" s="60">
        <v>1E-8</v>
      </c>
      <c r="AS22" s="4"/>
    </row>
    <row r="23" spans="1:45" x14ac:dyDescent="0.35">
      <c r="A23" s="27" t="s">
        <v>503</v>
      </c>
      <c r="B23" s="31" t="s">
        <v>518</v>
      </c>
      <c r="C23" s="28">
        <v>2.1015193461835264</v>
      </c>
      <c r="D23" s="51">
        <v>-2.8664309910402808</v>
      </c>
      <c r="E23" s="28">
        <v>1E-8</v>
      </c>
      <c r="F23" s="28">
        <v>1E-8</v>
      </c>
      <c r="G23" s="28">
        <v>1E-8</v>
      </c>
      <c r="H23" s="28">
        <v>1E-8</v>
      </c>
      <c r="I23" s="28">
        <v>1E-8</v>
      </c>
      <c r="J23" s="28">
        <v>1E-8</v>
      </c>
      <c r="K23" s="28">
        <v>1E-8</v>
      </c>
      <c r="L23" s="28">
        <v>1E-8</v>
      </c>
      <c r="M23" s="27"/>
      <c r="N23" s="36"/>
      <c r="O23" s="4"/>
      <c r="P23" s="9" t="s">
        <v>604</v>
      </c>
      <c r="Q23" s="116" t="s">
        <v>535</v>
      </c>
      <c r="R23" s="79">
        <v>6.3238177491085814E-3</v>
      </c>
      <c r="S23" s="80">
        <v>-0.67455284442979879</v>
      </c>
      <c r="T23" s="79">
        <v>1E-8</v>
      </c>
      <c r="U23" s="79">
        <v>1E-8</v>
      </c>
      <c r="V23" s="79">
        <v>1E-8</v>
      </c>
      <c r="W23" s="79">
        <v>1E-8</v>
      </c>
      <c r="X23" s="79">
        <v>1E-8</v>
      </c>
      <c r="Y23" s="79">
        <v>1E-8</v>
      </c>
      <c r="Z23" s="79">
        <v>1E-8</v>
      </c>
      <c r="AA23" s="79">
        <v>1E-8</v>
      </c>
      <c r="AB23" s="4"/>
      <c r="AC23" s="36"/>
      <c r="AD23" s="4"/>
      <c r="AE23" s="5"/>
      <c r="AF23" s="4" t="s">
        <v>738</v>
      </c>
      <c r="AG23" s="40" t="s">
        <v>465</v>
      </c>
      <c r="AH23" s="40" t="s">
        <v>753</v>
      </c>
      <c r="AI23" s="22">
        <v>6.0102077647170374E-4</v>
      </c>
      <c r="AJ23" s="23">
        <v>6.0120264285296813E-4</v>
      </c>
      <c r="AK23" s="22">
        <v>1E-8</v>
      </c>
      <c r="AL23" s="22">
        <v>1E-8</v>
      </c>
      <c r="AM23" s="22">
        <v>1E-8</v>
      </c>
      <c r="AN23" s="22">
        <v>1E-8</v>
      </c>
      <c r="AO23" s="22">
        <v>1E-8</v>
      </c>
      <c r="AP23" s="22">
        <v>1E-8</v>
      </c>
      <c r="AQ23" s="22">
        <v>1E-8</v>
      </c>
      <c r="AR23" s="22">
        <v>1E-8</v>
      </c>
      <c r="AS23" s="4"/>
    </row>
    <row r="24" spans="1:45" x14ac:dyDescent="0.35">
      <c r="A24" s="47" t="s">
        <v>734</v>
      </c>
      <c r="B24" s="48" t="s">
        <v>521</v>
      </c>
      <c r="C24" s="49">
        <v>1.7892558019884943</v>
      </c>
      <c r="D24" s="21">
        <v>-2.8006104909715002</v>
      </c>
      <c r="E24" s="49">
        <v>1E-8</v>
      </c>
      <c r="F24" s="49">
        <v>1E-8</v>
      </c>
      <c r="G24" s="49">
        <v>1E-8</v>
      </c>
      <c r="H24" s="49">
        <v>1E-8</v>
      </c>
      <c r="I24" s="49">
        <v>1E-8</v>
      </c>
      <c r="J24" s="49">
        <v>1E-8</v>
      </c>
      <c r="K24" s="49">
        <v>1E-8</v>
      </c>
      <c r="L24" s="49">
        <v>1E-8</v>
      </c>
      <c r="M24" s="44"/>
      <c r="N24" s="36"/>
      <c r="O24" s="4"/>
      <c r="P24" s="9" t="s">
        <v>605</v>
      </c>
      <c r="Q24" s="116" t="s">
        <v>536</v>
      </c>
      <c r="R24" s="79">
        <v>0.15324392493495487</v>
      </c>
      <c r="S24" s="80">
        <v>-0.60116731700763371</v>
      </c>
      <c r="T24" s="79">
        <v>1E-8</v>
      </c>
      <c r="U24" s="79">
        <v>1E-8</v>
      </c>
      <c r="V24" s="79">
        <v>1E-8</v>
      </c>
      <c r="W24" s="79">
        <v>1E-8</v>
      </c>
      <c r="X24" s="79">
        <v>1E-8</v>
      </c>
      <c r="Y24" s="79">
        <v>1E-8</v>
      </c>
      <c r="Z24" s="79">
        <v>1E-8</v>
      </c>
      <c r="AA24" s="79">
        <v>1E-8</v>
      </c>
      <c r="AB24" s="4"/>
      <c r="AC24" s="36"/>
      <c r="AD24" s="4"/>
      <c r="AE24" s="4"/>
      <c r="AF24" s="4" t="s">
        <v>739</v>
      </c>
      <c r="AG24" s="40" t="s">
        <v>465</v>
      </c>
      <c r="AH24" s="40" t="s">
        <v>754</v>
      </c>
      <c r="AI24" s="22">
        <v>2.6994029929261571E-3</v>
      </c>
      <c r="AJ24" s="23">
        <v>2.699730045353638E-3</v>
      </c>
      <c r="AK24" s="22">
        <v>1E-8</v>
      </c>
      <c r="AL24" s="22">
        <v>1E-8</v>
      </c>
      <c r="AM24" s="22">
        <v>1E-8</v>
      </c>
      <c r="AN24" s="22">
        <v>1E-8</v>
      </c>
      <c r="AO24" s="22">
        <v>1E-8</v>
      </c>
      <c r="AP24" s="22">
        <v>1E-8</v>
      </c>
      <c r="AQ24" s="22">
        <v>1E-8</v>
      </c>
      <c r="AR24" s="22">
        <v>1E-8</v>
      </c>
      <c r="AS24" s="4"/>
    </row>
    <row r="25" spans="1:45" x14ac:dyDescent="0.35">
      <c r="A25" s="44" t="s">
        <v>499</v>
      </c>
      <c r="B25" s="45" t="s">
        <v>522</v>
      </c>
      <c r="C25" s="46">
        <v>1.464101906250311E-2</v>
      </c>
      <c r="D25" s="23">
        <v>-3.043673588338569</v>
      </c>
      <c r="E25" s="46">
        <v>1E-8</v>
      </c>
      <c r="F25" s="46">
        <v>1E-8</v>
      </c>
      <c r="G25" s="46">
        <v>1E-8</v>
      </c>
      <c r="H25" s="46">
        <v>1E-8</v>
      </c>
      <c r="I25" s="46">
        <v>1E-8</v>
      </c>
      <c r="J25" s="46">
        <v>1E-8</v>
      </c>
      <c r="K25" s="46">
        <v>1E-8</v>
      </c>
      <c r="L25" s="46">
        <v>1E-8</v>
      </c>
      <c r="M25" s="44"/>
      <c r="N25" s="36"/>
      <c r="O25" s="4"/>
      <c r="P25" s="9" t="s">
        <v>606</v>
      </c>
      <c r="Q25" s="116" t="s">
        <v>537</v>
      </c>
      <c r="R25" s="79">
        <v>2.8599928398369133E-2</v>
      </c>
      <c r="S25" s="80">
        <v>-0.43162842435982007</v>
      </c>
      <c r="T25" s="79">
        <v>1E-8</v>
      </c>
      <c r="U25" s="79">
        <v>1E-8</v>
      </c>
      <c r="V25" s="79">
        <v>1E-8</v>
      </c>
      <c r="W25" s="79">
        <v>1E-8</v>
      </c>
      <c r="X25" s="79">
        <v>1E-8</v>
      </c>
      <c r="Y25" s="79">
        <v>1E-8</v>
      </c>
      <c r="Z25" s="79">
        <v>1E-8</v>
      </c>
      <c r="AA25" s="79">
        <v>1E-8</v>
      </c>
      <c r="AB25" s="4"/>
      <c r="AC25" s="36"/>
      <c r="AD25" s="4"/>
      <c r="AE25" s="4"/>
      <c r="AF25" s="4" t="s">
        <v>740</v>
      </c>
      <c r="AG25" s="40" t="s">
        <v>465</v>
      </c>
      <c r="AH25" s="40" t="s">
        <v>755</v>
      </c>
      <c r="AI25" s="22">
        <v>4.8585214180387991E-3</v>
      </c>
      <c r="AJ25" s="23">
        <v>4.8514490253202241E-3</v>
      </c>
      <c r="AK25" s="22">
        <v>1E-8</v>
      </c>
      <c r="AL25" s="22">
        <v>1E-8</v>
      </c>
      <c r="AM25" s="22">
        <v>1E-8</v>
      </c>
      <c r="AN25" s="22">
        <v>1E-8</v>
      </c>
      <c r="AO25" s="22">
        <v>1E-8</v>
      </c>
      <c r="AP25" s="22">
        <v>1E-8</v>
      </c>
      <c r="AQ25" s="22">
        <v>1E-8</v>
      </c>
      <c r="AR25" s="22">
        <v>1E-8</v>
      </c>
      <c r="AS25" s="4"/>
    </row>
    <row r="26" spans="1:45" x14ac:dyDescent="0.35">
      <c r="A26" s="44" t="s">
        <v>500</v>
      </c>
      <c r="B26" s="45" t="s">
        <v>523</v>
      </c>
      <c r="C26" s="46">
        <v>2.1517443678786902E-2</v>
      </c>
      <c r="D26" s="23">
        <v>-3.102558512772946</v>
      </c>
      <c r="E26" s="46">
        <v>1E-8</v>
      </c>
      <c r="F26" s="46">
        <v>1E-8</v>
      </c>
      <c r="G26" s="46">
        <v>1E-8</v>
      </c>
      <c r="H26" s="46">
        <v>1E-8</v>
      </c>
      <c r="I26" s="46">
        <v>1E-8</v>
      </c>
      <c r="J26" s="46">
        <v>1E-8</v>
      </c>
      <c r="K26" s="46">
        <v>1E-8</v>
      </c>
      <c r="L26" s="46">
        <v>1E-8</v>
      </c>
      <c r="M26" s="44"/>
      <c r="N26" s="36"/>
      <c r="O26" s="4"/>
      <c r="P26" s="9" t="s">
        <v>607</v>
      </c>
      <c r="Q26" s="116" t="s">
        <v>307</v>
      </c>
      <c r="R26" s="79">
        <v>3.1506266092155406E-2</v>
      </c>
      <c r="S26" s="80">
        <v>-1.5751752373051264</v>
      </c>
      <c r="T26" s="79">
        <v>1E-8</v>
      </c>
      <c r="U26" s="79">
        <v>1E-8</v>
      </c>
      <c r="V26" s="79">
        <v>1E-8</v>
      </c>
      <c r="W26" s="79">
        <v>1E-8</v>
      </c>
      <c r="X26" s="79">
        <v>1E-8</v>
      </c>
      <c r="Y26" s="79">
        <v>1E-8</v>
      </c>
      <c r="Z26" s="79">
        <v>1E-8</v>
      </c>
      <c r="AA26" s="79">
        <v>1E-8</v>
      </c>
      <c r="AB26" s="4"/>
      <c r="AC26" s="36"/>
      <c r="AD26" s="4"/>
      <c r="AE26" s="4"/>
      <c r="AF26" s="4" t="s">
        <v>741</v>
      </c>
      <c r="AG26" s="40" t="s">
        <v>465</v>
      </c>
      <c r="AH26" s="40" t="s">
        <v>756</v>
      </c>
      <c r="AI26" s="22">
        <v>1.7885356510813227E-2</v>
      </c>
      <c r="AJ26" s="23">
        <v>1.7848950688930117E-2</v>
      </c>
      <c r="AK26" s="22">
        <v>1E-8</v>
      </c>
      <c r="AL26" s="22">
        <v>1E-8</v>
      </c>
      <c r="AM26" s="22">
        <v>1E-8</v>
      </c>
      <c r="AN26" s="22">
        <v>1E-8</v>
      </c>
      <c r="AO26" s="22">
        <v>1E-8</v>
      </c>
      <c r="AP26" s="22">
        <v>1E-8</v>
      </c>
      <c r="AQ26" s="22">
        <v>1E-8</v>
      </c>
      <c r="AR26" s="22">
        <v>1E-8</v>
      </c>
      <c r="AS26" s="4"/>
    </row>
    <row r="27" spans="1:45" x14ac:dyDescent="0.35">
      <c r="A27" s="44" t="s">
        <v>501</v>
      </c>
      <c r="B27" s="45" t="s">
        <v>524</v>
      </c>
      <c r="C27" s="46">
        <v>3.9254466198652985E-2</v>
      </c>
      <c r="D27" s="23">
        <v>-3.1070498993968076</v>
      </c>
      <c r="E27" s="46">
        <v>1E-8</v>
      </c>
      <c r="F27" s="46">
        <v>1E-8</v>
      </c>
      <c r="G27" s="46">
        <v>1E-8</v>
      </c>
      <c r="H27" s="46">
        <v>1E-8</v>
      </c>
      <c r="I27" s="46">
        <v>1E-8</v>
      </c>
      <c r="J27" s="46">
        <v>1E-8</v>
      </c>
      <c r="K27" s="46">
        <v>1E-8</v>
      </c>
      <c r="L27" s="46">
        <v>1E-8</v>
      </c>
      <c r="M27" s="44"/>
      <c r="N27" s="36"/>
      <c r="O27" s="4"/>
      <c r="P27" s="9" t="s">
        <v>608</v>
      </c>
      <c r="Q27" s="116" t="s">
        <v>298</v>
      </c>
      <c r="R27" s="79">
        <v>1.37817951431162E-3</v>
      </c>
      <c r="S27" s="80">
        <v>-3.2100186044215939</v>
      </c>
      <c r="T27" s="79">
        <v>1E-8</v>
      </c>
      <c r="U27" s="79">
        <v>1E-8</v>
      </c>
      <c r="V27" s="79">
        <v>1E-8</v>
      </c>
      <c r="W27" s="79">
        <v>1E-8</v>
      </c>
      <c r="X27" s="79">
        <v>1E-8</v>
      </c>
      <c r="Y27" s="79">
        <v>1E-8</v>
      </c>
      <c r="Z27" s="79">
        <v>1E-8</v>
      </c>
      <c r="AA27" s="79">
        <v>1E-8</v>
      </c>
      <c r="AB27" s="4"/>
      <c r="AC27" s="36"/>
      <c r="AD27" s="4"/>
      <c r="AE27" s="4"/>
      <c r="AF27" s="53" t="s">
        <v>742</v>
      </c>
      <c r="AG27" s="57" t="s">
        <v>465</v>
      </c>
      <c r="AH27" s="57" t="s">
        <v>757</v>
      </c>
      <c r="AI27" s="55">
        <v>5.1675966894138156E-2</v>
      </c>
      <c r="AJ27" s="56">
        <v>5.1489595585211254E-2</v>
      </c>
      <c r="AK27" s="55">
        <v>1E-8</v>
      </c>
      <c r="AL27" s="55">
        <v>1E-8</v>
      </c>
      <c r="AM27" s="55">
        <v>1E-8</v>
      </c>
      <c r="AN27" s="55">
        <v>1E-8</v>
      </c>
      <c r="AO27" s="55">
        <v>1E-8</v>
      </c>
      <c r="AP27" s="55">
        <v>1E-8</v>
      </c>
      <c r="AQ27" s="55">
        <v>1E-8</v>
      </c>
      <c r="AR27" s="55">
        <v>1E-8</v>
      </c>
      <c r="AS27" s="4"/>
    </row>
    <row r="28" spans="1:45" x14ac:dyDescent="0.35">
      <c r="A28" s="44" t="s">
        <v>502</v>
      </c>
      <c r="B28" s="45" t="s">
        <v>525</v>
      </c>
      <c r="C28" s="46">
        <v>0.10759313683310054</v>
      </c>
      <c r="D28" s="23">
        <v>-3.0917355516684952</v>
      </c>
      <c r="E28" s="46">
        <v>1E-8</v>
      </c>
      <c r="F28" s="46">
        <v>1E-8</v>
      </c>
      <c r="G28" s="46">
        <v>1E-8</v>
      </c>
      <c r="H28" s="46">
        <v>1E-8</v>
      </c>
      <c r="I28" s="46">
        <v>1E-8</v>
      </c>
      <c r="J28" s="46">
        <v>1E-8</v>
      </c>
      <c r="K28" s="46">
        <v>1E-8</v>
      </c>
      <c r="L28" s="46">
        <v>1E-8</v>
      </c>
      <c r="M28" s="44"/>
      <c r="N28" s="36"/>
      <c r="O28" s="4"/>
      <c r="P28" s="9" t="s">
        <v>609</v>
      </c>
      <c r="Q28" s="116" t="s">
        <v>538</v>
      </c>
      <c r="R28" s="79">
        <v>9.0062869267422754E-4</v>
      </c>
      <c r="S28" s="80">
        <v>-2.1005167145118353</v>
      </c>
      <c r="T28" s="79">
        <v>1E-8</v>
      </c>
      <c r="U28" s="79">
        <v>1E-8</v>
      </c>
      <c r="V28" s="79">
        <v>1E-8</v>
      </c>
      <c r="W28" s="79">
        <v>1E-8</v>
      </c>
      <c r="X28" s="79">
        <v>1E-8</v>
      </c>
      <c r="Y28" s="79">
        <v>1E-8</v>
      </c>
      <c r="Z28" s="79">
        <v>1E-8</v>
      </c>
      <c r="AA28" s="79">
        <v>1E-8</v>
      </c>
      <c r="AB28" s="4"/>
      <c r="AC28" s="36"/>
      <c r="AD28" s="4"/>
      <c r="AE28" s="4"/>
      <c r="AF28" s="4" t="s">
        <v>748</v>
      </c>
      <c r="AG28" s="40" t="s">
        <v>465</v>
      </c>
      <c r="AH28" s="40" t="s">
        <v>85</v>
      </c>
      <c r="AI28" s="22">
        <v>1.6329393654298627E-4</v>
      </c>
      <c r="AJ28" s="23">
        <v>1.6134349830528434E-4</v>
      </c>
      <c r="AK28" s="22">
        <v>1E-8</v>
      </c>
      <c r="AL28" s="22">
        <v>1E-8</v>
      </c>
      <c r="AM28" s="22">
        <v>1E-8</v>
      </c>
      <c r="AN28" s="22">
        <v>1E-8</v>
      </c>
      <c r="AO28" s="22">
        <v>1E-8</v>
      </c>
      <c r="AP28" s="22">
        <v>1E-8</v>
      </c>
      <c r="AQ28" s="22">
        <v>1E-8</v>
      </c>
      <c r="AR28" s="22">
        <v>1E-8</v>
      </c>
      <c r="AS28" s="4"/>
    </row>
    <row r="29" spans="1:45" x14ac:dyDescent="0.35">
      <c r="A29" s="27" t="s">
        <v>503</v>
      </c>
      <c r="B29" s="31" t="s">
        <v>526</v>
      </c>
      <c r="C29" s="28">
        <v>1.6062497362154509</v>
      </c>
      <c r="D29" s="51">
        <v>-2.7673603595119389</v>
      </c>
      <c r="E29" s="28">
        <v>1E-8</v>
      </c>
      <c r="F29" s="28">
        <v>1E-8</v>
      </c>
      <c r="G29" s="28">
        <v>1E-8</v>
      </c>
      <c r="H29" s="28">
        <v>1E-8</v>
      </c>
      <c r="I29" s="28">
        <v>1E-8</v>
      </c>
      <c r="J29" s="28">
        <v>1E-8</v>
      </c>
      <c r="K29" s="28">
        <v>1E-8</v>
      </c>
      <c r="L29" s="28">
        <v>1E-8</v>
      </c>
      <c r="M29" s="27"/>
      <c r="N29" s="36"/>
      <c r="O29" s="4"/>
      <c r="P29" s="9" t="s">
        <v>610</v>
      </c>
      <c r="Q29" s="116" t="s">
        <v>299</v>
      </c>
      <c r="R29" s="79">
        <v>1E-8</v>
      </c>
      <c r="S29" s="80">
        <v>1E-8</v>
      </c>
      <c r="T29" s="79">
        <v>1E-8</v>
      </c>
      <c r="U29" s="79">
        <v>1E-8</v>
      </c>
      <c r="V29" s="79">
        <v>1E-8</v>
      </c>
      <c r="W29" s="79">
        <v>1E-8</v>
      </c>
      <c r="X29" s="79">
        <v>1E-8</v>
      </c>
      <c r="Y29" s="79">
        <v>1E-8</v>
      </c>
      <c r="Z29" s="79">
        <v>1E-8</v>
      </c>
      <c r="AA29" s="79">
        <v>1E-8</v>
      </c>
      <c r="AB29" s="4"/>
      <c r="AC29" s="36"/>
      <c r="AD29" s="4"/>
      <c r="AE29" s="4"/>
      <c r="AF29" s="4" t="s">
        <v>749</v>
      </c>
      <c r="AG29" s="40" t="s">
        <v>465</v>
      </c>
      <c r="AH29" s="40" t="s">
        <v>93</v>
      </c>
      <c r="AI29" s="22">
        <v>4.2875030735551559E-4</v>
      </c>
      <c r="AJ29" s="23">
        <v>4.2293122202245379E-4</v>
      </c>
      <c r="AK29" s="22">
        <v>1E-8</v>
      </c>
      <c r="AL29" s="22">
        <v>1E-8</v>
      </c>
      <c r="AM29" s="22">
        <v>1E-8</v>
      </c>
      <c r="AN29" s="22">
        <v>1E-8</v>
      </c>
      <c r="AO29" s="22">
        <v>1E-8</v>
      </c>
      <c r="AP29" s="22">
        <v>1E-8</v>
      </c>
      <c r="AQ29" s="22">
        <v>1E-8</v>
      </c>
      <c r="AR29" s="22">
        <v>1E-8</v>
      </c>
      <c r="AS29" s="4"/>
    </row>
    <row r="30" spans="1:45" x14ac:dyDescent="0.35">
      <c r="A30" s="47" t="s">
        <v>735</v>
      </c>
      <c r="B30" s="48" t="s">
        <v>527</v>
      </c>
      <c r="C30" s="49">
        <v>0.6300642719694618</v>
      </c>
      <c r="D30" s="21">
        <v>-3.2295699663727473</v>
      </c>
      <c r="E30" s="49">
        <v>1E-8</v>
      </c>
      <c r="F30" s="49">
        <v>1E-8</v>
      </c>
      <c r="G30" s="49">
        <v>1E-8</v>
      </c>
      <c r="H30" s="49">
        <v>1E-8</v>
      </c>
      <c r="I30" s="49">
        <v>1E-8</v>
      </c>
      <c r="J30" s="49">
        <v>1E-8</v>
      </c>
      <c r="K30" s="49">
        <v>1E-8</v>
      </c>
      <c r="L30" s="49">
        <v>1E-8</v>
      </c>
      <c r="M30" s="44"/>
      <c r="N30" s="36"/>
      <c r="O30" s="4"/>
      <c r="P30" s="9" t="s">
        <v>611</v>
      </c>
      <c r="Q30" s="116" t="s">
        <v>309</v>
      </c>
      <c r="R30" s="79">
        <v>1E-8</v>
      </c>
      <c r="S30" s="80">
        <v>1E-8</v>
      </c>
      <c r="T30" s="79">
        <v>1E-8</v>
      </c>
      <c r="U30" s="79">
        <v>1E-8</v>
      </c>
      <c r="V30" s="79">
        <v>1E-8</v>
      </c>
      <c r="W30" s="79">
        <v>1E-8</v>
      </c>
      <c r="X30" s="79">
        <v>1E-8</v>
      </c>
      <c r="Y30" s="79">
        <v>1E-8</v>
      </c>
      <c r="Z30" s="79">
        <v>1E-8</v>
      </c>
      <c r="AA30" s="79">
        <v>1E-8</v>
      </c>
      <c r="AB30" s="4"/>
      <c r="AC30" s="36"/>
      <c r="AD30" s="4"/>
      <c r="AE30" s="4"/>
      <c r="AF30" s="4" t="s">
        <v>750</v>
      </c>
      <c r="AG30" s="40" t="s">
        <v>465</v>
      </c>
      <c r="AH30" s="40" t="s">
        <v>99</v>
      </c>
      <c r="AI30" s="22">
        <v>8.41141450180835E-4</v>
      </c>
      <c r="AJ30" s="23">
        <v>8.2975351259866059E-4</v>
      </c>
      <c r="AK30" s="22">
        <v>1E-8</v>
      </c>
      <c r="AL30" s="22">
        <v>1E-8</v>
      </c>
      <c r="AM30" s="22">
        <v>1E-8</v>
      </c>
      <c r="AN30" s="22">
        <v>1E-8</v>
      </c>
      <c r="AO30" s="22">
        <v>1E-8</v>
      </c>
      <c r="AP30" s="22">
        <v>1E-8</v>
      </c>
      <c r="AQ30" s="22">
        <v>1E-8</v>
      </c>
      <c r="AR30" s="22">
        <v>1E-8</v>
      </c>
      <c r="AS30" s="4"/>
    </row>
    <row r="31" spans="1:45" x14ac:dyDescent="0.35">
      <c r="A31" s="44" t="s">
        <v>499</v>
      </c>
      <c r="B31" s="45" t="s">
        <v>528</v>
      </c>
      <c r="C31" s="46">
        <v>1.500185022792655E-2</v>
      </c>
      <c r="D31" s="23">
        <v>-3.3704354133557546</v>
      </c>
      <c r="E31" s="46">
        <v>1E-8</v>
      </c>
      <c r="F31" s="46">
        <v>1E-8</v>
      </c>
      <c r="G31" s="46">
        <v>1E-8</v>
      </c>
      <c r="H31" s="46">
        <v>1E-8</v>
      </c>
      <c r="I31" s="46">
        <v>1E-8</v>
      </c>
      <c r="J31" s="46">
        <v>1E-8</v>
      </c>
      <c r="K31" s="46">
        <v>1E-8</v>
      </c>
      <c r="L31" s="46">
        <v>1E-8</v>
      </c>
      <c r="M31" s="44"/>
      <c r="N31" s="36"/>
      <c r="O31" s="4"/>
      <c r="P31" s="9" t="s">
        <v>612</v>
      </c>
      <c r="Q31" s="116" t="s">
        <v>308</v>
      </c>
      <c r="R31" s="79">
        <v>1E-8</v>
      </c>
      <c r="S31" s="80">
        <v>1E-8</v>
      </c>
      <c r="T31" s="79">
        <v>1E-8</v>
      </c>
      <c r="U31" s="79">
        <v>1E-8</v>
      </c>
      <c r="V31" s="79">
        <v>1E-8</v>
      </c>
      <c r="W31" s="79">
        <v>1E-8</v>
      </c>
      <c r="X31" s="79">
        <v>1E-8</v>
      </c>
      <c r="Y31" s="79">
        <v>1E-8</v>
      </c>
      <c r="Z31" s="79">
        <v>1E-8</v>
      </c>
      <c r="AA31" s="79">
        <v>1E-8</v>
      </c>
      <c r="AB31" s="4"/>
      <c r="AC31" s="36"/>
      <c r="AD31" s="4"/>
      <c r="AE31" s="4"/>
      <c r="AF31" s="4" t="s">
        <v>751</v>
      </c>
      <c r="AG31" s="40" t="s">
        <v>465</v>
      </c>
      <c r="AH31" s="40" t="s">
        <v>105</v>
      </c>
      <c r="AI31" s="22">
        <v>4.0594315680686248E-3</v>
      </c>
      <c r="AJ31" s="23">
        <v>4.0152657693132187E-3</v>
      </c>
      <c r="AK31" s="22">
        <v>1E-8</v>
      </c>
      <c r="AL31" s="22">
        <v>1E-8</v>
      </c>
      <c r="AM31" s="22">
        <v>1E-8</v>
      </c>
      <c r="AN31" s="22">
        <v>1E-8</v>
      </c>
      <c r="AO31" s="22">
        <v>1E-8</v>
      </c>
      <c r="AP31" s="22">
        <v>1E-8</v>
      </c>
      <c r="AQ31" s="22">
        <v>1E-8</v>
      </c>
      <c r="AR31" s="22">
        <v>1E-8</v>
      </c>
      <c r="AS31" s="4"/>
    </row>
    <row r="32" spans="1:45" x14ac:dyDescent="0.35">
      <c r="A32" s="44" t="s">
        <v>500</v>
      </c>
      <c r="B32" s="45" t="s">
        <v>529</v>
      </c>
      <c r="C32" s="46">
        <v>2.0179520681439665E-2</v>
      </c>
      <c r="D32" s="23">
        <v>-3.5296364966158067</v>
      </c>
      <c r="E32" s="46">
        <v>1E-8</v>
      </c>
      <c r="F32" s="46">
        <v>1E-8</v>
      </c>
      <c r="G32" s="46">
        <v>1E-8</v>
      </c>
      <c r="H32" s="46">
        <v>1E-8</v>
      </c>
      <c r="I32" s="46">
        <v>1E-8</v>
      </c>
      <c r="J32" s="46">
        <v>1E-8</v>
      </c>
      <c r="K32" s="46">
        <v>1E-8</v>
      </c>
      <c r="L32" s="46">
        <v>1E-8</v>
      </c>
      <c r="M32" s="44"/>
      <c r="N32" s="36"/>
      <c r="O32" s="4"/>
      <c r="P32" s="9" t="s">
        <v>613</v>
      </c>
      <c r="Q32" s="116" t="s">
        <v>306</v>
      </c>
      <c r="R32" s="79">
        <v>4.6626651451786537E-3</v>
      </c>
      <c r="S32" s="80">
        <v>-1.6461232863636877</v>
      </c>
      <c r="T32" s="79">
        <v>1E-8</v>
      </c>
      <c r="U32" s="79">
        <v>1E-8</v>
      </c>
      <c r="V32" s="79">
        <v>1E-8</v>
      </c>
      <c r="W32" s="79">
        <v>1E-8</v>
      </c>
      <c r="X32" s="79">
        <v>1E-8</v>
      </c>
      <c r="Y32" s="79">
        <v>1E-8</v>
      </c>
      <c r="Z32" s="79">
        <v>1E-8</v>
      </c>
      <c r="AA32" s="79">
        <v>1E-8</v>
      </c>
      <c r="AB32" s="4"/>
      <c r="AC32" s="36"/>
      <c r="AD32" s="4"/>
      <c r="AE32" s="4"/>
      <c r="AF32" s="53" t="s">
        <v>752</v>
      </c>
      <c r="AG32" s="57" t="s">
        <v>465</v>
      </c>
      <c r="AH32" s="57" t="s">
        <v>109</v>
      </c>
      <c r="AI32" s="55">
        <v>4.4404591473547833E-2</v>
      </c>
      <c r="AJ32" s="56">
        <v>4.3957162172343626E-2</v>
      </c>
      <c r="AK32" s="55">
        <v>1E-8</v>
      </c>
      <c r="AL32" s="55">
        <v>1E-8</v>
      </c>
      <c r="AM32" s="55">
        <v>1E-8</v>
      </c>
      <c r="AN32" s="55">
        <v>1E-8</v>
      </c>
      <c r="AO32" s="55">
        <v>1E-8</v>
      </c>
      <c r="AP32" s="55">
        <v>1E-8</v>
      </c>
      <c r="AQ32" s="55">
        <v>1E-8</v>
      </c>
      <c r="AR32" s="55">
        <v>1E-8</v>
      </c>
      <c r="AS32" s="4"/>
    </row>
    <row r="33" spans="1:45" x14ac:dyDescent="0.35">
      <c r="A33" s="44" t="s">
        <v>501</v>
      </c>
      <c r="B33" s="45" t="s">
        <v>530</v>
      </c>
      <c r="C33" s="46">
        <v>3.4187055807204998E-2</v>
      </c>
      <c r="D33" s="23">
        <v>-3.526357369883526</v>
      </c>
      <c r="E33" s="46">
        <v>1E-8</v>
      </c>
      <c r="F33" s="46">
        <v>1E-8</v>
      </c>
      <c r="G33" s="46">
        <v>1E-8</v>
      </c>
      <c r="H33" s="46">
        <v>1E-8</v>
      </c>
      <c r="I33" s="46">
        <v>1E-8</v>
      </c>
      <c r="J33" s="46">
        <v>1E-8</v>
      </c>
      <c r="K33" s="46">
        <v>1E-8</v>
      </c>
      <c r="L33" s="46">
        <v>1E-8</v>
      </c>
      <c r="M33" s="44"/>
      <c r="N33" s="36"/>
      <c r="O33" s="4"/>
      <c r="P33" s="9" t="s">
        <v>614</v>
      </c>
      <c r="Q33" s="116" t="s">
        <v>305</v>
      </c>
      <c r="R33" s="79">
        <v>6.7075346501304801E-3</v>
      </c>
      <c r="S33" s="80">
        <v>-2.2064277356936834</v>
      </c>
      <c r="T33" s="79">
        <v>1E-8</v>
      </c>
      <c r="U33" s="79">
        <v>1E-8</v>
      </c>
      <c r="V33" s="79">
        <v>1E-8</v>
      </c>
      <c r="W33" s="79">
        <v>1E-8</v>
      </c>
      <c r="X33" s="79">
        <v>1E-8</v>
      </c>
      <c r="Y33" s="79">
        <v>1E-8</v>
      </c>
      <c r="Z33" s="79">
        <v>1E-8</v>
      </c>
      <c r="AA33" s="79">
        <v>1E-8</v>
      </c>
      <c r="AB33" s="4"/>
      <c r="AC33" s="36"/>
      <c r="AD33" s="4"/>
      <c r="AE33" s="4"/>
      <c r="AF33" s="4" t="s">
        <v>743</v>
      </c>
      <c r="AG33" s="40" t="s">
        <v>465</v>
      </c>
      <c r="AH33" s="40" t="s">
        <v>758</v>
      </c>
      <c r="AI33" s="22">
        <v>3.1027698667086156E-4</v>
      </c>
      <c r="AJ33" s="23">
        <v>3.076076309749394E-4</v>
      </c>
      <c r="AK33" s="22">
        <v>1E-8</v>
      </c>
      <c r="AL33" s="22">
        <v>1E-8</v>
      </c>
      <c r="AM33" s="22">
        <v>1E-8</v>
      </c>
      <c r="AN33" s="22">
        <v>1E-8</v>
      </c>
      <c r="AO33" s="22">
        <v>1E-8</v>
      </c>
      <c r="AP33" s="22">
        <v>1E-8</v>
      </c>
      <c r="AQ33" s="22">
        <v>1E-8</v>
      </c>
      <c r="AR33" s="22">
        <v>1E-8</v>
      </c>
      <c r="AS33" s="4"/>
    </row>
    <row r="34" spans="1:45" x14ac:dyDescent="0.35">
      <c r="A34" s="44" t="s">
        <v>502</v>
      </c>
      <c r="B34" s="45" t="s">
        <v>531</v>
      </c>
      <c r="C34" s="46">
        <v>6.5426235284814976E-2</v>
      </c>
      <c r="D34" s="23">
        <v>-3.2663257767919673</v>
      </c>
      <c r="E34" s="46">
        <v>1E-8</v>
      </c>
      <c r="F34" s="46">
        <v>1E-8</v>
      </c>
      <c r="G34" s="46">
        <v>1E-8</v>
      </c>
      <c r="H34" s="46">
        <v>1E-8</v>
      </c>
      <c r="I34" s="46">
        <v>1E-8</v>
      </c>
      <c r="J34" s="46">
        <v>1E-8</v>
      </c>
      <c r="K34" s="46">
        <v>1E-8</v>
      </c>
      <c r="L34" s="46">
        <v>1E-8</v>
      </c>
      <c r="M34" s="44"/>
      <c r="N34" s="36"/>
      <c r="O34" s="4"/>
      <c r="P34" s="9" t="s">
        <v>615</v>
      </c>
      <c r="Q34" s="116" t="s">
        <v>539</v>
      </c>
      <c r="R34" s="79">
        <v>1E-8</v>
      </c>
      <c r="S34" s="80">
        <v>1E-8</v>
      </c>
      <c r="T34" s="79">
        <v>1E-8</v>
      </c>
      <c r="U34" s="79">
        <v>1E-8</v>
      </c>
      <c r="V34" s="79">
        <v>1E-8</v>
      </c>
      <c r="W34" s="79">
        <v>1E-8</v>
      </c>
      <c r="X34" s="79">
        <v>1E-8</v>
      </c>
      <c r="Y34" s="79">
        <v>1E-8</v>
      </c>
      <c r="Z34" s="79">
        <v>1E-8</v>
      </c>
      <c r="AA34" s="79">
        <v>1E-8</v>
      </c>
      <c r="AB34" s="4"/>
      <c r="AC34" s="36"/>
      <c r="AD34" s="4"/>
      <c r="AE34" s="4"/>
      <c r="AF34" s="4" t="s">
        <v>744</v>
      </c>
      <c r="AG34" s="40" t="s">
        <v>465</v>
      </c>
      <c r="AH34" s="40" t="s">
        <v>759</v>
      </c>
      <c r="AI34" s="22">
        <v>3.8394831489749589E-4</v>
      </c>
      <c r="AJ34" s="23">
        <v>3.804139756632516E-4</v>
      </c>
      <c r="AK34" s="22">
        <v>1E-8</v>
      </c>
      <c r="AL34" s="22">
        <v>1E-8</v>
      </c>
      <c r="AM34" s="22">
        <v>1E-8</v>
      </c>
      <c r="AN34" s="22">
        <v>1E-8</v>
      </c>
      <c r="AO34" s="22">
        <v>1E-8</v>
      </c>
      <c r="AP34" s="22">
        <v>1E-8</v>
      </c>
      <c r="AQ34" s="22">
        <v>1E-8</v>
      </c>
      <c r="AR34" s="22">
        <v>1E-8</v>
      </c>
      <c r="AS34" s="4"/>
    </row>
    <row r="35" spans="1:45" x14ac:dyDescent="0.35">
      <c r="A35" s="44" t="s">
        <v>503</v>
      </c>
      <c r="B35" s="45" t="s">
        <v>532</v>
      </c>
      <c r="C35" s="46">
        <v>0.49526960996807567</v>
      </c>
      <c r="D35" s="23">
        <v>-3.1877351303540968</v>
      </c>
      <c r="E35" s="46">
        <v>1E-8</v>
      </c>
      <c r="F35" s="46">
        <v>1E-8</v>
      </c>
      <c r="G35" s="46">
        <v>1E-8</v>
      </c>
      <c r="H35" s="46">
        <v>1E-8</v>
      </c>
      <c r="I35" s="46">
        <v>1E-8</v>
      </c>
      <c r="J35" s="46">
        <v>1E-8</v>
      </c>
      <c r="K35" s="46">
        <v>1E-8</v>
      </c>
      <c r="L35" s="46">
        <v>1E-8</v>
      </c>
      <c r="M35" s="44"/>
      <c r="N35" s="36"/>
      <c r="O35" s="4"/>
      <c r="P35" s="9" t="s">
        <v>616</v>
      </c>
      <c r="Q35" s="109" t="s">
        <v>310</v>
      </c>
      <c r="R35" s="81">
        <v>1.9210037240956922E-3</v>
      </c>
      <c r="S35" s="82">
        <v>-3.0189671646623228</v>
      </c>
      <c r="T35" s="81">
        <v>1E-8</v>
      </c>
      <c r="U35" s="81">
        <v>1E-8</v>
      </c>
      <c r="V35" s="81">
        <v>1E-8</v>
      </c>
      <c r="W35" s="81">
        <v>1E-8</v>
      </c>
      <c r="X35" s="81">
        <v>1E-8</v>
      </c>
      <c r="Y35" s="81">
        <v>1E-8</v>
      </c>
      <c r="Z35" s="81">
        <v>1E-8</v>
      </c>
      <c r="AA35" s="81">
        <v>1E-8</v>
      </c>
      <c r="AB35" s="4"/>
      <c r="AC35" s="36"/>
      <c r="AD35" s="4"/>
      <c r="AE35" s="4"/>
      <c r="AF35" s="4" t="s">
        <v>745</v>
      </c>
      <c r="AG35" s="40" t="s">
        <v>465</v>
      </c>
      <c r="AH35" s="40" t="s">
        <v>760</v>
      </c>
      <c r="AI35" s="22">
        <v>1.8965999140674978E-3</v>
      </c>
      <c r="AJ35" s="23">
        <v>1.8790541407207259E-3</v>
      </c>
      <c r="AK35" s="22">
        <v>1E-8</v>
      </c>
      <c r="AL35" s="22">
        <v>1E-8</v>
      </c>
      <c r="AM35" s="22">
        <v>1E-8</v>
      </c>
      <c r="AN35" s="22">
        <v>1E-8</v>
      </c>
      <c r="AO35" s="22">
        <v>1E-8</v>
      </c>
      <c r="AP35" s="22">
        <v>1E-8</v>
      </c>
      <c r="AQ35" s="22">
        <v>1E-8</v>
      </c>
      <c r="AR35" s="22">
        <v>1E-8</v>
      </c>
      <c r="AS35" s="4"/>
    </row>
    <row r="36" spans="1:45" x14ac:dyDescent="0.35">
      <c r="A36" s="44"/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4"/>
      <c r="N36" s="36"/>
      <c r="O36" s="4"/>
      <c r="P36" s="11" t="s">
        <v>280</v>
      </c>
      <c r="Q36" s="115" t="s">
        <v>311</v>
      </c>
      <c r="R36" s="77">
        <v>3.7852203363025867E-2</v>
      </c>
      <c r="S36" s="78">
        <v>-0.16934909176843371</v>
      </c>
      <c r="T36" s="77">
        <v>1E-8</v>
      </c>
      <c r="U36" s="77">
        <v>1E-8</v>
      </c>
      <c r="V36" s="77">
        <v>1E-8</v>
      </c>
      <c r="W36" s="77">
        <v>1E-8</v>
      </c>
      <c r="X36" s="77">
        <v>1E-8</v>
      </c>
      <c r="Y36" s="77">
        <v>1E-8</v>
      </c>
      <c r="Z36" s="77">
        <v>1E-8</v>
      </c>
      <c r="AA36" s="77">
        <v>1E-8</v>
      </c>
      <c r="AB36" s="4"/>
      <c r="AC36" s="36"/>
      <c r="AD36" s="4"/>
      <c r="AE36" s="4"/>
      <c r="AF36" s="4" t="s">
        <v>746</v>
      </c>
      <c r="AG36" s="40" t="s">
        <v>465</v>
      </c>
      <c r="AH36" s="40" t="s">
        <v>761</v>
      </c>
      <c r="AI36" s="22">
        <v>5.9269243068659364E-3</v>
      </c>
      <c r="AJ36" s="23">
        <v>5.8730214161434487E-3</v>
      </c>
      <c r="AK36" s="22">
        <v>1E-8</v>
      </c>
      <c r="AL36" s="22">
        <v>1E-8</v>
      </c>
      <c r="AM36" s="22">
        <v>1E-8</v>
      </c>
      <c r="AN36" s="22">
        <v>1E-8</v>
      </c>
      <c r="AO36" s="22">
        <v>1E-8</v>
      </c>
      <c r="AP36" s="22">
        <v>1E-8</v>
      </c>
      <c r="AQ36" s="22">
        <v>1E-8</v>
      </c>
      <c r="AR36" s="22">
        <v>1E-8</v>
      </c>
      <c r="AS36" s="4"/>
    </row>
    <row r="37" spans="1:45" x14ac:dyDescent="0.35">
      <c r="A37" s="36" t="s">
        <v>519</v>
      </c>
      <c r="B37" s="34"/>
      <c r="C37" s="34"/>
      <c r="D37" s="6"/>
      <c r="E37" s="34"/>
      <c r="F37" s="34"/>
      <c r="G37" s="34"/>
      <c r="H37" s="34"/>
      <c r="I37" s="34"/>
      <c r="J37" s="34"/>
      <c r="K37" s="34"/>
      <c r="L37" s="34"/>
      <c r="M37" s="34"/>
      <c r="N37" s="36"/>
      <c r="O37" s="4"/>
      <c r="P37" s="9" t="s">
        <v>617</v>
      </c>
      <c r="Q37" s="116" t="s">
        <v>312</v>
      </c>
      <c r="R37" s="79">
        <v>1E-8</v>
      </c>
      <c r="S37" s="80">
        <v>1E-8</v>
      </c>
      <c r="T37" s="79">
        <v>1E-8</v>
      </c>
      <c r="U37" s="79">
        <v>1E-8</v>
      </c>
      <c r="V37" s="79">
        <v>1E-8</v>
      </c>
      <c r="W37" s="79">
        <v>1E-8</v>
      </c>
      <c r="X37" s="79">
        <v>1E-8</v>
      </c>
      <c r="Y37" s="79">
        <v>1E-8</v>
      </c>
      <c r="Z37" s="79">
        <v>1E-8</v>
      </c>
      <c r="AA37" s="79">
        <v>1E-8</v>
      </c>
      <c r="AB37" s="4"/>
      <c r="AC37" s="36"/>
      <c r="AD37" s="4"/>
      <c r="AE37" s="4"/>
      <c r="AF37" s="4" t="s">
        <v>747</v>
      </c>
      <c r="AG37" s="40" t="s">
        <v>465</v>
      </c>
      <c r="AH37" s="40" t="s">
        <v>762</v>
      </c>
      <c r="AI37" s="22">
        <v>0.17901618323091817</v>
      </c>
      <c r="AJ37" s="23">
        <v>0.17798186664177892</v>
      </c>
      <c r="AK37" s="22">
        <v>1E-8</v>
      </c>
      <c r="AL37" s="22">
        <v>1E-8</v>
      </c>
      <c r="AM37" s="22">
        <v>1E-8</v>
      </c>
      <c r="AN37" s="22">
        <v>1E-8</v>
      </c>
      <c r="AO37" s="22">
        <v>1E-8</v>
      </c>
      <c r="AP37" s="22">
        <v>1E-8</v>
      </c>
      <c r="AQ37" s="22">
        <v>1E-8</v>
      </c>
      <c r="AR37" s="22">
        <v>1E-8</v>
      </c>
      <c r="AS37" s="4"/>
    </row>
    <row r="38" spans="1:45" x14ac:dyDescent="0.35">
      <c r="A38" s="35" t="s">
        <v>508</v>
      </c>
      <c r="B38" s="30"/>
      <c r="C38" s="33" t="s">
        <v>246</v>
      </c>
      <c r="D38" s="50" t="s">
        <v>890</v>
      </c>
      <c r="E38" s="33" t="s">
        <v>885</v>
      </c>
      <c r="F38" s="33" t="s">
        <v>891</v>
      </c>
      <c r="G38" s="33" t="s">
        <v>884</v>
      </c>
      <c r="H38" s="33" t="s">
        <v>883</v>
      </c>
      <c r="I38" s="33"/>
      <c r="J38" s="33"/>
      <c r="K38" s="33"/>
      <c r="L38" s="33"/>
      <c r="M38" s="30"/>
      <c r="N38" s="36"/>
      <c r="O38" s="4"/>
      <c r="P38" s="9" t="s">
        <v>618</v>
      </c>
      <c r="Q38" s="116" t="s">
        <v>316</v>
      </c>
      <c r="R38" s="79">
        <v>1.0414547539465906E-4</v>
      </c>
      <c r="S38" s="80">
        <v>3.1534957759053572</v>
      </c>
      <c r="T38" s="79">
        <v>1E-8</v>
      </c>
      <c r="U38" s="79">
        <v>1E-8</v>
      </c>
      <c r="V38" s="79">
        <v>1E-8</v>
      </c>
      <c r="W38" s="79">
        <v>1E-8</v>
      </c>
      <c r="X38" s="79">
        <v>1E-8</v>
      </c>
      <c r="Y38" s="79">
        <v>1E-8</v>
      </c>
      <c r="Z38" s="79">
        <v>1E-8</v>
      </c>
      <c r="AA38" s="79">
        <v>1E-8</v>
      </c>
      <c r="AB38" s="4"/>
      <c r="AC38" s="36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x14ac:dyDescent="0.35">
      <c r="A39" s="5" t="s">
        <v>498</v>
      </c>
      <c r="B39" s="19" t="s">
        <v>490</v>
      </c>
      <c r="C39" s="20">
        <v>5.9176346098634891</v>
      </c>
      <c r="D39" s="21">
        <v>-1.8100861895686493</v>
      </c>
      <c r="E39" s="20">
        <v>-1.7911851541349222</v>
      </c>
      <c r="F39" s="20">
        <v>-5.1260424473257622</v>
      </c>
      <c r="G39" s="20">
        <v>-2.0602886366041684</v>
      </c>
      <c r="H39" s="20">
        <v>-0.78981394339545652</v>
      </c>
      <c r="I39" s="20"/>
      <c r="J39" s="20"/>
      <c r="K39" s="20"/>
      <c r="L39" s="20"/>
      <c r="M39" s="4"/>
      <c r="N39" s="36"/>
      <c r="O39" s="4"/>
      <c r="P39" s="9" t="s">
        <v>619</v>
      </c>
      <c r="Q39" s="116" t="s">
        <v>314</v>
      </c>
      <c r="R39" s="79">
        <v>1.4215650317560283E-4</v>
      </c>
      <c r="S39" s="80">
        <v>-3.422430112624919</v>
      </c>
      <c r="T39" s="79">
        <v>1E-8</v>
      </c>
      <c r="U39" s="79">
        <v>1E-8</v>
      </c>
      <c r="V39" s="79">
        <v>1E-8</v>
      </c>
      <c r="W39" s="79">
        <v>1E-8</v>
      </c>
      <c r="X39" s="79">
        <v>1E-8</v>
      </c>
      <c r="Y39" s="79">
        <v>1E-8</v>
      </c>
      <c r="Z39" s="79">
        <v>1E-8</v>
      </c>
      <c r="AA39" s="79">
        <v>1E-8</v>
      </c>
      <c r="AB39" s="4"/>
      <c r="AC39" s="36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x14ac:dyDescent="0.35">
      <c r="A40" s="44" t="s">
        <v>499</v>
      </c>
      <c r="B40" s="45" t="s">
        <v>491</v>
      </c>
      <c r="C40" s="46">
        <v>0.31294021788542714</v>
      </c>
      <c r="D40" s="23">
        <v>-1.9276109228880234</v>
      </c>
      <c r="E40" s="46">
        <v>-1.3166001352893697</v>
      </c>
      <c r="F40" s="46">
        <v>-0.32620595733057201</v>
      </c>
      <c r="G40" s="46">
        <v>-0.17906719570326413</v>
      </c>
      <c r="H40" s="46">
        <v>-0.61125073376262495</v>
      </c>
      <c r="I40" s="46"/>
      <c r="J40" s="46"/>
      <c r="K40" s="46"/>
      <c r="L40" s="46"/>
      <c r="M40" s="44"/>
      <c r="N40" s="36"/>
      <c r="O40" s="4"/>
      <c r="P40" s="9" t="s">
        <v>620</v>
      </c>
      <c r="Q40" s="116" t="s">
        <v>317</v>
      </c>
      <c r="R40" s="79">
        <v>7.7179743911653484E-5</v>
      </c>
      <c r="S40" s="80">
        <v>-0.15665055201455891</v>
      </c>
      <c r="T40" s="79">
        <v>1E-8</v>
      </c>
      <c r="U40" s="79">
        <v>1E-8</v>
      </c>
      <c r="V40" s="79">
        <v>1E-8</v>
      </c>
      <c r="W40" s="79">
        <v>1E-8</v>
      </c>
      <c r="X40" s="79">
        <v>1E-8</v>
      </c>
      <c r="Y40" s="79">
        <v>1E-8</v>
      </c>
      <c r="Z40" s="79">
        <v>1E-8</v>
      </c>
      <c r="AA40" s="79">
        <v>1E-8</v>
      </c>
      <c r="AB40" s="4"/>
      <c r="AC40" s="36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35">
      <c r="A41" s="44" t="s">
        <v>500</v>
      </c>
      <c r="B41" s="45" t="s">
        <v>492</v>
      </c>
      <c r="C41" s="46">
        <v>0.5095511480263597</v>
      </c>
      <c r="D41" s="23">
        <v>-1.91309289206818</v>
      </c>
      <c r="E41" s="46">
        <v>-1.429318892864917</v>
      </c>
      <c r="F41" s="46">
        <v>-0.80601941539811817</v>
      </c>
      <c r="G41" s="46">
        <v>-0.32726574377737183</v>
      </c>
      <c r="H41" s="46">
        <v>-0.67751314755233327</v>
      </c>
      <c r="I41" s="46"/>
      <c r="J41" s="46"/>
      <c r="K41" s="46"/>
      <c r="L41" s="46"/>
      <c r="M41" s="44"/>
      <c r="N41" s="36"/>
      <c r="O41" s="4"/>
      <c r="P41" s="9" t="s">
        <v>621</v>
      </c>
      <c r="Q41" s="116" t="s">
        <v>313</v>
      </c>
      <c r="R41" s="79">
        <v>3.2245376687252553E-2</v>
      </c>
      <c r="S41" s="80">
        <v>0.10281389121218343</v>
      </c>
      <c r="T41" s="79">
        <v>1E-8</v>
      </c>
      <c r="U41" s="79">
        <v>1E-8</v>
      </c>
      <c r="V41" s="79">
        <v>1E-8</v>
      </c>
      <c r="W41" s="79">
        <v>1E-8</v>
      </c>
      <c r="X41" s="79">
        <v>1E-8</v>
      </c>
      <c r="Y41" s="79">
        <v>1E-8</v>
      </c>
      <c r="Z41" s="79">
        <v>1E-8</v>
      </c>
      <c r="AA41" s="79">
        <v>1E-8</v>
      </c>
      <c r="AB41" s="4"/>
      <c r="AC41" s="36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35">
      <c r="A42" s="44" t="s">
        <v>501</v>
      </c>
      <c r="B42" s="45" t="s">
        <v>493</v>
      </c>
      <c r="C42" s="46">
        <v>0.71784589341306837</v>
      </c>
      <c r="D42" s="23">
        <v>-2.0117870579641095</v>
      </c>
      <c r="E42" s="46">
        <v>-1.7017391029319207</v>
      </c>
      <c r="F42" s="46">
        <v>-1.4363654614202193</v>
      </c>
      <c r="G42" s="46">
        <v>-0.57323979686321191</v>
      </c>
      <c r="H42" s="46">
        <v>-0.84912369200853544</v>
      </c>
      <c r="I42" s="46"/>
      <c r="J42" s="46"/>
      <c r="K42" s="46"/>
      <c r="L42" s="46"/>
      <c r="M42" s="44"/>
      <c r="N42" s="36"/>
      <c r="O42" s="4"/>
      <c r="P42" s="9" t="s">
        <v>622</v>
      </c>
      <c r="Q42" s="116" t="s">
        <v>315</v>
      </c>
      <c r="R42" s="79">
        <v>3.8896276434892602E-3</v>
      </c>
      <c r="S42" s="80">
        <v>-1.0903289139089334</v>
      </c>
      <c r="T42" s="79">
        <v>1E-8</v>
      </c>
      <c r="U42" s="79">
        <v>1E-8</v>
      </c>
      <c r="V42" s="79">
        <v>1E-8</v>
      </c>
      <c r="W42" s="79">
        <v>1E-8</v>
      </c>
      <c r="X42" s="79">
        <v>1E-8</v>
      </c>
      <c r="Y42" s="79">
        <v>1E-8</v>
      </c>
      <c r="Z42" s="79">
        <v>1E-8</v>
      </c>
      <c r="AA42" s="79">
        <v>1E-8</v>
      </c>
      <c r="AB42" s="4"/>
      <c r="AC42" s="36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x14ac:dyDescent="0.35">
      <c r="A43" s="44" t="s">
        <v>502</v>
      </c>
      <c r="B43" s="45" t="s">
        <v>494</v>
      </c>
      <c r="C43" s="46">
        <v>1.0693445029546023</v>
      </c>
      <c r="D43" s="23">
        <v>-1.9327297092315732</v>
      </c>
      <c r="E43" s="46">
        <v>-1.860354649813023</v>
      </c>
      <c r="F43" s="46">
        <v>-3.1410613994752312</v>
      </c>
      <c r="G43" s="46">
        <v>-1.2330224820490843</v>
      </c>
      <c r="H43" s="46">
        <v>-0.90165051392240292</v>
      </c>
      <c r="I43" s="46"/>
      <c r="J43" s="46"/>
      <c r="K43" s="46"/>
      <c r="L43" s="46"/>
      <c r="M43" s="44"/>
      <c r="N43" s="36"/>
      <c r="O43" s="4"/>
      <c r="P43" s="9" t="s">
        <v>623</v>
      </c>
      <c r="Q43" s="116" t="s">
        <v>540</v>
      </c>
      <c r="R43" s="79">
        <v>1.3937173098021371E-3</v>
      </c>
      <c r="S43" s="80">
        <v>-3.8130736846297086</v>
      </c>
      <c r="T43" s="79">
        <v>1E-8</v>
      </c>
      <c r="U43" s="79">
        <v>1E-8</v>
      </c>
      <c r="V43" s="79">
        <v>1E-8</v>
      </c>
      <c r="W43" s="79">
        <v>1E-8</v>
      </c>
      <c r="X43" s="79">
        <v>1E-8</v>
      </c>
      <c r="Y43" s="79">
        <v>1E-8</v>
      </c>
      <c r="Z43" s="79">
        <v>1E-8</v>
      </c>
      <c r="AA43" s="79">
        <v>1E-8</v>
      </c>
      <c r="AB43" s="4"/>
      <c r="AC43" s="36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x14ac:dyDescent="0.35">
      <c r="A44" s="27" t="s">
        <v>503</v>
      </c>
      <c r="B44" s="31" t="s">
        <v>495</v>
      </c>
      <c r="C44" s="28">
        <v>3.3079528475840299</v>
      </c>
      <c r="D44" s="51">
        <v>-1.6996844608735184</v>
      </c>
      <c r="E44" s="28">
        <v>-1.8888735383158273</v>
      </c>
      <c r="F44" s="28">
        <v>-7.6879237700727021</v>
      </c>
      <c r="G44" s="28">
        <v>-3.0953330364871356</v>
      </c>
      <c r="H44" s="28">
        <v>-0.77498166660974199</v>
      </c>
      <c r="I44" s="28"/>
      <c r="J44" s="28"/>
      <c r="K44" s="28"/>
      <c r="L44" s="28"/>
      <c r="M44" s="27"/>
      <c r="N44" s="36"/>
      <c r="O44" s="4"/>
      <c r="P44" s="9" t="s">
        <v>624</v>
      </c>
      <c r="Q44" s="109" t="s">
        <v>541</v>
      </c>
      <c r="R44" s="81">
        <v>1E-8</v>
      </c>
      <c r="S44" s="82">
        <v>1E-8</v>
      </c>
      <c r="T44" s="81">
        <v>1E-8</v>
      </c>
      <c r="U44" s="81">
        <v>1E-8</v>
      </c>
      <c r="V44" s="81">
        <v>1E-8</v>
      </c>
      <c r="W44" s="81">
        <v>1E-8</v>
      </c>
      <c r="X44" s="81">
        <v>1E-8</v>
      </c>
      <c r="Y44" s="81">
        <v>1E-8</v>
      </c>
      <c r="Z44" s="81">
        <v>1E-8</v>
      </c>
      <c r="AA44" s="81">
        <v>1E-8</v>
      </c>
      <c r="AB44" s="4"/>
      <c r="AC44" s="36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x14ac:dyDescent="0.35">
      <c r="A45" s="47" t="s">
        <v>504</v>
      </c>
      <c r="B45" s="48" t="s">
        <v>496</v>
      </c>
      <c r="C45" s="49">
        <v>3.2860326413466892</v>
      </c>
      <c r="D45" s="21">
        <v>-1.7964031221640364</v>
      </c>
      <c r="E45" s="49">
        <v>-1.7937818458512167</v>
      </c>
      <c r="F45" s="49">
        <v>-2.2089955354989033</v>
      </c>
      <c r="G45" s="49">
        <v>-0.75557519269032758</v>
      </c>
      <c r="H45" s="49">
        <v>-0.83272211103125882</v>
      </c>
      <c r="I45" s="49"/>
      <c r="J45" s="49"/>
      <c r="K45" s="49"/>
      <c r="L45" s="49"/>
      <c r="M45" s="44"/>
      <c r="N45" s="36"/>
      <c r="O45" s="4"/>
      <c r="P45" s="11" t="s">
        <v>281</v>
      </c>
      <c r="Q45" s="115" t="s">
        <v>318</v>
      </c>
      <c r="R45" s="77">
        <v>0.38872836428848573</v>
      </c>
      <c r="S45" s="78">
        <v>-0.12115306213227317</v>
      </c>
      <c r="T45" s="77">
        <v>1E-8</v>
      </c>
      <c r="U45" s="77">
        <v>1E-8</v>
      </c>
      <c r="V45" s="77">
        <v>1E-8</v>
      </c>
      <c r="W45" s="77">
        <v>1E-8</v>
      </c>
      <c r="X45" s="77">
        <v>1E-8</v>
      </c>
      <c r="Y45" s="77">
        <v>1E-8</v>
      </c>
      <c r="Z45" s="77">
        <v>1E-8</v>
      </c>
      <c r="AA45" s="77">
        <v>1E-8</v>
      </c>
      <c r="AB45" s="4"/>
      <c r="AC45" s="36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x14ac:dyDescent="0.35">
      <c r="A46" s="44" t="s">
        <v>499</v>
      </c>
      <c r="B46" s="45" t="s">
        <v>497</v>
      </c>
      <c r="C46" s="46">
        <v>0.27378860697924351</v>
      </c>
      <c r="D46" s="23">
        <v>-1.7689844528620435</v>
      </c>
      <c r="E46" s="46">
        <v>-1.2669146672136589</v>
      </c>
      <c r="F46" s="46">
        <v>0.32482199227277242</v>
      </c>
      <c r="G46" s="46">
        <v>0.22023435407274583</v>
      </c>
      <c r="H46" s="46">
        <v>-0.57508301829672925</v>
      </c>
      <c r="I46" s="46"/>
      <c r="J46" s="46"/>
      <c r="K46" s="46"/>
      <c r="L46" s="46"/>
      <c r="M46" s="44"/>
      <c r="N46" s="36"/>
      <c r="O46" s="4"/>
      <c r="P46" s="11" t="s">
        <v>135</v>
      </c>
      <c r="Q46" s="115" t="s">
        <v>542</v>
      </c>
      <c r="R46" s="77">
        <v>0.35703232151304842</v>
      </c>
      <c r="S46" s="78">
        <v>-0.11860915697652352</v>
      </c>
      <c r="T46" s="77">
        <v>1E-8</v>
      </c>
      <c r="U46" s="77">
        <v>1E-8</v>
      </c>
      <c r="V46" s="77">
        <v>1E-8</v>
      </c>
      <c r="W46" s="77">
        <v>1E-8</v>
      </c>
      <c r="X46" s="77">
        <v>1E-8</v>
      </c>
      <c r="Y46" s="77">
        <v>1E-8</v>
      </c>
      <c r="Z46" s="77">
        <v>1E-8</v>
      </c>
      <c r="AA46" s="77">
        <v>1E-8</v>
      </c>
      <c r="AB46" s="4"/>
      <c r="AC46" s="36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x14ac:dyDescent="0.35">
      <c r="A47" s="44" t="s">
        <v>500</v>
      </c>
      <c r="B47" s="45" t="s">
        <v>509</v>
      </c>
      <c r="C47" s="46">
        <v>0.45340468903628117</v>
      </c>
      <c r="D47" s="23">
        <v>-1.7812547744110119</v>
      </c>
      <c r="E47" s="46">
        <v>-1.3679508699847354</v>
      </c>
      <c r="F47" s="46">
        <v>-0.19431020559081968</v>
      </c>
      <c r="G47" s="46">
        <v>2.7775854465383887E-2</v>
      </c>
      <c r="H47" s="46">
        <v>-0.63925690801114321</v>
      </c>
      <c r="I47" s="46"/>
      <c r="J47" s="46"/>
      <c r="K47" s="46"/>
      <c r="L47" s="46"/>
      <c r="M47" s="44"/>
      <c r="N47" s="36"/>
      <c r="O47" s="4"/>
      <c r="P47" s="9" t="s">
        <v>625</v>
      </c>
      <c r="Q47" s="116" t="s">
        <v>543</v>
      </c>
      <c r="R47" s="79">
        <v>0.30289779070485812</v>
      </c>
      <c r="S47" s="80">
        <v>-8.1717953386406528E-2</v>
      </c>
      <c r="T47" s="79">
        <v>1E-8</v>
      </c>
      <c r="U47" s="79">
        <v>1E-8</v>
      </c>
      <c r="V47" s="79">
        <v>1E-8</v>
      </c>
      <c r="W47" s="79">
        <v>1E-8</v>
      </c>
      <c r="X47" s="79">
        <v>1E-8</v>
      </c>
      <c r="Y47" s="79">
        <v>1E-8</v>
      </c>
      <c r="Z47" s="79">
        <v>1E-8</v>
      </c>
      <c r="AA47" s="79">
        <v>1E-8</v>
      </c>
      <c r="AB47" s="4"/>
      <c r="AC47" s="36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x14ac:dyDescent="0.35">
      <c r="A48" s="44" t="s">
        <v>501</v>
      </c>
      <c r="B48" s="45" t="s">
        <v>510</v>
      </c>
      <c r="C48" s="46">
        <v>0.62177453050816656</v>
      </c>
      <c r="D48" s="23">
        <v>-1.8845654734920725</v>
      </c>
      <c r="E48" s="46">
        <v>-1.6612585157535054</v>
      </c>
      <c r="F48" s="46">
        <v>-0.64197777216696839</v>
      </c>
      <c r="G48" s="46">
        <v>-0.14022751825730762</v>
      </c>
      <c r="H48" s="46">
        <v>-0.82567561406986512</v>
      </c>
      <c r="I48" s="46"/>
      <c r="J48" s="46"/>
      <c r="K48" s="46"/>
      <c r="L48" s="46"/>
      <c r="M48" s="44"/>
      <c r="N48" s="36"/>
      <c r="O48" s="4"/>
      <c r="P48" s="9" t="s">
        <v>626</v>
      </c>
      <c r="Q48" s="116" t="s">
        <v>544</v>
      </c>
      <c r="R48" s="79">
        <v>5.4134530808190376E-2</v>
      </c>
      <c r="S48" s="80">
        <v>-0.32502572505367366</v>
      </c>
      <c r="T48" s="79">
        <v>1E-8</v>
      </c>
      <c r="U48" s="79">
        <v>1E-8</v>
      </c>
      <c r="V48" s="79">
        <v>1E-8</v>
      </c>
      <c r="W48" s="79">
        <v>1E-8</v>
      </c>
      <c r="X48" s="79">
        <v>1E-8</v>
      </c>
      <c r="Y48" s="79">
        <v>1E-8</v>
      </c>
      <c r="Z48" s="79">
        <v>1E-8</v>
      </c>
      <c r="AA48" s="79">
        <v>1E-8</v>
      </c>
      <c r="AB48" s="4"/>
      <c r="AC48" s="36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x14ac:dyDescent="0.35">
      <c r="A49" s="44" t="s">
        <v>502</v>
      </c>
      <c r="B49" s="45" t="s">
        <v>511</v>
      </c>
      <c r="C49" s="46">
        <v>0.85144649392524907</v>
      </c>
      <c r="D49" s="23">
        <v>-1.8305792056951486</v>
      </c>
      <c r="E49" s="46">
        <v>-1.8332580265817744</v>
      </c>
      <c r="F49" s="46">
        <v>-2.0445457520427701</v>
      </c>
      <c r="G49" s="46">
        <v>-0.68109808225184088</v>
      </c>
      <c r="H49" s="46">
        <v>-0.89753425426389866</v>
      </c>
      <c r="I49" s="46"/>
      <c r="J49" s="46"/>
      <c r="K49" s="46"/>
      <c r="L49" s="46"/>
      <c r="M49" s="44"/>
      <c r="N49" s="36"/>
      <c r="O49" s="4"/>
      <c r="P49" s="9" t="s">
        <v>627</v>
      </c>
      <c r="Q49" s="116" t="s">
        <v>319</v>
      </c>
      <c r="R49" s="79">
        <v>1E-8</v>
      </c>
      <c r="S49" s="80">
        <v>1E-8</v>
      </c>
      <c r="T49" s="79">
        <v>1E-8</v>
      </c>
      <c r="U49" s="79">
        <v>1E-8</v>
      </c>
      <c r="V49" s="79">
        <v>1E-8</v>
      </c>
      <c r="W49" s="79">
        <v>1E-8</v>
      </c>
      <c r="X49" s="79">
        <v>1E-8</v>
      </c>
      <c r="Y49" s="79">
        <v>1E-8</v>
      </c>
      <c r="Z49" s="79">
        <v>1E-8</v>
      </c>
      <c r="AA49" s="79">
        <v>1E-8</v>
      </c>
      <c r="AB49" s="4"/>
      <c r="AC49" s="36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x14ac:dyDescent="0.35">
      <c r="A50" s="27" t="s">
        <v>503</v>
      </c>
      <c r="B50" s="31" t="s">
        <v>512</v>
      </c>
      <c r="C50" s="28">
        <v>1.0856183208977501</v>
      </c>
      <c r="D50" s="51">
        <v>-1.7323465761483248</v>
      </c>
      <c r="E50" s="28">
        <v>-2.1494425420099494</v>
      </c>
      <c r="F50" s="28">
        <v>-4.7159079742782328</v>
      </c>
      <c r="G50" s="28">
        <v>-1.7396792187483245</v>
      </c>
      <c r="H50" s="28">
        <v>-0.93170159274233999</v>
      </c>
      <c r="I50" s="28"/>
      <c r="J50" s="28"/>
      <c r="K50" s="28"/>
      <c r="L50" s="28"/>
      <c r="M50" s="27"/>
      <c r="N50" s="36"/>
      <c r="O50" s="4"/>
      <c r="P50" s="71" t="s">
        <v>628</v>
      </c>
      <c r="Q50" s="110" t="s">
        <v>320</v>
      </c>
      <c r="R50" s="83">
        <v>3.1696042775437368E-2</v>
      </c>
      <c r="S50" s="84">
        <v>-0.1498082595622563</v>
      </c>
      <c r="T50" s="83">
        <v>1E-8</v>
      </c>
      <c r="U50" s="83">
        <v>1E-8</v>
      </c>
      <c r="V50" s="83">
        <v>1E-8</v>
      </c>
      <c r="W50" s="83">
        <v>1E-8</v>
      </c>
      <c r="X50" s="83">
        <v>1E-8</v>
      </c>
      <c r="Y50" s="83">
        <v>1E-8</v>
      </c>
      <c r="Z50" s="83">
        <v>1E-8</v>
      </c>
      <c r="AA50" s="83">
        <v>1E-8</v>
      </c>
      <c r="AB50" s="4"/>
      <c r="AC50" s="36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x14ac:dyDescent="0.35">
      <c r="A51" s="47" t="s">
        <v>505</v>
      </c>
      <c r="B51" s="48" t="s">
        <v>513</v>
      </c>
      <c r="C51" s="49">
        <v>2.6316019685167982</v>
      </c>
      <c r="D51" s="21">
        <v>-1.8271719824289767</v>
      </c>
      <c r="E51" s="49">
        <v>-1.7879427132789338</v>
      </c>
      <c r="F51" s="49">
        <v>-8.7685049030004727</v>
      </c>
      <c r="G51" s="49">
        <v>-3.6894601509882996</v>
      </c>
      <c r="H51" s="49">
        <v>-0.73623530911905988</v>
      </c>
      <c r="I51" s="49"/>
      <c r="J51" s="49"/>
      <c r="K51" s="49"/>
      <c r="L51" s="49"/>
      <c r="M51" s="44"/>
      <c r="N51" s="36"/>
      <c r="O51" s="4"/>
      <c r="P51" s="10" t="s">
        <v>282</v>
      </c>
      <c r="Q51" s="114" t="s">
        <v>321</v>
      </c>
      <c r="R51" s="73">
        <v>4.3201871988787079</v>
      </c>
      <c r="S51" s="74">
        <v>-2.0374713042897508</v>
      </c>
      <c r="T51" s="73">
        <v>1E-8</v>
      </c>
      <c r="U51" s="73">
        <v>1E-8</v>
      </c>
      <c r="V51" s="73">
        <v>1E-8</v>
      </c>
      <c r="W51" s="73">
        <v>1E-8</v>
      </c>
      <c r="X51" s="73">
        <v>1E-8</v>
      </c>
      <c r="Y51" s="73">
        <v>1E-8</v>
      </c>
      <c r="Z51" s="73">
        <v>1E-8</v>
      </c>
      <c r="AA51" s="73">
        <v>1E-8</v>
      </c>
      <c r="AB51" s="4"/>
      <c r="AC51" s="36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x14ac:dyDescent="0.35">
      <c r="A52" s="44" t="s">
        <v>499</v>
      </c>
      <c r="B52" s="45" t="s">
        <v>514</v>
      </c>
      <c r="C52" s="46">
        <v>3.9151610906183534E-2</v>
      </c>
      <c r="D52" s="23">
        <v>-3.0368914672447511</v>
      </c>
      <c r="E52" s="46">
        <v>-1.6640523799529516</v>
      </c>
      <c r="F52" s="46">
        <v>-4.8788675541560744</v>
      </c>
      <c r="G52" s="46">
        <v>-2.9713971291961516</v>
      </c>
      <c r="H52" s="46">
        <v>-0.86417285384448039</v>
      </c>
      <c r="I52" s="46"/>
      <c r="J52" s="46"/>
      <c r="K52" s="46"/>
      <c r="L52" s="46"/>
      <c r="M52" s="44"/>
      <c r="N52" s="36"/>
      <c r="O52" s="4"/>
      <c r="P52" s="10" t="s">
        <v>283</v>
      </c>
      <c r="Q52" s="114" t="s">
        <v>322</v>
      </c>
      <c r="R52" s="73">
        <v>1.9934535295963729</v>
      </c>
      <c r="S52" s="74">
        <v>-3.9459800828647196</v>
      </c>
      <c r="T52" s="73">
        <v>1E-8</v>
      </c>
      <c r="U52" s="73">
        <v>1E-8</v>
      </c>
      <c r="V52" s="73">
        <v>1E-8</v>
      </c>
      <c r="W52" s="73">
        <v>1E-8</v>
      </c>
      <c r="X52" s="73">
        <v>1E-8</v>
      </c>
      <c r="Y52" s="73">
        <v>1E-8</v>
      </c>
      <c r="Z52" s="73">
        <v>1E-8</v>
      </c>
      <c r="AA52" s="73">
        <v>1E-8</v>
      </c>
      <c r="AB52" s="4"/>
      <c r="AC52" s="36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x14ac:dyDescent="0.35">
      <c r="A53" s="44" t="s">
        <v>500</v>
      </c>
      <c r="B53" s="45" t="s">
        <v>515</v>
      </c>
      <c r="C53" s="46">
        <v>5.6146458990078391E-2</v>
      </c>
      <c r="D53" s="23">
        <v>-2.977737427354088</v>
      </c>
      <c r="E53" s="46">
        <v>-1.9248897593313385</v>
      </c>
      <c r="F53" s="46">
        <v>-5.7458113282291663</v>
      </c>
      <c r="G53" s="46">
        <v>-3.1943659731011764</v>
      </c>
      <c r="H53" s="46">
        <v>-0.98644729415554577</v>
      </c>
      <c r="I53" s="46"/>
      <c r="J53" s="46"/>
      <c r="K53" s="46"/>
      <c r="L53" s="46"/>
      <c r="M53" s="44"/>
      <c r="N53" s="36"/>
      <c r="O53" s="4"/>
      <c r="P53" s="11" t="s">
        <v>284</v>
      </c>
      <c r="Q53" s="115" t="s">
        <v>323</v>
      </c>
      <c r="R53" s="77">
        <v>1E-8</v>
      </c>
      <c r="S53" s="78">
        <v>1E-8</v>
      </c>
      <c r="T53" s="77">
        <v>1E-8</v>
      </c>
      <c r="U53" s="77">
        <v>1E-8</v>
      </c>
      <c r="V53" s="77">
        <v>1E-8</v>
      </c>
      <c r="W53" s="77">
        <v>1E-8</v>
      </c>
      <c r="X53" s="77">
        <v>1E-8</v>
      </c>
      <c r="Y53" s="77">
        <v>1E-8</v>
      </c>
      <c r="Z53" s="77">
        <v>1E-8</v>
      </c>
      <c r="AA53" s="77">
        <v>1E-8</v>
      </c>
      <c r="AB53" s="4"/>
      <c r="AC53" s="36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x14ac:dyDescent="0.35">
      <c r="A54" s="44" t="s">
        <v>501</v>
      </c>
      <c r="B54" s="45" t="s">
        <v>516</v>
      </c>
      <c r="C54" s="46">
        <v>9.6071362904901841E-2</v>
      </c>
      <c r="D54" s="23">
        <v>-2.8351660396270684</v>
      </c>
      <c r="E54" s="46">
        <v>-1.9637297453721336</v>
      </c>
      <c r="F54" s="46">
        <v>-6.577648124557145</v>
      </c>
      <c r="G54" s="46">
        <v>-3.3756982828635818</v>
      </c>
      <c r="H54" s="46">
        <v>-1.0008798159021226</v>
      </c>
      <c r="I54" s="46"/>
      <c r="J54" s="46"/>
      <c r="K54" s="46"/>
      <c r="L54" s="46"/>
      <c r="M54" s="44"/>
      <c r="N54" s="36"/>
      <c r="O54" s="4"/>
      <c r="P54" s="9" t="s">
        <v>629</v>
      </c>
      <c r="Q54" s="116" t="s">
        <v>324</v>
      </c>
      <c r="R54" s="79">
        <v>1E-8</v>
      </c>
      <c r="S54" s="80">
        <v>1E-8</v>
      </c>
      <c r="T54" s="79">
        <v>1E-8</v>
      </c>
      <c r="U54" s="79">
        <v>1E-8</v>
      </c>
      <c r="V54" s="79">
        <v>1E-8</v>
      </c>
      <c r="W54" s="79">
        <v>1E-8</v>
      </c>
      <c r="X54" s="79">
        <v>1E-8</v>
      </c>
      <c r="Y54" s="79">
        <v>1E-8</v>
      </c>
      <c r="Z54" s="79">
        <v>1E-8</v>
      </c>
      <c r="AA54" s="79">
        <v>1E-8</v>
      </c>
      <c r="AB54" s="4"/>
      <c r="AC54" s="36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x14ac:dyDescent="0.35">
      <c r="A55" s="44" t="s">
        <v>502</v>
      </c>
      <c r="B55" s="45" t="s">
        <v>517</v>
      </c>
      <c r="C55" s="46">
        <v>0.21789800902935286</v>
      </c>
      <c r="D55" s="23">
        <v>-2.3318875008800699</v>
      </c>
      <c r="E55" s="46">
        <v>-1.9662359515753902</v>
      </c>
      <c r="F55" s="46">
        <v>-7.4257467332211835</v>
      </c>
      <c r="G55" s="46">
        <v>-3.3896924636268144</v>
      </c>
      <c r="H55" s="46">
        <v>-0.91773498789210484</v>
      </c>
      <c r="I55" s="46"/>
      <c r="J55" s="46"/>
      <c r="K55" s="46"/>
      <c r="L55" s="46"/>
      <c r="M55" s="44"/>
      <c r="N55" s="36"/>
      <c r="O55" s="4"/>
      <c r="P55" s="9" t="s">
        <v>630</v>
      </c>
      <c r="Q55" s="116" t="s">
        <v>545</v>
      </c>
      <c r="R55" s="79">
        <v>1E-8</v>
      </c>
      <c r="S55" s="80">
        <v>1E-8</v>
      </c>
      <c r="T55" s="79">
        <v>1E-8</v>
      </c>
      <c r="U55" s="79">
        <v>1E-8</v>
      </c>
      <c r="V55" s="79">
        <v>1E-8</v>
      </c>
      <c r="W55" s="79">
        <v>1E-8</v>
      </c>
      <c r="X55" s="79">
        <v>1E-8</v>
      </c>
      <c r="Y55" s="79">
        <v>1E-8</v>
      </c>
      <c r="Z55" s="79">
        <v>1E-8</v>
      </c>
      <c r="AA55" s="79">
        <v>1E-8</v>
      </c>
      <c r="AB55" s="4"/>
      <c r="AC55" s="36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x14ac:dyDescent="0.35">
      <c r="A56" s="27" t="s">
        <v>503</v>
      </c>
      <c r="B56" s="31" t="s">
        <v>518</v>
      </c>
      <c r="C56" s="28">
        <v>2.2223345266862808</v>
      </c>
      <c r="D56" s="51">
        <v>-1.6837289013860834</v>
      </c>
      <c r="E56" s="28">
        <v>-1.7615846531945478</v>
      </c>
      <c r="F56" s="28">
        <v>-9.1397640574676924</v>
      </c>
      <c r="G56" s="28">
        <v>-3.757574748371495</v>
      </c>
      <c r="H56" s="28">
        <v>-0.69842342525769929</v>
      </c>
      <c r="I56" s="28"/>
      <c r="J56" s="28"/>
      <c r="K56" s="28"/>
      <c r="L56" s="28"/>
      <c r="M56" s="27"/>
      <c r="N56" s="36"/>
      <c r="O56" s="4"/>
      <c r="P56" s="9" t="s">
        <v>631</v>
      </c>
      <c r="Q56" s="109" t="s">
        <v>325</v>
      </c>
      <c r="R56" s="81">
        <v>1E-8</v>
      </c>
      <c r="S56" s="82">
        <v>1E-8</v>
      </c>
      <c r="T56" s="81">
        <v>1E-8</v>
      </c>
      <c r="U56" s="81">
        <v>1E-8</v>
      </c>
      <c r="V56" s="81">
        <v>1E-8</v>
      </c>
      <c r="W56" s="81">
        <v>1E-8</v>
      </c>
      <c r="X56" s="81">
        <v>1E-8</v>
      </c>
      <c r="Y56" s="81">
        <v>1E-8</v>
      </c>
      <c r="Z56" s="81">
        <v>1E-8</v>
      </c>
      <c r="AA56" s="81">
        <v>1E-8</v>
      </c>
      <c r="AB56" s="4"/>
      <c r="AC56" s="36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x14ac:dyDescent="0.35">
      <c r="A57" s="47" t="s">
        <v>734</v>
      </c>
      <c r="B57" s="48" t="s">
        <v>521</v>
      </c>
      <c r="C57" s="49">
        <v>1.8977951915274749</v>
      </c>
      <c r="D57" s="21">
        <v>-1.7101953343937382</v>
      </c>
      <c r="E57" s="49">
        <v>-1.6584498942885273</v>
      </c>
      <c r="F57" s="49">
        <v>-9.0459393170174369</v>
      </c>
      <c r="G57" s="49">
        <v>-3.7664251370657098</v>
      </c>
      <c r="H57" s="49">
        <v>-0.65943544610805871</v>
      </c>
      <c r="I57" s="49"/>
      <c r="J57" s="49"/>
      <c r="K57" s="49"/>
      <c r="L57" s="49"/>
      <c r="M57" s="44"/>
      <c r="N57" s="36"/>
      <c r="O57" s="4"/>
      <c r="P57" s="11" t="s">
        <v>285</v>
      </c>
      <c r="Q57" s="115" t="s">
        <v>326</v>
      </c>
      <c r="R57" s="77">
        <v>1.8839696690203216</v>
      </c>
      <c r="S57" s="78">
        <v>-4.1086977014435311</v>
      </c>
      <c r="T57" s="77">
        <v>1E-8</v>
      </c>
      <c r="U57" s="77">
        <v>1E-8</v>
      </c>
      <c r="V57" s="77">
        <v>1E-8</v>
      </c>
      <c r="W57" s="77">
        <v>1E-8</v>
      </c>
      <c r="X57" s="77">
        <v>1E-8</v>
      </c>
      <c r="Y57" s="77">
        <v>1E-8</v>
      </c>
      <c r="Z57" s="77">
        <v>1E-8</v>
      </c>
      <c r="AA57" s="77">
        <v>1E-8</v>
      </c>
      <c r="AB57" s="4"/>
      <c r="AC57" s="36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x14ac:dyDescent="0.35">
      <c r="A58" s="44" t="s">
        <v>499</v>
      </c>
      <c r="B58" s="45" t="s">
        <v>522</v>
      </c>
      <c r="C58" s="46">
        <v>1.9235811817788606E-2</v>
      </c>
      <c r="D58" s="23">
        <v>-3.1207623338801449</v>
      </c>
      <c r="E58" s="46">
        <v>-1.7152962362374735</v>
      </c>
      <c r="F58" s="46">
        <v>-5.7713919338121418</v>
      </c>
      <c r="G58" s="46">
        <v>-3.1813168289855476</v>
      </c>
      <c r="H58" s="46">
        <v>-0.86386051751587978</v>
      </c>
      <c r="I58" s="46"/>
      <c r="J58" s="46"/>
      <c r="K58" s="46"/>
      <c r="L58" s="46"/>
      <c r="M58" s="44"/>
      <c r="N58" s="36"/>
      <c r="O58" s="4"/>
      <c r="P58" s="9" t="s">
        <v>364</v>
      </c>
      <c r="Q58" s="116" t="s">
        <v>327</v>
      </c>
      <c r="R58" s="79">
        <v>0.74739217843187444</v>
      </c>
      <c r="S58" s="80">
        <v>-2.9963361162955171</v>
      </c>
      <c r="T58" s="79">
        <v>1E-8</v>
      </c>
      <c r="U58" s="79">
        <v>1E-8</v>
      </c>
      <c r="V58" s="79">
        <v>1E-8</v>
      </c>
      <c r="W58" s="79">
        <v>1E-8</v>
      </c>
      <c r="X58" s="79">
        <v>1E-8</v>
      </c>
      <c r="Y58" s="79">
        <v>1E-8</v>
      </c>
      <c r="Z58" s="79">
        <v>1E-8</v>
      </c>
      <c r="AA58" s="79">
        <v>1E-8</v>
      </c>
      <c r="AB58" s="4"/>
      <c r="AC58" s="36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x14ac:dyDescent="0.35">
      <c r="A59" s="44" t="s">
        <v>500</v>
      </c>
      <c r="B59" s="45" t="s">
        <v>523</v>
      </c>
      <c r="C59" s="46">
        <v>2.9105304910952087E-2</v>
      </c>
      <c r="D59" s="23">
        <v>-2.8287358038242894</v>
      </c>
      <c r="E59" s="46">
        <v>-1.7956852899971176</v>
      </c>
      <c r="F59" s="46">
        <v>-5.8327343375937701</v>
      </c>
      <c r="G59" s="46">
        <v>-3.0658187985722063</v>
      </c>
      <c r="H59" s="46">
        <v>-0.9109892379836726</v>
      </c>
      <c r="I59" s="46"/>
      <c r="J59" s="46"/>
      <c r="K59" s="46"/>
      <c r="L59" s="46"/>
      <c r="M59" s="44"/>
      <c r="N59" s="36"/>
      <c r="O59" s="4"/>
      <c r="P59" s="70" t="s">
        <v>632</v>
      </c>
      <c r="Q59" s="117" t="s">
        <v>328</v>
      </c>
      <c r="R59" s="85">
        <v>7.7233987327545897E-2</v>
      </c>
      <c r="S59" s="86">
        <v>0.21530011347152822</v>
      </c>
      <c r="T59" s="85">
        <v>1E-8</v>
      </c>
      <c r="U59" s="85">
        <v>1E-8</v>
      </c>
      <c r="V59" s="85">
        <v>1E-8</v>
      </c>
      <c r="W59" s="85">
        <v>1E-8</v>
      </c>
      <c r="X59" s="85">
        <v>1E-8</v>
      </c>
      <c r="Y59" s="85">
        <v>1E-8</v>
      </c>
      <c r="Z59" s="85">
        <v>1E-8</v>
      </c>
      <c r="AA59" s="85">
        <v>1E-8</v>
      </c>
      <c r="AB59" s="4"/>
      <c r="AC59" s="36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x14ac:dyDescent="0.35">
      <c r="A60" s="44" t="s">
        <v>501</v>
      </c>
      <c r="B60" s="45" t="s">
        <v>524</v>
      </c>
      <c r="C60" s="46">
        <v>4.9869432130978469E-2</v>
      </c>
      <c r="D60" s="23">
        <v>-2.6960507136578937</v>
      </c>
      <c r="E60" s="46">
        <v>-1.9369932694877967</v>
      </c>
      <c r="F60" s="46">
        <v>-7.2524826584622453</v>
      </c>
      <c r="G60" s="46">
        <v>-3.3838023574977116</v>
      </c>
      <c r="H60" s="46">
        <v>-0.91549548252103374</v>
      </c>
      <c r="I60" s="46"/>
      <c r="J60" s="46"/>
      <c r="K60" s="46"/>
      <c r="L60" s="46"/>
      <c r="M60" s="44"/>
      <c r="N60" s="36"/>
      <c r="O60" s="4"/>
      <c r="P60" s="70" t="s">
        <v>633</v>
      </c>
      <c r="Q60" s="117" t="s">
        <v>329</v>
      </c>
      <c r="R60" s="85">
        <v>1.0474154196613315E-2</v>
      </c>
      <c r="S60" s="86">
        <v>-5.307908098908487</v>
      </c>
      <c r="T60" s="85">
        <v>1E-8</v>
      </c>
      <c r="U60" s="85">
        <v>1E-8</v>
      </c>
      <c r="V60" s="85">
        <v>1E-8</v>
      </c>
      <c r="W60" s="85">
        <v>1E-8</v>
      </c>
      <c r="X60" s="85">
        <v>1E-8</v>
      </c>
      <c r="Y60" s="85">
        <v>1E-8</v>
      </c>
      <c r="Z60" s="85">
        <v>1E-8</v>
      </c>
      <c r="AA60" s="85">
        <v>1E-8</v>
      </c>
      <c r="AB60" s="4"/>
      <c r="AC60" s="36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x14ac:dyDescent="0.35">
      <c r="A61" s="44" t="s">
        <v>502</v>
      </c>
      <c r="B61" s="45" t="s">
        <v>525</v>
      </c>
      <c r="C61" s="46">
        <v>0.13243831275548112</v>
      </c>
      <c r="D61" s="23">
        <v>-2.3114652365165744</v>
      </c>
      <c r="E61" s="46">
        <v>-1.8523675104349491</v>
      </c>
      <c r="F61" s="46">
        <v>-7.8498740043370097</v>
      </c>
      <c r="G61" s="46">
        <v>-3.4697983766164842</v>
      </c>
      <c r="H61" s="46">
        <v>-0.85882091192482912</v>
      </c>
      <c r="I61" s="46"/>
      <c r="J61" s="46"/>
      <c r="K61" s="46"/>
      <c r="L61" s="46"/>
      <c r="M61" s="44"/>
      <c r="N61" s="36"/>
      <c r="O61" s="4"/>
      <c r="P61" s="70" t="s">
        <v>634</v>
      </c>
      <c r="Q61" s="117" t="s">
        <v>331</v>
      </c>
      <c r="R61" s="85">
        <v>2.36738138773607E-2</v>
      </c>
      <c r="S61" s="86">
        <v>-2.4145612048560361</v>
      </c>
      <c r="T61" s="85">
        <v>1E-8</v>
      </c>
      <c r="U61" s="85">
        <v>1E-8</v>
      </c>
      <c r="V61" s="85">
        <v>1E-8</v>
      </c>
      <c r="W61" s="85">
        <v>1E-8</v>
      </c>
      <c r="X61" s="85">
        <v>1E-8</v>
      </c>
      <c r="Y61" s="85">
        <v>1E-8</v>
      </c>
      <c r="Z61" s="85">
        <v>1E-8</v>
      </c>
      <c r="AA61" s="85">
        <v>1E-8</v>
      </c>
      <c r="AB61" s="4"/>
      <c r="AC61" s="36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x14ac:dyDescent="0.35">
      <c r="A62" s="27" t="s">
        <v>503</v>
      </c>
      <c r="B62" s="31" t="s">
        <v>526</v>
      </c>
      <c r="C62" s="28">
        <v>1.6671463299122744</v>
      </c>
      <c r="D62" s="51">
        <v>-1.5971374229976742</v>
      </c>
      <c r="E62" s="28">
        <v>-1.6316611927734703</v>
      </c>
      <c r="F62" s="28">
        <v>-9.2884815688489937</v>
      </c>
      <c r="G62" s="28">
        <v>-3.8204169920133091</v>
      </c>
      <c r="H62" s="28">
        <v>-0.62918634655282357</v>
      </c>
      <c r="I62" s="28"/>
      <c r="J62" s="28"/>
      <c r="K62" s="28"/>
      <c r="L62" s="28"/>
      <c r="M62" s="27"/>
      <c r="N62" s="36"/>
      <c r="O62" s="4"/>
      <c r="P62" s="70" t="s">
        <v>635</v>
      </c>
      <c r="Q62" s="117" t="s">
        <v>332</v>
      </c>
      <c r="R62" s="85">
        <v>7.7950294016140856E-2</v>
      </c>
      <c r="S62" s="86">
        <v>-5.4647873689517734</v>
      </c>
      <c r="T62" s="85">
        <v>1E-8</v>
      </c>
      <c r="U62" s="85">
        <v>1E-8</v>
      </c>
      <c r="V62" s="85">
        <v>1E-8</v>
      </c>
      <c r="W62" s="85">
        <v>1E-8</v>
      </c>
      <c r="X62" s="85">
        <v>1E-8</v>
      </c>
      <c r="Y62" s="85">
        <v>1E-8</v>
      </c>
      <c r="Z62" s="85">
        <v>1E-8</v>
      </c>
      <c r="AA62" s="85">
        <v>1E-8</v>
      </c>
      <c r="AB62" s="4"/>
      <c r="AC62" s="36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x14ac:dyDescent="0.35">
      <c r="A63" s="47" t="s">
        <v>735</v>
      </c>
      <c r="B63" s="48" t="s">
        <v>527</v>
      </c>
      <c r="C63" s="49">
        <v>0.73380677698932195</v>
      </c>
      <c r="D63" s="21">
        <v>-2.1297008321527477</v>
      </c>
      <c r="E63" s="49">
        <v>-2.1228412954718112</v>
      </c>
      <c r="F63" s="49">
        <v>-8.0509949080043839</v>
      </c>
      <c r="G63" s="49">
        <v>-3.4904107757657954</v>
      </c>
      <c r="H63" s="49">
        <v>-0.93485763764290519</v>
      </c>
      <c r="I63" s="49"/>
      <c r="J63" s="49"/>
      <c r="K63" s="49"/>
      <c r="L63" s="49"/>
      <c r="M63" s="44"/>
      <c r="N63" s="36"/>
      <c r="O63" s="4"/>
      <c r="P63" s="70" t="s">
        <v>636</v>
      </c>
      <c r="Q63" s="117" t="s">
        <v>330</v>
      </c>
      <c r="R63" s="85">
        <v>1.3993080257083897E-2</v>
      </c>
      <c r="S63" s="86">
        <v>-4.6603091808578911</v>
      </c>
      <c r="T63" s="85">
        <v>1E-8</v>
      </c>
      <c r="U63" s="85">
        <v>1E-8</v>
      </c>
      <c r="V63" s="85">
        <v>1E-8</v>
      </c>
      <c r="W63" s="85">
        <v>1E-8</v>
      </c>
      <c r="X63" s="85">
        <v>1E-8</v>
      </c>
      <c r="Y63" s="85">
        <v>1E-8</v>
      </c>
      <c r="Z63" s="85">
        <v>1E-8</v>
      </c>
      <c r="AA63" s="85">
        <v>1E-8</v>
      </c>
      <c r="AB63" s="4"/>
      <c r="AC63" s="36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x14ac:dyDescent="0.35">
      <c r="A64" s="44" t="s">
        <v>499</v>
      </c>
      <c r="B64" s="45" t="s">
        <v>528</v>
      </c>
      <c r="C64" s="46">
        <v>1.9915799088394939E-2</v>
      </c>
      <c r="D64" s="23">
        <v>-2.9558842126309437</v>
      </c>
      <c r="E64" s="46">
        <v>-1.6145581481658233</v>
      </c>
      <c r="F64" s="46">
        <v>-4.0168167304029279</v>
      </c>
      <c r="G64" s="46">
        <v>-2.76864474029761</v>
      </c>
      <c r="H64" s="46">
        <v>-0.86447452604027086</v>
      </c>
      <c r="I64" s="46"/>
      <c r="J64" s="46"/>
      <c r="K64" s="46"/>
      <c r="L64" s="46"/>
      <c r="M64" s="44"/>
      <c r="N64" s="36"/>
      <c r="O64" s="4"/>
      <c r="P64" s="70" t="s">
        <v>637</v>
      </c>
      <c r="Q64" s="117" t="s">
        <v>333</v>
      </c>
      <c r="R64" s="85">
        <v>0.35294495509757356</v>
      </c>
      <c r="S64" s="86">
        <v>-2.6248749695438001</v>
      </c>
      <c r="T64" s="85">
        <v>1E-8</v>
      </c>
      <c r="U64" s="85">
        <v>1E-8</v>
      </c>
      <c r="V64" s="85">
        <v>1E-8</v>
      </c>
      <c r="W64" s="85">
        <v>1E-8</v>
      </c>
      <c r="X64" s="85">
        <v>1E-8</v>
      </c>
      <c r="Y64" s="85">
        <v>1E-8</v>
      </c>
      <c r="Z64" s="85">
        <v>1E-8</v>
      </c>
      <c r="AA64" s="85">
        <v>1E-8</v>
      </c>
      <c r="AB64" s="4"/>
      <c r="AC64" s="36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x14ac:dyDescent="0.35">
      <c r="A65" s="44" t="s">
        <v>500</v>
      </c>
      <c r="B65" s="45" t="s">
        <v>529</v>
      </c>
      <c r="C65" s="46">
        <v>2.7041154079126304E-2</v>
      </c>
      <c r="D65" s="23">
        <v>-3.1381128932966851</v>
      </c>
      <c r="E65" s="46">
        <v>-2.0639568814233678</v>
      </c>
      <c r="F65" s="46">
        <v>-5.6522531655881618</v>
      </c>
      <c r="G65" s="46">
        <v>-3.332725626655797</v>
      </c>
      <c r="H65" s="46">
        <v>-1.0676653415230941</v>
      </c>
      <c r="I65" s="46"/>
      <c r="J65" s="46"/>
      <c r="K65" s="46"/>
      <c r="L65" s="46"/>
      <c r="M65" s="44"/>
      <c r="N65" s="36"/>
      <c r="O65" s="4"/>
      <c r="P65" s="70" t="s">
        <v>638</v>
      </c>
      <c r="Q65" s="117" t="s">
        <v>546</v>
      </c>
      <c r="R65" s="85">
        <v>6.9958917678859936E-2</v>
      </c>
      <c r="S65" s="86">
        <v>-1.6380762394344939</v>
      </c>
      <c r="T65" s="85">
        <v>1E-8</v>
      </c>
      <c r="U65" s="85">
        <v>1E-8</v>
      </c>
      <c r="V65" s="85">
        <v>1E-8</v>
      </c>
      <c r="W65" s="85">
        <v>1E-8</v>
      </c>
      <c r="X65" s="85">
        <v>1E-8</v>
      </c>
      <c r="Y65" s="85">
        <v>1E-8</v>
      </c>
      <c r="Z65" s="85">
        <v>1E-8</v>
      </c>
      <c r="AA65" s="85">
        <v>1E-8</v>
      </c>
      <c r="AB65" s="4"/>
      <c r="AC65" s="36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x14ac:dyDescent="0.35">
      <c r="A66" s="44" t="s">
        <v>501</v>
      </c>
      <c r="B66" s="45" t="s">
        <v>530</v>
      </c>
      <c r="C66" s="46">
        <v>4.6201930773923372E-2</v>
      </c>
      <c r="D66" s="23">
        <v>-2.9853243163611043</v>
      </c>
      <c r="E66" s="46">
        <v>-1.9925885581360214</v>
      </c>
      <c r="F66" s="46">
        <v>-5.8492453408532263</v>
      </c>
      <c r="G66" s="46">
        <v>-3.3669509081720839</v>
      </c>
      <c r="H66" s="46">
        <v>-1.0930419430527638</v>
      </c>
      <c r="I66" s="46"/>
      <c r="J66" s="46"/>
      <c r="K66" s="46"/>
      <c r="L66" s="46"/>
      <c r="M66" s="44"/>
      <c r="N66" s="36"/>
      <c r="O66" s="4"/>
      <c r="P66" s="70" t="s">
        <v>639</v>
      </c>
      <c r="Q66" s="117" t="s">
        <v>335</v>
      </c>
      <c r="R66" s="85">
        <v>1E-8</v>
      </c>
      <c r="S66" s="86">
        <v>1E-8</v>
      </c>
      <c r="T66" s="85">
        <v>1E-8</v>
      </c>
      <c r="U66" s="85">
        <v>1E-8</v>
      </c>
      <c r="V66" s="85">
        <v>1E-8</v>
      </c>
      <c r="W66" s="85">
        <v>1E-8</v>
      </c>
      <c r="X66" s="85">
        <v>1E-8</v>
      </c>
      <c r="Y66" s="85">
        <v>1E-8</v>
      </c>
      <c r="Z66" s="85">
        <v>1E-8</v>
      </c>
      <c r="AA66" s="85">
        <v>1E-8</v>
      </c>
      <c r="AB66" s="4"/>
      <c r="AC66" s="36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x14ac:dyDescent="0.35">
      <c r="A67" s="44" t="s">
        <v>502</v>
      </c>
      <c r="B67" s="45" t="s">
        <v>531</v>
      </c>
      <c r="C67" s="46">
        <v>8.5459696273871788E-2</v>
      </c>
      <c r="D67" s="23">
        <v>-2.3635362236450019</v>
      </c>
      <c r="E67" s="46">
        <v>-2.1426997687696292</v>
      </c>
      <c r="F67" s="46">
        <v>-6.7684696467200434</v>
      </c>
      <c r="G67" s="46">
        <v>-3.2655509978756547</v>
      </c>
      <c r="H67" s="46">
        <v>-1.0090351113287377</v>
      </c>
      <c r="I67" s="46"/>
      <c r="J67" s="46"/>
      <c r="K67" s="46"/>
      <c r="L67" s="46"/>
      <c r="M67" s="44"/>
      <c r="N67" s="36"/>
      <c r="O67" s="4"/>
      <c r="P67" s="70" t="s">
        <v>640</v>
      </c>
      <c r="Q67" s="117" t="s">
        <v>334</v>
      </c>
      <c r="R67" s="85">
        <v>0.12116297598069584</v>
      </c>
      <c r="S67" s="86">
        <v>-5.0434603188649003</v>
      </c>
      <c r="T67" s="85">
        <v>1E-8</v>
      </c>
      <c r="U67" s="85">
        <v>1E-8</v>
      </c>
      <c r="V67" s="85">
        <v>1E-8</v>
      </c>
      <c r="W67" s="85">
        <v>1E-8</v>
      </c>
      <c r="X67" s="85">
        <v>1E-8</v>
      </c>
      <c r="Y67" s="85">
        <v>1E-8</v>
      </c>
      <c r="Z67" s="85">
        <v>1E-8</v>
      </c>
      <c r="AA67" s="85">
        <v>1E-8</v>
      </c>
      <c r="AB67" s="4"/>
      <c r="AC67" s="36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x14ac:dyDescent="0.35">
      <c r="A68" s="44" t="s">
        <v>503</v>
      </c>
      <c r="B68" s="45" t="s">
        <v>532</v>
      </c>
      <c r="C68" s="46">
        <v>0.55518819677400577</v>
      </c>
      <c r="D68" s="23">
        <v>-1.9437500369859806</v>
      </c>
      <c r="E68" s="46">
        <v>-2.1517251883663602</v>
      </c>
      <c r="F68" s="46">
        <v>-8.6931878248788568</v>
      </c>
      <c r="G68" s="46">
        <v>-3.5688689789409089</v>
      </c>
      <c r="H68" s="46">
        <v>-0.90633191885916009</v>
      </c>
      <c r="I68" s="46"/>
      <c r="J68" s="46"/>
      <c r="K68" s="46"/>
      <c r="L68" s="46"/>
      <c r="M68" s="44"/>
      <c r="N68" s="36"/>
      <c r="O68" s="4"/>
      <c r="P68" s="9" t="s">
        <v>365</v>
      </c>
      <c r="Q68" s="116" t="s">
        <v>374</v>
      </c>
      <c r="R68" s="79">
        <v>0.34334157796929571</v>
      </c>
      <c r="S68" s="80">
        <v>-1.0536550328351435</v>
      </c>
      <c r="T68" s="79">
        <v>1E-8</v>
      </c>
      <c r="U68" s="79">
        <v>1E-8</v>
      </c>
      <c r="V68" s="79">
        <v>1E-8</v>
      </c>
      <c r="W68" s="79">
        <v>1E-8</v>
      </c>
      <c r="X68" s="79">
        <v>1E-8</v>
      </c>
      <c r="Y68" s="79">
        <v>1E-8</v>
      </c>
      <c r="Z68" s="79">
        <v>1E-8</v>
      </c>
      <c r="AA68" s="79">
        <v>1E-8</v>
      </c>
      <c r="AB68" s="4"/>
      <c r="AC68" s="36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6"/>
      <c r="O69" s="4"/>
      <c r="P69" s="70" t="s">
        <v>641</v>
      </c>
      <c r="Q69" s="117" t="s">
        <v>547</v>
      </c>
      <c r="R69" s="85">
        <v>0.27874137017696954</v>
      </c>
      <c r="S69" s="86">
        <v>-0.79301510597481473</v>
      </c>
      <c r="T69" s="85">
        <v>1E-8</v>
      </c>
      <c r="U69" s="85">
        <v>1E-8</v>
      </c>
      <c r="V69" s="85">
        <v>1E-8</v>
      </c>
      <c r="W69" s="85">
        <v>1E-8</v>
      </c>
      <c r="X69" s="85">
        <v>1E-8</v>
      </c>
      <c r="Y69" s="85">
        <v>1E-8</v>
      </c>
      <c r="Z69" s="85">
        <v>1E-8</v>
      </c>
      <c r="AA69" s="85">
        <v>1E-8</v>
      </c>
      <c r="AB69" s="4"/>
      <c r="AC69" s="36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36"/>
      <c r="O70" s="4"/>
      <c r="P70" s="70" t="s">
        <v>642</v>
      </c>
      <c r="Q70" s="117" t="s">
        <v>336</v>
      </c>
      <c r="R70" s="85">
        <v>4.4428530779134952E-2</v>
      </c>
      <c r="S70" s="86">
        <v>-2.2011059682057299</v>
      </c>
      <c r="T70" s="85">
        <v>1E-8</v>
      </c>
      <c r="U70" s="85">
        <v>1E-8</v>
      </c>
      <c r="V70" s="85">
        <v>1E-8</v>
      </c>
      <c r="W70" s="85">
        <v>1E-8</v>
      </c>
      <c r="X70" s="85">
        <v>1E-8</v>
      </c>
      <c r="Y70" s="85">
        <v>1E-8</v>
      </c>
      <c r="Z70" s="85">
        <v>1E-8</v>
      </c>
      <c r="AA70" s="85">
        <v>1E-8</v>
      </c>
      <c r="AB70" s="4"/>
      <c r="AC70" s="36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6"/>
      <c r="O71" s="4"/>
      <c r="P71" s="70" t="s">
        <v>643</v>
      </c>
      <c r="Q71" s="112" t="s">
        <v>337</v>
      </c>
      <c r="R71" s="87">
        <v>2.0171677013191159E-2</v>
      </c>
      <c r="S71" s="88">
        <v>-2.1280114743963185</v>
      </c>
      <c r="T71" s="87">
        <v>1E-8</v>
      </c>
      <c r="U71" s="87">
        <v>1E-8</v>
      </c>
      <c r="V71" s="87">
        <v>1E-8</v>
      </c>
      <c r="W71" s="87">
        <v>1E-8</v>
      </c>
      <c r="X71" s="87">
        <v>1E-8</v>
      </c>
      <c r="Y71" s="87">
        <v>1E-8</v>
      </c>
      <c r="Z71" s="87">
        <v>1E-8</v>
      </c>
      <c r="AA71" s="87">
        <v>1E-8</v>
      </c>
      <c r="AB71" s="4"/>
      <c r="AC71" s="36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6"/>
      <c r="O72" s="4"/>
      <c r="P72" s="9" t="s">
        <v>644</v>
      </c>
      <c r="Q72" s="116" t="s">
        <v>338</v>
      </c>
      <c r="R72" s="79">
        <v>0.27596387429578412</v>
      </c>
      <c r="S72" s="80">
        <v>-0.69906571290022645</v>
      </c>
      <c r="T72" s="79">
        <v>1E-8</v>
      </c>
      <c r="U72" s="79">
        <v>1E-8</v>
      </c>
      <c r="V72" s="79">
        <v>1E-8</v>
      </c>
      <c r="W72" s="79">
        <v>1E-8</v>
      </c>
      <c r="X72" s="79">
        <v>1E-8</v>
      </c>
      <c r="Y72" s="79">
        <v>1E-8</v>
      </c>
      <c r="Z72" s="79">
        <v>1E-8</v>
      </c>
      <c r="AA72" s="79">
        <v>1E-8</v>
      </c>
      <c r="AB72" s="4"/>
      <c r="AC72" s="36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6"/>
      <c r="O73" s="4"/>
      <c r="P73" s="9" t="s">
        <v>366</v>
      </c>
      <c r="Q73" s="116" t="s">
        <v>339</v>
      </c>
      <c r="R73" s="79">
        <v>2.6195060081315062E-2</v>
      </c>
      <c r="S73" s="80">
        <v>-4.8540976110934881</v>
      </c>
      <c r="T73" s="79">
        <v>1E-8</v>
      </c>
      <c r="U73" s="79">
        <v>1E-8</v>
      </c>
      <c r="V73" s="79">
        <v>1E-8</v>
      </c>
      <c r="W73" s="79">
        <v>1E-8</v>
      </c>
      <c r="X73" s="79">
        <v>1E-8</v>
      </c>
      <c r="Y73" s="79">
        <v>1E-8</v>
      </c>
      <c r="Z73" s="79">
        <v>1E-8</v>
      </c>
      <c r="AA73" s="79">
        <v>1E-8</v>
      </c>
      <c r="AB73" s="4"/>
      <c r="AC73" s="36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6"/>
      <c r="O74" s="4"/>
      <c r="P74" s="70" t="s">
        <v>645</v>
      </c>
      <c r="Q74" s="117" t="s">
        <v>340</v>
      </c>
      <c r="R74" s="85">
        <v>2.2503798491868555E-2</v>
      </c>
      <c r="S74" s="86">
        <v>-4.9579952868358372</v>
      </c>
      <c r="T74" s="85">
        <v>1E-8</v>
      </c>
      <c r="U74" s="85">
        <v>1E-8</v>
      </c>
      <c r="V74" s="85">
        <v>1E-8</v>
      </c>
      <c r="W74" s="85">
        <v>1E-8</v>
      </c>
      <c r="X74" s="85">
        <v>1E-8</v>
      </c>
      <c r="Y74" s="85">
        <v>1E-8</v>
      </c>
      <c r="Z74" s="85">
        <v>1E-8</v>
      </c>
      <c r="AA74" s="85">
        <v>1E-8</v>
      </c>
      <c r="AB74" s="4"/>
      <c r="AC74" s="36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6"/>
      <c r="O75" s="4"/>
      <c r="P75" s="70" t="s">
        <v>646</v>
      </c>
      <c r="Q75" s="117" t="s">
        <v>548</v>
      </c>
      <c r="R75" s="85">
        <v>3.6912615894465033E-3</v>
      </c>
      <c r="S75" s="86">
        <v>-4.220684805735897</v>
      </c>
      <c r="T75" s="85">
        <v>1E-8</v>
      </c>
      <c r="U75" s="85">
        <v>1E-8</v>
      </c>
      <c r="V75" s="85">
        <v>1E-8</v>
      </c>
      <c r="W75" s="85">
        <v>1E-8</v>
      </c>
      <c r="X75" s="85">
        <v>1E-8</v>
      </c>
      <c r="Y75" s="85">
        <v>1E-8</v>
      </c>
      <c r="Z75" s="85">
        <v>1E-8</v>
      </c>
      <c r="AA75" s="85">
        <v>1E-8</v>
      </c>
      <c r="AB75" s="4"/>
      <c r="AC75" s="36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6"/>
      <c r="O76" s="4"/>
      <c r="P76" s="9" t="s">
        <v>367</v>
      </c>
      <c r="Q76" s="116" t="s">
        <v>341</v>
      </c>
      <c r="R76" s="79">
        <v>0.25527997283834286</v>
      </c>
      <c r="S76" s="80">
        <v>-15.19643926021832</v>
      </c>
      <c r="T76" s="79">
        <v>1E-8</v>
      </c>
      <c r="U76" s="79">
        <v>1E-8</v>
      </c>
      <c r="V76" s="79">
        <v>1E-8</v>
      </c>
      <c r="W76" s="79">
        <v>1E-8</v>
      </c>
      <c r="X76" s="79">
        <v>1E-8</v>
      </c>
      <c r="Y76" s="79">
        <v>1E-8</v>
      </c>
      <c r="Z76" s="79">
        <v>1E-8</v>
      </c>
      <c r="AA76" s="79">
        <v>1E-8</v>
      </c>
      <c r="AB76" s="4"/>
      <c r="AC76" s="36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6"/>
      <c r="O77" s="4"/>
      <c r="P77" s="70" t="s">
        <v>647</v>
      </c>
      <c r="Q77" s="117" t="s">
        <v>342</v>
      </c>
      <c r="R77" s="85">
        <v>6.9612974317049894E-2</v>
      </c>
      <c r="S77" s="86">
        <v>-5.2093027994502332</v>
      </c>
      <c r="T77" s="85">
        <v>1E-8</v>
      </c>
      <c r="U77" s="85">
        <v>1E-8</v>
      </c>
      <c r="V77" s="85">
        <v>1E-8</v>
      </c>
      <c r="W77" s="85">
        <v>1E-8</v>
      </c>
      <c r="X77" s="85">
        <v>1E-8</v>
      </c>
      <c r="Y77" s="85">
        <v>1E-8</v>
      </c>
      <c r="Z77" s="85">
        <v>1E-8</v>
      </c>
      <c r="AA77" s="85">
        <v>1E-8</v>
      </c>
      <c r="AB77" s="4"/>
      <c r="AC77" s="36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6"/>
      <c r="O78" s="4"/>
      <c r="P78" s="70" t="s">
        <v>648</v>
      </c>
      <c r="Q78" s="117" t="s">
        <v>343</v>
      </c>
      <c r="R78" s="85">
        <v>0.12931896050402245</v>
      </c>
      <c r="S78" s="86">
        <v>-25.430209821786796</v>
      </c>
      <c r="T78" s="85">
        <v>1E-8</v>
      </c>
      <c r="U78" s="85">
        <v>1E-8</v>
      </c>
      <c r="V78" s="85">
        <v>1E-8</v>
      </c>
      <c r="W78" s="85">
        <v>1E-8</v>
      </c>
      <c r="X78" s="85">
        <v>1E-8</v>
      </c>
      <c r="Y78" s="85">
        <v>1E-8</v>
      </c>
      <c r="Z78" s="85">
        <v>1E-8</v>
      </c>
      <c r="AA78" s="85">
        <v>1E-8</v>
      </c>
      <c r="AB78" s="4"/>
      <c r="AC78" s="36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6"/>
      <c r="O79" s="4"/>
      <c r="P79" s="70" t="s">
        <v>649</v>
      </c>
      <c r="Q79" s="117" t="s">
        <v>549</v>
      </c>
      <c r="R79" s="85">
        <v>5.634803801727048E-2</v>
      </c>
      <c r="S79" s="86">
        <v>-4.048113263102926</v>
      </c>
      <c r="T79" s="85">
        <v>1E-8</v>
      </c>
      <c r="U79" s="85">
        <v>1E-8</v>
      </c>
      <c r="V79" s="85">
        <v>1E-8</v>
      </c>
      <c r="W79" s="85">
        <v>1E-8</v>
      </c>
      <c r="X79" s="85">
        <v>1E-8</v>
      </c>
      <c r="Y79" s="85">
        <v>1E-8</v>
      </c>
      <c r="Z79" s="85">
        <v>1E-8</v>
      </c>
      <c r="AA79" s="85">
        <v>1E-8</v>
      </c>
      <c r="AB79" s="4"/>
      <c r="AC79" s="36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6"/>
      <c r="O80" s="4"/>
      <c r="P80" s="70" t="s">
        <v>650</v>
      </c>
      <c r="Q80" s="117" t="s">
        <v>550</v>
      </c>
      <c r="R80" s="85">
        <v>1E-8</v>
      </c>
      <c r="S80" s="86">
        <v>1E-8</v>
      </c>
      <c r="T80" s="85">
        <v>1E-8</v>
      </c>
      <c r="U80" s="85">
        <v>1E-8</v>
      </c>
      <c r="V80" s="85">
        <v>1E-8</v>
      </c>
      <c r="W80" s="85">
        <v>1E-8</v>
      </c>
      <c r="X80" s="85">
        <v>1E-8</v>
      </c>
      <c r="Y80" s="85">
        <v>1E-8</v>
      </c>
      <c r="Z80" s="85">
        <v>1E-8</v>
      </c>
      <c r="AA80" s="85">
        <v>1E-8</v>
      </c>
      <c r="AB80" s="4"/>
      <c r="AC80" s="36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36"/>
      <c r="O81" s="4"/>
      <c r="P81" s="9" t="s">
        <v>172</v>
      </c>
      <c r="Q81" s="116" t="s">
        <v>551</v>
      </c>
      <c r="R81" s="79">
        <v>3.195585285701625E-3</v>
      </c>
      <c r="S81" s="80">
        <v>-4.477364312628751</v>
      </c>
      <c r="T81" s="79">
        <v>1E-8</v>
      </c>
      <c r="U81" s="79">
        <v>1E-8</v>
      </c>
      <c r="V81" s="79">
        <v>1E-8</v>
      </c>
      <c r="W81" s="79">
        <v>1E-8</v>
      </c>
      <c r="X81" s="79">
        <v>1E-8</v>
      </c>
      <c r="Y81" s="79">
        <v>1E-8</v>
      </c>
      <c r="Z81" s="79">
        <v>1E-8</v>
      </c>
      <c r="AA81" s="79">
        <v>1E-8</v>
      </c>
      <c r="AB81" s="4"/>
      <c r="AC81" s="36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36"/>
      <c r="O82" s="4"/>
      <c r="P82" s="70" t="s">
        <v>651</v>
      </c>
      <c r="Q82" s="117" t="s">
        <v>344</v>
      </c>
      <c r="R82" s="85">
        <v>3.195585285701625E-3</v>
      </c>
      <c r="S82" s="86">
        <v>-4.477364312628751</v>
      </c>
      <c r="T82" s="85">
        <v>1E-8</v>
      </c>
      <c r="U82" s="85">
        <v>1E-8</v>
      </c>
      <c r="V82" s="85">
        <v>1E-8</v>
      </c>
      <c r="W82" s="85">
        <v>1E-8</v>
      </c>
      <c r="X82" s="85">
        <v>1E-8</v>
      </c>
      <c r="Y82" s="85">
        <v>1E-8</v>
      </c>
      <c r="Z82" s="85">
        <v>1E-8</v>
      </c>
      <c r="AA82" s="85">
        <v>1E-8</v>
      </c>
      <c r="AB82" s="4"/>
      <c r="AC82" s="36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6"/>
      <c r="O83" s="4"/>
      <c r="P83" s="70" t="s">
        <v>652</v>
      </c>
      <c r="Q83" s="117" t="s">
        <v>552</v>
      </c>
      <c r="R83" s="85">
        <v>1E-8</v>
      </c>
      <c r="S83" s="86">
        <v>1E-8</v>
      </c>
      <c r="T83" s="85">
        <v>1E-8</v>
      </c>
      <c r="U83" s="85">
        <v>1E-8</v>
      </c>
      <c r="V83" s="85">
        <v>1E-8</v>
      </c>
      <c r="W83" s="85">
        <v>1E-8</v>
      </c>
      <c r="X83" s="85">
        <v>1E-8</v>
      </c>
      <c r="Y83" s="85">
        <v>1E-8</v>
      </c>
      <c r="Z83" s="85">
        <v>1E-8</v>
      </c>
      <c r="AA83" s="85">
        <v>1E-8</v>
      </c>
      <c r="AB83" s="4"/>
      <c r="AC83" s="36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36"/>
      <c r="O84" s="4"/>
      <c r="P84" s="70" t="s">
        <v>653</v>
      </c>
      <c r="Q84" s="117" t="s">
        <v>553</v>
      </c>
      <c r="R84" s="85">
        <v>1E-8</v>
      </c>
      <c r="S84" s="86">
        <v>1E-8</v>
      </c>
      <c r="T84" s="85">
        <v>1E-8</v>
      </c>
      <c r="U84" s="85">
        <v>1E-8</v>
      </c>
      <c r="V84" s="85">
        <v>1E-8</v>
      </c>
      <c r="W84" s="85">
        <v>1E-8</v>
      </c>
      <c r="X84" s="85">
        <v>1E-8</v>
      </c>
      <c r="Y84" s="85">
        <v>1E-8</v>
      </c>
      <c r="Z84" s="85">
        <v>1E-8</v>
      </c>
      <c r="AA84" s="85">
        <v>1E-8</v>
      </c>
      <c r="AB84" s="4"/>
      <c r="AC84" s="36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36"/>
      <c r="O85" s="4"/>
      <c r="P85" s="9" t="s">
        <v>368</v>
      </c>
      <c r="Q85" s="116" t="s">
        <v>345</v>
      </c>
      <c r="R85" s="79">
        <v>0.16735528744622974</v>
      </c>
      <c r="S85" s="80">
        <v>-3.7603535561103851</v>
      </c>
      <c r="T85" s="79">
        <v>1E-8</v>
      </c>
      <c r="U85" s="79">
        <v>1E-8</v>
      </c>
      <c r="V85" s="79">
        <v>1E-8</v>
      </c>
      <c r="W85" s="79">
        <v>1E-8</v>
      </c>
      <c r="X85" s="79">
        <v>1E-8</v>
      </c>
      <c r="Y85" s="79">
        <v>1E-8</v>
      </c>
      <c r="Z85" s="79">
        <v>1E-8</v>
      </c>
      <c r="AA85" s="79">
        <v>1E-8</v>
      </c>
      <c r="AB85" s="4"/>
      <c r="AC85" s="36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36"/>
      <c r="O86" s="4"/>
      <c r="P86" s="70" t="s">
        <v>654</v>
      </c>
      <c r="Q86" s="117" t="s">
        <v>346</v>
      </c>
      <c r="R86" s="85">
        <v>4.3248092285622063E-3</v>
      </c>
      <c r="S86" s="86">
        <v>-3.6467889531490383</v>
      </c>
      <c r="T86" s="85">
        <v>1E-8</v>
      </c>
      <c r="U86" s="85">
        <v>1E-8</v>
      </c>
      <c r="V86" s="85">
        <v>1E-8</v>
      </c>
      <c r="W86" s="85">
        <v>1E-8</v>
      </c>
      <c r="X86" s="85">
        <v>1E-8</v>
      </c>
      <c r="Y86" s="85">
        <v>1E-8</v>
      </c>
      <c r="Z86" s="85">
        <v>1E-8</v>
      </c>
      <c r="AA86" s="85">
        <v>1E-8</v>
      </c>
      <c r="AB86" s="4"/>
      <c r="AC86" s="36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36"/>
      <c r="O87" s="4"/>
      <c r="P87" s="70" t="s">
        <v>655</v>
      </c>
      <c r="Q87" s="117" t="s">
        <v>347</v>
      </c>
      <c r="R87" s="85">
        <v>5.6439239603165714E-2</v>
      </c>
      <c r="S87" s="86">
        <v>-3.9074772253402501</v>
      </c>
      <c r="T87" s="85">
        <v>1E-8</v>
      </c>
      <c r="U87" s="85">
        <v>1E-8</v>
      </c>
      <c r="V87" s="85">
        <v>1E-8</v>
      </c>
      <c r="W87" s="85">
        <v>1E-8</v>
      </c>
      <c r="X87" s="85">
        <v>1E-8</v>
      </c>
      <c r="Y87" s="85">
        <v>1E-8</v>
      </c>
      <c r="Z87" s="85">
        <v>1E-8</v>
      </c>
      <c r="AA87" s="85">
        <v>1E-8</v>
      </c>
      <c r="AB87" s="4"/>
      <c r="AC87" s="36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36"/>
      <c r="O88" s="4"/>
      <c r="P88" s="70" t="s">
        <v>656</v>
      </c>
      <c r="Q88" s="117" t="s">
        <v>348</v>
      </c>
      <c r="R88" s="85">
        <v>0.1065912386145018</v>
      </c>
      <c r="S88" s="86">
        <v>-3.6870604517465932</v>
      </c>
      <c r="T88" s="85">
        <v>1E-8</v>
      </c>
      <c r="U88" s="85">
        <v>1E-8</v>
      </c>
      <c r="V88" s="85">
        <v>1E-8</v>
      </c>
      <c r="W88" s="85">
        <v>1E-8</v>
      </c>
      <c r="X88" s="85">
        <v>1E-8</v>
      </c>
      <c r="Y88" s="85">
        <v>1E-8</v>
      </c>
      <c r="Z88" s="85">
        <v>1E-8</v>
      </c>
      <c r="AA88" s="85">
        <v>1E-8</v>
      </c>
      <c r="AB88" s="4"/>
      <c r="AC88" s="36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6"/>
      <c r="O89" s="4"/>
      <c r="P89" s="9" t="s">
        <v>181</v>
      </c>
      <c r="Q89" s="116" t="s">
        <v>554</v>
      </c>
      <c r="R89" s="79">
        <v>6.5246132671779297E-2</v>
      </c>
      <c r="S89" s="80">
        <v>-4.5431102994939359</v>
      </c>
      <c r="T89" s="79">
        <v>1E-8</v>
      </c>
      <c r="U89" s="79">
        <v>1E-8</v>
      </c>
      <c r="V89" s="79">
        <v>1E-8</v>
      </c>
      <c r="W89" s="79">
        <v>1E-8</v>
      </c>
      <c r="X89" s="79">
        <v>1E-8</v>
      </c>
      <c r="Y89" s="79">
        <v>1E-8</v>
      </c>
      <c r="Z89" s="79">
        <v>1E-8</v>
      </c>
      <c r="AA89" s="79">
        <v>1E-8</v>
      </c>
      <c r="AB89" s="4"/>
      <c r="AC89" s="36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36"/>
      <c r="O90" s="4"/>
      <c r="P90" s="70" t="s">
        <v>657</v>
      </c>
      <c r="Q90" s="117" t="s">
        <v>555</v>
      </c>
      <c r="R90" s="85">
        <v>1.7742081645185072E-2</v>
      </c>
      <c r="S90" s="86">
        <v>-3.5809495904318256</v>
      </c>
      <c r="T90" s="85">
        <v>1E-8</v>
      </c>
      <c r="U90" s="85">
        <v>1E-8</v>
      </c>
      <c r="V90" s="85">
        <v>1E-8</v>
      </c>
      <c r="W90" s="85">
        <v>1E-8</v>
      </c>
      <c r="X90" s="85">
        <v>1E-8</v>
      </c>
      <c r="Y90" s="85">
        <v>1E-8</v>
      </c>
      <c r="Z90" s="85">
        <v>1E-8</v>
      </c>
      <c r="AA90" s="85">
        <v>1E-8</v>
      </c>
      <c r="AB90" s="4"/>
      <c r="AC90" s="36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36"/>
      <c r="O91" s="4"/>
      <c r="P91" s="70" t="s">
        <v>658</v>
      </c>
      <c r="Q91" s="117" t="s">
        <v>349</v>
      </c>
      <c r="R91" s="85">
        <v>4.7504051026594232E-2</v>
      </c>
      <c r="S91" s="86">
        <v>-4.902463522788814</v>
      </c>
      <c r="T91" s="85">
        <v>1E-8</v>
      </c>
      <c r="U91" s="85">
        <v>1E-8</v>
      </c>
      <c r="V91" s="85">
        <v>1E-8</v>
      </c>
      <c r="W91" s="85">
        <v>1E-8</v>
      </c>
      <c r="X91" s="85">
        <v>1E-8</v>
      </c>
      <c r="Y91" s="85">
        <v>1E-8</v>
      </c>
      <c r="Z91" s="85">
        <v>1E-8</v>
      </c>
      <c r="AA91" s="85">
        <v>1E-8</v>
      </c>
      <c r="AB91" s="4"/>
      <c r="AC91" s="36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36"/>
      <c r="O92" s="4"/>
      <c r="P92" s="70" t="s">
        <v>659</v>
      </c>
      <c r="Q92" s="112" t="s">
        <v>556</v>
      </c>
      <c r="R92" s="87">
        <v>1E-8</v>
      </c>
      <c r="S92" s="88">
        <v>1E-8</v>
      </c>
      <c r="T92" s="87">
        <v>1E-8</v>
      </c>
      <c r="U92" s="87">
        <v>1E-8</v>
      </c>
      <c r="V92" s="87">
        <v>1E-8</v>
      </c>
      <c r="W92" s="87">
        <v>1E-8</v>
      </c>
      <c r="X92" s="87">
        <v>1E-8</v>
      </c>
      <c r="Y92" s="87">
        <v>1E-8</v>
      </c>
      <c r="Z92" s="87">
        <v>1E-8</v>
      </c>
      <c r="AA92" s="87">
        <v>1E-8</v>
      </c>
      <c r="AB92" s="4"/>
      <c r="AC92" s="36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6"/>
      <c r="O93" s="4"/>
      <c r="P93" s="11" t="s">
        <v>286</v>
      </c>
      <c r="Q93" s="115" t="s">
        <v>350</v>
      </c>
      <c r="R93" s="77">
        <v>0.10948386057605221</v>
      </c>
      <c r="S93" s="78">
        <v>-1.1459778139936705</v>
      </c>
      <c r="T93" s="77">
        <v>1E-8</v>
      </c>
      <c r="U93" s="77">
        <v>1E-8</v>
      </c>
      <c r="V93" s="77">
        <v>1E-8</v>
      </c>
      <c r="W93" s="77">
        <v>1E-8</v>
      </c>
      <c r="X93" s="77">
        <v>1E-8</v>
      </c>
      <c r="Y93" s="77">
        <v>1E-8</v>
      </c>
      <c r="Z93" s="77">
        <v>1E-8</v>
      </c>
      <c r="AA93" s="77">
        <v>1E-8</v>
      </c>
      <c r="AB93" s="4"/>
      <c r="AC93" s="36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36"/>
      <c r="O94" s="4"/>
      <c r="P94" s="11" t="s">
        <v>369</v>
      </c>
      <c r="Q94" s="115" t="s">
        <v>557</v>
      </c>
      <c r="R94" s="77">
        <v>4.6832950772059567E-2</v>
      </c>
      <c r="S94" s="78">
        <v>-1.1632271623431945</v>
      </c>
      <c r="T94" s="77">
        <v>1E-8</v>
      </c>
      <c r="U94" s="77">
        <v>1E-8</v>
      </c>
      <c r="V94" s="77">
        <v>1E-8</v>
      </c>
      <c r="W94" s="77">
        <v>1E-8</v>
      </c>
      <c r="X94" s="77">
        <v>1E-8</v>
      </c>
      <c r="Y94" s="77">
        <v>1E-8</v>
      </c>
      <c r="Z94" s="77">
        <v>1E-8</v>
      </c>
      <c r="AA94" s="77">
        <v>1E-8</v>
      </c>
      <c r="AB94" s="4"/>
      <c r="AC94" s="36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36"/>
      <c r="O95" s="4"/>
      <c r="P95" s="9" t="s">
        <v>660</v>
      </c>
      <c r="Q95" s="116" t="s">
        <v>351</v>
      </c>
      <c r="R95" s="79">
        <v>2.20879845767263E-2</v>
      </c>
      <c r="S95" s="80">
        <v>-1.6229175002148377</v>
      </c>
      <c r="T95" s="79">
        <v>1E-8</v>
      </c>
      <c r="U95" s="79">
        <v>1E-8</v>
      </c>
      <c r="V95" s="79">
        <v>1E-8</v>
      </c>
      <c r="W95" s="79">
        <v>1E-8</v>
      </c>
      <c r="X95" s="79">
        <v>1E-8</v>
      </c>
      <c r="Y95" s="79">
        <v>1E-8</v>
      </c>
      <c r="Z95" s="79">
        <v>1E-8</v>
      </c>
      <c r="AA95" s="79">
        <v>1E-8</v>
      </c>
      <c r="AB95" s="4"/>
      <c r="AC95" s="36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36"/>
      <c r="O96" s="4"/>
      <c r="P96" s="9" t="s">
        <v>661</v>
      </c>
      <c r="Q96" s="116" t="s">
        <v>352</v>
      </c>
      <c r="R96" s="79">
        <v>2.1000960217833792E-2</v>
      </c>
      <c r="S96" s="80">
        <v>-0.60998239873106819</v>
      </c>
      <c r="T96" s="79">
        <v>1E-8</v>
      </c>
      <c r="U96" s="79">
        <v>1E-8</v>
      </c>
      <c r="V96" s="79">
        <v>1E-8</v>
      </c>
      <c r="W96" s="79">
        <v>1E-8</v>
      </c>
      <c r="X96" s="79">
        <v>1E-8</v>
      </c>
      <c r="Y96" s="79">
        <v>1E-8</v>
      </c>
      <c r="Z96" s="79">
        <v>1E-8</v>
      </c>
      <c r="AA96" s="79">
        <v>1E-8</v>
      </c>
      <c r="AB96" s="4"/>
      <c r="AC96" s="36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36"/>
      <c r="O97" s="4"/>
      <c r="P97" s="9" t="s">
        <v>662</v>
      </c>
      <c r="Q97" s="116" t="s">
        <v>558</v>
      </c>
      <c r="R97" s="79">
        <v>3.7440059774994762E-3</v>
      </c>
      <c r="S97" s="80">
        <v>-1.5545294698632972</v>
      </c>
      <c r="T97" s="79">
        <v>1E-8</v>
      </c>
      <c r="U97" s="79">
        <v>1E-8</v>
      </c>
      <c r="V97" s="79">
        <v>1E-8</v>
      </c>
      <c r="W97" s="79">
        <v>1E-8</v>
      </c>
      <c r="X97" s="79">
        <v>1E-8</v>
      </c>
      <c r="Y97" s="79">
        <v>1E-8</v>
      </c>
      <c r="Z97" s="79">
        <v>1E-8</v>
      </c>
      <c r="AA97" s="79">
        <v>1E-8</v>
      </c>
      <c r="AB97" s="4"/>
      <c r="AC97" s="36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36"/>
      <c r="O98" s="4"/>
      <c r="P98" s="11" t="s">
        <v>188</v>
      </c>
      <c r="Q98" s="115" t="s">
        <v>559</v>
      </c>
      <c r="R98" s="77">
        <v>6.2650909803992655E-2</v>
      </c>
      <c r="S98" s="78">
        <v>-1.1330835418334129</v>
      </c>
      <c r="T98" s="77">
        <v>1E-8</v>
      </c>
      <c r="U98" s="77">
        <v>1E-8</v>
      </c>
      <c r="V98" s="77">
        <v>1E-8</v>
      </c>
      <c r="W98" s="77">
        <v>1E-8</v>
      </c>
      <c r="X98" s="77">
        <v>1E-8</v>
      </c>
      <c r="Y98" s="77">
        <v>1E-8</v>
      </c>
      <c r="Z98" s="77">
        <v>1E-8</v>
      </c>
      <c r="AA98" s="77">
        <v>1E-8</v>
      </c>
      <c r="AB98" s="4"/>
      <c r="AC98" s="36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36"/>
      <c r="O99" s="4"/>
      <c r="P99" s="9" t="s">
        <v>663</v>
      </c>
      <c r="Q99" s="116" t="s">
        <v>353</v>
      </c>
      <c r="R99" s="79">
        <v>6.2650909803992655E-2</v>
      </c>
      <c r="S99" s="80">
        <v>-1.1330835418334129</v>
      </c>
      <c r="T99" s="79">
        <v>1E-8</v>
      </c>
      <c r="U99" s="79">
        <v>1E-8</v>
      </c>
      <c r="V99" s="79">
        <v>1E-8</v>
      </c>
      <c r="W99" s="79">
        <v>1E-8</v>
      </c>
      <c r="X99" s="79">
        <v>1E-8</v>
      </c>
      <c r="Y99" s="79">
        <v>1E-8</v>
      </c>
      <c r="Z99" s="79">
        <v>1E-8</v>
      </c>
      <c r="AA99" s="79">
        <v>1E-8</v>
      </c>
      <c r="AB99" s="4"/>
      <c r="AC99" s="36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6"/>
      <c r="O100" s="4"/>
      <c r="P100" s="72" t="s">
        <v>664</v>
      </c>
      <c r="Q100" s="109" t="s">
        <v>560</v>
      </c>
      <c r="R100" s="81">
        <v>1E-8</v>
      </c>
      <c r="S100" s="82">
        <v>1E-8</v>
      </c>
      <c r="T100" s="81">
        <v>1E-8</v>
      </c>
      <c r="U100" s="81">
        <v>1E-8</v>
      </c>
      <c r="V100" s="81">
        <v>1E-8</v>
      </c>
      <c r="W100" s="81">
        <v>1E-8</v>
      </c>
      <c r="X100" s="81">
        <v>1E-8</v>
      </c>
      <c r="Y100" s="81">
        <v>1E-8</v>
      </c>
      <c r="Z100" s="81">
        <v>1E-8</v>
      </c>
      <c r="AA100" s="81">
        <v>1E-8</v>
      </c>
      <c r="AB100" s="4"/>
      <c r="AC100" s="36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6"/>
      <c r="O101" s="4"/>
      <c r="P101" s="5" t="s">
        <v>287</v>
      </c>
      <c r="Q101" s="114" t="s">
        <v>354</v>
      </c>
      <c r="R101" s="73">
        <v>2.3267336692823317</v>
      </c>
      <c r="S101" s="74">
        <v>-0.40233634615339797</v>
      </c>
      <c r="T101" s="73">
        <v>1E-8</v>
      </c>
      <c r="U101" s="73">
        <v>1E-8</v>
      </c>
      <c r="V101" s="73">
        <v>1E-8</v>
      </c>
      <c r="W101" s="73">
        <v>1E-8</v>
      </c>
      <c r="X101" s="73">
        <v>1E-8</v>
      </c>
      <c r="Y101" s="73">
        <v>1E-8</v>
      </c>
      <c r="Z101" s="73">
        <v>1E-8</v>
      </c>
      <c r="AA101" s="73">
        <v>1E-8</v>
      </c>
      <c r="AB101" s="4"/>
      <c r="AC101" s="36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6"/>
      <c r="O102" s="4"/>
      <c r="P102" s="11" t="s">
        <v>370</v>
      </c>
      <c r="Q102" s="115" t="s">
        <v>561</v>
      </c>
      <c r="R102" s="77">
        <v>7.7045236229329704E-3</v>
      </c>
      <c r="S102" s="78">
        <v>-6.0081249279094973</v>
      </c>
      <c r="T102" s="77">
        <v>1E-8</v>
      </c>
      <c r="U102" s="77">
        <v>1E-8</v>
      </c>
      <c r="V102" s="77">
        <v>1E-8</v>
      </c>
      <c r="W102" s="77">
        <v>1E-8</v>
      </c>
      <c r="X102" s="77">
        <v>1E-8</v>
      </c>
      <c r="Y102" s="77">
        <v>1E-8</v>
      </c>
      <c r="Z102" s="77">
        <v>1E-8</v>
      </c>
      <c r="AA102" s="77">
        <v>1E-8</v>
      </c>
      <c r="AB102" s="4"/>
      <c r="AC102" s="36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6"/>
      <c r="O103" s="4"/>
      <c r="P103" s="9" t="s">
        <v>665</v>
      </c>
      <c r="Q103" s="116" t="s">
        <v>562</v>
      </c>
      <c r="R103" s="79">
        <v>7.7045236229329704E-3</v>
      </c>
      <c r="S103" s="80">
        <v>-6.0081249279094973</v>
      </c>
      <c r="T103" s="79">
        <v>1E-8</v>
      </c>
      <c r="U103" s="79">
        <v>1E-8</v>
      </c>
      <c r="V103" s="79">
        <v>1E-8</v>
      </c>
      <c r="W103" s="79">
        <v>1E-8</v>
      </c>
      <c r="X103" s="79">
        <v>1E-8</v>
      </c>
      <c r="Y103" s="79">
        <v>1E-8</v>
      </c>
      <c r="Z103" s="79">
        <v>1E-8</v>
      </c>
      <c r="AA103" s="79">
        <v>1E-8</v>
      </c>
      <c r="AB103" s="4"/>
      <c r="AC103" s="36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6"/>
      <c r="O104" s="4"/>
      <c r="P104" s="9" t="s">
        <v>666</v>
      </c>
      <c r="Q104" s="116" t="s">
        <v>563</v>
      </c>
      <c r="R104" s="79">
        <v>1E-8</v>
      </c>
      <c r="S104" s="80">
        <v>1E-8</v>
      </c>
      <c r="T104" s="79">
        <v>1E-8</v>
      </c>
      <c r="U104" s="79">
        <v>1E-8</v>
      </c>
      <c r="V104" s="79">
        <v>1E-8</v>
      </c>
      <c r="W104" s="79">
        <v>1E-8</v>
      </c>
      <c r="X104" s="79">
        <v>1E-8</v>
      </c>
      <c r="Y104" s="79">
        <v>1E-8</v>
      </c>
      <c r="Z104" s="79">
        <v>1E-8</v>
      </c>
      <c r="AA104" s="79">
        <v>1E-8</v>
      </c>
      <c r="AB104" s="4"/>
      <c r="AC104" s="36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6"/>
      <c r="O105" s="4"/>
      <c r="P105" s="9" t="s">
        <v>667</v>
      </c>
      <c r="Q105" s="116" t="s">
        <v>564</v>
      </c>
      <c r="R105" s="79">
        <v>1E-8</v>
      </c>
      <c r="S105" s="80">
        <v>1E-8</v>
      </c>
      <c r="T105" s="79">
        <v>1E-8</v>
      </c>
      <c r="U105" s="79">
        <v>1E-8</v>
      </c>
      <c r="V105" s="79">
        <v>1E-8</v>
      </c>
      <c r="W105" s="79">
        <v>1E-8</v>
      </c>
      <c r="X105" s="79">
        <v>1E-8</v>
      </c>
      <c r="Y105" s="79">
        <v>1E-8</v>
      </c>
      <c r="Z105" s="79">
        <v>1E-8</v>
      </c>
      <c r="AA105" s="79">
        <v>1E-8</v>
      </c>
      <c r="AB105" s="4"/>
      <c r="AC105" s="36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6"/>
      <c r="O106" s="4"/>
      <c r="P106" s="9" t="s">
        <v>668</v>
      </c>
      <c r="Q106" s="116" t="s">
        <v>565</v>
      </c>
      <c r="R106" s="79">
        <v>1E-8</v>
      </c>
      <c r="S106" s="80">
        <v>1E-8</v>
      </c>
      <c r="T106" s="79">
        <v>1E-8</v>
      </c>
      <c r="U106" s="79">
        <v>1E-8</v>
      </c>
      <c r="V106" s="79">
        <v>1E-8</v>
      </c>
      <c r="W106" s="79">
        <v>1E-8</v>
      </c>
      <c r="X106" s="79">
        <v>1E-8</v>
      </c>
      <c r="Y106" s="79">
        <v>1E-8</v>
      </c>
      <c r="Z106" s="79">
        <v>1E-8</v>
      </c>
      <c r="AA106" s="79">
        <v>1E-8</v>
      </c>
      <c r="AB106" s="4"/>
      <c r="AC106" s="36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6"/>
      <c r="O107" s="4"/>
      <c r="P107" s="11" t="s">
        <v>371</v>
      </c>
      <c r="Q107" s="115" t="s">
        <v>566</v>
      </c>
      <c r="R107" s="77">
        <v>0.29156219444268316</v>
      </c>
      <c r="S107" s="78">
        <v>-0.52865609329453278</v>
      </c>
      <c r="T107" s="77">
        <v>1E-8</v>
      </c>
      <c r="U107" s="77">
        <v>1E-8</v>
      </c>
      <c r="V107" s="77">
        <v>1E-8</v>
      </c>
      <c r="W107" s="77">
        <v>1E-8</v>
      </c>
      <c r="X107" s="77">
        <v>1E-8</v>
      </c>
      <c r="Y107" s="77">
        <v>1E-8</v>
      </c>
      <c r="Z107" s="77">
        <v>1E-8</v>
      </c>
      <c r="AA107" s="77">
        <v>1E-8</v>
      </c>
      <c r="AB107" s="4"/>
      <c r="AC107" s="36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6"/>
      <c r="O108" s="4"/>
      <c r="P108" s="9" t="s">
        <v>669</v>
      </c>
      <c r="Q108" s="116" t="s">
        <v>567</v>
      </c>
      <c r="R108" s="79">
        <v>0.27608472630126346</v>
      </c>
      <c r="S108" s="80">
        <v>-0.28763815455933317</v>
      </c>
      <c r="T108" s="79">
        <v>1E-8</v>
      </c>
      <c r="U108" s="79">
        <v>1E-8</v>
      </c>
      <c r="V108" s="79">
        <v>1E-8</v>
      </c>
      <c r="W108" s="79">
        <v>1E-8</v>
      </c>
      <c r="X108" s="79">
        <v>1E-8</v>
      </c>
      <c r="Y108" s="79">
        <v>1E-8</v>
      </c>
      <c r="Z108" s="79">
        <v>1E-8</v>
      </c>
      <c r="AA108" s="79">
        <v>1E-8</v>
      </c>
      <c r="AB108" s="4"/>
      <c r="AC108" s="36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6"/>
      <c r="O109" s="4"/>
      <c r="P109" s="9" t="s">
        <v>670</v>
      </c>
      <c r="Q109" s="116" t="s">
        <v>568</v>
      </c>
      <c r="R109" s="79">
        <v>1.1795165689982977E-2</v>
      </c>
      <c r="S109" s="80">
        <v>-6.5514594360242429</v>
      </c>
      <c r="T109" s="79">
        <v>1E-8</v>
      </c>
      <c r="U109" s="79">
        <v>1E-8</v>
      </c>
      <c r="V109" s="79">
        <v>1E-8</v>
      </c>
      <c r="W109" s="79">
        <v>1E-8</v>
      </c>
      <c r="X109" s="79">
        <v>1E-8</v>
      </c>
      <c r="Y109" s="79">
        <v>1E-8</v>
      </c>
      <c r="Z109" s="79">
        <v>1E-8</v>
      </c>
      <c r="AA109" s="79">
        <v>1E-8</v>
      </c>
      <c r="AB109" s="4"/>
      <c r="AC109" s="36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6"/>
      <c r="O110" s="4"/>
      <c r="P110" s="9" t="s">
        <v>671</v>
      </c>
      <c r="Q110" s="116" t="s">
        <v>569</v>
      </c>
      <c r="R110" s="79">
        <v>2.5989336125607373E-3</v>
      </c>
      <c r="S110" s="80">
        <v>1.4153085558958001</v>
      </c>
      <c r="T110" s="79">
        <v>1E-8</v>
      </c>
      <c r="U110" s="79">
        <v>1E-8</v>
      </c>
      <c r="V110" s="79">
        <v>1E-8</v>
      </c>
      <c r="W110" s="79">
        <v>1E-8</v>
      </c>
      <c r="X110" s="79">
        <v>1E-8</v>
      </c>
      <c r="Y110" s="79">
        <v>1E-8</v>
      </c>
      <c r="Z110" s="79">
        <v>1E-8</v>
      </c>
      <c r="AA110" s="79">
        <v>1E-8</v>
      </c>
      <c r="AB110" s="4"/>
      <c r="AC110" s="36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6"/>
      <c r="O111" s="4"/>
      <c r="P111" s="9" t="s">
        <v>672</v>
      </c>
      <c r="Q111" s="116" t="s">
        <v>570</v>
      </c>
      <c r="R111" s="79">
        <v>1.0833688388759617E-3</v>
      </c>
      <c r="S111" s="80">
        <v>-1.0396947647619559</v>
      </c>
      <c r="T111" s="79">
        <v>1E-8</v>
      </c>
      <c r="U111" s="79">
        <v>1E-8</v>
      </c>
      <c r="V111" s="79">
        <v>1E-8</v>
      </c>
      <c r="W111" s="79">
        <v>1E-8</v>
      </c>
      <c r="X111" s="79">
        <v>1E-8</v>
      </c>
      <c r="Y111" s="79">
        <v>1E-8</v>
      </c>
      <c r="Z111" s="79">
        <v>1E-8</v>
      </c>
      <c r="AA111" s="79">
        <v>1E-8</v>
      </c>
      <c r="AB111" s="4"/>
      <c r="AC111" s="36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6"/>
      <c r="O112" s="4"/>
      <c r="P112" s="11" t="s">
        <v>673</v>
      </c>
      <c r="Q112" s="115" t="s">
        <v>355</v>
      </c>
      <c r="R112" s="77">
        <v>0.35602693471704772</v>
      </c>
      <c r="S112" s="78">
        <v>-0.79219248625304051</v>
      </c>
      <c r="T112" s="77">
        <v>1E-8</v>
      </c>
      <c r="U112" s="77">
        <v>1E-8</v>
      </c>
      <c r="V112" s="77">
        <v>1E-8</v>
      </c>
      <c r="W112" s="77">
        <v>1E-8</v>
      </c>
      <c r="X112" s="77">
        <v>1E-8</v>
      </c>
      <c r="Y112" s="77">
        <v>1E-8</v>
      </c>
      <c r="Z112" s="77">
        <v>1E-8</v>
      </c>
      <c r="AA112" s="77">
        <v>1E-8</v>
      </c>
      <c r="AB112" s="4"/>
      <c r="AC112" s="36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6"/>
      <c r="O113" s="4"/>
      <c r="P113" s="11" t="s">
        <v>372</v>
      </c>
      <c r="Q113" s="115" t="s">
        <v>571</v>
      </c>
      <c r="R113" s="77">
        <v>0.12160274575112945</v>
      </c>
      <c r="S113" s="78">
        <v>-1.0631193409861517</v>
      </c>
      <c r="T113" s="77">
        <v>1E-8</v>
      </c>
      <c r="U113" s="77">
        <v>1E-8</v>
      </c>
      <c r="V113" s="77">
        <v>1E-8</v>
      </c>
      <c r="W113" s="77">
        <v>1E-8</v>
      </c>
      <c r="X113" s="77">
        <v>1E-8</v>
      </c>
      <c r="Y113" s="77">
        <v>1E-8</v>
      </c>
      <c r="Z113" s="77">
        <v>1E-8</v>
      </c>
      <c r="AA113" s="77">
        <v>1E-8</v>
      </c>
      <c r="AB113" s="4"/>
      <c r="AC113" s="36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6"/>
      <c r="O114" s="4"/>
      <c r="P114" s="9" t="s">
        <v>674</v>
      </c>
      <c r="Q114" s="116" t="s">
        <v>572</v>
      </c>
      <c r="R114" s="79">
        <v>1.5652853096496101E-2</v>
      </c>
      <c r="S114" s="80">
        <v>-1.5746120289342747</v>
      </c>
      <c r="T114" s="79">
        <v>1E-8</v>
      </c>
      <c r="U114" s="79">
        <v>1E-8</v>
      </c>
      <c r="V114" s="79">
        <v>1E-8</v>
      </c>
      <c r="W114" s="79">
        <v>1E-8</v>
      </c>
      <c r="X114" s="79">
        <v>1E-8</v>
      </c>
      <c r="Y114" s="79">
        <v>1E-8</v>
      </c>
      <c r="Z114" s="79">
        <v>1E-8</v>
      </c>
      <c r="AA114" s="79">
        <v>1E-8</v>
      </c>
      <c r="AB114" s="4"/>
      <c r="AC114" s="36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6"/>
      <c r="O115" s="4"/>
      <c r="P115" s="9" t="s">
        <v>675</v>
      </c>
      <c r="Q115" s="116" t="s">
        <v>356</v>
      </c>
      <c r="R115" s="79">
        <v>0.10594989265463334</v>
      </c>
      <c r="S115" s="80">
        <v>-0.98755229977656178</v>
      </c>
      <c r="T115" s="79">
        <v>1E-8</v>
      </c>
      <c r="U115" s="79">
        <v>1E-8</v>
      </c>
      <c r="V115" s="79">
        <v>1E-8</v>
      </c>
      <c r="W115" s="79">
        <v>1E-8</v>
      </c>
      <c r="X115" s="79">
        <v>1E-8</v>
      </c>
      <c r="Y115" s="79">
        <v>1E-8</v>
      </c>
      <c r="Z115" s="79">
        <v>1E-8</v>
      </c>
      <c r="AA115" s="79">
        <v>1E-8</v>
      </c>
      <c r="AB115" s="4"/>
      <c r="AC115" s="36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6"/>
      <c r="O116" s="4"/>
      <c r="P116" s="9" t="s">
        <v>676</v>
      </c>
      <c r="Q116" s="109" t="s">
        <v>573</v>
      </c>
      <c r="R116" s="81">
        <v>1E-8</v>
      </c>
      <c r="S116" s="82">
        <v>1E-8</v>
      </c>
      <c r="T116" s="81">
        <v>1E-8</v>
      </c>
      <c r="U116" s="81">
        <v>1E-8</v>
      </c>
      <c r="V116" s="81">
        <v>1E-8</v>
      </c>
      <c r="W116" s="81">
        <v>1E-8</v>
      </c>
      <c r="X116" s="81">
        <v>1E-8</v>
      </c>
      <c r="Y116" s="81">
        <v>1E-8</v>
      </c>
      <c r="Z116" s="81">
        <v>1E-8</v>
      </c>
      <c r="AA116" s="81">
        <v>1E-8</v>
      </c>
      <c r="AB116" s="4"/>
      <c r="AC116" s="36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6"/>
      <c r="O117" s="4"/>
      <c r="P117" s="11" t="s">
        <v>373</v>
      </c>
      <c r="Q117" s="115" t="s">
        <v>574</v>
      </c>
      <c r="R117" s="77">
        <v>0.14362990460669858</v>
      </c>
      <c r="S117" s="78">
        <v>2.4649656963426914E-2</v>
      </c>
      <c r="T117" s="77">
        <v>1E-8</v>
      </c>
      <c r="U117" s="77">
        <v>1E-8</v>
      </c>
      <c r="V117" s="77">
        <v>1E-8</v>
      </c>
      <c r="W117" s="77">
        <v>1E-8</v>
      </c>
      <c r="X117" s="77">
        <v>1E-8</v>
      </c>
      <c r="Y117" s="77">
        <v>1E-8</v>
      </c>
      <c r="Z117" s="77">
        <v>1E-8</v>
      </c>
      <c r="AA117" s="77">
        <v>1E-8</v>
      </c>
      <c r="AB117" s="4"/>
      <c r="AC117" s="36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6"/>
      <c r="O118" s="4"/>
      <c r="P118" s="9" t="s">
        <v>677</v>
      </c>
      <c r="Q118" s="116" t="s">
        <v>575</v>
      </c>
      <c r="R118" s="79">
        <v>4.8389477744749623E-2</v>
      </c>
      <c r="S118" s="80">
        <v>7.3861219768001085E-2</v>
      </c>
      <c r="T118" s="79">
        <v>1E-8</v>
      </c>
      <c r="U118" s="79">
        <v>1E-8</v>
      </c>
      <c r="V118" s="79">
        <v>1E-8</v>
      </c>
      <c r="W118" s="79">
        <v>1E-8</v>
      </c>
      <c r="X118" s="79">
        <v>1E-8</v>
      </c>
      <c r="Y118" s="79">
        <v>1E-8</v>
      </c>
      <c r="Z118" s="79">
        <v>1E-8</v>
      </c>
      <c r="AA118" s="79">
        <v>1E-8</v>
      </c>
      <c r="AB118" s="4"/>
      <c r="AC118" s="36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6"/>
      <c r="O119" s="4"/>
      <c r="P119" s="9" t="s">
        <v>678</v>
      </c>
      <c r="Q119" s="116" t="s">
        <v>576</v>
      </c>
      <c r="R119" s="79">
        <v>2.4548924150222293E-2</v>
      </c>
      <c r="S119" s="80">
        <v>-0.24098763649139654</v>
      </c>
      <c r="T119" s="79">
        <v>1E-8</v>
      </c>
      <c r="U119" s="79">
        <v>1E-8</v>
      </c>
      <c r="V119" s="79">
        <v>1E-8</v>
      </c>
      <c r="W119" s="79">
        <v>1E-8</v>
      </c>
      <c r="X119" s="79">
        <v>1E-8</v>
      </c>
      <c r="Y119" s="79">
        <v>1E-8</v>
      </c>
      <c r="Z119" s="79">
        <v>1E-8</v>
      </c>
      <c r="AA119" s="79">
        <v>1E-8</v>
      </c>
      <c r="AB119" s="4"/>
      <c r="AC119" s="36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6"/>
      <c r="O120" s="4"/>
      <c r="P120" s="9" t="s">
        <v>679</v>
      </c>
      <c r="Q120" s="116" t="s">
        <v>577</v>
      </c>
      <c r="R120" s="79">
        <v>7.0691502711726625E-2</v>
      </c>
      <c r="S120" s="80">
        <v>8.3210980270820301E-2</v>
      </c>
      <c r="T120" s="79">
        <v>1E-8</v>
      </c>
      <c r="U120" s="79">
        <v>1E-8</v>
      </c>
      <c r="V120" s="79">
        <v>1E-8</v>
      </c>
      <c r="W120" s="79">
        <v>1E-8</v>
      </c>
      <c r="X120" s="79">
        <v>1E-8</v>
      </c>
      <c r="Y120" s="79">
        <v>1E-8</v>
      </c>
      <c r="Z120" s="79">
        <v>1E-8</v>
      </c>
      <c r="AA120" s="79">
        <v>1E-8</v>
      </c>
      <c r="AB120" s="4"/>
      <c r="AC120" s="36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6"/>
      <c r="O121" s="4"/>
      <c r="P121" s="11" t="s">
        <v>195</v>
      </c>
      <c r="Q121" s="115" t="s">
        <v>578</v>
      </c>
      <c r="R121" s="77">
        <v>0.40988121320662785</v>
      </c>
      <c r="S121" s="78">
        <v>4.2281208606365084E-2</v>
      </c>
      <c r="T121" s="77">
        <v>1E-8</v>
      </c>
      <c r="U121" s="77">
        <v>1E-8</v>
      </c>
      <c r="V121" s="77">
        <v>1E-8</v>
      </c>
      <c r="W121" s="77">
        <v>1E-8</v>
      </c>
      <c r="X121" s="77">
        <v>1E-8</v>
      </c>
      <c r="Y121" s="77">
        <v>1E-8</v>
      </c>
      <c r="Z121" s="77">
        <v>1E-8</v>
      </c>
      <c r="AA121" s="77">
        <v>1E-8</v>
      </c>
      <c r="AB121" s="4"/>
      <c r="AC121" s="36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6"/>
      <c r="O122" s="4"/>
      <c r="P122" s="9" t="s">
        <v>680</v>
      </c>
      <c r="Q122" s="116" t="s">
        <v>579</v>
      </c>
      <c r="R122" s="79">
        <v>0.40988121320662785</v>
      </c>
      <c r="S122" s="80">
        <v>4.2281208606365084E-2</v>
      </c>
      <c r="T122" s="79">
        <v>1E-8</v>
      </c>
      <c r="U122" s="79">
        <v>1E-8</v>
      </c>
      <c r="V122" s="79">
        <v>1E-8</v>
      </c>
      <c r="W122" s="79">
        <v>1E-8</v>
      </c>
      <c r="X122" s="79">
        <v>1E-8</v>
      </c>
      <c r="Y122" s="79">
        <v>1E-8</v>
      </c>
      <c r="Z122" s="79">
        <v>1E-8</v>
      </c>
      <c r="AA122" s="79">
        <v>1E-8</v>
      </c>
      <c r="AB122" s="4"/>
      <c r="AC122" s="36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6"/>
      <c r="O123" s="4"/>
      <c r="P123" s="9" t="s">
        <v>681</v>
      </c>
      <c r="Q123" s="116" t="s">
        <v>357</v>
      </c>
      <c r="R123" s="79">
        <v>1E-8</v>
      </c>
      <c r="S123" s="80">
        <v>1E-8</v>
      </c>
      <c r="T123" s="79">
        <v>1E-8</v>
      </c>
      <c r="U123" s="79">
        <v>1E-8</v>
      </c>
      <c r="V123" s="79">
        <v>1E-8</v>
      </c>
      <c r="W123" s="79">
        <v>1E-8</v>
      </c>
      <c r="X123" s="79">
        <v>1E-8</v>
      </c>
      <c r="Y123" s="79">
        <v>1E-8</v>
      </c>
      <c r="Z123" s="79">
        <v>1E-8</v>
      </c>
      <c r="AA123" s="79">
        <v>1E-8</v>
      </c>
      <c r="AB123" s="4"/>
      <c r="AC123" s="36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6"/>
      <c r="O124" s="4"/>
      <c r="P124" s="11" t="s">
        <v>196</v>
      </c>
      <c r="Q124" s="115" t="s">
        <v>580</v>
      </c>
      <c r="R124" s="77">
        <v>3.9458697498675067E-2</v>
      </c>
      <c r="S124" s="78">
        <v>-0.52887629482133436</v>
      </c>
      <c r="T124" s="77">
        <v>1E-8</v>
      </c>
      <c r="U124" s="77">
        <v>1E-8</v>
      </c>
      <c r="V124" s="77">
        <v>1E-8</v>
      </c>
      <c r="W124" s="77">
        <v>1E-8</v>
      </c>
      <c r="X124" s="77">
        <v>1E-8</v>
      </c>
      <c r="Y124" s="77">
        <v>1E-8</v>
      </c>
      <c r="Z124" s="77">
        <v>1E-8</v>
      </c>
      <c r="AA124" s="77">
        <v>1E-8</v>
      </c>
      <c r="AB124" s="4"/>
      <c r="AC124" s="36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6"/>
      <c r="O125" s="4"/>
      <c r="P125" s="9" t="s">
        <v>682</v>
      </c>
      <c r="Q125" s="116" t="s">
        <v>581</v>
      </c>
      <c r="R125" s="79">
        <v>1E-8</v>
      </c>
      <c r="S125" s="80">
        <v>1E-8</v>
      </c>
      <c r="T125" s="79">
        <v>1E-8</v>
      </c>
      <c r="U125" s="79">
        <v>1E-8</v>
      </c>
      <c r="V125" s="79">
        <v>1E-8</v>
      </c>
      <c r="W125" s="79">
        <v>1E-8</v>
      </c>
      <c r="X125" s="79">
        <v>1E-8</v>
      </c>
      <c r="Y125" s="79">
        <v>1E-8</v>
      </c>
      <c r="Z125" s="79">
        <v>1E-8</v>
      </c>
      <c r="AA125" s="79">
        <v>1E-8</v>
      </c>
      <c r="AB125" s="4"/>
      <c r="AC125" s="36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6"/>
      <c r="O126" s="4"/>
      <c r="P126" s="9" t="s">
        <v>683</v>
      </c>
      <c r="Q126" s="116" t="s">
        <v>582</v>
      </c>
      <c r="R126" s="79">
        <v>1E-8</v>
      </c>
      <c r="S126" s="80">
        <v>1E-8</v>
      </c>
      <c r="T126" s="79">
        <v>1E-8</v>
      </c>
      <c r="U126" s="79">
        <v>1E-8</v>
      </c>
      <c r="V126" s="79">
        <v>1E-8</v>
      </c>
      <c r="W126" s="79">
        <v>1E-8</v>
      </c>
      <c r="X126" s="79">
        <v>1E-8</v>
      </c>
      <c r="Y126" s="79">
        <v>1E-8</v>
      </c>
      <c r="Z126" s="79">
        <v>1E-8</v>
      </c>
      <c r="AA126" s="79">
        <v>1E-8</v>
      </c>
      <c r="AB126" s="4"/>
      <c r="AC126" s="36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6"/>
      <c r="O127" s="4"/>
      <c r="P127" s="9" t="s">
        <v>684</v>
      </c>
      <c r="Q127" s="116" t="s">
        <v>583</v>
      </c>
      <c r="R127" s="79">
        <v>1.6996764877674213E-3</v>
      </c>
      <c r="S127" s="80">
        <v>-3.0584162873971255</v>
      </c>
      <c r="T127" s="79">
        <v>1E-8</v>
      </c>
      <c r="U127" s="79">
        <v>1E-8</v>
      </c>
      <c r="V127" s="79">
        <v>1E-8</v>
      </c>
      <c r="W127" s="79">
        <v>1E-8</v>
      </c>
      <c r="X127" s="79">
        <v>1E-8</v>
      </c>
      <c r="Y127" s="79">
        <v>1E-8</v>
      </c>
      <c r="Z127" s="79">
        <v>1E-8</v>
      </c>
      <c r="AA127" s="79">
        <v>1E-8</v>
      </c>
      <c r="AB127" s="4"/>
      <c r="AC127" s="36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6"/>
      <c r="O128" s="4"/>
      <c r="P128" s="9" t="s">
        <v>685</v>
      </c>
      <c r="Q128" s="116" t="s">
        <v>584</v>
      </c>
      <c r="R128" s="79">
        <v>3.1436299550033686E-2</v>
      </c>
      <c r="S128" s="80">
        <v>-0.367582741163619</v>
      </c>
      <c r="T128" s="79">
        <v>1E-8</v>
      </c>
      <c r="U128" s="79">
        <v>1E-8</v>
      </c>
      <c r="V128" s="79">
        <v>1E-8</v>
      </c>
      <c r="W128" s="79">
        <v>1E-8</v>
      </c>
      <c r="X128" s="79">
        <v>1E-8</v>
      </c>
      <c r="Y128" s="79">
        <v>1E-8</v>
      </c>
      <c r="Z128" s="79">
        <v>1E-8</v>
      </c>
      <c r="AA128" s="79">
        <v>1E-8</v>
      </c>
      <c r="AB128" s="4"/>
      <c r="AC128" s="36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6"/>
      <c r="O129" s="4"/>
      <c r="P129" s="9" t="s">
        <v>686</v>
      </c>
      <c r="Q129" s="109" t="s">
        <v>585</v>
      </c>
      <c r="R129" s="81">
        <v>6.3227214608739543E-3</v>
      </c>
      <c r="S129" s="82">
        <v>-0.65082897339452384</v>
      </c>
      <c r="T129" s="81">
        <v>1E-8</v>
      </c>
      <c r="U129" s="81">
        <v>1E-8</v>
      </c>
      <c r="V129" s="81">
        <v>1E-8</v>
      </c>
      <c r="W129" s="81">
        <v>1E-8</v>
      </c>
      <c r="X129" s="81">
        <v>1E-8</v>
      </c>
      <c r="Y129" s="81">
        <v>1E-8</v>
      </c>
      <c r="Z129" s="81">
        <v>1E-8</v>
      </c>
      <c r="AA129" s="81">
        <v>1E-8</v>
      </c>
      <c r="AB129" s="4"/>
      <c r="AC129" s="36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6"/>
      <c r="O130" s="4"/>
      <c r="P130" s="11" t="s">
        <v>687</v>
      </c>
      <c r="Q130" s="115" t="s">
        <v>358</v>
      </c>
      <c r="R130" s="77">
        <v>4.2581035759315621E-2</v>
      </c>
      <c r="S130" s="78">
        <v>6.3007225852285131E-2</v>
      </c>
      <c r="T130" s="77">
        <v>1E-8</v>
      </c>
      <c r="U130" s="77">
        <v>1E-8</v>
      </c>
      <c r="V130" s="77">
        <v>1E-8</v>
      </c>
      <c r="W130" s="77">
        <v>1E-8</v>
      </c>
      <c r="X130" s="77">
        <v>1E-8</v>
      </c>
      <c r="Y130" s="77">
        <v>1E-8</v>
      </c>
      <c r="Z130" s="77">
        <v>1E-8</v>
      </c>
      <c r="AA130" s="77">
        <v>1E-8</v>
      </c>
      <c r="AB130" s="4"/>
      <c r="AC130" s="36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6"/>
      <c r="O131" s="4"/>
      <c r="P131" s="11" t="s">
        <v>688</v>
      </c>
      <c r="Q131" s="115" t="s">
        <v>359</v>
      </c>
      <c r="R131" s="77">
        <v>0.21004872245547365</v>
      </c>
      <c r="S131" s="78">
        <v>-0.29839972528769021</v>
      </c>
      <c r="T131" s="77">
        <v>1E-8</v>
      </c>
      <c r="U131" s="77">
        <v>1E-8</v>
      </c>
      <c r="V131" s="77">
        <v>1E-8</v>
      </c>
      <c r="W131" s="77">
        <v>1E-8</v>
      </c>
      <c r="X131" s="77">
        <v>1E-8</v>
      </c>
      <c r="Y131" s="77">
        <v>1E-8</v>
      </c>
      <c r="Z131" s="77">
        <v>1E-8</v>
      </c>
      <c r="AA131" s="77">
        <v>1E-8</v>
      </c>
      <c r="AB131" s="4"/>
      <c r="AC131" s="36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6"/>
      <c r="O132" s="4"/>
      <c r="P132" s="11" t="s">
        <v>689</v>
      </c>
      <c r="Q132" s="115" t="s">
        <v>360</v>
      </c>
      <c r="R132" s="77">
        <v>0.1900200486405324</v>
      </c>
      <c r="S132" s="78">
        <v>-1.2866211920367632</v>
      </c>
      <c r="T132" s="77">
        <v>1E-8</v>
      </c>
      <c r="U132" s="77">
        <v>1E-8</v>
      </c>
      <c r="V132" s="77">
        <v>1E-8</v>
      </c>
      <c r="W132" s="77">
        <v>1E-8</v>
      </c>
      <c r="X132" s="77">
        <v>1E-8</v>
      </c>
      <c r="Y132" s="77">
        <v>1E-8</v>
      </c>
      <c r="Z132" s="77">
        <v>1E-8</v>
      </c>
      <c r="AA132" s="77">
        <v>1E-8</v>
      </c>
      <c r="AB132" s="4"/>
      <c r="AC132" s="36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6"/>
      <c r="O133" s="4"/>
      <c r="P133" s="11" t="s">
        <v>205</v>
      </c>
      <c r="Q133" s="115" t="s">
        <v>586</v>
      </c>
      <c r="R133" s="77">
        <v>0.51421764858121588</v>
      </c>
      <c r="S133" s="78">
        <v>-3.8711428913840162E-2</v>
      </c>
      <c r="T133" s="77">
        <v>1E-8</v>
      </c>
      <c r="U133" s="77">
        <v>1E-8</v>
      </c>
      <c r="V133" s="77">
        <v>1E-8</v>
      </c>
      <c r="W133" s="77">
        <v>1E-8</v>
      </c>
      <c r="X133" s="77">
        <v>1E-8</v>
      </c>
      <c r="Y133" s="77">
        <v>1E-8</v>
      </c>
      <c r="Z133" s="77">
        <v>1E-8</v>
      </c>
      <c r="AA133" s="77">
        <v>1E-8</v>
      </c>
      <c r="AB133" s="4"/>
      <c r="AC133" s="36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6"/>
      <c r="O134" s="4"/>
      <c r="P134" s="9" t="s">
        <v>690</v>
      </c>
      <c r="Q134" s="116" t="s">
        <v>587</v>
      </c>
      <c r="R134" s="79">
        <v>7.0865675490467258E-3</v>
      </c>
      <c r="S134" s="80">
        <v>-6.2553355118255549E-2</v>
      </c>
      <c r="T134" s="79">
        <v>1E-8</v>
      </c>
      <c r="U134" s="79">
        <v>1E-8</v>
      </c>
      <c r="V134" s="79">
        <v>1E-8</v>
      </c>
      <c r="W134" s="79">
        <v>1E-8</v>
      </c>
      <c r="X134" s="79">
        <v>1E-8</v>
      </c>
      <c r="Y134" s="79">
        <v>1E-8</v>
      </c>
      <c r="Z134" s="79">
        <v>1E-8</v>
      </c>
      <c r="AA134" s="79">
        <v>1E-8</v>
      </c>
      <c r="AB134" s="4"/>
      <c r="AC134" s="36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6"/>
      <c r="O135" s="4"/>
      <c r="P135" s="9" t="s">
        <v>691</v>
      </c>
      <c r="Q135" s="116" t="s">
        <v>588</v>
      </c>
      <c r="R135" s="79">
        <v>1.5243141262414724E-2</v>
      </c>
      <c r="S135" s="80">
        <v>0.40385494649379794</v>
      </c>
      <c r="T135" s="79">
        <v>1E-8</v>
      </c>
      <c r="U135" s="79">
        <v>1E-8</v>
      </c>
      <c r="V135" s="79">
        <v>1E-8</v>
      </c>
      <c r="W135" s="79">
        <v>1E-8</v>
      </c>
      <c r="X135" s="79">
        <v>1E-8</v>
      </c>
      <c r="Y135" s="79">
        <v>1E-8</v>
      </c>
      <c r="Z135" s="79">
        <v>1E-8</v>
      </c>
      <c r="AA135" s="79">
        <v>1E-8</v>
      </c>
      <c r="AB135" s="4"/>
      <c r="AC135" s="36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6"/>
      <c r="O136" s="4"/>
      <c r="P136" s="9" t="s">
        <v>692</v>
      </c>
      <c r="Q136" s="116" t="s">
        <v>589</v>
      </c>
      <c r="R136" s="79">
        <v>5.3210865274500453E-2</v>
      </c>
      <c r="S136" s="80">
        <v>0.60279097500886003</v>
      </c>
      <c r="T136" s="79">
        <v>1E-8</v>
      </c>
      <c r="U136" s="79">
        <v>1E-8</v>
      </c>
      <c r="V136" s="79">
        <v>1E-8</v>
      </c>
      <c r="W136" s="79">
        <v>1E-8</v>
      </c>
      <c r="X136" s="79">
        <v>1E-8</v>
      </c>
      <c r="Y136" s="79">
        <v>1E-8</v>
      </c>
      <c r="Z136" s="79">
        <v>1E-8</v>
      </c>
      <c r="AA136" s="79">
        <v>1E-8</v>
      </c>
      <c r="AB136" s="4"/>
      <c r="AC136" s="36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6"/>
      <c r="O137" s="4"/>
      <c r="P137" s="9" t="s">
        <v>693</v>
      </c>
      <c r="Q137" s="116" t="s">
        <v>361</v>
      </c>
      <c r="R137" s="79">
        <v>0.41326495599860447</v>
      </c>
      <c r="S137" s="80">
        <v>-0.18010699288942833</v>
      </c>
      <c r="T137" s="79">
        <v>1E-8</v>
      </c>
      <c r="U137" s="79">
        <v>1E-8</v>
      </c>
      <c r="V137" s="79">
        <v>1E-8</v>
      </c>
      <c r="W137" s="79">
        <v>1E-8</v>
      </c>
      <c r="X137" s="79">
        <v>1E-8</v>
      </c>
      <c r="Y137" s="79">
        <v>1E-8</v>
      </c>
      <c r="Z137" s="79">
        <v>1E-8</v>
      </c>
      <c r="AA137" s="79">
        <v>1E-8</v>
      </c>
      <c r="AB137" s="4"/>
      <c r="AC137" s="36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6"/>
      <c r="O138" s="4"/>
      <c r="P138" s="9" t="s">
        <v>694</v>
      </c>
      <c r="Q138" s="116" t="s">
        <v>590</v>
      </c>
      <c r="R138" s="79">
        <v>2.5412118496649594E-2</v>
      </c>
      <c r="S138" s="80">
        <v>0.65866408430468315</v>
      </c>
      <c r="T138" s="79">
        <v>1E-8</v>
      </c>
      <c r="U138" s="79">
        <v>1E-8</v>
      </c>
      <c r="V138" s="79">
        <v>1E-8</v>
      </c>
      <c r="W138" s="79">
        <v>1E-8</v>
      </c>
      <c r="X138" s="79">
        <v>1E-8</v>
      </c>
      <c r="Y138" s="79">
        <v>1E-8</v>
      </c>
      <c r="Z138" s="79">
        <v>1E-8</v>
      </c>
      <c r="AA138" s="79">
        <v>1E-8</v>
      </c>
      <c r="AB138" s="4"/>
      <c r="AC138" s="36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6"/>
      <c r="O139" s="4"/>
      <c r="P139" s="9" t="s">
        <v>695</v>
      </c>
      <c r="Q139" s="116" t="s">
        <v>591</v>
      </c>
      <c r="R139" s="79">
        <v>1E-8</v>
      </c>
      <c r="S139" s="80">
        <v>1E-8</v>
      </c>
      <c r="T139" s="79">
        <v>1E-8</v>
      </c>
      <c r="U139" s="79">
        <v>1E-8</v>
      </c>
      <c r="V139" s="79">
        <v>1E-8</v>
      </c>
      <c r="W139" s="79">
        <v>1E-8</v>
      </c>
      <c r="X139" s="79">
        <v>1E-8</v>
      </c>
      <c r="Y139" s="79">
        <v>1E-8</v>
      </c>
      <c r="Z139" s="79">
        <v>1E-8</v>
      </c>
      <c r="AA139" s="79">
        <v>1E-8</v>
      </c>
      <c r="AB139" s="4"/>
      <c r="AC139" s="36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6"/>
      <c r="O140" s="4"/>
      <c r="P140" s="9"/>
      <c r="Q140" s="17"/>
      <c r="R140" s="24"/>
      <c r="S140" s="25"/>
      <c r="T140" s="24"/>
      <c r="U140" s="24"/>
      <c r="V140" s="24"/>
      <c r="W140" s="24"/>
      <c r="X140" s="24"/>
      <c r="Y140" s="24"/>
      <c r="Z140" s="24"/>
      <c r="AA140" s="24"/>
      <c r="AB140" s="4"/>
      <c r="AC140" s="36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</sheetData>
  <sheetProtection sheet="1" objects="1" scenarios="1"/>
  <conditionalFormatting sqref="R140:AA140">
    <cfRule type="cellIs" dxfId="4" priority="13" operator="equal">
      <formula>0.00000001</formula>
    </cfRule>
  </conditionalFormatting>
  <conditionalFormatting sqref="C6:L36">
    <cfRule type="cellIs" dxfId="3" priority="5" operator="equal">
      <formula>0.00000001</formula>
    </cfRule>
  </conditionalFormatting>
  <conditionalFormatting sqref="AG6:AR37">
    <cfRule type="cellIs" dxfId="2" priority="4" operator="equal">
      <formula>0.00000001</formula>
    </cfRule>
  </conditionalFormatting>
  <conditionalFormatting sqref="C39:L68">
    <cfRule type="cellIs" dxfId="1" priority="2" operator="equal">
      <formula>0.00000001</formula>
    </cfRule>
  </conditionalFormatting>
  <conditionalFormatting sqref="Q6:AA139">
    <cfRule type="cellIs" dxfId="0" priority="1" operator="equal">
      <formula>0.00000001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K28"/>
  <sheetViews>
    <sheetView zoomScale="130" zoomScaleNormal="130" workbookViewId="0">
      <pane ySplit="6" topLeftCell="A7" activePane="bottomLeft" state="frozen"/>
      <selection pane="bottomLeft" activeCell="I8" sqref="I8"/>
    </sheetView>
  </sheetViews>
  <sheetFormatPr defaultRowHeight="14.5" x14ac:dyDescent="0.35"/>
  <cols>
    <col min="9" max="9" width="21.81640625" customWidth="1"/>
  </cols>
  <sheetData>
    <row r="1" spans="1:11" x14ac:dyDescent="0.35">
      <c r="A1" s="8" t="s">
        <v>206</v>
      </c>
    </row>
    <row r="5" spans="1:11" x14ac:dyDescent="0.35">
      <c r="A5" t="s">
        <v>207</v>
      </c>
      <c r="G5" t="s">
        <v>208</v>
      </c>
      <c r="H5" t="s">
        <v>209</v>
      </c>
      <c r="I5" t="s">
        <v>210</v>
      </c>
      <c r="J5" t="s">
        <v>211</v>
      </c>
      <c r="K5" t="s">
        <v>212</v>
      </c>
    </row>
    <row r="6" spans="1:11" x14ac:dyDescent="0.35">
      <c r="C6" t="s">
        <v>212</v>
      </c>
      <c r="D6" t="s">
        <v>211</v>
      </c>
      <c r="J6" t="s">
        <v>213</v>
      </c>
      <c r="K6" t="s">
        <v>214</v>
      </c>
    </row>
    <row r="7" spans="1:11" x14ac:dyDescent="0.35">
      <c r="A7" t="s">
        <v>215</v>
      </c>
      <c r="B7" t="s">
        <v>216</v>
      </c>
      <c r="C7" t="s">
        <v>468</v>
      </c>
      <c r="D7">
        <v>5</v>
      </c>
      <c r="G7" t="s">
        <v>218</v>
      </c>
      <c r="H7" t="str">
        <f t="shared" ref="H7:H25" si="0">A7</f>
        <v>yitab</v>
      </c>
      <c r="I7" t="str">
        <f t="shared" ref="I7:I25" si="1">B7&amp;"!"&amp;C7&amp;D7</f>
        <v>households!b5</v>
      </c>
      <c r="J7">
        <v>1</v>
      </c>
      <c r="K7">
        <v>1</v>
      </c>
    </row>
    <row r="8" spans="1:11" x14ac:dyDescent="0.35">
      <c r="A8" t="s">
        <v>506</v>
      </c>
      <c r="B8" t="s">
        <v>216</v>
      </c>
      <c r="C8" t="s">
        <v>468</v>
      </c>
      <c r="D8">
        <v>38</v>
      </c>
      <c r="G8" t="s">
        <v>218</v>
      </c>
      <c r="H8" t="str">
        <f t="shared" si="0"/>
        <v>qctab</v>
      </c>
      <c r="I8" t="str">
        <f t="shared" si="1"/>
        <v>households!b38</v>
      </c>
      <c r="J8">
        <v>1</v>
      </c>
      <c r="K8">
        <v>1</v>
      </c>
    </row>
    <row r="9" spans="1:11" x14ac:dyDescent="0.35">
      <c r="A9" t="s">
        <v>220</v>
      </c>
      <c r="B9" t="s">
        <v>216</v>
      </c>
      <c r="C9" t="s">
        <v>248</v>
      </c>
      <c r="D9">
        <v>5</v>
      </c>
      <c r="G9" t="s">
        <v>218</v>
      </c>
      <c r="H9" t="str">
        <f t="shared" si="0"/>
        <v>qhtab2</v>
      </c>
      <c r="I9" t="str">
        <f t="shared" si="1"/>
        <v>households!q5</v>
      </c>
      <c r="J9">
        <v>1</v>
      </c>
      <c r="K9">
        <v>1</v>
      </c>
    </row>
    <row r="10" spans="1:11" x14ac:dyDescent="0.35">
      <c r="A10" t="s">
        <v>222</v>
      </c>
      <c r="B10" t="s">
        <v>216</v>
      </c>
      <c r="C10" t="s">
        <v>221</v>
      </c>
      <c r="D10">
        <v>5</v>
      </c>
      <c r="G10" t="s">
        <v>218</v>
      </c>
      <c r="H10" t="str">
        <f t="shared" si="0"/>
        <v>taxtot</v>
      </c>
      <c r="I10" t="str">
        <f t="shared" si="1"/>
        <v>households!ag5</v>
      </c>
      <c r="J10">
        <v>2</v>
      </c>
      <c r="K10">
        <v>1</v>
      </c>
    </row>
    <row r="11" spans="1:11" x14ac:dyDescent="0.35">
      <c r="A11" t="s">
        <v>485</v>
      </c>
      <c r="B11" t="s">
        <v>223</v>
      </c>
      <c r="C11" t="s">
        <v>468</v>
      </c>
      <c r="D11">
        <v>5</v>
      </c>
      <c r="G11" t="s">
        <v>218</v>
      </c>
      <c r="H11" t="str">
        <f t="shared" si="0"/>
        <v>QFSTAB</v>
      </c>
      <c r="I11" t="str">
        <f t="shared" si="1"/>
        <v>factors!b5</v>
      </c>
      <c r="J11">
        <v>1</v>
      </c>
      <c r="K11">
        <v>1</v>
      </c>
    </row>
    <row r="12" spans="1:11" x14ac:dyDescent="0.35">
      <c r="A12" t="s">
        <v>486</v>
      </c>
      <c r="B12" t="s">
        <v>223</v>
      </c>
      <c r="C12" t="s">
        <v>468</v>
      </c>
      <c r="D12">
        <v>39</v>
      </c>
      <c r="G12" t="s">
        <v>218</v>
      </c>
      <c r="H12" t="str">
        <f t="shared" si="0"/>
        <v>WFTAB</v>
      </c>
      <c r="I12" t="str">
        <f t="shared" si="1"/>
        <v>factors!b39</v>
      </c>
      <c r="J12">
        <v>1</v>
      </c>
      <c r="K12">
        <v>1</v>
      </c>
    </row>
    <row r="13" spans="1:11" x14ac:dyDescent="0.35">
      <c r="A13" t="s">
        <v>487</v>
      </c>
      <c r="B13" t="s">
        <v>223</v>
      </c>
      <c r="C13" t="s">
        <v>468</v>
      </c>
      <c r="D13">
        <v>73</v>
      </c>
      <c r="G13" t="s">
        <v>218</v>
      </c>
      <c r="H13" t="str">
        <f t="shared" si="0"/>
        <v>YFTAB2</v>
      </c>
      <c r="I13" t="str">
        <f t="shared" si="1"/>
        <v>factors!b73</v>
      </c>
      <c r="J13">
        <v>1</v>
      </c>
      <c r="K13">
        <v>1</v>
      </c>
    </row>
    <row r="14" spans="1:11" x14ac:dyDescent="0.35">
      <c r="A14" t="s">
        <v>224</v>
      </c>
      <c r="B14" t="s">
        <v>223</v>
      </c>
      <c r="C14" t="s">
        <v>219</v>
      </c>
      <c r="D14">
        <v>5</v>
      </c>
      <c r="G14" t="s">
        <v>218</v>
      </c>
      <c r="H14" t="str">
        <f t="shared" si="0"/>
        <v>qftab</v>
      </c>
      <c r="I14" t="str">
        <f t="shared" si="1"/>
        <v>factors!r5</v>
      </c>
      <c r="J14">
        <v>2</v>
      </c>
      <c r="K14">
        <v>1</v>
      </c>
    </row>
    <row r="15" spans="1:11" x14ac:dyDescent="0.35">
      <c r="A15" t="s">
        <v>225</v>
      </c>
      <c r="B15" t="s">
        <v>226</v>
      </c>
      <c r="C15" t="s">
        <v>217</v>
      </c>
      <c r="D15">
        <v>5</v>
      </c>
      <c r="G15" t="s">
        <v>218</v>
      </c>
      <c r="H15" t="str">
        <f t="shared" si="0"/>
        <v>pxtab</v>
      </c>
      <c r="I15" t="str">
        <f t="shared" si="1"/>
        <v>prices!c5</v>
      </c>
      <c r="J15">
        <v>1</v>
      </c>
      <c r="K15">
        <v>1</v>
      </c>
    </row>
    <row r="16" spans="1:11" x14ac:dyDescent="0.35">
      <c r="A16" t="s">
        <v>227</v>
      </c>
      <c r="B16" t="s">
        <v>226</v>
      </c>
      <c r="C16" t="s">
        <v>219</v>
      </c>
      <c r="D16">
        <v>5</v>
      </c>
      <c r="G16" t="s">
        <v>218</v>
      </c>
      <c r="H16" t="str">
        <f t="shared" si="0"/>
        <v>pqtab</v>
      </c>
      <c r="I16" t="str">
        <f t="shared" si="1"/>
        <v>prices!r5</v>
      </c>
      <c r="J16">
        <v>1</v>
      </c>
      <c r="K16">
        <v>1</v>
      </c>
    </row>
    <row r="17" spans="1:11" x14ac:dyDescent="0.35">
      <c r="A17" t="s">
        <v>228</v>
      </c>
      <c r="B17" t="s">
        <v>226</v>
      </c>
      <c r="C17" t="s">
        <v>221</v>
      </c>
      <c r="D17">
        <v>5</v>
      </c>
      <c r="G17" t="s">
        <v>218</v>
      </c>
      <c r="H17" t="str">
        <f t="shared" si="0"/>
        <v>petab</v>
      </c>
      <c r="I17" t="str">
        <f t="shared" si="1"/>
        <v>prices!ag5</v>
      </c>
      <c r="J17">
        <v>1</v>
      </c>
      <c r="K17">
        <v>1</v>
      </c>
    </row>
    <row r="18" spans="1:11" x14ac:dyDescent="0.35">
      <c r="A18" t="s">
        <v>229</v>
      </c>
      <c r="B18" t="s">
        <v>226</v>
      </c>
      <c r="C18" t="s">
        <v>230</v>
      </c>
      <c r="D18">
        <v>5</v>
      </c>
      <c r="G18" t="s">
        <v>218</v>
      </c>
      <c r="H18" t="str">
        <f t="shared" si="0"/>
        <v>pmtab</v>
      </c>
      <c r="I18" t="str">
        <f t="shared" si="1"/>
        <v>prices!av5</v>
      </c>
      <c r="J18">
        <v>1</v>
      </c>
      <c r="K18">
        <v>1</v>
      </c>
    </row>
    <row r="19" spans="1:11" x14ac:dyDescent="0.35">
      <c r="A19" t="s">
        <v>231</v>
      </c>
      <c r="B19" t="s">
        <v>226</v>
      </c>
      <c r="C19" t="s">
        <v>232</v>
      </c>
      <c r="D19">
        <v>5</v>
      </c>
      <c r="G19" t="s">
        <v>218</v>
      </c>
      <c r="H19" t="str">
        <f t="shared" si="0"/>
        <v>pwetab</v>
      </c>
      <c r="I19" t="str">
        <f t="shared" si="1"/>
        <v>prices!bk5</v>
      </c>
      <c r="J19">
        <v>1</v>
      </c>
      <c r="K19">
        <v>1</v>
      </c>
    </row>
    <row r="20" spans="1:11" x14ac:dyDescent="0.35">
      <c r="A20" t="s">
        <v>233</v>
      </c>
      <c r="B20" t="s">
        <v>226</v>
      </c>
      <c r="C20" t="s">
        <v>234</v>
      </c>
      <c r="D20">
        <v>5</v>
      </c>
      <c r="G20" t="s">
        <v>218</v>
      </c>
      <c r="H20" t="str">
        <f t="shared" si="0"/>
        <v>pwmtab</v>
      </c>
      <c r="I20" t="str">
        <f t="shared" si="1"/>
        <v>prices!bz5</v>
      </c>
      <c r="J20">
        <v>1</v>
      </c>
      <c r="K20">
        <v>1</v>
      </c>
    </row>
    <row r="21" spans="1:11" x14ac:dyDescent="0.35">
      <c r="A21" t="s">
        <v>235</v>
      </c>
      <c r="B21" t="s">
        <v>236</v>
      </c>
      <c r="C21" t="s">
        <v>217</v>
      </c>
      <c r="D21">
        <v>5</v>
      </c>
      <c r="G21" t="s">
        <v>218</v>
      </c>
      <c r="H21" t="str">
        <f t="shared" si="0"/>
        <v>qetab</v>
      </c>
      <c r="I21" t="str">
        <f t="shared" si="1"/>
        <v>trade!c5</v>
      </c>
      <c r="J21">
        <v>1</v>
      </c>
      <c r="K21">
        <v>1</v>
      </c>
    </row>
    <row r="22" spans="1:11" x14ac:dyDescent="0.35">
      <c r="A22" t="s">
        <v>237</v>
      </c>
      <c r="B22" t="s">
        <v>236</v>
      </c>
      <c r="C22" t="s">
        <v>469</v>
      </c>
      <c r="D22">
        <v>5</v>
      </c>
      <c r="G22" t="s">
        <v>218</v>
      </c>
      <c r="H22" t="str">
        <f t="shared" si="0"/>
        <v>qmtab</v>
      </c>
      <c r="I22" t="str">
        <f t="shared" si="1"/>
        <v>trade!s5</v>
      </c>
      <c r="J22">
        <v>1</v>
      </c>
      <c r="K22">
        <v>1</v>
      </c>
    </row>
    <row r="23" spans="1:11" x14ac:dyDescent="0.35">
      <c r="A23" t="s">
        <v>238</v>
      </c>
      <c r="B23" t="s">
        <v>239</v>
      </c>
      <c r="C23" t="s">
        <v>217</v>
      </c>
      <c r="D23">
        <v>5</v>
      </c>
      <c r="G23" t="s">
        <v>218</v>
      </c>
      <c r="H23" t="str">
        <f t="shared" si="0"/>
        <v>sgrowth</v>
      </c>
      <c r="I23" t="str">
        <f t="shared" si="1"/>
        <v>sector!c5</v>
      </c>
      <c r="J23">
        <v>1</v>
      </c>
      <c r="K23">
        <v>1</v>
      </c>
    </row>
    <row r="24" spans="1:11" x14ac:dyDescent="0.35">
      <c r="A24" t="s">
        <v>240</v>
      </c>
      <c r="B24" t="s">
        <v>239</v>
      </c>
      <c r="C24" t="s">
        <v>469</v>
      </c>
      <c r="D24">
        <v>5</v>
      </c>
      <c r="G24" t="s">
        <v>218</v>
      </c>
      <c r="H24" t="str">
        <f t="shared" si="0"/>
        <v>scontr</v>
      </c>
      <c r="I24" t="str">
        <f t="shared" si="1"/>
        <v>sector!s5</v>
      </c>
      <c r="J24">
        <v>1</v>
      </c>
      <c r="K24">
        <v>1</v>
      </c>
    </row>
    <row r="25" spans="1:11" x14ac:dyDescent="0.35">
      <c r="A25" t="s">
        <v>241</v>
      </c>
      <c r="B25" t="s">
        <v>242</v>
      </c>
      <c r="C25" t="s">
        <v>217</v>
      </c>
      <c r="D25">
        <v>5</v>
      </c>
      <c r="G25" t="s">
        <v>218</v>
      </c>
      <c r="H25" t="str">
        <f t="shared" si="0"/>
        <v>gdptab1p</v>
      </c>
      <c r="I25" t="str">
        <f t="shared" si="1"/>
        <v>gdp!c5</v>
      </c>
      <c r="J25">
        <v>2</v>
      </c>
      <c r="K25">
        <v>1</v>
      </c>
    </row>
    <row r="26" spans="1:11" x14ac:dyDescent="0.35">
      <c r="A26" t="s">
        <v>245</v>
      </c>
      <c r="B26" t="s">
        <v>246</v>
      </c>
      <c r="C26" t="s">
        <v>217</v>
      </c>
      <c r="D26">
        <v>7</v>
      </c>
      <c r="G26" t="s">
        <v>218</v>
      </c>
      <c r="H26" t="str">
        <f>A26</f>
        <v>taxtab</v>
      </c>
      <c r="I26" t="str">
        <f>B26&amp;"!"&amp;C26&amp;D26</f>
        <v>base!c7</v>
      </c>
      <c r="J26">
        <v>1</v>
      </c>
      <c r="K26">
        <v>1</v>
      </c>
    </row>
    <row r="27" spans="1:11" x14ac:dyDescent="0.35">
      <c r="A27" t="s">
        <v>247</v>
      </c>
      <c r="B27" t="s">
        <v>246</v>
      </c>
      <c r="C27" t="s">
        <v>219</v>
      </c>
      <c r="D27">
        <v>7</v>
      </c>
      <c r="G27" t="s">
        <v>218</v>
      </c>
      <c r="H27" t="str">
        <f>A27</f>
        <v>strucbase2</v>
      </c>
      <c r="I27" t="str">
        <f>B27&amp;"!"&amp;C27&amp;D27</f>
        <v>base!r7</v>
      </c>
      <c r="J27">
        <v>1</v>
      </c>
      <c r="K27">
        <v>1</v>
      </c>
    </row>
    <row r="28" spans="1:11" x14ac:dyDescent="0.35">
      <c r="A28" t="s">
        <v>243</v>
      </c>
      <c r="B28" t="s">
        <v>244</v>
      </c>
      <c r="C28" t="s">
        <v>217</v>
      </c>
      <c r="D28">
        <v>5</v>
      </c>
      <c r="G28" t="s">
        <v>218</v>
      </c>
      <c r="H28" t="str">
        <f>A28</f>
        <v>macrotab</v>
      </c>
      <c r="I28" t="str">
        <f>B28&amp;"!"&amp;C28&amp;D28</f>
        <v>macro!c5</v>
      </c>
      <c r="J28">
        <v>1</v>
      </c>
      <c r="K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Base</vt:lpstr>
      <vt:lpstr>Macro</vt:lpstr>
      <vt:lpstr>GDP</vt:lpstr>
      <vt:lpstr>Sector</vt:lpstr>
      <vt:lpstr>Trade</vt:lpstr>
      <vt:lpstr>Prices</vt:lpstr>
      <vt:lpstr>Factors</vt:lpstr>
      <vt:lpstr>Households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2023-10-12T10:52:41Z</dcterms:modified>
</cp:coreProperties>
</file>