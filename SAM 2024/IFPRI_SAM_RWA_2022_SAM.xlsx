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B42A785-9D07-41ED-8342-FDE5640A8085}" xr6:coauthVersionLast="47" xr6:coauthVersionMax="47" xr10:uidLastSave="{00000000-0000-0000-0000-000000000000}"/>
  <bookViews>
    <workbookView xWindow="-28920" yWindow="2025" windowWidth="29040" windowHeight="15720" xr2:uid="{45359117-7750-4B7B-9461-562F146487BB}"/>
  </bookViews>
  <sheets>
    <sheet name="IFPRI_SAM_RWA_2022_SAM" sheetId="1" r:id="rId1"/>
    <sheet name="Mapping (TSA and SAM)" sheetId="3" r:id="rId2"/>
  </sheets>
  <calcPr calcId="191029"/>
</workbook>
</file>

<file path=xl/calcChain.xml><?xml version="1.0" encoding="utf-8"?>
<calcChain xmlns="http://schemas.openxmlformats.org/spreadsheetml/2006/main">
  <c r="BF118" i="1" l="1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BC126" i="1" l="1"/>
  <c r="BF125" i="1"/>
  <c r="BG127" i="1"/>
  <c r="BG126" i="1"/>
  <c r="BG125" i="1"/>
  <c r="BE125" i="1"/>
  <c r="BD125" i="1"/>
  <c r="BC125" i="1"/>
  <c r="BD126" i="1"/>
  <c r="BD127" i="1" s="1"/>
  <c r="BE126" i="1"/>
  <c r="BE127" i="1" s="1"/>
  <c r="BD120" i="1"/>
  <c r="BH119" i="1" s="1"/>
  <c r="BE120" i="1"/>
  <c r="BI119" i="1" s="1"/>
  <c r="BC120" i="1"/>
  <c r="BG119" i="1" s="1"/>
  <c r="BF119" i="1"/>
  <c r="AQ161" i="1"/>
  <c r="AQ167" i="1" s="1"/>
  <c r="AR161" i="1"/>
  <c r="AR167" i="1" s="1"/>
  <c r="AP161" i="1"/>
  <c r="AS161" i="1" s="1"/>
  <c r="AT167" i="1" s="1"/>
  <c r="AS160" i="1"/>
  <c r="AS134" i="1"/>
  <c r="AP167" i="1" l="1"/>
  <c r="BC127" i="1"/>
  <c r="BF126" i="1"/>
  <c r="BF127" i="1" s="1"/>
  <c r="BF120" i="1"/>
  <c r="BJ119" i="1" s="1"/>
  <c r="BG118" i="1"/>
  <c r="BG120" i="1" s="1"/>
  <c r="BH118" i="1"/>
  <c r="BH120" i="1" s="1"/>
  <c r="BI118" i="1"/>
  <c r="BI120" i="1" s="1"/>
  <c r="AS167" i="1" l="1"/>
  <c r="BJ118" i="1"/>
  <c r="BJ120" i="1" s="1"/>
  <c r="AZ160" i="1" l="1"/>
  <c r="AZ161" i="1" s="1"/>
  <c r="BE162" i="1" s="1"/>
  <c r="AY148" i="1"/>
  <c r="AY134" i="1"/>
  <c r="AX148" i="1"/>
  <c r="BA148" i="1" s="1"/>
  <c r="AX134" i="1"/>
  <c r="AX161" i="1" s="1"/>
  <c r="AS165" i="1"/>
  <c r="AS148" i="1"/>
  <c r="AT161" i="1" s="1"/>
  <c r="BA134" i="1" l="1"/>
  <c r="AY161" i="1"/>
  <c r="BD162" i="1" s="1"/>
  <c r="BA161" i="1"/>
  <c r="BC162" i="1"/>
  <c r="BA160" i="1"/>
  <c r="BA162" i="1" l="1"/>
</calcChain>
</file>

<file path=xl/sharedStrings.xml><?xml version="1.0" encoding="utf-8"?>
<sst xmlns="http://schemas.openxmlformats.org/spreadsheetml/2006/main" count="922" uniqueCount="453">
  <si>
    <t>SAM 2018, BILLIONS LCU</t>
  </si>
  <si>
    <t>Read/Interpret</t>
  </si>
  <si>
    <t>Agg. Accounts</t>
  </si>
  <si>
    <t>2022 Social Accounting Matrix for Rwanda</t>
  </si>
  <si>
    <t>Code</t>
  </si>
  <si>
    <t>amaiz</t>
  </si>
  <si>
    <t>arice</t>
  </si>
  <si>
    <t>aocer</t>
  </si>
  <si>
    <t>apuls</t>
  </si>
  <si>
    <t>aoils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</si>
  <si>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</si>
  <si>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</si>
  <si>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</si>
  <si>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</si>
  <si>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</si>
  <si>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</si>
  <si>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</si>
  <si>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</si>
  <si>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</si>
  <si>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</si>
  <si>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</si>
  <si>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</si>
  <si>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amine</t>
  </si>
  <si>
    <t>afood</t>
  </si>
  <si>
    <t>abeve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</si>
  <si>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</si>
  <si>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</si>
  <si>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</si>
  <si>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</si>
  <si>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</si>
  <si>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</si>
  <si>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</si>
  <si>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</si>
  <si>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</si>
  <si>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</si>
  <si>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</si>
  <si>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</si>
  <si>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</si>
  <si>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</si>
  <si>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</si>
  <si>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</si>
  <si>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</si>
  <si>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</si>
  <si>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</si>
  <si>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</si>
  <si>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</si>
  <si>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cmaiz</t>
  </si>
  <si>
    <t>crice</t>
  </si>
  <si>
    <t>cocer</t>
  </si>
  <si>
    <t>cpuls</t>
  </si>
  <si>
    <t>coils</t>
  </si>
  <si>
    <t>croot</t>
  </si>
  <si>
    <t>cvege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</si>
  <si>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</si>
  <si>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</si>
  <si>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</si>
  <si>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</si>
  <si>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</si>
  <si>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</si>
  <si>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</si>
  <si>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</si>
  <si>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</si>
  <si>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</si>
  <si>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cmine</t>
  </si>
  <si>
    <t>cfood</t>
  </si>
  <si>
    <t>cbeve</t>
  </si>
  <si>
    <t>ctext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</si>
  <si>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</si>
  <si>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</si>
  <si>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</si>
  <si>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</si>
  <si>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</si>
  <si>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</si>
  <si>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</si>
  <si>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</si>
  <si>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</si>
  <si>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</si>
  <si>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</si>
  <si>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</si>
  <si>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</si>
  <si>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</si>
  <si>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</si>
  <si>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</si>
  <si>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</si>
  <si>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</si>
  <si>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</si>
  <si>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</si>
  <si>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trc</t>
  </si>
  <si>
    <t>flab-n</t>
  </si>
  <si>
    <t>flab-p</t>
  </si>
  <si>
    <t>flab-s</t>
  </si>
  <si>
    <t>flnd</t>
  </si>
  <si>
    <t>fcap</t>
  </si>
  <si>
    <t>ent</t>
  </si>
  <si>
    <t>hhd-r1</t>
  </si>
  <si>
    <t>hhd-r2</t>
  </si>
  <si>
    <t>hhd-r3</t>
  </si>
  <si>
    <t>hhd-r4</t>
  </si>
  <si>
    <t>hhd-r5</t>
  </si>
  <si>
    <t>hhd-u1</t>
  </si>
  <si>
    <t>hhd-u2</t>
  </si>
  <si>
    <t>hhd-u3</t>
  </si>
  <si>
    <t>hhd-u4</t>
  </si>
  <si>
    <t>hhd-u5</t>
  </si>
  <si>
    <t>gov</t>
  </si>
  <si>
    <t>dtax</t>
  </si>
  <si>
    <t>etax</t>
  </si>
  <si>
    <t>mtax</t>
  </si>
  <si>
    <t>stax</t>
  </si>
  <si>
    <t>s-i</t>
  </si>
  <si>
    <t>row</t>
  </si>
  <si>
    <t>total</t>
  </si>
  <si>
    <t>Col to row---Supply and demand or use resp.</t>
  </si>
  <si>
    <t>Agriculture</t>
  </si>
  <si>
    <t>Activities - Maize</t>
  </si>
  <si>
    <t>Activities - Rice</t>
  </si>
  <si>
    <t>Activities - Other cereals</t>
  </si>
  <si>
    <t>Activities - Pulses</t>
  </si>
  <si>
    <t>Activities - Oilseeds</t>
  </si>
  <si>
    <t>Activities - Roots</t>
  </si>
  <si>
    <t>Activities - Vegetables</t>
  </si>
  <si>
    <t>Activities - Sugarcane</t>
  </si>
  <si>
    <t>Activities - Tobacco</t>
  </si>
  <si>
    <t>Row to col---Demand or use and supply rep.</t>
  </si>
  <si>
    <t>Activities - Fruits and nuts</t>
  </si>
  <si>
    <t>Activities - Coffee, tea and cocoa</t>
  </si>
  <si>
    <t>Activities - Other crops</t>
  </si>
  <si>
    <t>Activities - Cattle and raw milk</t>
  </si>
  <si>
    <t>Activities - Poultry and eggs</t>
  </si>
  <si>
    <t>Activities - Other livestock</t>
  </si>
  <si>
    <t>Activities - Forestry</t>
  </si>
  <si>
    <t>Activities - Fisheries</t>
  </si>
  <si>
    <t>Industry</t>
  </si>
  <si>
    <t>Activities - Mining</t>
  </si>
  <si>
    <t>Activities - Processed foods</t>
  </si>
  <si>
    <t>Activities - Beverage and tobacco</t>
  </si>
  <si>
    <t>Activities - Textiles, clothing and footwear</t>
  </si>
  <si>
    <t>Activities - Wood and paper products</t>
  </si>
  <si>
    <t>Activities - Chemicals and petroleum</t>
  </si>
  <si>
    <t>Activities - Non-metal minerals</t>
  </si>
  <si>
    <t>Activities - Metals and metal products</t>
  </si>
  <si>
    <t>Activities - Machinery, equipment and vehicles</t>
  </si>
  <si>
    <t>Activities - Other manufacturing</t>
  </si>
  <si>
    <t>Activities - Electricity, gas and steam</t>
  </si>
  <si>
    <t>Activities - Water supply and sewage</t>
  </si>
  <si>
    <t>Activities - Construction</t>
  </si>
  <si>
    <t>Services</t>
  </si>
  <si>
    <t>Activities - Wholesale and retail trade</t>
  </si>
  <si>
    <t>Activities - Transportation and storage</t>
  </si>
  <si>
    <t>Activities - Accommodation and food services</t>
  </si>
  <si>
    <t>Activities - Information and communication</t>
  </si>
  <si>
    <t>Activities - Finance and insurance</t>
  </si>
  <si>
    <t>Activities - Real estate activities</t>
  </si>
  <si>
    <t>Activities - Business services</t>
  </si>
  <si>
    <t>Activities - Public administration</t>
  </si>
  <si>
    <t>Activities - Education</t>
  </si>
  <si>
    <t>Activities - Health and social work</t>
  </si>
  <si>
    <t>Activities - Other services</t>
  </si>
  <si>
    <t>Commodities - Maize</t>
  </si>
  <si>
    <t>Commodities - Rice</t>
  </si>
  <si>
    <t>Commodities - Other cereals</t>
  </si>
  <si>
    <t>Commodities - Pulses</t>
  </si>
  <si>
    <t>Commodities - Oilseeds</t>
  </si>
  <si>
    <t>Commodities - Roots</t>
  </si>
  <si>
    <t>Commodities - Vegetables</t>
  </si>
  <si>
    <t>Commodities - Sugarcane</t>
  </si>
  <si>
    <t>Commodities - Tobacco</t>
  </si>
  <si>
    <t>Commodities - Fruits and nuts</t>
  </si>
  <si>
    <t>Commodities - Coffee, tea and cocoa</t>
  </si>
  <si>
    <t>Commodities - Other crops</t>
  </si>
  <si>
    <t>Commodities - Cattle and raw milk</t>
  </si>
  <si>
    <t>Commodities - Poultry and eggs</t>
  </si>
  <si>
    <t>Commodities - Other livestock</t>
  </si>
  <si>
    <t>Commodities - Forestry</t>
  </si>
  <si>
    <t>Commodities - Fisheries</t>
  </si>
  <si>
    <t>Commodities - Mining</t>
  </si>
  <si>
    <t>Commodities - Processed foods</t>
  </si>
  <si>
    <t>Commodities - Beverage and tobacco</t>
  </si>
  <si>
    <t>Commodities - Textiles, clothing and footwear</t>
  </si>
  <si>
    <t>Commodities - Wood and paper products</t>
  </si>
  <si>
    <t>Commodities - Chemicals and petroleum</t>
  </si>
  <si>
    <t>Commodities - Non-metal minerals</t>
  </si>
  <si>
    <t>Commodities - Metals and metal products</t>
  </si>
  <si>
    <t>Commodities - Machinery, equipment and vehicles</t>
  </si>
  <si>
    <t>Commodities - Other manufacturing</t>
  </si>
  <si>
    <t>Commodities - Electricity, gas and steam</t>
  </si>
  <si>
    <t>Commodities - Water supply and sewage</t>
  </si>
  <si>
    <t>Commodities - Construction</t>
  </si>
  <si>
    <t>Commodities - Wholesale and retail trade</t>
  </si>
  <si>
    <t>Commodities - Transportation and storage</t>
  </si>
  <si>
    <t>Commodities - Accommodation and food services</t>
  </si>
  <si>
    <t>Commodities - Information and communication</t>
  </si>
  <si>
    <t>Commodities - Finance and insurance</t>
  </si>
  <si>
    <t>Commodities - Real estate activities</t>
  </si>
  <si>
    <t>Commodities - Business services</t>
  </si>
  <si>
    <t>Commodities - Public administration</t>
  </si>
  <si>
    <t>Commodities - Education</t>
  </si>
  <si>
    <t>Commodities - Health and social work</t>
  </si>
  <si>
    <t>Commodities - Other services</t>
  </si>
  <si>
    <t>Margins (transport or trade)</t>
  </si>
  <si>
    <t>Transaction costs</t>
  </si>
  <si>
    <t>Col to row---spending or payment (factor costs) and earnings from employment (activities or trans frm row) resp.</t>
  </si>
  <si>
    <t>Factors of production</t>
  </si>
  <si>
    <t>Factors - Labor - Low (not finished primary schooling)</t>
  </si>
  <si>
    <t>Factors - Labor - Medium (finished primary, but not finished secondary schooling)</t>
  </si>
  <si>
    <t>Factors - Labor - High (finished secondary and/or tertiary schooling)</t>
  </si>
  <si>
    <t>Factors - Agricultural land</t>
  </si>
  <si>
    <t>Factors - Capital</t>
  </si>
  <si>
    <t>Col to row--Payments from  and earnings (subsdies, capital returns and transfers frm row)</t>
  </si>
  <si>
    <t>Entreprises</t>
  </si>
  <si>
    <t>Enterprises</t>
  </si>
  <si>
    <t>Col to row---payments/spending and Income/wages/earnings (transfers frm gov and row, factor income)</t>
  </si>
  <si>
    <t xml:space="preserve">Household </t>
  </si>
  <si>
    <t>Households - Rural (quintile 1)</t>
  </si>
  <si>
    <t>Households - Rural (quintile 2)</t>
  </si>
  <si>
    <t>Households - Rural (quintile 3)</t>
  </si>
  <si>
    <t>Households - Rural (quintile 4)</t>
  </si>
  <si>
    <t>Households - Rural (quintile 5)</t>
  </si>
  <si>
    <t>Households - Urban (quintile 1)</t>
  </si>
  <si>
    <t>Households - Urban (quintile 2)</t>
  </si>
  <si>
    <t>Households - Urban (quintile 3)</t>
  </si>
  <si>
    <t>Households - Urban (quintile 4)</t>
  </si>
  <si>
    <t>Households - Urban (quintile 5)</t>
  </si>
  <si>
    <t>Col to row---Payment/Spending (G&amp;S, transfers ) or Revenue (taxes, transfers) rep.</t>
  </si>
  <si>
    <t>Government</t>
  </si>
  <si>
    <t>Col to row----payments by tax types ( com/vat, corporate, direct) and revenue/earnings</t>
  </si>
  <si>
    <t xml:space="preserve">Taxes </t>
  </si>
  <si>
    <t>Taxes - Direct (personal or corporate)</t>
  </si>
  <si>
    <t>Taxes - Exports (products)</t>
  </si>
  <si>
    <t>Taxes - Imports (products)</t>
  </si>
  <si>
    <t>Taxes - Sales, excise and/or value-added (products)</t>
  </si>
  <si>
    <t>Household/domest and foreign savings/invest</t>
  </si>
  <si>
    <t xml:space="preserve">S-I </t>
  </si>
  <si>
    <t>Savings-investment</t>
  </si>
  <si>
    <t>Col to row---Supply to row(exports) and Demand frm row(imports)</t>
  </si>
  <si>
    <t>Exports-Imports</t>
  </si>
  <si>
    <t>Rest of world</t>
  </si>
  <si>
    <t>Total</t>
  </si>
  <si>
    <t>Total supply</t>
  </si>
  <si>
    <t xml:space="preserve">Agriculture activities </t>
  </si>
  <si>
    <t>Industry activities</t>
  </si>
  <si>
    <t>Service activities</t>
  </si>
  <si>
    <t>Agric inputs</t>
  </si>
  <si>
    <t>Industry inputs</t>
  </si>
  <si>
    <t>Services inputs</t>
  </si>
  <si>
    <t>Agric</t>
  </si>
  <si>
    <t>Factors-Labor,land capital</t>
  </si>
  <si>
    <t>ind</t>
  </si>
  <si>
    <t>serv</t>
  </si>
  <si>
    <t>Total factor input demand</t>
  </si>
  <si>
    <t>Total intermediate demand</t>
  </si>
  <si>
    <t>Intermediate demand (A,C)</t>
  </si>
  <si>
    <t>Value added(C,A)</t>
  </si>
  <si>
    <t xml:space="preserve">Total </t>
  </si>
  <si>
    <t>Service</t>
  </si>
  <si>
    <t xml:space="preserve">Total value added </t>
  </si>
  <si>
    <t>Total supply (VA+Int.d)</t>
  </si>
  <si>
    <t>Shares</t>
  </si>
  <si>
    <t xml:space="preserve">GDP </t>
  </si>
  <si>
    <t xml:space="preserve">Total production </t>
  </si>
  <si>
    <t>Total int.demand</t>
  </si>
  <si>
    <t>GDP(Supply-Int.demand)</t>
  </si>
  <si>
    <t xml:space="preserve">Total commodity input/int. demand </t>
  </si>
  <si>
    <t>Total demand (int.demand+factor demand)</t>
  </si>
  <si>
    <t>IFPRI SAM 2022 for Rwanda</t>
  </si>
  <si>
    <t>Rwanda Tourism Sattelite Accounts 2023</t>
  </si>
  <si>
    <t xml:space="preserve">Sports and recreational services </t>
  </si>
  <si>
    <t>Products</t>
  </si>
  <si>
    <t>A. Consumption Products</t>
  </si>
  <si>
    <t>Accommodation for visitors</t>
  </si>
  <si>
    <t>A.1 Tourism Characteristic products</t>
  </si>
  <si>
    <t xml:space="preserve">Food and beverage serving services </t>
  </si>
  <si>
    <t xml:space="preserve">Road passenger transport </t>
  </si>
  <si>
    <t xml:space="preserve">Air passenger transport </t>
  </si>
  <si>
    <t>A.2 Other Consumption Products</t>
  </si>
  <si>
    <t>Preparation of the trip</t>
  </si>
  <si>
    <t>Shopping</t>
  </si>
  <si>
    <t xml:space="preserve">Other </t>
  </si>
  <si>
    <t>Activities and commodities (N86)</t>
  </si>
  <si>
    <t>csorg</t>
  </si>
  <si>
    <t>Sorghum (A111)</t>
  </si>
  <si>
    <t>Maize (A112)</t>
  </si>
  <si>
    <t>cwhea</t>
  </si>
  <si>
    <t>Wheat (A113)</t>
  </si>
  <si>
    <t>Paddy &amp; husked rice (A116)</t>
  </si>
  <si>
    <t>Other cereals (A119)</t>
  </si>
  <si>
    <t>cipot</t>
  </si>
  <si>
    <t>Irish potatoes (A121)</t>
  </si>
  <si>
    <t>cspot</t>
  </si>
  <si>
    <t>Sweet potatoes (A122)</t>
  </si>
  <si>
    <t>ccass</t>
  </si>
  <si>
    <t>Cassava (A123)</t>
  </si>
  <si>
    <t>Other roots &amp; tubers (A129)</t>
  </si>
  <si>
    <t>cbean</t>
  </si>
  <si>
    <t>Dried beans (A131)</t>
  </si>
  <si>
    <t>cpeas</t>
  </si>
  <si>
    <t>Peas &amp; other legumes (A132)</t>
  </si>
  <si>
    <t>Other vegetables (A139)</t>
  </si>
  <si>
    <t>cbanb</t>
  </si>
  <si>
    <t>Bananas for beer (A141)</t>
  </si>
  <si>
    <t>cbanc</t>
  </si>
  <si>
    <t>Bananas for cooking (A142)</t>
  </si>
  <si>
    <t>cbans</t>
  </si>
  <si>
    <t>Bananas (sweet) (A143)</t>
  </si>
  <si>
    <t>Other fruit &amp; nuts (A149)</t>
  </si>
  <si>
    <t>cgnut</t>
  </si>
  <si>
    <t>Ground nuts (A151)</t>
  </si>
  <si>
    <t>csoya</t>
  </si>
  <si>
    <t>Soya (A152)</t>
  </si>
  <si>
    <t>Other oil seeds (A159)</t>
  </si>
  <si>
    <t>Coffee, not roasted, not decaffeinated (A210)</t>
  </si>
  <si>
    <t>cteal</t>
  </si>
  <si>
    <t>Tea (unprocessed green leaf) (A220)</t>
  </si>
  <si>
    <t>Tobacco, raw (A291)</t>
  </si>
  <si>
    <t>Sugar cane (A292)</t>
  </si>
  <si>
    <t>cpyre</t>
  </si>
  <si>
    <t>Pyrethrum (A293)</t>
  </si>
  <si>
    <t>Agricultural products n.e.c. (A299)</t>
  </si>
  <si>
    <t>Bovine cattle, live (A311)</t>
  </si>
  <si>
    <t>csmlr</t>
  </si>
  <si>
    <t>Sheep, goats, pigs,live (A312)</t>
  </si>
  <si>
    <t>Poultry, live (A313)</t>
  </si>
  <si>
    <t>Other live animals (A319)</t>
  </si>
  <si>
    <t>cmilk</t>
  </si>
  <si>
    <t>Raw milk (A321)</t>
  </si>
  <si>
    <t>ceggs</t>
  </si>
  <si>
    <t>Eggs (A322)</t>
  </si>
  <si>
    <t>chony</t>
  </si>
  <si>
    <t>Natural honey (A323)</t>
  </si>
  <si>
    <t>chunt</t>
  </si>
  <si>
    <t>Other livestock &amp; hunting products (A329)</t>
  </si>
  <si>
    <t>cfuel</t>
  </si>
  <si>
    <t>Fuel wood (A401)</t>
  </si>
  <si>
    <t>cchar</t>
  </si>
  <si>
    <t>Charcoal (A402)</t>
  </si>
  <si>
    <t>Other forestry products (A409)</t>
  </si>
  <si>
    <t>Fishery products (A500)</t>
  </si>
  <si>
    <t>cngas</t>
  </si>
  <si>
    <t>Natural gas (B01)</t>
  </si>
  <si>
    <t>cmore</t>
  </si>
  <si>
    <t>Metal ores (B03)</t>
  </si>
  <si>
    <t>comin</t>
  </si>
  <si>
    <t>Quarry &amp; other mining products (B09)</t>
  </si>
  <si>
    <t>cmeat</t>
  </si>
  <si>
    <t>Meat and meat products (C11)</t>
  </si>
  <si>
    <t>cfsea</t>
  </si>
  <si>
    <t>Prepared and preserved fish (C12)</t>
  </si>
  <si>
    <t>cfveg</t>
  </si>
  <si>
    <t>Prepared and preserved vegetables (C13)</t>
  </si>
  <si>
    <t>cfoil</t>
  </si>
  <si>
    <t>Animal and vegetable oils and fats (C14)</t>
  </si>
  <si>
    <t>cdair</t>
  </si>
  <si>
    <t>Dairy products (C15)</t>
  </si>
  <si>
    <t>cgmll</t>
  </si>
  <si>
    <t>Grain mill products (C16)</t>
  </si>
  <si>
    <t>cbake</t>
  </si>
  <si>
    <t>Bakery products (C17)</t>
  </si>
  <si>
    <t>cfeed</t>
  </si>
  <si>
    <t>Animal feed &amp; other by-products (C18)</t>
  </si>
  <si>
    <t>Other manufactured food products (C19)</t>
  </si>
  <si>
    <t>calco</t>
  </si>
  <si>
    <t>Alcoholic drinks (C21)</t>
  </si>
  <si>
    <t>Soft drinks (C22)</t>
  </si>
  <si>
    <t>cptob</t>
  </si>
  <si>
    <t>Tobacco products (C23)</t>
  </si>
  <si>
    <t>Textiles, clothing &amp; leather products (C30)</t>
  </si>
  <si>
    <t>Wood, paper and related products (C41)</t>
  </si>
  <si>
    <t>cprnt</t>
  </si>
  <si>
    <t>Printing and reproduction of recorded media (C42)</t>
  </si>
  <si>
    <t>cpetr</t>
  </si>
  <si>
    <t>Coke and refined petroleum products (C51)</t>
  </si>
  <si>
    <t>Chemicals and chemical products (C52)</t>
  </si>
  <si>
    <t>cphar</t>
  </si>
  <si>
    <t>Pharmaceutical products (C53)</t>
  </si>
  <si>
    <t>cprub</t>
  </si>
  <si>
    <t>Rubber and plastics products (C54)</t>
  </si>
  <si>
    <t>Non-metallic mineral products n.e.c. (C61)</t>
  </si>
  <si>
    <t>cceme</t>
  </si>
  <si>
    <t>Manufacture of cement, lime and plaster (C62)</t>
  </si>
  <si>
    <t>cclay</t>
  </si>
  <si>
    <t>Manufacture of clay building materials (C63)</t>
  </si>
  <si>
    <t>Metals &amp; metal products, except machinery and equipment (C72)</t>
  </si>
  <si>
    <t>Machinery and equipment (except transport) (C74)</t>
  </si>
  <si>
    <t>cvehi</t>
  </si>
  <si>
    <t>Transport equipment (C76)</t>
  </si>
  <si>
    <t>cfurn</t>
  </si>
  <si>
    <t>Furniture (C81)</t>
  </si>
  <si>
    <t>Other manufacturing (C82)</t>
  </si>
  <si>
    <t>crepr</t>
  </si>
  <si>
    <t>Repair and installation of machinery and equipment (C83)</t>
  </si>
  <si>
    <t>Electricity, gas, steam and air conditioning supply (D00)</t>
  </si>
  <si>
    <t>Water collection, treatment and supply: sewrage (E01)</t>
  </si>
  <si>
    <t>cwast</t>
  </si>
  <si>
    <t>Waste collection and management (E02)</t>
  </si>
  <si>
    <t>Construction (modern) (F01)</t>
  </si>
  <si>
    <t>ccont</t>
  </si>
  <si>
    <t>Construction (traditional) (F02)</t>
  </si>
  <si>
    <t>cvehr</t>
  </si>
  <si>
    <t>Maintenance and repair of motor vehicles (G10)</t>
  </si>
  <si>
    <t>cveht</t>
  </si>
  <si>
    <t>Wholesale and retail trade of motor vehicles and motorcycles (G21)</t>
  </si>
  <si>
    <t>ctrdw</t>
  </si>
  <si>
    <t>Wholesale trade, except of motor vehicles and motorcycles (G22)</t>
  </si>
  <si>
    <t>ctrdr</t>
  </si>
  <si>
    <t>Retail trade, except of motor vehicles and motorcycles (G23)</t>
  </si>
  <si>
    <t>ctrnl</t>
  </si>
  <si>
    <t>Land transport (H10)</t>
  </si>
  <si>
    <t>ctrna</t>
  </si>
  <si>
    <t>Air transport (H20)</t>
  </si>
  <si>
    <t>ctrns</t>
  </si>
  <si>
    <t>Services related to transport (H31)</t>
  </si>
  <si>
    <t>cpost</t>
  </si>
  <si>
    <t>Postal and courier activities (H32)</t>
  </si>
  <si>
    <t>Hotels &amp; restaurants (I00)</t>
  </si>
  <si>
    <t>cpubl</t>
  </si>
  <si>
    <t>Publishing, video making, programming &amp; broadcasting activities (J10)</t>
  </si>
  <si>
    <t>Telecommunication (J20)</t>
  </si>
  <si>
    <t>cinfo</t>
  </si>
  <si>
    <t>Information technology services (J30)</t>
  </si>
  <si>
    <t>cbank</t>
  </si>
  <si>
    <t>Monetary institutions (K01)</t>
  </si>
  <si>
    <t>cinsu</t>
  </si>
  <si>
    <t>Insurance, reinsurance and pension funding, except compulsory social security (K02)</t>
  </si>
  <si>
    <t>cofsv</t>
  </si>
  <si>
    <t>Other financial services (K03)</t>
  </si>
  <si>
    <t>crent</t>
  </si>
  <si>
    <t>Rental value of dwellings (L01)</t>
  </si>
  <si>
    <t>Other real estate activities (L09)</t>
  </si>
  <si>
    <t>clegl</t>
  </si>
  <si>
    <t>Legal, accounting management &amp; head office activities (M01)</t>
  </si>
  <si>
    <t>cenga</t>
  </si>
  <si>
    <t>Architectural and engineering activities (M02)</t>
  </si>
  <si>
    <t>cprod</t>
  </si>
  <si>
    <t>Other professional, scientific and technical activities (M03)</t>
  </si>
  <si>
    <t>ctrvl</t>
  </si>
  <si>
    <t>Travel agents and tour operators (N01)</t>
  </si>
  <si>
    <t>cobsv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</si>
  <si>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</si>
  <si>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</si>
  <si>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</si>
  <si>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</si>
  <si>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csocw</t>
  </si>
  <si>
    <t>Social work activities (Q02)</t>
  </si>
  <si>
    <t>ccult</t>
  </si>
  <si>
    <t>Libraries, archives, museums and other cultural activities (R01)</t>
  </si>
  <si>
    <t>carts</t>
  </si>
  <si>
    <t>Other arts, entertainment and recreation (R09)</t>
  </si>
  <si>
    <t>Other service activities (S00)</t>
  </si>
  <si>
    <t>cdsrv</t>
  </si>
  <si>
    <t>Domestic services (T00)</t>
  </si>
  <si>
    <t>ctrdc</t>
  </si>
  <si>
    <t>Travel debits &amp; credits (V00)</t>
  </si>
  <si>
    <t>IFPRI SAM 2017 for 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</si>
</sst>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rgb="FFC00000"/>
      <name val="Bahnschrift"/>
      <family val="2"/>
    </font>
    <font>
      <b/>
      <sz val="11"/>
      <color rgb="FF002060"/>
      <name val="Bahnschrift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1" fontId="0" fillId="0" borderId="0" xfId="0" applyNumberFormat="1"/>
    <xf numFmtId="4" fontId="0" fillId="0" borderId="0" xfId="0" applyNumberFormat="1"/>
    <xf numFmtId="0" fontId="0" fillId="33" borderId="0" xfId="0" applyFill="1"/>
    <xf numFmtId="0" fontId="0" fillId="34" borderId="0" xfId="0" applyFill="1"/>
    <xf numFmtId="0" fontId="18" fillId="0" borderId="0" xfId="0" applyFont="1"/>
    <xf numFmtId="0" fontId="16" fillId="0" borderId="0" xfId="0" applyFont="1"/>
    <xf numFmtId="0" fontId="0" fillId="36" borderId="0" xfId="0" applyFill="1"/>
    <xf numFmtId="0" fontId="19" fillId="0" borderId="0" xfId="0" applyFont="1"/>
    <xf numFmtId="0" fontId="20" fillId="0" borderId="0" xfId="0" applyFont="1"/>
    <xf numFmtId="0" fontId="20" fillId="33" borderId="0" xfId="0" applyFont="1" applyFill="1"/>
    <xf numFmtId="0" fontId="19" fillId="33" borderId="0" xfId="0" applyFont="1" applyFill="1"/>
    <xf numFmtId="0" fontId="19" fillId="34" borderId="0" xfId="0" applyFont="1" applyFill="1"/>
    <xf numFmtId="0" fontId="20" fillId="34" borderId="0" xfId="0" applyFont="1" applyFill="1"/>
    <xf numFmtId="0" fontId="20" fillId="35" borderId="0" xfId="0" applyFont="1" applyFill="1"/>
    <xf numFmtId="0" fontId="21" fillId="35" borderId="0" xfId="0" applyFont="1" applyFill="1"/>
    <xf numFmtId="0" fontId="21" fillId="0" borderId="0" xfId="0" applyFont="1"/>
    <xf numFmtId="0" fontId="19" fillId="0" borderId="10" xfId="0" applyFont="1" applyBorder="1"/>
    <xf numFmtId="0" fontId="0" fillId="0" borderId="10" xfId="0" applyBorder="1"/>
    <xf numFmtId="4" fontId="0" fillId="0" borderId="10" xfId="0" applyNumberFormat="1" applyBorder="1"/>
    <xf numFmtId="4" fontId="20" fillId="0" borderId="0" xfId="0" applyNumberFormat="1" applyFont="1"/>
    <xf numFmtId="0" fontId="20" fillId="37" borderId="0" xfId="0" applyFont="1" applyFill="1"/>
    <xf numFmtId="0" fontId="19" fillId="37" borderId="0" xfId="0" applyFont="1" applyFill="1"/>
    <xf numFmtId="0" fontId="21" fillId="37" borderId="0" xfId="0" applyFont="1" applyFill="1"/>
    <xf numFmtId="0" fontId="20" fillId="38" borderId="0" xfId="0" applyFont="1" applyFill="1"/>
    <xf numFmtId="0" fontId="19" fillId="38" borderId="0" xfId="0" applyFont="1" applyFill="1"/>
    <xf numFmtId="0" fontId="20" fillId="0" borderId="11" xfId="0" applyFont="1" applyBorder="1"/>
    <xf numFmtId="0" fontId="19" fillId="0" borderId="11" xfId="0" applyFont="1" applyBorder="1"/>
    <xf numFmtId="0" fontId="0" fillId="0" borderId="11" xfId="0" applyBorder="1"/>
    <xf numFmtId="0" fontId="21" fillId="0" borderId="11" xfId="0" applyFont="1" applyBorder="1"/>
    <xf numFmtId="0" fontId="22" fillId="0" borderId="0" xfId="0" applyFont="1"/>
    <xf numFmtId="9" fontId="0" fillId="0" borderId="0" xfId="2" applyFont="1"/>
    <xf numFmtId="9" fontId="22" fillId="0" borderId="0" xfId="2" applyFont="1"/>
    <xf numFmtId="9" fontId="16" fillId="0" borderId="0" xfId="2" applyFont="1"/>
    <xf numFmtId="0" fontId="20" fillId="0" borderId="10" xfId="0" applyFont="1" applyBorder="1"/>
    <xf numFmtId="0" fontId="20" fillId="0" borderId="12" xfId="0" applyFont="1" applyBorder="1"/>
    <xf numFmtId="4" fontId="16" fillId="0" borderId="0" xfId="0" applyNumberFormat="1" applyFont="1"/>
    <xf numFmtId="4" fontId="22" fillId="0" borderId="0" xfId="0" applyNumberFormat="1" applyFont="1"/>
    <xf numFmtId="43" fontId="0" fillId="0" borderId="0" xfId="1" applyFont="1"/>
    <xf numFmtId="43" fontId="16" fillId="0" borderId="0" xfId="1" applyFont="1"/>
    <xf numFmtId="0" fontId="19" fillId="39" borderId="0" xfId="0" applyFont="1" applyFill="1"/>
    <xf numFmtId="0" fontId="0" fillId="39" borderId="0" xfId="0" applyFill="1"/>
    <xf numFmtId="0" fontId="0" fillId="39" borderId="10" xfId="0" applyFill="1" applyBorder="1"/>
    <xf numFmtId="0" fontId="16" fillId="40" borderId="0" xfId="0" applyFont="1" applyFill="1"/>
    <xf numFmtId="0" fontId="0" fillId="40" borderId="0" xfId="0" applyFill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37" borderId="0" xfId="0" applyFont="1" applyFill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1828800</xdr:colOff>
      <xdr:row>34</xdr:row>
      <xdr:rowOff>142875</xdr:rowOff>
    </xdr:from>
    <xdr:to>
      <xdr:col>7</xdr:col>
      <xdr:colOff>47625</xdr:colOff>
      <xdr:row>36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C0E00A-2261-19A6-92EB-D24980827721}"/>
            </a:ext>
          </a:extLst>
        </xdr:cNvPr>
        <xdr:cNvCxnSpPr/>
      </xdr:nvCxnSpPr>
      <xdr:spPr>
        <a:xfrm>
          <a:off x="2333625" y="6619875"/>
          <a:ext cx="3943350" cy="38100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2305050</xdr:colOff>
      <xdr:row>35</xdr:row>
      <xdr:rowOff>152400</xdr:rowOff>
    </xdr:from>
    <xdr:to>
      <xdr:col>7</xdr:col>
      <xdr:colOff>47625</xdr:colOff>
      <xdr:row>36</xdr:row>
      <xdr:rowOff>161925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F801295-5D0E-65BE-2A96-E9C63E90C42F}"/>
            </a:ext>
          </a:extLst>
        </xdr:cNvPr>
        <xdr:cNvCxnSpPr/>
      </xdr:nvCxnSpPr>
      <xdr:spPr>
        <a:xfrm>
          <a:off x="2809875" y="6819900"/>
          <a:ext cx="3467100" cy="20002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1714500</xdr:colOff>
      <xdr:row>35</xdr:row>
      <xdr:rowOff>114300</xdr:rowOff>
    </xdr:from>
    <xdr:to>
      <xdr:col>7</xdr:col>
      <xdr:colOff>85725</xdr:colOff>
      <xdr:row>36</xdr:row>
      <xdr:rowOff>161925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9C54A39-2CEF-0EA9-1281-A853C4AFA8F9}"/>
            </a:ext>
          </a:extLst>
        </xdr:cNvPr>
        <xdr:cNvCxnSpPr/>
      </xdr:nvCxnSpPr>
      <xdr:spPr>
        <a:xfrm flipV="1">
          <a:off x="2219325" y="6781800"/>
          <a:ext cx="4095750" cy="23812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1552575</xdr:colOff>
      <xdr:row>35</xdr:row>
      <xdr:rowOff>133350</xdr:rowOff>
    </xdr:from>
    <xdr:to>
      <xdr:col>7</xdr:col>
      <xdr:colOff>0</xdr:colOff>
      <xdr:row>37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44B9C60-7BED-4E5D-BC20-D12E81C502B6}"/>
            </a:ext>
          </a:extLst>
        </xdr:cNvPr>
        <xdr:cNvCxnSpPr/>
      </xdr:nvCxnSpPr>
      <xdr:spPr>
        <a:xfrm flipV="1">
          <a:off x="2057400" y="6800850"/>
          <a:ext cx="4171950" cy="3810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2114550</xdr:colOff>
      <xdr:row>38</xdr:row>
      <xdr:rowOff>161925</xdr:rowOff>
    </xdr:from>
    <xdr:to>
      <xdr:col>7</xdr:col>
      <xdr:colOff>57150</xdr:colOff>
      <xdr:row>44</xdr:row>
      <xdr:rowOff>104775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EF4E3DC-16BC-A3F2-2D58-873E629ECE2C}"/>
            </a:ext>
          </a:extLst>
        </xdr:cNvPr>
        <xdr:cNvCxnSpPr/>
      </xdr:nvCxnSpPr>
      <xdr:spPr>
        <a:xfrm>
          <a:off x="2619375" y="7400925"/>
          <a:ext cx="3667125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371475</xdr:colOff>
      <xdr:row>43</xdr:row>
      <xdr:rowOff>133350</xdr:rowOff>
    </xdr:from>
    <xdr:to>
      <xdr:col>6</xdr:col>
      <xdr:colOff>742950</xdr:colOff>
      <xdr:row>44</xdr:row>
      <xdr:rowOff>76200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B1DCA41-E28E-4F81-9181-7787379D6DAD}"/>
            </a:ext>
          </a:extLst>
        </xdr:cNvPr>
        <xdr:cNvCxnSpPr/>
      </xdr:nvCxnSpPr>
      <xdr:spPr>
        <a:xfrm>
          <a:off x="876300" y="8324850"/>
          <a:ext cx="5334000" cy="133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1495425</xdr:colOff>
      <xdr:row>34</xdr:row>
      <xdr:rowOff>152400</xdr:rowOff>
    </xdr:from>
    <xdr:to>
      <xdr:col>7</xdr:col>
      <xdr:colOff>95250</xdr:colOff>
      <xdr:row>41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E256347-F795-4EFC-A78E-CF02ECA7D7F4}"/>
            </a:ext>
          </a:extLst>
        </xdr:cNvPr>
        <xdr:cNvCxnSpPr/>
      </xdr:nvCxnSpPr>
      <xdr:spPr>
        <a:xfrm flipV="1">
          <a:off x="2000250" y="6629400"/>
          <a:ext cx="4324350" cy="131445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34</xdr:row>
      <xdr:rowOff>123825</xdr:rowOff>
    </xdr:from>
    <xdr:to>
      <xdr:col>7</xdr:col>
      <xdr:colOff>152400</xdr:colOff>
      <xdr:row>42</xdr:row>
      <xdr:rowOff>133350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766BEF6-E4AE-4593-A4F5-8C3BFF41A27A}"/>
            </a:ext>
          </a:extLst>
        </xdr:cNvPr>
        <xdr:cNvCxnSpPr/>
      </xdr:nvCxnSpPr>
      <xdr:spPr>
        <a:xfrm flipV="1">
          <a:off x="1114425" y="6600825"/>
          <a:ext cx="5267325" cy="153352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1752600</xdr:colOff>
      <xdr:row>76</xdr:row>
      <xdr:rowOff>133350</xdr:rowOff>
    </xdr:from>
    <xdr:to>
      <xdr:col>15</xdr:col>
      <xdr:colOff>57150</xdr:colOff>
      <xdr:row>84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38BC660-4A02-28F9-82AD-950C67098442}"/>
            </a:ext>
          </a:extLst>
        </xdr:cNvPr>
        <xdr:cNvCxnSpPr/>
      </xdr:nvCxnSpPr>
      <xdr:spPr>
        <a:xfrm>
          <a:off x="14268450" y="14611350"/>
          <a:ext cx="2952750" cy="1543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2257425</xdr:colOff>
      <xdr:row>77</xdr:row>
      <xdr:rowOff>95250</xdr:rowOff>
    </xdr:from>
    <xdr:to>
      <xdr:col>15</xdr:col>
      <xdr:colOff>0</xdr:colOff>
      <xdr:row>84</xdr:row>
      <xdr:rowOff>133350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5032C1A-636F-4ED9-B8CB-6405E172BC1B}"/>
            </a:ext>
          </a:extLst>
        </xdr:cNvPr>
        <xdr:cNvCxnSpPr/>
      </xdr:nvCxnSpPr>
      <xdr:spPr>
        <a:xfrm>
          <a:off x="14773275" y="14763750"/>
          <a:ext cx="2390775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1676400</xdr:colOff>
      <xdr:row>78</xdr:row>
      <xdr:rowOff>133350</xdr:rowOff>
    </xdr:from>
    <xdr:to>
      <xdr:col>15</xdr:col>
      <xdr:colOff>47625</xdr:colOff>
      <xdr:row>80</xdr:row>
      <xdr:rowOff>123825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C6AE88A-0AE1-28DF-12EE-A0270A7B7739}"/>
            </a:ext>
          </a:extLst>
        </xdr:cNvPr>
        <xdr:cNvCxnSpPr/>
      </xdr:nvCxnSpPr>
      <xdr:spPr>
        <a:xfrm>
          <a:off x="14192250" y="14992350"/>
          <a:ext cx="3019425" cy="371475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1609725</xdr:colOff>
      <xdr:row>79</xdr:row>
      <xdr:rowOff>104775</xdr:rowOff>
    </xdr:from>
    <xdr:to>
      <xdr:col>15</xdr:col>
      <xdr:colOff>66675</xdr:colOff>
      <xdr:row>81</xdr:row>
      <xdr:rowOff>142875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D310D89-AD55-4DA8-B07C-9F12BB29D42C}"/>
            </a:ext>
          </a:extLst>
        </xdr:cNvPr>
        <xdr:cNvCxnSpPr/>
      </xdr:nvCxnSpPr>
      <xdr:spPr>
        <a:xfrm>
          <a:off x="14125575" y="15154275"/>
          <a:ext cx="3105150" cy="419100"/>
        </a:xfrm>
        <a:prstGeom prst="straightConnector1">
          <a:avLst/>
        </a:prstGeom>
        <a:ln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2105025</xdr:colOff>
      <xdr:row>80</xdr:row>
      <xdr:rowOff>142875</xdr:rowOff>
    </xdr:from>
    <xdr:to>
      <xdr:col>15</xdr:col>
      <xdr:colOff>9525</xdr:colOff>
      <xdr:row>103</xdr:row>
      <xdr:rowOff>133350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112DC6E-634F-C1C5-F8AC-18265EF1B02E}"/>
            </a:ext>
          </a:extLst>
        </xdr:cNvPr>
        <xdr:cNvCxnSpPr/>
      </xdr:nvCxnSpPr>
      <xdr:spPr>
        <a:xfrm>
          <a:off x="14620875" y="15382875"/>
          <a:ext cx="2552700" cy="437197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86</xdr:row>
      <xdr:rowOff>0</xdr:rowOff>
    </xdr:from>
    <xdr:to>
      <xdr:col>15</xdr:col>
      <xdr:colOff>38100</xdr:colOff>
      <xdr:row>105</xdr:row>
      <xdr:rowOff>123825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B07883F-5522-8C3F-4608-37EFC577D29D}"/>
            </a:ext>
          </a:extLst>
        </xdr:cNvPr>
        <xdr:cNvCxnSpPr/>
      </xdr:nvCxnSpPr>
      <xdr:spPr>
        <a:xfrm>
          <a:off x="12887325" y="16383000"/>
          <a:ext cx="4314825" cy="3743325"/>
        </a:xfrm>
        <a:prstGeom prst="straightConnector1">
          <a:avLst/>
        </a:prstGeom>
        <a:ln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79</xdr:row>
      <xdr:rowOff>152400</xdr:rowOff>
    </xdr:from>
    <xdr:to>
      <xdr:col>15</xdr:col>
      <xdr:colOff>76200</xdr:colOff>
      <xdr:row>84</xdr:row>
      <xdr:rowOff>133350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2CA11ED-AAE8-8ED1-6C2F-27662383DF85}"/>
            </a:ext>
          </a:extLst>
        </xdr:cNvPr>
        <xdr:cNvCxnSpPr/>
      </xdr:nvCxnSpPr>
      <xdr:spPr>
        <a:xfrm flipV="1">
          <a:off x="13192125" y="15201900"/>
          <a:ext cx="4048125" cy="93345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1419225</xdr:colOff>
      <xdr:row>79</xdr:row>
      <xdr:rowOff>161925</xdr:rowOff>
    </xdr:from>
    <xdr:to>
      <xdr:col>15</xdr:col>
      <xdr:colOff>0</xdr:colOff>
      <xdr:row>83</xdr:row>
      <xdr:rowOff>133350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BC74CBBB-90B2-AE60-2217-1F4B561A0AF4}"/>
            </a:ext>
          </a:extLst>
        </xdr:cNvPr>
        <xdr:cNvCxnSpPr/>
      </xdr:nvCxnSpPr>
      <xdr:spPr>
        <a:xfrm flipV="1">
          <a:off x="13935075" y="15211425"/>
          <a:ext cx="3228975" cy="733425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DE1F-8ECA-4255-B3CD-774E31BCFAAF}">
  <dimension ref="A1:DG167"/>
  <sheetViews>
    <sheetView tabSelected="1" workbookViewId="0">
      <pane xSplit="4" ySplit="3" topLeftCell="AO121" activePane="bottomRight" state="frozen"/>
      <selection pane="topRight" activeCell="E1" sqref="E1"/>
      <selection pane="bottomLeft" activeCell="A4" sqref="A4"/>
      <selection pane="bottomRight" activeCell="AT134" sqref="AT134"/>
    </sheetView>
  </sheetViews>
  <sheetFormatPr defaultRowHeight="14.75" x14ac:dyDescent="0.75"/>
  <cols>
    <col min="2" max="2" width="18.54296875" customWidth="1"/>
    <col min="4" max="4" width="16.54296875" customWidth="1"/>
    <col min="53" max="53" width="9.86328125" bestFit="1" customWidth="1"/>
    <col min="58" max="58" width="9.86328125" bestFit="1" customWidth="1"/>
    <col min="59" max="59" width="10" bestFit="1" customWidth="1"/>
  </cols>
  <sheetData>
    <row r="1" spans="1:111" x14ac:dyDescent="0.75">
      <c r="C1" t="s">
        <v>0</v>
      </c>
    </row>
    <row r="2" spans="1:111" x14ac:dyDescent="0.75">
      <c r="D2" s="1">
        <v>1000</v>
      </c>
    </row>
    <row r="3" spans="1:111" x14ac:dyDescent="0.75">
      <c r="A3" s="8" t="s">
        <v>1</v>
      </c>
      <c r="B3" s="8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4" t="s">
        <v>63</v>
      </c>
      <c r="BL3" s="4" t="s">
        <v>64</v>
      </c>
      <c r="BM3" s="4" t="s">
        <v>65</v>
      </c>
      <c r="BN3" s="4" t="s">
        <v>66</v>
      </c>
      <c r="BO3" s="4" t="s">
        <v>67</v>
      </c>
      <c r="BP3" s="4" t="s">
        <v>68</v>
      </c>
      <c r="BQ3" s="4" t="s">
        <v>69</v>
      </c>
      <c r="BR3" s="4" t="s">
        <v>70</v>
      </c>
      <c r="BS3" s="4" t="s">
        <v>71</v>
      </c>
      <c r="BT3" s="4" t="s">
        <v>72</v>
      </c>
      <c r="BU3" s="4" t="s">
        <v>73</v>
      </c>
      <c r="BV3" s="4" t="s">
        <v>74</v>
      </c>
      <c r="BW3" s="4" t="s">
        <v>75</v>
      </c>
      <c r="BX3" s="7" t="s">
        <v>76</v>
      </c>
      <c r="BY3" s="7" t="s">
        <v>77</v>
      </c>
      <c r="BZ3" s="7" t="s">
        <v>78</v>
      </c>
      <c r="CA3" s="7" t="s">
        <v>79</v>
      </c>
      <c r="CB3" s="7" t="s">
        <v>80</v>
      </c>
      <c r="CC3" s="7" t="s">
        <v>81</v>
      </c>
      <c r="CD3" s="7" t="s">
        <v>82</v>
      </c>
      <c r="CE3" s="7" t="s">
        <v>83</v>
      </c>
      <c r="CF3" s="7" t="s">
        <v>84</v>
      </c>
      <c r="CG3" s="7" t="s">
        <v>85</v>
      </c>
      <c r="CH3" s="7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</row>
    <row r="4" spans="1:111" x14ac:dyDescent="0.75">
      <c r="A4" s="8" t="s">
        <v>112</v>
      </c>
      <c r="B4" s="45" t="s">
        <v>113</v>
      </c>
      <c r="C4" t="s">
        <v>114</v>
      </c>
      <c r="D4" t="s">
        <v>5</v>
      </c>
      <c r="AT4">
        <v>71.480941869999995</v>
      </c>
      <c r="CP4">
        <v>2.0225969899999998</v>
      </c>
      <c r="CQ4">
        <v>3.7040806399999999</v>
      </c>
      <c r="CR4">
        <v>3.9498369599999998</v>
      </c>
      <c r="CS4">
        <v>4.8970451600000002</v>
      </c>
      <c r="CT4">
        <v>2.2319731300000001</v>
      </c>
      <c r="CU4">
        <v>2.127998E-2</v>
      </c>
      <c r="CV4">
        <v>5.8359300000000003E-2</v>
      </c>
      <c r="CW4">
        <v>7.2576130000000003E-2</v>
      </c>
      <c r="CX4">
        <v>0.10980263</v>
      </c>
      <c r="CY4">
        <v>0.15088742999999999</v>
      </c>
      <c r="DG4">
        <v>88.699380230000003</v>
      </c>
    </row>
    <row r="5" spans="1:111" x14ac:dyDescent="0.75">
      <c r="A5" s="8"/>
      <c r="B5" s="45"/>
      <c r="C5" t="s">
        <v>115</v>
      </c>
      <c r="D5" t="s">
        <v>6</v>
      </c>
      <c r="AU5">
        <v>70.731464549999998</v>
      </c>
      <c r="DG5">
        <v>70.731464549999998</v>
      </c>
    </row>
    <row r="6" spans="1:111" x14ac:dyDescent="0.75">
      <c r="A6" s="8"/>
      <c r="B6" s="45"/>
      <c r="C6" t="s">
        <v>116</v>
      </c>
      <c r="D6" t="s">
        <v>7</v>
      </c>
      <c r="AV6">
        <v>36.459807189999999</v>
      </c>
      <c r="CP6">
        <v>1.373188E-2</v>
      </c>
      <c r="CQ6">
        <v>3.7488849999999997E-2</v>
      </c>
      <c r="CR6">
        <v>1.839404E-2</v>
      </c>
      <c r="CS6">
        <v>6.2370100000000003E-3</v>
      </c>
      <c r="CT6">
        <v>1.4780120000000001E-2</v>
      </c>
      <c r="CU6">
        <v>1.01662E-3</v>
      </c>
      <c r="CV6">
        <v>9.2321199999999999E-3</v>
      </c>
      <c r="CW6">
        <v>5.2479999999999996E-4</v>
      </c>
      <c r="CX6">
        <v>1.0983120000000001E-2</v>
      </c>
      <c r="CY6">
        <v>1.8115510000000001E-2</v>
      </c>
      <c r="DG6">
        <v>36.590311270000001</v>
      </c>
    </row>
    <row r="7" spans="1:111" x14ac:dyDescent="0.75">
      <c r="A7" s="8"/>
      <c r="B7" s="45"/>
      <c r="C7" t="s">
        <v>117</v>
      </c>
      <c r="D7" t="s">
        <v>8</v>
      </c>
      <c r="AW7">
        <v>208.62120519999999</v>
      </c>
      <c r="CP7">
        <v>5.4357499899999997</v>
      </c>
      <c r="CQ7">
        <v>9.1782910799999993</v>
      </c>
      <c r="CR7">
        <v>11.786458769999999</v>
      </c>
      <c r="CS7">
        <v>14.22693357</v>
      </c>
      <c r="CT7">
        <v>8.0526150800000007</v>
      </c>
      <c r="CU7">
        <v>0.12531688999999999</v>
      </c>
      <c r="CV7">
        <v>0.24599982000000001</v>
      </c>
      <c r="CW7">
        <v>0.43274232000000001</v>
      </c>
      <c r="CX7">
        <v>0.70930928999999998</v>
      </c>
      <c r="CY7">
        <v>1.54398795</v>
      </c>
      <c r="DG7">
        <v>260.35861</v>
      </c>
    </row>
    <row r="8" spans="1:111" x14ac:dyDescent="0.75">
      <c r="A8" s="8"/>
      <c r="B8" s="45"/>
      <c r="C8" t="s">
        <v>118</v>
      </c>
      <c r="D8" t="s">
        <v>9</v>
      </c>
      <c r="AX8">
        <v>91.644974629999993</v>
      </c>
      <c r="CP8">
        <v>0.18629783</v>
      </c>
      <c r="CQ8">
        <v>0.69704931999999997</v>
      </c>
      <c r="CR8">
        <v>0.53867434000000003</v>
      </c>
      <c r="CS8">
        <v>2.4571638500000001</v>
      </c>
      <c r="CT8">
        <v>1.3279949</v>
      </c>
      <c r="CX8">
        <v>2.064363E-2</v>
      </c>
      <c r="CY8">
        <v>0.32631241</v>
      </c>
      <c r="DG8">
        <v>97.199110899999994</v>
      </c>
    </row>
    <row r="9" spans="1:111" x14ac:dyDescent="0.75">
      <c r="A9" s="8"/>
      <c r="B9" s="45"/>
      <c r="C9" t="s">
        <v>119</v>
      </c>
      <c r="D9" t="s">
        <v>10</v>
      </c>
      <c r="AY9">
        <v>326.71375610000001</v>
      </c>
      <c r="CP9">
        <v>28.33385024</v>
      </c>
      <c r="CQ9">
        <v>55.81141744</v>
      </c>
      <c r="CR9">
        <v>75.217634840000002</v>
      </c>
      <c r="CS9">
        <v>85.323400730000003</v>
      </c>
      <c r="CT9">
        <v>42.855836600000004</v>
      </c>
      <c r="CU9">
        <v>0.46784708000000003</v>
      </c>
      <c r="CV9">
        <v>1.9190479899999999</v>
      </c>
      <c r="CW9">
        <v>2.20829846</v>
      </c>
      <c r="CX9">
        <v>2.6433937099999998</v>
      </c>
      <c r="CY9">
        <v>4.4732459799999997</v>
      </c>
      <c r="DG9">
        <v>625.96772910000004</v>
      </c>
    </row>
    <row r="10" spans="1:111" x14ac:dyDescent="0.75">
      <c r="A10" s="8"/>
      <c r="B10" s="45"/>
      <c r="C10" t="s">
        <v>120</v>
      </c>
      <c r="D10" t="s">
        <v>11</v>
      </c>
      <c r="AZ10">
        <v>136.3902597</v>
      </c>
      <c r="CP10">
        <v>2.6902408800000002</v>
      </c>
      <c r="CQ10">
        <v>3.0544455799999999</v>
      </c>
      <c r="CR10">
        <v>3.5526401399999998</v>
      </c>
      <c r="CS10">
        <v>3.4577790500000001</v>
      </c>
      <c r="CT10">
        <v>1.93643038</v>
      </c>
      <c r="CU10">
        <v>0.15275721</v>
      </c>
      <c r="CV10">
        <v>0.19383555999999999</v>
      </c>
      <c r="CW10">
        <v>0.25995162999999999</v>
      </c>
      <c r="CX10">
        <v>0.30061550999999997</v>
      </c>
      <c r="CY10">
        <v>0.54152182000000004</v>
      </c>
      <c r="DG10">
        <v>152.53047749999999</v>
      </c>
    </row>
    <row r="11" spans="1:111" x14ac:dyDescent="0.75">
      <c r="A11" s="8"/>
      <c r="B11" s="45"/>
      <c r="C11" t="s">
        <v>121</v>
      </c>
      <c r="D11" t="s">
        <v>12</v>
      </c>
      <c r="BA11">
        <v>21.973836380000002</v>
      </c>
      <c r="DG11">
        <v>21.973836380000002</v>
      </c>
    </row>
    <row r="12" spans="1:111" x14ac:dyDescent="0.75">
      <c r="A12" s="8"/>
      <c r="B12" s="45"/>
      <c r="C12" t="s">
        <v>122</v>
      </c>
      <c r="D12" t="s">
        <v>13</v>
      </c>
      <c r="BB12">
        <v>7.6356880699999996</v>
      </c>
      <c r="DG12">
        <v>7.6356880699999996</v>
      </c>
    </row>
    <row r="13" spans="1:111" x14ac:dyDescent="0.75">
      <c r="A13" s="8" t="s">
        <v>123</v>
      </c>
      <c r="B13" s="45"/>
      <c r="C13" t="s">
        <v>124</v>
      </c>
      <c r="D13" t="s">
        <v>14</v>
      </c>
      <c r="BC13">
        <v>575.09742500000004</v>
      </c>
      <c r="CP13">
        <v>13.240056920000001</v>
      </c>
      <c r="CQ13">
        <v>29.505438059999999</v>
      </c>
      <c r="CR13">
        <v>46.464361279999999</v>
      </c>
      <c r="CS13">
        <v>75.889376459999994</v>
      </c>
      <c r="CT13">
        <v>58.185401319999997</v>
      </c>
      <c r="CU13">
        <v>0.27249781000000001</v>
      </c>
      <c r="CV13">
        <v>1.0141291299999999</v>
      </c>
      <c r="CW13">
        <v>3.3185469599999999</v>
      </c>
      <c r="CX13">
        <v>4.5069371800000004</v>
      </c>
      <c r="CY13">
        <v>14.24500965</v>
      </c>
      <c r="DG13">
        <v>821.73917979999999</v>
      </c>
    </row>
    <row r="14" spans="1:111" x14ac:dyDescent="0.75">
      <c r="A14" s="8"/>
      <c r="B14" s="45"/>
      <c r="C14" t="s">
        <v>125</v>
      </c>
      <c r="D14" t="s">
        <v>15</v>
      </c>
      <c r="BD14">
        <v>326.53275780000001</v>
      </c>
      <c r="CP14">
        <v>7.1030120000000002E-2</v>
      </c>
      <c r="CQ14">
        <v>0.26574715999999998</v>
      </c>
      <c r="CR14">
        <v>0.20536935000000001</v>
      </c>
      <c r="CS14">
        <v>0.93682984999999996</v>
      </c>
      <c r="CT14">
        <v>0.50642350000000003</v>
      </c>
      <c r="CX14">
        <v>7.8710700000000008E-3</v>
      </c>
      <c r="CY14">
        <v>0.12442561000000001</v>
      </c>
      <c r="DG14">
        <v>328.65045450000002</v>
      </c>
    </row>
    <row r="15" spans="1:111" x14ac:dyDescent="0.75">
      <c r="A15" s="8"/>
      <c r="B15" s="45"/>
      <c r="C15" t="s">
        <v>126</v>
      </c>
      <c r="D15" t="s">
        <v>16</v>
      </c>
      <c r="BE15">
        <v>16.378208860000001</v>
      </c>
      <c r="CP15">
        <v>1.5042120000000001E-2</v>
      </c>
      <c r="CQ15">
        <v>3.546937E-2</v>
      </c>
      <c r="CR15">
        <v>3.1950000000000001E-4</v>
      </c>
      <c r="CS15">
        <v>0.50757927000000003</v>
      </c>
      <c r="CT15">
        <v>0.39956386999999999</v>
      </c>
      <c r="CY15">
        <v>9.6859550000000003E-2</v>
      </c>
      <c r="DG15">
        <v>17.433042539999999</v>
      </c>
    </row>
    <row r="16" spans="1:111" x14ac:dyDescent="0.75">
      <c r="A16" s="8"/>
      <c r="B16" s="45"/>
      <c r="C16" t="s">
        <v>127</v>
      </c>
      <c r="D16" t="s">
        <v>17</v>
      </c>
      <c r="BF16">
        <v>396.5271328</v>
      </c>
      <c r="CP16">
        <v>0.32193857999999997</v>
      </c>
      <c r="CQ16">
        <v>2.04133772</v>
      </c>
      <c r="CR16">
        <v>3.8877445499999999</v>
      </c>
      <c r="CS16">
        <v>9.7114818399999994</v>
      </c>
      <c r="CT16">
        <v>10.33048484</v>
      </c>
      <c r="CU16">
        <v>1.480952E-2</v>
      </c>
      <c r="CV16">
        <v>0.16648551</v>
      </c>
      <c r="CW16">
        <v>0.30182235000000002</v>
      </c>
      <c r="CX16">
        <v>0.85979017000000002</v>
      </c>
      <c r="CY16">
        <v>3.3534307000000001</v>
      </c>
      <c r="DG16">
        <v>427.51645860000002</v>
      </c>
    </row>
    <row r="17" spans="1:111" x14ac:dyDescent="0.75">
      <c r="A17" s="8"/>
      <c r="B17" s="45"/>
      <c r="C17" t="s">
        <v>128</v>
      </c>
      <c r="D17" t="s">
        <v>18</v>
      </c>
      <c r="BG17">
        <v>32.165639169999999</v>
      </c>
      <c r="CP17">
        <v>0.46125959</v>
      </c>
      <c r="CQ17">
        <v>1.1324390799999999</v>
      </c>
      <c r="CR17">
        <v>1.4492125199999999</v>
      </c>
      <c r="CS17">
        <v>3.08569548</v>
      </c>
      <c r="CT17">
        <v>5.0906049900000001</v>
      </c>
      <c r="CU17">
        <v>1.249604E-2</v>
      </c>
      <c r="CV17">
        <v>4.0943849999999997E-2</v>
      </c>
      <c r="CW17">
        <v>3.0563489999999999E-2</v>
      </c>
      <c r="CX17">
        <v>5.8431459999999998E-2</v>
      </c>
      <c r="CY17">
        <v>4.6994443500000003</v>
      </c>
      <c r="DG17">
        <v>48.22673004</v>
      </c>
    </row>
    <row r="18" spans="1:111" x14ac:dyDescent="0.75">
      <c r="A18" s="8"/>
      <c r="B18" s="45"/>
      <c r="C18" t="s">
        <v>129</v>
      </c>
      <c r="D18" t="s">
        <v>19</v>
      </c>
      <c r="BH18">
        <v>75.243367059999997</v>
      </c>
      <c r="CP18">
        <v>0.31515146999999999</v>
      </c>
      <c r="CQ18">
        <v>0.51111759000000001</v>
      </c>
      <c r="CR18">
        <v>1.2426771999999999</v>
      </c>
      <c r="CS18">
        <v>0.60441531999999998</v>
      </c>
      <c r="CT18">
        <v>1.0240095300000001</v>
      </c>
      <c r="CV18">
        <v>6.6444299999999998E-3</v>
      </c>
      <c r="CW18">
        <v>3.1688699999999998E-3</v>
      </c>
      <c r="CY18">
        <v>6.8479490000000004E-2</v>
      </c>
      <c r="DG18">
        <v>79.019030970000003</v>
      </c>
    </row>
    <row r="19" spans="1:111" x14ac:dyDescent="0.75">
      <c r="A19" s="8"/>
      <c r="B19" s="45"/>
      <c r="C19" t="s">
        <v>130</v>
      </c>
      <c r="D19" t="s">
        <v>20</v>
      </c>
      <c r="BI19">
        <v>86.160737460000007</v>
      </c>
      <c r="CP19">
        <v>106.32907969999999</v>
      </c>
      <c r="CQ19">
        <v>122.3038371</v>
      </c>
      <c r="CR19">
        <v>128.4373386</v>
      </c>
      <c r="CS19">
        <v>125.59448089999999</v>
      </c>
      <c r="CT19">
        <v>69.022041689999995</v>
      </c>
      <c r="CU19">
        <v>6.5794597000000001</v>
      </c>
      <c r="CV19">
        <v>9.0058048799999995</v>
      </c>
      <c r="CW19">
        <v>12.88396878</v>
      </c>
      <c r="CX19">
        <v>16.065719349999998</v>
      </c>
      <c r="CY19">
        <v>9.8785142199999996</v>
      </c>
      <c r="DG19">
        <v>692.26098230000002</v>
      </c>
    </row>
    <row r="20" spans="1:111" x14ac:dyDescent="0.75">
      <c r="A20" s="8"/>
      <c r="B20" s="45"/>
      <c r="C20" t="s">
        <v>131</v>
      </c>
      <c r="D20" t="s">
        <v>21</v>
      </c>
      <c r="BJ20">
        <v>54.67468195</v>
      </c>
      <c r="CP20">
        <v>0.19180542</v>
      </c>
      <c r="CQ20">
        <v>0.48044474999999998</v>
      </c>
      <c r="CR20">
        <v>0.83758142000000002</v>
      </c>
      <c r="CS20">
        <v>0.55337749000000003</v>
      </c>
      <c r="CT20">
        <v>0.70351865999999996</v>
      </c>
      <c r="DG20">
        <v>57.44140968</v>
      </c>
    </row>
    <row r="21" spans="1:111" x14ac:dyDescent="0.75">
      <c r="A21" s="8"/>
      <c r="B21" s="46" t="s">
        <v>132</v>
      </c>
      <c r="C21" t="s">
        <v>133</v>
      </c>
      <c r="D21" t="s">
        <v>22</v>
      </c>
      <c r="BK21">
        <v>555.750855</v>
      </c>
      <c r="DG21">
        <v>555.750855</v>
      </c>
    </row>
    <row r="22" spans="1:111" x14ac:dyDescent="0.75">
      <c r="A22" s="8"/>
      <c r="B22" s="46"/>
      <c r="C22" t="s">
        <v>134</v>
      </c>
      <c r="D22" t="s">
        <v>23</v>
      </c>
      <c r="BL22" s="2">
        <v>1675.2</v>
      </c>
      <c r="DG22" s="2">
        <v>1675.2</v>
      </c>
    </row>
    <row r="23" spans="1:111" x14ac:dyDescent="0.75">
      <c r="A23" s="8"/>
      <c r="B23" s="46"/>
      <c r="C23" t="s">
        <v>135</v>
      </c>
      <c r="D23" t="s">
        <v>24</v>
      </c>
      <c r="BM23">
        <v>573.4974234</v>
      </c>
      <c r="DG23">
        <v>573.4974234</v>
      </c>
    </row>
    <row r="24" spans="1:111" x14ac:dyDescent="0.75">
      <c r="A24" s="8"/>
      <c r="B24" s="46"/>
      <c r="C24" t="s">
        <v>136</v>
      </c>
      <c r="D24" t="s">
        <v>25</v>
      </c>
      <c r="BN24">
        <v>215.500528</v>
      </c>
      <c r="DG24">
        <v>215.500528</v>
      </c>
    </row>
    <row r="25" spans="1:111" x14ac:dyDescent="0.75">
      <c r="A25" s="8"/>
      <c r="B25" s="46"/>
      <c r="C25" t="s">
        <v>137</v>
      </c>
      <c r="D25" t="s">
        <v>26</v>
      </c>
      <c r="BO25">
        <v>79.294553289999996</v>
      </c>
      <c r="DG25">
        <v>79.294553289999996</v>
      </c>
    </row>
    <row r="26" spans="1:111" x14ac:dyDescent="0.75">
      <c r="A26" s="8"/>
      <c r="B26" s="46"/>
      <c r="C26" t="s">
        <v>138</v>
      </c>
      <c r="D26" t="s">
        <v>27</v>
      </c>
      <c r="BP26">
        <v>269.07980500000002</v>
      </c>
      <c r="DG26">
        <v>269.07980500000002</v>
      </c>
    </row>
    <row r="27" spans="1:111" x14ac:dyDescent="0.75">
      <c r="A27" s="8"/>
      <c r="B27" s="46"/>
      <c r="C27" t="s">
        <v>139</v>
      </c>
      <c r="D27" t="s">
        <v>28</v>
      </c>
      <c r="BQ27">
        <v>154.28278700000001</v>
      </c>
      <c r="DG27">
        <v>154.28278700000001</v>
      </c>
    </row>
    <row r="28" spans="1:111" x14ac:dyDescent="0.75">
      <c r="A28" s="8"/>
      <c r="B28" s="46"/>
      <c r="C28" t="s">
        <v>140</v>
      </c>
      <c r="D28" t="s">
        <v>29</v>
      </c>
      <c r="BR28">
        <v>114.9494918</v>
      </c>
      <c r="DG28">
        <v>114.9494918</v>
      </c>
    </row>
    <row r="29" spans="1:111" x14ac:dyDescent="0.75">
      <c r="A29" s="8"/>
      <c r="B29" s="46"/>
      <c r="C29" t="s">
        <v>141</v>
      </c>
      <c r="D29" t="s">
        <v>30</v>
      </c>
      <c r="BS29">
        <v>184.43158500000001</v>
      </c>
      <c r="DG29">
        <v>184.43158500000001</v>
      </c>
    </row>
    <row r="30" spans="1:111" x14ac:dyDescent="0.75">
      <c r="A30" s="8"/>
      <c r="B30" s="46"/>
      <c r="C30" t="s">
        <v>142</v>
      </c>
      <c r="D30" t="s">
        <v>31</v>
      </c>
      <c r="BT30">
        <v>45.175579769999999</v>
      </c>
      <c r="DG30">
        <v>45.175579769999999</v>
      </c>
    </row>
    <row r="31" spans="1:111" x14ac:dyDescent="0.75">
      <c r="A31" s="8"/>
      <c r="B31" s="46"/>
      <c r="C31" t="s">
        <v>143</v>
      </c>
      <c r="D31" t="s">
        <v>32</v>
      </c>
      <c r="BU31">
        <v>661.45480640000005</v>
      </c>
      <c r="DG31">
        <v>661.45480640000005</v>
      </c>
    </row>
    <row r="32" spans="1:111" x14ac:dyDescent="0.75">
      <c r="A32" s="8"/>
      <c r="B32" s="46"/>
      <c r="C32" t="s">
        <v>144</v>
      </c>
      <c r="D32" t="s">
        <v>33</v>
      </c>
      <c r="BV32">
        <v>134.79373810000001</v>
      </c>
      <c r="DG32">
        <v>134.79373810000001</v>
      </c>
    </row>
    <row r="33" spans="1:111" x14ac:dyDescent="0.75">
      <c r="A33" s="8"/>
      <c r="B33" s="46"/>
      <c r="C33" t="s">
        <v>145</v>
      </c>
      <c r="D33" t="s">
        <v>34</v>
      </c>
      <c r="BW33" s="2">
        <v>2850.02</v>
      </c>
      <c r="DG33" s="2">
        <v>2850.02</v>
      </c>
    </row>
    <row r="34" spans="1:111" x14ac:dyDescent="0.75">
      <c r="A34" s="8"/>
      <c r="B34" s="46" t="s">
        <v>146</v>
      </c>
      <c r="C34" s="41" t="s">
        <v>147</v>
      </c>
      <c r="D34" t="s">
        <v>35</v>
      </c>
      <c r="BX34" s="2">
        <v>2271.62</v>
      </c>
      <c r="DG34" s="2">
        <v>2271.62</v>
      </c>
    </row>
    <row r="35" spans="1:111" x14ac:dyDescent="0.75">
      <c r="A35" s="8"/>
      <c r="B35" s="46"/>
      <c r="C35" s="41" t="s">
        <v>148</v>
      </c>
      <c r="D35" t="s">
        <v>36</v>
      </c>
      <c r="BY35" s="2">
        <v>1312.48</v>
      </c>
      <c r="DG35" s="2">
        <v>1312.48</v>
      </c>
    </row>
    <row r="36" spans="1:111" x14ac:dyDescent="0.75">
      <c r="A36" s="8"/>
      <c r="B36" s="46"/>
      <c r="C36" s="41" t="s">
        <v>149</v>
      </c>
      <c r="D36" t="s">
        <v>37</v>
      </c>
      <c r="BZ36">
        <v>692.52678649999996</v>
      </c>
      <c r="DG36">
        <v>692.52678649999996</v>
      </c>
    </row>
    <row r="37" spans="1:111" x14ac:dyDescent="0.75">
      <c r="A37" s="8"/>
      <c r="B37" s="46"/>
      <c r="C37" t="s">
        <v>150</v>
      </c>
      <c r="D37" t="s">
        <v>38</v>
      </c>
      <c r="CA37">
        <v>389.06268019999999</v>
      </c>
      <c r="DG37">
        <v>389.06268019999999</v>
      </c>
    </row>
    <row r="38" spans="1:111" x14ac:dyDescent="0.75">
      <c r="A38" s="8"/>
      <c r="B38" s="46"/>
      <c r="C38" t="s">
        <v>151</v>
      </c>
      <c r="D38" t="s">
        <v>39</v>
      </c>
      <c r="CB38">
        <v>593.35617309999998</v>
      </c>
      <c r="DG38">
        <v>593.35617309999998</v>
      </c>
    </row>
    <row r="39" spans="1:111" x14ac:dyDescent="0.75">
      <c r="A39" s="8"/>
      <c r="B39" s="46"/>
      <c r="C39" t="s">
        <v>152</v>
      </c>
      <c r="D39" t="s">
        <v>40</v>
      </c>
      <c r="CC39">
        <v>749.16051990000005</v>
      </c>
      <c r="DG39">
        <v>749.16051990000005</v>
      </c>
    </row>
    <row r="40" spans="1:111" x14ac:dyDescent="0.75">
      <c r="A40" s="8"/>
      <c r="B40" s="46"/>
      <c r="C40" t="s">
        <v>153</v>
      </c>
      <c r="D40" t="s">
        <v>41</v>
      </c>
      <c r="CD40">
        <v>750.75880659999996</v>
      </c>
      <c r="DG40">
        <v>750.75880659999996</v>
      </c>
    </row>
    <row r="41" spans="1:111" x14ac:dyDescent="0.75">
      <c r="A41" s="8"/>
      <c r="B41" s="46"/>
      <c r="C41" t="s">
        <v>154</v>
      </c>
      <c r="D41" t="s">
        <v>42</v>
      </c>
      <c r="CE41" s="2">
        <v>1854.25</v>
      </c>
      <c r="DG41" s="2">
        <v>1854.25</v>
      </c>
    </row>
    <row r="42" spans="1:111" x14ac:dyDescent="0.75">
      <c r="A42" s="8"/>
      <c r="B42" s="46"/>
      <c r="C42" t="s">
        <v>155</v>
      </c>
      <c r="D42" t="s">
        <v>43</v>
      </c>
      <c r="CF42">
        <v>745.74028380000004</v>
      </c>
      <c r="DG42">
        <v>745.74028380000004</v>
      </c>
    </row>
    <row r="43" spans="1:111" x14ac:dyDescent="0.75">
      <c r="A43" s="8"/>
      <c r="B43" s="46"/>
      <c r="C43" t="s">
        <v>156</v>
      </c>
      <c r="D43" t="s">
        <v>44</v>
      </c>
      <c r="CG43">
        <v>358.67742379999999</v>
      </c>
      <c r="DG43">
        <v>358.67742379999999</v>
      </c>
    </row>
    <row r="44" spans="1:111" s="18" customFormat="1" x14ac:dyDescent="0.75">
      <c r="A44" s="17"/>
      <c r="B44" s="46"/>
      <c r="C44" s="18" t="s">
        <v>157</v>
      </c>
      <c r="D44" s="18" t="s">
        <v>45</v>
      </c>
      <c r="CH44" s="18">
        <v>773.53781919999994</v>
      </c>
      <c r="DG44" s="18">
        <v>773.53781919999994</v>
      </c>
    </row>
    <row r="45" spans="1:111" x14ac:dyDescent="0.75">
      <c r="A45" s="8"/>
      <c r="B45" s="45" t="s">
        <v>113</v>
      </c>
      <c r="C45" t="s">
        <v>158</v>
      </c>
      <c r="D45" t="s">
        <v>46</v>
      </c>
      <c r="E45">
        <v>1.086778</v>
      </c>
      <c r="Q45">
        <v>6.9706474399999996</v>
      </c>
      <c r="R45">
        <v>2.1141118400000001</v>
      </c>
      <c r="S45">
        <v>1.45425005</v>
      </c>
      <c r="W45">
        <v>44.42425626</v>
      </c>
      <c r="CP45">
        <v>7.2358608499999999</v>
      </c>
      <c r="CQ45">
        <v>9.0790627799999992</v>
      </c>
      <c r="CR45">
        <v>9.4476720499999995</v>
      </c>
      <c r="CS45">
        <v>8.5451528299999993</v>
      </c>
      <c r="CT45">
        <v>4.0023224300000004</v>
      </c>
      <c r="CU45">
        <v>0.22606551</v>
      </c>
      <c r="CV45">
        <v>0.32319845000000003</v>
      </c>
      <c r="CW45">
        <v>0.33179049999999999</v>
      </c>
      <c r="CX45">
        <v>0.58156854000000002</v>
      </c>
      <c r="CY45">
        <v>1.51641424</v>
      </c>
      <c r="DG45">
        <v>97.339151759999993</v>
      </c>
    </row>
    <row r="46" spans="1:111" x14ac:dyDescent="0.75">
      <c r="A46" s="8"/>
      <c r="B46" s="45"/>
      <c r="C46" t="s">
        <v>159</v>
      </c>
      <c r="D46" t="s">
        <v>47</v>
      </c>
      <c r="F46">
        <v>0.89167790000000002</v>
      </c>
      <c r="Q46">
        <v>4.3027404899999997</v>
      </c>
      <c r="W46">
        <v>66.244133849999997</v>
      </c>
      <c r="DG46">
        <v>71.438552240000007</v>
      </c>
    </row>
    <row r="47" spans="1:111" x14ac:dyDescent="0.75">
      <c r="A47" s="8"/>
      <c r="B47" s="45"/>
      <c r="C47" t="s">
        <v>160</v>
      </c>
      <c r="D47" t="s">
        <v>48</v>
      </c>
      <c r="G47">
        <v>0.47715405999999999</v>
      </c>
      <c r="Q47">
        <v>3.5301288999999998</v>
      </c>
      <c r="W47">
        <v>16.299547459999999</v>
      </c>
      <c r="X47">
        <v>13.589115570000001</v>
      </c>
      <c r="CP47">
        <v>1.0010375600000001</v>
      </c>
      <c r="CQ47">
        <v>1.63069128</v>
      </c>
      <c r="CR47">
        <v>2.8026367200000002</v>
      </c>
      <c r="CS47">
        <v>3.2547165599999999</v>
      </c>
      <c r="CT47">
        <v>2.9799751099999998</v>
      </c>
      <c r="CU47">
        <v>0.13639957999999999</v>
      </c>
      <c r="CV47">
        <v>0.24593614999999999</v>
      </c>
      <c r="CW47">
        <v>0.32682217000000002</v>
      </c>
      <c r="CX47">
        <v>0.64148614000000004</v>
      </c>
      <c r="CY47">
        <v>1.5596304000000001</v>
      </c>
      <c r="DG47">
        <v>48.475277660000003</v>
      </c>
    </row>
    <row r="48" spans="1:111" x14ac:dyDescent="0.75">
      <c r="A48" s="8"/>
      <c r="B48" s="45"/>
      <c r="C48" t="s">
        <v>161</v>
      </c>
      <c r="D48" t="s">
        <v>49</v>
      </c>
      <c r="H48">
        <v>2.0731892799999998</v>
      </c>
      <c r="AK48">
        <v>10.46889532</v>
      </c>
      <c r="CP48">
        <v>11.815896479999999</v>
      </c>
      <c r="CQ48">
        <v>15.649753670000001</v>
      </c>
      <c r="CR48">
        <v>18.897404470000001</v>
      </c>
      <c r="CS48">
        <v>18.784375900000001</v>
      </c>
      <c r="CT48">
        <v>14.397555929999999</v>
      </c>
      <c r="CU48">
        <v>1.0688999400000001</v>
      </c>
      <c r="CV48">
        <v>2.0536496799999999</v>
      </c>
      <c r="CW48">
        <v>2.9701733799999999</v>
      </c>
      <c r="CX48">
        <v>4.9381783300000004</v>
      </c>
      <c r="CY48">
        <v>19.34571266</v>
      </c>
      <c r="DF48">
        <v>100.99848059999999</v>
      </c>
      <c r="DG48">
        <v>223.46216570000001</v>
      </c>
    </row>
    <row r="49" spans="1:111" x14ac:dyDescent="0.75">
      <c r="A49" s="8"/>
      <c r="B49" s="45"/>
      <c r="C49" t="s">
        <v>162</v>
      </c>
      <c r="D49" t="s">
        <v>50</v>
      </c>
      <c r="I49">
        <v>13.208831890000001</v>
      </c>
      <c r="W49">
        <v>89.484433060000001</v>
      </c>
      <c r="AK49">
        <v>1.6818980000000001E-2</v>
      </c>
      <c r="CP49">
        <v>8.7559109999999996E-2</v>
      </c>
      <c r="CQ49">
        <v>0.24638006000000001</v>
      </c>
      <c r="CR49">
        <v>0.45203569999999998</v>
      </c>
      <c r="CS49">
        <v>1.0588308500000001</v>
      </c>
      <c r="CT49">
        <v>2.5554696400000001</v>
      </c>
      <c r="CU49">
        <v>6.4319829999999995E-2</v>
      </c>
      <c r="CV49">
        <v>0.18437833000000001</v>
      </c>
      <c r="CW49">
        <v>0.42752359000000001</v>
      </c>
      <c r="CX49">
        <v>0.88742772999999997</v>
      </c>
      <c r="CY49">
        <v>13.375391799999999</v>
      </c>
      <c r="DG49">
        <v>122.0494006</v>
      </c>
    </row>
    <row r="50" spans="1:111" x14ac:dyDescent="0.75">
      <c r="A50" s="8"/>
      <c r="B50" s="45"/>
      <c r="C50" t="s">
        <v>163</v>
      </c>
      <c r="D50" t="s">
        <v>51</v>
      </c>
      <c r="J50">
        <v>8.6916548799999997</v>
      </c>
      <c r="W50">
        <v>26.722044390000001</v>
      </c>
      <c r="X50">
        <v>27.892295619999999</v>
      </c>
      <c r="AK50">
        <v>49.142132580000002</v>
      </c>
      <c r="CP50">
        <v>33.990388930000002</v>
      </c>
      <c r="CQ50">
        <v>39.245591279999999</v>
      </c>
      <c r="CR50">
        <v>42.184592770000002</v>
      </c>
      <c r="CS50">
        <v>45.244750709999998</v>
      </c>
      <c r="CT50">
        <v>27.302989400000001</v>
      </c>
      <c r="CU50">
        <v>3.8279160800000001</v>
      </c>
      <c r="CV50">
        <v>6.2308261399999996</v>
      </c>
      <c r="CW50">
        <v>7.2802792700000003</v>
      </c>
      <c r="CX50">
        <v>10.07646299</v>
      </c>
      <c r="CY50">
        <v>26.948563350000001</v>
      </c>
      <c r="DF50">
        <v>0.11599386</v>
      </c>
      <c r="DG50">
        <v>354.8964823</v>
      </c>
    </row>
    <row r="51" spans="1:111" x14ac:dyDescent="0.75">
      <c r="A51" s="8"/>
      <c r="B51" s="45"/>
      <c r="C51" t="s">
        <v>164</v>
      </c>
      <c r="D51" t="s">
        <v>52</v>
      </c>
      <c r="K51">
        <v>0.74067532000000003</v>
      </c>
      <c r="W51">
        <v>14.260946990000001</v>
      </c>
      <c r="AK51">
        <v>7.4857178800000002</v>
      </c>
      <c r="CP51">
        <v>13.22364984</v>
      </c>
      <c r="CQ51">
        <v>15.886151</v>
      </c>
      <c r="CR51">
        <v>17.204786049999999</v>
      </c>
      <c r="CS51">
        <v>17.65954941</v>
      </c>
      <c r="CT51">
        <v>14.73641975</v>
      </c>
      <c r="CU51">
        <v>0.98970877000000002</v>
      </c>
      <c r="CV51">
        <v>2.2388599199999999</v>
      </c>
      <c r="CW51">
        <v>2.8703611200000001</v>
      </c>
      <c r="CX51">
        <v>5.3721620200000002</v>
      </c>
      <c r="CY51">
        <v>25.88596914</v>
      </c>
      <c r="DF51">
        <v>16.232489220000001</v>
      </c>
      <c r="DG51">
        <v>154.78744639999999</v>
      </c>
    </row>
    <row r="52" spans="1:111" x14ac:dyDescent="0.75">
      <c r="A52" s="8"/>
      <c r="B52" s="45"/>
      <c r="C52" t="s">
        <v>165</v>
      </c>
      <c r="D52" t="s">
        <v>53</v>
      </c>
      <c r="W52">
        <v>22.202699110000001</v>
      </c>
      <c r="DG52">
        <v>22.202699110000001</v>
      </c>
    </row>
    <row r="53" spans="1:111" x14ac:dyDescent="0.75">
      <c r="A53" s="8"/>
      <c r="B53" s="45"/>
      <c r="C53" t="s">
        <v>166</v>
      </c>
      <c r="D53" t="s">
        <v>54</v>
      </c>
      <c r="X53">
        <v>1.95029951</v>
      </c>
      <c r="CP53">
        <v>0.86585520999999999</v>
      </c>
      <c r="CQ53">
        <v>1.1771893</v>
      </c>
      <c r="CR53">
        <v>1.2955057699999999</v>
      </c>
      <c r="CS53">
        <v>1.23155422</v>
      </c>
      <c r="CT53">
        <v>0.65061835999999995</v>
      </c>
      <c r="CU53">
        <v>3.602292E-2</v>
      </c>
      <c r="CV53">
        <v>4.7388890000000003E-2</v>
      </c>
      <c r="CW53">
        <v>8.537844E-2</v>
      </c>
      <c r="CX53">
        <v>0.28164977000000002</v>
      </c>
      <c r="CY53">
        <v>9.7903820000000003E-2</v>
      </c>
      <c r="DG53">
        <v>7.7193662200000004</v>
      </c>
    </row>
    <row r="54" spans="1:111" x14ac:dyDescent="0.75">
      <c r="A54" s="8"/>
      <c r="B54" s="45"/>
      <c r="C54" t="s">
        <v>167</v>
      </c>
      <c r="D54" t="s">
        <v>55</v>
      </c>
      <c r="N54">
        <v>3.3922627400000001</v>
      </c>
      <c r="W54">
        <v>16.680715549999999</v>
      </c>
      <c r="X54">
        <v>50.700397979999998</v>
      </c>
      <c r="AK54">
        <v>24.022559900000001</v>
      </c>
      <c r="CP54">
        <v>24.66672398</v>
      </c>
      <c r="CQ54">
        <v>45.062705739999998</v>
      </c>
      <c r="CR54">
        <v>62.829922779999997</v>
      </c>
      <c r="CS54">
        <v>90.498926839999996</v>
      </c>
      <c r="CT54">
        <v>86.051718719999997</v>
      </c>
      <c r="CU54">
        <v>3.0216298699999999</v>
      </c>
      <c r="CV54">
        <v>5.4768018700000001</v>
      </c>
      <c r="CW54">
        <v>9.0254041899999997</v>
      </c>
      <c r="CX54">
        <v>25.341249390000002</v>
      </c>
      <c r="CY54">
        <v>164.41500909999999</v>
      </c>
      <c r="DF54">
        <v>22.187258050000001</v>
      </c>
      <c r="DG54">
        <v>633.37328669999999</v>
      </c>
    </row>
    <row r="55" spans="1:111" x14ac:dyDescent="0.75">
      <c r="A55" s="8"/>
      <c r="B55" s="45"/>
      <c r="C55" t="s">
        <v>168</v>
      </c>
      <c r="D55" t="s">
        <v>56</v>
      </c>
      <c r="O55">
        <v>36.48100187</v>
      </c>
      <c r="W55">
        <v>135.4104839</v>
      </c>
      <c r="CP55">
        <v>6.2670229999999993E-2</v>
      </c>
      <c r="CQ55">
        <v>0.22566797999999999</v>
      </c>
      <c r="CR55">
        <v>0.17741113</v>
      </c>
      <c r="CS55">
        <v>0.78484001999999997</v>
      </c>
      <c r="CT55">
        <v>0.42918212</v>
      </c>
      <c r="CU55">
        <v>4.0742000000000003E-4</v>
      </c>
      <c r="CV55">
        <v>7.7820000000000005E-4</v>
      </c>
      <c r="CW55">
        <v>1.14393E-3</v>
      </c>
      <c r="CX55">
        <v>8.7022799999999997E-3</v>
      </c>
      <c r="CY55">
        <v>0.12013951</v>
      </c>
      <c r="DF55">
        <v>154.93714969999999</v>
      </c>
      <c r="DG55">
        <v>328.63957820000002</v>
      </c>
    </row>
    <row r="56" spans="1:111" x14ac:dyDescent="0.75">
      <c r="A56" s="8"/>
      <c r="B56" s="45"/>
      <c r="C56" t="s">
        <v>169</v>
      </c>
      <c r="D56" t="s">
        <v>57</v>
      </c>
      <c r="CP56">
        <v>7.9531820000000003E-2</v>
      </c>
      <c r="CQ56">
        <v>8.518075E-2</v>
      </c>
      <c r="CR56">
        <v>7.8743320000000006E-2</v>
      </c>
      <c r="CS56">
        <v>0.12328548</v>
      </c>
      <c r="CT56">
        <v>0.38866979000000001</v>
      </c>
      <c r="CW56">
        <v>5.2071449999999998E-2</v>
      </c>
      <c r="CX56">
        <v>0.13849301999999999</v>
      </c>
      <c r="CY56">
        <v>9.9576656200000002</v>
      </c>
      <c r="DF56">
        <v>5.7386562100000003</v>
      </c>
      <c r="DG56">
        <v>16.642297460000002</v>
      </c>
    </row>
    <row r="57" spans="1:111" x14ac:dyDescent="0.75">
      <c r="A57" s="8"/>
      <c r="B57" s="45"/>
      <c r="C57" t="s">
        <v>170</v>
      </c>
      <c r="D57" t="s">
        <v>58</v>
      </c>
      <c r="Q57">
        <v>15.072931929999999</v>
      </c>
      <c r="W57">
        <v>299.35422940000001</v>
      </c>
      <c r="AK57">
        <v>16.84239985</v>
      </c>
      <c r="CP57">
        <v>0.56614794000000002</v>
      </c>
      <c r="CQ57">
        <v>1.48821834</v>
      </c>
      <c r="CR57">
        <v>2.5228966599999998</v>
      </c>
      <c r="CS57">
        <v>5.9511601499999998</v>
      </c>
      <c r="CT57">
        <v>11.044259520000001</v>
      </c>
      <c r="CU57">
        <v>7.5589210000000004E-2</v>
      </c>
      <c r="CV57">
        <v>0.29310754</v>
      </c>
      <c r="CW57">
        <v>0.72589935000000005</v>
      </c>
      <c r="CX57">
        <v>2.0625073299999999</v>
      </c>
      <c r="CY57">
        <v>34.45433534</v>
      </c>
      <c r="DE57">
        <v>9.7103405200000008</v>
      </c>
      <c r="DF57">
        <v>0.76414402999999997</v>
      </c>
      <c r="DG57">
        <v>400.92816720000002</v>
      </c>
    </row>
    <row r="58" spans="1:111" x14ac:dyDescent="0.75">
      <c r="A58" s="8"/>
      <c r="B58" s="45"/>
      <c r="C58" t="s">
        <v>171</v>
      </c>
      <c r="D58" t="s">
        <v>59</v>
      </c>
      <c r="R58">
        <v>1.6457850700000001</v>
      </c>
      <c r="CP58">
        <v>1.81675461</v>
      </c>
      <c r="CQ58">
        <v>0.97937335000000003</v>
      </c>
      <c r="CR58">
        <v>2.4352184499999998</v>
      </c>
      <c r="CS58">
        <v>1.1785315599999999</v>
      </c>
      <c r="CT58">
        <v>6.5991587300000001</v>
      </c>
      <c r="CU58">
        <v>9.9795709999999996E-2</v>
      </c>
      <c r="CV58">
        <v>0.28013978</v>
      </c>
      <c r="CW58">
        <v>0.67920270999999999</v>
      </c>
      <c r="CX58">
        <v>0.85750499000000002</v>
      </c>
      <c r="CY58">
        <v>17.49225015</v>
      </c>
      <c r="DG58">
        <v>34.063715100000003</v>
      </c>
    </row>
    <row r="59" spans="1:111" x14ac:dyDescent="0.75">
      <c r="A59" s="8"/>
      <c r="B59" s="45"/>
      <c r="C59" t="s">
        <v>172</v>
      </c>
      <c r="D59" t="s">
        <v>60</v>
      </c>
      <c r="S59">
        <v>0.42033483999999999</v>
      </c>
      <c r="CP59">
        <v>3.1393789000000001</v>
      </c>
      <c r="CQ59">
        <v>6.4713017500000003</v>
      </c>
      <c r="CR59">
        <v>10.187798109999999</v>
      </c>
      <c r="CS59">
        <v>18.872367610000001</v>
      </c>
      <c r="CT59">
        <v>20.807601420000001</v>
      </c>
      <c r="CU59">
        <v>0.21878481</v>
      </c>
      <c r="CV59">
        <v>0.36676076000000002</v>
      </c>
      <c r="CW59">
        <v>1.08290628</v>
      </c>
      <c r="CX59">
        <v>1.9377811599999999</v>
      </c>
      <c r="CY59">
        <v>9.9931847000000005</v>
      </c>
      <c r="DF59">
        <v>2.9622376199999998</v>
      </c>
      <c r="DG59">
        <v>76.460437959999993</v>
      </c>
    </row>
    <row r="60" spans="1:111" x14ac:dyDescent="0.75">
      <c r="A60" s="8"/>
      <c r="B60" s="45"/>
      <c r="C60" t="s">
        <v>173</v>
      </c>
      <c r="D60" t="s">
        <v>61</v>
      </c>
      <c r="T60">
        <v>23.657838590000001</v>
      </c>
      <c r="V60">
        <v>1.3667246799999999</v>
      </c>
      <c r="W60">
        <v>1.8234694499999999</v>
      </c>
      <c r="X60">
        <v>0.48742977999999998</v>
      </c>
      <c r="Z60">
        <v>16.015650650000001</v>
      </c>
      <c r="AB60">
        <v>3.452214E-2</v>
      </c>
      <c r="AF60">
        <v>4.4849644299999998</v>
      </c>
      <c r="AH60">
        <v>54.555732059999997</v>
      </c>
      <c r="AK60">
        <v>19.320336300000001</v>
      </c>
      <c r="CP60">
        <v>1.269086E-2</v>
      </c>
      <c r="CQ60">
        <v>3.3602800000000002E-2</v>
      </c>
      <c r="CR60">
        <v>7.3997670000000002E-2</v>
      </c>
      <c r="CS60">
        <v>0.15063476000000001</v>
      </c>
      <c r="CT60">
        <v>0.25419146999999997</v>
      </c>
      <c r="CU60">
        <v>9.1815899999999999E-3</v>
      </c>
      <c r="CV60">
        <v>4.5720869999999997E-2</v>
      </c>
      <c r="CW60">
        <v>7.2260309999999994E-2</v>
      </c>
      <c r="CX60">
        <v>0.2387579</v>
      </c>
      <c r="CY60">
        <v>1.39277126</v>
      </c>
      <c r="DF60">
        <v>7.34937E-3</v>
      </c>
      <c r="DG60">
        <v>124.0378269</v>
      </c>
    </row>
    <row r="61" spans="1:111" x14ac:dyDescent="0.75">
      <c r="A61" s="8"/>
      <c r="B61" s="45"/>
      <c r="C61" t="s">
        <v>174</v>
      </c>
      <c r="D61" t="s">
        <v>62</v>
      </c>
      <c r="U61">
        <v>0.18595246000000001</v>
      </c>
      <c r="AK61">
        <v>1.30023245</v>
      </c>
      <c r="CP61">
        <v>2.5156717400000002</v>
      </c>
      <c r="CQ61">
        <v>3.0354075599999999</v>
      </c>
      <c r="CR61">
        <v>4.8209639800000001</v>
      </c>
      <c r="CS61">
        <v>8.7913830999999991</v>
      </c>
      <c r="CT61">
        <v>10.30732826</v>
      </c>
      <c r="CU61">
        <v>8.0972920000000004E-2</v>
      </c>
      <c r="CV61">
        <v>0.38041987999999999</v>
      </c>
      <c r="CW61">
        <v>0.64447246000000002</v>
      </c>
      <c r="CX61">
        <v>2.51427003</v>
      </c>
      <c r="CY61">
        <v>24.046728649999999</v>
      </c>
      <c r="DG61">
        <v>58.623803479999999</v>
      </c>
    </row>
    <row r="62" spans="1:111" ht="16" customHeight="1" x14ac:dyDescent="0.75">
      <c r="A62" s="8"/>
      <c r="B62" s="45" t="s">
        <v>132</v>
      </c>
      <c r="C62" t="s">
        <v>175</v>
      </c>
      <c r="D62" t="s">
        <v>63</v>
      </c>
      <c r="V62">
        <v>2.3456812899999999</v>
      </c>
      <c r="W62">
        <v>6.8294240000000006E-2</v>
      </c>
      <c r="AB62">
        <v>9.0519193700000002</v>
      </c>
      <c r="AC62">
        <v>6.8200345699999998</v>
      </c>
      <c r="AD62">
        <v>5.9513299999999998E-2</v>
      </c>
      <c r="AH62">
        <v>181.7242086</v>
      </c>
      <c r="AJ62">
        <v>0.31324164999999998</v>
      </c>
      <c r="AK62">
        <v>1.3994909099999999</v>
      </c>
      <c r="DF62">
        <v>557.98979629999997</v>
      </c>
      <c r="DG62">
        <v>759.77218019999998</v>
      </c>
    </row>
    <row r="63" spans="1:111" x14ac:dyDescent="0.75">
      <c r="A63" s="8"/>
      <c r="B63" s="45"/>
      <c r="C63" t="s">
        <v>176</v>
      </c>
      <c r="D63" t="s">
        <v>64</v>
      </c>
      <c r="Q63">
        <v>66.554300600000005</v>
      </c>
      <c r="R63">
        <v>6.7772152400000003</v>
      </c>
      <c r="S63">
        <v>3.8615211</v>
      </c>
      <c r="U63">
        <v>1.6868399999999999</v>
      </c>
      <c r="W63">
        <v>212.2771668</v>
      </c>
      <c r="X63">
        <v>56.617178109999998</v>
      </c>
      <c r="AE63">
        <v>1.5395610000000001E-2</v>
      </c>
      <c r="AH63">
        <v>0.31418599000000003</v>
      </c>
      <c r="AK63">
        <v>121.464877</v>
      </c>
      <c r="AS63">
        <v>0.76169805999999995</v>
      </c>
      <c r="CP63">
        <v>49.365948629999998</v>
      </c>
      <c r="CQ63">
        <v>80.406236359999994</v>
      </c>
      <c r="CR63">
        <v>113.3441</v>
      </c>
      <c r="CS63">
        <v>178.44639309999999</v>
      </c>
      <c r="CT63">
        <v>227.8617836</v>
      </c>
      <c r="CU63">
        <v>5.0572209800000003</v>
      </c>
      <c r="CV63">
        <v>11.307377819999999</v>
      </c>
      <c r="CW63">
        <v>20.166883909999999</v>
      </c>
      <c r="CX63">
        <v>43.01972481</v>
      </c>
      <c r="CY63">
        <v>459.62096320000001</v>
      </c>
      <c r="DF63">
        <v>704.6774729</v>
      </c>
      <c r="DG63" s="2">
        <v>2363.6</v>
      </c>
    </row>
    <row r="64" spans="1:111" x14ac:dyDescent="0.75">
      <c r="A64" s="8"/>
      <c r="B64" s="45"/>
      <c r="C64" t="s">
        <v>177</v>
      </c>
      <c r="D64" t="s">
        <v>65</v>
      </c>
      <c r="AK64">
        <v>148.4720001</v>
      </c>
      <c r="CP64">
        <v>12.68377038</v>
      </c>
      <c r="CQ64">
        <v>25.385916890000001</v>
      </c>
      <c r="CR64">
        <v>44.729150599999997</v>
      </c>
      <c r="CS64">
        <v>80.449838510000006</v>
      </c>
      <c r="CT64">
        <v>120.68211479999999</v>
      </c>
      <c r="CU64">
        <v>1.57731548</v>
      </c>
      <c r="CV64">
        <v>4.1654244699999996</v>
      </c>
      <c r="CW64">
        <v>9.7536381999999993</v>
      </c>
      <c r="CX64">
        <v>18.943881699999999</v>
      </c>
      <c r="CY64">
        <v>267.97631680000001</v>
      </c>
      <c r="DF64">
        <v>115.08520179999999</v>
      </c>
      <c r="DG64">
        <v>849.90456979999999</v>
      </c>
    </row>
    <row r="65" spans="1:111" x14ac:dyDescent="0.75">
      <c r="A65" s="8"/>
      <c r="B65" s="45"/>
      <c r="C65" t="s">
        <v>178</v>
      </c>
      <c r="D65" t="s">
        <v>66</v>
      </c>
      <c r="V65">
        <v>0.59347704999999995</v>
      </c>
      <c r="Y65">
        <v>41.737061629999999</v>
      </c>
      <c r="AD65">
        <v>3.9868787600000002</v>
      </c>
      <c r="AF65">
        <v>0.38283806999999997</v>
      </c>
      <c r="AH65">
        <v>7.3603801600000001</v>
      </c>
      <c r="AJ65">
        <v>3.3590281900000001</v>
      </c>
      <c r="AK65">
        <v>10.666025019999999</v>
      </c>
      <c r="AL65">
        <v>6.7274956299999999</v>
      </c>
      <c r="AM65">
        <v>13.16551276</v>
      </c>
      <c r="AO65">
        <v>13.40895776</v>
      </c>
      <c r="AP65">
        <v>12.40748505</v>
      </c>
      <c r="AQ65">
        <v>5.6377814300000004</v>
      </c>
      <c r="AR65">
        <v>2.5753580000000002E-2</v>
      </c>
      <c r="CP65">
        <v>22.371374719999999</v>
      </c>
      <c r="CQ65">
        <v>37.109500619999999</v>
      </c>
      <c r="CR65">
        <v>53.010703470000003</v>
      </c>
      <c r="CS65">
        <v>74.909084210000003</v>
      </c>
      <c r="CT65">
        <v>85.102792870000002</v>
      </c>
      <c r="CU65">
        <v>1.6478477499999999</v>
      </c>
      <c r="CV65">
        <v>3.6175429800000001</v>
      </c>
      <c r="CW65">
        <v>7.0766667200000004</v>
      </c>
      <c r="CX65">
        <v>15.518296299999999</v>
      </c>
      <c r="CY65">
        <v>184.05165640000001</v>
      </c>
      <c r="DF65">
        <v>131.9401369</v>
      </c>
      <c r="DG65">
        <v>735.81427799999994</v>
      </c>
    </row>
    <row r="66" spans="1:111" x14ac:dyDescent="0.75">
      <c r="A66" s="8"/>
      <c r="B66" s="45"/>
      <c r="C66" t="s">
        <v>179</v>
      </c>
      <c r="D66" t="s">
        <v>67</v>
      </c>
      <c r="V66">
        <v>1.3586924199999999</v>
      </c>
      <c r="W66">
        <v>21.595014089999999</v>
      </c>
      <c r="X66">
        <v>11.32927774</v>
      </c>
      <c r="Y66">
        <v>0.97186196000000002</v>
      </c>
      <c r="Z66">
        <v>15.21739479</v>
      </c>
      <c r="AA66">
        <v>5.4996111000000001</v>
      </c>
      <c r="AB66">
        <v>0.36700627000000002</v>
      </c>
      <c r="AC66">
        <v>0.12359388</v>
      </c>
      <c r="AD66">
        <v>13.780021120000001</v>
      </c>
      <c r="AE66">
        <v>7.2938219999999998E-2</v>
      </c>
      <c r="AF66">
        <v>0.83703592999999998</v>
      </c>
      <c r="AG66">
        <v>0.15880437</v>
      </c>
      <c r="AH66">
        <v>64.47729305</v>
      </c>
      <c r="AI66">
        <v>1.9237797000000001</v>
      </c>
      <c r="AJ66">
        <v>4.8969667000000001</v>
      </c>
      <c r="AK66">
        <v>1.7553043500000001</v>
      </c>
      <c r="AL66">
        <v>9.4109269999999995E-2</v>
      </c>
      <c r="AM66">
        <v>3.7510500000000001E-3</v>
      </c>
      <c r="AN66">
        <v>0.24826877</v>
      </c>
      <c r="AO66">
        <v>2.5404784299999998</v>
      </c>
      <c r="AP66">
        <v>20.029170189999999</v>
      </c>
      <c r="AQ66">
        <v>24.501915709999999</v>
      </c>
      <c r="AR66">
        <v>3.7302704599999998</v>
      </c>
      <c r="AS66">
        <v>12.078638740000001</v>
      </c>
      <c r="CP66">
        <v>0.64484523000000005</v>
      </c>
      <c r="CQ66">
        <v>1.21251978</v>
      </c>
      <c r="CR66">
        <v>4.3152478800000003</v>
      </c>
      <c r="CS66">
        <v>5.1040694699999998</v>
      </c>
      <c r="CT66">
        <v>8.5096311500000006</v>
      </c>
      <c r="CU66">
        <v>8.5246429999999998E-2</v>
      </c>
      <c r="CV66">
        <v>0.16287877000000001</v>
      </c>
      <c r="CW66">
        <v>0.45016728</v>
      </c>
      <c r="CX66">
        <v>1.6206534699999999</v>
      </c>
      <c r="CY66">
        <v>29.045756340000001</v>
      </c>
      <c r="DE66">
        <v>0.35039424000000002</v>
      </c>
      <c r="DF66">
        <v>15.363333280000001</v>
      </c>
      <c r="DG66">
        <v>274.45594160000002</v>
      </c>
    </row>
    <row r="67" spans="1:111" x14ac:dyDescent="0.75">
      <c r="A67" s="8"/>
      <c r="B67" s="45"/>
      <c r="C67" t="s">
        <v>180</v>
      </c>
      <c r="D67" t="s">
        <v>68</v>
      </c>
      <c r="E67">
        <v>4.7921659999999999</v>
      </c>
      <c r="F67">
        <v>3.9182944499999999</v>
      </c>
      <c r="G67">
        <v>2.0906149300000001</v>
      </c>
      <c r="H67">
        <v>10.35252436</v>
      </c>
      <c r="I67">
        <v>14.82022383</v>
      </c>
      <c r="J67">
        <v>31.34867217</v>
      </c>
      <c r="K67">
        <v>3.6955837499999999</v>
      </c>
      <c r="L67">
        <v>7.4880481799999998</v>
      </c>
      <c r="M67">
        <v>0.55786360999999995</v>
      </c>
      <c r="N67">
        <v>14.78204004</v>
      </c>
      <c r="O67">
        <v>73.326751250000001</v>
      </c>
      <c r="P67">
        <v>1.2651738400000001</v>
      </c>
      <c r="Q67">
        <v>4.0685557399999999</v>
      </c>
      <c r="R67">
        <v>0.41129466999999997</v>
      </c>
      <c r="S67">
        <v>4.0317789999999999E-2</v>
      </c>
      <c r="T67">
        <v>23.87840121</v>
      </c>
      <c r="U67">
        <v>0.37846498000000001</v>
      </c>
      <c r="V67">
        <v>68.820218749999995</v>
      </c>
      <c r="W67">
        <v>28.49591453</v>
      </c>
      <c r="X67">
        <v>58.167214289999997</v>
      </c>
      <c r="Y67">
        <v>22.954268800000001</v>
      </c>
      <c r="Z67">
        <v>5.8007452700000002</v>
      </c>
      <c r="AA67">
        <v>14.25131648</v>
      </c>
      <c r="AB67">
        <v>29.266032639999999</v>
      </c>
      <c r="AC67">
        <v>1.7923029800000001</v>
      </c>
      <c r="AD67">
        <v>12.270828740000001</v>
      </c>
      <c r="AE67">
        <v>6.2583338700000004</v>
      </c>
      <c r="AF67">
        <v>207.35557750000001</v>
      </c>
      <c r="AG67">
        <v>7.95795151</v>
      </c>
      <c r="AH67">
        <v>252.17375329999999</v>
      </c>
      <c r="AI67">
        <v>42.135868379999998</v>
      </c>
      <c r="AJ67">
        <v>364.53056309999999</v>
      </c>
      <c r="AK67">
        <v>7.9508158499999997</v>
      </c>
      <c r="AL67">
        <v>14.523729830000001</v>
      </c>
      <c r="AM67">
        <v>1.9562774000000001</v>
      </c>
      <c r="AN67">
        <v>0.53584116999999998</v>
      </c>
      <c r="AO67">
        <v>5.2749230499999999</v>
      </c>
      <c r="AP67">
        <v>119.677212</v>
      </c>
      <c r="AQ67">
        <v>14.13310081</v>
      </c>
      <c r="AR67">
        <v>116.8178752</v>
      </c>
      <c r="AS67">
        <v>19.008271579999999</v>
      </c>
      <c r="CP67">
        <v>13.933494939999999</v>
      </c>
      <c r="CQ67">
        <v>21.741105309999998</v>
      </c>
      <c r="CR67">
        <v>27.220555770000001</v>
      </c>
      <c r="CS67">
        <v>35.329928670000001</v>
      </c>
      <c r="CT67">
        <v>42.811932570000003</v>
      </c>
      <c r="CU67">
        <v>1.5368156900000001</v>
      </c>
      <c r="CV67">
        <v>2.9364043799999999</v>
      </c>
      <c r="CW67">
        <v>4.5856095799999999</v>
      </c>
      <c r="CX67">
        <v>7.61779881</v>
      </c>
      <c r="CY67">
        <v>166.57937530000001</v>
      </c>
      <c r="DF67">
        <v>198.45759709999999</v>
      </c>
      <c r="DG67" s="2">
        <v>2142.0700000000002</v>
      </c>
    </row>
    <row r="68" spans="1:111" x14ac:dyDescent="0.75">
      <c r="A68" s="8"/>
      <c r="B68" s="45"/>
      <c r="C68" t="s">
        <v>181</v>
      </c>
      <c r="D68" t="s">
        <v>69</v>
      </c>
      <c r="W68">
        <v>4.6885205799999996</v>
      </c>
      <c r="AF68">
        <v>26.152493150000002</v>
      </c>
      <c r="AH68">
        <v>232.8646215</v>
      </c>
      <c r="CP68">
        <v>0.25677066999999998</v>
      </c>
      <c r="CQ68">
        <v>0.39391852999999999</v>
      </c>
      <c r="CR68">
        <v>0.61938636999999996</v>
      </c>
      <c r="CS68">
        <v>0.94188147</v>
      </c>
      <c r="CT68">
        <v>1.2748964700000001</v>
      </c>
      <c r="CU68">
        <v>1.9029020000000001E-2</v>
      </c>
      <c r="CV68">
        <v>3.9875790000000001E-2</v>
      </c>
      <c r="CW68">
        <v>8.4446579999999993E-2</v>
      </c>
      <c r="CX68">
        <v>0.19224680999999999</v>
      </c>
      <c r="CY68">
        <v>2.5575789900000001</v>
      </c>
      <c r="DF68">
        <v>72.324028510000005</v>
      </c>
      <c r="DG68">
        <v>342.4096945</v>
      </c>
    </row>
    <row r="69" spans="1:111" x14ac:dyDescent="0.75">
      <c r="A69" s="8"/>
      <c r="B69" s="45"/>
      <c r="C69" t="s">
        <v>182</v>
      </c>
      <c r="D69" t="s">
        <v>70</v>
      </c>
      <c r="V69">
        <v>0.55577938000000005</v>
      </c>
      <c r="AB69">
        <v>18.39351091</v>
      </c>
      <c r="AC69">
        <v>37.530367040000002</v>
      </c>
      <c r="AD69">
        <v>2.82984049</v>
      </c>
      <c r="AE69">
        <v>0.70955256</v>
      </c>
      <c r="AF69">
        <v>27.197606069999999</v>
      </c>
      <c r="AH69">
        <v>629.31155269999999</v>
      </c>
      <c r="CP69">
        <v>0.41942488</v>
      </c>
      <c r="CQ69">
        <v>0.70734198999999998</v>
      </c>
      <c r="CR69">
        <v>0.98489698999999997</v>
      </c>
      <c r="CS69">
        <v>1.38856683</v>
      </c>
      <c r="CT69">
        <v>1.57852708</v>
      </c>
      <c r="CU69">
        <v>2.632607E-2</v>
      </c>
      <c r="CV69">
        <v>4.9332290000000001E-2</v>
      </c>
      <c r="CW69">
        <v>9.7767960000000001E-2</v>
      </c>
      <c r="CX69">
        <v>0.34276411000000001</v>
      </c>
      <c r="CY69">
        <v>3.0144755600000002</v>
      </c>
      <c r="DG69">
        <v>725.13763289999997</v>
      </c>
    </row>
    <row r="70" spans="1:111" x14ac:dyDescent="0.75">
      <c r="A70" s="8"/>
      <c r="B70" s="45"/>
      <c r="C70" t="s">
        <v>183</v>
      </c>
      <c r="D70" t="s">
        <v>71</v>
      </c>
      <c r="V70">
        <v>0.48286435999999999</v>
      </c>
      <c r="W70">
        <v>3.9378520799999999</v>
      </c>
      <c r="X70">
        <v>13.02526583</v>
      </c>
      <c r="Y70">
        <v>4.75720791</v>
      </c>
      <c r="Z70">
        <v>0.37245348</v>
      </c>
      <c r="AA70">
        <v>4.9956266400000002</v>
      </c>
      <c r="AB70">
        <v>0.33652162000000002</v>
      </c>
      <c r="AC70">
        <v>1.19359478</v>
      </c>
      <c r="AD70">
        <v>14.094860990000001</v>
      </c>
      <c r="AE70">
        <v>0.43583086999999998</v>
      </c>
      <c r="AF70">
        <v>3.3946069799999998</v>
      </c>
      <c r="AG70">
        <v>10.08916675</v>
      </c>
      <c r="AH70">
        <v>135.3526104</v>
      </c>
      <c r="AI70">
        <v>520.31701840000005</v>
      </c>
      <c r="AJ70">
        <v>4.9688099399999999</v>
      </c>
      <c r="AK70">
        <v>3.0093682400000001</v>
      </c>
      <c r="AL70">
        <v>0.19567048000000001</v>
      </c>
      <c r="AN70">
        <v>0.29708108999999999</v>
      </c>
      <c r="AO70">
        <v>8.2178027199999999</v>
      </c>
      <c r="AP70">
        <v>14.99363726</v>
      </c>
      <c r="AQ70">
        <v>3.86301286</v>
      </c>
      <c r="AR70">
        <v>1.4027279500000001</v>
      </c>
      <c r="AS70">
        <v>6.9997868600000004</v>
      </c>
      <c r="CP70">
        <v>7.7600003900000001</v>
      </c>
      <c r="CQ70">
        <v>14.301525030000001</v>
      </c>
      <c r="CR70">
        <v>24.770062830000001</v>
      </c>
      <c r="CS70">
        <v>50.228231059999999</v>
      </c>
      <c r="CT70">
        <v>93.95438944</v>
      </c>
      <c r="CU70">
        <v>0.68040981</v>
      </c>
      <c r="CV70">
        <v>1.2680193099999999</v>
      </c>
      <c r="CW70">
        <v>3.5810066100000002</v>
      </c>
      <c r="CX70">
        <v>7.5819854500000003</v>
      </c>
      <c r="CY70">
        <v>239.75228870000001</v>
      </c>
      <c r="DE70">
        <v>839.33284409999999</v>
      </c>
      <c r="DF70">
        <v>77.275832930000007</v>
      </c>
      <c r="DG70" s="2">
        <v>2117.2199999999998</v>
      </c>
    </row>
    <row r="71" spans="1:111" x14ac:dyDescent="0.75">
      <c r="A71" s="8"/>
      <c r="B71" s="45"/>
      <c r="C71" t="s">
        <v>184</v>
      </c>
      <c r="D71" t="s">
        <v>72</v>
      </c>
      <c r="AP71">
        <v>16.962548139999999</v>
      </c>
      <c r="AQ71">
        <v>4.4077003399999999</v>
      </c>
      <c r="AR71">
        <v>15.7335992</v>
      </c>
      <c r="AS71">
        <v>5.4436000000000003E-4</v>
      </c>
      <c r="CP71">
        <v>1.1965910399999999</v>
      </c>
      <c r="CQ71">
        <v>1.9077519300000001</v>
      </c>
      <c r="CR71">
        <v>2.75206325</v>
      </c>
      <c r="CS71">
        <v>4.3137558499999997</v>
      </c>
      <c r="CT71">
        <v>6.4401864499999997</v>
      </c>
      <c r="CU71">
        <v>9.6881590000000004E-2</v>
      </c>
      <c r="CV71">
        <v>0.21410001000000001</v>
      </c>
      <c r="CW71">
        <v>0.40855156999999998</v>
      </c>
      <c r="CX71">
        <v>0.98120958999999996</v>
      </c>
      <c r="CY71">
        <v>19.160415560000001</v>
      </c>
      <c r="DE71">
        <v>73.396979180000002</v>
      </c>
      <c r="DF71">
        <v>13.59095381</v>
      </c>
      <c r="DG71">
        <v>161.5638319</v>
      </c>
    </row>
    <row r="72" spans="1:111" x14ac:dyDescent="0.75">
      <c r="A72" s="8"/>
      <c r="B72" s="45"/>
      <c r="C72" t="s">
        <v>185</v>
      </c>
      <c r="D72" t="s">
        <v>73</v>
      </c>
      <c r="V72">
        <v>8.8655605600000005</v>
      </c>
      <c r="W72">
        <v>61.625169059999998</v>
      </c>
      <c r="X72">
        <v>27.113531330000001</v>
      </c>
      <c r="Y72">
        <v>6.41778578</v>
      </c>
      <c r="Z72">
        <v>0.83825307999999998</v>
      </c>
      <c r="AA72">
        <v>62.767549850000002</v>
      </c>
      <c r="AB72">
        <v>26.334730140000001</v>
      </c>
      <c r="AC72">
        <v>38.426793490000001</v>
      </c>
      <c r="AD72">
        <v>3.9274663900000002</v>
      </c>
      <c r="AE72">
        <v>4.6438305099999999</v>
      </c>
      <c r="AF72">
        <v>31.306864950000001</v>
      </c>
      <c r="AG72">
        <v>27.859114430000002</v>
      </c>
      <c r="AH72">
        <v>137.6031065</v>
      </c>
      <c r="AI72">
        <v>15.23134409</v>
      </c>
      <c r="AJ72">
        <v>1.32915246</v>
      </c>
      <c r="AK72">
        <v>29.47544315</v>
      </c>
      <c r="AL72">
        <v>11.70600726</v>
      </c>
      <c r="AM72">
        <v>3.1097680799999998</v>
      </c>
      <c r="AN72">
        <v>4.7430160800000003</v>
      </c>
      <c r="AO72">
        <v>5.74194987</v>
      </c>
      <c r="AP72">
        <v>19.26695149</v>
      </c>
      <c r="AQ72">
        <v>30.203952109999999</v>
      </c>
      <c r="AR72">
        <v>5.0786598700000001</v>
      </c>
      <c r="AS72">
        <v>13.284380410000001</v>
      </c>
      <c r="CP72">
        <v>0.34675620000000001</v>
      </c>
      <c r="CQ72">
        <v>0.81414920000000002</v>
      </c>
      <c r="CR72">
        <v>1.8889481400000001</v>
      </c>
      <c r="CS72">
        <v>3.08782033</v>
      </c>
      <c r="CT72">
        <v>5.4153468</v>
      </c>
      <c r="CU72">
        <v>0.10881005000000001</v>
      </c>
      <c r="CV72">
        <v>0.32367237999999998</v>
      </c>
      <c r="CW72">
        <v>0.90016848000000005</v>
      </c>
      <c r="CX72">
        <v>2.5959154600000001</v>
      </c>
      <c r="CY72">
        <v>28.38070746</v>
      </c>
      <c r="DG72">
        <v>620.76267540000003</v>
      </c>
    </row>
    <row r="73" spans="1:111" x14ac:dyDescent="0.75">
      <c r="A73" s="8"/>
      <c r="B73" s="45"/>
      <c r="C73" t="s">
        <v>186</v>
      </c>
      <c r="D73" t="s">
        <v>74</v>
      </c>
      <c r="V73">
        <v>0.31828266999999999</v>
      </c>
      <c r="W73">
        <v>4.2793011999999999</v>
      </c>
      <c r="X73">
        <v>5.5446816600000002</v>
      </c>
      <c r="Y73">
        <v>0.77183385999999998</v>
      </c>
      <c r="Z73">
        <v>9.3734330000000005E-2</v>
      </c>
      <c r="AA73">
        <v>11.021571399999999</v>
      </c>
      <c r="AB73">
        <v>5.6069825</v>
      </c>
      <c r="AC73">
        <v>8.5225412200000008</v>
      </c>
      <c r="AD73">
        <v>0.49311426000000003</v>
      </c>
      <c r="AG73">
        <v>1.1468910800000001</v>
      </c>
      <c r="AH73">
        <v>3.7546350400000001</v>
      </c>
      <c r="AI73">
        <v>4.6520488799999997</v>
      </c>
      <c r="AJ73">
        <v>0.78829764000000002</v>
      </c>
      <c r="AK73">
        <v>9.6259683500000008</v>
      </c>
      <c r="AL73">
        <v>0.69949382999999998</v>
      </c>
      <c r="AM73">
        <v>2.565E-5</v>
      </c>
      <c r="AN73">
        <v>2.7517973900000001</v>
      </c>
      <c r="AO73">
        <v>1.5155231199999999</v>
      </c>
      <c r="AQ73">
        <v>23.715683779999999</v>
      </c>
      <c r="AR73">
        <v>1.27593633</v>
      </c>
      <c r="AS73">
        <v>4.0877254000000001</v>
      </c>
      <c r="CP73">
        <v>0.58299738999999995</v>
      </c>
      <c r="CQ73">
        <v>1.15666548</v>
      </c>
      <c r="CR73">
        <v>1.6891457400000001</v>
      </c>
      <c r="CS73">
        <v>2.9763367999999999</v>
      </c>
      <c r="CT73">
        <v>5.4777071099999999</v>
      </c>
      <c r="CU73">
        <v>0.12894347</v>
      </c>
      <c r="CV73">
        <v>0.64879567999999999</v>
      </c>
      <c r="CW73">
        <v>0.98636979000000002</v>
      </c>
      <c r="CX73">
        <v>2.1046406599999998</v>
      </c>
      <c r="CY73">
        <v>21.020175859999998</v>
      </c>
      <c r="DG73">
        <v>127.4378476</v>
      </c>
    </row>
    <row r="74" spans="1:111" x14ac:dyDescent="0.75">
      <c r="A74" s="8"/>
      <c r="B74" s="45"/>
      <c r="C74" t="s">
        <v>187</v>
      </c>
      <c r="D74" t="s">
        <v>75</v>
      </c>
      <c r="V74">
        <v>65.37808862</v>
      </c>
      <c r="W74">
        <v>2.8126587000000001</v>
      </c>
      <c r="X74">
        <v>2.0421264899999998</v>
      </c>
      <c r="Y74">
        <v>4.6918200000000002E-3</v>
      </c>
      <c r="Z74">
        <v>0.40963063</v>
      </c>
      <c r="AA74">
        <v>8.8167843099999992</v>
      </c>
      <c r="AC74">
        <v>0.23344603</v>
      </c>
      <c r="AD74">
        <v>0.14837787999999999</v>
      </c>
      <c r="AE74">
        <v>1.8529943799999999</v>
      </c>
      <c r="AF74">
        <v>1.57655105</v>
      </c>
      <c r="AG74">
        <v>9.4781110000000002E-2</v>
      </c>
      <c r="AH74">
        <v>34.728316530000001</v>
      </c>
      <c r="AI74">
        <v>5.2775144100000002</v>
      </c>
      <c r="AJ74">
        <v>3.7366946599999999</v>
      </c>
      <c r="AK74">
        <v>5.2390716499999996</v>
      </c>
      <c r="AN74">
        <v>5.9515884400000001</v>
      </c>
      <c r="AO74">
        <v>1.7098954200000001</v>
      </c>
      <c r="AP74">
        <v>137.64407299999999</v>
      </c>
      <c r="AQ74">
        <v>20.02853507</v>
      </c>
      <c r="AR74">
        <v>2.5394138499999999</v>
      </c>
      <c r="AS74">
        <v>14.67845013</v>
      </c>
      <c r="CP74">
        <v>3.02977908</v>
      </c>
      <c r="CQ74">
        <v>6.24414186</v>
      </c>
      <c r="CR74">
        <v>10.808572379999999</v>
      </c>
      <c r="CS74">
        <v>21.671806719999999</v>
      </c>
      <c r="CT74">
        <v>35.649849969999998</v>
      </c>
      <c r="CU74">
        <v>0.20792946000000001</v>
      </c>
      <c r="CV74">
        <v>0.39029469999999999</v>
      </c>
      <c r="CW74">
        <v>1.3719889000000001</v>
      </c>
      <c r="CX74">
        <v>2.0106491800000001</v>
      </c>
      <c r="CY74">
        <v>44.339001770000003</v>
      </c>
      <c r="DE74" s="2">
        <v>2610.62</v>
      </c>
      <c r="DG74" s="2">
        <v>3051.24</v>
      </c>
    </row>
    <row r="75" spans="1:111" x14ac:dyDescent="0.75">
      <c r="A75" s="8"/>
      <c r="B75" s="46" t="s">
        <v>146</v>
      </c>
      <c r="C75" s="41" t="s">
        <v>188</v>
      </c>
      <c r="D75" t="s">
        <v>76</v>
      </c>
      <c r="T75">
        <v>3.7897213299999999</v>
      </c>
      <c r="U75">
        <v>5.38205E-2</v>
      </c>
      <c r="V75">
        <v>5.7358229999999999</v>
      </c>
      <c r="W75">
        <v>1.49475918</v>
      </c>
      <c r="X75">
        <v>2.9251384900000001</v>
      </c>
      <c r="Y75">
        <v>0.49762971</v>
      </c>
      <c r="Z75">
        <v>0.10173844</v>
      </c>
      <c r="AA75">
        <v>3.5664079499999999</v>
      </c>
      <c r="AB75">
        <v>9.8173700000000006E-3</v>
      </c>
      <c r="AC75">
        <v>0.35700287000000003</v>
      </c>
      <c r="AD75">
        <v>1.18896731</v>
      </c>
      <c r="AF75">
        <v>4.2469023100000003</v>
      </c>
      <c r="AG75">
        <v>8.5318630000000006E-2</v>
      </c>
      <c r="AH75">
        <v>3.8168523599999999</v>
      </c>
      <c r="AI75">
        <v>149.59112139999999</v>
      </c>
      <c r="AJ75">
        <v>47.888504580000003</v>
      </c>
      <c r="AK75">
        <v>2.0357764</v>
      </c>
      <c r="AL75">
        <v>2.9237784100000002</v>
      </c>
      <c r="AN75">
        <v>6.7126039999999998E-2</v>
      </c>
      <c r="AO75">
        <v>4.4885908900000002</v>
      </c>
      <c r="AP75">
        <v>3.0359399200000001</v>
      </c>
      <c r="AQ75">
        <v>3.1644095499999998</v>
      </c>
      <c r="AR75">
        <v>1.8087183200000001</v>
      </c>
      <c r="AS75">
        <v>12.78037746</v>
      </c>
      <c r="CI75" s="2">
        <v>1891.01</v>
      </c>
      <c r="CP75">
        <v>0.98016194999999995</v>
      </c>
      <c r="CQ75">
        <v>2.4552281100000002</v>
      </c>
      <c r="CR75">
        <v>5.6687103199999997</v>
      </c>
      <c r="CS75">
        <v>11.87727349</v>
      </c>
      <c r="CT75">
        <v>26.83744394</v>
      </c>
      <c r="CU75">
        <v>8.4446820000000006E-2</v>
      </c>
      <c r="CV75">
        <v>0.27644249999999998</v>
      </c>
      <c r="CW75">
        <v>0.98853990999999997</v>
      </c>
      <c r="CX75">
        <v>0.78992728000000001</v>
      </c>
      <c r="CY75">
        <v>75.706155100000004</v>
      </c>
      <c r="DG75" s="2">
        <v>2272.33</v>
      </c>
    </row>
    <row r="76" spans="1:111" x14ac:dyDescent="0.75">
      <c r="A76" s="8"/>
      <c r="B76" s="46"/>
      <c r="C76" s="41" t="s">
        <v>189</v>
      </c>
      <c r="D76" t="s">
        <v>77</v>
      </c>
      <c r="V76">
        <v>1.86467169</v>
      </c>
      <c r="W76">
        <v>11.52832216</v>
      </c>
      <c r="X76">
        <v>2.7900641799999999</v>
      </c>
      <c r="Y76">
        <v>6.1950377100000003</v>
      </c>
      <c r="Z76">
        <v>1.00329717</v>
      </c>
      <c r="AA76">
        <v>5.5206817099999999</v>
      </c>
      <c r="AB76">
        <v>2.2985809999999999E-2</v>
      </c>
      <c r="AC76">
        <v>0.84295984000000002</v>
      </c>
      <c r="AD76">
        <v>1.14128264</v>
      </c>
      <c r="AF76">
        <v>2.19897673</v>
      </c>
      <c r="AG76">
        <v>0.70041120000000001</v>
      </c>
      <c r="AH76">
        <v>30.198891669999998</v>
      </c>
      <c r="AI76">
        <v>76.944755850000007</v>
      </c>
      <c r="AJ76">
        <v>86.822253259999997</v>
      </c>
      <c r="AK76">
        <v>3.8318208500000002</v>
      </c>
      <c r="AL76">
        <v>4.5368938600000002</v>
      </c>
      <c r="AM76">
        <v>8.0904000000000002E-4</v>
      </c>
      <c r="AN76">
        <v>0.90980265000000005</v>
      </c>
      <c r="AO76">
        <v>7.4703465700000002</v>
      </c>
      <c r="AP76">
        <v>30.43441348</v>
      </c>
      <c r="AQ76">
        <v>20.032577140000001</v>
      </c>
      <c r="AR76">
        <v>4.8464416200000002</v>
      </c>
      <c r="AS76">
        <v>12.82858491</v>
      </c>
      <c r="CP76">
        <v>4.1774514199999997</v>
      </c>
      <c r="CQ76">
        <v>9.2741504100000007</v>
      </c>
      <c r="CR76">
        <v>19.703668310000001</v>
      </c>
      <c r="CS76">
        <v>47.218340310000002</v>
      </c>
      <c r="CT76">
        <v>115.46554949999999</v>
      </c>
      <c r="CU76">
        <v>1.21183635</v>
      </c>
      <c r="CV76">
        <v>3.8719450599999998</v>
      </c>
      <c r="CW76">
        <v>7.66040119</v>
      </c>
      <c r="CX76">
        <v>32.238809809999999</v>
      </c>
      <c r="CY76">
        <v>569.41317089999995</v>
      </c>
      <c r="DF76">
        <v>426.71041689999998</v>
      </c>
      <c r="DG76" s="2">
        <v>1549.61</v>
      </c>
    </row>
    <row r="77" spans="1:111" x14ac:dyDescent="0.75">
      <c r="A77" s="8"/>
      <c r="B77" s="46"/>
      <c r="C77" s="41" t="s">
        <v>190</v>
      </c>
      <c r="D77" t="s">
        <v>78</v>
      </c>
      <c r="V77">
        <v>2.05940192</v>
      </c>
      <c r="W77">
        <v>1.4467495800000001</v>
      </c>
      <c r="X77">
        <v>1.20383321</v>
      </c>
      <c r="Y77">
        <v>2.86124892</v>
      </c>
      <c r="Z77">
        <v>0.18379899</v>
      </c>
      <c r="AA77">
        <v>5.63055561</v>
      </c>
      <c r="AB77">
        <v>0.20020697000000001</v>
      </c>
      <c r="AC77">
        <v>0.82405941999999999</v>
      </c>
      <c r="AD77">
        <v>0.68905793000000004</v>
      </c>
      <c r="AE77">
        <v>2.95663214</v>
      </c>
      <c r="AF77">
        <v>5.8426062999999999</v>
      </c>
      <c r="AG77">
        <v>0.52083511000000005</v>
      </c>
      <c r="AH77">
        <v>24.54964927</v>
      </c>
      <c r="AI77">
        <v>5.63702653</v>
      </c>
      <c r="AJ77">
        <v>12.853283230000001</v>
      </c>
      <c r="AK77">
        <v>3.4253726900000001</v>
      </c>
      <c r="AL77">
        <v>1.9640319500000001</v>
      </c>
      <c r="AM77">
        <v>8.2914689999999999E-2</v>
      </c>
      <c r="AN77">
        <v>1.25852382</v>
      </c>
      <c r="AO77">
        <v>8.3999231299999995</v>
      </c>
      <c r="AP77">
        <v>170.60025110000001</v>
      </c>
      <c r="AQ77">
        <v>58.670354089999996</v>
      </c>
      <c r="AR77">
        <v>12.043297020000001</v>
      </c>
      <c r="AS77">
        <v>14.07147657</v>
      </c>
      <c r="CP77">
        <v>10.33519778</v>
      </c>
      <c r="CQ77">
        <v>22.320416210000001</v>
      </c>
      <c r="CR77">
        <v>39.975187560000002</v>
      </c>
      <c r="CS77">
        <v>62.464175560000001</v>
      </c>
      <c r="CT77">
        <v>85.985514809999998</v>
      </c>
      <c r="CU77">
        <v>0.58495664999999997</v>
      </c>
      <c r="CV77">
        <v>2.39980196</v>
      </c>
      <c r="CW77">
        <v>3.2112645899999999</v>
      </c>
      <c r="CX77">
        <v>11.17598727</v>
      </c>
      <c r="CY77">
        <v>161.83965660000001</v>
      </c>
      <c r="DF77">
        <v>48.996958919999997</v>
      </c>
      <c r="DG77">
        <v>787.26420819999998</v>
      </c>
    </row>
    <row r="78" spans="1:111" x14ac:dyDescent="0.75">
      <c r="A78" s="8"/>
      <c r="B78" s="46"/>
      <c r="C78" t="s">
        <v>191</v>
      </c>
      <c r="D78" t="s">
        <v>79</v>
      </c>
      <c r="L78">
        <v>0.24426312</v>
      </c>
      <c r="M78">
        <v>1.7979490000000001E-2</v>
      </c>
      <c r="O78">
        <v>4.8436310699999998</v>
      </c>
      <c r="P78">
        <v>4.0743670000000003E-2</v>
      </c>
      <c r="Q78">
        <v>1.20279365</v>
      </c>
      <c r="R78">
        <v>0.11571033999999999</v>
      </c>
      <c r="S78">
        <v>2.173E-5</v>
      </c>
      <c r="T78">
        <v>10.948763380000001</v>
      </c>
      <c r="U78">
        <v>8.6478410000000006E-2</v>
      </c>
      <c r="V78">
        <v>0.29834234999999998</v>
      </c>
      <c r="W78">
        <v>1.4900809800000001</v>
      </c>
      <c r="X78">
        <v>1.0129796600000001</v>
      </c>
      <c r="Y78">
        <v>0.73715900000000001</v>
      </c>
      <c r="Z78">
        <v>8.3759200000000006E-2</v>
      </c>
      <c r="AA78">
        <v>1.51273083</v>
      </c>
      <c r="AB78">
        <v>5.2678969999999999E-2</v>
      </c>
      <c r="AC78">
        <v>3.4919310000000002E-2</v>
      </c>
      <c r="AD78">
        <v>0.39711812000000002</v>
      </c>
      <c r="AE78">
        <v>0.19288395</v>
      </c>
      <c r="AF78">
        <v>9.0968649999999998E-2</v>
      </c>
      <c r="AG78">
        <v>0.69615616999999996</v>
      </c>
      <c r="AH78">
        <v>1.6781149</v>
      </c>
      <c r="AI78">
        <v>4.7328276499999999</v>
      </c>
      <c r="AJ78">
        <v>0.75146245</v>
      </c>
      <c r="AK78">
        <v>1.7474133999999999</v>
      </c>
      <c r="AL78">
        <v>51.709859780000002</v>
      </c>
      <c r="AM78">
        <v>1.0271623599999999</v>
      </c>
      <c r="AN78">
        <v>0.24366233000000001</v>
      </c>
      <c r="AO78">
        <v>3.6140488199999998</v>
      </c>
      <c r="AP78">
        <v>25.779051899999999</v>
      </c>
      <c r="AQ78">
        <v>14.907744940000001</v>
      </c>
      <c r="AR78">
        <v>2.7116138900000002</v>
      </c>
      <c r="AS78">
        <v>3.1960545100000002</v>
      </c>
      <c r="CP78">
        <v>12.212627449999999</v>
      </c>
      <c r="CQ78">
        <v>30.759550059999999</v>
      </c>
      <c r="CR78">
        <v>55.899829349999997</v>
      </c>
      <c r="CS78">
        <v>91.687861190000007</v>
      </c>
      <c r="CT78">
        <v>110.9877855</v>
      </c>
      <c r="CU78">
        <v>1.76918507</v>
      </c>
      <c r="CV78">
        <v>4.8405547799999997</v>
      </c>
      <c r="CW78">
        <v>10.152931929999999</v>
      </c>
      <c r="CX78">
        <v>28.831039860000001</v>
      </c>
      <c r="CY78">
        <v>322.87204409999998</v>
      </c>
      <c r="DF78">
        <v>93.473516759999995</v>
      </c>
      <c r="DG78">
        <v>899.686105</v>
      </c>
    </row>
    <row r="79" spans="1:111" x14ac:dyDescent="0.75">
      <c r="A79" s="8"/>
      <c r="B79" s="46"/>
      <c r="C79" t="s">
        <v>192</v>
      </c>
      <c r="D79" t="s">
        <v>80</v>
      </c>
      <c r="V79">
        <v>1.8321212499999999</v>
      </c>
      <c r="W79">
        <v>6.1123386999999996</v>
      </c>
      <c r="X79">
        <v>1.80228908</v>
      </c>
      <c r="Y79">
        <v>10.26593753</v>
      </c>
      <c r="Z79">
        <v>0.38037457000000002</v>
      </c>
      <c r="AA79">
        <v>11.48899619</v>
      </c>
      <c r="AB79">
        <v>0.17317626999999999</v>
      </c>
      <c r="AC79">
        <v>1.2109210399999999</v>
      </c>
      <c r="AD79">
        <v>0.70586782000000003</v>
      </c>
      <c r="AE79">
        <v>0.27191907999999998</v>
      </c>
      <c r="AF79">
        <v>3.4326767199999999</v>
      </c>
      <c r="AG79">
        <v>0.69707395000000005</v>
      </c>
      <c r="AH79">
        <v>13.8131609</v>
      </c>
      <c r="AI79">
        <v>32.216341239999998</v>
      </c>
      <c r="AJ79">
        <v>7.8853999200000002</v>
      </c>
      <c r="AK79">
        <v>3.29578858</v>
      </c>
      <c r="AL79">
        <v>3.7863609199999999</v>
      </c>
      <c r="AM79">
        <v>204.69684950000001</v>
      </c>
      <c r="AN79">
        <v>1.82023398</v>
      </c>
      <c r="AO79">
        <v>7.0491544800000003</v>
      </c>
      <c r="AP79">
        <v>1.69538E-3</v>
      </c>
      <c r="AQ79">
        <v>10.59103283</v>
      </c>
      <c r="AR79">
        <v>0.52440259</v>
      </c>
      <c r="AS79">
        <v>6.9479830800000002</v>
      </c>
      <c r="CP79">
        <v>24.64183263</v>
      </c>
      <c r="CQ79">
        <v>31.71338914</v>
      </c>
      <c r="CR79">
        <v>37.217663100000003</v>
      </c>
      <c r="CS79">
        <v>39.494640089999997</v>
      </c>
      <c r="CT79">
        <v>29.86157137</v>
      </c>
      <c r="CU79">
        <v>1.4865319400000001</v>
      </c>
      <c r="CV79">
        <v>2.8038002500000001</v>
      </c>
      <c r="CW79">
        <v>4.4906792400000004</v>
      </c>
      <c r="CX79">
        <v>6.7941079899999997</v>
      </c>
      <c r="CY79">
        <v>67.32527571</v>
      </c>
      <c r="CZ79">
        <v>36.924553639999999</v>
      </c>
      <c r="DF79">
        <v>26.45719008</v>
      </c>
      <c r="DG79">
        <v>640.21333079999999</v>
      </c>
    </row>
    <row r="80" spans="1:111" x14ac:dyDescent="0.75">
      <c r="A80" s="8"/>
      <c r="B80" s="46"/>
      <c r="C80" t="s">
        <v>193</v>
      </c>
      <c r="D80" t="s">
        <v>81</v>
      </c>
      <c r="V80">
        <v>3.5486756399999999</v>
      </c>
      <c r="W80">
        <v>8.0237140100000008</v>
      </c>
      <c r="X80">
        <v>0.36325611000000002</v>
      </c>
      <c r="Y80">
        <v>10.00359563</v>
      </c>
      <c r="Z80">
        <v>1.2457768300000001</v>
      </c>
      <c r="AA80">
        <v>0.59702526</v>
      </c>
      <c r="AB80">
        <v>0.11992766000000001</v>
      </c>
      <c r="AC80">
        <v>0.40319213999999998</v>
      </c>
      <c r="AD80">
        <v>0.53575205000000004</v>
      </c>
      <c r="AE80">
        <v>0.19843261000000001</v>
      </c>
      <c r="AF80">
        <v>3.6368989900000002</v>
      </c>
      <c r="AG80">
        <v>1.9882227800000001</v>
      </c>
      <c r="AH80">
        <v>13.48298642</v>
      </c>
      <c r="AI80">
        <v>66.186702010000005</v>
      </c>
      <c r="AJ80">
        <v>12.969426260000001</v>
      </c>
      <c r="AK80">
        <v>17.615484670000001</v>
      </c>
      <c r="AL80">
        <v>28.561971249999999</v>
      </c>
      <c r="AM80">
        <v>1.36512E-2</v>
      </c>
      <c r="AN80">
        <v>2.4309958200000001</v>
      </c>
      <c r="AO80">
        <v>9.7581455500000001</v>
      </c>
      <c r="AP80">
        <v>26.341818960000001</v>
      </c>
      <c r="AQ80">
        <v>0.51177324000000002</v>
      </c>
      <c r="AR80">
        <v>1.3630202</v>
      </c>
      <c r="AS80">
        <v>31.641700239999999</v>
      </c>
      <c r="CP80">
        <v>16.2659004</v>
      </c>
      <c r="CQ80">
        <v>21.364378460000001</v>
      </c>
      <c r="CR80">
        <v>27.64241998</v>
      </c>
      <c r="CS80">
        <v>40.068713129999999</v>
      </c>
      <c r="CT80">
        <v>50.112522300000002</v>
      </c>
      <c r="CU80">
        <v>2.2415658500000002</v>
      </c>
      <c r="CV80">
        <v>5.5222172900000004</v>
      </c>
      <c r="CW80">
        <v>9.9986714200000009</v>
      </c>
      <c r="CX80">
        <v>22.411075220000001</v>
      </c>
      <c r="CY80">
        <v>320.95937579999998</v>
      </c>
      <c r="DG80">
        <v>758.12898529999995</v>
      </c>
    </row>
    <row r="81" spans="1:111" x14ac:dyDescent="0.75">
      <c r="A81" s="8"/>
      <c r="B81" s="46"/>
      <c r="C81" t="s">
        <v>194</v>
      </c>
      <c r="D81" t="s">
        <v>82</v>
      </c>
      <c r="V81">
        <v>2.3172305899999999</v>
      </c>
      <c r="W81">
        <v>0.91244345000000004</v>
      </c>
      <c r="X81">
        <v>2.28671764</v>
      </c>
      <c r="Y81">
        <v>1.40475533</v>
      </c>
      <c r="Z81">
        <v>0.13073923000000001</v>
      </c>
      <c r="AA81">
        <v>10.526169149999999</v>
      </c>
      <c r="AB81">
        <v>0.74392696000000003</v>
      </c>
      <c r="AC81">
        <v>0.14330490000000001</v>
      </c>
      <c r="AD81">
        <v>0.67563404000000005</v>
      </c>
      <c r="AE81">
        <v>4.0780999999999998E-2</v>
      </c>
      <c r="AF81">
        <v>3.6317839599999999</v>
      </c>
      <c r="AG81">
        <v>0.62631490000000001</v>
      </c>
      <c r="AH81">
        <v>24.087799560000001</v>
      </c>
      <c r="AI81">
        <v>6.4561463799999999</v>
      </c>
      <c r="AJ81">
        <v>13.10963171</v>
      </c>
      <c r="AK81">
        <v>3.6752761700000001</v>
      </c>
      <c r="AL81">
        <v>7.08985822</v>
      </c>
      <c r="AM81">
        <v>0.13569102999999999</v>
      </c>
      <c r="AN81">
        <v>2.1923167000000001</v>
      </c>
      <c r="AO81">
        <v>11.43293838</v>
      </c>
      <c r="AP81">
        <v>522.81440640000005</v>
      </c>
      <c r="AQ81">
        <v>21.830026109999999</v>
      </c>
      <c r="AR81">
        <v>5.01836489</v>
      </c>
      <c r="AS81">
        <v>18.84326518</v>
      </c>
      <c r="CP81">
        <v>5.8580664799999997</v>
      </c>
      <c r="CQ81">
        <v>10.06540418</v>
      </c>
      <c r="CR81">
        <v>12.10723432</v>
      </c>
      <c r="CS81">
        <v>18.674276689999999</v>
      </c>
      <c r="CT81">
        <v>20.770087539999999</v>
      </c>
      <c r="CU81">
        <v>0.97432783000000001</v>
      </c>
      <c r="CV81">
        <v>2.3100369299999999</v>
      </c>
      <c r="CW81">
        <v>5.5608579100000002</v>
      </c>
      <c r="CX81">
        <v>8.9491709099999994</v>
      </c>
      <c r="CY81">
        <v>69.286302259999999</v>
      </c>
      <c r="CZ81">
        <v>113.329671</v>
      </c>
      <c r="DF81">
        <v>43.299750959999997</v>
      </c>
      <c r="DG81">
        <v>971.31070890000001</v>
      </c>
    </row>
    <row r="82" spans="1:111" x14ac:dyDescent="0.75">
      <c r="A82" s="8"/>
      <c r="B82" s="46"/>
      <c r="C82" t="s">
        <v>195</v>
      </c>
      <c r="D82" t="s">
        <v>83</v>
      </c>
      <c r="AH82">
        <v>33.679668139999997</v>
      </c>
      <c r="AJ82">
        <v>40.358178279999997</v>
      </c>
      <c r="AL82">
        <v>52.115362210000001</v>
      </c>
      <c r="CP82">
        <v>2.4594510999999999</v>
      </c>
      <c r="CQ82">
        <v>3.1915910099999998</v>
      </c>
      <c r="CR82">
        <v>5.9612627900000001</v>
      </c>
      <c r="CS82">
        <v>8.3320455599999992</v>
      </c>
      <c r="CT82">
        <v>13.19409557</v>
      </c>
      <c r="CU82">
        <v>0.18457493</v>
      </c>
      <c r="CV82">
        <v>0.35011532000000001</v>
      </c>
      <c r="CW82">
        <v>0.65571248999999998</v>
      </c>
      <c r="CX82">
        <v>1.56308957</v>
      </c>
      <c r="CY82">
        <v>47.229541589999997</v>
      </c>
      <c r="CZ82" s="2">
        <v>1378.52</v>
      </c>
      <c r="DF82">
        <v>266.4547685</v>
      </c>
      <c r="DG82" s="2">
        <v>1854.25</v>
      </c>
    </row>
    <row r="83" spans="1:111" x14ac:dyDescent="0.75">
      <c r="A83" s="8"/>
      <c r="B83" s="46"/>
      <c r="C83" t="s">
        <v>196</v>
      </c>
      <c r="D83" t="s">
        <v>84</v>
      </c>
      <c r="V83">
        <v>5.7489640000000002E-2</v>
      </c>
      <c r="W83">
        <v>0.14477856</v>
      </c>
      <c r="X83">
        <v>3.0974700000000002E-3</v>
      </c>
      <c r="Y83">
        <v>0.79836450999999997</v>
      </c>
      <c r="Z83">
        <v>6.4713489999999999E-2</v>
      </c>
      <c r="AA83">
        <v>5.2934137000000003</v>
      </c>
      <c r="AB83">
        <v>3.8142549999999997E-2</v>
      </c>
      <c r="AC83">
        <v>3.8606299999999999E-3</v>
      </c>
      <c r="AD83">
        <v>1.1127349999999999E-2</v>
      </c>
      <c r="AE83">
        <v>6.9403950000000006E-2</v>
      </c>
      <c r="AF83">
        <v>0.66938580000000003</v>
      </c>
      <c r="AG83">
        <v>0.18768456</v>
      </c>
      <c r="AH83">
        <v>0.52219256000000003</v>
      </c>
      <c r="AI83">
        <v>0.10513380999999999</v>
      </c>
      <c r="AJ83">
        <v>5.9730419999999999E-2</v>
      </c>
      <c r="AK83">
        <v>0.24229065999999999</v>
      </c>
      <c r="AM83">
        <v>0.13255822</v>
      </c>
      <c r="AN83">
        <v>6.1578999999999996E-4</v>
      </c>
      <c r="AO83">
        <v>0.68485949000000002</v>
      </c>
      <c r="AQ83">
        <v>15.101061659999999</v>
      </c>
      <c r="AR83">
        <v>2.62119086</v>
      </c>
      <c r="AS83">
        <v>3.3062186599999999</v>
      </c>
      <c r="CP83">
        <v>6.4704530299999998</v>
      </c>
      <c r="CQ83">
        <v>11.51882498</v>
      </c>
      <c r="CR83">
        <v>19.801324019999999</v>
      </c>
      <c r="CS83">
        <v>38.820645740000003</v>
      </c>
      <c r="CT83">
        <v>61.779982269999998</v>
      </c>
      <c r="CU83">
        <v>0.75088973999999997</v>
      </c>
      <c r="CV83">
        <v>2.1080501699999998</v>
      </c>
      <c r="CW83">
        <v>3.9997085399999999</v>
      </c>
      <c r="CX83">
        <v>11.056513389999999</v>
      </c>
      <c r="CY83">
        <v>213.8550439</v>
      </c>
      <c r="CZ83">
        <v>356.1064437</v>
      </c>
      <c r="DG83">
        <v>756.38519380000002</v>
      </c>
    </row>
    <row r="84" spans="1:111" x14ac:dyDescent="0.75">
      <c r="A84" s="8"/>
      <c r="B84" s="46"/>
      <c r="C84" t="s">
        <v>197</v>
      </c>
      <c r="D84" t="s">
        <v>85</v>
      </c>
      <c r="AP84">
        <v>0.38780808</v>
      </c>
      <c r="CP84">
        <v>8.0451126100000003</v>
      </c>
      <c r="CQ84">
        <v>9.6498186399999994</v>
      </c>
      <c r="CR84">
        <v>10.826346900000001</v>
      </c>
      <c r="CS84">
        <v>13.903871430000001</v>
      </c>
      <c r="CT84">
        <v>16.9273855</v>
      </c>
      <c r="CU84">
        <v>0.70532238000000003</v>
      </c>
      <c r="CV84">
        <v>1.47569858</v>
      </c>
      <c r="CW84">
        <v>1.5920232700000001</v>
      </c>
      <c r="CX84">
        <v>3.1455331700000002</v>
      </c>
      <c r="CY84">
        <v>37.574169670000003</v>
      </c>
      <c r="CZ84">
        <v>268.63463999999999</v>
      </c>
      <c r="DG84">
        <v>372.86773019999998</v>
      </c>
    </row>
    <row r="85" spans="1:111" s="18" customFormat="1" x14ac:dyDescent="0.75">
      <c r="A85" s="17"/>
      <c r="B85" s="46"/>
      <c r="C85" s="42" t="s">
        <v>198</v>
      </c>
      <c r="D85" s="18" t="s">
        <v>86</v>
      </c>
      <c r="AP85" s="18">
        <v>13.800131349999999</v>
      </c>
      <c r="AQ85" s="18">
        <v>5.4471929299999999</v>
      </c>
      <c r="AR85" s="18">
        <v>0.12749426</v>
      </c>
      <c r="CP85" s="18">
        <v>17.306267600000002</v>
      </c>
      <c r="CQ85" s="18">
        <v>28.611576920000001</v>
      </c>
      <c r="CR85" s="18">
        <v>38.187165069999999</v>
      </c>
      <c r="CS85" s="18">
        <v>71.66976459</v>
      </c>
      <c r="CT85" s="18">
        <v>92.674692350000001</v>
      </c>
      <c r="CU85" s="18">
        <v>1.3194910799999999</v>
      </c>
      <c r="CV85" s="18">
        <v>2.87428499</v>
      </c>
      <c r="CW85" s="18">
        <v>6.3202472399999996</v>
      </c>
      <c r="CX85" s="18">
        <v>12.05334863</v>
      </c>
      <c r="CY85" s="18">
        <v>373.06096150000002</v>
      </c>
      <c r="CZ85" s="18">
        <v>140.45541320000001</v>
      </c>
      <c r="DF85" s="18">
        <v>6.3539781700000004</v>
      </c>
      <c r="DG85" s="18">
        <v>810.26200979999999</v>
      </c>
    </row>
    <row r="86" spans="1:111" x14ac:dyDescent="0.75">
      <c r="A86" s="8"/>
      <c r="B86" s="8" t="s">
        <v>199</v>
      </c>
      <c r="C86" t="s">
        <v>200</v>
      </c>
      <c r="D86" t="s">
        <v>87</v>
      </c>
      <c r="AT86">
        <v>1.00027102</v>
      </c>
      <c r="AU86">
        <v>0.70708769000000005</v>
      </c>
      <c r="AV86">
        <v>0.58656026999999999</v>
      </c>
      <c r="AW86">
        <v>14.84096044</v>
      </c>
      <c r="AX86">
        <v>6.7436029199999998</v>
      </c>
      <c r="AY86">
        <v>28.18272618</v>
      </c>
      <c r="AZ86">
        <v>9.6120322799999993</v>
      </c>
      <c r="BA86">
        <v>0.22886274000000001</v>
      </c>
      <c r="BB86">
        <v>8.3678139999999998E-2</v>
      </c>
      <c r="BC86">
        <v>43.741496939999998</v>
      </c>
      <c r="BD86">
        <v>2.10682042</v>
      </c>
      <c r="BE86">
        <v>0.26408859000000001</v>
      </c>
      <c r="BF86">
        <v>4.4010343199999999</v>
      </c>
      <c r="BG86">
        <v>1.4702072900000001</v>
      </c>
      <c r="BH86">
        <v>1.2170709</v>
      </c>
      <c r="BI86">
        <v>37.877089470000001</v>
      </c>
      <c r="BJ86">
        <v>3.9491215300000002</v>
      </c>
      <c r="BK86">
        <v>200.59485549999999</v>
      </c>
      <c r="BL86">
        <v>179.98334449999999</v>
      </c>
      <c r="BM86">
        <v>74.866773980000005</v>
      </c>
      <c r="BN86">
        <v>311.02051799999998</v>
      </c>
      <c r="BO86">
        <v>19.198858170000001</v>
      </c>
      <c r="BP86">
        <v>383.92477500000001</v>
      </c>
      <c r="BQ86">
        <v>62.722397540000003</v>
      </c>
      <c r="BR86">
        <v>87.59494076</v>
      </c>
      <c r="BS86">
        <v>396.14256030000001</v>
      </c>
      <c r="BT86">
        <v>14.40669304</v>
      </c>
      <c r="CA86">
        <v>3.5413454899999999</v>
      </c>
      <c r="DG86" s="2">
        <v>1891.01</v>
      </c>
    </row>
    <row r="87" spans="1:111" x14ac:dyDescent="0.75">
      <c r="A87" s="8" t="s">
        <v>201</v>
      </c>
      <c r="B87" s="45" t="s">
        <v>202</v>
      </c>
      <c r="C87" t="s">
        <v>203</v>
      </c>
      <c r="D87" t="s">
        <v>88</v>
      </c>
      <c r="E87">
        <v>7.3407116300000004</v>
      </c>
      <c r="F87">
        <v>5.9843252700000003</v>
      </c>
      <c r="G87">
        <v>2.9070390599999998</v>
      </c>
      <c r="H87">
        <v>27.055975440000001</v>
      </c>
      <c r="I87">
        <v>6.9311341200000003</v>
      </c>
      <c r="J87">
        <v>57.012325009999998</v>
      </c>
      <c r="K87">
        <v>15.38133698</v>
      </c>
      <c r="L87">
        <v>1.56301691</v>
      </c>
      <c r="M87">
        <v>7.5524350000000004E-2</v>
      </c>
      <c r="N87">
        <v>76.79135454</v>
      </c>
      <c r="O87">
        <v>23.906170889999999</v>
      </c>
      <c r="P87">
        <v>1.88152977</v>
      </c>
      <c r="Q87">
        <v>29.77194063</v>
      </c>
      <c r="R87">
        <v>2.1644865000000002</v>
      </c>
      <c r="S87">
        <v>7.5132136899999997</v>
      </c>
      <c r="T87">
        <v>165.2303124</v>
      </c>
      <c r="U87">
        <v>17.503423489999999</v>
      </c>
      <c r="V87">
        <v>54.146494179999998</v>
      </c>
      <c r="W87">
        <v>72.734888229999996</v>
      </c>
      <c r="X87">
        <v>12.81100182</v>
      </c>
      <c r="Y87">
        <v>13.127763249999999</v>
      </c>
      <c r="Z87">
        <v>3.6759402699999999</v>
      </c>
      <c r="AA87">
        <v>1.30317605</v>
      </c>
      <c r="AB87">
        <v>5.0047755299999999</v>
      </c>
      <c r="AC87">
        <v>1.8617454499999999</v>
      </c>
      <c r="AD87">
        <v>10.37803858</v>
      </c>
      <c r="AE87">
        <v>1.5230364999999999</v>
      </c>
      <c r="AF87">
        <v>23.654218780000001</v>
      </c>
      <c r="AG87">
        <v>7.3631475699999998</v>
      </c>
      <c r="AH87">
        <v>153.25297459999999</v>
      </c>
      <c r="AI87">
        <v>164.5970179</v>
      </c>
      <c r="AJ87">
        <v>77.184158740000001</v>
      </c>
      <c r="AK87">
        <v>14.03836795</v>
      </c>
      <c r="AL87">
        <v>0.92355125999999998</v>
      </c>
      <c r="AM87">
        <v>1.11268608</v>
      </c>
      <c r="AN87">
        <v>1.26544053</v>
      </c>
      <c r="AO87">
        <v>22.74388351</v>
      </c>
      <c r="AP87">
        <v>38.432637100000001</v>
      </c>
      <c r="AQ87">
        <v>4.3741326999999997</v>
      </c>
      <c r="AR87">
        <v>3.9787804800000002</v>
      </c>
      <c r="AS87">
        <v>78.99042772</v>
      </c>
      <c r="DF87">
        <v>2.33378211</v>
      </c>
      <c r="DG87" s="2">
        <v>1219.83</v>
      </c>
    </row>
    <row r="88" spans="1:111" x14ac:dyDescent="0.75">
      <c r="A88" s="8"/>
      <c r="B88" s="45"/>
      <c r="C88" t="s">
        <v>204</v>
      </c>
      <c r="D88" t="s">
        <v>89</v>
      </c>
      <c r="E88">
        <v>24.359211349999999</v>
      </c>
      <c r="F88">
        <v>19.9390924</v>
      </c>
      <c r="G88">
        <v>9.6334473500000009</v>
      </c>
      <c r="H88">
        <v>85.785972369999996</v>
      </c>
      <c r="I88">
        <v>20.877459600000002</v>
      </c>
      <c r="J88">
        <v>170.0988878</v>
      </c>
      <c r="K88">
        <v>48.879602159999997</v>
      </c>
      <c r="L88">
        <v>4.6754615299999998</v>
      </c>
      <c r="M88">
        <v>3.6609828100000001</v>
      </c>
      <c r="N88">
        <v>257.97908080000002</v>
      </c>
      <c r="O88">
        <v>110.79913569999999</v>
      </c>
      <c r="P88">
        <v>5.08939436</v>
      </c>
      <c r="Q88">
        <v>84.832821699999997</v>
      </c>
      <c r="R88">
        <v>12.12347138</v>
      </c>
      <c r="S88">
        <v>19.900303839999999</v>
      </c>
      <c r="T88">
        <v>204.94392980000001</v>
      </c>
      <c r="U88">
        <v>14.55173557</v>
      </c>
      <c r="V88">
        <v>89.420789729999996</v>
      </c>
      <c r="W88">
        <v>90.73314431</v>
      </c>
      <c r="X88">
        <v>14.63678385</v>
      </c>
      <c r="Y88">
        <v>17.628614550000002</v>
      </c>
      <c r="Z88">
        <v>3.22327246</v>
      </c>
      <c r="AA88">
        <v>1.4667509700000001</v>
      </c>
      <c r="AB88">
        <v>6.1641633000000002</v>
      </c>
      <c r="AC88">
        <v>1.78805769</v>
      </c>
      <c r="AD88">
        <v>21.672799900000001</v>
      </c>
      <c r="AE88">
        <v>4.0240418399999998</v>
      </c>
      <c r="AF88">
        <v>16.295828400000001</v>
      </c>
      <c r="AG88">
        <v>6.1605771300000001</v>
      </c>
      <c r="AH88">
        <v>286.31454289999999</v>
      </c>
      <c r="AI88">
        <v>172.88722089999999</v>
      </c>
      <c r="AJ88">
        <v>91.937566889999999</v>
      </c>
      <c r="AK88">
        <v>31.620864579999999</v>
      </c>
      <c r="AL88">
        <v>1.0009594799999999</v>
      </c>
      <c r="AM88">
        <v>4.4433475299999996</v>
      </c>
      <c r="AN88">
        <v>6.4538781199999997</v>
      </c>
      <c r="AO88">
        <v>31.72580395</v>
      </c>
      <c r="AP88">
        <v>53.198158669999998</v>
      </c>
      <c r="AQ88">
        <v>5.9380139999999999</v>
      </c>
      <c r="AR88">
        <v>1.5716911499999999</v>
      </c>
      <c r="AS88">
        <v>106.155647</v>
      </c>
      <c r="DF88">
        <v>4.1492566999999996</v>
      </c>
      <c r="DG88" s="2">
        <v>2168.7399999999998</v>
      </c>
    </row>
    <row r="89" spans="1:111" x14ac:dyDescent="0.75">
      <c r="A89" s="8"/>
      <c r="B89" s="45"/>
      <c r="C89" t="s">
        <v>205</v>
      </c>
      <c r="D89" t="s">
        <v>90</v>
      </c>
      <c r="E89">
        <v>4.7964871000000002</v>
      </c>
      <c r="F89">
        <v>3.87303766</v>
      </c>
      <c r="G89">
        <v>1.89485609</v>
      </c>
      <c r="H89">
        <v>15.15904072</v>
      </c>
      <c r="I89">
        <v>3.1910440699999998</v>
      </c>
      <c r="J89">
        <v>33.351199989999998</v>
      </c>
      <c r="K89">
        <v>8.8201936700000001</v>
      </c>
      <c r="L89">
        <v>1.3825409900000001</v>
      </c>
      <c r="M89">
        <v>3.712203E-2</v>
      </c>
      <c r="N89">
        <v>43.271900000000002</v>
      </c>
      <c r="O89">
        <v>11.09555993</v>
      </c>
      <c r="P89">
        <v>1.6201678500000001</v>
      </c>
      <c r="Q89">
        <v>34.409834969999999</v>
      </c>
      <c r="R89">
        <v>2.5510986899999999</v>
      </c>
      <c r="S89">
        <v>6.31717715</v>
      </c>
      <c r="T89">
        <v>9.6046567799999991</v>
      </c>
      <c r="U89">
        <v>1.2406290499999999</v>
      </c>
      <c r="V89">
        <v>43.410756960000001</v>
      </c>
      <c r="W89">
        <v>100.2789477</v>
      </c>
      <c r="X89">
        <v>82.482457929999995</v>
      </c>
      <c r="Y89">
        <v>12.514790659999999</v>
      </c>
      <c r="Z89">
        <v>7.1754352299999997</v>
      </c>
      <c r="AA89">
        <v>20.04068603</v>
      </c>
      <c r="AB89">
        <v>1.56038297</v>
      </c>
      <c r="AC89">
        <v>1.2691626</v>
      </c>
      <c r="AD89">
        <v>5.7613725200000001</v>
      </c>
      <c r="AE89">
        <v>2.75186047</v>
      </c>
      <c r="AF89">
        <v>148.90338700000001</v>
      </c>
      <c r="AG89">
        <v>32.985463230000001</v>
      </c>
      <c r="AH89">
        <v>109.0208468</v>
      </c>
      <c r="AI89">
        <v>358.24000710000001</v>
      </c>
      <c r="AJ89">
        <v>253.7518244</v>
      </c>
      <c r="AK89">
        <v>36.340020879999997</v>
      </c>
      <c r="AL89">
        <v>81.102172089999996</v>
      </c>
      <c r="AM89">
        <v>218.7370866</v>
      </c>
      <c r="AN89">
        <v>127.38975309999999</v>
      </c>
      <c r="AO89">
        <v>307.80134249999998</v>
      </c>
      <c r="AP89">
        <v>628.43862539999998</v>
      </c>
      <c r="AQ89">
        <v>351.81946799999997</v>
      </c>
      <c r="AR89">
        <v>123.36230759999999</v>
      </c>
      <c r="AS89">
        <v>340.08535430000001</v>
      </c>
      <c r="DF89">
        <v>6.8582778400000004</v>
      </c>
      <c r="DG89" s="2">
        <v>3584.7</v>
      </c>
    </row>
    <row r="90" spans="1:111" x14ac:dyDescent="0.75">
      <c r="A90" s="8"/>
      <c r="B90" s="45"/>
      <c r="C90" t="s">
        <v>206</v>
      </c>
      <c r="D90" t="s">
        <v>91</v>
      </c>
      <c r="E90">
        <v>39.746671460000002</v>
      </c>
      <c r="F90">
        <v>28.64505393</v>
      </c>
      <c r="G90">
        <v>16.950232360000001</v>
      </c>
      <c r="H90">
        <v>86.145749390000006</v>
      </c>
      <c r="I90">
        <v>30.246822000000002</v>
      </c>
      <c r="J90">
        <v>275.28369270000002</v>
      </c>
      <c r="K90">
        <v>58.674617079999997</v>
      </c>
      <c r="L90">
        <v>4.9859405800000003</v>
      </c>
      <c r="M90">
        <v>2.4734036499999998</v>
      </c>
      <c r="N90">
        <v>338.39782009999999</v>
      </c>
      <c r="O90">
        <v>41.484819659999999</v>
      </c>
      <c r="P90">
        <v>5.5399422700000001</v>
      </c>
      <c r="DG90">
        <v>928.5747652</v>
      </c>
    </row>
    <row r="91" spans="1:111" s="18" customFormat="1" x14ac:dyDescent="0.75">
      <c r="A91" s="17"/>
      <c r="B91" s="45"/>
      <c r="C91" s="18" t="s">
        <v>207</v>
      </c>
      <c r="D91" s="18" t="s">
        <v>92</v>
      </c>
      <c r="E91" s="18">
        <v>6.5773546899999999</v>
      </c>
      <c r="F91" s="18">
        <v>7.4799829300000003</v>
      </c>
      <c r="G91" s="18">
        <v>2.63696741</v>
      </c>
      <c r="H91" s="18">
        <v>33.786158440000001</v>
      </c>
      <c r="I91" s="18">
        <v>7.9235953800000001</v>
      </c>
      <c r="J91" s="18">
        <v>50.181296639999999</v>
      </c>
      <c r="K91" s="18">
        <v>16.338468519999999</v>
      </c>
      <c r="L91" s="18">
        <v>1.6345650700000001</v>
      </c>
      <c r="M91" s="18">
        <v>0.81281212000000003</v>
      </c>
      <c r="N91" s="18">
        <v>87.124721579999999</v>
      </c>
      <c r="O91" s="18">
        <v>26.713384090000002</v>
      </c>
      <c r="P91" s="18">
        <v>1.9960907699999999</v>
      </c>
      <c r="Q91" s="18">
        <v>176.79976260000001</v>
      </c>
      <c r="R91" s="18">
        <v>20.3235563</v>
      </c>
      <c r="S91" s="18">
        <v>39.511890790000002</v>
      </c>
      <c r="T91" s="18">
        <v>250.20735880000001</v>
      </c>
      <c r="U91" s="18">
        <v>21.75406521</v>
      </c>
      <c r="V91" s="18">
        <v>200.97368829999999</v>
      </c>
      <c r="W91" s="18">
        <v>307.61568740000001</v>
      </c>
      <c r="X91" s="18">
        <v>182.72099009999999</v>
      </c>
      <c r="Y91" s="18">
        <v>61.850919449999999</v>
      </c>
      <c r="Z91" s="18">
        <v>23.277845190000001</v>
      </c>
      <c r="AA91" s="18">
        <v>94.780751760000001</v>
      </c>
      <c r="AB91" s="18">
        <v>50.801377019999997</v>
      </c>
      <c r="AC91" s="18">
        <v>11.56763187</v>
      </c>
      <c r="AD91" s="18">
        <v>89.68366485</v>
      </c>
      <c r="AE91" s="18">
        <v>19.157712230000001</v>
      </c>
      <c r="AF91" s="18">
        <v>146.16263459999999</v>
      </c>
      <c r="AG91" s="18">
        <v>35.47582354</v>
      </c>
      <c r="AH91" s="18">
        <v>421.37863099999998</v>
      </c>
      <c r="AI91" s="18">
        <v>644.4887579</v>
      </c>
      <c r="AJ91" s="18">
        <v>282.98354890000002</v>
      </c>
      <c r="AK91" s="18">
        <v>107.00085180000001</v>
      </c>
      <c r="AL91" s="18">
        <v>119.4013745</v>
      </c>
      <c r="AM91" s="18">
        <v>144.73808199999999</v>
      </c>
      <c r="AN91" s="18">
        <v>590.60057810000001</v>
      </c>
      <c r="AO91" s="18">
        <v>297.18023899999997</v>
      </c>
      <c r="AQ91" s="18">
        <v>106.8608145</v>
      </c>
      <c r="AR91" s="18">
        <v>52.09586461</v>
      </c>
      <c r="AS91" s="18">
        <v>73.79123414</v>
      </c>
      <c r="DF91" s="18">
        <v>14.65796125</v>
      </c>
      <c r="DG91" s="19">
        <v>4831.05</v>
      </c>
    </row>
    <row r="92" spans="1:111" x14ac:dyDescent="0.75">
      <c r="A92" s="8" t="s">
        <v>208</v>
      </c>
      <c r="B92" s="8" t="s">
        <v>209</v>
      </c>
      <c r="C92" t="s">
        <v>210</v>
      </c>
      <c r="D92" t="s">
        <v>93</v>
      </c>
      <c r="CN92" s="2">
        <v>3835.25</v>
      </c>
      <c r="CZ92">
        <v>687.08627839999997</v>
      </c>
      <c r="DF92">
        <v>81.503657750000002</v>
      </c>
      <c r="DG92" s="2">
        <v>4603.84</v>
      </c>
    </row>
    <row r="93" spans="1:111" x14ac:dyDescent="0.75">
      <c r="A93" s="8" t="s">
        <v>211</v>
      </c>
      <c r="B93" s="45" t="s">
        <v>212</v>
      </c>
      <c r="C93" t="s">
        <v>213</v>
      </c>
      <c r="D93" t="s">
        <v>94</v>
      </c>
      <c r="CJ93">
        <v>162.47859829999999</v>
      </c>
      <c r="CK93">
        <v>227.2949045</v>
      </c>
      <c r="CL93">
        <v>13.133368859999999</v>
      </c>
      <c r="CM93">
        <v>36.759532970000002</v>
      </c>
      <c r="CN93">
        <v>25.185736039999998</v>
      </c>
      <c r="CO93">
        <v>35.607227389999998</v>
      </c>
      <c r="CZ93">
        <v>2.0228986400000002</v>
      </c>
      <c r="DF93">
        <v>4.6604293400000003</v>
      </c>
      <c r="DG93">
        <v>507.142696</v>
      </c>
    </row>
    <row r="94" spans="1:111" x14ac:dyDescent="0.75">
      <c r="A94" s="8"/>
      <c r="B94" s="45"/>
      <c r="C94" t="s">
        <v>214</v>
      </c>
      <c r="D94" t="s">
        <v>95</v>
      </c>
      <c r="CJ94">
        <v>173.08185069999999</v>
      </c>
      <c r="CK94">
        <v>312.2772453</v>
      </c>
      <c r="CL94">
        <v>41.410068809999999</v>
      </c>
      <c r="CM94">
        <v>81.650042229999997</v>
      </c>
      <c r="CN94">
        <v>58.061002430000002</v>
      </c>
      <c r="CO94">
        <v>113.3226588</v>
      </c>
      <c r="CZ94">
        <v>2.01509055</v>
      </c>
      <c r="DF94">
        <v>7.2032801199999996</v>
      </c>
      <c r="DG94">
        <v>789.02123889999996</v>
      </c>
    </row>
    <row r="95" spans="1:111" x14ac:dyDescent="0.75">
      <c r="A95" s="8"/>
      <c r="B95" s="45"/>
      <c r="C95" t="s">
        <v>215</v>
      </c>
      <c r="D95" t="s">
        <v>96</v>
      </c>
      <c r="CJ95">
        <v>197.69131279999999</v>
      </c>
      <c r="CK95">
        <v>388.08784279999998</v>
      </c>
      <c r="CL95">
        <v>61.973273239999997</v>
      </c>
      <c r="CM95">
        <v>148.27105169999999</v>
      </c>
      <c r="CN95">
        <v>104.1599459</v>
      </c>
      <c r="CO95">
        <v>167.78955590000001</v>
      </c>
      <c r="CZ95">
        <v>2.3336485100000002</v>
      </c>
      <c r="DF95">
        <v>16.206562330000001</v>
      </c>
      <c r="DG95" s="2">
        <v>1086.51</v>
      </c>
    </row>
    <row r="96" spans="1:111" x14ac:dyDescent="0.75">
      <c r="A96" s="8"/>
      <c r="B96" s="45"/>
      <c r="C96" t="s">
        <v>216</v>
      </c>
      <c r="D96" t="s">
        <v>97</v>
      </c>
      <c r="CJ96">
        <v>219.30824849999999</v>
      </c>
      <c r="CK96">
        <v>439.30244299999998</v>
      </c>
      <c r="CL96">
        <v>134.61636669999999</v>
      </c>
      <c r="CM96">
        <v>277.81685590000001</v>
      </c>
      <c r="CN96">
        <v>203.07744729999999</v>
      </c>
      <c r="CO96">
        <v>299.25066429999998</v>
      </c>
      <c r="CZ96">
        <v>2.7033744400000002</v>
      </c>
      <c r="DF96">
        <v>25.759580020000001</v>
      </c>
      <c r="DG96" s="2">
        <v>1601.83</v>
      </c>
    </row>
    <row r="97" spans="1:111" x14ac:dyDescent="0.75">
      <c r="A97" s="8"/>
      <c r="B97" s="45"/>
      <c r="C97" t="s">
        <v>217</v>
      </c>
      <c r="D97" t="s">
        <v>98</v>
      </c>
      <c r="CJ97">
        <v>111.8797757</v>
      </c>
      <c r="CK97">
        <v>265.57638429999997</v>
      </c>
      <c r="CL97">
        <v>394.53685669999999</v>
      </c>
      <c r="CM97">
        <v>272.39346669999998</v>
      </c>
      <c r="CN97">
        <v>196.63508200000001</v>
      </c>
      <c r="CO97">
        <v>620.44056179999995</v>
      </c>
      <c r="CZ97">
        <v>3.60476317</v>
      </c>
      <c r="DF97">
        <v>55.33545487</v>
      </c>
      <c r="DG97" s="2">
        <v>1920.4</v>
      </c>
    </row>
    <row r="98" spans="1:111" x14ac:dyDescent="0.75">
      <c r="A98" s="8"/>
      <c r="B98" s="45"/>
      <c r="C98" t="s">
        <v>218</v>
      </c>
      <c r="D98" t="s">
        <v>99</v>
      </c>
      <c r="CJ98">
        <v>19.14192873</v>
      </c>
      <c r="CK98">
        <v>14.364167589999999</v>
      </c>
      <c r="CL98">
        <v>2.75434482</v>
      </c>
      <c r="CM98">
        <v>0.91699649999999999</v>
      </c>
      <c r="CN98">
        <v>0.63377689000000004</v>
      </c>
      <c r="CO98">
        <v>4.71288222</v>
      </c>
      <c r="CZ98">
        <v>0.16647703999999999</v>
      </c>
      <c r="DF98">
        <v>0.22947012999999999</v>
      </c>
      <c r="DG98">
        <v>42.920043919999998</v>
      </c>
    </row>
    <row r="99" spans="1:111" x14ac:dyDescent="0.75">
      <c r="A99" s="8"/>
      <c r="B99" s="45"/>
      <c r="C99" t="s">
        <v>219</v>
      </c>
      <c r="D99" t="s">
        <v>100</v>
      </c>
      <c r="CJ99">
        <v>29.39663856</v>
      </c>
      <c r="CK99">
        <v>32.438048250000001</v>
      </c>
      <c r="CL99">
        <v>8.5576629499999992</v>
      </c>
      <c r="CM99">
        <v>2.82363432</v>
      </c>
      <c r="CN99">
        <v>2.24332457</v>
      </c>
      <c r="CO99">
        <v>16.901393429999999</v>
      </c>
      <c r="CZ99">
        <v>0.26421492000000002</v>
      </c>
      <c r="DF99">
        <v>0.63361349</v>
      </c>
      <c r="DG99">
        <v>93.258530469999997</v>
      </c>
    </row>
    <row r="100" spans="1:111" x14ac:dyDescent="0.75">
      <c r="A100" s="8"/>
      <c r="B100" s="45"/>
      <c r="C100" t="s">
        <v>220</v>
      </c>
      <c r="D100" t="s">
        <v>101</v>
      </c>
      <c r="CJ100">
        <v>40.774757530000002</v>
      </c>
      <c r="CK100">
        <v>54.992194189999999</v>
      </c>
      <c r="CL100">
        <v>18.631279280000001</v>
      </c>
      <c r="CM100">
        <v>8.1667242200000008</v>
      </c>
      <c r="CN100">
        <v>6.3793943400000002</v>
      </c>
      <c r="CO100">
        <v>32.844720590000001</v>
      </c>
      <c r="CZ100">
        <v>0.29688493999999999</v>
      </c>
      <c r="DF100">
        <v>1.0752999299999999</v>
      </c>
      <c r="DG100">
        <v>163.16125500000001</v>
      </c>
    </row>
    <row r="101" spans="1:111" x14ac:dyDescent="0.75">
      <c r="A101" s="8"/>
      <c r="B101" s="45"/>
      <c r="C101" t="s">
        <v>221</v>
      </c>
      <c r="D101" t="s">
        <v>102</v>
      </c>
      <c r="CJ101">
        <v>64.1462614</v>
      </c>
      <c r="CK101">
        <v>98.922001449999996</v>
      </c>
      <c r="CL101">
        <v>62.967274279999998</v>
      </c>
      <c r="CM101">
        <v>19.877561490000001</v>
      </c>
      <c r="CN101">
        <v>22.607313359999999</v>
      </c>
      <c r="CO101">
        <v>111.1451984</v>
      </c>
      <c r="CZ101">
        <v>0.74473655000000005</v>
      </c>
      <c r="DF101">
        <v>2.47007266</v>
      </c>
      <c r="DG101">
        <v>382.88041959999998</v>
      </c>
    </row>
    <row r="102" spans="1:111" s="18" customFormat="1" x14ac:dyDescent="0.75">
      <c r="A102" s="17"/>
      <c r="B102" s="45"/>
      <c r="C102" s="18" t="s">
        <v>222</v>
      </c>
      <c r="D102" s="18" t="s">
        <v>103</v>
      </c>
      <c r="CJ102" s="18">
        <v>193.73319090000001</v>
      </c>
      <c r="CK102" s="18">
        <v>320.91953380000001</v>
      </c>
      <c r="CL102" s="19">
        <v>2822.04</v>
      </c>
      <c r="CM102" s="18">
        <v>79.898899200000002</v>
      </c>
      <c r="CN102" s="18">
        <v>90.400516429999996</v>
      </c>
      <c r="CO102" s="19">
        <v>2289.3000000000002</v>
      </c>
      <c r="CZ102" s="18">
        <v>13.474597040000001</v>
      </c>
      <c r="DF102" s="18">
        <v>340.91799980000002</v>
      </c>
      <c r="DG102" s="19">
        <v>6150.69</v>
      </c>
    </row>
    <row r="103" spans="1:111" x14ac:dyDescent="0.75">
      <c r="A103" s="8" t="s">
        <v>223</v>
      </c>
      <c r="B103" s="8" t="s">
        <v>224</v>
      </c>
      <c r="C103" t="s">
        <v>224</v>
      </c>
      <c r="D103" t="s">
        <v>104</v>
      </c>
      <c r="CO103">
        <v>23.704621509999999</v>
      </c>
      <c r="CP103">
        <v>0.85948261999999997</v>
      </c>
      <c r="CQ103">
        <v>2.45084159</v>
      </c>
      <c r="CR103">
        <v>3.6075349800000001</v>
      </c>
      <c r="CS103">
        <v>7.4011776600000001</v>
      </c>
      <c r="CT103">
        <v>29.987893110000002</v>
      </c>
      <c r="CU103">
        <v>0.23781588000000001</v>
      </c>
      <c r="CV103">
        <v>0.63398431</v>
      </c>
      <c r="CW103">
        <v>1.2775392999999999</v>
      </c>
      <c r="CX103">
        <v>3.6092782099999998</v>
      </c>
      <c r="CY103">
        <v>182.3441009</v>
      </c>
      <c r="DA103">
        <v>696.80172340000001</v>
      </c>
      <c r="DB103">
        <v>2.3789891600000002</v>
      </c>
      <c r="DC103">
        <v>145.88789510000001</v>
      </c>
      <c r="DD103">
        <v>863.74053839999999</v>
      </c>
      <c r="DF103">
        <v>968.80503729999998</v>
      </c>
      <c r="DG103" s="2">
        <v>2933.73</v>
      </c>
    </row>
    <row r="104" spans="1:111" x14ac:dyDescent="0.75">
      <c r="A104" s="8" t="s">
        <v>225</v>
      </c>
      <c r="B104" s="46" t="s">
        <v>226</v>
      </c>
      <c r="C104" t="s">
        <v>227</v>
      </c>
      <c r="D104" t="s">
        <v>105</v>
      </c>
      <c r="CO104">
        <v>125.3792333</v>
      </c>
      <c r="CP104">
        <v>4.6989557900000003</v>
      </c>
      <c r="CQ104">
        <v>13.46263349</v>
      </c>
      <c r="CR104">
        <v>19.5833127</v>
      </c>
      <c r="CS104">
        <v>36.332390740000001</v>
      </c>
      <c r="CT104">
        <v>87.827445589999996</v>
      </c>
      <c r="CU104">
        <v>1.0286508299999999</v>
      </c>
      <c r="CV104">
        <v>2.4699420399999998</v>
      </c>
      <c r="CW104">
        <v>4.8607092700000001</v>
      </c>
      <c r="CX104">
        <v>11.745188130000001</v>
      </c>
      <c r="CY104">
        <v>389.41326149999998</v>
      </c>
      <c r="DG104">
        <v>696.80172340000001</v>
      </c>
    </row>
    <row r="105" spans="1:111" x14ac:dyDescent="0.75">
      <c r="A105" s="8"/>
      <c r="B105" s="46"/>
      <c r="C105" t="s">
        <v>228</v>
      </c>
      <c r="D105" t="s">
        <v>106</v>
      </c>
      <c r="BK105">
        <v>2.3789891600000002</v>
      </c>
      <c r="DG105">
        <v>2.3789891600000002</v>
      </c>
    </row>
    <row r="106" spans="1:111" x14ac:dyDescent="0.75">
      <c r="A106" s="8"/>
      <c r="B106" s="46"/>
      <c r="C106" t="s">
        <v>229</v>
      </c>
      <c r="D106" t="s">
        <v>107</v>
      </c>
      <c r="AT106">
        <v>0.34057057000000002</v>
      </c>
      <c r="AV106">
        <v>2.2767400000000002E-3</v>
      </c>
      <c r="AX106">
        <v>0.19754303000000001</v>
      </c>
      <c r="AZ106">
        <v>4.2173899999999997E-3</v>
      </c>
      <c r="BC106">
        <v>0.54172896000000004</v>
      </c>
      <c r="BL106">
        <v>13.950980879999999</v>
      </c>
      <c r="BM106">
        <v>3.8540754800000001</v>
      </c>
      <c r="BN106">
        <v>17.45422821</v>
      </c>
      <c r="BO106">
        <v>5.2325363999999999</v>
      </c>
      <c r="BP106">
        <v>13.0221105</v>
      </c>
      <c r="BQ106">
        <v>4.8700670099999996</v>
      </c>
      <c r="BR106">
        <v>18.739017090000001</v>
      </c>
      <c r="BS106">
        <v>65.515942859999996</v>
      </c>
      <c r="BT106">
        <v>2.0747270000000002</v>
      </c>
      <c r="CD106">
        <v>9.1538999999999998E-4</v>
      </c>
      <c r="CH106">
        <v>8.6957549999999995E-2</v>
      </c>
      <c r="DG106">
        <v>145.88789510000001</v>
      </c>
    </row>
    <row r="107" spans="1:111" s="18" customFormat="1" x14ac:dyDescent="0.75">
      <c r="A107" s="17"/>
      <c r="B107" s="46"/>
      <c r="C107" s="18" t="s">
        <v>230</v>
      </c>
      <c r="D107" s="18" t="s">
        <v>108</v>
      </c>
      <c r="BK107" s="18">
        <v>0.21531903999999999</v>
      </c>
      <c r="BL107" s="18">
        <v>33.812926060000002</v>
      </c>
      <c r="BM107" s="18">
        <v>153.32925700000001</v>
      </c>
      <c r="BN107" s="18">
        <v>1.8358755099999999</v>
      </c>
      <c r="BO107" s="18">
        <v>14.462096130000001</v>
      </c>
      <c r="BP107" s="18">
        <v>86.24817324</v>
      </c>
      <c r="BQ107" s="18">
        <v>1.8031534600000001</v>
      </c>
      <c r="BR107" s="18">
        <v>7.71768828</v>
      </c>
      <c r="BS107" s="18">
        <v>172.96410180000001</v>
      </c>
      <c r="BT107" s="18">
        <v>4.71288105</v>
      </c>
      <c r="BU107" s="18">
        <v>-40.69213096</v>
      </c>
      <c r="BV107" s="18">
        <v>-7.3558904900000002</v>
      </c>
      <c r="BW107" s="18">
        <v>177.33661739999999</v>
      </c>
      <c r="BX107" s="18">
        <v>0.70771284999999995</v>
      </c>
      <c r="BY107" s="18">
        <v>-82.004956640000003</v>
      </c>
      <c r="BZ107" s="18">
        <v>9.9766134799999993</v>
      </c>
      <c r="CA107" s="18">
        <v>113.2985252</v>
      </c>
      <c r="CB107" s="18">
        <v>23.76712461</v>
      </c>
      <c r="CC107" s="18">
        <v>8.9684654399999992</v>
      </c>
      <c r="CD107" s="18">
        <v>129.1970302</v>
      </c>
      <c r="CF107" s="18">
        <v>10.64490997</v>
      </c>
      <c r="CG107" s="18">
        <v>14.19030637</v>
      </c>
      <c r="CH107" s="18">
        <v>28.604739469999998</v>
      </c>
      <c r="DG107" s="18">
        <v>863.74053839999999</v>
      </c>
    </row>
    <row r="108" spans="1:111" x14ac:dyDescent="0.75">
      <c r="A108" s="8" t="s">
        <v>231</v>
      </c>
      <c r="B108" s="8" t="s">
        <v>232</v>
      </c>
      <c r="C108" t="s">
        <v>233</v>
      </c>
      <c r="D108" t="s">
        <v>109</v>
      </c>
      <c r="CO108">
        <v>757.73865990000002</v>
      </c>
      <c r="CP108">
        <v>18.63186679</v>
      </c>
      <c r="CQ108">
        <v>30.59725014</v>
      </c>
      <c r="CR108">
        <v>48.852537220000002</v>
      </c>
      <c r="CS108">
        <v>102.4157841</v>
      </c>
      <c r="CT108">
        <v>132.76332450000001</v>
      </c>
      <c r="CU108">
        <v>1.59691703</v>
      </c>
      <c r="CV108">
        <v>5.2408561999999996</v>
      </c>
      <c r="CW108">
        <v>6.6709485800000001</v>
      </c>
      <c r="CX108">
        <v>44.525958379999999</v>
      </c>
      <c r="CY108" s="2">
        <v>1431.04</v>
      </c>
      <c r="CZ108">
        <v>-153.79876160000001</v>
      </c>
      <c r="DF108" s="2">
        <v>1107.1400000000001</v>
      </c>
      <c r="DG108" s="2">
        <v>3533.41</v>
      </c>
    </row>
    <row r="109" spans="1:111" x14ac:dyDescent="0.75">
      <c r="A109" s="8" t="s">
        <v>234</v>
      </c>
      <c r="B109" s="8" t="s">
        <v>235</v>
      </c>
      <c r="C109" t="s">
        <v>236</v>
      </c>
      <c r="D109" t="s">
        <v>110</v>
      </c>
      <c r="AT109">
        <v>24.51736829</v>
      </c>
      <c r="AV109">
        <v>11.42663346</v>
      </c>
      <c r="AX109">
        <v>23.463280009999998</v>
      </c>
      <c r="AZ109">
        <v>8.7809370300000005</v>
      </c>
      <c r="BC109">
        <v>13.99263575</v>
      </c>
      <c r="BG109">
        <v>0.42786864000000002</v>
      </c>
      <c r="BK109">
        <v>0.83216148999999995</v>
      </c>
      <c r="BL109">
        <v>460.65452740000001</v>
      </c>
      <c r="BM109">
        <v>44.357039880000002</v>
      </c>
      <c r="BN109">
        <v>190.00312819999999</v>
      </c>
      <c r="BO109">
        <v>156.2678976</v>
      </c>
      <c r="BP109" s="2">
        <v>1389.8</v>
      </c>
      <c r="BQ109">
        <v>118.7312895</v>
      </c>
      <c r="BR109">
        <v>496.13649500000002</v>
      </c>
      <c r="BS109" s="2">
        <v>1298.17</v>
      </c>
      <c r="BT109">
        <v>95.19395102</v>
      </c>
      <c r="BW109">
        <v>23.891277850000002</v>
      </c>
      <c r="BY109">
        <v>319.1392553</v>
      </c>
      <c r="BZ109">
        <v>84.760808150000003</v>
      </c>
      <c r="CA109">
        <v>393.7835541</v>
      </c>
      <c r="CB109">
        <v>23.09003306</v>
      </c>
      <c r="CD109">
        <v>91.353956699999998</v>
      </c>
      <c r="CH109">
        <v>8.0324935400000008</v>
      </c>
      <c r="CJ109">
        <v>8.1933246200000003</v>
      </c>
      <c r="CK109">
        <v>14.56700131</v>
      </c>
      <c r="CL109">
        <v>24.077696190000001</v>
      </c>
      <c r="CN109">
        <v>286.41039610000001</v>
      </c>
      <c r="CO109">
        <v>5.7056634400000004</v>
      </c>
      <c r="CP109">
        <v>0.90046506999999998</v>
      </c>
      <c r="CQ109">
        <v>1.15053125</v>
      </c>
      <c r="CR109">
        <v>2.3463339699999999</v>
      </c>
      <c r="CS109">
        <v>3.2444507800000002</v>
      </c>
      <c r="CT109">
        <v>6.27875374</v>
      </c>
      <c r="CU109">
        <v>6.7580760000000004E-2</v>
      </c>
      <c r="CV109">
        <v>0.12863243999999999</v>
      </c>
      <c r="CW109">
        <v>0.16990160000000001</v>
      </c>
      <c r="CX109">
        <v>0.28992667999999999</v>
      </c>
      <c r="CY109">
        <v>33.15160908</v>
      </c>
      <c r="CZ109">
        <v>78.846971359999998</v>
      </c>
      <c r="DG109" s="2">
        <v>5742.33</v>
      </c>
    </row>
    <row r="110" spans="1:111" s="6" customFormat="1" x14ac:dyDescent="0.75">
      <c r="A110" s="9"/>
      <c r="B110" s="9"/>
      <c r="C110" s="6" t="s">
        <v>237</v>
      </c>
      <c r="D110" s="6" t="s">
        <v>111</v>
      </c>
      <c r="E110" s="6">
        <v>88.699380230000003</v>
      </c>
      <c r="F110" s="6">
        <v>70.731464549999998</v>
      </c>
      <c r="G110" s="6">
        <v>36.590311270000001</v>
      </c>
      <c r="H110" s="6">
        <v>260.35861</v>
      </c>
      <c r="I110" s="6">
        <v>97.199110899999994</v>
      </c>
      <c r="J110" s="6">
        <v>625.96772910000004</v>
      </c>
      <c r="K110" s="6">
        <v>152.53047749999999</v>
      </c>
      <c r="L110" s="6">
        <v>21.973836380000002</v>
      </c>
      <c r="M110" s="6">
        <v>7.6356880699999996</v>
      </c>
      <c r="N110" s="6">
        <v>821.73917979999999</v>
      </c>
      <c r="O110" s="6">
        <v>328.65045450000002</v>
      </c>
      <c r="P110" s="6">
        <v>17.433042539999999</v>
      </c>
      <c r="Q110" s="6">
        <v>427.51645860000002</v>
      </c>
      <c r="R110" s="6">
        <v>48.22673004</v>
      </c>
      <c r="S110" s="6">
        <v>79.019030970000003</v>
      </c>
      <c r="T110" s="6">
        <v>692.26098230000002</v>
      </c>
      <c r="U110" s="6">
        <v>57.44140968</v>
      </c>
      <c r="V110" s="6">
        <v>555.750855</v>
      </c>
      <c r="W110" s="36">
        <v>1675.2</v>
      </c>
      <c r="X110" s="6">
        <v>573.4974234</v>
      </c>
      <c r="Y110" s="6">
        <v>215.500528</v>
      </c>
      <c r="Z110" s="6">
        <v>79.294553289999996</v>
      </c>
      <c r="AA110" s="6">
        <v>269.07980500000002</v>
      </c>
      <c r="AB110" s="6">
        <v>154.28278700000001</v>
      </c>
      <c r="AC110" s="6">
        <v>114.9494918</v>
      </c>
      <c r="AD110" s="6">
        <v>184.43158500000001</v>
      </c>
      <c r="AE110" s="6">
        <v>45.175579769999999</v>
      </c>
      <c r="AF110" s="6">
        <v>661.45480640000005</v>
      </c>
      <c r="AG110" s="6">
        <v>134.79373810000001</v>
      </c>
      <c r="AH110" s="36">
        <v>2850.02</v>
      </c>
      <c r="AI110" s="36">
        <v>2271.62</v>
      </c>
      <c r="AJ110" s="36">
        <v>1312.48</v>
      </c>
      <c r="AK110" s="6">
        <v>692.52678649999996</v>
      </c>
      <c r="AL110" s="6">
        <v>389.06268019999999</v>
      </c>
      <c r="AM110" s="6">
        <v>593.35617309999998</v>
      </c>
      <c r="AN110" s="6">
        <v>749.16051990000005</v>
      </c>
      <c r="AO110" s="6">
        <v>750.75880659999996</v>
      </c>
      <c r="AP110" s="36">
        <v>1854.25</v>
      </c>
      <c r="AQ110" s="6">
        <v>745.74028380000004</v>
      </c>
      <c r="AR110" s="6">
        <v>358.67742379999999</v>
      </c>
      <c r="AS110" s="6">
        <v>773.53781919999994</v>
      </c>
      <c r="AT110" s="6">
        <v>97.339151759999993</v>
      </c>
      <c r="AU110" s="6">
        <v>71.438552240000007</v>
      </c>
      <c r="AV110" s="6">
        <v>48.475277660000003</v>
      </c>
      <c r="AW110" s="6">
        <v>223.46216570000001</v>
      </c>
      <c r="AX110" s="6">
        <v>122.0494006</v>
      </c>
      <c r="AY110" s="6">
        <v>354.8964823</v>
      </c>
      <c r="AZ110" s="6">
        <v>154.78744639999999</v>
      </c>
      <c r="BA110" s="6">
        <v>22.202699110000001</v>
      </c>
      <c r="BB110" s="6">
        <v>7.7193662200000004</v>
      </c>
      <c r="BC110" s="6">
        <v>633.37328669999999</v>
      </c>
      <c r="BD110" s="6">
        <v>328.63957820000002</v>
      </c>
      <c r="BE110" s="6">
        <v>16.642297460000002</v>
      </c>
      <c r="BF110" s="6">
        <v>400.92816720000002</v>
      </c>
      <c r="BG110" s="6">
        <v>34.063715100000003</v>
      </c>
      <c r="BH110" s="6">
        <v>76.460437959999993</v>
      </c>
      <c r="BI110" s="6">
        <v>124.0378269</v>
      </c>
      <c r="BJ110" s="6">
        <v>58.623803479999999</v>
      </c>
      <c r="BK110" s="6">
        <v>759.77218019999998</v>
      </c>
      <c r="BL110" s="36">
        <v>2363.6</v>
      </c>
      <c r="BM110" s="6">
        <v>849.90456979999999</v>
      </c>
      <c r="BN110" s="6">
        <v>735.81427799999994</v>
      </c>
      <c r="BO110" s="6">
        <v>274.45594160000002</v>
      </c>
      <c r="BP110" s="36">
        <v>2142.0700000000002</v>
      </c>
      <c r="BQ110" s="6">
        <v>342.4096945</v>
      </c>
      <c r="BR110" s="6">
        <v>725.13763289999997</v>
      </c>
      <c r="BS110" s="36">
        <v>2117.2199999999998</v>
      </c>
      <c r="BT110" s="6">
        <v>161.5638319</v>
      </c>
      <c r="BU110" s="6">
        <v>620.76267540000003</v>
      </c>
      <c r="BV110" s="6">
        <v>127.4378476</v>
      </c>
      <c r="BW110" s="36">
        <v>3051.24</v>
      </c>
      <c r="BX110" s="36">
        <v>2272.33</v>
      </c>
      <c r="BY110" s="36">
        <v>1549.61</v>
      </c>
      <c r="BZ110" s="6">
        <v>787.26420819999998</v>
      </c>
      <c r="CA110" s="6">
        <v>899.686105</v>
      </c>
      <c r="CB110" s="6">
        <v>640.21333079999999</v>
      </c>
      <c r="CC110" s="6">
        <v>758.12898529999995</v>
      </c>
      <c r="CD110" s="6">
        <v>971.31070890000001</v>
      </c>
      <c r="CE110" s="36">
        <v>1854.25</v>
      </c>
      <c r="CF110" s="6">
        <v>756.38519380000002</v>
      </c>
      <c r="CG110" s="6">
        <v>372.86773019999998</v>
      </c>
      <c r="CH110" s="6">
        <v>810.26200979999999</v>
      </c>
      <c r="CI110" s="36">
        <v>1891.01</v>
      </c>
      <c r="CJ110" s="36">
        <v>1219.83</v>
      </c>
      <c r="CK110" s="36">
        <v>2168.7399999999998</v>
      </c>
      <c r="CL110" s="36">
        <v>3584.7</v>
      </c>
      <c r="CM110" s="6">
        <v>928.5747652</v>
      </c>
      <c r="CN110" s="36">
        <v>4831.05</v>
      </c>
      <c r="CO110" s="36">
        <v>4603.84</v>
      </c>
      <c r="CP110" s="6">
        <v>507.142696</v>
      </c>
      <c r="CQ110" s="6">
        <v>789.02123889999996</v>
      </c>
      <c r="CR110" s="36">
        <v>1086.51</v>
      </c>
      <c r="CS110" s="36">
        <v>1601.83</v>
      </c>
      <c r="CT110" s="36">
        <v>1920.4</v>
      </c>
      <c r="CU110" s="6">
        <v>42.920043919999998</v>
      </c>
      <c r="CV110" s="6">
        <v>93.258530469999997</v>
      </c>
      <c r="CW110" s="6">
        <v>163.16125500000001</v>
      </c>
      <c r="CX110" s="6">
        <v>382.88041959999998</v>
      </c>
      <c r="CY110" s="36">
        <v>6150.69</v>
      </c>
      <c r="CZ110" s="36">
        <v>2933.73</v>
      </c>
      <c r="DA110" s="6">
        <v>696.80172340000001</v>
      </c>
      <c r="DB110" s="6">
        <v>2.3789891600000002</v>
      </c>
      <c r="DC110" s="6">
        <v>145.88789510000001</v>
      </c>
      <c r="DD110" s="6">
        <v>863.74053839999999</v>
      </c>
      <c r="DE110" s="36">
        <v>3533.41</v>
      </c>
      <c r="DF110" s="36">
        <v>5742.33</v>
      </c>
      <c r="DG110" s="36">
        <v>96441.26</v>
      </c>
    </row>
    <row r="115" spans="38:62" x14ac:dyDescent="0.75">
      <c r="AL115" s="8"/>
      <c r="AM115" s="8"/>
      <c r="AN115" s="8"/>
      <c r="AO115" s="8"/>
      <c r="AP115" s="9" t="s">
        <v>251</v>
      </c>
      <c r="AQ115" s="9"/>
      <c r="AR115" s="9"/>
      <c r="AS115" s="9"/>
      <c r="AT115" s="9"/>
      <c r="AU115" s="9"/>
      <c r="AV115" s="9" t="s">
        <v>252</v>
      </c>
      <c r="AW115" s="9"/>
      <c r="AX115" s="9"/>
      <c r="AY115" s="9"/>
      <c r="AZ115" s="9"/>
      <c r="BC115" s="6"/>
      <c r="BD115" s="9" t="s">
        <v>256</v>
      </c>
    </row>
    <row r="116" spans="38:62" x14ac:dyDescent="0.75">
      <c r="AL116" s="8"/>
      <c r="AM116" s="17"/>
      <c r="AN116" s="17"/>
      <c r="AO116" s="17"/>
      <c r="AP116" s="34" t="s">
        <v>239</v>
      </c>
      <c r="AQ116" s="34" t="s">
        <v>240</v>
      </c>
      <c r="AR116" s="34" t="s">
        <v>241</v>
      </c>
      <c r="AS116" s="34"/>
      <c r="AT116" s="17"/>
      <c r="AU116" s="17"/>
      <c r="AV116" s="17"/>
      <c r="AW116" s="17"/>
      <c r="AX116" s="34" t="s">
        <v>113</v>
      </c>
      <c r="AY116" s="34" t="s">
        <v>132</v>
      </c>
      <c r="AZ116" s="34" t="s">
        <v>254</v>
      </c>
      <c r="BA116" s="35" t="s">
        <v>237</v>
      </c>
      <c r="BB116" s="18"/>
      <c r="BC116" s="34" t="s">
        <v>113</v>
      </c>
      <c r="BD116" s="34" t="s">
        <v>132</v>
      </c>
      <c r="BE116" s="34" t="s">
        <v>254</v>
      </c>
      <c r="BF116" s="34" t="s">
        <v>237</v>
      </c>
      <c r="BG116" s="48" t="s">
        <v>257</v>
      </c>
      <c r="BH116" s="48"/>
      <c r="BI116" s="48"/>
      <c r="BJ116" s="48"/>
    </row>
    <row r="117" spans="38:62" x14ac:dyDescent="0.75">
      <c r="AL117" s="10" t="s">
        <v>113</v>
      </c>
      <c r="AM117" s="11" t="s">
        <v>158</v>
      </c>
      <c r="AN117" s="11"/>
      <c r="AO117" s="11"/>
      <c r="AP117" s="8">
        <v>1.086778</v>
      </c>
      <c r="AQ117" s="8"/>
      <c r="AR117" s="8"/>
      <c r="AS117" s="8" t="s">
        <v>237</v>
      </c>
      <c r="AT117" s="8"/>
      <c r="AU117" s="11" t="s">
        <v>113</v>
      </c>
      <c r="AV117" s="11" t="s">
        <v>114</v>
      </c>
      <c r="AW117" s="11" t="s">
        <v>5</v>
      </c>
      <c r="AX117" s="8"/>
      <c r="AY117" s="8"/>
      <c r="AZ117" s="8"/>
      <c r="BA117" s="27"/>
    </row>
    <row r="118" spans="38:62" x14ac:dyDescent="0.75">
      <c r="AL118" s="10"/>
      <c r="AM118" s="11" t="s">
        <v>159</v>
      </c>
      <c r="AN118" s="11"/>
      <c r="AO118" s="11"/>
      <c r="AP118" s="8">
        <v>0.89167790000000002</v>
      </c>
      <c r="AQ118" s="8"/>
      <c r="AR118" s="8"/>
      <c r="AS118" s="8"/>
      <c r="AT118" s="8"/>
      <c r="AU118" s="11"/>
      <c r="AV118" s="11" t="s">
        <v>115</v>
      </c>
      <c r="AW118" s="11" t="s">
        <v>6</v>
      </c>
      <c r="AX118" s="8"/>
      <c r="AY118" s="8"/>
      <c r="AZ118" s="8"/>
      <c r="BA118" s="16"/>
      <c r="BB118" s="16" t="s">
        <v>250</v>
      </c>
      <c r="BC118" s="16">
        <v>423.83674199000001</v>
      </c>
      <c r="BD118" s="16">
        <v>4379.4610892000001</v>
      </c>
      <c r="BE118" s="16">
        <v>4330.3813212999994</v>
      </c>
      <c r="BF118" s="29">
        <f>SUM(BC118:BE118)</f>
        <v>9133.67915249</v>
      </c>
      <c r="BG118" s="31">
        <f>BC118/BC120</f>
        <v>0.14327189163838966</v>
      </c>
      <c r="BH118" s="31">
        <f>BD118/BD120</f>
        <v>0.36824188768385291</v>
      </c>
      <c r="BI118" s="31">
        <f>BE118/BE120</f>
        <v>0.29216787658447363</v>
      </c>
      <c r="BJ118" s="33">
        <f>BF118/BF120</f>
        <v>0.30781409338376942</v>
      </c>
    </row>
    <row r="119" spans="38:62" x14ac:dyDescent="0.75">
      <c r="AL119" s="10"/>
      <c r="AM119" s="11" t="s">
        <v>160</v>
      </c>
      <c r="AN119" s="11"/>
      <c r="AO119" s="11"/>
      <c r="AP119" s="8"/>
      <c r="AQ119" s="8"/>
      <c r="AR119" s="8"/>
      <c r="AS119" s="8"/>
      <c r="AT119" s="8"/>
      <c r="AU119" s="11"/>
      <c r="AV119" s="11" t="s">
        <v>116</v>
      </c>
      <c r="AW119" s="11" t="s">
        <v>7</v>
      </c>
      <c r="AX119" s="8"/>
      <c r="AY119" s="8"/>
      <c r="AZ119" s="8"/>
      <c r="BA119" s="27"/>
      <c r="BB119" s="16" t="s">
        <v>255</v>
      </c>
      <c r="BC119" s="16">
        <v>2534.4318837899996</v>
      </c>
      <c r="BD119" s="16">
        <v>7513.4311527600003</v>
      </c>
      <c r="BE119" s="16">
        <v>10491.170493099999</v>
      </c>
      <c r="BF119" s="29">
        <f>SUM(BC119:BE119)</f>
        <v>20539.033529649998</v>
      </c>
      <c r="BG119" s="31">
        <f>BC119/BC120</f>
        <v>0.85672810836161029</v>
      </c>
      <c r="BH119" s="31">
        <f>BD119/BD120</f>
        <v>0.63175811231614709</v>
      </c>
      <c r="BI119" s="31">
        <f>BE119/BE120</f>
        <v>0.70783212341552637</v>
      </c>
      <c r="BJ119" s="33">
        <f>BF119/BF120</f>
        <v>0.69218590661623058</v>
      </c>
    </row>
    <row r="120" spans="38:62" x14ac:dyDescent="0.75">
      <c r="AL120" s="10"/>
      <c r="AM120" s="11" t="s">
        <v>161</v>
      </c>
      <c r="AN120" s="11"/>
      <c r="AO120" s="11"/>
      <c r="AP120" s="8"/>
      <c r="AQ120" s="8"/>
      <c r="AR120" s="8"/>
      <c r="AS120" s="8"/>
      <c r="AT120" s="8"/>
      <c r="AU120" s="11"/>
      <c r="AV120" s="11" t="s">
        <v>117</v>
      </c>
      <c r="AW120" s="11" t="s">
        <v>8</v>
      </c>
      <c r="AX120" s="8"/>
      <c r="AY120" s="8"/>
      <c r="AZ120" s="8"/>
      <c r="BA120" s="27"/>
      <c r="BB120" s="16" t="s">
        <v>238</v>
      </c>
      <c r="BC120" s="16">
        <f>BC118+BC119</f>
        <v>2958.2686257799996</v>
      </c>
      <c r="BD120" s="16">
        <f t="shared" ref="BD120:BE120" si="0">BD118+BD119</f>
        <v>11892.89224196</v>
      </c>
      <c r="BE120" s="16">
        <f t="shared" si="0"/>
        <v>14821.551814399998</v>
      </c>
      <c r="BF120" s="29">
        <f>SUM(BC120:BE120)</f>
        <v>29672.712682139998</v>
      </c>
      <c r="BG120" s="32">
        <f>BG118+BG119</f>
        <v>1</v>
      </c>
      <c r="BH120" s="32">
        <f t="shared" ref="BH120:BJ120" si="1">BH118+BH119</f>
        <v>1</v>
      </c>
      <c r="BI120" s="32">
        <f t="shared" si="1"/>
        <v>1</v>
      </c>
      <c r="BJ120" s="32">
        <f t="shared" si="1"/>
        <v>1</v>
      </c>
    </row>
    <row r="121" spans="38:62" x14ac:dyDescent="0.75">
      <c r="AL121" s="10"/>
      <c r="AM121" s="11" t="s">
        <v>162</v>
      </c>
      <c r="AN121" s="11"/>
      <c r="AO121" s="11"/>
      <c r="AP121" s="8"/>
      <c r="AQ121" s="8"/>
      <c r="AR121" s="8"/>
      <c r="AS121" s="8"/>
      <c r="AT121" s="8"/>
      <c r="AU121" s="11"/>
      <c r="AV121" s="11" t="s">
        <v>118</v>
      </c>
      <c r="AW121" s="11" t="s">
        <v>9</v>
      </c>
      <c r="AX121" s="8"/>
      <c r="AY121" s="8"/>
      <c r="AZ121" s="8"/>
      <c r="BA121" s="27"/>
    </row>
    <row r="122" spans="38:62" x14ac:dyDescent="0.75">
      <c r="AL122" s="10"/>
      <c r="AM122" s="11" t="s">
        <v>163</v>
      </c>
      <c r="AN122" s="11"/>
      <c r="AO122" s="11"/>
      <c r="AP122" s="8"/>
      <c r="AQ122" s="8"/>
      <c r="AR122" s="8"/>
      <c r="AS122" s="8"/>
      <c r="AT122" s="8"/>
      <c r="AU122" s="11"/>
      <c r="AV122" s="11" t="s">
        <v>119</v>
      </c>
      <c r="AW122" s="11" t="s">
        <v>10</v>
      </c>
      <c r="AX122" s="8"/>
      <c r="AY122" s="8"/>
      <c r="AZ122" s="8"/>
      <c r="BA122" s="27"/>
    </row>
    <row r="123" spans="38:62" x14ac:dyDescent="0.75">
      <c r="AL123" s="10"/>
      <c r="AM123" s="11" t="s">
        <v>164</v>
      </c>
      <c r="AN123" s="11"/>
      <c r="AO123" s="11"/>
      <c r="AP123" s="8"/>
      <c r="AQ123" s="8"/>
      <c r="AR123" s="8"/>
      <c r="AS123" s="8"/>
      <c r="AT123" s="8"/>
      <c r="AU123" s="11"/>
      <c r="AV123" s="11" t="s">
        <v>120</v>
      </c>
      <c r="AW123" s="11" t="s">
        <v>11</v>
      </c>
      <c r="AX123" s="8"/>
      <c r="AY123" s="8"/>
      <c r="AZ123" s="8"/>
      <c r="BA123" s="27"/>
    </row>
    <row r="124" spans="38:62" x14ac:dyDescent="0.75">
      <c r="AL124" s="10"/>
      <c r="AM124" s="11" t="s">
        <v>165</v>
      </c>
      <c r="AN124" s="11"/>
      <c r="AO124" s="11"/>
      <c r="AP124" s="8"/>
      <c r="AQ124" s="8"/>
      <c r="AR124" s="8"/>
      <c r="AS124" s="8"/>
      <c r="AT124" s="8"/>
      <c r="AU124" s="11"/>
      <c r="AV124" s="11" t="s">
        <v>121</v>
      </c>
      <c r="AW124" s="11" t="s">
        <v>12</v>
      </c>
      <c r="AX124" s="8"/>
      <c r="AY124" s="8"/>
      <c r="AZ124" s="8"/>
      <c r="BA124" s="27"/>
      <c r="BC124" s="6" t="s">
        <v>258</v>
      </c>
    </row>
    <row r="125" spans="38:62" x14ac:dyDescent="0.75">
      <c r="AL125" s="10"/>
      <c r="AM125" s="11" t="s">
        <v>166</v>
      </c>
      <c r="AN125" s="11"/>
      <c r="AO125" s="11"/>
      <c r="AP125" s="8"/>
      <c r="AQ125" s="8"/>
      <c r="AR125" s="8"/>
      <c r="AS125" s="8"/>
      <c r="AT125" s="8"/>
      <c r="AU125" s="11"/>
      <c r="AV125" s="11" t="s">
        <v>122</v>
      </c>
      <c r="AW125" s="11" t="s">
        <v>13</v>
      </c>
      <c r="AX125" s="8"/>
      <c r="AY125" s="8"/>
      <c r="AZ125" s="8"/>
      <c r="BA125" s="27"/>
      <c r="BB125" s="30" t="s">
        <v>259</v>
      </c>
      <c r="BC125" s="30">
        <f>SUM(E110:U110)</f>
        <v>3833.9738964299995</v>
      </c>
      <c r="BD125" s="30">
        <f>SUM(V110:AH110)</f>
        <v>7513.4311527600003</v>
      </c>
      <c r="BE125" s="37">
        <f>SUM(AJ110:AS110)</f>
        <v>8219.5504930999996</v>
      </c>
      <c r="BF125" s="30">
        <f>SUM(E110:AS110)</f>
        <v>21838.57554229</v>
      </c>
      <c r="BG125" s="38">
        <f>SUM(AT110:CH110)</f>
        <v>28718.836578890001</v>
      </c>
    </row>
    <row r="126" spans="38:62" x14ac:dyDescent="0.75">
      <c r="AL126" s="10"/>
      <c r="AM126" s="11" t="s">
        <v>167</v>
      </c>
      <c r="AN126" s="11"/>
      <c r="AO126" s="11"/>
      <c r="AP126" s="8"/>
      <c r="AQ126" s="8"/>
      <c r="AR126" s="8"/>
      <c r="AS126" s="8"/>
      <c r="AT126" s="8"/>
      <c r="AU126" s="11"/>
      <c r="AV126" s="11" t="s">
        <v>124</v>
      </c>
      <c r="AW126" s="11" t="s">
        <v>14</v>
      </c>
      <c r="AX126" s="8"/>
      <c r="AY126" s="8"/>
      <c r="AZ126" s="8"/>
      <c r="BA126" s="27"/>
      <c r="BB126" s="30" t="s">
        <v>260</v>
      </c>
      <c r="BC126" s="30">
        <f>BC118</f>
        <v>423.83674199000001</v>
      </c>
      <c r="BD126" s="30">
        <f t="shared" ref="BD126:BE126" si="2">BD118</f>
        <v>4379.4610892000001</v>
      </c>
      <c r="BE126" s="30">
        <f t="shared" si="2"/>
        <v>4330.3813212999994</v>
      </c>
      <c r="BF126" s="30">
        <f>SUM(BC126:BE126)</f>
        <v>9133.67915249</v>
      </c>
      <c r="BG126" s="38">
        <f>SUM(E45:AS85)</f>
        <v>9133.6791519699982</v>
      </c>
    </row>
    <row r="127" spans="38:62" x14ac:dyDescent="0.75">
      <c r="AL127" s="10"/>
      <c r="AM127" s="11" t="s">
        <v>168</v>
      </c>
      <c r="AN127" s="11"/>
      <c r="AO127" s="11"/>
      <c r="AP127" s="8"/>
      <c r="AQ127" s="8"/>
      <c r="AR127" s="8"/>
      <c r="AS127" s="8"/>
      <c r="AT127" s="8"/>
      <c r="AU127" s="11"/>
      <c r="AV127" s="11" t="s">
        <v>125</v>
      </c>
      <c r="AW127" s="11" t="s">
        <v>15</v>
      </c>
      <c r="AX127" s="8"/>
      <c r="AY127" s="8"/>
      <c r="AZ127" s="8"/>
      <c r="BA127" s="27"/>
      <c r="BB127" s="30" t="s">
        <v>261</v>
      </c>
      <c r="BC127">
        <f>BC125-BC126</f>
        <v>3410.1371544399994</v>
      </c>
      <c r="BD127">
        <f t="shared" ref="BD127:BE127" si="3">BD125-BD126</f>
        <v>3133.9700635600002</v>
      </c>
      <c r="BE127">
        <f t="shared" si="3"/>
        <v>3889.1691718000002</v>
      </c>
      <c r="BF127">
        <f>BG125-BF126</f>
        <v>19585.157426400001</v>
      </c>
      <c r="BG127" s="39">
        <f>BG125-BG126</f>
        <v>19585.157426920003</v>
      </c>
    </row>
    <row r="128" spans="38:62" x14ac:dyDescent="0.75">
      <c r="AL128" s="10"/>
      <c r="AM128" s="11" t="s">
        <v>169</v>
      </c>
      <c r="AN128" s="11"/>
      <c r="AO128" s="11"/>
      <c r="AP128" s="8"/>
      <c r="AQ128" s="8"/>
      <c r="AR128" s="8"/>
      <c r="AS128" s="8"/>
      <c r="AT128" s="8"/>
      <c r="AU128" s="11"/>
      <c r="AV128" s="11" t="s">
        <v>126</v>
      </c>
      <c r="AW128" s="11" t="s">
        <v>16</v>
      </c>
      <c r="AX128" s="8"/>
      <c r="AY128" s="8"/>
      <c r="AZ128" s="8"/>
      <c r="BA128" s="27"/>
    </row>
    <row r="129" spans="38:53" x14ac:dyDescent="0.75">
      <c r="AL129" s="10"/>
      <c r="AM129" s="11" t="s">
        <v>170</v>
      </c>
      <c r="AN129" s="11"/>
      <c r="AO129" s="11"/>
      <c r="AP129" s="8"/>
      <c r="AQ129" s="8"/>
      <c r="AR129" s="8"/>
      <c r="AS129" s="8"/>
      <c r="AT129" s="8"/>
      <c r="AU129" s="11"/>
      <c r="AV129" s="11" t="s">
        <v>127</v>
      </c>
      <c r="AW129" s="11" t="s">
        <v>17</v>
      </c>
      <c r="AX129" s="8"/>
      <c r="AY129" s="8"/>
      <c r="AZ129" s="8"/>
      <c r="BA129" s="27"/>
    </row>
    <row r="130" spans="38:53" x14ac:dyDescent="0.75">
      <c r="AL130" s="10"/>
      <c r="AM130" s="11" t="s">
        <v>171</v>
      </c>
      <c r="AN130" s="11"/>
      <c r="AO130" s="11"/>
      <c r="AP130" s="8"/>
      <c r="AQ130" s="8"/>
      <c r="AR130" s="8"/>
      <c r="AS130" s="8"/>
      <c r="AT130" s="8"/>
      <c r="AU130" s="11"/>
      <c r="AV130" s="11" t="s">
        <v>128</v>
      </c>
      <c r="AW130" s="11" t="s">
        <v>18</v>
      </c>
      <c r="AX130" s="8"/>
      <c r="AY130" s="8"/>
      <c r="AZ130" s="8"/>
      <c r="BA130" s="27"/>
    </row>
    <row r="131" spans="38:53" x14ac:dyDescent="0.75">
      <c r="AL131" s="10"/>
      <c r="AM131" s="11" t="s">
        <v>172</v>
      </c>
      <c r="AN131" s="11"/>
      <c r="AO131" s="11"/>
      <c r="AP131" s="8"/>
      <c r="AQ131" s="8"/>
      <c r="AR131" s="8"/>
      <c r="AS131" s="8"/>
      <c r="AT131" s="8"/>
      <c r="AU131" s="11"/>
      <c r="AV131" s="11" t="s">
        <v>129</v>
      </c>
      <c r="AW131" s="11" t="s">
        <v>19</v>
      </c>
      <c r="AX131" s="8"/>
      <c r="AY131" s="8"/>
      <c r="AZ131" s="8"/>
      <c r="BA131" s="27"/>
    </row>
    <row r="132" spans="38:53" x14ac:dyDescent="0.75">
      <c r="AL132" s="10"/>
      <c r="AM132" s="11" t="s">
        <v>173</v>
      </c>
      <c r="AN132" s="11"/>
      <c r="AO132" s="11"/>
      <c r="AP132" s="8"/>
      <c r="AQ132" s="8"/>
      <c r="AR132" s="8"/>
      <c r="AS132" s="8"/>
      <c r="AT132" s="8"/>
      <c r="AU132" s="11"/>
      <c r="AV132" s="11" t="s">
        <v>130</v>
      </c>
      <c r="AW132" s="11" t="s">
        <v>20</v>
      </c>
      <c r="AX132" s="8"/>
      <c r="AY132" s="8"/>
      <c r="AZ132" s="8"/>
      <c r="BA132" s="27"/>
    </row>
    <row r="133" spans="38:53" x14ac:dyDescent="0.75">
      <c r="AL133" s="10"/>
      <c r="AM133" s="11" t="s">
        <v>174</v>
      </c>
      <c r="AN133" s="11"/>
      <c r="AO133" s="11"/>
      <c r="AP133" s="8"/>
      <c r="AQ133" s="8"/>
      <c r="AR133" s="8"/>
      <c r="AS133" s="8"/>
      <c r="AT133" s="8"/>
      <c r="AU133" s="11"/>
      <c r="AV133" s="11" t="s">
        <v>131</v>
      </c>
      <c r="AW133" s="11" t="s">
        <v>21</v>
      </c>
      <c r="AX133" s="8"/>
      <c r="AY133" s="8"/>
      <c r="AZ133" s="8"/>
      <c r="BA133" s="27"/>
    </row>
    <row r="134" spans="38:53" x14ac:dyDescent="0.75">
      <c r="AL134" s="10"/>
      <c r="AM134" s="10" t="s">
        <v>237</v>
      </c>
      <c r="AN134" s="10" t="s">
        <v>242</v>
      </c>
      <c r="AO134" s="10"/>
      <c r="AP134" s="9">
        <v>126.39794759999999</v>
      </c>
      <c r="AQ134" s="9">
        <v>903.98409179999999</v>
      </c>
      <c r="AR134" s="9">
        <v>128.59909329999999</v>
      </c>
      <c r="AS134" s="9">
        <f>SUM(AP134:AR134)</f>
        <v>1158.9811327</v>
      </c>
      <c r="AT134" s="8"/>
      <c r="AU134" s="11"/>
      <c r="AV134" s="10" t="s">
        <v>237</v>
      </c>
      <c r="AW134" s="10"/>
      <c r="AX134" s="9">
        <f>SUM(AT4:BJ20)</f>
        <v>2534.4318837899996</v>
      </c>
      <c r="AY134" s="9">
        <f>SUM(BK4:BW20)</f>
        <v>0</v>
      </c>
      <c r="AZ134" s="9">
        <v>0</v>
      </c>
      <c r="BA134" s="26">
        <f>SUM(AX134:AZ134)</f>
        <v>2534.4318837899996</v>
      </c>
    </row>
    <row r="135" spans="38:53" x14ac:dyDescent="0.75">
      <c r="AL135" s="13" t="s">
        <v>132</v>
      </c>
      <c r="AM135" s="12" t="s">
        <v>175</v>
      </c>
      <c r="AN135" s="12"/>
      <c r="AO135" s="12"/>
      <c r="AP135" s="8"/>
      <c r="AQ135" s="8"/>
      <c r="AR135" s="8"/>
      <c r="AS135" s="8"/>
      <c r="AT135" s="8"/>
      <c r="AU135" s="12" t="s">
        <v>132</v>
      </c>
      <c r="AV135" s="12" t="s">
        <v>133</v>
      </c>
      <c r="AW135" s="12" t="s">
        <v>22</v>
      </c>
      <c r="AX135" s="8"/>
      <c r="AY135" s="8"/>
      <c r="AZ135" s="8"/>
      <c r="BA135" s="27"/>
    </row>
    <row r="136" spans="38:53" x14ac:dyDescent="0.75">
      <c r="AL136" s="13"/>
      <c r="AM136" s="12" t="s">
        <v>176</v>
      </c>
      <c r="AN136" s="12"/>
      <c r="AO136" s="12"/>
      <c r="AP136" s="8"/>
      <c r="AQ136" s="8"/>
      <c r="AR136" s="8"/>
      <c r="AS136" s="8"/>
      <c r="AT136" s="8"/>
      <c r="AU136" s="12"/>
      <c r="AV136" s="12" t="s">
        <v>134</v>
      </c>
      <c r="AW136" s="12" t="s">
        <v>23</v>
      </c>
      <c r="AX136" s="8"/>
      <c r="AY136" s="8"/>
      <c r="AZ136" s="8"/>
      <c r="BA136" s="27"/>
    </row>
    <row r="137" spans="38:53" x14ac:dyDescent="0.75">
      <c r="AL137" s="13"/>
      <c r="AM137" s="12" t="s">
        <v>177</v>
      </c>
      <c r="AN137" s="12"/>
      <c r="AO137" s="12"/>
      <c r="AP137" s="8"/>
      <c r="AQ137" s="8"/>
      <c r="AR137" s="8"/>
      <c r="AS137" s="8"/>
      <c r="AT137" s="8"/>
      <c r="AU137" s="12"/>
      <c r="AV137" s="12" t="s">
        <v>135</v>
      </c>
      <c r="AW137" s="12" t="s">
        <v>24</v>
      </c>
      <c r="AX137" s="8"/>
      <c r="AY137" s="8"/>
      <c r="AZ137" s="8"/>
      <c r="BA137" s="27"/>
    </row>
    <row r="138" spans="38:53" x14ac:dyDescent="0.75">
      <c r="AL138" s="13"/>
      <c r="AM138" s="12" t="s">
        <v>178</v>
      </c>
      <c r="AN138" s="12"/>
      <c r="AO138" s="12"/>
      <c r="AP138" s="8"/>
      <c r="AQ138" s="8"/>
      <c r="AR138" s="8"/>
      <c r="AS138" s="8"/>
      <c r="AT138" s="8"/>
      <c r="AU138" s="12"/>
      <c r="AV138" s="12" t="s">
        <v>136</v>
      </c>
      <c r="AW138" s="12" t="s">
        <v>25</v>
      </c>
      <c r="AX138" s="8"/>
      <c r="AY138" s="8"/>
      <c r="AZ138" s="8"/>
      <c r="BA138" s="27"/>
    </row>
    <row r="139" spans="38:53" x14ac:dyDescent="0.75">
      <c r="AL139" s="13"/>
      <c r="AM139" s="12" t="s">
        <v>179</v>
      </c>
      <c r="AN139" s="12"/>
      <c r="AO139" s="12"/>
      <c r="AP139" s="8"/>
      <c r="AQ139" s="8"/>
      <c r="AR139" s="8"/>
      <c r="AS139" s="8"/>
      <c r="AT139" s="8"/>
      <c r="AU139" s="12"/>
      <c r="AV139" s="12" t="s">
        <v>137</v>
      </c>
      <c r="AW139" s="12" t="s">
        <v>26</v>
      </c>
      <c r="AX139" s="8"/>
      <c r="AY139" s="8"/>
      <c r="AZ139" s="8"/>
      <c r="BA139" s="27"/>
    </row>
    <row r="140" spans="38:53" x14ac:dyDescent="0.75">
      <c r="AL140" s="13"/>
      <c r="AM140" s="12" t="s">
        <v>180</v>
      </c>
      <c r="AN140" s="12"/>
      <c r="AO140" s="12"/>
      <c r="AP140" s="8"/>
      <c r="AQ140" s="8"/>
      <c r="AR140" s="8"/>
      <c r="AS140" s="8"/>
      <c r="AT140" s="8"/>
      <c r="AU140" s="12"/>
      <c r="AV140" s="12" t="s">
        <v>138</v>
      </c>
      <c r="AW140" s="12" t="s">
        <v>27</v>
      </c>
      <c r="AX140" s="8"/>
      <c r="AY140" s="8"/>
      <c r="AZ140" s="8"/>
      <c r="BA140" s="27"/>
    </row>
    <row r="141" spans="38:53" x14ac:dyDescent="0.75">
      <c r="AL141" s="13"/>
      <c r="AM141" s="12" t="s">
        <v>181</v>
      </c>
      <c r="AN141" s="12"/>
      <c r="AO141" s="12"/>
      <c r="AP141" s="8"/>
      <c r="AQ141" s="8"/>
      <c r="AR141" s="8"/>
      <c r="AS141" s="8"/>
      <c r="AT141" s="8"/>
      <c r="AU141" s="12"/>
      <c r="AV141" s="12" t="s">
        <v>139</v>
      </c>
      <c r="AW141" s="12" t="s">
        <v>28</v>
      </c>
      <c r="AX141" s="8"/>
      <c r="AY141" s="8"/>
      <c r="AZ141" s="8"/>
      <c r="BA141" s="27"/>
    </row>
    <row r="142" spans="38:53" x14ac:dyDescent="0.75">
      <c r="AL142" s="13"/>
      <c r="AM142" s="12" t="s">
        <v>182</v>
      </c>
      <c r="AN142" s="12"/>
      <c r="AO142" s="12"/>
      <c r="AP142" s="8"/>
      <c r="AQ142" s="8"/>
      <c r="AR142" s="8"/>
      <c r="AS142" s="8"/>
      <c r="AT142" s="8"/>
      <c r="AU142" s="12"/>
      <c r="AV142" s="12" t="s">
        <v>140</v>
      </c>
      <c r="AW142" s="12" t="s">
        <v>29</v>
      </c>
      <c r="AX142" s="8"/>
      <c r="AY142" s="8"/>
      <c r="AZ142" s="8"/>
      <c r="BA142" s="27"/>
    </row>
    <row r="143" spans="38:53" x14ac:dyDescent="0.75">
      <c r="AL143" s="13"/>
      <c r="AM143" s="12" t="s">
        <v>183</v>
      </c>
      <c r="AN143" s="12"/>
      <c r="AO143" s="12"/>
      <c r="AP143" s="8"/>
      <c r="AQ143" s="8"/>
      <c r="AR143" s="8"/>
      <c r="AS143" s="8"/>
      <c r="AT143" s="8"/>
      <c r="AU143" s="12"/>
      <c r="AV143" s="12" t="s">
        <v>141</v>
      </c>
      <c r="AW143" s="12" t="s">
        <v>30</v>
      </c>
      <c r="AX143" s="8"/>
      <c r="AY143" s="8"/>
      <c r="AZ143" s="8"/>
      <c r="BA143" s="27"/>
    </row>
    <row r="144" spans="38:53" x14ac:dyDescent="0.75">
      <c r="AL144" s="13"/>
      <c r="AM144" s="12" t="s">
        <v>184</v>
      </c>
      <c r="AN144" s="12"/>
      <c r="AO144" s="12"/>
      <c r="AP144" s="8"/>
      <c r="AQ144" s="8"/>
      <c r="AR144" s="8"/>
      <c r="AS144" s="8"/>
      <c r="AT144" s="8"/>
      <c r="AU144" s="12"/>
      <c r="AV144" s="12" t="s">
        <v>142</v>
      </c>
      <c r="AW144" s="12" t="s">
        <v>31</v>
      </c>
      <c r="AX144" s="8"/>
      <c r="AY144" s="8"/>
      <c r="AZ144" s="8"/>
      <c r="BA144" s="27"/>
    </row>
    <row r="145" spans="38:53" x14ac:dyDescent="0.75">
      <c r="AL145" s="13"/>
      <c r="AM145" s="12" t="s">
        <v>185</v>
      </c>
      <c r="AN145" s="12"/>
      <c r="AO145" s="12"/>
      <c r="AP145" s="8"/>
      <c r="AQ145" s="8"/>
      <c r="AR145" s="8"/>
      <c r="AS145" s="8"/>
      <c r="AT145" s="8"/>
      <c r="AU145" s="12"/>
      <c r="AV145" s="12" t="s">
        <v>143</v>
      </c>
      <c r="AW145" s="12" t="s">
        <v>32</v>
      </c>
      <c r="AX145" s="8"/>
      <c r="AY145" s="8"/>
      <c r="AZ145" s="8"/>
      <c r="BA145" s="27"/>
    </row>
    <row r="146" spans="38:53" x14ac:dyDescent="0.75">
      <c r="AL146" s="13"/>
      <c r="AM146" s="12" t="s">
        <v>186</v>
      </c>
      <c r="AN146" s="12"/>
      <c r="AO146" s="12"/>
      <c r="AP146" s="8"/>
      <c r="AQ146" s="8"/>
      <c r="AR146" s="8"/>
      <c r="AS146" s="8"/>
      <c r="AT146" s="8"/>
      <c r="AU146" s="12"/>
      <c r="AV146" s="12" t="s">
        <v>144</v>
      </c>
      <c r="AW146" s="12" t="s">
        <v>33</v>
      </c>
      <c r="AX146" s="8"/>
      <c r="AY146" s="8"/>
      <c r="AZ146" s="8"/>
      <c r="BA146" s="27"/>
    </row>
    <row r="147" spans="38:53" x14ac:dyDescent="0.75">
      <c r="AL147" s="13"/>
      <c r="AM147" s="12" t="s">
        <v>187</v>
      </c>
      <c r="AN147" s="12"/>
      <c r="AO147" s="12"/>
      <c r="AP147" s="8"/>
      <c r="AQ147" s="8"/>
      <c r="AR147" s="8"/>
      <c r="AS147" s="8"/>
      <c r="AT147" s="8"/>
      <c r="AU147" s="12"/>
      <c r="AV147" s="12" t="s">
        <v>145</v>
      </c>
      <c r="AW147" s="12" t="s">
        <v>34</v>
      </c>
      <c r="AX147" s="8"/>
      <c r="AY147" s="8"/>
      <c r="AZ147" s="8"/>
      <c r="BA147" s="27"/>
    </row>
    <row r="148" spans="38:53" x14ac:dyDescent="0.75">
      <c r="AL148" s="13"/>
      <c r="AM148" s="13" t="s">
        <v>237</v>
      </c>
      <c r="AN148" s="13" t="s">
        <v>243</v>
      </c>
      <c r="AO148" s="13"/>
      <c r="AP148" s="9">
        <v>276.09486770000001</v>
      </c>
      <c r="AQ148" s="9">
        <v>3144.7912970000002</v>
      </c>
      <c r="AR148" s="9">
        <v>2102.614149</v>
      </c>
      <c r="AS148" s="9">
        <f>AP148+AQ148+AR148</f>
        <v>5523.5003137000003</v>
      </c>
      <c r="AT148" s="8"/>
      <c r="AU148" s="12"/>
      <c r="AV148" s="13" t="s">
        <v>237</v>
      </c>
      <c r="AW148" s="12"/>
      <c r="AX148" s="8">
        <f>SUM(AT21:BJ33)</f>
        <v>0</v>
      </c>
      <c r="AY148" s="9">
        <f>SUM(BK21:BW33)</f>
        <v>7513.4311527600003</v>
      </c>
      <c r="AZ148" s="8">
        <v>0</v>
      </c>
      <c r="BA148" s="26">
        <f>SUM(AX148:AZ148)</f>
        <v>7513.4311527600003</v>
      </c>
    </row>
    <row r="149" spans="38:53" x14ac:dyDescent="0.75">
      <c r="AL149" s="24" t="s">
        <v>146</v>
      </c>
      <c r="AM149" s="40" t="s">
        <v>188</v>
      </c>
      <c r="AN149" s="40"/>
      <c r="AO149" s="40"/>
      <c r="AP149" s="40"/>
      <c r="AQ149" s="40"/>
      <c r="AR149" s="25"/>
      <c r="AS149" s="25"/>
      <c r="AT149" s="8"/>
      <c r="AU149" s="25" t="s">
        <v>146</v>
      </c>
      <c r="AV149" s="40" t="s">
        <v>147</v>
      </c>
      <c r="AW149" s="40" t="s">
        <v>35</v>
      </c>
      <c r="AX149" s="8"/>
      <c r="AY149" s="8"/>
      <c r="AZ149" s="8"/>
      <c r="BA149" s="27"/>
    </row>
    <row r="150" spans="38:53" x14ac:dyDescent="0.75">
      <c r="AL150" s="24"/>
      <c r="AM150" s="40" t="s">
        <v>189</v>
      </c>
      <c r="AN150" s="40"/>
      <c r="AO150" s="40"/>
      <c r="AP150" s="40"/>
      <c r="AQ150" s="40"/>
      <c r="AR150" s="25"/>
      <c r="AS150" s="25"/>
      <c r="AT150" s="8"/>
      <c r="AU150" s="25"/>
      <c r="AV150" s="40" t="s">
        <v>148</v>
      </c>
      <c r="AW150" s="40" t="s">
        <v>36</v>
      </c>
      <c r="AX150" s="8"/>
      <c r="AY150" s="8"/>
      <c r="AZ150" s="8"/>
      <c r="BA150" s="27"/>
    </row>
    <row r="151" spans="38:53" x14ac:dyDescent="0.75">
      <c r="AL151" s="24"/>
      <c r="AM151" s="40" t="s">
        <v>190</v>
      </c>
      <c r="AN151" s="40"/>
      <c r="AO151" s="40"/>
      <c r="AP151" s="40"/>
      <c r="AQ151" s="40"/>
      <c r="AR151" s="25"/>
      <c r="AS151" s="25"/>
      <c r="AT151" s="8"/>
      <c r="AU151" s="25"/>
      <c r="AV151" s="40" t="s">
        <v>149</v>
      </c>
      <c r="AW151" s="40" t="s">
        <v>37</v>
      </c>
      <c r="AX151" s="8"/>
      <c r="AY151" s="8"/>
      <c r="AZ151" s="8"/>
      <c r="BA151" s="27"/>
    </row>
    <row r="152" spans="38:53" x14ac:dyDescent="0.75">
      <c r="AL152" s="24"/>
      <c r="AM152" s="25" t="s">
        <v>191</v>
      </c>
      <c r="AN152" s="25"/>
      <c r="AO152" s="25"/>
      <c r="AP152" s="25"/>
      <c r="AQ152" s="25"/>
      <c r="AR152" s="25"/>
      <c r="AS152" s="25"/>
      <c r="AT152" s="8"/>
      <c r="AU152" s="25"/>
      <c r="AV152" s="40" t="s">
        <v>150</v>
      </c>
      <c r="AW152" s="40" t="s">
        <v>38</v>
      </c>
      <c r="AX152" s="8"/>
      <c r="AY152" s="8"/>
      <c r="AZ152" s="8"/>
      <c r="BA152" s="27"/>
    </row>
    <row r="153" spans="38:53" x14ac:dyDescent="0.75">
      <c r="AL153" s="24"/>
      <c r="AM153" s="25" t="s">
        <v>192</v>
      </c>
      <c r="AN153" s="25"/>
      <c r="AO153" s="25"/>
      <c r="AP153" s="25"/>
      <c r="AQ153" s="25"/>
      <c r="AR153" s="25"/>
      <c r="AS153" s="25"/>
      <c r="AT153" s="8"/>
      <c r="AU153" s="25"/>
      <c r="AV153" s="25" t="s">
        <v>151</v>
      </c>
      <c r="AW153" s="25" t="s">
        <v>39</v>
      </c>
      <c r="AX153" s="8"/>
      <c r="AY153" s="8"/>
      <c r="AZ153" s="8"/>
      <c r="BA153" s="27"/>
    </row>
    <row r="154" spans="38:53" x14ac:dyDescent="0.75">
      <c r="AL154" s="24"/>
      <c r="AM154" s="25" t="s">
        <v>193</v>
      </c>
      <c r="AN154" s="25"/>
      <c r="AO154" s="25"/>
      <c r="AP154" s="25"/>
      <c r="AQ154" s="25"/>
      <c r="AR154" s="25"/>
      <c r="AS154" s="25"/>
      <c r="AT154" s="8"/>
      <c r="AU154" s="25"/>
      <c r="AV154" s="25" t="s">
        <v>152</v>
      </c>
      <c r="AW154" s="25" t="s">
        <v>40</v>
      </c>
      <c r="AX154" s="8"/>
      <c r="AY154" s="8"/>
      <c r="AZ154" s="8"/>
      <c r="BA154" s="27"/>
    </row>
    <row r="155" spans="38:53" x14ac:dyDescent="0.75">
      <c r="AL155" s="24"/>
      <c r="AM155" s="25" t="s">
        <v>194</v>
      </c>
      <c r="AN155" s="25"/>
      <c r="AO155" s="25"/>
      <c r="AP155" s="25"/>
      <c r="AQ155" s="25"/>
      <c r="AR155" s="25"/>
      <c r="AS155" s="25"/>
      <c r="AT155" s="8"/>
      <c r="AU155" s="25"/>
      <c r="AV155" s="25" t="s">
        <v>153</v>
      </c>
      <c r="AW155" s="25" t="s">
        <v>41</v>
      </c>
      <c r="AX155" s="8"/>
      <c r="AY155" s="8"/>
      <c r="AZ155" s="8"/>
      <c r="BA155" s="27"/>
    </row>
    <row r="156" spans="38:53" x14ac:dyDescent="0.75">
      <c r="AL156" s="24"/>
      <c r="AM156" s="25" t="s">
        <v>195</v>
      </c>
      <c r="AN156" s="25"/>
      <c r="AO156" s="25"/>
      <c r="AP156" s="25"/>
      <c r="AQ156" s="25"/>
      <c r="AR156" s="25"/>
      <c r="AS156" s="25"/>
      <c r="AT156" s="8"/>
      <c r="AU156" s="25"/>
      <c r="AV156" s="25" t="s">
        <v>154</v>
      </c>
      <c r="AW156" s="25" t="s">
        <v>42</v>
      </c>
      <c r="AX156" s="8"/>
      <c r="AY156" s="8"/>
      <c r="AZ156" s="8"/>
      <c r="BA156" s="27"/>
    </row>
    <row r="157" spans="38:53" x14ac:dyDescent="0.75">
      <c r="AL157" s="24"/>
      <c r="AM157" s="25" t="s">
        <v>196</v>
      </c>
      <c r="AN157" s="25"/>
      <c r="AO157" s="25"/>
      <c r="AP157" s="25"/>
      <c r="AQ157" s="25"/>
      <c r="AR157" s="25"/>
      <c r="AS157" s="25"/>
      <c r="AT157" s="8"/>
      <c r="AU157" s="25"/>
      <c r="AV157" s="25" t="s">
        <v>155</v>
      </c>
      <c r="AW157" s="25" t="s">
        <v>43</v>
      </c>
      <c r="AX157" s="8"/>
      <c r="AY157" s="8"/>
      <c r="AZ157" s="8"/>
      <c r="BA157" s="27"/>
    </row>
    <row r="158" spans="38:53" x14ac:dyDescent="0.75">
      <c r="AL158" s="24"/>
      <c r="AM158" s="25" t="s">
        <v>197</v>
      </c>
      <c r="AN158" s="25"/>
      <c r="AO158" s="25"/>
      <c r="AP158" s="25"/>
      <c r="AQ158" s="25"/>
      <c r="AR158" s="25"/>
      <c r="AS158" s="25"/>
      <c r="AT158" s="8"/>
      <c r="AU158" s="25"/>
      <c r="AV158" s="25" t="s">
        <v>156</v>
      </c>
      <c r="AW158" s="25" t="s">
        <v>44</v>
      </c>
      <c r="AX158" s="8"/>
      <c r="AY158" s="8"/>
      <c r="AZ158" s="8"/>
      <c r="BA158" s="27"/>
    </row>
    <row r="159" spans="38:53" x14ac:dyDescent="0.75">
      <c r="AL159" s="24"/>
      <c r="AM159" s="40" t="s">
        <v>198</v>
      </c>
      <c r="AN159" s="40"/>
      <c r="AO159" s="40"/>
      <c r="AP159" s="40"/>
      <c r="AQ159" s="40"/>
      <c r="AR159" s="25"/>
      <c r="AS159" s="25"/>
      <c r="AT159" s="8"/>
      <c r="AU159" s="25"/>
      <c r="AV159" s="40" t="s">
        <v>157</v>
      </c>
      <c r="AW159" s="25" t="s">
        <v>45</v>
      </c>
      <c r="AX159" s="8"/>
      <c r="AY159" s="8"/>
      <c r="BA159" s="28"/>
    </row>
    <row r="160" spans="38:53" x14ac:dyDescent="0.75">
      <c r="AL160" s="24"/>
      <c r="AM160" s="24" t="s">
        <v>237</v>
      </c>
      <c r="AN160" s="24" t="s">
        <v>244</v>
      </c>
      <c r="AO160" s="24"/>
      <c r="AP160" s="24">
        <v>21.34392669</v>
      </c>
      <c r="AQ160" s="24">
        <v>330.68570039999997</v>
      </c>
      <c r="AR160" s="24">
        <v>2099.168079</v>
      </c>
      <c r="AS160" s="24">
        <f>SUM(AP160:AR160)</f>
        <v>2451.1977060899999</v>
      </c>
      <c r="AT160" s="8"/>
      <c r="AU160" s="25"/>
      <c r="AV160" s="24" t="s">
        <v>253</v>
      </c>
      <c r="AW160" s="24"/>
      <c r="AX160" s="9">
        <v>0</v>
      </c>
      <c r="AY160" s="9"/>
      <c r="AZ160" s="20">
        <f>SUM(BX34:CH44)</f>
        <v>10491.170493099999</v>
      </c>
      <c r="BA160" s="26">
        <f>SUM(AX160:AZ160)</f>
        <v>10491.170493099999</v>
      </c>
    </row>
    <row r="161" spans="38:57" x14ac:dyDescent="0.75">
      <c r="AL161" s="14"/>
      <c r="AM161" s="15" t="s">
        <v>262</v>
      </c>
      <c r="AN161" s="15"/>
      <c r="AO161" s="15"/>
      <c r="AP161" s="15">
        <f>AP134+AP148+AP160</f>
        <v>423.83674199000001</v>
      </c>
      <c r="AQ161" s="15">
        <f t="shared" ref="AQ161:AR161" si="4">AQ134+AQ148+AQ160</f>
        <v>4379.4610892000001</v>
      </c>
      <c r="AR161" s="15">
        <f t="shared" si="4"/>
        <v>4330.3813212999994</v>
      </c>
      <c r="AS161" s="15">
        <f>SUM(AP161:AR161)</f>
        <v>9133.67915249</v>
      </c>
      <c r="AT161" s="16">
        <f>AS134+AS148+AS160</f>
        <v>9133.67915249</v>
      </c>
      <c r="AU161" s="8"/>
      <c r="AV161" s="16" t="s">
        <v>255</v>
      </c>
      <c r="AW161" s="16"/>
      <c r="AX161" s="16">
        <f>AX134+AX148+AX160</f>
        <v>2534.4318837899996</v>
      </c>
      <c r="AY161" s="16">
        <f>AY134+AY148+AY160</f>
        <v>7513.4311527600003</v>
      </c>
      <c r="AZ161" s="16">
        <f>AZ134+AZ148+AZ160</f>
        <v>10491.170493099999</v>
      </c>
      <c r="BA161" s="29">
        <f>SUM(AX161:AZ161)</f>
        <v>20539.033529649998</v>
      </c>
    </row>
    <row r="162" spans="38:57" x14ac:dyDescent="0.75">
      <c r="AL162" s="21" t="s">
        <v>245</v>
      </c>
      <c r="AM162" s="47" t="s">
        <v>246</v>
      </c>
      <c r="AN162" s="47"/>
      <c r="AO162" s="47"/>
      <c r="AP162" s="22">
        <v>3410.137154</v>
      </c>
      <c r="AQ162" s="22">
        <v>3133.9694749999999</v>
      </c>
      <c r="AR162" s="22">
        <v>6160.7835439999999</v>
      </c>
      <c r="AS162" s="22">
        <v>12704.890170000001</v>
      </c>
      <c r="AT162" s="8"/>
      <c r="AU162" s="8"/>
      <c r="AV162" s="8"/>
      <c r="AW162" s="8"/>
      <c r="AX162" s="8"/>
      <c r="AY162" s="8"/>
      <c r="AZ162" s="8"/>
      <c r="BA162" s="16">
        <f>BA134+BA148+BA160</f>
        <v>20539.033529649998</v>
      </c>
      <c r="BC162">
        <f>AP167+AX161</f>
        <v>6368.4057797799996</v>
      </c>
      <c r="BD162">
        <f>AY161+AQ167</f>
        <v>15026.86171696</v>
      </c>
      <c r="BE162">
        <f>AR167+AZ161</f>
        <v>20982.3353584</v>
      </c>
    </row>
    <row r="163" spans="38:57" x14ac:dyDescent="0.75">
      <c r="AL163" s="22" t="s">
        <v>247</v>
      </c>
      <c r="AM163" s="47"/>
      <c r="AN163" s="47"/>
      <c r="AO163" s="47"/>
      <c r="AP163" s="22"/>
      <c r="AQ163" s="22"/>
      <c r="AR163" s="22"/>
      <c r="AS163" s="22"/>
      <c r="AT163" s="8"/>
      <c r="AU163" s="8"/>
      <c r="AV163" s="8"/>
      <c r="AW163" s="8"/>
      <c r="AX163" s="8"/>
      <c r="AY163" s="8"/>
      <c r="AZ163" s="8"/>
      <c r="BA163" s="8"/>
    </row>
    <row r="164" spans="38:57" x14ac:dyDescent="0.75">
      <c r="AL164" s="22" t="s">
        <v>248</v>
      </c>
      <c r="AM164" s="47"/>
      <c r="AN164" s="47"/>
      <c r="AO164" s="47"/>
      <c r="AP164" s="22"/>
      <c r="AQ164" s="22"/>
      <c r="AR164" s="22"/>
      <c r="AS164" s="22"/>
      <c r="AT164" s="8"/>
      <c r="AU164" s="8"/>
      <c r="AV164" s="8"/>
      <c r="AW164" s="8"/>
      <c r="AX164" s="8"/>
      <c r="AY164" s="8"/>
      <c r="AZ164" s="8"/>
      <c r="BA164" s="8"/>
    </row>
    <row r="165" spans="38:57" x14ac:dyDescent="0.75">
      <c r="AL165" s="22"/>
      <c r="AM165" s="23" t="s">
        <v>249</v>
      </c>
      <c r="AN165" s="23"/>
      <c r="AO165" s="23"/>
      <c r="AP165" s="23"/>
      <c r="AQ165" s="23"/>
      <c r="AR165" s="23"/>
      <c r="AS165" s="23">
        <f>AS162</f>
        <v>12704.890170000001</v>
      </c>
      <c r="AT165" s="8"/>
      <c r="AU165" s="8"/>
      <c r="AV165" s="8"/>
      <c r="AW165" s="8"/>
      <c r="AX165" s="8"/>
      <c r="AY165" s="8"/>
      <c r="AZ165" s="8"/>
      <c r="BA165" s="8"/>
    </row>
    <row r="166" spans="38:57" x14ac:dyDescent="0.75">
      <c r="AM166" s="5"/>
      <c r="AN166" s="5"/>
      <c r="AO166" s="5"/>
      <c r="AP166" s="5"/>
      <c r="AQ166" s="5"/>
      <c r="AR166" s="5"/>
      <c r="AS166" s="5"/>
      <c r="AU166" s="8"/>
      <c r="AV166" s="8"/>
      <c r="AW166" s="8"/>
      <c r="AX166" s="8"/>
      <c r="AY166" s="8"/>
    </row>
    <row r="167" spans="38:57" x14ac:dyDescent="0.75">
      <c r="AM167" s="16" t="s">
        <v>263</v>
      </c>
      <c r="AN167" s="16"/>
      <c r="AO167" s="16"/>
      <c r="AP167" s="16">
        <f>AP161+AP162</f>
        <v>3833.9738959900001</v>
      </c>
      <c r="AQ167" s="16">
        <f t="shared" ref="AQ167:AR167" si="5">AQ161+AQ162</f>
        <v>7513.4305641999999</v>
      </c>
      <c r="AR167" s="16">
        <f t="shared" si="5"/>
        <v>10491.164865299999</v>
      </c>
      <c r="AS167" s="16">
        <f>SUM(AP167:AR167)</f>
        <v>21838.56932549</v>
      </c>
      <c r="AT167" s="16">
        <f>AS161+AS162</f>
        <v>21838.569322490002</v>
      </c>
      <c r="AU167" s="8"/>
      <c r="AV167" s="8"/>
      <c r="AW167" s="8"/>
    </row>
  </sheetData>
  <mergeCells count="11">
    <mergeCell ref="B75:B85"/>
    <mergeCell ref="B4:B20"/>
    <mergeCell ref="B21:B33"/>
    <mergeCell ref="B34:B44"/>
    <mergeCell ref="B45:B61"/>
    <mergeCell ref="B62:B74"/>
    <mergeCell ref="B87:B91"/>
    <mergeCell ref="B93:B102"/>
    <mergeCell ref="B104:B107"/>
    <mergeCell ref="AM162:AO164"/>
    <mergeCell ref="BG116:BJ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A5CC-0352-4836-AD93-6624D86D798F}">
  <dimension ref="B2:V107"/>
  <sheetViews>
    <sheetView topLeftCell="K82" workbookViewId="0">
      <selection activeCell="N73" sqref="N73"/>
    </sheetView>
  </sheetViews>
  <sheetFormatPr defaultRowHeight="14.75" x14ac:dyDescent="0.75"/>
  <cols>
    <col min="1" max="1" width="7.2265625" customWidth="1"/>
    <col min="2" max="2" width="33.1328125" customWidth="1"/>
    <col min="4" max="4" width="11.7265625" customWidth="1"/>
    <col min="7" max="7" width="10.90625" style="6" customWidth="1"/>
    <col min="8" max="8" width="28.36328125" customWidth="1"/>
    <col min="9" max="9" width="10.2265625" customWidth="1"/>
    <col min="10" max="10" width="25.2265625" customWidth="1"/>
    <col min="14" max="15" width="33.26953125" customWidth="1"/>
  </cols>
  <sheetData>
    <row r="2" spans="2:19" x14ac:dyDescent="0.75">
      <c r="N2" s="9" t="s">
        <v>265</v>
      </c>
      <c r="P2" s="49" t="s">
        <v>452</v>
      </c>
      <c r="Q2" s="49"/>
      <c r="R2" s="49"/>
      <c r="S2" s="49"/>
    </row>
    <row r="3" spans="2:19" x14ac:dyDescent="0.75">
      <c r="B3" s="49" t="s">
        <v>265</v>
      </c>
      <c r="C3" s="49"/>
      <c r="D3" s="49"/>
      <c r="E3" s="49"/>
      <c r="H3" s="49" t="s">
        <v>264</v>
      </c>
      <c r="I3" s="49"/>
      <c r="J3" s="49"/>
      <c r="P3" s="43" t="s">
        <v>278</v>
      </c>
      <c r="Q3" s="44"/>
      <c r="R3" s="44"/>
    </row>
    <row r="4" spans="2:19" x14ac:dyDescent="0.75">
      <c r="P4" s="44" t="str">
        <f>"a"&amp;MID(Q4,2,4)</f>
        <v>asorg</v>
      </c>
      <c r="Q4" s="44" t="s">
        <v>279</v>
      </c>
      <c r="R4" s="44" t="s">
        <v>280</v>
      </c>
    </row>
    <row r="5" spans="2:19" x14ac:dyDescent="0.75">
      <c r="G5" s="10" t="s">
        <v>113</v>
      </c>
      <c r="H5" s="11" t="s">
        <v>114</v>
      </c>
      <c r="I5" s="11" t="s">
        <v>5</v>
      </c>
      <c r="J5" s="11" t="s">
        <v>158</v>
      </c>
      <c r="K5" s="11" t="s">
        <v>46</v>
      </c>
      <c r="L5" s="11"/>
      <c r="P5" s="44" t="str">
        <f t="shared" ref="P5:P68" si="0">"a"&amp;MID(Q5,2,4)</f>
        <v>amaiz</v>
      </c>
      <c r="Q5" s="44" t="s">
        <v>46</v>
      </c>
      <c r="R5" s="44" t="s">
        <v>281</v>
      </c>
    </row>
    <row r="6" spans="2:19" x14ac:dyDescent="0.75">
      <c r="G6" s="10"/>
      <c r="H6" s="11" t="s">
        <v>115</v>
      </c>
      <c r="I6" s="11" t="s">
        <v>6</v>
      </c>
      <c r="J6" s="11" t="s">
        <v>159</v>
      </c>
      <c r="K6" s="11" t="s">
        <v>47</v>
      </c>
      <c r="L6" s="11"/>
      <c r="P6" s="44" t="str">
        <f t="shared" si="0"/>
        <v>awhea</v>
      </c>
      <c r="Q6" s="44" t="s">
        <v>282</v>
      </c>
      <c r="R6" s="44" t="s">
        <v>283</v>
      </c>
    </row>
    <row r="7" spans="2:19" x14ac:dyDescent="0.75">
      <c r="G7" s="10"/>
      <c r="H7" s="11" t="s">
        <v>116</v>
      </c>
      <c r="I7" s="11" t="s">
        <v>7</v>
      </c>
      <c r="J7" s="11" t="s">
        <v>160</v>
      </c>
      <c r="K7" s="11" t="s">
        <v>48</v>
      </c>
      <c r="L7" s="11"/>
      <c r="P7" s="44" t="str">
        <f t="shared" si="0"/>
        <v>arice</v>
      </c>
      <c r="Q7" s="44" t="s">
        <v>47</v>
      </c>
      <c r="R7" s="44" t="s">
        <v>284</v>
      </c>
    </row>
    <row r="8" spans="2:19" x14ac:dyDescent="0.75">
      <c r="G8" s="10"/>
      <c r="H8" s="11" t="s">
        <v>117</v>
      </c>
      <c r="I8" s="11" t="s">
        <v>8</v>
      </c>
      <c r="J8" s="11" t="s">
        <v>161</v>
      </c>
      <c r="K8" s="11" t="s">
        <v>49</v>
      </c>
      <c r="L8" s="11"/>
      <c r="P8" s="44" t="str">
        <f t="shared" si="0"/>
        <v>aocer</v>
      </c>
      <c r="Q8" s="44" t="s">
        <v>48</v>
      </c>
      <c r="R8" s="44" t="s">
        <v>285</v>
      </c>
    </row>
    <row r="9" spans="2:19" x14ac:dyDescent="0.75">
      <c r="G9" s="10"/>
      <c r="H9" s="11" t="s">
        <v>118</v>
      </c>
      <c r="I9" s="11" t="s">
        <v>9</v>
      </c>
      <c r="J9" s="11" t="s">
        <v>162</v>
      </c>
      <c r="K9" s="11" t="s">
        <v>50</v>
      </c>
      <c r="L9" s="11"/>
      <c r="P9" s="44" t="str">
        <f t="shared" si="0"/>
        <v>aipot</v>
      </c>
      <c r="Q9" s="44" t="s">
        <v>286</v>
      </c>
      <c r="R9" s="44" t="s">
        <v>287</v>
      </c>
    </row>
    <row r="10" spans="2:19" x14ac:dyDescent="0.75">
      <c r="G10" s="10"/>
      <c r="H10" s="11" t="s">
        <v>119</v>
      </c>
      <c r="I10" s="11" t="s">
        <v>10</v>
      </c>
      <c r="J10" s="11" t="s">
        <v>163</v>
      </c>
      <c r="K10" s="11" t="s">
        <v>51</v>
      </c>
      <c r="L10" s="11"/>
      <c r="P10" s="44" t="str">
        <f t="shared" si="0"/>
        <v>aspot</v>
      </c>
      <c r="Q10" s="44" t="s">
        <v>288</v>
      </c>
      <c r="R10" s="44" t="s">
        <v>289</v>
      </c>
    </row>
    <row r="11" spans="2:19" x14ac:dyDescent="0.75">
      <c r="G11" s="10"/>
      <c r="H11" s="11" t="s">
        <v>120</v>
      </c>
      <c r="I11" s="11" t="s">
        <v>11</v>
      </c>
      <c r="J11" s="11" t="s">
        <v>164</v>
      </c>
      <c r="K11" s="11" t="s">
        <v>52</v>
      </c>
      <c r="L11" s="11"/>
      <c r="P11" s="44" t="str">
        <f t="shared" si="0"/>
        <v>acass</v>
      </c>
      <c r="Q11" s="44" t="s">
        <v>290</v>
      </c>
      <c r="R11" s="44" t="s">
        <v>291</v>
      </c>
    </row>
    <row r="12" spans="2:19" x14ac:dyDescent="0.75">
      <c r="G12" s="10"/>
      <c r="H12" s="11" t="s">
        <v>121</v>
      </c>
      <c r="I12" s="11" t="s">
        <v>12</v>
      </c>
      <c r="J12" s="11" t="s">
        <v>165</v>
      </c>
      <c r="K12" s="11" t="s">
        <v>53</v>
      </c>
      <c r="L12" s="11"/>
      <c r="P12" s="44" t="str">
        <f t="shared" si="0"/>
        <v>aroot</v>
      </c>
      <c r="Q12" s="44" t="s">
        <v>51</v>
      </c>
      <c r="R12" s="44" t="s">
        <v>292</v>
      </c>
    </row>
    <row r="13" spans="2:19" x14ac:dyDescent="0.75">
      <c r="G13" s="10"/>
      <c r="H13" s="11" t="s">
        <v>122</v>
      </c>
      <c r="I13" s="11" t="s">
        <v>13</v>
      </c>
      <c r="J13" s="11" t="s">
        <v>166</v>
      </c>
      <c r="K13" s="11" t="s">
        <v>54</v>
      </c>
      <c r="L13" s="11"/>
      <c r="P13" s="44" t="str">
        <f t="shared" si="0"/>
        <v>abean</v>
      </c>
      <c r="Q13" s="44" t="s">
        <v>293</v>
      </c>
      <c r="R13" s="44" t="s">
        <v>294</v>
      </c>
    </row>
    <row r="14" spans="2:19" x14ac:dyDescent="0.75">
      <c r="G14" s="10"/>
      <c r="H14" s="11" t="s">
        <v>124</v>
      </c>
      <c r="I14" s="11" t="s">
        <v>14</v>
      </c>
      <c r="J14" s="11" t="s">
        <v>167</v>
      </c>
      <c r="K14" s="11" t="s">
        <v>55</v>
      </c>
      <c r="L14" s="11"/>
      <c r="P14" s="44" t="str">
        <f t="shared" si="0"/>
        <v>apeas</v>
      </c>
      <c r="Q14" s="44" t="s">
        <v>295</v>
      </c>
      <c r="R14" s="44" t="s">
        <v>296</v>
      </c>
    </row>
    <row r="15" spans="2:19" x14ac:dyDescent="0.75">
      <c r="G15" s="10"/>
      <c r="H15" s="11" t="s">
        <v>125</v>
      </c>
      <c r="I15" s="11" t="s">
        <v>15</v>
      </c>
      <c r="J15" s="11" t="s">
        <v>168</v>
      </c>
      <c r="K15" s="11" t="s">
        <v>56</v>
      </c>
      <c r="L15" s="11"/>
      <c r="P15" s="44" t="str">
        <f t="shared" si="0"/>
        <v>avege</v>
      </c>
      <c r="Q15" s="44" t="s">
        <v>52</v>
      </c>
      <c r="R15" s="44" t="s">
        <v>297</v>
      </c>
    </row>
    <row r="16" spans="2:19" x14ac:dyDescent="0.75">
      <c r="G16" s="10"/>
      <c r="H16" s="11" t="s">
        <v>126</v>
      </c>
      <c r="I16" s="11" t="s">
        <v>16</v>
      </c>
      <c r="J16" s="11" t="s">
        <v>169</v>
      </c>
      <c r="K16" s="11" t="s">
        <v>57</v>
      </c>
      <c r="L16" s="11"/>
      <c r="P16" s="44" t="str">
        <f t="shared" si="0"/>
        <v>abanb</v>
      </c>
      <c r="Q16" s="44" t="s">
        <v>298</v>
      </c>
      <c r="R16" s="44" t="s">
        <v>299</v>
      </c>
    </row>
    <row r="17" spans="2:18" x14ac:dyDescent="0.75">
      <c r="G17" s="10"/>
      <c r="H17" s="11" t="s">
        <v>127</v>
      </c>
      <c r="I17" s="11" t="s">
        <v>17</v>
      </c>
      <c r="J17" s="11" t="s">
        <v>170</v>
      </c>
      <c r="K17" s="11" t="s">
        <v>58</v>
      </c>
      <c r="L17" s="11"/>
      <c r="P17" s="44" t="str">
        <f t="shared" si="0"/>
        <v>abanc</v>
      </c>
      <c r="Q17" s="44" t="s">
        <v>300</v>
      </c>
      <c r="R17" s="44" t="s">
        <v>301</v>
      </c>
    </row>
    <row r="18" spans="2:18" x14ac:dyDescent="0.75">
      <c r="G18" s="10"/>
      <c r="H18" s="11" t="s">
        <v>128</v>
      </c>
      <c r="I18" s="11" t="s">
        <v>18</v>
      </c>
      <c r="J18" s="11" t="s">
        <v>171</v>
      </c>
      <c r="K18" s="11" t="s">
        <v>59</v>
      </c>
      <c r="L18" s="11"/>
      <c r="P18" s="44" t="str">
        <f t="shared" si="0"/>
        <v>abans</v>
      </c>
      <c r="Q18" s="44" t="s">
        <v>302</v>
      </c>
      <c r="R18" s="44" t="s">
        <v>303</v>
      </c>
    </row>
    <row r="19" spans="2:18" x14ac:dyDescent="0.75">
      <c r="G19" s="10"/>
      <c r="H19" s="11" t="s">
        <v>129</v>
      </c>
      <c r="I19" s="11" t="s">
        <v>19</v>
      </c>
      <c r="J19" s="11" t="s">
        <v>172</v>
      </c>
      <c r="K19" s="11" t="s">
        <v>60</v>
      </c>
      <c r="L19" s="11"/>
      <c r="P19" s="44" t="str">
        <f t="shared" si="0"/>
        <v>afrui</v>
      </c>
      <c r="Q19" s="44" t="s">
        <v>55</v>
      </c>
      <c r="R19" s="44" t="s">
        <v>304</v>
      </c>
    </row>
    <row r="20" spans="2:18" x14ac:dyDescent="0.75">
      <c r="G20" s="10"/>
      <c r="H20" s="11" t="s">
        <v>130</v>
      </c>
      <c r="I20" s="11" t="s">
        <v>20</v>
      </c>
      <c r="J20" s="11" t="s">
        <v>173</v>
      </c>
      <c r="K20" s="11" t="s">
        <v>61</v>
      </c>
      <c r="L20" s="11"/>
      <c r="P20" s="44" t="str">
        <f t="shared" si="0"/>
        <v>agnut</v>
      </c>
      <c r="Q20" s="44" t="s">
        <v>305</v>
      </c>
      <c r="R20" s="44" t="s">
        <v>306</v>
      </c>
    </row>
    <row r="21" spans="2:18" x14ac:dyDescent="0.75">
      <c r="G21" s="10"/>
      <c r="H21" s="11" t="s">
        <v>131</v>
      </c>
      <c r="I21" s="11" t="s">
        <v>21</v>
      </c>
      <c r="J21" s="11" t="s">
        <v>174</v>
      </c>
      <c r="K21" s="11" t="s">
        <v>62</v>
      </c>
      <c r="L21" s="11"/>
      <c r="P21" s="44" t="str">
        <f t="shared" si="0"/>
        <v>asoya</v>
      </c>
      <c r="Q21" s="44" t="s">
        <v>307</v>
      </c>
      <c r="R21" s="44" t="s">
        <v>308</v>
      </c>
    </row>
    <row r="22" spans="2:18" x14ac:dyDescent="0.75">
      <c r="G22" s="13" t="s">
        <v>132</v>
      </c>
      <c r="H22" s="12" t="s">
        <v>133</v>
      </c>
      <c r="I22" s="12" t="s">
        <v>22</v>
      </c>
      <c r="J22" s="12" t="s">
        <v>175</v>
      </c>
      <c r="K22" s="12" t="s">
        <v>63</v>
      </c>
      <c r="L22" s="12"/>
      <c r="P22" s="44" t="str">
        <f t="shared" si="0"/>
        <v>aoils</v>
      </c>
      <c r="Q22" s="44" t="s">
        <v>50</v>
      </c>
      <c r="R22" s="44" t="s">
        <v>309</v>
      </c>
    </row>
    <row r="23" spans="2:18" x14ac:dyDescent="0.75">
      <c r="G23" s="13"/>
      <c r="H23" s="12" t="s">
        <v>134</v>
      </c>
      <c r="I23" s="12" t="s">
        <v>23</v>
      </c>
      <c r="J23" s="12" t="s">
        <v>176</v>
      </c>
      <c r="K23" s="12" t="s">
        <v>64</v>
      </c>
      <c r="L23" s="12"/>
      <c r="P23" s="44" t="str">
        <f t="shared" si="0"/>
        <v>acoff</v>
      </c>
      <c r="Q23" s="44" t="s">
        <v>56</v>
      </c>
      <c r="R23" s="44" t="s">
        <v>310</v>
      </c>
    </row>
    <row r="24" spans="2:18" x14ac:dyDescent="0.75">
      <c r="G24" s="13"/>
      <c r="H24" s="12" t="s">
        <v>135</v>
      </c>
      <c r="I24" s="12" t="s">
        <v>24</v>
      </c>
      <c r="J24" s="12" t="s">
        <v>177</v>
      </c>
      <c r="K24" s="12" t="s">
        <v>65</v>
      </c>
      <c r="L24" s="12"/>
      <c r="P24" s="44" t="str">
        <f t="shared" si="0"/>
        <v>ateal</v>
      </c>
      <c r="Q24" s="44" t="s">
        <v>311</v>
      </c>
      <c r="R24" s="44" t="s">
        <v>312</v>
      </c>
    </row>
    <row r="25" spans="2:18" x14ac:dyDescent="0.75">
      <c r="G25" s="13"/>
      <c r="H25" s="12" t="s">
        <v>136</v>
      </c>
      <c r="I25" s="12" t="s">
        <v>25</v>
      </c>
      <c r="J25" s="12" t="s">
        <v>178</v>
      </c>
      <c r="K25" s="12" t="s">
        <v>66</v>
      </c>
      <c r="L25" s="12"/>
      <c r="P25" s="44" t="str">
        <f t="shared" si="0"/>
        <v>atoba</v>
      </c>
      <c r="Q25" s="44" t="s">
        <v>54</v>
      </c>
      <c r="R25" s="44" t="s">
        <v>313</v>
      </c>
    </row>
    <row r="26" spans="2:18" x14ac:dyDescent="0.75">
      <c r="G26" s="13"/>
      <c r="H26" s="12" t="s">
        <v>137</v>
      </c>
      <c r="I26" s="12" t="s">
        <v>26</v>
      </c>
      <c r="J26" s="12" t="s">
        <v>179</v>
      </c>
      <c r="K26" s="12" t="s">
        <v>67</v>
      </c>
      <c r="L26" s="12"/>
      <c r="P26" s="44" t="str">
        <f t="shared" si="0"/>
        <v>asugr</v>
      </c>
      <c r="Q26" s="44" t="s">
        <v>53</v>
      </c>
      <c r="R26" s="44" t="s">
        <v>314</v>
      </c>
    </row>
    <row r="27" spans="2:18" x14ac:dyDescent="0.75">
      <c r="G27" s="13"/>
      <c r="H27" s="12" t="s">
        <v>138</v>
      </c>
      <c r="I27" s="12" t="s">
        <v>27</v>
      </c>
      <c r="J27" s="12" t="s">
        <v>180</v>
      </c>
      <c r="K27" s="12" t="s">
        <v>68</v>
      </c>
      <c r="L27" s="12"/>
      <c r="P27" s="44" t="str">
        <f t="shared" si="0"/>
        <v>apyre</v>
      </c>
      <c r="Q27" s="44" t="s">
        <v>315</v>
      </c>
      <c r="R27" s="44" t="s">
        <v>316</v>
      </c>
    </row>
    <row r="28" spans="2:18" x14ac:dyDescent="0.75">
      <c r="G28" s="13"/>
      <c r="H28" s="12" t="s">
        <v>139</v>
      </c>
      <c r="I28" s="12" t="s">
        <v>28</v>
      </c>
      <c r="J28" s="12" t="s">
        <v>181</v>
      </c>
      <c r="K28" s="12" t="s">
        <v>69</v>
      </c>
      <c r="L28" s="12"/>
      <c r="P28" s="44" t="str">
        <f t="shared" si="0"/>
        <v>aocrp</v>
      </c>
      <c r="Q28" s="44" t="s">
        <v>57</v>
      </c>
      <c r="R28" s="44" t="s">
        <v>317</v>
      </c>
    </row>
    <row r="29" spans="2:18" x14ac:dyDescent="0.75">
      <c r="G29" s="13"/>
      <c r="H29" s="12" t="s">
        <v>140</v>
      </c>
      <c r="I29" s="12" t="s">
        <v>29</v>
      </c>
      <c r="J29" s="12" t="s">
        <v>182</v>
      </c>
      <c r="K29" s="12" t="s">
        <v>70</v>
      </c>
      <c r="L29" s="12"/>
      <c r="P29" s="44" t="str">
        <f t="shared" si="0"/>
        <v>acatt</v>
      </c>
      <c r="Q29" s="44" t="s">
        <v>58</v>
      </c>
      <c r="R29" s="44" t="s">
        <v>318</v>
      </c>
    </row>
    <row r="30" spans="2:18" x14ac:dyDescent="0.75">
      <c r="G30" s="13"/>
      <c r="H30" s="12" t="s">
        <v>141</v>
      </c>
      <c r="I30" s="12" t="s">
        <v>30</v>
      </c>
      <c r="J30" s="12" t="s">
        <v>183</v>
      </c>
      <c r="K30" s="12" t="s">
        <v>71</v>
      </c>
      <c r="L30" s="12"/>
      <c r="P30" s="44" t="str">
        <f t="shared" si="0"/>
        <v>asmlr</v>
      </c>
      <c r="Q30" s="44" t="s">
        <v>319</v>
      </c>
      <c r="R30" s="44" t="s">
        <v>320</v>
      </c>
    </row>
    <row r="31" spans="2:18" x14ac:dyDescent="0.75">
      <c r="B31" s="9" t="s">
        <v>267</v>
      </c>
      <c r="G31" s="13"/>
      <c r="H31" s="12" t="s">
        <v>142</v>
      </c>
      <c r="I31" s="12" t="s">
        <v>31</v>
      </c>
      <c r="J31" s="12" t="s">
        <v>184</v>
      </c>
      <c r="K31" s="12" t="s">
        <v>72</v>
      </c>
      <c r="L31" s="12"/>
      <c r="O31" s="9"/>
      <c r="P31" s="44" t="str">
        <f t="shared" si="0"/>
        <v>apoul</v>
      </c>
      <c r="Q31" s="44" t="s">
        <v>59</v>
      </c>
      <c r="R31" s="44" t="s">
        <v>321</v>
      </c>
    </row>
    <row r="32" spans="2:18" x14ac:dyDescent="0.75">
      <c r="B32" s="9" t="s">
        <v>268</v>
      </c>
      <c r="G32" s="13"/>
      <c r="H32" s="12" t="s">
        <v>143</v>
      </c>
      <c r="I32" s="12" t="s">
        <v>32</v>
      </c>
      <c r="J32" s="12" t="s">
        <v>185</v>
      </c>
      <c r="K32" s="12" t="s">
        <v>73</v>
      </c>
      <c r="L32" s="12"/>
      <c r="O32" s="9"/>
      <c r="P32" s="44" t="str">
        <f t="shared" si="0"/>
        <v>aoliv</v>
      </c>
      <c r="Q32" s="44" t="s">
        <v>60</v>
      </c>
      <c r="R32" s="44" t="s">
        <v>322</v>
      </c>
    </row>
    <row r="33" spans="2:18" x14ac:dyDescent="0.75">
      <c r="B33" s="9" t="s">
        <v>270</v>
      </c>
      <c r="G33" s="13"/>
      <c r="H33" s="12" t="s">
        <v>144</v>
      </c>
      <c r="I33" s="12" t="s">
        <v>33</v>
      </c>
      <c r="J33" s="12" t="s">
        <v>186</v>
      </c>
      <c r="K33" s="12" t="s">
        <v>74</v>
      </c>
      <c r="L33" s="12"/>
      <c r="O33" s="9"/>
      <c r="P33" s="44" t="str">
        <f t="shared" si="0"/>
        <v>amilk</v>
      </c>
      <c r="Q33" s="44" t="s">
        <v>323</v>
      </c>
      <c r="R33" s="44" t="s">
        <v>324</v>
      </c>
    </row>
    <row r="34" spans="2:18" x14ac:dyDescent="0.75">
      <c r="B34" s="8"/>
      <c r="G34" s="13"/>
      <c r="H34" s="12" t="s">
        <v>145</v>
      </c>
      <c r="I34" s="12" t="s">
        <v>34</v>
      </c>
      <c r="J34" s="12" t="s">
        <v>187</v>
      </c>
      <c r="K34" s="12" t="s">
        <v>75</v>
      </c>
      <c r="L34" s="12"/>
      <c r="O34" s="8"/>
      <c r="P34" s="44" t="str">
        <f t="shared" si="0"/>
        <v>aeggs</v>
      </c>
      <c r="Q34" s="44" t="s">
        <v>325</v>
      </c>
      <c r="R34" s="44" t="s">
        <v>326</v>
      </c>
    </row>
    <row r="35" spans="2:18" x14ac:dyDescent="0.75">
      <c r="B35" s="8" t="s">
        <v>269</v>
      </c>
      <c r="G35" s="24" t="s">
        <v>146</v>
      </c>
      <c r="H35" s="40" t="s">
        <v>147</v>
      </c>
      <c r="I35" s="40" t="s">
        <v>35</v>
      </c>
      <c r="J35" s="40" t="s">
        <v>188</v>
      </c>
      <c r="K35" s="40" t="s">
        <v>76</v>
      </c>
      <c r="L35" s="40"/>
      <c r="O35" s="8"/>
      <c r="P35" s="44" t="str">
        <f t="shared" si="0"/>
        <v>ahony</v>
      </c>
      <c r="Q35" s="44" t="s">
        <v>327</v>
      </c>
      <c r="R35" s="44" t="s">
        <v>328</v>
      </c>
    </row>
    <row r="36" spans="2:18" x14ac:dyDescent="0.75">
      <c r="B36" s="8" t="s">
        <v>271</v>
      </c>
      <c r="G36" s="24"/>
      <c r="H36" s="40" t="s">
        <v>148</v>
      </c>
      <c r="I36" s="40" t="s">
        <v>36</v>
      </c>
      <c r="J36" s="40" t="s">
        <v>189</v>
      </c>
      <c r="K36" s="40" t="s">
        <v>77</v>
      </c>
      <c r="L36" s="40"/>
      <c r="O36" s="8"/>
      <c r="P36" s="44" t="str">
        <f t="shared" si="0"/>
        <v>ahunt</v>
      </c>
      <c r="Q36" s="44" t="s">
        <v>329</v>
      </c>
      <c r="R36" s="44" t="s">
        <v>330</v>
      </c>
    </row>
    <row r="37" spans="2:18" x14ac:dyDescent="0.75">
      <c r="B37" s="8" t="s">
        <v>272</v>
      </c>
      <c r="G37" s="24"/>
      <c r="H37" s="40" t="s">
        <v>149</v>
      </c>
      <c r="I37" s="40" t="s">
        <v>37</v>
      </c>
      <c r="J37" s="40" t="s">
        <v>190</v>
      </c>
      <c r="K37" s="40" t="s">
        <v>78</v>
      </c>
      <c r="L37" s="40"/>
      <c r="O37" s="8"/>
      <c r="P37" s="44" t="str">
        <f t="shared" si="0"/>
        <v>afuel</v>
      </c>
      <c r="Q37" s="44" t="s">
        <v>331</v>
      </c>
      <c r="R37" s="44" t="s">
        <v>332</v>
      </c>
    </row>
    <row r="38" spans="2:18" x14ac:dyDescent="0.75">
      <c r="B38" s="8" t="s">
        <v>273</v>
      </c>
      <c r="G38" s="24"/>
      <c r="H38" s="25" t="s">
        <v>150</v>
      </c>
      <c r="I38" s="25" t="s">
        <v>38</v>
      </c>
      <c r="J38" s="25" t="s">
        <v>191</v>
      </c>
      <c r="K38" s="25" t="s">
        <v>79</v>
      </c>
      <c r="L38" s="25"/>
      <c r="O38" s="8"/>
      <c r="P38" s="44" t="str">
        <f t="shared" si="0"/>
        <v>achar</v>
      </c>
      <c r="Q38" s="44" t="s">
        <v>333</v>
      </c>
      <c r="R38" s="44" t="s">
        <v>334</v>
      </c>
    </row>
    <row r="39" spans="2:18" x14ac:dyDescent="0.75">
      <c r="B39" s="8" t="s">
        <v>266</v>
      </c>
      <c r="G39" s="24"/>
      <c r="H39" s="25" t="s">
        <v>151</v>
      </c>
      <c r="I39" s="25" t="s">
        <v>39</v>
      </c>
      <c r="J39" s="25" t="s">
        <v>192</v>
      </c>
      <c r="K39" s="25" t="s">
        <v>80</v>
      </c>
      <c r="L39" s="25"/>
      <c r="O39" s="8"/>
      <c r="P39" s="44" t="str">
        <f t="shared" si="0"/>
        <v>afore</v>
      </c>
      <c r="Q39" s="44" t="s">
        <v>61</v>
      </c>
      <c r="R39" s="44" t="s">
        <v>335</v>
      </c>
    </row>
    <row r="40" spans="2:18" x14ac:dyDescent="0.75">
      <c r="B40" s="8"/>
      <c r="G40" s="24"/>
      <c r="H40" s="25" t="s">
        <v>152</v>
      </c>
      <c r="I40" s="25" t="s">
        <v>40</v>
      </c>
      <c r="J40" s="25" t="s">
        <v>193</v>
      </c>
      <c r="K40" s="25" t="s">
        <v>81</v>
      </c>
      <c r="L40" s="25"/>
      <c r="O40" s="8"/>
      <c r="P40" s="44" t="str">
        <f t="shared" si="0"/>
        <v>afish</v>
      </c>
      <c r="Q40" s="44" t="s">
        <v>62</v>
      </c>
      <c r="R40" s="44" t="s">
        <v>336</v>
      </c>
    </row>
    <row r="41" spans="2:18" x14ac:dyDescent="0.75">
      <c r="B41" s="9" t="s">
        <v>274</v>
      </c>
      <c r="G41" s="24"/>
      <c r="H41" s="25" t="s">
        <v>153</v>
      </c>
      <c r="I41" s="25" t="s">
        <v>41</v>
      </c>
      <c r="J41" s="25" t="s">
        <v>194</v>
      </c>
      <c r="K41" s="25" t="s">
        <v>82</v>
      </c>
      <c r="L41" s="25"/>
      <c r="O41" s="9"/>
      <c r="P41" s="44" t="str">
        <f t="shared" si="0"/>
        <v>angas</v>
      </c>
      <c r="Q41" s="44" t="s">
        <v>337</v>
      </c>
      <c r="R41" s="44" t="s">
        <v>338</v>
      </c>
    </row>
    <row r="42" spans="2:18" x14ac:dyDescent="0.75">
      <c r="B42" s="8" t="s">
        <v>275</v>
      </c>
      <c r="G42" s="24"/>
      <c r="H42" s="25" t="s">
        <v>154</v>
      </c>
      <c r="I42" s="25" t="s">
        <v>42</v>
      </c>
      <c r="J42" s="25" t="s">
        <v>195</v>
      </c>
      <c r="K42" s="25" t="s">
        <v>83</v>
      </c>
      <c r="L42" s="25"/>
      <c r="O42" s="8"/>
      <c r="P42" s="44" t="str">
        <f t="shared" si="0"/>
        <v>amore</v>
      </c>
      <c r="Q42" s="44" t="s">
        <v>339</v>
      </c>
      <c r="R42" s="44" t="s">
        <v>340</v>
      </c>
    </row>
    <row r="43" spans="2:18" x14ac:dyDescent="0.75">
      <c r="B43" s="8" t="s">
        <v>276</v>
      </c>
      <c r="G43" s="24"/>
      <c r="H43" s="25" t="s">
        <v>155</v>
      </c>
      <c r="I43" s="25" t="s">
        <v>43</v>
      </c>
      <c r="J43" s="25" t="s">
        <v>196</v>
      </c>
      <c r="K43" s="25" t="s">
        <v>84</v>
      </c>
      <c r="L43" s="25"/>
      <c r="O43" s="8"/>
      <c r="P43" s="44" t="str">
        <f t="shared" si="0"/>
        <v>aomin</v>
      </c>
      <c r="Q43" s="44" t="s">
        <v>341</v>
      </c>
      <c r="R43" s="44" t="s">
        <v>342</v>
      </c>
    </row>
    <row r="44" spans="2:18" x14ac:dyDescent="0.75">
      <c r="B44" s="8" t="s">
        <v>277</v>
      </c>
      <c r="G44" s="24"/>
      <c r="H44" s="25" t="s">
        <v>156</v>
      </c>
      <c r="I44" s="25" t="s">
        <v>44</v>
      </c>
      <c r="J44" s="25" t="s">
        <v>197</v>
      </c>
      <c r="K44" s="25" t="s">
        <v>85</v>
      </c>
      <c r="L44" s="25"/>
      <c r="O44" s="8"/>
      <c r="P44" s="44" t="str">
        <f t="shared" si="0"/>
        <v>ameat</v>
      </c>
      <c r="Q44" s="44" t="s">
        <v>343</v>
      </c>
      <c r="R44" s="44" t="s">
        <v>344</v>
      </c>
    </row>
    <row r="45" spans="2:18" x14ac:dyDescent="0.75">
      <c r="G45" s="24"/>
      <c r="H45" s="40" t="s">
        <v>157</v>
      </c>
      <c r="I45" s="40" t="s">
        <v>45</v>
      </c>
      <c r="J45" s="40" t="s">
        <v>198</v>
      </c>
      <c r="K45" s="40" t="s">
        <v>86</v>
      </c>
      <c r="L45" s="40"/>
      <c r="P45" s="44" t="str">
        <f t="shared" si="0"/>
        <v>afsea</v>
      </c>
      <c r="Q45" s="44" t="s">
        <v>345</v>
      </c>
      <c r="R45" s="44" t="s">
        <v>346</v>
      </c>
    </row>
    <row r="46" spans="2:18" x14ac:dyDescent="0.75">
      <c r="P46" s="44" t="str">
        <f t="shared" si="0"/>
        <v>afveg</v>
      </c>
      <c r="Q46" s="44" t="s">
        <v>347</v>
      </c>
      <c r="R46" s="44" t="s">
        <v>348</v>
      </c>
    </row>
    <row r="47" spans="2:18" x14ac:dyDescent="0.75">
      <c r="P47" s="44" t="str">
        <f t="shared" si="0"/>
        <v>afoil</v>
      </c>
      <c r="Q47" s="44" t="s">
        <v>349</v>
      </c>
      <c r="R47" s="44" t="s">
        <v>350</v>
      </c>
    </row>
    <row r="48" spans="2:18" x14ac:dyDescent="0.75">
      <c r="P48" s="44" t="str">
        <f t="shared" si="0"/>
        <v>adair</v>
      </c>
      <c r="Q48" s="44" t="s">
        <v>351</v>
      </c>
      <c r="R48" s="44" t="s">
        <v>352</v>
      </c>
    </row>
    <row r="49" spans="16:18" x14ac:dyDescent="0.75">
      <c r="P49" s="44" t="str">
        <f t="shared" si="0"/>
        <v>agmll</v>
      </c>
      <c r="Q49" s="44" t="s">
        <v>353</v>
      </c>
      <c r="R49" s="44" t="s">
        <v>354</v>
      </c>
    </row>
    <row r="50" spans="16:18" x14ac:dyDescent="0.75">
      <c r="P50" s="44" t="str">
        <f t="shared" si="0"/>
        <v>abake</v>
      </c>
      <c r="Q50" s="44" t="s">
        <v>355</v>
      </c>
      <c r="R50" s="44" t="s">
        <v>356</v>
      </c>
    </row>
    <row r="51" spans="16:18" x14ac:dyDescent="0.75">
      <c r="P51" s="44" t="str">
        <f t="shared" si="0"/>
        <v>afeed</v>
      </c>
      <c r="Q51" s="44" t="s">
        <v>357</v>
      </c>
      <c r="R51" s="44" t="s">
        <v>358</v>
      </c>
    </row>
    <row r="52" spans="16:18" x14ac:dyDescent="0.75">
      <c r="P52" s="44" t="str">
        <f t="shared" si="0"/>
        <v>afood</v>
      </c>
      <c r="Q52" s="44" t="s">
        <v>64</v>
      </c>
      <c r="R52" s="44" t="s">
        <v>359</v>
      </c>
    </row>
    <row r="53" spans="16:18" x14ac:dyDescent="0.75">
      <c r="P53" s="44" t="str">
        <f t="shared" si="0"/>
        <v>aalco</v>
      </c>
      <c r="Q53" s="44" t="s">
        <v>360</v>
      </c>
      <c r="R53" s="44" t="s">
        <v>361</v>
      </c>
    </row>
    <row r="54" spans="16:18" x14ac:dyDescent="0.75">
      <c r="P54" s="44" t="str">
        <f t="shared" si="0"/>
        <v>abeve</v>
      </c>
      <c r="Q54" s="44" t="s">
        <v>65</v>
      </c>
      <c r="R54" s="44" t="s">
        <v>362</v>
      </c>
    </row>
    <row r="55" spans="16:18" x14ac:dyDescent="0.75">
      <c r="P55" s="44" t="str">
        <f t="shared" si="0"/>
        <v>aptob</v>
      </c>
      <c r="Q55" s="44" t="s">
        <v>363</v>
      </c>
      <c r="R55" s="44" t="s">
        <v>364</v>
      </c>
    </row>
    <row r="56" spans="16:18" x14ac:dyDescent="0.75">
      <c r="P56" s="44" t="str">
        <f t="shared" si="0"/>
        <v>atext</v>
      </c>
      <c r="Q56" s="44" t="s">
        <v>66</v>
      </c>
      <c r="R56" s="44" t="s">
        <v>365</v>
      </c>
    </row>
    <row r="57" spans="16:18" x14ac:dyDescent="0.75">
      <c r="P57" s="44" t="str">
        <f t="shared" si="0"/>
        <v>awood</v>
      </c>
      <c r="Q57" s="44" t="s">
        <v>67</v>
      </c>
      <c r="R57" s="44" t="s">
        <v>366</v>
      </c>
    </row>
    <row r="58" spans="16:18" x14ac:dyDescent="0.75">
      <c r="P58" s="44" t="str">
        <f t="shared" si="0"/>
        <v>aprnt</v>
      </c>
      <c r="Q58" s="44" t="s">
        <v>367</v>
      </c>
      <c r="R58" s="44" t="s">
        <v>368</v>
      </c>
    </row>
    <row r="59" spans="16:18" x14ac:dyDescent="0.75">
      <c r="P59" s="44" t="str">
        <f t="shared" si="0"/>
        <v>apetr</v>
      </c>
      <c r="Q59" s="44" t="s">
        <v>369</v>
      </c>
      <c r="R59" s="44" t="s">
        <v>370</v>
      </c>
    </row>
    <row r="60" spans="16:18" x14ac:dyDescent="0.75">
      <c r="P60" s="44" t="str">
        <f t="shared" si="0"/>
        <v>achem</v>
      </c>
      <c r="Q60" s="44" t="s">
        <v>68</v>
      </c>
      <c r="R60" s="44" t="s">
        <v>371</v>
      </c>
    </row>
    <row r="61" spans="16:18" x14ac:dyDescent="0.75">
      <c r="P61" s="44" t="str">
        <f t="shared" si="0"/>
        <v>aphar</v>
      </c>
      <c r="Q61" s="44" t="s">
        <v>372</v>
      </c>
      <c r="R61" s="44" t="s">
        <v>373</v>
      </c>
    </row>
    <row r="62" spans="16:18" x14ac:dyDescent="0.75">
      <c r="P62" s="44" t="str">
        <f t="shared" si="0"/>
        <v>aprub</v>
      </c>
      <c r="Q62" s="44" t="s">
        <v>374</v>
      </c>
      <c r="R62" s="44" t="s">
        <v>375</v>
      </c>
    </row>
    <row r="63" spans="16:18" x14ac:dyDescent="0.75">
      <c r="P63" s="44" t="str">
        <f t="shared" si="0"/>
        <v>anmet</v>
      </c>
      <c r="Q63" s="44" t="s">
        <v>69</v>
      </c>
      <c r="R63" s="44" t="s">
        <v>376</v>
      </c>
    </row>
    <row r="64" spans="16:18" x14ac:dyDescent="0.75">
      <c r="P64" s="44" t="str">
        <f t="shared" si="0"/>
        <v>aceme</v>
      </c>
      <c r="Q64" s="44" t="s">
        <v>377</v>
      </c>
      <c r="R64" s="44" t="s">
        <v>378</v>
      </c>
    </row>
    <row r="65" spans="14:22" x14ac:dyDescent="0.75">
      <c r="P65" s="44" t="str">
        <f t="shared" si="0"/>
        <v>aclay</v>
      </c>
      <c r="Q65" s="44" t="s">
        <v>379</v>
      </c>
      <c r="R65" s="44" t="s">
        <v>380</v>
      </c>
    </row>
    <row r="66" spans="14:22" x14ac:dyDescent="0.75">
      <c r="P66" s="44" t="str">
        <f t="shared" si="0"/>
        <v>ametl</v>
      </c>
      <c r="Q66" s="44" t="s">
        <v>70</v>
      </c>
      <c r="R66" s="44" t="s">
        <v>381</v>
      </c>
    </row>
    <row r="67" spans="14:22" x14ac:dyDescent="0.75">
      <c r="P67" s="44" t="str">
        <f t="shared" si="0"/>
        <v>amach</v>
      </c>
      <c r="Q67" s="44" t="s">
        <v>71</v>
      </c>
      <c r="R67" s="44" t="s">
        <v>382</v>
      </c>
    </row>
    <row r="68" spans="14:22" x14ac:dyDescent="0.75">
      <c r="P68" s="44" t="str">
        <f t="shared" si="0"/>
        <v>avehi</v>
      </c>
      <c r="Q68" s="44" t="s">
        <v>383</v>
      </c>
      <c r="R68" s="44" t="s">
        <v>384</v>
      </c>
    </row>
    <row r="69" spans="14:22" x14ac:dyDescent="0.75">
      <c r="P69" s="44" t="str">
        <f t="shared" ref="P69:P107" si="1">"a"&amp;MID(Q69,2,4)</f>
        <v>afurn</v>
      </c>
      <c r="Q69" s="44" t="s">
        <v>385</v>
      </c>
      <c r="R69" s="44" t="s">
        <v>386</v>
      </c>
    </row>
    <row r="70" spans="14:22" x14ac:dyDescent="0.75">
      <c r="P70" s="44" t="str">
        <f t="shared" si="1"/>
        <v>aoman</v>
      </c>
      <c r="Q70" s="44" t="s">
        <v>72</v>
      </c>
      <c r="R70" s="44" t="s">
        <v>387</v>
      </c>
    </row>
    <row r="71" spans="14:22" x14ac:dyDescent="0.75">
      <c r="P71" s="44" t="str">
        <f t="shared" si="1"/>
        <v>arepr</v>
      </c>
      <c r="Q71" s="44" t="s">
        <v>388</v>
      </c>
      <c r="R71" s="44" t="s">
        <v>389</v>
      </c>
    </row>
    <row r="72" spans="14:22" x14ac:dyDescent="0.75">
      <c r="P72" s="44" t="str">
        <f t="shared" si="1"/>
        <v>aelec</v>
      </c>
      <c r="Q72" s="44" t="s">
        <v>73</v>
      </c>
      <c r="R72" s="44" t="s">
        <v>390</v>
      </c>
    </row>
    <row r="73" spans="14:22" x14ac:dyDescent="0.75">
      <c r="N73" s="9" t="s">
        <v>267</v>
      </c>
      <c r="P73" s="44" t="str">
        <f t="shared" si="1"/>
        <v>awatr</v>
      </c>
      <c r="Q73" s="44" t="s">
        <v>74</v>
      </c>
      <c r="R73" s="44" t="s">
        <v>391</v>
      </c>
    </row>
    <row r="74" spans="14:22" x14ac:dyDescent="0.75">
      <c r="N74" s="9" t="s">
        <v>268</v>
      </c>
      <c r="P74" s="44" t="str">
        <f t="shared" si="1"/>
        <v>awast</v>
      </c>
      <c r="Q74" s="44" t="s">
        <v>392</v>
      </c>
      <c r="R74" s="44" t="s">
        <v>393</v>
      </c>
    </row>
    <row r="75" spans="14:22" x14ac:dyDescent="0.75">
      <c r="N75" s="9" t="s">
        <v>270</v>
      </c>
      <c r="P75" s="44" t="str">
        <f t="shared" si="1"/>
        <v>acons</v>
      </c>
      <c r="Q75" s="44" t="s">
        <v>75</v>
      </c>
      <c r="R75" s="44" t="s">
        <v>394</v>
      </c>
    </row>
    <row r="76" spans="14:22" x14ac:dyDescent="0.75">
      <c r="N76" s="8"/>
      <c r="P76" s="44" t="str">
        <f t="shared" si="1"/>
        <v>acont</v>
      </c>
      <c r="Q76" s="44" t="s">
        <v>395</v>
      </c>
      <c r="R76" s="44" t="s">
        <v>396</v>
      </c>
    </row>
    <row r="77" spans="14:22" x14ac:dyDescent="0.75">
      <c r="N77" s="8" t="s">
        <v>269</v>
      </c>
      <c r="P77" s="44" t="str">
        <f t="shared" si="1"/>
        <v>avehr</v>
      </c>
      <c r="Q77" s="44" t="s">
        <v>397</v>
      </c>
      <c r="R77" s="44" t="s">
        <v>398</v>
      </c>
    </row>
    <row r="78" spans="14:22" x14ac:dyDescent="0.75">
      <c r="N78" s="8" t="s">
        <v>271</v>
      </c>
      <c r="P78" s="41" t="str">
        <f t="shared" si="1"/>
        <v>aveht</v>
      </c>
      <c r="Q78" s="41" t="s">
        <v>399</v>
      </c>
      <c r="R78" s="41" t="s">
        <v>400</v>
      </c>
      <c r="S78" s="41"/>
      <c r="T78" s="41"/>
      <c r="U78" s="41"/>
      <c r="V78" s="41"/>
    </row>
    <row r="79" spans="14:22" x14ac:dyDescent="0.75">
      <c r="N79" s="8" t="s">
        <v>272</v>
      </c>
      <c r="P79" s="41" t="str">
        <f t="shared" si="1"/>
        <v>atrdw</v>
      </c>
      <c r="Q79" s="41" t="s">
        <v>401</v>
      </c>
      <c r="R79" s="41" t="s">
        <v>402</v>
      </c>
      <c r="S79" s="41"/>
      <c r="T79" s="41"/>
      <c r="U79" s="41"/>
      <c r="V79" s="41"/>
    </row>
    <row r="80" spans="14:22" x14ac:dyDescent="0.75">
      <c r="N80" s="8" t="s">
        <v>273</v>
      </c>
      <c r="P80" s="41" t="str">
        <f t="shared" si="1"/>
        <v>atrdr</v>
      </c>
      <c r="Q80" s="41" t="s">
        <v>403</v>
      </c>
      <c r="R80" s="41" t="s">
        <v>404</v>
      </c>
      <c r="S80" s="41"/>
      <c r="T80" s="41"/>
      <c r="U80" s="41"/>
      <c r="V80" s="41"/>
    </row>
    <row r="81" spans="14:22" x14ac:dyDescent="0.75">
      <c r="N81" s="8" t="s">
        <v>266</v>
      </c>
      <c r="P81" s="41" t="str">
        <f t="shared" si="1"/>
        <v>atrnl</v>
      </c>
      <c r="Q81" s="41" t="s">
        <v>405</v>
      </c>
      <c r="R81" s="41" t="s">
        <v>406</v>
      </c>
      <c r="S81" s="41"/>
      <c r="T81" s="41"/>
      <c r="U81" s="41"/>
      <c r="V81" s="41"/>
    </row>
    <row r="82" spans="14:22" x14ac:dyDescent="0.75">
      <c r="N82" s="8"/>
      <c r="P82" s="41" t="str">
        <f t="shared" si="1"/>
        <v>atrna</v>
      </c>
      <c r="Q82" s="41" t="s">
        <v>407</v>
      </c>
      <c r="R82" s="41" t="s">
        <v>408</v>
      </c>
      <c r="S82" s="41"/>
      <c r="T82" s="41"/>
      <c r="U82" s="41"/>
      <c r="V82" s="41"/>
    </row>
    <row r="83" spans="14:22" x14ac:dyDescent="0.75">
      <c r="N83" s="9" t="s">
        <v>274</v>
      </c>
      <c r="P83" s="41" t="str">
        <f t="shared" si="1"/>
        <v>atrns</v>
      </c>
      <c r="Q83" s="41" t="s">
        <v>409</v>
      </c>
      <c r="R83" s="41" t="s">
        <v>410</v>
      </c>
      <c r="S83" s="41"/>
      <c r="T83" s="41"/>
      <c r="U83" s="41"/>
      <c r="V83" s="41"/>
    </row>
    <row r="84" spans="14:22" x14ac:dyDescent="0.75">
      <c r="N84" s="8" t="s">
        <v>275</v>
      </c>
      <c r="P84" s="41" t="str">
        <f t="shared" si="1"/>
        <v>apost</v>
      </c>
      <c r="Q84" s="41" t="s">
        <v>411</v>
      </c>
      <c r="R84" s="41" t="s">
        <v>412</v>
      </c>
      <c r="S84" s="41"/>
      <c r="T84" s="41"/>
      <c r="U84" s="41"/>
      <c r="V84" s="41"/>
    </row>
    <row r="85" spans="14:22" x14ac:dyDescent="0.75">
      <c r="N85" s="8" t="s">
        <v>276</v>
      </c>
      <c r="P85" s="41" t="str">
        <f t="shared" si="1"/>
        <v>ahotl</v>
      </c>
      <c r="Q85" s="41" t="s">
        <v>78</v>
      </c>
      <c r="R85" s="41" t="s">
        <v>413</v>
      </c>
      <c r="S85" s="41"/>
      <c r="T85" s="41"/>
      <c r="U85" s="41"/>
      <c r="V85" s="41"/>
    </row>
    <row r="86" spans="14:22" x14ac:dyDescent="0.75">
      <c r="N86" s="8" t="s">
        <v>277</v>
      </c>
      <c r="P86" s="44" t="str">
        <f t="shared" si="1"/>
        <v>apubl</v>
      </c>
      <c r="Q86" s="44" t="s">
        <v>414</v>
      </c>
      <c r="R86" s="44" t="s">
        <v>415</v>
      </c>
    </row>
    <row r="87" spans="14:22" x14ac:dyDescent="0.75">
      <c r="P87" s="44" t="str">
        <f t="shared" si="1"/>
        <v>acomm</v>
      </c>
      <c r="Q87" s="44" t="s">
        <v>79</v>
      </c>
      <c r="R87" s="44" t="s">
        <v>416</v>
      </c>
    </row>
    <row r="88" spans="14:22" x14ac:dyDescent="0.75">
      <c r="P88" s="44" t="str">
        <f t="shared" si="1"/>
        <v>ainfo</v>
      </c>
      <c r="Q88" s="44" t="s">
        <v>417</v>
      </c>
      <c r="R88" s="44" t="s">
        <v>418</v>
      </c>
    </row>
    <row r="89" spans="14:22" x14ac:dyDescent="0.75">
      <c r="P89" s="44" t="str">
        <f t="shared" si="1"/>
        <v>abank</v>
      </c>
      <c r="Q89" s="44" t="s">
        <v>419</v>
      </c>
      <c r="R89" s="44" t="s">
        <v>420</v>
      </c>
    </row>
    <row r="90" spans="14:22" x14ac:dyDescent="0.75">
      <c r="P90" s="44" t="str">
        <f t="shared" si="1"/>
        <v>ainsu</v>
      </c>
      <c r="Q90" s="44" t="s">
        <v>421</v>
      </c>
      <c r="R90" s="44" t="s">
        <v>422</v>
      </c>
    </row>
    <row r="91" spans="14:22" x14ac:dyDescent="0.75">
      <c r="P91" s="44" t="str">
        <f t="shared" si="1"/>
        <v>aofsv</v>
      </c>
      <c r="Q91" s="44" t="s">
        <v>423</v>
      </c>
      <c r="R91" s="44" t="s">
        <v>424</v>
      </c>
    </row>
    <row r="92" spans="14:22" x14ac:dyDescent="0.75">
      <c r="P92" s="44" t="str">
        <f t="shared" si="1"/>
        <v>arent</v>
      </c>
      <c r="Q92" s="44" t="s">
        <v>425</v>
      </c>
      <c r="R92" s="44" t="s">
        <v>426</v>
      </c>
    </row>
    <row r="93" spans="14:22" x14ac:dyDescent="0.75">
      <c r="P93" s="44" t="str">
        <f t="shared" si="1"/>
        <v>areal</v>
      </c>
      <c r="Q93" s="44" t="s">
        <v>81</v>
      </c>
      <c r="R93" s="44" t="s">
        <v>427</v>
      </c>
    </row>
    <row r="94" spans="14:22" x14ac:dyDescent="0.75">
      <c r="P94" s="44" t="str">
        <f t="shared" si="1"/>
        <v>alegl</v>
      </c>
      <c r="Q94" s="44" t="s">
        <v>428</v>
      </c>
      <c r="R94" s="44" t="s">
        <v>429</v>
      </c>
    </row>
    <row r="95" spans="14:22" x14ac:dyDescent="0.75">
      <c r="P95" s="44" t="str">
        <f t="shared" si="1"/>
        <v>aenga</v>
      </c>
      <c r="Q95" s="44" t="s">
        <v>430</v>
      </c>
      <c r="R95" s="44" t="s">
        <v>431</v>
      </c>
    </row>
    <row r="96" spans="14:22" x14ac:dyDescent="0.75">
      <c r="P96" s="44" t="str">
        <f t="shared" si="1"/>
        <v>aprod</v>
      </c>
      <c r="Q96" s="44" t="s">
        <v>432</v>
      </c>
      <c r="R96" s="44" t="s">
        <v>433</v>
      </c>
    </row>
    <row r="97" spans="16:22" x14ac:dyDescent="0.75">
      <c r="P97" s="41" t="str">
        <f t="shared" si="1"/>
        <v>atrvl</v>
      </c>
      <c r="Q97" s="41" t="s">
        <v>434</v>
      </c>
      <c r="R97" s="41" t="s">
        <v>435</v>
      </c>
      <c r="S97" s="41"/>
      <c r="T97" s="41"/>
      <c r="U97" s="41"/>
    </row>
    <row r="98" spans="16:22" x14ac:dyDescent="0.75">
      <c r="P98" s="44" t="str">
        <f t="shared" si="1"/>
        <v>aobsv</v>
      </c>
      <c r="Q98" s="44" t="s">
        <v>436</v>
      </c>
      <c r="R98" s="44" t="s">
        <v>437</v>
      </c>
    </row>
    <row r="99" spans="16:22" x14ac:dyDescent="0.75">
      <c r="P99" s="44" t="str">
        <f t="shared" si="1"/>
        <v>apadm</v>
      </c>
      <c r="Q99" s="44" t="s">
        <v>83</v>
      </c>
      <c r="R99" s="44" t="s">
        <v>438</v>
      </c>
    </row>
    <row r="100" spans="16:22" x14ac:dyDescent="0.75">
      <c r="P100" s="44" t="str">
        <f t="shared" si="1"/>
        <v>aeduc</v>
      </c>
      <c r="Q100" s="44" t="s">
        <v>84</v>
      </c>
      <c r="R100" s="44" t="s">
        <v>439</v>
      </c>
    </row>
    <row r="101" spans="16:22" x14ac:dyDescent="0.75">
      <c r="P101" s="44" t="str">
        <f t="shared" si="1"/>
        <v>aheal</v>
      </c>
      <c r="Q101" s="44" t="s">
        <v>85</v>
      </c>
      <c r="R101" s="44" t="s">
        <v>440</v>
      </c>
    </row>
    <row r="102" spans="16:22" x14ac:dyDescent="0.75">
      <c r="P102" s="44" t="str">
        <f t="shared" si="1"/>
        <v>asocw</v>
      </c>
      <c r="Q102" s="44" t="s">
        <v>441</v>
      </c>
      <c r="R102" s="44" t="s">
        <v>442</v>
      </c>
    </row>
    <row r="103" spans="16:22" x14ac:dyDescent="0.75">
      <c r="P103" s="44" t="str">
        <f t="shared" si="1"/>
        <v>acult</v>
      </c>
      <c r="Q103" s="44" t="s">
        <v>443</v>
      </c>
      <c r="R103" s="44" t="s">
        <v>444</v>
      </c>
    </row>
    <row r="104" spans="16:22" x14ac:dyDescent="0.75">
      <c r="P104" s="41" t="str">
        <f t="shared" si="1"/>
        <v>aarts</v>
      </c>
      <c r="Q104" s="41" t="s">
        <v>445</v>
      </c>
      <c r="R104" s="41" t="s">
        <v>446</v>
      </c>
      <c r="S104" s="41"/>
      <c r="T104" s="41"/>
      <c r="U104" s="41"/>
      <c r="V104" s="41"/>
    </row>
    <row r="105" spans="16:22" x14ac:dyDescent="0.75">
      <c r="P105" s="41" t="str">
        <f t="shared" si="1"/>
        <v>aosrv</v>
      </c>
      <c r="Q105" s="41" t="s">
        <v>86</v>
      </c>
      <c r="R105" s="41" t="s">
        <v>447</v>
      </c>
      <c r="S105" s="41"/>
      <c r="T105" s="41"/>
      <c r="U105" s="41"/>
    </row>
    <row r="106" spans="16:22" x14ac:dyDescent="0.75">
      <c r="P106" s="44" t="str">
        <f t="shared" si="1"/>
        <v>adsrv</v>
      </c>
      <c r="Q106" s="44" t="s">
        <v>448</v>
      </c>
      <c r="R106" s="44" t="s">
        <v>449</v>
      </c>
    </row>
    <row r="107" spans="16:22" x14ac:dyDescent="0.75">
      <c r="P107" s="41" t="str">
        <f t="shared" si="1"/>
        <v>atrdc</v>
      </c>
      <c r="Q107" s="41" t="s">
        <v>450</v>
      </c>
      <c r="R107" s="41" t="s">
        <v>451</v>
      </c>
      <c r="S107" s="41"/>
      <c r="T107" s="41"/>
    </row>
  </sheetData>
  <mergeCells count="3">
    <mergeCell ref="H3:J3"/>
    <mergeCell ref="B3:E3"/>
    <mergeCell ref="P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IFPRI_SAM_RWA_2022_SAM</vt:lpstr>
      <vt:lpstr>Mapping (TSA and SAM)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MANIRUMVA</dc:creator>
  <cp:lastModifiedBy>Evariste MANIRUMVA</cp:lastModifiedBy>
  <dcterms:created xsi:type="dcterms:W3CDTF">2025-07-16T07:09:09Z</dcterms:created>
  <dcterms:modified xsi:type="dcterms:W3CDTF">2025-11-24T13:38:36Z</dcterms:modified>
</cp:coreProperties>
</file>