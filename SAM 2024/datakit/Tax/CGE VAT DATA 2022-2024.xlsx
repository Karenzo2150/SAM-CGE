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l.bikorimana\Desktop\Analysi for Stay\"/>
    </mc:Choice>
  </mc:AlternateContent>
  <xr:revisionPtr revIDLastSave="0" documentId="13_ncr:1_{D3870748-13D4-48DA-AD23-98F74197F117}" xr6:coauthVersionLast="47" xr6:coauthVersionMax="47" xr10:uidLastSave="{00000000-0000-0000-0000-000000000000}"/>
  <bookViews>
    <workbookView xWindow="28680" yWindow="-120" windowWidth="29040" windowHeight="15720" activeTab="1" xr2:uid="{1B19F162-F7C2-4A0C-856C-DB989977E897}"/>
  </bookViews>
  <sheets>
    <sheet name="2022" sheetId="1" r:id="rId1"/>
    <sheet name="2023" sheetId="2" r:id="rId2"/>
    <sheet name="2024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21" i="3" l="1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221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219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217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212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208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206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203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201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195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192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187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185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180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178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174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172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170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168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A165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A163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161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154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150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147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144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136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127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125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114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112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108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106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102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93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89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87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84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77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50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C15" i="3"/>
  <c r="B15" i="3"/>
  <c r="A15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P2" i="3"/>
  <c r="P223" i="3" s="1"/>
  <c r="O2" i="3"/>
  <c r="N2" i="3"/>
  <c r="N223" i="3" s="1"/>
  <c r="M2" i="3"/>
  <c r="M223" i="3" s="1"/>
  <c r="L2" i="3"/>
  <c r="L223" i="3" s="1"/>
  <c r="K2" i="3"/>
  <c r="J2" i="3"/>
  <c r="J223" i="3" s="1"/>
  <c r="I2" i="3"/>
  <c r="H2" i="3"/>
  <c r="H223" i="3" s="1"/>
  <c r="G2" i="3"/>
  <c r="F2" i="3"/>
  <c r="F223" i="3" s="1"/>
  <c r="E2" i="3"/>
  <c r="E223" i="3" s="1"/>
  <c r="D2" i="3"/>
  <c r="D223" i="3" s="1"/>
  <c r="C2" i="3"/>
  <c r="B2" i="3"/>
  <c r="A2" i="3"/>
  <c r="G223" i="3" l="1"/>
  <c r="O223" i="3"/>
  <c r="I223" i="3"/>
  <c r="C223" i="3"/>
  <c r="K223" i="3"/>
  <c r="B222" i="2" l="1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P2" i="2"/>
  <c r="P223" i="2" s="1"/>
  <c r="O2" i="2"/>
  <c r="O223" i="2" s="1"/>
  <c r="N2" i="2"/>
  <c r="N223" i="2" s="1"/>
  <c r="M2" i="2"/>
  <c r="M223" i="2" s="1"/>
  <c r="L2" i="2"/>
  <c r="L223" i="2" s="1"/>
  <c r="K2" i="2"/>
  <c r="K223" i="2" s="1"/>
  <c r="J2" i="2"/>
  <c r="J223" i="2" s="1"/>
  <c r="I2" i="2"/>
  <c r="H2" i="2"/>
  <c r="H223" i="2" s="1"/>
  <c r="G2" i="2"/>
  <c r="G223" i="2" s="1"/>
  <c r="F2" i="2"/>
  <c r="F223" i="2" s="1"/>
  <c r="E2" i="2"/>
  <c r="E223" i="2" s="1"/>
  <c r="D2" i="2"/>
  <c r="D223" i="2" s="1"/>
  <c r="C2" i="2"/>
  <c r="C223" i="2" s="1"/>
  <c r="B2" i="2"/>
  <c r="A2" i="2"/>
  <c r="P222" i="1"/>
  <c r="O222" i="1"/>
  <c r="N222" i="1"/>
  <c r="N224" i="1" s="1"/>
  <c r="M222" i="1"/>
  <c r="M224" i="1" s="1"/>
  <c r="L222" i="1"/>
  <c r="K222" i="1"/>
  <c r="J222" i="1"/>
  <c r="I222" i="1"/>
  <c r="H222" i="1"/>
  <c r="G222" i="1"/>
  <c r="F222" i="1"/>
  <c r="F224" i="1" s="1"/>
  <c r="E222" i="1"/>
  <c r="D222" i="1"/>
  <c r="C222" i="1"/>
  <c r="B222" i="1"/>
  <c r="A222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P68" i="1"/>
  <c r="O68" i="1"/>
  <c r="N68" i="1"/>
  <c r="M68" i="1"/>
  <c r="L68" i="1"/>
  <c r="K68" i="1"/>
  <c r="J68" i="1"/>
  <c r="I68" i="1"/>
  <c r="I224" i="1" s="1"/>
  <c r="H68" i="1"/>
  <c r="G68" i="1"/>
  <c r="F68" i="1"/>
  <c r="E68" i="1"/>
  <c r="D68" i="1"/>
  <c r="C68" i="1"/>
  <c r="B68" i="1"/>
  <c r="A68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I223" i="2" l="1"/>
  <c r="G224" i="1"/>
  <c r="O224" i="1"/>
  <c r="P224" i="1"/>
  <c r="H224" i="1"/>
  <c r="E224" i="1"/>
  <c r="J224" i="1"/>
  <c r="C224" i="1"/>
  <c r="K224" i="1"/>
  <c r="D224" i="1"/>
  <c r="L224" i="1"/>
</calcChain>
</file>

<file path=xl/sharedStrings.xml><?xml version="1.0" encoding="utf-8"?>
<sst xmlns="http://schemas.openxmlformats.org/spreadsheetml/2006/main" count="925" uniqueCount="346">
  <si>
    <t>rcpa_2</t>
  </si>
  <si>
    <t>rcpa_descriptions</t>
  </si>
  <si>
    <t>Turnover</t>
  </si>
  <si>
    <t xml:space="preserve"> Exempted Sales</t>
  </si>
  <si>
    <t xml:space="preserve"> Zero Rated Sales</t>
  </si>
  <si>
    <t xml:space="preserve"> Export</t>
  </si>
  <si>
    <t xml:space="preserve"> Total.Non.taxable.lines10.15.20.</t>
  </si>
  <si>
    <t xml:space="preserve"> Taxable.Sales.subject.to.VAT..lines.5.25.</t>
  </si>
  <si>
    <t xml:space="preserve"> VAT.on.Taxable.Sales.18..of.Line.30.</t>
  </si>
  <si>
    <t xml:space="preserve"> VAT.Reverse.charge</t>
  </si>
  <si>
    <t xml:space="preserve"> VAT.Payable.line.35...line.40.</t>
  </si>
  <si>
    <t xml:space="preserve"> VAT.Paid.on.Imports</t>
  </si>
  <si>
    <t xml:space="preserve"> VAT.Paid.on.Local.Purchases</t>
  </si>
  <si>
    <t xml:space="preserve"> Total.VAT.Paid.on.Inputs..Lines.50.55.</t>
  </si>
  <si>
    <t xml:space="preserve"> VAT.Reverse.Charge.deductible</t>
  </si>
  <si>
    <t xml:space="preserve"> VAT.Payable.Credit.Refundable.line.45..line.60.line.65..</t>
  </si>
  <si>
    <t>A116</t>
  </si>
  <si>
    <t>Paddy &amp; husked rice</t>
  </si>
  <si>
    <t>A119</t>
  </si>
  <si>
    <t>Other cereals</t>
  </si>
  <si>
    <t>A139</t>
  </si>
  <si>
    <t>Other vegetables</t>
  </si>
  <si>
    <t>A149</t>
  </si>
  <si>
    <t>Other fruit and nuts</t>
  </si>
  <si>
    <t>A210</t>
  </si>
  <si>
    <t>Coffee, not roasted, not decaffeinated</t>
  </si>
  <si>
    <t>A291</t>
  </si>
  <si>
    <t>Tobacco, raw</t>
  </si>
  <si>
    <t>A292</t>
  </si>
  <si>
    <t>Sugar cane</t>
  </si>
  <si>
    <t>A299</t>
  </si>
  <si>
    <t>Agricultural products n.e.c.</t>
  </si>
  <si>
    <t>A311</t>
  </si>
  <si>
    <t>Bovine cattle, live</t>
  </si>
  <si>
    <t>A312</t>
  </si>
  <si>
    <t>Sheep, goats, pigs,live</t>
  </si>
  <si>
    <t>A313</t>
  </si>
  <si>
    <t>Poultry, live</t>
  </si>
  <si>
    <t>A319</t>
  </si>
  <si>
    <t>Other live animals</t>
  </si>
  <si>
    <t>A329</t>
  </si>
  <si>
    <t>Other livestock &amp; hunting products</t>
  </si>
  <si>
    <t>A409</t>
  </si>
  <si>
    <t>Other forestry products</t>
  </si>
  <si>
    <t>A500</t>
  </si>
  <si>
    <t>Fishery products</t>
  </si>
  <si>
    <t>B010</t>
  </si>
  <si>
    <t>Natural gas</t>
  </si>
  <si>
    <t>B031</t>
  </si>
  <si>
    <t>Cassiterite</t>
  </si>
  <si>
    <t>B091</t>
  </si>
  <si>
    <t>Quarry products, sand</t>
  </si>
  <si>
    <t>B099</t>
  </si>
  <si>
    <t>Other mining products</t>
  </si>
  <si>
    <t>C111</t>
  </si>
  <si>
    <t>Beef</t>
  </si>
  <si>
    <t>C120</t>
  </si>
  <si>
    <t>Prepared and preserved fish</t>
  </si>
  <si>
    <t>C131</t>
  </si>
  <si>
    <t>Fruit juices</t>
  </si>
  <si>
    <t>C140</t>
  </si>
  <si>
    <t>Animal and vegetable oils and fats</t>
  </si>
  <si>
    <t>C150</t>
  </si>
  <si>
    <t>Dairy products</t>
  </si>
  <si>
    <t>C162</t>
  </si>
  <si>
    <t xml:space="preserve">Wheat flour </t>
  </si>
  <si>
    <t>C169</t>
  </si>
  <si>
    <t>Other grain mill products</t>
  </si>
  <si>
    <t>C170</t>
  </si>
  <si>
    <t>Bakery products</t>
  </si>
  <si>
    <t>C180</t>
  </si>
  <si>
    <t>Animal feed &amp; other by-products</t>
  </si>
  <si>
    <t>C193</t>
  </si>
  <si>
    <t>Sugar</t>
  </si>
  <si>
    <t>C199</t>
  </si>
  <si>
    <t>Other food products n.e.c.</t>
  </si>
  <si>
    <t>C213</t>
  </si>
  <si>
    <t>Modern beer</t>
  </si>
  <si>
    <t>C219</t>
  </si>
  <si>
    <t>Other alcoholic drinks</t>
  </si>
  <si>
    <t>C222</t>
  </si>
  <si>
    <t>Modern soft drinks, mineral water</t>
  </si>
  <si>
    <t>C230</t>
  </si>
  <si>
    <t>Tobacco products</t>
  </si>
  <si>
    <t>C301</t>
  </si>
  <si>
    <t>Textile products except  clothing</t>
  </si>
  <si>
    <t>C302</t>
  </si>
  <si>
    <t>Clothing, new &amp; second-hand</t>
  </si>
  <si>
    <t>C303</t>
  </si>
  <si>
    <t>Shoes; articles of leather</t>
  </si>
  <si>
    <t>C411</t>
  </si>
  <si>
    <t>Wood and basketware products</t>
  </si>
  <si>
    <t>C412</t>
  </si>
  <si>
    <t>Paper, cardboard and articles thereof</t>
  </si>
  <si>
    <t>C413</t>
  </si>
  <si>
    <t>Builders' carpentry</t>
  </si>
  <si>
    <t>C420</t>
  </si>
  <si>
    <t>Printing and reproduction products</t>
  </si>
  <si>
    <t>C510</t>
  </si>
  <si>
    <t>Petroleum products</t>
  </si>
  <si>
    <t>C521</t>
  </si>
  <si>
    <t>Fertilisers &amp; pesticides</t>
  </si>
  <si>
    <t>C522</t>
  </si>
  <si>
    <t>Soap, cosmetics and other cleaning products</t>
  </si>
  <si>
    <t>C523</t>
  </si>
  <si>
    <t>Paints &amp; varnishes</t>
  </si>
  <si>
    <t>C529</t>
  </si>
  <si>
    <t>Other basic chemicals</t>
  </si>
  <si>
    <t>C530</t>
  </si>
  <si>
    <t>Pharmaceutical products</t>
  </si>
  <si>
    <t>C541</t>
  </si>
  <si>
    <t>Rubber tyres &amp; tubes</t>
  </si>
  <si>
    <t>C549</t>
  </si>
  <si>
    <t>Other rubber and plastic products</t>
  </si>
  <si>
    <t>C610</t>
  </si>
  <si>
    <t>Glass, ceramics, etc n.e.c.</t>
  </si>
  <si>
    <t>C621</t>
  </si>
  <si>
    <t>Cement</t>
  </si>
  <si>
    <t>C622</t>
  </si>
  <si>
    <t>Lime, plaster, articles of stone, concrete etc</t>
  </si>
  <si>
    <t>C630</t>
  </si>
  <si>
    <t>Bricks</t>
  </si>
  <si>
    <t>C721</t>
  </si>
  <si>
    <t>Construction goods of iron, steel</t>
  </si>
  <si>
    <t>C722</t>
  </si>
  <si>
    <t>Domestic metal products</t>
  </si>
  <si>
    <t>C729</t>
  </si>
  <si>
    <t>Basic metals &amp; other metal products</t>
  </si>
  <si>
    <t>C741</t>
  </si>
  <si>
    <t>Consumer electronics &amp; optics; watches &amp; clocks</t>
  </si>
  <si>
    <t>C742</t>
  </si>
  <si>
    <t>Communication equipment</t>
  </si>
  <si>
    <t>C743</t>
  </si>
  <si>
    <t>Computing, electronic &amp; optical equipment n.e.c.</t>
  </si>
  <si>
    <t>C744</t>
  </si>
  <si>
    <t>Electronic components &amp; parts</t>
  </si>
  <si>
    <t>C745</t>
  </si>
  <si>
    <t>Household electrical appliances</t>
  </si>
  <si>
    <t>C746</t>
  </si>
  <si>
    <t>Electrical equipment n.e.c.</t>
  </si>
  <si>
    <t>C747</t>
  </si>
  <si>
    <t xml:space="preserve">Electrical wiring, batteries &amp; components </t>
  </si>
  <si>
    <t>C748</t>
  </si>
  <si>
    <t xml:space="preserve">Other machinery and equipment n.e.c. </t>
  </si>
  <si>
    <t>C761</t>
  </si>
  <si>
    <t>Motor cars &amp; motor cycles</t>
  </si>
  <si>
    <t>C762</t>
  </si>
  <si>
    <t>Other transport equipment</t>
  </si>
  <si>
    <t>C768</t>
  </si>
  <si>
    <t>Parts of transport equipment</t>
  </si>
  <si>
    <t>C811</t>
  </si>
  <si>
    <t>Household furniture</t>
  </si>
  <si>
    <t>C821</t>
  </si>
  <si>
    <t>Medical instruments</t>
  </si>
  <si>
    <t>C823</t>
  </si>
  <si>
    <t>Consumer products n.e.c.</t>
  </si>
  <si>
    <t>C829</t>
  </si>
  <si>
    <t xml:space="preserve">Other manufactured products </t>
  </si>
  <si>
    <t>C830</t>
  </si>
  <si>
    <t>Repair and installation of machinery and equipment</t>
  </si>
  <si>
    <t>D000</t>
  </si>
  <si>
    <t>Electricity</t>
  </si>
  <si>
    <t>E010</t>
  </si>
  <si>
    <t>Water &amp; sewrage</t>
  </si>
  <si>
    <t>E020</t>
  </si>
  <si>
    <t>Waste collection, treatment and disposal activities; materials recovery</t>
  </si>
  <si>
    <t>F011</t>
  </si>
  <si>
    <t>Civil works</t>
  </si>
  <si>
    <t>F012</t>
  </si>
  <si>
    <t>Non-residential buildings</t>
  </si>
  <si>
    <t>F013</t>
  </si>
  <si>
    <t>Modern dwellings</t>
  </si>
  <si>
    <t>F014</t>
  </si>
  <si>
    <t>Maintenance work</t>
  </si>
  <si>
    <t>G100</t>
  </si>
  <si>
    <t>Maintenance and repair of motor vehicles</t>
  </si>
  <si>
    <t>G210</t>
  </si>
  <si>
    <t>Wholesale and retail trade of motor vehicles and motorcycles</t>
  </si>
  <si>
    <t>G221</t>
  </si>
  <si>
    <t>Wholesale of agricultural raw materials and live animals</t>
  </si>
  <si>
    <t>G222</t>
  </si>
  <si>
    <t>Wholesale of food, beverages &amp; tobacco</t>
  </si>
  <si>
    <t>G223</t>
  </si>
  <si>
    <t>Wholesale of textiles, clothing &amp; other household goods</t>
  </si>
  <si>
    <t>G224</t>
  </si>
  <si>
    <t>Wholesale of solid, liquid and gaseous fuels and related products</t>
  </si>
  <si>
    <t>G225</t>
  </si>
  <si>
    <t>Wholesale of construction materials, hardware, plumbing and heating equipment and supplies</t>
  </si>
  <si>
    <t>G229</t>
  </si>
  <si>
    <t>Other wholesale trade, except of motor vehicles and motorcycles</t>
  </si>
  <si>
    <t>G231</t>
  </si>
  <si>
    <t>Retail sale in non-specialized stores</t>
  </si>
  <si>
    <t>G232</t>
  </si>
  <si>
    <t>Retail sale of food, beverages and tobacco in specialized stores</t>
  </si>
  <si>
    <t>G233</t>
  </si>
  <si>
    <t>Retail sale of automotive fuel in specialized stores</t>
  </si>
  <si>
    <t>G234</t>
  </si>
  <si>
    <t>Retail sale of clothing, footwear and leather articles in specialized stores</t>
  </si>
  <si>
    <t>G235</t>
  </si>
  <si>
    <t>Retail sale of pharmaceutical and medical goods, cosmetic and toilet articles in specialized stores</t>
  </si>
  <si>
    <t>G238</t>
  </si>
  <si>
    <t>Retail sale via stalls and markets</t>
  </si>
  <si>
    <t>G239</t>
  </si>
  <si>
    <t>Other retail sales</t>
  </si>
  <si>
    <t>H101</t>
  </si>
  <si>
    <t>Passenger land transport</t>
  </si>
  <si>
    <t>H102</t>
  </si>
  <si>
    <t>Freight transport by road</t>
  </si>
  <si>
    <t>H201</t>
  </si>
  <si>
    <t>Passenger air transport</t>
  </si>
  <si>
    <t>H202</t>
  </si>
  <si>
    <t>Freight transport by air</t>
  </si>
  <si>
    <t>H310</t>
  </si>
  <si>
    <t>Warehousing and support activities for transportation</t>
  </si>
  <si>
    <t>H320</t>
  </si>
  <si>
    <t>Postal services</t>
  </si>
  <si>
    <t>I001</t>
  </si>
  <si>
    <t>Accommodation</t>
  </si>
  <si>
    <t>I002</t>
  </si>
  <si>
    <t>Food and drinks</t>
  </si>
  <si>
    <t>J101</t>
  </si>
  <si>
    <t>Publishing activity</t>
  </si>
  <si>
    <t>J102</t>
  </si>
  <si>
    <t>Motion picture, video and television programme production, sound recording and music publishing activities</t>
  </si>
  <si>
    <t>J103</t>
  </si>
  <si>
    <t>Programming and broadcasting activities</t>
  </si>
  <si>
    <t>J200</t>
  </si>
  <si>
    <t>Telecomms  (includng wireless, cable, satellite connections)</t>
  </si>
  <si>
    <t>J300</t>
  </si>
  <si>
    <t>Information technology services</t>
  </si>
  <si>
    <t>K011</t>
  </si>
  <si>
    <t>Central Bank</t>
  </si>
  <si>
    <t>K012</t>
  </si>
  <si>
    <t>Banking services</t>
  </si>
  <si>
    <t>K020</t>
  </si>
  <si>
    <t>Insurance and related services</t>
  </si>
  <si>
    <t>K030</t>
  </si>
  <si>
    <t>Other financial services</t>
  </si>
  <si>
    <t>L090</t>
  </si>
  <si>
    <t>Other real estate activities</t>
  </si>
  <si>
    <t>M011</t>
  </si>
  <si>
    <t>Legal activities</t>
  </si>
  <si>
    <t>M012</t>
  </si>
  <si>
    <t>Accounting, bookkeeping and auditing activities; tax consultancy</t>
  </si>
  <si>
    <t>M013</t>
  </si>
  <si>
    <t>Activities of head offices; management consultancy activities</t>
  </si>
  <si>
    <t>M020</t>
  </si>
  <si>
    <t>Architectural and engineering activities; technical testing and analysis</t>
  </si>
  <si>
    <t>M031</t>
  </si>
  <si>
    <t>Scientific research and development</t>
  </si>
  <si>
    <t>M032</t>
  </si>
  <si>
    <t>Advertising and market research</t>
  </si>
  <si>
    <t>M033</t>
  </si>
  <si>
    <t>Other professional, scientific and technical activities</t>
  </si>
  <si>
    <t>M034</t>
  </si>
  <si>
    <t>Veterinary services</t>
  </si>
  <si>
    <t>N010</t>
  </si>
  <si>
    <t>Travel agents and tour operators</t>
  </si>
  <si>
    <t>N091</t>
  </si>
  <si>
    <t>Rental &amp; leasing activities</t>
  </si>
  <si>
    <t>N093</t>
  </si>
  <si>
    <t>Security and investigation activities</t>
  </si>
  <si>
    <t>N094</t>
  </si>
  <si>
    <t>Services to buildings and landscape activities</t>
  </si>
  <si>
    <t>N099</t>
  </si>
  <si>
    <t>Office administrative, office support and other business support activities</t>
  </si>
  <si>
    <t>O002</t>
  </si>
  <si>
    <t>Public administration (extra-budgetary)</t>
  </si>
  <si>
    <t>O003</t>
  </si>
  <si>
    <t>Compulsory social security activities</t>
  </si>
  <si>
    <t>P001</t>
  </si>
  <si>
    <t>Pre-primary and primary education</t>
  </si>
  <si>
    <t>P002</t>
  </si>
  <si>
    <t>Secondary</t>
  </si>
  <si>
    <t>P003</t>
  </si>
  <si>
    <t>Higher education</t>
  </si>
  <si>
    <t>P004</t>
  </si>
  <si>
    <t>Other education</t>
  </si>
  <si>
    <t>P005</t>
  </si>
  <si>
    <t>Educational support activities</t>
  </si>
  <si>
    <t>Q010</t>
  </si>
  <si>
    <t>Human health activities</t>
  </si>
  <si>
    <t>Q021</t>
  </si>
  <si>
    <t>Residential care activities</t>
  </si>
  <si>
    <t>Q022</t>
  </si>
  <si>
    <t>Social work activities without accommodation</t>
  </si>
  <si>
    <t>R011</t>
  </si>
  <si>
    <t>Tourist sites</t>
  </si>
  <si>
    <t>R019</t>
  </si>
  <si>
    <t>Other cultural activities</t>
  </si>
  <si>
    <t>R091</t>
  </si>
  <si>
    <t>Creative, arts and entertainment activities</t>
  </si>
  <si>
    <t>R092</t>
  </si>
  <si>
    <t>Gambling and betting activities</t>
  </si>
  <si>
    <t>R093</t>
  </si>
  <si>
    <t>Sports activities and amusement and recreation activities</t>
  </si>
  <si>
    <t>S001</t>
  </si>
  <si>
    <t>Activities of membership organizations</t>
  </si>
  <si>
    <t>S002</t>
  </si>
  <si>
    <t>Repair of computers and personal and household goods</t>
  </si>
  <si>
    <t>S003</t>
  </si>
  <si>
    <t>Hairdressing &amp; beauty treatment</t>
  </si>
  <si>
    <t>S004</t>
  </si>
  <si>
    <t>Other personal and community services</t>
  </si>
  <si>
    <t>T000</t>
  </si>
  <si>
    <t>Domestic services</t>
  </si>
  <si>
    <t>V002</t>
  </si>
  <si>
    <t>Spending by non-residents in Rwanda</t>
  </si>
  <si>
    <t>X000</t>
  </si>
  <si>
    <t>Unallocated products</t>
  </si>
  <si>
    <t xml:space="preserve"> Turnover</t>
  </si>
  <si>
    <t xml:space="preserve"> Zerorated Sales</t>
  </si>
  <si>
    <t xml:space="preserve"> Total Non taxable(lines10+15+20)</t>
  </si>
  <si>
    <t xml:space="preserve"> Taxable Sales</t>
  </si>
  <si>
    <t>VAT on Taxable Sales</t>
  </si>
  <si>
    <t xml:space="preserve"> VAT Reverse charge</t>
  </si>
  <si>
    <t xml:space="preserve"> VAT Payable(line 35 + line 40)</t>
  </si>
  <si>
    <t>VAT Paid on Imports</t>
  </si>
  <si>
    <t>VAT on Local Purchase</t>
  </si>
  <si>
    <t xml:space="preserve"> Total VAT Paid on Inputs (Lines 50+55)</t>
  </si>
  <si>
    <t xml:space="preserve"> VAT Reverse Charge deductible</t>
  </si>
  <si>
    <t xml:space="preserve"> VAT Payable/Credit Refundable[line 45-(line 60+line 65)]</t>
  </si>
  <si>
    <t>rcpa_23d</t>
  </si>
  <si>
    <t>Exempted Sales</t>
  </si>
  <si>
    <t>Zerorated Sales</t>
  </si>
  <si>
    <t>Export</t>
  </si>
  <si>
    <t>Total.Non.taxable.lines10.15.20.</t>
  </si>
  <si>
    <t>Taxable.Sales.subject.to.VAT..lines.5.25.</t>
  </si>
  <si>
    <t>VAT.on.Taxable.Sales.18..of.Line.30.</t>
  </si>
  <si>
    <t>VAT.Reverse.charge</t>
  </si>
  <si>
    <t>VAT.Payable.line.35...line.40.</t>
  </si>
  <si>
    <t>VAT.Paid.on.Imports</t>
  </si>
  <si>
    <t>VAT.Paid.on.Local.Purchases</t>
  </si>
  <si>
    <t>Total.VAT.Paid.on.Inputs..Lines.50.55.</t>
  </si>
  <si>
    <t>VAT.Reverse.Charge.deductible</t>
  </si>
  <si>
    <t>VAT.Payable.Credit.Refundable.line.45..line.60.line.65..</t>
  </si>
  <si>
    <t>Coffee, not roasted, not decaffeited</t>
  </si>
  <si>
    <t>Maintence and repair of motor vehicles</t>
  </si>
  <si>
    <t>Other fincial services</t>
  </si>
  <si>
    <t>Activities of head offices; magement consultancy activities</t>
  </si>
  <si>
    <t>Architectural and engineering activities; technical testing and alysis</t>
  </si>
  <si>
    <t>Other professiol, scientific and technical activities</t>
  </si>
  <si>
    <t>Veteriry services</t>
  </si>
  <si>
    <t>Educatiol support activities</t>
  </si>
  <si>
    <t>Repair of computers and persol and household goods</t>
  </si>
  <si>
    <t>Other persol and community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</si>
</sst>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Font="1"/>
    <xf numFmtId="0" fontId="2" fillId="0" borderId="0" xfId="0" applyFont="1"/>
    <xf numFmtId="164" fontId="2" fillId="0" borderId="0" xfId="1" applyFont="1"/>
    <xf numFmtId="1" fontId="2" fillId="0" borderId="0" xfId="1" applyNumberFormat="1" applyFont="1"/>
    <xf numFmtId="1" fontId="0" fillId="0" borderId="0" xfId="1" applyNumberFormat="1" applyFont="1"/>
    <xf numFmtId="164" fontId="2" fillId="2" borderId="0" xfId="1" applyFon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2" fillId="0" borderId="0" xfId="0" applyFont="1" applyAlignment="1">
      <alignment wrapText="1"/>
    </xf>
    <xf numFmtId="0" fontId="0" fillId="3" borderId="0" xfId="0" applyFill="1"/>
    <xf numFmtId="49" fontId="2" fillId="0" borderId="0" xfId="0" applyNumberFormat="1" applyFont="1"/>
    <xf numFmtId="0" fontId="2" fillId="3" borderId="0" xfId="0" applyFont="1" applyFill="1"/>
    <xf numFmtId="49" fontId="2" fillId="3" borderId="0" xfId="0" applyNumberFormat="1" applyFont="1" applyFill="1"/>
    <xf numFmtId="164" fontId="2" fillId="0" borderId="0" xfId="0" applyNumberFormat="1" applyFont="1"/>
    <xf numFmtId="164" fontId="0" fillId="3" borderId="0" xfId="1" applyFont="1" applyFill="1"/>
    <xf numFmtId="164" fontId="3" fillId="0" borderId="0" xfId="1" applyFont="1"/>
    <xf numFmtId="164" fontId="2" fillId="0" borderId="0" xfId="1" applyFont="1" applyAlignment="1">
      <alignment wrapText="1"/>
    </xf>
    <xf numFmtId="164" fontId="2" fillId="4" borderId="0" xfId="1" applyFont="1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esktop\CGE%20DATA\VAT%202024\VAT%20CGE%202026\RCPA%202%20and%20ne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"/>
      <sheetName val="Sheet3"/>
    </sheetNames>
    <sheetDataSet>
      <sheetData sheetId="0"/>
      <sheetData sheetId="1">
        <row r="3">
          <cell r="A3" t="str">
            <v>A11</v>
          </cell>
          <cell r="B3" t="str">
            <v>Cereals</v>
          </cell>
        </row>
        <row r="14">
          <cell r="A14" t="str">
            <v>A13</v>
          </cell>
          <cell r="B14" t="str">
            <v>Vegetables</v>
          </cell>
        </row>
        <row r="18">
          <cell r="A18" t="str">
            <v>A14</v>
          </cell>
          <cell r="B18" t="str">
            <v>Bananas &amp; fruit</v>
          </cell>
        </row>
        <row r="28">
          <cell r="A28" t="str">
            <v>A21</v>
          </cell>
          <cell r="B28" t="str">
            <v>Coffee</v>
          </cell>
        </row>
        <row r="32">
          <cell r="A32" t="str">
            <v>A29</v>
          </cell>
          <cell r="B32" t="str">
            <v>Other agricultural products</v>
          </cell>
        </row>
        <row r="38">
          <cell r="A38" t="str">
            <v>A31</v>
          </cell>
          <cell r="B38" t="str">
            <v>Livestock</v>
          </cell>
        </row>
        <row r="43">
          <cell r="A43" t="str">
            <v>A32</v>
          </cell>
          <cell r="B43" t="str">
            <v>Livestock &amp; hunting products</v>
          </cell>
        </row>
        <row r="54">
          <cell r="A54" t="str">
            <v>A50</v>
          </cell>
          <cell r="B54" t="str">
            <v>Fishery products</v>
          </cell>
        </row>
        <row r="57">
          <cell r="A57" t="str">
            <v>B01</v>
          </cell>
          <cell r="B57" t="str">
            <v>Natural gas</v>
          </cell>
        </row>
        <row r="59">
          <cell r="A59" t="str">
            <v>B03</v>
          </cell>
          <cell r="B59" t="str">
            <v>Metal ores</v>
          </cell>
        </row>
        <row r="63">
          <cell r="A63" t="str">
            <v>B09</v>
          </cell>
          <cell r="B63" t="str">
            <v>Quarry &amp; other mining products</v>
          </cell>
        </row>
        <row r="67">
          <cell r="A67" t="str">
            <v>C11</v>
          </cell>
          <cell r="B67" t="str">
            <v>Meat &amp; meat products</v>
          </cell>
        </row>
        <row r="70">
          <cell r="A70" t="str">
            <v>C12</v>
          </cell>
          <cell r="B70" t="str">
            <v>Prepared &amp; preserved fish</v>
          </cell>
        </row>
        <row r="72">
          <cell r="A72" t="str">
            <v>C13</v>
          </cell>
          <cell r="B72" t="str">
            <v>Prepared &amp; preserved vegetables</v>
          </cell>
        </row>
        <row r="75">
          <cell r="A75" t="str">
            <v>C14</v>
          </cell>
          <cell r="B75" t="str">
            <v>Animal &amp; vegetable oils &amp; fats</v>
          </cell>
        </row>
        <row r="77">
          <cell r="A77" t="str">
            <v>C15</v>
          </cell>
          <cell r="B77" t="str">
            <v>Dairy products</v>
          </cell>
        </row>
        <row r="79">
          <cell r="A79" t="str">
            <v>C16</v>
          </cell>
          <cell r="B79" t="str">
            <v>Grain mill products</v>
          </cell>
        </row>
        <row r="85">
          <cell r="A85" t="str">
            <v>C17</v>
          </cell>
          <cell r="B85" t="str">
            <v>Bakery products</v>
          </cell>
        </row>
        <row r="87">
          <cell r="A87" t="str">
            <v>C18</v>
          </cell>
          <cell r="B87" t="str">
            <v>Animal feed &amp; other by-products</v>
          </cell>
        </row>
        <row r="89">
          <cell r="A89" t="str">
            <v>C19</v>
          </cell>
          <cell r="B89" t="str">
            <v>Other manufactured food products</v>
          </cell>
        </row>
        <row r="96">
          <cell r="A96" t="str">
            <v>C21</v>
          </cell>
          <cell r="B96" t="str">
            <v>Alcoholic drinks</v>
          </cell>
        </row>
        <row r="102">
          <cell r="A102" t="str">
            <v>C22</v>
          </cell>
          <cell r="B102" t="str">
            <v>Soft drinks</v>
          </cell>
        </row>
        <row r="105">
          <cell r="A105" t="str">
            <v>C23</v>
          </cell>
          <cell r="B105" t="str">
            <v>Tobacco products</v>
          </cell>
        </row>
        <row r="108">
          <cell r="A108" t="str">
            <v>C30</v>
          </cell>
          <cell r="B108" t="str">
            <v>Textiles, clothing &amp; leather products</v>
          </cell>
        </row>
        <row r="113">
          <cell r="A113" t="str">
            <v>C41</v>
          </cell>
          <cell r="B113" t="str">
            <v>Wood, paper &amp; related products</v>
          </cell>
        </row>
        <row r="117">
          <cell r="A117" t="str">
            <v>C42</v>
          </cell>
          <cell r="B117" t="str">
            <v>Printing &amp; reproduction of recorded media</v>
          </cell>
        </row>
        <row r="120">
          <cell r="A120" t="str">
            <v>C51</v>
          </cell>
          <cell r="B120" t="str">
            <v>Refined petroleum products; coke</v>
          </cell>
        </row>
        <row r="122">
          <cell r="A122" t="str">
            <v>C52</v>
          </cell>
          <cell r="B122" t="str">
            <v>Chemicals &amp; chemical products</v>
          </cell>
        </row>
        <row r="127">
          <cell r="A127" t="str">
            <v>C53</v>
          </cell>
          <cell r="B127" t="str">
            <v>Pharmaceutical products</v>
          </cell>
        </row>
        <row r="129">
          <cell r="A129" t="str">
            <v>C54</v>
          </cell>
          <cell r="B129" t="str">
            <v>Rubber &amp; plastics products</v>
          </cell>
        </row>
        <row r="134">
          <cell r="A134" t="str">
            <v>C61</v>
          </cell>
          <cell r="B134" t="str">
            <v>Non-metallic mineral products n.e.c.</v>
          </cell>
        </row>
        <row r="136">
          <cell r="A136" t="str">
            <v>C62</v>
          </cell>
          <cell r="B136" t="str">
            <v>Manufacture of cement, lime &amp; plaster</v>
          </cell>
        </row>
        <row r="139">
          <cell r="A139" t="str">
            <v>C63</v>
          </cell>
          <cell r="B139" t="str">
            <v>Manufacture of clay building materials</v>
          </cell>
        </row>
        <row r="142">
          <cell r="A142" t="str">
            <v>C72</v>
          </cell>
          <cell r="B142" t="str">
            <v>Metals &amp; metal products, except machinery &amp; equipment</v>
          </cell>
        </row>
        <row r="146">
          <cell r="A146" t="str">
            <v>C74</v>
          </cell>
          <cell r="B146" t="str">
            <v>Machinery &amp; equipment (except transport)</v>
          </cell>
        </row>
        <row r="156">
          <cell r="A156" t="str">
            <v>C76</v>
          </cell>
          <cell r="B156" t="str">
            <v>Transport equipment</v>
          </cell>
        </row>
        <row r="161">
          <cell r="A161" t="str">
            <v>C81</v>
          </cell>
          <cell r="B161" t="str">
            <v>Furniture</v>
          </cell>
        </row>
        <row r="164">
          <cell r="A164" t="str">
            <v>C82</v>
          </cell>
          <cell r="B164" t="str">
            <v>Other manufactures</v>
          </cell>
        </row>
        <row r="169">
          <cell r="A169" t="str">
            <v>C83</v>
          </cell>
          <cell r="B169" t="str">
            <v>Repair &amp; installation of machinery &amp; equipment</v>
          </cell>
        </row>
        <row r="172">
          <cell r="A172" t="str">
            <v>D00</v>
          </cell>
          <cell r="B172" t="str">
            <v>Electricity, gas, steam &amp; air conditioning supply</v>
          </cell>
        </row>
        <row r="175">
          <cell r="A175" t="str">
            <v>E01</v>
          </cell>
          <cell r="B175" t="str">
            <v>Water collection, treatment &amp; supply: sewrage</v>
          </cell>
        </row>
        <row r="177">
          <cell r="A177" t="str">
            <v>E02</v>
          </cell>
          <cell r="B177" t="str">
            <v>Waste collection &amp; management</v>
          </cell>
        </row>
        <row r="180">
          <cell r="A180" t="str">
            <v>F01</v>
          </cell>
          <cell r="B180" t="str">
            <v>Construction (modern)</v>
          </cell>
        </row>
        <row r="188">
          <cell r="A188" t="str">
            <v>G10</v>
          </cell>
          <cell r="B188" t="str">
            <v>Maintenance &amp; repair of motor vehicles</v>
          </cell>
        </row>
        <row r="191">
          <cell r="A191" t="str">
            <v>G21</v>
          </cell>
          <cell r="B191" t="str">
            <v>Wholesale &amp; retail trade of motor vehicles &amp; motorcycles</v>
          </cell>
        </row>
        <row r="193">
          <cell r="A193" t="str">
            <v>G22</v>
          </cell>
          <cell r="B193" t="str">
            <v>Wholesale trade, except of motor vehicles &amp; motorcycles</v>
          </cell>
        </row>
        <row r="200">
          <cell r="A200" t="str">
            <v>G23</v>
          </cell>
          <cell r="B200" t="str">
            <v>Retail trade, except of motor vehicles &amp; motorcycles</v>
          </cell>
        </row>
        <row r="209">
          <cell r="A209" t="str">
            <v>H10</v>
          </cell>
          <cell r="B209" t="str">
            <v>Land transport</v>
          </cell>
        </row>
        <row r="213">
          <cell r="A213" t="str">
            <v>H20</v>
          </cell>
          <cell r="B213" t="str">
            <v>Air transport</v>
          </cell>
        </row>
        <row r="217">
          <cell r="A217" t="str">
            <v>H31</v>
          </cell>
          <cell r="B217" t="str">
            <v xml:space="preserve">Services related to transport </v>
          </cell>
        </row>
        <row r="219">
          <cell r="A219" t="str">
            <v>H32</v>
          </cell>
          <cell r="B219" t="str">
            <v>Postal &amp; courier activities</v>
          </cell>
        </row>
        <row r="222">
          <cell r="A222" t="str">
            <v>I00</v>
          </cell>
          <cell r="B222" t="str">
            <v>Hotels &amp; restaurants</v>
          </cell>
        </row>
        <row r="226">
          <cell r="A226" t="str">
            <v>J10</v>
          </cell>
          <cell r="B226" t="str">
            <v>Publishing, video making, programming &amp; broadcasting activities</v>
          </cell>
        </row>
        <row r="231">
          <cell r="A231" t="str">
            <v>J20</v>
          </cell>
          <cell r="B231" t="str">
            <v>Telecommunication</v>
          </cell>
        </row>
        <row r="234">
          <cell r="A234" t="str">
            <v>J30</v>
          </cell>
          <cell r="B234" t="str">
            <v>Information technology services</v>
          </cell>
        </row>
        <row r="237">
          <cell r="A237" t="str">
            <v>K01</v>
          </cell>
          <cell r="B237" t="str">
            <v>Monetary institutions</v>
          </cell>
        </row>
        <row r="241">
          <cell r="A241" t="str">
            <v>K02</v>
          </cell>
          <cell r="B241" t="str">
            <v>Insurance, reinsurance &amp; pension funding, except compulsory social security</v>
          </cell>
        </row>
        <row r="243">
          <cell r="A243" t="str">
            <v>K03</v>
          </cell>
          <cell r="B243" t="str">
            <v>Other financial services</v>
          </cell>
        </row>
        <row r="249">
          <cell r="A249" t="str">
            <v>L09</v>
          </cell>
          <cell r="B249" t="str">
            <v>Other real estate activities</v>
          </cell>
        </row>
        <row r="252">
          <cell r="A252" t="str">
            <v>M01</v>
          </cell>
          <cell r="B252" t="str">
            <v>Legal, accounting management &amp; head office activities</v>
          </cell>
        </row>
        <row r="256">
          <cell r="A256" t="str">
            <v>M02</v>
          </cell>
          <cell r="B256" t="str">
            <v>Architectural &amp; engineering activities</v>
          </cell>
        </row>
        <row r="258">
          <cell r="A258" t="str">
            <v>M03</v>
          </cell>
          <cell r="B258" t="str">
            <v>Other professional, scientific &amp; technical activities</v>
          </cell>
        </row>
        <row r="264">
          <cell r="A264" t="str">
            <v>N01</v>
          </cell>
          <cell r="B264" t="str">
            <v>Travel agents &amp; tour operators</v>
          </cell>
        </row>
        <row r="266">
          <cell r="A266" t="str">
            <v>N09</v>
          </cell>
          <cell r="B266" t="str">
            <v>Other administrative &amp; support service activities</v>
          </cell>
        </row>
        <row r="273">
          <cell r="A273" t="str">
            <v>O00</v>
          </cell>
          <cell r="B273" t="str">
            <v>Public administration &amp; defence; compulsory social security</v>
          </cell>
        </row>
        <row r="278">
          <cell r="A278" t="str">
            <v>P00</v>
          </cell>
          <cell r="B278" t="str">
            <v>Education</v>
          </cell>
        </row>
        <row r="285">
          <cell r="A285" t="str">
            <v>Q01</v>
          </cell>
          <cell r="B285" t="str">
            <v>Human health activities</v>
          </cell>
        </row>
        <row r="287">
          <cell r="A287" t="str">
            <v>Q02</v>
          </cell>
          <cell r="B287" t="str">
            <v>Social work activities</v>
          </cell>
        </row>
        <row r="291">
          <cell r="A291" t="str">
            <v>R01</v>
          </cell>
          <cell r="B291" t="str">
            <v>Libraries, archives, museums &amp; other cultural activities</v>
          </cell>
        </row>
        <row r="294">
          <cell r="A294" t="str">
            <v>R09</v>
          </cell>
          <cell r="B294" t="str">
            <v>Other arts, entertainment &amp; recreation</v>
          </cell>
        </row>
        <row r="299">
          <cell r="A299" t="str">
            <v>S00</v>
          </cell>
          <cell r="B299" t="str">
            <v>Other service activities</v>
          </cell>
        </row>
        <row r="305">
          <cell r="A305" t="str">
            <v>T00</v>
          </cell>
          <cell r="B305" t="str">
            <v>Domestic services</v>
          </cell>
        </row>
        <row r="308">
          <cell r="A308" t="str">
            <v>V00</v>
          </cell>
          <cell r="B308" t="str">
            <v>Travel debits &amp; credits</v>
          </cell>
        </row>
        <row r="312">
          <cell r="A312" t="str">
            <v>X00</v>
          </cell>
          <cell r="B312" t="str">
            <v>Unallocated products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CPA2"/>
    </sheetNames>
    <sheetDataSet>
      <sheetData sheetId="0">
        <row r="3">
          <cell r="A3" t="str">
            <v>A11</v>
          </cell>
          <cell r="C3" t="str">
            <v>Cereals</v>
          </cell>
        </row>
        <row r="14">
          <cell r="A14" t="str">
            <v>A13</v>
          </cell>
          <cell r="C14" t="str">
            <v>Vegetables</v>
          </cell>
        </row>
        <row r="18">
          <cell r="A18" t="str">
            <v>A14</v>
          </cell>
          <cell r="C18" t="str">
            <v>Bananas &amp; fruit</v>
          </cell>
        </row>
        <row r="28">
          <cell r="A28" t="str">
            <v>A21</v>
          </cell>
          <cell r="C28" t="str">
            <v>Coffee</v>
          </cell>
        </row>
        <row r="32">
          <cell r="A32" t="str">
            <v>A29</v>
          </cell>
          <cell r="C32" t="str">
            <v>Other agricultural products</v>
          </cell>
        </row>
        <row r="38">
          <cell r="A38" t="str">
            <v>A31</v>
          </cell>
          <cell r="C38" t="str">
            <v>Livestock</v>
          </cell>
        </row>
        <row r="43">
          <cell r="A43" t="str">
            <v>A32</v>
          </cell>
          <cell r="C43" t="str">
            <v>Livestock &amp; hunting products</v>
          </cell>
        </row>
        <row r="49">
          <cell r="A49" t="str">
            <v>A40</v>
          </cell>
          <cell r="C49" t="str">
            <v>Forestry products</v>
          </cell>
        </row>
        <row r="54">
          <cell r="A54" t="str">
            <v>A50</v>
          </cell>
          <cell r="C54" t="str">
            <v>Fishery products</v>
          </cell>
        </row>
        <row r="57">
          <cell r="A57" t="str">
            <v>B01</v>
          </cell>
          <cell r="C57" t="str">
            <v>Natural gas</v>
          </cell>
        </row>
        <row r="59">
          <cell r="A59" t="str">
            <v>B03</v>
          </cell>
          <cell r="C59" t="str">
            <v>Metal ores</v>
          </cell>
        </row>
        <row r="63">
          <cell r="A63" t="str">
            <v>B09</v>
          </cell>
          <cell r="C63" t="str">
            <v>Quarry &amp; other mining products</v>
          </cell>
        </row>
        <row r="67">
          <cell r="A67" t="str">
            <v>C11</v>
          </cell>
          <cell r="C67" t="str">
            <v>Meat &amp; meat products</v>
          </cell>
        </row>
        <row r="70">
          <cell r="A70" t="str">
            <v>C12</v>
          </cell>
          <cell r="C70" t="str">
            <v>Prepared &amp; preserved fish</v>
          </cell>
        </row>
        <row r="72">
          <cell r="A72" t="str">
            <v>C13</v>
          </cell>
          <cell r="C72" t="str">
            <v>Prepared &amp; preserved vegetables</v>
          </cell>
        </row>
        <row r="75">
          <cell r="A75" t="str">
            <v>C14</v>
          </cell>
          <cell r="C75" t="str">
            <v>Animal &amp; vegetable oils &amp; fats</v>
          </cell>
        </row>
        <row r="77">
          <cell r="A77" t="str">
            <v>C15</v>
          </cell>
          <cell r="C77" t="str">
            <v>Dairy products</v>
          </cell>
        </row>
        <row r="79">
          <cell r="A79" t="str">
            <v>C16</v>
          </cell>
          <cell r="C79" t="str">
            <v>Grain mill products</v>
          </cell>
        </row>
        <row r="85">
          <cell r="A85" t="str">
            <v>C17</v>
          </cell>
          <cell r="C85" t="str">
            <v>Bakery products</v>
          </cell>
        </row>
        <row r="87">
          <cell r="A87" t="str">
            <v>C18</v>
          </cell>
          <cell r="C87" t="str">
            <v>Animal feed &amp; other by-products</v>
          </cell>
        </row>
        <row r="89">
          <cell r="A89" t="str">
            <v>C19</v>
          </cell>
          <cell r="C89" t="str">
            <v>Other manufactured food products</v>
          </cell>
        </row>
        <row r="96">
          <cell r="A96" t="str">
            <v>C21</v>
          </cell>
          <cell r="C96" t="str">
            <v>Alcoholic drinks</v>
          </cell>
        </row>
        <row r="102">
          <cell r="A102" t="str">
            <v>C22</v>
          </cell>
          <cell r="C102" t="str">
            <v>Soft drinks</v>
          </cell>
        </row>
        <row r="105">
          <cell r="A105" t="str">
            <v>C23</v>
          </cell>
          <cell r="C105" t="str">
            <v>Tobacco products</v>
          </cell>
        </row>
        <row r="108">
          <cell r="A108" t="str">
            <v>C30</v>
          </cell>
          <cell r="C108" t="str">
            <v>Textiles, clothing &amp; leather products</v>
          </cell>
        </row>
        <row r="113">
          <cell r="A113" t="str">
            <v>C41</v>
          </cell>
          <cell r="C113" t="str">
            <v>Wood, paper &amp; related products</v>
          </cell>
        </row>
        <row r="117">
          <cell r="A117" t="str">
            <v>C42</v>
          </cell>
          <cell r="C117" t="str">
            <v>Printing &amp; reproduction of recorded media</v>
          </cell>
        </row>
        <row r="120">
          <cell r="A120" t="str">
            <v>C51</v>
          </cell>
          <cell r="C120" t="str">
            <v>Refined petroleum products; coke</v>
          </cell>
        </row>
        <row r="122">
          <cell r="A122" t="str">
            <v>C52</v>
          </cell>
          <cell r="C122" t="str">
            <v>Chemicals &amp; chemical products</v>
          </cell>
        </row>
        <row r="127">
          <cell r="A127" t="str">
            <v>C53</v>
          </cell>
          <cell r="C127" t="str">
            <v>Pharmaceutical products</v>
          </cell>
        </row>
        <row r="129">
          <cell r="A129" t="str">
            <v>C54</v>
          </cell>
          <cell r="C129" t="str">
            <v>Rubber &amp; plastics products</v>
          </cell>
        </row>
        <row r="134">
          <cell r="A134" t="str">
            <v>C61</v>
          </cell>
          <cell r="C134" t="str">
            <v>Non-metallic mineral products n.e.c.</v>
          </cell>
        </row>
        <row r="136">
          <cell r="A136" t="str">
            <v>C62</v>
          </cell>
          <cell r="C136" t="str">
            <v>Manufacture of cement, lime &amp; plaster</v>
          </cell>
        </row>
        <row r="139">
          <cell r="A139" t="str">
            <v>C63</v>
          </cell>
          <cell r="C139" t="str">
            <v>Manufacture of clay building materials</v>
          </cell>
        </row>
        <row r="142">
          <cell r="A142" t="str">
            <v>C72</v>
          </cell>
          <cell r="C142" t="str">
            <v>Metals &amp; metal products, except machinery &amp; equipment</v>
          </cell>
        </row>
        <row r="146">
          <cell r="A146" t="str">
            <v>C74</v>
          </cell>
          <cell r="C146" t="str">
            <v>Machinery &amp; equipment (except transport)</v>
          </cell>
        </row>
        <row r="156">
          <cell r="A156" t="str">
            <v>C76</v>
          </cell>
          <cell r="C156" t="str">
            <v>Transport equipment</v>
          </cell>
        </row>
        <row r="161">
          <cell r="A161" t="str">
            <v>C81</v>
          </cell>
          <cell r="C161" t="str">
            <v>Furniture</v>
          </cell>
        </row>
        <row r="164">
          <cell r="A164" t="str">
            <v>C82</v>
          </cell>
          <cell r="C164" t="str">
            <v>Other manufactures</v>
          </cell>
        </row>
        <row r="169">
          <cell r="A169" t="str">
            <v>C83</v>
          </cell>
          <cell r="C169" t="str">
            <v>Repair &amp; installation of machinery &amp; equipment</v>
          </cell>
        </row>
        <row r="172">
          <cell r="A172" t="str">
            <v>D00</v>
          </cell>
          <cell r="C172" t="str">
            <v>Electricity, gas, steam &amp; air conditioning supply</v>
          </cell>
        </row>
        <row r="175">
          <cell r="A175" t="str">
            <v>E01</v>
          </cell>
          <cell r="C175" t="str">
            <v>Water collection, treatment &amp; supply: sewrage</v>
          </cell>
        </row>
        <row r="177">
          <cell r="A177" t="str">
            <v>E02</v>
          </cell>
          <cell r="C177" t="str">
            <v>Waste collection &amp; management</v>
          </cell>
        </row>
        <row r="180">
          <cell r="A180" t="str">
            <v>F01</v>
          </cell>
          <cell r="C180" t="str">
            <v>Construction (modern)</v>
          </cell>
        </row>
        <row r="188">
          <cell r="A188" t="str">
            <v>G10</v>
          </cell>
          <cell r="C188" t="str">
            <v>Maintenance &amp; repair of motor vehicles</v>
          </cell>
        </row>
        <row r="191">
          <cell r="A191" t="str">
            <v>G21</v>
          </cell>
          <cell r="C191" t="str">
            <v>Wholesale &amp; retail trade of motor vehicles &amp; motorcycles</v>
          </cell>
        </row>
        <row r="193">
          <cell r="A193" t="str">
            <v>G22</v>
          </cell>
          <cell r="C193" t="str">
            <v>Wholesale trade, except of motor vehicles &amp; motorcycles</v>
          </cell>
        </row>
        <row r="200">
          <cell r="A200" t="str">
            <v>G23</v>
          </cell>
          <cell r="C200" t="str">
            <v>Retail trade, except of motor vehicles &amp; motorcycles</v>
          </cell>
        </row>
        <row r="209">
          <cell r="A209" t="str">
            <v>H10</v>
          </cell>
          <cell r="C209" t="str">
            <v>Land transport</v>
          </cell>
        </row>
        <row r="213">
          <cell r="A213" t="str">
            <v>H20</v>
          </cell>
          <cell r="C213" t="str">
            <v>Air transport</v>
          </cell>
        </row>
        <row r="217">
          <cell r="A217" t="str">
            <v>H31</v>
          </cell>
          <cell r="C217" t="str">
            <v xml:space="preserve">Services related to transport </v>
          </cell>
        </row>
        <row r="219">
          <cell r="A219" t="str">
            <v>H32</v>
          </cell>
          <cell r="C219" t="str">
            <v>Postal &amp; courier activities</v>
          </cell>
        </row>
        <row r="222">
          <cell r="A222" t="str">
            <v>I00</v>
          </cell>
          <cell r="C222" t="str">
            <v>Hotels &amp; restaurants</v>
          </cell>
        </row>
        <row r="226">
          <cell r="A226" t="str">
            <v>J10</v>
          </cell>
          <cell r="C226" t="str">
            <v>Publishing, video making, programming &amp; broadcasting activities</v>
          </cell>
        </row>
        <row r="231">
          <cell r="A231" t="str">
            <v>J20</v>
          </cell>
          <cell r="C231" t="str">
            <v>Telecommunication</v>
          </cell>
        </row>
        <row r="234">
          <cell r="A234" t="str">
            <v>J30</v>
          </cell>
          <cell r="C234" t="str">
            <v>Information technology services</v>
          </cell>
        </row>
        <row r="237">
          <cell r="A237" t="str">
            <v>K01</v>
          </cell>
          <cell r="C237" t="str">
            <v>Monetary institutions</v>
          </cell>
        </row>
        <row r="241">
          <cell r="A241" t="str">
            <v>K02</v>
          </cell>
          <cell r="C241" t="str">
            <v>Insurance, reinsurance &amp; pension funding, except compulsory social security</v>
          </cell>
        </row>
        <row r="243">
          <cell r="A243" t="str">
            <v>K03</v>
          </cell>
          <cell r="C243" t="str">
            <v>Other financial services</v>
          </cell>
        </row>
        <row r="246">
          <cell r="A246" t="str">
            <v>L01</v>
          </cell>
          <cell r="C246" t="str">
            <v>Rental value of dwellings</v>
          </cell>
        </row>
        <row r="249">
          <cell r="A249" t="str">
            <v>L09</v>
          </cell>
          <cell r="C249" t="str">
            <v>Other real estate activities</v>
          </cell>
        </row>
        <row r="252">
          <cell r="A252" t="str">
            <v>M01</v>
          </cell>
          <cell r="C252" t="str">
            <v>Legal, accounting management &amp; head office activities</v>
          </cell>
        </row>
        <row r="256">
          <cell r="A256" t="str">
            <v>M02</v>
          </cell>
          <cell r="C256" t="str">
            <v>Architectural &amp; engineering activities</v>
          </cell>
        </row>
        <row r="258">
          <cell r="A258" t="str">
            <v>M03</v>
          </cell>
          <cell r="C258" t="str">
            <v>Other professional, scientific &amp; technical activities</v>
          </cell>
        </row>
        <row r="264">
          <cell r="A264" t="str">
            <v>N01</v>
          </cell>
          <cell r="C264" t="str">
            <v>Travel agents &amp; tour operators</v>
          </cell>
        </row>
        <row r="266">
          <cell r="A266" t="str">
            <v>N09</v>
          </cell>
          <cell r="C266" t="str">
            <v>Other administrative &amp; support service activities</v>
          </cell>
        </row>
        <row r="273">
          <cell r="A273" t="str">
            <v>O00</v>
          </cell>
          <cell r="C273" t="str">
            <v>Public administration &amp; defence; compulsory social security</v>
          </cell>
        </row>
        <row r="278">
          <cell r="A278" t="str">
            <v>P00</v>
          </cell>
          <cell r="C278" t="str">
            <v>Education</v>
          </cell>
        </row>
        <row r="285">
          <cell r="A285" t="str">
            <v>Q01</v>
          </cell>
          <cell r="C285" t="str">
            <v>Human health activities</v>
          </cell>
        </row>
        <row r="287">
          <cell r="A287" t="str">
            <v>Q02</v>
          </cell>
          <cell r="C287" t="str">
            <v>Social work activities</v>
          </cell>
        </row>
        <row r="291">
          <cell r="A291" t="str">
            <v>R01</v>
          </cell>
          <cell r="C291" t="str">
            <v>Libraries, archives, museums &amp; other cultural activities</v>
          </cell>
        </row>
        <row r="294">
          <cell r="A294" t="str">
            <v>R09</v>
          </cell>
          <cell r="C294" t="str">
            <v>Other arts, entertainment &amp; recreation</v>
          </cell>
        </row>
        <row r="299">
          <cell r="A299" t="str">
            <v>S00</v>
          </cell>
          <cell r="C299" t="str">
            <v>Other service activities</v>
          </cell>
        </row>
        <row r="305">
          <cell r="A305" t="str">
            <v>T00</v>
          </cell>
          <cell r="C305" t="str">
            <v>Domestic services</v>
          </cell>
        </row>
        <row r="308">
          <cell r="A308" t="str">
            <v>V00</v>
          </cell>
          <cell r="C308" t="str">
            <v>Travel debits &amp; credits</v>
          </cell>
        </row>
        <row r="312">
          <cell r="A312" t="str">
            <v>X00</v>
          </cell>
          <cell r="C312" t="str">
            <v>Unallocated products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8309-0F5E-4639-9E97-D7A4377276FB}">
  <dimension ref="A1:P224"/>
  <sheetViews>
    <sheetView topLeftCell="J1" workbookViewId="0">
      <pane ySplit="1" topLeftCell="A209" activePane="bottomLeft" state="frozen"/>
      <selection pane="bottomLeft" activeCell="N230" sqref="N230"/>
    </sheetView>
  </sheetViews>
  <sheetFormatPr defaultRowHeight="14.5" x14ac:dyDescent="0.35"/>
  <cols>
    <col min="1" max="1" width="10.6328125" bestFit="1" customWidth="1"/>
    <col min="2" max="2" width="37.90625" customWidth="1"/>
    <col min="3" max="3" width="18.08984375" style="1" bestFit="1" customWidth="1"/>
    <col min="4" max="5" width="17.1796875" style="1" bestFit="1" customWidth="1"/>
    <col min="6" max="6" width="15.6328125" style="1" bestFit="1" customWidth="1"/>
    <col min="7" max="7" width="28.54296875" style="1" bestFit="1" customWidth="1"/>
    <col min="8" max="8" width="35.1796875" style="1" bestFit="1" customWidth="1"/>
    <col min="9" max="9" width="31.90625" style="1" bestFit="1" customWidth="1"/>
    <col min="10" max="10" width="18" style="1" bestFit="1" customWidth="1"/>
    <col min="11" max="11" width="25.81640625" style="1" bestFit="1" customWidth="1"/>
    <col min="12" max="12" width="18.7265625" style="1" bestFit="1" customWidth="1"/>
    <col min="13" max="13" width="25.453125" style="1" bestFit="1" customWidth="1"/>
    <col min="14" max="14" width="33.453125" style="1" bestFit="1" customWidth="1"/>
    <col min="15" max="15" width="27.7265625" style="1" bestFit="1" customWidth="1"/>
    <col min="16" max="16" width="28.90625" style="1" customWidth="1"/>
  </cols>
  <sheetData>
    <row r="1" spans="1:16" ht="28.5" customHeight="1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 s="2" t="str">
        <f>[1]Sheet3!A3</f>
        <v>A11</v>
      </c>
      <c r="B2" s="2" t="str">
        <f>[1]Sheet3!B3</f>
        <v>Cereals</v>
      </c>
      <c r="C2" s="3">
        <f>C3+C4</f>
        <v>10164563107</v>
      </c>
      <c r="D2" s="3">
        <f t="shared" ref="D2:P2" si="0">D3+D4</f>
        <v>8155446721</v>
      </c>
      <c r="E2" s="3">
        <f t="shared" si="0"/>
        <v>318957575</v>
      </c>
      <c r="F2" s="3">
        <f t="shared" si="0"/>
        <v>0</v>
      </c>
      <c r="G2" s="3">
        <f t="shared" si="0"/>
        <v>8474404296</v>
      </c>
      <c r="H2" s="3">
        <f t="shared" si="0"/>
        <v>1690158811</v>
      </c>
      <c r="I2" s="3">
        <f t="shared" si="0"/>
        <v>304228594</v>
      </c>
      <c r="J2" s="3">
        <f t="shared" si="0"/>
        <v>111480</v>
      </c>
      <c r="K2" s="3">
        <f t="shared" si="0"/>
        <v>304340074</v>
      </c>
      <c r="L2" s="3">
        <f t="shared" si="0"/>
        <v>10352984</v>
      </c>
      <c r="M2" s="3">
        <f t="shared" si="0"/>
        <v>303092073</v>
      </c>
      <c r="N2" s="3">
        <f t="shared" si="0"/>
        <v>313445057</v>
      </c>
      <c r="O2" s="3">
        <f t="shared" si="0"/>
        <v>111290</v>
      </c>
      <c r="P2" s="3">
        <f t="shared" si="0"/>
        <v>-9216275</v>
      </c>
    </row>
    <row r="3" spans="1:16" x14ac:dyDescent="0.35">
      <c r="A3" t="s">
        <v>16</v>
      </c>
      <c r="B3" t="s">
        <v>17</v>
      </c>
      <c r="C3" s="1">
        <v>10113092425</v>
      </c>
      <c r="D3" s="1">
        <v>8131363320</v>
      </c>
      <c r="E3" s="1">
        <v>318957575</v>
      </c>
      <c r="F3" s="1">
        <v>0</v>
      </c>
      <c r="G3" s="1">
        <v>8450320895</v>
      </c>
      <c r="H3" s="1">
        <v>1662771530</v>
      </c>
      <c r="I3" s="1">
        <v>299298883</v>
      </c>
      <c r="J3" s="1">
        <v>111480</v>
      </c>
      <c r="K3" s="1">
        <v>299410363</v>
      </c>
      <c r="L3" s="1">
        <v>10352984</v>
      </c>
      <c r="M3" s="1">
        <v>301967459</v>
      </c>
      <c r="N3" s="1">
        <v>312320443</v>
      </c>
      <c r="O3" s="1">
        <v>111290</v>
      </c>
      <c r="P3" s="1">
        <v>-13021372</v>
      </c>
    </row>
    <row r="4" spans="1:16" x14ac:dyDescent="0.35">
      <c r="A4" t="s">
        <v>18</v>
      </c>
      <c r="B4" t="s">
        <v>19</v>
      </c>
      <c r="C4" s="1">
        <v>51470682</v>
      </c>
      <c r="D4" s="1">
        <v>24083401</v>
      </c>
      <c r="E4" s="1">
        <v>0</v>
      </c>
      <c r="F4" s="1">
        <v>0</v>
      </c>
      <c r="G4" s="1">
        <v>24083401</v>
      </c>
      <c r="H4" s="1">
        <v>27387281</v>
      </c>
      <c r="I4" s="1">
        <v>4929711</v>
      </c>
      <c r="J4" s="1">
        <v>0</v>
      </c>
      <c r="K4" s="1">
        <v>4929711</v>
      </c>
      <c r="L4" s="1">
        <v>0</v>
      </c>
      <c r="M4" s="1">
        <v>1124614</v>
      </c>
      <c r="N4" s="1">
        <v>1124614</v>
      </c>
      <c r="O4" s="1">
        <v>0</v>
      </c>
      <c r="P4" s="1">
        <v>3805097</v>
      </c>
    </row>
    <row r="5" spans="1:16" x14ac:dyDescent="0.35">
      <c r="A5" s="2" t="str">
        <f>[1]Sheet3!A14</f>
        <v>A13</v>
      </c>
      <c r="B5" s="2" t="str">
        <f>[1]Sheet3!B14</f>
        <v>Vegetables</v>
      </c>
      <c r="C5" s="3">
        <f>C6</f>
        <v>9055524157</v>
      </c>
      <c r="D5" s="3">
        <f t="shared" ref="D5:P5" si="1">D6</f>
        <v>1424996818</v>
      </c>
      <c r="E5" s="3">
        <f t="shared" si="1"/>
        <v>4381471113</v>
      </c>
      <c r="F5" s="3">
        <f t="shared" si="1"/>
        <v>3037109552</v>
      </c>
      <c r="G5" s="3">
        <f t="shared" si="1"/>
        <v>8843577483</v>
      </c>
      <c r="H5" s="3">
        <f t="shared" si="1"/>
        <v>211946674</v>
      </c>
      <c r="I5" s="3">
        <f t="shared" si="1"/>
        <v>38150402</v>
      </c>
      <c r="J5" s="3">
        <f t="shared" si="1"/>
        <v>0</v>
      </c>
      <c r="K5" s="3">
        <f t="shared" si="1"/>
        <v>38150402</v>
      </c>
      <c r="L5" s="3">
        <f t="shared" si="1"/>
        <v>4685963</v>
      </c>
      <c r="M5" s="3">
        <f t="shared" si="1"/>
        <v>44801632</v>
      </c>
      <c r="N5" s="3">
        <f t="shared" si="1"/>
        <v>49487595</v>
      </c>
      <c r="O5" s="3">
        <f t="shared" si="1"/>
        <v>0</v>
      </c>
      <c r="P5" s="3">
        <f t="shared" si="1"/>
        <v>-11337193</v>
      </c>
    </row>
    <row r="6" spans="1:16" x14ac:dyDescent="0.35">
      <c r="A6" t="s">
        <v>20</v>
      </c>
      <c r="B6" t="s">
        <v>21</v>
      </c>
      <c r="C6" s="1">
        <v>9055524157</v>
      </c>
      <c r="D6" s="1">
        <v>1424996818</v>
      </c>
      <c r="E6" s="1">
        <v>4381471113</v>
      </c>
      <c r="F6" s="1">
        <v>3037109552</v>
      </c>
      <c r="G6" s="1">
        <v>8843577483</v>
      </c>
      <c r="H6" s="1">
        <v>211946674</v>
      </c>
      <c r="I6" s="1">
        <v>38150402</v>
      </c>
      <c r="J6" s="1">
        <v>0</v>
      </c>
      <c r="K6" s="1">
        <v>38150402</v>
      </c>
      <c r="L6" s="1">
        <v>4685963</v>
      </c>
      <c r="M6" s="1">
        <v>44801632</v>
      </c>
      <c r="N6" s="1">
        <v>49487595</v>
      </c>
      <c r="O6" s="1">
        <v>0</v>
      </c>
      <c r="P6" s="1">
        <v>-11337193</v>
      </c>
    </row>
    <row r="7" spans="1:16" x14ac:dyDescent="0.35">
      <c r="A7" s="2" t="str">
        <f>[1]Sheet3!A18</f>
        <v>A14</v>
      </c>
      <c r="B7" s="2" t="str">
        <f>[1]Sheet3!B18</f>
        <v>Bananas &amp; fruit</v>
      </c>
      <c r="C7" s="3">
        <f>C8</f>
        <v>888111557</v>
      </c>
      <c r="D7" s="3">
        <f t="shared" ref="D7:P7" si="2">D8</f>
        <v>569271814</v>
      </c>
      <c r="E7" s="3">
        <f t="shared" si="2"/>
        <v>127702856</v>
      </c>
      <c r="F7" s="3">
        <f t="shared" si="2"/>
        <v>0</v>
      </c>
      <c r="G7" s="3">
        <f t="shared" si="2"/>
        <v>696974670</v>
      </c>
      <c r="H7" s="3">
        <f t="shared" si="2"/>
        <v>191136887</v>
      </c>
      <c r="I7" s="3">
        <f t="shared" si="2"/>
        <v>34404642</v>
      </c>
      <c r="J7" s="3">
        <f t="shared" si="2"/>
        <v>0</v>
      </c>
      <c r="K7" s="3">
        <f t="shared" si="2"/>
        <v>34404642</v>
      </c>
      <c r="L7" s="3">
        <f t="shared" si="2"/>
        <v>0</v>
      </c>
      <c r="M7" s="3">
        <f t="shared" si="2"/>
        <v>34407094</v>
      </c>
      <c r="N7" s="3">
        <f t="shared" si="2"/>
        <v>34407094</v>
      </c>
      <c r="O7" s="3">
        <f t="shared" si="2"/>
        <v>0</v>
      </c>
      <c r="P7" s="3">
        <f t="shared" si="2"/>
        <v>-2452</v>
      </c>
    </row>
    <row r="8" spans="1:16" x14ac:dyDescent="0.35">
      <c r="A8" t="s">
        <v>22</v>
      </c>
      <c r="B8" t="s">
        <v>23</v>
      </c>
      <c r="C8" s="1">
        <v>888111557</v>
      </c>
      <c r="D8" s="1">
        <v>569271814</v>
      </c>
      <c r="E8" s="1">
        <v>127702856</v>
      </c>
      <c r="F8" s="1">
        <v>0</v>
      </c>
      <c r="G8" s="1">
        <v>696974670</v>
      </c>
      <c r="H8" s="1">
        <v>191136887</v>
      </c>
      <c r="I8" s="1">
        <v>34404642</v>
      </c>
      <c r="J8" s="1">
        <v>0</v>
      </c>
      <c r="K8" s="1">
        <v>34404642</v>
      </c>
      <c r="L8" s="1">
        <v>0</v>
      </c>
      <c r="M8" s="1">
        <v>34407094</v>
      </c>
      <c r="N8" s="1">
        <v>34407094</v>
      </c>
      <c r="O8" s="1">
        <v>0</v>
      </c>
      <c r="P8" s="1">
        <v>-2452</v>
      </c>
    </row>
    <row r="9" spans="1:16" x14ac:dyDescent="0.35">
      <c r="A9" s="2" t="str">
        <f>[1]Sheet3!A28</f>
        <v>A21</v>
      </c>
      <c r="B9" s="2" t="str">
        <f>[1]Sheet3!B28</f>
        <v>Coffee</v>
      </c>
      <c r="C9" s="3">
        <f>C10</f>
        <v>20004322875</v>
      </c>
      <c r="D9" s="3">
        <f t="shared" ref="D9:P9" si="3">D10</f>
        <v>13756898396</v>
      </c>
      <c r="E9" s="3">
        <f t="shared" si="3"/>
        <v>4633331884</v>
      </c>
      <c r="F9" s="3">
        <f t="shared" si="3"/>
        <v>167939088</v>
      </c>
      <c r="G9" s="3">
        <f t="shared" si="3"/>
        <v>18558169367</v>
      </c>
      <c r="H9" s="3">
        <f t="shared" si="3"/>
        <v>1446153508</v>
      </c>
      <c r="I9" s="3">
        <f t="shared" si="3"/>
        <v>260307632</v>
      </c>
      <c r="J9" s="3">
        <f t="shared" si="3"/>
        <v>0</v>
      </c>
      <c r="K9" s="3">
        <f t="shared" si="3"/>
        <v>260307632</v>
      </c>
      <c r="L9" s="3">
        <f t="shared" si="3"/>
        <v>46918969</v>
      </c>
      <c r="M9" s="3">
        <f t="shared" si="3"/>
        <v>112177741</v>
      </c>
      <c r="N9" s="3">
        <f t="shared" si="3"/>
        <v>159096710</v>
      </c>
      <c r="O9" s="3">
        <f t="shared" si="3"/>
        <v>0</v>
      </c>
      <c r="P9" s="3">
        <f t="shared" si="3"/>
        <v>101210922</v>
      </c>
    </row>
    <row r="10" spans="1:16" x14ac:dyDescent="0.35">
      <c r="A10" t="s">
        <v>24</v>
      </c>
      <c r="B10" t="s">
        <v>25</v>
      </c>
      <c r="C10" s="1">
        <v>20004322875</v>
      </c>
      <c r="D10" s="1">
        <v>13756898396</v>
      </c>
      <c r="E10" s="1">
        <v>4633331884</v>
      </c>
      <c r="F10" s="1">
        <v>167939088</v>
      </c>
      <c r="G10" s="1">
        <v>18558169367</v>
      </c>
      <c r="H10" s="1">
        <v>1446153508</v>
      </c>
      <c r="I10" s="1">
        <v>260307632</v>
      </c>
      <c r="J10" s="1">
        <v>0</v>
      </c>
      <c r="K10" s="1">
        <v>260307632</v>
      </c>
      <c r="L10" s="1">
        <v>46918969</v>
      </c>
      <c r="M10" s="1">
        <v>112177741</v>
      </c>
      <c r="N10" s="1">
        <v>159096710</v>
      </c>
      <c r="O10" s="1">
        <v>0</v>
      </c>
      <c r="P10" s="1">
        <v>101210922</v>
      </c>
    </row>
    <row r="11" spans="1:16" x14ac:dyDescent="0.35">
      <c r="A11" s="2" t="str">
        <f>[1]Sheet3!A32</f>
        <v>A29</v>
      </c>
      <c r="B11" s="2" t="str">
        <f>[1]Sheet3!B32</f>
        <v>Other agricultural products</v>
      </c>
      <c r="C11" s="3">
        <f>C12+C13+C14</f>
        <v>126546602614</v>
      </c>
      <c r="D11" s="3">
        <f t="shared" ref="D11:P11" si="4">D12+D13+D14</f>
        <v>106389916775</v>
      </c>
      <c r="E11" s="3">
        <f t="shared" si="4"/>
        <v>2988105531</v>
      </c>
      <c r="F11" s="3">
        <f t="shared" si="4"/>
        <v>46847376</v>
      </c>
      <c r="G11" s="3">
        <f t="shared" si="4"/>
        <v>109424869682</v>
      </c>
      <c r="H11" s="3">
        <f t="shared" si="4"/>
        <v>17121732934</v>
      </c>
      <c r="I11" s="3">
        <f t="shared" si="4"/>
        <v>3081911936</v>
      </c>
      <c r="J11" s="3">
        <f t="shared" si="4"/>
        <v>9995492</v>
      </c>
      <c r="K11" s="3">
        <f t="shared" si="4"/>
        <v>3091907428</v>
      </c>
      <c r="L11" s="3">
        <f t="shared" si="4"/>
        <v>18778152</v>
      </c>
      <c r="M11" s="3">
        <f t="shared" si="4"/>
        <v>2510194896</v>
      </c>
      <c r="N11" s="3">
        <f t="shared" si="4"/>
        <v>2528973048</v>
      </c>
      <c r="O11" s="3">
        <f t="shared" si="4"/>
        <v>0</v>
      </c>
      <c r="P11" s="3">
        <f t="shared" si="4"/>
        <v>562934377</v>
      </c>
    </row>
    <row r="12" spans="1:16" x14ac:dyDescent="0.35">
      <c r="A12" t="s">
        <v>26</v>
      </c>
      <c r="B12" t="s">
        <v>27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 x14ac:dyDescent="0.35">
      <c r="A13" t="s">
        <v>28</v>
      </c>
      <c r="B13" t="s">
        <v>29</v>
      </c>
      <c r="C13" s="1">
        <v>1595170</v>
      </c>
      <c r="D13" s="1">
        <v>0</v>
      </c>
      <c r="E13" s="1">
        <v>0</v>
      </c>
      <c r="F13" s="1">
        <v>0</v>
      </c>
      <c r="G13" s="1">
        <v>0</v>
      </c>
      <c r="H13" s="1">
        <v>1595170</v>
      </c>
      <c r="I13" s="1">
        <v>287131</v>
      </c>
      <c r="J13" s="1">
        <v>0</v>
      </c>
      <c r="K13" s="1">
        <v>287131</v>
      </c>
      <c r="L13" s="1">
        <v>0</v>
      </c>
      <c r="M13" s="1">
        <v>123826</v>
      </c>
      <c r="N13" s="1">
        <v>123826</v>
      </c>
      <c r="O13" s="1">
        <v>0</v>
      </c>
      <c r="P13" s="1">
        <v>163305</v>
      </c>
    </row>
    <row r="14" spans="1:16" x14ac:dyDescent="0.35">
      <c r="A14" t="s">
        <v>30</v>
      </c>
      <c r="B14" t="s">
        <v>31</v>
      </c>
      <c r="C14" s="1">
        <v>126545007444</v>
      </c>
      <c r="D14" s="1">
        <v>106389916775</v>
      </c>
      <c r="E14" s="1">
        <v>2988105531</v>
      </c>
      <c r="F14" s="1">
        <v>46847376</v>
      </c>
      <c r="G14" s="1">
        <v>109424869682</v>
      </c>
      <c r="H14" s="1">
        <v>17120137764</v>
      </c>
      <c r="I14" s="1">
        <v>3081624805</v>
      </c>
      <c r="J14" s="1">
        <v>9995492</v>
      </c>
      <c r="K14" s="1">
        <v>3091620297</v>
      </c>
      <c r="L14" s="1">
        <v>18778152</v>
      </c>
      <c r="M14" s="1">
        <v>2510071070</v>
      </c>
      <c r="N14" s="1">
        <v>2528849222</v>
      </c>
      <c r="O14" s="1">
        <v>0</v>
      </c>
      <c r="P14" s="1">
        <v>562771072</v>
      </c>
    </row>
    <row r="15" spans="1:16" x14ac:dyDescent="0.35">
      <c r="A15" s="2" t="str">
        <f>[1]Sheet3!A38</f>
        <v>A31</v>
      </c>
      <c r="B15" s="2" t="str">
        <f>[1]Sheet3!B38</f>
        <v>Livestock</v>
      </c>
      <c r="C15" s="4">
        <f>C16+C17+C18+C19</f>
        <v>0</v>
      </c>
      <c r="D15" s="4">
        <f t="shared" ref="D15:P15" si="5">D16+D17+D18+D19</f>
        <v>0</v>
      </c>
      <c r="E15" s="4">
        <f t="shared" si="5"/>
        <v>0</v>
      </c>
      <c r="F15" s="4">
        <f t="shared" si="5"/>
        <v>0</v>
      </c>
      <c r="G15" s="4">
        <f t="shared" si="5"/>
        <v>0</v>
      </c>
      <c r="H15" s="4">
        <f t="shared" si="5"/>
        <v>0</v>
      </c>
      <c r="I15" s="4">
        <f t="shared" si="5"/>
        <v>0</v>
      </c>
      <c r="J15" s="4">
        <f t="shared" si="5"/>
        <v>0</v>
      </c>
      <c r="K15" s="4">
        <f t="shared" si="5"/>
        <v>0</v>
      </c>
      <c r="L15" s="4">
        <f t="shared" si="5"/>
        <v>0</v>
      </c>
      <c r="M15" s="4">
        <f t="shared" si="5"/>
        <v>0</v>
      </c>
      <c r="N15" s="4">
        <f t="shared" si="5"/>
        <v>0</v>
      </c>
      <c r="O15" s="4">
        <f t="shared" si="5"/>
        <v>0</v>
      </c>
      <c r="P15" s="4">
        <f t="shared" si="5"/>
        <v>0</v>
      </c>
    </row>
    <row r="16" spans="1:16" x14ac:dyDescent="0.35">
      <c r="A16" t="s">
        <v>32</v>
      </c>
      <c r="B16" t="s">
        <v>33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 x14ac:dyDescent="0.35">
      <c r="A17" t="s">
        <v>34</v>
      </c>
      <c r="B17" t="s">
        <v>35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 x14ac:dyDescent="0.35">
      <c r="A18" t="s">
        <v>36</v>
      </c>
      <c r="B18" t="s">
        <v>37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 x14ac:dyDescent="0.35">
      <c r="A19" t="s">
        <v>38</v>
      </c>
      <c r="B19" t="s">
        <v>39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 x14ac:dyDescent="0.35">
      <c r="A20" s="2" t="str">
        <f>[1]Sheet3!A43</f>
        <v>A32</v>
      </c>
      <c r="B20" s="2" t="str">
        <f>[1]Sheet3!B43</f>
        <v>Livestock &amp; hunting products</v>
      </c>
      <c r="C20" s="3">
        <f>C21</f>
        <v>2339397276</v>
      </c>
      <c r="D20" s="3">
        <f t="shared" ref="D20:P20" si="6">D21</f>
        <v>1369969395</v>
      </c>
      <c r="E20" s="3">
        <f t="shared" si="6"/>
        <v>0</v>
      </c>
      <c r="F20" s="3">
        <f t="shared" si="6"/>
        <v>0</v>
      </c>
      <c r="G20" s="3">
        <f t="shared" si="6"/>
        <v>1369969395</v>
      </c>
      <c r="H20" s="3">
        <f t="shared" si="6"/>
        <v>969427881</v>
      </c>
      <c r="I20" s="3">
        <f t="shared" si="6"/>
        <v>174497024</v>
      </c>
      <c r="J20" s="3">
        <f t="shared" si="6"/>
        <v>0</v>
      </c>
      <c r="K20" s="3">
        <f t="shared" si="6"/>
        <v>174497024</v>
      </c>
      <c r="L20" s="3">
        <f t="shared" si="6"/>
        <v>17138522</v>
      </c>
      <c r="M20" s="3">
        <f t="shared" si="6"/>
        <v>158357481</v>
      </c>
      <c r="N20" s="3">
        <f t="shared" si="6"/>
        <v>175496003</v>
      </c>
      <c r="O20" s="3">
        <f t="shared" si="6"/>
        <v>0</v>
      </c>
      <c r="P20" s="3">
        <f t="shared" si="6"/>
        <v>-998982</v>
      </c>
    </row>
    <row r="21" spans="1:16" x14ac:dyDescent="0.35">
      <c r="A21" t="s">
        <v>40</v>
      </c>
      <c r="B21" t="s">
        <v>41</v>
      </c>
      <c r="C21" s="1">
        <v>2339397276</v>
      </c>
      <c r="D21" s="1">
        <v>1369969395</v>
      </c>
      <c r="E21" s="1">
        <v>0</v>
      </c>
      <c r="F21" s="1">
        <v>0</v>
      </c>
      <c r="G21" s="1">
        <v>1369969395</v>
      </c>
      <c r="H21" s="1">
        <v>969427881</v>
      </c>
      <c r="I21" s="1">
        <v>174497024</v>
      </c>
      <c r="J21" s="1">
        <v>0</v>
      </c>
      <c r="K21" s="1">
        <v>174497024</v>
      </c>
      <c r="L21" s="1">
        <v>17138522</v>
      </c>
      <c r="M21" s="1">
        <v>158357481</v>
      </c>
      <c r="N21" s="1">
        <v>175496003</v>
      </c>
      <c r="O21" s="1">
        <v>0</v>
      </c>
      <c r="P21" s="1">
        <v>-998982</v>
      </c>
    </row>
    <row r="22" spans="1:16" x14ac:dyDescent="0.35">
      <c r="A22" s="2" t="str">
        <f>[1]Sheet3!A43</f>
        <v>A32</v>
      </c>
      <c r="B22" s="2" t="str">
        <f>[1]Sheet3!B43</f>
        <v>Livestock &amp; hunting products</v>
      </c>
      <c r="C22" s="3">
        <f>C23</f>
        <v>7987876114</v>
      </c>
      <c r="D22" s="3">
        <f t="shared" ref="D22:P22" si="7">D23</f>
        <v>2247398553</v>
      </c>
      <c r="E22" s="3">
        <f t="shared" si="7"/>
        <v>0</v>
      </c>
      <c r="F22" s="3">
        <f t="shared" si="7"/>
        <v>0</v>
      </c>
      <c r="G22" s="3">
        <f t="shared" si="7"/>
        <v>2247398553</v>
      </c>
      <c r="H22" s="3">
        <f t="shared" si="7"/>
        <v>5740477561</v>
      </c>
      <c r="I22" s="3">
        <f t="shared" si="7"/>
        <v>1033285963</v>
      </c>
      <c r="J22" s="3">
        <f t="shared" si="7"/>
        <v>0</v>
      </c>
      <c r="K22" s="3">
        <f t="shared" si="7"/>
        <v>1033285963</v>
      </c>
      <c r="L22" s="3">
        <f t="shared" si="7"/>
        <v>24079952</v>
      </c>
      <c r="M22" s="3">
        <f t="shared" si="7"/>
        <v>338506845</v>
      </c>
      <c r="N22" s="3">
        <f t="shared" si="7"/>
        <v>362586797</v>
      </c>
      <c r="O22" s="3">
        <f t="shared" si="7"/>
        <v>0</v>
      </c>
      <c r="P22" s="3">
        <f t="shared" si="7"/>
        <v>670699164</v>
      </c>
    </row>
    <row r="23" spans="1:16" x14ac:dyDescent="0.35">
      <c r="A23" t="s">
        <v>42</v>
      </c>
      <c r="B23" t="s">
        <v>43</v>
      </c>
      <c r="C23" s="1">
        <v>7987876114</v>
      </c>
      <c r="D23" s="1">
        <v>2247398553</v>
      </c>
      <c r="E23" s="1">
        <v>0</v>
      </c>
      <c r="F23" s="1">
        <v>0</v>
      </c>
      <c r="G23" s="1">
        <v>2247398553</v>
      </c>
      <c r="H23" s="1">
        <v>5740477561</v>
      </c>
      <c r="I23" s="1">
        <v>1033285963</v>
      </c>
      <c r="J23" s="1">
        <v>0</v>
      </c>
      <c r="K23" s="1">
        <v>1033285963</v>
      </c>
      <c r="L23" s="1">
        <v>24079952</v>
      </c>
      <c r="M23" s="1">
        <v>338506845</v>
      </c>
      <c r="N23" s="1">
        <v>362586797</v>
      </c>
      <c r="O23" s="1">
        <v>0</v>
      </c>
      <c r="P23" s="1">
        <v>670699164</v>
      </c>
    </row>
    <row r="24" spans="1:16" x14ac:dyDescent="0.35">
      <c r="A24" s="2" t="str">
        <f>[1]Sheet3!A54</f>
        <v>A50</v>
      </c>
      <c r="B24" s="2" t="str">
        <f>[1]Sheet3!B54</f>
        <v>Fishery products</v>
      </c>
      <c r="C24" s="3">
        <f>C25</f>
        <v>3736927053</v>
      </c>
      <c r="D24" s="3">
        <f t="shared" ref="D24:P24" si="8">D25</f>
        <v>2708366528</v>
      </c>
      <c r="E24" s="3">
        <f t="shared" si="8"/>
        <v>251230700</v>
      </c>
      <c r="F24" s="3">
        <f t="shared" si="8"/>
        <v>0</v>
      </c>
      <c r="G24" s="3">
        <f t="shared" si="8"/>
        <v>2959597228</v>
      </c>
      <c r="H24" s="3">
        <f t="shared" si="8"/>
        <v>777329825</v>
      </c>
      <c r="I24" s="3">
        <f t="shared" si="8"/>
        <v>139919368</v>
      </c>
      <c r="J24" s="3">
        <f t="shared" si="8"/>
        <v>0</v>
      </c>
      <c r="K24" s="3">
        <f t="shared" si="8"/>
        <v>139919368</v>
      </c>
      <c r="L24" s="3">
        <f t="shared" si="8"/>
        <v>2409984</v>
      </c>
      <c r="M24" s="3">
        <f t="shared" si="8"/>
        <v>85517454</v>
      </c>
      <c r="N24" s="3">
        <f t="shared" si="8"/>
        <v>87927438</v>
      </c>
      <c r="O24" s="3">
        <f t="shared" si="8"/>
        <v>0</v>
      </c>
      <c r="P24" s="3">
        <f t="shared" si="8"/>
        <v>51991930</v>
      </c>
    </row>
    <row r="25" spans="1:16" x14ac:dyDescent="0.35">
      <c r="A25" t="s">
        <v>44</v>
      </c>
      <c r="B25" t="s">
        <v>45</v>
      </c>
      <c r="C25" s="1">
        <v>3736927053</v>
      </c>
      <c r="D25" s="1">
        <v>2708366528</v>
      </c>
      <c r="E25" s="1">
        <v>251230700</v>
      </c>
      <c r="F25" s="1">
        <v>0</v>
      </c>
      <c r="G25" s="1">
        <v>2959597228</v>
      </c>
      <c r="H25" s="1">
        <v>777329825</v>
      </c>
      <c r="I25" s="1">
        <v>139919368</v>
      </c>
      <c r="J25" s="1">
        <v>0</v>
      </c>
      <c r="K25" s="1">
        <v>139919368</v>
      </c>
      <c r="L25" s="1">
        <v>2409984</v>
      </c>
      <c r="M25" s="1">
        <v>85517454</v>
      </c>
      <c r="N25" s="1">
        <v>87927438</v>
      </c>
      <c r="O25" s="1">
        <v>0</v>
      </c>
      <c r="P25" s="1">
        <v>51991930</v>
      </c>
    </row>
    <row r="26" spans="1:16" x14ac:dyDescent="0.35">
      <c r="A26" s="2" t="str">
        <f>[1]Sheet3!A57</f>
        <v>B01</v>
      </c>
      <c r="B26" s="2" t="str">
        <f>[1]Sheet3!B57</f>
        <v>Natural gas</v>
      </c>
      <c r="C26" s="3">
        <f>C27</f>
        <v>69753255</v>
      </c>
      <c r="D26" s="3">
        <f t="shared" ref="D26:P26" si="9">D27</f>
        <v>0</v>
      </c>
      <c r="E26" s="3">
        <f t="shared" si="9"/>
        <v>0</v>
      </c>
      <c r="F26" s="3">
        <f t="shared" si="9"/>
        <v>0</v>
      </c>
      <c r="G26" s="3">
        <f t="shared" si="9"/>
        <v>0</v>
      </c>
      <c r="H26" s="3">
        <f t="shared" si="9"/>
        <v>69753255</v>
      </c>
      <c r="I26" s="3">
        <f t="shared" si="9"/>
        <v>12555586</v>
      </c>
      <c r="J26" s="3">
        <f t="shared" si="9"/>
        <v>0</v>
      </c>
      <c r="K26" s="3">
        <f t="shared" si="9"/>
        <v>12555586</v>
      </c>
      <c r="L26" s="3">
        <f t="shared" si="9"/>
        <v>0</v>
      </c>
      <c r="M26" s="3">
        <f t="shared" si="9"/>
        <v>10497259</v>
      </c>
      <c r="N26" s="3">
        <f t="shared" si="9"/>
        <v>10497259</v>
      </c>
      <c r="O26" s="3">
        <f t="shared" si="9"/>
        <v>0</v>
      </c>
      <c r="P26" s="3">
        <f t="shared" si="9"/>
        <v>2058327</v>
      </c>
    </row>
    <row r="27" spans="1:16" x14ac:dyDescent="0.35">
      <c r="A27" t="s">
        <v>46</v>
      </c>
      <c r="B27" t="s">
        <v>47</v>
      </c>
      <c r="C27" s="1">
        <v>69753255</v>
      </c>
      <c r="D27" s="1">
        <v>0</v>
      </c>
      <c r="E27" s="1">
        <v>0</v>
      </c>
      <c r="F27" s="1">
        <v>0</v>
      </c>
      <c r="G27" s="1">
        <v>0</v>
      </c>
      <c r="H27" s="1">
        <v>69753255</v>
      </c>
      <c r="I27" s="1">
        <v>12555586</v>
      </c>
      <c r="J27" s="1">
        <v>0</v>
      </c>
      <c r="K27" s="1">
        <v>12555586</v>
      </c>
      <c r="L27" s="1">
        <v>0</v>
      </c>
      <c r="M27" s="1">
        <v>10497259</v>
      </c>
      <c r="N27" s="1">
        <v>10497259</v>
      </c>
      <c r="O27" s="1">
        <v>0</v>
      </c>
      <c r="P27" s="1">
        <v>2058327</v>
      </c>
    </row>
    <row r="28" spans="1:16" x14ac:dyDescent="0.35">
      <c r="A28" s="2" t="str">
        <f>[1]Sheet3!A59</f>
        <v>B03</v>
      </c>
      <c r="B28" s="2" t="str">
        <f>[1]Sheet3!B59</f>
        <v>Metal ores</v>
      </c>
      <c r="C28" s="3">
        <f>C29</f>
        <v>45328464198</v>
      </c>
      <c r="D28" s="3">
        <f t="shared" ref="D28:P28" si="10">D29</f>
        <v>821841340</v>
      </c>
      <c r="E28" s="3">
        <f t="shared" si="10"/>
        <v>16454228778</v>
      </c>
      <c r="F28" s="3">
        <f t="shared" si="10"/>
        <v>27749382100</v>
      </c>
      <c r="G28" s="3">
        <f t="shared" si="10"/>
        <v>45025452218</v>
      </c>
      <c r="H28" s="3">
        <f t="shared" si="10"/>
        <v>303011980</v>
      </c>
      <c r="I28" s="3">
        <f t="shared" si="10"/>
        <v>54542156</v>
      </c>
      <c r="J28" s="3">
        <f t="shared" si="10"/>
        <v>0</v>
      </c>
      <c r="K28" s="3">
        <f t="shared" si="10"/>
        <v>54542156</v>
      </c>
      <c r="L28" s="3">
        <f t="shared" si="10"/>
        <v>2776880</v>
      </c>
      <c r="M28" s="3">
        <f t="shared" si="10"/>
        <v>232404840</v>
      </c>
      <c r="N28" s="3">
        <f t="shared" si="10"/>
        <v>235181720</v>
      </c>
      <c r="O28" s="3">
        <f t="shared" si="10"/>
        <v>0</v>
      </c>
      <c r="P28" s="3">
        <f t="shared" si="10"/>
        <v>-180639564</v>
      </c>
    </row>
    <row r="29" spans="1:16" x14ac:dyDescent="0.35">
      <c r="A29" t="s">
        <v>48</v>
      </c>
      <c r="B29" t="s">
        <v>49</v>
      </c>
      <c r="C29" s="1">
        <v>45328464198</v>
      </c>
      <c r="D29" s="1">
        <v>821841340</v>
      </c>
      <c r="E29" s="1">
        <v>16454228778</v>
      </c>
      <c r="F29" s="1">
        <v>27749382100</v>
      </c>
      <c r="G29" s="1">
        <v>45025452218</v>
      </c>
      <c r="H29" s="1">
        <v>303011980</v>
      </c>
      <c r="I29" s="1">
        <v>54542156</v>
      </c>
      <c r="J29" s="1">
        <v>0</v>
      </c>
      <c r="K29" s="1">
        <v>54542156</v>
      </c>
      <c r="L29" s="1">
        <v>2776880</v>
      </c>
      <c r="M29" s="1">
        <v>232404840</v>
      </c>
      <c r="N29" s="1">
        <v>235181720</v>
      </c>
      <c r="O29" s="1">
        <v>0</v>
      </c>
      <c r="P29" s="1">
        <v>-180639564</v>
      </c>
    </row>
    <row r="30" spans="1:16" x14ac:dyDescent="0.35">
      <c r="A30" s="2" t="str">
        <f>[1]Sheet3!A63</f>
        <v>B09</v>
      </c>
      <c r="B30" s="2" t="str">
        <f>[1]Sheet3!B63</f>
        <v>Quarry &amp; other mining products</v>
      </c>
      <c r="C30" s="3">
        <f>C31+C32</f>
        <v>96895432184</v>
      </c>
      <c r="D30" s="3">
        <f t="shared" ref="D30:P30" si="11">D31+D32</f>
        <v>12295161718</v>
      </c>
      <c r="E30" s="3">
        <f t="shared" si="11"/>
        <v>9736183959</v>
      </c>
      <c r="F30" s="3">
        <f t="shared" si="11"/>
        <v>62763943186</v>
      </c>
      <c r="G30" s="3">
        <f t="shared" si="11"/>
        <v>84795288863</v>
      </c>
      <c r="H30" s="3">
        <f t="shared" si="11"/>
        <v>12100143321</v>
      </c>
      <c r="I30" s="3">
        <f t="shared" si="11"/>
        <v>2178025805</v>
      </c>
      <c r="J30" s="3">
        <f t="shared" si="11"/>
        <v>39547003</v>
      </c>
      <c r="K30" s="3">
        <f t="shared" si="11"/>
        <v>2217572808</v>
      </c>
      <c r="L30" s="3">
        <f t="shared" si="11"/>
        <v>339850909</v>
      </c>
      <c r="M30" s="3">
        <f t="shared" si="11"/>
        <v>2285533764</v>
      </c>
      <c r="N30" s="3">
        <f t="shared" si="11"/>
        <v>2625384673</v>
      </c>
      <c r="O30" s="3">
        <f t="shared" si="11"/>
        <v>0</v>
      </c>
      <c r="P30" s="3">
        <f t="shared" si="11"/>
        <v>-407811867</v>
      </c>
    </row>
    <row r="31" spans="1:16" x14ac:dyDescent="0.35">
      <c r="A31" t="s">
        <v>50</v>
      </c>
      <c r="B31" t="s">
        <v>51</v>
      </c>
      <c r="C31" s="1">
        <v>8555192157</v>
      </c>
      <c r="D31" s="1">
        <v>2994214319</v>
      </c>
      <c r="E31" s="1">
        <v>13000</v>
      </c>
      <c r="F31" s="1">
        <v>0</v>
      </c>
      <c r="G31" s="1">
        <v>2994227319</v>
      </c>
      <c r="H31" s="1">
        <v>5560964838</v>
      </c>
      <c r="I31" s="1">
        <v>1000973669</v>
      </c>
      <c r="J31" s="1">
        <v>0</v>
      </c>
      <c r="K31" s="1">
        <v>1000973669</v>
      </c>
      <c r="L31" s="1">
        <v>244278325</v>
      </c>
      <c r="M31" s="1">
        <v>397491231</v>
      </c>
      <c r="N31" s="1">
        <v>641769556</v>
      </c>
      <c r="O31" s="1">
        <v>0</v>
      </c>
      <c r="P31" s="1">
        <v>359204112</v>
      </c>
    </row>
    <row r="32" spans="1:16" x14ac:dyDescent="0.35">
      <c r="A32" t="s">
        <v>52</v>
      </c>
      <c r="B32" t="s">
        <v>53</v>
      </c>
      <c r="C32" s="1">
        <v>88340240027</v>
      </c>
      <c r="D32" s="1">
        <v>9300947399</v>
      </c>
      <c r="E32" s="1">
        <v>9736170959</v>
      </c>
      <c r="F32" s="1">
        <v>62763943186</v>
      </c>
      <c r="G32" s="1">
        <v>81801061544</v>
      </c>
      <c r="H32" s="1">
        <v>6539178483</v>
      </c>
      <c r="I32" s="1">
        <v>1177052136</v>
      </c>
      <c r="J32" s="1">
        <v>39547003</v>
      </c>
      <c r="K32" s="1">
        <v>1216599139</v>
      </c>
      <c r="L32" s="1">
        <v>95572584</v>
      </c>
      <c r="M32" s="1">
        <v>1888042533</v>
      </c>
      <c r="N32" s="1">
        <v>1983615117</v>
      </c>
      <c r="O32" s="1">
        <v>0</v>
      </c>
      <c r="P32" s="1">
        <v>-767015979</v>
      </c>
    </row>
    <row r="33" spans="1:16" x14ac:dyDescent="0.35">
      <c r="A33" s="2" t="str">
        <f>[1]Sheet3!A67</f>
        <v>C11</v>
      </c>
      <c r="B33" s="2" t="str">
        <f>[1]Sheet3!B67</f>
        <v>Meat &amp; meat products</v>
      </c>
      <c r="C33" s="3">
        <f>C34</f>
        <v>9326764145</v>
      </c>
      <c r="D33" s="3">
        <f t="shared" ref="D33:P33" si="12">D34</f>
        <v>6134332647</v>
      </c>
      <c r="E33" s="3">
        <f t="shared" si="12"/>
        <v>477792915</v>
      </c>
      <c r="F33" s="3">
        <f t="shared" si="12"/>
        <v>0</v>
      </c>
      <c r="G33" s="3">
        <f t="shared" si="12"/>
        <v>6612125562</v>
      </c>
      <c r="H33" s="3">
        <f t="shared" si="12"/>
        <v>2714638583</v>
      </c>
      <c r="I33" s="3">
        <f t="shared" si="12"/>
        <v>488634945</v>
      </c>
      <c r="J33" s="3">
        <f t="shared" si="12"/>
        <v>0</v>
      </c>
      <c r="K33" s="3">
        <f t="shared" si="12"/>
        <v>488634945</v>
      </c>
      <c r="L33" s="3">
        <f t="shared" si="12"/>
        <v>24425185</v>
      </c>
      <c r="M33" s="3">
        <f t="shared" si="12"/>
        <v>310763196</v>
      </c>
      <c r="N33" s="3">
        <f t="shared" si="12"/>
        <v>335188381</v>
      </c>
      <c r="O33" s="3">
        <f t="shared" si="12"/>
        <v>0</v>
      </c>
      <c r="P33" s="3">
        <f t="shared" si="12"/>
        <v>153446564</v>
      </c>
    </row>
    <row r="34" spans="1:16" x14ac:dyDescent="0.35">
      <c r="A34" t="s">
        <v>54</v>
      </c>
      <c r="B34" t="s">
        <v>55</v>
      </c>
      <c r="C34" s="1">
        <v>9326764145</v>
      </c>
      <c r="D34" s="1">
        <v>6134332647</v>
      </c>
      <c r="E34" s="1">
        <v>477792915</v>
      </c>
      <c r="F34" s="1">
        <v>0</v>
      </c>
      <c r="G34" s="1">
        <v>6612125562</v>
      </c>
      <c r="H34" s="1">
        <v>2714638583</v>
      </c>
      <c r="I34" s="1">
        <v>488634945</v>
      </c>
      <c r="J34" s="1">
        <v>0</v>
      </c>
      <c r="K34" s="1">
        <v>488634945</v>
      </c>
      <c r="L34" s="1">
        <v>24425185</v>
      </c>
      <c r="M34" s="1">
        <v>310763196</v>
      </c>
      <c r="N34" s="1">
        <v>335188381</v>
      </c>
      <c r="O34" s="1">
        <v>0</v>
      </c>
      <c r="P34" s="1">
        <v>153446564</v>
      </c>
    </row>
    <row r="35" spans="1:16" x14ac:dyDescent="0.35">
      <c r="A35" s="2" t="str">
        <f>[1]Sheet3!A70</f>
        <v>C12</v>
      </c>
      <c r="B35" s="2" t="str">
        <f>[1]Sheet3!B70</f>
        <v>Prepared &amp; preserved fish</v>
      </c>
      <c r="C35" s="3">
        <f>C36</f>
        <v>1991982334</v>
      </c>
      <c r="D35" s="3">
        <f t="shared" ref="D35:P35" si="13">D36</f>
        <v>1722511826</v>
      </c>
      <c r="E35" s="3">
        <f t="shared" si="13"/>
        <v>0</v>
      </c>
      <c r="F35" s="3">
        <f t="shared" si="13"/>
        <v>0</v>
      </c>
      <c r="G35" s="3">
        <f t="shared" si="13"/>
        <v>1722511826</v>
      </c>
      <c r="H35" s="3">
        <f t="shared" si="13"/>
        <v>269470508</v>
      </c>
      <c r="I35" s="3">
        <f t="shared" si="13"/>
        <v>48504692</v>
      </c>
      <c r="J35" s="3">
        <f t="shared" si="13"/>
        <v>0</v>
      </c>
      <c r="K35" s="3">
        <f t="shared" si="13"/>
        <v>48504692</v>
      </c>
      <c r="L35" s="3">
        <f t="shared" si="13"/>
        <v>38464621</v>
      </c>
      <c r="M35" s="3">
        <f t="shared" si="13"/>
        <v>1503160</v>
      </c>
      <c r="N35" s="3">
        <f t="shared" si="13"/>
        <v>39967781</v>
      </c>
      <c r="O35" s="3">
        <f t="shared" si="13"/>
        <v>0</v>
      </c>
      <c r="P35" s="3">
        <f t="shared" si="13"/>
        <v>8536911</v>
      </c>
    </row>
    <row r="36" spans="1:16" x14ac:dyDescent="0.35">
      <c r="A36" t="s">
        <v>56</v>
      </c>
      <c r="B36" t="s">
        <v>57</v>
      </c>
      <c r="C36" s="1">
        <v>1991982334</v>
      </c>
      <c r="D36" s="1">
        <v>1722511826</v>
      </c>
      <c r="E36" s="1">
        <v>0</v>
      </c>
      <c r="F36" s="1">
        <v>0</v>
      </c>
      <c r="G36" s="1">
        <v>1722511826</v>
      </c>
      <c r="H36" s="1">
        <v>269470508</v>
      </c>
      <c r="I36" s="1">
        <v>48504692</v>
      </c>
      <c r="J36" s="1">
        <v>0</v>
      </c>
      <c r="K36" s="1">
        <v>48504692</v>
      </c>
      <c r="L36" s="1">
        <v>38464621</v>
      </c>
      <c r="M36" s="1">
        <v>1503160</v>
      </c>
      <c r="N36" s="1">
        <v>39967781</v>
      </c>
      <c r="O36" s="1">
        <v>0</v>
      </c>
      <c r="P36" s="1">
        <v>8536911</v>
      </c>
    </row>
    <row r="37" spans="1:16" x14ac:dyDescent="0.35">
      <c r="A37" s="2" t="str">
        <f>[1]Sheet3!A72</f>
        <v>C13</v>
      </c>
      <c r="B37" s="2" t="str">
        <f>[1]Sheet3!B72</f>
        <v>Prepared &amp; preserved vegetables</v>
      </c>
      <c r="C37" s="3">
        <f>C38</f>
        <v>8753545946</v>
      </c>
      <c r="D37" s="3">
        <f t="shared" ref="D37:P37" si="14">D38</f>
        <v>2164181375</v>
      </c>
      <c r="E37" s="3">
        <f t="shared" si="14"/>
        <v>829437335</v>
      </c>
      <c r="F37" s="3">
        <f t="shared" si="14"/>
        <v>114703794</v>
      </c>
      <c r="G37" s="3">
        <f t="shared" si="14"/>
        <v>3108322504</v>
      </c>
      <c r="H37" s="3">
        <f t="shared" si="14"/>
        <v>5645223443</v>
      </c>
      <c r="I37" s="3">
        <f t="shared" si="14"/>
        <v>1016140222</v>
      </c>
      <c r="J37" s="3">
        <f t="shared" si="14"/>
        <v>4326730</v>
      </c>
      <c r="K37" s="3">
        <f t="shared" si="14"/>
        <v>1020466952</v>
      </c>
      <c r="L37" s="3">
        <f t="shared" si="14"/>
        <v>654696564</v>
      </c>
      <c r="M37" s="3">
        <f t="shared" si="14"/>
        <v>137330745</v>
      </c>
      <c r="N37" s="3">
        <f t="shared" si="14"/>
        <v>792027309</v>
      </c>
      <c r="O37" s="3">
        <f t="shared" si="14"/>
        <v>0</v>
      </c>
      <c r="P37" s="3">
        <f t="shared" si="14"/>
        <v>228439643</v>
      </c>
    </row>
    <row r="38" spans="1:16" x14ac:dyDescent="0.35">
      <c r="A38" t="s">
        <v>58</v>
      </c>
      <c r="B38" t="s">
        <v>59</v>
      </c>
      <c r="C38" s="1">
        <v>8753545946</v>
      </c>
      <c r="D38" s="1">
        <v>2164181375</v>
      </c>
      <c r="E38" s="1">
        <v>829437335</v>
      </c>
      <c r="F38" s="1">
        <v>114703794</v>
      </c>
      <c r="G38" s="1">
        <v>3108322504</v>
      </c>
      <c r="H38" s="1">
        <v>5645223443</v>
      </c>
      <c r="I38" s="1">
        <v>1016140222</v>
      </c>
      <c r="J38" s="1">
        <v>4326730</v>
      </c>
      <c r="K38" s="1">
        <v>1020466952</v>
      </c>
      <c r="L38" s="1">
        <v>654696564</v>
      </c>
      <c r="M38" s="1">
        <v>137330745</v>
      </c>
      <c r="N38" s="1">
        <v>792027309</v>
      </c>
      <c r="O38" s="1">
        <v>0</v>
      </c>
      <c r="P38" s="1">
        <v>228439643</v>
      </c>
    </row>
    <row r="39" spans="1:16" x14ac:dyDescent="0.35">
      <c r="A39" s="2" t="str">
        <f>[1]Sheet3!A75</f>
        <v>C14</v>
      </c>
      <c r="B39" s="2" t="str">
        <f>[1]Sheet3!B75</f>
        <v>Animal &amp; vegetable oils &amp; fats</v>
      </c>
      <c r="C39" s="3">
        <f>C40</f>
        <v>117862357962</v>
      </c>
      <c r="D39" s="3">
        <f t="shared" ref="D39:P39" si="15">D40</f>
        <v>7594730206</v>
      </c>
      <c r="E39" s="3">
        <f t="shared" si="15"/>
        <v>5749937207</v>
      </c>
      <c r="F39" s="3">
        <f t="shared" si="15"/>
        <v>0</v>
      </c>
      <c r="G39" s="3">
        <f t="shared" si="15"/>
        <v>13344667414</v>
      </c>
      <c r="H39" s="3">
        <f t="shared" si="15"/>
        <v>104517690549</v>
      </c>
      <c r="I39" s="3">
        <f t="shared" si="15"/>
        <v>18813184301</v>
      </c>
      <c r="J39" s="3">
        <f t="shared" si="15"/>
        <v>13943153</v>
      </c>
      <c r="K39" s="3">
        <f t="shared" si="15"/>
        <v>18827127454</v>
      </c>
      <c r="L39" s="3">
        <f t="shared" si="15"/>
        <v>1827841268</v>
      </c>
      <c r="M39" s="3">
        <f t="shared" si="15"/>
        <v>1129703061</v>
      </c>
      <c r="N39" s="3">
        <f t="shared" si="15"/>
        <v>2957544329</v>
      </c>
      <c r="O39" s="3">
        <f t="shared" si="15"/>
        <v>0</v>
      </c>
      <c r="P39" s="3">
        <f t="shared" si="15"/>
        <v>15869583123</v>
      </c>
    </row>
    <row r="40" spans="1:16" x14ac:dyDescent="0.35">
      <c r="A40" t="s">
        <v>60</v>
      </c>
      <c r="B40" t="s">
        <v>61</v>
      </c>
      <c r="C40" s="1">
        <v>117862357962</v>
      </c>
      <c r="D40" s="1">
        <v>7594730206</v>
      </c>
      <c r="E40" s="1">
        <v>5749937207</v>
      </c>
      <c r="F40" s="1">
        <v>0</v>
      </c>
      <c r="G40" s="1">
        <v>13344667414</v>
      </c>
      <c r="H40" s="1">
        <v>104517690549</v>
      </c>
      <c r="I40" s="1">
        <v>18813184301</v>
      </c>
      <c r="J40" s="1">
        <v>13943153</v>
      </c>
      <c r="K40" s="1">
        <v>18827127454</v>
      </c>
      <c r="L40" s="1">
        <v>1827841268</v>
      </c>
      <c r="M40" s="1">
        <v>1129703061</v>
      </c>
      <c r="N40" s="1">
        <v>2957544329</v>
      </c>
      <c r="O40" s="1">
        <v>0</v>
      </c>
      <c r="P40" s="1">
        <v>15869583123</v>
      </c>
    </row>
    <row r="41" spans="1:16" x14ac:dyDescent="0.35">
      <c r="A41" s="2" t="str">
        <f>[1]Sheet3!A77</f>
        <v>C15</v>
      </c>
      <c r="B41" s="2" t="str">
        <f>[1]Sheet3!B77</f>
        <v>Dairy products</v>
      </c>
      <c r="C41" s="3">
        <f>C42</f>
        <v>82965972850</v>
      </c>
      <c r="D41" s="3">
        <f t="shared" ref="D41:P41" si="16">D42</f>
        <v>33913087289</v>
      </c>
      <c r="E41" s="3">
        <f t="shared" si="16"/>
        <v>2976067919</v>
      </c>
      <c r="F41" s="3">
        <f t="shared" si="16"/>
        <v>0</v>
      </c>
      <c r="G41" s="3">
        <f t="shared" si="16"/>
        <v>36889155209</v>
      </c>
      <c r="H41" s="3">
        <f t="shared" si="16"/>
        <v>46076817641</v>
      </c>
      <c r="I41" s="3">
        <f t="shared" si="16"/>
        <v>8293827198</v>
      </c>
      <c r="J41" s="3">
        <f t="shared" si="16"/>
        <v>0</v>
      </c>
      <c r="K41" s="3">
        <f t="shared" si="16"/>
        <v>8293827198</v>
      </c>
      <c r="L41" s="3">
        <f t="shared" si="16"/>
        <v>812296774</v>
      </c>
      <c r="M41" s="3">
        <f t="shared" si="16"/>
        <v>4705032159</v>
      </c>
      <c r="N41" s="3">
        <f t="shared" si="16"/>
        <v>5517328933</v>
      </c>
      <c r="O41" s="3">
        <f t="shared" si="16"/>
        <v>0</v>
      </c>
      <c r="P41" s="3">
        <f t="shared" si="16"/>
        <v>2776498259</v>
      </c>
    </row>
    <row r="42" spans="1:16" x14ac:dyDescent="0.35">
      <c r="A42" t="s">
        <v>62</v>
      </c>
      <c r="B42" t="s">
        <v>63</v>
      </c>
      <c r="C42" s="1">
        <v>82965972850</v>
      </c>
      <c r="D42" s="1">
        <v>33913087289</v>
      </c>
      <c r="E42" s="1">
        <v>2976067919</v>
      </c>
      <c r="F42" s="1">
        <v>0</v>
      </c>
      <c r="G42" s="1">
        <v>36889155209</v>
      </c>
      <c r="H42" s="1">
        <v>46076817641</v>
      </c>
      <c r="I42" s="1">
        <v>8293827198</v>
      </c>
      <c r="J42" s="1">
        <v>0</v>
      </c>
      <c r="K42" s="1">
        <v>8293827198</v>
      </c>
      <c r="L42" s="1">
        <v>812296774</v>
      </c>
      <c r="M42" s="1">
        <v>4705032159</v>
      </c>
      <c r="N42" s="1">
        <v>5517328933</v>
      </c>
      <c r="O42" s="1">
        <v>0</v>
      </c>
      <c r="P42" s="1">
        <v>2776498259</v>
      </c>
    </row>
    <row r="43" spans="1:16" x14ac:dyDescent="0.35">
      <c r="A43" s="2" t="str">
        <f>[1]Sheet3!A79</f>
        <v>C16</v>
      </c>
      <c r="B43" s="2" t="str">
        <f>[1]Sheet3!B79</f>
        <v>Grain mill products</v>
      </c>
      <c r="C43" s="3">
        <f>C44+C45</f>
        <v>207056503959</v>
      </c>
      <c r="D43" s="3">
        <f t="shared" ref="D43:P43" si="17">D44+D45</f>
        <v>46356690075</v>
      </c>
      <c r="E43" s="3">
        <f t="shared" si="17"/>
        <v>48186736848</v>
      </c>
      <c r="F43" s="3">
        <f t="shared" si="17"/>
        <v>4921594926</v>
      </c>
      <c r="G43" s="3">
        <f t="shared" si="17"/>
        <v>99465021849</v>
      </c>
      <c r="H43" s="3">
        <f t="shared" si="17"/>
        <v>107591482108</v>
      </c>
      <c r="I43" s="3">
        <f t="shared" si="17"/>
        <v>19366466788</v>
      </c>
      <c r="J43" s="3">
        <f t="shared" si="17"/>
        <v>1059937</v>
      </c>
      <c r="K43" s="3">
        <f t="shared" si="17"/>
        <v>19367526725</v>
      </c>
      <c r="L43" s="3">
        <f t="shared" si="17"/>
        <v>1941686748</v>
      </c>
      <c r="M43" s="3">
        <f t="shared" si="17"/>
        <v>4288320641</v>
      </c>
      <c r="N43" s="3">
        <f t="shared" si="17"/>
        <v>6230007389</v>
      </c>
      <c r="O43" s="3">
        <f t="shared" si="17"/>
        <v>0</v>
      </c>
      <c r="P43" s="3">
        <f t="shared" si="17"/>
        <v>13137519334</v>
      </c>
    </row>
    <row r="44" spans="1:16" x14ac:dyDescent="0.35">
      <c r="A44" t="s">
        <v>64</v>
      </c>
      <c r="B44" t="s">
        <v>65</v>
      </c>
      <c r="C44" s="1">
        <v>196716551863</v>
      </c>
      <c r="D44" s="1">
        <v>36767566860</v>
      </c>
      <c r="E44" s="1">
        <v>47739697433</v>
      </c>
      <c r="F44" s="1">
        <v>4921594926</v>
      </c>
      <c r="G44" s="1">
        <v>89428859219</v>
      </c>
      <c r="H44" s="1">
        <v>107287692642</v>
      </c>
      <c r="I44" s="1">
        <v>19311784682</v>
      </c>
      <c r="J44" s="1">
        <v>1059937</v>
      </c>
      <c r="K44" s="1">
        <v>19312844619</v>
      </c>
      <c r="L44" s="1">
        <v>1941686748</v>
      </c>
      <c r="M44" s="1">
        <v>4232581158</v>
      </c>
      <c r="N44" s="1">
        <v>6174267906</v>
      </c>
      <c r="O44" s="1">
        <v>0</v>
      </c>
      <c r="P44" s="1">
        <v>13138576712</v>
      </c>
    </row>
    <row r="45" spans="1:16" x14ac:dyDescent="0.35">
      <c r="A45" t="s">
        <v>66</v>
      </c>
      <c r="B45" t="s">
        <v>67</v>
      </c>
      <c r="C45" s="1">
        <v>10339952096</v>
      </c>
      <c r="D45" s="1">
        <v>9589123215</v>
      </c>
      <c r="E45" s="1">
        <v>447039415</v>
      </c>
      <c r="F45" s="1">
        <v>0</v>
      </c>
      <c r="G45" s="1">
        <v>10036162630</v>
      </c>
      <c r="H45" s="1">
        <v>303789466</v>
      </c>
      <c r="I45" s="1">
        <v>54682106</v>
      </c>
      <c r="J45" s="1">
        <v>0</v>
      </c>
      <c r="K45" s="1">
        <v>54682106</v>
      </c>
      <c r="L45" s="1">
        <v>0</v>
      </c>
      <c r="M45" s="1">
        <v>55739483</v>
      </c>
      <c r="N45" s="1">
        <v>55739483</v>
      </c>
      <c r="O45" s="1">
        <v>0</v>
      </c>
      <c r="P45" s="1">
        <v>-1057378</v>
      </c>
    </row>
    <row r="46" spans="1:16" x14ac:dyDescent="0.35">
      <c r="A46" s="2" t="str">
        <f>[1]Sheet3!A85</f>
        <v>C17</v>
      </c>
      <c r="B46" s="2" t="str">
        <f>[1]Sheet3!B85</f>
        <v>Bakery products</v>
      </c>
      <c r="C46" s="3">
        <f>C47</f>
        <v>40072170858</v>
      </c>
      <c r="D46" s="3">
        <f t="shared" ref="D46:P46" si="18">D47</f>
        <v>6235856451</v>
      </c>
      <c r="E46" s="3">
        <f t="shared" si="18"/>
        <v>1296928598</v>
      </c>
      <c r="F46" s="3">
        <f t="shared" si="18"/>
        <v>83360551</v>
      </c>
      <c r="G46" s="3">
        <f t="shared" si="18"/>
        <v>7616145600</v>
      </c>
      <c r="H46" s="3">
        <f t="shared" si="18"/>
        <v>32456025261</v>
      </c>
      <c r="I46" s="3">
        <f t="shared" si="18"/>
        <v>5842084567</v>
      </c>
      <c r="J46" s="3">
        <f t="shared" si="18"/>
        <v>27426685</v>
      </c>
      <c r="K46" s="3">
        <f t="shared" si="18"/>
        <v>5869511252</v>
      </c>
      <c r="L46" s="3">
        <f t="shared" si="18"/>
        <v>134482373</v>
      </c>
      <c r="M46" s="3">
        <f t="shared" si="18"/>
        <v>3861243279</v>
      </c>
      <c r="N46" s="3">
        <f t="shared" si="18"/>
        <v>3995725652</v>
      </c>
      <c r="O46" s="3">
        <f t="shared" si="18"/>
        <v>27426685</v>
      </c>
      <c r="P46" s="3">
        <f t="shared" si="18"/>
        <v>1846358912</v>
      </c>
    </row>
    <row r="47" spans="1:16" x14ac:dyDescent="0.35">
      <c r="A47" t="s">
        <v>68</v>
      </c>
      <c r="B47" t="s">
        <v>69</v>
      </c>
      <c r="C47" s="1">
        <v>40072170858</v>
      </c>
      <c r="D47" s="1">
        <v>6235856451</v>
      </c>
      <c r="E47" s="1">
        <v>1296928598</v>
      </c>
      <c r="F47" s="1">
        <v>83360551</v>
      </c>
      <c r="G47" s="1">
        <v>7616145600</v>
      </c>
      <c r="H47" s="1">
        <v>32456025261</v>
      </c>
      <c r="I47" s="1">
        <v>5842084567</v>
      </c>
      <c r="J47" s="1">
        <v>27426685</v>
      </c>
      <c r="K47" s="1">
        <v>5869511252</v>
      </c>
      <c r="L47" s="1">
        <v>134482373</v>
      </c>
      <c r="M47" s="1">
        <v>3861243279</v>
      </c>
      <c r="N47" s="1">
        <v>3995725652</v>
      </c>
      <c r="O47" s="1">
        <v>27426685</v>
      </c>
      <c r="P47" s="1">
        <v>1846358912</v>
      </c>
    </row>
    <row r="48" spans="1:16" x14ac:dyDescent="0.35">
      <c r="A48" s="2" t="str">
        <f>[1]Sheet3!A87</f>
        <v>C18</v>
      </c>
      <c r="B48" s="2" t="str">
        <f>[1]Sheet3!B87</f>
        <v>Animal feed &amp; other by-products</v>
      </c>
      <c r="C48" s="3">
        <f>C49</f>
        <v>39044081180</v>
      </c>
      <c r="D48" s="3">
        <f t="shared" ref="D48:P48" si="19">D49</f>
        <v>38260292235</v>
      </c>
      <c r="E48" s="3">
        <f t="shared" si="19"/>
        <v>280055981</v>
      </c>
      <c r="F48" s="3">
        <f t="shared" si="19"/>
        <v>0</v>
      </c>
      <c r="G48" s="3">
        <f t="shared" si="19"/>
        <v>38540348216</v>
      </c>
      <c r="H48" s="3">
        <f t="shared" si="19"/>
        <v>503732964</v>
      </c>
      <c r="I48" s="3">
        <f t="shared" si="19"/>
        <v>90671936</v>
      </c>
      <c r="J48" s="3">
        <f t="shared" si="19"/>
        <v>4424</v>
      </c>
      <c r="K48" s="3">
        <f t="shared" si="19"/>
        <v>90676360</v>
      </c>
      <c r="L48" s="3">
        <f t="shared" si="19"/>
        <v>0</v>
      </c>
      <c r="M48" s="3">
        <f t="shared" si="19"/>
        <v>30495589</v>
      </c>
      <c r="N48" s="3">
        <f t="shared" si="19"/>
        <v>30495589</v>
      </c>
      <c r="O48" s="3">
        <f t="shared" si="19"/>
        <v>0</v>
      </c>
      <c r="P48" s="3">
        <f t="shared" si="19"/>
        <v>60180770</v>
      </c>
    </row>
    <row r="49" spans="1:16" ht="14" customHeight="1" x14ac:dyDescent="0.35">
      <c r="A49" t="s">
        <v>70</v>
      </c>
      <c r="B49" t="s">
        <v>71</v>
      </c>
      <c r="C49" s="1">
        <v>39044081180</v>
      </c>
      <c r="D49" s="1">
        <v>38260292235</v>
      </c>
      <c r="E49" s="1">
        <v>280055981</v>
      </c>
      <c r="F49" s="1">
        <v>0</v>
      </c>
      <c r="G49" s="1">
        <v>38540348216</v>
      </c>
      <c r="H49" s="1">
        <v>503732964</v>
      </c>
      <c r="I49" s="1">
        <v>90671936</v>
      </c>
      <c r="J49" s="1">
        <v>4424</v>
      </c>
      <c r="K49" s="1">
        <v>90676360</v>
      </c>
      <c r="L49" s="1">
        <v>0</v>
      </c>
      <c r="M49" s="1">
        <v>30495589</v>
      </c>
      <c r="N49" s="1">
        <v>30495589</v>
      </c>
      <c r="O49" s="1">
        <v>0</v>
      </c>
      <c r="P49" s="1">
        <v>60180770</v>
      </c>
    </row>
    <row r="50" spans="1:16" ht="14" customHeight="1" x14ac:dyDescent="0.35">
      <c r="A50" s="2" t="str">
        <f>[1]Sheet3!A89</f>
        <v>C19</v>
      </c>
      <c r="B50" s="2" t="str">
        <f>[1]Sheet3!B89</f>
        <v>Other manufactured food products</v>
      </c>
      <c r="C50" s="3">
        <f>C51+C52</f>
        <v>195674533161</v>
      </c>
      <c r="D50" s="3">
        <f t="shared" ref="D50:P50" si="20">D51+D52</f>
        <v>10576554292</v>
      </c>
      <c r="E50" s="3">
        <f t="shared" si="20"/>
        <v>71758057982</v>
      </c>
      <c r="F50" s="3">
        <f t="shared" si="20"/>
        <v>101353594</v>
      </c>
      <c r="G50" s="3">
        <f t="shared" si="20"/>
        <v>82435965868</v>
      </c>
      <c r="H50" s="3">
        <f t="shared" si="20"/>
        <v>113238567293</v>
      </c>
      <c r="I50" s="3">
        <f t="shared" si="20"/>
        <v>20382942118</v>
      </c>
      <c r="J50" s="3">
        <f t="shared" si="20"/>
        <v>647653378</v>
      </c>
      <c r="K50" s="3">
        <f t="shared" si="20"/>
        <v>21030595496</v>
      </c>
      <c r="L50" s="3">
        <f t="shared" si="20"/>
        <v>3854357298</v>
      </c>
      <c r="M50" s="3">
        <f t="shared" si="20"/>
        <v>12741432652</v>
      </c>
      <c r="N50" s="3">
        <f t="shared" si="20"/>
        <v>16595789950</v>
      </c>
      <c r="O50" s="3">
        <f t="shared" si="20"/>
        <v>10013870</v>
      </c>
      <c r="P50" s="3">
        <f t="shared" si="20"/>
        <v>4424791668</v>
      </c>
    </row>
    <row r="51" spans="1:16" x14ac:dyDescent="0.35">
      <c r="A51" t="s">
        <v>72</v>
      </c>
      <c r="B51" t="s">
        <v>73</v>
      </c>
      <c r="C51" s="1">
        <v>32588686879</v>
      </c>
      <c r="D51" s="1">
        <v>34129395</v>
      </c>
      <c r="E51" s="1">
        <v>2186287608</v>
      </c>
      <c r="F51" s="1">
        <v>0</v>
      </c>
      <c r="G51" s="1">
        <v>2220417003</v>
      </c>
      <c r="H51" s="1">
        <v>30368269876</v>
      </c>
      <c r="I51" s="1">
        <v>5466288579</v>
      </c>
      <c r="J51" s="1">
        <v>108290172</v>
      </c>
      <c r="K51" s="1">
        <v>5574578751</v>
      </c>
      <c r="L51" s="1">
        <v>2838917282</v>
      </c>
      <c r="M51" s="1">
        <v>329388634</v>
      </c>
      <c r="N51" s="1">
        <v>3168305916</v>
      </c>
      <c r="O51" s="1">
        <v>10013870</v>
      </c>
      <c r="P51" s="1">
        <v>2396258964</v>
      </c>
    </row>
    <row r="52" spans="1:16" x14ac:dyDescent="0.35">
      <c r="A52" t="s">
        <v>74</v>
      </c>
      <c r="B52" t="s">
        <v>75</v>
      </c>
      <c r="C52" s="1">
        <v>163085846282</v>
      </c>
      <c r="D52" s="1">
        <v>10542424897</v>
      </c>
      <c r="E52" s="1">
        <v>69571770374</v>
      </c>
      <c r="F52" s="1">
        <v>101353594</v>
      </c>
      <c r="G52" s="1">
        <v>80215548865</v>
      </c>
      <c r="H52" s="1">
        <v>82870297417</v>
      </c>
      <c r="I52" s="1">
        <v>14916653539</v>
      </c>
      <c r="J52" s="1">
        <v>539363206</v>
      </c>
      <c r="K52" s="1">
        <v>15456016745</v>
      </c>
      <c r="L52" s="1">
        <v>1015440016</v>
      </c>
      <c r="M52" s="1">
        <v>12412044018</v>
      </c>
      <c r="N52" s="1">
        <v>13427484034</v>
      </c>
      <c r="O52" s="1">
        <v>0</v>
      </c>
      <c r="P52" s="1">
        <v>2028532704</v>
      </c>
    </row>
    <row r="53" spans="1:16" x14ac:dyDescent="0.35">
      <c r="A53" s="2" t="str">
        <f>[1]Sheet3!A96</f>
        <v>C21</v>
      </c>
      <c r="B53" s="2" t="str">
        <f>[1]Sheet3!B96</f>
        <v>Alcoholic drinks</v>
      </c>
      <c r="C53" s="3">
        <f>C55+C54</f>
        <v>359387202077</v>
      </c>
      <c r="D53" s="3">
        <f t="shared" ref="D53:P53" si="21">D55+D54</f>
        <v>12634462332</v>
      </c>
      <c r="E53" s="3">
        <f t="shared" si="21"/>
        <v>736970732</v>
      </c>
      <c r="F53" s="3">
        <f t="shared" si="21"/>
        <v>222008012</v>
      </c>
      <c r="G53" s="3">
        <f t="shared" si="21"/>
        <v>13593441076</v>
      </c>
      <c r="H53" s="3">
        <f t="shared" si="21"/>
        <v>345793761002</v>
      </c>
      <c r="I53" s="3">
        <f t="shared" si="21"/>
        <v>62242876992</v>
      </c>
      <c r="J53" s="3">
        <f t="shared" si="21"/>
        <v>62746574</v>
      </c>
      <c r="K53" s="3">
        <f t="shared" si="21"/>
        <v>62305623566</v>
      </c>
      <c r="L53" s="3">
        <f t="shared" si="21"/>
        <v>10725242036</v>
      </c>
      <c r="M53" s="3">
        <f t="shared" si="21"/>
        <v>9114141574</v>
      </c>
      <c r="N53" s="3">
        <f t="shared" si="21"/>
        <v>19839383610</v>
      </c>
      <c r="O53" s="3">
        <f t="shared" si="21"/>
        <v>0</v>
      </c>
      <c r="P53" s="3">
        <f t="shared" si="21"/>
        <v>42466239953</v>
      </c>
    </row>
    <row r="54" spans="1:16" x14ac:dyDescent="0.35">
      <c r="A54" t="s">
        <v>76</v>
      </c>
      <c r="B54" t="s">
        <v>77</v>
      </c>
      <c r="C54" s="1">
        <v>75981513305</v>
      </c>
      <c r="D54" s="1">
        <v>3033070052</v>
      </c>
      <c r="E54" s="1">
        <v>629037859</v>
      </c>
      <c r="F54" s="1">
        <v>0</v>
      </c>
      <c r="G54" s="1">
        <v>3662107911</v>
      </c>
      <c r="H54" s="1">
        <v>72319405395</v>
      </c>
      <c r="I54" s="1">
        <v>13017492969</v>
      </c>
      <c r="J54" s="1">
        <v>0</v>
      </c>
      <c r="K54" s="1">
        <v>13017492969</v>
      </c>
      <c r="L54" s="1">
        <v>5577753953</v>
      </c>
      <c r="M54" s="1">
        <v>2238325277</v>
      </c>
      <c r="N54" s="1">
        <v>7816079230</v>
      </c>
      <c r="O54" s="1">
        <v>0</v>
      </c>
      <c r="P54" s="1">
        <v>5201413739</v>
      </c>
    </row>
    <row r="55" spans="1:16" x14ac:dyDescent="0.35">
      <c r="A55" t="s">
        <v>78</v>
      </c>
      <c r="B55" t="s">
        <v>79</v>
      </c>
      <c r="C55" s="1">
        <v>283405688772</v>
      </c>
      <c r="D55" s="1">
        <v>9601392280</v>
      </c>
      <c r="E55" s="1">
        <v>107932873</v>
      </c>
      <c r="F55" s="1">
        <v>222008012</v>
      </c>
      <c r="G55" s="1">
        <v>9931333165</v>
      </c>
      <c r="H55" s="1">
        <v>273474355607</v>
      </c>
      <c r="I55" s="1">
        <v>49225384023</v>
      </c>
      <c r="J55" s="1">
        <v>62746574</v>
      </c>
      <c r="K55" s="1">
        <v>49288130597</v>
      </c>
      <c r="L55" s="1">
        <v>5147488083</v>
      </c>
      <c r="M55" s="1">
        <v>6875816297</v>
      </c>
      <c r="N55" s="1">
        <v>12023304380</v>
      </c>
      <c r="O55" s="1">
        <v>0</v>
      </c>
      <c r="P55" s="1">
        <v>37264826214</v>
      </c>
    </row>
    <row r="56" spans="1:16" x14ac:dyDescent="0.35">
      <c r="A56" s="2" t="str">
        <f>[1]Sheet3!A102</f>
        <v>C22</v>
      </c>
      <c r="B56" s="2" t="str">
        <f>[1]Sheet3!B102</f>
        <v>Soft drinks</v>
      </c>
      <c r="C56" s="3">
        <f>C57</f>
        <v>7094163006</v>
      </c>
      <c r="D56" s="3">
        <f t="shared" ref="D56:P56" si="22">D57</f>
        <v>719919842</v>
      </c>
      <c r="E56" s="3">
        <f t="shared" si="22"/>
        <v>169760056</v>
      </c>
      <c r="F56" s="3">
        <f t="shared" si="22"/>
        <v>0</v>
      </c>
      <c r="G56" s="3">
        <f t="shared" si="22"/>
        <v>889679898</v>
      </c>
      <c r="H56" s="3">
        <f t="shared" si="22"/>
        <v>6204483108</v>
      </c>
      <c r="I56" s="3">
        <f t="shared" si="22"/>
        <v>1116806965</v>
      </c>
      <c r="J56" s="3">
        <f t="shared" si="22"/>
        <v>0</v>
      </c>
      <c r="K56" s="3">
        <f t="shared" si="22"/>
        <v>1116806965</v>
      </c>
      <c r="L56" s="3">
        <f t="shared" si="22"/>
        <v>155480413</v>
      </c>
      <c r="M56" s="3">
        <f t="shared" si="22"/>
        <v>606467761</v>
      </c>
      <c r="N56" s="3">
        <f t="shared" si="22"/>
        <v>761948174</v>
      </c>
      <c r="O56" s="3">
        <f t="shared" si="22"/>
        <v>0</v>
      </c>
      <c r="P56" s="3">
        <f t="shared" si="22"/>
        <v>354858790</v>
      </c>
    </row>
    <row r="57" spans="1:16" x14ac:dyDescent="0.35">
      <c r="A57" t="s">
        <v>80</v>
      </c>
      <c r="B57" t="s">
        <v>81</v>
      </c>
      <c r="C57" s="1">
        <v>7094163006</v>
      </c>
      <c r="D57" s="1">
        <v>719919842</v>
      </c>
      <c r="E57" s="1">
        <v>169760056</v>
      </c>
      <c r="F57" s="1">
        <v>0</v>
      </c>
      <c r="G57" s="1">
        <v>889679898</v>
      </c>
      <c r="H57" s="1">
        <v>6204483108</v>
      </c>
      <c r="I57" s="1">
        <v>1116806965</v>
      </c>
      <c r="J57" s="1">
        <v>0</v>
      </c>
      <c r="K57" s="1">
        <v>1116806965</v>
      </c>
      <c r="L57" s="1">
        <v>155480413</v>
      </c>
      <c r="M57" s="1">
        <v>606467761</v>
      </c>
      <c r="N57" s="1">
        <v>761948174</v>
      </c>
      <c r="O57" s="1">
        <v>0</v>
      </c>
      <c r="P57" s="1">
        <v>354858790</v>
      </c>
    </row>
    <row r="58" spans="1:16" x14ac:dyDescent="0.35">
      <c r="A58" s="2" t="str">
        <f>[1]Sheet3!A105</f>
        <v>C23</v>
      </c>
      <c r="B58" s="2" t="str">
        <f>[1]Sheet3!B105</f>
        <v>Tobacco products</v>
      </c>
      <c r="C58" s="3">
        <f>C59</f>
        <v>9919085723</v>
      </c>
      <c r="D58" s="3">
        <f t="shared" ref="D58:P58" si="23">D59</f>
        <v>659048244</v>
      </c>
      <c r="E58" s="3">
        <f t="shared" si="23"/>
        <v>0</v>
      </c>
      <c r="F58" s="3">
        <f t="shared" si="23"/>
        <v>39144000</v>
      </c>
      <c r="G58" s="3">
        <f t="shared" si="23"/>
        <v>698192244</v>
      </c>
      <c r="H58" s="3">
        <f t="shared" si="23"/>
        <v>9220893479</v>
      </c>
      <c r="I58" s="3">
        <f t="shared" si="23"/>
        <v>1659760828</v>
      </c>
      <c r="J58" s="3">
        <f t="shared" si="23"/>
        <v>0</v>
      </c>
      <c r="K58" s="3">
        <f t="shared" si="23"/>
        <v>1659760828</v>
      </c>
      <c r="L58" s="3">
        <f t="shared" si="23"/>
        <v>83291248</v>
      </c>
      <c r="M58" s="3">
        <f t="shared" si="23"/>
        <v>415055698</v>
      </c>
      <c r="N58" s="3">
        <f t="shared" si="23"/>
        <v>498346946</v>
      </c>
      <c r="O58" s="3">
        <f t="shared" si="23"/>
        <v>0</v>
      </c>
      <c r="P58" s="3">
        <f t="shared" si="23"/>
        <v>1161413882</v>
      </c>
    </row>
    <row r="59" spans="1:16" x14ac:dyDescent="0.35">
      <c r="A59" t="s">
        <v>82</v>
      </c>
      <c r="B59" t="s">
        <v>83</v>
      </c>
      <c r="C59" s="1">
        <v>9919085723</v>
      </c>
      <c r="D59" s="1">
        <v>659048244</v>
      </c>
      <c r="E59" s="1">
        <v>0</v>
      </c>
      <c r="F59" s="1">
        <v>39144000</v>
      </c>
      <c r="G59" s="1">
        <v>698192244</v>
      </c>
      <c r="H59" s="1">
        <v>9220893479</v>
      </c>
      <c r="I59" s="1">
        <v>1659760828</v>
      </c>
      <c r="J59" s="1">
        <v>0</v>
      </c>
      <c r="K59" s="1">
        <v>1659760828</v>
      </c>
      <c r="L59" s="1">
        <v>83291248</v>
      </c>
      <c r="M59" s="1">
        <v>415055698</v>
      </c>
      <c r="N59" s="1">
        <v>498346946</v>
      </c>
      <c r="O59" s="1">
        <v>0</v>
      </c>
      <c r="P59" s="1">
        <v>1161413882</v>
      </c>
    </row>
    <row r="60" spans="1:16" x14ac:dyDescent="0.35">
      <c r="A60" s="2" t="str">
        <f>[1]Sheet3!A108</f>
        <v>C30</v>
      </c>
      <c r="B60" s="2" t="str">
        <f>[1]Sheet3!B108</f>
        <v>Textiles, clothing &amp; leather products</v>
      </c>
      <c r="C60" s="3">
        <f>C61+C62+C63</f>
        <v>65954836300</v>
      </c>
      <c r="D60" s="3">
        <f t="shared" ref="D60:P60" si="24">D61+D62+D63</f>
        <v>8072680849</v>
      </c>
      <c r="E60" s="3">
        <f t="shared" si="24"/>
        <v>3803652229</v>
      </c>
      <c r="F60" s="3">
        <f t="shared" si="24"/>
        <v>28805345948</v>
      </c>
      <c r="G60" s="3">
        <f t="shared" si="24"/>
        <v>40681679026</v>
      </c>
      <c r="H60" s="3">
        <f t="shared" si="24"/>
        <v>25273157273</v>
      </c>
      <c r="I60" s="3">
        <f t="shared" si="24"/>
        <v>4549168323</v>
      </c>
      <c r="J60" s="3">
        <f t="shared" si="24"/>
        <v>332837</v>
      </c>
      <c r="K60" s="3">
        <f t="shared" si="24"/>
        <v>4549501160</v>
      </c>
      <c r="L60" s="3">
        <f t="shared" si="24"/>
        <v>672750209</v>
      </c>
      <c r="M60" s="3">
        <f t="shared" si="24"/>
        <v>1492249573</v>
      </c>
      <c r="N60" s="3">
        <f t="shared" si="24"/>
        <v>2164999782</v>
      </c>
      <c r="O60" s="3">
        <f t="shared" si="24"/>
        <v>0</v>
      </c>
      <c r="P60" s="3">
        <f t="shared" si="24"/>
        <v>2384501376</v>
      </c>
    </row>
    <row r="61" spans="1:16" x14ac:dyDescent="0.35">
      <c r="A61" t="s">
        <v>84</v>
      </c>
      <c r="B61" t="s">
        <v>85</v>
      </c>
      <c r="C61" s="1">
        <v>24474253652</v>
      </c>
      <c r="D61" s="1">
        <v>1790586131</v>
      </c>
      <c r="E61" s="1">
        <v>276335640</v>
      </c>
      <c r="F61" s="1">
        <v>15526724068</v>
      </c>
      <c r="G61" s="1">
        <v>17593645839</v>
      </c>
      <c r="H61" s="1">
        <v>6880607812</v>
      </c>
      <c r="I61" s="1">
        <v>1238509408</v>
      </c>
      <c r="J61" s="1">
        <v>224532</v>
      </c>
      <c r="K61" s="1">
        <v>1238733940</v>
      </c>
      <c r="L61" s="1">
        <v>505978291</v>
      </c>
      <c r="M61" s="1">
        <v>316852117</v>
      </c>
      <c r="N61" s="1">
        <v>822830408</v>
      </c>
      <c r="O61" s="1">
        <v>0</v>
      </c>
      <c r="P61" s="1">
        <v>415903531</v>
      </c>
    </row>
    <row r="62" spans="1:16" x14ac:dyDescent="0.35">
      <c r="A62" t="s">
        <v>86</v>
      </c>
      <c r="B62" t="s">
        <v>87</v>
      </c>
      <c r="C62" s="1">
        <v>27078760555</v>
      </c>
      <c r="D62" s="1">
        <v>6104813821</v>
      </c>
      <c r="E62" s="1">
        <v>1660901</v>
      </c>
      <c r="F62" s="1">
        <v>13278621880</v>
      </c>
      <c r="G62" s="1">
        <v>19385096602</v>
      </c>
      <c r="H62" s="1">
        <v>7693663953</v>
      </c>
      <c r="I62" s="1">
        <v>1384859524</v>
      </c>
      <c r="J62" s="1">
        <v>98085</v>
      </c>
      <c r="K62" s="1">
        <v>1384957609</v>
      </c>
      <c r="L62" s="1">
        <v>34158932</v>
      </c>
      <c r="M62" s="1">
        <v>414591433</v>
      </c>
      <c r="N62" s="1">
        <v>448750365</v>
      </c>
      <c r="O62" s="1">
        <v>0</v>
      </c>
      <c r="P62" s="1">
        <v>936207243</v>
      </c>
    </row>
    <row r="63" spans="1:16" x14ac:dyDescent="0.35">
      <c r="A63" t="s">
        <v>88</v>
      </c>
      <c r="B63" t="s">
        <v>89</v>
      </c>
      <c r="C63" s="1">
        <v>14401822093</v>
      </c>
      <c r="D63" s="1">
        <v>177280897</v>
      </c>
      <c r="E63" s="1">
        <v>3525655688</v>
      </c>
      <c r="F63" s="1">
        <v>0</v>
      </c>
      <c r="G63" s="1">
        <v>3702936585</v>
      </c>
      <c r="H63" s="1">
        <v>10698885508</v>
      </c>
      <c r="I63" s="1">
        <v>1925799391</v>
      </c>
      <c r="J63" s="1">
        <v>10220</v>
      </c>
      <c r="K63" s="1">
        <v>1925809611</v>
      </c>
      <c r="L63" s="1">
        <v>132612986</v>
      </c>
      <c r="M63" s="1">
        <v>760806023</v>
      </c>
      <c r="N63" s="1">
        <v>893419009</v>
      </c>
      <c r="O63" s="1">
        <v>0</v>
      </c>
      <c r="P63" s="1">
        <v>1032390602</v>
      </c>
    </row>
    <row r="64" spans="1:16" x14ac:dyDescent="0.35">
      <c r="A64" s="2" t="str">
        <f>[1]Sheet3!A113</f>
        <v>C41</v>
      </c>
      <c r="B64" s="2" t="str">
        <f>[1]Sheet3!B113</f>
        <v>Wood, paper &amp; related products</v>
      </c>
      <c r="C64" s="3">
        <f>C65+C66+C67</f>
        <v>30080648054</v>
      </c>
      <c r="D64" s="3">
        <f t="shared" ref="D64:P64" si="25">D65+D66+D67</f>
        <v>1876758621</v>
      </c>
      <c r="E64" s="3">
        <f t="shared" si="25"/>
        <v>6875661637</v>
      </c>
      <c r="F64" s="3">
        <f t="shared" si="25"/>
        <v>0</v>
      </c>
      <c r="G64" s="3">
        <f t="shared" si="25"/>
        <v>8752420258</v>
      </c>
      <c r="H64" s="3">
        <f t="shared" si="25"/>
        <v>21328227796</v>
      </c>
      <c r="I64" s="3">
        <f t="shared" si="25"/>
        <v>3839081027</v>
      </c>
      <c r="J64" s="3">
        <f t="shared" si="25"/>
        <v>217100</v>
      </c>
      <c r="K64" s="3">
        <f t="shared" si="25"/>
        <v>3839298127</v>
      </c>
      <c r="L64" s="3">
        <f t="shared" si="25"/>
        <v>174459495</v>
      </c>
      <c r="M64" s="3">
        <f t="shared" si="25"/>
        <v>1241987781</v>
      </c>
      <c r="N64" s="3">
        <f t="shared" si="25"/>
        <v>1416447276</v>
      </c>
      <c r="O64" s="3">
        <f t="shared" si="25"/>
        <v>0</v>
      </c>
      <c r="P64" s="3">
        <f t="shared" si="25"/>
        <v>2422850850</v>
      </c>
    </row>
    <row r="65" spans="1:16" x14ac:dyDescent="0.35">
      <c r="A65" t="s">
        <v>90</v>
      </c>
      <c r="B65" t="s">
        <v>91</v>
      </c>
      <c r="C65" s="1">
        <v>5625176810</v>
      </c>
      <c r="D65" s="1">
        <v>728777941</v>
      </c>
      <c r="E65" s="1">
        <v>20584100</v>
      </c>
      <c r="F65" s="1">
        <v>0</v>
      </c>
      <c r="G65" s="1">
        <v>749362041</v>
      </c>
      <c r="H65" s="1">
        <v>4875814769</v>
      </c>
      <c r="I65" s="1">
        <v>877646681</v>
      </c>
      <c r="J65" s="1">
        <v>0</v>
      </c>
      <c r="K65" s="1">
        <v>877646681</v>
      </c>
      <c r="L65" s="1">
        <v>82296541</v>
      </c>
      <c r="M65" s="1">
        <v>517368446</v>
      </c>
      <c r="N65" s="1">
        <v>599664987</v>
      </c>
      <c r="O65" s="1">
        <v>0</v>
      </c>
      <c r="P65" s="1">
        <v>277981694</v>
      </c>
    </row>
    <row r="66" spans="1:16" x14ac:dyDescent="0.35">
      <c r="A66" t="s">
        <v>92</v>
      </c>
      <c r="B66" t="s">
        <v>93</v>
      </c>
      <c r="C66" s="1">
        <v>24098625381</v>
      </c>
      <c r="D66" s="1">
        <v>1147266680</v>
      </c>
      <c r="E66" s="1">
        <v>6855077537</v>
      </c>
      <c r="F66" s="1">
        <v>0</v>
      </c>
      <c r="G66" s="1">
        <v>8002344217</v>
      </c>
      <c r="H66" s="1">
        <v>16096281164</v>
      </c>
      <c r="I66" s="1">
        <v>2897330610</v>
      </c>
      <c r="J66" s="1">
        <v>0</v>
      </c>
      <c r="K66" s="1">
        <v>2897330610</v>
      </c>
      <c r="L66" s="1">
        <v>92162954</v>
      </c>
      <c r="M66" s="1">
        <v>680730896</v>
      </c>
      <c r="N66" s="1">
        <v>772893850</v>
      </c>
      <c r="O66" s="1">
        <v>0</v>
      </c>
      <c r="P66" s="1">
        <v>2124436759</v>
      </c>
    </row>
    <row r="67" spans="1:16" x14ac:dyDescent="0.35">
      <c r="A67" t="s">
        <v>94</v>
      </c>
      <c r="B67" t="s">
        <v>95</v>
      </c>
      <c r="C67" s="1">
        <v>356845863</v>
      </c>
      <c r="D67" s="1">
        <v>714000</v>
      </c>
      <c r="E67" s="1">
        <v>0</v>
      </c>
      <c r="F67" s="1">
        <v>0</v>
      </c>
      <c r="G67" s="1">
        <v>714000</v>
      </c>
      <c r="H67" s="1">
        <v>356131863</v>
      </c>
      <c r="I67" s="1">
        <v>64103736</v>
      </c>
      <c r="J67" s="1">
        <v>217100</v>
      </c>
      <c r="K67" s="1">
        <v>64320836</v>
      </c>
      <c r="L67" s="1">
        <v>0</v>
      </c>
      <c r="M67" s="1">
        <v>43888439</v>
      </c>
      <c r="N67" s="1">
        <v>43888439</v>
      </c>
      <c r="O67" s="1">
        <v>0</v>
      </c>
      <c r="P67" s="1">
        <v>20432397</v>
      </c>
    </row>
    <row r="68" spans="1:16" x14ac:dyDescent="0.35">
      <c r="A68" s="2" t="str">
        <f>[1]Sheet3!A117</f>
        <v>C42</v>
      </c>
      <c r="B68" s="2" t="str">
        <f>[1]Sheet3!B117</f>
        <v>Printing &amp; reproduction of recorded media</v>
      </c>
      <c r="C68" s="3">
        <f>C69</f>
        <v>20832269314</v>
      </c>
      <c r="D68" s="3">
        <f t="shared" ref="D68:P68" si="26">D69</f>
        <v>1630721940</v>
      </c>
      <c r="E68" s="3">
        <f t="shared" si="26"/>
        <v>35139263</v>
      </c>
      <c r="F68" s="3">
        <f t="shared" si="26"/>
        <v>0</v>
      </c>
      <c r="G68" s="3">
        <f t="shared" si="26"/>
        <v>1665861203</v>
      </c>
      <c r="H68" s="3">
        <f t="shared" si="26"/>
        <v>19166408111</v>
      </c>
      <c r="I68" s="3">
        <f t="shared" si="26"/>
        <v>3449953472</v>
      </c>
      <c r="J68" s="3">
        <f t="shared" si="26"/>
        <v>0</v>
      </c>
      <c r="K68" s="3">
        <f t="shared" si="26"/>
        <v>3449953472</v>
      </c>
      <c r="L68" s="3">
        <f t="shared" si="26"/>
        <v>423975321</v>
      </c>
      <c r="M68" s="3">
        <f t="shared" si="26"/>
        <v>1488368046</v>
      </c>
      <c r="N68" s="3">
        <f t="shared" si="26"/>
        <v>1912343367</v>
      </c>
      <c r="O68" s="3">
        <f t="shared" si="26"/>
        <v>0</v>
      </c>
      <c r="P68" s="3">
        <f t="shared" si="26"/>
        <v>1537610101</v>
      </c>
    </row>
    <row r="69" spans="1:16" x14ac:dyDescent="0.35">
      <c r="A69" t="s">
        <v>96</v>
      </c>
      <c r="B69" t="s">
        <v>97</v>
      </c>
      <c r="C69" s="1">
        <v>20832269314</v>
      </c>
      <c r="D69" s="1">
        <v>1630721940</v>
      </c>
      <c r="E69" s="1">
        <v>35139263</v>
      </c>
      <c r="F69" s="1">
        <v>0</v>
      </c>
      <c r="G69" s="1">
        <v>1665861203</v>
      </c>
      <c r="H69" s="1">
        <v>19166408111</v>
      </c>
      <c r="I69" s="1">
        <v>3449953472</v>
      </c>
      <c r="J69" s="1">
        <v>0</v>
      </c>
      <c r="K69" s="1">
        <v>3449953472</v>
      </c>
      <c r="L69" s="1">
        <v>423975321</v>
      </c>
      <c r="M69" s="1">
        <v>1488368046</v>
      </c>
      <c r="N69" s="1">
        <v>1912343367</v>
      </c>
      <c r="O69" s="1">
        <v>0</v>
      </c>
      <c r="P69" s="1">
        <v>1537610101</v>
      </c>
    </row>
    <row r="70" spans="1:16" x14ac:dyDescent="0.35">
      <c r="A70" s="2" t="str">
        <f>[1]Sheet3!A120</f>
        <v>C51</v>
      </c>
      <c r="B70" s="2" t="str">
        <f>[1]Sheet3!B120</f>
        <v>Refined petroleum products; coke</v>
      </c>
      <c r="C70" s="3">
        <f>C71</f>
        <v>10837914544</v>
      </c>
      <c r="D70" s="3">
        <f t="shared" ref="D70:P70" si="27">D71</f>
        <v>2470887436</v>
      </c>
      <c r="E70" s="3">
        <f t="shared" si="27"/>
        <v>410000</v>
      </c>
      <c r="F70" s="3">
        <f t="shared" si="27"/>
        <v>0</v>
      </c>
      <c r="G70" s="3">
        <f t="shared" si="27"/>
        <v>2471297436</v>
      </c>
      <c r="H70" s="3">
        <f t="shared" si="27"/>
        <v>8366617108</v>
      </c>
      <c r="I70" s="3">
        <f t="shared" si="27"/>
        <v>1505991086</v>
      </c>
      <c r="J70" s="3">
        <f t="shared" si="27"/>
        <v>25423</v>
      </c>
      <c r="K70" s="3">
        <f t="shared" si="27"/>
        <v>1506016509</v>
      </c>
      <c r="L70" s="3">
        <f t="shared" si="27"/>
        <v>196991172</v>
      </c>
      <c r="M70" s="3">
        <f t="shared" si="27"/>
        <v>139143646</v>
      </c>
      <c r="N70" s="3">
        <f t="shared" si="27"/>
        <v>336134818</v>
      </c>
      <c r="O70" s="3">
        <f t="shared" si="27"/>
        <v>0</v>
      </c>
      <c r="P70" s="3">
        <f t="shared" si="27"/>
        <v>1169881691</v>
      </c>
    </row>
    <row r="71" spans="1:16" x14ac:dyDescent="0.35">
      <c r="A71" t="s">
        <v>98</v>
      </c>
      <c r="B71" t="s">
        <v>99</v>
      </c>
      <c r="C71" s="1">
        <v>10837914544</v>
      </c>
      <c r="D71" s="1">
        <v>2470887436</v>
      </c>
      <c r="E71" s="1">
        <v>410000</v>
      </c>
      <c r="F71" s="1">
        <v>0</v>
      </c>
      <c r="G71" s="1">
        <v>2471297436</v>
      </c>
      <c r="H71" s="1">
        <v>8366617108</v>
      </c>
      <c r="I71" s="1">
        <v>1505991086</v>
      </c>
      <c r="J71" s="1">
        <v>25423</v>
      </c>
      <c r="K71" s="1">
        <v>1506016509</v>
      </c>
      <c r="L71" s="1">
        <v>196991172</v>
      </c>
      <c r="M71" s="1">
        <v>139143646</v>
      </c>
      <c r="N71" s="1">
        <v>336134818</v>
      </c>
      <c r="O71" s="1">
        <v>0</v>
      </c>
      <c r="P71" s="1">
        <v>1169881691</v>
      </c>
    </row>
    <row r="72" spans="1:16" x14ac:dyDescent="0.35">
      <c r="A72" s="2" t="str">
        <f>[1]Sheet3!A122</f>
        <v>C52</v>
      </c>
      <c r="B72" s="2" t="str">
        <f>[1]Sheet3!B122</f>
        <v>Chemicals &amp; chemical products</v>
      </c>
      <c r="C72" s="3">
        <f>C73+C74+C75+C76</f>
        <v>100953270886</v>
      </c>
      <c r="D72" s="3">
        <f t="shared" ref="D72:P72" si="28">D73+D74+D75+D76</f>
        <v>21059182720</v>
      </c>
      <c r="E72" s="3">
        <f t="shared" si="28"/>
        <v>7951195733</v>
      </c>
      <c r="F72" s="3">
        <f t="shared" si="28"/>
        <v>0</v>
      </c>
      <c r="G72" s="3">
        <f t="shared" si="28"/>
        <v>29010378453</v>
      </c>
      <c r="H72" s="3">
        <f t="shared" si="28"/>
        <v>71942892433</v>
      </c>
      <c r="I72" s="3">
        <f t="shared" si="28"/>
        <v>12949720644</v>
      </c>
      <c r="J72" s="3">
        <f t="shared" si="28"/>
        <v>257647388</v>
      </c>
      <c r="K72" s="3">
        <f t="shared" si="28"/>
        <v>13207368032</v>
      </c>
      <c r="L72" s="3">
        <f t="shared" si="28"/>
        <v>1965254773</v>
      </c>
      <c r="M72" s="3">
        <f t="shared" si="28"/>
        <v>3726885854</v>
      </c>
      <c r="N72" s="3">
        <f t="shared" si="28"/>
        <v>5692140627</v>
      </c>
      <c r="O72" s="3">
        <f t="shared" si="28"/>
        <v>257639761</v>
      </c>
      <c r="P72" s="3">
        <f t="shared" si="28"/>
        <v>7257587642</v>
      </c>
    </row>
    <row r="73" spans="1:16" x14ac:dyDescent="0.35">
      <c r="A73" t="s">
        <v>100</v>
      </c>
      <c r="B73" t="s">
        <v>101</v>
      </c>
      <c r="C73" s="1">
        <v>17867021664</v>
      </c>
      <c r="D73" s="1">
        <v>16704693130</v>
      </c>
      <c r="E73" s="1">
        <v>417212397</v>
      </c>
      <c r="F73" s="1">
        <v>0</v>
      </c>
      <c r="G73" s="1">
        <v>17121905527</v>
      </c>
      <c r="H73" s="1">
        <v>745116137</v>
      </c>
      <c r="I73" s="1">
        <v>134120902</v>
      </c>
      <c r="J73" s="1">
        <v>0</v>
      </c>
      <c r="K73" s="1">
        <v>134120902</v>
      </c>
      <c r="L73" s="1">
        <v>28878417</v>
      </c>
      <c r="M73" s="1">
        <v>30790746</v>
      </c>
      <c r="N73" s="1">
        <v>59669163</v>
      </c>
      <c r="O73" s="1">
        <v>0</v>
      </c>
      <c r="P73" s="1">
        <v>74451739</v>
      </c>
    </row>
    <row r="74" spans="1:16" x14ac:dyDescent="0.35">
      <c r="A74" t="s">
        <v>102</v>
      </c>
      <c r="B74" t="s">
        <v>103</v>
      </c>
      <c r="C74" s="1">
        <v>29133360705</v>
      </c>
      <c r="D74" s="1">
        <v>2447451961</v>
      </c>
      <c r="E74" s="1">
        <v>1729602515</v>
      </c>
      <c r="F74" s="1">
        <v>0</v>
      </c>
      <c r="G74" s="1">
        <v>4177054476</v>
      </c>
      <c r="H74" s="1">
        <v>24956306229</v>
      </c>
      <c r="I74" s="1">
        <v>4492135131</v>
      </c>
      <c r="J74" s="1">
        <v>257639761</v>
      </c>
      <c r="K74" s="1">
        <v>4749774892</v>
      </c>
      <c r="L74" s="1">
        <v>1035831821</v>
      </c>
      <c r="M74" s="1">
        <v>1470815337</v>
      </c>
      <c r="N74" s="1">
        <v>2506647158</v>
      </c>
      <c r="O74" s="1">
        <v>257639761</v>
      </c>
      <c r="P74" s="1">
        <v>1985487971</v>
      </c>
    </row>
    <row r="75" spans="1:16" x14ac:dyDescent="0.35">
      <c r="A75" t="s">
        <v>104</v>
      </c>
      <c r="B75" t="s">
        <v>105</v>
      </c>
      <c r="C75" s="1">
        <v>43037964024</v>
      </c>
      <c r="D75" s="1">
        <v>452721730</v>
      </c>
      <c r="E75" s="1">
        <v>143138947</v>
      </c>
      <c r="F75" s="1">
        <v>0</v>
      </c>
      <c r="G75" s="1">
        <v>595860677</v>
      </c>
      <c r="H75" s="1">
        <v>42442103347</v>
      </c>
      <c r="I75" s="1">
        <v>7639578602</v>
      </c>
      <c r="J75" s="1">
        <v>0</v>
      </c>
      <c r="K75" s="1">
        <v>7639578602</v>
      </c>
      <c r="L75" s="1">
        <v>608272378</v>
      </c>
      <c r="M75" s="1">
        <v>2066956291</v>
      </c>
      <c r="N75" s="1">
        <v>2675228669</v>
      </c>
      <c r="O75" s="1">
        <v>0</v>
      </c>
      <c r="P75" s="1">
        <v>4964349933</v>
      </c>
    </row>
    <row r="76" spans="1:16" x14ac:dyDescent="0.35">
      <c r="A76" t="s">
        <v>106</v>
      </c>
      <c r="B76" t="s">
        <v>107</v>
      </c>
      <c r="C76" s="1">
        <v>10914924493</v>
      </c>
      <c r="D76" s="1">
        <v>1454315899</v>
      </c>
      <c r="E76" s="1">
        <v>5661241874</v>
      </c>
      <c r="F76" s="1">
        <v>0</v>
      </c>
      <c r="G76" s="1">
        <v>7115557773</v>
      </c>
      <c r="H76" s="1">
        <v>3799366720</v>
      </c>
      <c r="I76" s="1">
        <v>683886009</v>
      </c>
      <c r="J76" s="1">
        <v>7627</v>
      </c>
      <c r="K76" s="1">
        <v>683893636</v>
      </c>
      <c r="L76" s="1">
        <v>292272157</v>
      </c>
      <c r="M76" s="1">
        <v>158323480</v>
      </c>
      <c r="N76" s="1">
        <v>450595637</v>
      </c>
      <c r="O76" s="1">
        <v>0</v>
      </c>
      <c r="P76" s="1">
        <v>233297999</v>
      </c>
    </row>
    <row r="77" spans="1:16" x14ac:dyDescent="0.35">
      <c r="A77" s="2" t="str">
        <f>[1]Sheet3!A127</f>
        <v>C53</v>
      </c>
      <c r="B77" s="2" t="str">
        <f>[1]Sheet3!B127</f>
        <v>Pharmaceutical products</v>
      </c>
      <c r="C77" s="3">
        <f>C78</f>
        <v>92260309990</v>
      </c>
      <c r="D77" s="3">
        <f t="shared" ref="D77:P77" si="29">D78</f>
        <v>85354986628</v>
      </c>
      <c r="E77" s="3">
        <f t="shared" si="29"/>
        <v>1548307025</v>
      </c>
      <c r="F77" s="3">
        <f t="shared" si="29"/>
        <v>0</v>
      </c>
      <c r="G77" s="3">
        <f t="shared" si="29"/>
        <v>86903293653</v>
      </c>
      <c r="H77" s="3">
        <f t="shared" si="29"/>
        <v>5357016336</v>
      </c>
      <c r="I77" s="3">
        <f t="shared" si="29"/>
        <v>964262948</v>
      </c>
      <c r="J77" s="3">
        <f t="shared" si="29"/>
        <v>13441562</v>
      </c>
      <c r="K77" s="3">
        <f t="shared" si="29"/>
        <v>977704510</v>
      </c>
      <c r="L77" s="3">
        <f t="shared" si="29"/>
        <v>522278526</v>
      </c>
      <c r="M77" s="3">
        <f t="shared" si="29"/>
        <v>510936478</v>
      </c>
      <c r="N77" s="3">
        <f t="shared" si="29"/>
        <v>1033215004</v>
      </c>
      <c r="O77" s="3">
        <f t="shared" si="29"/>
        <v>92619</v>
      </c>
      <c r="P77" s="3">
        <f t="shared" si="29"/>
        <v>-55603118</v>
      </c>
    </row>
    <row r="78" spans="1:16" x14ac:dyDescent="0.35">
      <c r="A78" t="s">
        <v>108</v>
      </c>
      <c r="B78" t="s">
        <v>109</v>
      </c>
      <c r="C78" s="1">
        <v>92260309990</v>
      </c>
      <c r="D78" s="1">
        <v>85354986628</v>
      </c>
      <c r="E78" s="1">
        <v>1548307025</v>
      </c>
      <c r="F78" s="1">
        <v>0</v>
      </c>
      <c r="G78" s="1">
        <v>86903293653</v>
      </c>
      <c r="H78" s="1">
        <v>5357016336</v>
      </c>
      <c r="I78" s="1">
        <v>964262948</v>
      </c>
      <c r="J78" s="1">
        <v>13441562</v>
      </c>
      <c r="K78" s="1">
        <v>977704510</v>
      </c>
      <c r="L78" s="1">
        <v>522278526</v>
      </c>
      <c r="M78" s="1">
        <v>510936478</v>
      </c>
      <c r="N78" s="1">
        <v>1033215004</v>
      </c>
      <c r="O78" s="1">
        <v>92619</v>
      </c>
      <c r="P78" s="1">
        <v>-55603118</v>
      </c>
    </row>
    <row r="79" spans="1:16" x14ac:dyDescent="0.35">
      <c r="A79" s="2" t="str">
        <f>[1]Sheet3!A129</f>
        <v>C54</v>
      </c>
      <c r="B79" s="2" t="str">
        <f>[1]Sheet3!B129</f>
        <v>Rubber &amp; plastics products</v>
      </c>
      <c r="C79" s="3">
        <f>C80+C81</f>
        <v>13884071723</v>
      </c>
      <c r="D79" s="3">
        <f t="shared" ref="D79:P79" si="30">D80+D81</f>
        <v>1203306050</v>
      </c>
      <c r="E79" s="3">
        <f t="shared" si="30"/>
        <v>1082116355</v>
      </c>
      <c r="F79" s="3">
        <f t="shared" si="30"/>
        <v>0</v>
      </c>
      <c r="G79" s="3">
        <f t="shared" si="30"/>
        <v>2285422405</v>
      </c>
      <c r="H79" s="3">
        <f t="shared" si="30"/>
        <v>11598649318</v>
      </c>
      <c r="I79" s="3">
        <f t="shared" si="30"/>
        <v>2087756878</v>
      </c>
      <c r="J79" s="3">
        <f t="shared" si="30"/>
        <v>0</v>
      </c>
      <c r="K79" s="3">
        <f t="shared" si="30"/>
        <v>2087756878</v>
      </c>
      <c r="L79" s="3">
        <f t="shared" si="30"/>
        <v>223654885</v>
      </c>
      <c r="M79" s="3">
        <f t="shared" si="30"/>
        <v>468556699</v>
      </c>
      <c r="N79" s="3">
        <f t="shared" si="30"/>
        <v>692211584</v>
      </c>
      <c r="O79" s="3">
        <f t="shared" si="30"/>
        <v>0</v>
      </c>
      <c r="P79" s="3">
        <f t="shared" si="30"/>
        <v>1395545294</v>
      </c>
    </row>
    <row r="80" spans="1:16" x14ac:dyDescent="0.35">
      <c r="A80" t="s">
        <v>110</v>
      </c>
      <c r="B80" t="s">
        <v>111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 x14ac:dyDescent="0.35">
      <c r="A81" t="s">
        <v>112</v>
      </c>
      <c r="B81" t="s">
        <v>113</v>
      </c>
      <c r="C81" s="1">
        <v>13884071723</v>
      </c>
      <c r="D81" s="1">
        <v>1203306050</v>
      </c>
      <c r="E81" s="1">
        <v>1082116355</v>
      </c>
      <c r="F81" s="1">
        <v>0</v>
      </c>
      <c r="G81" s="1">
        <v>2285422405</v>
      </c>
      <c r="H81" s="1">
        <v>11598649318</v>
      </c>
      <c r="I81" s="1">
        <v>2087756878</v>
      </c>
      <c r="J81" s="1">
        <v>0</v>
      </c>
      <c r="K81" s="1">
        <v>2087756878</v>
      </c>
      <c r="L81" s="1">
        <v>223654885</v>
      </c>
      <c r="M81" s="1">
        <v>468556699</v>
      </c>
      <c r="N81" s="1">
        <v>692211584</v>
      </c>
      <c r="O81" s="1">
        <v>0</v>
      </c>
      <c r="P81" s="1">
        <v>1395545294</v>
      </c>
    </row>
    <row r="82" spans="1:16" x14ac:dyDescent="0.35">
      <c r="A82" s="2" t="str">
        <f>[1]Sheet3!A134</f>
        <v>C61</v>
      </c>
      <c r="B82" s="2" t="str">
        <f>[1]Sheet3!B134</f>
        <v>Non-metallic mineral products n.e.c.</v>
      </c>
      <c r="C82" s="3">
        <f>C83</f>
        <v>8637406606</v>
      </c>
      <c r="D82" s="3">
        <f t="shared" ref="D82:P82" si="31">D83</f>
        <v>1667793588</v>
      </c>
      <c r="E82" s="3">
        <f t="shared" si="31"/>
        <v>0</v>
      </c>
      <c r="F82" s="3">
        <f t="shared" si="31"/>
        <v>0</v>
      </c>
      <c r="G82" s="3">
        <f t="shared" si="31"/>
        <v>1667793588</v>
      </c>
      <c r="H82" s="3">
        <f t="shared" si="31"/>
        <v>6969613018</v>
      </c>
      <c r="I82" s="3">
        <f t="shared" si="31"/>
        <v>1254530344</v>
      </c>
      <c r="J82" s="3">
        <f t="shared" si="31"/>
        <v>0</v>
      </c>
      <c r="K82" s="3">
        <f t="shared" si="31"/>
        <v>1254530344</v>
      </c>
      <c r="L82" s="3">
        <f t="shared" si="31"/>
        <v>173221837</v>
      </c>
      <c r="M82" s="3">
        <f t="shared" si="31"/>
        <v>753937428</v>
      </c>
      <c r="N82" s="3">
        <f t="shared" si="31"/>
        <v>927159265</v>
      </c>
      <c r="O82" s="3">
        <f t="shared" si="31"/>
        <v>0</v>
      </c>
      <c r="P82" s="3">
        <f t="shared" si="31"/>
        <v>327371079</v>
      </c>
    </row>
    <row r="83" spans="1:16" x14ac:dyDescent="0.35">
      <c r="A83" t="s">
        <v>114</v>
      </c>
      <c r="B83" t="s">
        <v>115</v>
      </c>
      <c r="C83" s="1">
        <v>8637406606</v>
      </c>
      <c r="D83" s="1">
        <v>1667793588</v>
      </c>
      <c r="E83" s="1">
        <v>0</v>
      </c>
      <c r="F83" s="1">
        <v>0</v>
      </c>
      <c r="G83" s="1">
        <v>1667793588</v>
      </c>
      <c r="H83" s="1">
        <v>6969613018</v>
      </c>
      <c r="I83" s="1">
        <v>1254530344</v>
      </c>
      <c r="J83" s="1">
        <v>0</v>
      </c>
      <c r="K83" s="1">
        <v>1254530344</v>
      </c>
      <c r="L83" s="1">
        <v>173221837</v>
      </c>
      <c r="M83" s="1">
        <v>753937428</v>
      </c>
      <c r="N83" s="1">
        <v>927159265</v>
      </c>
      <c r="O83" s="1">
        <v>0</v>
      </c>
      <c r="P83" s="1">
        <v>327371079</v>
      </c>
    </row>
    <row r="84" spans="1:16" x14ac:dyDescent="0.35">
      <c r="A84" s="2" t="str">
        <f>[1]Sheet3!A136</f>
        <v>C62</v>
      </c>
      <c r="B84" s="2" t="str">
        <f>[1]Sheet3!B136</f>
        <v>Manufacture of cement, lime &amp; plaster</v>
      </c>
      <c r="C84" s="3">
        <f>C85+C86</f>
        <v>148238834089</v>
      </c>
      <c r="D84" s="3">
        <f t="shared" ref="D84:P84" si="32">D85+D86</f>
        <v>270233640</v>
      </c>
      <c r="E84" s="3">
        <f t="shared" si="32"/>
        <v>46526564279</v>
      </c>
      <c r="F84" s="3">
        <f t="shared" si="32"/>
        <v>0</v>
      </c>
      <c r="G84" s="3">
        <f t="shared" si="32"/>
        <v>46796797919</v>
      </c>
      <c r="H84" s="3">
        <f t="shared" si="32"/>
        <v>101442036170</v>
      </c>
      <c r="I84" s="3">
        <f t="shared" si="32"/>
        <v>18259566513</v>
      </c>
      <c r="J84" s="3">
        <f t="shared" si="32"/>
        <v>461632545</v>
      </c>
      <c r="K84" s="3">
        <f t="shared" si="32"/>
        <v>18721199058</v>
      </c>
      <c r="L84" s="3">
        <f t="shared" si="32"/>
        <v>4102871367</v>
      </c>
      <c r="M84" s="3">
        <f t="shared" si="32"/>
        <v>6911636906</v>
      </c>
      <c r="N84" s="3">
        <f t="shared" si="32"/>
        <v>11014508273</v>
      </c>
      <c r="O84" s="3">
        <f t="shared" si="32"/>
        <v>48889651</v>
      </c>
      <c r="P84" s="3">
        <f t="shared" si="32"/>
        <v>7657801134</v>
      </c>
    </row>
    <row r="85" spans="1:16" x14ac:dyDescent="0.35">
      <c r="A85" t="s">
        <v>116</v>
      </c>
      <c r="B85" t="s">
        <v>117</v>
      </c>
      <c r="C85" s="1">
        <v>128705303202</v>
      </c>
      <c r="D85" s="1">
        <v>263561700</v>
      </c>
      <c r="E85" s="1">
        <v>44963504080</v>
      </c>
      <c r="F85" s="1">
        <v>0</v>
      </c>
      <c r="G85" s="1">
        <v>45227065780</v>
      </c>
      <c r="H85" s="1">
        <v>83478237422</v>
      </c>
      <c r="I85" s="1">
        <v>15026082736</v>
      </c>
      <c r="J85" s="1">
        <v>416345624</v>
      </c>
      <c r="K85" s="1">
        <v>15442428360</v>
      </c>
      <c r="L85" s="1">
        <v>985571026</v>
      </c>
      <c r="M85" s="1">
        <v>5180307509</v>
      </c>
      <c r="N85" s="1">
        <v>6165878535</v>
      </c>
      <c r="O85" s="1">
        <v>48889651</v>
      </c>
      <c r="P85" s="1">
        <v>9227660174</v>
      </c>
    </row>
    <row r="86" spans="1:16" x14ac:dyDescent="0.35">
      <c r="A86" t="s">
        <v>118</v>
      </c>
      <c r="B86" t="s">
        <v>119</v>
      </c>
      <c r="C86" s="1">
        <v>19533530887</v>
      </c>
      <c r="D86" s="1">
        <v>6671940</v>
      </c>
      <c r="E86" s="1">
        <v>1563060199</v>
      </c>
      <c r="F86" s="1">
        <v>0</v>
      </c>
      <c r="G86" s="1">
        <v>1569732139</v>
      </c>
      <c r="H86" s="1">
        <v>17963798748</v>
      </c>
      <c r="I86" s="1">
        <v>3233483777</v>
      </c>
      <c r="J86" s="1">
        <v>45286921</v>
      </c>
      <c r="K86" s="1">
        <v>3278770698</v>
      </c>
      <c r="L86" s="1">
        <v>3117300341</v>
      </c>
      <c r="M86" s="1">
        <v>1731329397</v>
      </c>
      <c r="N86" s="1">
        <v>4848629738</v>
      </c>
      <c r="O86" s="1">
        <v>0</v>
      </c>
      <c r="P86" s="1">
        <v>-1569859040</v>
      </c>
    </row>
    <row r="87" spans="1:16" x14ac:dyDescent="0.35">
      <c r="A87" s="2" t="str">
        <f>[1]Sheet3!A139</f>
        <v>C63</v>
      </c>
      <c r="B87" s="2" t="str">
        <f>[1]Sheet3!B139</f>
        <v>Manufacture of clay building materials</v>
      </c>
      <c r="C87" s="3">
        <f>C88</f>
        <v>5105272855</v>
      </c>
      <c r="D87" s="3">
        <f t="shared" ref="D87:P87" si="33">D88</f>
        <v>1049860231</v>
      </c>
      <c r="E87" s="3">
        <f t="shared" si="33"/>
        <v>13041803</v>
      </c>
      <c r="F87" s="3">
        <f t="shared" si="33"/>
        <v>0</v>
      </c>
      <c r="G87" s="3">
        <f t="shared" si="33"/>
        <v>1062902034</v>
      </c>
      <c r="H87" s="3">
        <f t="shared" si="33"/>
        <v>4042370821</v>
      </c>
      <c r="I87" s="3">
        <f t="shared" si="33"/>
        <v>727626749</v>
      </c>
      <c r="J87" s="3">
        <f t="shared" si="33"/>
        <v>0</v>
      </c>
      <c r="K87" s="3">
        <f t="shared" si="33"/>
        <v>727626749</v>
      </c>
      <c r="L87" s="3">
        <f t="shared" si="33"/>
        <v>161197022</v>
      </c>
      <c r="M87" s="3">
        <f t="shared" si="33"/>
        <v>487740201</v>
      </c>
      <c r="N87" s="3">
        <f t="shared" si="33"/>
        <v>648937223</v>
      </c>
      <c r="O87" s="3">
        <f t="shared" si="33"/>
        <v>0</v>
      </c>
      <c r="P87" s="3">
        <f t="shared" si="33"/>
        <v>78689526</v>
      </c>
    </row>
    <row r="88" spans="1:16" x14ac:dyDescent="0.35">
      <c r="A88" t="s">
        <v>120</v>
      </c>
      <c r="B88" t="s">
        <v>121</v>
      </c>
      <c r="C88" s="1">
        <v>5105272855</v>
      </c>
      <c r="D88" s="1">
        <v>1049860231</v>
      </c>
      <c r="E88" s="1">
        <v>13041803</v>
      </c>
      <c r="F88" s="1">
        <v>0</v>
      </c>
      <c r="G88" s="1">
        <v>1062902034</v>
      </c>
      <c r="H88" s="1">
        <v>4042370821</v>
      </c>
      <c r="I88" s="1">
        <v>727626749</v>
      </c>
      <c r="J88" s="1">
        <v>0</v>
      </c>
      <c r="K88" s="1">
        <v>727626749</v>
      </c>
      <c r="L88" s="1">
        <v>161197022</v>
      </c>
      <c r="M88" s="1">
        <v>487740201</v>
      </c>
      <c r="N88" s="1">
        <v>648937223</v>
      </c>
      <c r="O88" s="1">
        <v>0</v>
      </c>
      <c r="P88" s="1">
        <v>78689526</v>
      </c>
    </row>
    <row r="89" spans="1:16" x14ac:dyDescent="0.35">
      <c r="A89" s="2" t="str">
        <f>[1]Sheet3!A142</f>
        <v>C72</v>
      </c>
      <c r="B89" s="2" t="str">
        <f>[1]Sheet3!B142</f>
        <v>Metals &amp; metal products, except machinery &amp; equipment</v>
      </c>
      <c r="C89" s="3">
        <f>C90+C91+C92</f>
        <v>123902661847</v>
      </c>
      <c r="D89" s="3">
        <f t="shared" ref="D89:P89" si="34">D90+D91+D92</f>
        <v>5385543414</v>
      </c>
      <c r="E89" s="3">
        <f t="shared" si="34"/>
        <v>27834073998</v>
      </c>
      <c r="F89" s="3">
        <f t="shared" si="34"/>
        <v>7976603309</v>
      </c>
      <c r="G89" s="3">
        <f t="shared" si="34"/>
        <v>41196220721</v>
      </c>
      <c r="H89" s="3">
        <f t="shared" si="34"/>
        <v>82706441128</v>
      </c>
      <c r="I89" s="3">
        <f t="shared" si="34"/>
        <v>14887159401</v>
      </c>
      <c r="J89" s="3">
        <f t="shared" si="34"/>
        <v>14686532</v>
      </c>
      <c r="K89" s="3">
        <f t="shared" si="34"/>
        <v>14901845933</v>
      </c>
      <c r="L89" s="3">
        <f t="shared" si="34"/>
        <v>1523587435</v>
      </c>
      <c r="M89" s="3">
        <f t="shared" si="34"/>
        <v>5840246158</v>
      </c>
      <c r="N89" s="3">
        <f t="shared" si="34"/>
        <v>7363833593</v>
      </c>
      <c r="O89" s="3">
        <f t="shared" si="34"/>
        <v>0</v>
      </c>
      <c r="P89" s="3">
        <f t="shared" si="34"/>
        <v>7538012340</v>
      </c>
    </row>
    <row r="90" spans="1:16" x14ac:dyDescent="0.35">
      <c r="A90" t="s">
        <v>122</v>
      </c>
      <c r="B90" t="s">
        <v>123</v>
      </c>
      <c r="C90" s="1">
        <v>78828361515</v>
      </c>
      <c r="D90" s="1">
        <v>3482514107</v>
      </c>
      <c r="E90" s="1">
        <v>25418359159</v>
      </c>
      <c r="F90" s="1">
        <v>271335143</v>
      </c>
      <c r="G90" s="1">
        <v>29172208409</v>
      </c>
      <c r="H90" s="1">
        <v>49656153106</v>
      </c>
      <c r="I90" s="1">
        <v>8938107559</v>
      </c>
      <c r="J90" s="1">
        <v>0</v>
      </c>
      <c r="K90" s="1">
        <v>8938107559</v>
      </c>
      <c r="L90" s="1">
        <v>678277634</v>
      </c>
      <c r="M90" s="1">
        <v>4711680044</v>
      </c>
      <c r="N90" s="1">
        <v>5389957678</v>
      </c>
      <c r="O90" s="1">
        <v>0</v>
      </c>
      <c r="P90" s="1">
        <v>3548149881</v>
      </c>
    </row>
    <row r="91" spans="1:16" x14ac:dyDescent="0.35">
      <c r="A91" t="s">
        <v>124</v>
      </c>
      <c r="B91" t="s">
        <v>125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 x14ac:dyDescent="0.35">
      <c r="A92" t="s">
        <v>126</v>
      </c>
      <c r="B92" t="s">
        <v>127</v>
      </c>
      <c r="C92" s="1">
        <v>45074300332</v>
      </c>
      <c r="D92" s="1">
        <v>1903029307</v>
      </c>
      <c r="E92" s="1">
        <v>2415714839</v>
      </c>
      <c r="F92" s="1">
        <v>7705268166</v>
      </c>
      <c r="G92" s="1">
        <v>12024012312</v>
      </c>
      <c r="H92" s="1">
        <v>33050288022</v>
      </c>
      <c r="I92" s="1">
        <v>5949051842</v>
      </c>
      <c r="J92" s="1">
        <v>14686532</v>
      </c>
      <c r="K92" s="1">
        <v>5963738374</v>
      </c>
      <c r="L92" s="1">
        <v>845309801</v>
      </c>
      <c r="M92" s="1">
        <v>1128566114</v>
      </c>
      <c r="N92" s="1">
        <v>1973875915</v>
      </c>
      <c r="O92" s="1">
        <v>0</v>
      </c>
      <c r="P92" s="1">
        <v>3989862459</v>
      </c>
    </row>
    <row r="93" spans="1:16" x14ac:dyDescent="0.35">
      <c r="A93" s="2" t="str">
        <f>[1]Sheet3!A146</f>
        <v>C74</v>
      </c>
      <c r="B93" s="2" t="str">
        <f>[1]Sheet3!B146</f>
        <v>Machinery &amp; equipment (except transport)</v>
      </c>
      <c r="C93" s="3">
        <f>C94+C95+C96+C97+C98+C99+C100+C101</f>
        <v>58172482045</v>
      </c>
      <c r="D93" s="3">
        <f t="shared" ref="D93:P93" si="35">D94+D95+D96+D97+D98+D99+D100+D101</f>
        <v>32474794851</v>
      </c>
      <c r="E93" s="3">
        <f t="shared" si="35"/>
        <v>7807583054</v>
      </c>
      <c r="F93" s="3">
        <f t="shared" si="35"/>
        <v>0</v>
      </c>
      <c r="G93" s="3">
        <f t="shared" si="35"/>
        <v>40282377905</v>
      </c>
      <c r="H93" s="3">
        <f t="shared" si="35"/>
        <v>17890104140</v>
      </c>
      <c r="I93" s="3">
        <f t="shared" si="35"/>
        <v>3220218747</v>
      </c>
      <c r="J93" s="3">
        <f t="shared" si="35"/>
        <v>7753243</v>
      </c>
      <c r="K93" s="3">
        <f t="shared" si="35"/>
        <v>3227971990</v>
      </c>
      <c r="L93" s="3">
        <f t="shared" si="35"/>
        <v>810195176</v>
      </c>
      <c r="M93" s="3">
        <f t="shared" si="35"/>
        <v>446050445</v>
      </c>
      <c r="N93" s="3">
        <f t="shared" si="35"/>
        <v>1256245621</v>
      </c>
      <c r="O93" s="3">
        <f t="shared" si="35"/>
        <v>0</v>
      </c>
      <c r="P93" s="3">
        <f t="shared" si="35"/>
        <v>1971726368</v>
      </c>
    </row>
    <row r="94" spans="1:16" x14ac:dyDescent="0.35">
      <c r="A94" t="s">
        <v>128</v>
      </c>
      <c r="B94" t="s">
        <v>129</v>
      </c>
      <c r="C94" s="1">
        <v>54409000</v>
      </c>
      <c r="D94" s="1">
        <v>54409000</v>
      </c>
      <c r="E94" s="1">
        <v>0</v>
      </c>
      <c r="F94" s="1">
        <v>0</v>
      </c>
      <c r="G94" s="1">
        <v>54409000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 x14ac:dyDescent="0.35">
      <c r="A95" t="s">
        <v>130</v>
      </c>
      <c r="B95" t="s">
        <v>131</v>
      </c>
      <c r="C95" s="1">
        <v>30495736191</v>
      </c>
      <c r="D95" s="1">
        <v>23692082254</v>
      </c>
      <c r="E95" s="1">
        <v>6795197886</v>
      </c>
      <c r="F95" s="1">
        <v>0</v>
      </c>
      <c r="G95" s="1">
        <v>30487280140</v>
      </c>
      <c r="H95" s="1">
        <v>8456051</v>
      </c>
      <c r="I95" s="1">
        <v>1522090</v>
      </c>
      <c r="J95" s="1">
        <v>0</v>
      </c>
      <c r="K95" s="1">
        <v>1522090</v>
      </c>
      <c r="L95" s="1">
        <v>0</v>
      </c>
      <c r="M95" s="1">
        <v>926208</v>
      </c>
      <c r="N95" s="1">
        <v>926208</v>
      </c>
      <c r="O95" s="1">
        <v>0</v>
      </c>
      <c r="P95" s="1">
        <v>595882</v>
      </c>
    </row>
    <row r="96" spans="1:16" x14ac:dyDescent="0.35">
      <c r="A96" t="s">
        <v>132</v>
      </c>
      <c r="B96" t="s">
        <v>133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 x14ac:dyDescent="0.35">
      <c r="A97" t="s">
        <v>134</v>
      </c>
      <c r="B97" t="s">
        <v>135</v>
      </c>
      <c r="C97" s="1">
        <v>181814640</v>
      </c>
      <c r="D97" s="1">
        <v>477500</v>
      </c>
      <c r="E97" s="1">
        <v>4035000</v>
      </c>
      <c r="F97" s="1">
        <v>0</v>
      </c>
      <c r="G97" s="1">
        <v>4512500</v>
      </c>
      <c r="H97" s="1">
        <v>177302140</v>
      </c>
      <c r="I97" s="1">
        <v>31914387</v>
      </c>
      <c r="J97" s="1">
        <v>0</v>
      </c>
      <c r="K97" s="1">
        <v>31914387</v>
      </c>
      <c r="L97" s="1">
        <v>24576187</v>
      </c>
      <c r="M97" s="1">
        <v>6936859</v>
      </c>
      <c r="N97" s="1">
        <v>31513046</v>
      </c>
      <c r="O97" s="1">
        <v>0</v>
      </c>
      <c r="P97" s="1">
        <v>401341</v>
      </c>
    </row>
    <row r="98" spans="1:16" x14ac:dyDescent="0.35">
      <c r="A98" t="s">
        <v>136</v>
      </c>
      <c r="B98" t="s">
        <v>137</v>
      </c>
      <c r="C98" s="1">
        <v>44983174</v>
      </c>
      <c r="D98" s="1">
        <v>27327200</v>
      </c>
      <c r="E98" s="1">
        <v>0</v>
      </c>
      <c r="F98" s="1">
        <v>0</v>
      </c>
      <c r="G98" s="1">
        <v>27327200</v>
      </c>
      <c r="H98" s="1">
        <v>17655974</v>
      </c>
      <c r="I98" s="1">
        <v>3178075</v>
      </c>
      <c r="J98" s="1">
        <v>0</v>
      </c>
      <c r="K98" s="1">
        <v>3178075</v>
      </c>
      <c r="L98" s="1">
        <v>0</v>
      </c>
      <c r="M98" s="1">
        <v>2939241</v>
      </c>
      <c r="N98" s="1">
        <v>2939241</v>
      </c>
      <c r="O98" s="1">
        <v>0</v>
      </c>
      <c r="P98" s="1">
        <v>238834</v>
      </c>
    </row>
    <row r="99" spans="1:16" x14ac:dyDescent="0.35">
      <c r="A99" t="s">
        <v>138</v>
      </c>
      <c r="B99" t="s">
        <v>139</v>
      </c>
      <c r="C99" s="1">
        <v>13666173461</v>
      </c>
      <c r="D99" s="1">
        <v>7971475664</v>
      </c>
      <c r="E99" s="1">
        <v>324928653</v>
      </c>
      <c r="F99" s="1">
        <v>0</v>
      </c>
      <c r="G99" s="1">
        <v>8296404317</v>
      </c>
      <c r="H99" s="1">
        <v>5369769144</v>
      </c>
      <c r="I99" s="1">
        <v>966558445</v>
      </c>
      <c r="J99" s="1">
        <v>7753243</v>
      </c>
      <c r="K99" s="1">
        <v>974311688</v>
      </c>
      <c r="L99" s="1">
        <v>675635312</v>
      </c>
      <c r="M99" s="1">
        <v>168198784</v>
      </c>
      <c r="N99" s="1">
        <v>843834096</v>
      </c>
      <c r="O99" s="1">
        <v>0</v>
      </c>
      <c r="P99" s="1">
        <v>130477592</v>
      </c>
    </row>
    <row r="100" spans="1:16" x14ac:dyDescent="0.35">
      <c r="A100" t="s">
        <v>140</v>
      </c>
      <c r="B100" t="s">
        <v>141</v>
      </c>
      <c r="C100" s="1">
        <v>11232801379</v>
      </c>
      <c r="D100" s="1">
        <v>199635597</v>
      </c>
      <c r="E100" s="1">
        <v>683421515</v>
      </c>
      <c r="F100" s="1">
        <v>0</v>
      </c>
      <c r="G100" s="1">
        <v>883057112</v>
      </c>
      <c r="H100" s="1">
        <v>10349744267</v>
      </c>
      <c r="I100" s="1">
        <v>1862953967</v>
      </c>
      <c r="J100" s="1">
        <v>0</v>
      </c>
      <c r="K100" s="1">
        <v>1862953967</v>
      </c>
      <c r="L100" s="1">
        <v>105858132</v>
      </c>
      <c r="M100" s="1">
        <v>110714250</v>
      </c>
      <c r="N100" s="1">
        <v>216572382</v>
      </c>
      <c r="O100" s="1">
        <v>0</v>
      </c>
      <c r="P100" s="1">
        <v>1646381585</v>
      </c>
    </row>
    <row r="101" spans="1:16" x14ac:dyDescent="0.35">
      <c r="A101" t="s">
        <v>142</v>
      </c>
      <c r="B101" t="s">
        <v>143</v>
      </c>
      <c r="C101" s="1">
        <v>2496564200</v>
      </c>
      <c r="D101" s="1">
        <v>529387636</v>
      </c>
      <c r="E101" s="1">
        <v>0</v>
      </c>
      <c r="F101" s="1">
        <v>0</v>
      </c>
      <c r="G101" s="1">
        <v>529387636</v>
      </c>
      <c r="H101" s="1">
        <v>1967176564</v>
      </c>
      <c r="I101" s="1">
        <v>354091783</v>
      </c>
      <c r="J101" s="1">
        <v>0</v>
      </c>
      <c r="K101" s="1">
        <v>354091783</v>
      </c>
      <c r="L101" s="1">
        <v>4125545</v>
      </c>
      <c r="M101" s="1">
        <v>156335103</v>
      </c>
      <c r="N101" s="1">
        <v>160460648</v>
      </c>
      <c r="O101" s="1">
        <v>0</v>
      </c>
      <c r="P101" s="1">
        <v>193631134</v>
      </c>
    </row>
    <row r="102" spans="1:16" x14ac:dyDescent="0.35">
      <c r="A102" s="2" t="str">
        <f>[1]Sheet3!A156</f>
        <v>C76</v>
      </c>
      <c r="B102" s="2" t="str">
        <f>[1]Sheet3!B156</f>
        <v>Transport equipment</v>
      </c>
      <c r="C102" s="3">
        <f>C103+C104+C105</f>
        <v>26276562759</v>
      </c>
      <c r="D102" s="3">
        <f t="shared" ref="D102:P102" si="36">D103+D104+D105</f>
        <v>5624549634</v>
      </c>
      <c r="E102" s="3">
        <f t="shared" si="36"/>
        <v>387355694</v>
      </c>
      <c r="F102" s="3">
        <f t="shared" si="36"/>
        <v>0</v>
      </c>
      <c r="G102" s="3">
        <f t="shared" si="36"/>
        <v>6011905328</v>
      </c>
      <c r="H102" s="3">
        <f t="shared" si="36"/>
        <v>20264657431</v>
      </c>
      <c r="I102" s="3">
        <f t="shared" si="36"/>
        <v>3647638340</v>
      </c>
      <c r="J102" s="3">
        <f t="shared" si="36"/>
        <v>25580682</v>
      </c>
      <c r="K102" s="3">
        <f t="shared" si="36"/>
        <v>3673219022</v>
      </c>
      <c r="L102" s="3">
        <f t="shared" si="36"/>
        <v>1983589072</v>
      </c>
      <c r="M102" s="3">
        <f t="shared" si="36"/>
        <v>476632585</v>
      </c>
      <c r="N102" s="3">
        <f t="shared" si="36"/>
        <v>2460221657</v>
      </c>
      <c r="O102" s="3">
        <f t="shared" si="36"/>
        <v>25580683</v>
      </c>
      <c r="P102" s="3">
        <f t="shared" si="36"/>
        <v>1187416681</v>
      </c>
    </row>
    <row r="103" spans="1:16" x14ac:dyDescent="0.35">
      <c r="A103" t="s">
        <v>144</v>
      </c>
      <c r="B103" t="s">
        <v>145</v>
      </c>
      <c r="C103" s="1">
        <v>9180673107</v>
      </c>
      <c r="D103" s="1">
        <v>2533760922</v>
      </c>
      <c r="E103" s="1">
        <v>387355694</v>
      </c>
      <c r="F103" s="1">
        <v>0</v>
      </c>
      <c r="G103" s="1">
        <v>2921116616</v>
      </c>
      <c r="H103" s="1">
        <v>6259556491</v>
      </c>
      <c r="I103" s="1">
        <v>1126720169</v>
      </c>
      <c r="J103" s="1">
        <v>25580682</v>
      </c>
      <c r="K103" s="1">
        <v>1152300851</v>
      </c>
      <c r="L103" s="1">
        <v>153879756</v>
      </c>
      <c r="M103" s="1">
        <v>406360517</v>
      </c>
      <c r="N103" s="1">
        <v>560240273</v>
      </c>
      <c r="O103" s="1">
        <v>25580683</v>
      </c>
      <c r="P103" s="1">
        <v>566479894</v>
      </c>
    </row>
    <row r="104" spans="1:16" x14ac:dyDescent="0.35">
      <c r="A104" t="s">
        <v>146</v>
      </c>
      <c r="B104" t="s">
        <v>147</v>
      </c>
      <c r="C104" s="1">
        <v>17085694228</v>
      </c>
      <c r="D104" s="1">
        <v>3090788712</v>
      </c>
      <c r="E104" s="1">
        <v>0</v>
      </c>
      <c r="F104" s="1">
        <v>0</v>
      </c>
      <c r="G104" s="1">
        <v>3090788712</v>
      </c>
      <c r="H104" s="1">
        <v>13994905516</v>
      </c>
      <c r="I104" s="1">
        <v>2519082995</v>
      </c>
      <c r="J104" s="1">
        <v>0</v>
      </c>
      <c r="K104" s="1">
        <v>2519082995</v>
      </c>
      <c r="L104" s="1">
        <v>1829174156</v>
      </c>
      <c r="M104" s="1">
        <v>70225081</v>
      </c>
      <c r="N104" s="1">
        <v>1899399237</v>
      </c>
      <c r="O104" s="1">
        <v>0</v>
      </c>
      <c r="P104" s="1">
        <v>619683758</v>
      </c>
    </row>
    <row r="105" spans="1:16" x14ac:dyDescent="0.35">
      <c r="A105" t="s">
        <v>148</v>
      </c>
      <c r="B105" t="s">
        <v>149</v>
      </c>
      <c r="C105" s="1">
        <v>10195424</v>
      </c>
      <c r="D105" s="1">
        <v>0</v>
      </c>
      <c r="E105" s="1">
        <v>0</v>
      </c>
      <c r="F105" s="1">
        <v>0</v>
      </c>
      <c r="G105" s="1">
        <v>0</v>
      </c>
      <c r="H105" s="1">
        <v>10195424</v>
      </c>
      <c r="I105" s="1">
        <v>1835176</v>
      </c>
      <c r="J105" s="1">
        <v>0</v>
      </c>
      <c r="K105" s="1">
        <v>1835176</v>
      </c>
      <c r="L105" s="1">
        <v>535160</v>
      </c>
      <c r="M105" s="1">
        <v>46987</v>
      </c>
      <c r="N105" s="1">
        <v>582147</v>
      </c>
      <c r="O105" s="1">
        <v>0</v>
      </c>
      <c r="P105" s="1">
        <v>1253029</v>
      </c>
    </row>
    <row r="106" spans="1:16" x14ac:dyDescent="0.35">
      <c r="A106" s="2" t="str">
        <f>[1]Sheet3!A161</f>
        <v>C81</v>
      </c>
      <c r="B106" s="2" t="str">
        <f>[1]Sheet3!B161</f>
        <v>Furniture</v>
      </c>
      <c r="C106" s="3">
        <f>C107</f>
        <v>25241703887</v>
      </c>
      <c r="D106" s="3">
        <f t="shared" ref="D106:P106" si="37">D107</f>
        <v>758293106</v>
      </c>
      <c r="E106" s="3">
        <f t="shared" si="37"/>
        <v>1810937057</v>
      </c>
      <c r="F106" s="3">
        <f t="shared" si="37"/>
        <v>2452771522</v>
      </c>
      <c r="G106" s="3">
        <f t="shared" si="37"/>
        <v>5022001685</v>
      </c>
      <c r="H106" s="3">
        <f t="shared" si="37"/>
        <v>20219702201</v>
      </c>
      <c r="I106" s="3">
        <f t="shared" si="37"/>
        <v>3639546409</v>
      </c>
      <c r="J106" s="3">
        <f t="shared" si="37"/>
        <v>0</v>
      </c>
      <c r="K106" s="3">
        <f t="shared" si="37"/>
        <v>3639546409</v>
      </c>
      <c r="L106" s="3">
        <f t="shared" si="37"/>
        <v>800553212</v>
      </c>
      <c r="M106" s="3">
        <f t="shared" si="37"/>
        <v>1148611431</v>
      </c>
      <c r="N106" s="3">
        <f t="shared" si="37"/>
        <v>1949164643</v>
      </c>
      <c r="O106" s="3">
        <f t="shared" si="37"/>
        <v>0</v>
      </c>
      <c r="P106" s="3">
        <f t="shared" si="37"/>
        <v>1690381763</v>
      </c>
    </row>
    <row r="107" spans="1:16" x14ac:dyDescent="0.35">
      <c r="A107" t="s">
        <v>150</v>
      </c>
      <c r="B107" t="s">
        <v>151</v>
      </c>
      <c r="C107" s="1">
        <v>25241703887</v>
      </c>
      <c r="D107" s="1">
        <v>758293106</v>
      </c>
      <c r="E107" s="1">
        <v>1810937057</v>
      </c>
      <c r="F107" s="1">
        <v>2452771522</v>
      </c>
      <c r="G107" s="1">
        <v>5022001685</v>
      </c>
      <c r="H107" s="1">
        <v>20219702201</v>
      </c>
      <c r="I107" s="1">
        <v>3639546409</v>
      </c>
      <c r="J107" s="1">
        <v>0</v>
      </c>
      <c r="K107" s="1">
        <v>3639546409</v>
      </c>
      <c r="L107" s="1">
        <v>800553212</v>
      </c>
      <c r="M107" s="1">
        <v>1148611431</v>
      </c>
      <c r="N107" s="1">
        <v>1949164643</v>
      </c>
      <c r="O107" s="1">
        <v>0</v>
      </c>
      <c r="P107" s="1">
        <v>1690381763</v>
      </c>
    </row>
    <row r="108" spans="1:16" x14ac:dyDescent="0.35">
      <c r="A108" s="2" t="str">
        <f>[1]Sheet3!A164</f>
        <v>C82</v>
      </c>
      <c r="B108" s="2" t="str">
        <f>[1]Sheet3!B164</f>
        <v>Other manufactures</v>
      </c>
      <c r="C108" s="3">
        <f>C109+C110+C111</f>
        <v>42937118707</v>
      </c>
      <c r="D108" s="3">
        <f t="shared" ref="D108:P108" si="38">D109+D110+D111</f>
        <v>9928675620</v>
      </c>
      <c r="E108" s="3">
        <f t="shared" si="38"/>
        <v>5196441892</v>
      </c>
      <c r="F108" s="3">
        <f t="shared" si="38"/>
        <v>0</v>
      </c>
      <c r="G108" s="3">
        <f t="shared" si="38"/>
        <v>15125117512</v>
      </c>
      <c r="H108" s="3">
        <f t="shared" si="38"/>
        <v>27812001195</v>
      </c>
      <c r="I108" s="3">
        <f t="shared" si="38"/>
        <v>5006160209</v>
      </c>
      <c r="J108" s="3">
        <f t="shared" si="38"/>
        <v>0</v>
      </c>
      <c r="K108" s="3">
        <f t="shared" si="38"/>
        <v>5006160209</v>
      </c>
      <c r="L108" s="3">
        <f t="shared" si="38"/>
        <v>339840618</v>
      </c>
      <c r="M108" s="3">
        <f t="shared" si="38"/>
        <v>959968933</v>
      </c>
      <c r="N108" s="3">
        <f t="shared" si="38"/>
        <v>1299809551</v>
      </c>
      <c r="O108" s="3">
        <f t="shared" si="38"/>
        <v>0</v>
      </c>
      <c r="P108" s="3">
        <f t="shared" si="38"/>
        <v>3706350655</v>
      </c>
    </row>
    <row r="109" spans="1:16" x14ac:dyDescent="0.35">
      <c r="A109" t="s">
        <v>152</v>
      </c>
      <c r="B109" t="s">
        <v>153</v>
      </c>
      <c r="C109" s="1">
        <v>6457429360</v>
      </c>
      <c r="D109" s="1">
        <v>6445382578</v>
      </c>
      <c r="E109" s="1">
        <v>0</v>
      </c>
      <c r="F109" s="1">
        <v>0</v>
      </c>
      <c r="G109" s="1">
        <v>6445382578</v>
      </c>
      <c r="H109" s="1">
        <v>12046782</v>
      </c>
      <c r="I109" s="1">
        <v>2168419</v>
      </c>
      <c r="J109" s="1">
        <v>0</v>
      </c>
      <c r="K109" s="1">
        <v>2168419</v>
      </c>
      <c r="L109" s="1">
        <v>0</v>
      </c>
      <c r="M109" s="1">
        <v>1209506</v>
      </c>
      <c r="N109" s="1">
        <v>1209506</v>
      </c>
      <c r="O109" s="1">
        <v>0</v>
      </c>
      <c r="P109" s="1">
        <v>958913</v>
      </c>
    </row>
    <row r="110" spans="1:16" x14ac:dyDescent="0.35">
      <c r="A110" t="s">
        <v>154</v>
      </c>
      <c r="B110" t="s">
        <v>155</v>
      </c>
      <c r="C110" s="1">
        <v>72607241</v>
      </c>
      <c r="D110" s="1">
        <v>49019400</v>
      </c>
      <c r="E110" s="1">
        <v>0</v>
      </c>
      <c r="F110" s="1">
        <v>0</v>
      </c>
      <c r="G110" s="1">
        <v>49019400</v>
      </c>
      <c r="H110" s="1">
        <v>23587841</v>
      </c>
      <c r="I110" s="1">
        <v>4245812</v>
      </c>
      <c r="J110" s="1">
        <v>0</v>
      </c>
      <c r="K110" s="1">
        <v>4245812</v>
      </c>
      <c r="L110" s="1">
        <v>419294</v>
      </c>
      <c r="M110" s="1">
        <v>1485837</v>
      </c>
      <c r="N110" s="1">
        <v>1905131</v>
      </c>
      <c r="O110" s="1">
        <v>0</v>
      </c>
      <c r="P110" s="1">
        <v>2340680</v>
      </c>
    </row>
    <row r="111" spans="1:16" x14ac:dyDescent="0.35">
      <c r="A111" t="s">
        <v>156</v>
      </c>
      <c r="B111" t="s">
        <v>157</v>
      </c>
      <c r="C111" s="1">
        <v>36407082106</v>
      </c>
      <c r="D111" s="1">
        <v>3434273642</v>
      </c>
      <c r="E111" s="1">
        <v>5196441892</v>
      </c>
      <c r="F111" s="1">
        <v>0</v>
      </c>
      <c r="G111" s="1">
        <v>8630715534</v>
      </c>
      <c r="H111" s="1">
        <v>27776366572</v>
      </c>
      <c r="I111" s="1">
        <v>4999745978</v>
      </c>
      <c r="J111" s="1">
        <v>0</v>
      </c>
      <c r="K111" s="1">
        <v>4999745978</v>
      </c>
      <c r="L111" s="1">
        <v>339421324</v>
      </c>
      <c r="M111" s="1">
        <v>957273590</v>
      </c>
      <c r="N111" s="1">
        <v>1296694914</v>
      </c>
      <c r="O111" s="1">
        <v>0</v>
      </c>
      <c r="P111" s="1">
        <v>3703051062</v>
      </c>
    </row>
    <row r="112" spans="1:16" x14ac:dyDescent="0.35">
      <c r="A112" s="2" t="str">
        <f>[1]Sheet3!A169</f>
        <v>C83</v>
      </c>
      <c r="B112" s="2" t="str">
        <f>[1]Sheet3!B169</f>
        <v>Repair &amp; installation of machinery &amp; equipment</v>
      </c>
      <c r="C112" s="3">
        <f>C113</f>
        <v>4088732001</v>
      </c>
      <c r="D112" s="3">
        <f t="shared" ref="D112:P112" si="39">D113</f>
        <v>680611008</v>
      </c>
      <c r="E112" s="3">
        <f t="shared" si="39"/>
        <v>1224000</v>
      </c>
      <c r="F112" s="3">
        <f t="shared" si="39"/>
        <v>0</v>
      </c>
      <c r="G112" s="3">
        <f t="shared" si="39"/>
        <v>681835008</v>
      </c>
      <c r="H112" s="3">
        <f t="shared" si="39"/>
        <v>3406896993</v>
      </c>
      <c r="I112" s="3">
        <f t="shared" si="39"/>
        <v>613241464</v>
      </c>
      <c r="J112" s="3">
        <f t="shared" si="39"/>
        <v>0</v>
      </c>
      <c r="K112" s="3">
        <f t="shared" si="39"/>
        <v>613241464</v>
      </c>
      <c r="L112" s="3">
        <f t="shared" si="39"/>
        <v>162688256</v>
      </c>
      <c r="M112" s="3">
        <f t="shared" si="39"/>
        <v>189070977</v>
      </c>
      <c r="N112" s="3">
        <f t="shared" si="39"/>
        <v>351759233</v>
      </c>
      <c r="O112" s="3">
        <f t="shared" si="39"/>
        <v>0</v>
      </c>
      <c r="P112" s="3">
        <f t="shared" si="39"/>
        <v>261482230</v>
      </c>
    </row>
    <row r="113" spans="1:16" x14ac:dyDescent="0.35">
      <c r="A113" t="s">
        <v>158</v>
      </c>
      <c r="B113" t="s">
        <v>159</v>
      </c>
      <c r="C113" s="1">
        <v>4088732001</v>
      </c>
      <c r="D113" s="1">
        <v>680611008</v>
      </c>
      <c r="E113" s="1">
        <v>1224000</v>
      </c>
      <c r="F113" s="1">
        <v>0</v>
      </c>
      <c r="G113" s="1">
        <v>681835008</v>
      </c>
      <c r="H113" s="1">
        <v>3406896993</v>
      </c>
      <c r="I113" s="1">
        <v>613241464</v>
      </c>
      <c r="J113" s="1">
        <v>0</v>
      </c>
      <c r="K113" s="1">
        <v>613241464</v>
      </c>
      <c r="L113" s="1">
        <v>162688256</v>
      </c>
      <c r="M113" s="1">
        <v>189070977</v>
      </c>
      <c r="N113" s="1">
        <v>351759233</v>
      </c>
      <c r="O113" s="1">
        <v>0</v>
      </c>
      <c r="P113" s="1">
        <v>261482230</v>
      </c>
    </row>
    <row r="114" spans="1:16" x14ac:dyDescent="0.35">
      <c r="A114" s="2" t="str">
        <f>[1]Sheet3!A172</f>
        <v>D00</v>
      </c>
      <c r="B114" s="2" t="str">
        <f>[1]Sheet3!B172</f>
        <v>Electricity, gas, steam &amp; air conditioning supply</v>
      </c>
      <c r="C114" s="3">
        <f>C115</f>
        <v>943863670459</v>
      </c>
      <c r="D114" s="3">
        <f t="shared" ref="D114:P114" si="40">D115</f>
        <v>643169722453</v>
      </c>
      <c r="E114" s="3">
        <f t="shared" si="40"/>
        <v>62030091966</v>
      </c>
      <c r="F114" s="3">
        <f t="shared" si="40"/>
        <v>242407101</v>
      </c>
      <c r="G114" s="3">
        <f t="shared" si="40"/>
        <v>705442221519</v>
      </c>
      <c r="H114" s="3">
        <f t="shared" si="40"/>
        <v>238421448939</v>
      </c>
      <c r="I114" s="3">
        <f t="shared" si="40"/>
        <v>42915860814</v>
      </c>
      <c r="J114" s="3">
        <f t="shared" si="40"/>
        <v>742495529</v>
      </c>
      <c r="K114" s="3">
        <f t="shared" si="40"/>
        <v>43658356343</v>
      </c>
      <c r="L114" s="3">
        <f t="shared" si="40"/>
        <v>5003574739</v>
      </c>
      <c r="M114" s="3">
        <f t="shared" si="40"/>
        <v>27564385481</v>
      </c>
      <c r="N114" s="3">
        <f t="shared" si="40"/>
        <v>32567960220</v>
      </c>
      <c r="O114" s="3">
        <f t="shared" si="40"/>
        <v>342680455</v>
      </c>
      <c r="P114" s="3">
        <f t="shared" si="40"/>
        <v>10747715665</v>
      </c>
    </row>
    <row r="115" spans="1:16" x14ac:dyDescent="0.35">
      <c r="A115" t="s">
        <v>160</v>
      </c>
      <c r="B115" t="s">
        <v>161</v>
      </c>
      <c r="C115" s="1">
        <v>943863670459</v>
      </c>
      <c r="D115" s="1">
        <v>643169722453</v>
      </c>
      <c r="E115" s="1">
        <v>62030091966</v>
      </c>
      <c r="F115" s="1">
        <v>242407101</v>
      </c>
      <c r="G115" s="1">
        <v>705442221519</v>
      </c>
      <c r="H115" s="1">
        <v>238421448939</v>
      </c>
      <c r="I115" s="1">
        <v>42915860814</v>
      </c>
      <c r="J115" s="1">
        <v>742495529</v>
      </c>
      <c r="K115" s="1">
        <v>43658356343</v>
      </c>
      <c r="L115" s="1">
        <v>5003574739</v>
      </c>
      <c r="M115" s="1">
        <v>27564385481</v>
      </c>
      <c r="N115" s="1">
        <v>32567960220</v>
      </c>
      <c r="O115" s="1">
        <v>342680455</v>
      </c>
      <c r="P115" s="1">
        <v>10747715665</v>
      </c>
    </row>
    <row r="116" spans="1:16" x14ac:dyDescent="0.35">
      <c r="A116" s="2" t="str">
        <f>[1]Sheet3!A175</f>
        <v>E01</v>
      </c>
      <c r="B116" s="2" t="str">
        <f>[1]Sheet3!B175</f>
        <v>Water collection, treatment &amp; supply: sewrage</v>
      </c>
      <c r="C116" s="3">
        <f>C117</f>
        <v>51497575660</v>
      </c>
      <c r="D116" s="3">
        <f t="shared" ref="D116:P116" si="41">D117</f>
        <v>1226804929</v>
      </c>
      <c r="E116" s="3">
        <f t="shared" si="41"/>
        <v>4385725</v>
      </c>
      <c r="F116" s="3">
        <f t="shared" si="41"/>
        <v>53358968</v>
      </c>
      <c r="G116" s="3">
        <f t="shared" si="41"/>
        <v>1284549622</v>
      </c>
      <c r="H116" s="3">
        <f t="shared" si="41"/>
        <v>50213025015</v>
      </c>
      <c r="I116" s="3">
        <f t="shared" si="41"/>
        <v>9038344688</v>
      </c>
      <c r="J116" s="3">
        <f t="shared" si="41"/>
        <v>65921669</v>
      </c>
      <c r="K116" s="3">
        <f t="shared" si="41"/>
        <v>9104266166</v>
      </c>
      <c r="L116" s="3">
        <f t="shared" si="41"/>
        <v>646939365</v>
      </c>
      <c r="M116" s="3">
        <f t="shared" si="41"/>
        <v>4063110477</v>
      </c>
      <c r="N116" s="3">
        <f t="shared" si="41"/>
        <v>4710049842</v>
      </c>
      <c r="O116" s="3">
        <f t="shared" si="41"/>
        <v>237966</v>
      </c>
      <c r="P116" s="3">
        <f t="shared" si="41"/>
        <v>4393978357</v>
      </c>
    </row>
    <row r="117" spans="1:16" x14ac:dyDescent="0.35">
      <c r="A117" t="s">
        <v>162</v>
      </c>
      <c r="B117" t="s">
        <v>163</v>
      </c>
      <c r="C117" s="1">
        <v>51497575660</v>
      </c>
      <c r="D117" s="1">
        <v>1226804929</v>
      </c>
      <c r="E117" s="1">
        <v>4385725</v>
      </c>
      <c r="F117" s="1">
        <v>53358968</v>
      </c>
      <c r="G117" s="1">
        <v>1284549622</v>
      </c>
      <c r="H117" s="1">
        <v>50213025015</v>
      </c>
      <c r="I117" s="1">
        <v>9038344688</v>
      </c>
      <c r="J117" s="1">
        <v>65921669</v>
      </c>
      <c r="K117" s="1">
        <v>9104266166</v>
      </c>
      <c r="L117" s="1">
        <v>646939365</v>
      </c>
      <c r="M117" s="1">
        <v>4063110477</v>
      </c>
      <c r="N117" s="1">
        <v>4710049842</v>
      </c>
      <c r="O117" s="1">
        <v>237966</v>
      </c>
      <c r="P117" s="1">
        <v>4393978357</v>
      </c>
    </row>
    <row r="118" spans="1:16" x14ac:dyDescent="0.35">
      <c r="A118" s="2" t="str">
        <f>[1]Sheet3!A177</f>
        <v>E02</v>
      </c>
      <c r="B118" s="2" t="str">
        <f>[1]Sheet3!B177</f>
        <v>Waste collection &amp; management</v>
      </c>
      <c r="C118" s="3">
        <f>C119</f>
        <v>3154215209</v>
      </c>
      <c r="D118" s="3">
        <f t="shared" ref="D118:P118" si="42">D119</f>
        <v>735697833</v>
      </c>
      <c r="E118" s="3">
        <f t="shared" si="42"/>
        <v>10570380</v>
      </c>
      <c r="F118" s="3">
        <f t="shared" si="42"/>
        <v>0</v>
      </c>
      <c r="G118" s="3">
        <f t="shared" si="42"/>
        <v>746268213</v>
      </c>
      <c r="H118" s="3">
        <f t="shared" si="42"/>
        <v>2407946996</v>
      </c>
      <c r="I118" s="3">
        <f t="shared" si="42"/>
        <v>433430462</v>
      </c>
      <c r="J118" s="3">
        <f t="shared" si="42"/>
        <v>0</v>
      </c>
      <c r="K118" s="3">
        <f t="shared" si="42"/>
        <v>433430462</v>
      </c>
      <c r="L118" s="3">
        <f t="shared" si="42"/>
        <v>26256297</v>
      </c>
      <c r="M118" s="3">
        <f t="shared" si="42"/>
        <v>162602117</v>
      </c>
      <c r="N118" s="3">
        <f t="shared" si="42"/>
        <v>188858414</v>
      </c>
      <c r="O118" s="3">
        <f t="shared" si="42"/>
        <v>0</v>
      </c>
      <c r="P118" s="3">
        <f t="shared" si="42"/>
        <v>244572047</v>
      </c>
    </row>
    <row r="119" spans="1:16" x14ac:dyDescent="0.35">
      <c r="A119" t="s">
        <v>164</v>
      </c>
      <c r="B119" t="s">
        <v>165</v>
      </c>
      <c r="C119" s="1">
        <v>3154215209</v>
      </c>
      <c r="D119" s="1">
        <v>735697833</v>
      </c>
      <c r="E119" s="1">
        <v>10570380</v>
      </c>
      <c r="F119" s="1">
        <v>0</v>
      </c>
      <c r="G119" s="1">
        <v>746268213</v>
      </c>
      <c r="H119" s="1">
        <v>2407946996</v>
      </c>
      <c r="I119" s="1">
        <v>433430462</v>
      </c>
      <c r="J119" s="1">
        <v>0</v>
      </c>
      <c r="K119" s="1">
        <v>433430462</v>
      </c>
      <c r="L119" s="1">
        <v>26256297</v>
      </c>
      <c r="M119" s="1">
        <v>162602117</v>
      </c>
      <c r="N119" s="1">
        <v>188858414</v>
      </c>
      <c r="O119" s="1">
        <v>0</v>
      </c>
      <c r="P119" s="1">
        <v>244572047</v>
      </c>
    </row>
    <row r="120" spans="1:16" x14ac:dyDescent="0.35">
      <c r="A120" s="2" t="str">
        <f>[1]Sheet3!A180</f>
        <v>F01</v>
      </c>
      <c r="B120" s="2" t="str">
        <f>[1]Sheet3!B180</f>
        <v>Construction (modern)</v>
      </c>
      <c r="C120" s="3">
        <f>C121+C122+C123+C124</f>
        <v>932805098767</v>
      </c>
      <c r="D120" s="3">
        <f t="shared" ref="D120:P120" si="43">D121+D122+D123+D124</f>
        <v>71208981928</v>
      </c>
      <c r="E120" s="3">
        <f t="shared" si="43"/>
        <v>48834865670</v>
      </c>
      <c r="F120" s="3">
        <f t="shared" si="43"/>
        <v>91440814</v>
      </c>
      <c r="G120" s="3">
        <f t="shared" si="43"/>
        <v>120135288412</v>
      </c>
      <c r="H120" s="3">
        <f t="shared" si="43"/>
        <v>812669810357</v>
      </c>
      <c r="I120" s="3">
        <f t="shared" si="43"/>
        <v>146280566098</v>
      </c>
      <c r="J120" s="3">
        <f t="shared" si="43"/>
        <v>587913853</v>
      </c>
      <c r="K120" s="3">
        <f t="shared" si="43"/>
        <v>146868479951</v>
      </c>
      <c r="L120" s="3">
        <f t="shared" si="43"/>
        <v>16844282894</v>
      </c>
      <c r="M120" s="3">
        <f t="shared" si="43"/>
        <v>98750331287</v>
      </c>
      <c r="N120" s="3">
        <f t="shared" si="43"/>
        <v>115594614181</v>
      </c>
      <c r="O120" s="3">
        <f t="shared" si="43"/>
        <v>563999305</v>
      </c>
      <c r="P120" s="3">
        <f t="shared" si="43"/>
        <v>30709866396</v>
      </c>
    </row>
    <row r="121" spans="1:16" x14ac:dyDescent="0.35">
      <c r="A121" t="s">
        <v>166</v>
      </c>
      <c r="B121" t="s">
        <v>167</v>
      </c>
      <c r="C121" s="1">
        <v>176231964511</v>
      </c>
      <c r="D121" s="1">
        <v>19076885915</v>
      </c>
      <c r="E121" s="1">
        <v>11319678079</v>
      </c>
      <c r="F121" s="1">
        <v>0</v>
      </c>
      <c r="G121" s="1">
        <v>30396563994</v>
      </c>
      <c r="H121" s="1">
        <v>145835400517</v>
      </c>
      <c r="I121" s="1">
        <v>26250372102</v>
      </c>
      <c r="J121" s="1">
        <v>0</v>
      </c>
      <c r="K121" s="1">
        <v>26250372102</v>
      </c>
      <c r="L121" s="1">
        <v>1600222584</v>
      </c>
      <c r="M121" s="1">
        <v>15950108908</v>
      </c>
      <c r="N121" s="1">
        <v>17550331492</v>
      </c>
      <c r="O121" s="1">
        <v>0</v>
      </c>
      <c r="P121" s="1">
        <v>8700040607</v>
      </c>
    </row>
    <row r="122" spans="1:16" x14ac:dyDescent="0.35">
      <c r="A122" t="s">
        <v>168</v>
      </c>
      <c r="B122" t="s">
        <v>169</v>
      </c>
      <c r="C122" s="1">
        <v>115681392398</v>
      </c>
      <c r="D122" s="1">
        <v>3695577202</v>
      </c>
      <c r="E122" s="1">
        <v>24784723596</v>
      </c>
      <c r="F122" s="1">
        <v>0</v>
      </c>
      <c r="G122" s="1">
        <v>28480300798</v>
      </c>
      <c r="H122" s="1">
        <v>87201091600</v>
      </c>
      <c r="I122" s="1">
        <v>15696196495</v>
      </c>
      <c r="J122" s="1">
        <v>85439102</v>
      </c>
      <c r="K122" s="1">
        <v>15781635597</v>
      </c>
      <c r="L122" s="1">
        <v>915933095</v>
      </c>
      <c r="M122" s="1">
        <v>5040719606</v>
      </c>
      <c r="N122" s="1">
        <v>5956652701</v>
      </c>
      <c r="O122" s="1">
        <v>80573904</v>
      </c>
      <c r="P122" s="1">
        <v>9744408991</v>
      </c>
    </row>
    <row r="123" spans="1:16" x14ac:dyDescent="0.35">
      <c r="A123" t="s">
        <v>170</v>
      </c>
      <c r="B123" t="s">
        <v>171</v>
      </c>
      <c r="C123" s="1">
        <v>447359614541</v>
      </c>
      <c r="D123" s="1">
        <v>35013587410</v>
      </c>
      <c r="E123" s="1">
        <v>11218234719</v>
      </c>
      <c r="F123" s="1">
        <v>0</v>
      </c>
      <c r="G123" s="1">
        <v>46231822129</v>
      </c>
      <c r="H123" s="1">
        <v>401127792412</v>
      </c>
      <c r="I123" s="1">
        <v>72203002768</v>
      </c>
      <c r="J123" s="1">
        <v>22439293</v>
      </c>
      <c r="K123" s="1">
        <v>72225442061</v>
      </c>
      <c r="L123" s="1">
        <v>9259284055</v>
      </c>
      <c r="M123" s="1">
        <v>54384029915</v>
      </c>
      <c r="N123" s="1">
        <v>63643313970</v>
      </c>
      <c r="O123" s="1">
        <v>6839744</v>
      </c>
      <c r="P123" s="1">
        <v>8575288318</v>
      </c>
    </row>
    <row r="124" spans="1:16" x14ac:dyDescent="0.35">
      <c r="A124" t="s">
        <v>172</v>
      </c>
      <c r="B124" t="s">
        <v>173</v>
      </c>
      <c r="C124" s="1">
        <v>193532127317</v>
      </c>
      <c r="D124" s="1">
        <v>13422931401</v>
      </c>
      <c r="E124" s="1">
        <v>1512229276</v>
      </c>
      <c r="F124" s="1">
        <v>91440814</v>
      </c>
      <c r="G124" s="1">
        <v>15026601491</v>
      </c>
      <c r="H124" s="1">
        <v>178505525828</v>
      </c>
      <c r="I124" s="1">
        <v>32130994733</v>
      </c>
      <c r="J124" s="1">
        <v>480035458</v>
      </c>
      <c r="K124" s="1">
        <v>32611030191</v>
      </c>
      <c r="L124" s="1">
        <v>5068843160</v>
      </c>
      <c r="M124" s="1">
        <v>23375472858</v>
      </c>
      <c r="N124" s="1">
        <v>28444316018</v>
      </c>
      <c r="O124" s="1">
        <v>476585657</v>
      </c>
      <c r="P124" s="1">
        <v>3690128480</v>
      </c>
    </row>
    <row r="125" spans="1:16" x14ac:dyDescent="0.35">
      <c r="A125" s="2" t="str">
        <f>[1]Sheet3!A188</f>
        <v>G10</v>
      </c>
      <c r="B125" s="2" t="str">
        <f>[1]Sheet3!B188</f>
        <v>Maintenance &amp; repair of motor vehicles</v>
      </c>
      <c r="C125" s="3">
        <f>C126</f>
        <v>44205901696</v>
      </c>
      <c r="D125" s="3">
        <f t="shared" ref="D125:P125" si="44">D126</f>
        <v>4946272473</v>
      </c>
      <c r="E125" s="3">
        <f t="shared" si="44"/>
        <v>21678334</v>
      </c>
      <c r="F125" s="3">
        <f t="shared" si="44"/>
        <v>0</v>
      </c>
      <c r="G125" s="3">
        <f t="shared" si="44"/>
        <v>4967950807</v>
      </c>
      <c r="H125" s="3">
        <f t="shared" si="44"/>
        <v>39237950889</v>
      </c>
      <c r="I125" s="3">
        <f t="shared" si="44"/>
        <v>7062831189</v>
      </c>
      <c r="J125" s="3">
        <f t="shared" si="44"/>
        <v>797962</v>
      </c>
      <c r="K125" s="3">
        <f t="shared" si="44"/>
        <v>7063629151</v>
      </c>
      <c r="L125" s="3">
        <f t="shared" si="44"/>
        <v>1337717859</v>
      </c>
      <c r="M125" s="3">
        <f t="shared" si="44"/>
        <v>3637623146</v>
      </c>
      <c r="N125" s="3">
        <f t="shared" si="44"/>
        <v>4975341005</v>
      </c>
      <c r="O125" s="3">
        <f t="shared" si="44"/>
        <v>32797</v>
      </c>
      <c r="P125" s="3">
        <f t="shared" si="44"/>
        <v>2088255338</v>
      </c>
    </row>
    <row r="126" spans="1:16" x14ac:dyDescent="0.35">
      <c r="A126" t="s">
        <v>174</v>
      </c>
      <c r="B126" t="s">
        <v>175</v>
      </c>
      <c r="C126" s="1">
        <v>44205901696</v>
      </c>
      <c r="D126" s="1">
        <v>4946272473</v>
      </c>
      <c r="E126" s="1">
        <v>21678334</v>
      </c>
      <c r="F126" s="1">
        <v>0</v>
      </c>
      <c r="G126" s="1">
        <v>4967950807</v>
      </c>
      <c r="H126" s="1">
        <v>39237950889</v>
      </c>
      <c r="I126" s="1">
        <v>7062831189</v>
      </c>
      <c r="J126" s="1">
        <v>797962</v>
      </c>
      <c r="K126" s="1">
        <v>7063629151</v>
      </c>
      <c r="L126" s="1">
        <v>1337717859</v>
      </c>
      <c r="M126" s="1">
        <v>3637623146</v>
      </c>
      <c r="N126" s="1">
        <v>4975341005</v>
      </c>
      <c r="O126" s="1">
        <v>32797</v>
      </c>
      <c r="P126" s="1">
        <v>2088255338</v>
      </c>
    </row>
    <row r="127" spans="1:16" x14ac:dyDescent="0.35">
      <c r="A127" s="2" t="str">
        <f>[1]Sheet3!A191</f>
        <v>G21</v>
      </c>
      <c r="B127" s="2" t="str">
        <f>[1]Sheet3!B191</f>
        <v>Wholesale &amp; retail trade of motor vehicles &amp; motorcycles</v>
      </c>
      <c r="C127" s="3">
        <f>C128</f>
        <v>174687457448</v>
      </c>
      <c r="D127" s="3">
        <f t="shared" ref="D127:P127" si="45">D128</f>
        <v>38280686033</v>
      </c>
      <c r="E127" s="3">
        <f t="shared" si="45"/>
        <v>27548181629</v>
      </c>
      <c r="F127" s="3">
        <f t="shared" si="45"/>
        <v>135518653</v>
      </c>
      <c r="G127" s="3">
        <f t="shared" si="45"/>
        <v>65964386315</v>
      </c>
      <c r="H127" s="3">
        <f t="shared" si="45"/>
        <v>108723071133</v>
      </c>
      <c r="I127" s="3">
        <f t="shared" si="45"/>
        <v>19570152834</v>
      </c>
      <c r="J127" s="3">
        <f t="shared" si="45"/>
        <v>9172823</v>
      </c>
      <c r="K127" s="3">
        <f t="shared" si="45"/>
        <v>19579325657</v>
      </c>
      <c r="L127" s="3">
        <f t="shared" si="45"/>
        <v>10955909860</v>
      </c>
      <c r="M127" s="3">
        <f t="shared" si="45"/>
        <v>5697171235</v>
      </c>
      <c r="N127" s="3">
        <f t="shared" si="45"/>
        <v>16653081095</v>
      </c>
      <c r="O127" s="3">
        <f t="shared" si="45"/>
        <v>0</v>
      </c>
      <c r="P127" s="3">
        <f t="shared" si="45"/>
        <v>2926244552</v>
      </c>
    </row>
    <row r="128" spans="1:16" x14ac:dyDescent="0.35">
      <c r="A128" t="s">
        <v>176</v>
      </c>
      <c r="B128" t="s">
        <v>177</v>
      </c>
      <c r="C128" s="1">
        <v>174687457448</v>
      </c>
      <c r="D128" s="1">
        <v>38280686033</v>
      </c>
      <c r="E128" s="1">
        <v>27548181629</v>
      </c>
      <c r="F128" s="1">
        <v>135518653</v>
      </c>
      <c r="G128" s="1">
        <v>65964386315</v>
      </c>
      <c r="H128" s="1">
        <v>108723071133</v>
      </c>
      <c r="I128" s="1">
        <v>19570152834</v>
      </c>
      <c r="J128" s="1">
        <v>9172823</v>
      </c>
      <c r="K128" s="1">
        <v>19579325657</v>
      </c>
      <c r="L128" s="1">
        <v>10955909860</v>
      </c>
      <c r="M128" s="1">
        <v>5697171235</v>
      </c>
      <c r="N128" s="1">
        <v>16653081095</v>
      </c>
      <c r="O128" s="1">
        <v>0</v>
      </c>
      <c r="P128" s="1">
        <v>2926244552</v>
      </c>
    </row>
    <row r="129" spans="1:16" x14ac:dyDescent="0.35">
      <c r="A129" s="2" t="str">
        <f>[1]Sheet3!A193</f>
        <v>G22</v>
      </c>
      <c r="B129" s="2" t="str">
        <f>[1]Sheet3!B193</f>
        <v>Wholesale trade, except of motor vehicles &amp; motorcycles</v>
      </c>
      <c r="C129" s="3">
        <f>C130+C131+C132+C133+C134+C135</f>
        <v>1739726305419</v>
      </c>
      <c r="D129" s="3">
        <f t="shared" ref="D129:P129" si="46">D130+D131+D132+D133+D134+D135</f>
        <v>856282853671</v>
      </c>
      <c r="E129" s="3">
        <f t="shared" si="46"/>
        <v>266692543754</v>
      </c>
      <c r="F129" s="3">
        <f t="shared" si="46"/>
        <v>43615465151</v>
      </c>
      <c r="G129" s="3">
        <f t="shared" si="46"/>
        <v>1166590862576</v>
      </c>
      <c r="H129" s="3">
        <f t="shared" si="46"/>
        <v>573135442846</v>
      </c>
      <c r="I129" s="3">
        <f t="shared" si="46"/>
        <v>103164379805</v>
      </c>
      <c r="J129" s="3">
        <f t="shared" si="46"/>
        <v>162230543</v>
      </c>
      <c r="K129" s="3">
        <f t="shared" si="46"/>
        <v>103326610348</v>
      </c>
      <c r="L129" s="3">
        <f t="shared" si="46"/>
        <v>39523770146</v>
      </c>
      <c r="M129" s="3">
        <f t="shared" si="46"/>
        <v>50437519464</v>
      </c>
      <c r="N129" s="3">
        <f t="shared" si="46"/>
        <v>89961289610</v>
      </c>
      <c r="O129" s="3">
        <f t="shared" si="46"/>
        <v>21830129</v>
      </c>
      <c r="P129" s="3">
        <f t="shared" si="46"/>
        <v>13343490562</v>
      </c>
    </row>
    <row r="130" spans="1:16" x14ac:dyDescent="0.35">
      <c r="A130" t="s">
        <v>178</v>
      </c>
      <c r="B130" t="s">
        <v>179</v>
      </c>
      <c r="C130" s="1">
        <v>94835278465</v>
      </c>
      <c r="D130" s="1">
        <v>66590807454</v>
      </c>
      <c r="E130" s="1">
        <v>2353161490</v>
      </c>
      <c r="F130" s="1">
        <v>0</v>
      </c>
      <c r="G130" s="1">
        <v>68943968944</v>
      </c>
      <c r="H130" s="1">
        <v>25891309522</v>
      </c>
      <c r="I130" s="1">
        <v>4660435719</v>
      </c>
      <c r="J130" s="1">
        <v>0</v>
      </c>
      <c r="K130" s="1">
        <v>4660435719</v>
      </c>
      <c r="L130" s="1">
        <v>1149683353</v>
      </c>
      <c r="M130" s="1">
        <v>2492715949</v>
      </c>
      <c r="N130" s="1">
        <v>3642399302</v>
      </c>
      <c r="O130" s="1">
        <v>0</v>
      </c>
      <c r="P130" s="1">
        <v>1018036415</v>
      </c>
    </row>
    <row r="131" spans="1:16" x14ac:dyDescent="0.35">
      <c r="A131" t="s">
        <v>180</v>
      </c>
      <c r="B131" t="s">
        <v>181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 x14ac:dyDescent="0.35">
      <c r="A132" t="s">
        <v>182</v>
      </c>
      <c r="B132" t="s">
        <v>183</v>
      </c>
      <c r="C132" s="1">
        <v>99490945411</v>
      </c>
      <c r="D132" s="1">
        <v>33453262278</v>
      </c>
      <c r="E132" s="1">
        <v>9838230143</v>
      </c>
      <c r="F132" s="1">
        <v>343479667</v>
      </c>
      <c r="G132" s="1">
        <v>43634972088</v>
      </c>
      <c r="H132" s="1">
        <v>55855973325</v>
      </c>
      <c r="I132" s="1">
        <v>10054075204</v>
      </c>
      <c r="J132" s="1">
        <v>4</v>
      </c>
      <c r="K132" s="1">
        <v>10054075208</v>
      </c>
      <c r="L132" s="1">
        <v>5102811147</v>
      </c>
      <c r="M132" s="1">
        <v>4523443359</v>
      </c>
      <c r="N132" s="1">
        <v>9626254506</v>
      </c>
      <c r="O132" s="1">
        <v>0</v>
      </c>
      <c r="P132" s="1">
        <v>427820692</v>
      </c>
    </row>
    <row r="133" spans="1:16" x14ac:dyDescent="0.35">
      <c r="A133" t="s">
        <v>184</v>
      </c>
      <c r="B133" t="s">
        <v>185</v>
      </c>
      <c r="C133" s="1">
        <v>614067209639</v>
      </c>
      <c r="D133" s="1">
        <v>549156060790</v>
      </c>
      <c r="E133" s="1">
        <v>51759899895</v>
      </c>
      <c r="F133" s="1">
        <v>82023858</v>
      </c>
      <c r="G133" s="1">
        <v>600997984543</v>
      </c>
      <c r="H133" s="1">
        <v>13069225097</v>
      </c>
      <c r="I133" s="1">
        <v>2352460512</v>
      </c>
      <c r="J133" s="1">
        <v>106941978</v>
      </c>
      <c r="K133" s="1">
        <v>2459402490</v>
      </c>
      <c r="L133" s="1">
        <v>1444205999</v>
      </c>
      <c r="M133" s="1">
        <v>495365097</v>
      </c>
      <c r="N133" s="1">
        <v>1939571096</v>
      </c>
      <c r="O133" s="1">
        <v>0</v>
      </c>
      <c r="P133" s="1">
        <v>519831394</v>
      </c>
    </row>
    <row r="134" spans="1:16" x14ac:dyDescent="0.35">
      <c r="A134" t="s">
        <v>186</v>
      </c>
      <c r="B134" t="s">
        <v>187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 x14ac:dyDescent="0.35">
      <c r="A135" t="s">
        <v>188</v>
      </c>
      <c r="B135" t="s">
        <v>189</v>
      </c>
      <c r="C135" s="1">
        <v>931332871904</v>
      </c>
      <c r="D135" s="1">
        <v>207082723149</v>
      </c>
      <c r="E135" s="1">
        <v>202741252226</v>
      </c>
      <c r="F135" s="1">
        <v>43189961626</v>
      </c>
      <c r="G135" s="1">
        <v>453013937001</v>
      </c>
      <c r="H135" s="1">
        <v>478318934902</v>
      </c>
      <c r="I135" s="1">
        <v>86097408370</v>
      </c>
      <c r="J135" s="1">
        <v>55288561</v>
      </c>
      <c r="K135" s="1">
        <v>86152696931</v>
      </c>
      <c r="L135" s="1">
        <v>31827069647</v>
      </c>
      <c r="M135" s="1">
        <v>42925995059</v>
      </c>
      <c r="N135" s="1">
        <v>74753064706</v>
      </c>
      <c r="O135" s="1">
        <v>21830129</v>
      </c>
      <c r="P135" s="1">
        <v>11377802061</v>
      </c>
    </row>
    <row r="136" spans="1:16" x14ac:dyDescent="0.35">
      <c r="A136" s="2" t="str">
        <f>[1]Sheet3!A200</f>
        <v>G23</v>
      </c>
      <c r="B136" s="2" t="str">
        <f>[1]Sheet3!B200</f>
        <v>Retail trade, except of motor vehicles &amp; motorcycles</v>
      </c>
      <c r="C136" s="3">
        <f>C137+C138+C139+C140+C141+C142+C143</f>
        <v>1176029323788</v>
      </c>
      <c r="D136" s="3">
        <f t="shared" ref="D136:P136" si="47">D137+D138+D139+D140+D141+D142+D143</f>
        <v>241073150724</v>
      </c>
      <c r="E136" s="3">
        <f t="shared" si="47"/>
        <v>23901704318</v>
      </c>
      <c r="F136" s="3">
        <f t="shared" si="47"/>
        <v>0</v>
      </c>
      <c r="G136" s="3">
        <f t="shared" si="47"/>
        <v>264974855041</v>
      </c>
      <c r="H136" s="3">
        <f t="shared" si="47"/>
        <v>911054468939</v>
      </c>
      <c r="I136" s="3">
        <f t="shared" si="47"/>
        <v>163989804758</v>
      </c>
      <c r="J136" s="3">
        <f t="shared" si="47"/>
        <v>2835431</v>
      </c>
      <c r="K136" s="3">
        <f t="shared" si="47"/>
        <v>163992640189</v>
      </c>
      <c r="L136" s="3">
        <f t="shared" si="47"/>
        <v>36448972147</v>
      </c>
      <c r="M136" s="3">
        <f t="shared" si="47"/>
        <v>110299283198</v>
      </c>
      <c r="N136" s="3">
        <f t="shared" si="47"/>
        <v>146748255345</v>
      </c>
      <c r="O136" s="3">
        <f t="shared" si="47"/>
        <v>1250272</v>
      </c>
      <c r="P136" s="3">
        <f t="shared" si="47"/>
        <v>17243134457</v>
      </c>
    </row>
    <row r="137" spans="1:16" x14ac:dyDescent="0.35">
      <c r="A137" t="s">
        <v>190</v>
      </c>
      <c r="B137" t="s">
        <v>191</v>
      </c>
      <c r="C137" s="1">
        <v>556675236855</v>
      </c>
      <c r="D137" s="1">
        <v>63159617914</v>
      </c>
      <c r="E137" s="1">
        <v>11016944788</v>
      </c>
      <c r="F137" s="1">
        <v>0</v>
      </c>
      <c r="G137" s="1">
        <v>74176562702</v>
      </c>
      <c r="H137" s="1">
        <v>482498674155</v>
      </c>
      <c r="I137" s="1">
        <v>86849761524</v>
      </c>
      <c r="J137" s="1">
        <v>1539473</v>
      </c>
      <c r="K137" s="1">
        <v>86851300997</v>
      </c>
      <c r="L137" s="1">
        <v>17105661084</v>
      </c>
      <c r="M137" s="1">
        <v>61242018635</v>
      </c>
      <c r="N137" s="1">
        <v>78347679719</v>
      </c>
      <c r="O137" s="1">
        <v>0</v>
      </c>
      <c r="P137" s="1">
        <v>8503621216</v>
      </c>
    </row>
    <row r="138" spans="1:16" x14ac:dyDescent="0.35">
      <c r="A138" t="s">
        <v>192</v>
      </c>
      <c r="B138" t="s">
        <v>193</v>
      </c>
      <c r="C138" s="1">
        <v>150179501485</v>
      </c>
      <c r="D138" s="1">
        <v>30894377058</v>
      </c>
      <c r="E138" s="1">
        <v>3424395589</v>
      </c>
      <c r="F138" s="1">
        <v>0</v>
      </c>
      <c r="G138" s="1">
        <v>34318772647</v>
      </c>
      <c r="H138" s="1">
        <v>115860729020</v>
      </c>
      <c r="I138" s="1">
        <v>20854931244</v>
      </c>
      <c r="J138" s="1">
        <v>1040068</v>
      </c>
      <c r="K138" s="1">
        <v>20855971312</v>
      </c>
      <c r="L138" s="1">
        <v>4435313033</v>
      </c>
      <c r="M138" s="1">
        <v>14104404358</v>
      </c>
      <c r="N138" s="1">
        <v>18539717391</v>
      </c>
      <c r="O138" s="1">
        <v>1040068</v>
      </c>
      <c r="P138" s="1">
        <v>2315213866</v>
      </c>
    </row>
    <row r="139" spans="1:16" x14ac:dyDescent="0.35">
      <c r="A139" t="s">
        <v>194</v>
      </c>
      <c r="B139" t="s">
        <v>195</v>
      </c>
      <c r="C139" s="1">
        <v>82146360105</v>
      </c>
      <c r="D139" s="1">
        <v>74844662411</v>
      </c>
      <c r="E139" s="1">
        <v>46989261</v>
      </c>
      <c r="F139" s="1">
        <v>0</v>
      </c>
      <c r="G139" s="1">
        <v>74891651672</v>
      </c>
      <c r="H139" s="1">
        <v>7254708435</v>
      </c>
      <c r="I139" s="1">
        <v>1305847521</v>
      </c>
      <c r="J139" s="1">
        <v>0</v>
      </c>
      <c r="K139" s="1">
        <v>1305847521</v>
      </c>
      <c r="L139" s="1">
        <v>866022926</v>
      </c>
      <c r="M139" s="1">
        <v>280848498</v>
      </c>
      <c r="N139" s="1">
        <v>1146871424</v>
      </c>
      <c r="O139" s="1">
        <v>0</v>
      </c>
      <c r="P139" s="1">
        <v>158976096</v>
      </c>
    </row>
    <row r="140" spans="1:16" x14ac:dyDescent="0.35">
      <c r="A140" t="s">
        <v>196</v>
      </c>
      <c r="B140" t="s">
        <v>197</v>
      </c>
      <c r="C140" s="1">
        <v>5687501975</v>
      </c>
      <c r="D140" s="1">
        <v>242886418</v>
      </c>
      <c r="E140" s="1">
        <v>58596876</v>
      </c>
      <c r="F140" s="1">
        <v>0</v>
      </c>
      <c r="G140" s="1">
        <v>301483294</v>
      </c>
      <c r="H140" s="1">
        <v>5386018681</v>
      </c>
      <c r="I140" s="1">
        <v>969483370</v>
      </c>
      <c r="J140" s="1">
        <v>16986</v>
      </c>
      <c r="K140" s="1">
        <v>969500356</v>
      </c>
      <c r="L140" s="1">
        <v>449640896</v>
      </c>
      <c r="M140" s="1">
        <v>383661308</v>
      </c>
      <c r="N140" s="1">
        <v>833302204</v>
      </c>
      <c r="O140" s="1">
        <v>0</v>
      </c>
      <c r="P140" s="1">
        <v>136198149</v>
      </c>
    </row>
    <row r="141" spans="1:16" x14ac:dyDescent="0.35">
      <c r="A141" t="s">
        <v>198</v>
      </c>
      <c r="B141" t="s">
        <v>199</v>
      </c>
      <c r="C141" s="1">
        <v>45627755004</v>
      </c>
      <c r="D141" s="1">
        <v>32409739522</v>
      </c>
      <c r="E141" s="1">
        <v>91363760</v>
      </c>
      <c r="F141" s="1">
        <v>0</v>
      </c>
      <c r="G141" s="1">
        <v>32501103281</v>
      </c>
      <c r="H141" s="1">
        <v>13126651729</v>
      </c>
      <c r="I141" s="1">
        <v>2362797312</v>
      </c>
      <c r="J141" s="1">
        <v>0</v>
      </c>
      <c r="K141" s="1">
        <v>2362797312</v>
      </c>
      <c r="L141" s="1">
        <v>909502174</v>
      </c>
      <c r="M141" s="1">
        <v>1451134928</v>
      </c>
      <c r="N141" s="1">
        <v>2360637102</v>
      </c>
      <c r="O141" s="1">
        <v>0</v>
      </c>
      <c r="P141" s="1">
        <v>2160201</v>
      </c>
    </row>
    <row r="142" spans="1:16" x14ac:dyDescent="0.35">
      <c r="A142" t="s">
        <v>200</v>
      </c>
      <c r="B142" t="s">
        <v>201</v>
      </c>
      <c r="C142" s="1">
        <v>9548249558</v>
      </c>
      <c r="D142" s="1">
        <v>733709613</v>
      </c>
      <c r="E142" s="1">
        <v>257523017</v>
      </c>
      <c r="F142" s="1">
        <v>0</v>
      </c>
      <c r="G142" s="1">
        <v>991232630</v>
      </c>
      <c r="H142" s="1">
        <v>8557016928</v>
      </c>
      <c r="I142" s="1">
        <v>1540263048</v>
      </c>
      <c r="J142" s="1">
        <v>21836</v>
      </c>
      <c r="K142" s="1">
        <v>1540284884</v>
      </c>
      <c r="L142" s="1">
        <v>52345780</v>
      </c>
      <c r="M142" s="1">
        <v>1349851632</v>
      </c>
      <c r="N142" s="1">
        <v>1402197412</v>
      </c>
      <c r="O142" s="1">
        <v>0</v>
      </c>
      <c r="P142" s="1">
        <v>138087472</v>
      </c>
    </row>
    <row r="143" spans="1:16" x14ac:dyDescent="0.35">
      <c r="A143" t="s">
        <v>202</v>
      </c>
      <c r="B143" t="s">
        <v>203</v>
      </c>
      <c r="C143" s="1">
        <v>326164718806</v>
      </c>
      <c r="D143" s="1">
        <v>38788157788</v>
      </c>
      <c r="E143" s="1">
        <v>9005891027</v>
      </c>
      <c r="F143" s="1">
        <v>0</v>
      </c>
      <c r="G143" s="1">
        <v>47794048815</v>
      </c>
      <c r="H143" s="1">
        <v>278370669991</v>
      </c>
      <c r="I143" s="1">
        <v>50106720739</v>
      </c>
      <c r="J143" s="1">
        <v>217068</v>
      </c>
      <c r="K143" s="1">
        <v>50106937807</v>
      </c>
      <c r="L143" s="1">
        <v>12630486254</v>
      </c>
      <c r="M143" s="1">
        <v>31487363839</v>
      </c>
      <c r="N143" s="1">
        <v>44117850093</v>
      </c>
      <c r="O143" s="1">
        <v>210204</v>
      </c>
      <c r="P143" s="1">
        <v>5988877457</v>
      </c>
    </row>
    <row r="144" spans="1:16" x14ac:dyDescent="0.35">
      <c r="A144" s="2" t="str">
        <f>[1]Sheet3!A209</f>
        <v>H10</v>
      </c>
      <c r="B144" s="2" t="str">
        <f>[1]Sheet3!B209</f>
        <v>Land transport</v>
      </c>
      <c r="C144" s="3">
        <f>C145+C146</f>
        <v>224834033751</v>
      </c>
      <c r="D144" s="3">
        <f t="shared" ref="D144:P144" si="48">D145+D146</f>
        <v>101639093619</v>
      </c>
      <c r="E144" s="3">
        <f t="shared" si="48"/>
        <v>55719027073</v>
      </c>
      <c r="F144" s="3">
        <f t="shared" si="48"/>
        <v>0</v>
      </c>
      <c r="G144" s="3">
        <f t="shared" si="48"/>
        <v>157358120692</v>
      </c>
      <c r="H144" s="3">
        <f t="shared" si="48"/>
        <v>67475913062</v>
      </c>
      <c r="I144" s="3">
        <f t="shared" si="48"/>
        <v>12145664351</v>
      </c>
      <c r="J144" s="3">
        <f t="shared" si="48"/>
        <v>107825925</v>
      </c>
      <c r="K144" s="3">
        <f t="shared" si="48"/>
        <v>12253490276</v>
      </c>
      <c r="L144" s="3">
        <f t="shared" si="48"/>
        <v>3388053609</v>
      </c>
      <c r="M144" s="3">
        <f t="shared" si="48"/>
        <v>4723168937</v>
      </c>
      <c r="N144" s="3">
        <f t="shared" si="48"/>
        <v>8111222546</v>
      </c>
      <c r="O144" s="3">
        <f t="shared" si="48"/>
        <v>50582825</v>
      </c>
      <c r="P144" s="3">
        <f t="shared" si="48"/>
        <v>4091684898</v>
      </c>
    </row>
    <row r="145" spans="1:16" x14ac:dyDescent="0.35">
      <c r="A145" t="s">
        <v>204</v>
      </c>
      <c r="B145" t="s">
        <v>205</v>
      </c>
      <c r="C145" s="1">
        <v>79389319811</v>
      </c>
      <c r="D145" s="1">
        <v>36377099027</v>
      </c>
      <c r="E145" s="1">
        <v>2989614085</v>
      </c>
      <c r="F145" s="1">
        <v>0</v>
      </c>
      <c r="G145" s="1">
        <v>39366713112</v>
      </c>
      <c r="H145" s="1">
        <v>40022606700</v>
      </c>
      <c r="I145" s="1">
        <v>7204069213</v>
      </c>
      <c r="J145" s="1">
        <v>3665186</v>
      </c>
      <c r="K145" s="1">
        <v>7207734399</v>
      </c>
      <c r="L145" s="1">
        <v>1845087155</v>
      </c>
      <c r="M145" s="1">
        <v>2797656293</v>
      </c>
      <c r="N145" s="1">
        <v>4642743448</v>
      </c>
      <c r="O145" s="1">
        <v>370264</v>
      </c>
      <c r="P145" s="1">
        <v>2564620683</v>
      </c>
    </row>
    <row r="146" spans="1:16" x14ac:dyDescent="0.35">
      <c r="A146" t="s">
        <v>206</v>
      </c>
      <c r="B146" t="s">
        <v>207</v>
      </c>
      <c r="C146" s="1">
        <v>145444713940</v>
      </c>
      <c r="D146" s="1">
        <v>65261994592</v>
      </c>
      <c r="E146" s="1">
        <v>52729412988</v>
      </c>
      <c r="F146" s="1">
        <v>0</v>
      </c>
      <c r="G146" s="1">
        <v>117991407580</v>
      </c>
      <c r="H146" s="1">
        <v>27453306362</v>
      </c>
      <c r="I146" s="1">
        <v>4941595138</v>
      </c>
      <c r="J146" s="1">
        <v>104160739</v>
      </c>
      <c r="K146" s="1">
        <v>5045755877</v>
      </c>
      <c r="L146" s="1">
        <v>1542966454</v>
      </c>
      <c r="M146" s="1">
        <v>1925512644</v>
      </c>
      <c r="N146" s="1">
        <v>3468479098</v>
      </c>
      <c r="O146" s="1">
        <v>50212561</v>
      </c>
      <c r="P146" s="1">
        <v>1527064215</v>
      </c>
    </row>
    <row r="147" spans="1:16" x14ac:dyDescent="0.35">
      <c r="A147" s="2" t="str">
        <f>[1]Sheet3!A213</f>
        <v>H20</v>
      </c>
      <c r="B147" s="2" t="str">
        <f>[1]Sheet3!B213</f>
        <v>Air transport</v>
      </c>
      <c r="C147" s="3">
        <f>C148+C149</f>
        <v>268601419040</v>
      </c>
      <c r="D147" s="3">
        <f t="shared" ref="D147:P147" si="49">D148+D149</f>
        <v>262917036968</v>
      </c>
      <c r="E147" s="3">
        <f t="shared" si="49"/>
        <v>5385758858</v>
      </c>
      <c r="F147" s="3">
        <f t="shared" si="49"/>
        <v>0</v>
      </c>
      <c r="G147" s="3">
        <f t="shared" si="49"/>
        <v>268302795826</v>
      </c>
      <c r="H147" s="3">
        <f t="shared" si="49"/>
        <v>298623214</v>
      </c>
      <c r="I147" s="3">
        <f t="shared" si="49"/>
        <v>53752177</v>
      </c>
      <c r="J147" s="3">
        <f t="shared" si="49"/>
        <v>0</v>
      </c>
      <c r="K147" s="3">
        <f t="shared" si="49"/>
        <v>53752177</v>
      </c>
      <c r="L147" s="3">
        <f t="shared" si="49"/>
        <v>0</v>
      </c>
      <c r="M147" s="3">
        <f t="shared" si="49"/>
        <v>1874577</v>
      </c>
      <c r="N147" s="3">
        <f t="shared" si="49"/>
        <v>1874577</v>
      </c>
      <c r="O147" s="3">
        <f t="shared" si="49"/>
        <v>0</v>
      </c>
      <c r="P147" s="3">
        <f t="shared" si="49"/>
        <v>51877600</v>
      </c>
    </row>
    <row r="148" spans="1:16" x14ac:dyDescent="0.35">
      <c r="A148" t="s">
        <v>208</v>
      </c>
      <c r="B148" t="s">
        <v>209</v>
      </c>
      <c r="C148" s="1">
        <v>265307573721</v>
      </c>
      <c r="D148" s="1">
        <v>259630230011</v>
      </c>
      <c r="E148" s="1">
        <v>5385491682</v>
      </c>
      <c r="F148" s="1">
        <v>0</v>
      </c>
      <c r="G148" s="1">
        <v>265015721693</v>
      </c>
      <c r="H148" s="1">
        <v>291852028</v>
      </c>
      <c r="I148" s="1">
        <v>52533364</v>
      </c>
      <c r="J148" s="1">
        <v>0</v>
      </c>
      <c r="K148" s="1">
        <v>52533364</v>
      </c>
      <c r="L148" s="1">
        <v>0</v>
      </c>
      <c r="M148" s="1">
        <v>0</v>
      </c>
      <c r="N148" s="1">
        <v>0</v>
      </c>
      <c r="O148" s="1">
        <v>0</v>
      </c>
      <c r="P148" s="1">
        <v>52533364</v>
      </c>
    </row>
    <row r="149" spans="1:16" x14ac:dyDescent="0.35">
      <c r="A149" t="s">
        <v>210</v>
      </c>
      <c r="B149" t="s">
        <v>211</v>
      </c>
      <c r="C149" s="1">
        <v>3293845319</v>
      </c>
      <c r="D149" s="1">
        <v>3286806957</v>
      </c>
      <c r="E149" s="1">
        <v>267176</v>
      </c>
      <c r="F149" s="1">
        <v>0</v>
      </c>
      <c r="G149" s="1">
        <v>3287074133</v>
      </c>
      <c r="H149" s="1">
        <v>6771186</v>
      </c>
      <c r="I149" s="1">
        <v>1218813</v>
      </c>
      <c r="J149" s="1">
        <v>0</v>
      </c>
      <c r="K149" s="1">
        <v>1218813</v>
      </c>
      <c r="L149" s="1">
        <v>0</v>
      </c>
      <c r="M149" s="1">
        <v>1874577</v>
      </c>
      <c r="N149" s="1">
        <v>1874577</v>
      </c>
      <c r="O149" s="1">
        <v>0</v>
      </c>
      <c r="P149" s="1">
        <v>-655764</v>
      </c>
    </row>
    <row r="150" spans="1:16" x14ac:dyDescent="0.35">
      <c r="A150" s="2" t="str">
        <f>[1]Sheet3!A217</f>
        <v>H31</v>
      </c>
      <c r="B150" s="2" t="str">
        <f>[1]Sheet3!B217</f>
        <v xml:space="preserve">Services related to transport </v>
      </c>
      <c r="C150" s="3">
        <f>C151</f>
        <v>211274508630</v>
      </c>
      <c r="D150" s="3">
        <f t="shared" ref="D150:P150" si="50">D151</f>
        <v>79173038209</v>
      </c>
      <c r="E150" s="3">
        <f t="shared" si="50"/>
        <v>9921629456</v>
      </c>
      <c r="F150" s="3">
        <f t="shared" si="50"/>
        <v>443339469</v>
      </c>
      <c r="G150" s="3">
        <f t="shared" si="50"/>
        <v>89538007134</v>
      </c>
      <c r="H150" s="3">
        <f t="shared" si="50"/>
        <v>121736501498</v>
      </c>
      <c r="I150" s="3">
        <f t="shared" si="50"/>
        <v>21912570276</v>
      </c>
      <c r="J150" s="3">
        <f t="shared" si="50"/>
        <v>32434635</v>
      </c>
      <c r="K150" s="3">
        <f t="shared" si="50"/>
        <v>21945004911</v>
      </c>
      <c r="L150" s="3">
        <f t="shared" si="50"/>
        <v>7469057448</v>
      </c>
      <c r="M150" s="3">
        <f t="shared" si="50"/>
        <v>10051049511</v>
      </c>
      <c r="N150" s="3">
        <f t="shared" si="50"/>
        <v>17520106959</v>
      </c>
      <c r="O150" s="3">
        <f t="shared" si="50"/>
        <v>6793470</v>
      </c>
      <c r="P150" s="3">
        <f t="shared" si="50"/>
        <v>4418104476</v>
      </c>
    </row>
    <row r="151" spans="1:16" x14ac:dyDescent="0.35">
      <c r="A151" t="s">
        <v>212</v>
      </c>
      <c r="B151" t="s">
        <v>213</v>
      </c>
      <c r="C151" s="1">
        <v>211274508630</v>
      </c>
      <c r="D151" s="1">
        <v>79173038209</v>
      </c>
      <c r="E151" s="1">
        <v>9921629456</v>
      </c>
      <c r="F151" s="1">
        <v>443339469</v>
      </c>
      <c r="G151" s="1">
        <v>89538007134</v>
      </c>
      <c r="H151" s="1">
        <v>121736501498</v>
      </c>
      <c r="I151" s="1">
        <v>21912570276</v>
      </c>
      <c r="J151" s="1">
        <v>32434635</v>
      </c>
      <c r="K151" s="1">
        <v>21945004911</v>
      </c>
      <c r="L151" s="1">
        <v>7469057448</v>
      </c>
      <c r="M151" s="1">
        <v>10051049511</v>
      </c>
      <c r="N151" s="1">
        <v>17520106959</v>
      </c>
      <c r="O151" s="1">
        <v>6793470</v>
      </c>
      <c r="P151" s="1">
        <v>4418104476</v>
      </c>
    </row>
    <row r="152" spans="1:16" x14ac:dyDescent="0.35">
      <c r="A152" s="2" t="str">
        <f>[1]Sheet3!A219</f>
        <v>H32</v>
      </c>
      <c r="B152" s="2" t="str">
        <f>[1]Sheet3!B219</f>
        <v>Postal &amp; courier activities</v>
      </c>
      <c r="C152" s="3">
        <f>C153</f>
        <v>6917184542</v>
      </c>
      <c r="D152" s="3">
        <f t="shared" ref="D152:P152" si="51">D153</f>
        <v>1090518246</v>
      </c>
      <c r="E152" s="3">
        <f t="shared" si="51"/>
        <v>21500</v>
      </c>
      <c r="F152" s="3">
        <f t="shared" si="51"/>
        <v>0</v>
      </c>
      <c r="G152" s="3">
        <f t="shared" si="51"/>
        <v>1090539746</v>
      </c>
      <c r="H152" s="3">
        <f t="shared" si="51"/>
        <v>5826644796</v>
      </c>
      <c r="I152" s="3">
        <f t="shared" si="51"/>
        <v>1048796065</v>
      </c>
      <c r="J152" s="3">
        <f t="shared" si="51"/>
        <v>1802130</v>
      </c>
      <c r="K152" s="3">
        <f t="shared" si="51"/>
        <v>1050598195</v>
      </c>
      <c r="L152" s="3">
        <f t="shared" si="51"/>
        <v>11702550</v>
      </c>
      <c r="M152" s="3">
        <f t="shared" si="51"/>
        <v>219088479</v>
      </c>
      <c r="N152" s="3">
        <f t="shared" si="51"/>
        <v>230791029</v>
      </c>
      <c r="O152" s="3">
        <f t="shared" si="51"/>
        <v>0</v>
      </c>
      <c r="P152" s="3">
        <f t="shared" si="51"/>
        <v>819807166</v>
      </c>
    </row>
    <row r="153" spans="1:16" x14ac:dyDescent="0.35">
      <c r="A153" t="s">
        <v>214</v>
      </c>
      <c r="B153" t="s">
        <v>215</v>
      </c>
      <c r="C153" s="1">
        <v>6917184542</v>
      </c>
      <c r="D153" s="1">
        <v>1090518246</v>
      </c>
      <c r="E153" s="1">
        <v>21500</v>
      </c>
      <c r="F153" s="1">
        <v>0</v>
      </c>
      <c r="G153" s="1">
        <v>1090539746</v>
      </c>
      <c r="H153" s="1">
        <v>5826644796</v>
      </c>
      <c r="I153" s="1">
        <v>1048796065</v>
      </c>
      <c r="J153" s="1">
        <v>1802130</v>
      </c>
      <c r="K153" s="1">
        <v>1050598195</v>
      </c>
      <c r="L153" s="1">
        <v>11702550</v>
      </c>
      <c r="M153" s="1">
        <v>219088479</v>
      </c>
      <c r="N153" s="1">
        <v>230791029</v>
      </c>
      <c r="O153" s="1">
        <v>0</v>
      </c>
      <c r="P153" s="1">
        <v>819807166</v>
      </c>
    </row>
    <row r="154" spans="1:16" x14ac:dyDescent="0.35">
      <c r="A154" s="2" t="str">
        <f>[1]Sheet3!A222</f>
        <v>I00</v>
      </c>
      <c r="B154" s="2" t="str">
        <f>[1]Sheet3!B222</f>
        <v>Hotels &amp; restaurants</v>
      </c>
      <c r="C154" s="3">
        <f>C155+C156</f>
        <v>384175552489</v>
      </c>
      <c r="D154" s="3">
        <f t="shared" ref="D154:P154" si="52">D155+D156</f>
        <v>21208738176</v>
      </c>
      <c r="E154" s="3">
        <f t="shared" si="52"/>
        <v>25083184081</v>
      </c>
      <c r="F154" s="3">
        <f t="shared" si="52"/>
        <v>15750054197</v>
      </c>
      <c r="G154" s="3">
        <f t="shared" si="52"/>
        <v>62041976454</v>
      </c>
      <c r="H154" s="3">
        <f t="shared" si="52"/>
        <v>322133576034</v>
      </c>
      <c r="I154" s="3">
        <f t="shared" si="52"/>
        <v>57984043831</v>
      </c>
      <c r="J154" s="3">
        <f t="shared" si="52"/>
        <v>519453278</v>
      </c>
      <c r="K154" s="3">
        <f t="shared" si="52"/>
        <v>58503497109</v>
      </c>
      <c r="L154" s="3">
        <f t="shared" si="52"/>
        <v>3413872578</v>
      </c>
      <c r="M154" s="3">
        <f t="shared" si="52"/>
        <v>31982357943</v>
      </c>
      <c r="N154" s="3">
        <f t="shared" si="52"/>
        <v>35396230521</v>
      </c>
      <c r="O154" s="3">
        <f t="shared" si="52"/>
        <v>394169684</v>
      </c>
      <c r="P154" s="3">
        <f t="shared" si="52"/>
        <v>22713096871</v>
      </c>
    </row>
    <row r="155" spans="1:16" x14ac:dyDescent="0.35">
      <c r="A155" t="s">
        <v>216</v>
      </c>
      <c r="B155" t="s">
        <v>217</v>
      </c>
      <c r="C155" s="1">
        <v>213866761825</v>
      </c>
      <c r="D155" s="1">
        <v>1694899735</v>
      </c>
      <c r="E155" s="1">
        <v>107962798</v>
      </c>
      <c r="F155" s="1">
        <v>0</v>
      </c>
      <c r="G155" s="1">
        <v>1802862533</v>
      </c>
      <c r="H155" s="1">
        <v>212063899291</v>
      </c>
      <c r="I155" s="1">
        <v>38171501945</v>
      </c>
      <c r="J155" s="1">
        <v>516211312</v>
      </c>
      <c r="K155" s="1">
        <v>38687713257</v>
      </c>
      <c r="L155" s="1">
        <v>2742057739</v>
      </c>
      <c r="M155" s="1">
        <v>18482838367</v>
      </c>
      <c r="N155" s="1">
        <v>21224896106</v>
      </c>
      <c r="O155" s="1">
        <v>393149713</v>
      </c>
      <c r="P155" s="1">
        <v>17069667428</v>
      </c>
    </row>
    <row r="156" spans="1:16" x14ac:dyDescent="0.35">
      <c r="A156" t="s">
        <v>218</v>
      </c>
      <c r="B156" t="s">
        <v>219</v>
      </c>
      <c r="C156" s="1">
        <v>170308790664</v>
      </c>
      <c r="D156" s="1">
        <v>19513838441</v>
      </c>
      <c r="E156" s="1">
        <v>24975221283</v>
      </c>
      <c r="F156" s="1">
        <v>15750054197</v>
      </c>
      <c r="G156" s="1">
        <v>60239113921</v>
      </c>
      <c r="H156" s="1">
        <v>110069676743</v>
      </c>
      <c r="I156" s="1">
        <v>19812541886</v>
      </c>
      <c r="J156" s="1">
        <v>3241966</v>
      </c>
      <c r="K156" s="1">
        <v>19815783852</v>
      </c>
      <c r="L156" s="1">
        <v>671814839</v>
      </c>
      <c r="M156" s="1">
        <v>13499519576</v>
      </c>
      <c r="N156" s="1">
        <v>14171334415</v>
      </c>
      <c r="O156" s="1">
        <v>1019971</v>
      </c>
      <c r="P156" s="1">
        <v>5643429443</v>
      </c>
    </row>
    <row r="157" spans="1:16" x14ac:dyDescent="0.35">
      <c r="A157" s="2" t="str">
        <f>[1]Sheet3!A226</f>
        <v>J10</v>
      </c>
      <c r="B157" s="2" t="str">
        <f>[1]Sheet3!B226</f>
        <v>Publishing, video making, programming &amp; broadcasting activities</v>
      </c>
      <c r="C157" s="3">
        <f>C158+C159+C160</f>
        <v>29485076703</v>
      </c>
      <c r="D157" s="3">
        <f t="shared" ref="D157:P157" si="53">D158+D159+D160</f>
        <v>1826983769</v>
      </c>
      <c r="E157" s="3">
        <f t="shared" si="53"/>
        <v>1061711369</v>
      </c>
      <c r="F157" s="3">
        <f t="shared" si="53"/>
        <v>0</v>
      </c>
      <c r="G157" s="3">
        <f t="shared" si="53"/>
        <v>2888695138</v>
      </c>
      <c r="H157" s="3">
        <f t="shared" si="53"/>
        <v>26596381565</v>
      </c>
      <c r="I157" s="3">
        <f t="shared" si="53"/>
        <v>4787348682</v>
      </c>
      <c r="J157" s="3">
        <f t="shared" si="53"/>
        <v>59990050</v>
      </c>
      <c r="K157" s="3">
        <f t="shared" si="53"/>
        <v>4847338732</v>
      </c>
      <c r="L157" s="3">
        <f t="shared" si="53"/>
        <v>553978207</v>
      </c>
      <c r="M157" s="3">
        <f t="shared" si="53"/>
        <v>1258404715</v>
      </c>
      <c r="N157" s="3">
        <f t="shared" si="53"/>
        <v>1812382922</v>
      </c>
      <c r="O157" s="3">
        <f t="shared" si="53"/>
        <v>59990050</v>
      </c>
      <c r="P157" s="3">
        <f t="shared" si="53"/>
        <v>2974965759</v>
      </c>
    </row>
    <row r="158" spans="1:16" x14ac:dyDescent="0.35">
      <c r="A158" t="s">
        <v>220</v>
      </c>
      <c r="B158" t="s">
        <v>221</v>
      </c>
      <c r="C158" s="1">
        <v>5299580944</v>
      </c>
      <c r="D158" s="1">
        <v>1317188827</v>
      </c>
      <c r="E158" s="1">
        <v>975155602</v>
      </c>
      <c r="F158" s="1">
        <v>0</v>
      </c>
      <c r="G158" s="1">
        <v>2292344429</v>
      </c>
      <c r="H158" s="1">
        <v>3007236515</v>
      </c>
      <c r="I158" s="1">
        <v>541302571</v>
      </c>
      <c r="J158" s="1">
        <v>0</v>
      </c>
      <c r="K158" s="1">
        <v>541302571</v>
      </c>
      <c r="L158" s="1">
        <v>14559204</v>
      </c>
      <c r="M158" s="1">
        <v>207601030</v>
      </c>
      <c r="N158" s="1">
        <v>222160234</v>
      </c>
      <c r="O158" s="1">
        <v>0</v>
      </c>
      <c r="P158" s="1">
        <v>319142337</v>
      </c>
    </row>
    <row r="159" spans="1:16" x14ac:dyDescent="0.35">
      <c r="A159" t="s">
        <v>222</v>
      </c>
      <c r="B159" t="s">
        <v>223</v>
      </c>
      <c r="C159" s="1">
        <v>15370188841</v>
      </c>
      <c r="D159" s="1">
        <v>487092002</v>
      </c>
      <c r="E159" s="1">
        <v>86555765</v>
      </c>
      <c r="F159" s="1">
        <v>0</v>
      </c>
      <c r="G159" s="1">
        <v>573647767</v>
      </c>
      <c r="H159" s="1">
        <v>14796541074</v>
      </c>
      <c r="I159" s="1">
        <v>2663377389</v>
      </c>
      <c r="J159" s="1">
        <v>59990050</v>
      </c>
      <c r="K159" s="1">
        <v>2723367439</v>
      </c>
      <c r="L159" s="1">
        <v>532365380</v>
      </c>
      <c r="M159" s="1">
        <v>525337151</v>
      </c>
      <c r="N159" s="1">
        <v>1057702531</v>
      </c>
      <c r="O159" s="1">
        <v>59990050</v>
      </c>
      <c r="P159" s="1">
        <v>1605674857</v>
      </c>
    </row>
    <row r="160" spans="1:16" x14ac:dyDescent="0.35">
      <c r="A160" t="s">
        <v>224</v>
      </c>
      <c r="B160" t="s">
        <v>225</v>
      </c>
      <c r="C160" s="1">
        <v>8815306918</v>
      </c>
      <c r="D160" s="1">
        <v>22702940</v>
      </c>
      <c r="E160" s="1">
        <v>2</v>
      </c>
      <c r="F160" s="1">
        <v>0</v>
      </c>
      <c r="G160" s="1">
        <v>22702942</v>
      </c>
      <c r="H160" s="1">
        <v>8792603976</v>
      </c>
      <c r="I160" s="1">
        <v>1582668722</v>
      </c>
      <c r="J160" s="1">
        <v>0</v>
      </c>
      <c r="K160" s="1">
        <v>1582668722</v>
      </c>
      <c r="L160" s="1">
        <v>7053623</v>
      </c>
      <c r="M160" s="1">
        <v>525466534</v>
      </c>
      <c r="N160" s="1">
        <v>532520157</v>
      </c>
      <c r="O160" s="1">
        <v>0</v>
      </c>
      <c r="P160" s="1">
        <v>1050148565</v>
      </c>
    </row>
    <row r="161" spans="1:16" x14ac:dyDescent="0.35">
      <c r="A161" s="2" t="str">
        <f>[1]Sheet3!A231</f>
        <v>J20</v>
      </c>
      <c r="B161" s="2" t="str">
        <f>[1]Sheet3!B231</f>
        <v>Telecommunication</v>
      </c>
      <c r="C161" s="3">
        <f>C162</f>
        <v>379740178560</v>
      </c>
      <c r="D161" s="3">
        <f t="shared" ref="D161:P161" si="54">D162</f>
        <v>16536518025</v>
      </c>
      <c r="E161" s="3">
        <f t="shared" si="54"/>
        <v>3219248422</v>
      </c>
      <c r="F161" s="3">
        <f t="shared" si="54"/>
        <v>336278094</v>
      </c>
      <c r="G161" s="3">
        <f t="shared" si="54"/>
        <v>20092044540</v>
      </c>
      <c r="H161" s="3">
        <f t="shared" si="54"/>
        <v>359648134070</v>
      </c>
      <c r="I161" s="3">
        <f t="shared" si="54"/>
        <v>64736664143</v>
      </c>
      <c r="J161" s="3">
        <f t="shared" si="54"/>
        <v>4505899925</v>
      </c>
      <c r="K161" s="3">
        <f t="shared" si="54"/>
        <v>69242564068</v>
      </c>
      <c r="L161" s="3">
        <f t="shared" si="54"/>
        <v>1521741223</v>
      </c>
      <c r="M161" s="3">
        <f t="shared" si="54"/>
        <v>29518759988</v>
      </c>
      <c r="N161" s="3">
        <f t="shared" si="54"/>
        <v>31040501211</v>
      </c>
      <c r="O161" s="3">
        <f t="shared" si="54"/>
        <v>1773400931</v>
      </c>
      <c r="P161" s="3">
        <f t="shared" si="54"/>
        <v>36428661922</v>
      </c>
    </row>
    <row r="162" spans="1:16" x14ac:dyDescent="0.35">
      <c r="A162" t="s">
        <v>226</v>
      </c>
      <c r="B162" t="s">
        <v>227</v>
      </c>
      <c r="C162" s="1">
        <v>379740178560</v>
      </c>
      <c r="D162" s="1">
        <v>16536518025</v>
      </c>
      <c r="E162" s="1">
        <v>3219248422</v>
      </c>
      <c r="F162" s="1">
        <v>336278094</v>
      </c>
      <c r="G162" s="1">
        <v>20092044540</v>
      </c>
      <c r="H162" s="1">
        <v>359648134070</v>
      </c>
      <c r="I162" s="1">
        <v>64736664143</v>
      </c>
      <c r="J162" s="1">
        <v>4505899925</v>
      </c>
      <c r="K162" s="1">
        <v>69242564068</v>
      </c>
      <c r="L162" s="1">
        <v>1521741223</v>
      </c>
      <c r="M162" s="1">
        <v>29518759988</v>
      </c>
      <c r="N162" s="1">
        <v>31040501211</v>
      </c>
      <c r="O162" s="1">
        <v>1773400931</v>
      </c>
      <c r="P162" s="1">
        <v>36428661922</v>
      </c>
    </row>
    <row r="163" spans="1:16" x14ac:dyDescent="0.35">
      <c r="A163" s="2" t="str">
        <f>[1]Sheet3!A234</f>
        <v>J30</v>
      </c>
      <c r="B163" s="2" t="str">
        <f>[1]Sheet3!B234</f>
        <v>Information technology services</v>
      </c>
      <c r="C163" s="3">
        <f>C164</f>
        <v>85256272876</v>
      </c>
      <c r="D163" s="3">
        <f t="shared" ref="D163:P163" si="55">D164</f>
        <v>29383622161</v>
      </c>
      <c r="E163" s="3">
        <f t="shared" si="55"/>
        <v>1772783205</v>
      </c>
      <c r="F163" s="3">
        <f t="shared" si="55"/>
        <v>0</v>
      </c>
      <c r="G163" s="3">
        <f t="shared" si="55"/>
        <v>31156405366</v>
      </c>
      <c r="H163" s="3">
        <f t="shared" si="55"/>
        <v>54099867510</v>
      </c>
      <c r="I163" s="3">
        <f t="shared" si="55"/>
        <v>9737976164</v>
      </c>
      <c r="J163" s="3">
        <f t="shared" si="55"/>
        <v>22151190</v>
      </c>
      <c r="K163" s="3">
        <f t="shared" si="55"/>
        <v>9760127354</v>
      </c>
      <c r="L163" s="3">
        <f t="shared" si="55"/>
        <v>285745281</v>
      </c>
      <c r="M163" s="3">
        <f t="shared" si="55"/>
        <v>6064026580</v>
      </c>
      <c r="N163" s="3">
        <f t="shared" si="55"/>
        <v>6349771861</v>
      </c>
      <c r="O163" s="3">
        <f t="shared" si="55"/>
        <v>2347224</v>
      </c>
      <c r="P163" s="3">
        <f t="shared" si="55"/>
        <v>3408008267</v>
      </c>
    </row>
    <row r="164" spans="1:16" x14ac:dyDescent="0.35">
      <c r="A164" t="s">
        <v>228</v>
      </c>
      <c r="B164" t="s">
        <v>229</v>
      </c>
      <c r="C164" s="1">
        <v>85256272876</v>
      </c>
      <c r="D164" s="1">
        <v>29383622161</v>
      </c>
      <c r="E164" s="1">
        <v>1772783205</v>
      </c>
      <c r="F164" s="1">
        <v>0</v>
      </c>
      <c r="G164" s="1">
        <v>31156405366</v>
      </c>
      <c r="H164" s="1">
        <v>54099867510</v>
      </c>
      <c r="I164" s="1">
        <v>9737976164</v>
      </c>
      <c r="J164" s="1">
        <v>22151190</v>
      </c>
      <c r="K164" s="1">
        <v>9760127354</v>
      </c>
      <c r="L164" s="1">
        <v>285745281</v>
      </c>
      <c r="M164" s="1">
        <v>6064026580</v>
      </c>
      <c r="N164" s="1">
        <v>6349771861</v>
      </c>
      <c r="O164" s="1">
        <v>2347224</v>
      </c>
      <c r="P164" s="1">
        <v>3408008267</v>
      </c>
    </row>
    <row r="165" spans="1:16" x14ac:dyDescent="0.35">
      <c r="A165" s="2" t="str">
        <f>[1]Sheet3!A237</f>
        <v>K01</v>
      </c>
      <c r="B165" s="2" t="str">
        <f>[1]Sheet3!B237</f>
        <v>Monetary institutions</v>
      </c>
      <c r="C165" s="3">
        <f>C166+C167</f>
        <v>833172991193</v>
      </c>
      <c r="D165" s="3">
        <f t="shared" ref="D165:P165" si="56">D166+D167</f>
        <v>713283503502</v>
      </c>
      <c r="E165" s="3">
        <f t="shared" si="56"/>
        <v>1296016211</v>
      </c>
      <c r="F165" s="3">
        <f t="shared" si="56"/>
        <v>0</v>
      </c>
      <c r="G165" s="3">
        <f t="shared" si="56"/>
        <v>714579519713</v>
      </c>
      <c r="H165" s="3">
        <f t="shared" si="56"/>
        <v>118593471482</v>
      </c>
      <c r="I165" s="3">
        <f t="shared" si="56"/>
        <v>21346824878</v>
      </c>
      <c r="J165" s="3">
        <f t="shared" si="56"/>
        <v>1926057438</v>
      </c>
      <c r="K165" s="3">
        <f t="shared" si="56"/>
        <v>23272882316</v>
      </c>
      <c r="L165" s="3">
        <f t="shared" si="56"/>
        <v>354011414</v>
      </c>
      <c r="M165" s="3">
        <f t="shared" si="56"/>
        <v>1465168734</v>
      </c>
      <c r="N165" s="3">
        <f t="shared" si="56"/>
        <v>1819180148</v>
      </c>
      <c r="O165" s="3">
        <f t="shared" si="56"/>
        <v>963111</v>
      </c>
      <c r="P165" s="3">
        <f t="shared" si="56"/>
        <v>21452739055</v>
      </c>
    </row>
    <row r="166" spans="1:16" x14ac:dyDescent="0.35">
      <c r="A166" t="s">
        <v>230</v>
      </c>
      <c r="B166" t="s">
        <v>231</v>
      </c>
      <c r="C166" s="1">
        <v>99979141575</v>
      </c>
      <c r="D166" s="1">
        <v>93279942033</v>
      </c>
      <c r="E166" s="1">
        <v>43990127</v>
      </c>
      <c r="F166" s="1">
        <v>0</v>
      </c>
      <c r="G166" s="1">
        <v>93323932160</v>
      </c>
      <c r="H166" s="1">
        <v>6655209416</v>
      </c>
      <c r="I166" s="1">
        <v>1197937698</v>
      </c>
      <c r="J166" s="1">
        <v>11668486</v>
      </c>
      <c r="K166" s="1">
        <v>1209606184</v>
      </c>
      <c r="L166" s="1">
        <v>0</v>
      </c>
      <c r="M166" s="1">
        <v>137567435</v>
      </c>
      <c r="N166" s="1">
        <v>137567435</v>
      </c>
      <c r="O166" s="1">
        <v>963111</v>
      </c>
      <c r="P166" s="1">
        <v>1071075638</v>
      </c>
    </row>
    <row r="167" spans="1:16" x14ac:dyDescent="0.35">
      <c r="A167" t="s">
        <v>232</v>
      </c>
      <c r="B167" t="s">
        <v>233</v>
      </c>
      <c r="C167" s="1">
        <v>733193849618</v>
      </c>
      <c r="D167" s="1">
        <v>620003561469</v>
      </c>
      <c r="E167" s="1">
        <v>1252026084</v>
      </c>
      <c r="F167" s="1">
        <v>0</v>
      </c>
      <c r="G167" s="1">
        <v>621255587553</v>
      </c>
      <c r="H167" s="1">
        <v>111938262066</v>
      </c>
      <c r="I167" s="1">
        <v>20148887180</v>
      </c>
      <c r="J167" s="1">
        <v>1914388952</v>
      </c>
      <c r="K167" s="1">
        <v>22063276132</v>
      </c>
      <c r="L167" s="1">
        <v>354011414</v>
      </c>
      <c r="M167" s="1">
        <v>1327601299</v>
      </c>
      <c r="N167" s="1">
        <v>1681612713</v>
      </c>
      <c r="O167" s="1">
        <v>0</v>
      </c>
      <c r="P167" s="1">
        <v>20381663417</v>
      </c>
    </row>
    <row r="168" spans="1:16" x14ac:dyDescent="0.35">
      <c r="A168" s="2" t="str">
        <f>[1]Sheet3!A241</f>
        <v>K02</v>
      </c>
      <c r="B168" s="2" t="str">
        <f>[1]Sheet3!B241</f>
        <v>Insurance, reinsurance &amp; pension funding, except compulsory social security</v>
      </c>
      <c r="C168" s="3">
        <f>C169</f>
        <v>161812493768</v>
      </c>
      <c r="D168" s="3">
        <f t="shared" ref="D168:P168" si="57">D169</f>
        <v>68650449539</v>
      </c>
      <c r="E168" s="3">
        <f t="shared" si="57"/>
        <v>241455410</v>
      </c>
      <c r="F168" s="3">
        <f t="shared" si="57"/>
        <v>0</v>
      </c>
      <c r="G168" s="3">
        <f t="shared" si="57"/>
        <v>68891904949</v>
      </c>
      <c r="H168" s="3">
        <f t="shared" si="57"/>
        <v>92920588820</v>
      </c>
      <c r="I168" s="3">
        <f t="shared" si="57"/>
        <v>16725705997</v>
      </c>
      <c r="J168" s="3">
        <f t="shared" si="57"/>
        <v>86260713</v>
      </c>
      <c r="K168" s="3">
        <f t="shared" si="57"/>
        <v>16811966710</v>
      </c>
      <c r="L168" s="3">
        <f t="shared" si="57"/>
        <v>8603829</v>
      </c>
      <c r="M168" s="3">
        <f t="shared" si="57"/>
        <v>3341944808</v>
      </c>
      <c r="N168" s="3">
        <f t="shared" si="57"/>
        <v>3350548637</v>
      </c>
      <c r="O168" s="3">
        <f t="shared" si="57"/>
        <v>354537</v>
      </c>
      <c r="P168" s="3">
        <f t="shared" si="57"/>
        <v>13461063536</v>
      </c>
    </row>
    <row r="169" spans="1:16" x14ac:dyDescent="0.35">
      <c r="A169" t="s">
        <v>234</v>
      </c>
      <c r="B169" t="s">
        <v>235</v>
      </c>
      <c r="C169" s="1">
        <v>161812493768</v>
      </c>
      <c r="D169" s="1">
        <v>68650449539</v>
      </c>
      <c r="E169" s="1">
        <v>241455410</v>
      </c>
      <c r="F169" s="1">
        <v>0</v>
      </c>
      <c r="G169" s="1">
        <v>68891904949</v>
      </c>
      <c r="H169" s="1">
        <v>92920588820</v>
      </c>
      <c r="I169" s="1">
        <v>16725705997</v>
      </c>
      <c r="J169" s="1">
        <v>86260713</v>
      </c>
      <c r="K169" s="1">
        <v>16811966710</v>
      </c>
      <c r="L169" s="1">
        <v>8603829</v>
      </c>
      <c r="M169" s="1">
        <v>3341944808</v>
      </c>
      <c r="N169" s="1">
        <v>3350548637</v>
      </c>
      <c r="O169" s="1">
        <v>354537</v>
      </c>
      <c r="P169" s="1">
        <v>13461063536</v>
      </c>
    </row>
    <row r="170" spans="1:16" x14ac:dyDescent="0.35">
      <c r="A170" s="2" t="str">
        <f>[1]Sheet3!A243</f>
        <v>K03</v>
      </c>
      <c r="B170" s="2" t="str">
        <f>[1]Sheet3!B243</f>
        <v>Other financial services</v>
      </c>
      <c r="C170" s="3">
        <f>C171</f>
        <v>61633039386</v>
      </c>
      <c r="D170" s="3">
        <f t="shared" ref="D170:P170" si="58">D171</f>
        <v>24732845623</v>
      </c>
      <c r="E170" s="3">
        <f t="shared" si="58"/>
        <v>163167553</v>
      </c>
      <c r="F170" s="3">
        <f t="shared" si="58"/>
        <v>0</v>
      </c>
      <c r="G170" s="3">
        <f t="shared" si="58"/>
        <v>24896013176</v>
      </c>
      <c r="H170" s="3">
        <f t="shared" si="58"/>
        <v>36737026212</v>
      </c>
      <c r="I170" s="3">
        <f t="shared" si="58"/>
        <v>6612664732</v>
      </c>
      <c r="J170" s="3">
        <f t="shared" si="58"/>
        <v>180792817</v>
      </c>
      <c r="K170" s="3">
        <f t="shared" si="58"/>
        <v>6793457549</v>
      </c>
      <c r="L170" s="3">
        <f t="shared" si="58"/>
        <v>1555706402</v>
      </c>
      <c r="M170" s="3">
        <f t="shared" si="58"/>
        <v>1929047414</v>
      </c>
      <c r="N170" s="3">
        <f t="shared" si="58"/>
        <v>3484753816</v>
      </c>
      <c r="O170" s="3">
        <f t="shared" si="58"/>
        <v>4107436</v>
      </c>
      <c r="P170" s="3">
        <f t="shared" si="58"/>
        <v>3304596296</v>
      </c>
    </row>
    <row r="171" spans="1:16" x14ac:dyDescent="0.35">
      <c r="A171" t="s">
        <v>236</v>
      </c>
      <c r="B171" t="s">
        <v>237</v>
      </c>
      <c r="C171" s="1">
        <v>61633039386</v>
      </c>
      <c r="D171" s="1">
        <v>24732845623</v>
      </c>
      <c r="E171" s="1">
        <v>163167553</v>
      </c>
      <c r="F171" s="1">
        <v>0</v>
      </c>
      <c r="G171" s="1">
        <v>24896013176</v>
      </c>
      <c r="H171" s="1">
        <v>36737026212</v>
      </c>
      <c r="I171" s="1">
        <v>6612664732</v>
      </c>
      <c r="J171" s="1">
        <v>180792817</v>
      </c>
      <c r="K171" s="1">
        <v>6793457549</v>
      </c>
      <c r="L171" s="1">
        <v>1555706402</v>
      </c>
      <c r="M171" s="1">
        <v>1929047414</v>
      </c>
      <c r="N171" s="1">
        <v>3484753816</v>
      </c>
      <c r="O171" s="1">
        <v>4107436</v>
      </c>
      <c r="P171" s="1">
        <v>3304596296</v>
      </c>
    </row>
    <row r="172" spans="1:16" x14ac:dyDescent="0.35">
      <c r="A172" s="2" t="str">
        <f>[1]Sheet3!A249</f>
        <v>L09</v>
      </c>
      <c r="B172" s="2" t="str">
        <f>[1]Sheet3!B249</f>
        <v>Other real estate activities</v>
      </c>
      <c r="C172" s="3">
        <f>C173</f>
        <v>106152293053</v>
      </c>
      <c r="D172" s="3">
        <f t="shared" ref="D172:P172" si="59">D173</f>
        <v>31690335938</v>
      </c>
      <c r="E172" s="3">
        <f t="shared" si="59"/>
        <v>3220304071</v>
      </c>
      <c r="F172" s="3">
        <f t="shared" si="59"/>
        <v>0</v>
      </c>
      <c r="G172" s="3">
        <f t="shared" si="59"/>
        <v>34910640009</v>
      </c>
      <c r="H172" s="3">
        <f t="shared" si="59"/>
        <v>71241653044</v>
      </c>
      <c r="I172" s="3">
        <f t="shared" si="59"/>
        <v>12823497543</v>
      </c>
      <c r="J172" s="3">
        <f t="shared" si="59"/>
        <v>66123280</v>
      </c>
      <c r="K172" s="3">
        <f t="shared" si="59"/>
        <v>12889620823</v>
      </c>
      <c r="L172" s="3">
        <f t="shared" si="59"/>
        <v>1779110500</v>
      </c>
      <c r="M172" s="3">
        <f t="shared" si="59"/>
        <v>5545107988</v>
      </c>
      <c r="N172" s="3">
        <f t="shared" si="59"/>
        <v>7324218488</v>
      </c>
      <c r="O172" s="3">
        <f t="shared" si="59"/>
        <v>0</v>
      </c>
      <c r="P172" s="3">
        <f t="shared" si="59"/>
        <v>5565402332</v>
      </c>
    </row>
    <row r="173" spans="1:16" x14ac:dyDescent="0.35">
      <c r="A173" t="s">
        <v>238</v>
      </c>
      <c r="B173" t="s">
        <v>239</v>
      </c>
      <c r="C173" s="1">
        <v>106152293053</v>
      </c>
      <c r="D173" s="1">
        <v>31690335938</v>
      </c>
      <c r="E173" s="1">
        <v>3220304071</v>
      </c>
      <c r="F173" s="1">
        <v>0</v>
      </c>
      <c r="G173" s="1">
        <v>34910640009</v>
      </c>
      <c r="H173" s="1">
        <v>71241653044</v>
      </c>
      <c r="I173" s="1">
        <v>12823497543</v>
      </c>
      <c r="J173" s="1">
        <v>66123280</v>
      </c>
      <c r="K173" s="1">
        <v>12889620823</v>
      </c>
      <c r="L173" s="1">
        <v>1779110500</v>
      </c>
      <c r="M173" s="1">
        <v>5545107988</v>
      </c>
      <c r="N173" s="1">
        <v>7324218488</v>
      </c>
      <c r="O173" s="1">
        <v>0</v>
      </c>
      <c r="P173" s="1">
        <v>5565402332</v>
      </c>
    </row>
    <row r="174" spans="1:16" x14ac:dyDescent="0.35">
      <c r="A174" s="2" t="str">
        <f>[1]Sheet3!A252</f>
        <v>M01</v>
      </c>
      <c r="B174" s="2" t="str">
        <f>[1]Sheet3!B252</f>
        <v>Legal, accounting management &amp; head office activities</v>
      </c>
      <c r="C174" s="3">
        <f>C175+C176+C177</f>
        <v>79563637464</v>
      </c>
      <c r="D174" s="3">
        <f t="shared" ref="D174:P174" si="60">D175+D176+D177</f>
        <v>13986655489</v>
      </c>
      <c r="E174" s="3">
        <f t="shared" si="60"/>
        <v>5962569212</v>
      </c>
      <c r="F174" s="3">
        <f t="shared" si="60"/>
        <v>0</v>
      </c>
      <c r="G174" s="3">
        <f t="shared" si="60"/>
        <v>19949224701</v>
      </c>
      <c r="H174" s="3">
        <f t="shared" si="60"/>
        <v>59614412764</v>
      </c>
      <c r="I174" s="3">
        <f t="shared" si="60"/>
        <v>10730594332</v>
      </c>
      <c r="J174" s="3">
        <f t="shared" si="60"/>
        <v>352185592</v>
      </c>
      <c r="K174" s="3">
        <f t="shared" si="60"/>
        <v>11082779924</v>
      </c>
      <c r="L174" s="3">
        <f t="shared" si="60"/>
        <v>68824451</v>
      </c>
      <c r="M174" s="3">
        <f t="shared" si="60"/>
        <v>3253678252</v>
      </c>
      <c r="N174" s="3">
        <f t="shared" si="60"/>
        <v>3322502703</v>
      </c>
      <c r="O174" s="3">
        <f t="shared" si="60"/>
        <v>36121408</v>
      </c>
      <c r="P174" s="3">
        <f t="shared" si="60"/>
        <v>7724155806</v>
      </c>
    </row>
    <row r="175" spans="1:16" x14ac:dyDescent="0.35">
      <c r="A175" t="s">
        <v>240</v>
      </c>
      <c r="B175" t="s">
        <v>241</v>
      </c>
      <c r="C175" s="1">
        <v>9469724724</v>
      </c>
      <c r="D175" s="1">
        <v>186099469</v>
      </c>
      <c r="E175" s="1">
        <v>216247081</v>
      </c>
      <c r="F175" s="1">
        <v>0</v>
      </c>
      <c r="G175" s="1">
        <v>402346550</v>
      </c>
      <c r="H175" s="1">
        <v>9067378174</v>
      </c>
      <c r="I175" s="1">
        <v>1632128082</v>
      </c>
      <c r="J175" s="1">
        <v>27037362</v>
      </c>
      <c r="K175" s="1">
        <v>1659165444</v>
      </c>
      <c r="L175" s="1">
        <v>907201</v>
      </c>
      <c r="M175" s="1">
        <v>331209397</v>
      </c>
      <c r="N175" s="1">
        <v>332116598</v>
      </c>
      <c r="O175" s="1">
        <v>7693609</v>
      </c>
      <c r="P175" s="1">
        <v>1319355235</v>
      </c>
    </row>
    <row r="176" spans="1:16" x14ac:dyDescent="0.35">
      <c r="A176" t="s">
        <v>242</v>
      </c>
      <c r="B176" t="s">
        <v>243</v>
      </c>
      <c r="C176" s="1">
        <v>30212828675</v>
      </c>
      <c r="D176" s="1">
        <v>1015565421</v>
      </c>
      <c r="E176" s="1">
        <v>3384626758</v>
      </c>
      <c r="F176" s="1">
        <v>0</v>
      </c>
      <c r="G176" s="1">
        <v>4400192179</v>
      </c>
      <c r="H176" s="1">
        <v>25812636498</v>
      </c>
      <c r="I176" s="1">
        <v>4646274570</v>
      </c>
      <c r="J176" s="1">
        <v>246666046</v>
      </c>
      <c r="K176" s="1">
        <v>4892940616</v>
      </c>
      <c r="L176" s="1">
        <v>4652452</v>
      </c>
      <c r="M176" s="1">
        <v>1011638315</v>
      </c>
      <c r="N176" s="1">
        <v>1016290767</v>
      </c>
      <c r="O176" s="1">
        <v>26244245</v>
      </c>
      <c r="P176" s="1">
        <v>3850405601</v>
      </c>
    </row>
    <row r="177" spans="1:16" x14ac:dyDescent="0.35">
      <c r="A177" t="s">
        <v>244</v>
      </c>
      <c r="B177" t="s">
        <v>245</v>
      </c>
      <c r="C177" s="1">
        <v>39881084065</v>
      </c>
      <c r="D177" s="1">
        <v>12784990599</v>
      </c>
      <c r="E177" s="1">
        <v>2361695373</v>
      </c>
      <c r="F177" s="1">
        <v>0</v>
      </c>
      <c r="G177" s="1">
        <v>15146685972</v>
      </c>
      <c r="H177" s="1">
        <v>24734398092</v>
      </c>
      <c r="I177" s="1">
        <v>4452191680</v>
      </c>
      <c r="J177" s="1">
        <v>78482184</v>
      </c>
      <c r="K177" s="1">
        <v>4530673864</v>
      </c>
      <c r="L177" s="1">
        <v>63264798</v>
      </c>
      <c r="M177" s="1">
        <v>1910830540</v>
      </c>
      <c r="N177" s="1">
        <v>1974095338</v>
      </c>
      <c r="O177" s="1">
        <v>2183554</v>
      </c>
      <c r="P177" s="1">
        <v>2554394970</v>
      </c>
    </row>
    <row r="178" spans="1:16" x14ac:dyDescent="0.35">
      <c r="A178" s="2" t="str">
        <f>[1]Sheet3!A256</f>
        <v>M02</v>
      </c>
      <c r="B178" s="2" t="str">
        <f>[1]Sheet3!B256</f>
        <v>Architectural &amp; engineering activities</v>
      </c>
      <c r="C178" s="3">
        <f>C179</f>
        <v>36726821956</v>
      </c>
      <c r="D178" s="3">
        <f t="shared" ref="D178:P178" si="61">D179</f>
        <v>1763946332</v>
      </c>
      <c r="E178" s="3">
        <f t="shared" si="61"/>
        <v>2878321785</v>
      </c>
      <c r="F178" s="3">
        <f t="shared" si="61"/>
        <v>0</v>
      </c>
      <c r="G178" s="3">
        <f t="shared" si="61"/>
        <v>4642268117</v>
      </c>
      <c r="H178" s="3">
        <f t="shared" si="61"/>
        <v>32084553839</v>
      </c>
      <c r="I178" s="3">
        <f t="shared" si="61"/>
        <v>5775219690</v>
      </c>
      <c r="J178" s="3">
        <f t="shared" si="61"/>
        <v>180548123</v>
      </c>
      <c r="K178" s="3">
        <f t="shared" si="61"/>
        <v>5955767813</v>
      </c>
      <c r="L178" s="3">
        <f t="shared" si="61"/>
        <v>128612094</v>
      </c>
      <c r="M178" s="3">
        <f t="shared" si="61"/>
        <v>2350790134</v>
      </c>
      <c r="N178" s="3">
        <f t="shared" si="61"/>
        <v>2479402228</v>
      </c>
      <c r="O178" s="3">
        <f t="shared" si="61"/>
        <v>1648971</v>
      </c>
      <c r="P178" s="3">
        <f t="shared" si="61"/>
        <v>3474716612</v>
      </c>
    </row>
    <row r="179" spans="1:16" x14ac:dyDescent="0.35">
      <c r="A179" t="s">
        <v>246</v>
      </c>
      <c r="B179" t="s">
        <v>247</v>
      </c>
      <c r="C179" s="1">
        <v>36726821956</v>
      </c>
      <c r="D179" s="1">
        <v>1763946332</v>
      </c>
      <c r="E179" s="1">
        <v>2878321785</v>
      </c>
      <c r="F179" s="1">
        <v>0</v>
      </c>
      <c r="G179" s="1">
        <v>4642268117</v>
      </c>
      <c r="H179" s="1">
        <v>32084553839</v>
      </c>
      <c r="I179" s="1">
        <v>5775219690</v>
      </c>
      <c r="J179" s="1">
        <v>180548123</v>
      </c>
      <c r="K179" s="1">
        <v>5955767813</v>
      </c>
      <c r="L179" s="1">
        <v>128612094</v>
      </c>
      <c r="M179" s="1">
        <v>2350790134</v>
      </c>
      <c r="N179" s="1">
        <v>2479402228</v>
      </c>
      <c r="O179" s="1">
        <v>1648971</v>
      </c>
      <c r="P179" s="1">
        <v>3474716612</v>
      </c>
    </row>
    <row r="180" spans="1:16" x14ac:dyDescent="0.35">
      <c r="A180" s="2" t="str">
        <f>[1]Sheet3!A258</f>
        <v>M03</v>
      </c>
      <c r="B180" s="2" t="str">
        <f>[1]Sheet3!B258</f>
        <v>Other professional, scientific &amp; technical activities</v>
      </c>
      <c r="C180" s="3">
        <f>C181+C182+C183+C184</f>
        <v>74202985595</v>
      </c>
      <c r="D180" s="3">
        <f t="shared" ref="D180:P180" si="62">D181+D182+D183+D184</f>
        <v>15464649057</v>
      </c>
      <c r="E180" s="3">
        <f t="shared" si="62"/>
        <v>824915210</v>
      </c>
      <c r="F180" s="3">
        <f t="shared" si="62"/>
        <v>114371797</v>
      </c>
      <c r="G180" s="3">
        <f t="shared" si="62"/>
        <v>16403936064</v>
      </c>
      <c r="H180" s="3">
        <f t="shared" si="62"/>
        <v>57799049531</v>
      </c>
      <c r="I180" s="3">
        <f t="shared" si="62"/>
        <v>10403828933</v>
      </c>
      <c r="J180" s="3">
        <f t="shared" si="62"/>
        <v>142170020</v>
      </c>
      <c r="K180" s="3">
        <f t="shared" si="62"/>
        <v>10545998953</v>
      </c>
      <c r="L180" s="3">
        <f t="shared" si="62"/>
        <v>565071066</v>
      </c>
      <c r="M180" s="3">
        <f t="shared" si="62"/>
        <v>3836677473</v>
      </c>
      <c r="N180" s="3">
        <f t="shared" si="62"/>
        <v>4401748539</v>
      </c>
      <c r="O180" s="3">
        <f t="shared" si="62"/>
        <v>2531140</v>
      </c>
      <c r="P180" s="3">
        <f t="shared" si="62"/>
        <v>6141719271</v>
      </c>
    </row>
    <row r="181" spans="1:16" x14ac:dyDescent="0.35">
      <c r="A181" t="s">
        <v>248</v>
      </c>
      <c r="B181" t="s">
        <v>249</v>
      </c>
      <c r="C181" s="1">
        <v>4356930851</v>
      </c>
      <c r="D181" s="1">
        <v>1855297903</v>
      </c>
      <c r="E181" s="1">
        <v>213061963</v>
      </c>
      <c r="F181" s="1">
        <v>0</v>
      </c>
      <c r="G181" s="1">
        <v>2068359866</v>
      </c>
      <c r="H181" s="1">
        <v>2288570985</v>
      </c>
      <c r="I181" s="1">
        <v>411942778</v>
      </c>
      <c r="J181" s="1">
        <v>54548749</v>
      </c>
      <c r="K181" s="1">
        <v>466491527</v>
      </c>
      <c r="L181" s="1">
        <v>6991419</v>
      </c>
      <c r="M181" s="1">
        <v>100901387</v>
      </c>
      <c r="N181" s="1">
        <v>107892806</v>
      </c>
      <c r="O181" s="1">
        <v>0</v>
      </c>
      <c r="P181" s="1">
        <v>358598720</v>
      </c>
    </row>
    <row r="182" spans="1:16" x14ac:dyDescent="0.35">
      <c r="A182" t="s">
        <v>250</v>
      </c>
      <c r="B182" t="s">
        <v>251</v>
      </c>
      <c r="C182" s="1">
        <v>30401881661</v>
      </c>
      <c r="D182" s="1">
        <v>1446722577</v>
      </c>
      <c r="E182" s="1">
        <v>61460388</v>
      </c>
      <c r="F182" s="1">
        <v>114371797</v>
      </c>
      <c r="G182" s="1">
        <v>1622554762</v>
      </c>
      <c r="H182" s="1">
        <v>28779326899</v>
      </c>
      <c r="I182" s="1">
        <v>5180278851</v>
      </c>
      <c r="J182" s="1">
        <v>2703643</v>
      </c>
      <c r="K182" s="1">
        <v>5182982494</v>
      </c>
      <c r="L182" s="1">
        <v>260397477</v>
      </c>
      <c r="M182" s="1">
        <v>2146798641</v>
      </c>
      <c r="N182" s="1">
        <v>2407196118</v>
      </c>
      <c r="O182" s="1">
        <v>2468140</v>
      </c>
      <c r="P182" s="1">
        <v>2773318234</v>
      </c>
    </row>
    <row r="183" spans="1:16" x14ac:dyDescent="0.35">
      <c r="A183" t="s">
        <v>252</v>
      </c>
      <c r="B183" t="s">
        <v>253</v>
      </c>
      <c r="C183" s="1">
        <v>32786699227</v>
      </c>
      <c r="D183" s="1">
        <v>6103022126</v>
      </c>
      <c r="E183" s="1">
        <v>550392859</v>
      </c>
      <c r="F183" s="1">
        <v>0</v>
      </c>
      <c r="G183" s="1">
        <v>6653414985</v>
      </c>
      <c r="H183" s="1">
        <v>26133284242</v>
      </c>
      <c r="I183" s="1">
        <v>4703991173</v>
      </c>
      <c r="J183" s="1">
        <v>84917628</v>
      </c>
      <c r="K183" s="1">
        <v>4788908801</v>
      </c>
      <c r="L183" s="1">
        <v>263828841</v>
      </c>
      <c r="M183" s="1">
        <v>1497832013</v>
      </c>
      <c r="N183" s="1">
        <v>1761660854</v>
      </c>
      <c r="O183" s="1">
        <v>63000</v>
      </c>
      <c r="P183" s="1">
        <v>3027184947</v>
      </c>
    </row>
    <row r="184" spans="1:16" x14ac:dyDescent="0.35">
      <c r="A184" t="s">
        <v>254</v>
      </c>
      <c r="B184" t="s">
        <v>255</v>
      </c>
      <c r="C184" s="1">
        <v>6657473856</v>
      </c>
      <c r="D184" s="1">
        <v>6059606451</v>
      </c>
      <c r="E184" s="1">
        <v>0</v>
      </c>
      <c r="F184" s="1">
        <v>0</v>
      </c>
      <c r="G184" s="1">
        <v>6059606451</v>
      </c>
      <c r="H184" s="1">
        <v>597867405</v>
      </c>
      <c r="I184" s="1">
        <v>107616131</v>
      </c>
      <c r="J184" s="1">
        <v>0</v>
      </c>
      <c r="K184" s="1">
        <v>107616131</v>
      </c>
      <c r="L184" s="1">
        <v>33853329</v>
      </c>
      <c r="M184" s="1">
        <v>91145432</v>
      </c>
      <c r="N184" s="1">
        <v>124998761</v>
      </c>
      <c r="O184" s="1">
        <v>0</v>
      </c>
      <c r="P184" s="1">
        <v>-17382630</v>
      </c>
    </row>
    <row r="185" spans="1:16" x14ac:dyDescent="0.35">
      <c r="A185" s="2" t="str">
        <f>[1]Sheet3!A264</f>
        <v>N01</v>
      </c>
      <c r="B185" s="2" t="str">
        <f>[1]Sheet3!B264</f>
        <v>Travel agents &amp; tour operators</v>
      </c>
      <c r="C185" s="3">
        <f>C186</f>
        <v>68005040838</v>
      </c>
      <c r="D185" s="3">
        <f t="shared" ref="D185:P185" si="63">D186</f>
        <v>20071511023</v>
      </c>
      <c r="E185" s="3">
        <f t="shared" si="63"/>
        <v>22935957492</v>
      </c>
      <c r="F185" s="3">
        <f t="shared" si="63"/>
        <v>0</v>
      </c>
      <c r="G185" s="3">
        <f t="shared" si="63"/>
        <v>43007468515</v>
      </c>
      <c r="H185" s="3">
        <f t="shared" si="63"/>
        <v>24997572325</v>
      </c>
      <c r="I185" s="3">
        <f t="shared" si="63"/>
        <v>4499563024</v>
      </c>
      <c r="J185" s="3">
        <f t="shared" si="63"/>
        <v>88958485</v>
      </c>
      <c r="K185" s="3">
        <f t="shared" si="63"/>
        <v>4588521509</v>
      </c>
      <c r="L185" s="3">
        <f t="shared" si="63"/>
        <v>198562032</v>
      </c>
      <c r="M185" s="3">
        <f t="shared" si="63"/>
        <v>911496543</v>
      </c>
      <c r="N185" s="3">
        <f t="shared" si="63"/>
        <v>1110058575</v>
      </c>
      <c r="O185" s="3">
        <f t="shared" si="63"/>
        <v>0</v>
      </c>
      <c r="P185" s="3">
        <f t="shared" si="63"/>
        <v>3478462931</v>
      </c>
    </row>
    <row r="186" spans="1:16" x14ac:dyDescent="0.35">
      <c r="A186" t="s">
        <v>256</v>
      </c>
      <c r="B186" t="s">
        <v>257</v>
      </c>
      <c r="C186" s="1">
        <v>68005040838</v>
      </c>
      <c r="D186" s="1">
        <v>20071511023</v>
      </c>
      <c r="E186" s="1">
        <v>22935957492</v>
      </c>
      <c r="F186" s="1">
        <v>0</v>
      </c>
      <c r="G186" s="1">
        <v>43007468515</v>
      </c>
      <c r="H186" s="1">
        <v>24997572325</v>
      </c>
      <c r="I186" s="1">
        <v>4499563024</v>
      </c>
      <c r="J186" s="1">
        <v>88958485</v>
      </c>
      <c r="K186" s="1">
        <v>4588521509</v>
      </c>
      <c r="L186" s="1">
        <v>198562032</v>
      </c>
      <c r="M186" s="1">
        <v>911496543</v>
      </c>
      <c r="N186" s="1">
        <v>1110058575</v>
      </c>
      <c r="O186" s="1">
        <v>0</v>
      </c>
      <c r="P186" s="1">
        <v>3478462931</v>
      </c>
    </row>
    <row r="187" spans="1:16" x14ac:dyDescent="0.35">
      <c r="A187" s="2" t="str">
        <f>[1]Sheet3!A266</f>
        <v>N09</v>
      </c>
      <c r="B187" s="2" t="str">
        <f>[1]Sheet3!B266</f>
        <v>Other administrative &amp; support service activities</v>
      </c>
      <c r="C187" s="3">
        <f>C188+C189+C190+C191</f>
        <v>136399568390</v>
      </c>
      <c r="D187" s="3">
        <f t="shared" ref="D187:P187" si="64">D188+D189+D190+D191</f>
        <v>27170622253</v>
      </c>
      <c r="E187" s="3">
        <f t="shared" si="64"/>
        <v>11779013586</v>
      </c>
      <c r="F187" s="3">
        <f t="shared" si="64"/>
        <v>0</v>
      </c>
      <c r="G187" s="3">
        <f t="shared" si="64"/>
        <v>38949635839</v>
      </c>
      <c r="H187" s="3">
        <f t="shared" si="64"/>
        <v>97449932552</v>
      </c>
      <c r="I187" s="3">
        <f t="shared" si="64"/>
        <v>17540987912</v>
      </c>
      <c r="J187" s="3">
        <f t="shared" si="64"/>
        <v>54572391</v>
      </c>
      <c r="K187" s="3">
        <f t="shared" si="64"/>
        <v>17595560303</v>
      </c>
      <c r="L187" s="3">
        <f t="shared" si="64"/>
        <v>2686354495</v>
      </c>
      <c r="M187" s="3">
        <f t="shared" si="64"/>
        <v>5871371580</v>
      </c>
      <c r="N187" s="3">
        <f t="shared" si="64"/>
        <v>8557726075</v>
      </c>
      <c r="O187" s="3">
        <f t="shared" si="64"/>
        <v>1781092</v>
      </c>
      <c r="P187" s="3">
        <f t="shared" si="64"/>
        <v>9036053126</v>
      </c>
    </row>
    <row r="188" spans="1:16" x14ac:dyDescent="0.35">
      <c r="A188" t="s">
        <v>258</v>
      </c>
      <c r="B188" t="s">
        <v>259</v>
      </c>
      <c r="C188" s="1">
        <v>30026827666</v>
      </c>
      <c r="D188" s="1">
        <v>4953706029</v>
      </c>
      <c r="E188" s="1">
        <v>6312892207</v>
      </c>
      <c r="F188" s="1">
        <v>0</v>
      </c>
      <c r="G188" s="1">
        <v>11266598236</v>
      </c>
      <c r="H188" s="1">
        <v>18760229430</v>
      </c>
      <c r="I188" s="1">
        <v>3376841319</v>
      </c>
      <c r="J188" s="1">
        <v>731673</v>
      </c>
      <c r="K188" s="1">
        <v>3377572992</v>
      </c>
      <c r="L188" s="1">
        <v>2119610597</v>
      </c>
      <c r="M188" s="1">
        <v>1175968401</v>
      </c>
      <c r="N188" s="1">
        <v>3295578998</v>
      </c>
      <c r="O188" s="1">
        <v>0</v>
      </c>
      <c r="P188" s="1">
        <v>81993990</v>
      </c>
    </row>
    <row r="189" spans="1:16" x14ac:dyDescent="0.35">
      <c r="A189" t="s">
        <v>260</v>
      </c>
      <c r="B189" t="s">
        <v>261</v>
      </c>
      <c r="C189" s="1">
        <v>34329307179</v>
      </c>
      <c r="D189" s="1">
        <v>658944031</v>
      </c>
      <c r="E189" s="1">
        <v>2274100</v>
      </c>
      <c r="F189" s="1">
        <v>0</v>
      </c>
      <c r="G189" s="1">
        <v>661218131</v>
      </c>
      <c r="H189" s="1">
        <v>33668089048</v>
      </c>
      <c r="I189" s="1">
        <v>6060256033</v>
      </c>
      <c r="J189" s="1">
        <v>35553499</v>
      </c>
      <c r="K189" s="1">
        <v>6095809532</v>
      </c>
      <c r="L189" s="1">
        <v>150479693</v>
      </c>
      <c r="M189" s="1">
        <v>894118984</v>
      </c>
      <c r="N189" s="1">
        <v>1044598677</v>
      </c>
      <c r="O189" s="1">
        <v>1781092</v>
      </c>
      <c r="P189" s="1">
        <v>5049429763</v>
      </c>
    </row>
    <row r="190" spans="1:16" x14ac:dyDescent="0.35">
      <c r="A190" t="s">
        <v>262</v>
      </c>
      <c r="B190" t="s">
        <v>263</v>
      </c>
      <c r="C190" s="1">
        <v>27415771576</v>
      </c>
      <c r="D190" s="1">
        <v>10386403870</v>
      </c>
      <c r="E190" s="1">
        <v>697726563</v>
      </c>
      <c r="F190" s="1">
        <v>0</v>
      </c>
      <c r="G190" s="1">
        <v>11084130433</v>
      </c>
      <c r="H190" s="1">
        <v>16331641144</v>
      </c>
      <c r="I190" s="1">
        <v>2939695411</v>
      </c>
      <c r="J190" s="1">
        <v>231713</v>
      </c>
      <c r="K190" s="1">
        <v>2939927124</v>
      </c>
      <c r="L190" s="1">
        <v>132775258</v>
      </c>
      <c r="M190" s="1">
        <v>856352531</v>
      </c>
      <c r="N190" s="1">
        <v>989127789</v>
      </c>
      <c r="O190" s="1">
        <v>0</v>
      </c>
      <c r="P190" s="1">
        <v>1950799335</v>
      </c>
    </row>
    <row r="191" spans="1:16" x14ac:dyDescent="0.35">
      <c r="A191" t="s">
        <v>264</v>
      </c>
      <c r="B191" t="s">
        <v>265</v>
      </c>
      <c r="C191" s="1">
        <v>44627661969</v>
      </c>
      <c r="D191" s="1">
        <v>11171568323</v>
      </c>
      <c r="E191" s="1">
        <v>4766120716</v>
      </c>
      <c r="F191" s="1">
        <v>0</v>
      </c>
      <c r="G191" s="1">
        <v>15937689039</v>
      </c>
      <c r="H191" s="1">
        <v>28689972930</v>
      </c>
      <c r="I191" s="1">
        <v>5164195149</v>
      </c>
      <c r="J191" s="1">
        <v>18055506</v>
      </c>
      <c r="K191" s="1">
        <v>5182250655</v>
      </c>
      <c r="L191" s="1">
        <v>283488947</v>
      </c>
      <c r="M191" s="1">
        <v>2944931664</v>
      </c>
      <c r="N191" s="1">
        <v>3228420611</v>
      </c>
      <c r="O191" s="1">
        <v>0</v>
      </c>
      <c r="P191" s="1">
        <v>1953830038</v>
      </c>
    </row>
    <row r="192" spans="1:16" x14ac:dyDescent="0.35">
      <c r="A192" s="2" t="str">
        <f>[1]Sheet3!A273</f>
        <v>O00</v>
      </c>
      <c r="B192" s="2" t="str">
        <f>[1]Sheet3!B273</f>
        <v>Public administration &amp; defence; compulsory social security</v>
      </c>
      <c r="C192" s="3">
        <f>C193+C194</f>
        <v>37973702503</v>
      </c>
      <c r="D192" s="3">
        <f t="shared" ref="D192:P192" si="65">D193+D194</f>
        <v>760374759</v>
      </c>
      <c r="E192" s="3">
        <f t="shared" si="65"/>
        <v>59458757</v>
      </c>
      <c r="F192" s="3">
        <f t="shared" si="65"/>
        <v>0</v>
      </c>
      <c r="G192" s="3">
        <f t="shared" si="65"/>
        <v>819833516</v>
      </c>
      <c r="H192" s="3">
        <f t="shared" si="65"/>
        <v>37153868987</v>
      </c>
      <c r="I192" s="3">
        <f t="shared" si="65"/>
        <v>6687696414</v>
      </c>
      <c r="J192" s="3">
        <f t="shared" si="65"/>
        <v>4411181</v>
      </c>
      <c r="K192" s="3">
        <f t="shared" si="65"/>
        <v>6692107595</v>
      </c>
      <c r="L192" s="3">
        <f t="shared" si="65"/>
        <v>7502795</v>
      </c>
      <c r="M192" s="3">
        <f t="shared" si="65"/>
        <v>633753398</v>
      </c>
      <c r="N192" s="3">
        <f t="shared" si="65"/>
        <v>641256193</v>
      </c>
      <c r="O192" s="3">
        <f t="shared" si="65"/>
        <v>0</v>
      </c>
      <c r="P192" s="3">
        <f t="shared" si="65"/>
        <v>6050851401</v>
      </c>
    </row>
    <row r="193" spans="1:16" x14ac:dyDescent="0.35">
      <c r="A193" t="s">
        <v>266</v>
      </c>
      <c r="B193" t="s">
        <v>267</v>
      </c>
      <c r="C193" s="1">
        <v>37942514923</v>
      </c>
      <c r="D193" s="1">
        <v>754374759</v>
      </c>
      <c r="E193" s="1">
        <v>59458757</v>
      </c>
      <c r="F193" s="1">
        <v>0</v>
      </c>
      <c r="G193" s="1">
        <v>813833516</v>
      </c>
      <c r="H193" s="1">
        <v>37128681407</v>
      </c>
      <c r="I193" s="1">
        <v>6683162649</v>
      </c>
      <c r="J193" s="1">
        <v>4411181</v>
      </c>
      <c r="K193" s="1">
        <v>6687573830</v>
      </c>
      <c r="L193" s="1">
        <v>7502795</v>
      </c>
      <c r="M193" s="1">
        <v>633749569</v>
      </c>
      <c r="N193" s="1">
        <v>641252364</v>
      </c>
      <c r="O193" s="1">
        <v>0</v>
      </c>
      <c r="P193" s="1">
        <v>6046321465</v>
      </c>
    </row>
    <row r="194" spans="1:16" x14ac:dyDescent="0.35">
      <c r="A194" t="s">
        <v>268</v>
      </c>
      <c r="B194" t="s">
        <v>269</v>
      </c>
      <c r="C194" s="1">
        <v>31187580</v>
      </c>
      <c r="D194" s="1">
        <v>6000000</v>
      </c>
      <c r="E194" s="1">
        <v>0</v>
      </c>
      <c r="F194" s="1">
        <v>0</v>
      </c>
      <c r="G194" s="1">
        <v>6000000</v>
      </c>
      <c r="H194" s="1">
        <v>25187580</v>
      </c>
      <c r="I194" s="1">
        <v>4533765</v>
      </c>
      <c r="J194" s="1">
        <v>0</v>
      </c>
      <c r="K194" s="1">
        <v>4533765</v>
      </c>
      <c r="L194" s="1">
        <v>0</v>
      </c>
      <c r="M194" s="1">
        <v>3829</v>
      </c>
      <c r="N194" s="1">
        <v>3829</v>
      </c>
      <c r="O194" s="1">
        <v>0</v>
      </c>
      <c r="P194" s="1">
        <v>4529936</v>
      </c>
    </row>
    <row r="195" spans="1:16" x14ac:dyDescent="0.35">
      <c r="A195" s="2" t="str">
        <f>[1]Sheet3!A278</f>
        <v>P00</v>
      </c>
      <c r="B195" s="2" t="str">
        <f>[1]Sheet3!B278</f>
        <v>Education</v>
      </c>
      <c r="C195" s="3">
        <f>C196+C197+C198+C199+C200</f>
        <v>43149980542</v>
      </c>
      <c r="D195" s="3">
        <f t="shared" ref="D195:P195" si="66">D196+D197+D198+D199+D200</f>
        <v>10870245081</v>
      </c>
      <c r="E195" s="3">
        <f t="shared" si="66"/>
        <v>1130845217</v>
      </c>
      <c r="F195" s="3">
        <f t="shared" si="66"/>
        <v>0</v>
      </c>
      <c r="G195" s="3">
        <f t="shared" si="66"/>
        <v>12001090298</v>
      </c>
      <c r="H195" s="3">
        <f t="shared" si="66"/>
        <v>31148890242</v>
      </c>
      <c r="I195" s="3">
        <f t="shared" si="66"/>
        <v>5606800249</v>
      </c>
      <c r="J195" s="3">
        <f t="shared" si="66"/>
        <v>110766290</v>
      </c>
      <c r="K195" s="3">
        <f t="shared" si="66"/>
        <v>5717566539</v>
      </c>
      <c r="L195" s="3">
        <f t="shared" si="66"/>
        <v>598239059</v>
      </c>
      <c r="M195" s="3">
        <f t="shared" si="66"/>
        <v>3928827035</v>
      </c>
      <c r="N195" s="3">
        <f t="shared" si="66"/>
        <v>4527066094</v>
      </c>
      <c r="O195" s="3">
        <f t="shared" si="66"/>
        <v>74441451</v>
      </c>
      <c r="P195" s="3">
        <f t="shared" si="66"/>
        <v>1116058991</v>
      </c>
    </row>
    <row r="196" spans="1:16" x14ac:dyDescent="0.35">
      <c r="A196" t="s">
        <v>270</v>
      </c>
      <c r="B196" t="s">
        <v>271</v>
      </c>
      <c r="C196" s="1">
        <v>5113517442</v>
      </c>
      <c r="D196" s="1">
        <v>205325805</v>
      </c>
      <c r="E196" s="1">
        <v>0</v>
      </c>
      <c r="F196" s="1">
        <v>0</v>
      </c>
      <c r="G196" s="1">
        <v>205325805</v>
      </c>
      <c r="H196" s="1">
        <v>4908191637</v>
      </c>
      <c r="I196" s="1">
        <v>883474499</v>
      </c>
      <c r="J196" s="1">
        <v>0</v>
      </c>
      <c r="K196" s="1">
        <v>883474499</v>
      </c>
      <c r="L196" s="1">
        <v>11945596</v>
      </c>
      <c r="M196" s="1">
        <v>715011728</v>
      </c>
      <c r="N196" s="1">
        <v>726957324</v>
      </c>
      <c r="O196" s="1">
        <v>0</v>
      </c>
      <c r="P196" s="1">
        <v>156517175</v>
      </c>
    </row>
    <row r="197" spans="1:16" x14ac:dyDescent="0.35">
      <c r="A197" t="s">
        <v>272</v>
      </c>
      <c r="B197" t="s">
        <v>273</v>
      </c>
      <c r="C197" s="1">
        <v>30557922937</v>
      </c>
      <c r="D197" s="1">
        <v>8188683226</v>
      </c>
      <c r="E197" s="1">
        <v>320721133</v>
      </c>
      <c r="F197" s="1">
        <v>0</v>
      </c>
      <c r="G197" s="1">
        <v>8509404359</v>
      </c>
      <c r="H197" s="1">
        <v>22048518576</v>
      </c>
      <c r="I197" s="1">
        <v>3968733341</v>
      </c>
      <c r="J197" s="1">
        <v>834677</v>
      </c>
      <c r="K197" s="1">
        <v>3969568018</v>
      </c>
      <c r="L197" s="1">
        <v>540189591</v>
      </c>
      <c r="M197" s="1">
        <v>2244702130</v>
      </c>
      <c r="N197" s="1">
        <v>2784891721</v>
      </c>
      <c r="O197" s="1">
        <v>0</v>
      </c>
      <c r="P197" s="1">
        <v>1184676295</v>
      </c>
    </row>
    <row r="198" spans="1:16" x14ac:dyDescent="0.35">
      <c r="A198" t="s">
        <v>274</v>
      </c>
      <c r="B198" t="s">
        <v>275</v>
      </c>
      <c r="C198" s="1">
        <v>187053501</v>
      </c>
      <c r="D198" s="1">
        <v>134939318</v>
      </c>
      <c r="E198" s="1">
        <v>0</v>
      </c>
      <c r="F198" s="1">
        <v>0</v>
      </c>
      <c r="G198" s="1">
        <v>134939318</v>
      </c>
      <c r="H198" s="1">
        <v>52114183</v>
      </c>
      <c r="I198" s="1">
        <v>9380554</v>
      </c>
      <c r="J198" s="1">
        <v>35490162</v>
      </c>
      <c r="K198" s="1">
        <v>44870716</v>
      </c>
      <c r="L198" s="1">
        <v>0</v>
      </c>
      <c r="M198" s="1">
        <v>86551603</v>
      </c>
      <c r="N198" s="1">
        <v>86551603</v>
      </c>
      <c r="O198" s="1">
        <v>0</v>
      </c>
      <c r="P198" s="1">
        <v>-41680887</v>
      </c>
    </row>
    <row r="199" spans="1:16" x14ac:dyDescent="0.35">
      <c r="A199" t="s">
        <v>276</v>
      </c>
      <c r="B199" t="s">
        <v>277</v>
      </c>
      <c r="C199" s="1">
        <v>4110877534</v>
      </c>
      <c r="D199" s="1">
        <v>1031918476</v>
      </c>
      <c r="E199" s="1">
        <v>772682616</v>
      </c>
      <c r="F199" s="1">
        <v>0</v>
      </c>
      <c r="G199" s="1">
        <v>1804601092</v>
      </c>
      <c r="H199" s="1">
        <v>2306276442</v>
      </c>
      <c r="I199" s="1">
        <v>415129764</v>
      </c>
      <c r="J199" s="1">
        <v>74441451</v>
      </c>
      <c r="K199" s="1">
        <v>489571215</v>
      </c>
      <c r="L199" s="1">
        <v>7877338</v>
      </c>
      <c r="M199" s="1">
        <v>720361933</v>
      </c>
      <c r="N199" s="1">
        <v>728239271</v>
      </c>
      <c r="O199" s="1">
        <v>74441451</v>
      </c>
      <c r="P199" s="1">
        <v>-313109508</v>
      </c>
    </row>
    <row r="200" spans="1:16" x14ac:dyDescent="0.35">
      <c r="A200" t="s">
        <v>278</v>
      </c>
      <c r="B200" t="s">
        <v>279</v>
      </c>
      <c r="C200" s="1">
        <v>3180609128</v>
      </c>
      <c r="D200" s="1">
        <v>1309378256</v>
      </c>
      <c r="E200" s="1">
        <v>37441468</v>
      </c>
      <c r="F200" s="1">
        <v>0</v>
      </c>
      <c r="G200" s="1">
        <v>1346819724</v>
      </c>
      <c r="H200" s="1">
        <v>1833789404</v>
      </c>
      <c r="I200" s="1">
        <v>330082091</v>
      </c>
      <c r="J200" s="1">
        <v>0</v>
      </c>
      <c r="K200" s="1">
        <v>330082091</v>
      </c>
      <c r="L200" s="1">
        <v>38226534</v>
      </c>
      <c r="M200" s="1">
        <v>162199641</v>
      </c>
      <c r="N200" s="1">
        <v>200426175</v>
      </c>
      <c r="O200" s="1">
        <v>0</v>
      </c>
      <c r="P200" s="1">
        <v>129655916</v>
      </c>
    </row>
    <row r="201" spans="1:16" x14ac:dyDescent="0.35">
      <c r="A201" s="2" t="str">
        <f>[1]Sheet3!A285</f>
        <v>Q01</v>
      </c>
      <c r="B201" s="2" t="str">
        <f>[1]Sheet3!B285</f>
        <v>Human health activities</v>
      </c>
      <c r="C201" s="3">
        <f>C202</f>
        <v>113176069555</v>
      </c>
      <c r="D201" s="3">
        <f t="shared" ref="D201:P201" si="67">D202</f>
        <v>29492192039</v>
      </c>
      <c r="E201" s="3">
        <f t="shared" si="67"/>
        <v>63593533447</v>
      </c>
      <c r="F201" s="3">
        <f t="shared" si="67"/>
        <v>0</v>
      </c>
      <c r="G201" s="3">
        <f t="shared" si="67"/>
        <v>93085725486</v>
      </c>
      <c r="H201" s="3">
        <f t="shared" si="67"/>
        <v>20090344067</v>
      </c>
      <c r="I201" s="3">
        <f t="shared" si="67"/>
        <v>3616261952</v>
      </c>
      <c r="J201" s="3">
        <f t="shared" si="67"/>
        <v>27815589</v>
      </c>
      <c r="K201" s="3">
        <f t="shared" si="67"/>
        <v>3644077541</v>
      </c>
      <c r="L201" s="3">
        <f t="shared" si="67"/>
        <v>154405093</v>
      </c>
      <c r="M201" s="3">
        <f t="shared" si="67"/>
        <v>1358828820</v>
      </c>
      <c r="N201" s="3">
        <f t="shared" si="67"/>
        <v>1513233913</v>
      </c>
      <c r="O201" s="3">
        <f t="shared" si="67"/>
        <v>0</v>
      </c>
      <c r="P201" s="3">
        <f t="shared" si="67"/>
        <v>2130843628</v>
      </c>
    </row>
    <row r="202" spans="1:16" x14ac:dyDescent="0.35">
      <c r="A202" t="s">
        <v>280</v>
      </c>
      <c r="B202" t="s">
        <v>281</v>
      </c>
      <c r="C202" s="1">
        <v>113176069555</v>
      </c>
      <c r="D202" s="1">
        <v>29492192039</v>
      </c>
      <c r="E202" s="1">
        <v>63593533447</v>
      </c>
      <c r="F202" s="1">
        <v>0</v>
      </c>
      <c r="G202" s="1">
        <v>93085725486</v>
      </c>
      <c r="H202" s="1">
        <v>20090344067</v>
      </c>
      <c r="I202" s="1">
        <v>3616261952</v>
      </c>
      <c r="J202" s="1">
        <v>27815589</v>
      </c>
      <c r="K202" s="1">
        <v>3644077541</v>
      </c>
      <c r="L202" s="1">
        <v>154405093</v>
      </c>
      <c r="M202" s="1">
        <v>1358828820</v>
      </c>
      <c r="N202" s="1">
        <v>1513233913</v>
      </c>
      <c r="O202" s="1">
        <v>0</v>
      </c>
      <c r="P202" s="1">
        <v>2130843628</v>
      </c>
    </row>
    <row r="203" spans="1:16" x14ac:dyDescent="0.35">
      <c r="A203" s="2" t="str">
        <f>[1]Sheet3!A287</f>
        <v>Q02</v>
      </c>
      <c r="B203" s="2" t="str">
        <f>[1]Sheet3!B287</f>
        <v>Social work activities</v>
      </c>
      <c r="C203" s="3">
        <f>C204+C205</f>
        <v>817941315</v>
      </c>
      <c r="D203" s="3">
        <f t="shared" ref="D203:P203" si="68">D204+D205</f>
        <v>2721200</v>
      </c>
      <c r="E203" s="3">
        <f t="shared" si="68"/>
        <v>0</v>
      </c>
      <c r="F203" s="3">
        <f t="shared" si="68"/>
        <v>0</v>
      </c>
      <c r="G203" s="3">
        <f t="shared" si="68"/>
        <v>2721200</v>
      </c>
      <c r="H203" s="3">
        <f t="shared" si="68"/>
        <v>815220115</v>
      </c>
      <c r="I203" s="3">
        <f t="shared" si="68"/>
        <v>146739624</v>
      </c>
      <c r="J203" s="3">
        <f t="shared" si="68"/>
        <v>1530200</v>
      </c>
      <c r="K203" s="3">
        <f t="shared" si="68"/>
        <v>148269824</v>
      </c>
      <c r="L203" s="3">
        <f t="shared" si="68"/>
        <v>0</v>
      </c>
      <c r="M203" s="3">
        <f t="shared" si="68"/>
        <v>73428130</v>
      </c>
      <c r="N203" s="3">
        <f t="shared" si="68"/>
        <v>73428130</v>
      </c>
      <c r="O203" s="3">
        <f t="shared" si="68"/>
        <v>0</v>
      </c>
      <c r="P203" s="3">
        <f t="shared" si="68"/>
        <v>74841694</v>
      </c>
    </row>
    <row r="204" spans="1:16" x14ac:dyDescent="0.35">
      <c r="A204" t="s">
        <v>282</v>
      </c>
      <c r="B204" t="s">
        <v>283</v>
      </c>
      <c r="C204" s="1">
        <v>261475319</v>
      </c>
      <c r="D204" s="1">
        <v>13200</v>
      </c>
      <c r="E204" s="1">
        <v>0</v>
      </c>
      <c r="F204" s="1">
        <v>0</v>
      </c>
      <c r="G204" s="1">
        <v>13200</v>
      </c>
      <c r="H204" s="1">
        <v>261462119</v>
      </c>
      <c r="I204" s="1">
        <v>47063182</v>
      </c>
      <c r="J204" s="1">
        <v>0</v>
      </c>
      <c r="K204" s="1">
        <v>47063182</v>
      </c>
      <c r="L204" s="1">
        <v>0</v>
      </c>
      <c r="M204" s="1">
        <v>11019927</v>
      </c>
      <c r="N204" s="1">
        <v>11019927</v>
      </c>
      <c r="O204" s="1">
        <v>0</v>
      </c>
      <c r="P204" s="1">
        <v>36043255</v>
      </c>
    </row>
    <row r="205" spans="1:16" x14ac:dyDescent="0.35">
      <c r="A205" t="s">
        <v>284</v>
      </c>
      <c r="B205" t="s">
        <v>285</v>
      </c>
      <c r="C205" s="1">
        <v>556465996</v>
      </c>
      <c r="D205" s="1">
        <v>2708000</v>
      </c>
      <c r="E205" s="1">
        <v>0</v>
      </c>
      <c r="F205" s="1">
        <v>0</v>
      </c>
      <c r="G205" s="1">
        <v>2708000</v>
      </c>
      <c r="H205" s="1">
        <v>553757996</v>
      </c>
      <c r="I205" s="1">
        <v>99676442</v>
      </c>
      <c r="J205" s="1">
        <v>1530200</v>
      </c>
      <c r="K205" s="1">
        <v>101206642</v>
      </c>
      <c r="L205" s="1">
        <v>0</v>
      </c>
      <c r="M205" s="1">
        <v>62408203</v>
      </c>
      <c r="N205" s="1">
        <v>62408203</v>
      </c>
      <c r="O205" s="1">
        <v>0</v>
      </c>
      <c r="P205" s="1">
        <v>38798439</v>
      </c>
    </row>
    <row r="206" spans="1:16" x14ac:dyDescent="0.35">
      <c r="A206" s="2" t="str">
        <f>[1]Sheet3!A291</f>
        <v>R01</v>
      </c>
      <c r="B206" s="2" t="str">
        <f>[1]Sheet3!B291</f>
        <v>Libraries, archives, museums &amp; other cultural activities</v>
      </c>
      <c r="C206" s="3">
        <f>C207+C208</f>
        <v>1080000</v>
      </c>
      <c r="D206" s="3">
        <f t="shared" ref="D206:P206" si="69">D207+D208</f>
        <v>1080000</v>
      </c>
      <c r="E206" s="3">
        <f t="shared" si="69"/>
        <v>0</v>
      </c>
      <c r="F206" s="3">
        <f t="shared" si="69"/>
        <v>0</v>
      </c>
      <c r="G206" s="3">
        <f t="shared" si="69"/>
        <v>1080000</v>
      </c>
      <c r="H206" s="3">
        <f t="shared" si="69"/>
        <v>0</v>
      </c>
      <c r="I206" s="3">
        <f t="shared" si="69"/>
        <v>0</v>
      </c>
      <c r="J206" s="3">
        <f t="shared" si="69"/>
        <v>0</v>
      </c>
      <c r="K206" s="3">
        <f t="shared" si="69"/>
        <v>0</v>
      </c>
      <c r="L206" s="3">
        <f t="shared" si="69"/>
        <v>0</v>
      </c>
      <c r="M206" s="3">
        <f t="shared" si="69"/>
        <v>5797</v>
      </c>
      <c r="N206" s="3">
        <f t="shared" si="69"/>
        <v>5797</v>
      </c>
      <c r="O206" s="3">
        <f t="shared" si="69"/>
        <v>0</v>
      </c>
      <c r="P206" s="3">
        <f t="shared" si="69"/>
        <v>-5797</v>
      </c>
    </row>
    <row r="207" spans="1:16" x14ac:dyDescent="0.35">
      <c r="A207" t="s">
        <v>286</v>
      </c>
      <c r="B207" t="s">
        <v>287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 x14ac:dyDescent="0.35">
      <c r="A208" t="s">
        <v>288</v>
      </c>
      <c r="B208" t="s">
        <v>289</v>
      </c>
      <c r="C208" s="1">
        <v>1080000</v>
      </c>
      <c r="D208" s="1">
        <v>1080000</v>
      </c>
      <c r="E208" s="1">
        <v>0</v>
      </c>
      <c r="F208" s="1">
        <v>0</v>
      </c>
      <c r="G208" s="1">
        <v>1080000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5797</v>
      </c>
      <c r="N208" s="1">
        <v>5797</v>
      </c>
      <c r="O208" s="1">
        <v>0</v>
      </c>
      <c r="P208" s="1">
        <v>-5797</v>
      </c>
    </row>
    <row r="209" spans="1:16" x14ac:dyDescent="0.35">
      <c r="A209" s="2" t="str">
        <f>[1]Sheet3!A294</f>
        <v>R09</v>
      </c>
      <c r="B209" s="2" t="str">
        <f>[1]Sheet3!B294</f>
        <v>Other arts, entertainment &amp; recreation</v>
      </c>
      <c r="C209" s="3">
        <f>C210+C211+C212</f>
        <v>81212073365</v>
      </c>
      <c r="D209" s="3">
        <f t="shared" ref="D209:P209" si="70">D210+D211+D212</f>
        <v>4381276774</v>
      </c>
      <c r="E209" s="3">
        <f t="shared" si="70"/>
        <v>2073379199</v>
      </c>
      <c r="F209" s="3">
        <f t="shared" si="70"/>
        <v>0</v>
      </c>
      <c r="G209" s="3">
        <f t="shared" si="70"/>
        <v>6454655973</v>
      </c>
      <c r="H209" s="3">
        <f t="shared" si="70"/>
        <v>74757417392</v>
      </c>
      <c r="I209" s="3">
        <f t="shared" si="70"/>
        <v>13456335146</v>
      </c>
      <c r="J209" s="3">
        <f t="shared" si="70"/>
        <v>507199500</v>
      </c>
      <c r="K209" s="3">
        <f t="shared" si="70"/>
        <v>13963534646</v>
      </c>
      <c r="L209" s="3">
        <f t="shared" si="70"/>
        <v>763645163</v>
      </c>
      <c r="M209" s="3">
        <f t="shared" si="70"/>
        <v>2176266891</v>
      </c>
      <c r="N209" s="3">
        <f t="shared" si="70"/>
        <v>2939912054</v>
      </c>
      <c r="O209" s="3">
        <f t="shared" si="70"/>
        <v>432656182</v>
      </c>
      <c r="P209" s="3">
        <f t="shared" si="70"/>
        <v>10590966407</v>
      </c>
    </row>
    <row r="210" spans="1:16" x14ac:dyDescent="0.35">
      <c r="A210" t="s">
        <v>290</v>
      </c>
      <c r="B210" t="s">
        <v>291</v>
      </c>
      <c r="C210" s="1">
        <v>13528067143</v>
      </c>
      <c r="D210" s="1">
        <v>978350291</v>
      </c>
      <c r="E210" s="1">
        <v>39536760</v>
      </c>
      <c r="F210" s="1">
        <v>0</v>
      </c>
      <c r="G210" s="1">
        <v>1017887051</v>
      </c>
      <c r="H210" s="1">
        <v>12510180092</v>
      </c>
      <c r="I210" s="1">
        <v>2251832423</v>
      </c>
      <c r="J210" s="1">
        <v>60170756</v>
      </c>
      <c r="K210" s="1">
        <v>2312003179</v>
      </c>
      <c r="L210" s="1">
        <v>29942598</v>
      </c>
      <c r="M210" s="1">
        <v>930409185</v>
      </c>
      <c r="N210" s="1">
        <v>960351783</v>
      </c>
      <c r="O210" s="1">
        <v>0</v>
      </c>
      <c r="P210" s="1">
        <v>1351651395</v>
      </c>
    </row>
    <row r="211" spans="1:16" x14ac:dyDescent="0.35">
      <c r="A211" t="s">
        <v>292</v>
      </c>
      <c r="B211" t="s">
        <v>293</v>
      </c>
      <c r="C211" s="1">
        <v>64335094040</v>
      </c>
      <c r="D211" s="1">
        <v>1861996393</v>
      </c>
      <c r="E211" s="1">
        <v>2033842439</v>
      </c>
      <c r="F211" s="1">
        <v>0</v>
      </c>
      <c r="G211" s="1">
        <v>3895838832</v>
      </c>
      <c r="H211" s="1">
        <v>60439255208</v>
      </c>
      <c r="I211" s="1">
        <v>10879065941</v>
      </c>
      <c r="J211" s="1">
        <v>425970726</v>
      </c>
      <c r="K211" s="1">
        <v>11305036667</v>
      </c>
      <c r="L211" s="1">
        <v>676068846</v>
      </c>
      <c r="M211" s="1">
        <v>999732406</v>
      </c>
      <c r="N211" s="1">
        <v>1675801252</v>
      </c>
      <c r="O211" s="1">
        <v>417449977</v>
      </c>
      <c r="P211" s="1">
        <v>9211785438</v>
      </c>
    </row>
    <row r="212" spans="1:16" x14ac:dyDescent="0.35">
      <c r="A212" t="s">
        <v>294</v>
      </c>
      <c r="B212" t="s">
        <v>295</v>
      </c>
      <c r="C212" s="1">
        <v>3348912182</v>
      </c>
      <c r="D212" s="1">
        <v>1540930090</v>
      </c>
      <c r="E212" s="1">
        <v>0</v>
      </c>
      <c r="F212" s="1">
        <v>0</v>
      </c>
      <c r="G212" s="1">
        <v>1540930090</v>
      </c>
      <c r="H212" s="1">
        <v>1807982092</v>
      </c>
      <c r="I212" s="1">
        <v>325436782</v>
      </c>
      <c r="J212" s="1">
        <v>21058018</v>
      </c>
      <c r="K212" s="1">
        <v>346494800</v>
      </c>
      <c r="L212" s="1">
        <v>57633719</v>
      </c>
      <c r="M212" s="1">
        <v>246125300</v>
      </c>
      <c r="N212" s="1">
        <v>303759019</v>
      </c>
      <c r="O212" s="1">
        <v>15206205</v>
      </c>
      <c r="P212" s="1">
        <v>27529574</v>
      </c>
    </row>
    <row r="213" spans="1:16" x14ac:dyDescent="0.35">
      <c r="A213" s="2" t="str">
        <f>[1]Sheet3!A299</f>
        <v>S00</v>
      </c>
      <c r="B213" s="2" t="str">
        <f>[1]Sheet3!B299</f>
        <v>Other service activities</v>
      </c>
      <c r="C213" s="3">
        <f>C214+C215+C216+C217</f>
        <v>181657103152</v>
      </c>
      <c r="D213" s="3">
        <f t="shared" ref="D213:P213" si="71">D214+D215+D216+D217</f>
        <v>31738382172</v>
      </c>
      <c r="E213" s="3">
        <f t="shared" si="71"/>
        <v>2049936299</v>
      </c>
      <c r="F213" s="3">
        <f t="shared" si="71"/>
        <v>0</v>
      </c>
      <c r="G213" s="3">
        <f t="shared" si="71"/>
        <v>33788318471</v>
      </c>
      <c r="H213" s="3">
        <f t="shared" si="71"/>
        <v>147868784680</v>
      </c>
      <c r="I213" s="3">
        <f t="shared" si="71"/>
        <v>26616381292</v>
      </c>
      <c r="J213" s="3">
        <f t="shared" si="71"/>
        <v>64132929</v>
      </c>
      <c r="K213" s="3">
        <f t="shared" si="71"/>
        <v>26680514221</v>
      </c>
      <c r="L213" s="3">
        <f t="shared" si="71"/>
        <v>5763569218</v>
      </c>
      <c r="M213" s="3">
        <f t="shared" si="71"/>
        <v>13807787490</v>
      </c>
      <c r="N213" s="3">
        <f t="shared" si="71"/>
        <v>19571356708</v>
      </c>
      <c r="O213" s="3">
        <f t="shared" si="71"/>
        <v>246060</v>
      </c>
      <c r="P213" s="3">
        <f t="shared" si="71"/>
        <v>7108911427</v>
      </c>
    </row>
    <row r="214" spans="1:16" x14ac:dyDescent="0.35">
      <c r="A214" t="s">
        <v>296</v>
      </c>
      <c r="B214" t="s">
        <v>297</v>
      </c>
      <c r="C214" s="1">
        <v>121843624397</v>
      </c>
      <c r="D214" s="1">
        <v>22214560875</v>
      </c>
      <c r="E214" s="1">
        <v>1679754873</v>
      </c>
      <c r="F214" s="1">
        <v>0</v>
      </c>
      <c r="G214" s="1">
        <v>23894315748</v>
      </c>
      <c r="H214" s="1">
        <v>97949308648</v>
      </c>
      <c r="I214" s="1">
        <v>17630875606</v>
      </c>
      <c r="J214" s="1">
        <v>56926300</v>
      </c>
      <c r="K214" s="1">
        <v>17687801906</v>
      </c>
      <c r="L214" s="1">
        <v>5133577182</v>
      </c>
      <c r="M214" s="1">
        <v>8308579983</v>
      </c>
      <c r="N214" s="1">
        <v>13442157165</v>
      </c>
      <c r="O214" s="1">
        <v>0</v>
      </c>
      <c r="P214" s="1">
        <v>4245644730</v>
      </c>
    </row>
    <row r="215" spans="1:16" x14ac:dyDescent="0.35">
      <c r="A215" t="s">
        <v>298</v>
      </c>
      <c r="B215" t="s">
        <v>299</v>
      </c>
      <c r="C215" s="1">
        <v>24139127735</v>
      </c>
      <c r="D215" s="1">
        <v>7138655606</v>
      </c>
      <c r="E215" s="1">
        <v>59001641</v>
      </c>
      <c r="F215" s="1">
        <v>0</v>
      </c>
      <c r="G215" s="1">
        <v>7197657247</v>
      </c>
      <c r="H215" s="1">
        <v>16941470488</v>
      </c>
      <c r="I215" s="1">
        <v>3049464683</v>
      </c>
      <c r="J215" s="1">
        <v>6714179</v>
      </c>
      <c r="K215" s="1">
        <v>3056178862</v>
      </c>
      <c r="L215" s="1">
        <v>354230789</v>
      </c>
      <c r="M215" s="1">
        <v>853254456</v>
      </c>
      <c r="N215" s="1">
        <v>1207485245</v>
      </c>
      <c r="O215" s="1">
        <v>0</v>
      </c>
      <c r="P215" s="1">
        <v>1848693611</v>
      </c>
    </row>
    <row r="216" spans="1:16" x14ac:dyDescent="0.35">
      <c r="A216" t="s">
        <v>300</v>
      </c>
      <c r="B216" t="s">
        <v>301</v>
      </c>
      <c r="C216" s="1">
        <v>679601438</v>
      </c>
      <c r="D216" s="1">
        <v>20331990</v>
      </c>
      <c r="E216" s="1">
        <v>178920</v>
      </c>
      <c r="F216" s="1">
        <v>0</v>
      </c>
      <c r="G216" s="1">
        <v>20510910</v>
      </c>
      <c r="H216" s="1">
        <v>659090528</v>
      </c>
      <c r="I216" s="1">
        <v>118636292</v>
      </c>
      <c r="J216" s="1">
        <v>0</v>
      </c>
      <c r="K216" s="1">
        <v>118636292</v>
      </c>
      <c r="L216" s="1">
        <v>56340052</v>
      </c>
      <c r="M216" s="1">
        <v>77615385</v>
      </c>
      <c r="N216" s="1">
        <v>133955437</v>
      </c>
      <c r="O216" s="1">
        <v>0</v>
      </c>
      <c r="P216" s="1">
        <v>-15319145</v>
      </c>
    </row>
    <row r="217" spans="1:16" x14ac:dyDescent="0.35">
      <c r="A217" t="s">
        <v>302</v>
      </c>
      <c r="B217" t="s">
        <v>303</v>
      </c>
      <c r="C217" s="1">
        <v>34994749582</v>
      </c>
      <c r="D217" s="1">
        <v>2364833701</v>
      </c>
      <c r="E217" s="1">
        <v>311000865</v>
      </c>
      <c r="F217" s="1">
        <v>0</v>
      </c>
      <c r="G217" s="1">
        <v>2675834566</v>
      </c>
      <c r="H217" s="1">
        <v>32318915016</v>
      </c>
      <c r="I217" s="1">
        <v>5817404711</v>
      </c>
      <c r="J217" s="1">
        <v>492450</v>
      </c>
      <c r="K217" s="1">
        <v>5817897161</v>
      </c>
      <c r="L217" s="1">
        <v>219421195</v>
      </c>
      <c r="M217" s="1">
        <v>4568337666</v>
      </c>
      <c r="N217" s="1">
        <v>4787758861</v>
      </c>
      <c r="O217" s="1">
        <v>246060</v>
      </c>
      <c r="P217" s="1">
        <v>1029892231</v>
      </c>
    </row>
    <row r="218" spans="1:16" x14ac:dyDescent="0.35">
      <c r="A218" s="2" t="str">
        <f>[1]Sheet3!A305</f>
        <v>T00</v>
      </c>
      <c r="B218" s="2" t="str">
        <f>[1]Sheet3!B305</f>
        <v>Domestic services</v>
      </c>
      <c r="C218" s="3">
        <f>C219</f>
        <v>985979590</v>
      </c>
      <c r="D218" s="3">
        <f t="shared" ref="D218:P218" si="72">D219</f>
        <v>471818049</v>
      </c>
      <c r="E218" s="3">
        <f t="shared" si="72"/>
        <v>0</v>
      </c>
      <c r="F218" s="3">
        <f t="shared" si="72"/>
        <v>0</v>
      </c>
      <c r="G218" s="3">
        <f t="shared" si="72"/>
        <v>471818049</v>
      </c>
      <c r="H218" s="3">
        <f t="shared" si="72"/>
        <v>514161541</v>
      </c>
      <c r="I218" s="3">
        <f t="shared" si="72"/>
        <v>92549079</v>
      </c>
      <c r="J218" s="3">
        <f t="shared" si="72"/>
        <v>0</v>
      </c>
      <c r="K218" s="3">
        <f t="shared" si="72"/>
        <v>92549079</v>
      </c>
      <c r="L218" s="3">
        <f t="shared" si="72"/>
        <v>85941</v>
      </c>
      <c r="M218" s="3">
        <f t="shared" si="72"/>
        <v>45166574</v>
      </c>
      <c r="N218" s="3">
        <f t="shared" si="72"/>
        <v>45252515</v>
      </c>
      <c r="O218" s="3">
        <f t="shared" si="72"/>
        <v>0</v>
      </c>
      <c r="P218" s="3">
        <f t="shared" si="72"/>
        <v>47296564</v>
      </c>
    </row>
    <row r="219" spans="1:16" x14ac:dyDescent="0.35">
      <c r="A219" t="s">
        <v>304</v>
      </c>
      <c r="B219" t="s">
        <v>305</v>
      </c>
      <c r="C219" s="1">
        <v>985979590</v>
      </c>
      <c r="D219" s="1">
        <v>471818049</v>
      </c>
      <c r="E219" s="1">
        <v>0</v>
      </c>
      <c r="F219" s="1">
        <v>0</v>
      </c>
      <c r="G219" s="1">
        <v>471818049</v>
      </c>
      <c r="H219" s="1">
        <v>514161541</v>
      </c>
      <c r="I219" s="1">
        <v>92549079</v>
      </c>
      <c r="J219" s="1">
        <v>0</v>
      </c>
      <c r="K219" s="1">
        <v>92549079</v>
      </c>
      <c r="L219" s="1">
        <v>85941</v>
      </c>
      <c r="M219" s="1">
        <v>45166574</v>
      </c>
      <c r="N219" s="1">
        <v>45252515</v>
      </c>
      <c r="O219" s="1">
        <v>0</v>
      </c>
      <c r="P219" s="1">
        <v>47296564</v>
      </c>
    </row>
    <row r="220" spans="1:16" x14ac:dyDescent="0.35">
      <c r="A220" s="2" t="str">
        <f>[1]Sheet3!A308</f>
        <v>V00</v>
      </c>
      <c r="B220" s="2" t="str">
        <f>[1]Sheet3!B308</f>
        <v>Travel debits &amp; credits</v>
      </c>
      <c r="C220" s="3">
        <f>C221</f>
        <v>4069379481</v>
      </c>
      <c r="D220" s="3">
        <f t="shared" ref="D220:P220" si="73">D221</f>
        <v>999152844</v>
      </c>
      <c r="E220" s="3">
        <f t="shared" si="73"/>
        <v>201994157</v>
      </c>
      <c r="F220" s="3">
        <f t="shared" si="73"/>
        <v>0</v>
      </c>
      <c r="G220" s="3">
        <f t="shared" si="73"/>
        <v>1201147001</v>
      </c>
      <c r="H220" s="3">
        <f t="shared" si="73"/>
        <v>2868232480</v>
      </c>
      <c r="I220" s="3">
        <f t="shared" si="73"/>
        <v>516281849</v>
      </c>
      <c r="J220" s="3">
        <f t="shared" si="73"/>
        <v>0</v>
      </c>
      <c r="K220" s="3">
        <f t="shared" si="73"/>
        <v>516281849</v>
      </c>
      <c r="L220" s="3">
        <f t="shared" si="73"/>
        <v>6891120</v>
      </c>
      <c r="M220" s="3">
        <f t="shared" si="73"/>
        <v>443240005</v>
      </c>
      <c r="N220" s="3">
        <f t="shared" si="73"/>
        <v>450131125</v>
      </c>
      <c r="O220" s="3">
        <f t="shared" si="73"/>
        <v>0</v>
      </c>
      <c r="P220" s="3">
        <f t="shared" si="73"/>
        <v>66150724</v>
      </c>
    </row>
    <row r="221" spans="1:16" x14ac:dyDescent="0.35">
      <c r="A221" t="s">
        <v>306</v>
      </c>
      <c r="B221" t="s">
        <v>307</v>
      </c>
      <c r="C221" s="1">
        <v>4069379481</v>
      </c>
      <c r="D221" s="1">
        <v>999152844</v>
      </c>
      <c r="E221" s="1">
        <v>201994157</v>
      </c>
      <c r="F221" s="1">
        <v>0</v>
      </c>
      <c r="G221" s="1">
        <v>1201147001</v>
      </c>
      <c r="H221" s="1">
        <v>2868232480</v>
      </c>
      <c r="I221" s="1">
        <v>516281849</v>
      </c>
      <c r="J221" s="1">
        <v>0</v>
      </c>
      <c r="K221" s="1">
        <v>516281849</v>
      </c>
      <c r="L221" s="1">
        <v>6891120</v>
      </c>
      <c r="M221" s="1">
        <v>443240005</v>
      </c>
      <c r="N221" s="1">
        <v>450131125</v>
      </c>
      <c r="O221" s="1">
        <v>0</v>
      </c>
      <c r="P221" s="1">
        <v>66150724</v>
      </c>
    </row>
    <row r="222" spans="1:16" x14ac:dyDescent="0.35">
      <c r="A222" s="2" t="str">
        <f>[1]Sheet3!A312</f>
        <v>X00</v>
      </c>
      <c r="B222" s="2" t="str">
        <f>[1]Sheet3!B312</f>
        <v>Unallocated products</v>
      </c>
      <c r="C222" s="3">
        <f>C223</f>
        <v>1181655293933</v>
      </c>
      <c r="D222" s="3">
        <f t="shared" ref="D222:P222" si="74">D223</f>
        <v>164813057665</v>
      </c>
      <c r="E222" s="3">
        <f t="shared" si="74"/>
        <v>124418567308</v>
      </c>
      <c r="F222" s="3">
        <f t="shared" si="74"/>
        <v>39049312411</v>
      </c>
      <c r="G222" s="3">
        <f t="shared" si="74"/>
        <v>328280937384</v>
      </c>
      <c r="H222" s="3">
        <f t="shared" si="74"/>
        <v>853374356551</v>
      </c>
      <c r="I222" s="3">
        <f t="shared" si="74"/>
        <v>153607384360</v>
      </c>
      <c r="J222" s="3">
        <f t="shared" si="74"/>
        <v>816742498</v>
      </c>
      <c r="K222" s="3">
        <f t="shared" si="74"/>
        <v>154424126858</v>
      </c>
      <c r="L222" s="3">
        <f t="shared" si="74"/>
        <v>30402450866</v>
      </c>
      <c r="M222" s="3">
        <f t="shared" si="74"/>
        <v>94755607045</v>
      </c>
      <c r="N222" s="3">
        <f t="shared" si="74"/>
        <v>125158057911</v>
      </c>
      <c r="O222" s="3">
        <f t="shared" si="74"/>
        <v>16496948</v>
      </c>
      <c r="P222" s="3">
        <f t="shared" si="74"/>
        <v>29249571916</v>
      </c>
    </row>
    <row r="223" spans="1:16" x14ac:dyDescent="0.35">
      <c r="A223" t="s">
        <v>308</v>
      </c>
      <c r="B223" t="s">
        <v>309</v>
      </c>
      <c r="C223" s="1">
        <v>1181655293933</v>
      </c>
      <c r="D223" s="1">
        <v>164813057665</v>
      </c>
      <c r="E223" s="1">
        <v>124418567308</v>
      </c>
      <c r="F223" s="1">
        <v>39049312411</v>
      </c>
      <c r="G223" s="1">
        <v>328280937384</v>
      </c>
      <c r="H223" s="1">
        <v>853374356551</v>
      </c>
      <c r="I223" s="1">
        <v>153607384360</v>
      </c>
      <c r="J223" s="1">
        <v>816742498</v>
      </c>
      <c r="K223" s="1">
        <v>154424126858</v>
      </c>
      <c r="L223" s="1">
        <v>30402450866</v>
      </c>
      <c r="M223" s="1">
        <v>94755607045</v>
      </c>
      <c r="N223" s="1">
        <v>125158057911</v>
      </c>
      <c r="O223" s="1">
        <v>16496948</v>
      </c>
      <c r="P223" s="1">
        <v>29249571916</v>
      </c>
    </row>
    <row r="224" spans="1:16" x14ac:dyDescent="0.35">
      <c r="C224" s="6">
        <f t="shared" ref="C224:P224" si="75">C222+C220+C218+C213+C209+C206+C203+C201+C195+C192+C187+C185+C180+C178+C174+C172+C170+C168+C165+C163+C161+C157+C154+C152+C150+C147+C144++C136+C129+C127+C125+C120+C118+C116+C114+C112+C108+C106+C102+C93+C89+C87+C84+C82+C79+C77+C72+C70+C68+C64+C60+C56+C58+C53+C50+C48+C46+C43+C41+C39+C37+C35+C33+C30+C28+C26+C24+C22+C20+C15+C11+C9+C7+C5+C2</f>
        <v>12038190683314</v>
      </c>
      <c r="D224" s="6">
        <f t="shared" si="75"/>
        <v>4027264352764</v>
      </c>
      <c r="E224" s="6">
        <f t="shared" si="75"/>
        <v>1056263482642</v>
      </c>
      <c r="F224" s="6">
        <f t="shared" si="75"/>
        <v>238313653613</v>
      </c>
      <c r="G224" s="6">
        <f t="shared" si="75"/>
        <v>5321841489017</v>
      </c>
      <c r="H224" s="6">
        <f t="shared" si="75"/>
        <v>6716349193535</v>
      </c>
      <c r="I224" s="6">
        <f t="shared" si="75"/>
        <v>1208942856557</v>
      </c>
      <c r="J224" s="6">
        <f t="shared" si="75"/>
        <v>13019324157</v>
      </c>
      <c r="K224" s="6">
        <f t="shared" si="75"/>
        <v>1221962180523</v>
      </c>
      <c r="L224" s="6">
        <f t="shared" si="75"/>
        <v>207429584960</v>
      </c>
      <c r="M224" s="6">
        <f t="shared" si="75"/>
        <v>599897954981</v>
      </c>
      <c r="N224" s="6">
        <f t="shared" si="75"/>
        <v>807327539941</v>
      </c>
      <c r="O224" s="6">
        <f t="shared" si="75"/>
        <v>4158418003</v>
      </c>
      <c r="P224" s="6">
        <f t="shared" si="75"/>
        <v>410476222061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2DF3-C6C2-45B2-BA48-C25AE65695AA}">
  <dimension ref="A1:Q226"/>
  <sheetViews>
    <sheetView tabSelected="1" topLeftCell="J1" workbookViewId="0">
      <pane ySplit="1" topLeftCell="A32" activePane="bottomLeft" state="frozen"/>
      <selection pane="bottomLeft" activeCell="M164" sqref="M164"/>
    </sheetView>
  </sheetViews>
  <sheetFormatPr defaultRowHeight="14.5" x14ac:dyDescent="0.35"/>
  <cols>
    <col min="2" max="2" width="18.08984375" customWidth="1"/>
    <col min="3" max="3" width="26.7265625" customWidth="1"/>
    <col min="4" max="5" width="17.08984375" bestFit="1" customWidth="1"/>
    <col min="6" max="6" width="15.54296875" bestFit="1" customWidth="1"/>
    <col min="7" max="7" width="30.54296875" customWidth="1"/>
    <col min="8" max="8" width="17.08984375" bestFit="1" customWidth="1"/>
    <col min="9" max="9" width="35" customWidth="1"/>
    <col min="10" max="10" width="23.26953125" customWidth="1"/>
    <col min="11" max="11" width="37.54296875" customWidth="1"/>
    <col min="12" max="12" width="22.90625" customWidth="1"/>
    <col min="13" max="13" width="39.1796875" customWidth="1"/>
    <col min="14" max="14" width="31.54296875" customWidth="1"/>
    <col min="15" max="15" width="28.6328125" customWidth="1"/>
    <col min="16" max="16" width="36" customWidth="1"/>
    <col min="17" max="16384" width="8.7265625" style="10"/>
  </cols>
  <sheetData>
    <row r="1" spans="1:16" s="8" customFormat="1" ht="60" customHeight="1" x14ac:dyDescent="0.35">
      <c r="A1" s="7" t="s">
        <v>0</v>
      </c>
      <c r="B1" s="7" t="s">
        <v>1</v>
      </c>
      <c r="C1" s="7" t="s">
        <v>310</v>
      </c>
      <c r="D1" s="7" t="s">
        <v>3</v>
      </c>
      <c r="E1" s="7" t="s">
        <v>311</v>
      </c>
      <c r="F1" s="7" t="s">
        <v>5</v>
      </c>
      <c r="G1" s="7" t="s">
        <v>312</v>
      </c>
      <c r="H1" s="7" t="s">
        <v>313</v>
      </c>
      <c r="I1" s="7" t="s">
        <v>314</v>
      </c>
      <c r="J1" s="7" t="s">
        <v>315</v>
      </c>
      <c r="K1" s="7" t="s">
        <v>316</v>
      </c>
      <c r="L1" s="7" t="s">
        <v>317</v>
      </c>
      <c r="M1" s="7" t="s">
        <v>318</v>
      </c>
      <c r="N1" s="7" t="s">
        <v>319</v>
      </c>
      <c r="O1" s="7" t="s">
        <v>320</v>
      </c>
      <c r="P1" s="7" t="s">
        <v>321</v>
      </c>
    </row>
    <row r="2" spans="1:16" s="8" customFormat="1" ht="14" customHeight="1" x14ac:dyDescent="0.35">
      <c r="A2" s="9" t="str">
        <f>[2]RCPA2!$A$3</f>
        <v>A11</v>
      </c>
      <c r="B2" s="9" t="str">
        <f>[2]RCPA2!$C$3</f>
        <v>Cereals</v>
      </c>
      <c r="C2" s="9">
        <f>C3+C4</f>
        <v>17116585664</v>
      </c>
      <c r="D2" s="9">
        <f t="shared" ref="D2:P2" si="0">D3+D4</f>
        <v>10602118790</v>
      </c>
      <c r="E2" s="9">
        <f t="shared" si="0"/>
        <v>969078138</v>
      </c>
      <c r="F2" s="9">
        <f t="shared" si="0"/>
        <v>0</v>
      </c>
      <c r="G2" s="9">
        <f t="shared" si="0"/>
        <v>11571196928</v>
      </c>
      <c r="H2" s="9">
        <f t="shared" si="0"/>
        <v>5545388736</v>
      </c>
      <c r="I2" s="9">
        <f t="shared" si="0"/>
        <v>998169979</v>
      </c>
      <c r="J2" s="9">
        <f t="shared" si="0"/>
        <v>0</v>
      </c>
      <c r="K2" s="9">
        <f t="shared" si="0"/>
        <v>998169979</v>
      </c>
      <c r="L2" s="9">
        <f t="shared" si="0"/>
        <v>19459711</v>
      </c>
      <c r="M2" s="9">
        <f t="shared" si="0"/>
        <v>1054598295</v>
      </c>
      <c r="N2" s="9">
        <f t="shared" si="0"/>
        <v>1074058006</v>
      </c>
      <c r="O2" s="9">
        <f t="shared" si="0"/>
        <v>0</v>
      </c>
      <c r="P2" s="9">
        <f t="shared" si="0"/>
        <v>-75888027</v>
      </c>
    </row>
    <row r="3" spans="1:16" x14ac:dyDescent="0.35">
      <c r="A3" t="s">
        <v>16</v>
      </c>
      <c r="B3" t="s">
        <v>17</v>
      </c>
      <c r="C3">
        <v>17081218641</v>
      </c>
      <c r="D3">
        <v>10588497193</v>
      </c>
      <c r="E3">
        <v>969078138</v>
      </c>
      <c r="F3">
        <v>0</v>
      </c>
      <c r="G3">
        <v>11557575331</v>
      </c>
      <c r="H3">
        <v>5523643310</v>
      </c>
      <c r="I3">
        <v>994255802</v>
      </c>
      <c r="J3">
        <v>0</v>
      </c>
      <c r="K3">
        <v>994255802</v>
      </c>
      <c r="L3">
        <v>19459711</v>
      </c>
      <c r="M3">
        <v>1053847269</v>
      </c>
      <c r="N3">
        <v>1073306980</v>
      </c>
      <c r="O3">
        <v>0</v>
      </c>
      <c r="P3">
        <v>-79051178</v>
      </c>
    </row>
    <row r="4" spans="1:16" x14ac:dyDescent="0.35">
      <c r="A4" t="s">
        <v>18</v>
      </c>
      <c r="B4" t="s">
        <v>19</v>
      </c>
      <c r="C4">
        <v>35367023</v>
      </c>
      <c r="D4">
        <v>13621597</v>
      </c>
      <c r="E4">
        <v>0</v>
      </c>
      <c r="F4">
        <v>0</v>
      </c>
      <c r="G4">
        <v>13621597</v>
      </c>
      <c r="H4">
        <v>21745426</v>
      </c>
      <c r="I4">
        <v>3914177</v>
      </c>
      <c r="J4">
        <v>0</v>
      </c>
      <c r="K4">
        <v>3914177</v>
      </c>
      <c r="L4">
        <v>0</v>
      </c>
      <c r="M4">
        <v>751026</v>
      </c>
      <c r="N4">
        <v>751026</v>
      </c>
      <c r="O4">
        <v>0</v>
      </c>
      <c r="P4">
        <v>3163151</v>
      </c>
    </row>
    <row r="5" spans="1:16" x14ac:dyDescent="0.35">
      <c r="A5" s="2" t="str">
        <f>[2]RCPA2!$A$14</f>
        <v>A13</v>
      </c>
      <c r="B5" s="2" t="str">
        <f>[2]RCPA2!$C$14</f>
        <v>Vegetables</v>
      </c>
      <c r="C5" s="2">
        <f>C6</f>
        <v>12388948318</v>
      </c>
      <c r="D5" s="2">
        <f t="shared" ref="D5:P5" si="1">D6</f>
        <v>1613267729</v>
      </c>
      <c r="E5" s="2">
        <f t="shared" si="1"/>
        <v>8611224224</v>
      </c>
      <c r="F5" s="2">
        <f t="shared" si="1"/>
        <v>1851996319</v>
      </c>
      <c r="G5" s="2">
        <f t="shared" si="1"/>
        <v>12076488272</v>
      </c>
      <c r="H5" s="2">
        <f t="shared" si="1"/>
        <v>312460045</v>
      </c>
      <c r="I5" s="2">
        <f t="shared" si="1"/>
        <v>56242803</v>
      </c>
      <c r="J5" s="2">
        <f t="shared" si="1"/>
        <v>0</v>
      </c>
      <c r="K5" s="2">
        <f t="shared" si="1"/>
        <v>56242803</v>
      </c>
      <c r="L5" s="2">
        <f t="shared" si="1"/>
        <v>127659</v>
      </c>
      <c r="M5" s="2">
        <f t="shared" si="1"/>
        <v>93982901</v>
      </c>
      <c r="N5" s="2">
        <f t="shared" si="1"/>
        <v>94110560</v>
      </c>
      <c r="O5" s="2">
        <f t="shared" si="1"/>
        <v>0</v>
      </c>
      <c r="P5" s="2">
        <f t="shared" si="1"/>
        <v>-37867757</v>
      </c>
    </row>
    <row r="6" spans="1:16" x14ac:dyDescent="0.35">
      <c r="A6" t="s">
        <v>20</v>
      </c>
      <c r="B6" t="s">
        <v>21</v>
      </c>
      <c r="C6">
        <v>12388948318</v>
      </c>
      <c r="D6">
        <v>1613267729</v>
      </c>
      <c r="E6">
        <v>8611224224</v>
      </c>
      <c r="F6">
        <v>1851996319</v>
      </c>
      <c r="G6">
        <v>12076488272</v>
      </c>
      <c r="H6">
        <v>312460045</v>
      </c>
      <c r="I6">
        <v>56242803</v>
      </c>
      <c r="J6">
        <v>0</v>
      </c>
      <c r="K6">
        <v>56242803</v>
      </c>
      <c r="L6">
        <v>127659</v>
      </c>
      <c r="M6">
        <v>93982901</v>
      </c>
      <c r="N6">
        <v>94110560</v>
      </c>
      <c r="O6">
        <v>0</v>
      </c>
      <c r="P6">
        <v>-37867757</v>
      </c>
    </row>
    <row r="7" spans="1:16" x14ac:dyDescent="0.35">
      <c r="A7" s="2" t="str">
        <f>[2]RCPA2!$A$18</f>
        <v>A14</v>
      </c>
      <c r="B7" s="2" t="str">
        <f>[2]RCPA2!$C$18</f>
        <v>Bananas &amp; fruit</v>
      </c>
      <c r="C7" s="2">
        <f>C8</f>
        <v>3755341958</v>
      </c>
      <c r="D7" s="2">
        <f t="shared" ref="D7:P7" si="2">D8</f>
        <v>2891940791</v>
      </c>
      <c r="E7" s="2">
        <f t="shared" si="2"/>
        <v>662270892</v>
      </c>
      <c r="F7" s="2">
        <f t="shared" si="2"/>
        <v>0</v>
      </c>
      <c r="G7" s="2">
        <f t="shared" si="2"/>
        <v>3554211683</v>
      </c>
      <c r="H7" s="2">
        <f t="shared" si="2"/>
        <v>201130274</v>
      </c>
      <c r="I7" s="2">
        <f t="shared" si="2"/>
        <v>36203450</v>
      </c>
      <c r="J7" s="2">
        <f t="shared" si="2"/>
        <v>4003322</v>
      </c>
      <c r="K7" s="2">
        <f t="shared" si="2"/>
        <v>40206772</v>
      </c>
      <c r="L7" s="2">
        <f t="shared" si="2"/>
        <v>0</v>
      </c>
      <c r="M7" s="2">
        <f t="shared" si="2"/>
        <v>55064619</v>
      </c>
      <c r="N7" s="2">
        <f t="shared" si="2"/>
        <v>55064619</v>
      </c>
      <c r="O7" s="2">
        <f t="shared" si="2"/>
        <v>2059322</v>
      </c>
      <c r="P7" s="2">
        <f t="shared" si="2"/>
        <v>-16917169</v>
      </c>
    </row>
    <row r="8" spans="1:16" x14ac:dyDescent="0.35">
      <c r="A8" t="s">
        <v>22</v>
      </c>
      <c r="B8" t="s">
        <v>23</v>
      </c>
      <c r="C8">
        <v>3755341958</v>
      </c>
      <c r="D8">
        <v>2891940791</v>
      </c>
      <c r="E8">
        <v>662270892</v>
      </c>
      <c r="F8">
        <v>0</v>
      </c>
      <c r="G8">
        <v>3554211683</v>
      </c>
      <c r="H8">
        <v>201130274</v>
      </c>
      <c r="I8">
        <v>36203450</v>
      </c>
      <c r="J8">
        <v>4003322</v>
      </c>
      <c r="K8">
        <v>40206772</v>
      </c>
      <c r="L8">
        <v>0</v>
      </c>
      <c r="M8">
        <v>55064619</v>
      </c>
      <c r="N8">
        <v>55064619</v>
      </c>
      <c r="O8">
        <v>2059322</v>
      </c>
      <c r="P8">
        <v>-16917169</v>
      </c>
    </row>
    <row r="9" spans="1:16" x14ac:dyDescent="0.35">
      <c r="A9" s="2" t="str">
        <f>[2]RCPA2!$A$28</f>
        <v>A21</v>
      </c>
      <c r="B9" s="2" t="str">
        <f>[2]RCPA2!$C$28</f>
        <v>Coffee</v>
      </c>
      <c r="C9" s="2">
        <f>C10</f>
        <v>18367328097</v>
      </c>
      <c r="D9" s="2">
        <f t="shared" ref="D9:P9" si="3">D10</f>
        <v>10758325223</v>
      </c>
      <c r="E9" s="2">
        <f t="shared" si="3"/>
        <v>5699764991</v>
      </c>
      <c r="F9" s="2">
        <f t="shared" si="3"/>
        <v>0</v>
      </c>
      <c r="G9" s="2">
        <f t="shared" si="3"/>
        <v>16458090214</v>
      </c>
      <c r="H9" s="2">
        <f t="shared" si="3"/>
        <v>1909237883</v>
      </c>
      <c r="I9" s="2">
        <f t="shared" si="3"/>
        <v>343662816</v>
      </c>
      <c r="J9" s="2">
        <f t="shared" si="3"/>
        <v>0</v>
      </c>
      <c r="K9" s="2">
        <f t="shared" si="3"/>
        <v>343662816</v>
      </c>
      <c r="L9" s="2">
        <f t="shared" si="3"/>
        <v>16223378</v>
      </c>
      <c r="M9" s="2">
        <f t="shared" si="3"/>
        <v>231390725</v>
      </c>
      <c r="N9" s="2">
        <f t="shared" si="3"/>
        <v>247614103</v>
      </c>
      <c r="O9" s="2">
        <f t="shared" si="3"/>
        <v>0</v>
      </c>
      <c r="P9" s="2">
        <f t="shared" si="3"/>
        <v>96048713</v>
      </c>
    </row>
    <row r="10" spans="1:16" x14ac:dyDescent="0.35">
      <c r="A10" t="s">
        <v>24</v>
      </c>
      <c r="B10" t="s">
        <v>25</v>
      </c>
      <c r="C10">
        <v>18367328097</v>
      </c>
      <c r="D10">
        <v>10758325223</v>
      </c>
      <c r="E10">
        <v>5699764991</v>
      </c>
      <c r="F10">
        <v>0</v>
      </c>
      <c r="G10">
        <v>16458090214</v>
      </c>
      <c r="H10">
        <v>1909237883</v>
      </c>
      <c r="I10">
        <v>343662816</v>
      </c>
      <c r="J10">
        <v>0</v>
      </c>
      <c r="K10">
        <v>343662816</v>
      </c>
      <c r="L10">
        <v>16223378</v>
      </c>
      <c r="M10">
        <v>231390725</v>
      </c>
      <c r="N10">
        <v>247614103</v>
      </c>
      <c r="O10">
        <v>0</v>
      </c>
      <c r="P10">
        <v>96048713</v>
      </c>
    </row>
    <row r="11" spans="1:16" x14ac:dyDescent="0.35">
      <c r="A11" s="2" t="str">
        <f>[2]RCPA2!$A$32</f>
        <v>A29</v>
      </c>
      <c r="B11" s="2" t="str">
        <f>[2]RCPA2!$C$32</f>
        <v>Other agricultural products</v>
      </c>
      <c r="C11" s="2">
        <f>C12+C13+C14</f>
        <v>101044745577</v>
      </c>
      <c r="D11" s="2">
        <f t="shared" ref="D11:P11" si="4">D12+D13+D14</f>
        <v>89577221855</v>
      </c>
      <c r="E11" s="2">
        <f t="shared" si="4"/>
        <v>1670599374</v>
      </c>
      <c r="F11" s="2">
        <f t="shared" si="4"/>
        <v>0</v>
      </c>
      <c r="G11" s="2">
        <f t="shared" si="4"/>
        <v>91247821229</v>
      </c>
      <c r="H11" s="2">
        <f t="shared" si="4"/>
        <v>9796924354</v>
      </c>
      <c r="I11" s="2">
        <f t="shared" si="4"/>
        <v>1763446377</v>
      </c>
      <c r="J11" s="2">
        <f t="shared" si="4"/>
        <v>116362660</v>
      </c>
      <c r="K11" s="2">
        <f t="shared" si="4"/>
        <v>1879809037</v>
      </c>
      <c r="L11" s="2">
        <f t="shared" si="4"/>
        <v>39555704</v>
      </c>
      <c r="M11" s="2">
        <f t="shared" si="4"/>
        <v>2466942686</v>
      </c>
      <c r="N11" s="2">
        <f t="shared" si="4"/>
        <v>2506498390</v>
      </c>
      <c r="O11" s="2">
        <f t="shared" si="4"/>
        <v>0</v>
      </c>
      <c r="P11" s="2">
        <f t="shared" si="4"/>
        <v>-626689354</v>
      </c>
    </row>
    <row r="12" spans="1:16" x14ac:dyDescent="0.35">
      <c r="A12" t="s">
        <v>26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28</v>
      </c>
      <c r="B13" t="s">
        <v>29</v>
      </c>
      <c r="C13">
        <v>3626744</v>
      </c>
      <c r="D13">
        <v>0</v>
      </c>
      <c r="E13">
        <v>0</v>
      </c>
      <c r="F13">
        <v>0</v>
      </c>
      <c r="G13">
        <v>0</v>
      </c>
      <c r="H13">
        <v>3626744</v>
      </c>
      <c r="I13">
        <v>652815</v>
      </c>
      <c r="J13">
        <v>0</v>
      </c>
      <c r="K13">
        <v>652815</v>
      </c>
      <c r="L13">
        <v>0</v>
      </c>
      <c r="M13">
        <v>102066</v>
      </c>
      <c r="N13">
        <v>102066</v>
      </c>
      <c r="O13">
        <v>0</v>
      </c>
      <c r="P13">
        <v>550749</v>
      </c>
    </row>
    <row r="14" spans="1:16" x14ac:dyDescent="0.35">
      <c r="A14" t="s">
        <v>30</v>
      </c>
      <c r="B14" t="s">
        <v>31</v>
      </c>
      <c r="C14">
        <v>101041118833</v>
      </c>
      <c r="D14">
        <v>89577221855</v>
      </c>
      <c r="E14">
        <v>1670599374</v>
      </c>
      <c r="F14">
        <v>0</v>
      </c>
      <c r="G14">
        <v>91247821229</v>
      </c>
      <c r="H14">
        <v>9793297610</v>
      </c>
      <c r="I14">
        <v>1762793562</v>
      </c>
      <c r="J14">
        <v>116362660</v>
      </c>
      <c r="K14">
        <v>1879156222</v>
      </c>
      <c r="L14">
        <v>39555704</v>
      </c>
      <c r="M14">
        <v>2466840620</v>
      </c>
      <c r="N14">
        <v>2506396324</v>
      </c>
      <c r="O14">
        <v>0</v>
      </c>
      <c r="P14">
        <v>-627240103</v>
      </c>
    </row>
    <row r="15" spans="1:16" x14ac:dyDescent="0.35">
      <c r="A15" s="2" t="str">
        <f>[2]RCPA2!$A$38</f>
        <v>A31</v>
      </c>
      <c r="B15" s="2" t="str">
        <f>[2]RCPA2!$C$38</f>
        <v>Livestock</v>
      </c>
      <c r="C15" s="2">
        <f>C16+C17+C18+C19</f>
        <v>0</v>
      </c>
      <c r="D15" s="2">
        <f t="shared" ref="D15:P15" si="5">D16+D17+D18+D19</f>
        <v>0</v>
      </c>
      <c r="E15" s="2">
        <f t="shared" si="5"/>
        <v>0</v>
      </c>
      <c r="F15" s="2">
        <f t="shared" si="5"/>
        <v>0</v>
      </c>
      <c r="G15" s="2">
        <f t="shared" si="5"/>
        <v>0</v>
      </c>
      <c r="H15" s="2">
        <f t="shared" si="5"/>
        <v>0</v>
      </c>
      <c r="I15" s="2">
        <f t="shared" si="5"/>
        <v>0</v>
      </c>
      <c r="J15" s="2">
        <f t="shared" si="5"/>
        <v>0</v>
      </c>
      <c r="K15" s="2">
        <f t="shared" si="5"/>
        <v>0</v>
      </c>
      <c r="L15" s="2">
        <f t="shared" si="5"/>
        <v>0</v>
      </c>
      <c r="M15" s="2">
        <f t="shared" si="5"/>
        <v>0</v>
      </c>
      <c r="N15" s="2">
        <f t="shared" si="5"/>
        <v>0</v>
      </c>
      <c r="O15" s="2">
        <f t="shared" si="5"/>
        <v>0</v>
      </c>
      <c r="P15" s="2">
        <f t="shared" si="5"/>
        <v>0</v>
      </c>
    </row>
    <row r="16" spans="1:16" x14ac:dyDescent="0.35">
      <c r="A16" t="s">
        <v>32</v>
      </c>
      <c r="B16" t="s">
        <v>33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t="s">
        <v>34</v>
      </c>
      <c r="B17" t="s">
        <v>35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t="s">
        <v>36</v>
      </c>
      <c r="B18" t="s">
        <v>37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t="s">
        <v>38</v>
      </c>
      <c r="B19" t="s">
        <v>39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 s="2" t="str">
        <f>[2]RCPA2!$A$43</f>
        <v>A32</v>
      </c>
      <c r="B20" s="2" t="str">
        <f>[2]RCPA2!$C$43</f>
        <v>Livestock &amp; hunting products</v>
      </c>
      <c r="C20" s="2">
        <f>C21</f>
        <v>3610783624</v>
      </c>
      <c r="D20" s="2">
        <f t="shared" ref="D20:P20" si="6">D21</f>
        <v>1436413522</v>
      </c>
      <c r="E20" s="2">
        <f t="shared" si="6"/>
        <v>983961884</v>
      </c>
      <c r="F20" s="2">
        <f t="shared" si="6"/>
        <v>0</v>
      </c>
      <c r="G20" s="2">
        <f t="shared" si="6"/>
        <v>2420375406</v>
      </c>
      <c r="H20" s="2">
        <f t="shared" si="6"/>
        <v>1190408218</v>
      </c>
      <c r="I20" s="2">
        <f t="shared" si="6"/>
        <v>214273482</v>
      </c>
      <c r="J20" s="2">
        <f t="shared" si="6"/>
        <v>0</v>
      </c>
      <c r="K20" s="2">
        <f t="shared" si="6"/>
        <v>214273482</v>
      </c>
      <c r="L20" s="2">
        <f t="shared" si="6"/>
        <v>1205756</v>
      </c>
      <c r="M20" s="2">
        <f t="shared" si="6"/>
        <v>220427552</v>
      </c>
      <c r="N20" s="2">
        <f t="shared" si="6"/>
        <v>221633308</v>
      </c>
      <c r="O20" s="2">
        <f t="shared" si="6"/>
        <v>0</v>
      </c>
      <c r="P20" s="2">
        <f t="shared" si="6"/>
        <v>-7359826</v>
      </c>
    </row>
    <row r="21" spans="1:16" x14ac:dyDescent="0.35">
      <c r="A21" t="s">
        <v>40</v>
      </c>
      <c r="B21" t="s">
        <v>41</v>
      </c>
      <c r="C21">
        <v>3610783624</v>
      </c>
      <c r="D21">
        <v>1436413522</v>
      </c>
      <c r="E21">
        <v>983961884</v>
      </c>
      <c r="F21">
        <v>0</v>
      </c>
      <c r="G21">
        <v>2420375406</v>
      </c>
      <c r="H21">
        <v>1190408218</v>
      </c>
      <c r="I21">
        <v>214273482</v>
      </c>
      <c r="J21">
        <v>0</v>
      </c>
      <c r="K21">
        <v>214273482</v>
      </c>
      <c r="L21">
        <v>1205756</v>
      </c>
      <c r="M21">
        <v>220427552</v>
      </c>
      <c r="N21">
        <v>221633308</v>
      </c>
      <c r="O21">
        <v>0</v>
      </c>
      <c r="P21">
        <v>-7359826</v>
      </c>
    </row>
    <row r="22" spans="1:16" x14ac:dyDescent="0.35">
      <c r="A22" s="2" t="str">
        <f>[2]RCPA2!$A$49</f>
        <v>A40</v>
      </c>
      <c r="B22" s="2" t="str">
        <f>[2]RCPA2!$C$49</f>
        <v>Forestry products</v>
      </c>
      <c r="C22" s="2">
        <f>C23</f>
        <v>10214548840</v>
      </c>
      <c r="D22" s="2">
        <f t="shared" ref="D22:P22" si="7">D23</f>
        <v>3782523810</v>
      </c>
      <c r="E22" s="2">
        <f t="shared" si="7"/>
        <v>0</v>
      </c>
      <c r="F22" s="2">
        <f t="shared" si="7"/>
        <v>0</v>
      </c>
      <c r="G22" s="2">
        <f t="shared" si="7"/>
        <v>3782523810</v>
      </c>
      <c r="H22" s="2">
        <f t="shared" si="7"/>
        <v>6432025030</v>
      </c>
      <c r="I22" s="2">
        <f t="shared" si="7"/>
        <v>1157764509</v>
      </c>
      <c r="J22" s="2">
        <f t="shared" si="7"/>
        <v>0</v>
      </c>
      <c r="K22" s="2">
        <f t="shared" si="7"/>
        <v>1157764509</v>
      </c>
      <c r="L22" s="2">
        <f t="shared" si="7"/>
        <v>1325033</v>
      </c>
      <c r="M22" s="2">
        <f t="shared" si="7"/>
        <v>949020287</v>
      </c>
      <c r="N22" s="2">
        <f t="shared" si="7"/>
        <v>950345320</v>
      </c>
      <c r="O22" s="2">
        <f t="shared" si="7"/>
        <v>0</v>
      </c>
      <c r="P22" s="2">
        <f t="shared" si="7"/>
        <v>207419188</v>
      </c>
    </row>
    <row r="23" spans="1:16" x14ac:dyDescent="0.35">
      <c r="A23" t="s">
        <v>42</v>
      </c>
      <c r="B23" t="s">
        <v>43</v>
      </c>
      <c r="C23">
        <v>10214548840</v>
      </c>
      <c r="D23">
        <v>3782523810</v>
      </c>
      <c r="E23">
        <v>0</v>
      </c>
      <c r="F23">
        <v>0</v>
      </c>
      <c r="G23">
        <v>3782523810</v>
      </c>
      <c r="H23">
        <v>6432025030</v>
      </c>
      <c r="I23">
        <v>1157764509</v>
      </c>
      <c r="J23">
        <v>0</v>
      </c>
      <c r="K23">
        <v>1157764509</v>
      </c>
      <c r="L23">
        <v>1325033</v>
      </c>
      <c r="M23">
        <v>949020287</v>
      </c>
      <c r="N23">
        <v>950345320</v>
      </c>
      <c r="O23">
        <v>0</v>
      </c>
      <c r="P23">
        <v>207419188</v>
      </c>
    </row>
    <row r="24" spans="1:16" x14ac:dyDescent="0.35">
      <c r="A24" s="2" t="str">
        <f>[2]RCPA2!$A$54</f>
        <v>A50</v>
      </c>
      <c r="B24" s="2" t="str">
        <f>[2]RCPA2!$C$54</f>
        <v>Fishery products</v>
      </c>
      <c r="C24" s="2">
        <f>C25</f>
        <v>5212671506</v>
      </c>
      <c r="D24" s="2">
        <f t="shared" ref="D24:P24" si="8">D25</f>
        <v>3767023684</v>
      </c>
      <c r="E24" s="2">
        <f t="shared" si="8"/>
        <v>362560625</v>
      </c>
      <c r="F24" s="2">
        <f t="shared" si="8"/>
        <v>0</v>
      </c>
      <c r="G24" s="2">
        <f t="shared" si="8"/>
        <v>4129584309</v>
      </c>
      <c r="H24" s="2">
        <f t="shared" si="8"/>
        <v>1083087197</v>
      </c>
      <c r="I24" s="2">
        <f t="shared" si="8"/>
        <v>194955691</v>
      </c>
      <c r="J24" s="2">
        <f t="shared" si="8"/>
        <v>5367482</v>
      </c>
      <c r="K24" s="2">
        <f t="shared" si="8"/>
        <v>200323173</v>
      </c>
      <c r="L24" s="2">
        <f t="shared" si="8"/>
        <v>11781165</v>
      </c>
      <c r="M24" s="2">
        <f t="shared" si="8"/>
        <v>92408852</v>
      </c>
      <c r="N24" s="2">
        <f t="shared" si="8"/>
        <v>104190017</v>
      </c>
      <c r="O24" s="2">
        <f t="shared" si="8"/>
        <v>0</v>
      </c>
      <c r="P24" s="2">
        <f t="shared" si="8"/>
        <v>96133156</v>
      </c>
    </row>
    <row r="25" spans="1:16" x14ac:dyDescent="0.35">
      <c r="A25" t="s">
        <v>44</v>
      </c>
      <c r="B25" t="s">
        <v>45</v>
      </c>
      <c r="C25">
        <v>5212671506</v>
      </c>
      <c r="D25">
        <v>3767023684</v>
      </c>
      <c r="E25">
        <v>362560625</v>
      </c>
      <c r="F25">
        <v>0</v>
      </c>
      <c r="G25">
        <v>4129584309</v>
      </c>
      <c r="H25">
        <v>1083087197</v>
      </c>
      <c r="I25">
        <v>194955691</v>
      </c>
      <c r="J25">
        <v>5367482</v>
      </c>
      <c r="K25">
        <v>200323173</v>
      </c>
      <c r="L25">
        <v>11781165</v>
      </c>
      <c r="M25">
        <v>92408852</v>
      </c>
      <c r="N25">
        <v>104190017</v>
      </c>
      <c r="O25">
        <v>0</v>
      </c>
      <c r="P25">
        <v>96133156</v>
      </c>
    </row>
    <row r="26" spans="1:16" x14ac:dyDescent="0.35">
      <c r="A26" s="2" t="str">
        <f>[2]RCPA2!$A$57</f>
        <v>B01</v>
      </c>
      <c r="B26" s="2" t="str">
        <f>[2]RCPA2!$C$57</f>
        <v>Natural gas</v>
      </c>
      <c r="C26" s="2">
        <f>C27</f>
        <v>70795656</v>
      </c>
      <c r="D26" s="2">
        <f t="shared" ref="D26:P26" si="9">D27</f>
        <v>0</v>
      </c>
      <c r="E26" s="2">
        <f t="shared" si="9"/>
        <v>0</v>
      </c>
      <c r="F26" s="2">
        <f t="shared" si="9"/>
        <v>0</v>
      </c>
      <c r="G26" s="2">
        <f t="shared" si="9"/>
        <v>0</v>
      </c>
      <c r="H26" s="2">
        <f t="shared" si="9"/>
        <v>70795656</v>
      </c>
      <c r="I26" s="2">
        <f t="shared" si="9"/>
        <v>12743217</v>
      </c>
      <c r="J26" s="2">
        <f t="shared" si="9"/>
        <v>0</v>
      </c>
      <c r="K26" s="2">
        <f t="shared" si="9"/>
        <v>12743217</v>
      </c>
      <c r="L26" s="2">
        <f t="shared" si="9"/>
        <v>0</v>
      </c>
      <c r="M26" s="2">
        <f t="shared" si="9"/>
        <v>11725495</v>
      </c>
      <c r="N26" s="2">
        <f t="shared" si="9"/>
        <v>11725495</v>
      </c>
      <c r="O26" s="2">
        <f t="shared" si="9"/>
        <v>0</v>
      </c>
      <c r="P26" s="2">
        <f t="shared" si="9"/>
        <v>1017722</v>
      </c>
    </row>
    <row r="27" spans="1:16" x14ac:dyDescent="0.35">
      <c r="A27" t="s">
        <v>46</v>
      </c>
      <c r="B27" t="s">
        <v>47</v>
      </c>
      <c r="C27">
        <v>70795656</v>
      </c>
      <c r="D27">
        <v>0</v>
      </c>
      <c r="E27">
        <v>0</v>
      </c>
      <c r="F27">
        <v>0</v>
      </c>
      <c r="G27">
        <v>0</v>
      </c>
      <c r="H27">
        <v>70795656</v>
      </c>
      <c r="I27">
        <v>12743217</v>
      </c>
      <c r="J27">
        <v>0</v>
      </c>
      <c r="K27">
        <v>12743217</v>
      </c>
      <c r="L27">
        <v>0</v>
      </c>
      <c r="M27">
        <v>11725495</v>
      </c>
      <c r="N27">
        <v>11725495</v>
      </c>
      <c r="O27">
        <v>0</v>
      </c>
      <c r="P27">
        <v>1017722</v>
      </c>
    </row>
    <row r="28" spans="1:16" x14ac:dyDescent="0.35">
      <c r="A28" s="2" t="str">
        <f>[2]RCPA2!$A$59</f>
        <v>B03</v>
      </c>
      <c r="B28" s="2" t="str">
        <f>[2]RCPA2!$C$59</f>
        <v>Metal ores</v>
      </c>
      <c r="C28" s="2">
        <f>C29</f>
        <v>34012436649</v>
      </c>
      <c r="D28" s="2">
        <f t="shared" ref="D28:P28" si="10">D29</f>
        <v>2665092142</v>
      </c>
      <c r="E28" s="2">
        <f t="shared" si="10"/>
        <v>10899107629</v>
      </c>
      <c r="F28" s="2">
        <f t="shared" si="10"/>
        <v>19991226800</v>
      </c>
      <c r="G28" s="2">
        <f t="shared" si="10"/>
        <v>33555426571</v>
      </c>
      <c r="H28" s="2">
        <f t="shared" si="10"/>
        <v>457010078</v>
      </c>
      <c r="I28" s="2">
        <f t="shared" si="10"/>
        <v>82261814</v>
      </c>
      <c r="J28" s="2">
        <f t="shared" si="10"/>
        <v>0</v>
      </c>
      <c r="K28" s="2">
        <f t="shared" si="10"/>
        <v>82261814</v>
      </c>
      <c r="L28" s="2">
        <f t="shared" si="10"/>
        <v>6529716</v>
      </c>
      <c r="M28" s="2">
        <f t="shared" si="10"/>
        <v>290611042</v>
      </c>
      <c r="N28" s="2">
        <f t="shared" si="10"/>
        <v>297140758</v>
      </c>
      <c r="O28" s="2">
        <f t="shared" si="10"/>
        <v>0</v>
      </c>
      <c r="P28" s="2">
        <f t="shared" si="10"/>
        <v>-214878944</v>
      </c>
    </row>
    <row r="29" spans="1:16" x14ac:dyDescent="0.35">
      <c r="A29" t="s">
        <v>48</v>
      </c>
      <c r="B29" t="s">
        <v>49</v>
      </c>
      <c r="C29">
        <v>34012436649</v>
      </c>
      <c r="D29">
        <v>2665092142</v>
      </c>
      <c r="E29">
        <v>10899107629</v>
      </c>
      <c r="F29">
        <v>19991226800</v>
      </c>
      <c r="G29">
        <v>33555426571</v>
      </c>
      <c r="H29">
        <v>457010078</v>
      </c>
      <c r="I29">
        <v>82261814</v>
      </c>
      <c r="J29">
        <v>0</v>
      </c>
      <c r="K29">
        <v>82261814</v>
      </c>
      <c r="L29">
        <v>6529716</v>
      </c>
      <c r="M29">
        <v>290611042</v>
      </c>
      <c r="N29">
        <v>297140758</v>
      </c>
      <c r="O29">
        <v>0</v>
      </c>
      <c r="P29">
        <v>-214878944</v>
      </c>
    </row>
    <row r="30" spans="1:16" x14ac:dyDescent="0.35">
      <c r="A30" s="2" t="str">
        <f>[2]RCPA2!$A$63</f>
        <v>B09</v>
      </c>
      <c r="B30" s="2" t="str">
        <f>[2]RCPA2!$C$63</f>
        <v>Quarry &amp; other mining products</v>
      </c>
      <c r="C30" s="2">
        <f>C31+C32</f>
        <v>139112696130</v>
      </c>
      <c r="D30" s="2">
        <f t="shared" ref="D30:P30" si="11">D31+D32</f>
        <v>31338135031</v>
      </c>
      <c r="E30" s="2">
        <f t="shared" si="11"/>
        <v>21013515760</v>
      </c>
      <c r="F30" s="2">
        <f t="shared" si="11"/>
        <v>68043234622</v>
      </c>
      <c r="G30" s="2">
        <f t="shared" si="11"/>
        <v>120394885413</v>
      </c>
      <c r="H30" s="2">
        <f t="shared" si="11"/>
        <v>18717810717</v>
      </c>
      <c r="I30" s="2">
        <f t="shared" si="11"/>
        <v>3369205936</v>
      </c>
      <c r="J30" s="2">
        <f t="shared" si="11"/>
        <v>193995110</v>
      </c>
      <c r="K30" s="2">
        <f t="shared" si="11"/>
        <v>3563201046</v>
      </c>
      <c r="L30" s="2">
        <f t="shared" si="11"/>
        <v>424050398</v>
      </c>
      <c r="M30" s="2">
        <f t="shared" si="11"/>
        <v>3254767397</v>
      </c>
      <c r="N30" s="2">
        <f t="shared" si="11"/>
        <v>3678817795</v>
      </c>
      <c r="O30" s="2">
        <f t="shared" si="11"/>
        <v>55072307</v>
      </c>
      <c r="P30" s="2">
        <f t="shared" si="11"/>
        <v>-170689056</v>
      </c>
    </row>
    <row r="31" spans="1:16" x14ac:dyDescent="0.35">
      <c r="A31" t="s">
        <v>50</v>
      </c>
      <c r="B31" t="s">
        <v>51</v>
      </c>
      <c r="C31">
        <v>12970864584</v>
      </c>
      <c r="D31">
        <v>4575132755</v>
      </c>
      <c r="E31">
        <v>24736500</v>
      </c>
      <c r="F31">
        <v>0</v>
      </c>
      <c r="G31">
        <v>4599869255</v>
      </c>
      <c r="H31">
        <v>8370995330</v>
      </c>
      <c r="I31">
        <v>1506779169</v>
      </c>
      <c r="J31">
        <v>0</v>
      </c>
      <c r="K31">
        <v>1506779169</v>
      </c>
      <c r="L31">
        <v>321042431</v>
      </c>
      <c r="M31">
        <v>699674485</v>
      </c>
      <c r="N31">
        <v>1020716916</v>
      </c>
      <c r="O31">
        <v>0</v>
      </c>
      <c r="P31">
        <v>486062253</v>
      </c>
    </row>
    <row r="32" spans="1:16" x14ac:dyDescent="0.35">
      <c r="A32" t="s">
        <v>52</v>
      </c>
      <c r="B32" t="s">
        <v>53</v>
      </c>
      <c r="C32">
        <v>126141831546</v>
      </c>
      <c r="D32">
        <v>26763002276</v>
      </c>
      <c r="E32">
        <v>20988779260</v>
      </c>
      <c r="F32">
        <v>68043234622</v>
      </c>
      <c r="G32">
        <v>115795016158</v>
      </c>
      <c r="H32">
        <v>10346815387</v>
      </c>
      <c r="I32">
        <v>1862426767</v>
      </c>
      <c r="J32">
        <v>193995110</v>
      </c>
      <c r="K32">
        <v>2056421877</v>
      </c>
      <c r="L32">
        <v>103007967</v>
      </c>
      <c r="M32">
        <v>2555092912</v>
      </c>
      <c r="N32">
        <v>2658100879</v>
      </c>
      <c r="O32">
        <v>55072307</v>
      </c>
      <c r="P32">
        <v>-656751309</v>
      </c>
    </row>
    <row r="33" spans="1:16" x14ac:dyDescent="0.35">
      <c r="A33" s="2" t="str">
        <f>[2]RCPA2!$A$67</f>
        <v>C11</v>
      </c>
      <c r="B33" s="2" t="str">
        <f>[2]RCPA2!$C$67</f>
        <v>Meat &amp; meat products</v>
      </c>
      <c r="C33" s="2">
        <f>C34</f>
        <v>11136152557</v>
      </c>
      <c r="D33" s="2">
        <f t="shared" ref="D33:P33" si="12">D34</f>
        <v>8219899900</v>
      </c>
      <c r="E33" s="2">
        <f t="shared" si="12"/>
        <v>548480</v>
      </c>
      <c r="F33" s="2">
        <f t="shared" si="12"/>
        <v>0</v>
      </c>
      <c r="G33" s="2">
        <f t="shared" si="12"/>
        <v>8220448380</v>
      </c>
      <c r="H33" s="2">
        <f t="shared" si="12"/>
        <v>2915704178</v>
      </c>
      <c r="I33" s="2">
        <f t="shared" si="12"/>
        <v>524826754</v>
      </c>
      <c r="J33" s="2">
        <f t="shared" si="12"/>
        <v>0</v>
      </c>
      <c r="K33" s="2">
        <f t="shared" si="12"/>
        <v>524826754</v>
      </c>
      <c r="L33" s="2">
        <f t="shared" si="12"/>
        <v>16794380</v>
      </c>
      <c r="M33" s="2">
        <f t="shared" si="12"/>
        <v>325612075</v>
      </c>
      <c r="N33" s="2">
        <f t="shared" si="12"/>
        <v>342406455</v>
      </c>
      <c r="O33" s="2">
        <f t="shared" si="12"/>
        <v>0</v>
      </c>
      <c r="P33" s="2">
        <f t="shared" si="12"/>
        <v>182420299</v>
      </c>
    </row>
    <row r="34" spans="1:16" x14ac:dyDescent="0.35">
      <c r="A34" t="s">
        <v>54</v>
      </c>
      <c r="B34" t="s">
        <v>55</v>
      </c>
      <c r="C34">
        <v>11136152557</v>
      </c>
      <c r="D34">
        <v>8219899900</v>
      </c>
      <c r="E34">
        <v>548480</v>
      </c>
      <c r="F34">
        <v>0</v>
      </c>
      <c r="G34">
        <v>8220448380</v>
      </c>
      <c r="H34">
        <v>2915704178</v>
      </c>
      <c r="I34">
        <v>524826754</v>
      </c>
      <c r="J34">
        <v>0</v>
      </c>
      <c r="K34">
        <v>524826754</v>
      </c>
      <c r="L34">
        <v>16794380</v>
      </c>
      <c r="M34">
        <v>325612075</v>
      </c>
      <c r="N34">
        <v>342406455</v>
      </c>
      <c r="O34">
        <v>0</v>
      </c>
      <c r="P34">
        <v>182420299</v>
      </c>
    </row>
    <row r="35" spans="1:16" x14ac:dyDescent="0.35">
      <c r="A35" s="2" t="str">
        <f>[2]RCPA2!$A$70</f>
        <v>C12</v>
      </c>
      <c r="B35" s="2" t="str">
        <f>[2]RCPA2!$C$70</f>
        <v>Prepared &amp; preserved fish</v>
      </c>
      <c r="C35" s="2">
        <f>C36</f>
        <v>5266805189</v>
      </c>
      <c r="D35" s="2">
        <f t="shared" ref="D35:P35" si="13">D36</f>
        <v>4547581645</v>
      </c>
      <c r="E35" s="2">
        <f t="shared" si="13"/>
        <v>615160500</v>
      </c>
      <c r="F35" s="2">
        <f t="shared" si="13"/>
        <v>0</v>
      </c>
      <c r="G35" s="2">
        <f t="shared" si="13"/>
        <v>5162742145</v>
      </c>
      <c r="H35" s="2">
        <f t="shared" si="13"/>
        <v>104063044</v>
      </c>
      <c r="I35" s="2">
        <f t="shared" si="13"/>
        <v>18731348</v>
      </c>
      <c r="J35" s="2">
        <f t="shared" si="13"/>
        <v>0</v>
      </c>
      <c r="K35" s="2">
        <f t="shared" si="13"/>
        <v>18731348</v>
      </c>
      <c r="L35" s="2">
        <f t="shared" si="13"/>
        <v>12874882</v>
      </c>
      <c r="M35" s="2">
        <f t="shared" si="13"/>
        <v>7874361</v>
      </c>
      <c r="N35" s="2">
        <f t="shared" si="13"/>
        <v>20749243</v>
      </c>
      <c r="O35" s="2">
        <f t="shared" si="13"/>
        <v>0</v>
      </c>
      <c r="P35" s="2">
        <f t="shared" si="13"/>
        <v>-2017896</v>
      </c>
    </row>
    <row r="36" spans="1:16" x14ac:dyDescent="0.35">
      <c r="A36" t="s">
        <v>56</v>
      </c>
      <c r="B36" t="s">
        <v>57</v>
      </c>
      <c r="C36">
        <v>5266805189</v>
      </c>
      <c r="D36">
        <v>4547581645</v>
      </c>
      <c r="E36">
        <v>615160500</v>
      </c>
      <c r="F36">
        <v>0</v>
      </c>
      <c r="G36">
        <v>5162742145</v>
      </c>
      <c r="H36">
        <v>104063044</v>
      </c>
      <c r="I36">
        <v>18731348</v>
      </c>
      <c r="J36">
        <v>0</v>
      </c>
      <c r="K36">
        <v>18731348</v>
      </c>
      <c r="L36">
        <v>12874882</v>
      </c>
      <c r="M36">
        <v>7874361</v>
      </c>
      <c r="N36">
        <v>20749243</v>
      </c>
      <c r="O36">
        <v>0</v>
      </c>
      <c r="P36">
        <v>-2017896</v>
      </c>
    </row>
    <row r="37" spans="1:16" x14ac:dyDescent="0.35">
      <c r="A37" s="2" t="str">
        <f>[2]RCPA2!$A$72</f>
        <v>C13</v>
      </c>
      <c r="B37" s="2" t="str">
        <f>[2]RCPA2!$C$72</f>
        <v>Prepared &amp; preserved vegetables</v>
      </c>
      <c r="C37" s="2">
        <f>C38</f>
        <v>11978392050</v>
      </c>
      <c r="D37" s="2">
        <f t="shared" ref="D37:P37" si="14">D38</f>
        <v>3589595538</v>
      </c>
      <c r="E37" s="2">
        <f t="shared" si="14"/>
        <v>457844553</v>
      </c>
      <c r="F37" s="2">
        <f t="shared" si="14"/>
        <v>983964631</v>
      </c>
      <c r="G37" s="2">
        <f t="shared" si="14"/>
        <v>5031404722</v>
      </c>
      <c r="H37" s="2">
        <f t="shared" si="14"/>
        <v>6946987328</v>
      </c>
      <c r="I37" s="2">
        <f t="shared" si="14"/>
        <v>1250457722</v>
      </c>
      <c r="J37" s="2">
        <f t="shared" si="14"/>
        <v>186222</v>
      </c>
      <c r="K37" s="2">
        <f t="shared" si="14"/>
        <v>1250643944</v>
      </c>
      <c r="L37" s="2">
        <f t="shared" si="14"/>
        <v>687571794</v>
      </c>
      <c r="M37" s="2">
        <f t="shared" si="14"/>
        <v>246122940</v>
      </c>
      <c r="N37" s="2">
        <f t="shared" si="14"/>
        <v>933694734</v>
      </c>
      <c r="O37" s="2">
        <f t="shared" si="14"/>
        <v>0</v>
      </c>
      <c r="P37" s="2">
        <f t="shared" si="14"/>
        <v>316949208</v>
      </c>
    </row>
    <row r="38" spans="1:16" x14ac:dyDescent="0.35">
      <c r="A38" t="s">
        <v>58</v>
      </c>
      <c r="B38" t="s">
        <v>59</v>
      </c>
      <c r="C38">
        <v>11978392050</v>
      </c>
      <c r="D38">
        <v>3589595538</v>
      </c>
      <c r="E38">
        <v>457844553</v>
      </c>
      <c r="F38">
        <v>983964631</v>
      </c>
      <c r="G38">
        <v>5031404722</v>
      </c>
      <c r="H38">
        <v>6946987328</v>
      </c>
      <c r="I38">
        <v>1250457722</v>
      </c>
      <c r="J38">
        <v>186222</v>
      </c>
      <c r="K38">
        <v>1250643944</v>
      </c>
      <c r="L38">
        <v>687571794</v>
      </c>
      <c r="M38">
        <v>246122940</v>
      </c>
      <c r="N38">
        <v>933694734</v>
      </c>
      <c r="O38">
        <v>0</v>
      </c>
      <c r="P38">
        <v>316949208</v>
      </c>
    </row>
    <row r="39" spans="1:16" x14ac:dyDescent="0.35">
      <c r="A39" s="2" t="str">
        <f>[2]RCPA2!$A$75</f>
        <v>C14</v>
      </c>
      <c r="B39" s="2" t="str">
        <f>[2]RCPA2!$C$75</f>
        <v>Animal &amp; vegetable oils &amp; fats</v>
      </c>
      <c r="C39" s="2">
        <f>C40</f>
        <v>139715061929</v>
      </c>
      <c r="D39" s="2">
        <f t="shared" ref="D39:P39" si="15">D40</f>
        <v>9891164821</v>
      </c>
      <c r="E39" s="2">
        <f t="shared" si="15"/>
        <v>5669596381</v>
      </c>
      <c r="F39" s="2">
        <f t="shared" si="15"/>
        <v>0</v>
      </c>
      <c r="G39" s="2">
        <f t="shared" si="15"/>
        <v>15560761202</v>
      </c>
      <c r="H39" s="2">
        <f t="shared" si="15"/>
        <v>124154300727</v>
      </c>
      <c r="I39" s="2">
        <f t="shared" si="15"/>
        <v>22347774135</v>
      </c>
      <c r="J39" s="2">
        <f t="shared" si="15"/>
        <v>5409734</v>
      </c>
      <c r="K39" s="2">
        <f t="shared" si="15"/>
        <v>22353183869</v>
      </c>
      <c r="L39" s="2">
        <f t="shared" si="15"/>
        <v>751011297</v>
      </c>
      <c r="M39" s="2">
        <f t="shared" si="15"/>
        <v>1206919940</v>
      </c>
      <c r="N39" s="2">
        <f t="shared" si="15"/>
        <v>1957931237</v>
      </c>
      <c r="O39" s="2">
        <f t="shared" si="15"/>
        <v>0</v>
      </c>
      <c r="P39" s="2">
        <f t="shared" si="15"/>
        <v>20395252630</v>
      </c>
    </row>
    <row r="40" spans="1:16" x14ac:dyDescent="0.35">
      <c r="A40" t="s">
        <v>60</v>
      </c>
      <c r="B40" t="s">
        <v>61</v>
      </c>
      <c r="C40">
        <v>139715061929</v>
      </c>
      <c r="D40">
        <v>9891164821</v>
      </c>
      <c r="E40">
        <v>5669596381</v>
      </c>
      <c r="F40">
        <v>0</v>
      </c>
      <c r="G40">
        <v>15560761202</v>
      </c>
      <c r="H40">
        <v>124154300727</v>
      </c>
      <c r="I40">
        <v>22347774135</v>
      </c>
      <c r="J40">
        <v>5409734</v>
      </c>
      <c r="K40">
        <v>22353183869</v>
      </c>
      <c r="L40">
        <v>751011297</v>
      </c>
      <c r="M40">
        <v>1206919940</v>
      </c>
      <c r="N40">
        <v>1957931237</v>
      </c>
      <c r="O40">
        <v>0</v>
      </c>
      <c r="P40">
        <v>20395252630</v>
      </c>
    </row>
    <row r="41" spans="1:16" x14ac:dyDescent="0.35">
      <c r="A41" s="2" t="str">
        <f>[2]RCPA2!$A$77</f>
        <v>C15</v>
      </c>
      <c r="B41" s="2" t="str">
        <f>[2]RCPA2!$C$77</f>
        <v>Dairy products</v>
      </c>
      <c r="C41" s="2">
        <f>C42</f>
        <v>99901488455</v>
      </c>
      <c r="D41" s="2">
        <f t="shared" ref="D41:P41" si="16">D42</f>
        <v>41054841217</v>
      </c>
      <c r="E41" s="2">
        <f t="shared" si="16"/>
        <v>4477874516</v>
      </c>
      <c r="F41" s="2">
        <f t="shared" si="16"/>
        <v>0</v>
      </c>
      <c r="G41" s="2">
        <f t="shared" si="16"/>
        <v>45532715733</v>
      </c>
      <c r="H41" s="2">
        <f t="shared" si="16"/>
        <v>54368772721</v>
      </c>
      <c r="I41" s="2">
        <f t="shared" si="16"/>
        <v>9786379103</v>
      </c>
      <c r="J41" s="2">
        <f t="shared" si="16"/>
        <v>0</v>
      </c>
      <c r="K41" s="2">
        <f t="shared" si="16"/>
        <v>9786379103</v>
      </c>
      <c r="L41" s="2">
        <f t="shared" si="16"/>
        <v>771618964</v>
      </c>
      <c r="M41" s="2">
        <f t="shared" si="16"/>
        <v>5319663264</v>
      </c>
      <c r="N41" s="2">
        <f t="shared" si="16"/>
        <v>6091282228</v>
      </c>
      <c r="O41" s="2">
        <f t="shared" si="16"/>
        <v>0</v>
      </c>
      <c r="P41" s="2">
        <f t="shared" si="16"/>
        <v>3695096871</v>
      </c>
    </row>
    <row r="42" spans="1:16" x14ac:dyDescent="0.35">
      <c r="A42" t="s">
        <v>62</v>
      </c>
      <c r="B42" t="s">
        <v>63</v>
      </c>
      <c r="C42">
        <v>99901488455</v>
      </c>
      <c r="D42">
        <v>41054841217</v>
      </c>
      <c r="E42">
        <v>4477874516</v>
      </c>
      <c r="F42">
        <v>0</v>
      </c>
      <c r="G42">
        <v>45532715733</v>
      </c>
      <c r="H42">
        <v>54368772721</v>
      </c>
      <c r="I42">
        <v>9786379103</v>
      </c>
      <c r="J42">
        <v>0</v>
      </c>
      <c r="K42">
        <v>9786379103</v>
      </c>
      <c r="L42">
        <v>771618964</v>
      </c>
      <c r="M42">
        <v>5319663264</v>
      </c>
      <c r="N42">
        <v>6091282228</v>
      </c>
      <c r="O42">
        <v>0</v>
      </c>
      <c r="P42">
        <v>3695096871</v>
      </c>
    </row>
    <row r="43" spans="1:16" x14ac:dyDescent="0.35">
      <c r="A43" s="2" t="str">
        <f>[2]RCPA2!$A$79</f>
        <v>C16</v>
      </c>
      <c r="B43" s="2" t="str">
        <f>[2]RCPA2!$C$79</f>
        <v>Grain mill products</v>
      </c>
      <c r="C43" s="2">
        <f>C44+C45</f>
        <v>305069290047</v>
      </c>
      <c r="D43" s="2">
        <f t="shared" ref="D43:P43" si="17">D44+D45</f>
        <v>99579295975</v>
      </c>
      <c r="E43" s="2">
        <f t="shared" si="17"/>
        <v>55849760336</v>
      </c>
      <c r="F43" s="2">
        <f t="shared" si="17"/>
        <v>5499691309</v>
      </c>
      <c r="G43" s="2">
        <f t="shared" si="17"/>
        <v>160928747620</v>
      </c>
      <c r="H43" s="2">
        <f t="shared" si="17"/>
        <v>144140542427</v>
      </c>
      <c r="I43" s="2">
        <f t="shared" si="17"/>
        <v>25945297655</v>
      </c>
      <c r="J43" s="2">
        <f t="shared" si="17"/>
        <v>1184010</v>
      </c>
      <c r="K43" s="2">
        <f t="shared" si="17"/>
        <v>25946481665</v>
      </c>
      <c r="L43" s="2">
        <f t="shared" si="17"/>
        <v>2400548030</v>
      </c>
      <c r="M43" s="2">
        <f t="shared" si="17"/>
        <v>5538710716</v>
      </c>
      <c r="N43" s="2">
        <f t="shared" si="17"/>
        <v>7939258746</v>
      </c>
      <c r="O43" s="2">
        <f t="shared" si="17"/>
        <v>0</v>
      </c>
      <c r="P43" s="2">
        <f t="shared" si="17"/>
        <v>18007222912</v>
      </c>
    </row>
    <row r="44" spans="1:16" x14ac:dyDescent="0.35">
      <c r="A44" t="s">
        <v>64</v>
      </c>
      <c r="B44" t="s">
        <v>65</v>
      </c>
      <c r="C44">
        <v>292300121556</v>
      </c>
      <c r="D44">
        <v>87518382148</v>
      </c>
      <c r="E44">
        <v>55849472926</v>
      </c>
      <c r="F44">
        <v>5499691309</v>
      </c>
      <c r="G44">
        <v>148867546383</v>
      </c>
      <c r="H44">
        <v>143432575173</v>
      </c>
      <c r="I44">
        <v>25817863547</v>
      </c>
      <c r="J44">
        <v>1184010</v>
      </c>
      <c r="K44">
        <v>25819047557</v>
      </c>
      <c r="L44">
        <v>2400548030</v>
      </c>
      <c r="M44">
        <v>5394026371</v>
      </c>
      <c r="N44">
        <v>7794574401</v>
      </c>
      <c r="O44">
        <v>0</v>
      </c>
      <c r="P44">
        <v>18024473149</v>
      </c>
    </row>
    <row r="45" spans="1:16" x14ac:dyDescent="0.35">
      <c r="A45" t="s">
        <v>66</v>
      </c>
      <c r="B45" t="s">
        <v>67</v>
      </c>
      <c r="C45">
        <v>12769168491</v>
      </c>
      <c r="D45">
        <v>12060913827</v>
      </c>
      <c r="E45">
        <v>287410</v>
      </c>
      <c r="F45">
        <v>0</v>
      </c>
      <c r="G45">
        <v>12061201237</v>
      </c>
      <c r="H45">
        <v>707967254</v>
      </c>
      <c r="I45">
        <v>127434108</v>
      </c>
      <c r="J45">
        <v>0</v>
      </c>
      <c r="K45">
        <v>127434108</v>
      </c>
      <c r="L45">
        <v>0</v>
      </c>
      <c r="M45">
        <v>144684345</v>
      </c>
      <c r="N45">
        <v>144684345</v>
      </c>
      <c r="O45">
        <v>0</v>
      </c>
      <c r="P45">
        <v>-17250237</v>
      </c>
    </row>
    <row r="46" spans="1:16" x14ac:dyDescent="0.35">
      <c r="A46" s="2" t="str">
        <f>[2]RCPA2!$A$85</f>
        <v>C17</v>
      </c>
      <c r="B46" s="2" t="str">
        <f>[2]RCPA2!$C$85</f>
        <v>Bakery products</v>
      </c>
      <c r="C46" s="2">
        <f>C47</f>
        <v>56410048888</v>
      </c>
      <c r="D46" s="2">
        <f t="shared" ref="D46:P46" si="18">D47</f>
        <v>13652184881</v>
      </c>
      <c r="E46" s="2">
        <f t="shared" si="18"/>
        <v>1776517278</v>
      </c>
      <c r="F46" s="2">
        <f t="shared" si="18"/>
        <v>99299182</v>
      </c>
      <c r="G46" s="2">
        <f t="shared" si="18"/>
        <v>15528001341</v>
      </c>
      <c r="H46" s="2">
        <f t="shared" si="18"/>
        <v>40882047547</v>
      </c>
      <c r="I46" s="2">
        <f t="shared" si="18"/>
        <v>7358768568</v>
      </c>
      <c r="J46" s="2">
        <f t="shared" si="18"/>
        <v>25931072</v>
      </c>
      <c r="K46" s="2">
        <f t="shared" si="18"/>
        <v>7384699640</v>
      </c>
      <c r="L46" s="2">
        <f t="shared" si="18"/>
        <v>157989601</v>
      </c>
      <c r="M46" s="2">
        <f t="shared" si="18"/>
        <v>4884036021</v>
      </c>
      <c r="N46" s="2">
        <f t="shared" si="18"/>
        <v>5042025622</v>
      </c>
      <c r="O46" s="2">
        <f t="shared" si="18"/>
        <v>17096230</v>
      </c>
      <c r="P46" s="2">
        <f t="shared" si="18"/>
        <v>2325577779</v>
      </c>
    </row>
    <row r="47" spans="1:16" x14ac:dyDescent="0.35">
      <c r="A47" t="s">
        <v>68</v>
      </c>
      <c r="B47" t="s">
        <v>69</v>
      </c>
      <c r="C47">
        <v>56410048888</v>
      </c>
      <c r="D47">
        <v>13652184881</v>
      </c>
      <c r="E47">
        <v>1776517278</v>
      </c>
      <c r="F47">
        <v>99299182</v>
      </c>
      <c r="G47">
        <v>15528001341</v>
      </c>
      <c r="H47">
        <v>40882047547</v>
      </c>
      <c r="I47">
        <v>7358768568</v>
      </c>
      <c r="J47">
        <v>25931072</v>
      </c>
      <c r="K47">
        <v>7384699640</v>
      </c>
      <c r="L47">
        <v>157989601</v>
      </c>
      <c r="M47">
        <v>4884036021</v>
      </c>
      <c r="N47">
        <v>5042025622</v>
      </c>
      <c r="O47">
        <v>17096230</v>
      </c>
      <c r="P47">
        <v>2325577779</v>
      </c>
    </row>
    <row r="48" spans="1:16" x14ac:dyDescent="0.35">
      <c r="A48" s="2" t="str">
        <f>[2]RCPA2!$A$87</f>
        <v>C18</v>
      </c>
      <c r="B48" s="2" t="str">
        <f>[2]RCPA2!$C$87</f>
        <v>Animal feed &amp; other by-products</v>
      </c>
      <c r="C48" s="2">
        <f>C49</f>
        <v>40375348283</v>
      </c>
      <c r="D48" s="2">
        <f t="shared" ref="D48:P48" si="19">D49</f>
        <v>39382049944</v>
      </c>
      <c r="E48" s="2">
        <f t="shared" si="19"/>
        <v>380173500</v>
      </c>
      <c r="F48" s="2">
        <f t="shared" si="19"/>
        <v>0</v>
      </c>
      <c r="G48" s="2">
        <f t="shared" si="19"/>
        <v>39762223444</v>
      </c>
      <c r="H48" s="2">
        <f t="shared" si="19"/>
        <v>613124839</v>
      </c>
      <c r="I48" s="2">
        <f t="shared" si="19"/>
        <v>110362475</v>
      </c>
      <c r="J48" s="2">
        <f t="shared" si="19"/>
        <v>0</v>
      </c>
      <c r="K48" s="2">
        <f t="shared" si="19"/>
        <v>110362475</v>
      </c>
      <c r="L48" s="2">
        <f t="shared" si="19"/>
        <v>6726541</v>
      </c>
      <c r="M48" s="2">
        <f t="shared" si="19"/>
        <v>44146172</v>
      </c>
      <c r="N48" s="2">
        <f t="shared" si="19"/>
        <v>50872713</v>
      </c>
      <c r="O48" s="2">
        <f t="shared" si="19"/>
        <v>0</v>
      </c>
      <c r="P48" s="2">
        <f t="shared" si="19"/>
        <v>59489761</v>
      </c>
    </row>
    <row r="49" spans="1:16" x14ac:dyDescent="0.35">
      <c r="A49" t="s">
        <v>70</v>
      </c>
      <c r="B49" t="s">
        <v>71</v>
      </c>
      <c r="C49">
        <v>40375348283</v>
      </c>
      <c r="D49">
        <v>39382049944</v>
      </c>
      <c r="E49">
        <v>380173500</v>
      </c>
      <c r="F49">
        <v>0</v>
      </c>
      <c r="G49">
        <v>39762223444</v>
      </c>
      <c r="H49">
        <v>613124839</v>
      </c>
      <c r="I49">
        <v>110362475</v>
      </c>
      <c r="J49">
        <v>0</v>
      </c>
      <c r="K49">
        <v>110362475</v>
      </c>
      <c r="L49">
        <v>6726541</v>
      </c>
      <c r="M49">
        <v>44146172</v>
      </c>
      <c r="N49">
        <v>50872713</v>
      </c>
      <c r="O49">
        <v>0</v>
      </c>
      <c r="P49">
        <v>59489761</v>
      </c>
    </row>
    <row r="50" spans="1:16" x14ac:dyDescent="0.35">
      <c r="A50" s="2" t="str">
        <f>[2]RCPA2!$A$89</f>
        <v>C19</v>
      </c>
      <c r="B50" s="2" t="str">
        <f>[2]RCPA2!$C$89</f>
        <v>Other manufactured food products</v>
      </c>
      <c r="C50" s="2">
        <f>C51+C52</f>
        <v>229211564981</v>
      </c>
      <c r="D50" s="2">
        <f t="shared" ref="D50:P50" si="20">D51+D52</f>
        <v>18030967379</v>
      </c>
      <c r="E50" s="2">
        <f t="shared" si="20"/>
        <v>83267543018</v>
      </c>
      <c r="F50" s="2">
        <f t="shared" si="20"/>
        <v>2684087105</v>
      </c>
      <c r="G50" s="2">
        <f t="shared" si="20"/>
        <v>103982597502</v>
      </c>
      <c r="H50" s="2">
        <f t="shared" si="20"/>
        <v>125228967479</v>
      </c>
      <c r="I50" s="2">
        <f t="shared" si="20"/>
        <v>22541214153</v>
      </c>
      <c r="J50" s="2">
        <f t="shared" si="20"/>
        <v>498787053</v>
      </c>
      <c r="K50" s="2">
        <f t="shared" si="20"/>
        <v>23040001206</v>
      </c>
      <c r="L50" s="2">
        <f t="shared" si="20"/>
        <v>5788356186</v>
      </c>
      <c r="M50" s="2">
        <f t="shared" si="20"/>
        <v>13159245270</v>
      </c>
      <c r="N50" s="2">
        <f t="shared" si="20"/>
        <v>18947601456</v>
      </c>
      <c r="O50" s="2">
        <f t="shared" si="20"/>
        <v>3247562</v>
      </c>
      <c r="P50" s="2">
        <f t="shared" si="20"/>
        <v>4089152187</v>
      </c>
    </row>
    <row r="51" spans="1:16" x14ac:dyDescent="0.35">
      <c r="A51" t="s">
        <v>72</v>
      </c>
      <c r="B51" t="s">
        <v>73</v>
      </c>
      <c r="C51">
        <v>37988517439</v>
      </c>
      <c r="D51">
        <v>0</v>
      </c>
      <c r="E51">
        <v>3640259710</v>
      </c>
      <c r="F51">
        <v>0</v>
      </c>
      <c r="G51">
        <v>3640259710</v>
      </c>
      <c r="H51">
        <v>34348257729</v>
      </c>
      <c r="I51">
        <v>6182686391</v>
      </c>
      <c r="J51">
        <v>101852287</v>
      </c>
      <c r="K51">
        <v>6284538678</v>
      </c>
      <c r="L51">
        <v>2973359201</v>
      </c>
      <c r="M51">
        <v>491060225</v>
      </c>
      <c r="N51">
        <v>3464419426</v>
      </c>
      <c r="O51">
        <v>0</v>
      </c>
      <c r="P51">
        <v>2820119252</v>
      </c>
    </row>
    <row r="52" spans="1:16" x14ac:dyDescent="0.35">
      <c r="A52" t="s">
        <v>74</v>
      </c>
      <c r="B52" t="s">
        <v>75</v>
      </c>
      <c r="C52">
        <v>191223047542</v>
      </c>
      <c r="D52">
        <v>18030967379</v>
      </c>
      <c r="E52">
        <v>79627283308</v>
      </c>
      <c r="F52">
        <v>2684087105</v>
      </c>
      <c r="G52">
        <v>100342337792</v>
      </c>
      <c r="H52">
        <v>90880709750</v>
      </c>
      <c r="I52">
        <v>16358527762</v>
      </c>
      <c r="J52">
        <v>396934766</v>
      </c>
      <c r="K52">
        <v>16755462528</v>
      </c>
      <c r="L52">
        <v>2814996985</v>
      </c>
      <c r="M52">
        <v>12668185045</v>
      </c>
      <c r="N52">
        <v>15483182030</v>
      </c>
      <c r="O52">
        <v>3247562</v>
      </c>
      <c r="P52">
        <v>1269032935</v>
      </c>
    </row>
    <row r="53" spans="1:16" x14ac:dyDescent="0.35">
      <c r="A53" s="2" t="str">
        <f>[2]RCPA2!$A$96</f>
        <v>C21</v>
      </c>
      <c r="B53" s="2" t="str">
        <f>[2]RCPA2!$C$96</f>
        <v>Alcoholic drinks</v>
      </c>
      <c r="C53" s="2">
        <f>C54+C55</f>
        <v>410469446890</v>
      </c>
      <c r="D53" s="2">
        <f t="shared" ref="D53:P53" si="21">D54+D55</f>
        <v>14531328188</v>
      </c>
      <c r="E53" s="2">
        <f t="shared" si="21"/>
        <v>1488142364</v>
      </c>
      <c r="F53" s="2">
        <f t="shared" si="21"/>
        <v>50087869</v>
      </c>
      <c r="G53" s="2">
        <f t="shared" si="21"/>
        <v>16069558421</v>
      </c>
      <c r="H53" s="2">
        <f t="shared" si="21"/>
        <v>394399888469</v>
      </c>
      <c r="I53" s="2">
        <f t="shared" si="21"/>
        <v>70991979944</v>
      </c>
      <c r="J53" s="2">
        <f t="shared" si="21"/>
        <v>357157950</v>
      </c>
      <c r="K53" s="2">
        <f t="shared" si="21"/>
        <v>71349137894</v>
      </c>
      <c r="L53" s="2">
        <f t="shared" si="21"/>
        <v>11042220052</v>
      </c>
      <c r="M53" s="2">
        <f t="shared" si="21"/>
        <v>9897180217</v>
      </c>
      <c r="N53" s="2">
        <f t="shared" si="21"/>
        <v>20939400269</v>
      </c>
      <c r="O53" s="2">
        <f t="shared" si="21"/>
        <v>1067797</v>
      </c>
      <c r="P53" s="2">
        <f t="shared" si="21"/>
        <v>50408669824</v>
      </c>
    </row>
    <row r="54" spans="1:16" x14ac:dyDescent="0.35">
      <c r="A54" t="s">
        <v>76</v>
      </c>
      <c r="B54" t="s">
        <v>77</v>
      </c>
      <c r="C54">
        <v>80525942278</v>
      </c>
      <c r="D54">
        <v>3373172244</v>
      </c>
      <c r="E54">
        <v>1442418061</v>
      </c>
      <c r="F54">
        <v>0</v>
      </c>
      <c r="G54">
        <v>4815590305</v>
      </c>
      <c r="H54">
        <v>75710351973</v>
      </c>
      <c r="I54">
        <v>13627863356</v>
      </c>
      <c r="J54">
        <v>236862304</v>
      </c>
      <c r="K54">
        <v>13864725660</v>
      </c>
      <c r="L54">
        <v>3483474200</v>
      </c>
      <c r="M54">
        <v>2055157778</v>
      </c>
      <c r="N54">
        <v>5538631978</v>
      </c>
      <c r="O54">
        <v>0</v>
      </c>
      <c r="P54">
        <v>8326093681</v>
      </c>
    </row>
    <row r="55" spans="1:16" x14ac:dyDescent="0.35">
      <c r="A55" t="s">
        <v>78</v>
      </c>
      <c r="B55" t="s">
        <v>79</v>
      </c>
      <c r="C55">
        <v>329943504612</v>
      </c>
      <c r="D55">
        <v>11158155944</v>
      </c>
      <c r="E55">
        <v>45724303</v>
      </c>
      <c r="F55">
        <v>50087869</v>
      </c>
      <c r="G55">
        <v>11253968116</v>
      </c>
      <c r="H55">
        <v>318689536496</v>
      </c>
      <c r="I55">
        <v>57364116588</v>
      </c>
      <c r="J55">
        <v>120295646</v>
      </c>
      <c r="K55">
        <v>57484412234</v>
      </c>
      <c r="L55">
        <v>7558745852</v>
      </c>
      <c r="M55">
        <v>7842022439</v>
      </c>
      <c r="N55">
        <v>15400768291</v>
      </c>
      <c r="O55">
        <v>1067797</v>
      </c>
      <c r="P55">
        <v>42082576143</v>
      </c>
    </row>
    <row r="56" spans="1:16" x14ac:dyDescent="0.35">
      <c r="A56" s="2" t="str">
        <f>[2]RCPA2!$A$102</f>
        <v>C22</v>
      </c>
      <c r="B56" s="2" t="str">
        <f>[2]RCPA2!$C$102</f>
        <v>Soft drinks</v>
      </c>
      <c r="C56" s="2">
        <f>C57</f>
        <v>10971377171</v>
      </c>
      <c r="D56" s="2">
        <f t="shared" ref="D56:P56" si="22">D57</f>
        <v>1219530495</v>
      </c>
      <c r="E56" s="2">
        <f t="shared" si="22"/>
        <v>87037216</v>
      </c>
      <c r="F56" s="2">
        <f t="shared" si="22"/>
        <v>0</v>
      </c>
      <c r="G56" s="2">
        <f t="shared" si="22"/>
        <v>1306567711</v>
      </c>
      <c r="H56" s="2">
        <f t="shared" si="22"/>
        <v>9664809461</v>
      </c>
      <c r="I56" s="2">
        <f t="shared" si="22"/>
        <v>1739665708</v>
      </c>
      <c r="J56" s="2">
        <f t="shared" si="22"/>
        <v>0</v>
      </c>
      <c r="K56" s="2">
        <f t="shared" si="22"/>
        <v>1739665708</v>
      </c>
      <c r="L56" s="2">
        <f t="shared" si="22"/>
        <v>149411434</v>
      </c>
      <c r="M56" s="2">
        <f t="shared" si="22"/>
        <v>784005617</v>
      </c>
      <c r="N56" s="2">
        <f t="shared" si="22"/>
        <v>933417051</v>
      </c>
      <c r="O56" s="2">
        <f t="shared" si="22"/>
        <v>0</v>
      </c>
      <c r="P56" s="2">
        <f t="shared" si="22"/>
        <v>806248655</v>
      </c>
    </row>
    <row r="57" spans="1:16" x14ac:dyDescent="0.35">
      <c r="A57" t="s">
        <v>80</v>
      </c>
      <c r="B57" t="s">
        <v>81</v>
      </c>
      <c r="C57">
        <v>10971377171</v>
      </c>
      <c r="D57">
        <v>1219530495</v>
      </c>
      <c r="E57">
        <v>87037216</v>
      </c>
      <c r="F57">
        <v>0</v>
      </c>
      <c r="G57">
        <v>1306567711</v>
      </c>
      <c r="H57">
        <v>9664809461</v>
      </c>
      <c r="I57">
        <v>1739665708</v>
      </c>
      <c r="J57">
        <v>0</v>
      </c>
      <c r="K57">
        <v>1739665708</v>
      </c>
      <c r="L57">
        <v>149411434</v>
      </c>
      <c r="M57">
        <v>784005617</v>
      </c>
      <c r="N57">
        <v>933417051</v>
      </c>
      <c r="O57">
        <v>0</v>
      </c>
      <c r="P57">
        <v>806248655</v>
      </c>
    </row>
    <row r="58" spans="1:16" x14ac:dyDescent="0.35">
      <c r="A58" s="2" t="str">
        <f>[2]RCPA2!$A$105</f>
        <v>C23</v>
      </c>
      <c r="B58" s="2" t="str">
        <f>[2]RCPA2!$C$105</f>
        <v>Tobacco products</v>
      </c>
      <c r="C58" s="2">
        <f>C59</f>
        <v>16118388023</v>
      </c>
      <c r="D58" s="2">
        <f t="shared" ref="D58:P58" si="23">D59</f>
        <v>396517525</v>
      </c>
      <c r="E58" s="2">
        <f t="shared" si="23"/>
        <v>83777400</v>
      </c>
      <c r="F58" s="2">
        <f t="shared" si="23"/>
        <v>0</v>
      </c>
      <c r="G58" s="2">
        <f t="shared" si="23"/>
        <v>480294925</v>
      </c>
      <c r="H58" s="2">
        <f t="shared" si="23"/>
        <v>15638093098</v>
      </c>
      <c r="I58" s="2">
        <f t="shared" si="23"/>
        <v>2814856759</v>
      </c>
      <c r="J58" s="2">
        <f t="shared" si="23"/>
        <v>0</v>
      </c>
      <c r="K58" s="2">
        <f t="shared" si="23"/>
        <v>2814856759</v>
      </c>
      <c r="L58" s="2">
        <f t="shared" si="23"/>
        <v>184648811</v>
      </c>
      <c r="M58" s="2">
        <f t="shared" si="23"/>
        <v>460198201</v>
      </c>
      <c r="N58" s="2">
        <f t="shared" si="23"/>
        <v>644847012</v>
      </c>
      <c r="O58" s="2">
        <f t="shared" si="23"/>
        <v>0</v>
      </c>
      <c r="P58" s="2">
        <f t="shared" si="23"/>
        <v>2170009747</v>
      </c>
    </row>
    <row r="59" spans="1:16" x14ac:dyDescent="0.35">
      <c r="A59" t="s">
        <v>82</v>
      </c>
      <c r="B59" t="s">
        <v>83</v>
      </c>
      <c r="C59">
        <v>16118388023</v>
      </c>
      <c r="D59">
        <v>396517525</v>
      </c>
      <c r="E59">
        <v>83777400</v>
      </c>
      <c r="F59">
        <v>0</v>
      </c>
      <c r="G59">
        <v>480294925</v>
      </c>
      <c r="H59">
        <v>15638093098</v>
      </c>
      <c r="I59">
        <v>2814856759</v>
      </c>
      <c r="J59">
        <v>0</v>
      </c>
      <c r="K59">
        <v>2814856759</v>
      </c>
      <c r="L59">
        <v>184648811</v>
      </c>
      <c r="M59">
        <v>460198201</v>
      </c>
      <c r="N59">
        <v>644847012</v>
      </c>
      <c r="O59">
        <v>0</v>
      </c>
      <c r="P59">
        <v>2170009747</v>
      </c>
    </row>
    <row r="60" spans="1:16" x14ac:dyDescent="0.35">
      <c r="A60" s="2" t="str">
        <f>[2]RCPA2!$A$108</f>
        <v>C30</v>
      </c>
      <c r="B60" s="2" t="str">
        <f>[2]RCPA2!$C$108</f>
        <v>Textiles, clothing &amp; leather products</v>
      </c>
      <c r="C60" s="2">
        <f>C61+C62+C63</f>
        <v>76495542601</v>
      </c>
      <c r="D60" s="2">
        <f t="shared" ref="D60:P60" si="24">D61+D62+D63</f>
        <v>12186048057</v>
      </c>
      <c r="E60" s="2">
        <f t="shared" si="24"/>
        <v>6159973916</v>
      </c>
      <c r="F60" s="2">
        <f t="shared" si="24"/>
        <v>22653070103</v>
      </c>
      <c r="G60" s="2">
        <f t="shared" si="24"/>
        <v>40999092076</v>
      </c>
      <c r="H60" s="2">
        <f t="shared" si="24"/>
        <v>35496450525</v>
      </c>
      <c r="I60" s="2">
        <f t="shared" si="24"/>
        <v>6389361098</v>
      </c>
      <c r="J60" s="2">
        <f t="shared" si="24"/>
        <v>7200</v>
      </c>
      <c r="K60" s="2">
        <f t="shared" si="24"/>
        <v>6389368298</v>
      </c>
      <c r="L60" s="2">
        <f t="shared" si="24"/>
        <v>701605725</v>
      </c>
      <c r="M60" s="2">
        <f t="shared" si="24"/>
        <v>1905129827</v>
      </c>
      <c r="N60" s="2">
        <f t="shared" si="24"/>
        <v>2606735552</v>
      </c>
      <c r="O60" s="2">
        <f t="shared" si="24"/>
        <v>0</v>
      </c>
      <c r="P60" s="2">
        <f t="shared" si="24"/>
        <v>3782632746</v>
      </c>
    </row>
    <row r="61" spans="1:16" x14ac:dyDescent="0.35">
      <c r="A61" t="s">
        <v>84</v>
      </c>
      <c r="B61" t="s">
        <v>85</v>
      </c>
      <c r="C61">
        <v>20695840386</v>
      </c>
      <c r="D61">
        <v>2883254478</v>
      </c>
      <c r="E61">
        <v>321577200</v>
      </c>
      <c r="F61">
        <v>9905881434</v>
      </c>
      <c r="G61">
        <v>13110713112</v>
      </c>
      <c r="H61">
        <v>7585127274</v>
      </c>
      <c r="I61">
        <v>1365322904</v>
      </c>
      <c r="J61">
        <v>0</v>
      </c>
      <c r="K61">
        <v>1365322904</v>
      </c>
      <c r="L61">
        <v>396959480</v>
      </c>
      <c r="M61">
        <v>430856051</v>
      </c>
      <c r="N61">
        <v>827815531</v>
      </c>
      <c r="O61">
        <v>0</v>
      </c>
      <c r="P61">
        <v>537507373</v>
      </c>
    </row>
    <row r="62" spans="1:16" x14ac:dyDescent="0.35">
      <c r="A62" t="s">
        <v>86</v>
      </c>
      <c r="B62" t="s">
        <v>87</v>
      </c>
      <c r="C62">
        <v>27955521830</v>
      </c>
      <c r="D62">
        <v>7744269907</v>
      </c>
      <c r="E62">
        <v>1819680</v>
      </c>
      <c r="F62">
        <v>12747188669</v>
      </c>
      <c r="G62">
        <v>20493278256</v>
      </c>
      <c r="H62">
        <v>7462243574</v>
      </c>
      <c r="I62">
        <v>1343203853</v>
      </c>
      <c r="J62">
        <v>7200</v>
      </c>
      <c r="K62">
        <v>1343211053</v>
      </c>
      <c r="L62">
        <v>78027952</v>
      </c>
      <c r="M62">
        <v>523944981</v>
      </c>
      <c r="N62">
        <v>601972933</v>
      </c>
      <c r="O62">
        <v>0</v>
      </c>
      <c r="P62">
        <v>741238120</v>
      </c>
    </row>
    <row r="63" spans="1:16" x14ac:dyDescent="0.35">
      <c r="A63" t="s">
        <v>88</v>
      </c>
      <c r="B63" t="s">
        <v>89</v>
      </c>
      <c r="C63">
        <v>27844180385</v>
      </c>
      <c r="D63">
        <v>1558523672</v>
      </c>
      <c r="E63">
        <v>5836577036</v>
      </c>
      <c r="F63">
        <v>0</v>
      </c>
      <c r="G63">
        <v>7395100708</v>
      </c>
      <c r="H63">
        <v>20449079677</v>
      </c>
      <c r="I63">
        <v>3680834341</v>
      </c>
      <c r="J63">
        <v>0</v>
      </c>
      <c r="K63">
        <v>3680834341</v>
      </c>
      <c r="L63">
        <v>226618293</v>
      </c>
      <c r="M63">
        <v>950328795</v>
      </c>
      <c r="N63">
        <v>1176947088</v>
      </c>
      <c r="O63">
        <v>0</v>
      </c>
      <c r="P63">
        <v>2503887253</v>
      </c>
    </row>
    <row r="64" spans="1:16" x14ac:dyDescent="0.35">
      <c r="A64" s="2" t="str">
        <f>[2]RCPA2!$A$113</f>
        <v>C41</v>
      </c>
      <c r="B64" s="2" t="str">
        <f>[2]RCPA2!$C$113</f>
        <v>Wood, paper &amp; related products</v>
      </c>
      <c r="C64" s="2">
        <f>C65+C66+C67</f>
        <v>46945286858</v>
      </c>
      <c r="D64" s="2">
        <f t="shared" ref="D64:P64" si="25">D65+D66+D67</f>
        <v>4585350621</v>
      </c>
      <c r="E64" s="2">
        <f t="shared" si="25"/>
        <v>10414636476</v>
      </c>
      <c r="F64" s="2">
        <f t="shared" si="25"/>
        <v>0</v>
      </c>
      <c r="G64" s="2">
        <f t="shared" si="25"/>
        <v>14999987097</v>
      </c>
      <c r="H64" s="2">
        <f t="shared" si="25"/>
        <v>31945299761</v>
      </c>
      <c r="I64" s="2">
        <f t="shared" si="25"/>
        <v>5750153995</v>
      </c>
      <c r="J64" s="2">
        <f t="shared" si="25"/>
        <v>0</v>
      </c>
      <c r="K64" s="2">
        <f t="shared" si="25"/>
        <v>5750153995</v>
      </c>
      <c r="L64" s="2">
        <f t="shared" si="25"/>
        <v>257053327</v>
      </c>
      <c r="M64" s="2">
        <f t="shared" si="25"/>
        <v>2464797059</v>
      </c>
      <c r="N64" s="2">
        <f t="shared" si="25"/>
        <v>2721850386</v>
      </c>
      <c r="O64" s="2">
        <f t="shared" si="25"/>
        <v>0</v>
      </c>
      <c r="P64" s="2">
        <f t="shared" si="25"/>
        <v>3028303604</v>
      </c>
    </row>
    <row r="65" spans="1:17" x14ac:dyDescent="0.35">
      <c r="A65" t="s">
        <v>90</v>
      </c>
      <c r="B65" t="s">
        <v>91</v>
      </c>
      <c r="C65">
        <v>13641024720</v>
      </c>
      <c r="D65">
        <v>1819065730</v>
      </c>
      <c r="E65">
        <v>99656000</v>
      </c>
      <c r="F65">
        <v>0</v>
      </c>
      <c r="G65">
        <v>1918721730</v>
      </c>
      <c r="H65">
        <v>11722302990</v>
      </c>
      <c r="I65">
        <v>2110014562</v>
      </c>
      <c r="J65">
        <v>0</v>
      </c>
      <c r="K65">
        <v>2110014562</v>
      </c>
      <c r="L65">
        <v>106777818</v>
      </c>
      <c r="M65">
        <v>1706559809</v>
      </c>
      <c r="N65">
        <v>1813337627</v>
      </c>
      <c r="O65">
        <v>0</v>
      </c>
      <c r="P65">
        <v>296676932</v>
      </c>
    </row>
    <row r="66" spans="1:17" x14ac:dyDescent="0.35">
      <c r="A66" t="s">
        <v>92</v>
      </c>
      <c r="B66" t="s">
        <v>93</v>
      </c>
      <c r="C66">
        <v>32674798918</v>
      </c>
      <c r="D66">
        <v>2764955641</v>
      </c>
      <c r="E66">
        <v>10314960476</v>
      </c>
      <c r="F66">
        <v>0</v>
      </c>
      <c r="G66">
        <v>13079916117</v>
      </c>
      <c r="H66">
        <v>19594882801</v>
      </c>
      <c r="I66">
        <v>3527078915</v>
      </c>
      <c r="J66">
        <v>0</v>
      </c>
      <c r="K66">
        <v>3527078915</v>
      </c>
      <c r="L66">
        <v>150275509</v>
      </c>
      <c r="M66">
        <v>693373534</v>
      </c>
      <c r="N66">
        <v>843649043</v>
      </c>
      <c r="O66">
        <v>0</v>
      </c>
      <c r="P66">
        <v>2683429871</v>
      </c>
    </row>
    <row r="67" spans="1:17" x14ac:dyDescent="0.35">
      <c r="A67" t="s">
        <v>94</v>
      </c>
      <c r="B67" t="s">
        <v>95</v>
      </c>
      <c r="C67">
        <v>629463220</v>
      </c>
      <c r="D67">
        <v>1329250</v>
      </c>
      <c r="E67">
        <v>20000</v>
      </c>
      <c r="F67">
        <v>0</v>
      </c>
      <c r="G67">
        <v>1349250</v>
      </c>
      <c r="H67">
        <v>628113970</v>
      </c>
      <c r="I67">
        <v>113060518</v>
      </c>
      <c r="J67">
        <v>0</v>
      </c>
      <c r="K67">
        <v>113060518</v>
      </c>
      <c r="L67">
        <v>0</v>
      </c>
      <c r="M67">
        <v>64863716</v>
      </c>
      <c r="N67">
        <v>64863716</v>
      </c>
      <c r="O67">
        <v>0</v>
      </c>
      <c r="P67">
        <v>48196801</v>
      </c>
    </row>
    <row r="68" spans="1:17" x14ac:dyDescent="0.35">
      <c r="A68" s="2" t="str">
        <f>[2]RCPA2!$A$117</f>
        <v>C42</v>
      </c>
      <c r="B68" s="2" t="str">
        <f>[2]RCPA2!$C$117</f>
        <v>Printing &amp; reproduction of recorded media</v>
      </c>
      <c r="C68" s="2">
        <f>C69</f>
        <v>26123443855</v>
      </c>
      <c r="D68" s="2">
        <f t="shared" ref="D68:P68" si="26">D69</f>
        <v>2013013770</v>
      </c>
      <c r="E68" s="2">
        <f t="shared" si="26"/>
        <v>35573825</v>
      </c>
      <c r="F68" s="2">
        <f t="shared" si="26"/>
        <v>0</v>
      </c>
      <c r="G68" s="2">
        <f t="shared" si="26"/>
        <v>2048587595</v>
      </c>
      <c r="H68" s="2">
        <f t="shared" si="26"/>
        <v>24074856260</v>
      </c>
      <c r="I68" s="2">
        <f t="shared" si="26"/>
        <v>4333474168</v>
      </c>
      <c r="J68" s="2">
        <f t="shared" si="26"/>
        <v>0</v>
      </c>
      <c r="K68" s="2">
        <f t="shared" si="26"/>
        <v>4333474168</v>
      </c>
      <c r="L68" s="2">
        <f t="shared" si="26"/>
        <v>333919528</v>
      </c>
      <c r="M68" s="2">
        <f t="shared" si="26"/>
        <v>1937467627</v>
      </c>
      <c r="N68" s="2">
        <f t="shared" si="26"/>
        <v>2271387155</v>
      </c>
      <c r="O68" s="2">
        <f t="shared" si="26"/>
        <v>0</v>
      </c>
      <c r="P68" s="2">
        <f t="shared" si="26"/>
        <v>2062087004</v>
      </c>
    </row>
    <row r="69" spans="1:17" x14ac:dyDescent="0.35">
      <c r="A69" t="s">
        <v>96</v>
      </c>
      <c r="B69" t="s">
        <v>97</v>
      </c>
      <c r="C69">
        <v>26123443855</v>
      </c>
      <c r="D69">
        <v>2013013770</v>
      </c>
      <c r="E69">
        <v>35573825</v>
      </c>
      <c r="F69">
        <v>0</v>
      </c>
      <c r="G69">
        <v>2048587595</v>
      </c>
      <c r="H69">
        <v>24074856260</v>
      </c>
      <c r="I69">
        <v>4333474168</v>
      </c>
      <c r="J69">
        <v>0</v>
      </c>
      <c r="K69">
        <v>4333474168</v>
      </c>
      <c r="L69">
        <v>333919528</v>
      </c>
      <c r="M69">
        <v>1937467627</v>
      </c>
      <c r="N69">
        <v>2271387155</v>
      </c>
      <c r="O69">
        <v>0</v>
      </c>
      <c r="P69">
        <v>2062087004</v>
      </c>
    </row>
    <row r="70" spans="1:17" x14ac:dyDescent="0.35">
      <c r="A70" s="2" t="str">
        <f>[2]RCPA2!$A$120</f>
        <v>C51</v>
      </c>
      <c r="B70" s="2" t="str">
        <f>[2]RCPA2!$C$120</f>
        <v>Refined petroleum products; coke</v>
      </c>
      <c r="C70" s="2">
        <f>C71</f>
        <v>11239882656</v>
      </c>
      <c r="D70" s="2">
        <f t="shared" ref="D70:P70" si="27">D71</f>
        <v>738178468</v>
      </c>
      <c r="E70" s="2">
        <f t="shared" si="27"/>
        <v>9171696</v>
      </c>
      <c r="F70" s="2">
        <f t="shared" si="27"/>
        <v>0</v>
      </c>
      <c r="G70" s="2">
        <f t="shared" si="27"/>
        <v>747350164</v>
      </c>
      <c r="H70" s="2">
        <f t="shared" si="27"/>
        <v>10492532492</v>
      </c>
      <c r="I70" s="2">
        <f t="shared" si="27"/>
        <v>1888655853</v>
      </c>
      <c r="J70" s="2">
        <f t="shared" si="27"/>
        <v>104034</v>
      </c>
      <c r="K70" s="2">
        <f t="shared" si="27"/>
        <v>1888759887</v>
      </c>
      <c r="L70" s="2">
        <f t="shared" si="27"/>
        <v>335651799</v>
      </c>
      <c r="M70" s="2">
        <f t="shared" si="27"/>
        <v>201592550</v>
      </c>
      <c r="N70" s="2">
        <f t="shared" si="27"/>
        <v>537244349</v>
      </c>
      <c r="O70" s="2">
        <f t="shared" si="27"/>
        <v>0</v>
      </c>
      <c r="P70" s="2">
        <f t="shared" si="27"/>
        <v>1351515538</v>
      </c>
    </row>
    <row r="71" spans="1:17" x14ac:dyDescent="0.35">
      <c r="A71" t="s">
        <v>98</v>
      </c>
      <c r="B71" t="s">
        <v>99</v>
      </c>
      <c r="C71">
        <v>11239882656</v>
      </c>
      <c r="D71">
        <v>738178468</v>
      </c>
      <c r="E71">
        <v>9171696</v>
      </c>
      <c r="F71">
        <v>0</v>
      </c>
      <c r="G71">
        <v>747350164</v>
      </c>
      <c r="H71">
        <v>10492532492</v>
      </c>
      <c r="I71">
        <v>1888655853</v>
      </c>
      <c r="J71">
        <v>104034</v>
      </c>
      <c r="K71">
        <v>1888759887</v>
      </c>
      <c r="L71">
        <v>335651799</v>
      </c>
      <c r="M71">
        <v>201592550</v>
      </c>
      <c r="N71">
        <v>537244349</v>
      </c>
      <c r="O71">
        <v>0</v>
      </c>
      <c r="P71">
        <v>1351515538</v>
      </c>
    </row>
    <row r="72" spans="1:17" x14ac:dyDescent="0.35">
      <c r="A72" s="2" t="str">
        <f>[2]RCPA2!$A$122</f>
        <v>C52</v>
      </c>
      <c r="B72" s="2" t="str">
        <f>[2]RCPA2!$C$122</f>
        <v>Chemicals &amp; chemical products</v>
      </c>
      <c r="C72" s="2">
        <f>C73+C74+C75+C76</f>
        <v>110372097438</v>
      </c>
      <c r="D72" s="2">
        <f t="shared" ref="D72:P72" si="28">D73+D74+D75+D76</f>
        <v>17289854854</v>
      </c>
      <c r="E72" s="2">
        <f t="shared" si="28"/>
        <v>11045396682</v>
      </c>
      <c r="F72" s="2">
        <f t="shared" si="28"/>
        <v>0</v>
      </c>
      <c r="G72" s="2">
        <f t="shared" si="28"/>
        <v>28335251536</v>
      </c>
      <c r="H72" s="2">
        <f t="shared" si="28"/>
        <v>82036845902</v>
      </c>
      <c r="I72" s="2">
        <f t="shared" si="28"/>
        <v>14766632267</v>
      </c>
      <c r="J72" s="2">
        <f t="shared" si="28"/>
        <v>105238472</v>
      </c>
      <c r="K72" s="2">
        <f t="shared" si="28"/>
        <v>14871870739</v>
      </c>
      <c r="L72" s="2">
        <f t="shared" si="28"/>
        <v>1799822090</v>
      </c>
      <c r="M72" s="2">
        <f t="shared" si="28"/>
        <v>4459876353</v>
      </c>
      <c r="N72" s="2">
        <f t="shared" si="28"/>
        <v>6259698443</v>
      </c>
      <c r="O72" s="2">
        <f t="shared" si="28"/>
        <v>105130022</v>
      </c>
      <c r="P72" s="2">
        <f t="shared" si="28"/>
        <v>8507042268</v>
      </c>
    </row>
    <row r="73" spans="1:17" x14ac:dyDescent="0.35">
      <c r="A73" t="s">
        <v>100</v>
      </c>
      <c r="B73" t="s">
        <v>101</v>
      </c>
      <c r="C73">
        <v>11871575225</v>
      </c>
      <c r="D73">
        <v>11359466180</v>
      </c>
      <c r="E73">
        <v>0</v>
      </c>
      <c r="F73">
        <v>0</v>
      </c>
      <c r="G73">
        <v>11359466180</v>
      </c>
      <c r="H73">
        <v>512109045</v>
      </c>
      <c r="I73">
        <v>92179629</v>
      </c>
      <c r="J73">
        <v>0</v>
      </c>
      <c r="K73">
        <v>92179629</v>
      </c>
      <c r="L73">
        <v>20791326</v>
      </c>
      <c r="M73">
        <v>70536884</v>
      </c>
      <c r="N73">
        <v>91328210</v>
      </c>
      <c r="O73">
        <v>0</v>
      </c>
      <c r="P73">
        <v>851419</v>
      </c>
    </row>
    <row r="74" spans="1:17" x14ac:dyDescent="0.35">
      <c r="A74" t="s">
        <v>102</v>
      </c>
      <c r="B74" t="s">
        <v>103</v>
      </c>
      <c r="C74">
        <v>37554673475</v>
      </c>
      <c r="D74">
        <v>3152733512</v>
      </c>
      <c r="E74">
        <v>2170388262</v>
      </c>
      <c r="F74">
        <v>0</v>
      </c>
      <c r="G74">
        <v>5323121774</v>
      </c>
      <c r="H74">
        <v>32231551701</v>
      </c>
      <c r="I74">
        <v>5801679310</v>
      </c>
      <c r="J74">
        <v>105130022</v>
      </c>
      <c r="K74">
        <v>5906809332</v>
      </c>
      <c r="L74">
        <v>894552541</v>
      </c>
      <c r="M74">
        <v>1717944967</v>
      </c>
      <c r="N74">
        <v>2612497508</v>
      </c>
      <c r="O74">
        <v>105130022</v>
      </c>
      <c r="P74">
        <v>3189181798</v>
      </c>
    </row>
    <row r="75" spans="1:17" x14ac:dyDescent="0.35">
      <c r="A75" t="s">
        <v>104</v>
      </c>
      <c r="B75" t="s">
        <v>105</v>
      </c>
      <c r="C75">
        <v>46132224845</v>
      </c>
      <c r="D75">
        <v>1257231220</v>
      </c>
      <c r="E75">
        <v>37436466</v>
      </c>
      <c r="F75">
        <v>0</v>
      </c>
      <c r="G75">
        <v>1294667686</v>
      </c>
      <c r="H75">
        <v>44837557159</v>
      </c>
      <c r="I75">
        <v>8070760288</v>
      </c>
      <c r="J75">
        <v>108450</v>
      </c>
      <c r="K75">
        <v>8070868738</v>
      </c>
      <c r="L75">
        <v>463654901</v>
      </c>
      <c r="M75">
        <v>2448831504</v>
      </c>
      <c r="N75">
        <v>2912486405</v>
      </c>
      <c r="O75">
        <v>0</v>
      </c>
      <c r="P75">
        <v>5158382332</v>
      </c>
    </row>
    <row r="76" spans="1:17" x14ac:dyDescent="0.35">
      <c r="A76" t="s">
        <v>106</v>
      </c>
      <c r="B76" t="s">
        <v>107</v>
      </c>
      <c r="C76">
        <v>14813623893</v>
      </c>
      <c r="D76">
        <v>1520423942</v>
      </c>
      <c r="E76">
        <v>8837571954</v>
      </c>
      <c r="F76">
        <v>0</v>
      </c>
      <c r="G76">
        <v>10357995896</v>
      </c>
      <c r="H76">
        <v>4455627997</v>
      </c>
      <c r="I76">
        <v>802013040</v>
      </c>
      <c r="J76">
        <v>0</v>
      </c>
      <c r="K76">
        <v>802013040</v>
      </c>
      <c r="L76">
        <v>420823322</v>
      </c>
      <c r="M76">
        <v>222562998</v>
      </c>
      <c r="N76">
        <v>643386320</v>
      </c>
      <c r="O76">
        <v>0</v>
      </c>
      <c r="P76">
        <v>158626719</v>
      </c>
    </row>
    <row r="77" spans="1:17" x14ac:dyDescent="0.35">
      <c r="A77" s="2" t="str">
        <f>[2]RCPA2!$A$127</f>
        <v>C53</v>
      </c>
      <c r="B77" s="2" t="str">
        <f>[2]RCPA2!$C$127</f>
        <v>Pharmaceutical products</v>
      </c>
      <c r="C77" s="2">
        <f>C78</f>
        <v>115772336670</v>
      </c>
      <c r="D77" s="2">
        <f t="shared" ref="D77:P77" si="29">D78</f>
        <v>103496778159</v>
      </c>
      <c r="E77" s="2">
        <f t="shared" si="29"/>
        <v>5853016184</v>
      </c>
      <c r="F77" s="2">
        <f t="shared" si="29"/>
        <v>0</v>
      </c>
      <c r="G77" s="2">
        <f t="shared" si="29"/>
        <v>109349794343</v>
      </c>
      <c r="H77" s="2">
        <f t="shared" si="29"/>
        <v>6422542330</v>
      </c>
      <c r="I77" s="2">
        <f t="shared" si="29"/>
        <v>1156057626</v>
      </c>
      <c r="J77" s="2">
        <f t="shared" si="29"/>
        <v>37583911</v>
      </c>
      <c r="K77" s="2">
        <f t="shared" si="29"/>
        <v>1193641537</v>
      </c>
      <c r="L77" s="2">
        <f t="shared" si="29"/>
        <v>441834637</v>
      </c>
      <c r="M77" s="2">
        <f t="shared" si="29"/>
        <v>2590163713</v>
      </c>
      <c r="N77" s="2">
        <f t="shared" si="29"/>
        <v>3031998350</v>
      </c>
      <c r="O77" s="2">
        <f t="shared" si="29"/>
        <v>0</v>
      </c>
      <c r="P77" s="2">
        <f t="shared" si="29"/>
        <v>-1838356817</v>
      </c>
    </row>
    <row r="78" spans="1:17" x14ac:dyDescent="0.35">
      <c r="A78" t="s">
        <v>108</v>
      </c>
      <c r="B78" t="s">
        <v>109</v>
      </c>
      <c r="C78">
        <v>115772336670</v>
      </c>
      <c r="D78">
        <v>103496778159</v>
      </c>
      <c r="E78">
        <v>5853016184</v>
      </c>
      <c r="F78">
        <v>0</v>
      </c>
      <c r="G78">
        <v>109349794343</v>
      </c>
      <c r="H78">
        <v>6422542330</v>
      </c>
      <c r="I78">
        <v>1156057626</v>
      </c>
      <c r="J78">
        <v>37583911</v>
      </c>
      <c r="K78">
        <v>1193641537</v>
      </c>
      <c r="L78">
        <v>441834637</v>
      </c>
      <c r="M78">
        <v>2590163713</v>
      </c>
      <c r="N78">
        <v>3031998350</v>
      </c>
      <c r="O78">
        <v>0</v>
      </c>
      <c r="P78">
        <v>-1838356817</v>
      </c>
    </row>
    <row r="79" spans="1:17" x14ac:dyDescent="0.35">
      <c r="A79" s="2" t="str">
        <f>[2]RCPA2!$A$129</f>
        <v>C54</v>
      </c>
      <c r="B79" s="2" t="str">
        <f>[2]RCPA2!$C$129</f>
        <v>Rubber &amp; plastics products</v>
      </c>
      <c r="C79" s="2">
        <f>C80</f>
        <v>30733346998</v>
      </c>
      <c r="D79" s="2">
        <f t="shared" ref="D79:P79" si="30">D80</f>
        <v>2975732758</v>
      </c>
      <c r="E79" s="2">
        <f t="shared" si="30"/>
        <v>2067470294</v>
      </c>
      <c r="F79" s="2">
        <f t="shared" si="30"/>
        <v>1005600</v>
      </c>
      <c r="G79" s="2">
        <f t="shared" si="30"/>
        <v>5044208652</v>
      </c>
      <c r="H79" s="2">
        <f t="shared" si="30"/>
        <v>25689138346</v>
      </c>
      <c r="I79" s="2">
        <f t="shared" si="30"/>
        <v>4624044904</v>
      </c>
      <c r="J79" s="2">
        <f t="shared" si="30"/>
        <v>0</v>
      </c>
      <c r="K79" s="2">
        <f t="shared" si="30"/>
        <v>4624044904</v>
      </c>
      <c r="L79" s="2">
        <f t="shared" si="30"/>
        <v>1721151029</v>
      </c>
      <c r="M79" s="2">
        <f t="shared" si="30"/>
        <v>456710912</v>
      </c>
      <c r="N79" s="2">
        <f t="shared" si="30"/>
        <v>2177861941</v>
      </c>
      <c r="O79" s="2">
        <f t="shared" si="30"/>
        <v>0</v>
      </c>
      <c r="P79" s="2">
        <f t="shared" si="30"/>
        <v>2446182963</v>
      </c>
      <c r="Q79" s="2"/>
    </row>
    <row r="80" spans="1:17" x14ac:dyDescent="0.35">
      <c r="A80" t="s">
        <v>112</v>
      </c>
      <c r="B80" t="s">
        <v>113</v>
      </c>
      <c r="C80">
        <v>30733346998</v>
      </c>
      <c r="D80">
        <v>2975732758</v>
      </c>
      <c r="E80">
        <v>2067470294</v>
      </c>
      <c r="F80">
        <v>1005600</v>
      </c>
      <c r="G80">
        <v>5044208652</v>
      </c>
      <c r="H80">
        <v>25689138346</v>
      </c>
      <c r="I80">
        <v>4624044904</v>
      </c>
      <c r="J80">
        <v>0</v>
      </c>
      <c r="K80">
        <v>4624044904</v>
      </c>
      <c r="L80">
        <v>1721151029</v>
      </c>
      <c r="M80">
        <v>456710912</v>
      </c>
      <c r="N80">
        <v>2177861941</v>
      </c>
      <c r="O80">
        <v>0</v>
      </c>
      <c r="P80">
        <v>2446182963</v>
      </c>
    </row>
    <row r="81" spans="1:16" x14ac:dyDescent="0.35">
      <c r="A81" s="2" t="str">
        <f>[2]RCPA2!$A$134</f>
        <v>C61</v>
      </c>
      <c r="B81" s="2" t="str">
        <f>[2]RCPA2!$C$134</f>
        <v>Non-metallic mineral products n.e.c.</v>
      </c>
      <c r="C81" s="2">
        <f>C82</f>
        <v>14166872055</v>
      </c>
      <c r="D81" s="2">
        <f t="shared" ref="D81:P81" si="31">D82</f>
        <v>5796486461</v>
      </c>
      <c r="E81" s="2">
        <f t="shared" si="31"/>
        <v>51551444</v>
      </c>
      <c r="F81" s="2">
        <f t="shared" si="31"/>
        <v>0</v>
      </c>
      <c r="G81" s="2">
        <f t="shared" si="31"/>
        <v>5848037905</v>
      </c>
      <c r="H81" s="2">
        <f t="shared" si="31"/>
        <v>8318834150</v>
      </c>
      <c r="I81" s="2">
        <f t="shared" si="31"/>
        <v>1497390148</v>
      </c>
      <c r="J81" s="2">
        <f t="shared" si="31"/>
        <v>5058368</v>
      </c>
      <c r="K81" s="2">
        <f t="shared" si="31"/>
        <v>1502448516</v>
      </c>
      <c r="L81" s="2">
        <f t="shared" si="31"/>
        <v>144624245</v>
      </c>
      <c r="M81" s="2">
        <f t="shared" si="31"/>
        <v>801159044</v>
      </c>
      <c r="N81" s="2">
        <f t="shared" si="31"/>
        <v>945783289</v>
      </c>
      <c r="O81" s="2">
        <f t="shared" si="31"/>
        <v>0</v>
      </c>
      <c r="P81" s="2">
        <f t="shared" si="31"/>
        <v>556665227</v>
      </c>
    </row>
    <row r="82" spans="1:16" x14ac:dyDescent="0.35">
      <c r="A82" t="s">
        <v>114</v>
      </c>
      <c r="B82" t="s">
        <v>115</v>
      </c>
      <c r="C82">
        <v>14166872055</v>
      </c>
      <c r="D82">
        <v>5796486461</v>
      </c>
      <c r="E82">
        <v>51551444</v>
      </c>
      <c r="F82">
        <v>0</v>
      </c>
      <c r="G82">
        <v>5848037905</v>
      </c>
      <c r="H82">
        <v>8318834150</v>
      </c>
      <c r="I82">
        <v>1497390148</v>
      </c>
      <c r="J82">
        <v>5058368</v>
      </c>
      <c r="K82">
        <v>1502448516</v>
      </c>
      <c r="L82">
        <v>144624245</v>
      </c>
      <c r="M82">
        <v>801159044</v>
      </c>
      <c r="N82">
        <v>945783289</v>
      </c>
      <c r="O82">
        <v>0</v>
      </c>
      <c r="P82">
        <v>556665227</v>
      </c>
    </row>
    <row r="83" spans="1:16" x14ac:dyDescent="0.35">
      <c r="A83" s="2" t="str">
        <f>[2]RCPA2!$A$136</f>
        <v>C62</v>
      </c>
      <c r="B83" s="11" t="str">
        <f>[2]RCPA2!$C$136</f>
        <v>Manufacture of cement, lime &amp; plaster</v>
      </c>
      <c r="C83" s="2">
        <f>C84+C85</f>
        <v>189547382733</v>
      </c>
      <c r="D83" s="2">
        <f t="shared" ref="D83:P83" si="32">D84+D85</f>
        <v>2446900330</v>
      </c>
      <c r="E83" s="2">
        <f t="shared" si="32"/>
        <v>55672018503</v>
      </c>
      <c r="F83" s="2">
        <f t="shared" si="32"/>
        <v>0</v>
      </c>
      <c r="G83" s="2">
        <f t="shared" si="32"/>
        <v>58118918833</v>
      </c>
      <c r="H83" s="2">
        <f t="shared" si="32"/>
        <v>131428463900</v>
      </c>
      <c r="I83" s="2">
        <f t="shared" si="32"/>
        <v>23657123500</v>
      </c>
      <c r="J83" s="2">
        <f t="shared" si="32"/>
        <v>373655201</v>
      </c>
      <c r="K83" s="2">
        <f t="shared" si="32"/>
        <v>24030778701</v>
      </c>
      <c r="L83" s="2">
        <f t="shared" si="32"/>
        <v>3466305571</v>
      </c>
      <c r="M83" s="2">
        <f t="shared" si="32"/>
        <v>9833893845</v>
      </c>
      <c r="N83" s="2">
        <f t="shared" si="32"/>
        <v>13300199416</v>
      </c>
      <c r="O83" s="2">
        <f t="shared" si="32"/>
        <v>17073853</v>
      </c>
      <c r="P83" s="2">
        <f t="shared" si="32"/>
        <v>10713505432</v>
      </c>
    </row>
    <row r="84" spans="1:16" x14ac:dyDescent="0.35">
      <c r="A84" t="s">
        <v>116</v>
      </c>
      <c r="B84" t="s">
        <v>117</v>
      </c>
      <c r="C84">
        <v>160371170522</v>
      </c>
      <c r="D84">
        <v>278523525</v>
      </c>
      <c r="E84">
        <v>53951628589</v>
      </c>
      <c r="F84">
        <v>0</v>
      </c>
      <c r="G84">
        <v>54230152114</v>
      </c>
      <c r="H84">
        <v>106141018408</v>
      </c>
      <c r="I84">
        <v>19105383311</v>
      </c>
      <c r="J84">
        <v>373655201</v>
      </c>
      <c r="K84">
        <v>19479038512</v>
      </c>
      <c r="L84">
        <v>914721268</v>
      </c>
      <c r="M84">
        <v>5697440070</v>
      </c>
      <c r="N84">
        <v>6612161338</v>
      </c>
      <c r="O84">
        <v>17073853</v>
      </c>
      <c r="P84">
        <v>12849803321</v>
      </c>
    </row>
    <row r="85" spans="1:16" x14ac:dyDescent="0.35">
      <c r="A85" t="s">
        <v>118</v>
      </c>
      <c r="B85" t="s">
        <v>119</v>
      </c>
      <c r="C85">
        <v>29176212211</v>
      </c>
      <c r="D85">
        <v>2168376805</v>
      </c>
      <c r="E85">
        <v>1720389914</v>
      </c>
      <c r="F85">
        <v>0</v>
      </c>
      <c r="G85">
        <v>3888766719</v>
      </c>
      <c r="H85">
        <v>25287445492</v>
      </c>
      <c r="I85">
        <v>4551740189</v>
      </c>
      <c r="J85">
        <v>0</v>
      </c>
      <c r="K85">
        <v>4551740189</v>
      </c>
      <c r="L85">
        <v>2551584303</v>
      </c>
      <c r="M85">
        <v>4136453775</v>
      </c>
      <c r="N85">
        <v>6688038078</v>
      </c>
      <c r="O85">
        <v>0</v>
      </c>
      <c r="P85">
        <v>-2136297889</v>
      </c>
    </row>
    <row r="86" spans="1:16" x14ac:dyDescent="0.35">
      <c r="A86" s="2" t="str">
        <f>[2]RCPA2!$A$139</f>
        <v>C63</v>
      </c>
      <c r="B86" s="11" t="str">
        <f>[2]RCPA2!$C$139</f>
        <v>Manufacture of clay building materials</v>
      </c>
      <c r="C86" s="2">
        <f>C87</f>
        <v>5000006771</v>
      </c>
      <c r="D86" s="2">
        <f t="shared" ref="D86:P86" si="33">D87</f>
        <v>1033651018</v>
      </c>
      <c r="E86" s="2">
        <f t="shared" si="33"/>
        <v>0</v>
      </c>
      <c r="F86" s="2">
        <f t="shared" si="33"/>
        <v>0</v>
      </c>
      <c r="G86" s="2">
        <f t="shared" si="33"/>
        <v>1033651018</v>
      </c>
      <c r="H86" s="2">
        <f t="shared" si="33"/>
        <v>3966355752</v>
      </c>
      <c r="I86" s="2">
        <f t="shared" si="33"/>
        <v>713944036</v>
      </c>
      <c r="J86" s="2">
        <f t="shared" si="33"/>
        <v>0</v>
      </c>
      <c r="K86" s="2">
        <f t="shared" si="33"/>
        <v>713944036</v>
      </c>
      <c r="L86" s="2">
        <f t="shared" si="33"/>
        <v>49763581</v>
      </c>
      <c r="M86" s="2">
        <f t="shared" si="33"/>
        <v>747936617</v>
      </c>
      <c r="N86" s="2">
        <f t="shared" si="33"/>
        <v>797700198</v>
      </c>
      <c r="O86" s="2">
        <f t="shared" si="33"/>
        <v>0</v>
      </c>
      <c r="P86" s="2">
        <f t="shared" si="33"/>
        <v>-83756162</v>
      </c>
    </row>
    <row r="87" spans="1:16" x14ac:dyDescent="0.35">
      <c r="A87" t="s">
        <v>120</v>
      </c>
      <c r="B87" t="s">
        <v>121</v>
      </c>
      <c r="C87">
        <v>5000006771</v>
      </c>
      <c r="D87">
        <v>1033651018</v>
      </c>
      <c r="E87">
        <v>0</v>
      </c>
      <c r="F87">
        <v>0</v>
      </c>
      <c r="G87">
        <v>1033651018</v>
      </c>
      <c r="H87">
        <v>3966355752</v>
      </c>
      <c r="I87">
        <v>713944036</v>
      </c>
      <c r="J87">
        <v>0</v>
      </c>
      <c r="K87">
        <v>713944036</v>
      </c>
      <c r="L87">
        <v>49763581</v>
      </c>
      <c r="M87">
        <v>747936617</v>
      </c>
      <c r="N87">
        <v>797700198</v>
      </c>
      <c r="O87">
        <v>0</v>
      </c>
      <c r="P87">
        <v>-83756162</v>
      </c>
    </row>
    <row r="88" spans="1:16" x14ac:dyDescent="0.35">
      <c r="A88" s="2" t="str">
        <f>[2]RCPA2!$A$142</f>
        <v>C72</v>
      </c>
      <c r="B88" s="2" t="str">
        <f>[2]RCPA2!$C$142</f>
        <v>Metals &amp; metal products, except machinery &amp; equipment</v>
      </c>
      <c r="C88" s="2">
        <f>C89+C90+C91</f>
        <v>134531412829</v>
      </c>
      <c r="D88" s="2">
        <f t="shared" ref="D88:P88" si="34">D89+D90+D91</f>
        <v>4065187329</v>
      </c>
      <c r="E88" s="2">
        <f t="shared" si="34"/>
        <v>28088013038</v>
      </c>
      <c r="F88" s="2">
        <f t="shared" si="34"/>
        <v>9917535071</v>
      </c>
      <c r="G88" s="2">
        <f t="shared" si="34"/>
        <v>42070735438</v>
      </c>
      <c r="H88" s="2">
        <f t="shared" si="34"/>
        <v>92460677391</v>
      </c>
      <c r="I88" s="2">
        <f t="shared" si="34"/>
        <v>16642921936</v>
      </c>
      <c r="J88" s="2">
        <f t="shared" si="34"/>
        <v>144602789</v>
      </c>
      <c r="K88" s="2">
        <f t="shared" si="34"/>
        <v>16787524725</v>
      </c>
      <c r="L88" s="2">
        <f t="shared" si="34"/>
        <v>1614244240</v>
      </c>
      <c r="M88" s="2">
        <f t="shared" si="34"/>
        <v>8155522557</v>
      </c>
      <c r="N88" s="2">
        <f t="shared" si="34"/>
        <v>9769766797</v>
      </c>
      <c r="O88" s="2">
        <f t="shared" si="34"/>
        <v>134315073</v>
      </c>
      <c r="P88" s="2">
        <f t="shared" si="34"/>
        <v>6883442854</v>
      </c>
    </row>
    <row r="89" spans="1:16" x14ac:dyDescent="0.35">
      <c r="A89" t="s">
        <v>122</v>
      </c>
      <c r="B89" t="s">
        <v>123</v>
      </c>
      <c r="C89">
        <v>83577318489</v>
      </c>
      <c r="D89">
        <v>2507482448</v>
      </c>
      <c r="E89">
        <v>21674810838</v>
      </c>
      <c r="F89">
        <v>0</v>
      </c>
      <c r="G89">
        <v>24182293286</v>
      </c>
      <c r="H89">
        <v>59395025203</v>
      </c>
      <c r="I89">
        <v>10691104537</v>
      </c>
      <c r="J89">
        <v>134684075</v>
      </c>
      <c r="K89">
        <v>10825788612</v>
      </c>
      <c r="L89">
        <v>869235379</v>
      </c>
      <c r="M89">
        <v>6889204312</v>
      </c>
      <c r="N89">
        <v>7758439691</v>
      </c>
      <c r="O89">
        <v>134315073</v>
      </c>
      <c r="P89">
        <v>2933033848</v>
      </c>
    </row>
    <row r="90" spans="1:16" x14ac:dyDescent="0.35">
      <c r="A90" t="s">
        <v>124</v>
      </c>
      <c r="B90" t="s">
        <v>125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5">
      <c r="A91" t="s">
        <v>126</v>
      </c>
      <c r="B91" t="s">
        <v>127</v>
      </c>
      <c r="C91">
        <v>50954094340</v>
      </c>
      <c r="D91">
        <v>1557704881</v>
      </c>
      <c r="E91">
        <v>6413202200</v>
      </c>
      <c r="F91">
        <v>9917535071</v>
      </c>
      <c r="G91">
        <v>17888442152</v>
      </c>
      <c r="H91">
        <v>33065652188</v>
      </c>
      <c r="I91">
        <v>5951817399</v>
      </c>
      <c r="J91">
        <v>9918714</v>
      </c>
      <c r="K91">
        <v>5961736113</v>
      </c>
      <c r="L91">
        <v>745008861</v>
      </c>
      <c r="M91">
        <v>1266318245</v>
      </c>
      <c r="N91">
        <v>2011327106</v>
      </c>
      <c r="O91">
        <v>0</v>
      </c>
      <c r="P91">
        <v>3950409006</v>
      </c>
    </row>
    <row r="92" spans="1:16" x14ac:dyDescent="0.35">
      <c r="A92" s="2" t="str">
        <f>[2]RCPA2!$A$146</f>
        <v>C74</v>
      </c>
      <c r="B92" s="2" t="str">
        <f>[2]RCPA2!$C$146</f>
        <v>Machinery &amp; equipment (except transport)</v>
      </c>
      <c r="C92" s="2">
        <f>C93+C94+C95+C96+C97+C98+C99+C100</f>
        <v>69263470685</v>
      </c>
      <c r="D92" s="2">
        <f t="shared" ref="D92:P92" si="35">D93+D94+D95+D96+D97+D98+D99+D100</f>
        <v>41819171509</v>
      </c>
      <c r="E92" s="2">
        <f t="shared" si="35"/>
        <v>3675627940</v>
      </c>
      <c r="F92" s="2">
        <f t="shared" si="35"/>
        <v>0</v>
      </c>
      <c r="G92" s="2">
        <f t="shared" si="35"/>
        <v>45494799450</v>
      </c>
      <c r="H92" s="2">
        <f t="shared" si="35"/>
        <v>23768671236</v>
      </c>
      <c r="I92" s="2">
        <f t="shared" si="35"/>
        <v>4278360833</v>
      </c>
      <c r="J92" s="2">
        <f t="shared" si="35"/>
        <v>7415613</v>
      </c>
      <c r="K92" s="2">
        <f t="shared" si="35"/>
        <v>4285776446</v>
      </c>
      <c r="L92" s="2">
        <f t="shared" si="35"/>
        <v>656349051</v>
      </c>
      <c r="M92" s="2">
        <f t="shared" si="35"/>
        <v>781007443</v>
      </c>
      <c r="N92" s="2">
        <f t="shared" si="35"/>
        <v>1437356494</v>
      </c>
      <c r="O92" s="2">
        <f t="shared" si="35"/>
        <v>0</v>
      </c>
      <c r="P92" s="2">
        <f t="shared" si="35"/>
        <v>2848419952</v>
      </c>
    </row>
    <row r="93" spans="1:16" x14ac:dyDescent="0.35">
      <c r="A93" t="s">
        <v>128</v>
      </c>
      <c r="B93" t="s">
        <v>129</v>
      </c>
      <c r="C93">
        <v>62985057</v>
      </c>
      <c r="D93">
        <v>57339700</v>
      </c>
      <c r="E93">
        <v>0</v>
      </c>
      <c r="F93">
        <v>0</v>
      </c>
      <c r="G93">
        <v>57339700</v>
      </c>
      <c r="H93">
        <v>5645357</v>
      </c>
      <c r="I93">
        <v>1016164</v>
      </c>
      <c r="J93">
        <v>0</v>
      </c>
      <c r="K93">
        <v>1016164</v>
      </c>
      <c r="L93">
        <v>9565094</v>
      </c>
      <c r="M93">
        <v>2452973</v>
      </c>
      <c r="N93">
        <v>12018067</v>
      </c>
      <c r="O93">
        <v>0</v>
      </c>
      <c r="P93">
        <v>-11001903</v>
      </c>
    </row>
    <row r="94" spans="1:16" x14ac:dyDescent="0.35">
      <c r="A94" t="s">
        <v>130</v>
      </c>
      <c r="B94" t="s">
        <v>131</v>
      </c>
      <c r="C94">
        <v>34595621061</v>
      </c>
      <c r="D94">
        <v>33331312620</v>
      </c>
      <c r="E94">
        <v>1256743865</v>
      </c>
      <c r="F94">
        <v>0</v>
      </c>
      <c r="G94">
        <v>34588056485</v>
      </c>
      <c r="H94">
        <v>7564576</v>
      </c>
      <c r="I94">
        <v>1361624</v>
      </c>
      <c r="J94">
        <v>0</v>
      </c>
      <c r="K94">
        <v>1361624</v>
      </c>
      <c r="L94">
        <v>0</v>
      </c>
      <c r="M94">
        <v>22391001</v>
      </c>
      <c r="N94">
        <v>22391001</v>
      </c>
      <c r="O94">
        <v>0</v>
      </c>
      <c r="P94">
        <v>-21029377</v>
      </c>
    </row>
    <row r="95" spans="1:16" x14ac:dyDescent="0.35">
      <c r="A95" t="s">
        <v>132</v>
      </c>
      <c r="B95" t="s">
        <v>133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5">
      <c r="A96" t="s">
        <v>134</v>
      </c>
      <c r="B96" t="s">
        <v>135</v>
      </c>
      <c r="C96">
        <v>529930156</v>
      </c>
      <c r="D96">
        <v>7594501</v>
      </c>
      <c r="E96">
        <v>0</v>
      </c>
      <c r="F96">
        <v>0</v>
      </c>
      <c r="G96">
        <v>7594501</v>
      </c>
      <c r="H96">
        <v>522335655</v>
      </c>
      <c r="I96">
        <v>94020421</v>
      </c>
      <c r="J96">
        <v>0</v>
      </c>
      <c r="K96">
        <v>94020421</v>
      </c>
      <c r="L96">
        <v>21746945</v>
      </c>
      <c r="M96">
        <v>19800158</v>
      </c>
      <c r="N96">
        <v>41547103</v>
      </c>
      <c r="O96">
        <v>0</v>
      </c>
      <c r="P96">
        <v>52473318</v>
      </c>
    </row>
    <row r="97" spans="1:17" x14ac:dyDescent="0.35">
      <c r="A97" t="s">
        <v>136</v>
      </c>
      <c r="B97" t="s">
        <v>137</v>
      </c>
      <c r="C97">
        <v>21684078</v>
      </c>
      <c r="D97">
        <v>6517000</v>
      </c>
      <c r="E97">
        <v>0</v>
      </c>
      <c r="F97">
        <v>0</v>
      </c>
      <c r="G97">
        <v>6517000</v>
      </c>
      <c r="H97">
        <v>15167078</v>
      </c>
      <c r="I97">
        <v>2730074</v>
      </c>
      <c r="J97">
        <v>0</v>
      </c>
      <c r="K97">
        <v>2730074</v>
      </c>
      <c r="L97">
        <v>0</v>
      </c>
      <c r="M97">
        <v>2683617</v>
      </c>
      <c r="N97">
        <v>2683617</v>
      </c>
      <c r="O97">
        <v>0</v>
      </c>
      <c r="P97">
        <v>46457</v>
      </c>
    </row>
    <row r="98" spans="1:17" x14ac:dyDescent="0.35">
      <c r="A98" t="s">
        <v>138</v>
      </c>
      <c r="B98" t="s">
        <v>139</v>
      </c>
      <c r="C98">
        <v>13833886236</v>
      </c>
      <c r="D98">
        <v>7850704113</v>
      </c>
      <c r="E98">
        <v>1830826761</v>
      </c>
      <c r="F98">
        <v>0</v>
      </c>
      <c r="G98">
        <v>9681530874</v>
      </c>
      <c r="H98">
        <v>4152355363</v>
      </c>
      <c r="I98">
        <v>747423970</v>
      </c>
      <c r="J98">
        <v>7415613</v>
      </c>
      <c r="K98">
        <v>754839583</v>
      </c>
      <c r="L98">
        <v>255273195</v>
      </c>
      <c r="M98">
        <v>115064203</v>
      </c>
      <c r="N98">
        <v>370337398</v>
      </c>
      <c r="O98">
        <v>0</v>
      </c>
      <c r="P98">
        <v>384502185</v>
      </c>
    </row>
    <row r="99" spans="1:17" x14ac:dyDescent="0.35">
      <c r="A99" t="s">
        <v>140</v>
      </c>
      <c r="B99" t="s">
        <v>141</v>
      </c>
      <c r="C99">
        <v>15300645900</v>
      </c>
      <c r="D99">
        <v>152248096</v>
      </c>
      <c r="E99">
        <v>588057314</v>
      </c>
      <c r="F99">
        <v>0</v>
      </c>
      <c r="G99">
        <v>740305411</v>
      </c>
      <c r="H99">
        <v>14560340489</v>
      </c>
      <c r="I99">
        <v>2620861287</v>
      </c>
      <c r="J99">
        <v>0</v>
      </c>
      <c r="K99">
        <v>2620861287</v>
      </c>
      <c r="L99">
        <v>350090522</v>
      </c>
      <c r="M99">
        <v>279039431</v>
      </c>
      <c r="N99">
        <v>629129953</v>
      </c>
      <c r="O99">
        <v>0</v>
      </c>
      <c r="P99">
        <v>1991731334</v>
      </c>
    </row>
    <row r="100" spans="1:17" x14ac:dyDescent="0.35">
      <c r="A100" t="s">
        <v>142</v>
      </c>
      <c r="B100" t="s">
        <v>143</v>
      </c>
      <c r="C100">
        <v>4918718197</v>
      </c>
      <c r="D100">
        <v>413455479</v>
      </c>
      <c r="E100">
        <v>0</v>
      </c>
      <c r="F100">
        <v>0</v>
      </c>
      <c r="G100">
        <v>413455479</v>
      </c>
      <c r="H100">
        <v>4505262718</v>
      </c>
      <c r="I100">
        <v>810947293</v>
      </c>
      <c r="J100">
        <v>0</v>
      </c>
      <c r="K100">
        <v>810947293</v>
      </c>
      <c r="L100">
        <v>19673295</v>
      </c>
      <c r="M100">
        <v>339576060</v>
      </c>
      <c r="N100">
        <v>359249355</v>
      </c>
      <c r="O100">
        <v>0</v>
      </c>
      <c r="P100">
        <v>451697938</v>
      </c>
    </row>
    <row r="101" spans="1:17" x14ac:dyDescent="0.35">
      <c r="A101" s="2" t="str">
        <f>[2]RCPA2!$A$156</f>
        <v>C76</v>
      </c>
      <c r="B101" s="2" t="str">
        <f>[2]RCPA2!$C$156</f>
        <v>Transport equipment</v>
      </c>
      <c r="C101" s="2">
        <f>C102+C103+C104</f>
        <v>34699898683</v>
      </c>
      <c r="D101" s="2">
        <f t="shared" ref="D101:P101" si="36">D102+D103+D104</f>
        <v>6755241930</v>
      </c>
      <c r="E101" s="2">
        <f t="shared" si="36"/>
        <v>420161174</v>
      </c>
      <c r="F101" s="2">
        <f t="shared" si="36"/>
        <v>0</v>
      </c>
      <c r="G101" s="2">
        <f t="shared" si="36"/>
        <v>7175403104</v>
      </c>
      <c r="H101" s="2">
        <f t="shared" si="36"/>
        <v>27524495579</v>
      </c>
      <c r="I101" s="2">
        <f t="shared" si="36"/>
        <v>4954409208</v>
      </c>
      <c r="J101" s="2">
        <f t="shared" si="36"/>
        <v>20036175</v>
      </c>
      <c r="K101" s="2">
        <f t="shared" si="36"/>
        <v>4974445383</v>
      </c>
      <c r="L101" s="2">
        <f t="shared" si="36"/>
        <v>3204413121</v>
      </c>
      <c r="M101" s="2">
        <f t="shared" si="36"/>
        <v>793018701</v>
      </c>
      <c r="N101" s="2">
        <f t="shared" si="36"/>
        <v>3997431822</v>
      </c>
      <c r="O101" s="2">
        <f t="shared" si="36"/>
        <v>0</v>
      </c>
      <c r="P101" s="2">
        <f t="shared" si="36"/>
        <v>977013560</v>
      </c>
    </row>
    <row r="102" spans="1:17" x14ac:dyDescent="0.35">
      <c r="A102" t="s">
        <v>144</v>
      </c>
      <c r="B102" t="s">
        <v>145</v>
      </c>
      <c r="C102">
        <v>20418588380</v>
      </c>
      <c r="D102">
        <v>5640473274</v>
      </c>
      <c r="E102">
        <v>420161174</v>
      </c>
      <c r="F102">
        <v>0</v>
      </c>
      <c r="G102">
        <v>6060634448</v>
      </c>
      <c r="H102">
        <v>14357953932</v>
      </c>
      <c r="I102">
        <v>2584431709</v>
      </c>
      <c r="J102">
        <v>20036175</v>
      </c>
      <c r="K102">
        <v>2604467884</v>
      </c>
      <c r="L102">
        <v>1286684961</v>
      </c>
      <c r="M102">
        <v>608141617</v>
      </c>
      <c r="N102">
        <v>1894826578</v>
      </c>
      <c r="O102">
        <v>0</v>
      </c>
      <c r="P102">
        <v>709641305</v>
      </c>
    </row>
    <row r="103" spans="1:17" x14ac:dyDescent="0.35">
      <c r="A103" t="s">
        <v>146</v>
      </c>
      <c r="B103" t="s">
        <v>147</v>
      </c>
      <c r="C103">
        <v>14275333098</v>
      </c>
      <c r="D103">
        <v>1114768656</v>
      </c>
      <c r="E103">
        <v>0</v>
      </c>
      <c r="F103">
        <v>0</v>
      </c>
      <c r="G103">
        <v>1114768656</v>
      </c>
      <c r="H103">
        <v>13160564442</v>
      </c>
      <c r="I103">
        <v>2368901602</v>
      </c>
      <c r="J103">
        <v>0</v>
      </c>
      <c r="K103">
        <v>2368901602</v>
      </c>
      <c r="L103">
        <v>1916441572</v>
      </c>
      <c r="M103">
        <v>184770586</v>
      </c>
      <c r="N103">
        <v>2101212158</v>
      </c>
      <c r="O103">
        <v>0</v>
      </c>
      <c r="P103">
        <v>267689444</v>
      </c>
    </row>
    <row r="104" spans="1:17" x14ac:dyDescent="0.35">
      <c r="A104" t="s">
        <v>148</v>
      </c>
      <c r="B104" t="s">
        <v>149</v>
      </c>
      <c r="C104">
        <v>5977205</v>
      </c>
      <c r="D104">
        <v>0</v>
      </c>
      <c r="E104">
        <v>0</v>
      </c>
      <c r="F104">
        <v>0</v>
      </c>
      <c r="G104">
        <v>0</v>
      </c>
      <c r="H104">
        <v>5977205</v>
      </c>
      <c r="I104">
        <v>1075897</v>
      </c>
      <c r="J104">
        <v>0</v>
      </c>
      <c r="K104">
        <v>1075897</v>
      </c>
      <c r="L104">
        <v>1286588</v>
      </c>
      <c r="M104">
        <v>106498</v>
      </c>
      <c r="N104">
        <v>1393086</v>
      </c>
      <c r="O104">
        <v>0</v>
      </c>
      <c r="P104">
        <v>-317189</v>
      </c>
    </row>
    <row r="105" spans="1:17" x14ac:dyDescent="0.35">
      <c r="A105" s="2" t="str">
        <f>[2]RCPA2!$A$161</f>
        <v>C81</v>
      </c>
      <c r="B105" s="2" t="str">
        <f>[2]RCPA2!$C$161</f>
        <v>Furniture</v>
      </c>
      <c r="C105" s="2">
        <f>C106</f>
        <v>24906133383</v>
      </c>
      <c r="D105" s="2">
        <f t="shared" ref="D105:P105" si="37">D106</f>
        <v>1996507683</v>
      </c>
      <c r="E105" s="2">
        <f t="shared" si="37"/>
        <v>1922716141</v>
      </c>
      <c r="F105" s="2">
        <f t="shared" si="37"/>
        <v>1707953519</v>
      </c>
      <c r="G105" s="2">
        <f t="shared" si="37"/>
        <v>5627177343</v>
      </c>
      <c r="H105" s="2">
        <f t="shared" si="37"/>
        <v>19278956040</v>
      </c>
      <c r="I105" s="2">
        <f t="shared" si="37"/>
        <v>3470212092</v>
      </c>
      <c r="J105" s="2">
        <f t="shared" si="37"/>
        <v>0</v>
      </c>
      <c r="K105" s="2">
        <f t="shared" si="37"/>
        <v>3470212092</v>
      </c>
      <c r="L105" s="2">
        <f t="shared" si="37"/>
        <v>755179356</v>
      </c>
      <c r="M105" s="2">
        <f t="shared" si="37"/>
        <v>1284874708</v>
      </c>
      <c r="N105" s="2">
        <f t="shared" si="37"/>
        <v>2040054064</v>
      </c>
      <c r="O105" s="2">
        <f t="shared" si="37"/>
        <v>0</v>
      </c>
      <c r="P105" s="2">
        <f t="shared" si="37"/>
        <v>1430158027</v>
      </c>
      <c r="Q105" s="2"/>
    </row>
    <row r="106" spans="1:17" x14ac:dyDescent="0.35">
      <c r="A106" t="s">
        <v>150</v>
      </c>
      <c r="B106" t="s">
        <v>151</v>
      </c>
      <c r="C106">
        <v>24906133383</v>
      </c>
      <c r="D106">
        <v>1996507683</v>
      </c>
      <c r="E106">
        <v>1922716141</v>
      </c>
      <c r="F106">
        <v>1707953519</v>
      </c>
      <c r="G106">
        <v>5627177343</v>
      </c>
      <c r="H106">
        <v>19278956040</v>
      </c>
      <c r="I106">
        <v>3470212092</v>
      </c>
      <c r="J106">
        <v>0</v>
      </c>
      <c r="K106">
        <v>3470212092</v>
      </c>
      <c r="L106">
        <v>755179356</v>
      </c>
      <c r="M106">
        <v>1284874708</v>
      </c>
      <c r="N106">
        <v>2040054064</v>
      </c>
      <c r="O106">
        <v>0</v>
      </c>
      <c r="P106">
        <v>1430158027</v>
      </c>
    </row>
    <row r="107" spans="1:17" x14ac:dyDescent="0.35">
      <c r="A107" s="2" t="str">
        <f>[2]RCPA2!$A$164</f>
        <v>C82</v>
      </c>
      <c r="B107" s="11" t="str">
        <f>[2]RCPA2!$C$164</f>
        <v>Other manufactures</v>
      </c>
      <c r="C107" s="2">
        <f>C108+C109+C110</f>
        <v>41656597662</v>
      </c>
      <c r="D107" s="2">
        <f t="shared" ref="D107:P107" si="38">D108+D109+D110</f>
        <v>11503240234</v>
      </c>
      <c r="E107" s="2">
        <f t="shared" si="38"/>
        <v>3320769793</v>
      </c>
      <c r="F107" s="2">
        <f t="shared" si="38"/>
        <v>0</v>
      </c>
      <c r="G107" s="2">
        <f t="shared" si="38"/>
        <v>14824010027</v>
      </c>
      <c r="H107" s="2">
        <f t="shared" si="38"/>
        <v>26832587634</v>
      </c>
      <c r="I107" s="2">
        <f t="shared" si="38"/>
        <v>4829865782</v>
      </c>
      <c r="J107" s="2">
        <f t="shared" si="38"/>
        <v>0</v>
      </c>
      <c r="K107" s="2">
        <f t="shared" si="38"/>
        <v>4829865782</v>
      </c>
      <c r="L107" s="2">
        <f t="shared" si="38"/>
        <v>628259790</v>
      </c>
      <c r="M107" s="2">
        <f t="shared" si="38"/>
        <v>1133367771</v>
      </c>
      <c r="N107" s="2">
        <f t="shared" si="38"/>
        <v>1761627561</v>
      </c>
      <c r="O107" s="2">
        <f t="shared" si="38"/>
        <v>0</v>
      </c>
      <c r="P107" s="2">
        <f t="shared" si="38"/>
        <v>3068238218</v>
      </c>
    </row>
    <row r="108" spans="1:17" x14ac:dyDescent="0.35">
      <c r="A108" t="s">
        <v>152</v>
      </c>
      <c r="B108" t="s">
        <v>153</v>
      </c>
      <c r="C108">
        <v>9237715720</v>
      </c>
      <c r="D108">
        <v>8736289767</v>
      </c>
      <c r="E108">
        <v>2863000</v>
      </c>
      <c r="F108">
        <v>0</v>
      </c>
      <c r="G108">
        <v>8739152767</v>
      </c>
      <c r="H108">
        <v>498562953</v>
      </c>
      <c r="I108">
        <v>89741328</v>
      </c>
      <c r="J108">
        <v>0</v>
      </c>
      <c r="K108">
        <v>89741328</v>
      </c>
      <c r="L108">
        <v>84134832</v>
      </c>
      <c r="M108">
        <v>20308925</v>
      </c>
      <c r="N108">
        <v>104443757</v>
      </c>
      <c r="O108">
        <v>0</v>
      </c>
      <c r="P108">
        <v>-14702429</v>
      </c>
    </row>
    <row r="109" spans="1:17" x14ac:dyDescent="0.35">
      <c r="A109" t="s">
        <v>154</v>
      </c>
      <c r="B109" t="s">
        <v>155</v>
      </c>
      <c r="C109">
        <v>160483490</v>
      </c>
      <c r="D109">
        <v>126248033</v>
      </c>
      <c r="E109">
        <v>0</v>
      </c>
      <c r="F109">
        <v>0</v>
      </c>
      <c r="G109">
        <v>126248033</v>
      </c>
      <c r="H109">
        <v>34235457</v>
      </c>
      <c r="I109">
        <v>6162383</v>
      </c>
      <c r="J109">
        <v>0</v>
      </c>
      <c r="K109">
        <v>6162383</v>
      </c>
      <c r="L109">
        <v>0</v>
      </c>
      <c r="M109">
        <v>3510579</v>
      </c>
      <c r="N109">
        <v>3510579</v>
      </c>
      <c r="O109">
        <v>0</v>
      </c>
      <c r="P109">
        <v>2651803</v>
      </c>
    </row>
    <row r="110" spans="1:17" x14ac:dyDescent="0.35">
      <c r="A110" t="s">
        <v>156</v>
      </c>
      <c r="B110" t="s">
        <v>157</v>
      </c>
      <c r="C110">
        <v>32258398452</v>
      </c>
      <c r="D110">
        <v>2640702434</v>
      </c>
      <c r="E110">
        <v>3317906793</v>
      </c>
      <c r="F110">
        <v>0</v>
      </c>
      <c r="G110">
        <v>5958609227</v>
      </c>
      <c r="H110">
        <v>26299789224</v>
      </c>
      <c r="I110">
        <v>4733962071</v>
      </c>
      <c r="J110">
        <v>0</v>
      </c>
      <c r="K110">
        <v>4733962071</v>
      </c>
      <c r="L110">
        <v>544124958</v>
      </c>
      <c r="M110">
        <v>1109548267</v>
      </c>
      <c r="N110">
        <v>1653673225</v>
      </c>
      <c r="O110">
        <v>0</v>
      </c>
      <c r="P110">
        <v>3080288844</v>
      </c>
    </row>
    <row r="111" spans="1:17" x14ac:dyDescent="0.35">
      <c r="A111" s="2" t="str">
        <f>[2]RCPA2!$A$169</f>
        <v>C83</v>
      </c>
      <c r="B111" s="2" t="str">
        <f>[2]RCPA2!$C$169</f>
        <v>Repair &amp; installation of machinery &amp; equipment</v>
      </c>
      <c r="C111" s="2">
        <f>C112</f>
        <v>5022889708</v>
      </c>
      <c r="D111" s="2">
        <f t="shared" ref="D111:P111" si="39">D112</f>
        <v>774330730</v>
      </c>
      <c r="E111" s="2">
        <f t="shared" si="39"/>
        <v>2200000</v>
      </c>
      <c r="F111" s="2">
        <f t="shared" si="39"/>
        <v>0</v>
      </c>
      <c r="G111" s="2">
        <f t="shared" si="39"/>
        <v>776530730</v>
      </c>
      <c r="H111" s="2">
        <f t="shared" si="39"/>
        <v>4246358978</v>
      </c>
      <c r="I111" s="2">
        <f t="shared" si="39"/>
        <v>764344619</v>
      </c>
      <c r="J111" s="2">
        <f t="shared" si="39"/>
        <v>0</v>
      </c>
      <c r="K111" s="2">
        <f t="shared" si="39"/>
        <v>764344619</v>
      </c>
      <c r="L111" s="2">
        <f t="shared" si="39"/>
        <v>156797876</v>
      </c>
      <c r="M111" s="2">
        <f t="shared" si="39"/>
        <v>253441071</v>
      </c>
      <c r="N111" s="2">
        <f t="shared" si="39"/>
        <v>410238947</v>
      </c>
      <c r="O111" s="2">
        <f t="shared" si="39"/>
        <v>0</v>
      </c>
      <c r="P111" s="2">
        <f t="shared" si="39"/>
        <v>354105671</v>
      </c>
    </row>
    <row r="112" spans="1:17" x14ac:dyDescent="0.35">
      <c r="A112" t="s">
        <v>158</v>
      </c>
      <c r="B112" t="s">
        <v>159</v>
      </c>
      <c r="C112">
        <v>5022889708</v>
      </c>
      <c r="D112">
        <v>774330730</v>
      </c>
      <c r="E112">
        <v>2200000</v>
      </c>
      <c r="F112">
        <v>0</v>
      </c>
      <c r="G112">
        <v>776530730</v>
      </c>
      <c r="H112">
        <v>4246358978</v>
      </c>
      <c r="I112">
        <v>764344619</v>
      </c>
      <c r="J112">
        <v>0</v>
      </c>
      <c r="K112">
        <v>764344619</v>
      </c>
      <c r="L112">
        <v>156797876</v>
      </c>
      <c r="M112">
        <v>253441071</v>
      </c>
      <c r="N112">
        <v>410238947</v>
      </c>
      <c r="O112">
        <v>0</v>
      </c>
      <c r="P112">
        <v>354105671</v>
      </c>
    </row>
    <row r="113" spans="1:16" x14ac:dyDescent="0.35">
      <c r="A113" s="2" t="str">
        <f>[2]RCPA2!$A$172</f>
        <v>D00</v>
      </c>
      <c r="B113" s="2" t="str">
        <f>[2]RCPA2!$C$172</f>
        <v>Electricity, gas, steam &amp; air conditioning supply</v>
      </c>
      <c r="C113" s="2">
        <f>C114</f>
        <v>1115209761167</v>
      </c>
      <c r="D113" s="2">
        <f t="shared" ref="D113:P113" si="40">D114</f>
        <v>727645528525</v>
      </c>
      <c r="E113" s="2">
        <f t="shared" si="40"/>
        <v>88143931983</v>
      </c>
      <c r="F113" s="2">
        <f t="shared" si="40"/>
        <v>464031240</v>
      </c>
      <c r="G113" s="2">
        <f t="shared" si="40"/>
        <v>816253491748</v>
      </c>
      <c r="H113" s="2">
        <f t="shared" si="40"/>
        <v>298956269420</v>
      </c>
      <c r="I113" s="2">
        <f t="shared" si="40"/>
        <v>53812128504</v>
      </c>
      <c r="J113" s="2">
        <f t="shared" si="40"/>
        <v>546249293</v>
      </c>
      <c r="K113" s="2">
        <f t="shared" si="40"/>
        <v>54358377797</v>
      </c>
      <c r="L113" s="2">
        <f t="shared" si="40"/>
        <v>3416510620</v>
      </c>
      <c r="M113" s="2">
        <f t="shared" si="40"/>
        <v>35840263446</v>
      </c>
      <c r="N113" s="2">
        <f t="shared" si="40"/>
        <v>39256774066</v>
      </c>
      <c r="O113" s="2">
        <f t="shared" si="40"/>
        <v>130351123</v>
      </c>
      <c r="P113" s="2">
        <f t="shared" si="40"/>
        <v>14971252598</v>
      </c>
    </row>
    <row r="114" spans="1:16" x14ac:dyDescent="0.35">
      <c r="A114" t="s">
        <v>160</v>
      </c>
      <c r="B114" t="s">
        <v>161</v>
      </c>
      <c r="C114">
        <v>1115209761167</v>
      </c>
      <c r="D114">
        <v>727645528525</v>
      </c>
      <c r="E114">
        <v>88143931983</v>
      </c>
      <c r="F114">
        <v>464031240</v>
      </c>
      <c r="G114">
        <v>816253491748</v>
      </c>
      <c r="H114">
        <v>298956269420</v>
      </c>
      <c r="I114">
        <v>53812128504</v>
      </c>
      <c r="J114">
        <v>546249293</v>
      </c>
      <c r="K114">
        <v>54358377797</v>
      </c>
      <c r="L114">
        <v>3416510620</v>
      </c>
      <c r="M114">
        <v>35840263446</v>
      </c>
      <c r="N114">
        <v>39256774066</v>
      </c>
      <c r="O114">
        <v>130351123</v>
      </c>
      <c r="P114">
        <v>14971252598</v>
      </c>
    </row>
    <row r="115" spans="1:16" x14ac:dyDescent="0.35">
      <c r="A115" s="2" t="str">
        <f>[2]RCPA2!$A$175</f>
        <v>E01</v>
      </c>
      <c r="B115" s="2" t="str">
        <f>[2]RCPA2!$C$175</f>
        <v>Water collection, treatment &amp; supply: sewrage</v>
      </c>
      <c r="C115" s="2">
        <f>C116</f>
        <v>64387752675</v>
      </c>
      <c r="D115" s="2">
        <f t="shared" ref="D115:P115" si="41">D116</f>
        <v>6591840270</v>
      </c>
      <c r="E115" s="2">
        <f t="shared" si="41"/>
        <v>156132849</v>
      </c>
      <c r="F115" s="2">
        <f t="shared" si="41"/>
        <v>5422898</v>
      </c>
      <c r="G115" s="2">
        <f t="shared" si="41"/>
        <v>6753396017</v>
      </c>
      <c r="H115" s="2">
        <f t="shared" si="41"/>
        <v>57634356658</v>
      </c>
      <c r="I115" s="2">
        <f t="shared" si="41"/>
        <v>10374184203</v>
      </c>
      <c r="J115" s="2">
        <f t="shared" si="41"/>
        <v>32733982</v>
      </c>
      <c r="K115" s="2">
        <f t="shared" si="41"/>
        <v>10406918185</v>
      </c>
      <c r="L115" s="2">
        <f t="shared" si="41"/>
        <v>676322724</v>
      </c>
      <c r="M115" s="2">
        <f t="shared" si="41"/>
        <v>5141581925</v>
      </c>
      <c r="N115" s="2">
        <f t="shared" si="41"/>
        <v>5817904649</v>
      </c>
      <c r="O115" s="2">
        <f t="shared" si="41"/>
        <v>358322</v>
      </c>
      <c r="P115" s="2">
        <f t="shared" si="41"/>
        <v>4588655213</v>
      </c>
    </row>
    <row r="116" spans="1:16" x14ac:dyDescent="0.35">
      <c r="A116" t="s">
        <v>162</v>
      </c>
      <c r="B116" t="s">
        <v>163</v>
      </c>
      <c r="C116">
        <v>64387752675</v>
      </c>
      <c r="D116">
        <v>6591840270</v>
      </c>
      <c r="E116">
        <v>156132849</v>
      </c>
      <c r="F116">
        <v>5422898</v>
      </c>
      <c r="G116">
        <v>6753396017</v>
      </c>
      <c r="H116">
        <v>57634356658</v>
      </c>
      <c r="I116">
        <v>10374184203</v>
      </c>
      <c r="J116">
        <v>32733982</v>
      </c>
      <c r="K116">
        <v>10406918185</v>
      </c>
      <c r="L116">
        <v>676322724</v>
      </c>
      <c r="M116">
        <v>5141581925</v>
      </c>
      <c r="N116">
        <v>5817904649</v>
      </c>
      <c r="O116">
        <v>358322</v>
      </c>
      <c r="P116">
        <v>4588655213</v>
      </c>
    </row>
    <row r="117" spans="1:16" x14ac:dyDescent="0.35">
      <c r="A117" s="2" t="str">
        <f>[2]RCPA2!$A$177</f>
        <v>E02</v>
      </c>
      <c r="B117" s="2" t="str">
        <f>[2]RCPA2!$C$177</f>
        <v>Waste collection &amp; management</v>
      </c>
      <c r="C117" s="2">
        <f>C118</f>
        <v>4619943586</v>
      </c>
      <c r="D117" s="2">
        <f t="shared" ref="D117:P117" si="42">D118</f>
        <v>1468302455</v>
      </c>
      <c r="E117" s="2">
        <f t="shared" si="42"/>
        <v>630233042</v>
      </c>
      <c r="F117" s="2">
        <f t="shared" si="42"/>
        <v>0</v>
      </c>
      <c r="G117" s="2">
        <f t="shared" si="42"/>
        <v>2098535497</v>
      </c>
      <c r="H117" s="2">
        <f t="shared" si="42"/>
        <v>2521408089</v>
      </c>
      <c r="I117" s="2">
        <f t="shared" si="42"/>
        <v>453853466</v>
      </c>
      <c r="J117" s="2">
        <f t="shared" si="42"/>
        <v>0</v>
      </c>
      <c r="K117" s="2">
        <f t="shared" si="42"/>
        <v>453853466</v>
      </c>
      <c r="L117" s="2">
        <f t="shared" si="42"/>
        <v>10506038</v>
      </c>
      <c r="M117" s="2">
        <f t="shared" si="42"/>
        <v>141777342</v>
      </c>
      <c r="N117" s="2">
        <f t="shared" si="42"/>
        <v>152283380</v>
      </c>
      <c r="O117" s="2">
        <f t="shared" si="42"/>
        <v>0</v>
      </c>
      <c r="P117" s="2">
        <f t="shared" si="42"/>
        <v>301570086</v>
      </c>
    </row>
    <row r="118" spans="1:16" x14ac:dyDescent="0.35">
      <c r="A118" t="s">
        <v>164</v>
      </c>
      <c r="B118" t="s">
        <v>165</v>
      </c>
      <c r="C118">
        <v>4619943586</v>
      </c>
      <c r="D118">
        <v>1468302455</v>
      </c>
      <c r="E118">
        <v>630233042</v>
      </c>
      <c r="F118">
        <v>0</v>
      </c>
      <c r="G118">
        <v>2098535497</v>
      </c>
      <c r="H118">
        <v>2521408089</v>
      </c>
      <c r="I118">
        <v>453853466</v>
      </c>
      <c r="J118">
        <v>0</v>
      </c>
      <c r="K118">
        <v>453853466</v>
      </c>
      <c r="L118">
        <v>10506038</v>
      </c>
      <c r="M118">
        <v>141777342</v>
      </c>
      <c r="N118">
        <v>152283380</v>
      </c>
      <c r="O118">
        <v>0</v>
      </c>
      <c r="P118">
        <v>301570086</v>
      </c>
    </row>
    <row r="119" spans="1:16" x14ac:dyDescent="0.35">
      <c r="A119" s="2" t="str">
        <f>[2]RCPA2!$A$180</f>
        <v>F01</v>
      </c>
      <c r="B119" s="2" t="str">
        <f>[2]RCPA2!$C$180</f>
        <v>Construction (modern)</v>
      </c>
      <c r="C119" s="2">
        <f>C120+C121+C122+C123</f>
        <v>1328512680386</v>
      </c>
      <c r="D119" s="2">
        <f t="shared" ref="D119:P119" si="43">D120+D121+D122+D123</f>
        <v>241845112822</v>
      </c>
      <c r="E119" s="2">
        <f t="shared" si="43"/>
        <v>70431105042</v>
      </c>
      <c r="F119" s="2">
        <f t="shared" si="43"/>
        <v>839734125</v>
      </c>
      <c r="G119" s="2">
        <f t="shared" si="43"/>
        <v>313115951989</v>
      </c>
      <c r="H119" s="2">
        <f t="shared" si="43"/>
        <v>1015396728401</v>
      </c>
      <c r="I119" s="2">
        <f t="shared" si="43"/>
        <v>182771411323</v>
      </c>
      <c r="J119" s="2">
        <f t="shared" si="43"/>
        <v>365960906</v>
      </c>
      <c r="K119" s="2">
        <f t="shared" si="43"/>
        <v>183137372229</v>
      </c>
      <c r="L119" s="2">
        <f t="shared" si="43"/>
        <v>17170291413</v>
      </c>
      <c r="M119" s="2">
        <f t="shared" si="43"/>
        <v>135340860583</v>
      </c>
      <c r="N119" s="2">
        <f t="shared" si="43"/>
        <v>152511151996</v>
      </c>
      <c r="O119" s="2">
        <f t="shared" si="43"/>
        <v>219212564</v>
      </c>
      <c r="P119" s="2">
        <f t="shared" si="43"/>
        <v>30407007595</v>
      </c>
    </row>
    <row r="120" spans="1:16" x14ac:dyDescent="0.35">
      <c r="A120" t="s">
        <v>166</v>
      </c>
      <c r="B120" t="s">
        <v>167</v>
      </c>
      <c r="C120">
        <v>190430530683</v>
      </c>
      <c r="D120">
        <v>36153966548</v>
      </c>
      <c r="E120">
        <v>4572778680</v>
      </c>
      <c r="F120">
        <v>0</v>
      </c>
      <c r="G120">
        <v>40726745228</v>
      </c>
      <c r="H120">
        <v>149703785456</v>
      </c>
      <c r="I120">
        <v>26946681382</v>
      </c>
      <c r="J120">
        <v>0</v>
      </c>
      <c r="K120">
        <v>26946681382</v>
      </c>
      <c r="L120">
        <v>2233076353</v>
      </c>
      <c r="M120">
        <v>20448092289</v>
      </c>
      <c r="N120">
        <v>22681168642</v>
      </c>
      <c r="O120">
        <v>0</v>
      </c>
      <c r="P120">
        <v>4265512739</v>
      </c>
    </row>
    <row r="121" spans="1:16" x14ac:dyDescent="0.35">
      <c r="A121" t="s">
        <v>168</v>
      </c>
      <c r="B121" t="s">
        <v>169</v>
      </c>
      <c r="C121">
        <v>208283942703</v>
      </c>
      <c r="D121">
        <v>102287741838</v>
      </c>
      <c r="E121">
        <v>58216957842</v>
      </c>
      <c r="F121">
        <v>0</v>
      </c>
      <c r="G121">
        <v>160504699680</v>
      </c>
      <c r="H121">
        <v>47779243023</v>
      </c>
      <c r="I121">
        <v>8600263758</v>
      </c>
      <c r="J121">
        <v>0</v>
      </c>
      <c r="K121">
        <v>8600263758</v>
      </c>
      <c r="L121">
        <v>1195422427</v>
      </c>
      <c r="M121">
        <v>3343189308</v>
      </c>
      <c r="N121">
        <v>4538611735</v>
      </c>
      <c r="O121">
        <v>0</v>
      </c>
      <c r="P121">
        <v>4061652022</v>
      </c>
    </row>
    <row r="122" spans="1:16" x14ac:dyDescent="0.35">
      <c r="A122" t="s">
        <v>170</v>
      </c>
      <c r="B122" t="s">
        <v>171</v>
      </c>
      <c r="C122">
        <v>618167204607</v>
      </c>
      <c r="D122">
        <v>70811968950</v>
      </c>
      <c r="E122">
        <v>5517967178</v>
      </c>
      <c r="F122">
        <v>0</v>
      </c>
      <c r="G122">
        <v>76329936128</v>
      </c>
      <c r="H122">
        <v>541837268480</v>
      </c>
      <c r="I122">
        <v>97530708428</v>
      </c>
      <c r="J122">
        <v>144170967</v>
      </c>
      <c r="K122">
        <v>97674879395</v>
      </c>
      <c r="L122">
        <v>6668182621</v>
      </c>
      <c r="M122">
        <v>73462678200</v>
      </c>
      <c r="N122">
        <v>80130860821</v>
      </c>
      <c r="O122">
        <v>307832</v>
      </c>
      <c r="P122">
        <v>17543710713</v>
      </c>
    </row>
    <row r="123" spans="1:16" x14ac:dyDescent="0.35">
      <c r="A123" t="s">
        <v>172</v>
      </c>
      <c r="B123" t="s">
        <v>173</v>
      </c>
      <c r="C123">
        <v>311631002393</v>
      </c>
      <c r="D123">
        <v>32591435486</v>
      </c>
      <c r="E123">
        <v>2123401342</v>
      </c>
      <c r="F123">
        <v>839734125</v>
      </c>
      <c r="G123">
        <v>35554570953</v>
      </c>
      <c r="H123">
        <v>276076431442</v>
      </c>
      <c r="I123">
        <v>49693757755</v>
      </c>
      <c r="J123">
        <v>221789939</v>
      </c>
      <c r="K123">
        <v>49915547694</v>
      </c>
      <c r="L123">
        <v>7073610012</v>
      </c>
      <c r="M123">
        <v>38086900786</v>
      </c>
      <c r="N123">
        <v>45160510798</v>
      </c>
      <c r="O123">
        <v>218904732</v>
      </c>
      <c r="P123">
        <v>4536132121</v>
      </c>
    </row>
    <row r="124" spans="1:16" x14ac:dyDescent="0.35">
      <c r="A124" s="2" t="str">
        <f>[2]RCPA2!$A$188</f>
        <v>G10</v>
      </c>
      <c r="B124" s="2" t="str">
        <f>[2]RCPA2!$C$188</f>
        <v>Maintenance &amp; repair of motor vehicles</v>
      </c>
      <c r="C124" s="2">
        <f>C125</f>
        <v>54657256372</v>
      </c>
      <c r="D124" s="2">
        <f t="shared" ref="D124:P124" si="44">D125</f>
        <v>4038501115</v>
      </c>
      <c r="E124" s="2">
        <f t="shared" si="44"/>
        <v>128753811</v>
      </c>
      <c r="F124" s="2">
        <f t="shared" si="44"/>
        <v>0</v>
      </c>
      <c r="G124" s="2">
        <f t="shared" si="44"/>
        <v>4167254926</v>
      </c>
      <c r="H124" s="2">
        <f t="shared" si="44"/>
        <v>50490001447</v>
      </c>
      <c r="I124" s="2">
        <f t="shared" si="44"/>
        <v>9088200311</v>
      </c>
      <c r="J124" s="2">
        <f t="shared" si="44"/>
        <v>751220</v>
      </c>
      <c r="K124" s="2">
        <f t="shared" si="44"/>
        <v>9088951531</v>
      </c>
      <c r="L124" s="2">
        <f t="shared" si="44"/>
        <v>2216670166</v>
      </c>
      <c r="M124" s="2">
        <f t="shared" si="44"/>
        <v>4399815216</v>
      </c>
      <c r="N124" s="2">
        <f t="shared" si="44"/>
        <v>6616485382</v>
      </c>
      <c r="O124" s="2">
        <f t="shared" si="44"/>
        <v>0</v>
      </c>
      <c r="P124" s="2">
        <f t="shared" si="44"/>
        <v>2472466140</v>
      </c>
    </row>
    <row r="125" spans="1:16" x14ac:dyDescent="0.35">
      <c r="A125" t="s">
        <v>174</v>
      </c>
      <c r="B125" t="s">
        <v>175</v>
      </c>
      <c r="C125">
        <v>54657256372</v>
      </c>
      <c r="D125">
        <v>4038501115</v>
      </c>
      <c r="E125">
        <v>128753811</v>
      </c>
      <c r="F125">
        <v>0</v>
      </c>
      <c r="G125">
        <v>4167254926</v>
      </c>
      <c r="H125">
        <v>50490001447</v>
      </c>
      <c r="I125">
        <v>9088200311</v>
      </c>
      <c r="J125">
        <v>751220</v>
      </c>
      <c r="K125">
        <v>9088951531</v>
      </c>
      <c r="L125">
        <v>2216670166</v>
      </c>
      <c r="M125">
        <v>4399815216</v>
      </c>
      <c r="N125">
        <v>6616485382</v>
      </c>
      <c r="O125">
        <v>0</v>
      </c>
      <c r="P125">
        <v>2472466140</v>
      </c>
    </row>
    <row r="126" spans="1:16" x14ac:dyDescent="0.35">
      <c r="A126" s="2" t="str">
        <f>[2]RCPA2!$A$191</f>
        <v>G21</v>
      </c>
      <c r="B126" s="2" t="str">
        <f>[2]RCPA2!$C$191</f>
        <v>Wholesale &amp; retail trade of motor vehicles &amp; motorcycles</v>
      </c>
      <c r="C126" s="2">
        <f>C127</f>
        <v>246245512081</v>
      </c>
      <c r="D126" s="2">
        <f t="shared" ref="D126:P126" si="45">D127</f>
        <v>74971000508</v>
      </c>
      <c r="E126" s="2">
        <f t="shared" si="45"/>
        <v>34062284165</v>
      </c>
      <c r="F126" s="2">
        <f t="shared" si="45"/>
        <v>91696380</v>
      </c>
      <c r="G126" s="2">
        <f t="shared" si="45"/>
        <v>109124981053</v>
      </c>
      <c r="H126" s="2">
        <f t="shared" si="45"/>
        <v>137120531027</v>
      </c>
      <c r="I126" s="2">
        <f t="shared" si="45"/>
        <v>24681695590</v>
      </c>
      <c r="J126" s="2">
        <f t="shared" si="45"/>
        <v>6236170</v>
      </c>
      <c r="K126" s="2">
        <f t="shared" si="45"/>
        <v>24687931760</v>
      </c>
      <c r="L126" s="2">
        <f t="shared" si="45"/>
        <v>12856181447</v>
      </c>
      <c r="M126" s="2">
        <f t="shared" si="45"/>
        <v>7785123076</v>
      </c>
      <c r="N126" s="2">
        <f t="shared" si="45"/>
        <v>20641304523</v>
      </c>
      <c r="O126" s="2">
        <f t="shared" si="45"/>
        <v>0</v>
      </c>
      <c r="P126" s="2">
        <f t="shared" si="45"/>
        <v>4046627215</v>
      </c>
    </row>
    <row r="127" spans="1:16" x14ac:dyDescent="0.35">
      <c r="A127" t="s">
        <v>176</v>
      </c>
      <c r="B127" t="s">
        <v>177</v>
      </c>
      <c r="C127">
        <v>246245512081</v>
      </c>
      <c r="D127">
        <v>74971000508</v>
      </c>
      <c r="E127">
        <v>34062284165</v>
      </c>
      <c r="F127">
        <v>91696380</v>
      </c>
      <c r="G127">
        <v>109124981053</v>
      </c>
      <c r="H127">
        <v>137120531027</v>
      </c>
      <c r="I127">
        <v>24681695590</v>
      </c>
      <c r="J127">
        <v>6236170</v>
      </c>
      <c r="K127">
        <v>24687931760</v>
      </c>
      <c r="L127">
        <v>12856181447</v>
      </c>
      <c r="M127">
        <v>7785123076</v>
      </c>
      <c r="N127">
        <v>20641304523</v>
      </c>
      <c r="O127">
        <v>0</v>
      </c>
      <c r="P127">
        <v>4046627215</v>
      </c>
    </row>
    <row r="128" spans="1:16" x14ac:dyDescent="0.35">
      <c r="A128" s="2" t="str">
        <f>[2]RCPA2!$A$193</f>
        <v>G22</v>
      </c>
      <c r="B128" s="11" t="str">
        <f>[2]RCPA2!$C$193</f>
        <v>Wholesale trade, except of motor vehicles &amp; motorcycles</v>
      </c>
      <c r="C128" s="2">
        <f>C129+C130+C131+C132+C133+C134</f>
        <v>2116997509179</v>
      </c>
      <c r="D128" s="2">
        <f t="shared" ref="D128:P128" si="46">D129+D130+D131+D132+D133+D134</f>
        <v>1022796986723</v>
      </c>
      <c r="E128" s="2">
        <f t="shared" si="46"/>
        <v>360647553665</v>
      </c>
      <c r="F128" s="2">
        <f t="shared" si="46"/>
        <v>35665597256</v>
      </c>
      <c r="G128" s="2">
        <f t="shared" si="46"/>
        <v>1419110137644</v>
      </c>
      <c r="H128" s="2">
        <f t="shared" si="46"/>
        <v>697887371541</v>
      </c>
      <c r="I128" s="2">
        <f t="shared" si="46"/>
        <v>125619727115</v>
      </c>
      <c r="J128" s="2">
        <f t="shared" si="46"/>
        <v>162642686</v>
      </c>
      <c r="K128" s="2">
        <f t="shared" si="46"/>
        <v>125782369801</v>
      </c>
      <c r="L128" s="2">
        <f t="shared" si="46"/>
        <v>41899274298</v>
      </c>
      <c r="M128" s="2">
        <f t="shared" si="46"/>
        <v>67531329764</v>
      </c>
      <c r="N128" s="2">
        <f t="shared" si="46"/>
        <v>109430604062</v>
      </c>
      <c r="O128" s="2">
        <f t="shared" si="46"/>
        <v>39432421</v>
      </c>
      <c r="P128" s="2">
        <f t="shared" si="46"/>
        <v>16312333225</v>
      </c>
    </row>
    <row r="129" spans="1:16" x14ac:dyDescent="0.35">
      <c r="A129" t="s">
        <v>178</v>
      </c>
      <c r="B129" t="s">
        <v>179</v>
      </c>
      <c r="C129">
        <v>110445613034</v>
      </c>
      <c r="D129">
        <v>80746499279</v>
      </c>
      <c r="E129">
        <v>3369459973</v>
      </c>
      <c r="F129">
        <v>0</v>
      </c>
      <c r="G129">
        <v>84115959252</v>
      </c>
      <c r="H129">
        <v>26329653781</v>
      </c>
      <c r="I129">
        <v>4739337692</v>
      </c>
      <c r="J129">
        <v>0</v>
      </c>
      <c r="K129">
        <v>4739337692</v>
      </c>
      <c r="L129">
        <v>1116777351</v>
      </c>
      <c r="M129">
        <v>2689708967</v>
      </c>
      <c r="N129">
        <v>3806486318</v>
      </c>
      <c r="O129">
        <v>0</v>
      </c>
      <c r="P129">
        <v>932851371</v>
      </c>
    </row>
    <row r="130" spans="1:16" x14ac:dyDescent="0.35">
      <c r="A130" t="s">
        <v>180</v>
      </c>
      <c r="B130" t="s">
        <v>181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5">
      <c r="A131" t="s">
        <v>182</v>
      </c>
      <c r="B131" t="s">
        <v>183</v>
      </c>
      <c r="C131">
        <v>139518956227</v>
      </c>
      <c r="D131">
        <v>41574075314</v>
      </c>
      <c r="E131">
        <v>11791095093</v>
      </c>
      <c r="F131">
        <v>583080775</v>
      </c>
      <c r="G131">
        <v>53948251182</v>
      </c>
      <c r="H131">
        <v>85570705049</v>
      </c>
      <c r="I131">
        <v>15402726948</v>
      </c>
      <c r="J131">
        <v>3190877</v>
      </c>
      <c r="K131">
        <v>15405917825</v>
      </c>
      <c r="L131">
        <v>6547703269</v>
      </c>
      <c r="M131">
        <v>8143185934</v>
      </c>
      <c r="N131">
        <v>14690889203</v>
      </c>
      <c r="O131">
        <v>0</v>
      </c>
      <c r="P131">
        <v>715028602</v>
      </c>
    </row>
    <row r="132" spans="1:16" x14ac:dyDescent="0.35">
      <c r="A132" t="s">
        <v>184</v>
      </c>
      <c r="B132" t="s">
        <v>185</v>
      </c>
      <c r="C132">
        <v>690038526739</v>
      </c>
      <c r="D132">
        <v>582578940534</v>
      </c>
      <c r="E132">
        <v>87526601039</v>
      </c>
      <c r="F132">
        <v>476416460</v>
      </c>
      <c r="G132">
        <v>670581958034</v>
      </c>
      <c r="H132">
        <v>19456568703</v>
      </c>
      <c r="I132">
        <v>3502182382</v>
      </c>
      <c r="J132">
        <v>92794434</v>
      </c>
      <c r="K132">
        <v>3594976816</v>
      </c>
      <c r="L132">
        <v>1703659075</v>
      </c>
      <c r="M132">
        <v>1085047630</v>
      </c>
      <c r="N132">
        <v>2788706705</v>
      </c>
      <c r="O132">
        <v>0</v>
      </c>
      <c r="P132">
        <v>806270109</v>
      </c>
    </row>
    <row r="133" spans="1:16" x14ac:dyDescent="0.35">
      <c r="A133" t="s">
        <v>186</v>
      </c>
      <c r="B133" t="s">
        <v>187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5">
      <c r="A134" t="s">
        <v>188</v>
      </c>
      <c r="B134" t="s">
        <v>189</v>
      </c>
      <c r="C134">
        <v>1176994413179</v>
      </c>
      <c r="D134">
        <v>317897471596</v>
      </c>
      <c r="E134">
        <v>257960397560</v>
      </c>
      <c r="F134">
        <v>34606100021</v>
      </c>
      <c r="G134">
        <v>610463969176</v>
      </c>
      <c r="H134">
        <v>566530444008</v>
      </c>
      <c r="I134">
        <v>101975480093</v>
      </c>
      <c r="J134">
        <v>66657375</v>
      </c>
      <c r="K134">
        <v>102042137468</v>
      </c>
      <c r="L134">
        <v>32531134603</v>
      </c>
      <c r="M134">
        <v>55613387233</v>
      </c>
      <c r="N134">
        <v>88144521836</v>
      </c>
      <c r="O134">
        <v>39432421</v>
      </c>
      <c r="P134">
        <v>13858183143</v>
      </c>
    </row>
    <row r="135" spans="1:16" x14ac:dyDescent="0.35">
      <c r="A135" s="2" t="str">
        <f>[2]RCPA2!$A$200</f>
        <v>G23</v>
      </c>
      <c r="B135" s="2" t="str">
        <f>[2]RCPA2!$C$200</f>
        <v>Retail trade, except of motor vehicles &amp; motorcycles</v>
      </c>
      <c r="C135" s="2">
        <f>C136+C137+C138+C139+C140+C141+C142</f>
        <v>1602516731479</v>
      </c>
      <c r="D135" s="2">
        <f t="shared" ref="D135:P135" si="47">D136+D137+D138+D139+D140+D141+D142</f>
        <v>464218719980</v>
      </c>
      <c r="E135" s="2">
        <f t="shared" si="47"/>
        <v>26992198605</v>
      </c>
      <c r="F135" s="2">
        <f t="shared" si="47"/>
        <v>0</v>
      </c>
      <c r="G135" s="2">
        <f t="shared" si="47"/>
        <v>491210918585</v>
      </c>
      <c r="H135" s="2">
        <f t="shared" si="47"/>
        <v>1111305813119</v>
      </c>
      <c r="I135" s="2">
        <f t="shared" si="47"/>
        <v>200035046724</v>
      </c>
      <c r="J135" s="2">
        <f t="shared" si="47"/>
        <v>5632620</v>
      </c>
      <c r="K135" s="2">
        <f t="shared" si="47"/>
        <v>200040679373</v>
      </c>
      <c r="L135" s="2">
        <f t="shared" si="47"/>
        <v>35566235939</v>
      </c>
      <c r="M135" s="2">
        <f t="shared" si="47"/>
        <v>143897267670</v>
      </c>
      <c r="N135" s="2">
        <f t="shared" si="47"/>
        <v>179463503609</v>
      </c>
      <c r="O135" s="2">
        <f t="shared" si="47"/>
        <v>3470217</v>
      </c>
      <c r="P135" s="2">
        <f t="shared" si="47"/>
        <v>20573705405</v>
      </c>
    </row>
    <row r="136" spans="1:16" x14ac:dyDescent="0.35">
      <c r="A136" t="s">
        <v>190</v>
      </c>
      <c r="B136" t="s">
        <v>191</v>
      </c>
      <c r="C136">
        <v>799181715337</v>
      </c>
      <c r="D136">
        <v>194486712691</v>
      </c>
      <c r="E136">
        <v>8723666841</v>
      </c>
      <c r="F136">
        <v>0</v>
      </c>
      <c r="G136">
        <v>203210379532</v>
      </c>
      <c r="H136">
        <v>595971335807</v>
      </c>
      <c r="I136">
        <v>107274840625</v>
      </c>
      <c r="J136">
        <v>4533164</v>
      </c>
      <c r="K136">
        <v>107279373789</v>
      </c>
      <c r="L136">
        <v>17010599995</v>
      </c>
      <c r="M136">
        <v>80476228449</v>
      </c>
      <c r="N136">
        <v>97486828444</v>
      </c>
      <c r="O136">
        <v>3229017</v>
      </c>
      <c r="P136">
        <v>9789316262</v>
      </c>
    </row>
    <row r="137" spans="1:16" x14ac:dyDescent="0.35">
      <c r="A137" t="s">
        <v>192</v>
      </c>
      <c r="B137" t="s">
        <v>193</v>
      </c>
      <c r="C137">
        <v>231440885210</v>
      </c>
      <c r="D137">
        <v>78946351934</v>
      </c>
      <c r="E137">
        <v>5168067703</v>
      </c>
      <c r="F137">
        <v>0</v>
      </c>
      <c r="G137">
        <v>84114419637</v>
      </c>
      <c r="H137">
        <v>147326465802</v>
      </c>
      <c r="I137">
        <v>26518763845</v>
      </c>
      <c r="J137">
        <v>0</v>
      </c>
      <c r="K137">
        <v>26518763874</v>
      </c>
      <c r="L137">
        <v>3997862787</v>
      </c>
      <c r="M137">
        <v>19478946573</v>
      </c>
      <c r="N137">
        <v>23476809360</v>
      </c>
      <c r="O137">
        <v>0</v>
      </c>
      <c r="P137">
        <v>3041954516</v>
      </c>
    </row>
    <row r="138" spans="1:16" x14ac:dyDescent="0.35">
      <c r="A138" t="s">
        <v>194</v>
      </c>
      <c r="B138" t="s">
        <v>195</v>
      </c>
      <c r="C138">
        <v>98066834781</v>
      </c>
      <c r="D138">
        <v>89106159742</v>
      </c>
      <c r="E138">
        <v>1646858932</v>
      </c>
      <c r="F138">
        <v>0</v>
      </c>
      <c r="G138">
        <v>90753018674</v>
      </c>
      <c r="H138">
        <v>7313816108</v>
      </c>
      <c r="I138">
        <v>1316486899</v>
      </c>
      <c r="J138">
        <v>0</v>
      </c>
      <c r="K138">
        <v>1316486899</v>
      </c>
      <c r="L138">
        <v>400441743</v>
      </c>
      <c r="M138">
        <v>698463515</v>
      </c>
      <c r="N138">
        <v>1098905258</v>
      </c>
      <c r="O138">
        <v>0</v>
      </c>
      <c r="P138">
        <v>217581641</v>
      </c>
    </row>
    <row r="139" spans="1:16" x14ac:dyDescent="0.35">
      <c r="A139" t="s">
        <v>196</v>
      </c>
      <c r="B139" t="s">
        <v>197</v>
      </c>
      <c r="C139">
        <v>8606263798</v>
      </c>
      <c r="D139">
        <v>206319765</v>
      </c>
      <c r="E139">
        <v>17091048</v>
      </c>
      <c r="F139">
        <v>0</v>
      </c>
      <c r="G139">
        <v>223410813</v>
      </c>
      <c r="H139">
        <v>8382852985</v>
      </c>
      <c r="I139">
        <v>1508913555</v>
      </c>
      <c r="J139">
        <v>176000</v>
      </c>
      <c r="K139">
        <v>1509089555</v>
      </c>
      <c r="L139">
        <v>590958197</v>
      </c>
      <c r="M139">
        <v>827546280</v>
      </c>
      <c r="N139">
        <v>1418504477</v>
      </c>
      <c r="O139">
        <v>0</v>
      </c>
      <c r="P139">
        <v>90585069</v>
      </c>
    </row>
    <row r="140" spans="1:16" x14ac:dyDescent="0.35">
      <c r="A140" t="s">
        <v>198</v>
      </c>
      <c r="B140" t="s">
        <v>199</v>
      </c>
      <c r="C140">
        <v>60682594945</v>
      </c>
      <c r="D140">
        <v>41391897838</v>
      </c>
      <c r="E140">
        <v>20314592</v>
      </c>
      <c r="F140">
        <v>0</v>
      </c>
      <c r="G140">
        <v>41412212430</v>
      </c>
      <c r="H140">
        <v>19270382511</v>
      </c>
      <c r="I140">
        <v>3468668866</v>
      </c>
      <c r="J140">
        <v>0</v>
      </c>
      <c r="K140">
        <v>3468668866</v>
      </c>
      <c r="L140">
        <v>1097906950</v>
      </c>
      <c r="M140">
        <v>2433498819</v>
      </c>
      <c r="N140">
        <v>3531405769</v>
      </c>
      <c r="O140">
        <v>0</v>
      </c>
      <c r="P140">
        <v>-62736913</v>
      </c>
    </row>
    <row r="141" spans="1:16" x14ac:dyDescent="0.35">
      <c r="A141" t="s">
        <v>200</v>
      </c>
      <c r="B141" t="s">
        <v>201</v>
      </c>
      <c r="C141">
        <v>18865004139</v>
      </c>
      <c r="D141">
        <v>3466407562</v>
      </c>
      <c r="E141">
        <v>347840430</v>
      </c>
      <c r="F141">
        <v>0</v>
      </c>
      <c r="G141">
        <v>3814247992</v>
      </c>
      <c r="H141">
        <v>15050756146</v>
      </c>
      <c r="I141">
        <v>2709136110</v>
      </c>
      <c r="J141">
        <v>0</v>
      </c>
      <c r="K141">
        <v>2709136110</v>
      </c>
      <c r="L141">
        <v>157489670</v>
      </c>
      <c r="M141">
        <v>2345736002</v>
      </c>
      <c r="N141">
        <v>2503225672</v>
      </c>
      <c r="O141">
        <v>0</v>
      </c>
      <c r="P141">
        <v>205910433</v>
      </c>
    </row>
    <row r="142" spans="1:16" x14ac:dyDescent="0.35">
      <c r="A142" t="s">
        <v>202</v>
      </c>
      <c r="B142" t="s">
        <v>203</v>
      </c>
      <c r="C142">
        <v>385673433269</v>
      </c>
      <c r="D142">
        <v>56614870448</v>
      </c>
      <c r="E142">
        <v>11068359059</v>
      </c>
      <c r="F142">
        <v>0</v>
      </c>
      <c r="G142">
        <v>67683229507</v>
      </c>
      <c r="H142">
        <v>317990203760</v>
      </c>
      <c r="I142">
        <v>57238236824</v>
      </c>
      <c r="J142">
        <v>923456</v>
      </c>
      <c r="K142">
        <v>57239160280</v>
      </c>
      <c r="L142">
        <v>12310976597</v>
      </c>
      <c r="M142">
        <v>37636848032</v>
      </c>
      <c r="N142">
        <v>49947824629</v>
      </c>
      <c r="O142">
        <v>241200</v>
      </c>
      <c r="P142">
        <v>7291094397</v>
      </c>
    </row>
    <row r="143" spans="1:16" x14ac:dyDescent="0.35">
      <c r="A143" s="2" t="str">
        <f>[2]RCPA2!$A$209</f>
        <v>H10</v>
      </c>
      <c r="B143" s="2" t="str">
        <f>[2]RCPA2!$C$209</f>
        <v>Land transport</v>
      </c>
      <c r="C143" s="2">
        <f>C144+C145</f>
        <v>284078810770</v>
      </c>
      <c r="D143" s="2">
        <f t="shared" ref="D143:P143" si="48">D144+D145</f>
        <v>129361805946</v>
      </c>
      <c r="E143" s="2">
        <f t="shared" si="48"/>
        <v>74841920725</v>
      </c>
      <c r="F143" s="2">
        <f t="shared" si="48"/>
        <v>0</v>
      </c>
      <c r="G143" s="2">
        <f t="shared" si="48"/>
        <v>204203726671</v>
      </c>
      <c r="H143" s="2">
        <f t="shared" si="48"/>
        <v>79875084102</v>
      </c>
      <c r="I143" s="2">
        <f t="shared" si="48"/>
        <v>14377515157</v>
      </c>
      <c r="J143" s="2">
        <f t="shared" si="48"/>
        <v>121816197</v>
      </c>
      <c r="K143" s="2">
        <f t="shared" si="48"/>
        <v>14499331354</v>
      </c>
      <c r="L143" s="2">
        <f t="shared" si="48"/>
        <v>5777066852</v>
      </c>
      <c r="M143" s="2">
        <f t="shared" si="48"/>
        <v>6416431408</v>
      </c>
      <c r="N143" s="2">
        <f t="shared" si="48"/>
        <v>12193498260</v>
      </c>
      <c r="O143" s="2">
        <f t="shared" si="48"/>
        <v>87816385</v>
      </c>
      <c r="P143" s="2">
        <f t="shared" si="48"/>
        <v>2218016704</v>
      </c>
    </row>
    <row r="144" spans="1:16" x14ac:dyDescent="0.35">
      <c r="A144" t="s">
        <v>204</v>
      </c>
      <c r="B144" t="s">
        <v>205</v>
      </c>
      <c r="C144">
        <v>96813093976</v>
      </c>
      <c r="D144">
        <v>49981500740</v>
      </c>
      <c r="E144">
        <v>3278496807</v>
      </c>
      <c r="F144">
        <v>0</v>
      </c>
      <c r="G144">
        <v>53259997547</v>
      </c>
      <c r="H144">
        <v>43553096431</v>
      </c>
      <c r="I144">
        <v>7839557369</v>
      </c>
      <c r="J144">
        <v>7492520</v>
      </c>
      <c r="K144">
        <v>7847049889</v>
      </c>
      <c r="L144">
        <v>1971025237</v>
      </c>
      <c r="M144">
        <v>3189053059</v>
      </c>
      <c r="N144">
        <v>5160078296</v>
      </c>
      <c r="O144">
        <v>0</v>
      </c>
      <c r="P144">
        <v>2686971590</v>
      </c>
    </row>
    <row r="145" spans="1:16" x14ac:dyDescent="0.35">
      <c r="A145" t="s">
        <v>206</v>
      </c>
      <c r="B145" t="s">
        <v>207</v>
      </c>
      <c r="C145">
        <v>187265716794</v>
      </c>
      <c r="D145">
        <v>79380305206</v>
      </c>
      <c r="E145">
        <v>71563423918</v>
      </c>
      <c r="F145">
        <v>0</v>
      </c>
      <c r="G145">
        <v>150943729124</v>
      </c>
      <c r="H145">
        <v>36321987671</v>
      </c>
      <c r="I145">
        <v>6537957788</v>
      </c>
      <c r="J145">
        <v>114323677</v>
      </c>
      <c r="K145">
        <v>6652281465</v>
      </c>
      <c r="L145">
        <v>3806041615</v>
      </c>
      <c r="M145">
        <v>3227378349</v>
      </c>
      <c r="N145">
        <v>7033419964</v>
      </c>
      <c r="O145">
        <v>87816385</v>
      </c>
      <c r="P145">
        <v>-468954886</v>
      </c>
    </row>
    <row r="146" spans="1:16" x14ac:dyDescent="0.35">
      <c r="A146" s="2" t="str">
        <f>[2]RCPA2!$A$213</f>
        <v>H20</v>
      </c>
      <c r="B146" s="2" t="str">
        <f>[2]RCPA2!$C$213</f>
        <v>Air transport</v>
      </c>
      <c r="C146" s="2">
        <f>C147+C148</f>
        <v>188136414747</v>
      </c>
      <c r="D146" s="2">
        <f t="shared" ref="D146:P146" si="49">D147+D148</f>
        <v>174938274409</v>
      </c>
      <c r="E146" s="2">
        <f t="shared" si="49"/>
        <v>9044559761</v>
      </c>
      <c r="F146" s="2">
        <f t="shared" si="49"/>
        <v>0</v>
      </c>
      <c r="G146" s="2">
        <f t="shared" si="49"/>
        <v>183982834169</v>
      </c>
      <c r="H146" s="2">
        <f t="shared" si="49"/>
        <v>4153580576</v>
      </c>
      <c r="I146" s="2">
        <f t="shared" si="49"/>
        <v>747644503</v>
      </c>
      <c r="J146" s="2">
        <f t="shared" si="49"/>
        <v>0</v>
      </c>
      <c r="K146" s="2">
        <f t="shared" si="49"/>
        <v>747644503</v>
      </c>
      <c r="L146" s="2">
        <f t="shared" si="49"/>
        <v>241038243</v>
      </c>
      <c r="M146" s="2">
        <f t="shared" si="49"/>
        <v>19286912</v>
      </c>
      <c r="N146" s="2">
        <f t="shared" si="49"/>
        <v>260325155</v>
      </c>
      <c r="O146" s="2">
        <f t="shared" si="49"/>
        <v>0</v>
      </c>
      <c r="P146" s="2">
        <f t="shared" si="49"/>
        <v>487319348</v>
      </c>
    </row>
    <row r="147" spans="1:16" x14ac:dyDescent="0.35">
      <c r="A147" t="s">
        <v>208</v>
      </c>
      <c r="B147" t="s">
        <v>209</v>
      </c>
      <c r="C147">
        <v>184349601139</v>
      </c>
      <c r="D147">
        <v>171611231672</v>
      </c>
      <c r="E147">
        <v>8707115161</v>
      </c>
      <c r="F147">
        <v>0</v>
      </c>
      <c r="G147">
        <v>180318346832</v>
      </c>
      <c r="H147">
        <v>4031254305</v>
      </c>
      <c r="I147">
        <v>725625774</v>
      </c>
      <c r="J147">
        <v>0</v>
      </c>
      <c r="K147">
        <v>725625774</v>
      </c>
      <c r="L147">
        <v>593271</v>
      </c>
      <c r="M147">
        <v>971578</v>
      </c>
      <c r="N147">
        <v>1564849</v>
      </c>
      <c r="O147">
        <v>0</v>
      </c>
      <c r="P147">
        <v>724060925</v>
      </c>
    </row>
    <row r="148" spans="1:16" x14ac:dyDescent="0.35">
      <c r="A148" t="s">
        <v>210</v>
      </c>
      <c r="B148" t="s">
        <v>211</v>
      </c>
      <c r="C148">
        <v>3786813608</v>
      </c>
      <c r="D148">
        <v>3327042737</v>
      </c>
      <c r="E148">
        <v>337444600</v>
      </c>
      <c r="F148">
        <v>0</v>
      </c>
      <c r="G148">
        <v>3664487337</v>
      </c>
      <c r="H148">
        <v>122326271</v>
      </c>
      <c r="I148">
        <v>22018729</v>
      </c>
      <c r="J148">
        <v>0</v>
      </c>
      <c r="K148">
        <v>22018729</v>
      </c>
      <c r="L148">
        <v>240444972</v>
      </c>
      <c r="M148">
        <v>18315334</v>
      </c>
      <c r="N148">
        <v>258760306</v>
      </c>
      <c r="O148">
        <v>0</v>
      </c>
      <c r="P148">
        <v>-236741577</v>
      </c>
    </row>
    <row r="149" spans="1:16" x14ac:dyDescent="0.35">
      <c r="A149" s="2" t="str">
        <f>[2]RCPA2!$A$217</f>
        <v>H31</v>
      </c>
      <c r="B149" s="2" t="str">
        <f>[2]RCPA2!$C$217</f>
        <v xml:space="preserve">Services related to transport </v>
      </c>
      <c r="C149" s="2">
        <f>C150</f>
        <v>238325258563</v>
      </c>
      <c r="D149" s="2">
        <f t="shared" ref="D149:P149" si="50">D150</f>
        <v>108087625729</v>
      </c>
      <c r="E149" s="2">
        <f t="shared" si="50"/>
        <v>16675031774</v>
      </c>
      <c r="F149" s="2">
        <f t="shared" si="50"/>
        <v>0</v>
      </c>
      <c r="G149" s="2">
        <f t="shared" si="50"/>
        <v>124762657502</v>
      </c>
      <c r="H149" s="2">
        <f t="shared" si="50"/>
        <v>113562601063</v>
      </c>
      <c r="I149" s="2">
        <f t="shared" si="50"/>
        <v>20441268222</v>
      </c>
      <c r="J149" s="2">
        <f t="shared" si="50"/>
        <v>23258289</v>
      </c>
      <c r="K149" s="2">
        <f t="shared" si="50"/>
        <v>20464526511</v>
      </c>
      <c r="L149" s="2">
        <f t="shared" si="50"/>
        <v>7762439432</v>
      </c>
      <c r="M149" s="2">
        <f t="shared" si="50"/>
        <v>7899170709</v>
      </c>
      <c r="N149" s="2">
        <f t="shared" si="50"/>
        <v>15661610141</v>
      </c>
      <c r="O149" s="2">
        <f t="shared" si="50"/>
        <v>405458</v>
      </c>
      <c r="P149" s="2">
        <f t="shared" si="50"/>
        <v>4802510906</v>
      </c>
    </row>
    <row r="150" spans="1:16" x14ac:dyDescent="0.35">
      <c r="A150" t="s">
        <v>212</v>
      </c>
      <c r="B150" t="s">
        <v>213</v>
      </c>
      <c r="C150">
        <v>238325258563</v>
      </c>
      <c r="D150">
        <v>108087625729</v>
      </c>
      <c r="E150">
        <v>16675031774</v>
      </c>
      <c r="F150">
        <v>0</v>
      </c>
      <c r="G150">
        <v>124762657502</v>
      </c>
      <c r="H150">
        <v>113562601063</v>
      </c>
      <c r="I150">
        <v>20441268222</v>
      </c>
      <c r="J150">
        <v>23258289</v>
      </c>
      <c r="K150">
        <v>20464526511</v>
      </c>
      <c r="L150">
        <v>7762439432</v>
      </c>
      <c r="M150">
        <v>7899170709</v>
      </c>
      <c r="N150">
        <v>15661610141</v>
      </c>
      <c r="O150">
        <v>405458</v>
      </c>
      <c r="P150">
        <v>4802510906</v>
      </c>
    </row>
    <row r="151" spans="1:16" x14ac:dyDescent="0.35">
      <c r="A151" s="2" t="str">
        <f>[2]RCPA2!$A$219</f>
        <v>H32</v>
      </c>
      <c r="B151" s="11" t="str">
        <f>[2]RCPA2!$C$219</f>
        <v>Postal &amp; courier activities</v>
      </c>
      <c r="C151" s="2">
        <f>C152</f>
        <v>6693004342</v>
      </c>
      <c r="D151" s="2">
        <f t="shared" ref="D151:P151" si="51">D152</f>
        <v>1260885387</v>
      </c>
      <c r="E151" s="2">
        <f t="shared" si="51"/>
        <v>0</v>
      </c>
      <c r="F151" s="2">
        <f t="shared" si="51"/>
        <v>0</v>
      </c>
      <c r="G151" s="2">
        <f t="shared" si="51"/>
        <v>1260885387</v>
      </c>
      <c r="H151" s="2">
        <f t="shared" si="51"/>
        <v>5432118955</v>
      </c>
      <c r="I151" s="2">
        <f t="shared" si="51"/>
        <v>977781412</v>
      </c>
      <c r="J151" s="2">
        <f t="shared" si="51"/>
        <v>1695892</v>
      </c>
      <c r="K151" s="2">
        <f t="shared" si="51"/>
        <v>979477304</v>
      </c>
      <c r="L151" s="2">
        <f t="shared" si="51"/>
        <v>4299515</v>
      </c>
      <c r="M151" s="2">
        <f t="shared" si="51"/>
        <v>165645326</v>
      </c>
      <c r="N151" s="2">
        <f t="shared" si="51"/>
        <v>169944841</v>
      </c>
      <c r="O151" s="2">
        <f t="shared" si="51"/>
        <v>0</v>
      </c>
      <c r="P151" s="2">
        <f t="shared" si="51"/>
        <v>809532463</v>
      </c>
    </row>
    <row r="152" spans="1:16" x14ac:dyDescent="0.35">
      <c r="A152" t="s">
        <v>214</v>
      </c>
      <c r="B152" t="s">
        <v>215</v>
      </c>
      <c r="C152">
        <v>6693004342</v>
      </c>
      <c r="D152">
        <v>1260885387</v>
      </c>
      <c r="E152">
        <v>0</v>
      </c>
      <c r="F152">
        <v>0</v>
      </c>
      <c r="G152">
        <v>1260885387</v>
      </c>
      <c r="H152">
        <v>5432118955</v>
      </c>
      <c r="I152">
        <v>977781412</v>
      </c>
      <c r="J152">
        <v>1695892</v>
      </c>
      <c r="K152">
        <v>979477304</v>
      </c>
      <c r="L152">
        <v>4299515</v>
      </c>
      <c r="M152">
        <v>165645326</v>
      </c>
      <c r="N152">
        <v>169944841</v>
      </c>
      <c r="O152">
        <v>0</v>
      </c>
      <c r="P152">
        <v>809532463</v>
      </c>
    </row>
    <row r="153" spans="1:16" x14ac:dyDescent="0.35">
      <c r="A153" s="2" t="str">
        <f>[2]RCPA2!$A$222</f>
        <v>I00</v>
      </c>
      <c r="B153" s="2" t="str">
        <f>[2]RCPA2!$C$222</f>
        <v>Hotels &amp; restaurants</v>
      </c>
      <c r="C153" s="2">
        <f>C154+C155</f>
        <v>509719927857</v>
      </c>
      <c r="D153" s="2">
        <f t="shared" ref="D153:P153" si="52">D154+D155</f>
        <v>54099385586</v>
      </c>
      <c r="E153" s="2">
        <f t="shared" si="52"/>
        <v>30629283449</v>
      </c>
      <c r="F153" s="2">
        <f t="shared" si="52"/>
        <v>12197672905</v>
      </c>
      <c r="G153" s="2">
        <f t="shared" si="52"/>
        <v>96926341940</v>
      </c>
      <c r="H153" s="2">
        <f t="shared" si="52"/>
        <v>412793585921</v>
      </c>
      <c r="I153" s="2">
        <f t="shared" si="52"/>
        <v>74302845606</v>
      </c>
      <c r="J153" s="2">
        <f t="shared" si="52"/>
        <v>893451344</v>
      </c>
      <c r="K153" s="2">
        <f t="shared" si="52"/>
        <v>75196296950</v>
      </c>
      <c r="L153" s="2">
        <f t="shared" si="52"/>
        <v>4203395957</v>
      </c>
      <c r="M153" s="2">
        <f t="shared" si="52"/>
        <v>38936501657</v>
      </c>
      <c r="N153" s="2">
        <f t="shared" si="52"/>
        <v>43139897614</v>
      </c>
      <c r="O153" s="2">
        <f t="shared" si="52"/>
        <v>718272045</v>
      </c>
      <c r="P153" s="2">
        <f t="shared" si="52"/>
        <v>31338127252</v>
      </c>
    </row>
    <row r="154" spans="1:16" x14ac:dyDescent="0.35">
      <c r="A154" t="s">
        <v>216</v>
      </c>
      <c r="B154" t="s">
        <v>217</v>
      </c>
      <c r="C154">
        <v>291925709012</v>
      </c>
      <c r="D154">
        <v>17764731668</v>
      </c>
      <c r="E154">
        <v>2128602749</v>
      </c>
      <c r="F154">
        <v>0</v>
      </c>
      <c r="G154">
        <v>19893334417</v>
      </c>
      <c r="H154">
        <v>272032374596</v>
      </c>
      <c r="I154">
        <v>48965827496</v>
      </c>
      <c r="J154">
        <v>887983913</v>
      </c>
      <c r="K154">
        <v>49853811409</v>
      </c>
      <c r="L154">
        <v>3331242807</v>
      </c>
      <c r="M154">
        <v>21402504436</v>
      </c>
      <c r="N154">
        <v>24733747243</v>
      </c>
      <c r="O154">
        <v>716862236</v>
      </c>
      <c r="P154">
        <v>24403201916</v>
      </c>
    </row>
    <row r="155" spans="1:16" x14ac:dyDescent="0.35">
      <c r="A155" t="s">
        <v>218</v>
      </c>
      <c r="B155" t="s">
        <v>219</v>
      </c>
      <c r="C155">
        <v>217794218845</v>
      </c>
      <c r="D155">
        <v>36334653918</v>
      </c>
      <c r="E155">
        <v>28500680700</v>
      </c>
      <c r="F155">
        <v>12197672905</v>
      </c>
      <c r="G155">
        <v>77033007523</v>
      </c>
      <c r="H155">
        <v>140761211325</v>
      </c>
      <c r="I155">
        <v>25337018110</v>
      </c>
      <c r="J155">
        <v>5467431</v>
      </c>
      <c r="K155">
        <v>25342485541</v>
      </c>
      <c r="L155">
        <v>872153150</v>
      </c>
      <c r="M155">
        <v>17533997221</v>
      </c>
      <c r="N155">
        <v>18406150371</v>
      </c>
      <c r="O155">
        <v>1409809</v>
      </c>
      <c r="P155">
        <v>6934925336</v>
      </c>
    </row>
    <row r="156" spans="1:16" x14ac:dyDescent="0.35">
      <c r="A156" s="2" t="str">
        <f>[2]RCPA2!$A$226</f>
        <v>J10</v>
      </c>
      <c r="B156" s="11" t="str">
        <f>[2]RCPA2!$C$226</f>
        <v>Publishing, video making, programming &amp; broadcasting activities</v>
      </c>
      <c r="C156" s="2">
        <f>C157+C158+C159</f>
        <v>32924625555</v>
      </c>
      <c r="D156" s="2">
        <f t="shared" ref="D156:P156" si="53">D157+D158+D159</f>
        <v>2071308574</v>
      </c>
      <c r="E156" s="2">
        <f t="shared" si="53"/>
        <v>1626666646</v>
      </c>
      <c r="F156" s="2">
        <f t="shared" si="53"/>
        <v>0</v>
      </c>
      <c r="G156" s="2">
        <f t="shared" si="53"/>
        <v>3697975220</v>
      </c>
      <c r="H156" s="2">
        <f t="shared" si="53"/>
        <v>29226650335</v>
      </c>
      <c r="I156" s="2">
        <f t="shared" si="53"/>
        <v>5260797066</v>
      </c>
      <c r="J156" s="2">
        <f t="shared" si="53"/>
        <v>216094014</v>
      </c>
      <c r="K156" s="2">
        <f t="shared" si="53"/>
        <v>5476891080</v>
      </c>
      <c r="L156" s="2">
        <f t="shared" si="53"/>
        <v>412647342</v>
      </c>
      <c r="M156" s="2">
        <f t="shared" si="53"/>
        <v>1589691651</v>
      </c>
      <c r="N156" s="2">
        <f t="shared" si="53"/>
        <v>2002338993</v>
      </c>
      <c r="O156" s="2">
        <f t="shared" si="53"/>
        <v>216094014</v>
      </c>
      <c r="P156" s="2">
        <f t="shared" si="53"/>
        <v>3258458073</v>
      </c>
    </row>
    <row r="157" spans="1:16" x14ac:dyDescent="0.35">
      <c r="A157" t="s">
        <v>220</v>
      </c>
      <c r="B157" t="s">
        <v>221</v>
      </c>
      <c r="C157">
        <v>7453216408</v>
      </c>
      <c r="D157">
        <v>1734032410</v>
      </c>
      <c r="E157">
        <v>1245943141</v>
      </c>
      <c r="F157">
        <v>0</v>
      </c>
      <c r="G157">
        <v>2979975551</v>
      </c>
      <c r="H157">
        <v>4473240857</v>
      </c>
      <c r="I157">
        <v>805183352</v>
      </c>
      <c r="J157">
        <v>0</v>
      </c>
      <c r="K157">
        <v>805183352</v>
      </c>
      <c r="L157">
        <v>8506519</v>
      </c>
      <c r="M157">
        <v>341225824</v>
      </c>
      <c r="N157">
        <v>349732343</v>
      </c>
      <c r="O157">
        <v>0</v>
      </c>
      <c r="P157">
        <v>455451009</v>
      </c>
    </row>
    <row r="158" spans="1:16" x14ac:dyDescent="0.35">
      <c r="A158" t="s">
        <v>222</v>
      </c>
      <c r="B158" t="s">
        <v>223</v>
      </c>
      <c r="C158">
        <v>15347985595</v>
      </c>
      <c r="D158">
        <v>274632437</v>
      </c>
      <c r="E158">
        <v>200723505</v>
      </c>
      <c r="F158">
        <v>0</v>
      </c>
      <c r="G158">
        <v>475355942</v>
      </c>
      <c r="H158">
        <v>14872629653</v>
      </c>
      <c r="I158">
        <v>2677073345</v>
      </c>
      <c r="J158">
        <v>216094014</v>
      </c>
      <c r="K158">
        <v>2893167359</v>
      </c>
      <c r="L158">
        <v>392975661</v>
      </c>
      <c r="M158">
        <v>680153537</v>
      </c>
      <c r="N158">
        <v>1073129198</v>
      </c>
      <c r="O158">
        <v>216094014</v>
      </c>
      <c r="P158">
        <v>1603944147</v>
      </c>
    </row>
    <row r="159" spans="1:16" x14ac:dyDescent="0.35">
      <c r="A159" t="s">
        <v>224</v>
      </c>
      <c r="B159" t="s">
        <v>225</v>
      </c>
      <c r="C159">
        <v>10123423552</v>
      </c>
      <c r="D159">
        <v>62643727</v>
      </c>
      <c r="E159">
        <v>180000000</v>
      </c>
      <c r="F159">
        <v>0</v>
      </c>
      <c r="G159">
        <v>242643727</v>
      </c>
      <c r="H159">
        <v>9880779825</v>
      </c>
      <c r="I159">
        <v>1778540369</v>
      </c>
      <c r="J159">
        <v>0</v>
      </c>
      <c r="K159">
        <v>1778540369</v>
      </c>
      <c r="L159">
        <v>11165162</v>
      </c>
      <c r="M159">
        <v>568312290</v>
      </c>
      <c r="N159">
        <v>579477452</v>
      </c>
      <c r="O159">
        <v>0</v>
      </c>
      <c r="P159">
        <v>1199062917</v>
      </c>
    </row>
    <row r="160" spans="1:16" x14ac:dyDescent="0.35">
      <c r="A160" s="2" t="str">
        <f>[2]RCPA2!$A$231</f>
        <v>J20</v>
      </c>
      <c r="B160" s="2" t="str">
        <f>[2]RCPA2!$C$231</f>
        <v>Telecommunication</v>
      </c>
      <c r="C160" s="2">
        <f>C161</f>
        <v>449831669119</v>
      </c>
      <c r="D160" s="2">
        <f t="shared" ref="D160:P160" si="54">D161</f>
        <v>38964582354</v>
      </c>
      <c r="E160" s="2">
        <f t="shared" si="54"/>
        <v>3849247640</v>
      </c>
      <c r="F160" s="2">
        <f t="shared" si="54"/>
        <v>0</v>
      </c>
      <c r="G160" s="2">
        <f t="shared" si="54"/>
        <v>42813829994</v>
      </c>
      <c r="H160" s="2">
        <f t="shared" si="54"/>
        <v>407017839125</v>
      </c>
      <c r="I160" s="2">
        <f t="shared" si="54"/>
        <v>73263211047</v>
      </c>
      <c r="J160" s="2">
        <f t="shared" si="54"/>
        <v>3994685479</v>
      </c>
      <c r="K160" s="2">
        <f t="shared" si="54"/>
        <v>77257896526</v>
      </c>
      <c r="L160" s="2">
        <f t="shared" si="54"/>
        <v>1081175283</v>
      </c>
      <c r="M160" s="2">
        <f t="shared" si="54"/>
        <v>34019405898</v>
      </c>
      <c r="N160" s="2">
        <f t="shared" si="54"/>
        <v>35100581181</v>
      </c>
      <c r="O160" s="2">
        <f t="shared" si="54"/>
        <v>2713531830</v>
      </c>
      <c r="P160" s="2">
        <f t="shared" si="54"/>
        <v>39443783515</v>
      </c>
    </row>
    <row r="161" spans="1:16" x14ac:dyDescent="0.35">
      <c r="A161" t="s">
        <v>226</v>
      </c>
      <c r="B161" t="s">
        <v>227</v>
      </c>
      <c r="C161">
        <v>449831669119</v>
      </c>
      <c r="D161">
        <v>38964582354</v>
      </c>
      <c r="E161">
        <v>3849247640</v>
      </c>
      <c r="F161">
        <v>0</v>
      </c>
      <c r="G161">
        <v>42813829994</v>
      </c>
      <c r="H161">
        <v>407017839125</v>
      </c>
      <c r="I161">
        <v>73263211047</v>
      </c>
      <c r="J161">
        <v>3994685479</v>
      </c>
      <c r="K161">
        <v>77257896526</v>
      </c>
      <c r="L161">
        <v>1081175283</v>
      </c>
      <c r="M161">
        <v>34019405898</v>
      </c>
      <c r="N161">
        <v>35100581181</v>
      </c>
      <c r="O161">
        <v>2713531830</v>
      </c>
      <c r="P161">
        <v>39443783515</v>
      </c>
    </row>
    <row r="162" spans="1:16" x14ac:dyDescent="0.35">
      <c r="A162" s="2" t="str">
        <f>[2]RCPA2!$A$234</f>
        <v>J30</v>
      </c>
      <c r="B162" s="2" t="str">
        <f>[2]RCPA2!$C$234</f>
        <v>Information technology services</v>
      </c>
      <c r="C162" s="2">
        <f>C163</f>
        <v>137168949790</v>
      </c>
      <c r="D162" s="2">
        <f t="shared" ref="D162:P162" si="55">D163</f>
        <v>58650477637</v>
      </c>
      <c r="E162" s="2">
        <f t="shared" si="55"/>
        <v>3472155387</v>
      </c>
      <c r="F162" s="2">
        <f t="shared" si="55"/>
        <v>0</v>
      </c>
      <c r="G162" s="2">
        <f t="shared" si="55"/>
        <v>62122633024</v>
      </c>
      <c r="H162" s="2">
        <f t="shared" si="55"/>
        <v>75046316762</v>
      </c>
      <c r="I162" s="2">
        <f t="shared" si="55"/>
        <v>13508337026</v>
      </c>
      <c r="J162" s="2">
        <f t="shared" si="55"/>
        <v>52856065</v>
      </c>
      <c r="K162" s="2">
        <f t="shared" si="55"/>
        <v>13561193091</v>
      </c>
      <c r="L162" s="2">
        <f t="shared" si="55"/>
        <v>220639922</v>
      </c>
      <c r="M162" s="2">
        <f t="shared" si="55"/>
        <v>9244080768</v>
      </c>
      <c r="N162" s="2">
        <f t="shared" si="55"/>
        <v>9464720690</v>
      </c>
      <c r="O162" s="2">
        <f t="shared" si="55"/>
        <v>0</v>
      </c>
      <c r="P162" s="2">
        <f t="shared" si="55"/>
        <v>4096472395</v>
      </c>
    </row>
    <row r="163" spans="1:16" x14ac:dyDescent="0.35">
      <c r="A163" t="s">
        <v>228</v>
      </c>
      <c r="B163" t="s">
        <v>229</v>
      </c>
      <c r="C163">
        <v>137168949790</v>
      </c>
      <c r="D163">
        <v>58650477637</v>
      </c>
      <c r="E163">
        <v>3472155387</v>
      </c>
      <c r="F163">
        <v>0</v>
      </c>
      <c r="G163">
        <v>62122633024</v>
      </c>
      <c r="H163">
        <v>75046316762</v>
      </c>
      <c r="I163">
        <v>13508337026</v>
      </c>
      <c r="J163">
        <v>52856065</v>
      </c>
      <c r="K163">
        <v>13561193091</v>
      </c>
      <c r="L163">
        <v>220639922</v>
      </c>
      <c r="M163">
        <v>9244080768</v>
      </c>
      <c r="N163">
        <v>9464720690</v>
      </c>
      <c r="O163">
        <v>0</v>
      </c>
      <c r="P163">
        <v>4096472395</v>
      </c>
    </row>
    <row r="164" spans="1:16" x14ac:dyDescent="0.35">
      <c r="A164" s="2" t="str">
        <f>[2]RCPA2!$A$237</f>
        <v>K01</v>
      </c>
      <c r="B164" s="2" t="str">
        <f>[2]RCPA2!$C$237</f>
        <v>Monetary institutions</v>
      </c>
      <c r="C164" s="2">
        <f>C165+C166</f>
        <v>1001609277117</v>
      </c>
      <c r="D164" s="2">
        <f t="shared" ref="D164:P164" si="56">D165+D166</f>
        <v>844791421083</v>
      </c>
      <c r="E164" s="2">
        <f t="shared" si="56"/>
        <v>1605626861</v>
      </c>
      <c r="F164" s="2">
        <f t="shared" si="56"/>
        <v>0</v>
      </c>
      <c r="G164" s="2">
        <f t="shared" si="56"/>
        <v>846397047944</v>
      </c>
      <c r="H164" s="2">
        <f t="shared" si="56"/>
        <v>155212229174</v>
      </c>
      <c r="I164" s="2">
        <f t="shared" si="56"/>
        <v>27938201256</v>
      </c>
      <c r="J164" s="2">
        <f t="shared" si="56"/>
        <v>3048621077</v>
      </c>
      <c r="K164" s="2">
        <f t="shared" si="56"/>
        <v>30986822333</v>
      </c>
      <c r="L164" s="2">
        <f t="shared" si="56"/>
        <v>70191494</v>
      </c>
      <c r="M164" s="2">
        <f t="shared" si="56"/>
        <v>1849529531</v>
      </c>
      <c r="N164" s="2">
        <f t="shared" si="56"/>
        <v>1919721025</v>
      </c>
      <c r="O164" s="2">
        <f t="shared" si="56"/>
        <v>133999720</v>
      </c>
      <c r="P164" s="2">
        <f t="shared" si="56"/>
        <v>28933101585</v>
      </c>
    </row>
    <row r="165" spans="1:16" x14ac:dyDescent="0.35">
      <c r="A165" t="s">
        <v>230</v>
      </c>
      <c r="B165" t="s">
        <v>231</v>
      </c>
      <c r="C165">
        <v>143079874469</v>
      </c>
      <c r="D165">
        <v>132600788944</v>
      </c>
      <c r="E165">
        <v>123850395</v>
      </c>
      <c r="F165">
        <v>0</v>
      </c>
      <c r="G165">
        <v>132724639339</v>
      </c>
      <c r="H165">
        <v>10355235133</v>
      </c>
      <c r="I165">
        <v>1863942319</v>
      </c>
      <c r="J165">
        <v>201861345</v>
      </c>
      <c r="K165">
        <v>2065803664</v>
      </c>
      <c r="L165">
        <v>0</v>
      </c>
      <c r="M165">
        <v>161523893</v>
      </c>
      <c r="N165">
        <v>161523893</v>
      </c>
      <c r="O165">
        <v>133999720</v>
      </c>
      <c r="P165">
        <v>1770280050</v>
      </c>
    </row>
    <row r="166" spans="1:16" x14ac:dyDescent="0.35">
      <c r="A166" t="s">
        <v>232</v>
      </c>
      <c r="B166" t="s">
        <v>233</v>
      </c>
      <c r="C166">
        <v>858529402648</v>
      </c>
      <c r="D166">
        <v>712190632139</v>
      </c>
      <c r="E166">
        <v>1481776466</v>
      </c>
      <c r="F166">
        <v>0</v>
      </c>
      <c r="G166">
        <v>713672408605</v>
      </c>
      <c r="H166">
        <v>144856994041</v>
      </c>
      <c r="I166">
        <v>26074258937</v>
      </c>
      <c r="J166">
        <v>2846759732</v>
      </c>
      <c r="K166">
        <v>28921018669</v>
      </c>
      <c r="L166">
        <v>70191494</v>
      </c>
      <c r="M166">
        <v>1688005638</v>
      </c>
      <c r="N166">
        <v>1758197132</v>
      </c>
      <c r="O166">
        <v>0</v>
      </c>
      <c r="P166">
        <v>27162821535</v>
      </c>
    </row>
    <row r="167" spans="1:16" x14ac:dyDescent="0.35">
      <c r="A167" s="2" t="str">
        <f>[2]RCPA2!$A$241</f>
        <v>K02</v>
      </c>
      <c r="B167" s="2" t="str">
        <f>[2]RCPA2!$C$241</f>
        <v>Insurance, reinsurance &amp; pension funding, except compulsory social security</v>
      </c>
      <c r="C167" s="2">
        <f>C168</f>
        <v>189630613022</v>
      </c>
      <c r="D167" s="2">
        <f t="shared" ref="D167:P167" si="57">D168</f>
        <v>76119828735</v>
      </c>
      <c r="E167" s="2">
        <f t="shared" si="57"/>
        <v>452323616</v>
      </c>
      <c r="F167" s="2">
        <f t="shared" si="57"/>
        <v>0</v>
      </c>
      <c r="G167" s="2">
        <f t="shared" si="57"/>
        <v>76572152351</v>
      </c>
      <c r="H167" s="2">
        <f t="shared" si="57"/>
        <v>113058460671</v>
      </c>
      <c r="I167" s="2">
        <f t="shared" si="57"/>
        <v>20350522928</v>
      </c>
      <c r="J167" s="2">
        <f t="shared" si="57"/>
        <v>227142678</v>
      </c>
      <c r="K167" s="2">
        <f t="shared" si="57"/>
        <v>20577665606</v>
      </c>
      <c r="L167" s="2">
        <f t="shared" si="57"/>
        <v>2439142</v>
      </c>
      <c r="M167" s="2">
        <f t="shared" si="57"/>
        <v>4178135375</v>
      </c>
      <c r="N167" s="2">
        <f t="shared" si="57"/>
        <v>4180574517</v>
      </c>
      <c r="O167" s="2">
        <f t="shared" si="57"/>
        <v>16506</v>
      </c>
      <c r="P167" s="2">
        <f t="shared" si="57"/>
        <v>16397074582</v>
      </c>
    </row>
    <row r="168" spans="1:16" x14ac:dyDescent="0.35">
      <c r="A168" t="s">
        <v>234</v>
      </c>
      <c r="B168" t="s">
        <v>235</v>
      </c>
      <c r="C168">
        <v>189630613022</v>
      </c>
      <c r="D168">
        <v>76119828735</v>
      </c>
      <c r="E168">
        <v>452323616</v>
      </c>
      <c r="F168">
        <v>0</v>
      </c>
      <c r="G168">
        <v>76572152351</v>
      </c>
      <c r="H168">
        <v>113058460671</v>
      </c>
      <c r="I168">
        <v>20350522928</v>
      </c>
      <c r="J168">
        <v>227142678</v>
      </c>
      <c r="K168">
        <v>20577665606</v>
      </c>
      <c r="L168">
        <v>2439142</v>
      </c>
      <c r="M168">
        <v>4178135375</v>
      </c>
      <c r="N168">
        <v>4180574517</v>
      </c>
      <c r="O168">
        <v>16506</v>
      </c>
      <c r="P168">
        <v>16397074582</v>
      </c>
    </row>
    <row r="169" spans="1:16" x14ac:dyDescent="0.35">
      <c r="A169" s="2" t="str">
        <f>[2]RCPA2!$A$243</f>
        <v>K03</v>
      </c>
      <c r="B169" s="2" t="str">
        <f>[2]RCPA2!$C$243</f>
        <v>Other financial services</v>
      </c>
      <c r="C169" s="2">
        <f>C170</f>
        <v>89346071954</v>
      </c>
      <c r="D169" s="2">
        <f t="shared" ref="D169:P169" si="58">D170</f>
        <v>40816742464</v>
      </c>
      <c r="E169" s="2">
        <f t="shared" si="58"/>
        <v>3131795878</v>
      </c>
      <c r="F169" s="2">
        <f t="shared" si="58"/>
        <v>0</v>
      </c>
      <c r="G169" s="2">
        <f t="shared" si="58"/>
        <v>43948538342</v>
      </c>
      <c r="H169" s="2">
        <f t="shared" si="58"/>
        <v>45397533612</v>
      </c>
      <c r="I169" s="2">
        <f t="shared" si="58"/>
        <v>8171556065</v>
      </c>
      <c r="J169" s="2">
        <f t="shared" si="58"/>
        <v>90967413</v>
      </c>
      <c r="K169" s="2">
        <f t="shared" si="58"/>
        <v>8262523478</v>
      </c>
      <c r="L169" s="2">
        <f t="shared" si="58"/>
        <v>1067880106</v>
      </c>
      <c r="M169" s="2">
        <f t="shared" si="58"/>
        <v>2533973811</v>
      </c>
      <c r="N169" s="2">
        <f t="shared" si="58"/>
        <v>3601853917</v>
      </c>
      <c r="O169" s="2">
        <f t="shared" si="58"/>
        <v>0</v>
      </c>
      <c r="P169" s="2">
        <f t="shared" si="58"/>
        <v>4660669557</v>
      </c>
    </row>
    <row r="170" spans="1:16" x14ac:dyDescent="0.35">
      <c r="A170" t="s">
        <v>236</v>
      </c>
      <c r="B170" t="s">
        <v>237</v>
      </c>
      <c r="C170">
        <v>89346071954</v>
      </c>
      <c r="D170">
        <v>40816742464</v>
      </c>
      <c r="E170">
        <v>3131795878</v>
      </c>
      <c r="F170">
        <v>0</v>
      </c>
      <c r="G170">
        <v>43948538342</v>
      </c>
      <c r="H170">
        <v>45397533612</v>
      </c>
      <c r="I170">
        <v>8171556065</v>
      </c>
      <c r="J170">
        <v>90967413</v>
      </c>
      <c r="K170">
        <v>8262523478</v>
      </c>
      <c r="L170">
        <v>1067880106</v>
      </c>
      <c r="M170">
        <v>2533973811</v>
      </c>
      <c r="N170">
        <v>3601853917</v>
      </c>
      <c r="O170">
        <v>0</v>
      </c>
      <c r="P170">
        <v>4660669557</v>
      </c>
    </row>
    <row r="171" spans="1:16" x14ac:dyDescent="0.35">
      <c r="A171" s="2" t="str">
        <f>[2]RCPA2!$A$249</f>
        <v>L09</v>
      </c>
      <c r="B171" s="2" t="str">
        <f>[2]RCPA2!$C$249</f>
        <v>Other real estate activities</v>
      </c>
      <c r="C171" s="2">
        <f>C172</f>
        <v>140024330000</v>
      </c>
      <c r="D171" s="2">
        <f t="shared" ref="D171:P171" si="59">D172</f>
        <v>41874405846</v>
      </c>
      <c r="E171" s="2">
        <f t="shared" si="59"/>
        <v>3575616625</v>
      </c>
      <c r="F171" s="2">
        <f t="shared" si="59"/>
        <v>0</v>
      </c>
      <c r="G171" s="2">
        <f t="shared" si="59"/>
        <v>45450022471</v>
      </c>
      <c r="H171" s="2">
        <f t="shared" si="59"/>
        <v>94574307529</v>
      </c>
      <c r="I171" s="2">
        <f t="shared" si="59"/>
        <v>17023375360</v>
      </c>
      <c r="J171" s="2">
        <f t="shared" si="59"/>
        <v>218533440</v>
      </c>
      <c r="K171" s="2">
        <f t="shared" si="59"/>
        <v>17241908800</v>
      </c>
      <c r="L171" s="2">
        <f t="shared" si="59"/>
        <v>596887539</v>
      </c>
      <c r="M171" s="2">
        <f t="shared" si="59"/>
        <v>10496526696</v>
      </c>
      <c r="N171" s="2">
        <f t="shared" si="59"/>
        <v>11093414235</v>
      </c>
      <c r="O171" s="2">
        <f t="shared" si="59"/>
        <v>0</v>
      </c>
      <c r="P171" s="2">
        <f t="shared" si="59"/>
        <v>6148494558</v>
      </c>
    </row>
    <row r="172" spans="1:16" x14ac:dyDescent="0.35">
      <c r="A172" t="s">
        <v>238</v>
      </c>
      <c r="B172" t="s">
        <v>239</v>
      </c>
      <c r="C172">
        <v>140024330000</v>
      </c>
      <c r="D172">
        <v>41874405846</v>
      </c>
      <c r="E172">
        <v>3575616625</v>
      </c>
      <c r="F172">
        <v>0</v>
      </c>
      <c r="G172">
        <v>45450022471</v>
      </c>
      <c r="H172">
        <v>94574307529</v>
      </c>
      <c r="I172">
        <v>17023375360</v>
      </c>
      <c r="J172">
        <v>218533440</v>
      </c>
      <c r="K172">
        <v>17241908800</v>
      </c>
      <c r="L172">
        <v>596887539</v>
      </c>
      <c r="M172">
        <v>10496526696</v>
      </c>
      <c r="N172">
        <v>11093414235</v>
      </c>
      <c r="O172">
        <v>0</v>
      </c>
      <c r="P172">
        <v>6148494558</v>
      </c>
    </row>
    <row r="173" spans="1:16" x14ac:dyDescent="0.35">
      <c r="A173" s="2" t="str">
        <f>[2]RCPA2!$A$252</f>
        <v>M01</v>
      </c>
      <c r="B173" s="2" t="str">
        <f>[2]RCPA2!$C$252</f>
        <v>Legal, accounting management &amp; head office activities</v>
      </c>
      <c r="C173" s="2">
        <f>C174+C175+C176</f>
        <v>99280035844</v>
      </c>
      <c r="D173" s="2">
        <f t="shared" ref="D173:P173" si="60">D174+D175+D176</f>
        <v>17885593513</v>
      </c>
      <c r="E173" s="2">
        <f t="shared" si="60"/>
        <v>10853129013</v>
      </c>
      <c r="F173" s="2">
        <f t="shared" si="60"/>
        <v>80202372</v>
      </c>
      <c r="G173" s="2">
        <f t="shared" si="60"/>
        <v>28818924898</v>
      </c>
      <c r="H173" s="2">
        <f t="shared" si="60"/>
        <v>70461110947</v>
      </c>
      <c r="I173" s="2">
        <f t="shared" si="60"/>
        <v>12682999998</v>
      </c>
      <c r="J173" s="2">
        <f t="shared" si="60"/>
        <v>438969620</v>
      </c>
      <c r="K173" s="2">
        <f t="shared" si="60"/>
        <v>13121969618</v>
      </c>
      <c r="L173" s="2">
        <f t="shared" si="60"/>
        <v>265332399</v>
      </c>
      <c r="M173" s="2">
        <f t="shared" si="60"/>
        <v>4581297932</v>
      </c>
      <c r="N173" s="2">
        <f t="shared" si="60"/>
        <v>4846630331</v>
      </c>
      <c r="O173" s="2">
        <f t="shared" si="60"/>
        <v>14811322</v>
      </c>
      <c r="P173" s="2">
        <f t="shared" si="60"/>
        <v>8260527956</v>
      </c>
    </row>
    <row r="174" spans="1:16" x14ac:dyDescent="0.35">
      <c r="A174" t="s">
        <v>240</v>
      </c>
      <c r="B174" t="s">
        <v>241</v>
      </c>
      <c r="C174">
        <v>10775659951</v>
      </c>
      <c r="D174">
        <v>296298334</v>
      </c>
      <c r="E174">
        <v>13598014</v>
      </c>
      <c r="F174">
        <v>0</v>
      </c>
      <c r="G174">
        <v>309896348</v>
      </c>
      <c r="H174">
        <v>10465763603</v>
      </c>
      <c r="I174">
        <v>1883837451</v>
      </c>
      <c r="J174">
        <v>28565414</v>
      </c>
      <c r="K174">
        <v>1912402865</v>
      </c>
      <c r="L174">
        <v>14421653</v>
      </c>
      <c r="M174">
        <v>477128527</v>
      </c>
      <c r="N174">
        <v>491550180</v>
      </c>
      <c r="O174">
        <v>0</v>
      </c>
      <c r="P174">
        <v>1420852683</v>
      </c>
    </row>
    <row r="175" spans="1:16" x14ac:dyDescent="0.35">
      <c r="A175" t="s">
        <v>242</v>
      </c>
      <c r="B175" t="s">
        <v>243</v>
      </c>
      <c r="C175">
        <v>34911486339</v>
      </c>
      <c r="D175">
        <v>1596038189</v>
      </c>
      <c r="E175">
        <v>6058819494</v>
      </c>
      <c r="F175">
        <v>80202372</v>
      </c>
      <c r="G175">
        <v>7735060055</v>
      </c>
      <c r="H175">
        <v>27176426284</v>
      </c>
      <c r="I175">
        <v>4891756741</v>
      </c>
      <c r="J175">
        <v>284935513</v>
      </c>
      <c r="K175">
        <v>5176692254</v>
      </c>
      <c r="L175">
        <v>48416958</v>
      </c>
      <c r="M175">
        <v>1037252101</v>
      </c>
      <c r="N175">
        <v>1085669059</v>
      </c>
      <c r="O175">
        <v>14526740</v>
      </c>
      <c r="P175">
        <v>4076496454</v>
      </c>
    </row>
    <row r="176" spans="1:16" x14ac:dyDescent="0.35">
      <c r="A176" t="s">
        <v>244</v>
      </c>
      <c r="B176" t="s">
        <v>245</v>
      </c>
      <c r="C176">
        <v>53592889554</v>
      </c>
      <c r="D176">
        <v>15993256990</v>
      </c>
      <c r="E176">
        <v>4780711505</v>
      </c>
      <c r="F176">
        <v>0</v>
      </c>
      <c r="G176">
        <v>20773968495</v>
      </c>
      <c r="H176">
        <v>32818921060</v>
      </c>
      <c r="I176">
        <v>5907405806</v>
      </c>
      <c r="J176">
        <v>125468693</v>
      </c>
      <c r="K176">
        <v>6032874499</v>
      </c>
      <c r="L176">
        <v>202493788</v>
      </c>
      <c r="M176">
        <v>3066917304</v>
      </c>
      <c r="N176">
        <v>3269411092</v>
      </c>
      <c r="O176">
        <v>284582</v>
      </c>
      <c r="P176">
        <v>2763178819</v>
      </c>
    </row>
    <row r="177" spans="1:16" x14ac:dyDescent="0.35">
      <c r="A177" s="2" t="str">
        <f>[2]RCPA2!$A$256</f>
        <v>M02</v>
      </c>
      <c r="B177" s="2" t="str">
        <f>[2]RCPA2!$C$256</f>
        <v>Architectural &amp; engineering activities</v>
      </c>
      <c r="C177" s="2">
        <f>C178</f>
        <v>48046384618</v>
      </c>
      <c r="D177" s="2">
        <f t="shared" ref="D177:P177" si="61">D178</f>
        <v>3534711608</v>
      </c>
      <c r="E177" s="2">
        <f t="shared" si="61"/>
        <v>2506553979</v>
      </c>
      <c r="F177" s="2">
        <f t="shared" si="61"/>
        <v>0</v>
      </c>
      <c r="G177" s="2">
        <f t="shared" si="61"/>
        <v>6041265587</v>
      </c>
      <c r="H177" s="2">
        <f t="shared" si="61"/>
        <v>42005119031</v>
      </c>
      <c r="I177" s="2">
        <f t="shared" si="61"/>
        <v>7560921436</v>
      </c>
      <c r="J177" s="2">
        <f t="shared" si="61"/>
        <v>72589737</v>
      </c>
      <c r="K177" s="2">
        <f t="shared" si="61"/>
        <v>7633511173</v>
      </c>
      <c r="L177" s="2">
        <f t="shared" si="61"/>
        <v>130340300</v>
      </c>
      <c r="M177" s="2">
        <f t="shared" si="61"/>
        <v>3442550171</v>
      </c>
      <c r="N177" s="2">
        <f t="shared" si="61"/>
        <v>3572890471</v>
      </c>
      <c r="O177" s="2">
        <f t="shared" si="61"/>
        <v>419440</v>
      </c>
      <c r="P177" s="2">
        <f t="shared" si="61"/>
        <v>4060201261</v>
      </c>
    </row>
    <row r="178" spans="1:16" x14ac:dyDescent="0.35">
      <c r="A178" t="s">
        <v>246</v>
      </c>
      <c r="B178" t="s">
        <v>247</v>
      </c>
      <c r="C178">
        <v>48046384618</v>
      </c>
      <c r="D178">
        <v>3534711608</v>
      </c>
      <c r="E178">
        <v>2506553979</v>
      </c>
      <c r="F178">
        <v>0</v>
      </c>
      <c r="G178">
        <v>6041265587</v>
      </c>
      <c r="H178">
        <v>42005119031</v>
      </c>
      <c r="I178">
        <v>7560921436</v>
      </c>
      <c r="J178">
        <v>72589737</v>
      </c>
      <c r="K178">
        <v>7633511173</v>
      </c>
      <c r="L178">
        <v>130340300</v>
      </c>
      <c r="M178">
        <v>3442550171</v>
      </c>
      <c r="N178">
        <v>3572890471</v>
      </c>
      <c r="O178">
        <v>419440</v>
      </c>
      <c r="P178">
        <v>4060201261</v>
      </c>
    </row>
    <row r="179" spans="1:16" x14ac:dyDescent="0.35">
      <c r="A179" s="2" t="str">
        <f>[2]RCPA2!$A$258</f>
        <v>M03</v>
      </c>
      <c r="B179" s="2" t="str">
        <f>[2]RCPA2!$C$258</f>
        <v>Other professional, scientific &amp; technical activities</v>
      </c>
      <c r="C179" s="2">
        <f>C180+C181+C182+C183</f>
        <v>115128938163</v>
      </c>
      <c r="D179" s="2">
        <f t="shared" ref="D179:P179" si="62">D180+D181+D182+D183</f>
        <v>44363962180</v>
      </c>
      <c r="E179" s="2">
        <f t="shared" si="62"/>
        <v>7197859924</v>
      </c>
      <c r="F179" s="2">
        <f t="shared" si="62"/>
        <v>53773955</v>
      </c>
      <c r="G179" s="2">
        <f t="shared" si="62"/>
        <v>51615596059</v>
      </c>
      <c r="H179" s="2">
        <f t="shared" si="62"/>
        <v>63513342105</v>
      </c>
      <c r="I179" s="2">
        <f t="shared" si="62"/>
        <v>11432401620</v>
      </c>
      <c r="J179" s="2">
        <f t="shared" si="62"/>
        <v>120555937</v>
      </c>
      <c r="K179" s="2">
        <f t="shared" si="62"/>
        <v>11552957557</v>
      </c>
      <c r="L179" s="2">
        <f t="shared" si="62"/>
        <v>685654161</v>
      </c>
      <c r="M179" s="2">
        <f t="shared" si="62"/>
        <v>4900540339</v>
      </c>
      <c r="N179" s="2">
        <f t="shared" si="62"/>
        <v>5586194500</v>
      </c>
      <c r="O179" s="2">
        <f t="shared" si="62"/>
        <v>8423872</v>
      </c>
      <c r="P179" s="2">
        <f t="shared" si="62"/>
        <v>5958339171</v>
      </c>
    </row>
    <row r="180" spans="1:16" x14ac:dyDescent="0.35">
      <c r="A180" t="s">
        <v>248</v>
      </c>
      <c r="B180" t="s">
        <v>249</v>
      </c>
      <c r="C180">
        <v>5157387263</v>
      </c>
      <c r="D180">
        <v>1582412717</v>
      </c>
      <c r="E180">
        <v>601310298</v>
      </c>
      <c r="F180">
        <v>0</v>
      </c>
      <c r="G180">
        <v>2183723015</v>
      </c>
      <c r="H180">
        <v>2973664248</v>
      </c>
      <c r="I180">
        <v>535259566</v>
      </c>
      <c r="J180">
        <v>0</v>
      </c>
      <c r="K180">
        <v>535259566</v>
      </c>
      <c r="L180">
        <v>4138516</v>
      </c>
      <c r="M180">
        <v>118515736</v>
      </c>
      <c r="N180">
        <v>122654252</v>
      </c>
      <c r="O180">
        <v>0</v>
      </c>
      <c r="P180">
        <v>412605313</v>
      </c>
    </row>
    <row r="181" spans="1:16" x14ac:dyDescent="0.35">
      <c r="A181" t="s">
        <v>250</v>
      </c>
      <c r="B181" t="s">
        <v>251</v>
      </c>
      <c r="C181">
        <v>35260250177</v>
      </c>
      <c r="D181">
        <v>2912526839</v>
      </c>
      <c r="E181">
        <v>60464886</v>
      </c>
      <c r="F181">
        <v>53773955</v>
      </c>
      <c r="G181">
        <v>3026765680</v>
      </c>
      <c r="H181">
        <v>32233484497</v>
      </c>
      <c r="I181">
        <v>5802027216</v>
      </c>
      <c r="J181">
        <v>4106053</v>
      </c>
      <c r="K181">
        <v>5806133269</v>
      </c>
      <c r="L181">
        <v>335799337</v>
      </c>
      <c r="M181">
        <v>2588995838</v>
      </c>
      <c r="N181">
        <v>2924795175</v>
      </c>
      <c r="O181">
        <v>4003926</v>
      </c>
      <c r="P181">
        <v>2877334163</v>
      </c>
    </row>
    <row r="182" spans="1:16" x14ac:dyDescent="0.35">
      <c r="A182" t="s">
        <v>252</v>
      </c>
      <c r="B182" t="s">
        <v>253</v>
      </c>
      <c r="C182">
        <v>63450394605</v>
      </c>
      <c r="D182">
        <v>29371990486</v>
      </c>
      <c r="E182">
        <v>6535583740</v>
      </c>
      <c r="F182">
        <v>0</v>
      </c>
      <c r="G182">
        <v>35907574226</v>
      </c>
      <c r="H182">
        <v>27542820379</v>
      </c>
      <c r="I182">
        <v>4957707700</v>
      </c>
      <c r="J182">
        <v>116449884</v>
      </c>
      <c r="K182">
        <v>5074157584</v>
      </c>
      <c r="L182">
        <v>299825489</v>
      </c>
      <c r="M182">
        <v>2118265791</v>
      </c>
      <c r="N182">
        <v>2418091280</v>
      </c>
      <c r="O182">
        <v>4419946</v>
      </c>
      <c r="P182">
        <v>2651646351</v>
      </c>
    </row>
    <row r="183" spans="1:16" x14ac:dyDescent="0.35">
      <c r="A183" t="s">
        <v>254</v>
      </c>
      <c r="B183" t="s">
        <v>255</v>
      </c>
      <c r="C183">
        <v>11260906118</v>
      </c>
      <c r="D183">
        <v>10497032138</v>
      </c>
      <c r="E183">
        <v>501000</v>
      </c>
      <c r="F183">
        <v>0</v>
      </c>
      <c r="G183">
        <v>10497533138</v>
      </c>
      <c r="H183">
        <v>763372981</v>
      </c>
      <c r="I183">
        <v>137407138</v>
      </c>
      <c r="J183">
        <v>0</v>
      </c>
      <c r="K183">
        <v>137407138</v>
      </c>
      <c r="L183">
        <v>45890819</v>
      </c>
      <c r="M183">
        <v>74762974</v>
      </c>
      <c r="N183">
        <v>120653793</v>
      </c>
      <c r="O183">
        <v>0</v>
      </c>
      <c r="P183">
        <v>16753344</v>
      </c>
    </row>
    <row r="184" spans="1:16" x14ac:dyDescent="0.35">
      <c r="A184" s="2" t="str">
        <f>[2]RCPA2!$A$264</f>
        <v>N01</v>
      </c>
      <c r="B184" s="2" t="str">
        <f>[2]RCPA2!$C$264</f>
        <v>Travel agents &amp; tour operators</v>
      </c>
      <c r="C184" s="2">
        <f>C185</f>
        <v>103579851773</v>
      </c>
      <c r="D184" s="2">
        <f t="shared" ref="D184:P184" si="63">D185</f>
        <v>39959277424</v>
      </c>
      <c r="E184" s="2">
        <f t="shared" si="63"/>
        <v>27164657650</v>
      </c>
      <c r="F184" s="2">
        <f t="shared" si="63"/>
        <v>0</v>
      </c>
      <c r="G184" s="2">
        <f t="shared" si="63"/>
        <v>67123935074</v>
      </c>
      <c r="H184" s="2">
        <f t="shared" si="63"/>
        <v>36455916701</v>
      </c>
      <c r="I184" s="2">
        <f t="shared" si="63"/>
        <v>6562065015</v>
      </c>
      <c r="J184" s="2">
        <f t="shared" si="63"/>
        <v>234866731</v>
      </c>
      <c r="K184" s="2">
        <f t="shared" si="63"/>
        <v>6796931746</v>
      </c>
      <c r="L184" s="2">
        <f t="shared" si="63"/>
        <v>536424266</v>
      </c>
      <c r="M184" s="2">
        <f t="shared" si="63"/>
        <v>1899912060</v>
      </c>
      <c r="N184" s="2">
        <f t="shared" si="63"/>
        <v>2436336326</v>
      </c>
      <c r="O184" s="2">
        <f t="shared" si="63"/>
        <v>6524760</v>
      </c>
      <c r="P184" s="2">
        <f t="shared" si="63"/>
        <v>4354070660</v>
      </c>
    </row>
    <row r="185" spans="1:16" x14ac:dyDescent="0.35">
      <c r="A185" t="s">
        <v>256</v>
      </c>
      <c r="B185" t="s">
        <v>257</v>
      </c>
      <c r="C185">
        <v>103579851773</v>
      </c>
      <c r="D185">
        <v>39959277424</v>
      </c>
      <c r="E185">
        <v>27164657650</v>
      </c>
      <c r="F185">
        <v>0</v>
      </c>
      <c r="G185">
        <v>67123935074</v>
      </c>
      <c r="H185">
        <v>36455916701</v>
      </c>
      <c r="I185">
        <v>6562065015</v>
      </c>
      <c r="J185">
        <v>234866731</v>
      </c>
      <c r="K185">
        <v>6796931746</v>
      </c>
      <c r="L185">
        <v>536424266</v>
      </c>
      <c r="M185">
        <v>1899912060</v>
      </c>
      <c r="N185">
        <v>2436336326</v>
      </c>
      <c r="O185">
        <v>6524760</v>
      </c>
      <c r="P185">
        <v>4354070660</v>
      </c>
    </row>
    <row r="186" spans="1:16" x14ac:dyDescent="0.35">
      <c r="A186" s="2" t="str">
        <f>[2]RCPA2!$A$266</f>
        <v>N09</v>
      </c>
      <c r="B186" s="11" t="str">
        <f>[2]RCPA2!$C$266</f>
        <v>Other administrative &amp; support service activities</v>
      </c>
      <c r="C186" s="2">
        <f>C187+C188+C189+C190</f>
        <v>191676614236</v>
      </c>
      <c r="D186" s="2">
        <f t="shared" ref="D186:P186" si="64">D187+D188+D189+D190</f>
        <v>50527722353</v>
      </c>
      <c r="E186" s="2">
        <f t="shared" si="64"/>
        <v>19592862949</v>
      </c>
      <c r="F186" s="2">
        <f t="shared" si="64"/>
        <v>12500000</v>
      </c>
      <c r="G186" s="2">
        <f t="shared" si="64"/>
        <v>70133085302</v>
      </c>
      <c r="H186" s="2">
        <f t="shared" si="64"/>
        <v>121543528933</v>
      </c>
      <c r="I186" s="2">
        <f t="shared" si="64"/>
        <v>21877835234</v>
      </c>
      <c r="J186" s="2">
        <f t="shared" si="64"/>
        <v>37370722</v>
      </c>
      <c r="K186" s="2">
        <f t="shared" si="64"/>
        <v>21915205956</v>
      </c>
      <c r="L186" s="2">
        <f t="shared" si="64"/>
        <v>1180749006</v>
      </c>
      <c r="M186" s="2">
        <f t="shared" si="64"/>
        <v>7271113614</v>
      </c>
      <c r="N186" s="2">
        <f t="shared" si="64"/>
        <v>8451862620</v>
      </c>
      <c r="O186" s="2">
        <f t="shared" si="64"/>
        <v>0</v>
      </c>
      <c r="P186" s="2">
        <f t="shared" si="64"/>
        <v>13463343330</v>
      </c>
    </row>
    <row r="187" spans="1:16" x14ac:dyDescent="0.35">
      <c r="A187" t="s">
        <v>258</v>
      </c>
      <c r="B187" t="s">
        <v>259</v>
      </c>
      <c r="C187">
        <v>45349249241</v>
      </c>
      <c r="D187">
        <v>10783302970</v>
      </c>
      <c r="E187">
        <v>7935468275</v>
      </c>
      <c r="F187">
        <v>0</v>
      </c>
      <c r="G187">
        <v>18718771245</v>
      </c>
      <c r="H187">
        <v>26630477996</v>
      </c>
      <c r="I187">
        <v>4793486049</v>
      </c>
      <c r="J187">
        <v>382596</v>
      </c>
      <c r="K187">
        <v>4793868645</v>
      </c>
      <c r="L187">
        <v>592304767</v>
      </c>
      <c r="M187">
        <v>1349018351</v>
      </c>
      <c r="N187">
        <v>1941323118</v>
      </c>
      <c r="O187">
        <v>0</v>
      </c>
      <c r="P187">
        <v>2852545525</v>
      </c>
    </row>
    <row r="188" spans="1:16" x14ac:dyDescent="0.35">
      <c r="A188" t="s">
        <v>260</v>
      </c>
      <c r="B188" t="s">
        <v>261</v>
      </c>
      <c r="C188">
        <v>36215836129</v>
      </c>
      <c r="D188">
        <v>1088889966</v>
      </c>
      <c r="E188">
        <v>882500</v>
      </c>
      <c r="F188">
        <v>0</v>
      </c>
      <c r="G188">
        <v>1089772466</v>
      </c>
      <c r="H188">
        <v>35126063663</v>
      </c>
      <c r="I188">
        <v>6322691470</v>
      </c>
      <c r="J188">
        <v>36258559</v>
      </c>
      <c r="K188">
        <v>6358950029</v>
      </c>
      <c r="L188">
        <v>96753454</v>
      </c>
      <c r="M188">
        <v>910569318</v>
      </c>
      <c r="N188">
        <v>1007322772</v>
      </c>
      <c r="O188">
        <v>0</v>
      </c>
      <c r="P188">
        <v>5351627257</v>
      </c>
    </row>
    <row r="189" spans="1:16" x14ac:dyDescent="0.35">
      <c r="A189" t="s">
        <v>262</v>
      </c>
      <c r="B189" t="s">
        <v>263</v>
      </c>
      <c r="C189">
        <v>41387721102</v>
      </c>
      <c r="D189">
        <v>17871439420</v>
      </c>
      <c r="E189">
        <v>1270694596</v>
      </c>
      <c r="F189">
        <v>12500000</v>
      </c>
      <c r="G189">
        <v>19154634016</v>
      </c>
      <c r="H189">
        <v>22233087085</v>
      </c>
      <c r="I189">
        <v>4001955681</v>
      </c>
      <c r="J189">
        <v>0</v>
      </c>
      <c r="K189">
        <v>4001955681</v>
      </c>
      <c r="L189">
        <v>119145966</v>
      </c>
      <c r="M189">
        <v>798479921</v>
      </c>
      <c r="N189">
        <v>917625887</v>
      </c>
      <c r="O189">
        <v>0</v>
      </c>
      <c r="P189">
        <v>3084329793</v>
      </c>
    </row>
    <row r="190" spans="1:16" x14ac:dyDescent="0.35">
      <c r="A190" t="s">
        <v>264</v>
      </c>
      <c r="B190" t="s">
        <v>265</v>
      </c>
      <c r="C190">
        <v>68723807764</v>
      </c>
      <c r="D190">
        <v>20784089997</v>
      </c>
      <c r="E190">
        <v>10385817578</v>
      </c>
      <c r="F190">
        <v>0</v>
      </c>
      <c r="G190">
        <v>31169907575</v>
      </c>
      <c r="H190">
        <v>37553900189</v>
      </c>
      <c r="I190">
        <v>6759702034</v>
      </c>
      <c r="J190">
        <v>729567</v>
      </c>
      <c r="K190">
        <v>6760431601</v>
      </c>
      <c r="L190">
        <v>372544819</v>
      </c>
      <c r="M190">
        <v>4213046024</v>
      </c>
      <c r="N190">
        <v>4585590843</v>
      </c>
      <c r="O190">
        <v>0</v>
      </c>
      <c r="P190">
        <v>2174840755</v>
      </c>
    </row>
    <row r="191" spans="1:16" x14ac:dyDescent="0.35">
      <c r="A191" s="12" t="str">
        <f>[2]RCPA2!$A$273</f>
        <v>O00</v>
      </c>
      <c r="B191" s="13" t="str">
        <f>[2]RCPA2!$C$273</f>
        <v>Public administration &amp; defence; compulsory social security</v>
      </c>
      <c r="C191" s="12">
        <f>C192+C193</f>
        <v>49094541026</v>
      </c>
      <c r="D191" s="12">
        <f t="shared" ref="D191:P191" si="65">D192+D193</f>
        <v>277949550</v>
      </c>
      <c r="E191" s="12">
        <f t="shared" si="65"/>
        <v>13854960</v>
      </c>
      <c r="F191" s="12">
        <f t="shared" si="65"/>
        <v>0</v>
      </c>
      <c r="G191" s="12">
        <f t="shared" si="65"/>
        <v>291804510</v>
      </c>
      <c r="H191" s="12">
        <f t="shared" si="65"/>
        <v>48802736516</v>
      </c>
      <c r="I191" s="12">
        <f t="shared" si="65"/>
        <v>8784492575</v>
      </c>
      <c r="J191" s="12">
        <f t="shared" si="65"/>
        <v>5328901</v>
      </c>
      <c r="K191" s="12">
        <f t="shared" si="65"/>
        <v>8789821476</v>
      </c>
      <c r="L191" s="12">
        <f t="shared" si="65"/>
        <v>36194873</v>
      </c>
      <c r="M191" s="12">
        <f t="shared" si="65"/>
        <v>726031123</v>
      </c>
      <c r="N191" s="12">
        <f t="shared" si="65"/>
        <v>762225996</v>
      </c>
      <c r="O191" s="12">
        <f t="shared" si="65"/>
        <v>0</v>
      </c>
      <c r="P191" s="12">
        <f t="shared" si="65"/>
        <v>8027595480</v>
      </c>
    </row>
    <row r="192" spans="1:16" x14ac:dyDescent="0.35">
      <c r="A192" t="s">
        <v>266</v>
      </c>
      <c r="B192" t="s">
        <v>267</v>
      </c>
      <c r="C192">
        <v>49033231627</v>
      </c>
      <c r="D192">
        <v>260999550</v>
      </c>
      <c r="E192">
        <v>13854960</v>
      </c>
      <c r="F192">
        <v>0</v>
      </c>
      <c r="G192">
        <v>274854510</v>
      </c>
      <c r="H192">
        <v>48758377117</v>
      </c>
      <c r="I192">
        <v>8776507884</v>
      </c>
      <c r="J192">
        <v>5328901</v>
      </c>
      <c r="K192">
        <v>8781836785</v>
      </c>
      <c r="L192">
        <v>36194873</v>
      </c>
      <c r="M192">
        <v>725998464</v>
      </c>
      <c r="N192">
        <v>762193337</v>
      </c>
      <c r="O192">
        <v>0</v>
      </c>
      <c r="P192">
        <v>8019643448</v>
      </c>
    </row>
    <row r="193" spans="1:16" x14ac:dyDescent="0.35">
      <c r="A193" t="s">
        <v>268</v>
      </c>
      <c r="B193" t="s">
        <v>269</v>
      </c>
      <c r="C193">
        <v>61309399</v>
      </c>
      <c r="D193">
        <v>16950000</v>
      </c>
      <c r="E193">
        <v>0</v>
      </c>
      <c r="F193">
        <v>0</v>
      </c>
      <c r="G193">
        <v>16950000</v>
      </c>
      <c r="H193">
        <v>44359399</v>
      </c>
      <c r="I193">
        <v>7984691</v>
      </c>
      <c r="J193">
        <v>0</v>
      </c>
      <c r="K193">
        <v>7984691</v>
      </c>
      <c r="L193">
        <v>0</v>
      </c>
      <c r="M193">
        <v>32659</v>
      </c>
      <c r="N193">
        <v>32659</v>
      </c>
      <c r="O193">
        <v>0</v>
      </c>
      <c r="P193">
        <v>7952032</v>
      </c>
    </row>
    <row r="194" spans="1:16" x14ac:dyDescent="0.35">
      <c r="A194" s="2" t="str">
        <f>[2]RCPA2!$A$278</f>
        <v>P00</v>
      </c>
      <c r="B194" s="2" t="str">
        <f>[2]RCPA2!$C$278</f>
        <v>Education</v>
      </c>
      <c r="C194" s="2">
        <f>C195+C196+C197+C198+C199</f>
        <v>73639664809</v>
      </c>
      <c r="D194" s="2">
        <f t="shared" ref="D194:P194" si="66">D195+D196+D197+D198+D199</f>
        <v>29717964557</v>
      </c>
      <c r="E194" s="2">
        <f t="shared" si="66"/>
        <v>1997888949</v>
      </c>
      <c r="F194" s="2">
        <f t="shared" si="66"/>
        <v>0</v>
      </c>
      <c r="G194" s="2">
        <f t="shared" si="66"/>
        <v>31715853506</v>
      </c>
      <c r="H194" s="2">
        <f t="shared" si="66"/>
        <v>41923811305</v>
      </c>
      <c r="I194" s="2">
        <f t="shared" si="66"/>
        <v>7546286041</v>
      </c>
      <c r="J194" s="2">
        <f t="shared" si="66"/>
        <v>111714265</v>
      </c>
      <c r="K194" s="2">
        <f t="shared" si="66"/>
        <v>7658000306</v>
      </c>
      <c r="L194" s="2">
        <f t="shared" si="66"/>
        <v>720216138</v>
      </c>
      <c r="M194" s="2">
        <f t="shared" si="66"/>
        <v>6503009966</v>
      </c>
      <c r="N194" s="2">
        <f t="shared" si="66"/>
        <v>7223226104</v>
      </c>
      <c r="O194" s="2">
        <f t="shared" si="66"/>
        <v>56185262</v>
      </c>
      <c r="P194" s="2">
        <f t="shared" si="66"/>
        <v>378588932</v>
      </c>
    </row>
    <row r="195" spans="1:16" x14ac:dyDescent="0.35">
      <c r="A195" t="s">
        <v>270</v>
      </c>
      <c r="B195" t="s">
        <v>271</v>
      </c>
      <c r="C195">
        <v>8954588598</v>
      </c>
      <c r="D195">
        <v>1097302185</v>
      </c>
      <c r="E195">
        <v>0</v>
      </c>
      <c r="F195">
        <v>0</v>
      </c>
      <c r="G195">
        <v>1097302185</v>
      </c>
      <c r="H195">
        <v>7857286413</v>
      </c>
      <c r="I195">
        <v>1414311552</v>
      </c>
      <c r="J195">
        <v>8452111</v>
      </c>
      <c r="K195">
        <v>1422763663</v>
      </c>
      <c r="L195">
        <v>42269546</v>
      </c>
      <c r="M195">
        <v>1149400212</v>
      </c>
      <c r="N195">
        <v>1191669758</v>
      </c>
      <c r="O195">
        <v>0</v>
      </c>
      <c r="P195">
        <v>231093905</v>
      </c>
    </row>
    <row r="196" spans="1:16" x14ac:dyDescent="0.35">
      <c r="A196" t="s">
        <v>272</v>
      </c>
      <c r="B196" t="s">
        <v>273</v>
      </c>
      <c r="C196">
        <v>48346855681</v>
      </c>
      <c r="D196">
        <v>20783882346</v>
      </c>
      <c r="E196">
        <v>574836548</v>
      </c>
      <c r="F196">
        <v>0</v>
      </c>
      <c r="G196">
        <v>21358718894</v>
      </c>
      <c r="H196">
        <v>26988136789</v>
      </c>
      <c r="I196">
        <v>4857864622</v>
      </c>
      <c r="J196">
        <v>1751679</v>
      </c>
      <c r="K196">
        <v>4859616301</v>
      </c>
      <c r="L196">
        <v>610115875</v>
      </c>
      <c r="M196">
        <v>3456753738</v>
      </c>
      <c r="N196">
        <v>4066869613</v>
      </c>
      <c r="O196">
        <v>243000</v>
      </c>
      <c r="P196">
        <v>792503687</v>
      </c>
    </row>
    <row r="197" spans="1:16" x14ac:dyDescent="0.35">
      <c r="A197" t="s">
        <v>274</v>
      </c>
      <c r="B197" t="s">
        <v>275</v>
      </c>
      <c r="C197">
        <v>2060431434</v>
      </c>
      <c r="D197">
        <v>1589005572</v>
      </c>
      <c r="E197">
        <v>0</v>
      </c>
      <c r="F197">
        <v>0</v>
      </c>
      <c r="G197">
        <v>1589005572</v>
      </c>
      <c r="H197">
        <v>471425862</v>
      </c>
      <c r="I197">
        <v>84856655</v>
      </c>
      <c r="J197">
        <v>39879185</v>
      </c>
      <c r="K197">
        <v>124735840</v>
      </c>
      <c r="L197">
        <v>0</v>
      </c>
      <c r="M197">
        <v>346168913</v>
      </c>
      <c r="N197">
        <v>346168913</v>
      </c>
      <c r="O197">
        <v>0</v>
      </c>
      <c r="P197">
        <v>-221433073</v>
      </c>
    </row>
    <row r="198" spans="1:16" x14ac:dyDescent="0.35">
      <c r="A198" t="s">
        <v>276</v>
      </c>
      <c r="B198" t="s">
        <v>277</v>
      </c>
      <c r="C198">
        <v>6869283032</v>
      </c>
      <c r="D198">
        <v>1367091520</v>
      </c>
      <c r="E198">
        <v>856817878</v>
      </c>
      <c r="F198">
        <v>0</v>
      </c>
      <c r="G198">
        <v>2223909398</v>
      </c>
      <c r="H198">
        <v>4645373634</v>
      </c>
      <c r="I198">
        <v>836167259</v>
      </c>
      <c r="J198">
        <v>55942262</v>
      </c>
      <c r="K198">
        <v>892109521</v>
      </c>
      <c r="L198">
        <v>37293262</v>
      </c>
      <c r="M198">
        <v>1193357869</v>
      </c>
      <c r="N198">
        <v>1230651131</v>
      </c>
      <c r="O198">
        <v>55942262</v>
      </c>
      <c r="P198">
        <v>-394483877</v>
      </c>
    </row>
    <row r="199" spans="1:16" x14ac:dyDescent="0.35">
      <c r="A199" t="s">
        <v>278</v>
      </c>
      <c r="B199" t="s">
        <v>279</v>
      </c>
      <c r="C199">
        <v>7408506064</v>
      </c>
      <c r="D199">
        <v>4880682934</v>
      </c>
      <c r="E199">
        <v>566234523</v>
      </c>
      <c r="F199">
        <v>0</v>
      </c>
      <c r="G199">
        <v>5446917457</v>
      </c>
      <c r="H199">
        <v>1961588607</v>
      </c>
      <c r="I199">
        <v>353085953</v>
      </c>
      <c r="J199">
        <v>5689028</v>
      </c>
      <c r="K199">
        <v>358774981</v>
      </c>
      <c r="L199">
        <v>30537455</v>
      </c>
      <c r="M199">
        <v>357329234</v>
      </c>
      <c r="N199">
        <v>387866689</v>
      </c>
      <c r="O199">
        <v>0</v>
      </c>
      <c r="P199">
        <v>-29091710</v>
      </c>
    </row>
    <row r="200" spans="1:16" x14ac:dyDescent="0.35">
      <c r="A200" s="2" t="str">
        <f>[2]RCPA2!$A$285</f>
        <v>Q01</v>
      </c>
      <c r="B200" s="11" t="str">
        <f>[2]RCPA2!$C$285</f>
        <v>Human health activities</v>
      </c>
      <c r="C200" s="2">
        <f>C201</f>
        <v>135243384160</v>
      </c>
      <c r="D200" s="2">
        <f t="shared" ref="D200:P200" si="67">D201</f>
        <v>31153468314</v>
      </c>
      <c r="E200" s="2">
        <f t="shared" si="67"/>
        <v>80625264104</v>
      </c>
      <c r="F200" s="2">
        <f t="shared" si="67"/>
        <v>0</v>
      </c>
      <c r="G200" s="2">
        <f t="shared" si="67"/>
        <v>111778732418</v>
      </c>
      <c r="H200" s="2">
        <f t="shared" si="67"/>
        <v>23464651742</v>
      </c>
      <c r="I200" s="2">
        <f t="shared" si="67"/>
        <v>4223637316</v>
      </c>
      <c r="J200" s="2">
        <f t="shared" si="67"/>
        <v>20109684</v>
      </c>
      <c r="K200" s="2">
        <f t="shared" si="67"/>
        <v>4243747000</v>
      </c>
      <c r="L200" s="2">
        <f t="shared" si="67"/>
        <v>377751014</v>
      </c>
      <c r="M200" s="2">
        <f t="shared" si="67"/>
        <v>2014979618</v>
      </c>
      <c r="N200" s="2">
        <f t="shared" si="67"/>
        <v>2392730632</v>
      </c>
      <c r="O200" s="2">
        <f t="shared" si="67"/>
        <v>0</v>
      </c>
      <c r="P200" s="2">
        <f t="shared" si="67"/>
        <v>1851016366</v>
      </c>
    </row>
    <row r="201" spans="1:16" x14ac:dyDescent="0.35">
      <c r="A201" t="s">
        <v>280</v>
      </c>
      <c r="B201" t="s">
        <v>281</v>
      </c>
      <c r="C201">
        <v>135243384160</v>
      </c>
      <c r="D201">
        <v>31153468314</v>
      </c>
      <c r="E201">
        <v>80625264104</v>
      </c>
      <c r="F201">
        <v>0</v>
      </c>
      <c r="G201">
        <v>111778732418</v>
      </c>
      <c r="H201">
        <v>23464651742</v>
      </c>
      <c r="I201">
        <v>4223637316</v>
      </c>
      <c r="J201">
        <v>20109684</v>
      </c>
      <c r="K201">
        <v>4243747000</v>
      </c>
      <c r="L201">
        <v>377751014</v>
      </c>
      <c r="M201">
        <v>2014979618</v>
      </c>
      <c r="N201">
        <v>2392730632</v>
      </c>
      <c r="O201">
        <v>0</v>
      </c>
      <c r="P201">
        <v>1851016366</v>
      </c>
    </row>
    <row r="202" spans="1:16" x14ac:dyDescent="0.35">
      <c r="A202" s="2" t="str">
        <f>[2]RCPA2!$A$287</f>
        <v>Q02</v>
      </c>
      <c r="B202" s="11" t="str">
        <f>[2]RCPA2!$C$287</f>
        <v>Social work activities</v>
      </c>
      <c r="C202" s="2">
        <f>C203+C204</f>
        <v>1869983518</v>
      </c>
      <c r="D202" s="2">
        <f t="shared" ref="D202:P202" si="68">D203+D204</f>
        <v>559148625</v>
      </c>
      <c r="E202" s="2">
        <f t="shared" si="68"/>
        <v>0</v>
      </c>
      <c r="F202" s="2">
        <f t="shared" si="68"/>
        <v>0</v>
      </c>
      <c r="G202" s="2">
        <f t="shared" si="68"/>
        <v>559148625</v>
      </c>
      <c r="H202" s="2">
        <f t="shared" si="68"/>
        <v>1310834893</v>
      </c>
      <c r="I202" s="2">
        <f t="shared" si="68"/>
        <v>235950283</v>
      </c>
      <c r="J202" s="2">
        <f t="shared" si="68"/>
        <v>0</v>
      </c>
      <c r="K202" s="2">
        <f t="shared" si="68"/>
        <v>235950283</v>
      </c>
      <c r="L202" s="2">
        <f t="shared" si="68"/>
        <v>0</v>
      </c>
      <c r="M202" s="2">
        <f t="shared" si="68"/>
        <v>73110710</v>
      </c>
      <c r="N202" s="2">
        <f t="shared" si="68"/>
        <v>73110710</v>
      </c>
      <c r="O202" s="2">
        <f t="shared" si="68"/>
        <v>0</v>
      </c>
      <c r="P202" s="2">
        <f t="shared" si="68"/>
        <v>162839573</v>
      </c>
    </row>
    <row r="203" spans="1:16" x14ac:dyDescent="0.35">
      <c r="A203" t="s">
        <v>282</v>
      </c>
      <c r="B203" t="s">
        <v>283</v>
      </c>
      <c r="C203">
        <v>221516077</v>
      </c>
      <c r="D203">
        <v>26700</v>
      </c>
      <c r="E203">
        <v>0</v>
      </c>
      <c r="F203">
        <v>0</v>
      </c>
      <c r="G203">
        <v>26700</v>
      </c>
      <c r="H203">
        <v>221489377</v>
      </c>
      <c r="I203">
        <v>39868088</v>
      </c>
      <c r="J203">
        <v>0</v>
      </c>
      <c r="K203">
        <v>39868088</v>
      </c>
      <c r="L203">
        <v>0</v>
      </c>
      <c r="M203">
        <v>8214411</v>
      </c>
      <c r="N203">
        <v>8214411</v>
      </c>
      <c r="O203">
        <v>0</v>
      </c>
      <c r="P203">
        <v>31653677</v>
      </c>
    </row>
    <row r="204" spans="1:16" x14ac:dyDescent="0.35">
      <c r="A204" t="s">
        <v>284</v>
      </c>
      <c r="B204" t="s">
        <v>285</v>
      </c>
      <c r="C204">
        <v>1648467441</v>
      </c>
      <c r="D204">
        <v>559121925</v>
      </c>
      <c r="E204">
        <v>0</v>
      </c>
      <c r="F204">
        <v>0</v>
      </c>
      <c r="G204">
        <v>559121925</v>
      </c>
      <c r="H204">
        <v>1089345516</v>
      </c>
      <c r="I204">
        <v>196082195</v>
      </c>
      <c r="J204">
        <v>0</v>
      </c>
      <c r="K204">
        <v>196082195</v>
      </c>
      <c r="L204">
        <v>0</v>
      </c>
      <c r="M204">
        <v>64896299</v>
      </c>
      <c r="N204">
        <v>64896299</v>
      </c>
      <c r="O204">
        <v>0</v>
      </c>
      <c r="P204">
        <v>131185896</v>
      </c>
    </row>
    <row r="205" spans="1:16" x14ac:dyDescent="0.35">
      <c r="A205" s="2" t="str">
        <f>[2]RCPA2!$A$291</f>
        <v>R01</v>
      </c>
      <c r="B205" s="11" t="str">
        <f>[2]RCPA2!$C$291</f>
        <v>Libraries, archives, museums &amp; other cultural activities</v>
      </c>
      <c r="C205" s="2">
        <f>C206+C207</f>
        <v>12663559</v>
      </c>
      <c r="D205" s="2">
        <f t="shared" ref="D205:P205" si="69">D206+D207</f>
        <v>8850000</v>
      </c>
      <c r="E205" s="2">
        <f t="shared" si="69"/>
        <v>0</v>
      </c>
      <c r="F205" s="2">
        <f t="shared" si="69"/>
        <v>0</v>
      </c>
      <c r="G205" s="2">
        <f t="shared" si="69"/>
        <v>8850000</v>
      </c>
      <c r="H205" s="2">
        <f t="shared" si="69"/>
        <v>3813559</v>
      </c>
      <c r="I205" s="2">
        <f t="shared" si="69"/>
        <v>686441</v>
      </c>
      <c r="J205" s="2">
        <f t="shared" si="69"/>
        <v>0</v>
      </c>
      <c r="K205" s="2">
        <f t="shared" si="69"/>
        <v>686441</v>
      </c>
      <c r="L205" s="2">
        <f t="shared" si="69"/>
        <v>0</v>
      </c>
      <c r="M205" s="2">
        <f t="shared" si="69"/>
        <v>37769</v>
      </c>
      <c r="N205" s="2">
        <f t="shared" si="69"/>
        <v>37769</v>
      </c>
      <c r="O205" s="2">
        <f t="shared" si="69"/>
        <v>0</v>
      </c>
      <c r="P205" s="2">
        <f t="shared" si="69"/>
        <v>648672</v>
      </c>
    </row>
    <row r="206" spans="1:16" x14ac:dyDescent="0.35">
      <c r="A206" t="s">
        <v>286</v>
      </c>
      <c r="B206" t="s">
        <v>287</v>
      </c>
      <c r="C206">
        <v>12313559</v>
      </c>
      <c r="D206">
        <v>8500000</v>
      </c>
      <c r="E206">
        <v>0</v>
      </c>
      <c r="F206">
        <v>0</v>
      </c>
      <c r="G206">
        <v>8500000</v>
      </c>
      <c r="H206">
        <v>3813559</v>
      </c>
      <c r="I206">
        <v>686441</v>
      </c>
      <c r="J206">
        <v>0</v>
      </c>
      <c r="K206">
        <v>686441</v>
      </c>
      <c r="L206">
        <v>0</v>
      </c>
      <c r="M206">
        <v>0</v>
      </c>
      <c r="N206">
        <v>0</v>
      </c>
      <c r="O206">
        <v>0</v>
      </c>
      <c r="P206">
        <v>686441</v>
      </c>
    </row>
    <row r="207" spans="1:16" x14ac:dyDescent="0.35">
      <c r="A207" t="s">
        <v>288</v>
      </c>
      <c r="B207" t="s">
        <v>289</v>
      </c>
      <c r="C207">
        <v>350000</v>
      </c>
      <c r="D207">
        <v>350000</v>
      </c>
      <c r="E207">
        <v>0</v>
      </c>
      <c r="F207">
        <v>0</v>
      </c>
      <c r="G207">
        <v>350000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37769</v>
      </c>
      <c r="N207">
        <v>37769</v>
      </c>
      <c r="O207">
        <v>0</v>
      </c>
      <c r="P207">
        <v>-37769</v>
      </c>
    </row>
    <row r="208" spans="1:16" x14ac:dyDescent="0.35">
      <c r="A208" s="2" t="str">
        <f>[2]RCPA2!$A$294</f>
        <v>R09</v>
      </c>
      <c r="B208" s="11" t="str">
        <f>[2]RCPA2!$C$294</f>
        <v>Other arts, entertainment &amp; recreation</v>
      </c>
      <c r="C208" s="2">
        <f>C209+C210+C211</f>
        <v>140050805543</v>
      </c>
      <c r="D208" s="2">
        <f t="shared" ref="D208:P208" si="70">D209+D210+D211</f>
        <v>3266357232</v>
      </c>
      <c r="E208" s="2">
        <f t="shared" si="70"/>
        <v>42208570037</v>
      </c>
      <c r="F208" s="2">
        <f t="shared" si="70"/>
        <v>0</v>
      </c>
      <c r="G208" s="2">
        <f t="shared" si="70"/>
        <v>45474927269</v>
      </c>
      <c r="H208" s="2">
        <f t="shared" si="70"/>
        <v>94575878275</v>
      </c>
      <c r="I208" s="2">
        <f t="shared" si="70"/>
        <v>17023658126</v>
      </c>
      <c r="J208" s="2">
        <f t="shared" si="70"/>
        <v>368314743</v>
      </c>
      <c r="K208" s="2">
        <f t="shared" si="70"/>
        <v>17391972869</v>
      </c>
      <c r="L208" s="2">
        <f t="shared" si="70"/>
        <v>1039565176</v>
      </c>
      <c r="M208" s="2">
        <f t="shared" si="70"/>
        <v>3397259553</v>
      </c>
      <c r="N208" s="2">
        <f t="shared" si="70"/>
        <v>4436824729</v>
      </c>
      <c r="O208" s="2">
        <f t="shared" si="70"/>
        <v>306126868</v>
      </c>
      <c r="P208" s="2">
        <f t="shared" si="70"/>
        <v>12649021264</v>
      </c>
    </row>
    <row r="209" spans="1:16" x14ac:dyDescent="0.35">
      <c r="A209" t="s">
        <v>290</v>
      </c>
      <c r="B209" t="s">
        <v>291</v>
      </c>
      <c r="C209">
        <v>23067184924</v>
      </c>
      <c r="D209">
        <v>1211407884</v>
      </c>
      <c r="E209">
        <v>2472346184</v>
      </c>
      <c r="F209">
        <v>0</v>
      </c>
      <c r="G209">
        <v>3683754068</v>
      </c>
      <c r="H209">
        <v>19383430857</v>
      </c>
      <c r="I209">
        <v>3489017572</v>
      </c>
      <c r="J209">
        <v>99073991</v>
      </c>
      <c r="K209">
        <v>3588091563</v>
      </c>
      <c r="L209">
        <v>123571999</v>
      </c>
      <c r="M209">
        <v>1805044960</v>
      </c>
      <c r="N209">
        <v>1928616959</v>
      </c>
      <c r="O209">
        <v>69525923</v>
      </c>
      <c r="P209">
        <v>1589948676</v>
      </c>
    </row>
    <row r="210" spans="1:16" x14ac:dyDescent="0.35">
      <c r="A210" t="s">
        <v>292</v>
      </c>
      <c r="B210" t="s">
        <v>293</v>
      </c>
      <c r="C210">
        <v>72029087381</v>
      </c>
      <c r="D210">
        <v>1148904300</v>
      </c>
      <c r="E210">
        <v>1537996524</v>
      </c>
      <c r="F210">
        <v>0</v>
      </c>
      <c r="G210">
        <v>2686900824</v>
      </c>
      <c r="H210">
        <v>69342186557</v>
      </c>
      <c r="I210">
        <v>12481593594</v>
      </c>
      <c r="J210">
        <v>255503939</v>
      </c>
      <c r="K210">
        <v>12737097533</v>
      </c>
      <c r="L210">
        <v>764090985</v>
      </c>
      <c r="M210">
        <v>1031159378</v>
      </c>
      <c r="N210">
        <v>1795250363</v>
      </c>
      <c r="O210">
        <v>236164705</v>
      </c>
      <c r="P210">
        <v>10705682463</v>
      </c>
    </row>
    <row r="211" spans="1:16" x14ac:dyDescent="0.35">
      <c r="A211" t="s">
        <v>294</v>
      </c>
      <c r="B211" t="s">
        <v>295</v>
      </c>
      <c r="C211">
        <v>44954533238</v>
      </c>
      <c r="D211">
        <v>906045048</v>
      </c>
      <c r="E211">
        <v>38198227329</v>
      </c>
      <c r="F211">
        <v>0</v>
      </c>
      <c r="G211">
        <v>39104272377</v>
      </c>
      <c r="H211">
        <v>5850260861</v>
      </c>
      <c r="I211">
        <v>1053046960</v>
      </c>
      <c r="J211">
        <v>13736813</v>
      </c>
      <c r="K211">
        <v>1066783773</v>
      </c>
      <c r="L211">
        <v>151902192</v>
      </c>
      <c r="M211">
        <v>561055215</v>
      </c>
      <c r="N211">
        <v>712957407</v>
      </c>
      <c r="O211">
        <v>436240</v>
      </c>
      <c r="P211">
        <v>353390125</v>
      </c>
    </row>
    <row r="212" spans="1:16" x14ac:dyDescent="0.35">
      <c r="A212" s="2" t="str">
        <f>[2]RCPA2!$A$299</f>
        <v>S00</v>
      </c>
      <c r="B212" s="11" t="str">
        <f>[2]RCPA2!$C$299</f>
        <v>Other service activities</v>
      </c>
      <c r="C212" s="2">
        <f>C213+C214+C215+C216</f>
        <v>261190115273</v>
      </c>
      <c r="D212" s="2">
        <f t="shared" ref="D212:P212" si="71">D213+D214+D215+D216</f>
        <v>61585167328</v>
      </c>
      <c r="E212" s="2">
        <f t="shared" si="71"/>
        <v>3415277365</v>
      </c>
      <c r="F212" s="2">
        <f t="shared" si="71"/>
        <v>0</v>
      </c>
      <c r="G212" s="2">
        <f t="shared" si="71"/>
        <v>65000444693</v>
      </c>
      <c r="H212" s="2">
        <f t="shared" si="71"/>
        <v>196189670580</v>
      </c>
      <c r="I212" s="2">
        <f t="shared" si="71"/>
        <v>35314140782</v>
      </c>
      <c r="J212" s="2">
        <f t="shared" si="71"/>
        <v>305861407</v>
      </c>
      <c r="K212" s="2">
        <f t="shared" si="71"/>
        <v>35620002189</v>
      </c>
      <c r="L212" s="2">
        <f t="shared" si="71"/>
        <v>6168300642</v>
      </c>
      <c r="M212" s="2">
        <f t="shared" si="71"/>
        <v>19560161733</v>
      </c>
      <c r="N212" s="2">
        <f t="shared" si="71"/>
        <v>25728462375</v>
      </c>
      <c r="O212" s="2">
        <f t="shared" si="71"/>
        <v>249623578</v>
      </c>
      <c r="P212" s="2">
        <f t="shared" si="71"/>
        <v>9641916199</v>
      </c>
    </row>
    <row r="213" spans="1:16" x14ac:dyDescent="0.35">
      <c r="A213" t="s">
        <v>296</v>
      </c>
      <c r="B213" t="s">
        <v>297</v>
      </c>
      <c r="C213">
        <v>152424906887</v>
      </c>
      <c r="D213">
        <v>30112047394</v>
      </c>
      <c r="E213">
        <v>2267438725</v>
      </c>
      <c r="F213">
        <v>0</v>
      </c>
      <c r="G213">
        <v>32379486119</v>
      </c>
      <c r="H213">
        <v>120045420767</v>
      </c>
      <c r="I213">
        <v>21608175763</v>
      </c>
      <c r="J213">
        <v>283320537</v>
      </c>
      <c r="K213">
        <v>21891496300</v>
      </c>
      <c r="L213">
        <v>5474116921</v>
      </c>
      <c r="M213">
        <v>9466027516</v>
      </c>
      <c r="N213">
        <v>14940144437</v>
      </c>
      <c r="O213">
        <v>249623578</v>
      </c>
      <c r="P213">
        <v>6701728273</v>
      </c>
    </row>
    <row r="214" spans="1:16" x14ac:dyDescent="0.35">
      <c r="A214" t="s">
        <v>298</v>
      </c>
      <c r="B214" t="s">
        <v>299</v>
      </c>
      <c r="C214">
        <v>30772880914</v>
      </c>
      <c r="D214">
        <v>12868195388</v>
      </c>
      <c r="E214">
        <v>483703764</v>
      </c>
      <c r="F214">
        <v>0</v>
      </c>
      <c r="G214">
        <v>13351899152</v>
      </c>
      <c r="H214">
        <v>17420981762</v>
      </c>
      <c r="I214">
        <v>3135776723</v>
      </c>
      <c r="J214">
        <v>22508237</v>
      </c>
      <c r="K214">
        <v>3158284960</v>
      </c>
      <c r="L214">
        <v>382924903</v>
      </c>
      <c r="M214">
        <v>1182414903</v>
      </c>
      <c r="N214">
        <v>1565339806</v>
      </c>
      <c r="O214">
        <v>0</v>
      </c>
      <c r="P214">
        <v>1592945150</v>
      </c>
    </row>
    <row r="215" spans="1:16" x14ac:dyDescent="0.35">
      <c r="A215" t="s">
        <v>300</v>
      </c>
      <c r="B215" t="s">
        <v>301</v>
      </c>
      <c r="C215">
        <v>1069151188</v>
      </c>
      <c r="D215">
        <v>42198110</v>
      </c>
      <c r="E215">
        <v>47880</v>
      </c>
      <c r="F215">
        <v>0</v>
      </c>
      <c r="G215">
        <v>42245990</v>
      </c>
      <c r="H215">
        <v>1026905198</v>
      </c>
      <c r="I215">
        <v>184842942</v>
      </c>
      <c r="J215">
        <v>0</v>
      </c>
      <c r="K215">
        <v>184842942</v>
      </c>
      <c r="L215">
        <v>60527454</v>
      </c>
      <c r="M215">
        <v>121538368</v>
      </c>
      <c r="N215">
        <v>182065822</v>
      </c>
      <c r="O215">
        <v>0</v>
      </c>
      <c r="P215">
        <v>2777119</v>
      </c>
    </row>
    <row r="216" spans="1:16" x14ac:dyDescent="0.35">
      <c r="A216" t="s">
        <v>302</v>
      </c>
      <c r="B216" t="s">
        <v>303</v>
      </c>
      <c r="C216">
        <v>76923176284</v>
      </c>
      <c r="D216">
        <v>18562726436</v>
      </c>
      <c r="E216">
        <v>664086996</v>
      </c>
      <c r="F216">
        <v>0</v>
      </c>
      <c r="G216">
        <v>19226813432</v>
      </c>
      <c r="H216">
        <v>57696362853</v>
      </c>
      <c r="I216">
        <v>10385345354</v>
      </c>
      <c r="J216">
        <v>32633</v>
      </c>
      <c r="K216">
        <v>10385377987</v>
      </c>
      <c r="L216">
        <v>250731364</v>
      </c>
      <c r="M216">
        <v>8790180946</v>
      </c>
      <c r="N216">
        <v>9040912310</v>
      </c>
      <c r="O216">
        <v>0</v>
      </c>
      <c r="P216">
        <v>1344465657</v>
      </c>
    </row>
    <row r="217" spans="1:16" x14ac:dyDescent="0.35">
      <c r="A217" s="2" t="str">
        <f>[2]RCPA2!$A$305</f>
        <v>T00</v>
      </c>
      <c r="B217" s="2" t="str">
        <f>[2]RCPA2!$C$305</f>
        <v>Domestic services</v>
      </c>
      <c r="C217" s="2">
        <f>C218</f>
        <v>634453663</v>
      </c>
      <c r="D217" s="2">
        <f t="shared" ref="D217:P217" si="72">D218</f>
        <v>49439747</v>
      </c>
      <c r="E217" s="2">
        <f t="shared" si="72"/>
        <v>37500</v>
      </c>
      <c r="F217" s="2">
        <f t="shared" si="72"/>
        <v>0</v>
      </c>
      <c r="G217" s="2">
        <f t="shared" si="72"/>
        <v>49477247</v>
      </c>
      <c r="H217" s="2">
        <f t="shared" si="72"/>
        <v>584976416</v>
      </c>
      <c r="I217" s="2">
        <f t="shared" si="72"/>
        <v>105295755</v>
      </c>
      <c r="J217" s="2">
        <f t="shared" si="72"/>
        <v>0</v>
      </c>
      <c r="K217" s="2">
        <f t="shared" si="72"/>
        <v>105295755</v>
      </c>
      <c r="L217" s="2">
        <f t="shared" si="72"/>
        <v>0</v>
      </c>
      <c r="M217" s="2">
        <f t="shared" si="72"/>
        <v>90055014</v>
      </c>
      <c r="N217" s="2">
        <f t="shared" si="72"/>
        <v>90055014</v>
      </c>
      <c r="O217" s="2">
        <f t="shared" si="72"/>
        <v>0</v>
      </c>
      <c r="P217" s="2">
        <f t="shared" si="72"/>
        <v>15240741</v>
      </c>
    </row>
    <row r="218" spans="1:16" x14ac:dyDescent="0.35">
      <c r="A218" t="s">
        <v>304</v>
      </c>
      <c r="B218" t="s">
        <v>305</v>
      </c>
      <c r="C218">
        <v>634453663</v>
      </c>
      <c r="D218">
        <v>49439747</v>
      </c>
      <c r="E218">
        <v>37500</v>
      </c>
      <c r="F218">
        <v>0</v>
      </c>
      <c r="G218">
        <v>49477247</v>
      </c>
      <c r="H218">
        <v>584976416</v>
      </c>
      <c r="I218">
        <v>105295755</v>
      </c>
      <c r="J218">
        <v>0</v>
      </c>
      <c r="K218">
        <v>105295755</v>
      </c>
      <c r="L218">
        <v>0</v>
      </c>
      <c r="M218">
        <v>90055014</v>
      </c>
      <c r="N218">
        <v>90055014</v>
      </c>
      <c r="O218">
        <v>0</v>
      </c>
      <c r="P218">
        <v>15240741</v>
      </c>
    </row>
    <row r="219" spans="1:16" x14ac:dyDescent="0.35">
      <c r="A219" s="2" t="str">
        <f>[2]RCPA2!$A$308</f>
        <v>V00</v>
      </c>
      <c r="B219" s="2" t="str">
        <f>[2]RCPA2!$C$308</f>
        <v>Travel debits &amp; credits</v>
      </c>
      <c r="C219" s="2">
        <f>C220</f>
        <v>6634580877</v>
      </c>
      <c r="D219" s="2">
        <f t="shared" ref="D219:P219" si="73">D220</f>
        <v>2403297767</v>
      </c>
      <c r="E219" s="2">
        <f t="shared" si="73"/>
        <v>1000</v>
      </c>
      <c r="F219" s="2">
        <f t="shared" si="73"/>
        <v>0</v>
      </c>
      <c r="G219" s="2">
        <f t="shared" si="73"/>
        <v>2403298767</v>
      </c>
      <c r="H219" s="2">
        <f t="shared" si="73"/>
        <v>4231282110</v>
      </c>
      <c r="I219" s="2">
        <f t="shared" si="73"/>
        <v>761630776</v>
      </c>
      <c r="J219" s="2">
        <f t="shared" si="73"/>
        <v>0</v>
      </c>
      <c r="K219" s="2">
        <f t="shared" si="73"/>
        <v>761630776</v>
      </c>
      <c r="L219" s="2">
        <f t="shared" si="73"/>
        <v>3507629</v>
      </c>
      <c r="M219" s="2">
        <f t="shared" si="73"/>
        <v>495684009</v>
      </c>
      <c r="N219" s="2">
        <f t="shared" si="73"/>
        <v>499191638</v>
      </c>
      <c r="O219" s="2">
        <f t="shared" si="73"/>
        <v>0</v>
      </c>
      <c r="P219" s="2">
        <f t="shared" si="73"/>
        <v>262439138</v>
      </c>
    </row>
    <row r="220" spans="1:16" x14ac:dyDescent="0.35">
      <c r="A220" t="s">
        <v>306</v>
      </c>
      <c r="B220" t="s">
        <v>307</v>
      </c>
      <c r="C220">
        <v>6634580877</v>
      </c>
      <c r="D220">
        <v>2403297767</v>
      </c>
      <c r="E220">
        <v>1000</v>
      </c>
      <c r="F220">
        <v>0</v>
      </c>
      <c r="G220">
        <v>2403298767</v>
      </c>
      <c r="H220">
        <v>4231282110</v>
      </c>
      <c r="I220">
        <v>761630776</v>
      </c>
      <c r="J220">
        <v>0</v>
      </c>
      <c r="K220">
        <v>761630776</v>
      </c>
      <c r="L220">
        <v>3507629</v>
      </c>
      <c r="M220">
        <v>495684009</v>
      </c>
      <c r="N220">
        <v>499191638</v>
      </c>
      <c r="O220">
        <v>0</v>
      </c>
      <c r="P220">
        <v>262439138</v>
      </c>
    </row>
    <row r="221" spans="1:16" x14ac:dyDescent="0.35">
      <c r="A221" s="2" t="str">
        <f>[2]RCPA2!$A$312</f>
        <v>X00</v>
      </c>
      <c r="B221" s="2" t="str">
        <f>[2]RCPA2!$C$312</f>
        <v>Unallocated products</v>
      </c>
      <c r="C221" s="14">
        <f>C222</f>
        <v>1485604527651</v>
      </c>
      <c r="D221" s="14">
        <f t="shared" ref="D221:P221" si="74">D222</f>
        <v>284760288576</v>
      </c>
      <c r="E221" s="14">
        <f t="shared" si="74"/>
        <v>178502294960</v>
      </c>
      <c r="F221" s="14">
        <f t="shared" si="74"/>
        <v>38068129017</v>
      </c>
      <c r="G221" s="14">
        <f t="shared" si="74"/>
        <v>501330712553</v>
      </c>
      <c r="H221" s="14">
        <f t="shared" si="74"/>
        <v>984273815113</v>
      </c>
      <c r="I221" s="14">
        <f t="shared" si="74"/>
        <v>177169286969</v>
      </c>
      <c r="J221" s="14">
        <f t="shared" si="74"/>
        <v>1028365451</v>
      </c>
      <c r="K221" s="14">
        <f t="shared" si="74"/>
        <v>178197652420</v>
      </c>
      <c r="L221" s="14">
        <f t="shared" si="74"/>
        <v>32683364560</v>
      </c>
      <c r="M221" s="14">
        <f t="shared" si="74"/>
        <v>112602394876</v>
      </c>
      <c r="N221" s="14">
        <f t="shared" si="74"/>
        <v>145285759436</v>
      </c>
      <c r="O221" s="14">
        <f t="shared" si="74"/>
        <v>7011017</v>
      </c>
      <c r="P221" s="14">
        <f t="shared" si="74"/>
        <v>32904881856</v>
      </c>
    </row>
    <row r="222" spans="1:16" x14ac:dyDescent="0.35">
      <c r="A222" s="2" t="s">
        <v>308</v>
      </c>
      <c r="B222" t="str">
        <f>[2]RCPA2!$C$312</f>
        <v>Unallocated products</v>
      </c>
      <c r="C222" s="15">
        <v>1485604527651</v>
      </c>
      <c r="D222" s="15">
        <v>284760288576</v>
      </c>
      <c r="E222" s="15">
        <v>178502294960</v>
      </c>
      <c r="F222" s="15">
        <v>38068129017</v>
      </c>
      <c r="G222" s="15">
        <v>501330712553</v>
      </c>
      <c r="H222" s="15">
        <v>984273815113</v>
      </c>
      <c r="I222" s="15">
        <v>177169286969</v>
      </c>
      <c r="J222" s="15">
        <v>1028365451</v>
      </c>
      <c r="K222" s="15">
        <v>178197652420</v>
      </c>
      <c r="L222" s="15">
        <v>32683364560</v>
      </c>
      <c r="M222" s="15">
        <v>112602394876</v>
      </c>
      <c r="N222" s="15">
        <v>145285759436</v>
      </c>
      <c r="O222" s="15">
        <v>7011017</v>
      </c>
      <c r="P222" s="15">
        <v>32904881856</v>
      </c>
    </row>
    <row r="223" spans="1:16" s="15" customFormat="1" x14ac:dyDescent="0.35">
      <c r="A223" s="1"/>
      <c r="B223" s="1"/>
      <c r="C223" s="6">
        <f>C2+C5+C7+C9+C11+C20+C22+C24+C26+C28+C30+C33+C35+C37+C39+C41+C43+C46+C48+C50+C53+C56+C58+C60+C64+C68+C70+C72+C77+C79+C81+C83+C86+C88+C92+C101+C105+C107+C111+C113+C115+C117+C119+C124+C126+C128+C135+C143+C146+C149+C151+C153+C156+C160+C162+C164+C167+C169+C171+C173+C177+C179+C184+C186+C191+C194+C200+C202+C205+C208+C212+C217+C219+C221</f>
        <v>15130329492541</v>
      </c>
      <c r="D223" s="6">
        <f t="shared" ref="D223:P223" si="75">D2+D5+D7+D9+D11+D20+D22+D24+D26+D28+D30+D33+D35+D37+D39+D41+D43+D46+D48+D50+D53+D56+D58+D60+D64+D68+D70+D72+D77+D79+D81+D83+D86+D88+D92+D101+D105+D107+D111+D113+D115+D117+D119+D124+D126+D128+D135+D143+D146+D149+D151+D153+D156+D160+D162+D164+D167+D169+D171+D173+D177+D179+D184+D186+D191+D194+D200+D202+D205+D208+D212+D217+D219+D221</f>
        <v>5316668628918</v>
      </c>
      <c r="E223" s="6">
        <f t="shared" si="75"/>
        <v>1437939030079</v>
      </c>
      <c r="F223" s="6">
        <f t="shared" si="75"/>
        <v>220961912278</v>
      </c>
      <c r="G223" s="6">
        <f t="shared" si="75"/>
        <v>6975569571274</v>
      </c>
      <c r="H223" s="6">
        <f t="shared" si="75"/>
        <v>8154759921535</v>
      </c>
      <c r="I223" s="6">
        <f t="shared" si="75"/>
        <v>1467856787714</v>
      </c>
      <c r="J223" s="6">
        <f t="shared" si="75"/>
        <v>14655462341</v>
      </c>
      <c r="K223" s="6">
        <f t="shared" si="75"/>
        <v>1482512250084</v>
      </c>
      <c r="L223" s="6">
        <f t="shared" si="75"/>
        <v>217836499094</v>
      </c>
      <c r="M223" s="6">
        <f t="shared" si="75"/>
        <v>773379151694</v>
      </c>
      <c r="N223" s="6">
        <f t="shared" si="75"/>
        <v>991215650788</v>
      </c>
      <c r="O223" s="6">
        <f t="shared" si="75"/>
        <v>5247148890</v>
      </c>
      <c r="P223" s="6">
        <f t="shared" si="75"/>
        <v>486049449722</v>
      </c>
    </row>
    <row r="224" spans="1:16" x14ac:dyDescent="0.35"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</row>
    <row r="225" spans="3:16" x14ac:dyDescent="0.3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3:16" x14ac:dyDescent="0.35">
      <c r="C2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302D-E095-4266-971C-739A90581D4B}">
  <dimension ref="A1:P225"/>
  <sheetViews>
    <sheetView topLeftCell="K1" zoomScale="90" zoomScaleNormal="90" workbookViewId="0">
      <pane ySplit="1" topLeftCell="A200" activePane="bottomLeft" state="frozen"/>
      <selection pane="bottomLeft" activeCell="P223" sqref="P223"/>
    </sheetView>
  </sheetViews>
  <sheetFormatPr defaultRowHeight="14.5" x14ac:dyDescent="0.35"/>
  <cols>
    <col min="1" max="1" width="10.6328125" bestFit="1" customWidth="1"/>
    <col min="2" max="2" width="30.08984375" customWidth="1"/>
    <col min="3" max="3" width="19.1796875" style="1" bestFit="1" customWidth="1"/>
    <col min="4" max="4" width="20.36328125" bestFit="1" customWidth="1"/>
    <col min="5" max="5" width="20.1796875" bestFit="1" customWidth="1"/>
    <col min="6" max="6" width="15.54296875" bestFit="1" customWidth="1"/>
    <col min="7" max="7" width="34.54296875" bestFit="1" customWidth="1"/>
    <col min="8" max="8" width="41.08984375" bestFit="1" customWidth="1"/>
    <col min="9" max="9" width="37.90625" bestFit="1" customWidth="1"/>
    <col min="10" max="10" width="23.90625" bestFit="1" customWidth="1"/>
    <col min="11" max="11" width="31.7265625" bestFit="1" customWidth="1"/>
    <col min="12" max="12" width="24.6328125" bestFit="1" customWidth="1"/>
    <col min="13" max="13" width="31.36328125" bestFit="1" customWidth="1"/>
    <col min="14" max="14" width="39.36328125" bestFit="1" customWidth="1"/>
    <col min="15" max="15" width="33.7265625" bestFit="1" customWidth="1"/>
    <col min="16" max="16" width="54" bestFit="1" customWidth="1"/>
  </cols>
  <sheetData>
    <row r="1" spans="1:16" ht="34" customHeight="1" x14ac:dyDescent="0.35">
      <c r="A1" s="9" t="s">
        <v>322</v>
      </c>
      <c r="B1" s="9" t="s">
        <v>1</v>
      </c>
      <c r="C1" s="17" t="s">
        <v>2</v>
      </c>
      <c r="D1" s="9" t="s">
        <v>323</v>
      </c>
      <c r="E1" s="9" t="s">
        <v>324</v>
      </c>
      <c r="F1" s="9" t="s">
        <v>325</v>
      </c>
      <c r="G1" s="9" t="s">
        <v>326</v>
      </c>
      <c r="H1" s="9" t="s">
        <v>327</v>
      </c>
      <c r="I1" s="9" t="s">
        <v>328</v>
      </c>
      <c r="J1" s="9" t="s">
        <v>329</v>
      </c>
      <c r="K1" s="9" t="s">
        <v>330</v>
      </c>
      <c r="L1" s="9" t="s">
        <v>331</v>
      </c>
      <c r="M1" s="9" t="s">
        <v>332</v>
      </c>
      <c r="N1" s="9" t="s">
        <v>333</v>
      </c>
      <c r="O1" s="9" t="s">
        <v>334</v>
      </c>
      <c r="P1" s="9" t="s">
        <v>335</v>
      </c>
    </row>
    <row r="2" spans="1:16" ht="17" customHeight="1" x14ac:dyDescent="0.35">
      <c r="A2" s="9" t="str">
        <f>[2]RCPA2!$A$3</f>
        <v>A11</v>
      </c>
      <c r="B2" s="9" t="str">
        <f>[2]RCPA2!$C$3</f>
        <v>Cereals</v>
      </c>
      <c r="C2" s="17">
        <f>C3+C4</f>
        <v>15403750021</v>
      </c>
      <c r="D2" s="17">
        <f t="shared" ref="D2:P2" si="0">D3+D4</f>
        <v>9679719833</v>
      </c>
      <c r="E2" s="17">
        <f t="shared" si="0"/>
        <v>118455304</v>
      </c>
      <c r="F2" s="17">
        <f t="shared" si="0"/>
        <v>0</v>
      </c>
      <c r="G2" s="17">
        <f t="shared" si="0"/>
        <v>9798175137</v>
      </c>
      <c r="H2" s="17">
        <f t="shared" si="0"/>
        <v>5605574886</v>
      </c>
      <c r="I2" s="17">
        <f t="shared" si="0"/>
        <v>1009003485</v>
      </c>
      <c r="J2" s="17">
        <f t="shared" si="0"/>
        <v>0</v>
      </c>
      <c r="K2" s="17">
        <f t="shared" si="0"/>
        <v>1009003485</v>
      </c>
      <c r="L2" s="17">
        <f t="shared" si="0"/>
        <v>15471717</v>
      </c>
      <c r="M2" s="17">
        <f t="shared" si="0"/>
        <v>901929127</v>
      </c>
      <c r="N2" s="17">
        <f t="shared" si="0"/>
        <v>917400844</v>
      </c>
      <c r="O2" s="17">
        <f t="shared" si="0"/>
        <v>0</v>
      </c>
      <c r="P2" s="17">
        <f t="shared" si="0"/>
        <v>91602637</v>
      </c>
    </row>
    <row r="3" spans="1:16" x14ac:dyDescent="0.35">
      <c r="A3" t="s">
        <v>16</v>
      </c>
      <c r="B3" t="s">
        <v>17</v>
      </c>
      <c r="C3" s="1">
        <v>15342985145</v>
      </c>
      <c r="D3">
        <v>9639964892</v>
      </c>
      <c r="E3">
        <v>118455304</v>
      </c>
      <c r="F3">
        <v>0</v>
      </c>
      <c r="G3">
        <v>9758420196</v>
      </c>
      <c r="H3">
        <v>5584564951</v>
      </c>
      <c r="I3">
        <v>1005221697</v>
      </c>
      <c r="J3">
        <v>0</v>
      </c>
      <c r="K3">
        <v>1005221697</v>
      </c>
      <c r="L3">
        <v>15471717</v>
      </c>
      <c r="M3">
        <v>900990983</v>
      </c>
      <c r="N3">
        <v>916462700</v>
      </c>
      <c r="O3">
        <v>0</v>
      </c>
      <c r="P3">
        <v>88758993</v>
      </c>
    </row>
    <row r="4" spans="1:16" x14ac:dyDescent="0.35">
      <c r="A4" t="s">
        <v>18</v>
      </c>
      <c r="B4" t="s">
        <v>19</v>
      </c>
      <c r="C4" s="1">
        <v>60764876</v>
      </c>
      <c r="D4">
        <v>39754941</v>
      </c>
      <c r="E4">
        <v>0</v>
      </c>
      <c r="F4">
        <v>0</v>
      </c>
      <c r="G4">
        <v>39754941</v>
      </c>
      <c r="H4">
        <v>21009935</v>
      </c>
      <c r="I4">
        <v>3781788</v>
      </c>
      <c r="J4">
        <v>0</v>
      </c>
      <c r="K4">
        <v>3781788</v>
      </c>
      <c r="L4">
        <v>0</v>
      </c>
      <c r="M4">
        <v>938144</v>
      </c>
      <c r="N4">
        <v>938144</v>
      </c>
      <c r="O4">
        <v>0</v>
      </c>
      <c r="P4">
        <v>2843644</v>
      </c>
    </row>
    <row r="5" spans="1:16" x14ac:dyDescent="0.35">
      <c r="A5" s="2" t="str">
        <f>[2]RCPA2!$A$14</f>
        <v>A13</v>
      </c>
      <c r="B5" s="2" t="str">
        <f>[2]RCPA2!$C$14</f>
        <v>Vegetables</v>
      </c>
      <c r="C5" s="3">
        <f>C6</f>
        <v>13913233063</v>
      </c>
      <c r="D5" s="3">
        <f t="shared" ref="D5:P5" si="1">D6</f>
        <v>2492897240</v>
      </c>
      <c r="E5" s="3">
        <f t="shared" si="1"/>
        <v>10453671983</v>
      </c>
      <c r="F5" s="3">
        <f t="shared" si="1"/>
        <v>434205732</v>
      </c>
      <c r="G5" s="3">
        <f t="shared" si="1"/>
        <v>13380774955</v>
      </c>
      <c r="H5" s="3">
        <f t="shared" si="1"/>
        <v>532458108</v>
      </c>
      <c r="I5" s="3">
        <f t="shared" si="1"/>
        <v>95842459</v>
      </c>
      <c r="J5" s="3">
        <f t="shared" si="1"/>
        <v>0</v>
      </c>
      <c r="K5" s="3">
        <f t="shared" si="1"/>
        <v>95842459</v>
      </c>
      <c r="L5" s="3">
        <f t="shared" si="1"/>
        <v>930468</v>
      </c>
      <c r="M5" s="3">
        <f t="shared" si="1"/>
        <v>131456523</v>
      </c>
      <c r="N5" s="3">
        <f t="shared" si="1"/>
        <v>132386991</v>
      </c>
      <c r="O5" s="3">
        <f t="shared" si="1"/>
        <v>0</v>
      </c>
      <c r="P5" s="3">
        <f t="shared" si="1"/>
        <v>-36544532</v>
      </c>
    </row>
    <row r="6" spans="1:16" x14ac:dyDescent="0.35">
      <c r="A6" t="s">
        <v>20</v>
      </c>
      <c r="B6" t="s">
        <v>21</v>
      </c>
      <c r="C6" s="1">
        <v>13913233063</v>
      </c>
      <c r="D6">
        <v>2492897240</v>
      </c>
      <c r="E6">
        <v>10453671983</v>
      </c>
      <c r="F6">
        <v>434205732</v>
      </c>
      <c r="G6">
        <v>13380774955</v>
      </c>
      <c r="H6">
        <v>532458108</v>
      </c>
      <c r="I6">
        <v>95842459</v>
      </c>
      <c r="J6">
        <v>0</v>
      </c>
      <c r="K6">
        <v>95842459</v>
      </c>
      <c r="L6">
        <v>930468</v>
      </c>
      <c r="M6">
        <v>131456523</v>
      </c>
      <c r="N6">
        <v>132386991</v>
      </c>
      <c r="O6">
        <v>0</v>
      </c>
      <c r="P6">
        <v>-36544532</v>
      </c>
    </row>
    <row r="7" spans="1:16" x14ac:dyDescent="0.35">
      <c r="A7" s="2" t="str">
        <f>[2]RCPA2!$A$18</f>
        <v>A14</v>
      </c>
      <c r="B7" s="2" t="str">
        <f>[2]RCPA2!$C$18</f>
        <v>Bananas &amp; fruit</v>
      </c>
      <c r="C7" s="3">
        <f>C8</f>
        <v>5115431957</v>
      </c>
      <c r="D7" s="3">
        <f t="shared" ref="D7:P7" si="2">D8</f>
        <v>2551024911</v>
      </c>
      <c r="E7" s="3">
        <f t="shared" si="2"/>
        <v>2116763468</v>
      </c>
      <c r="F7" s="3">
        <f t="shared" si="2"/>
        <v>0</v>
      </c>
      <c r="G7" s="3">
        <f t="shared" si="2"/>
        <v>4667788379</v>
      </c>
      <c r="H7" s="3">
        <f t="shared" si="2"/>
        <v>447643578</v>
      </c>
      <c r="I7" s="3">
        <f t="shared" si="2"/>
        <v>80575845</v>
      </c>
      <c r="J7" s="3">
        <f t="shared" si="2"/>
        <v>0</v>
      </c>
      <c r="K7" s="3">
        <f t="shared" si="2"/>
        <v>80575845</v>
      </c>
      <c r="L7" s="3">
        <f t="shared" si="2"/>
        <v>0</v>
      </c>
      <c r="M7" s="3">
        <f t="shared" si="2"/>
        <v>56874499</v>
      </c>
      <c r="N7" s="3">
        <f t="shared" si="2"/>
        <v>56874499</v>
      </c>
      <c r="O7" s="3">
        <f t="shared" si="2"/>
        <v>0</v>
      </c>
      <c r="P7" s="3">
        <f t="shared" si="2"/>
        <v>23701346</v>
      </c>
    </row>
    <row r="8" spans="1:16" x14ac:dyDescent="0.35">
      <c r="A8" t="s">
        <v>22</v>
      </c>
      <c r="B8" t="s">
        <v>23</v>
      </c>
      <c r="C8" s="1">
        <v>5115431957</v>
      </c>
      <c r="D8">
        <v>2551024911</v>
      </c>
      <c r="E8">
        <v>2116763468</v>
      </c>
      <c r="F8">
        <v>0</v>
      </c>
      <c r="G8">
        <v>4667788379</v>
      </c>
      <c r="H8">
        <v>447643578</v>
      </c>
      <c r="I8">
        <v>80575845</v>
      </c>
      <c r="J8">
        <v>0</v>
      </c>
      <c r="K8">
        <v>80575845</v>
      </c>
      <c r="L8">
        <v>0</v>
      </c>
      <c r="M8">
        <v>56874499</v>
      </c>
      <c r="N8">
        <v>56874499</v>
      </c>
      <c r="O8">
        <v>0</v>
      </c>
      <c r="P8">
        <v>23701346</v>
      </c>
    </row>
    <row r="9" spans="1:16" x14ac:dyDescent="0.35">
      <c r="A9" s="2" t="str">
        <f>[2]RCPA2!$A$28</f>
        <v>A21</v>
      </c>
      <c r="B9" s="2" t="str">
        <f>[2]RCPA2!$C$28</f>
        <v>Coffee</v>
      </c>
      <c r="C9" s="3">
        <f>C10</f>
        <v>26157586339</v>
      </c>
      <c r="D9" s="3">
        <f t="shared" ref="D9:P9" si="3">D10</f>
        <v>15485642442</v>
      </c>
      <c r="E9" s="3">
        <f t="shared" si="3"/>
        <v>7869243150</v>
      </c>
      <c r="F9" s="3">
        <f t="shared" si="3"/>
        <v>0</v>
      </c>
      <c r="G9" s="3">
        <f t="shared" si="3"/>
        <v>23354885592</v>
      </c>
      <c r="H9" s="3">
        <f t="shared" si="3"/>
        <v>2802700749</v>
      </c>
      <c r="I9" s="3">
        <f t="shared" si="3"/>
        <v>504486133</v>
      </c>
      <c r="J9" s="3">
        <f t="shared" si="3"/>
        <v>189320</v>
      </c>
      <c r="K9" s="3">
        <f t="shared" si="3"/>
        <v>504675453</v>
      </c>
      <c r="L9" s="3">
        <f t="shared" si="3"/>
        <v>40305345</v>
      </c>
      <c r="M9" s="3">
        <f t="shared" si="3"/>
        <v>311356030</v>
      </c>
      <c r="N9" s="3">
        <f t="shared" si="3"/>
        <v>351661375</v>
      </c>
      <c r="O9" s="3">
        <f t="shared" si="3"/>
        <v>0</v>
      </c>
      <c r="P9" s="3">
        <f t="shared" si="3"/>
        <v>153014078</v>
      </c>
    </row>
    <row r="10" spans="1:16" x14ac:dyDescent="0.35">
      <c r="A10" t="s">
        <v>24</v>
      </c>
      <c r="B10" t="s">
        <v>336</v>
      </c>
      <c r="C10" s="1">
        <v>26157586339</v>
      </c>
      <c r="D10">
        <v>15485642442</v>
      </c>
      <c r="E10">
        <v>7869243150</v>
      </c>
      <c r="F10">
        <v>0</v>
      </c>
      <c r="G10">
        <v>23354885592</v>
      </c>
      <c r="H10">
        <v>2802700749</v>
      </c>
      <c r="I10">
        <v>504486133</v>
      </c>
      <c r="J10">
        <v>189320</v>
      </c>
      <c r="K10">
        <v>504675453</v>
      </c>
      <c r="L10">
        <v>40305345</v>
      </c>
      <c r="M10">
        <v>311356030</v>
      </c>
      <c r="N10">
        <v>351661375</v>
      </c>
      <c r="O10">
        <v>0</v>
      </c>
      <c r="P10">
        <v>153014078</v>
      </c>
    </row>
    <row r="11" spans="1:16" x14ac:dyDescent="0.35">
      <c r="A11" s="2" t="str">
        <f>[2]RCPA2!$A$32</f>
        <v>A29</v>
      </c>
      <c r="B11" s="2" t="str">
        <f>[2]RCPA2!$C$32</f>
        <v>Other agricultural products</v>
      </c>
      <c r="C11" s="3">
        <f>C12+C13+C14</f>
        <v>147482141807</v>
      </c>
      <c r="D11" s="3">
        <f t="shared" ref="D11:P11" si="4">D12+D13+D14</f>
        <v>129220415267</v>
      </c>
      <c r="E11" s="3">
        <f t="shared" si="4"/>
        <v>6539241603</v>
      </c>
      <c r="F11" s="3">
        <f t="shared" si="4"/>
        <v>148977630</v>
      </c>
      <c r="G11" s="3">
        <f t="shared" si="4"/>
        <v>135908634500</v>
      </c>
      <c r="H11" s="3">
        <f t="shared" si="4"/>
        <v>11573507307</v>
      </c>
      <c r="I11" s="3">
        <f t="shared" si="4"/>
        <v>2083231319</v>
      </c>
      <c r="J11" s="3">
        <f t="shared" si="4"/>
        <v>357842830</v>
      </c>
      <c r="K11" s="3">
        <f t="shared" si="4"/>
        <v>2441074149</v>
      </c>
      <c r="L11" s="3">
        <f t="shared" si="4"/>
        <v>144558925</v>
      </c>
      <c r="M11" s="3">
        <f t="shared" si="4"/>
        <v>1413101214</v>
      </c>
      <c r="N11" s="3">
        <f t="shared" si="4"/>
        <v>1557660139</v>
      </c>
      <c r="O11" s="3">
        <f t="shared" si="4"/>
        <v>0</v>
      </c>
      <c r="P11" s="3">
        <f t="shared" si="4"/>
        <v>883414008</v>
      </c>
    </row>
    <row r="12" spans="1:16" x14ac:dyDescent="0.35">
      <c r="A12" t="s">
        <v>26</v>
      </c>
      <c r="B12" t="s">
        <v>27</v>
      </c>
      <c r="C12" s="1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28</v>
      </c>
      <c r="B13" t="s">
        <v>29</v>
      </c>
      <c r="C13" s="1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t="s">
        <v>30</v>
      </c>
      <c r="B14" t="s">
        <v>31</v>
      </c>
      <c r="C14" s="1">
        <v>147482141807</v>
      </c>
      <c r="D14">
        <v>129220415267</v>
      </c>
      <c r="E14">
        <v>6539241603</v>
      </c>
      <c r="F14">
        <v>148977630</v>
      </c>
      <c r="G14">
        <v>135908634500</v>
      </c>
      <c r="H14">
        <v>11573507307</v>
      </c>
      <c r="I14">
        <v>2083231319</v>
      </c>
      <c r="J14">
        <v>357842830</v>
      </c>
      <c r="K14">
        <v>2441074149</v>
      </c>
      <c r="L14">
        <v>144558925</v>
      </c>
      <c r="M14">
        <v>1413101214</v>
      </c>
      <c r="N14">
        <v>1557660139</v>
      </c>
      <c r="O14">
        <v>0</v>
      </c>
      <c r="P14">
        <v>883414008</v>
      </c>
    </row>
    <row r="15" spans="1:16" x14ac:dyDescent="0.35">
      <c r="A15" s="2" t="str">
        <f>[2]RCPA2!$A$38</f>
        <v>A31</v>
      </c>
      <c r="B15" s="2" t="str">
        <f>[2]RCPA2!$C$38</f>
        <v>Livestock</v>
      </c>
      <c r="C15" s="3">
        <f>C16+C17+C18+C19</f>
        <v>0</v>
      </c>
    </row>
    <row r="16" spans="1:16" x14ac:dyDescent="0.35">
      <c r="A16" t="s">
        <v>32</v>
      </c>
      <c r="B16" t="s">
        <v>33</v>
      </c>
      <c r="C16" s="1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t="s">
        <v>34</v>
      </c>
      <c r="B17" t="s">
        <v>35</v>
      </c>
      <c r="C17" s="1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t="s">
        <v>36</v>
      </c>
      <c r="B18" t="s">
        <v>37</v>
      </c>
      <c r="C18" s="1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t="s">
        <v>38</v>
      </c>
      <c r="B19" t="s">
        <v>39</v>
      </c>
      <c r="C19" s="1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 s="2" t="str">
        <f>[2]RCPA2!$A$43</f>
        <v>A32</v>
      </c>
      <c r="B20" s="2" t="str">
        <f>[2]RCPA2!$C$43</f>
        <v>Livestock &amp; hunting products</v>
      </c>
      <c r="C20" s="3">
        <f>C21</f>
        <v>4214328654</v>
      </c>
      <c r="D20" s="3">
        <f t="shared" ref="D20:P20" si="5">D21</f>
        <v>1639673971</v>
      </c>
      <c r="E20" s="3">
        <f t="shared" si="5"/>
        <v>1680159397</v>
      </c>
      <c r="F20" s="3">
        <f t="shared" si="5"/>
        <v>0</v>
      </c>
      <c r="G20" s="3">
        <f t="shared" si="5"/>
        <v>3319833368</v>
      </c>
      <c r="H20" s="3">
        <f t="shared" si="5"/>
        <v>894495286</v>
      </c>
      <c r="I20" s="3">
        <f t="shared" si="5"/>
        <v>161009147</v>
      </c>
      <c r="J20" s="3">
        <f t="shared" si="5"/>
        <v>0</v>
      </c>
      <c r="K20" s="3">
        <f t="shared" si="5"/>
        <v>161009147</v>
      </c>
      <c r="L20" s="3">
        <f t="shared" si="5"/>
        <v>4677968</v>
      </c>
      <c r="M20" s="3">
        <f t="shared" si="5"/>
        <v>130011725</v>
      </c>
      <c r="N20" s="3">
        <f t="shared" si="5"/>
        <v>134689693</v>
      </c>
      <c r="O20" s="3">
        <f t="shared" si="5"/>
        <v>0</v>
      </c>
      <c r="P20" s="3">
        <f t="shared" si="5"/>
        <v>26319454</v>
      </c>
    </row>
    <row r="21" spans="1:16" x14ac:dyDescent="0.35">
      <c r="A21" t="s">
        <v>40</v>
      </c>
      <c r="B21" t="s">
        <v>41</v>
      </c>
      <c r="C21" s="1">
        <v>4214328654</v>
      </c>
      <c r="D21">
        <v>1639673971</v>
      </c>
      <c r="E21">
        <v>1680159397</v>
      </c>
      <c r="F21">
        <v>0</v>
      </c>
      <c r="G21">
        <v>3319833368</v>
      </c>
      <c r="H21">
        <v>894495286</v>
      </c>
      <c r="I21">
        <v>161009147</v>
      </c>
      <c r="J21">
        <v>0</v>
      </c>
      <c r="K21">
        <v>161009147</v>
      </c>
      <c r="L21">
        <v>4677968</v>
      </c>
      <c r="M21">
        <v>130011725</v>
      </c>
      <c r="N21">
        <v>134689693</v>
      </c>
      <c r="O21">
        <v>0</v>
      </c>
      <c r="P21">
        <v>26319454</v>
      </c>
    </row>
    <row r="22" spans="1:16" x14ac:dyDescent="0.35">
      <c r="A22" s="2" t="str">
        <f>[2]RCPA2!$A$49</f>
        <v>A40</v>
      </c>
      <c r="B22" s="2" t="str">
        <f>[2]RCPA2!$C$49</f>
        <v>Forestry products</v>
      </c>
      <c r="C22" s="3">
        <f>C23</f>
        <v>16190241646</v>
      </c>
      <c r="D22" s="3">
        <f t="shared" ref="D22:P22" si="6">D23</f>
        <v>12966523625</v>
      </c>
      <c r="E22" s="3">
        <f t="shared" si="6"/>
        <v>3443500</v>
      </c>
      <c r="F22" s="3">
        <f t="shared" si="6"/>
        <v>0</v>
      </c>
      <c r="G22" s="3">
        <f t="shared" si="6"/>
        <v>12969967125</v>
      </c>
      <c r="H22" s="3">
        <f t="shared" si="6"/>
        <v>3220274521</v>
      </c>
      <c r="I22" s="3">
        <f t="shared" si="6"/>
        <v>579649415</v>
      </c>
      <c r="J22" s="3">
        <f t="shared" si="6"/>
        <v>0</v>
      </c>
      <c r="K22" s="3">
        <f t="shared" si="6"/>
        <v>579649415</v>
      </c>
      <c r="L22" s="3">
        <f t="shared" si="6"/>
        <v>0</v>
      </c>
      <c r="M22" s="3">
        <f t="shared" si="6"/>
        <v>194488633</v>
      </c>
      <c r="N22" s="3">
        <f t="shared" si="6"/>
        <v>194488633</v>
      </c>
      <c r="O22" s="3">
        <f t="shared" si="6"/>
        <v>0</v>
      </c>
      <c r="P22" s="3">
        <f t="shared" si="6"/>
        <v>385160781</v>
      </c>
    </row>
    <row r="23" spans="1:16" x14ac:dyDescent="0.35">
      <c r="A23" t="s">
        <v>42</v>
      </c>
      <c r="B23" t="s">
        <v>43</v>
      </c>
      <c r="C23" s="1">
        <v>16190241646</v>
      </c>
      <c r="D23">
        <v>12966523625</v>
      </c>
      <c r="E23">
        <v>3443500</v>
      </c>
      <c r="F23">
        <v>0</v>
      </c>
      <c r="G23">
        <v>12969967125</v>
      </c>
      <c r="H23">
        <v>3220274521</v>
      </c>
      <c r="I23">
        <v>579649415</v>
      </c>
      <c r="J23">
        <v>0</v>
      </c>
      <c r="K23">
        <v>579649415</v>
      </c>
      <c r="L23">
        <v>0</v>
      </c>
      <c r="M23">
        <v>194488633</v>
      </c>
      <c r="N23">
        <v>194488633</v>
      </c>
      <c r="O23">
        <v>0</v>
      </c>
      <c r="P23">
        <v>385160781</v>
      </c>
    </row>
    <row r="24" spans="1:16" x14ac:dyDescent="0.35">
      <c r="A24" s="2" t="str">
        <f>[2]RCPA2!$A$54</f>
        <v>A50</v>
      </c>
      <c r="B24" s="2" t="str">
        <f>[2]RCPA2!$C$54</f>
        <v>Fishery products</v>
      </c>
      <c r="C24" s="3">
        <f>C25</f>
        <v>15091663662</v>
      </c>
      <c r="D24" s="3">
        <f t="shared" ref="D24:P24" si="7">D25</f>
        <v>13266021180</v>
      </c>
      <c r="E24" s="3">
        <f t="shared" si="7"/>
        <v>647867747</v>
      </c>
      <c r="F24" s="3">
        <f t="shared" si="7"/>
        <v>0</v>
      </c>
      <c r="G24" s="3">
        <f t="shared" si="7"/>
        <v>13913888927</v>
      </c>
      <c r="H24" s="3">
        <f t="shared" si="7"/>
        <v>1177774737</v>
      </c>
      <c r="I24" s="3">
        <f t="shared" si="7"/>
        <v>211999452</v>
      </c>
      <c r="J24" s="3">
        <f t="shared" si="7"/>
        <v>7672840</v>
      </c>
      <c r="K24" s="3">
        <f t="shared" si="7"/>
        <v>219672292</v>
      </c>
      <c r="L24" s="3">
        <f t="shared" si="7"/>
        <v>5891973</v>
      </c>
      <c r="M24" s="3">
        <f t="shared" si="7"/>
        <v>115817040</v>
      </c>
      <c r="N24" s="3">
        <f t="shared" si="7"/>
        <v>121709013</v>
      </c>
      <c r="O24" s="3">
        <f t="shared" si="7"/>
        <v>0</v>
      </c>
      <c r="P24" s="3">
        <f t="shared" si="7"/>
        <v>97963277</v>
      </c>
    </row>
    <row r="25" spans="1:16" x14ac:dyDescent="0.35">
      <c r="A25" t="s">
        <v>44</v>
      </c>
      <c r="B25" t="s">
        <v>45</v>
      </c>
      <c r="C25" s="1">
        <v>15091663662</v>
      </c>
      <c r="D25">
        <v>13266021180</v>
      </c>
      <c r="E25">
        <v>647867747</v>
      </c>
      <c r="F25">
        <v>0</v>
      </c>
      <c r="G25">
        <v>13913888927</v>
      </c>
      <c r="H25">
        <v>1177774737</v>
      </c>
      <c r="I25">
        <v>211999452</v>
      </c>
      <c r="J25">
        <v>7672840</v>
      </c>
      <c r="K25">
        <v>219672292</v>
      </c>
      <c r="L25">
        <v>5891973</v>
      </c>
      <c r="M25">
        <v>115817040</v>
      </c>
      <c r="N25">
        <v>121709013</v>
      </c>
      <c r="O25">
        <v>0</v>
      </c>
      <c r="P25">
        <v>97963277</v>
      </c>
    </row>
    <row r="26" spans="1:16" x14ac:dyDescent="0.35">
      <c r="A26" s="2" t="str">
        <f>[2]RCPA2!$A$57</f>
        <v>B01</v>
      </c>
      <c r="B26" s="2" t="str">
        <f>[2]RCPA2!$C$57</f>
        <v>Natural gas</v>
      </c>
      <c r="C26" s="3">
        <f>C27</f>
        <v>56702228</v>
      </c>
      <c r="D26" s="3">
        <f t="shared" ref="D26:P26" si="8">D27</f>
        <v>0</v>
      </c>
      <c r="E26" s="3">
        <f t="shared" si="8"/>
        <v>0</v>
      </c>
      <c r="F26" s="3">
        <f t="shared" si="8"/>
        <v>0</v>
      </c>
      <c r="G26" s="3">
        <f t="shared" si="8"/>
        <v>0</v>
      </c>
      <c r="H26" s="3">
        <f t="shared" si="8"/>
        <v>56702228</v>
      </c>
      <c r="I26" s="3">
        <f t="shared" si="8"/>
        <v>10206401</v>
      </c>
      <c r="J26" s="3">
        <f t="shared" si="8"/>
        <v>0</v>
      </c>
      <c r="K26" s="3">
        <f t="shared" si="8"/>
        <v>10206401</v>
      </c>
      <c r="L26" s="3">
        <f t="shared" si="8"/>
        <v>0</v>
      </c>
      <c r="M26" s="3">
        <f t="shared" si="8"/>
        <v>12131204</v>
      </c>
      <c r="N26" s="3">
        <f t="shared" si="8"/>
        <v>12131204</v>
      </c>
      <c r="O26" s="3">
        <f t="shared" si="8"/>
        <v>0</v>
      </c>
      <c r="P26" s="3">
        <f t="shared" si="8"/>
        <v>-1924803</v>
      </c>
    </row>
    <row r="27" spans="1:16" x14ac:dyDescent="0.35">
      <c r="A27" t="s">
        <v>46</v>
      </c>
      <c r="B27" t="s">
        <v>47</v>
      </c>
      <c r="C27" s="1">
        <v>56702228</v>
      </c>
      <c r="D27">
        <v>0</v>
      </c>
      <c r="E27">
        <v>0</v>
      </c>
      <c r="F27">
        <v>0</v>
      </c>
      <c r="G27">
        <v>0</v>
      </c>
      <c r="H27">
        <v>56702228</v>
      </c>
      <c r="I27">
        <v>10206401</v>
      </c>
      <c r="J27">
        <v>0</v>
      </c>
      <c r="K27">
        <v>10206401</v>
      </c>
      <c r="L27">
        <v>0</v>
      </c>
      <c r="M27">
        <v>12131204</v>
      </c>
      <c r="N27">
        <v>12131204</v>
      </c>
      <c r="O27">
        <v>0</v>
      </c>
      <c r="P27">
        <v>-1924803</v>
      </c>
    </row>
    <row r="28" spans="1:16" x14ac:dyDescent="0.35">
      <c r="A28" s="2" t="str">
        <f>[2]RCPA2!$A$59</f>
        <v>B03</v>
      </c>
      <c r="B28" s="2" t="str">
        <f>[2]RCPA2!$C$59</f>
        <v>Metal ores</v>
      </c>
      <c r="C28" s="3">
        <f>C29</f>
        <v>51515746446</v>
      </c>
      <c r="D28" s="3">
        <f t="shared" ref="D28:P28" si="9">D29</f>
        <v>2320737872</v>
      </c>
      <c r="E28" s="3">
        <f t="shared" si="9"/>
        <v>18968125272</v>
      </c>
      <c r="F28" s="3">
        <f t="shared" si="9"/>
        <v>29943465434</v>
      </c>
      <c r="G28" s="3">
        <f t="shared" si="9"/>
        <v>51232328578</v>
      </c>
      <c r="H28" s="3">
        <f t="shared" si="9"/>
        <v>283417868</v>
      </c>
      <c r="I28" s="3">
        <f t="shared" si="9"/>
        <v>51015217</v>
      </c>
      <c r="J28" s="3">
        <f t="shared" si="9"/>
        <v>0</v>
      </c>
      <c r="K28" s="3">
        <f t="shared" si="9"/>
        <v>51015217</v>
      </c>
      <c r="L28" s="3">
        <f t="shared" si="9"/>
        <v>22157924</v>
      </c>
      <c r="M28" s="3">
        <f t="shared" si="9"/>
        <v>212683792</v>
      </c>
      <c r="N28" s="3">
        <f t="shared" si="9"/>
        <v>234841716</v>
      </c>
      <c r="O28" s="3">
        <f t="shared" si="9"/>
        <v>0</v>
      </c>
      <c r="P28" s="3">
        <f t="shared" si="9"/>
        <v>-183826499</v>
      </c>
    </row>
    <row r="29" spans="1:16" x14ac:dyDescent="0.35">
      <c r="A29" t="s">
        <v>48</v>
      </c>
      <c r="B29" t="s">
        <v>49</v>
      </c>
      <c r="C29" s="1">
        <v>51515746446</v>
      </c>
      <c r="D29">
        <v>2320737872</v>
      </c>
      <c r="E29">
        <v>18968125272</v>
      </c>
      <c r="F29">
        <v>29943465434</v>
      </c>
      <c r="G29">
        <v>51232328578</v>
      </c>
      <c r="H29">
        <v>283417868</v>
      </c>
      <c r="I29">
        <v>51015217</v>
      </c>
      <c r="J29">
        <v>0</v>
      </c>
      <c r="K29">
        <v>51015217</v>
      </c>
      <c r="L29">
        <v>22157924</v>
      </c>
      <c r="M29">
        <v>212683792</v>
      </c>
      <c r="N29">
        <v>234841716</v>
      </c>
      <c r="O29">
        <v>0</v>
      </c>
      <c r="P29">
        <v>-183826499</v>
      </c>
    </row>
    <row r="30" spans="1:16" x14ac:dyDescent="0.35">
      <c r="A30" s="2" t="str">
        <f>[2]RCPA2!$A$63</f>
        <v>B09</v>
      </c>
      <c r="B30" s="2" t="str">
        <f>[2]RCPA2!$C$63</f>
        <v>Quarry &amp; other mining products</v>
      </c>
      <c r="C30" s="3">
        <f>C31+C32</f>
        <v>747351684478</v>
      </c>
      <c r="D30" s="3">
        <f t="shared" ref="D30:P30" si="10">D31+D32</f>
        <v>17629720300</v>
      </c>
      <c r="E30" s="3">
        <f t="shared" si="10"/>
        <v>622916932468</v>
      </c>
      <c r="F30" s="3">
        <f t="shared" si="10"/>
        <v>82430583171</v>
      </c>
      <c r="G30" s="3">
        <f t="shared" si="10"/>
        <v>722977235941</v>
      </c>
      <c r="H30" s="3">
        <f t="shared" si="10"/>
        <v>24374448539</v>
      </c>
      <c r="I30" s="3">
        <f t="shared" si="10"/>
        <v>4387400739</v>
      </c>
      <c r="J30" s="3">
        <f t="shared" si="10"/>
        <v>752493211</v>
      </c>
      <c r="K30" s="3">
        <f t="shared" si="10"/>
        <v>5139893950</v>
      </c>
      <c r="L30" s="3">
        <f t="shared" si="10"/>
        <v>637509797</v>
      </c>
      <c r="M30" s="3">
        <f t="shared" si="10"/>
        <v>4931277825</v>
      </c>
      <c r="N30" s="3">
        <f t="shared" si="10"/>
        <v>5568787622</v>
      </c>
      <c r="O30" s="3">
        <f t="shared" si="10"/>
        <v>320917853</v>
      </c>
      <c r="P30" s="3">
        <f t="shared" si="10"/>
        <v>-749811526</v>
      </c>
    </row>
    <row r="31" spans="1:16" x14ac:dyDescent="0.35">
      <c r="A31" t="s">
        <v>50</v>
      </c>
      <c r="B31" t="s">
        <v>51</v>
      </c>
      <c r="C31" s="1">
        <v>11939615424</v>
      </c>
      <c r="D31">
        <v>3258975475</v>
      </c>
      <c r="E31">
        <v>237296485</v>
      </c>
      <c r="F31">
        <v>0</v>
      </c>
      <c r="G31">
        <v>3496271960</v>
      </c>
      <c r="H31">
        <v>8443343465</v>
      </c>
      <c r="I31">
        <v>1519801827</v>
      </c>
      <c r="J31">
        <v>0</v>
      </c>
      <c r="K31">
        <v>1519801827</v>
      </c>
      <c r="L31">
        <v>130303455</v>
      </c>
      <c r="M31">
        <v>882199703</v>
      </c>
      <c r="N31">
        <v>1012503158</v>
      </c>
      <c r="O31">
        <v>0</v>
      </c>
      <c r="P31">
        <v>507298669</v>
      </c>
    </row>
    <row r="32" spans="1:16" x14ac:dyDescent="0.35">
      <c r="A32" t="s">
        <v>52</v>
      </c>
      <c r="B32" t="s">
        <v>53</v>
      </c>
      <c r="C32" s="1">
        <v>735412069054</v>
      </c>
      <c r="D32">
        <v>14370744825</v>
      </c>
      <c r="E32">
        <v>622679635983</v>
      </c>
      <c r="F32">
        <v>82430583171</v>
      </c>
      <c r="G32">
        <v>719480963981</v>
      </c>
      <c r="H32">
        <v>15931105074</v>
      </c>
      <c r="I32">
        <v>2867598912</v>
      </c>
      <c r="J32">
        <v>752493211</v>
      </c>
      <c r="K32">
        <v>3620092123</v>
      </c>
      <c r="L32">
        <v>507206342</v>
      </c>
      <c r="M32">
        <v>4049078122</v>
      </c>
      <c r="N32">
        <v>4556284464</v>
      </c>
      <c r="O32">
        <v>320917853</v>
      </c>
      <c r="P32">
        <v>-1257110195</v>
      </c>
    </row>
    <row r="33" spans="1:16" x14ac:dyDescent="0.35">
      <c r="A33" s="2" t="str">
        <f>[2]RCPA2!$A$67</f>
        <v>C11</v>
      </c>
      <c r="B33" s="2" t="str">
        <f>[2]RCPA2!$C$67</f>
        <v>Meat &amp; meat products</v>
      </c>
      <c r="C33" s="3">
        <f>C34</f>
        <v>12880342303</v>
      </c>
      <c r="D33" s="3">
        <f t="shared" ref="D33:P33" si="11">D34</f>
        <v>9172410610</v>
      </c>
      <c r="E33" s="3">
        <f t="shared" si="11"/>
        <v>22030955</v>
      </c>
      <c r="F33" s="3">
        <f t="shared" si="11"/>
        <v>0</v>
      </c>
      <c r="G33" s="3">
        <f t="shared" si="11"/>
        <v>9194441565</v>
      </c>
      <c r="H33" s="3">
        <f t="shared" si="11"/>
        <v>3685900735</v>
      </c>
      <c r="I33" s="3">
        <f t="shared" si="11"/>
        <v>663462132</v>
      </c>
      <c r="J33" s="3">
        <f t="shared" si="11"/>
        <v>0</v>
      </c>
      <c r="K33" s="3">
        <f t="shared" si="11"/>
        <v>663462132</v>
      </c>
      <c r="L33" s="3">
        <f t="shared" si="11"/>
        <v>12210504</v>
      </c>
      <c r="M33" s="3">
        <f t="shared" si="11"/>
        <v>403057425</v>
      </c>
      <c r="N33" s="3">
        <f t="shared" si="11"/>
        <v>415267929</v>
      </c>
      <c r="O33" s="3">
        <f t="shared" si="11"/>
        <v>0</v>
      </c>
      <c r="P33" s="3">
        <f t="shared" si="11"/>
        <v>248194203</v>
      </c>
    </row>
    <row r="34" spans="1:16" x14ac:dyDescent="0.35">
      <c r="A34" t="s">
        <v>54</v>
      </c>
      <c r="B34" t="s">
        <v>55</v>
      </c>
      <c r="C34" s="1">
        <v>12880342303</v>
      </c>
      <c r="D34">
        <v>9172410610</v>
      </c>
      <c r="E34">
        <v>22030955</v>
      </c>
      <c r="F34">
        <v>0</v>
      </c>
      <c r="G34">
        <v>9194441565</v>
      </c>
      <c r="H34">
        <v>3685900735</v>
      </c>
      <c r="I34">
        <v>663462132</v>
      </c>
      <c r="J34">
        <v>0</v>
      </c>
      <c r="K34">
        <v>663462132</v>
      </c>
      <c r="L34">
        <v>12210504</v>
      </c>
      <c r="M34">
        <v>403057425</v>
      </c>
      <c r="N34">
        <v>415267929</v>
      </c>
      <c r="O34">
        <v>0</v>
      </c>
      <c r="P34">
        <v>248194203</v>
      </c>
    </row>
    <row r="35" spans="1:16" x14ac:dyDescent="0.35">
      <c r="A35" s="2" t="str">
        <f>[2]RCPA2!$A$70</f>
        <v>C12</v>
      </c>
      <c r="B35" s="2" t="str">
        <f>[2]RCPA2!$C$70</f>
        <v>Prepared &amp; preserved fish</v>
      </c>
      <c r="C35" s="3">
        <f>C36</f>
        <v>1533636784</v>
      </c>
      <c r="D35" s="3">
        <f t="shared" ref="D35:P35" si="12">D36</f>
        <v>950362200</v>
      </c>
      <c r="E35" s="3">
        <f t="shared" si="12"/>
        <v>414068600</v>
      </c>
      <c r="F35" s="3">
        <f t="shared" si="12"/>
        <v>0</v>
      </c>
      <c r="G35" s="3">
        <f t="shared" si="12"/>
        <v>1364430800</v>
      </c>
      <c r="H35" s="3">
        <f t="shared" si="12"/>
        <v>169205984</v>
      </c>
      <c r="I35" s="3">
        <f t="shared" si="12"/>
        <v>30457077</v>
      </c>
      <c r="J35" s="3">
        <f t="shared" si="12"/>
        <v>0</v>
      </c>
      <c r="K35" s="3">
        <f t="shared" si="12"/>
        <v>30457077</v>
      </c>
      <c r="L35" s="3">
        <f t="shared" si="12"/>
        <v>15686127</v>
      </c>
      <c r="M35" s="3">
        <f t="shared" si="12"/>
        <v>16220151</v>
      </c>
      <c r="N35" s="3">
        <f t="shared" si="12"/>
        <v>31906278</v>
      </c>
      <c r="O35" s="3">
        <f t="shared" si="12"/>
        <v>0</v>
      </c>
      <c r="P35" s="3">
        <f t="shared" si="12"/>
        <v>-1449202</v>
      </c>
    </row>
    <row r="36" spans="1:16" x14ac:dyDescent="0.35">
      <c r="A36" t="s">
        <v>56</v>
      </c>
      <c r="B36" t="s">
        <v>57</v>
      </c>
      <c r="C36" s="1">
        <v>1533636784</v>
      </c>
      <c r="D36">
        <v>950362200</v>
      </c>
      <c r="E36">
        <v>414068600</v>
      </c>
      <c r="F36">
        <v>0</v>
      </c>
      <c r="G36">
        <v>1364430800</v>
      </c>
      <c r="H36">
        <v>169205984</v>
      </c>
      <c r="I36">
        <v>30457077</v>
      </c>
      <c r="J36">
        <v>0</v>
      </c>
      <c r="K36">
        <v>30457077</v>
      </c>
      <c r="L36">
        <v>15686127</v>
      </c>
      <c r="M36">
        <v>16220151</v>
      </c>
      <c r="N36">
        <v>31906278</v>
      </c>
      <c r="O36">
        <v>0</v>
      </c>
      <c r="P36">
        <v>-1449202</v>
      </c>
    </row>
    <row r="37" spans="1:16" x14ac:dyDescent="0.35">
      <c r="A37" s="2" t="str">
        <f>[2]RCPA2!$A$72</f>
        <v>C13</v>
      </c>
      <c r="B37" s="2" t="str">
        <f>[2]RCPA2!$C$72</f>
        <v>Prepared &amp; preserved vegetables</v>
      </c>
      <c r="C37" s="3">
        <f>C38</f>
        <v>16124858454</v>
      </c>
      <c r="D37" s="3">
        <f t="shared" ref="D37:P37" si="13">D38</f>
        <v>3347673553</v>
      </c>
      <c r="E37" s="3">
        <f t="shared" si="13"/>
        <v>1867662472</v>
      </c>
      <c r="F37" s="3">
        <f t="shared" si="13"/>
        <v>190820755</v>
      </c>
      <c r="G37" s="3">
        <f t="shared" si="13"/>
        <v>5406156780</v>
      </c>
      <c r="H37" s="3">
        <f t="shared" si="13"/>
        <v>10718701673</v>
      </c>
      <c r="I37" s="3">
        <f t="shared" si="13"/>
        <v>1929366307</v>
      </c>
      <c r="J37" s="3">
        <f t="shared" si="13"/>
        <v>24960759</v>
      </c>
      <c r="K37" s="3">
        <f t="shared" si="13"/>
        <v>1954327066</v>
      </c>
      <c r="L37" s="3">
        <f t="shared" si="13"/>
        <v>1120837436</v>
      </c>
      <c r="M37" s="3">
        <f t="shared" si="13"/>
        <v>300861466</v>
      </c>
      <c r="N37" s="3">
        <f t="shared" si="13"/>
        <v>1421698902</v>
      </c>
      <c r="O37" s="3">
        <f t="shared" si="13"/>
        <v>0</v>
      </c>
      <c r="P37" s="3">
        <f t="shared" si="13"/>
        <v>532628164</v>
      </c>
    </row>
    <row r="38" spans="1:16" x14ac:dyDescent="0.35">
      <c r="A38" t="s">
        <v>58</v>
      </c>
      <c r="B38" t="s">
        <v>59</v>
      </c>
      <c r="C38" s="1">
        <v>16124858454</v>
      </c>
      <c r="D38">
        <v>3347673553</v>
      </c>
      <c r="E38">
        <v>1867662472</v>
      </c>
      <c r="F38">
        <v>190820755</v>
      </c>
      <c r="G38">
        <v>5406156780</v>
      </c>
      <c r="H38">
        <v>10718701673</v>
      </c>
      <c r="I38">
        <v>1929366307</v>
      </c>
      <c r="J38">
        <v>24960759</v>
      </c>
      <c r="K38">
        <v>1954327066</v>
      </c>
      <c r="L38">
        <v>1120837436</v>
      </c>
      <c r="M38">
        <v>300861466</v>
      </c>
      <c r="N38">
        <v>1421698902</v>
      </c>
      <c r="O38">
        <v>0</v>
      </c>
      <c r="P38">
        <v>532628164</v>
      </c>
    </row>
    <row r="39" spans="1:16" x14ac:dyDescent="0.35">
      <c r="A39" s="2" t="str">
        <f>[2]RCPA2!$A$75</f>
        <v>C14</v>
      </c>
      <c r="B39" s="2" t="str">
        <f>[2]RCPA2!$C$75</f>
        <v>Animal &amp; vegetable oils &amp; fats</v>
      </c>
      <c r="C39" s="3">
        <f>C40</f>
        <v>198457989117</v>
      </c>
      <c r="D39" s="3">
        <f t="shared" ref="D39:P39" si="14">D40</f>
        <v>21098954975</v>
      </c>
      <c r="E39" s="3">
        <f t="shared" si="14"/>
        <v>28786776432</v>
      </c>
      <c r="F39" s="3">
        <f t="shared" si="14"/>
        <v>0</v>
      </c>
      <c r="G39" s="3">
        <f t="shared" si="14"/>
        <v>49885731407</v>
      </c>
      <c r="H39" s="3">
        <f t="shared" si="14"/>
        <v>148572257708</v>
      </c>
      <c r="I39" s="3">
        <f t="shared" si="14"/>
        <v>26743006389</v>
      </c>
      <c r="J39" s="3">
        <f t="shared" si="14"/>
        <v>10227484</v>
      </c>
      <c r="K39" s="3">
        <f t="shared" si="14"/>
        <v>26753233873</v>
      </c>
      <c r="L39" s="3">
        <f t="shared" si="14"/>
        <v>664341099</v>
      </c>
      <c r="M39" s="3">
        <f t="shared" si="14"/>
        <v>1468700313</v>
      </c>
      <c r="N39" s="3">
        <f t="shared" si="14"/>
        <v>2133041412</v>
      </c>
      <c r="O39" s="3">
        <f t="shared" si="14"/>
        <v>0</v>
      </c>
      <c r="P39" s="3">
        <f t="shared" si="14"/>
        <v>24620192460</v>
      </c>
    </row>
    <row r="40" spans="1:16" x14ac:dyDescent="0.35">
      <c r="A40" t="s">
        <v>60</v>
      </c>
      <c r="B40" t="s">
        <v>61</v>
      </c>
      <c r="C40" s="1">
        <v>198457989117</v>
      </c>
      <c r="D40">
        <v>21098954975</v>
      </c>
      <c r="E40">
        <v>28786776432</v>
      </c>
      <c r="F40">
        <v>0</v>
      </c>
      <c r="G40">
        <v>49885731407</v>
      </c>
      <c r="H40">
        <v>148572257708</v>
      </c>
      <c r="I40">
        <v>26743006389</v>
      </c>
      <c r="J40">
        <v>10227484</v>
      </c>
      <c r="K40">
        <v>26753233873</v>
      </c>
      <c r="L40">
        <v>664341099</v>
      </c>
      <c r="M40">
        <v>1468700313</v>
      </c>
      <c r="N40">
        <v>2133041412</v>
      </c>
      <c r="O40">
        <v>0</v>
      </c>
      <c r="P40">
        <v>24620192460</v>
      </c>
    </row>
    <row r="41" spans="1:16" x14ac:dyDescent="0.35">
      <c r="A41" s="2" t="str">
        <f>[2]RCPA2!$A$77</f>
        <v>C15</v>
      </c>
      <c r="B41" s="2" t="str">
        <f>[2]RCPA2!$C$77</f>
        <v>Dairy products</v>
      </c>
      <c r="C41" s="3">
        <f>C42</f>
        <v>322289807377</v>
      </c>
      <c r="D41" s="3">
        <f t="shared" ref="D41:P41" si="15">D42</f>
        <v>251225086931</v>
      </c>
      <c r="E41" s="3">
        <f t="shared" si="15"/>
        <v>4970981034</v>
      </c>
      <c r="F41" s="3">
        <f t="shared" si="15"/>
        <v>0</v>
      </c>
      <c r="G41" s="3">
        <f t="shared" si="15"/>
        <v>256196067964</v>
      </c>
      <c r="H41" s="3">
        <f t="shared" si="15"/>
        <v>66093739413</v>
      </c>
      <c r="I41" s="3">
        <f t="shared" si="15"/>
        <v>11896873105</v>
      </c>
      <c r="J41" s="3">
        <f t="shared" si="15"/>
        <v>0</v>
      </c>
      <c r="K41" s="3">
        <f t="shared" si="15"/>
        <v>11896873105</v>
      </c>
      <c r="L41" s="3">
        <f t="shared" si="15"/>
        <v>958067245</v>
      </c>
      <c r="M41" s="3">
        <f t="shared" si="15"/>
        <v>6529294163</v>
      </c>
      <c r="N41" s="3">
        <f t="shared" si="15"/>
        <v>7487361408</v>
      </c>
      <c r="O41" s="3">
        <f t="shared" si="15"/>
        <v>0</v>
      </c>
      <c r="P41" s="3">
        <f t="shared" si="15"/>
        <v>4409511690</v>
      </c>
    </row>
    <row r="42" spans="1:16" x14ac:dyDescent="0.35">
      <c r="A42" t="s">
        <v>62</v>
      </c>
      <c r="B42" t="s">
        <v>63</v>
      </c>
      <c r="C42" s="1">
        <v>322289807377</v>
      </c>
      <c r="D42">
        <v>251225086931</v>
      </c>
      <c r="E42">
        <v>4970981034</v>
      </c>
      <c r="F42">
        <v>0</v>
      </c>
      <c r="G42">
        <v>256196067964</v>
      </c>
      <c r="H42">
        <v>66093739413</v>
      </c>
      <c r="I42">
        <v>11896873105</v>
      </c>
      <c r="J42">
        <v>0</v>
      </c>
      <c r="K42">
        <v>11896873105</v>
      </c>
      <c r="L42">
        <v>958067245</v>
      </c>
      <c r="M42">
        <v>6529294163</v>
      </c>
      <c r="N42">
        <v>7487361408</v>
      </c>
      <c r="O42">
        <v>0</v>
      </c>
      <c r="P42">
        <v>4409511690</v>
      </c>
    </row>
    <row r="43" spans="1:16" x14ac:dyDescent="0.35">
      <c r="A43" s="2" t="str">
        <f>[2]RCPA2!$A$79</f>
        <v>C16</v>
      </c>
      <c r="B43" s="2" t="str">
        <f>[2]RCPA2!$C$79</f>
        <v>Grain mill products</v>
      </c>
      <c r="C43" s="3">
        <f>C44+C45</f>
        <v>296622474750</v>
      </c>
      <c r="D43" s="3">
        <f t="shared" ref="D43:P43" si="16">D44+D45</f>
        <v>95218111092</v>
      </c>
      <c r="E43" s="3">
        <f t="shared" si="16"/>
        <v>52905219826</v>
      </c>
      <c r="F43" s="3">
        <f t="shared" si="16"/>
        <v>1026509021</v>
      </c>
      <c r="G43" s="3">
        <f t="shared" si="16"/>
        <v>149149839939</v>
      </c>
      <c r="H43" s="3">
        <f t="shared" si="16"/>
        <v>147472634811</v>
      </c>
      <c r="I43" s="3">
        <f t="shared" si="16"/>
        <v>26545074269</v>
      </c>
      <c r="J43" s="3">
        <f t="shared" si="16"/>
        <v>1764064</v>
      </c>
      <c r="K43" s="3">
        <f t="shared" si="16"/>
        <v>26546838333</v>
      </c>
      <c r="L43" s="3">
        <f t="shared" si="16"/>
        <v>2326325910</v>
      </c>
      <c r="M43" s="3">
        <f t="shared" si="16"/>
        <v>6625868033</v>
      </c>
      <c r="N43" s="3">
        <f t="shared" si="16"/>
        <v>8952193943</v>
      </c>
      <c r="O43" s="3">
        <f t="shared" si="16"/>
        <v>0</v>
      </c>
      <c r="P43" s="3">
        <f t="shared" si="16"/>
        <v>17594644384</v>
      </c>
    </row>
    <row r="44" spans="1:16" x14ac:dyDescent="0.35">
      <c r="A44" t="s">
        <v>64</v>
      </c>
      <c r="B44" t="s">
        <v>65</v>
      </c>
      <c r="C44" s="1">
        <v>284987278923</v>
      </c>
      <c r="D44">
        <v>87271786335</v>
      </c>
      <c r="E44">
        <v>51776833826</v>
      </c>
      <c r="F44">
        <v>1026509021</v>
      </c>
      <c r="G44">
        <v>140075129182</v>
      </c>
      <c r="H44">
        <v>144912149741</v>
      </c>
      <c r="I44">
        <v>26084186958</v>
      </c>
      <c r="J44">
        <v>1764064</v>
      </c>
      <c r="K44">
        <v>26085951022</v>
      </c>
      <c r="L44">
        <v>2326325910</v>
      </c>
      <c r="M44">
        <v>6121409150</v>
      </c>
      <c r="N44">
        <v>8447735060</v>
      </c>
      <c r="O44">
        <v>0</v>
      </c>
      <c r="P44">
        <v>17638215956</v>
      </c>
    </row>
    <row r="45" spans="1:16" x14ac:dyDescent="0.35">
      <c r="A45" t="s">
        <v>66</v>
      </c>
      <c r="B45" t="s">
        <v>67</v>
      </c>
      <c r="C45" s="1">
        <v>11635195827</v>
      </c>
      <c r="D45">
        <v>7946324757</v>
      </c>
      <c r="E45">
        <v>1128386000</v>
      </c>
      <c r="F45">
        <v>0</v>
      </c>
      <c r="G45">
        <v>9074710757</v>
      </c>
      <c r="H45">
        <v>2560485070</v>
      </c>
      <c r="I45">
        <v>460887311</v>
      </c>
      <c r="J45">
        <v>0</v>
      </c>
      <c r="K45">
        <v>460887311</v>
      </c>
      <c r="L45">
        <v>0</v>
      </c>
      <c r="M45">
        <v>504458883</v>
      </c>
      <c r="N45">
        <v>504458883</v>
      </c>
      <c r="O45">
        <v>0</v>
      </c>
      <c r="P45">
        <v>-43571572</v>
      </c>
    </row>
    <row r="46" spans="1:16" x14ac:dyDescent="0.35">
      <c r="A46" s="2" t="str">
        <f>[2]RCPA2!$A$85</f>
        <v>C17</v>
      </c>
      <c r="B46" s="2" t="str">
        <f>[2]RCPA2!$C$85</f>
        <v>Bakery products</v>
      </c>
      <c r="C46" s="3">
        <f>C47</f>
        <v>68969666279</v>
      </c>
      <c r="D46" s="3">
        <f t="shared" ref="D46:P46" si="17">D47</f>
        <v>21427796129</v>
      </c>
      <c r="E46" s="3">
        <f t="shared" si="17"/>
        <v>623589211</v>
      </c>
      <c r="F46" s="3">
        <f t="shared" si="17"/>
        <v>13860000</v>
      </c>
      <c r="G46" s="3">
        <f t="shared" si="17"/>
        <v>22065245340</v>
      </c>
      <c r="H46" s="3">
        <f t="shared" si="17"/>
        <v>46904420939</v>
      </c>
      <c r="I46" s="3">
        <f t="shared" si="17"/>
        <v>8442795797</v>
      </c>
      <c r="J46" s="3">
        <f t="shared" si="17"/>
        <v>107921655</v>
      </c>
      <c r="K46" s="3">
        <f t="shared" si="17"/>
        <v>8550717452</v>
      </c>
      <c r="L46" s="3">
        <f t="shared" si="17"/>
        <v>110896357</v>
      </c>
      <c r="M46" s="3">
        <f t="shared" si="17"/>
        <v>5686113767</v>
      </c>
      <c r="N46" s="3">
        <f t="shared" si="17"/>
        <v>5797010124</v>
      </c>
      <c r="O46" s="3">
        <f t="shared" si="17"/>
        <v>0</v>
      </c>
      <c r="P46" s="3">
        <f t="shared" si="17"/>
        <v>2753707317</v>
      </c>
    </row>
    <row r="47" spans="1:16" x14ac:dyDescent="0.35">
      <c r="A47" t="s">
        <v>68</v>
      </c>
      <c r="B47" t="s">
        <v>69</v>
      </c>
      <c r="C47" s="1">
        <v>68969666279</v>
      </c>
      <c r="D47">
        <v>21427796129</v>
      </c>
      <c r="E47">
        <v>623589211</v>
      </c>
      <c r="F47">
        <v>13860000</v>
      </c>
      <c r="G47">
        <v>22065245340</v>
      </c>
      <c r="H47">
        <v>46904420939</v>
      </c>
      <c r="I47">
        <v>8442795797</v>
      </c>
      <c r="J47">
        <v>107921655</v>
      </c>
      <c r="K47">
        <v>8550717452</v>
      </c>
      <c r="L47">
        <v>110896357</v>
      </c>
      <c r="M47">
        <v>5686113767</v>
      </c>
      <c r="N47">
        <v>5797010124</v>
      </c>
      <c r="O47">
        <v>0</v>
      </c>
      <c r="P47">
        <v>2753707317</v>
      </c>
    </row>
    <row r="48" spans="1:16" x14ac:dyDescent="0.35">
      <c r="A48" s="2" t="str">
        <f>[2]RCPA2!$A$87</f>
        <v>C18</v>
      </c>
      <c r="B48" s="2" t="str">
        <f>[2]RCPA2!$C$87</f>
        <v>Animal feed &amp; other by-products</v>
      </c>
      <c r="C48" s="3">
        <f>C49</f>
        <v>61422356509</v>
      </c>
      <c r="D48" s="3">
        <f t="shared" ref="D48:P48" si="18">D49</f>
        <v>55870443092</v>
      </c>
      <c r="E48" s="3">
        <f t="shared" si="18"/>
        <v>3784703630</v>
      </c>
      <c r="F48" s="3">
        <f t="shared" si="18"/>
        <v>937235250</v>
      </c>
      <c r="G48" s="3">
        <f t="shared" si="18"/>
        <v>60592381972</v>
      </c>
      <c r="H48" s="3">
        <f t="shared" si="18"/>
        <v>829974537</v>
      </c>
      <c r="I48" s="3">
        <f t="shared" si="18"/>
        <v>149395420</v>
      </c>
      <c r="J48" s="3">
        <f t="shared" si="18"/>
        <v>0</v>
      </c>
      <c r="K48" s="3">
        <f t="shared" si="18"/>
        <v>149395420</v>
      </c>
      <c r="L48" s="3">
        <f t="shared" si="18"/>
        <v>50965722</v>
      </c>
      <c r="M48" s="3">
        <f t="shared" si="18"/>
        <v>28832118</v>
      </c>
      <c r="N48" s="3">
        <f t="shared" si="18"/>
        <v>79797840</v>
      </c>
      <c r="O48" s="3">
        <f t="shared" si="18"/>
        <v>0</v>
      </c>
      <c r="P48" s="3">
        <f t="shared" si="18"/>
        <v>69597579</v>
      </c>
    </row>
    <row r="49" spans="1:16" x14ac:dyDescent="0.35">
      <c r="A49" t="s">
        <v>70</v>
      </c>
      <c r="B49" t="s">
        <v>71</v>
      </c>
      <c r="C49" s="1">
        <v>61422356509</v>
      </c>
      <c r="D49">
        <v>55870443092</v>
      </c>
      <c r="E49">
        <v>3784703630</v>
      </c>
      <c r="F49">
        <v>937235250</v>
      </c>
      <c r="G49">
        <v>60592381972</v>
      </c>
      <c r="H49">
        <v>829974537</v>
      </c>
      <c r="I49">
        <v>149395420</v>
      </c>
      <c r="J49">
        <v>0</v>
      </c>
      <c r="K49">
        <v>149395420</v>
      </c>
      <c r="L49">
        <v>50965722</v>
      </c>
      <c r="M49">
        <v>28832118</v>
      </c>
      <c r="N49">
        <v>79797840</v>
      </c>
      <c r="O49">
        <v>0</v>
      </c>
      <c r="P49">
        <v>69597579</v>
      </c>
    </row>
    <row r="50" spans="1:16" x14ac:dyDescent="0.35">
      <c r="A50" s="2" t="str">
        <f>[2]RCPA2!$A$89</f>
        <v>C19</v>
      </c>
      <c r="B50" s="2" t="str">
        <f>[2]RCPA2!$C$89</f>
        <v>Other manufactured food products</v>
      </c>
      <c r="C50" s="3">
        <f>C51+C52</f>
        <v>241378108077</v>
      </c>
      <c r="D50" s="3">
        <f t="shared" ref="D50:P50" si="19">D51+D52</f>
        <v>19096435198</v>
      </c>
      <c r="E50" s="3">
        <f t="shared" si="19"/>
        <v>120869326127</v>
      </c>
      <c r="F50" s="3">
        <f t="shared" si="19"/>
        <v>0</v>
      </c>
      <c r="G50" s="3">
        <f t="shared" si="19"/>
        <v>139965761325</v>
      </c>
      <c r="H50" s="3">
        <f t="shared" si="19"/>
        <v>101412346750</v>
      </c>
      <c r="I50" s="3">
        <f t="shared" si="19"/>
        <v>18254222415</v>
      </c>
      <c r="J50" s="3">
        <f t="shared" si="19"/>
        <v>417062639</v>
      </c>
      <c r="K50" s="3">
        <f t="shared" si="19"/>
        <v>18671285054</v>
      </c>
      <c r="L50" s="3">
        <f t="shared" si="19"/>
        <v>3290692529</v>
      </c>
      <c r="M50" s="3">
        <f t="shared" si="19"/>
        <v>10907458303</v>
      </c>
      <c r="N50" s="3">
        <f t="shared" si="19"/>
        <v>14198150832</v>
      </c>
      <c r="O50" s="3">
        <f t="shared" si="19"/>
        <v>3829744</v>
      </c>
      <c r="P50" s="3">
        <f t="shared" si="19"/>
        <v>4469304475</v>
      </c>
    </row>
    <row r="51" spans="1:16" x14ac:dyDescent="0.35">
      <c r="A51" t="s">
        <v>72</v>
      </c>
      <c r="B51" t="s">
        <v>73</v>
      </c>
      <c r="C51" s="1">
        <v>22171145219</v>
      </c>
      <c r="D51">
        <v>0</v>
      </c>
      <c r="E51">
        <v>8057307454</v>
      </c>
      <c r="F51">
        <v>0</v>
      </c>
      <c r="G51">
        <v>8057307454</v>
      </c>
      <c r="H51">
        <v>14113837765</v>
      </c>
      <c r="I51">
        <v>2540490796</v>
      </c>
      <c r="J51">
        <v>62732732</v>
      </c>
      <c r="K51">
        <v>2603223528</v>
      </c>
      <c r="L51">
        <v>1086049565</v>
      </c>
      <c r="M51">
        <v>349881904</v>
      </c>
      <c r="N51">
        <v>1435931469</v>
      </c>
      <c r="O51">
        <v>0</v>
      </c>
      <c r="P51">
        <v>1167292059</v>
      </c>
    </row>
    <row r="52" spans="1:16" x14ac:dyDescent="0.35">
      <c r="A52" t="s">
        <v>74</v>
      </c>
      <c r="B52" t="s">
        <v>75</v>
      </c>
      <c r="C52" s="1">
        <v>219206962858</v>
      </c>
      <c r="D52">
        <v>19096435198</v>
      </c>
      <c r="E52">
        <v>112812018673</v>
      </c>
      <c r="F52">
        <v>0</v>
      </c>
      <c r="G52">
        <v>131908453871</v>
      </c>
      <c r="H52">
        <v>87298508985</v>
      </c>
      <c r="I52">
        <v>15713731619</v>
      </c>
      <c r="J52">
        <v>354329907</v>
      </c>
      <c r="K52">
        <v>16068061526</v>
      </c>
      <c r="L52">
        <v>2204642964</v>
      </c>
      <c r="M52">
        <v>10557576399</v>
      </c>
      <c r="N52">
        <v>12762219363</v>
      </c>
      <c r="O52">
        <v>3829744</v>
      </c>
      <c r="P52">
        <v>3302012416</v>
      </c>
    </row>
    <row r="53" spans="1:16" x14ac:dyDescent="0.35">
      <c r="A53" s="2" t="str">
        <f>[2]RCPA2!$A$96</f>
        <v>C21</v>
      </c>
      <c r="B53" s="2" t="str">
        <f>[2]RCPA2!$C$96</f>
        <v>Alcoholic drinks</v>
      </c>
      <c r="C53" s="3">
        <f>C54+C55</f>
        <v>465560459209</v>
      </c>
      <c r="D53" s="3">
        <f t="shared" ref="D53:P53" si="20">D54+D55</f>
        <v>3433341314</v>
      </c>
      <c r="E53" s="3">
        <f t="shared" si="20"/>
        <v>2925803200</v>
      </c>
      <c r="F53" s="3">
        <f t="shared" si="20"/>
        <v>42589029</v>
      </c>
      <c r="G53" s="3">
        <f t="shared" si="20"/>
        <v>6401733543</v>
      </c>
      <c r="H53" s="3">
        <f t="shared" si="20"/>
        <v>459158725666</v>
      </c>
      <c r="I53" s="3">
        <f t="shared" si="20"/>
        <v>82648570619</v>
      </c>
      <c r="J53" s="3">
        <f t="shared" si="20"/>
        <v>237969666</v>
      </c>
      <c r="K53" s="3">
        <f t="shared" si="20"/>
        <v>82886540285</v>
      </c>
      <c r="L53" s="3">
        <f t="shared" si="20"/>
        <v>12154821520</v>
      </c>
      <c r="M53" s="3">
        <f t="shared" si="20"/>
        <v>10659844170</v>
      </c>
      <c r="N53" s="3">
        <f t="shared" si="20"/>
        <v>22814665690</v>
      </c>
      <c r="O53" s="3">
        <f t="shared" si="20"/>
        <v>0</v>
      </c>
      <c r="P53" s="3">
        <f t="shared" si="20"/>
        <v>60071874591</v>
      </c>
    </row>
    <row r="54" spans="1:16" x14ac:dyDescent="0.35">
      <c r="A54" t="s">
        <v>76</v>
      </c>
      <c r="B54" t="s">
        <v>77</v>
      </c>
      <c r="C54" s="1">
        <v>88631418004</v>
      </c>
      <c r="D54">
        <v>554320202</v>
      </c>
      <c r="E54">
        <v>580481073</v>
      </c>
      <c r="F54">
        <v>0</v>
      </c>
      <c r="G54">
        <v>1134801275</v>
      </c>
      <c r="H54">
        <v>87496616729</v>
      </c>
      <c r="I54">
        <v>15749391012</v>
      </c>
      <c r="J54">
        <v>135202230</v>
      </c>
      <c r="K54">
        <v>15884593242</v>
      </c>
      <c r="L54">
        <v>5357849013</v>
      </c>
      <c r="M54">
        <v>2637008282</v>
      </c>
      <c r="N54">
        <v>7994857295</v>
      </c>
      <c r="O54">
        <v>0</v>
      </c>
      <c r="P54">
        <v>7889735947</v>
      </c>
    </row>
    <row r="55" spans="1:16" x14ac:dyDescent="0.35">
      <c r="A55" t="s">
        <v>78</v>
      </c>
      <c r="B55" t="s">
        <v>79</v>
      </c>
      <c r="C55" s="1">
        <v>376929041205</v>
      </c>
      <c r="D55">
        <v>2879021112</v>
      </c>
      <c r="E55">
        <v>2345322127</v>
      </c>
      <c r="F55">
        <v>42589029</v>
      </c>
      <c r="G55">
        <v>5266932268</v>
      </c>
      <c r="H55">
        <v>371662108937</v>
      </c>
      <c r="I55">
        <v>66899179607</v>
      </c>
      <c r="J55">
        <v>102767436</v>
      </c>
      <c r="K55">
        <v>67001947043</v>
      </c>
      <c r="L55">
        <v>6796972507</v>
      </c>
      <c r="M55">
        <v>8022835888</v>
      </c>
      <c r="N55">
        <v>14819808395</v>
      </c>
      <c r="O55">
        <v>0</v>
      </c>
      <c r="P55">
        <v>52182138644</v>
      </c>
    </row>
    <row r="56" spans="1:16" x14ac:dyDescent="0.35">
      <c r="A56" s="2" t="str">
        <f>[2]RCPA2!$A$102</f>
        <v>C22</v>
      </c>
      <c r="B56" s="2" t="str">
        <f>[2]RCPA2!$C$102</f>
        <v>Soft drinks</v>
      </c>
      <c r="C56" s="3">
        <f>C57</f>
        <v>16399983965</v>
      </c>
      <c r="D56" s="3">
        <f t="shared" ref="D56:P56" si="21">D57</f>
        <v>1912857827</v>
      </c>
      <c r="E56" s="3">
        <f t="shared" si="21"/>
        <v>549063934</v>
      </c>
      <c r="F56" s="3">
        <f t="shared" si="21"/>
        <v>0</v>
      </c>
      <c r="G56" s="3">
        <f t="shared" si="21"/>
        <v>2461921761</v>
      </c>
      <c r="H56" s="3">
        <f t="shared" si="21"/>
        <v>13938062204</v>
      </c>
      <c r="I56" s="3">
        <f t="shared" si="21"/>
        <v>2508851207</v>
      </c>
      <c r="J56" s="3">
        <f t="shared" si="21"/>
        <v>0</v>
      </c>
      <c r="K56" s="3">
        <f t="shared" si="21"/>
        <v>2508851207</v>
      </c>
      <c r="L56" s="3">
        <f t="shared" si="21"/>
        <v>182546928</v>
      </c>
      <c r="M56" s="3">
        <f t="shared" si="21"/>
        <v>1012205329</v>
      </c>
      <c r="N56" s="3">
        <f t="shared" si="21"/>
        <v>1194752257</v>
      </c>
      <c r="O56" s="3">
        <f t="shared" si="21"/>
        <v>0</v>
      </c>
      <c r="P56" s="3">
        <f t="shared" si="21"/>
        <v>1314098946</v>
      </c>
    </row>
    <row r="57" spans="1:16" x14ac:dyDescent="0.35">
      <c r="A57" t="s">
        <v>80</v>
      </c>
      <c r="B57" t="s">
        <v>81</v>
      </c>
      <c r="C57" s="1">
        <v>16399983965</v>
      </c>
      <c r="D57">
        <v>1912857827</v>
      </c>
      <c r="E57">
        <v>549063934</v>
      </c>
      <c r="F57">
        <v>0</v>
      </c>
      <c r="G57">
        <v>2461921761</v>
      </c>
      <c r="H57">
        <v>13938062204</v>
      </c>
      <c r="I57">
        <v>2508851207</v>
      </c>
      <c r="J57">
        <v>0</v>
      </c>
      <c r="K57">
        <v>2508851207</v>
      </c>
      <c r="L57">
        <v>182546928</v>
      </c>
      <c r="M57">
        <v>1012205329</v>
      </c>
      <c r="N57">
        <v>1194752257</v>
      </c>
      <c r="O57">
        <v>0</v>
      </c>
      <c r="P57">
        <v>1314098946</v>
      </c>
    </row>
    <row r="58" spans="1:16" x14ac:dyDescent="0.35">
      <c r="A58" s="2" t="str">
        <f>[2]RCPA2!$A$105</f>
        <v>C23</v>
      </c>
      <c r="B58" s="2" t="str">
        <f>[2]RCPA2!$C$105</f>
        <v>Tobacco products</v>
      </c>
      <c r="C58" s="3">
        <f>C59</f>
        <v>17772945658</v>
      </c>
      <c r="D58" s="3">
        <f t="shared" ref="D58:P58" si="22">D59</f>
        <v>804131290</v>
      </c>
      <c r="E58" s="3">
        <f t="shared" si="22"/>
        <v>110613440</v>
      </c>
      <c r="F58" s="3">
        <f t="shared" si="22"/>
        <v>0</v>
      </c>
      <c r="G58" s="3">
        <f t="shared" si="22"/>
        <v>914744730</v>
      </c>
      <c r="H58" s="3">
        <f t="shared" si="22"/>
        <v>16858200928</v>
      </c>
      <c r="I58" s="3">
        <f t="shared" si="22"/>
        <v>3034476168</v>
      </c>
      <c r="J58" s="3">
        <f t="shared" si="22"/>
        <v>0</v>
      </c>
      <c r="K58" s="3">
        <f t="shared" si="22"/>
        <v>3034476168</v>
      </c>
      <c r="L58" s="3">
        <f t="shared" si="22"/>
        <v>279508954</v>
      </c>
      <c r="M58" s="3">
        <f t="shared" si="22"/>
        <v>621086922</v>
      </c>
      <c r="N58" s="3">
        <f t="shared" si="22"/>
        <v>900595876</v>
      </c>
      <c r="O58" s="3">
        <f t="shared" si="22"/>
        <v>0</v>
      </c>
      <c r="P58" s="3">
        <f t="shared" si="22"/>
        <v>2133880292</v>
      </c>
    </row>
    <row r="59" spans="1:16" x14ac:dyDescent="0.35">
      <c r="A59" t="s">
        <v>82</v>
      </c>
      <c r="B59" t="s">
        <v>83</v>
      </c>
      <c r="C59" s="1">
        <v>17772945658</v>
      </c>
      <c r="D59">
        <v>804131290</v>
      </c>
      <c r="E59">
        <v>110613440</v>
      </c>
      <c r="F59">
        <v>0</v>
      </c>
      <c r="G59">
        <v>914744730</v>
      </c>
      <c r="H59">
        <v>16858200928</v>
      </c>
      <c r="I59">
        <v>3034476168</v>
      </c>
      <c r="J59">
        <v>0</v>
      </c>
      <c r="K59">
        <v>3034476168</v>
      </c>
      <c r="L59">
        <v>279508954</v>
      </c>
      <c r="M59">
        <v>621086922</v>
      </c>
      <c r="N59">
        <v>900595876</v>
      </c>
      <c r="O59">
        <v>0</v>
      </c>
      <c r="P59">
        <v>2133880292</v>
      </c>
    </row>
    <row r="60" spans="1:16" x14ac:dyDescent="0.35">
      <c r="A60" s="2" t="str">
        <f>[2]RCPA2!$A$108</f>
        <v>C30</v>
      </c>
      <c r="B60" s="2" t="str">
        <f>[2]RCPA2!$C$108</f>
        <v>Textiles, clothing &amp; leather products</v>
      </c>
      <c r="C60" s="3">
        <f>C61+C62+C63</f>
        <v>99949677173</v>
      </c>
      <c r="D60" s="3">
        <f t="shared" ref="D60:P60" si="23">D61+D62+D63</f>
        <v>11728658190</v>
      </c>
      <c r="E60" s="3">
        <f t="shared" si="23"/>
        <v>18073549707</v>
      </c>
      <c r="F60" s="3">
        <f t="shared" si="23"/>
        <v>8953613128</v>
      </c>
      <c r="G60" s="3">
        <f t="shared" si="23"/>
        <v>38755821025</v>
      </c>
      <c r="H60" s="3">
        <f t="shared" si="23"/>
        <v>61193856148</v>
      </c>
      <c r="I60" s="3">
        <f t="shared" si="23"/>
        <v>11014894117</v>
      </c>
      <c r="J60" s="3">
        <f t="shared" si="23"/>
        <v>0</v>
      </c>
      <c r="K60" s="3">
        <f t="shared" si="23"/>
        <v>11014894117</v>
      </c>
      <c r="L60" s="3">
        <f t="shared" si="23"/>
        <v>730806798</v>
      </c>
      <c r="M60" s="3">
        <f t="shared" si="23"/>
        <v>3090331350</v>
      </c>
      <c r="N60" s="3">
        <f t="shared" si="23"/>
        <v>3821138148</v>
      </c>
      <c r="O60" s="3">
        <f t="shared" si="23"/>
        <v>0</v>
      </c>
      <c r="P60" s="3">
        <f t="shared" si="23"/>
        <v>7193755964</v>
      </c>
    </row>
    <row r="61" spans="1:16" x14ac:dyDescent="0.35">
      <c r="A61" t="s">
        <v>84</v>
      </c>
      <c r="B61" t="s">
        <v>85</v>
      </c>
      <c r="C61" s="1">
        <v>26262873584</v>
      </c>
      <c r="D61">
        <v>2809288828</v>
      </c>
      <c r="E61">
        <v>1843932214</v>
      </c>
      <c r="F61">
        <v>8953613128</v>
      </c>
      <c r="G61">
        <v>13606834170</v>
      </c>
      <c r="H61">
        <v>12656039414</v>
      </c>
      <c r="I61">
        <v>2278087097</v>
      </c>
      <c r="J61">
        <v>0</v>
      </c>
      <c r="K61">
        <v>2278087097</v>
      </c>
      <c r="L61">
        <v>399075433</v>
      </c>
      <c r="M61">
        <v>904803699</v>
      </c>
      <c r="N61">
        <v>1303879132</v>
      </c>
      <c r="O61">
        <v>0</v>
      </c>
      <c r="P61">
        <v>974207961</v>
      </c>
    </row>
    <row r="62" spans="1:16" x14ac:dyDescent="0.35">
      <c r="A62" t="s">
        <v>86</v>
      </c>
      <c r="B62" t="s">
        <v>87</v>
      </c>
      <c r="C62" s="1">
        <v>26959337859</v>
      </c>
      <c r="D62">
        <v>6729184547</v>
      </c>
      <c r="E62">
        <v>9543374600</v>
      </c>
      <c r="F62">
        <v>0</v>
      </c>
      <c r="G62">
        <v>16272559147</v>
      </c>
      <c r="H62">
        <v>10686778712</v>
      </c>
      <c r="I62">
        <v>1923620173</v>
      </c>
      <c r="J62">
        <v>0</v>
      </c>
      <c r="K62">
        <v>1923620173</v>
      </c>
      <c r="L62">
        <v>113636437</v>
      </c>
      <c r="M62">
        <v>816210402</v>
      </c>
      <c r="N62">
        <v>929846839</v>
      </c>
      <c r="O62">
        <v>0</v>
      </c>
      <c r="P62">
        <v>993773334</v>
      </c>
    </row>
    <row r="63" spans="1:16" x14ac:dyDescent="0.35">
      <c r="A63" t="s">
        <v>88</v>
      </c>
      <c r="B63" t="s">
        <v>89</v>
      </c>
      <c r="C63" s="1">
        <v>46727465730</v>
      </c>
      <c r="D63">
        <v>2190184815</v>
      </c>
      <c r="E63">
        <v>6686242893</v>
      </c>
      <c r="F63">
        <v>0</v>
      </c>
      <c r="G63">
        <v>8876427708</v>
      </c>
      <c r="H63">
        <v>37851038022</v>
      </c>
      <c r="I63">
        <v>6813186847</v>
      </c>
      <c r="J63">
        <v>0</v>
      </c>
      <c r="K63">
        <v>6813186847</v>
      </c>
      <c r="L63">
        <v>218094928</v>
      </c>
      <c r="M63">
        <v>1369317249</v>
      </c>
      <c r="N63">
        <v>1587412177</v>
      </c>
      <c r="O63">
        <v>0</v>
      </c>
      <c r="P63">
        <v>5225774669</v>
      </c>
    </row>
    <row r="64" spans="1:16" x14ac:dyDescent="0.35">
      <c r="A64" s="2" t="str">
        <f>[2]RCPA2!$A$113</f>
        <v>C41</v>
      </c>
      <c r="B64" s="2" t="str">
        <f>[2]RCPA2!$C$113</f>
        <v>Wood, paper &amp; related products</v>
      </c>
      <c r="C64" s="3">
        <f>C65+C66+C67</f>
        <v>62959978682</v>
      </c>
      <c r="D64" s="3">
        <f t="shared" ref="D64:P64" si="24">D65+D66+D67</f>
        <v>5440977008</v>
      </c>
      <c r="E64" s="3">
        <f t="shared" si="24"/>
        <v>16219467937</v>
      </c>
      <c r="F64" s="3">
        <f t="shared" si="24"/>
        <v>0</v>
      </c>
      <c r="G64" s="3">
        <f t="shared" si="24"/>
        <v>21660444945</v>
      </c>
      <c r="H64" s="3">
        <f t="shared" si="24"/>
        <v>41299533737</v>
      </c>
      <c r="I64" s="3">
        <f t="shared" si="24"/>
        <v>7433916080</v>
      </c>
      <c r="J64" s="3">
        <f t="shared" si="24"/>
        <v>0</v>
      </c>
      <c r="K64" s="3">
        <f t="shared" si="24"/>
        <v>7433916080</v>
      </c>
      <c r="L64" s="3">
        <f t="shared" si="24"/>
        <v>332512234</v>
      </c>
      <c r="M64" s="3">
        <f t="shared" si="24"/>
        <v>2866124706</v>
      </c>
      <c r="N64" s="3">
        <f t="shared" si="24"/>
        <v>3198636940</v>
      </c>
      <c r="O64" s="3">
        <f t="shared" si="24"/>
        <v>135229</v>
      </c>
      <c r="P64" s="3">
        <f t="shared" si="24"/>
        <v>4235143910</v>
      </c>
    </row>
    <row r="65" spans="1:16" x14ac:dyDescent="0.35">
      <c r="A65" t="s">
        <v>90</v>
      </c>
      <c r="B65" t="s">
        <v>91</v>
      </c>
      <c r="C65" s="1">
        <v>16093777846</v>
      </c>
      <c r="D65">
        <v>2371532642</v>
      </c>
      <c r="E65">
        <v>51155450</v>
      </c>
      <c r="F65">
        <v>0</v>
      </c>
      <c r="G65">
        <v>2422688092</v>
      </c>
      <c r="H65">
        <v>13671089754</v>
      </c>
      <c r="I65">
        <v>2460796158</v>
      </c>
      <c r="J65">
        <v>0</v>
      </c>
      <c r="K65">
        <v>2460796158</v>
      </c>
      <c r="L65">
        <v>164588029</v>
      </c>
      <c r="M65">
        <v>2076590192</v>
      </c>
      <c r="N65">
        <v>2241178221</v>
      </c>
      <c r="O65">
        <v>0</v>
      </c>
      <c r="P65">
        <v>219617937</v>
      </c>
    </row>
    <row r="66" spans="1:16" x14ac:dyDescent="0.35">
      <c r="A66" t="s">
        <v>92</v>
      </c>
      <c r="B66" t="s">
        <v>93</v>
      </c>
      <c r="C66" s="1">
        <v>46230713340</v>
      </c>
      <c r="D66">
        <v>3068040066</v>
      </c>
      <c r="E66">
        <v>16167370662</v>
      </c>
      <c r="F66">
        <v>0</v>
      </c>
      <c r="G66">
        <v>19235410728</v>
      </c>
      <c r="H66">
        <v>26995302612</v>
      </c>
      <c r="I66">
        <v>4859154476</v>
      </c>
      <c r="J66">
        <v>0</v>
      </c>
      <c r="K66">
        <v>4859154476</v>
      </c>
      <c r="L66">
        <v>166675812</v>
      </c>
      <c r="M66">
        <v>697356618</v>
      </c>
      <c r="N66">
        <v>864032430</v>
      </c>
      <c r="O66">
        <v>0</v>
      </c>
      <c r="P66">
        <v>3995122046</v>
      </c>
    </row>
    <row r="67" spans="1:16" x14ac:dyDescent="0.35">
      <c r="A67" t="s">
        <v>94</v>
      </c>
      <c r="B67" t="s">
        <v>95</v>
      </c>
      <c r="C67" s="1">
        <v>635487496</v>
      </c>
      <c r="D67">
        <v>1404300</v>
      </c>
      <c r="E67">
        <v>941825</v>
      </c>
      <c r="F67">
        <v>0</v>
      </c>
      <c r="G67">
        <v>2346125</v>
      </c>
      <c r="H67">
        <v>633141371</v>
      </c>
      <c r="I67">
        <v>113965446</v>
      </c>
      <c r="J67">
        <v>0</v>
      </c>
      <c r="K67">
        <v>113965446</v>
      </c>
      <c r="L67">
        <v>1248393</v>
      </c>
      <c r="M67">
        <v>92177896</v>
      </c>
      <c r="N67">
        <v>93426289</v>
      </c>
      <c r="O67">
        <v>135229</v>
      </c>
      <c r="P67">
        <v>20403927</v>
      </c>
    </row>
    <row r="68" spans="1:16" x14ac:dyDescent="0.35">
      <c r="A68" s="2" t="str">
        <f>[2]RCPA2!$A$117</f>
        <v>C42</v>
      </c>
      <c r="B68" s="2" t="str">
        <f>[2]RCPA2!$C$117</f>
        <v>Printing &amp; reproduction of recorded media</v>
      </c>
      <c r="C68" s="3">
        <f>C69</f>
        <v>28147739773</v>
      </c>
      <c r="D68" s="3">
        <f t="shared" ref="D68:P68" si="25">D69</f>
        <v>1858963473</v>
      </c>
      <c r="E68" s="3">
        <f t="shared" si="25"/>
        <v>341972838</v>
      </c>
      <c r="F68" s="3">
        <f t="shared" si="25"/>
        <v>0</v>
      </c>
      <c r="G68" s="3">
        <f t="shared" si="25"/>
        <v>2200936311</v>
      </c>
      <c r="H68" s="3">
        <f t="shared" si="25"/>
        <v>25946803462</v>
      </c>
      <c r="I68" s="3">
        <f t="shared" si="25"/>
        <v>4670424635</v>
      </c>
      <c r="J68" s="3">
        <f t="shared" si="25"/>
        <v>21941471</v>
      </c>
      <c r="K68" s="3">
        <f t="shared" si="25"/>
        <v>4692366106</v>
      </c>
      <c r="L68" s="3">
        <f t="shared" si="25"/>
        <v>462897048</v>
      </c>
      <c r="M68" s="3">
        <f t="shared" si="25"/>
        <v>2338166335</v>
      </c>
      <c r="N68" s="3">
        <f t="shared" si="25"/>
        <v>2801063383</v>
      </c>
      <c r="O68" s="3">
        <f t="shared" si="25"/>
        <v>0</v>
      </c>
      <c r="P68" s="3">
        <f t="shared" si="25"/>
        <v>1891302715</v>
      </c>
    </row>
    <row r="69" spans="1:16" x14ac:dyDescent="0.35">
      <c r="A69" t="s">
        <v>96</v>
      </c>
      <c r="B69" t="s">
        <v>97</v>
      </c>
      <c r="C69" s="1">
        <v>28147739773</v>
      </c>
      <c r="D69">
        <v>1858963473</v>
      </c>
      <c r="E69">
        <v>341972838</v>
      </c>
      <c r="F69">
        <v>0</v>
      </c>
      <c r="G69">
        <v>2200936311</v>
      </c>
      <c r="H69">
        <v>25946803462</v>
      </c>
      <c r="I69">
        <v>4670424635</v>
      </c>
      <c r="J69">
        <v>21941471</v>
      </c>
      <c r="K69">
        <v>4692366106</v>
      </c>
      <c r="L69">
        <v>462897048</v>
      </c>
      <c r="M69">
        <v>2338166335</v>
      </c>
      <c r="N69">
        <v>2801063383</v>
      </c>
      <c r="O69">
        <v>0</v>
      </c>
      <c r="P69">
        <v>1891302715</v>
      </c>
    </row>
    <row r="70" spans="1:16" x14ac:dyDescent="0.35">
      <c r="A70" s="2" t="str">
        <f>[2]RCPA2!$A$120</f>
        <v>C51</v>
      </c>
      <c r="B70" s="2" t="str">
        <f>[2]RCPA2!$C$120</f>
        <v>Refined petroleum products; coke</v>
      </c>
      <c r="C70" s="3">
        <f>C71</f>
        <v>15090792917</v>
      </c>
      <c r="D70" s="3">
        <f t="shared" ref="D70:P70" si="26">D71</f>
        <v>1818660635</v>
      </c>
      <c r="E70" s="3">
        <f t="shared" si="26"/>
        <v>361555306</v>
      </c>
      <c r="F70" s="3">
        <f t="shared" si="26"/>
        <v>0</v>
      </c>
      <c r="G70" s="3">
        <f t="shared" si="26"/>
        <v>2180215941</v>
      </c>
      <c r="H70" s="3">
        <f t="shared" si="26"/>
        <v>12910576976</v>
      </c>
      <c r="I70" s="3">
        <f t="shared" si="26"/>
        <v>2323903856</v>
      </c>
      <c r="J70" s="3">
        <f t="shared" si="26"/>
        <v>0</v>
      </c>
      <c r="K70" s="3">
        <f t="shared" si="26"/>
        <v>2323903856</v>
      </c>
      <c r="L70" s="3">
        <f t="shared" si="26"/>
        <v>245106375</v>
      </c>
      <c r="M70" s="3">
        <f t="shared" si="26"/>
        <v>405830443</v>
      </c>
      <c r="N70" s="3">
        <f t="shared" si="26"/>
        <v>650936818</v>
      </c>
      <c r="O70" s="3">
        <f t="shared" si="26"/>
        <v>0</v>
      </c>
      <c r="P70" s="3">
        <f t="shared" si="26"/>
        <v>1672967037</v>
      </c>
    </row>
    <row r="71" spans="1:16" x14ac:dyDescent="0.35">
      <c r="A71" t="s">
        <v>98</v>
      </c>
      <c r="B71" t="s">
        <v>99</v>
      </c>
      <c r="C71" s="1">
        <v>15090792917</v>
      </c>
      <c r="D71">
        <v>1818660635</v>
      </c>
      <c r="E71">
        <v>361555306</v>
      </c>
      <c r="F71">
        <v>0</v>
      </c>
      <c r="G71">
        <v>2180215941</v>
      </c>
      <c r="H71">
        <v>12910576976</v>
      </c>
      <c r="I71">
        <v>2323903856</v>
      </c>
      <c r="J71">
        <v>0</v>
      </c>
      <c r="K71">
        <v>2323903856</v>
      </c>
      <c r="L71">
        <v>245106375</v>
      </c>
      <c r="M71">
        <v>405830443</v>
      </c>
      <c r="N71">
        <v>650936818</v>
      </c>
      <c r="O71">
        <v>0</v>
      </c>
      <c r="P71">
        <v>1672967037</v>
      </c>
    </row>
    <row r="72" spans="1:16" x14ac:dyDescent="0.35">
      <c r="A72" s="2" t="str">
        <f>[2]RCPA2!$A$122</f>
        <v>C52</v>
      </c>
      <c r="B72" s="2" t="str">
        <f>[2]RCPA2!$C$122</f>
        <v>Chemicals &amp; chemical products</v>
      </c>
      <c r="C72" s="3">
        <f>C73+C74+C75+C76</f>
        <v>162889704967</v>
      </c>
      <c r="D72" s="3">
        <f t="shared" ref="D72:P72" si="27">D73+D74+D75+D76</f>
        <v>38136901143</v>
      </c>
      <c r="E72" s="3">
        <f t="shared" si="27"/>
        <v>13940923391</v>
      </c>
      <c r="F72" s="3">
        <f t="shared" si="27"/>
        <v>0</v>
      </c>
      <c r="G72" s="3">
        <f t="shared" si="27"/>
        <v>52077824534</v>
      </c>
      <c r="H72" s="3">
        <f t="shared" si="27"/>
        <v>110811880433</v>
      </c>
      <c r="I72" s="3">
        <f t="shared" si="27"/>
        <v>19946138485</v>
      </c>
      <c r="J72" s="3">
        <f t="shared" si="27"/>
        <v>137857883</v>
      </c>
      <c r="K72" s="3">
        <f t="shared" si="27"/>
        <v>20083996368</v>
      </c>
      <c r="L72" s="3">
        <f t="shared" si="27"/>
        <v>2130842381</v>
      </c>
      <c r="M72" s="3">
        <f t="shared" si="27"/>
        <v>5493087789</v>
      </c>
      <c r="N72" s="3">
        <f t="shared" si="27"/>
        <v>7623930170</v>
      </c>
      <c r="O72" s="3">
        <f t="shared" si="27"/>
        <v>134852007</v>
      </c>
      <c r="P72" s="3">
        <f t="shared" si="27"/>
        <v>12325214189</v>
      </c>
    </row>
    <row r="73" spans="1:16" x14ac:dyDescent="0.35">
      <c r="A73" t="s">
        <v>100</v>
      </c>
      <c r="B73" t="s">
        <v>101</v>
      </c>
      <c r="C73" s="1">
        <v>12676843402</v>
      </c>
      <c r="D73">
        <v>12370138847</v>
      </c>
      <c r="E73">
        <v>0</v>
      </c>
      <c r="F73">
        <v>0</v>
      </c>
      <c r="G73">
        <v>12370138847</v>
      </c>
      <c r="H73">
        <v>306704555</v>
      </c>
      <c r="I73">
        <v>55206822</v>
      </c>
      <c r="J73">
        <v>756000</v>
      </c>
      <c r="K73">
        <v>55962822</v>
      </c>
      <c r="L73">
        <v>8310157</v>
      </c>
      <c r="M73">
        <v>7917781</v>
      </c>
      <c r="N73">
        <v>16227938</v>
      </c>
      <c r="O73">
        <v>0</v>
      </c>
      <c r="P73">
        <v>39734884</v>
      </c>
    </row>
    <row r="74" spans="1:16" x14ac:dyDescent="0.35">
      <c r="A74" t="s">
        <v>102</v>
      </c>
      <c r="B74" t="s">
        <v>103</v>
      </c>
      <c r="C74" s="1">
        <v>69917053685</v>
      </c>
      <c r="D74">
        <v>18870477511</v>
      </c>
      <c r="E74">
        <v>2914417951</v>
      </c>
      <c r="F74">
        <v>0</v>
      </c>
      <c r="G74">
        <v>21784895462</v>
      </c>
      <c r="H74">
        <v>48132158223</v>
      </c>
      <c r="I74">
        <v>8663788486</v>
      </c>
      <c r="J74">
        <v>134852007</v>
      </c>
      <c r="K74">
        <v>8798640493</v>
      </c>
      <c r="L74">
        <v>1088909856</v>
      </c>
      <c r="M74">
        <v>1875946711</v>
      </c>
      <c r="N74">
        <v>2964856567</v>
      </c>
      <c r="O74">
        <v>134852007</v>
      </c>
      <c r="P74">
        <v>5698931917</v>
      </c>
    </row>
    <row r="75" spans="1:16" x14ac:dyDescent="0.35">
      <c r="A75" t="s">
        <v>104</v>
      </c>
      <c r="B75" t="s">
        <v>105</v>
      </c>
      <c r="C75" s="1">
        <v>59635019538</v>
      </c>
      <c r="D75">
        <v>2004096853</v>
      </c>
      <c r="E75">
        <v>699333057</v>
      </c>
      <c r="F75">
        <v>0</v>
      </c>
      <c r="G75">
        <v>2703429910</v>
      </c>
      <c r="H75">
        <v>56931589628</v>
      </c>
      <c r="I75">
        <v>10247686135</v>
      </c>
      <c r="J75">
        <v>2249876</v>
      </c>
      <c r="K75">
        <v>10249936011</v>
      </c>
      <c r="L75">
        <v>602414420</v>
      </c>
      <c r="M75">
        <v>3376769046</v>
      </c>
      <c r="N75">
        <v>3979183466</v>
      </c>
      <c r="O75">
        <v>0</v>
      </c>
      <c r="P75">
        <v>6270752545</v>
      </c>
    </row>
    <row r="76" spans="1:16" x14ac:dyDescent="0.35">
      <c r="A76" t="s">
        <v>106</v>
      </c>
      <c r="B76" t="s">
        <v>107</v>
      </c>
      <c r="C76" s="1">
        <v>20660788342</v>
      </c>
      <c r="D76">
        <v>4892187932</v>
      </c>
      <c r="E76">
        <v>10327172383</v>
      </c>
      <c r="F76">
        <v>0</v>
      </c>
      <c r="G76">
        <v>15219360315</v>
      </c>
      <c r="H76">
        <v>5441428027</v>
      </c>
      <c r="I76">
        <v>979457042</v>
      </c>
      <c r="J76">
        <v>0</v>
      </c>
      <c r="K76">
        <v>979457042</v>
      </c>
      <c r="L76">
        <v>431207948</v>
      </c>
      <c r="M76">
        <v>232454251</v>
      </c>
      <c r="N76">
        <v>663662199</v>
      </c>
      <c r="O76">
        <v>0</v>
      </c>
      <c r="P76">
        <v>315794843</v>
      </c>
    </row>
    <row r="77" spans="1:16" x14ac:dyDescent="0.35">
      <c r="A77" s="2" t="str">
        <f>[2]RCPA2!$A$127</f>
        <v>C53</v>
      </c>
      <c r="B77" s="2" t="str">
        <f>[2]RCPA2!$C$127</f>
        <v>Pharmaceutical products</v>
      </c>
      <c r="C77" s="3">
        <f>C78</f>
        <v>137284583715</v>
      </c>
      <c r="D77" s="3">
        <f t="shared" ref="D77:P77" si="28">D78</f>
        <v>121838560977</v>
      </c>
      <c r="E77" s="3">
        <f t="shared" si="28"/>
        <v>7069277304</v>
      </c>
      <c r="F77" s="3">
        <f t="shared" si="28"/>
        <v>0</v>
      </c>
      <c r="G77" s="3">
        <f t="shared" si="28"/>
        <v>128907838281</v>
      </c>
      <c r="H77" s="3">
        <f t="shared" si="28"/>
        <v>8376745432</v>
      </c>
      <c r="I77" s="3">
        <f t="shared" si="28"/>
        <v>1507814172</v>
      </c>
      <c r="J77" s="3">
        <f t="shared" si="28"/>
        <v>82769599</v>
      </c>
      <c r="K77" s="3">
        <f t="shared" si="28"/>
        <v>1590583771</v>
      </c>
      <c r="L77" s="3">
        <f t="shared" si="28"/>
        <v>518444833</v>
      </c>
      <c r="M77" s="3">
        <f t="shared" si="28"/>
        <v>4277049566</v>
      </c>
      <c r="N77" s="3">
        <f t="shared" si="28"/>
        <v>4795494399</v>
      </c>
      <c r="O77" s="3">
        <f t="shared" si="28"/>
        <v>0</v>
      </c>
      <c r="P77" s="3">
        <f t="shared" si="28"/>
        <v>-3204910631</v>
      </c>
    </row>
    <row r="78" spans="1:16" x14ac:dyDescent="0.35">
      <c r="A78" t="s">
        <v>108</v>
      </c>
      <c r="B78" t="s">
        <v>109</v>
      </c>
      <c r="C78" s="1">
        <v>137284583715</v>
      </c>
      <c r="D78">
        <v>121838560977</v>
      </c>
      <c r="E78">
        <v>7069277304</v>
      </c>
      <c r="F78">
        <v>0</v>
      </c>
      <c r="G78">
        <v>128907838281</v>
      </c>
      <c r="H78">
        <v>8376745432</v>
      </c>
      <c r="I78">
        <v>1507814172</v>
      </c>
      <c r="J78">
        <v>82769599</v>
      </c>
      <c r="K78">
        <v>1590583771</v>
      </c>
      <c r="L78">
        <v>518444833</v>
      </c>
      <c r="M78">
        <v>4277049566</v>
      </c>
      <c r="N78">
        <v>4795494399</v>
      </c>
      <c r="O78">
        <v>0</v>
      </c>
      <c r="P78">
        <v>-3204910631</v>
      </c>
    </row>
    <row r="79" spans="1:16" x14ac:dyDescent="0.35">
      <c r="A79" s="2" t="str">
        <f>[2]RCPA2!$A$129</f>
        <v>C54</v>
      </c>
      <c r="B79" s="2" t="str">
        <f>[2]RCPA2!$C$129</f>
        <v>Rubber &amp; plastics products</v>
      </c>
      <c r="C79" s="3">
        <f>C80+C81</f>
        <v>33566763209</v>
      </c>
      <c r="D79" s="3">
        <f t="shared" ref="D79:P79" si="29">D80+D81</f>
        <v>2508305337</v>
      </c>
      <c r="E79" s="3">
        <f t="shared" si="29"/>
        <v>3767170547</v>
      </c>
      <c r="F79" s="3">
        <f t="shared" si="29"/>
        <v>5220000</v>
      </c>
      <c r="G79" s="3">
        <f t="shared" si="29"/>
        <v>6280695884</v>
      </c>
      <c r="H79" s="3">
        <f t="shared" si="29"/>
        <v>27286067324</v>
      </c>
      <c r="I79" s="3">
        <f t="shared" si="29"/>
        <v>4911492113</v>
      </c>
      <c r="J79" s="3">
        <f t="shared" si="29"/>
        <v>0</v>
      </c>
      <c r="K79" s="3">
        <f t="shared" si="29"/>
        <v>4911492113</v>
      </c>
      <c r="L79" s="3">
        <f t="shared" si="29"/>
        <v>561428978</v>
      </c>
      <c r="M79" s="3">
        <f t="shared" si="29"/>
        <v>787901521</v>
      </c>
      <c r="N79" s="3">
        <f t="shared" si="29"/>
        <v>1349330499</v>
      </c>
      <c r="O79" s="3">
        <f t="shared" si="29"/>
        <v>0</v>
      </c>
      <c r="P79" s="3">
        <f t="shared" si="29"/>
        <v>3562161611</v>
      </c>
    </row>
    <row r="80" spans="1:16" x14ac:dyDescent="0.35">
      <c r="A80" t="s">
        <v>110</v>
      </c>
      <c r="B80" t="s">
        <v>111</v>
      </c>
      <c r="C80" s="1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1877324</v>
      </c>
      <c r="N80">
        <v>1877324</v>
      </c>
      <c r="O80">
        <v>0</v>
      </c>
      <c r="P80">
        <v>-1877324</v>
      </c>
    </row>
    <row r="81" spans="1:16" x14ac:dyDescent="0.35">
      <c r="A81" t="s">
        <v>112</v>
      </c>
      <c r="B81" t="s">
        <v>113</v>
      </c>
      <c r="C81" s="1">
        <v>33566763209</v>
      </c>
      <c r="D81">
        <v>2508305337</v>
      </c>
      <c r="E81">
        <v>3767170547</v>
      </c>
      <c r="F81">
        <v>5220000</v>
      </c>
      <c r="G81">
        <v>6280695884</v>
      </c>
      <c r="H81">
        <v>27286067324</v>
      </c>
      <c r="I81">
        <v>4911492113</v>
      </c>
      <c r="J81">
        <v>0</v>
      </c>
      <c r="K81">
        <v>4911492113</v>
      </c>
      <c r="L81">
        <v>561428978</v>
      </c>
      <c r="M81">
        <v>786024197</v>
      </c>
      <c r="N81">
        <v>1347453175</v>
      </c>
      <c r="O81">
        <v>0</v>
      </c>
      <c r="P81">
        <v>3564038935</v>
      </c>
    </row>
    <row r="82" spans="1:16" x14ac:dyDescent="0.35">
      <c r="A82" s="2" t="str">
        <f>[2]RCPA2!$A$134</f>
        <v>C61</v>
      </c>
      <c r="B82" s="2" t="str">
        <f>[2]RCPA2!$C$134</f>
        <v>Non-metallic mineral products n.e.c.</v>
      </c>
      <c r="C82" s="3">
        <f>C83</f>
        <v>23139306367</v>
      </c>
      <c r="D82" s="3">
        <f t="shared" ref="D82:P82" si="30">D83</f>
        <v>7577757826</v>
      </c>
      <c r="E82" s="3">
        <f t="shared" si="30"/>
        <v>854730866</v>
      </c>
      <c r="F82" s="3">
        <f t="shared" si="30"/>
        <v>0</v>
      </c>
      <c r="G82" s="3">
        <f t="shared" si="30"/>
        <v>8432488692</v>
      </c>
      <c r="H82" s="3">
        <f t="shared" si="30"/>
        <v>14706817675</v>
      </c>
      <c r="I82" s="3">
        <f t="shared" si="30"/>
        <v>2647227184</v>
      </c>
      <c r="J82" s="3">
        <f t="shared" si="30"/>
        <v>59720</v>
      </c>
      <c r="K82" s="3">
        <f t="shared" si="30"/>
        <v>2647286904</v>
      </c>
      <c r="L82" s="3">
        <f t="shared" si="30"/>
        <v>204898843</v>
      </c>
      <c r="M82" s="3">
        <f t="shared" si="30"/>
        <v>1156644067</v>
      </c>
      <c r="N82" s="3">
        <f t="shared" si="30"/>
        <v>1361542910</v>
      </c>
      <c r="O82" s="3">
        <f t="shared" si="30"/>
        <v>59720</v>
      </c>
      <c r="P82" s="3">
        <f t="shared" si="30"/>
        <v>1285684274</v>
      </c>
    </row>
    <row r="83" spans="1:16" x14ac:dyDescent="0.35">
      <c r="A83" t="s">
        <v>114</v>
      </c>
      <c r="B83" t="s">
        <v>115</v>
      </c>
      <c r="C83" s="1">
        <v>23139306367</v>
      </c>
      <c r="D83">
        <v>7577757826</v>
      </c>
      <c r="E83">
        <v>854730866</v>
      </c>
      <c r="F83">
        <v>0</v>
      </c>
      <c r="G83">
        <v>8432488692</v>
      </c>
      <c r="H83">
        <v>14706817675</v>
      </c>
      <c r="I83">
        <v>2647227184</v>
      </c>
      <c r="J83">
        <v>59720</v>
      </c>
      <c r="K83">
        <v>2647286904</v>
      </c>
      <c r="L83">
        <v>204898843</v>
      </c>
      <c r="M83">
        <v>1156644067</v>
      </c>
      <c r="N83">
        <v>1361542910</v>
      </c>
      <c r="O83">
        <v>59720</v>
      </c>
      <c r="P83">
        <v>1285684274</v>
      </c>
    </row>
    <row r="84" spans="1:16" x14ac:dyDescent="0.35">
      <c r="A84" s="2" t="str">
        <f>[2]RCPA2!$A$136</f>
        <v>C62</v>
      </c>
      <c r="B84" s="11" t="str">
        <f>[2]RCPA2!$C$136</f>
        <v>Manufacture of cement, lime &amp; plaster</v>
      </c>
      <c r="C84" s="3">
        <f>C85+C86</f>
        <v>230891335741</v>
      </c>
      <c r="D84" s="3">
        <f t="shared" ref="D84:P84" si="31">D85+D86</f>
        <v>4066390207</v>
      </c>
      <c r="E84" s="3">
        <f t="shared" si="31"/>
        <v>62388399875</v>
      </c>
      <c r="F84" s="3">
        <f t="shared" si="31"/>
        <v>0</v>
      </c>
      <c r="G84" s="3">
        <f t="shared" si="31"/>
        <v>66454790082</v>
      </c>
      <c r="H84" s="3">
        <f t="shared" si="31"/>
        <v>164436545660</v>
      </c>
      <c r="I84" s="3">
        <f t="shared" si="31"/>
        <v>29598578220</v>
      </c>
      <c r="J84" s="3">
        <f t="shared" si="31"/>
        <v>387003309</v>
      </c>
      <c r="K84" s="3">
        <f t="shared" si="31"/>
        <v>29985581529</v>
      </c>
      <c r="L84" s="3">
        <f t="shared" si="31"/>
        <v>4868439367</v>
      </c>
      <c r="M84" s="3">
        <f t="shared" si="31"/>
        <v>6089612859</v>
      </c>
      <c r="N84" s="3">
        <f t="shared" si="31"/>
        <v>10958052226</v>
      </c>
      <c r="O84" s="3">
        <f t="shared" si="31"/>
        <v>0</v>
      </c>
      <c r="P84" s="3">
        <f t="shared" si="31"/>
        <v>19027529302</v>
      </c>
    </row>
    <row r="85" spans="1:16" x14ac:dyDescent="0.35">
      <c r="A85" t="s">
        <v>116</v>
      </c>
      <c r="B85" t="s">
        <v>117</v>
      </c>
      <c r="C85" s="1">
        <v>169285973379</v>
      </c>
      <c r="D85">
        <v>404102320</v>
      </c>
      <c r="E85">
        <v>56671549965</v>
      </c>
      <c r="F85">
        <v>0</v>
      </c>
      <c r="G85">
        <v>57075652285</v>
      </c>
      <c r="H85">
        <v>112210321095</v>
      </c>
      <c r="I85">
        <v>20197857799</v>
      </c>
      <c r="J85">
        <v>387003309</v>
      </c>
      <c r="K85">
        <v>20584861108</v>
      </c>
      <c r="L85">
        <v>738003837</v>
      </c>
      <c r="M85">
        <v>4728559228</v>
      </c>
      <c r="N85">
        <v>5466563065</v>
      </c>
      <c r="O85">
        <v>0</v>
      </c>
      <c r="P85">
        <v>15118298043</v>
      </c>
    </row>
    <row r="86" spans="1:16" x14ac:dyDescent="0.35">
      <c r="A86" t="s">
        <v>118</v>
      </c>
      <c r="B86" t="s">
        <v>119</v>
      </c>
      <c r="C86" s="1">
        <v>61605362362</v>
      </c>
      <c r="D86">
        <v>3662287887</v>
      </c>
      <c r="E86">
        <v>5716849910</v>
      </c>
      <c r="F86">
        <v>0</v>
      </c>
      <c r="G86">
        <v>9379137797</v>
      </c>
      <c r="H86">
        <v>52226224565</v>
      </c>
      <c r="I86">
        <v>9400720421</v>
      </c>
      <c r="J86">
        <v>0</v>
      </c>
      <c r="K86">
        <v>9400720421</v>
      </c>
      <c r="L86">
        <v>4130435530</v>
      </c>
      <c r="M86">
        <v>1361053631</v>
      </c>
      <c r="N86">
        <v>5491489161</v>
      </c>
      <c r="O86">
        <v>0</v>
      </c>
      <c r="P86">
        <v>3909231259</v>
      </c>
    </row>
    <row r="87" spans="1:16" x14ac:dyDescent="0.35">
      <c r="A87" s="2" t="str">
        <f>[2]RCPA2!$A$139</f>
        <v>C63</v>
      </c>
      <c r="B87" s="11" t="str">
        <f>[2]RCPA2!$C$139</f>
        <v>Manufacture of clay building materials</v>
      </c>
      <c r="C87" s="3">
        <f>C88</f>
        <v>4693143744</v>
      </c>
      <c r="D87" s="3">
        <f t="shared" ref="D87:P87" si="32">D88</f>
        <v>223277499</v>
      </c>
      <c r="E87" s="3">
        <f t="shared" si="32"/>
        <v>0</v>
      </c>
      <c r="F87" s="3">
        <f t="shared" si="32"/>
        <v>0</v>
      </c>
      <c r="G87" s="3">
        <f t="shared" si="32"/>
        <v>223277499</v>
      </c>
      <c r="H87" s="3">
        <f t="shared" si="32"/>
        <v>4469866245</v>
      </c>
      <c r="I87" s="3">
        <f t="shared" si="32"/>
        <v>804575923</v>
      </c>
      <c r="J87" s="3">
        <f t="shared" si="32"/>
        <v>0</v>
      </c>
      <c r="K87" s="3">
        <f t="shared" si="32"/>
        <v>804575923</v>
      </c>
      <c r="L87" s="3">
        <f t="shared" si="32"/>
        <v>79459364</v>
      </c>
      <c r="M87" s="3">
        <f t="shared" si="32"/>
        <v>866096550</v>
      </c>
      <c r="N87" s="3">
        <f t="shared" si="32"/>
        <v>945555914</v>
      </c>
      <c r="O87" s="3">
        <f t="shared" si="32"/>
        <v>0</v>
      </c>
      <c r="P87" s="3">
        <f t="shared" si="32"/>
        <v>-140979991</v>
      </c>
    </row>
    <row r="88" spans="1:16" x14ac:dyDescent="0.35">
      <c r="A88" t="s">
        <v>120</v>
      </c>
      <c r="B88" t="s">
        <v>121</v>
      </c>
      <c r="C88" s="1">
        <v>4693143744</v>
      </c>
      <c r="D88">
        <v>223277499</v>
      </c>
      <c r="E88">
        <v>0</v>
      </c>
      <c r="F88">
        <v>0</v>
      </c>
      <c r="G88">
        <v>223277499</v>
      </c>
      <c r="H88">
        <v>4469866245</v>
      </c>
      <c r="I88">
        <v>804575923</v>
      </c>
      <c r="J88">
        <v>0</v>
      </c>
      <c r="K88">
        <v>804575923</v>
      </c>
      <c r="L88">
        <v>79459364</v>
      </c>
      <c r="M88">
        <v>866096550</v>
      </c>
      <c r="N88">
        <v>945555914</v>
      </c>
      <c r="O88">
        <v>0</v>
      </c>
      <c r="P88">
        <v>-140979991</v>
      </c>
    </row>
    <row r="89" spans="1:16" x14ac:dyDescent="0.35">
      <c r="A89" s="2" t="str">
        <f>[2]RCPA2!$A$142</f>
        <v>C72</v>
      </c>
      <c r="B89" s="2" t="str">
        <f>[2]RCPA2!$C$142</f>
        <v>Metals &amp; metal products, except machinery &amp; equipment</v>
      </c>
      <c r="C89" s="3">
        <f>C90+C91+C92</f>
        <v>166624555678</v>
      </c>
      <c r="D89" s="3">
        <f t="shared" ref="D89:P89" si="33">D90+D91+D92</f>
        <v>5765691015</v>
      </c>
      <c r="E89" s="3">
        <f t="shared" si="33"/>
        <v>33767077596</v>
      </c>
      <c r="F89" s="3">
        <f t="shared" si="33"/>
        <v>11612813910</v>
      </c>
      <c r="G89" s="3">
        <f t="shared" si="33"/>
        <v>51145582520</v>
      </c>
      <c r="H89" s="3">
        <f t="shared" si="33"/>
        <v>115478973157</v>
      </c>
      <c r="I89" s="3">
        <f t="shared" si="33"/>
        <v>20786215175</v>
      </c>
      <c r="J89" s="3">
        <f t="shared" si="33"/>
        <v>38566886</v>
      </c>
      <c r="K89" s="3">
        <f t="shared" si="33"/>
        <v>20824782061</v>
      </c>
      <c r="L89" s="3">
        <f t="shared" si="33"/>
        <v>934988442</v>
      </c>
      <c r="M89" s="3">
        <f t="shared" si="33"/>
        <v>10718601406</v>
      </c>
      <c r="N89" s="3">
        <f t="shared" si="33"/>
        <v>11653589848</v>
      </c>
      <c r="O89" s="3">
        <f t="shared" si="33"/>
        <v>0</v>
      </c>
      <c r="P89" s="3">
        <f t="shared" si="33"/>
        <v>9171192211</v>
      </c>
    </row>
    <row r="90" spans="1:16" x14ac:dyDescent="0.35">
      <c r="A90" t="s">
        <v>122</v>
      </c>
      <c r="B90" t="s">
        <v>123</v>
      </c>
      <c r="C90" s="1">
        <v>108431664436</v>
      </c>
      <c r="D90">
        <v>3912095181</v>
      </c>
      <c r="E90">
        <v>29309127940</v>
      </c>
      <c r="F90">
        <v>0</v>
      </c>
      <c r="G90">
        <v>33221223120</v>
      </c>
      <c r="H90">
        <v>75210441315</v>
      </c>
      <c r="I90">
        <v>13537879438</v>
      </c>
      <c r="J90">
        <v>31100359</v>
      </c>
      <c r="K90">
        <v>13568979797</v>
      </c>
      <c r="L90">
        <v>390037148</v>
      </c>
      <c r="M90">
        <v>9075618833</v>
      </c>
      <c r="N90">
        <v>9465655981</v>
      </c>
      <c r="O90">
        <v>0</v>
      </c>
      <c r="P90">
        <v>4103323816</v>
      </c>
    </row>
    <row r="91" spans="1:16" x14ac:dyDescent="0.35">
      <c r="A91" t="s">
        <v>124</v>
      </c>
      <c r="B91" t="s">
        <v>125</v>
      </c>
      <c r="C91" s="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5">
      <c r="A92" t="s">
        <v>126</v>
      </c>
      <c r="B92" t="s">
        <v>127</v>
      </c>
      <c r="C92" s="1">
        <v>58192891242</v>
      </c>
      <c r="D92">
        <v>1853595834</v>
      </c>
      <c r="E92">
        <v>4457949656</v>
      </c>
      <c r="F92">
        <v>11612813910</v>
      </c>
      <c r="G92">
        <v>17924359400</v>
      </c>
      <c r="H92">
        <v>40268531842</v>
      </c>
      <c r="I92">
        <v>7248335737</v>
      </c>
      <c r="J92">
        <v>7466527</v>
      </c>
      <c r="K92">
        <v>7255802264</v>
      </c>
      <c r="L92">
        <v>544951294</v>
      </c>
      <c r="M92">
        <v>1642982573</v>
      </c>
      <c r="N92">
        <v>2187933867</v>
      </c>
      <c r="O92">
        <v>0</v>
      </c>
      <c r="P92">
        <v>5067868395</v>
      </c>
    </row>
    <row r="93" spans="1:16" x14ac:dyDescent="0.35">
      <c r="A93" s="2" t="str">
        <f>[2]RCPA2!$A$146</f>
        <v>C74</v>
      </c>
      <c r="B93" s="2" t="str">
        <f>[2]RCPA2!$C$146</f>
        <v>Machinery &amp; equipment (except transport)</v>
      </c>
      <c r="C93" s="3">
        <f>C94+C95+C96+C97+C98+C99+C100+C101</f>
        <v>70348681765</v>
      </c>
      <c r="D93" s="3">
        <f t="shared" ref="D93:P93" si="34">D94+D95+D96+D97+D98+D99+D100+D101</f>
        <v>35290658643</v>
      </c>
      <c r="E93" s="3">
        <f t="shared" si="34"/>
        <v>4595968516</v>
      </c>
      <c r="F93" s="3">
        <f t="shared" si="34"/>
        <v>0</v>
      </c>
      <c r="G93" s="3">
        <f t="shared" si="34"/>
        <v>39886627159</v>
      </c>
      <c r="H93" s="3">
        <f t="shared" si="34"/>
        <v>30462054606</v>
      </c>
      <c r="I93" s="3">
        <f t="shared" si="34"/>
        <v>5483169839</v>
      </c>
      <c r="J93" s="3">
        <f t="shared" si="34"/>
        <v>2447647</v>
      </c>
      <c r="K93" s="3">
        <f t="shared" si="34"/>
        <v>5485617486</v>
      </c>
      <c r="L93" s="3">
        <f t="shared" si="34"/>
        <v>547102276</v>
      </c>
      <c r="M93" s="3">
        <f t="shared" si="34"/>
        <v>1073380406</v>
      </c>
      <c r="N93" s="3">
        <f t="shared" si="34"/>
        <v>1620482682</v>
      </c>
      <c r="O93" s="3">
        <f t="shared" si="34"/>
        <v>0</v>
      </c>
      <c r="P93" s="3">
        <f t="shared" si="34"/>
        <v>3865134804</v>
      </c>
    </row>
    <row r="94" spans="1:16" x14ac:dyDescent="0.35">
      <c r="A94" t="s">
        <v>128</v>
      </c>
      <c r="B94" t="s">
        <v>129</v>
      </c>
      <c r="C94" s="1">
        <v>115396650</v>
      </c>
      <c r="D94">
        <v>97549782</v>
      </c>
      <c r="E94">
        <v>3365600</v>
      </c>
      <c r="F94">
        <v>0</v>
      </c>
      <c r="G94">
        <v>100915382</v>
      </c>
      <c r="H94">
        <v>14481268</v>
      </c>
      <c r="I94">
        <v>2606629</v>
      </c>
      <c r="J94">
        <v>0</v>
      </c>
      <c r="K94">
        <v>2606629</v>
      </c>
      <c r="L94">
        <v>0</v>
      </c>
      <c r="M94">
        <v>2735905</v>
      </c>
      <c r="N94">
        <v>2735905</v>
      </c>
      <c r="O94">
        <v>0</v>
      </c>
      <c r="P94">
        <v>-129276</v>
      </c>
    </row>
    <row r="95" spans="1:16" x14ac:dyDescent="0.35">
      <c r="A95" t="s">
        <v>130</v>
      </c>
      <c r="B95" t="s">
        <v>131</v>
      </c>
      <c r="C95" s="1">
        <v>27862005737</v>
      </c>
      <c r="D95">
        <v>25170372287</v>
      </c>
      <c r="E95">
        <v>2570812205</v>
      </c>
      <c r="F95">
        <v>0</v>
      </c>
      <c r="G95">
        <v>27741184492</v>
      </c>
      <c r="H95">
        <v>120821245</v>
      </c>
      <c r="I95">
        <v>21747825</v>
      </c>
      <c r="J95">
        <v>0</v>
      </c>
      <c r="K95">
        <v>21747825</v>
      </c>
      <c r="L95">
        <v>0</v>
      </c>
      <c r="M95">
        <v>15505926</v>
      </c>
      <c r="N95">
        <v>15505926</v>
      </c>
      <c r="O95">
        <v>0</v>
      </c>
      <c r="P95">
        <v>6241899</v>
      </c>
    </row>
    <row r="96" spans="1:16" x14ac:dyDescent="0.35">
      <c r="A96" t="s">
        <v>132</v>
      </c>
      <c r="B96" t="s">
        <v>133</v>
      </c>
      <c r="C96" s="1">
        <v>146453115</v>
      </c>
      <c r="D96">
        <v>3412375</v>
      </c>
      <c r="E96">
        <v>5377150</v>
      </c>
      <c r="F96">
        <v>0</v>
      </c>
      <c r="G96">
        <v>8789525</v>
      </c>
      <c r="H96">
        <v>137663590</v>
      </c>
      <c r="I96">
        <v>24779447</v>
      </c>
      <c r="J96">
        <v>0</v>
      </c>
      <c r="K96">
        <v>24779447</v>
      </c>
      <c r="L96">
        <v>0</v>
      </c>
      <c r="M96">
        <v>24609734</v>
      </c>
      <c r="N96">
        <v>24609734</v>
      </c>
      <c r="O96">
        <v>0</v>
      </c>
      <c r="P96">
        <v>169713</v>
      </c>
    </row>
    <row r="97" spans="1:16" x14ac:dyDescent="0.35">
      <c r="A97" t="s">
        <v>134</v>
      </c>
      <c r="B97" t="s">
        <v>135</v>
      </c>
      <c r="C97" s="1">
        <v>883483610</v>
      </c>
      <c r="D97">
        <v>6281240</v>
      </c>
      <c r="E97">
        <v>0</v>
      </c>
      <c r="F97">
        <v>0</v>
      </c>
      <c r="G97">
        <v>6281240</v>
      </c>
      <c r="H97">
        <v>877202370</v>
      </c>
      <c r="I97">
        <v>157896427</v>
      </c>
      <c r="J97">
        <v>0</v>
      </c>
      <c r="K97">
        <v>157896427</v>
      </c>
      <c r="L97">
        <v>40325476</v>
      </c>
      <c r="M97">
        <v>32398516</v>
      </c>
      <c r="N97">
        <v>72723992</v>
      </c>
      <c r="O97">
        <v>0</v>
      </c>
      <c r="P97">
        <v>85172435</v>
      </c>
    </row>
    <row r="98" spans="1:16" x14ac:dyDescent="0.35">
      <c r="A98" t="s">
        <v>136</v>
      </c>
      <c r="B98" t="s">
        <v>137</v>
      </c>
      <c r="C98" s="1">
        <v>142367399</v>
      </c>
      <c r="D98">
        <v>107561301</v>
      </c>
      <c r="E98">
        <v>0</v>
      </c>
      <c r="F98">
        <v>0</v>
      </c>
      <c r="G98">
        <v>107561301</v>
      </c>
      <c r="H98">
        <v>34806098</v>
      </c>
      <c r="I98">
        <v>6265098</v>
      </c>
      <c r="J98">
        <v>0</v>
      </c>
      <c r="K98">
        <v>6265098</v>
      </c>
      <c r="L98">
        <v>0</v>
      </c>
      <c r="M98">
        <v>9099018</v>
      </c>
      <c r="N98">
        <v>9099018</v>
      </c>
      <c r="O98">
        <v>0</v>
      </c>
      <c r="P98">
        <v>-2833920</v>
      </c>
    </row>
    <row r="99" spans="1:16" x14ac:dyDescent="0.35">
      <c r="A99" t="s">
        <v>138</v>
      </c>
      <c r="B99" t="s">
        <v>139</v>
      </c>
      <c r="C99" s="1">
        <v>15824377244</v>
      </c>
      <c r="D99">
        <v>8948638123</v>
      </c>
      <c r="E99">
        <v>1748694407</v>
      </c>
      <c r="F99">
        <v>0</v>
      </c>
      <c r="G99">
        <v>10697332530</v>
      </c>
      <c r="H99">
        <v>5127044714</v>
      </c>
      <c r="I99">
        <v>922868051</v>
      </c>
      <c r="J99">
        <v>2447647</v>
      </c>
      <c r="K99">
        <v>925315698</v>
      </c>
      <c r="L99">
        <v>107918271</v>
      </c>
      <c r="M99">
        <v>194795725</v>
      </c>
      <c r="N99">
        <v>302713996</v>
      </c>
      <c r="O99">
        <v>0</v>
      </c>
      <c r="P99">
        <v>622601702</v>
      </c>
    </row>
    <row r="100" spans="1:16" x14ac:dyDescent="0.35">
      <c r="A100" t="s">
        <v>140</v>
      </c>
      <c r="B100" t="s">
        <v>141</v>
      </c>
      <c r="C100" s="1">
        <v>17835129983</v>
      </c>
      <c r="D100">
        <v>342366435</v>
      </c>
      <c r="E100">
        <v>250607804</v>
      </c>
      <c r="F100">
        <v>0</v>
      </c>
      <c r="G100">
        <v>592974239</v>
      </c>
      <c r="H100">
        <v>17242155744</v>
      </c>
      <c r="I100">
        <v>3103588034</v>
      </c>
      <c r="J100">
        <v>0</v>
      </c>
      <c r="K100">
        <v>3103588034</v>
      </c>
      <c r="L100">
        <v>353069924</v>
      </c>
      <c r="M100">
        <v>69319893</v>
      </c>
      <c r="N100">
        <v>422389817</v>
      </c>
      <c r="O100">
        <v>0</v>
      </c>
      <c r="P100">
        <v>2681198217</v>
      </c>
    </row>
    <row r="101" spans="1:16" x14ac:dyDescent="0.35">
      <c r="A101" t="s">
        <v>142</v>
      </c>
      <c r="B101" t="s">
        <v>143</v>
      </c>
      <c r="C101" s="1">
        <v>7539468027</v>
      </c>
      <c r="D101">
        <v>614477100</v>
      </c>
      <c r="E101">
        <v>17111350</v>
      </c>
      <c r="F101">
        <v>0</v>
      </c>
      <c r="G101">
        <v>631588450</v>
      </c>
      <c r="H101">
        <v>6907879577</v>
      </c>
      <c r="I101">
        <v>1243418328</v>
      </c>
      <c r="J101">
        <v>0</v>
      </c>
      <c r="K101">
        <v>1243418328</v>
      </c>
      <c r="L101">
        <v>45788605</v>
      </c>
      <c r="M101">
        <v>724915689</v>
      </c>
      <c r="N101">
        <v>770704294</v>
      </c>
      <c r="O101">
        <v>0</v>
      </c>
      <c r="P101">
        <v>472714034</v>
      </c>
    </row>
    <row r="102" spans="1:16" x14ac:dyDescent="0.35">
      <c r="A102" s="2" t="str">
        <f>[2]RCPA2!$A$156</f>
        <v>C76</v>
      </c>
      <c r="B102" s="2" t="str">
        <f>[2]RCPA2!$C$156</f>
        <v>Transport equipment</v>
      </c>
      <c r="C102" s="3">
        <f>C103+C104+C105</f>
        <v>54543886254</v>
      </c>
      <c r="D102" s="3">
        <f t="shared" ref="D102:P102" si="35">D103+D104+D105</f>
        <v>10434514877</v>
      </c>
      <c r="E102" s="3">
        <f t="shared" si="35"/>
        <v>9507795236</v>
      </c>
      <c r="F102" s="3">
        <f t="shared" si="35"/>
        <v>0</v>
      </c>
      <c r="G102" s="3">
        <f t="shared" si="35"/>
        <v>19942310113</v>
      </c>
      <c r="H102" s="3">
        <f t="shared" si="35"/>
        <v>34601576141</v>
      </c>
      <c r="I102" s="3">
        <f t="shared" si="35"/>
        <v>6228283708</v>
      </c>
      <c r="J102" s="3">
        <f t="shared" si="35"/>
        <v>53282093</v>
      </c>
      <c r="K102" s="3">
        <f t="shared" si="35"/>
        <v>6281565801</v>
      </c>
      <c r="L102" s="3">
        <f t="shared" si="35"/>
        <v>4281463746</v>
      </c>
      <c r="M102" s="3">
        <f t="shared" si="35"/>
        <v>967689705</v>
      </c>
      <c r="N102" s="3">
        <f t="shared" si="35"/>
        <v>5249153451</v>
      </c>
      <c r="O102" s="3">
        <f t="shared" si="35"/>
        <v>27893088</v>
      </c>
      <c r="P102" s="3">
        <f t="shared" si="35"/>
        <v>1004519261</v>
      </c>
    </row>
    <row r="103" spans="1:16" x14ac:dyDescent="0.35">
      <c r="A103" t="s">
        <v>144</v>
      </c>
      <c r="B103" t="s">
        <v>145</v>
      </c>
      <c r="C103" s="1">
        <v>29487698573</v>
      </c>
      <c r="D103">
        <v>8886280621</v>
      </c>
      <c r="E103">
        <v>9507715236</v>
      </c>
      <c r="F103">
        <v>0</v>
      </c>
      <c r="G103">
        <v>18393995857</v>
      </c>
      <c r="H103">
        <v>11093702716</v>
      </c>
      <c r="I103">
        <v>1996866491</v>
      </c>
      <c r="J103">
        <v>53282093</v>
      </c>
      <c r="K103">
        <v>2050148584</v>
      </c>
      <c r="L103">
        <v>690483349</v>
      </c>
      <c r="M103">
        <v>804331222</v>
      </c>
      <c r="N103">
        <v>1494814571</v>
      </c>
      <c r="O103">
        <v>27893088</v>
      </c>
      <c r="P103">
        <v>527440925</v>
      </c>
    </row>
    <row r="104" spans="1:16" x14ac:dyDescent="0.35">
      <c r="A104" t="s">
        <v>146</v>
      </c>
      <c r="B104" t="s">
        <v>147</v>
      </c>
      <c r="C104" s="1">
        <v>25036503698</v>
      </c>
      <c r="D104">
        <v>1548234256</v>
      </c>
      <c r="E104">
        <v>80000</v>
      </c>
      <c r="F104">
        <v>0</v>
      </c>
      <c r="G104">
        <v>1548314256</v>
      </c>
      <c r="H104">
        <v>23488189442</v>
      </c>
      <c r="I104">
        <v>4227874099</v>
      </c>
      <c r="J104">
        <v>0</v>
      </c>
      <c r="K104">
        <v>4227874099</v>
      </c>
      <c r="L104">
        <v>3587998268</v>
      </c>
      <c r="M104">
        <v>163246139</v>
      </c>
      <c r="N104">
        <v>3751244407</v>
      </c>
      <c r="O104">
        <v>0</v>
      </c>
      <c r="P104">
        <v>476629692</v>
      </c>
    </row>
    <row r="105" spans="1:16" x14ac:dyDescent="0.35">
      <c r="A105" t="s">
        <v>148</v>
      </c>
      <c r="B105" t="s">
        <v>149</v>
      </c>
      <c r="C105" s="1">
        <v>19683983</v>
      </c>
      <c r="D105">
        <v>0</v>
      </c>
      <c r="E105">
        <v>0</v>
      </c>
      <c r="F105">
        <v>0</v>
      </c>
      <c r="G105">
        <v>0</v>
      </c>
      <c r="H105">
        <v>19683983</v>
      </c>
      <c r="I105">
        <v>3543118</v>
      </c>
      <c r="J105">
        <v>0</v>
      </c>
      <c r="K105">
        <v>3543118</v>
      </c>
      <c r="L105">
        <v>2982129</v>
      </c>
      <c r="M105">
        <v>112344</v>
      </c>
      <c r="N105">
        <v>3094473</v>
      </c>
      <c r="O105">
        <v>0</v>
      </c>
      <c r="P105">
        <v>448644</v>
      </c>
    </row>
    <row r="106" spans="1:16" x14ac:dyDescent="0.35">
      <c r="A106" s="2" t="str">
        <f>[2]RCPA2!$A$161</f>
        <v>C81</v>
      </c>
      <c r="B106" s="2" t="str">
        <f>[2]RCPA2!$C$161</f>
        <v>Furniture</v>
      </c>
      <c r="C106" s="3">
        <f>C107</f>
        <v>28989705954</v>
      </c>
      <c r="D106" s="3">
        <f t="shared" ref="D106:P106" si="36">D107</f>
        <v>1534152576</v>
      </c>
      <c r="E106" s="3">
        <f t="shared" si="36"/>
        <v>4511102500</v>
      </c>
      <c r="F106" s="3">
        <f t="shared" si="36"/>
        <v>0</v>
      </c>
      <c r="G106" s="3">
        <f t="shared" si="36"/>
        <v>6045255076</v>
      </c>
      <c r="H106" s="3">
        <f t="shared" si="36"/>
        <v>22944450877</v>
      </c>
      <c r="I106" s="3">
        <f t="shared" si="36"/>
        <v>4130001181</v>
      </c>
      <c r="J106" s="3">
        <f t="shared" si="36"/>
        <v>0</v>
      </c>
      <c r="K106" s="3">
        <f t="shared" si="36"/>
        <v>4130001181</v>
      </c>
      <c r="L106" s="3">
        <f t="shared" si="36"/>
        <v>851183572</v>
      </c>
      <c r="M106" s="3">
        <f t="shared" si="36"/>
        <v>1348149643</v>
      </c>
      <c r="N106" s="3">
        <f t="shared" si="36"/>
        <v>2199333215</v>
      </c>
      <c r="O106" s="3">
        <f t="shared" si="36"/>
        <v>0</v>
      </c>
      <c r="P106" s="3">
        <f t="shared" si="36"/>
        <v>1930667962</v>
      </c>
    </row>
    <row r="107" spans="1:16" x14ac:dyDescent="0.35">
      <c r="A107" t="s">
        <v>150</v>
      </c>
      <c r="B107" t="s">
        <v>151</v>
      </c>
      <c r="C107" s="1">
        <v>28989705954</v>
      </c>
      <c r="D107">
        <v>1534152576</v>
      </c>
      <c r="E107">
        <v>4511102500</v>
      </c>
      <c r="F107">
        <v>0</v>
      </c>
      <c r="G107">
        <v>6045255076</v>
      </c>
      <c r="H107">
        <v>22944450877</v>
      </c>
      <c r="I107">
        <v>4130001181</v>
      </c>
      <c r="J107">
        <v>0</v>
      </c>
      <c r="K107">
        <v>4130001181</v>
      </c>
      <c r="L107">
        <v>851183572</v>
      </c>
      <c r="M107">
        <v>1348149643</v>
      </c>
      <c r="N107">
        <v>2199333215</v>
      </c>
      <c r="O107">
        <v>0</v>
      </c>
      <c r="P107">
        <v>1930667962</v>
      </c>
    </row>
    <row r="108" spans="1:16" x14ac:dyDescent="0.35">
      <c r="A108" s="2" t="str">
        <f>[2]RCPA2!$A$164</f>
        <v>C82</v>
      </c>
      <c r="B108" s="11" t="str">
        <f>[2]RCPA2!$C$164</f>
        <v>Other manufactures</v>
      </c>
      <c r="C108" s="3">
        <f>C109+C110+C111</f>
        <v>50254026201</v>
      </c>
      <c r="D108" s="3">
        <f t="shared" ref="D108:P108" si="37">D109+D110+D111</f>
        <v>16919065945</v>
      </c>
      <c r="E108" s="3">
        <f t="shared" si="37"/>
        <v>7395117747</v>
      </c>
      <c r="F108" s="3">
        <f t="shared" si="37"/>
        <v>0</v>
      </c>
      <c r="G108" s="3">
        <f t="shared" si="37"/>
        <v>24314183692</v>
      </c>
      <c r="H108" s="3">
        <f t="shared" si="37"/>
        <v>25939842509</v>
      </c>
      <c r="I108" s="3">
        <f t="shared" si="37"/>
        <v>4669171656</v>
      </c>
      <c r="J108" s="3">
        <f t="shared" si="37"/>
        <v>0</v>
      </c>
      <c r="K108" s="3">
        <f t="shared" si="37"/>
        <v>4669171656</v>
      </c>
      <c r="L108" s="3">
        <f t="shared" si="37"/>
        <v>313085204</v>
      </c>
      <c r="M108" s="3">
        <f t="shared" si="37"/>
        <v>1035600035</v>
      </c>
      <c r="N108" s="3">
        <f t="shared" si="37"/>
        <v>1348685239</v>
      </c>
      <c r="O108" s="3">
        <f t="shared" si="37"/>
        <v>0</v>
      </c>
      <c r="P108" s="3">
        <f t="shared" si="37"/>
        <v>3320486413</v>
      </c>
    </row>
    <row r="109" spans="1:16" x14ac:dyDescent="0.35">
      <c r="A109" t="s">
        <v>152</v>
      </c>
      <c r="B109" t="s">
        <v>153</v>
      </c>
      <c r="C109" s="1">
        <v>11600983573</v>
      </c>
      <c r="D109">
        <v>10053848637</v>
      </c>
      <c r="E109">
        <v>0</v>
      </c>
      <c r="F109">
        <v>0</v>
      </c>
      <c r="G109">
        <v>10053848637</v>
      </c>
      <c r="H109">
        <v>1547134936</v>
      </c>
      <c r="I109">
        <v>278484288</v>
      </c>
      <c r="J109">
        <v>0</v>
      </c>
      <c r="K109">
        <v>278484288</v>
      </c>
      <c r="L109">
        <v>101799318</v>
      </c>
      <c r="M109">
        <v>43280299</v>
      </c>
      <c r="N109">
        <v>145079617</v>
      </c>
      <c r="O109">
        <v>0</v>
      </c>
      <c r="P109">
        <v>133404671</v>
      </c>
    </row>
    <row r="110" spans="1:16" x14ac:dyDescent="0.35">
      <c r="A110" t="s">
        <v>154</v>
      </c>
      <c r="B110" t="s">
        <v>155</v>
      </c>
      <c r="C110" s="1">
        <v>317066984</v>
      </c>
      <c r="D110">
        <v>272626420</v>
      </c>
      <c r="E110">
        <v>0</v>
      </c>
      <c r="F110">
        <v>0</v>
      </c>
      <c r="G110">
        <v>272626420</v>
      </c>
      <c r="H110">
        <v>44440564</v>
      </c>
      <c r="I110">
        <v>7999301</v>
      </c>
      <c r="J110">
        <v>0</v>
      </c>
      <c r="K110">
        <v>7999301</v>
      </c>
      <c r="L110">
        <v>1248367</v>
      </c>
      <c r="M110">
        <v>8793342</v>
      </c>
      <c r="N110">
        <v>10041709</v>
      </c>
      <c r="O110">
        <v>0</v>
      </c>
      <c r="P110">
        <v>-2042408</v>
      </c>
    </row>
    <row r="111" spans="1:16" x14ac:dyDescent="0.35">
      <c r="A111" t="s">
        <v>156</v>
      </c>
      <c r="B111" t="s">
        <v>157</v>
      </c>
      <c r="C111" s="1">
        <v>38335975644</v>
      </c>
      <c r="D111">
        <v>6592590888</v>
      </c>
      <c r="E111">
        <v>7395117747</v>
      </c>
      <c r="F111">
        <v>0</v>
      </c>
      <c r="G111">
        <v>13987708635</v>
      </c>
      <c r="H111">
        <v>24348267009</v>
      </c>
      <c r="I111">
        <v>4382688067</v>
      </c>
      <c r="J111">
        <v>0</v>
      </c>
      <c r="K111">
        <v>4382688067</v>
      </c>
      <c r="L111">
        <v>210037519</v>
      </c>
      <c r="M111">
        <v>983526394</v>
      </c>
      <c r="N111">
        <v>1193563913</v>
      </c>
      <c r="O111">
        <v>0</v>
      </c>
      <c r="P111">
        <v>3189124150</v>
      </c>
    </row>
    <row r="112" spans="1:16" x14ac:dyDescent="0.35">
      <c r="A112" s="2" t="str">
        <f>[2]RCPA2!$A$169</f>
        <v>C83</v>
      </c>
      <c r="B112" s="2" t="str">
        <f>[2]RCPA2!$C$169</f>
        <v>Repair &amp; installation of machinery &amp; equipment</v>
      </c>
      <c r="C112" s="3">
        <f>C113</f>
        <v>10706787881</v>
      </c>
      <c r="D112" s="3">
        <f t="shared" ref="D112:P112" si="38">D113</f>
        <v>1407529408</v>
      </c>
      <c r="E112" s="3">
        <f t="shared" si="38"/>
        <v>17767427</v>
      </c>
      <c r="F112" s="3">
        <f t="shared" si="38"/>
        <v>0</v>
      </c>
      <c r="G112" s="3">
        <f t="shared" si="38"/>
        <v>1425296835</v>
      </c>
      <c r="H112" s="3">
        <f t="shared" si="38"/>
        <v>9281491045</v>
      </c>
      <c r="I112" s="3">
        <f t="shared" si="38"/>
        <v>1670668395</v>
      </c>
      <c r="J112" s="3">
        <f t="shared" si="38"/>
        <v>16780</v>
      </c>
      <c r="K112" s="3">
        <f t="shared" si="38"/>
        <v>1670685175</v>
      </c>
      <c r="L112" s="3">
        <f t="shared" si="38"/>
        <v>556202275</v>
      </c>
      <c r="M112" s="3">
        <f t="shared" si="38"/>
        <v>866578264</v>
      </c>
      <c r="N112" s="3">
        <f t="shared" si="38"/>
        <v>1422780539</v>
      </c>
      <c r="O112" s="3">
        <f t="shared" si="38"/>
        <v>0</v>
      </c>
      <c r="P112" s="3">
        <f t="shared" si="38"/>
        <v>247904636</v>
      </c>
    </row>
    <row r="113" spans="1:16" x14ac:dyDescent="0.35">
      <c r="A113" t="s">
        <v>158</v>
      </c>
      <c r="B113" t="s">
        <v>159</v>
      </c>
      <c r="C113" s="1">
        <v>10706787881</v>
      </c>
      <c r="D113">
        <v>1407529408</v>
      </c>
      <c r="E113">
        <v>17767427</v>
      </c>
      <c r="F113">
        <v>0</v>
      </c>
      <c r="G113">
        <v>1425296835</v>
      </c>
      <c r="H113">
        <v>9281491045</v>
      </c>
      <c r="I113">
        <v>1670668395</v>
      </c>
      <c r="J113">
        <v>16780</v>
      </c>
      <c r="K113">
        <v>1670685175</v>
      </c>
      <c r="L113">
        <v>556202275</v>
      </c>
      <c r="M113">
        <v>866578264</v>
      </c>
      <c r="N113">
        <v>1422780539</v>
      </c>
      <c r="O113">
        <v>0</v>
      </c>
      <c r="P113">
        <v>247904636</v>
      </c>
    </row>
    <row r="114" spans="1:16" x14ac:dyDescent="0.35">
      <c r="A114" s="2" t="str">
        <f>[2]RCPA2!$A$172</f>
        <v>D00</v>
      </c>
      <c r="B114" s="2" t="str">
        <f>[2]RCPA2!$C$172</f>
        <v>Electricity, gas, steam &amp; air conditioning supply</v>
      </c>
      <c r="C114" s="3">
        <f>C115</f>
        <v>1263446088987</v>
      </c>
      <c r="D114" s="3">
        <f t="shared" ref="D114:P114" si="39">D115</f>
        <v>765060073363</v>
      </c>
      <c r="E114" s="3">
        <f t="shared" si="39"/>
        <v>135849765338</v>
      </c>
      <c r="F114" s="3">
        <f t="shared" si="39"/>
        <v>147054085</v>
      </c>
      <c r="G114" s="3">
        <f t="shared" si="39"/>
        <v>901056892786</v>
      </c>
      <c r="H114" s="3">
        <f t="shared" si="39"/>
        <v>362389196197</v>
      </c>
      <c r="I114" s="3">
        <f t="shared" si="39"/>
        <v>65230055325</v>
      </c>
      <c r="J114" s="3">
        <f t="shared" si="39"/>
        <v>832552627</v>
      </c>
      <c r="K114" s="3">
        <f t="shared" si="39"/>
        <v>66062607952</v>
      </c>
      <c r="L114" s="3">
        <f t="shared" si="39"/>
        <v>3778169883</v>
      </c>
      <c r="M114" s="3">
        <f t="shared" si="39"/>
        <v>40789536310</v>
      </c>
      <c r="N114" s="3">
        <f t="shared" si="39"/>
        <v>44567706193</v>
      </c>
      <c r="O114" s="3">
        <f t="shared" si="39"/>
        <v>123377866</v>
      </c>
      <c r="P114" s="3">
        <f t="shared" si="39"/>
        <v>21371523887</v>
      </c>
    </row>
    <row r="115" spans="1:16" x14ac:dyDescent="0.35">
      <c r="A115" t="s">
        <v>160</v>
      </c>
      <c r="B115" t="s">
        <v>161</v>
      </c>
      <c r="C115" s="1">
        <v>1263446088987</v>
      </c>
      <c r="D115">
        <v>765060073363</v>
      </c>
      <c r="E115">
        <v>135849765338</v>
      </c>
      <c r="F115">
        <v>147054085</v>
      </c>
      <c r="G115">
        <v>901056892786</v>
      </c>
      <c r="H115">
        <v>362389196197</v>
      </c>
      <c r="I115">
        <v>65230055325</v>
      </c>
      <c r="J115">
        <v>832552627</v>
      </c>
      <c r="K115">
        <v>66062607952</v>
      </c>
      <c r="L115">
        <v>3778169883</v>
      </c>
      <c r="M115">
        <v>40789536310</v>
      </c>
      <c r="N115">
        <v>44567706193</v>
      </c>
      <c r="O115">
        <v>123377866</v>
      </c>
      <c r="P115">
        <v>21371523887</v>
      </c>
    </row>
    <row r="116" spans="1:16" x14ac:dyDescent="0.35">
      <c r="A116" s="2" t="str">
        <f>[2]RCPA2!$A$175</f>
        <v>E01</v>
      </c>
      <c r="B116" s="2" t="str">
        <f>[2]RCPA2!$C$175</f>
        <v>Water collection, treatment &amp; supply: sewrage</v>
      </c>
      <c r="C116" s="3">
        <f>C117</f>
        <v>76405097139</v>
      </c>
      <c r="D116" s="3">
        <f t="shared" ref="D116:P116" si="40">D117</f>
        <v>9079168406</v>
      </c>
      <c r="E116" s="3">
        <f t="shared" si="40"/>
        <v>430965267</v>
      </c>
      <c r="F116" s="3">
        <f t="shared" si="40"/>
        <v>0</v>
      </c>
      <c r="G116" s="3">
        <f t="shared" si="40"/>
        <v>9510133673</v>
      </c>
      <c r="H116" s="3">
        <f t="shared" si="40"/>
        <v>66894963470</v>
      </c>
      <c r="I116" s="3">
        <f t="shared" si="40"/>
        <v>12041093433</v>
      </c>
      <c r="J116" s="3">
        <f t="shared" si="40"/>
        <v>85598807</v>
      </c>
      <c r="K116" s="3">
        <f t="shared" si="40"/>
        <v>12126692241</v>
      </c>
      <c r="L116" s="3">
        <f t="shared" si="40"/>
        <v>960297102</v>
      </c>
      <c r="M116" s="3">
        <f t="shared" si="40"/>
        <v>5634505352</v>
      </c>
      <c r="N116" s="3">
        <f t="shared" si="40"/>
        <v>6594802454</v>
      </c>
      <c r="O116" s="3">
        <f t="shared" si="40"/>
        <v>0</v>
      </c>
      <c r="P116" s="3">
        <f t="shared" si="40"/>
        <v>5531889785</v>
      </c>
    </row>
    <row r="117" spans="1:16" x14ac:dyDescent="0.35">
      <c r="A117" t="s">
        <v>162</v>
      </c>
      <c r="B117" t="s">
        <v>163</v>
      </c>
      <c r="C117" s="1">
        <v>76405097139</v>
      </c>
      <c r="D117">
        <v>9079168406</v>
      </c>
      <c r="E117">
        <v>430965267</v>
      </c>
      <c r="F117">
        <v>0</v>
      </c>
      <c r="G117">
        <v>9510133673</v>
      </c>
      <c r="H117">
        <v>66894963470</v>
      </c>
      <c r="I117">
        <v>12041093433</v>
      </c>
      <c r="J117">
        <v>85598807</v>
      </c>
      <c r="K117">
        <v>12126692241</v>
      </c>
      <c r="L117">
        <v>960297102</v>
      </c>
      <c r="M117">
        <v>5634505352</v>
      </c>
      <c r="N117">
        <v>6594802454</v>
      </c>
      <c r="O117">
        <v>0</v>
      </c>
      <c r="P117">
        <v>5531889785</v>
      </c>
    </row>
    <row r="118" spans="1:16" x14ac:dyDescent="0.35">
      <c r="A118" s="2" t="str">
        <f>[2]RCPA2!$A$177</f>
        <v>E02</v>
      </c>
      <c r="B118" s="2" t="str">
        <f>[2]RCPA2!$C$177</f>
        <v>Waste collection &amp; management</v>
      </c>
      <c r="C118" s="3">
        <f>C119</f>
        <v>5704285443</v>
      </c>
      <c r="D118" s="3">
        <f t="shared" ref="D118:P118" si="41">D119</f>
        <v>1231517738</v>
      </c>
      <c r="E118" s="3">
        <f t="shared" si="41"/>
        <v>498678496</v>
      </c>
      <c r="F118" s="3">
        <f t="shared" si="41"/>
        <v>0</v>
      </c>
      <c r="G118" s="3">
        <f t="shared" si="41"/>
        <v>1730196234</v>
      </c>
      <c r="H118" s="3">
        <f t="shared" si="41"/>
        <v>3974089209</v>
      </c>
      <c r="I118" s="3">
        <f t="shared" si="41"/>
        <v>715336056</v>
      </c>
      <c r="J118" s="3">
        <f t="shared" si="41"/>
        <v>0</v>
      </c>
      <c r="K118" s="3">
        <f t="shared" si="41"/>
        <v>715336056</v>
      </c>
      <c r="L118" s="3">
        <f t="shared" si="41"/>
        <v>103096881</v>
      </c>
      <c r="M118" s="3">
        <f t="shared" si="41"/>
        <v>216898539</v>
      </c>
      <c r="N118" s="3">
        <f t="shared" si="41"/>
        <v>319995420</v>
      </c>
      <c r="O118" s="3">
        <f t="shared" si="41"/>
        <v>0</v>
      </c>
      <c r="P118" s="3">
        <f t="shared" si="41"/>
        <v>395340636</v>
      </c>
    </row>
    <row r="119" spans="1:16" x14ac:dyDescent="0.35">
      <c r="A119" t="s">
        <v>164</v>
      </c>
      <c r="B119" t="s">
        <v>165</v>
      </c>
      <c r="C119" s="1">
        <v>5704285443</v>
      </c>
      <c r="D119">
        <v>1231517738</v>
      </c>
      <c r="E119">
        <v>498678496</v>
      </c>
      <c r="F119">
        <v>0</v>
      </c>
      <c r="G119">
        <v>1730196234</v>
      </c>
      <c r="H119">
        <v>3974089209</v>
      </c>
      <c r="I119">
        <v>715336056</v>
      </c>
      <c r="J119">
        <v>0</v>
      </c>
      <c r="K119">
        <v>715336056</v>
      </c>
      <c r="L119">
        <v>103096881</v>
      </c>
      <c r="M119">
        <v>216898539</v>
      </c>
      <c r="N119">
        <v>319995420</v>
      </c>
      <c r="O119">
        <v>0</v>
      </c>
      <c r="P119">
        <v>395340636</v>
      </c>
    </row>
    <row r="120" spans="1:16" x14ac:dyDescent="0.35">
      <c r="A120" s="2" t="str">
        <f>[2]RCPA2!$A$180</f>
        <v>F01</v>
      </c>
      <c r="B120" s="2" t="str">
        <f>[2]RCPA2!$C$180</f>
        <v>Construction (modern)</v>
      </c>
      <c r="C120" s="3">
        <f>C121+C122+C123+C124</f>
        <v>1413649367546</v>
      </c>
      <c r="D120" s="3">
        <f t="shared" ref="D120:P120" si="42">D121+D122+D123+D124</f>
        <v>153212446884</v>
      </c>
      <c r="E120" s="3">
        <f t="shared" si="42"/>
        <v>85071107790</v>
      </c>
      <c r="F120" s="3">
        <f t="shared" si="42"/>
        <v>384224336</v>
      </c>
      <c r="G120" s="3">
        <f t="shared" si="42"/>
        <v>238667779010</v>
      </c>
      <c r="H120" s="3">
        <f t="shared" si="42"/>
        <v>1174981588538</v>
      </c>
      <c r="I120" s="3">
        <f t="shared" si="42"/>
        <v>211496686161</v>
      </c>
      <c r="J120" s="3">
        <f t="shared" si="42"/>
        <v>54442811</v>
      </c>
      <c r="K120" s="3">
        <f t="shared" si="42"/>
        <v>211551128972</v>
      </c>
      <c r="L120" s="3">
        <f t="shared" si="42"/>
        <v>21550851103</v>
      </c>
      <c r="M120" s="3">
        <f t="shared" si="42"/>
        <v>156686108162</v>
      </c>
      <c r="N120" s="3">
        <f t="shared" si="42"/>
        <v>178236959265</v>
      </c>
      <c r="O120" s="3">
        <f t="shared" si="42"/>
        <v>8206662</v>
      </c>
      <c r="P120" s="3">
        <f t="shared" si="42"/>
        <v>33305962919</v>
      </c>
    </row>
    <row r="121" spans="1:16" x14ac:dyDescent="0.35">
      <c r="A121" t="s">
        <v>166</v>
      </c>
      <c r="B121" t="s">
        <v>167</v>
      </c>
      <c r="C121" s="1">
        <v>197381390854</v>
      </c>
      <c r="D121">
        <v>13199835144</v>
      </c>
      <c r="E121">
        <v>7080478910</v>
      </c>
      <c r="F121">
        <v>0</v>
      </c>
      <c r="G121">
        <v>20280314054</v>
      </c>
      <c r="H121">
        <v>177101076800</v>
      </c>
      <c r="I121">
        <v>31878193818</v>
      </c>
      <c r="J121">
        <v>0</v>
      </c>
      <c r="K121">
        <v>31878193818</v>
      </c>
      <c r="L121">
        <v>2106760473</v>
      </c>
      <c r="M121">
        <v>16281092525</v>
      </c>
      <c r="N121">
        <v>18387852998</v>
      </c>
      <c r="O121">
        <v>0</v>
      </c>
      <c r="P121">
        <v>13490340818</v>
      </c>
    </row>
    <row r="122" spans="1:16" x14ac:dyDescent="0.35">
      <c r="A122" t="s">
        <v>168</v>
      </c>
      <c r="B122" t="s">
        <v>169</v>
      </c>
      <c r="C122" s="1">
        <v>106917340576</v>
      </c>
      <c r="D122">
        <v>19785923073</v>
      </c>
      <c r="E122">
        <v>44515570831</v>
      </c>
      <c r="F122">
        <v>0</v>
      </c>
      <c r="G122">
        <v>64301493904</v>
      </c>
      <c r="H122">
        <v>42615846672</v>
      </c>
      <c r="I122">
        <v>7670852412</v>
      </c>
      <c r="J122">
        <v>1016585</v>
      </c>
      <c r="K122">
        <v>7671868997</v>
      </c>
      <c r="L122">
        <v>1113553555</v>
      </c>
      <c r="M122">
        <v>4937815327</v>
      </c>
      <c r="N122">
        <v>6051368882</v>
      </c>
      <c r="O122">
        <v>1</v>
      </c>
      <c r="P122">
        <v>1620500107</v>
      </c>
    </row>
    <row r="123" spans="1:16" x14ac:dyDescent="0.35">
      <c r="A123" t="s">
        <v>170</v>
      </c>
      <c r="B123" t="s">
        <v>171</v>
      </c>
      <c r="C123" s="1">
        <v>711402639928</v>
      </c>
      <c r="D123">
        <v>82637194086</v>
      </c>
      <c r="E123">
        <v>28065394543</v>
      </c>
      <c r="F123">
        <v>7742336</v>
      </c>
      <c r="G123">
        <v>110710330965</v>
      </c>
      <c r="H123">
        <v>600692308965</v>
      </c>
      <c r="I123">
        <v>108124615714</v>
      </c>
      <c r="J123">
        <v>50539662</v>
      </c>
      <c r="K123">
        <v>108175155376</v>
      </c>
      <c r="L123">
        <v>11067433455</v>
      </c>
      <c r="M123">
        <v>84071779174</v>
      </c>
      <c r="N123">
        <v>95139212629</v>
      </c>
      <c r="O123">
        <v>4713280</v>
      </c>
      <c r="P123">
        <v>13031229413</v>
      </c>
    </row>
    <row r="124" spans="1:16" x14ac:dyDescent="0.35">
      <c r="A124" t="s">
        <v>172</v>
      </c>
      <c r="B124" t="s">
        <v>173</v>
      </c>
      <c r="C124" s="1">
        <v>397947996188</v>
      </c>
      <c r="D124">
        <v>37589494581</v>
      </c>
      <c r="E124">
        <v>5409663506</v>
      </c>
      <c r="F124">
        <v>376482000</v>
      </c>
      <c r="G124">
        <v>43375640087</v>
      </c>
      <c r="H124">
        <v>354572356101</v>
      </c>
      <c r="I124">
        <v>63823024217</v>
      </c>
      <c r="J124">
        <v>2886564</v>
      </c>
      <c r="K124">
        <v>63825910781</v>
      </c>
      <c r="L124">
        <v>7263103620</v>
      </c>
      <c r="M124">
        <v>51395421136</v>
      </c>
      <c r="N124">
        <v>58658524756</v>
      </c>
      <c r="O124">
        <v>3493381</v>
      </c>
      <c r="P124">
        <v>5163892581</v>
      </c>
    </row>
    <row r="125" spans="1:16" x14ac:dyDescent="0.35">
      <c r="A125" s="2" t="str">
        <f>[2]RCPA2!$A$188</f>
        <v>G10</v>
      </c>
      <c r="B125" s="2" t="str">
        <f>[2]RCPA2!$C$188</f>
        <v>Maintenance &amp; repair of motor vehicles</v>
      </c>
      <c r="C125" s="3">
        <f>C126</f>
        <v>71591251414</v>
      </c>
      <c r="D125" s="3">
        <f t="shared" ref="D125:P125" si="43">D126</f>
        <v>8403048659</v>
      </c>
      <c r="E125" s="3">
        <f t="shared" si="43"/>
        <v>1162757667</v>
      </c>
      <c r="F125" s="3">
        <f t="shared" si="43"/>
        <v>0</v>
      </c>
      <c r="G125" s="3">
        <f t="shared" si="43"/>
        <v>9565806326</v>
      </c>
      <c r="H125" s="3">
        <f t="shared" si="43"/>
        <v>62025445090</v>
      </c>
      <c r="I125" s="3">
        <f t="shared" si="43"/>
        <v>11164580163</v>
      </c>
      <c r="J125" s="3">
        <f t="shared" si="43"/>
        <v>1195759</v>
      </c>
      <c r="K125" s="3">
        <f t="shared" si="43"/>
        <v>11165775922</v>
      </c>
      <c r="L125" s="3">
        <f t="shared" si="43"/>
        <v>2975169546</v>
      </c>
      <c r="M125" s="3">
        <f t="shared" si="43"/>
        <v>5713369684</v>
      </c>
      <c r="N125" s="3">
        <f t="shared" si="43"/>
        <v>8688539230</v>
      </c>
      <c r="O125" s="3">
        <f t="shared" si="43"/>
        <v>0</v>
      </c>
      <c r="P125" s="3">
        <f t="shared" si="43"/>
        <v>2477236668</v>
      </c>
    </row>
    <row r="126" spans="1:16" x14ac:dyDescent="0.35">
      <c r="A126" t="s">
        <v>174</v>
      </c>
      <c r="B126" t="s">
        <v>337</v>
      </c>
      <c r="C126" s="1">
        <v>71591251414</v>
      </c>
      <c r="D126">
        <v>8403048659</v>
      </c>
      <c r="E126">
        <v>1162757667</v>
      </c>
      <c r="F126">
        <v>0</v>
      </c>
      <c r="G126">
        <v>9565806326</v>
      </c>
      <c r="H126">
        <v>62025445090</v>
      </c>
      <c r="I126">
        <v>11164580163</v>
      </c>
      <c r="J126">
        <v>1195759</v>
      </c>
      <c r="K126">
        <v>11165775922</v>
      </c>
      <c r="L126">
        <v>2975169546</v>
      </c>
      <c r="M126">
        <v>5713369684</v>
      </c>
      <c r="N126">
        <v>8688539230</v>
      </c>
      <c r="O126">
        <v>0</v>
      </c>
      <c r="P126">
        <v>2477236668</v>
      </c>
    </row>
    <row r="127" spans="1:16" x14ac:dyDescent="0.35">
      <c r="A127" s="2" t="str">
        <f>[2]RCPA2!$A$191</f>
        <v>G21</v>
      </c>
      <c r="B127" s="2" t="str">
        <f>[2]RCPA2!$C$191</f>
        <v>Wholesale &amp; retail trade of motor vehicles &amp; motorcycles</v>
      </c>
      <c r="C127" s="3">
        <f>C128</f>
        <v>359069122979</v>
      </c>
      <c r="D127" s="3">
        <f t="shared" ref="D127:P127" si="44">D128</f>
        <v>78702164687</v>
      </c>
      <c r="E127" s="3">
        <f t="shared" si="44"/>
        <v>104338941699</v>
      </c>
      <c r="F127" s="3">
        <f t="shared" si="44"/>
        <v>169852736</v>
      </c>
      <c r="G127" s="3">
        <f t="shared" si="44"/>
        <v>183210959122</v>
      </c>
      <c r="H127" s="3">
        <f t="shared" si="44"/>
        <v>175858163857</v>
      </c>
      <c r="I127" s="3">
        <f t="shared" si="44"/>
        <v>31654469561</v>
      </c>
      <c r="J127" s="3">
        <f t="shared" si="44"/>
        <v>8152081</v>
      </c>
      <c r="K127" s="3">
        <f t="shared" si="44"/>
        <v>31662621642</v>
      </c>
      <c r="L127" s="3">
        <f t="shared" si="44"/>
        <v>17161306413</v>
      </c>
      <c r="M127" s="3">
        <f t="shared" si="44"/>
        <v>10552189289</v>
      </c>
      <c r="N127" s="3">
        <f t="shared" si="44"/>
        <v>27713495702</v>
      </c>
      <c r="O127" s="3">
        <f t="shared" si="44"/>
        <v>0</v>
      </c>
      <c r="P127" s="3">
        <f t="shared" si="44"/>
        <v>3949125918</v>
      </c>
    </row>
    <row r="128" spans="1:16" x14ac:dyDescent="0.35">
      <c r="A128" t="s">
        <v>176</v>
      </c>
      <c r="B128" t="s">
        <v>177</v>
      </c>
      <c r="C128" s="1">
        <v>359069122979</v>
      </c>
      <c r="D128">
        <v>78702164687</v>
      </c>
      <c r="E128">
        <v>104338941699</v>
      </c>
      <c r="F128">
        <v>169852736</v>
      </c>
      <c r="G128">
        <v>183210959122</v>
      </c>
      <c r="H128">
        <v>175858163857</v>
      </c>
      <c r="I128">
        <v>31654469561</v>
      </c>
      <c r="J128">
        <v>8152081</v>
      </c>
      <c r="K128">
        <v>31662621642</v>
      </c>
      <c r="L128">
        <v>17161306413</v>
      </c>
      <c r="M128">
        <v>10552189289</v>
      </c>
      <c r="N128">
        <v>27713495702</v>
      </c>
      <c r="O128">
        <v>0</v>
      </c>
      <c r="P128">
        <v>3949125918</v>
      </c>
    </row>
    <row r="129" spans="1:16" x14ac:dyDescent="0.35">
      <c r="A129" s="2" t="str">
        <f>[2]RCPA2!$A$193</f>
        <v>G22</v>
      </c>
      <c r="B129" s="11" t="str">
        <f>[2]RCPA2!$C$193</f>
        <v>Wholesale trade, except of motor vehicles &amp; motorcycles</v>
      </c>
      <c r="C129" s="3">
        <f>C130+C131+C132+C133+C134+C135</f>
        <v>2413516642524</v>
      </c>
      <c r="D129" s="3">
        <f t="shared" ref="D129:P129" si="45">D130+D131+D132+D133+D134+D135</f>
        <v>1174801647394</v>
      </c>
      <c r="E129" s="3">
        <f t="shared" si="45"/>
        <v>293523746828</v>
      </c>
      <c r="F129" s="3">
        <f t="shared" si="45"/>
        <v>70117150035</v>
      </c>
      <c r="G129" s="3">
        <f t="shared" si="45"/>
        <v>1538442544257</v>
      </c>
      <c r="H129" s="3">
        <f t="shared" si="45"/>
        <v>875074098273</v>
      </c>
      <c r="I129" s="3">
        <f t="shared" si="45"/>
        <v>157513037375</v>
      </c>
      <c r="J129" s="3">
        <f t="shared" si="45"/>
        <v>322885083</v>
      </c>
      <c r="K129" s="3">
        <f t="shared" si="45"/>
        <v>157836223009</v>
      </c>
      <c r="L129" s="3">
        <f t="shared" si="45"/>
        <v>48760090153</v>
      </c>
      <c r="M129" s="3">
        <f t="shared" si="45"/>
        <v>85949488224</v>
      </c>
      <c r="N129" s="3">
        <f t="shared" si="45"/>
        <v>134709578377</v>
      </c>
      <c r="O129" s="3">
        <f t="shared" si="45"/>
        <v>11677897</v>
      </c>
      <c r="P129" s="3">
        <f t="shared" si="45"/>
        <v>23114966620</v>
      </c>
    </row>
    <row r="130" spans="1:16" x14ac:dyDescent="0.35">
      <c r="A130" t="s">
        <v>178</v>
      </c>
      <c r="B130" t="s">
        <v>179</v>
      </c>
      <c r="C130" s="1">
        <v>105423067769</v>
      </c>
      <c r="D130">
        <v>72369627769</v>
      </c>
      <c r="E130">
        <v>4120496222</v>
      </c>
      <c r="F130">
        <v>0</v>
      </c>
      <c r="G130">
        <v>76490123991</v>
      </c>
      <c r="H130">
        <v>28932943778</v>
      </c>
      <c r="I130">
        <v>5207929884</v>
      </c>
      <c r="J130">
        <v>0</v>
      </c>
      <c r="K130">
        <v>5207929884</v>
      </c>
      <c r="L130">
        <v>1042052827</v>
      </c>
      <c r="M130">
        <v>3413508552</v>
      </c>
      <c r="N130">
        <v>4455561379</v>
      </c>
      <c r="O130">
        <v>0</v>
      </c>
      <c r="P130">
        <v>752368501</v>
      </c>
    </row>
    <row r="131" spans="1:16" x14ac:dyDescent="0.35">
      <c r="A131" t="s">
        <v>180</v>
      </c>
      <c r="B131" t="s">
        <v>181</v>
      </c>
      <c r="C131" s="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5">
      <c r="A132" t="s">
        <v>182</v>
      </c>
      <c r="B132" t="s">
        <v>183</v>
      </c>
      <c r="C132" s="1">
        <v>176675466336</v>
      </c>
      <c r="D132">
        <v>56792717667</v>
      </c>
      <c r="E132">
        <v>11667006193</v>
      </c>
      <c r="F132">
        <v>407937834</v>
      </c>
      <c r="G132">
        <v>68867661694</v>
      </c>
      <c r="H132">
        <v>107807804645</v>
      </c>
      <c r="I132">
        <v>19405404859</v>
      </c>
      <c r="J132">
        <v>25494567</v>
      </c>
      <c r="K132">
        <v>19430899426</v>
      </c>
      <c r="L132">
        <v>8520516800</v>
      </c>
      <c r="M132">
        <v>10735434177</v>
      </c>
      <c r="N132">
        <v>19255950977</v>
      </c>
      <c r="O132">
        <v>1054765</v>
      </c>
      <c r="P132">
        <v>173893657</v>
      </c>
    </row>
    <row r="133" spans="1:16" x14ac:dyDescent="0.35">
      <c r="A133" t="s">
        <v>184</v>
      </c>
      <c r="B133" t="s">
        <v>185</v>
      </c>
      <c r="C133" s="1">
        <v>744095479597</v>
      </c>
      <c r="D133">
        <v>624972960379</v>
      </c>
      <c r="E133">
        <v>81463283918</v>
      </c>
      <c r="F133">
        <v>323779415</v>
      </c>
      <c r="G133">
        <v>706760023712</v>
      </c>
      <c r="H133">
        <v>37335455888</v>
      </c>
      <c r="I133">
        <v>6720382062</v>
      </c>
      <c r="J133">
        <v>165754133</v>
      </c>
      <c r="K133">
        <v>6886136195</v>
      </c>
      <c r="L133">
        <v>1968896954</v>
      </c>
      <c r="M133">
        <v>1408952252</v>
      </c>
      <c r="N133">
        <v>3377849206</v>
      </c>
      <c r="O133">
        <v>0</v>
      </c>
      <c r="P133">
        <v>3508286985</v>
      </c>
    </row>
    <row r="134" spans="1:16" x14ac:dyDescent="0.35">
      <c r="A134" t="s">
        <v>186</v>
      </c>
      <c r="B134" t="s">
        <v>187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35">
      <c r="A135" t="s">
        <v>188</v>
      </c>
      <c r="B135" t="s">
        <v>189</v>
      </c>
      <c r="C135" s="1">
        <v>1387322628822</v>
      </c>
      <c r="D135">
        <v>420666341579</v>
      </c>
      <c r="E135">
        <v>196272960495</v>
      </c>
      <c r="F135">
        <v>69385432786</v>
      </c>
      <c r="G135">
        <v>686324734860</v>
      </c>
      <c r="H135">
        <v>700997893962</v>
      </c>
      <c r="I135">
        <v>126179320570</v>
      </c>
      <c r="J135">
        <v>131636383</v>
      </c>
      <c r="K135">
        <v>126311257504</v>
      </c>
      <c r="L135">
        <v>37228623572</v>
      </c>
      <c r="M135">
        <v>70391593243</v>
      </c>
      <c r="N135">
        <v>107620216815</v>
      </c>
      <c r="O135">
        <v>10623132</v>
      </c>
      <c r="P135">
        <v>18680417477</v>
      </c>
    </row>
    <row r="136" spans="1:16" x14ac:dyDescent="0.35">
      <c r="A136" s="2" t="str">
        <f>[2]RCPA2!$A$200</f>
        <v>G23</v>
      </c>
      <c r="B136" s="2" t="str">
        <f>[2]RCPA2!$C$200</f>
        <v>Retail trade, except of motor vehicles &amp; motorcycles</v>
      </c>
      <c r="C136" s="3">
        <f>C137+C138+C139+C140+C141+C142+C143</f>
        <v>1933227787643</v>
      </c>
      <c r="D136" s="3">
        <f t="shared" ref="D136:P136" si="46">D137+D138+D139+D140+D141+D142+D143</f>
        <v>589387814142</v>
      </c>
      <c r="E136" s="3">
        <f t="shared" si="46"/>
        <v>32273246432</v>
      </c>
      <c r="F136" s="3">
        <f t="shared" si="46"/>
        <v>233786144</v>
      </c>
      <c r="G136" s="3">
        <f t="shared" si="46"/>
        <v>621894846717</v>
      </c>
      <c r="H136" s="3">
        <f t="shared" si="46"/>
        <v>1311332941412</v>
      </c>
      <c r="I136" s="3">
        <f t="shared" si="46"/>
        <v>236039975467</v>
      </c>
      <c r="J136" s="3">
        <f t="shared" si="46"/>
        <v>29329007</v>
      </c>
      <c r="K136" s="3">
        <f t="shared" si="46"/>
        <v>236069304532</v>
      </c>
      <c r="L136" s="3">
        <f t="shared" si="46"/>
        <v>43188578207</v>
      </c>
      <c r="M136" s="3">
        <f t="shared" si="46"/>
        <v>171664267408</v>
      </c>
      <c r="N136" s="3">
        <f t="shared" si="46"/>
        <v>214852845615</v>
      </c>
      <c r="O136" s="3">
        <f t="shared" si="46"/>
        <v>779184</v>
      </c>
      <c r="P136" s="3">
        <f t="shared" si="46"/>
        <v>21215633908</v>
      </c>
    </row>
    <row r="137" spans="1:16" x14ac:dyDescent="0.35">
      <c r="A137" t="s">
        <v>190</v>
      </c>
      <c r="B137" t="s">
        <v>191</v>
      </c>
      <c r="C137" s="1">
        <v>936815432154</v>
      </c>
      <c r="D137">
        <v>234348106293</v>
      </c>
      <c r="E137">
        <v>11313220507</v>
      </c>
      <c r="F137">
        <v>0</v>
      </c>
      <c r="G137">
        <v>245661326800</v>
      </c>
      <c r="H137">
        <v>691154105357</v>
      </c>
      <c r="I137">
        <v>124407784375</v>
      </c>
      <c r="J137">
        <v>18469660</v>
      </c>
      <c r="K137">
        <v>124426254035</v>
      </c>
      <c r="L137">
        <v>21201702746</v>
      </c>
      <c r="M137">
        <v>92175380141</v>
      </c>
      <c r="N137">
        <v>113377082887</v>
      </c>
      <c r="O137">
        <v>532584</v>
      </c>
      <c r="P137">
        <v>11048593236</v>
      </c>
    </row>
    <row r="138" spans="1:16" x14ac:dyDescent="0.35">
      <c r="A138" t="s">
        <v>192</v>
      </c>
      <c r="B138" t="s">
        <v>193</v>
      </c>
      <c r="C138" s="1">
        <v>266276958877</v>
      </c>
      <c r="D138">
        <v>86387308232</v>
      </c>
      <c r="E138">
        <v>3195728132</v>
      </c>
      <c r="F138">
        <v>0</v>
      </c>
      <c r="G138">
        <v>89583036364</v>
      </c>
      <c r="H138">
        <v>176693922978</v>
      </c>
      <c r="I138">
        <v>31804906107</v>
      </c>
      <c r="J138">
        <v>0</v>
      </c>
      <c r="K138">
        <v>31804906165</v>
      </c>
      <c r="L138">
        <v>4967413964</v>
      </c>
      <c r="M138">
        <v>24040354309</v>
      </c>
      <c r="N138">
        <v>29007768273</v>
      </c>
      <c r="O138">
        <v>0</v>
      </c>
      <c r="P138">
        <v>2797137898</v>
      </c>
    </row>
    <row r="139" spans="1:16" x14ac:dyDescent="0.35">
      <c r="A139" t="s">
        <v>194</v>
      </c>
      <c r="B139" t="s">
        <v>195</v>
      </c>
      <c r="C139" s="1">
        <v>165426303100</v>
      </c>
      <c r="D139">
        <v>152140281791</v>
      </c>
      <c r="E139">
        <v>4933186484</v>
      </c>
      <c r="F139">
        <v>0</v>
      </c>
      <c r="G139">
        <v>157073468275</v>
      </c>
      <c r="H139">
        <v>8352834828</v>
      </c>
      <c r="I139">
        <v>1503510273</v>
      </c>
      <c r="J139">
        <v>0</v>
      </c>
      <c r="K139">
        <v>1503510273</v>
      </c>
      <c r="L139">
        <v>110842414</v>
      </c>
      <c r="M139">
        <v>1293352970</v>
      </c>
      <c r="N139">
        <v>1404195384</v>
      </c>
      <c r="O139">
        <v>0</v>
      </c>
      <c r="P139">
        <v>99314888</v>
      </c>
    </row>
    <row r="140" spans="1:16" x14ac:dyDescent="0.35">
      <c r="A140" t="s">
        <v>196</v>
      </c>
      <c r="B140" t="s">
        <v>197</v>
      </c>
      <c r="C140" s="1">
        <v>12453150419</v>
      </c>
      <c r="D140">
        <v>356725504</v>
      </c>
      <c r="E140">
        <v>277818482</v>
      </c>
      <c r="F140">
        <v>0</v>
      </c>
      <c r="G140">
        <v>634543986</v>
      </c>
      <c r="H140">
        <v>11818606433</v>
      </c>
      <c r="I140">
        <v>2127349171</v>
      </c>
      <c r="J140">
        <v>0</v>
      </c>
      <c r="K140">
        <v>2127349171</v>
      </c>
      <c r="L140">
        <v>884397629</v>
      </c>
      <c r="M140">
        <v>1316034450</v>
      </c>
      <c r="N140">
        <v>2200432079</v>
      </c>
      <c r="O140">
        <v>0</v>
      </c>
      <c r="P140">
        <v>-73082919</v>
      </c>
    </row>
    <row r="141" spans="1:16" x14ac:dyDescent="0.35">
      <c r="A141" t="s">
        <v>198</v>
      </c>
      <c r="B141" t="s">
        <v>199</v>
      </c>
      <c r="C141" s="1">
        <v>79874804211</v>
      </c>
      <c r="D141">
        <v>53062683368</v>
      </c>
      <c r="E141">
        <v>2172981189</v>
      </c>
      <c r="F141">
        <v>0</v>
      </c>
      <c r="G141">
        <v>55235664557</v>
      </c>
      <c r="H141">
        <v>24639139669</v>
      </c>
      <c r="I141">
        <v>4435045567</v>
      </c>
      <c r="J141">
        <v>280357</v>
      </c>
      <c r="K141">
        <v>4435325924</v>
      </c>
      <c r="L141">
        <v>1309802213</v>
      </c>
      <c r="M141">
        <v>3310966325</v>
      </c>
      <c r="N141">
        <v>4620768538</v>
      </c>
      <c r="O141">
        <v>0</v>
      </c>
      <c r="P141">
        <v>-185443041</v>
      </c>
    </row>
    <row r="142" spans="1:16" x14ac:dyDescent="0.35">
      <c r="A142" t="s">
        <v>200</v>
      </c>
      <c r="B142" t="s">
        <v>201</v>
      </c>
      <c r="C142" s="1">
        <v>30240786052</v>
      </c>
      <c r="D142">
        <v>6573897686</v>
      </c>
      <c r="E142">
        <v>1427560491</v>
      </c>
      <c r="F142">
        <v>0</v>
      </c>
      <c r="G142">
        <v>8001458176</v>
      </c>
      <c r="H142">
        <v>22239327876</v>
      </c>
      <c r="I142">
        <v>4003079036</v>
      </c>
      <c r="J142">
        <v>74700</v>
      </c>
      <c r="K142">
        <v>4003153736</v>
      </c>
      <c r="L142">
        <v>169946525</v>
      </c>
      <c r="M142">
        <v>3398004813</v>
      </c>
      <c r="N142">
        <v>3567951338</v>
      </c>
      <c r="O142">
        <v>0</v>
      </c>
      <c r="P142">
        <v>435202394</v>
      </c>
    </row>
    <row r="143" spans="1:16" x14ac:dyDescent="0.35">
      <c r="A143" t="s">
        <v>202</v>
      </c>
      <c r="B143" t="s">
        <v>203</v>
      </c>
      <c r="C143" s="1">
        <v>442140352830</v>
      </c>
      <c r="D143">
        <v>56518811268</v>
      </c>
      <c r="E143">
        <v>8952751147</v>
      </c>
      <c r="F143">
        <v>233786144</v>
      </c>
      <c r="G143">
        <v>65705348559</v>
      </c>
      <c r="H143">
        <v>376435004271</v>
      </c>
      <c r="I143">
        <v>67758300938</v>
      </c>
      <c r="J143">
        <v>10504290</v>
      </c>
      <c r="K143">
        <v>67768805228</v>
      </c>
      <c r="L143">
        <v>14544472716</v>
      </c>
      <c r="M143">
        <v>46130174400</v>
      </c>
      <c r="N143">
        <v>60674647116</v>
      </c>
      <c r="O143">
        <v>246600</v>
      </c>
      <c r="P143">
        <v>7093911452</v>
      </c>
    </row>
    <row r="144" spans="1:16" x14ac:dyDescent="0.35">
      <c r="A144" s="2" t="str">
        <f>[2]RCPA2!$A$209</f>
        <v>H10</v>
      </c>
      <c r="B144" s="2" t="str">
        <f>[2]RCPA2!$C$209</f>
        <v>Land transport</v>
      </c>
      <c r="C144" s="3">
        <f>C145+C146</f>
        <v>335576720219</v>
      </c>
      <c r="D144" s="3">
        <f t="shared" ref="D144:P144" si="47">D145+D146</f>
        <v>127900148644</v>
      </c>
      <c r="E144" s="3">
        <f t="shared" si="47"/>
        <v>118877118425</v>
      </c>
      <c r="F144" s="3">
        <f t="shared" si="47"/>
        <v>0</v>
      </c>
      <c r="G144" s="3">
        <f t="shared" si="47"/>
        <v>246777267069</v>
      </c>
      <c r="H144" s="3">
        <f t="shared" si="47"/>
        <v>88799453148</v>
      </c>
      <c r="I144" s="3">
        <f t="shared" si="47"/>
        <v>15983901571</v>
      </c>
      <c r="J144" s="3">
        <f t="shared" si="47"/>
        <v>161475450</v>
      </c>
      <c r="K144" s="3">
        <f t="shared" si="47"/>
        <v>16145377021</v>
      </c>
      <c r="L144" s="3">
        <f t="shared" si="47"/>
        <v>4111637768</v>
      </c>
      <c r="M144" s="3">
        <f t="shared" si="47"/>
        <v>9027483350</v>
      </c>
      <c r="N144" s="3">
        <f t="shared" si="47"/>
        <v>13139121118</v>
      </c>
      <c r="O144" s="3">
        <f t="shared" si="47"/>
        <v>84004921</v>
      </c>
      <c r="P144" s="3">
        <f t="shared" si="47"/>
        <v>2922250974</v>
      </c>
    </row>
    <row r="145" spans="1:16" x14ac:dyDescent="0.35">
      <c r="A145" t="s">
        <v>204</v>
      </c>
      <c r="B145" t="s">
        <v>205</v>
      </c>
      <c r="C145" s="1">
        <v>109036711765</v>
      </c>
      <c r="D145">
        <v>53622784126</v>
      </c>
      <c r="E145">
        <v>4090246753</v>
      </c>
      <c r="F145">
        <v>0</v>
      </c>
      <c r="G145">
        <v>57713030879</v>
      </c>
      <c r="H145">
        <v>51323680886</v>
      </c>
      <c r="I145">
        <v>9238262559</v>
      </c>
      <c r="J145">
        <v>38524627</v>
      </c>
      <c r="K145">
        <v>9276787186</v>
      </c>
      <c r="L145">
        <v>1303034195</v>
      </c>
      <c r="M145">
        <v>5346671710</v>
      </c>
      <c r="N145">
        <v>6649705905</v>
      </c>
      <c r="O145">
        <v>0</v>
      </c>
      <c r="P145">
        <v>2627081273</v>
      </c>
    </row>
    <row r="146" spans="1:16" x14ac:dyDescent="0.35">
      <c r="A146" t="s">
        <v>206</v>
      </c>
      <c r="B146" t="s">
        <v>207</v>
      </c>
      <c r="C146" s="1">
        <v>226540008454</v>
      </c>
      <c r="D146">
        <v>74277364518</v>
      </c>
      <c r="E146">
        <v>114786871672</v>
      </c>
      <c r="F146">
        <v>0</v>
      </c>
      <c r="G146">
        <v>189064236190</v>
      </c>
      <c r="H146">
        <v>37475772262</v>
      </c>
      <c r="I146">
        <v>6745639012</v>
      </c>
      <c r="J146">
        <v>122950823</v>
      </c>
      <c r="K146">
        <v>6868589835</v>
      </c>
      <c r="L146">
        <v>2808603573</v>
      </c>
      <c r="M146">
        <v>3680811640</v>
      </c>
      <c r="N146">
        <v>6489415213</v>
      </c>
      <c r="O146">
        <v>84004921</v>
      </c>
      <c r="P146">
        <v>295169701</v>
      </c>
    </row>
    <row r="147" spans="1:16" x14ac:dyDescent="0.35">
      <c r="A147" s="2" t="str">
        <f>[2]RCPA2!$A$213</f>
        <v>H20</v>
      </c>
      <c r="B147" s="2" t="str">
        <f>[2]RCPA2!$C$213</f>
        <v>Air transport</v>
      </c>
      <c r="C147" s="3">
        <f>C148+C149</f>
        <v>297529877081</v>
      </c>
      <c r="D147" s="3">
        <f t="shared" ref="D147:P147" si="48">D148+D149</f>
        <v>263404086864</v>
      </c>
      <c r="E147" s="3">
        <f t="shared" si="48"/>
        <v>28550299338</v>
      </c>
      <c r="F147" s="3">
        <f t="shared" si="48"/>
        <v>0</v>
      </c>
      <c r="G147" s="3">
        <f t="shared" si="48"/>
        <v>291954386202</v>
      </c>
      <c r="H147" s="3">
        <f t="shared" si="48"/>
        <v>5575490880</v>
      </c>
      <c r="I147" s="3">
        <f t="shared" si="48"/>
        <v>1003588360</v>
      </c>
      <c r="J147" s="3">
        <f t="shared" si="48"/>
        <v>0</v>
      </c>
      <c r="K147" s="3">
        <f t="shared" si="48"/>
        <v>1003588360</v>
      </c>
      <c r="L147" s="3">
        <f t="shared" si="48"/>
        <v>85870930</v>
      </c>
      <c r="M147" s="3">
        <f t="shared" si="48"/>
        <v>7054640</v>
      </c>
      <c r="N147" s="3">
        <f t="shared" si="48"/>
        <v>92925570</v>
      </c>
      <c r="O147" s="3">
        <f t="shared" si="48"/>
        <v>0</v>
      </c>
      <c r="P147" s="3">
        <f t="shared" si="48"/>
        <v>910662790</v>
      </c>
    </row>
    <row r="148" spans="1:16" x14ac:dyDescent="0.35">
      <c r="A148" t="s">
        <v>208</v>
      </c>
      <c r="B148" t="s">
        <v>209</v>
      </c>
      <c r="C148" s="1">
        <v>291394167396</v>
      </c>
      <c r="D148">
        <v>258754832822</v>
      </c>
      <c r="E148">
        <v>27647862363</v>
      </c>
      <c r="F148">
        <v>0</v>
      </c>
      <c r="G148">
        <v>286402695185</v>
      </c>
      <c r="H148">
        <v>4991472212</v>
      </c>
      <c r="I148">
        <v>898464999</v>
      </c>
      <c r="J148">
        <v>0</v>
      </c>
      <c r="K148">
        <v>898464999</v>
      </c>
      <c r="L148">
        <v>0</v>
      </c>
      <c r="M148">
        <v>0</v>
      </c>
      <c r="N148">
        <v>0</v>
      </c>
      <c r="O148">
        <v>0</v>
      </c>
      <c r="P148">
        <v>898464999</v>
      </c>
    </row>
    <row r="149" spans="1:16" x14ac:dyDescent="0.35">
      <c r="A149" t="s">
        <v>210</v>
      </c>
      <c r="B149" t="s">
        <v>211</v>
      </c>
      <c r="C149" s="1">
        <v>6135709685</v>
      </c>
      <c r="D149">
        <v>4649254042</v>
      </c>
      <c r="E149">
        <v>902436975</v>
      </c>
      <c r="F149">
        <v>0</v>
      </c>
      <c r="G149">
        <v>5551691017</v>
      </c>
      <c r="H149">
        <v>584018668</v>
      </c>
      <c r="I149">
        <v>105123361</v>
      </c>
      <c r="J149">
        <v>0</v>
      </c>
      <c r="K149">
        <v>105123361</v>
      </c>
      <c r="L149">
        <v>85870930</v>
      </c>
      <c r="M149">
        <v>7054640</v>
      </c>
      <c r="N149">
        <v>92925570</v>
      </c>
      <c r="O149">
        <v>0</v>
      </c>
      <c r="P149">
        <v>12197791</v>
      </c>
    </row>
    <row r="150" spans="1:16" x14ac:dyDescent="0.35">
      <c r="A150" s="2" t="str">
        <f>[2]RCPA2!$A$217</f>
        <v>H31</v>
      </c>
      <c r="B150" s="2" t="str">
        <f>[2]RCPA2!$C$217</f>
        <v xml:space="preserve">Services related to transport </v>
      </c>
      <c r="C150" s="3">
        <f>C151</f>
        <v>272375863211</v>
      </c>
      <c r="D150" s="3">
        <f t="shared" ref="D150:P150" si="49">D151</f>
        <v>118746815893</v>
      </c>
      <c r="E150" s="3">
        <f t="shared" si="49"/>
        <v>28091683839</v>
      </c>
      <c r="F150" s="3">
        <f t="shared" si="49"/>
        <v>0</v>
      </c>
      <c r="G150" s="3">
        <f t="shared" si="49"/>
        <v>146838499732</v>
      </c>
      <c r="H150" s="3">
        <f t="shared" si="49"/>
        <v>125537363476</v>
      </c>
      <c r="I150" s="3">
        <f t="shared" si="49"/>
        <v>22596725427</v>
      </c>
      <c r="J150" s="3">
        <f t="shared" si="49"/>
        <v>23703709</v>
      </c>
      <c r="K150" s="3">
        <f t="shared" si="49"/>
        <v>22620429136</v>
      </c>
      <c r="L150" s="3">
        <f t="shared" si="49"/>
        <v>10765931844</v>
      </c>
      <c r="M150" s="3">
        <f t="shared" si="49"/>
        <v>7656831096</v>
      </c>
      <c r="N150" s="3">
        <f t="shared" si="49"/>
        <v>18422762940</v>
      </c>
      <c r="O150" s="3">
        <f t="shared" si="49"/>
        <v>0</v>
      </c>
      <c r="P150" s="3">
        <f t="shared" si="49"/>
        <v>4197666193</v>
      </c>
    </row>
    <row r="151" spans="1:16" x14ac:dyDescent="0.35">
      <c r="A151" t="s">
        <v>212</v>
      </c>
      <c r="B151" t="s">
        <v>213</v>
      </c>
      <c r="C151" s="1">
        <v>272375863211</v>
      </c>
      <c r="D151">
        <v>118746815893</v>
      </c>
      <c r="E151">
        <v>28091683839</v>
      </c>
      <c r="F151">
        <v>0</v>
      </c>
      <c r="G151">
        <v>146838499732</v>
      </c>
      <c r="H151">
        <v>125537363476</v>
      </c>
      <c r="I151">
        <v>22596725427</v>
      </c>
      <c r="J151">
        <v>23703709</v>
      </c>
      <c r="K151">
        <v>22620429136</v>
      </c>
      <c r="L151">
        <v>10765931844</v>
      </c>
      <c r="M151">
        <v>7656831096</v>
      </c>
      <c r="N151">
        <v>18422762940</v>
      </c>
      <c r="O151">
        <v>0</v>
      </c>
      <c r="P151">
        <v>4197666193</v>
      </c>
    </row>
    <row r="152" spans="1:16" x14ac:dyDescent="0.35">
      <c r="A152" s="2" t="str">
        <f>[2]RCPA2!$A$219</f>
        <v>H32</v>
      </c>
      <c r="B152" s="11" t="str">
        <f>[2]RCPA2!$C$219</f>
        <v>Postal &amp; courier activities</v>
      </c>
      <c r="C152" s="3">
        <f>C153</f>
        <v>11861603280</v>
      </c>
      <c r="D152" s="3">
        <f t="shared" ref="D152:P152" si="50">D153</f>
        <v>5697683397</v>
      </c>
      <c r="E152" s="3">
        <f t="shared" si="50"/>
        <v>0</v>
      </c>
      <c r="F152" s="3">
        <f t="shared" si="50"/>
        <v>0</v>
      </c>
      <c r="G152" s="3">
        <f t="shared" si="50"/>
        <v>5697683397</v>
      </c>
      <c r="H152" s="3">
        <f t="shared" si="50"/>
        <v>6163919923</v>
      </c>
      <c r="I152" s="3">
        <f t="shared" si="50"/>
        <v>1109505586</v>
      </c>
      <c r="J152" s="3">
        <f t="shared" si="50"/>
        <v>2549890</v>
      </c>
      <c r="K152" s="3">
        <f t="shared" si="50"/>
        <v>1112055478</v>
      </c>
      <c r="L152" s="3">
        <f t="shared" si="50"/>
        <v>10164818</v>
      </c>
      <c r="M152" s="3">
        <f t="shared" si="50"/>
        <v>274265914</v>
      </c>
      <c r="N152" s="3">
        <f t="shared" si="50"/>
        <v>284430732</v>
      </c>
      <c r="O152" s="3">
        <f t="shared" si="50"/>
        <v>0</v>
      </c>
      <c r="P152" s="3">
        <f t="shared" si="50"/>
        <v>827624762</v>
      </c>
    </row>
    <row r="153" spans="1:16" x14ac:dyDescent="0.35">
      <c r="A153" t="s">
        <v>214</v>
      </c>
      <c r="B153" t="s">
        <v>215</v>
      </c>
      <c r="C153" s="1">
        <v>11861603280</v>
      </c>
      <c r="D153">
        <v>5697683397</v>
      </c>
      <c r="E153">
        <v>0</v>
      </c>
      <c r="F153">
        <v>0</v>
      </c>
      <c r="G153">
        <v>5697683397</v>
      </c>
      <c r="H153">
        <v>6163919923</v>
      </c>
      <c r="I153">
        <v>1109505586</v>
      </c>
      <c r="J153">
        <v>2549890</v>
      </c>
      <c r="K153">
        <v>1112055478</v>
      </c>
      <c r="L153">
        <v>10164818</v>
      </c>
      <c r="M153">
        <v>274265914</v>
      </c>
      <c r="N153">
        <v>284430732</v>
      </c>
      <c r="O153">
        <v>0</v>
      </c>
      <c r="P153">
        <v>827624762</v>
      </c>
    </row>
    <row r="154" spans="1:16" x14ac:dyDescent="0.35">
      <c r="A154" s="2" t="str">
        <f>[2]RCPA2!$A$222</f>
        <v>I00</v>
      </c>
      <c r="B154" s="2" t="str">
        <f>[2]RCPA2!$C$222</f>
        <v>Hotels &amp; restaurants</v>
      </c>
      <c r="C154" s="3">
        <f>C155+C156</f>
        <v>614698173503</v>
      </c>
      <c r="D154" s="3">
        <f t="shared" ref="D154:P154" si="51">D155+D156</f>
        <v>64052596820</v>
      </c>
      <c r="E154" s="3">
        <f t="shared" si="51"/>
        <v>37087334636</v>
      </c>
      <c r="F154" s="3">
        <f t="shared" si="51"/>
        <v>14197252408</v>
      </c>
      <c r="G154" s="3">
        <f t="shared" si="51"/>
        <v>115337183863</v>
      </c>
      <c r="H154" s="3">
        <f t="shared" si="51"/>
        <v>499360989642</v>
      </c>
      <c r="I154" s="3">
        <f t="shared" si="51"/>
        <v>89885091226</v>
      </c>
      <c r="J154" s="3">
        <f t="shared" si="51"/>
        <v>1020852366</v>
      </c>
      <c r="K154" s="3">
        <f t="shared" si="51"/>
        <v>90905830651</v>
      </c>
      <c r="L154" s="3">
        <f t="shared" si="51"/>
        <v>4185789854</v>
      </c>
      <c r="M154" s="3">
        <f t="shared" si="51"/>
        <v>49683989389</v>
      </c>
      <c r="N154" s="3">
        <f t="shared" si="51"/>
        <v>53869779243</v>
      </c>
      <c r="O154" s="3">
        <f t="shared" si="51"/>
        <v>628908795</v>
      </c>
      <c r="P154" s="3">
        <f t="shared" si="51"/>
        <v>36407142551</v>
      </c>
    </row>
    <row r="155" spans="1:16" x14ac:dyDescent="0.35">
      <c r="A155" t="s">
        <v>216</v>
      </c>
      <c r="B155" t="s">
        <v>217</v>
      </c>
      <c r="C155" s="1">
        <v>332100573875</v>
      </c>
      <c r="D155">
        <v>20635583607</v>
      </c>
      <c r="E155">
        <v>1715598614</v>
      </c>
      <c r="F155">
        <v>0</v>
      </c>
      <c r="G155">
        <v>22351182221</v>
      </c>
      <c r="H155">
        <v>309749391654</v>
      </c>
      <c r="I155">
        <v>55754890559</v>
      </c>
      <c r="J155">
        <v>1011594710</v>
      </c>
      <c r="K155">
        <v>56766485269</v>
      </c>
      <c r="L155">
        <v>3190880390</v>
      </c>
      <c r="M155">
        <v>24525787256</v>
      </c>
      <c r="N155">
        <v>27716667646</v>
      </c>
      <c r="O155">
        <v>628846740</v>
      </c>
      <c r="P155">
        <v>28420970859</v>
      </c>
    </row>
    <row r="156" spans="1:16" x14ac:dyDescent="0.35">
      <c r="A156" t="s">
        <v>218</v>
      </c>
      <c r="B156" t="s">
        <v>219</v>
      </c>
      <c r="C156" s="1">
        <v>282597599628</v>
      </c>
      <c r="D156">
        <v>43417013213</v>
      </c>
      <c r="E156">
        <v>35371736022</v>
      </c>
      <c r="F156">
        <v>14197252408</v>
      </c>
      <c r="G156">
        <v>92986001642</v>
      </c>
      <c r="H156">
        <v>189611597988</v>
      </c>
      <c r="I156">
        <v>34130200667</v>
      </c>
      <c r="J156">
        <v>9257656</v>
      </c>
      <c r="K156">
        <v>34139345382</v>
      </c>
      <c r="L156">
        <v>994909464</v>
      </c>
      <c r="M156">
        <v>25158202133</v>
      </c>
      <c r="N156">
        <v>26153111597</v>
      </c>
      <c r="O156">
        <v>62055</v>
      </c>
      <c r="P156">
        <v>7986171692</v>
      </c>
    </row>
    <row r="157" spans="1:16" x14ac:dyDescent="0.35">
      <c r="A157" s="2" t="str">
        <f>[2]RCPA2!$A$226</f>
        <v>J10</v>
      </c>
      <c r="B157" s="11" t="str">
        <f>[2]RCPA2!$C$226</f>
        <v>Publishing, video making, programming &amp; broadcasting activities</v>
      </c>
      <c r="C157" s="3">
        <f>C158+C159+C160</f>
        <v>36338063794</v>
      </c>
      <c r="D157" s="3">
        <f t="shared" ref="D157:P157" si="52">D158+D159+D160</f>
        <v>3192185774</v>
      </c>
      <c r="E157" s="3">
        <f t="shared" si="52"/>
        <v>1178363696</v>
      </c>
      <c r="F157" s="3">
        <f t="shared" si="52"/>
        <v>0</v>
      </c>
      <c r="G157" s="3">
        <f t="shared" si="52"/>
        <v>4370549470</v>
      </c>
      <c r="H157" s="3">
        <f t="shared" si="52"/>
        <v>31967514490</v>
      </c>
      <c r="I157" s="3">
        <f t="shared" si="52"/>
        <v>5754152571</v>
      </c>
      <c r="J157" s="3">
        <f t="shared" si="52"/>
        <v>71949</v>
      </c>
      <c r="K157" s="3">
        <f t="shared" si="52"/>
        <v>5754224550</v>
      </c>
      <c r="L157" s="3">
        <f t="shared" si="52"/>
        <v>614772940</v>
      </c>
      <c r="M157" s="3">
        <f t="shared" si="52"/>
        <v>1916061841</v>
      </c>
      <c r="N157" s="3">
        <f t="shared" si="52"/>
        <v>2530834781</v>
      </c>
      <c r="O157" s="3">
        <f t="shared" si="52"/>
        <v>0</v>
      </c>
      <c r="P157" s="3">
        <f t="shared" si="52"/>
        <v>3223389767</v>
      </c>
    </row>
    <row r="158" spans="1:16" x14ac:dyDescent="0.35">
      <c r="A158" t="s">
        <v>220</v>
      </c>
      <c r="B158" t="s">
        <v>221</v>
      </c>
      <c r="C158" s="1">
        <v>9431090619</v>
      </c>
      <c r="D158">
        <v>2276322257</v>
      </c>
      <c r="E158">
        <v>929680795</v>
      </c>
      <c r="F158">
        <v>0</v>
      </c>
      <c r="G158">
        <v>3206003052</v>
      </c>
      <c r="H158">
        <v>6225087567</v>
      </c>
      <c r="I158">
        <v>1120515755</v>
      </c>
      <c r="J158">
        <v>71949</v>
      </c>
      <c r="K158">
        <v>1120587704</v>
      </c>
      <c r="L158">
        <v>8261594</v>
      </c>
      <c r="M158">
        <v>452954441</v>
      </c>
      <c r="N158">
        <v>461216035</v>
      </c>
      <c r="O158">
        <v>0</v>
      </c>
      <c r="P158">
        <v>659371669</v>
      </c>
    </row>
    <row r="159" spans="1:16" x14ac:dyDescent="0.35">
      <c r="A159" t="s">
        <v>222</v>
      </c>
      <c r="B159" t="s">
        <v>223</v>
      </c>
      <c r="C159" s="1">
        <v>16269817274</v>
      </c>
      <c r="D159">
        <v>751866957</v>
      </c>
      <c r="E159">
        <v>248682901</v>
      </c>
      <c r="F159">
        <v>0</v>
      </c>
      <c r="G159">
        <v>1000549858</v>
      </c>
      <c r="H159">
        <v>15269267582</v>
      </c>
      <c r="I159">
        <v>2748468139</v>
      </c>
      <c r="J159">
        <v>0</v>
      </c>
      <c r="K159">
        <v>2748468169</v>
      </c>
      <c r="L159">
        <v>546589808</v>
      </c>
      <c r="M159">
        <v>824978806</v>
      </c>
      <c r="N159">
        <v>1371568614</v>
      </c>
      <c r="O159">
        <v>0</v>
      </c>
      <c r="P159">
        <v>1376899554</v>
      </c>
    </row>
    <row r="160" spans="1:16" x14ac:dyDescent="0.35">
      <c r="A160" t="s">
        <v>224</v>
      </c>
      <c r="B160" t="s">
        <v>225</v>
      </c>
      <c r="C160" s="1">
        <v>10637155901</v>
      </c>
      <c r="D160">
        <v>163996560</v>
      </c>
      <c r="E160">
        <v>0</v>
      </c>
      <c r="F160">
        <v>0</v>
      </c>
      <c r="G160">
        <v>163996560</v>
      </c>
      <c r="H160">
        <v>10473159341</v>
      </c>
      <c r="I160">
        <v>1885168677</v>
      </c>
      <c r="J160">
        <v>0</v>
      </c>
      <c r="K160">
        <v>1885168677</v>
      </c>
      <c r="L160">
        <v>59921538</v>
      </c>
      <c r="M160">
        <v>638128594</v>
      </c>
      <c r="N160">
        <v>698050132</v>
      </c>
      <c r="O160">
        <v>0</v>
      </c>
      <c r="P160">
        <v>1187118544</v>
      </c>
    </row>
    <row r="161" spans="1:16" x14ac:dyDescent="0.35">
      <c r="A161" s="2" t="str">
        <f>[2]RCPA2!$A$231</f>
        <v>J20</v>
      </c>
      <c r="B161" s="2" t="str">
        <f>[2]RCPA2!$C$231</f>
        <v>Telecommunication</v>
      </c>
      <c r="C161" s="3">
        <f>C162</f>
        <v>485817838251</v>
      </c>
      <c r="D161" s="3">
        <f t="shared" ref="D161:P161" si="53">D162</f>
        <v>52044015939</v>
      </c>
      <c r="E161" s="3">
        <f t="shared" si="53"/>
        <v>5493525245</v>
      </c>
      <c r="F161" s="3">
        <f t="shared" si="53"/>
        <v>0</v>
      </c>
      <c r="G161" s="3">
        <f t="shared" si="53"/>
        <v>57537541184</v>
      </c>
      <c r="H161" s="3">
        <f t="shared" si="53"/>
        <v>428280297116</v>
      </c>
      <c r="I161" s="3">
        <f t="shared" si="53"/>
        <v>77090453483</v>
      </c>
      <c r="J161" s="3">
        <f t="shared" si="53"/>
        <v>5793967362</v>
      </c>
      <c r="K161" s="3">
        <f t="shared" si="53"/>
        <v>82884420854</v>
      </c>
      <c r="L161" s="3">
        <f t="shared" si="53"/>
        <v>938031999</v>
      </c>
      <c r="M161" s="3">
        <f t="shared" si="53"/>
        <v>38566063438</v>
      </c>
      <c r="N161" s="3">
        <f t="shared" si="53"/>
        <v>39504095437</v>
      </c>
      <c r="O161" s="3">
        <f t="shared" si="53"/>
        <v>2563775306</v>
      </c>
      <c r="P161" s="3">
        <f t="shared" si="53"/>
        <v>40816550106</v>
      </c>
    </row>
    <row r="162" spans="1:16" x14ac:dyDescent="0.35">
      <c r="A162" t="s">
        <v>226</v>
      </c>
      <c r="B162" t="s">
        <v>227</v>
      </c>
      <c r="C162" s="1">
        <v>485817838251</v>
      </c>
      <c r="D162">
        <v>52044015939</v>
      </c>
      <c r="E162">
        <v>5493525245</v>
      </c>
      <c r="F162">
        <v>0</v>
      </c>
      <c r="G162">
        <v>57537541184</v>
      </c>
      <c r="H162">
        <v>428280297116</v>
      </c>
      <c r="I162">
        <v>77090453483</v>
      </c>
      <c r="J162">
        <v>5793967362</v>
      </c>
      <c r="K162">
        <v>82884420854</v>
      </c>
      <c r="L162">
        <v>938031999</v>
      </c>
      <c r="M162">
        <v>38566063438</v>
      </c>
      <c r="N162">
        <v>39504095437</v>
      </c>
      <c r="O162">
        <v>2563775306</v>
      </c>
      <c r="P162">
        <v>40816550106</v>
      </c>
    </row>
    <row r="163" spans="1:16" x14ac:dyDescent="0.35">
      <c r="A163" s="2" t="str">
        <f>[2]RCPA2!$A$234</f>
        <v>J30</v>
      </c>
      <c r="B163" s="2" t="str">
        <f>[2]RCPA2!$C$234</f>
        <v>Information technology services</v>
      </c>
      <c r="C163" s="3">
        <f>C164</f>
        <v>136310200949</v>
      </c>
      <c r="D163" s="3">
        <f t="shared" ref="D163:P163" si="54">D164</f>
        <v>57546595682</v>
      </c>
      <c r="E163" s="3">
        <f t="shared" si="54"/>
        <v>5812225577</v>
      </c>
      <c r="F163" s="3">
        <f t="shared" si="54"/>
        <v>0</v>
      </c>
      <c r="G163" s="3">
        <f t="shared" si="54"/>
        <v>63358821259</v>
      </c>
      <c r="H163" s="3">
        <f t="shared" si="54"/>
        <v>72951379690</v>
      </c>
      <c r="I163" s="3">
        <f t="shared" si="54"/>
        <v>13131248356</v>
      </c>
      <c r="J163" s="3">
        <f t="shared" si="54"/>
        <v>487308931</v>
      </c>
      <c r="K163" s="3">
        <f t="shared" si="54"/>
        <v>13618557287</v>
      </c>
      <c r="L163" s="3">
        <f t="shared" si="54"/>
        <v>240412602</v>
      </c>
      <c r="M163" s="3">
        <f t="shared" si="54"/>
        <v>7906993852</v>
      </c>
      <c r="N163" s="3">
        <f t="shared" si="54"/>
        <v>8147406454</v>
      </c>
      <c r="O163" s="3">
        <f t="shared" si="54"/>
        <v>0</v>
      </c>
      <c r="P163" s="3">
        <f t="shared" si="54"/>
        <v>5471150827</v>
      </c>
    </row>
    <row r="164" spans="1:16" x14ac:dyDescent="0.35">
      <c r="A164" t="s">
        <v>228</v>
      </c>
      <c r="B164" t="s">
        <v>229</v>
      </c>
      <c r="C164" s="1">
        <v>136310200949</v>
      </c>
      <c r="D164">
        <v>57546595682</v>
      </c>
      <c r="E164">
        <v>5812225577</v>
      </c>
      <c r="F164">
        <v>0</v>
      </c>
      <c r="G164">
        <v>63358821259</v>
      </c>
      <c r="H164">
        <v>72951379690</v>
      </c>
      <c r="I164">
        <v>13131248356</v>
      </c>
      <c r="J164">
        <v>487308931</v>
      </c>
      <c r="K164">
        <v>13618557287</v>
      </c>
      <c r="L164">
        <v>240412602</v>
      </c>
      <c r="M164">
        <v>7906993852</v>
      </c>
      <c r="N164">
        <v>8147406454</v>
      </c>
      <c r="O164">
        <v>0</v>
      </c>
      <c r="P164">
        <v>5471150827</v>
      </c>
    </row>
    <row r="165" spans="1:16" x14ac:dyDescent="0.35">
      <c r="A165" s="2" t="str">
        <f>[2]RCPA2!$A$237</f>
        <v>K01</v>
      </c>
      <c r="B165" s="2" t="str">
        <f>[2]RCPA2!$C$237</f>
        <v>Monetary institutions</v>
      </c>
      <c r="C165" s="3">
        <f>C166+C167</f>
        <v>1197349293716</v>
      </c>
      <c r="D165" s="3">
        <f t="shared" ref="D165:P165" si="55">D166+D167</f>
        <v>992489665262</v>
      </c>
      <c r="E165" s="3">
        <f t="shared" si="55"/>
        <v>5544414430</v>
      </c>
      <c r="F165" s="3">
        <f t="shared" si="55"/>
        <v>0</v>
      </c>
      <c r="G165" s="3">
        <f t="shared" si="55"/>
        <v>998034079692</v>
      </c>
      <c r="H165" s="3">
        <f t="shared" si="55"/>
        <v>199315214023</v>
      </c>
      <c r="I165" s="3">
        <f t="shared" si="55"/>
        <v>35876738527</v>
      </c>
      <c r="J165" s="3">
        <f t="shared" si="55"/>
        <v>5868857538</v>
      </c>
      <c r="K165" s="3">
        <f t="shared" si="55"/>
        <v>41745596065</v>
      </c>
      <c r="L165" s="3">
        <f t="shared" si="55"/>
        <v>19393314</v>
      </c>
      <c r="M165" s="3">
        <f t="shared" si="55"/>
        <v>6031362537</v>
      </c>
      <c r="N165" s="3">
        <f t="shared" si="55"/>
        <v>6050755851</v>
      </c>
      <c r="O165" s="3">
        <f t="shared" si="55"/>
        <v>873500355</v>
      </c>
      <c r="P165" s="3">
        <f t="shared" si="55"/>
        <v>34821339852</v>
      </c>
    </row>
    <row r="166" spans="1:16" x14ac:dyDescent="0.35">
      <c r="A166" t="s">
        <v>230</v>
      </c>
      <c r="B166" t="s">
        <v>231</v>
      </c>
      <c r="C166" s="1">
        <v>157508640310</v>
      </c>
      <c r="D166">
        <v>147299222431</v>
      </c>
      <c r="E166">
        <v>593023312</v>
      </c>
      <c r="F166">
        <v>0</v>
      </c>
      <c r="G166">
        <v>147892245743</v>
      </c>
      <c r="H166">
        <v>9616394567</v>
      </c>
      <c r="I166">
        <v>1730951025</v>
      </c>
      <c r="J166">
        <v>293026618</v>
      </c>
      <c r="K166">
        <v>2023977643</v>
      </c>
      <c r="L166">
        <v>0</v>
      </c>
      <c r="M166">
        <v>263700125</v>
      </c>
      <c r="N166">
        <v>263700125</v>
      </c>
      <c r="O166">
        <v>62748672</v>
      </c>
      <c r="P166">
        <v>1697528845</v>
      </c>
    </row>
    <row r="167" spans="1:16" x14ac:dyDescent="0.35">
      <c r="A167" t="s">
        <v>232</v>
      </c>
      <c r="B167" t="s">
        <v>233</v>
      </c>
      <c r="C167" s="1">
        <v>1039840653406</v>
      </c>
      <c r="D167">
        <v>845190442831</v>
      </c>
      <c r="E167">
        <v>4951391118</v>
      </c>
      <c r="F167">
        <v>0</v>
      </c>
      <c r="G167">
        <v>850141833949</v>
      </c>
      <c r="H167">
        <v>189698819456</v>
      </c>
      <c r="I167">
        <v>34145787502</v>
      </c>
      <c r="J167">
        <v>5575830920</v>
      </c>
      <c r="K167">
        <v>39721618422</v>
      </c>
      <c r="L167">
        <v>19393314</v>
      </c>
      <c r="M167">
        <v>5767662412</v>
      </c>
      <c r="N167">
        <v>5787055726</v>
      </c>
      <c r="O167">
        <v>810751683</v>
      </c>
      <c r="P167">
        <v>33123811007</v>
      </c>
    </row>
    <row r="168" spans="1:16" x14ac:dyDescent="0.35">
      <c r="A168" s="2" t="str">
        <f>[2]RCPA2!$A$241</f>
        <v>K02</v>
      </c>
      <c r="B168" s="2" t="str">
        <f>[2]RCPA2!$C$241</f>
        <v>Insurance, reinsurance &amp; pension funding, except compulsory social security</v>
      </c>
      <c r="C168" s="3">
        <f>C169</f>
        <v>232776355953</v>
      </c>
      <c r="D168" s="3">
        <f t="shared" ref="D168:P168" si="56">D169</f>
        <v>88774184843</v>
      </c>
      <c r="E168" s="3">
        <f t="shared" si="56"/>
        <v>553891443</v>
      </c>
      <c r="F168" s="3">
        <f t="shared" si="56"/>
        <v>0</v>
      </c>
      <c r="G168" s="3">
        <f t="shared" si="56"/>
        <v>89328076287</v>
      </c>
      <c r="H168" s="3">
        <f t="shared" si="56"/>
        <v>143448279664</v>
      </c>
      <c r="I168" s="3">
        <f t="shared" si="56"/>
        <v>25820690340</v>
      </c>
      <c r="J168" s="3">
        <f t="shared" si="56"/>
        <v>276794654</v>
      </c>
      <c r="K168" s="3">
        <f t="shared" si="56"/>
        <v>26097484994</v>
      </c>
      <c r="L168" s="3">
        <f t="shared" si="56"/>
        <v>12646956</v>
      </c>
      <c r="M168" s="3">
        <f t="shared" si="56"/>
        <v>5436811285</v>
      </c>
      <c r="N168" s="3">
        <f t="shared" si="56"/>
        <v>5449458241</v>
      </c>
      <c r="O168" s="3">
        <f t="shared" si="56"/>
        <v>0</v>
      </c>
      <c r="P168" s="3">
        <f t="shared" si="56"/>
        <v>20648026752</v>
      </c>
    </row>
    <row r="169" spans="1:16" x14ac:dyDescent="0.35">
      <c r="A169" t="s">
        <v>234</v>
      </c>
      <c r="B169" t="s">
        <v>235</v>
      </c>
      <c r="C169" s="1">
        <v>232776355953</v>
      </c>
      <c r="D169">
        <v>88774184843</v>
      </c>
      <c r="E169">
        <v>553891443</v>
      </c>
      <c r="F169">
        <v>0</v>
      </c>
      <c r="G169">
        <v>89328076287</v>
      </c>
      <c r="H169">
        <v>143448279664</v>
      </c>
      <c r="I169">
        <v>25820690340</v>
      </c>
      <c r="J169">
        <v>276794654</v>
      </c>
      <c r="K169">
        <v>26097484994</v>
      </c>
      <c r="L169">
        <v>12646956</v>
      </c>
      <c r="M169">
        <v>5436811285</v>
      </c>
      <c r="N169">
        <v>5449458241</v>
      </c>
      <c r="O169">
        <v>0</v>
      </c>
      <c r="P169">
        <v>20648026752</v>
      </c>
    </row>
    <row r="170" spans="1:16" x14ac:dyDescent="0.35">
      <c r="A170" s="2" t="str">
        <f>[2]RCPA2!$A$243</f>
        <v>K03</v>
      </c>
      <c r="B170" s="2" t="str">
        <f>[2]RCPA2!$C$243</f>
        <v>Other financial services</v>
      </c>
      <c r="C170" s="3">
        <f>C171</f>
        <v>96382290573</v>
      </c>
      <c r="D170" s="3">
        <f t="shared" ref="D170:P170" si="57">D171</f>
        <v>57077790631</v>
      </c>
      <c r="E170" s="3">
        <f t="shared" si="57"/>
        <v>1623277789</v>
      </c>
      <c r="F170" s="3">
        <f t="shared" si="57"/>
        <v>0</v>
      </c>
      <c r="G170" s="3">
        <f t="shared" si="57"/>
        <v>58701068420</v>
      </c>
      <c r="H170" s="3">
        <f t="shared" si="57"/>
        <v>37681222154</v>
      </c>
      <c r="I170" s="3">
        <f t="shared" si="57"/>
        <v>6782619984</v>
      </c>
      <c r="J170" s="3">
        <f t="shared" si="57"/>
        <v>192641967</v>
      </c>
      <c r="K170" s="3">
        <f t="shared" si="57"/>
        <v>6975261951</v>
      </c>
      <c r="L170" s="3">
        <f t="shared" si="57"/>
        <v>477124987</v>
      </c>
      <c r="M170" s="3">
        <f t="shared" si="57"/>
        <v>2658774738</v>
      </c>
      <c r="N170" s="3">
        <f t="shared" si="57"/>
        <v>3135899725</v>
      </c>
      <c r="O170" s="3">
        <f t="shared" si="57"/>
        <v>0</v>
      </c>
      <c r="P170" s="3">
        <f t="shared" si="57"/>
        <v>3839362224</v>
      </c>
    </row>
    <row r="171" spans="1:16" x14ac:dyDescent="0.35">
      <c r="A171" t="s">
        <v>236</v>
      </c>
      <c r="B171" t="s">
        <v>338</v>
      </c>
      <c r="C171" s="1">
        <v>96382290573</v>
      </c>
      <c r="D171">
        <v>57077790631</v>
      </c>
      <c r="E171">
        <v>1623277789</v>
      </c>
      <c r="F171">
        <v>0</v>
      </c>
      <c r="G171">
        <v>58701068420</v>
      </c>
      <c r="H171">
        <v>37681222154</v>
      </c>
      <c r="I171">
        <v>6782619984</v>
      </c>
      <c r="J171">
        <v>192641967</v>
      </c>
      <c r="K171">
        <v>6975261951</v>
      </c>
      <c r="L171">
        <v>477124987</v>
      </c>
      <c r="M171">
        <v>2658774738</v>
      </c>
      <c r="N171">
        <v>3135899725</v>
      </c>
      <c r="O171">
        <v>0</v>
      </c>
      <c r="P171">
        <v>3839362224</v>
      </c>
    </row>
    <row r="172" spans="1:16" x14ac:dyDescent="0.35">
      <c r="A172" s="2" t="str">
        <f>[2]RCPA2!$A$246</f>
        <v>L01</v>
      </c>
      <c r="B172" s="2" t="str">
        <f>[2]RCPA2!$C$246</f>
        <v>Rental value of dwellings</v>
      </c>
      <c r="C172" s="3">
        <f>C173</f>
        <v>187758890752</v>
      </c>
      <c r="D172" s="3">
        <f t="shared" ref="D172:P172" si="58">D173</f>
        <v>35573152135</v>
      </c>
      <c r="E172" s="3">
        <f t="shared" si="58"/>
        <v>7418181715</v>
      </c>
      <c r="F172" s="3">
        <f t="shared" si="58"/>
        <v>0</v>
      </c>
      <c r="G172" s="3">
        <f t="shared" si="58"/>
        <v>42991333850</v>
      </c>
      <c r="H172" s="3">
        <f t="shared" si="58"/>
        <v>144767556901</v>
      </c>
      <c r="I172" s="3">
        <f t="shared" si="58"/>
        <v>26058160276</v>
      </c>
      <c r="J172" s="3">
        <f t="shared" si="58"/>
        <v>62515800</v>
      </c>
      <c r="K172" s="3">
        <f t="shared" si="58"/>
        <v>26120676076</v>
      </c>
      <c r="L172" s="3">
        <f t="shared" si="58"/>
        <v>948833678</v>
      </c>
      <c r="M172" s="3">
        <f t="shared" si="58"/>
        <v>21008310536</v>
      </c>
      <c r="N172" s="3">
        <f t="shared" si="58"/>
        <v>21957144214</v>
      </c>
      <c r="O172" s="3">
        <f t="shared" si="58"/>
        <v>0</v>
      </c>
      <c r="P172" s="3">
        <f t="shared" si="58"/>
        <v>4163531858</v>
      </c>
    </row>
    <row r="173" spans="1:16" x14ac:dyDescent="0.35">
      <c r="A173" t="s">
        <v>238</v>
      </c>
      <c r="B173" t="s">
        <v>239</v>
      </c>
      <c r="C173" s="1">
        <v>187758890752</v>
      </c>
      <c r="D173">
        <v>35573152135</v>
      </c>
      <c r="E173">
        <v>7418181715</v>
      </c>
      <c r="F173">
        <v>0</v>
      </c>
      <c r="G173">
        <v>42991333850</v>
      </c>
      <c r="H173">
        <v>144767556901</v>
      </c>
      <c r="I173">
        <v>26058160276</v>
      </c>
      <c r="J173">
        <v>62515800</v>
      </c>
      <c r="K173">
        <v>26120676076</v>
      </c>
      <c r="L173">
        <v>948833678</v>
      </c>
      <c r="M173">
        <v>21008310536</v>
      </c>
      <c r="N173">
        <v>21957144214</v>
      </c>
      <c r="O173">
        <v>0</v>
      </c>
      <c r="P173">
        <v>4163531858</v>
      </c>
    </row>
    <row r="174" spans="1:16" x14ac:dyDescent="0.35">
      <c r="A174" s="2" t="str">
        <f>[2]RCPA2!$A$252</f>
        <v>M01</v>
      </c>
      <c r="B174" s="2" t="str">
        <f>[2]RCPA2!$C$252</f>
        <v>Legal, accounting management &amp; head office activities</v>
      </c>
      <c r="C174" s="3">
        <f>C175+C176+C177</f>
        <v>110089708558</v>
      </c>
      <c r="D174" s="3">
        <f t="shared" ref="D174:P174" si="59">D175+D176+D177</f>
        <v>19966779867</v>
      </c>
      <c r="E174" s="3">
        <f t="shared" si="59"/>
        <v>11426131304</v>
      </c>
      <c r="F174" s="3">
        <f t="shared" si="59"/>
        <v>0</v>
      </c>
      <c r="G174" s="3">
        <f t="shared" si="59"/>
        <v>31392911171</v>
      </c>
      <c r="H174" s="3">
        <f t="shared" si="59"/>
        <v>78696797388</v>
      </c>
      <c r="I174" s="3">
        <f t="shared" si="59"/>
        <v>14165423562</v>
      </c>
      <c r="J174" s="3">
        <f t="shared" si="59"/>
        <v>591449524</v>
      </c>
      <c r="K174" s="3">
        <f t="shared" si="59"/>
        <v>14756873086</v>
      </c>
      <c r="L174" s="3">
        <f t="shared" si="59"/>
        <v>538404912</v>
      </c>
      <c r="M174" s="3">
        <f t="shared" si="59"/>
        <v>4691702917</v>
      </c>
      <c r="N174" s="3">
        <f t="shared" si="59"/>
        <v>5230107829</v>
      </c>
      <c r="O174" s="3">
        <f t="shared" si="59"/>
        <v>12615041</v>
      </c>
      <c r="P174" s="3">
        <f t="shared" si="59"/>
        <v>9514150205</v>
      </c>
    </row>
    <row r="175" spans="1:16" x14ac:dyDescent="0.35">
      <c r="A175" t="s">
        <v>240</v>
      </c>
      <c r="B175" t="s">
        <v>241</v>
      </c>
      <c r="C175" s="1">
        <v>11855916623</v>
      </c>
      <c r="D175">
        <v>253872576</v>
      </c>
      <c r="E175">
        <v>106076541</v>
      </c>
      <c r="F175">
        <v>0</v>
      </c>
      <c r="G175">
        <v>359949117</v>
      </c>
      <c r="H175">
        <v>11495967506</v>
      </c>
      <c r="I175">
        <v>2069274145</v>
      </c>
      <c r="J175">
        <v>31744746</v>
      </c>
      <c r="K175">
        <v>2101018891</v>
      </c>
      <c r="L175">
        <v>2020551</v>
      </c>
      <c r="M175">
        <v>436340815</v>
      </c>
      <c r="N175">
        <v>438361366</v>
      </c>
      <c r="O175">
        <v>12615041</v>
      </c>
      <c r="P175">
        <v>1650042483</v>
      </c>
    </row>
    <row r="176" spans="1:16" x14ac:dyDescent="0.35">
      <c r="A176" t="s">
        <v>242</v>
      </c>
      <c r="B176" t="s">
        <v>243</v>
      </c>
      <c r="C176" s="1">
        <v>37156669157</v>
      </c>
      <c r="D176">
        <v>1919715458</v>
      </c>
      <c r="E176">
        <v>6259459590</v>
      </c>
      <c r="F176">
        <v>0</v>
      </c>
      <c r="G176">
        <v>8179175048</v>
      </c>
      <c r="H176">
        <v>28977494111</v>
      </c>
      <c r="I176">
        <v>5215948958</v>
      </c>
      <c r="J176">
        <v>362117961</v>
      </c>
      <c r="K176">
        <v>5578066919</v>
      </c>
      <c r="L176">
        <v>43212596</v>
      </c>
      <c r="M176">
        <v>972057051</v>
      </c>
      <c r="N176">
        <v>1015269647</v>
      </c>
      <c r="O176">
        <v>0</v>
      </c>
      <c r="P176">
        <v>4562797269</v>
      </c>
    </row>
    <row r="177" spans="1:16" x14ac:dyDescent="0.35">
      <c r="A177" t="s">
        <v>244</v>
      </c>
      <c r="B177" t="s">
        <v>339</v>
      </c>
      <c r="C177" s="1">
        <v>61077122778</v>
      </c>
      <c r="D177">
        <v>17793191833</v>
      </c>
      <c r="E177">
        <v>5060595173</v>
      </c>
      <c r="F177">
        <v>0</v>
      </c>
      <c r="G177">
        <v>22853787006</v>
      </c>
      <c r="H177">
        <v>38223335771</v>
      </c>
      <c r="I177">
        <v>6880200459</v>
      </c>
      <c r="J177">
        <v>197586817</v>
      </c>
      <c r="K177">
        <v>7077787276</v>
      </c>
      <c r="L177">
        <v>493171765</v>
      </c>
      <c r="M177">
        <v>3283305051</v>
      </c>
      <c r="N177">
        <v>3776476816</v>
      </c>
      <c r="O177">
        <v>0</v>
      </c>
      <c r="P177">
        <v>3301310453</v>
      </c>
    </row>
    <row r="178" spans="1:16" x14ac:dyDescent="0.35">
      <c r="A178" s="2" t="str">
        <f>[2]RCPA2!$A$256</f>
        <v>M02</v>
      </c>
      <c r="B178" s="2" t="str">
        <f>[2]RCPA2!$C$256</f>
        <v>Architectural &amp; engineering activities</v>
      </c>
      <c r="C178" s="3">
        <f>C179</f>
        <v>55241583499</v>
      </c>
      <c r="D178" s="3">
        <f t="shared" ref="D178:P178" si="60">D179</f>
        <v>10795104465</v>
      </c>
      <c r="E178" s="3">
        <f t="shared" si="60"/>
        <v>3666285814</v>
      </c>
      <c r="F178" s="3">
        <f t="shared" si="60"/>
        <v>0</v>
      </c>
      <c r="G178" s="3">
        <f t="shared" si="60"/>
        <v>14461390279</v>
      </c>
      <c r="H178" s="3">
        <f t="shared" si="60"/>
        <v>40780193222</v>
      </c>
      <c r="I178" s="3">
        <f t="shared" si="60"/>
        <v>7340434796</v>
      </c>
      <c r="J178" s="3">
        <f t="shared" si="60"/>
        <v>56872803</v>
      </c>
      <c r="K178" s="3">
        <f t="shared" si="60"/>
        <v>7397307599</v>
      </c>
      <c r="L178" s="3">
        <f t="shared" si="60"/>
        <v>219064917</v>
      </c>
      <c r="M178" s="3">
        <f t="shared" si="60"/>
        <v>3593434214</v>
      </c>
      <c r="N178" s="3">
        <f t="shared" si="60"/>
        <v>3812499131</v>
      </c>
      <c r="O178" s="3">
        <f t="shared" si="60"/>
        <v>10830492</v>
      </c>
      <c r="P178" s="3">
        <f t="shared" si="60"/>
        <v>3573977970</v>
      </c>
    </row>
    <row r="179" spans="1:16" x14ac:dyDescent="0.35">
      <c r="A179" t="s">
        <v>246</v>
      </c>
      <c r="B179" t="s">
        <v>340</v>
      </c>
      <c r="C179" s="1">
        <v>55241583499</v>
      </c>
      <c r="D179">
        <v>10795104465</v>
      </c>
      <c r="E179">
        <v>3666285814</v>
      </c>
      <c r="F179">
        <v>0</v>
      </c>
      <c r="G179">
        <v>14461390279</v>
      </c>
      <c r="H179">
        <v>40780193222</v>
      </c>
      <c r="I179">
        <v>7340434796</v>
      </c>
      <c r="J179">
        <v>56872803</v>
      </c>
      <c r="K179">
        <v>7397307599</v>
      </c>
      <c r="L179">
        <v>219064917</v>
      </c>
      <c r="M179">
        <v>3593434214</v>
      </c>
      <c r="N179">
        <v>3812499131</v>
      </c>
      <c r="O179">
        <v>10830492</v>
      </c>
      <c r="P179">
        <v>3573977970</v>
      </c>
    </row>
    <row r="180" spans="1:16" x14ac:dyDescent="0.35">
      <c r="A180" s="2" t="str">
        <f>[2]RCPA2!$A$258</f>
        <v>M03</v>
      </c>
      <c r="B180" s="2" t="str">
        <f>[2]RCPA2!$C$258</f>
        <v>Other professional, scientific &amp; technical activities</v>
      </c>
      <c r="C180" s="3">
        <f>C181+C182+C183+C184</f>
        <v>123397572719</v>
      </c>
      <c r="D180" s="3">
        <f t="shared" ref="D180:P180" si="61">D181+D182+D183+D184</f>
        <v>29377879615</v>
      </c>
      <c r="E180" s="3">
        <f t="shared" si="61"/>
        <v>9898637180</v>
      </c>
      <c r="F180" s="3">
        <f t="shared" si="61"/>
        <v>48672440</v>
      </c>
      <c r="G180" s="3">
        <f t="shared" si="61"/>
        <v>39325189235</v>
      </c>
      <c r="H180" s="3">
        <f t="shared" si="61"/>
        <v>84072383484</v>
      </c>
      <c r="I180" s="3">
        <f t="shared" si="61"/>
        <v>15133029081</v>
      </c>
      <c r="J180" s="3">
        <f t="shared" si="61"/>
        <v>208337113</v>
      </c>
      <c r="K180" s="3">
        <f t="shared" si="61"/>
        <v>15341366194</v>
      </c>
      <c r="L180" s="3">
        <f t="shared" si="61"/>
        <v>642159731</v>
      </c>
      <c r="M180" s="3">
        <f t="shared" si="61"/>
        <v>6887158739</v>
      </c>
      <c r="N180" s="3">
        <f t="shared" si="61"/>
        <v>7529318470</v>
      </c>
      <c r="O180" s="3">
        <f t="shared" si="61"/>
        <v>4962520</v>
      </c>
      <c r="P180" s="3">
        <f t="shared" si="61"/>
        <v>7807085188</v>
      </c>
    </row>
    <row r="181" spans="1:16" x14ac:dyDescent="0.35">
      <c r="A181" t="s">
        <v>248</v>
      </c>
      <c r="B181" t="s">
        <v>249</v>
      </c>
      <c r="C181" s="1">
        <v>6655489275</v>
      </c>
      <c r="D181">
        <v>1593884691</v>
      </c>
      <c r="E181">
        <v>1089120390</v>
      </c>
      <c r="F181">
        <v>0</v>
      </c>
      <c r="G181">
        <v>2683005081</v>
      </c>
      <c r="H181">
        <v>3972484194</v>
      </c>
      <c r="I181">
        <v>715047155</v>
      </c>
      <c r="J181">
        <v>68512600</v>
      </c>
      <c r="K181">
        <v>783559755</v>
      </c>
      <c r="L181">
        <v>31138799</v>
      </c>
      <c r="M181">
        <v>221277439</v>
      </c>
      <c r="N181">
        <v>252416238</v>
      </c>
      <c r="O181">
        <v>0</v>
      </c>
      <c r="P181">
        <v>531143517</v>
      </c>
    </row>
    <row r="182" spans="1:16" x14ac:dyDescent="0.35">
      <c r="A182" t="s">
        <v>250</v>
      </c>
      <c r="B182" t="s">
        <v>251</v>
      </c>
      <c r="C182" s="1">
        <v>40973379805</v>
      </c>
      <c r="D182">
        <v>2800222767</v>
      </c>
      <c r="E182">
        <v>216466715</v>
      </c>
      <c r="F182">
        <v>39182651</v>
      </c>
      <c r="G182">
        <v>3055872133</v>
      </c>
      <c r="H182">
        <v>37917507672</v>
      </c>
      <c r="I182">
        <v>6825151401</v>
      </c>
      <c r="J182">
        <v>4962520</v>
      </c>
      <c r="K182">
        <v>6830113921</v>
      </c>
      <c r="L182">
        <v>291322612</v>
      </c>
      <c r="M182">
        <v>2576908573</v>
      </c>
      <c r="N182">
        <v>2868231185</v>
      </c>
      <c r="O182">
        <v>4962520</v>
      </c>
      <c r="P182">
        <v>3956920209</v>
      </c>
    </row>
    <row r="183" spans="1:16" x14ac:dyDescent="0.35">
      <c r="A183" t="s">
        <v>252</v>
      </c>
      <c r="B183" t="s">
        <v>341</v>
      </c>
      <c r="C183" s="1">
        <v>62501193632</v>
      </c>
      <c r="D183">
        <v>12456728210</v>
      </c>
      <c r="E183">
        <v>8546471825</v>
      </c>
      <c r="F183">
        <v>9489789</v>
      </c>
      <c r="G183">
        <v>21012689824</v>
      </c>
      <c r="H183">
        <v>41488503808</v>
      </c>
      <c r="I183">
        <v>7467930715</v>
      </c>
      <c r="J183">
        <v>134861993</v>
      </c>
      <c r="K183">
        <v>7602792708</v>
      </c>
      <c r="L183">
        <v>288825292</v>
      </c>
      <c r="M183">
        <v>4013506259</v>
      </c>
      <c r="N183">
        <v>4302331551</v>
      </c>
      <c r="O183">
        <v>0</v>
      </c>
      <c r="P183">
        <v>3300461148</v>
      </c>
    </row>
    <row r="184" spans="1:16" x14ac:dyDescent="0.35">
      <c r="A184" t="s">
        <v>254</v>
      </c>
      <c r="B184" t="s">
        <v>342</v>
      </c>
      <c r="C184" s="1">
        <v>13267510007</v>
      </c>
      <c r="D184">
        <v>12527043947</v>
      </c>
      <c r="E184">
        <v>46578250</v>
      </c>
      <c r="F184">
        <v>0</v>
      </c>
      <c r="G184">
        <v>12573622197</v>
      </c>
      <c r="H184">
        <v>693887810</v>
      </c>
      <c r="I184">
        <v>124899810</v>
      </c>
      <c r="J184">
        <v>0</v>
      </c>
      <c r="K184">
        <v>124899810</v>
      </c>
      <c r="L184">
        <v>30873028</v>
      </c>
      <c r="M184">
        <v>75466468</v>
      </c>
      <c r="N184">
        <v>106339496</v>
      </c>
      <c r="O184">
        <v>0</v>
      </c>
      <c r="P184">
        <v>18560314</v>
      </c>
    </row>
    <row r="185" spans="1:16" x14ac:dyDescent="0.35">
      <c r="A185" s="2" t="str">
        <f>[2]RCPA2!$A$264</f>
        <v>N01</v>
      </c>
      <c r="B185" s="2" t="str">
        <f>[2]RCPA2!$C$264</f>
        <v>Travel agents &amp; tour operators</v>
      </c>
      <c r="C185" s="3">
        <f>C186</f>
        <v>104919387604</v>
      </c>
      <c r="D185" s="3">
        <f t="shared" ref="D185:P185" si="62">D186</f>
        <v>45629054502</v>
      </c>
      <c r="E185" s="3">
        <f t="shared" si="62"/>
        <v>20386388629</v>
      </c>
      <c r="F185" s="3">
        <f t="shared" si="62"/>
        <v>0</v>
      </c>
      <c r="G185" s="3">
        <f t="shared" si="62"/>
        <v>66015443130</v>
      </c>
      <c r="H185" s="3">
        <f t="shared" si="62"/>
        <v>38903944475</v>
      </c>
      <c r="I185" s="3">
        <f t="shared" si="62"/>
        <v>7002710016</v>
      </c>
      <c r="J185" s="3">
        <f t="shared" si="62"/>
        <v>541197367</v>
      </c>
      <c r="K185" s="3">
        <f t="shared" si="62"/>
        <v>7543907383</v>
      </c>
      <c r="L185" s="3">
        <f t="shared" si="62"/>
        <v>1270122736</v>
      </c>
      <c r="M185" s="3">
        <f t="shared" si="62"/>
        <v>2503411104</v>
      </c>
      <c r="N185" s="3">
        <f t="shared" si="62"/>
        <v>3773533840</v>
      </c>
      <c r="O185" s="3">
        <f t="shared" si="62"/>
        <v>954589</v>
      </c>
      <c r="P185" s="3">
        <f t="shared" si="62"/>
        <v>3769418950</v>
      </c>
    </row>
    <row r="186" spans="1:16" x14ac:dyDescent="0.35">
      <c r="A186" t="s">
        <v>256</v>
      </c>
      <c r="B186" t="s">
        <v>257</v>
      </c>
      <c r="C186" s="1">
        <v>104919387604</v>
      </c>
      <c r="D186">
        <v>45629054502</v>
      </c>
      <c r="E186">
        <v>20386388629</v>
      </c>
      <c r="F186">
        <v>0</v>
      </c>
      <c r="G186">
        <v>66015443130</v>
      </c>
      <c r="H186">
        <v>38903944475</v>
      </c>
      <c r="I186">
        <v>7002710016</v>
      </c>
      <c r="J186">
        <v>541197367</v>
      </c>
      <c r="K186">
        <v>7543907383</v>
      </c>
      <c r="L186">
        <v>1270122736</v>
      </c>
      <c r="M186">
        <v>2503411104</v>
      </c>
      <c r="N186">
        <v>3773533840</v>
      </c>
      <c r="O186">
        <v>954589</v>
      </c>
      <c r="P186">
        <v>3769418950</v>
      </c>
    </row>
    <row r="187" spans="1:16" x14ac:dyDescent="0.35">
      <c r="A187" s="2" t="str">
        <f>[2]RCPA2!$A$266</f>
        <v>N09</v>
      </c>
      <c r="B187" s="11" t="str">
        <f>[2]RCPA2!$C$266</f>
        <v>Other administrative &amp; support service activities</v>
      </c>
      <c r="C187" s="3">
        <f>C188+C189+C190+C191</f>
        <v>324270011276</v>
      </c>
      <c r="D187" s="3">
        <f t="shared" ref="D187:P187" si="63">D188+D189+D190+D191</f>
        <v>56412875729</v>
      </c>
      <c r="E187" s="3">
        <f t="shared" si="63"/>
        <v>115199015453</v>
      </c>
      <c r="F187" s="3">
        <f t="shared" si="63"/>
        <v>17330000</v>
      </c>
      <c r="G187" s="3">
        <f t="shared" si="63"/>
        <v>171629221182</v>
      </c>
      <c r="H187" s="3">
        <f t="shared" si="63"/>
        <v>152640790094</v>
      </c>
      <c r="I187" s="3">
        <f t="shared" si="63"/>
        <v>27475342243</v>
      </c>
      <c r="J187" s="3">
        <f t="shared" si="63"/>
        <v>214445242</v>
      </c>
      <c r="K187" s="3">
        <f t="shared" si="63"/>
        <v>27689787485</v>
      </c>
      <c r="L187" s="3">
        <f t="shared" si="63"/>
        <v>1585725484</v>
      </c>
      <c r="M187" s="3">
        <f t="shared" si="63"/>
        <v>11650186015</v>
      </c>
      <c r="N187" s="3">
        <f t="shared" si="63"/>
        <v>13235911499</v>
      </c>
      <c r="O187" s="3">
        <f t="shared" si="63"/>
        <v>461549</v>
      </c>
      <c r="P187" s="3">
        <f t="shared" si="63"/>
        <v>14453414430</v>
      </c>
    </row>
    <row r="188" spans="1:16" x14ac:dyDescent="0.35">
      <c r="A188" t="s">
        <v>258</v>
      </c>
      <c r="B188" t="s">
        <v>259</v>
      </c>
      <c r="C188" s="1">
        <v>115892152048</v>
      </c>
      <c r="D188">
        <v>7962696391</v>
      </c>
      <c r="E188">
        <v>72933410066</v>
      </c>
      <c r="F188">
        <v>0</v>
      </c>
      <c r="G188">
        <v>80896106457</v>
      </c>
      <c r="H188">
        <v>34996045590</v>
      </c>
      <c r="I188">
        <v>6299288216</v>
      </c>
      <c r="J188">
        <v>95942024</v>
      </c>
      <c r="K188">
        <v>6395230240</v>
      </c>
      <c r="L188">
        <v>700334475</v>
      </c>
      <c r="M188">
        <v>2157794644</v>
      </c>
      <c r="N188">
        <v>2858129119</v>
      </c>
      <c r="O188">
        <v>0</v>
      </c>
      <c r="P188">
        <v>3537101120</v>
      </c>
    </row>
    <row r="189" spans="1:16" x14ac:dyDescent="0.35">
      <c r="A189" t="s">
        <v>260</v>
      </c>
      <c r="B189" t="s">
        <v>261</v>
      </c>
      <c r="C189" s="1">
        <v>43466772075</v>
      </c>
      <c r="D189">
        <v>4093668627</v>
      </c>
      <c r="E189">
        <v>28182516</v>
      </c>
      <c r="F189">
        <v>0</v>
      </c>
      <c r="G189">
        <v>4121851143</v>
      </c>
      <c r="H189">
        <v>39344920932</v>
      </c>
      <c r="I189">
        <v>7082085776</v>
      </c>
      <c r="J189">
        <v>74685428</v>
      </c>
      <c r="K189">
        <v>7156771204</v>
      </c>
      <c r="L189">
        <v>146424427</v>
      </c>
      <c r="M189">
        <v>1633664393</v>
      </c>
      <c r="N189">
        <v>1780088820</v>
      </c>
      <c r="O189">
        <v>38548</v>
      </c>
      <c r="P189">
        <v>5376643836</v>
      </c>
    </row>
    <row r="190" spans="1:16" x14ac:dyDescent="0.35">
      <c r="A190" t="s">
        <v>262</v>
      </c>
      <c r="B190" t="s">
        <v>263</v>
      </c>
      <c r="C190" s="1">
        <v>50431175301</v>
      </c>
      <c r="D190">
        <v>16700874703</v>
      </c>
      <c r="E190">
        <v>3017827922</v>
      </c>
      <c r="F190">
        <v>17330000</v>
      </c>
      <c r="G190">
        <v>19736032625</v>
      </c>
      <c r="H190">
        <v>30695142676</v>
      </c>
      <c r="I190">
        <v>5525125685</v>
      </c>
      <c r="J190">
        <v>0</v>
      </c>
      <c r="K190">
        <v>5525125685</v>
      </c>
      <c r="L190">
        <v>266870445</v>
      </c>
      <c r="M190">
        <v>1481589646</v>
      </c>
      <c r="N190">
        <v>1748460091</v>
      </c>
      <c r="O190">
        <v>0</v>
      </c>
      <c r="P190">
        <v>3776665592</v>
      </c>
    </row>
    <row r="191" spans="1:16" x14ac:dyDescent="0.35">
      <c r="A191" t="s">
        <v>264</v>
      </c>
      <c r="B191" t="s">
        <v>265</v>
      </c>
      <c r="C191" s="1">
        <v>114479911852</v>
      </c>
      <c r="D191">
        <v>27655636008</v>
      </c>
      <c r="E191">
        <v>39219594949</v>
      </c>
      <c r="F191">
        <v>0</v>
      </c>
      <c r="G191">
        <v>66875230957</v>
      </c>
      <c r="H191">
        <v>47604680896</v>
      </c>
      <c r="I191">
        <v>8568842566</v>
      </c>
      <c r="J191">
        <v>43817790</v>
      </c>
      <c r="K191">
        <v>8612660356</v>
      </c>
      <c r="L191">
        <v>472096137</v>
      </c>
      <c r="M191">
        <v>6377137332</v>
      </c>
      <c r="N191">
        <v>6849233469</v>
      </c>
      <c r="O191">
        <v>423001</v>
      </c>
      <c r="P191">
        <v>1763003882</v>
      </c>
    </row>
    <row r="192" spans="1:16" x14ac:dyDescent="0.35">
      <c r="A192" s="2" t="str">
        <f>[2]RCPA2!$A$273</f>
        <v>O00</v>
      </c>
      <c r="B192" s="11" t="str">
        <f>[2]RCPA2!$C$273</f>
        <v>Public administration &amp; defence; compulsory social security</v>
      </c>
      <c r="C192" s="3">
        <f>C193+C194</f>
        <v>58038671541</v>
      </c>
      <c r="D192" s="3">
        <f t="shared" ref="D192:P192" si="64">D193+D194</f>
        <v>520449768</v>
      </c>
      <c r="E192" s="3">
        <f t="shared" si="64"/>
        <v>84672479</v>
      </c>
      <c r="F192" s="3">
        <f t="shared" si="64"/>
        <v>0</v>
      </c>
      <c r="G192" s="3">
        <f t="shared" si="64"/>
        <v>605122247</v>
      </c>
      <c r="H192" s="3">
        <f t="shared" si="64"/>
        <v>57433549293</v>
      </c>
      <c r="I192" s="3">
        <f t="shared" si="64"/>
        <v>10338038873</v>
      </c>
      <c r="J192" s="3">
        <f t="shared" si="64"/>
        <v>3277106</v>
      </c>
      <c r="K192" s="3">
        <f t="shared" si="64"/>
        <v>10341315979</v>
      </c>
      <c r="L192" s="3">
        <f t="shared" si="64"/>
        <v>33423555</v>
      </c>
      <c r="M192" s="3">
        <f t="shared" si="64"/>
        <v>593069747</v>
      </c>
      <c r="N192" s="3">
        <f t="shared" si="64"/>
        <v>626493302</v>
      </c>
      <c r="O192" s="3">
        <f t="shared" si="64"/>
        <v>0</v>
      </c>
      <c r="P192" s="3">
        <f t="shared" si="64"/>
        <v>9714822676</v>
      </c>
    </row>
    <row r="193" spans="1:16" x14ac:dyDescent="0.35">
      <c r="A193" t="s">
        <v>266</v>
      </c>
      <c r="B193" t="s">
        <v>267</v>
      </c>
      <c r="C193" s="1">
        <v>57973129487</v>
      </c>
      <c r="D193">
        <v>497441180</v>
      </c>
      <c r="E193">
        <v>84672479</v>
      </c>
      <c r="F193">
        <v>0</v>
      </c>
      <c r="G193">
        <v>582113659</v>
      </c>
      <c r="H193">
        <v>57391015827</v>
      </c>
      <c r="I193">
        <v>10330382849</v>
      </c>
      <c r="J193">
        <v>3277106</v>
      </c>
      <c r="K193">
        <v>10333659955</v>
      </c>
      <c r="L193">
        <v>33423555</v>
      </c>
      <c r="M193">
        <v>593069747</v>
      </c>
      <c r="N193">
        <v>626493302</v>
      </c>
      <c r="O193">
        <v>0</v>
      </c>
      <c r="P193">
        <v>9707166652</v>
      </c>
    </row>
    <row r="194" spans="1:16" x14ac:dyDescent="0.35">
      <c r="A194" t="s">
        <v>268</v>
      </c>
      <c r="B194" t="s">
        <v>269</v>
      </c>
      <c r="C194" s="1">
        <v>65542054</v>
      </c>
      <c r="D194">
        <v>23008588</v>
      </c>
      <c r="E194">
        <v>0</v>
      </c>
      <c r="F194">
        <v>0</v>
      </c>
      <c r="G194">
        <v>23008588</v>
      </c>
      <c r="H194">
        <v>42533466</v>
      </c>
      <c r="I194">
        <v>7656024</v>
      </c>
      <c r="J194">
        <v>0</v>
      </c>
      <c r="K194">
        <v>7656024</v>
      </c>
      <c r="L194">
        <v>0</v>
      </c>
      <c r="M194">
        <v>0</v>
      </c>
      <c r="N194">
        <v>0</v>
      </c>
      <c r="O194">
        <v>0</v>
      </c>
      <c r="P194">
        <v>7656024</v>
      </c>
    </row>
    <row r="195" spans="1:16" x14ac:dyDescent="0.35">
      <c r="A195" s="2" t="str">
        <f>[2]RCPA2!$A$278</f>
        <v>P00</v>
      </c>
      <c r="B195" s="2" t="str">
        <f>[2]RCPA2!$C$278</f>
        <v>Education</v>
      </c>
      <c r="C195" s="3">
        <f>C196+C197+C198+C199+C200</f>
        <v>120103369407</v>
      </c>
      <c r="D195" s="3">
        <f t="shared" ref="D195:P195" si="65">D196+D197+D198+D199+D200</f>
        <v>53470408124</v>
      </c>
      <c r="E195" s="3">
        <f t="shared" si="65"/>
        <v>6672342694</v>
      </c>
      <c r="F195" s="3">
        <f t="shared" si="65"/>
        <v>0</v>
      </c>
      <c r="G195" s="3">
        <f t="shared" si="65"/>
        <v>60142750818</v>
      </c>
      <c r="H195" s="3">
        <f t="shared" si="65"/>
        <v>59960618590</v>
      </c>
      <c r="I195" s="3">
        <f t="shared" si="65"/>
        <v>10792911352</v>
      </c>
      <c r="J195" s="3">
        <f t="shared" si="65"/>
        <v>478084543</v>
      </c>
      <c r="K195" s="3">
        <f t="shared" si="65"/>
        <v>11270995895</v>
      </c>
      <c r="L195" s="3">
        <f t="shared" si="65"/>
        <v>1089928991</v>
      </c>
      <c r="M195" s="3">
        <f t="shared" si="65"/>
        <v>10055983002</v>
      </c>
      <c r="N195" s="3">
        <f t="shared" si="65"/>
        <v>11145911993</v>
      </c>
      <c r="O195" s="3">
        <f t="shared" si="65"/>
        <v>63546218</v>
      </c>
      <c r="P195" s="3">
        <f t="shared" si="65"/>
        <v>61537674</v>
      </c>
    </row>
    <row r="196" spans="1:16" x14ac:dyDescent="0.35">
      <c r="A196" t="s">
        <v>270</v>
      </c>
      <c r="B196" t="s">
        <v>271</v>
      </c>
      <c r="C196" s="1">
        <v>11554182030</v>
      </c>
      <c r="D196">
        <v>1891593479</v>
      </c>
      <c r="E196">
        <v>1031856863</v>
      </c>
      <c r="F196">
        <v>0</v>
      </c>
      <c r="G196">
        <v>2923450342</v>
      </c>
      <c r="H196">
        <v>8630731688</v>
      </c>
      <c r="I196">
        <v>1553531707</v>
      </c>
      <c r="J196">
        <v>385119812</v>
      </c>
      <c r="K196">
        <v>1938651519</v>
      </c>
      <c r="L196">
        <v>50478939</v>
      </c>
      <c r="M196">
        <v>1809782298</v>
      </c>
      <c r="N196">
        <v>1860261237</v>
      </c>
      <c r="O196">
        <v>0</v>
      </c>
      <c r="P196">
        <v>78390282</v>
      </c>
    </row>
    <row r="197" spans="1:16" x14ac:dyDescent="0.35">
      <c r="A197" t="s">
        <v>272</v>
      </c>
      <c r="B197" t="s">
        <v>273</v>
      </c>
      <c r="C197" s="1">
        <v>86066010223</v>
      </c>
      <c r="D197">
        <v>42828890599</v>
      </c>
      <c r="E197">
        <v>3860466071</v>
      </c>
      <c r="F197">
        <v>0</v>
      </c>
      <c r="G197">
        <v>46689356670</v>
      </c>
      <c r="H197">
        <v>39376653554</v>
      </c>
      <c r="I197">
        <v>7087797643</v>
      </c>
      <c r="J197">
        <v>431331</v>
      </c>
      <c r="K197">
        <v>7088228974</v>
      </c>
      <c r="L197">
        <v>951950285</v>
      </c>
      <c r="M197">
        <v>3803931667</v>
      </c>
      <c r="N197">
        <v>4755881952</v>
      </c>
      <c r="O197">
        <v>0</v>
      </c>
      <c r="P197">
        <v>2332347016</v>
      </c>
    </row>
    <row r="198" spans="1:16" x14ac:dyDescent="0.35">
      <c r="A198" t="s">
        <v>274</v>
      </c>
      <c r="B198" t="s">
        <v>275</v>
      </c>
      <c r="C198" s="1">
        <v>4301549642</v>
      </c>
      <c r="D198">
        <v>4232460069</v>
      </c>
      <c r="E198">
        <v>0</v>
      </c>
      <c r="F198">
        <v>0</v>
      </c>
      <c r="G198">
        <v>4232460069</v>
      </c>
      <c r="H198">
        <v>69089573</v>
      </c>
      <c r="I198">
        <v>12436124</v>
      </c>
      <c r="J198">
        <v>28952394</v>
      </c>
      <c r="K198">
        <v>41388518</v>
      </c>
      <c r="L198">
        <v>8035474</v>
      </c>
      <c r="M198">
        <v>1664935972</v>
      </c>
      <c r="N198">
        <v>1672971446</v>
      </c>
      <c r="O198">
        <v>0</v>
      </c>
      <c r="P198">
        <v>-1631582928</v>
      </c>
    </row>
    <row r="199" spans="1:16" x14ac:dyDescent="0.35">
      <c r="A199" t="s">
        <v>276</v>
      </c>
      <c r="B199" t="s">
        <v>277</v>
      </c>
      <c r="C199" s="1">
        <v>11909026673</v>
      </c>
      <c r="D199">
        <v>1849180538</v>
      </c>
      <c r="E199">
        <v>1748513756</v>
      </c>
      <c r="F199">
        <v>0</v>
      </c>
      <c r="G199">
        <v>3597694294</v>
      </c>
      <c r="H199">
        <v>8311332379</v>
      </c>
      <c r="I199">
        <v>1496039826</v>
      </c>
      <c r="J199">
        <v>63581006</v>
      </c>
      <c r="K199">
        <v>1559620832</v>
      </c>
      <c r="L199">
        <v>68429550</v>
      </c>
      <c r="M199">
        <v>2294606793</v>
      </c>
      <c r="N199">
        <v>2363036343</v>
      </c>
      <c r="O199">
        <v>63546218</v>
      </c>
      <c r="P199">
        <v>-866961731</v>
      </c>
    </row>
    <row r="200" spans="1:16" x14ac:dyDescent="0.35">
      <c r="A200" t="s">
        <v>278</v>
      </c>
      <c r="B200" t="s">
        <v>343</v>
      </c>
      <c r="C200" s="1">
        <v>6272600839</v>
      </c>
      <c r="D200">
        <v>2668283439</v>
      </c>
      <c r="E200">
        <v>31506004</v>
      </c>
      <c r="F200">
        <v>0</v>
      </c>
      <c r="G200">
        <v>2699789443</v>
      </c>
      <c r="H200">
        <v>3572811396</v>
      </c>
      <c r="I200">
        <v>643106052</v>
      </c>
      <c r="J200">
        <v>0</v>
      </c>
      <c r="K200">
        <v>643106052</v>
      </c>
      <c r="L200">
        <v>11034743</v>
      </c>
      <c r="M200">
        <v>482726272</v>
      </c>
      <c r="N200">
        <v>493761015</v>
      </c>
      <c r="O200">
        <v>0</v>
      </c>
      <c r="P200">
        <v>149345035</v>
      </c>
    </row>
    <row r="201" spans="1:16" x14ac:dyDescent="0.35">
      <c r="A201" s="2" t="str">
        <f>[2]RCPA2!$A$285</f>
        <v>Q01</v>
      </c>
      <c r="B201" s="11" t="str">
        <f>[2]RCPA2!$C$285</f>
        <v>Human health activities</v>
      </c>
      <c r="C201" s="3">
        <f>C202</f>
        <v>104406802263</v>
      </c>
      <c r="D201" s="3">
        <f t="shared" ref="D201:P201" si="66">D202</f>
        <v>45185849047</v>
      </c>
      <c r="E201" s="3">
        <f t="shared" si="66"/>
        <v>21119037304</v>
      </c>
      <c r="F201" s="3">
        <f t="shared" si="66"/>
        <v>0</v>
      </c>
      <c r="G201" s="3">
        <f t="shared" si="66"/>
        <v>66304886351</v>
      </c>
      <c r="H201" s="3">
        <f t="shared" si="66"/>
        <v>38101915914</v>
      </c>
      <c r="I201" s="3">
        <f t="shared" si="66"/>
        <v>6858344862</v>
      </c>
      <c r="J201" s="3">
        <f t="shared" si="66"/>
        <v>14875015</v>
      </c>
      <c r="K201" s="3">
        <f t="shared" si="66"/>
        <v>6873219877</v>
      </c>
      <c r="L201" s="3">
        <f t="shared" si="66"/>
        <v>380348060</v>
      </c>
      <c r="M201" s="3">
        <f t="shared" si="66"/>
        <v>2122507930</v>
      </c>
      <c r="N201" s="3">
        <f t="shared" si="66"/>
        <v>2502855990</v>
      </c>
      <c r="O201" s="3">
        <f t="shared" si="66"/>
        <v>0</v>
      </c>
      <c r="P201" s="3">
        <f t="shared" si="66"/>
        <v>4370363882</v>
      </c>
    </row>
    <row r="202" spans="1:16" x14ac:dyDescent="0.35">
      <c r="A202" t="s">
        <v>280</v>
      </c>
      <c r="B202" t="s">
        <v>281</v>
      </c>
      <c r="C202" s="1">
        <v>104406802263</v>
      </c>
      <c r="D202">
        <v>45185849047</v>
      </c>
      <c r="E202">
        <v>21119037304</v>
      </c>
      <c r="F202">
        <v>0</v>
      </c>
      <c r="G202">
        <v>66304886351</v>
      </c>
      <c r="H202">
        <v>38101915914</v>
      </c>
      <c r="I202">
        <v>6858344862</v>
      </c>
      <c r="J202">
        <v>14875015</v>
      </c>
      <c r="K202">
        <v>6873219877</v>
      </c>
      <c r="L202">
        <v>380348060</v>
      </c>
      <c r="M202">
        <v>2122507930</v>
      </c>
      <c r="N202">
        <v>2502855990</v>
      </c>
      <c r="O202">
        <v>0</v>
      </c>
      <c r="P202">
        <v>4370363882</v>
      </c>
    </row>
    <row r="203" spans="1:16" x14ac:dyDescent="0.35">
      <c r="A203" s="2" t="str">
        <f>[2]RCPA2!$A$287</f>
        <v>Q02</v>
      </c>
      <c r="B203" s="11" t="str">
        <f>[2]RCPA2!$C$287</f>
        <v>Social work activities</v>
      </c>
      <c r="C203" s="3">
        <f>C204+C205</f>
        <v>3165331288</v>
      </c>
      <c r="D203" s="3">
        <f t="shared" ref="D203:P203" si="67">D204+D205</f>
        <v>635677601</v>
      </c>
      <c r="E203" s="3">
        <f t="shared" si="67"/>
        <v>1708000</v>
      </c>
      <c r="F203" s="3">
        <f t="shared" si="67"/>
        <v>0</v>
      </c>
      <c r="G203" s="3">
        <f t="shared" si="67"/>
        <v>637385601</v>
      </c>
      <c r="H203" s="3">
        <f t="shared" si="67"/>
        <v>2527945687</v>
      </c>
      <c r="I203" s="3">
        <f t="shared" si="67"/>
        <v>455030224</v>
      </c>
      <c r="J203" s="3">
        <f t="shared" si="67"/>
        <v>0</v>
      </c>
      <c r="K203" s="3">
        <f t="shared" si="67"/>
        <v>455030224</v>
      </c>
      <c r="L203" s="3">
        <f t="shared" si="67"/>
        <v>5784280</v>
      </c>
      <c r="M203" s="3">
        <f t="shared" si="67"/>
        <v>250640011</v>
      </c>
      <c r="N203" s="3">
        <f t="shared" si="67"/>
        <v>256424291</v>
      </c>
      <c r="O203" s="3">
        <f t="shared" si="67"/>
        <v>0</v>
      </c>
      <c r="P203" s="3">
        <f t="shared" si="67"/>
        <v>198605933</v>
      </c>
    </row>
    <row r="204" spans="1:16" x14ac:dyDescent="0.35">
      <c r="A204" t="s">
        <v>282</v>
      </c>
      <c r="B204" t="s">
        <v>283</v>
      </c>
      <c r="C204" s="1">
        <v>354902039</v>
      </c>
      <c r="D204">
        <v>859700</v>
      </c>
      <c r="E204">
        <v>1708000</v>
      </c>
      <c r="F204">
        <v>0</v>
      </c>
      <c r="G204">
        <v>2567700</v>
      </c>
      <c r="H204">
        <v>352334339</v>
      </c>
      <c r="I204">
        <v>63420182</v>
      </c>
      <c r="J204">
        <v>0</v>
      </c>
      <c r="K204">
        <v>63420182</v>
      </c>
      <c r="L204">
        <v>5784280</v>
      </c>
      <c r="M204">
        <v>28118166</v>
      </c>
      <c r="N204">
        <v>33902446</v>
      </c>
      <c r="O204">
        <v>0</v>
      </c>
      <c r="P204">
        <v>29517736</v>
      </c>
    </row>
    <row r="205" spans="1:16" x14ac:dyDescent="0.35">
      <c r="A205" t="s">
        <v>284</v>
      </c>
      <c r="B205" t="s">
        <v>285</v>
      </c>
      <c r="C205" s="1">
        <v>2810429249</v>
      </c>
      <c r="D205">
        <v>634817901</v>
      </c>
      <c r="E205">
        <v>0</v>
      </c>
      <c r="F205">
        <v>0</v>
      </c>
      <c r="G205">
        <v>634817901</v>
      </c>
      <c r="H205">
        <v>2175611348</v>
      </c>
      <c r="I205">
        <v>391610042</v>
      </c>
      <c r="J205">
        <v>0</v>
      </c>
      <c r="K205">
        <v>391610042</v>
      </c>
      <c r="L205">
        <v>0</v>
      </c>
      <c r="M205">
        <v>222521845</v>
      </c>
      <c r="N205">
        <v>222521845</v>
      </c>
      <c r="O205">
        <v>0</v>
      </c>
      <c r="P205">
        <v>169088197</v>
      </c>
    </row>
    <row r="206" spans="1:16" x14ac:dyDescent="0.35">
      <c r="A206" s="2" t="str">
        <f>[2]RCPA2!$A$291</f>
        <v>R01</v>
      </c>
      <c r="B206" s="11" t="str">
        <f>[2]RCPA2!$C$291</f>
        <v>Libraries, archives, museums &amp; other cultural activities</v>
      </c>
      <c r="C206" s="3">
        <f>C207</f>
        <v>3562288</v>
      </c>
      <c r="D206" s="3">
        <f t="shared" ref="D206:P206" si="68">D207</f>
        <v>3075000</v>
      </c>
      <c r="E206" s="3">
        <f t="shared" si="68"/>
        <v>0</v>
      </c>
      <c r="F206" s="3">
        <f t="shared" si="68"/>
        <v>0</v>
      </c>
      <c r="G206" s="3">
        <f t="shared" si="68"/>
        <v>3075000</v>
      </c>
      <c r="H206" s="3">
        <f t="shared" si="68"/>
        <v>487288</v>
      </c>
      <c r="I206" s="3">
        <f t="shared" si="68"/>
        <v>87712</v>
      </c>
      <c r="J206" s="3">
        <f t="shared" si="68"/>
        <v>0</v>
      </c>
      <c r="K206" s="3">
        <f t="shared" si="68"/>
        <v>87712</v>
      </c>
      <c r="L206" s="3">
        <f t="shared" si="68"/>
        <v>0</v>
      </c>
      <c r="M206" s="3">
        <f t="shared" si="68"/>
        <v>70490</v>
      </c>
      <c r="N206" s="3">
        <f t="shared" si="68"/>
        <v>70490</v>
      </c>
      <c r="O206" s="3">
        <f t="shared" si="68"/>
        <v>0</v>
      </c>
      <c r="P206" s="3">
        <f t="shared" si="68"/>
        <v>17222</v>
      </c>
    </row>
    <row r="207" spans="1:16" x14ac:dyDescent="0.35">
      <c r="A207" t="s">
        <v>288</v>
      </c>
      <c r="B207" t="s">
        <v>289</v>
      </c>
      <c r="C207" s="1">
        <v>3562288</v>
      </c>
      <c r="D207">
        <v>3075000</v>
      </c>
      <c r="E207">
        <v>0</v>
      </c>
      <c r="F207">
        <v>0</v>
      </c>
      <c r="G207">
        <v>3075000</v>
      </c>
      <c r="H207">
        <v>487288</v>
      </c>
      <c r="I207">
        <v>87712</v>
      </c>
      <c r="J207">
        <v>0</v>
      </c>
      <c r="K207">
        <v>87712</v>
      </c>
      <c r="L207">
        <v>0</v>
      </c>
      <c r="M207">
        <v>70490</v>
      </c>
      <c r="N207">
        <v>70490</v>
      </c>
      <c r="O207">
        <v>0</v>
      </c>
      <c r="P207">
        <v>17222</v>
      </c>
    </row>
    <row r="208" spans="1:16" x14ac:dyDescent="0.35">
      <c r="A208" s="2" t="str">
        <f>[2]RCPA2!$A$294</f>
        <v>R09</v>
      </c>
      <c r="B208" s="11" t="str">
        <f>[2]RCPA2!$C$294</f>
        <v>Other arts, entertainment &amp; recreation</v>
      </c>
      <c r="C208" s="3">
        <f>C209+C210+C211</f>
        <v>120545483499</v>
      </c>
      <c r="D208" s="3">
        <f t="shared" ref="D208:P208" si="69">D209+D210+D211</f>
        <v>5134004995</v>
      </c>
      <c r="E208" s="3">
        <f t="shared" si="69"/>
        <v>3175728397</v>
      </c>
      <c r="F208" s="3">
        <f t="shared" si="69"/>
        <v>0</v>
      </c>
      <c r="G208" s="3">
        <f t="shared" si="69"/>
        <v>8309733392</v>
      </c>
      <c r="H208" s="3">
        <f t="shared" si="69"/>
        <v>112235750107</v>
      </c>
      <c r="I208" s="3">
        <f t="shared" si="69"/>
        <v>20202435039</v>
      </c>
      <c r="J208" s="3">
        <f t="shared" si="69"/>
        <v>245096868</v>
      </c>
      <c r="K208" s="3">
        <f t="shared" si="69"/>
        <v>20447531907</v>
      </c>
      <c r="L208" s="3">
        <f t="shared" si="69"/>
        <v>814574815</v>
      </c>
      <c r="M208" s="3">
        <f t="shared" si="69"/>
        <v>4354037903</v>
      </c>
      <c r="N208" s="3">
        <f t="shared" si="69"/>
        <v>5168612718</v>
      </c>
      <c r="O208" s="3">
        <f t="shared" si="69"/>
        <v>99752610</v>
      </c>
      <c r="P208" s="3">
        <f t="shared" si="69"/>
        <v>15179166576</v>
      </c>
    </row>
    <row r="209" spans="1:16" x14ac:dyDescent="0.35">
      <c r="A209" t="s">
        <v>290</v>
      </c>
      <c r="B209" t="s">
        <v>291</v>
      </c>
      <c r="C209" s="1">
        <v>27090357904</v>
      </c>
      <c r="D209">
        <v>904438663</v>
      </c>
      <c r="E209">
        <v>1330616003</v>
      </c>
      <c r="F209">
        <v>0</v>
      </c>
      <c r="G209">
        <v>2235054666</v>
      </c>
      <c r="H209">
        <v>24855303238</v>
      </c>
      <c r="I209">
        <v>4473954600</v>
      </c>
      <c r="J209">
        <v>123286586</v>
      </c>
      <c r="K209">
        <v>4597241186</v>
      </c>
      <c r="L209">
        <v>172156552</v>
      </c>
      <c r="M209">
        <v>2274169646</v>
      </c>
      <c r="N209">
        <v>2446326198</v>
      </c>
      <c r="O209">
        <v>62654187</v>
      </c>
      <c r="P209">
        <v>2088260799</v>
      </c>
    </row>
    <row r="210" spans="1:16" x14ac:dyDescent="0.35">
      <c r="A210" t="s">
        <v>292</v>
      </c>
      <c r="B210" t="s">
        <v>293</v>
      </c>
      <c r="C210" s="1">
        <v>85789921330</v>
      </c>
      <c r="D210">
        <v>3282806146</v>
      </c>
      <c r="E210">
        <v>1843787394</v>
      </c>
      <c r="F210">
        <v>0</v>
      </c>
      <c r="G210">
        <v>5126593540</v>
      </c>
      <c r="H210">
        <v>80663327790</v>
      </c>
      <c r="I210">
        <v>14519399008</v>
      </c>
      <c r="J210">
        <v>112262156</v>
      </c>
      <c r="K210">
        <v>14631661164</v>
      </c>
      <c r="L210">
        <v>478599745</v>
      </c>
      <c r="M210">
        <v>1337278067</v>
      </c>
      <c r="N210">
        <v>1815877812</v>
      </c>
      <c r="O210">
        <v>37098423</v>
      </c>
      <c r="P210">
        <v>12778684928</v>
      </c>
    </row>
    <row r="211" spans="1:16" x14ac:dyDescent="0.35">
      <c r="A211" t="s">
        <v>294</v>
      </c>
      <c r="B211" t="s">
        <v>295</v>
      </c>
      <c r="C211" s="1">
        <v>7665204265</v>
      </c>
      <c r="D211">
        <v>946760186</v>
      </c>
      <c r="E211">
        <v>1325000</v>
      </c>
      <c r="F211">
        <v>0</v>
      </c>
      <c r="G211">
        <v>948085186</v>
      </c>
      <c r="H211">
        <v>6717119079</v>
      </c>
      <c r="I211">
        <v>1209081431</v>
      </c>
      <c r="J211">
        <v>9548126</v>
      </c>
      <c r="K211">
        <v>1218629557</v>
      </c>
      <c r="L211">
        <v>163818518</v>
      </c>
      <c r="M211">
        <v>742590190</v>
      </c>
      <c r="N211">
        <v>906408708</v>
      </c>
      <c r="O211">
        <v>0</v>
      </c>
      <c r="P211">
        <v>312220849</v>
      </c>
    </row>
    <row r="212" spans="1:16" x14ac:dyDescent="0.35">
      <c r="A212" s="2" t="str">
        <f>[2]RCPA2!$A$299</f>
        <v>S00</v>
      </c>
      <c r="B212" s="11" t="str">
        <f>[2]RCPA2!$C$299</f>
        <v>Other service activities</v>
      </c>
      <c r="C212" s="3">
        <f>C213+C214+C215+C216</f>
        <v>375265910126</v>
      </c>
      <c r="D212" s="3">
        <f t="shared" ref="D212:P212" si="70">D213+D214+D215+D216</f>
        <v>82666179852</v>
      </c>
      <c r="E212" s="3">
        <f t="shared" si="70"/>
        <v>15852682309</v>
      </c>
      <c r="F212" s="3">
        <f t="shared" si="70"/>
        <v>0</v>
      </c>
      <c r="G212" s="3">
        <f t="shared" si="70"/>
        <v>98518862161</v>
      </c>
      <c r="H212" s="3">
        <f t="shared" si="70"/>
        <v>276747047964</v>
      </c>
      <c r="I212" s="3">
        <f t="shared" si="70"/>
        <v>49814468742</v>
      </c>
      <c r="J212" s="3">
        <f t="shared" si="70"/>
        <v>50911264</v>
      </c>
      <c r="K212" s="3">
        <f t="shared" si="70"/>
        <v>49865380006</v>
      </c>
      <c r="L212" s="3">
        <f t="shared" si="70"/>
        <v>7384631367</v>
      </c>
      <c r="M212" s="3">
        <f t="shared" si="70"/>
        <v>32142100060</v>
      </c>
      <c r="N212" s="3">
        <f t="shared" si="70"/>
        <v>39526731427</v>
      </c>
      <c r="O212" s="3">
        <f t="shared" si="70"/>
        <v>525470</v>
      </c>
      <c r="P212" s="3">
        <f t="shared" si="70"/>
        <v>10338123051</v>
      </c>
    </row>
    <row r="213" spans="1:16" x14ac:dyDescent="0.35">
      <c r="A213" t="s">
        <v>296</v>
      </c>
      <c r="B213" t="s">
        <v>297</v>
      </c>
      <c r="C213" s="1">
        <v>189041493071</v>
      </c>
      <c r="D213">
        <v>29630246733</v>
      </c>
      <c r="E213">
        <v>5789932288</v>
      </c>
      <c r="F213">
        <v>0</v>
      </c>
      <c r="G213">
        <v>35420179021</v>
      </c>
      <c r="H213">
        <v>153621314050</v>
      </c>
      <c r="I213">
        <v>27651836572</v>
      </c>
      <c r="J213">
        <v>22547468</v>
      </c>
      <c r="K213">
        <v>27674384040</v>
      </c>
      <c r="L213">
        <v>6326779106</v>
      </c>
      <c r="M213">
        <v>14252242065</v>
      </c>
      <c r="N213">
        <v>20579021171</v>
      </c>
      <c r="O213">
        <v>525470</v>
      </c>
      <c r="P213">
        <v>7094837384</v>
      </c>
    </row>
    <row r="214" spans="1:16" x14ac:dyDescent="0.35">
      <c r="A214" t="s">
        <v>298</v>
      </c>
      <c r="B214" t="s">
        <v>344</v>
      </c>
      <c r="C214" s="1">
        <v>41121669080</v>
      </c>
      <c r="D214">
        <v>16681595774</v>
      </c>
      <c r="E214">
        <v>1250517406</v>
      </c>
      <c r="F214">
        <v>0</v>
      </c>
      <c r="G214">
        <v>17932113180</v>
      </c>
      <c r="H214">
        <v>23189555900</v>
      </c>
      <c r="I214">
        <v>4174120071</v>
      </c>
      <c r="J214">
        <v>28013259</v>
      </c>
      <c r="K214">
        <v>4202133330</v>
      </c>
      <c r="L214">
        <v>527273631</v>
      </c>
      <c r="M214">
        <v>1660211768</v>
      </c>
      <c r="N214">
        <v>2187485399</v>
      </c>
      <c r="O214">
        <v>0</v>
      </c>
      <c r="P214">
        <v>2014647925</v>
      </c>
    </row>
    <row r="215" spans="1:16" x14ac:dyDescent="0.35">
      <c r="A215" t="s">
        <v>300</v>
      </c>
      <c r="B215" t="s">
        <v>301</v>
      </c>
      <c r="C215" s="1">
        <v>1280865864</v>
      </c>
      <c r="D215">
        <v>13099818</v>
      </c>
      <c r="E215">
        <v>26553660</v>
      </c>
      <c r="F215">
        <v>0</v>
      </c>
      <c r="G215">
        <v>39653478</v>
      </c>
      <c r="H215">
        <v>1241212386</v>
      </c>
      <c r="I215">
        <v>223418235</v>
      </c>
      <c r="J215">
        <v>12800</v>
      </c>
      <c r="K215">
        <v>223431035</v>
      </c>
      <c r="L215">
        <v>38221451</v>
      </c>
      <c r="M215">
        <v>163119775</v>
      </c>
      <c r="N215">
        <v>201341226</v>
      </c>
      <c r="O215">
        <v>0</v>
      </c>
      <c r="P215">
        <v>22089806</v>
      </c>
    </row>
    <row r="216" spans="1:16" x14ac:dyDescent="0.35">
      <c r="A216" t="s">
        <v>302</v>
      </c>
      <c r="B216" t="s">
        <v>345</v>
      </c>
      <c r="C216" s="1">
        <v>143821882111</v>
      </c>
      <c r="D216">
        <v>36341237527</v>
      </c>
      <c r="E216">
        <v>8785678955</v>
      </c>
      <c r="F216">
        <v>0</v>
      </c>
      <c r="G216">
        <v>45126916482</v>
      </c>
      <c r="H216">
        <v>98694965628</v>
      </c>
      <c r="I216">
        <v>17765093864</v>
      </c>
      <c r="J216">
        <v>337737</v>
      </c>
      <c r="K216">
        <v>17765431601</v>
      </c>
      <c r="L216">
        <v>492357179</v>
      </c>
      <c r="M216">
        <v>16066526452</v>
      </c>
      <c r="N216">
        <v>16558883631</v>
      </c>
      <c r="O216">
        <v>0</v>
      </c>
      <c r="P216">
        <v>1206547936</v>
      </c>
    </row>
    <row r="217" spans="1:16" x14ac:dyDescent="0.35">
      <c r="A217" s="2" t="str">
        <f>[2]RCPA2!$A$305</f>
        <v>T00</v>
      </c>
      <c r="B217" s="2" t="str">
        <f>[2]RCPA2!$C$305</f>
        <v>Domestic services</v>
      </c>
      <c r="C217" s="3">
        <f>C218</f>
        <v>2003020672</v>
      </c>
      <c r="D217" s="3">
        <f t="shared" ref="D217:P217" si="71">D218</f>
        <v>754182657</v>
      </c>
      <c r="E217" s="3">
        <f t="shared" si="71"/>
        <v>2856850</v>
      </c>
      <c r="F217" s="3">
        <f t="shared" si="71"/>
        <v>0</v>
      </c>
      <c r="G217" s="3">
        <f t="shared" si="71"/>
        <v>757039507</v>
      </c>
      <c r="H217" s="3">
        <f t="shared" si="71"/>
        <v>1245981165</v>
      </c>
      <c r="I217" s="3">
        <f t="shared" si="71"/>
        <v>224276610</v>
      </c>
      <c r="J217" s="3">
        <f t="shared" si="71"/>
        <v>0</v>
      </c>
      <c r="K217" s="3">
        <f t="shared" si="71"/>
        <v>224276610</v>
      </c>
      <c r="L217" s="3">
        <f t="shared" si="71"/>
        <v>38467804</v>
      </c>
      <c r="M217" s="3">
        <f t="shared" si="71"/>
        <v>148745465</v>
      </c>
      <c r="N217" s="3">
        <f t="shared" si="71"/>
        <v>187213269</v>
      </c>
      <c r="O217" s="3">
        <f t="shared" si="71"/>
        <v>0</v>
      </c>
      <c r="P217" s="3">
        <f t="shared" si="71"/>
        <v>37063340</v>
      </c>
    </row>
    <row r="218" spans="1:16" x14ac:dyDescent="0.35">
      <c r="A218" t="s">
        <v>304</v>
      </c>
      <c r="B218" t="s">
        <v>305</v>
      </c>
      <c r="C218" s="1">
        <v>2003020672</v>
      </c>
      <c r="D218">
        <v>754182657</v>
      </c>
      <c r="E218">
        <v>2856850</v>
      </c>
      <c r="F218">
        <v>0</v>
      </c>
      <c r="G218">
        <v>757039507</v>
      </c>
      <c r="H218">
        <v>1245981165</v>
      </c>
      <c r="I218">
        <v>224276610</v>
      </c>
      <c r="J218">
        <v>0</v>
      </c>
      <c r="K218">
        <v>224276610</v>
      </c>
      <c r="L218">
        <v>38467804</v>
      </c>
      <c r="M218">
        <v>148745465</v>
      </c>
      <c r="N218">
        <v>187213269</v>
      </c>
      <c r="O218">
        <v>0</v>
      </c>
      <c r="P218">
        <v>37063340</v>
      </c>
    </row>
    <row r="219" spans="1:16" x14ac:dyDescent="0.35">
      <c r="A219" s="2" t="str">
        <f>[2]RCPA2!$A$308</f>
        <v>V00</v>
      </c>
      <c r="B219" s="2" t="str">
        <f>[2]RCPA2!$C$308</f>
        <v>Travel debits &amp; credits</v>
      </c>
      <c r="C219" s="3">
        <f>C220</f>
        <v>11453070596</v>
      </c>
      <c r="D219" s="3">
        <f t="shared" ref="D219:P219" si="72">D220</f>
        <v>8528686471</v>
      </c>
      <c r="E219" s="3">
        <f t="shared" si="72"/>
        <v>3955600</v>
      </c>
      <c r="F219" s="3">
        <f t="shared" si="72"/>
        <v>0</v>
      </c>
      <c r="G219" s="3">
        <f t="shared" si="72"/>
        <v>8532642071</v>
      </c>
      <c r="H219" s="3">
        <f t="shared" si="72"/>
        <v>2920428525</v>
      </c>
      <c r="I219" s="3">
        <f t="shared" si="72"/>
        <v>525677136</v>
      </c>
      <c r="J219" s="3">
        <f t="shared" si="72"/>
        <v>0</v>
      </c>
      <c r="K219" s="3">
        <f t="shared" si="72"/>
        <v>525677136</v>
      </c>
      <c r="L219" s="3">
        <f t="shared" si="72"/>
        <v>6558358</v>
      </c>
      <c r="M219" s="3">
        <f t="shared" si="72"/>
        <v>231050199</v>
      </c>
      <c r="N219" s="3">
        <f t="shared" si="72"/>
        <v>237608557</v>
      </c>
      <c r="O219" s="3">
        <f t="shared" si="72"/>
        <v>0</v>
      </c>
      <c r="P219" s="3">
        <f t="shared" si="72"/>
        <v>288068578</v>
      </c>
    </row>
    <row r="220" spans="1:16" x14ac:dyDescent="0.35">
      <c r="A220" t="s">
        <v>306</v>
      </c>
      <c r="B220" t="s">
        <v>307</v>
      </c>
      <c r="C220" s="1">
        <v>11453070596</v>
      </c>
      <c r="D220">
        <v>8528686471</v>
      </c>
      <c r="E220">
        <v>3955600</v>
      </c>
      <c r="F220">
        <v>0</v>
      </c>
      <c r="G220">
        <v>8532642071</v>
      </c>
      <c r="H220">
        <v>2920428525</v>
      </c>
      <c r="I220">
        <v>525677136</v>
      </c>
      <c r="J220">
        <v>0</v>
      </c>
      <c r="K220">
        <v>525677136</v>
      </c>
      <c r="L220">
        <v>6558358</v>
      </c>
      <c r="M220">
        <v>231050199</v>
      </c>
      <c r="N220">
        <v>237608557</v>
      </c>
      <c r="O220">
        <v>0</v>
      </c>
      <c r="P220">
        <v>288068578</v>
      </c>
    </row>
    <row r="221" spans="1:16" x14ac:dyDescent="0.35">
      <c r="A221" s="2" t="str">
        <f>[2]RCPA2!$A$312</f>
        <v>X00</v>
      </c>
      <c r="B221" s="2" t="str">
        <f>[2]RCPA2!$C$312</f>
        <v>Unallocated products</v>
      </c>
      <c r="C221" s="3">
        <f>C222</f>
        <v>1677075358533</v>
      </c>
      <c r="D221" s="3">
        <f t="shared" ref="D221:P221" si="73">D222</f>
        <v>353225120044</v>
      </c>
      <c r="E221" s="3">
        <f t="shared" si="73"/>
        <v>209587731049</v>
      </c>
      <c r="F221" s="3">
        <f t="shared" si="73"/>
        <v>59773749588</v>
      </c>
      <c r="G221" s="3">
        <f t="shared" si="73"/>
        <v>622586600680</v>
      </c>
      <c r="H221" s="3">
        <f t="shared" si="73"/>
        <v>1054488757862</v>
      </c>
      <c r="I221" s="3">
        <f t="shared" si="73"/>
        <v>189808492517</v>
      </c>
      <c r="J221" s="3">
        <f t="shared" si="73"/>
        <v>888013681</v>
      </c>
      <c r="K221" s="3">
        <f t="shared" si="73"/>
        <v>190696505298</v>
      </c>
      <c r="L221" s="3">
        <f t="shared" si="73"/>
        <v>33205820379</v>
      </c>
      <c r="M221" s="3">
        <f t="shared" si="73"/>
        <v>127132467484</v>
      </c>
      <c r="N221" s="3">
        <f t="shared" si="73"/>
        <v>160338287863</v>
      </c>
      <c r="O221" s="3">
        <f t="shared" si="73"/>
        <v>128893072</v>
      </c>
      <c r="P221" s="3">
        <f t="shared" si="73"/>
        <v>30228809347</v>
      </c>
    </row>
    <row r="222" spans="1:16" x14ac:dyDescent="0.35">
      <c r="A222" t="s">
        <v>308</v>
      </c>
      <c r="B222" t="s">
        <v>309</v>
      </c>
      <c r="C222" s="1">
        <v>1677075358533</v>
      </c>
      <c r="D222">
        <v>353225120044</v>
      </c>
      <c r="E222">
        <v>209587731049</v>
      </c>
      <c r="F222">
        <v>59773749588</v>
      </c>
      <c r="G222">
        <v>622586600680</v>
      </c>
      <c r="H222">
        <v>1054488757862</v>
      </c>
      <c r="I222">
        <v>189808492517</v>
      </c>
      <c r="J222">
        <v>888013681</v>
      </c>
      <c r="K222">
        <v>190696505298</v>
      </c>
      <c r="L222">
        <v>33205820379</v>
      </c>
      <c r="M222">
        <v>127132467484</v>
      </c>
      <c r="N222">
        <v>160338287863</v>
      </c>
      <c r="O222">
        <v>128893072</v>
      </c>
      <c r="P222">
        <v>30228809347</v>
      </c>
    </row>
    <row r="223" spans="1:16" x14ac:dyDescent="0.35">
      <c r="C223" s="18">
        <f>C2+C5+C7+C9+C11+C15+C20+C22+C24+C26+C28+C30+C33+C35+C37+C39+C41+C43+C46+C48+C50+C53+C56+C58+C60+C64+C68+C70+C72+C77+C79+C82+C84+C87+C89+C93+C102+C106+C108+C112+C114+C116+C118+C125+C127+C129+C136+C144+C147+C150+C152+C154+C157+C161+C163+C165+C168+C170+C172+C174+C178+C180+C185+C187+C192+C195+C201+C203+C206+C208+C212+C217+C219+C221+C120</f>
        <v>18573349467630</v>
      </c>
      <c r="D223" s="18">
        <f t="shared" ref="D223:P223" si="74">D2+D5+D7+D9+D11+D15+D20+D22+D24+D26+D28+D30+D33+D35+D37+D39+D41+D43+D46+D48+D50+D53+D56+D58+D60+D64+D68+D70+D72+D77+D79+D82+D84+D87+D89+D93+D102+D106+D108+D112+D114+D116+D118+D125+D127+D129+D136+D144+D147+D150+D152+D154+D157+D161+D163+D165+D168+D170+D172+D174+D178+D180+D185+D187+D192+D195+D201+D203+D206+D208+D212+D217+D219+D221+D120</f>
        <v>6316042176505</v>
      </c>
      <c r="E223" s="18">
        <f t="shared" si="74"/>
        <v>2382412318258</v>
      </c>
      <c r="F223" s="18">
        <f t="shared" si="74"/>
        <v>280828964832</v>
      </c>
      <c r="G223" s="18">
        <f t="shared" si="74"/>
        <v>8979283459592</v>
      </c>
      <c r="H223" s="18">
        <f t="shared" si="74"/>
        <v>9594066008793</v>
      </c>
      <c r="I223" s="18">
        <f t="shared" si="74"/>
        <v>1726932257269</v>
      </c>
      <c r="J223" s="18">
        <f t="shared" si="74"/>
        <v>21159506173</v>
      </c>
      <c r="K223" s="18">
        <f t="shared" si="74"/>
        <v>1748091950252</v>
      </c>
      <c r="L223" s="18">
        <f t="shared" si="74"/>
        <v>247760452551</v>
      </c>
      <c r="M223" s="18">
        <f t="shared" si="74"/>
        <v>929788445281</v>
      </c>
      <c r="N223" s="18">
        <f t="shared" si="74"/>
        <v>1177548897832</v>
      </c>
      <c r="O223" s="18">
        <f t="shared" si="74"/>
        <v>5104460188</v>
      </c>
      <c r="P223" s="18">
        <f t="shared" si="74"/>
        <v>565438030806</v>
      </c>
    </row>
    <row r="224" spans="1:16" x14ac:dyDescent="0.35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4:4" x14ac:dyDescent="0.35">
      <c r="D225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NDAHIMANA</dc:creator>
  <cp:lastModifiedBy>Israel Bikorimana</cp:lastModifiedBy>
  <dcterms:created xsi:type="dcterms:W3CDTF">2026-01-28T17:55:07Z</dcterms:created>
  <dcterms:modified xsi:type="dcterms:W3CDTF">2026-01-30T08:27:49Z</dcterms:modified>
</cp:coreProperties>
</file>