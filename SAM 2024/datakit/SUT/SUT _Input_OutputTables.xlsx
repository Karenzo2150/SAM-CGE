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bien MPAYIMANA\Desktop\"/>
    </mc:Choice>
  </mc:AlternateContent>
  <xr:revisionPtr revIDLastSave="0" documentId="13_ncr:1_{CCBE5BF8-23E4-4237-A11F-103FF1239D9A}" xr6:coauthVersionLast="47" xr6:coauthVersionMax="47" xr10:uidLastSave="{00000000-0000-0000-0000-000000000000}"/>
  <bookViews>
    <workbookView xWindow="-90" yWindow="-90" windowWidth="16637" windowHeight="8717" tabRatio="917" activeTab="1" xr2:uid="{00000000-000D-0000-FFFF-FFFF00000000}"/>
  </bookViews>
  <sheets>
    <sheet name="SUT" sheetId="3" r:id="rId1"/>
    <sheet name="IO_Table" sheetId="4" r:id="rId2"/>
    <sheet name="RCPA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6" i="3" l="1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45" i="3"/>
  <c r="F8" i="4" l="1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7" i="4"/>
  <c r="J26" i="1"/>
  <c r="J25" i="1"/>
  <c r="J24" i="1"/>
  <c r="J23" i="1"/>
  <c r="J22" i="1"/>
  <c r="J21" i="1"/>
  <c r="J20" i="1"/>
  <c r="J19" i="1"/>
  <c r="J18" i="1"/>
  <c r="J17" i="1"/>
  <c r="J16" i="1"/>
  <c r="J14" i="1"/>
  <c r="J12" i="1"/>
  <c r="J11" i="1"/>
  <c r="J9" i="1"/>
  <c r="J10" i="1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5" i="4"/>
  <c r="B7" i="4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F6" i="4" l="1"/>
  <c r="D6" i="4"/>
  <c r="E6" i="4"/>
  <c r="B85" i="1" l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<sst xmlns="http://schemas.openxmlformats.org/spreadsheetml/2006/main" count="1701" uniqueCount="678">
  <si>
    <t>A11</t>
  </si>
  <si>
    <t>Cereals</t>
  </si>
  <si>
    <t>A12</t>
  </si>
  <si>
    <t>Roots and Tubers</t>
  </si>
  <si>
    <t>A13</t>
  </si>
  <si>
    <t>Vegetables</t>
  </si>
  <si>
    <t>A14</t>
  </si>
  <si>
    <t>Bananas and fruit</t>
  </si>
  <si>
    <t>A15</t>
  </si>
  <si>
    <t>Oil seeds n.e.c. and oleaginous fruit</t>
  </si>
  <si>
    <t>A21</t>
  </si>
  <si>
    <t>Coffee</t>
  </si>
  <si>
    <t>A22</t>
  </si>
  <si>
    <t>Tea (unprocessed green leaf)</t>
  </si>
  <si>
    <t>A29</t>
  </si>
  <si>
    <t>Other agricultural products</t>
  </si>
  <si>
    <t>A31</t>
  </si>
  <si>
    <t>Livestock</t>
  </si>
  <si>
    <t>A32</t>
  </si>
  <si>
    <t>Livestock and hunting products</t>
  </si>
  <si>
    <t>A40</t>
  </si>
  <si>
    <t>Forestry products</t>
  </si>
  <si>
    <t>A50</t>
  </si>
  <si>
    <t>Fishery products</t>
  </si>
  <si>
    <t>B01</t>
  </si>
  <si>
    <t>Natural gas</t>
  </si>
  <si>
    <t>B03</t>
  </si>
  <si>
    <t>Metal ores</t>
  </si>
  <si>
    <t>B09</t>
  </si>
  <si>
    <t>Quarry &amp; other mining products</t>
  </si>
  <si>
    <t>C11</t>
  </si>
  <si>
    <t>Meat and meat products</t>
  </si>
  <si>
    <t>C12</t>
  </si>
  <si>
    <t>Prepared and preserved fish</t>
  </si>
  <si>
    <t>C13</t>
  </si>
  <si>
    <t>Prepared and preserved vegetables</t>
  </si>
  <si>
    <t>C14</t>
  </si>
  <si>
    <t>Animal and vegetable oils and fats</t>
  </si>
  <si>
    <t>C15</t>
  </si>
  <si>
    <t>Dairy products</t>
  </si>
  <si>
    <t>C16</t>
  </si>
  <si>
    <t>Grain mill products</t>
  </si>
  <si>
    <t>C17</t>
  </si>
  <si>
    <t>Bakery products</t>
  </si>
  <si>
    <t>C18</t>
  </si>
  <si>
    <t>Animal feed &amp; other by-products</t>
  </si>
  <si>
    <t>C19</t>
  </si>
  <si>
    <t>Other manufactured food products</t>
  </si>
  <si>
    <t>C21</t>
  </si>
  <si>
    <t>Alcoholic drinks</t>
  </si>
  <si>
    <t>C22</t>
  </si>
  <si>
    <t>Soft drinks</t>
  </si>
  <si>
    <t>C23</t>
  </si>
  <si>
    <t>Tobacco products</t>
  </si>
  <si>
    <t>C30</t>
  </si>
  <si>
    <t>Textiles, clothing &amp; leather products</t>
  </si>
  <si>
    <t>C41</t>
  </si>
  <si>
    <t>Wood, paper and related products</t>
  </si>
  <si>
    <t>C42</t>
  </si>
  <si>
    <t>Printing and reproduction of recorded media</t>
  </si>
  <si>
    <t>C51</t>
  </si>
  <si>
    <t>Coke and refined petroleum products</t>
  </si>
  <si>
    <t>C52</t>
  </si>
  <si>
    <t>Chemicals and chemical products</t>
  </si>
  <si>
    <t>C53</t>
  </si>
  <si>
    <t>Pharmaceutical products</t>
  </si>
  <si>
    <t>C54</t>
  </si>
  <si>
    <t>Rubber and plastics products</t>
  </si>
  <si>
    <t>C61</t>
  </si>
  <si>
    <t>Non-metallic mineral products n.e.c.</t>
  </si>
  <si>
    <t>C62</t>
  </si>
  <si>
    <t>Manufacture of cement, lime and plaster</t>
  </si>
  <si>
    <t>C63</t>
  </si>
  <si>
    <t>Manufacture of clay building materials</t>
  </si>
  <si>
    <t>C72</t>
  </si>
  <si>
    <t>Metals &amp; metal products, except machinery and equipment</t>
  </si>
  <si>
    <t>C74</t>
  </si>
  <si>
    <t>Machinery and equipment (except transport)</t>
  </si>
  <si>
    <t>C76</t>
  </si>
  <si>
    <t>Transport equipment</t>
  </si>
  <si>
    <t>C81</t>
  </si>
  <si>
    <t>Furniture</t>
  </si>
  <si>
    <t>C82</t>
  </si>
  <si>
    <t>Other manufacturing</t>
  </si>
  <si>
    <t>C83</t>
  </si>
  <si>
    <t>Repair and installation of machinery and equipment</t>
  </si>
  <si>
    <t>D00</t>
  </si>
  <si>
    <t>Electricity, gas, steam and air conditioning supply</t>
  </si>
  <si>
    <t>E01</t>
  </si>
  <si>
    <t>Water collection, treatment and supply: sewrage</t>
  </si>
  <si>
    <t>E02</t>
  </si>
  <si>
    <t>Waste collection and management</t>
  </si>
  <si>
    <t>F01</t>
  </si>
  <si>
    <t>Construction (modern)</t>
  </si>
  <si>
    <t>F02</t>
  </si>
  <si>
    <t>Construction (traditional)</t>
  </si>
  <si>
    <t>G10</t>
  </si>
  <si>
    <t>Maintenance and repair of motor vehicles</t>
  </si>
  <si>
    <t>G21</t>
  </si>
  <si>
    <t>Wholesale and retail trade of motor vehicles and motorcycles</t>
  </si>
  <si>
    <t>G22</t>
  </si>
  <si>
    <t>Wholesale trade, except of motor vehicles and motorcycles</t>
  </si>
  <si>
    <t>G23</t>
  </si>
  <si>
    <t>Retail trade, except of motor vehicles and motorcycles</t>
  </si>
  <si>
    <t>H10</t>
  </si>
  <si>
    <t>Land transport</t>
  </si>
  <si>
    <t>H20</t>
  </si>
  <si>
    <t>Air transport</t>
  </si>
  <si>
    <t>H31</t>
  </si>
  <si>
    <t xml:space="preserve">Services related to transport </t>
  </si>
  <si>
    <t>H32</t>
  </si>
  <si>
    <t>Postal and courier activities</t>
  </si>
  <si>
    <t>I00</t>
  </si>
  <si>
    <t>Hotels &amp; restaurants</t>
  </si>
  <si>
    <t>J10</t>
  </si>
  <si>
    <t>Publishing, video making, programming &amp; broadcasting activities</t>
  </si>
  <si>
    <t>J20</t>
  </si>
  <si>
    <t>Telecommunication</t>
  </si>
  <si>
    <t>J30</t>
  </si>
  <si>
    <t>Information technology services</t>
  </si>
  <si>
    <t>K01</t>
  </si>
  <si>
    <t>Monetary institutions</t>
  </si>
  <si>
    <t>K02</t>
  </si>
  <si>
    <t>Insurance, reinsurance and pension funding, except compulsory social security</t>
  </si>
  <si>
    <t>K03</t>
  </si>
  <si>
    <t>Other financial services</t>
  </si>
  <si>
    <t>L01</t>
  </si>
  <si>
    <t>Rental value of dwellings</t>
  </si>
  <si>
    <t>L09</t>
  </si>
  <si>
    <t>Other real estate activities</t>
  </si>
  <si>
    <t>M01</t>
  </si>
  <si>
    <t>Legal, accounting management &amp; head office activities</t>
  </si>
  <si>
    <t>M02</t>
  </si>
  <si>
    <t>Architectural and engineering activities</t>
  </si>
  <si>
    <t>M03</t>
  </si>
  <si>
    <t>Other professional, scientific and technical activities</t>
  </si>
  <si>
    <t>N01</t>
  </si>
  <si>
    <t>Travel agents and tour operators</t>
  </si>
  <si>
    <t>N09</t>
  </si>
  <si>
    <t>Other administrative and support service activities</t>
  </si>
  <si>
    <t>O00</t>
  </si>
  <si>
    <t>Public administration and defence; compulsory social security</t>
  </si>
  <si>
    <t>P00</t>
  </si>
  <si>
    <t>Education</t>
  </si>
  <si>
    <t>Q01</t>
  </si>
  <si>
    <t>Human health activities</t>
  </si>
  <si>
    <t>Q02</t>
  </si>
  <si>
    <t>Social work activities</t>
  </si>
  <si>
    <t>R01</t>
  </si>
  <si>
    <t>Libraries, archives, museums and other cultural activities</t>
  </si>
  <si>
    <t>R09</t>
  </si>
  <si>
    <t>Other arts, entertainment and recreation</t>
  </si>
  <si>
    <t>S00</t>
  </si>
  <si>
    <t>Other service activities</t>
  </si>
  <si>
    <t>T00</t>
  </si>
  <si>
    <t>Domestic services</t>
  </si>
  <si>
    <t>V00</t>
  </si>
  <si>
    <t>Travel debits &amp; credits</t>
  </si>
  <si>
    <t>X00</t>
  </si>
  <si>
    <t>Unallocated products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</si>
  <si>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</si>
  <si>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</si>
  <si>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</si>
  <si>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</si>
  <si>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</si>
  <si>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</si>
  <si>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</si>
  <si>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</si>
  <si>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</si>
  <si>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</si>
  <si>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</si>
  <si>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</si>
  <si>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</si>
  <si>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</si>
  <si>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</si>
  <si>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</si>
  <si>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</si>
  <si>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</si>
  <si>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</si>
  <si>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</si>
  <si>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V</t>
  </si>
  <si>
    <t>Agtriculture, Forestry and Fishing</t>
  </si>
  <si>
    <t>Mning &amp; Quarrying</t>
  </si>
  <si>
    <t>Manufacturing</t>
  </si>
  <si>
    <t>RCPA2</t>
  </si>
  <si>
    <t>Len</t>
  </si>
  <si>
    <t>Labels</t>
  </si>
  <si>
    <t>A1</t>
  </si>
  <si>
    <t>Food crops</t>
  </si>
  <si>
    <t>A111</t>
  </si>
  <si>
    <t>Sorghum</t>
  </si>
  <si>
    <t>A112</t>
  </si>
  <si>
    <t>Maize</t>
  </si>
  <si>
    <t>A113</t>
  </si>
  <si>
    <t>Wheat</t>
  </si>
  <si>
    <t>A116</t>
  </si>
  <si>
    <t>Paddy &amp; husked rice</t>
  </si>
  <si>
    <t>A119</t>
  </si>
  <si>
    <t>Other cereals</t>
  </si>
  <si>
    <t>Roots &amp; Tubers</t>
  </si>
  <si>
    <t>A121</t>
  </si>
  <si>
    <t>Irish potatoes</t>
  </si>
  <si>
    <t>A122</t>
  </si>
  <si>
    <t>Sweet potatoes</t>
  </si>
  <si>
    <t>A123</t>
  </si>
  <si>
    <t>Cassava</t>
  </si>
  <si>
    <t>A129</t>
  </si>
  <si>
    <t>Other roots &amp; tubers</t>
  </si>
  <si>
    <t>A131</t>
  </si>
  <si>
    <t xml:space="preserve">Dried beans </t>
  </si>
  <si>
    <t>A132</t>
  </si>
  <si>
    <t>Peas &amp; other legumes</t>
  </si>
  <si>
    <t>A139</t>
  </si>
  <si>
    <t>Other vegetables</t>
  </si>
  <si>
    <t>Bananas &amp; fruit</t>
  </si>
  <si>
    <t>A141</t>
  </si>
  <si>
    <t>Bananas for beer</t>
  </si>
  <si>
    <t>A142</t>
  </si>
  <si>
    <t>Bananas for cooking</t>
  </si>
  <si>
    <t>A143</t>
  </si>
  <si>
    <t>Bananas (sweet)</t>
  </si>
  <si>
    <t>A149</t>
  </si>
  <si>
    <t>Other fruit &amp; nuts</t>
  </si>
  <si>
    <t>Oil seeds n.e.c. &amp; oleaginous fruit</t>
  </si>
  <si>
    <t>A151</t>
  </si>
  <si>
    <t>Ground nuts</t>
  </si>
  <si>
    <t>A152</t>
  </si>
  <si>
    <t>Soya</t>
  </si>
  <si>
    <t>A159</t>
  </si>
  <si>
    <t>Other oil seeds</t>
  </si>
  <si>
    <t>A2</t>
  </si>
  <si>
    <t>Export crops</t>
  </si>
  <si>
    <t>A210</t>
  </si>
  <si>
    <t>Coffee, not roasted, not decaffeinated</t>
  </si>
  <si>
    <t>A220</t>
  </si>
  <si>
    <t>A291</t>
  </si>
  <si>
    <t>Tobacco, raw</t>
  </si>
  <si>
    <t>A292</t>
  </si>
  <si>
    <t>Sugar cane</t>
  </si>
  <si>
    <t>A293</t>
  </si>
  <si>
    <t>Pyrethrum</t>
  </si>
  <si>
    <t>A299</t>
  </si>
  <si>
    <t>Agricultural products n.e.c.</t>
  </si>
  <si>
    <t>A3</t>
  </si>
  <si>
    <t>Livestock &amp; livestock products</t>
  </si>
  <si>
    <t>A311</t>
  </si>
  <si>
    <t>Bovine cattle, live</t>
  </si>
  <si>
    <t>A312</t>
  </si>
  <si>
    <t>Sheep, goats, pigs,live</t>
  </si>
  <si>
    <t>A313</t>
  </si>
  <si>
    <t>Poultry, live</t>
  </si>
  <si>
    <t>A319</t>
  </si>
  <si>
    <t>Other live animals</t>
  </si>
  <si>
    <t>Livestock &amp; hunting products</t>
  </si>
  <si>
    <t>A321</t>
  </si>
  <si>
    <t>Raw milk</t>
  </si>
  <si>
    <t>A322</t>
  </si>
  <si>
    <t>Eggs</t>
  </si>
  <si>
    <t>A323</t>
  </si>
  <si>
    <t>Natural honey</t>
  </si>
  <si>
    <t>A329</t>
  </si>
  <si>
    <t>Other livestock &amp; hunting products</t>
  </si>
  <si>
    <t>A4</t>
  </si>
  <si>
    <t>Forestry</t>
  </si>
  <si>
    <t>A401</t>
  </si>
  <si>
    <t>Fuel wood</t>
  </si>
  <si>
    <t>A402</t>
  </si>
  <si>
    <t>Charcoal</t>
  </si>
  <si>
    <t>A409</t>
  </si>
  <si>
    <t>Other forestry products</t>
  </si>
  <si>
    <t>A5</t>
  </si>
  <si>
    <t>Fishing</t>
  </si>
  <si>
    <t>A500</t>
  </si>
  <si>
    <t>B0</t>
  </si>
  <si>
    <t>Mining &amp; quarrying</t>
  </si>
  <si>
    <t>B010</t>
  </si>
  <si>
    <t>B031</t>
  </si>
  <si>
    <t>Cassiterite</t>
  </si>
  <si>
    <t>B032</t>
  </si>
  <si>
    <t>Col-tan</t>
  </si>
  <si>
    <t>B033</t>
  </si>
  <si>
    <t xml:space="preserve">Wolfram </t>
  </si>
  <si>
    <t>B091</t>
  </si>
  <si>
    <t>Quarry products, sand</t>
  </si>
  <si>
    <t>B099</t>
  </si>
  <si>
    <t>Other mining products</t>
  </si>
  <si>
    <t>C1</t>
  </si>
  <si>
    <t>Manufacturing of food</t>
  </si>
  <si>
    <t>Meat &amp; meat products</t>
  </si>
  <si>
    <t>C111</t>
  </si>
  <si>
    <t>Beef</t>
  </si>
  <si>
    <t>C112</t>
  </si>
  <si>
    <t>Other meat &amp; meat products</t>
  </si>
  <si>
    <t>Prepared &amp; preserved fish</t>
  </si>
  <si>
    <t>C120</t>
  </si>
  <si>
    <t>Prepared &amp; preserved vegetables</t>
  </si>
  <si>
    <t>C131</t>
  </si>
  <si>
    <t>Fruit juices</t>
  </si>
  <si>
    <t>C139</t>
  </si>
  <si>
    <t>Other prepared &amp; preserved vegetables</t>
  </si>
  <si>
    <t>Animal &amp; vegetable oils &amp; fats</t>
  </si>
  <si>
    <t>C140</t>
  </si>
  <si>
    <t>C150</t>
  </si>
  <si>
    <t>C161</t>
  </si>
  <si>
    <t>Maize flour</t>
  </si>
  <si>
    <t>C162</t>
  </si>
  <si>
    <t xml:space="preserve">Wheat flour </t>
  </si>
  <si>
    <t>C164</t>
  </si>
  <si>
    <t>Cassava flour</t>
  </si>
  <si>
    <t>C166</t>
  </si>
  <si>
    <t>Rice, semi- or wholly milled</t>
  </si>
  <si>
    <t>C169</t>
  </si>
  <si>
    <t>Other grain mill products</t>
  </si>
  <si>
    <t>C170</t>
  </si>
  <si>
    <t>C180</t>
  </si>
  <si>
    <t>C191</t>
  </si>
  <si>
    <t>Coffee, decaffeinated or roasted</t>
  </si>
  <si>
    <t>C192</t>
  </si>
  <si>
    <t>Tea, dried</t>
  </si>
  <si>
    <t>C193</t>
  </si>
  <si>
    <t>Sugar</t>
  </si>
  <si>
    <t>C194</t>
  </si>
  <si>
    <t>Cooking salt</t>
  </si>
  <si>
    <t>C199</t>
  </si>
  <si>
    <t>Other food products n.e.c.</t>
  </si>
  <si>
    <t>C2</t>
  </si>
  <si>
    <t>Manufacturing of beverages &amp; tobacco</t>
  </si>
  <si>
    <t>C211</t>
  </si>
  <si>
    <t>Banana beer</t>
  </si>
  <si>
    <t>C212</t>
  </si>
  <si>
    <t>Other traditional beer</t>
  </si>
  <si>
    <t>C213</t>
  </si>
  <si>
    <t>Modern beer</t>
  </si>
  <si>
    <t>C218</t>
  </si>
  <si>
    <t>Malt</t>
  </si>
  <si>
    <t>C219</t>
  </si>
  <si>
    <t>Other alcoholic drinks</t>
  </si>
  <si>
    <t>C221</t>
  </si>
  <si>
    <t>Traditional soft drinks</t>
  </si>
  <si>
    <t>C222</t>
  </si>
  <si>
    <t>Modern soft drinks, mineral water</t>
  </si>
  <si>
    <t>C230</t>
  </si>
  <si>
    <t>C3</t>
  </si>
  <si>
    <t>Manufacturing of textiles, clothing &amp; leather goods</t>
  </si>
  <si>
    <t>C301</t>
  </si>
  <si>
    <t>Textile products except  clothing</t>
  </si>
  <si>
    <t>C302</t>
  </si>
  <si>
    <t>Clothing, new &amp; second-hand</t>
  </si>
  <si>
    <t>C303</t>
  </si>
  <si>
    <t>Shoes; articles of leather</t>
  </si>
  <si>
    <t>C4</t>
  </si>
  <si>
    <t>Manufacturing of wood &amp; paper; printing</t>
  </si>
  <si>
    <t>Wood, paper &amp; related products</t>
  </si>
  <si>
    <t>C411</t>
  </si>
  <si>
    <t>Wood &amp; basketware products</t>
  </si>
  <si>
    <t>C412</t>
  </si>
  <si>
    <t>Paper, cardboard &amp; articles thereof</t>
  </si>
  <si>
    <t>C413</t>
  </si>
  <si>
    <t>Builders' carpentry</t>
  </si>
  <si>
    <t>Printing &amp; reproduction of recorded media</t>
  </si>
  <si>
    <t>C420</t>
  </si>
  <si>
    <t>Printing &amp; reproduction products</t>
  </si>
  <si>
    <t>C5</t>
  </si>
  <si>
    <t>Manufacturing of chemicals, rubber &amp; plastic products</t>
  </si>
  <si>
    <t>Refined petroleum products; coke</t>
  </si>
  <si>
    <t>C510</t>
  </si>
  <si>
    <t>Petroleum products</t>
  </si>
  <si>
    <t>Chemicals &amp; chemical products</t>
  </si>
  <si>
    <t>C521</t>
  </si>
  <si>
    <t>Fertilisers &amp; pesticides</t>
  </si>
  <si>
    <t>C522</t>
  </si>
  <si>
    <t>Soap, cosmetics &amp; other cleaning products</t>
  </si>
  <si>
    <t>C523</t>
  </si>
  <si>
    <t>Paints &amp; varnishes</t>
  </si>
  <si>
    <t>C529</t>
  </si>
  <si>
    <t>Other basic chemicals</t>
  </si>
  <si>
    <t>C530</t>
  </si>
  <si>
    <t>Rubber &amp; plastics products</t>
  </si>
  <si>
    <t>C541</t>
  </si>
  <si>
    <t>Rubber tyres &amp; tubes</t>
  </si>
  <si>
    <t>C542</t>
  </si>
  <si>
    <t>Plastic construction materials</t>
  </si>
  <si>
    <t>C549</t>
  </si>
  <si>
    <t>Other rubber &amp; plastic products</t>
  </si>
  <si>
    <t>C6</t>
  </si>
  <si>
    <t>Manufacturing of non-metalic mineral products</t>
  </si>
  <si>
    <t>C610</t>
  </si>
  <si>
    <t>Glass, ceramics, etc n.e.c.</t>
  </si>
  <si>
    <t>Manufacture of cement, lime &amp; plaster</t>
  </si>
  <si>
    <t>C621</t>
  </si>
  <si>
    <t>Cement</t>
  </si>
  <si>
    <t>C622</t>
  </si>
  <si>
    <t>Lime, plaster, articles of stone, concrete etc</t>
  </si>
  <si>
    <t>C630</t>
  </si>
  <si>
    <t>Bricks</t>
  </si>
  <si>
    <t>C7</t>
  </si>
  <si>
    <t>Manufacturing of metal products, machinery &amp; equipment</t>
  </si>
  <si>
    <t>Metals &amp; metal products, except machinery &amp; equipment</t>
  </si>
  <si>
    <t>C721</t>
  </si>
  <si>
    <t>Construction goods of iron, steel</t>
  </si>
  <si>
    <t>C722</t>
  </si>
  <si>
    <t>Domestic metal products</t>
  </si>
  <si>
    <t>C729</t>
  </si>
  <si>
    <t>Basic metals &amp; other metal products</t>
  </si>
  <si>
    <t>Machinery &amp; equipment (except transport)</t>
  </si>
  <si>
    <t>C741</t>
  </si>
  <si>
    <t>Consumer electronics &amp; optics; watches &amp; clocks</t>
  </si>
  <si>
    <t>C742</t>
  </si>
  <si>
    <t>Communication equipment</t>
  </si>
  <si>
    <t>C743</t>
  </si>
  <si>
    <t>Computing, electronic &amp; optical equipment n.e.c.</t>
  </si>
  <si>
    <t>C744</t>
  </si>
  <si>
    <t>Electronic components &amp; parts</t>
  </si>
  <si>
    <t>C745</t>
  </si>
  <si>
    <t>Household electrical appliances</t>
  </si>
  <si>
    <t>C746</t>
  </si>
  <si>
    <t>Electrical equipment n.e.c.</t>
  </si>
  <si>
    <t>C747</t>
  </si>
  <si>
    <t xml:space="preserve">Electrical wiring, batteries &amp; components </t>
  </si>
  <si>
    <t>C748</t>
  </si>
  <si>
    <t xml:space="preserve">Other machinery &amp; equipment n.e.c. </t>
  </si>
  <si>
    <t>C749</t>
  </si>
  <si>
    <t>Parts of machinery &amp; equipment n.e.c.</t>
  </si>
  <si>
    <t>C761</t>
  </si>
  <si>
    <t>Motor cars &amp; motor cycles</t>
  </si>
  <si>
    <t>C762</t>
  </si>
  <si>
    <t>Other transport equipment</t>
  </si>
  <si>
    <t>C768</t>
  </si>
  <si>
    <t>Parts of transport equipment</t>
  </si>
  <si>
    <t>C8</t>
  </si>
  <si>
    <t xml:space="preserve">Furniture &amp; other manufacturing </t>
  </si>
  <si>
    <t>C811</t>
  </si>
  <si>
    <t>Household furniture</t>
  </si>
  <si>
    <t>C812</t>
  </si>
  <si>
    <t>Office furniture</t>
  </si>
  <si>
    <t>Other manufactures</t>
  </si>
  <si>
    <t>C821</t>
  </si>
  <si>
    <t>Medical instruments</t>
  </si>
  <si>
    <t>C822</t>
  </si>
  <si>
    <t>Medical supplies n.e.c.</t>
  </si>
  <si>
    <t>C823</t>
  </si>
  <si>
    <t>Consumer products n.e.c.</t>
  </si>
  <si>
    <t>C829</t>
  </si>
  <si>
    <t xml:space="preserve">Other manufactured products </t>
  </si>
  <si>
    <t>Repair &amp; installation of machinery &amp; equipment</t>
  </si>
  <si>
    <t>C830</t>
  </si>
  <si>
    <t>D0</t>
  </si>
  <si>
    <t>Electricity</t>
  </si>
  <si>
    <t>Electricity, gas, steam &amp; air conditioning supply</t>
  </si>
  <si>
    <t>D000</t>
  </si>
  <si>
    <t>E0</t>
  </si>
  <si>
    <t>Water &amp; waste management</t>
  </si>
  <si>
    <t>Water collection, treatment &amp; supply: sewrage</t>
  </si>
  <si>
    <t>E010</t>
  </si>
  <si>
    <t>Water &amp; sewrage</t>
  </si>
  <si>
    <t>Waste collection &amp; management</t>
  </si>
  <si>
    <t>E020</t>
  </si>
  <si>
    <t>Waste collection, treatment &amp; disposal activities; materials recovery</t>
  </si>
  <si>
    <t>F0</t>
  </si>
  <si>
    <t>Construction</t>
  </si>
  <si>
    <t>F011</t>
  </si>
  <si>
    <t>Civil works</t>
  </si>
  <si>
    <t>F012</t>
  </si>
  <si>
    <t>Non-residential buildings</t>
  </si>
  <si>
    <t>F013</t>
  </si>
  <si>
    <t>Modern dwellings</t>
  </si>
  <si>
    <t>F014</t>
  </si>
  <si>
    <t>Maintenance work</t>
  </si>
  <si>
    <t>F020</t>
  </si>
  <si>
    <t>Traditional dwellings</t>
  </si>
  <si>
    <t>G1</t>
  </si>
  <si>
    <t>Maintenance &amp; repair of motor vehicles</t>
  </si>
  <si>
    <t>G100</t>
  </si>
  <si>
    <t>G2</t>
  </si>
  <si>
    <t>Wholesale &amp; retail trade</t>
  </si>
  <si>
    <t>Wholesale &amp; retail trade of motor vehicles &amp; motorcycles</t>
  </si>
  <si>
    <t>G210</t>
  </si>
  <si>
    <t>Wholesale trade, except of motor vehicles &amp; motorcycles</t>
  </si>
  <si>
    <t>G221</t>
  </si>
  <si>
    <t>Wholesale of agricultural raw materials &amp; live animals</t>
  </si>
  <si>
    <t>G222</t>
  </si>
  <si>
    <t>Wholesale of food, beverages &amp; tobacco</t>
  </si>
  <si>
    <t>G223</t>
  </si>
  <si>
    <t>Wholesale of textiles, clothing &amp; other household goods</t>
  </si>
  <si>
    <t>G224</t>
  </si>
  <si>
    <t>Wholesale of solid, liquid &amp; gaseous fuels &amp; related products</t>
  </si>
  <si>
    <t>G225</t>
  </si>
  <si>
    <t>Wholesale of construction materials, hardware, plumbing &amp; heating equipment &amp; supplies</t>
  </si>
  <si>
    <t>G229</t>
  </si>
  <si>
    <t>Other wholesale trade, except of motor vehicles &amp; motorcycles</t>
  </si>
  <si>
    <t>Retail trade, except of motor vehicles &amp; motorcycles</t>
  </si>
  <si>
    <t>G231</t>
  </si>
  <si>
    <t>Retail sale in non-specialized stores</t>
  </si>
  <si>
    <t>G232</t>
  </si>
  <si>
    <t>Retail sale of food, beverages &amp; tobacco in specialized stores</t>
  </si>
  <si>
    <t>G233</t>
  </si>
  <si>
    <t>Retail sale of automotive fuel in specialized stores</t>
  </si>
  <si>
    <t>G234</t>
  </si>
  <si>
    <t>Retail sale of clothing, footwear &amp; leather articles in specialized stores</t>
  </si>
  <si>
    <t>G235</t>
  </si>
  <si>
    <t>Retail sale of pharmaceutical &amp; medical goods, cosmetic &amp; toilet articles in specialized stores</t>
  </si>
  <si>
    <t>G238</t>
  </si>
  <si>
    <t>Retail sale via stalls &amp; markets</t>
  </si>
  <si>
    <t>G239</t>
  </si>
  <si>
    <t>Other retail sales</t>
  </si>
  <si>
    <t>H1</t>
  </si>
  <si>
    <t>H101</t>
  </si>
  <si>
    <t>Passenger land transport</t>
  </si>
  <si>
    <t>H102</t>
  </si>
  <si>
    <t>Freight transport by road</t>
  </si>
  <si>
    <t>H2</t>
  </si>
  <si>
    <t>H201</t>
  </si>
  <si>
    <t>Passenger air transport</t>
  </si>
  <si>
    <t>H202</t>
  </si>
  <si>
    <t>Freight transport by air</t>
  </si>
  <si>
    <t>H3</t>
  </si>
  <si>
    <t>Other transport &amp; postal services</t>
  </si>
  <si>
    <t>H310</t>
  </si>
  <si>
    <t>Warehousing &amp; support activities for transportation</t>
  </si>
  <si>
    <t>Postal &amp; courier activities</t>
  </si>
  <si>
    <t>H320</t>
  </si>
  <si>
    <t>Postal services</t>
  </si>
  <si>
    <t>I0</t>
  </si>
  <si>
    <t>I001</t>
  </si>
  <si>
    <t>Accommodation</t>
  </si>
  <si>
    <t>I002</t>
  </si>
  <si>
    <t>Food &amp; drinks</t>
  </si>
  <si>
    <t>J1</t>
  </si>
  <si>
    <t>Publishing &amp; broadcasting activities</t>
  </si>
  <si>
    <t>J101</t>
  </si>
  <si>
    <t>Publishing activity</t>
  </si>
  <si>
    <t>J102</t>
  </si>
  <si>
    <t>Motion picture, video &amp; television programme production, sound recording &amp; music publishing activities</t>
  </si>
  <si>
    <t>J103</t>
  </si>
  <si>
    <t>Programming &amp; broadcasting activities</t>
  </si>
  <si>
    <t>J2</t>
  </si>
  <si>
    <t>J200</t>
  </si>
  <si>
    <t>Telecomms  (includng wireless, cable, satellite connections)</t>
  </si>
  <si>
    <t>J3</t>
  </si>
  <si>
    <t>J300</t>
  </si>
  <si>
    <t>K0</t>
  </si>
  <si>
    <t>Financial services</t>
  </si>
  <si>
    <t>K011</t>
  </si>
  <si>
    <t>Central Bank</t>
  </si>
  <si>
    <t>K012</t>
  </si>
  <si>
    <t>Banking services</t>
  </si>
  <si>
    <t>K013</t>
  </si>
  <si>
    <t>FISIM</t>
  </si>
  <si>
    <t>Insurance, reinsurance &amp; pension funding, except compulsory social security</t>
  </si>
  <si>
    <t>K020</t>
  </si>
  <si>
    <t>Insurance &amp; related services</t>
  </si>
  <si>
    <t>K030</t>
  </si>
  <si>
    <t>L0</t>
  </si>
  <si>
    <t>Real estate activities</t>
  </si>
  <si>
    <t>L011</t>
  </si>
  <si>
    <t>Rents for rented dwellings</t>
  </si>
  <si>
    <t>L012</t>
  </si>
  <si>
    <t>Rents for owner-occupied dwellings dwellings</t>
  </si>
  <si>
    <t>L090</t>
  </si>
  <si>
    <t>M0</t>
  </si>
  <si>
    <t>Professional, scientific &amp; technical activities</t>
  </si>
  <si>
    <t>M011</t>
  </si>
  <si>
    <t>Legal activities</t>
  </si>
  <si>
    <t>M012</t>
  </si>
  <si>
    <t>Accounting, bookkeeping &amp; auditing activities; tax consultancy</t>
  </si>
  <si>
    <t>M013</t>
  </si>
  <si>
    <t>Activities of head offices; management consultancy activities</t>
  </si>
  <si>
    <t>Architectural &amp; engineering activities</t>
  </si>
  <si>
    <t>M020</t>
  </si>
  <si>
    <t>Architectural &amp; engineering activities; technical testing &amp; analysis</t>
  </si>
  <si>
    <t>Other professional, scientific &amp; technical activities</t>
  </si>
  <si>
    <t>M031</t>
  </si>
  <si>
    <t>Scientific research &amp; development</t>
  </si>
  <si>
    <t>M032</t>
  </si>
  <si>
    <t>Advertising &amp; market research</t>
  </si>
  <si>
    <t>M033</t>
  </si>
  <si>
    <t>M034</t>
  </si>
  <si>
    <t>Veterinary services</t>
  </si>
  <si>
    <t>N0</t>
  </si>
  <si>
    <t>Administrative &amp; support service activities</t>
  </si>
  <si>
    <t>Travel agents &amp; tour operators</t>
  </si>
  <si>
    <t>N010</t>
  </si>
  <si>
    <t>Other administrative &amp; support service activities</t>
  </si>
  <si>
    <t>N091</t>
  </si>
  <si>
    <t>Rental &amp; leasing activities</t>
  </si>
  <si>
    <t>N092</t>
  </si>
  <si>
    <t>Employment activities</t>
  </si>
  <si>
    <t>N093</t>
  </si>
  <si>
    <t>Security &amp; investigation activities</t>
  </si>
  <si>
    <t>N094</t>
  </si>
  <si>
    <t>Services to buildings &amp; landscape activities</t>
  </si>
  <si>
    <t>N099</t>
  </si>
  <si>
    <t>Office administrative, office support &amp; other business support activities</t>
  </si>
  <si>
    <t>O0</t>
  </si>
  <si>
    <t>Public administration &amp; defence; compulsory social security</t>
  </si>
  <si>
    <t>O001</t>
  </si>
  <si>
    <t>Public administration (budgetary)</t>
  </si>
  <si>
    <t>O002</t>
  </si>
  <si>
    <t>Public administration (extra-budgetary)</t>
  </si>
  <si>
    <t>O003</t>
  </si>
  <si>
    <t>Compulsory social security activities</t>
  </si>
  <si>
    <t>P0</t>
  </si>
  <si>
    <t>P001</t>
  </si>
  <si>
    <t>Pre-primary &amp; primary education</t>
  </si>
  <si>
    <t>P002</t>
  </si>
  <si>
    <t>Secondary</t>
  </si>
  <si>
    <t>P003</t>
  </si>
  <si>
    <t>Higher education</t>
  </si>
  <si>
    <t>P004</t>
  </si>
  <si>
    <t>Other education</t>
  </si>
  <si>
    <t>P005</t>
  </si>
  <si>
    <t>Educational support activities</t>
  </si>
  <si>
    <t>Q0</t>
  </si>
  <si>
    <t>Human health &amp; social work activities</t>
  </si>
  <si>
    <t>Q010</t>
  </si>
  <si>
    <t>Q021</t>
  </si>
  <si>
    <t>Residential care activities</t>
  </si>
  <si>
    <t>Q022</t>
  </si>
  <si>
    <t>Social work activities without accommodation</t>
  </si>
  <si>
    <t>R0</t>
  </si>
  <si>
    <t>Arts, entertainment &amp; recreation</t>
  </si>
  <si>
    <t>Libraries, archives, museums &amp; other cultural activities</t>
  </si>
  <si>
    <t>R011</t>
  </si>
  <si>
    <t>Tourist sites</t>
  </si>
  <si>
    <t>R019</t>
  </si>
  <si>
    <t>Other cultural activities</t>
  </si>
  <si>
    <t>Other arts, entertainment &amp; recreation</t>
  </si>
  <si>
    <t>R091</t>
  </si>
  <si>
    <t>Creative, arts &amp; entertainment activities</t>
  </si>
  <si>
    <t>R092</t>
  </si>
  <si>
    <t>Gambling &amp; betting activities</t>
  </si>
  <si>
    <t>R093</t>
  </si>
  <si>
    <t>Sports activities &amp; amusement &amp; recreation activities</t>
  </si>
  <si>
    <t>S0</t>
  </si>
  <si>
    <t>S001</t>
  </si>
  <si>
    <t>Activities of membership organizations</t>
  </si>
  <si>
    <t>S002</t>
  </si>
  <si>
    <t>Repair of computers &amp; personal &amp; household goods</t>
  </si>
  <si>
    <t>S003</t>
  </si>
  <si>
    <t>Hairdressing &amp; beauty treatment</t>
  </si>
  <si>
    <t>S004</t>
  </si>
  <si>
    <t>Other personal &amp; community services</t>
  </si>
  <si>
    <t>T0</t>
  </si>
  <si>
    <t>T000</t>
  </si>
  <si>
    <t>V0</t>
  </si>
  <si>
    <t>V001</t>
  </si>
  <si>
    <t>Spending by residents abroad</t>
  </si>
  <si>
    <t>V002</t>
  </si>
  <si>
    <t>Spending by non-residents in Rwanda</t>
  </si>
  <si>
    <t>X0</t>
  </si>
  <si>
    <t>X000</t>
  </si>
  <si>
    <t>Margins</t>
  </si>
  <si>
    <t>Total</t>
  </si>
  <si>
    <t>Domestic Production</t>
  </si>
  <si>
    <t>Taxes on products less Subsidies on products</t>
  </si>
  <si>
    <t>Total Supply</t>
  </si>
  <si>
    <t>Exports of Goods &amp; Services</t>
  </si>
  <si>
    <t>Imports of Goods &amp; Services</t>
  </si>
  <si>
    <t>Gross Capital Formation</t>
  </si>
  <si>
    <t>RCPA</t>
  </si>
  <si>
    <t>Product</t>
  </si>
  <si>
    <t>Domestic output</t>
  </si>
  <si>
    <t>Activity</t>
  </si>
  <si>
    <t>Transportation Services</t>
  </si>
  <si>
    <t>Telecoms, IT and Publishng services</t>
  </si>
  <si>
    <t>Table 1: Summary Supply and Use Table: Rwanda 2024, RWF billions</t>
  </si>
  <si>
    <r>
      <rPr>
        <b/>
        <i/>
        <u/>
        <sz val="10"/>
        <color theme="1"/>
        <rFont val="Calibri"/>
        <family val="2"/>
        <scheme val="minor"/>
      </rPr>
      <t>Source:</t>
    </r>
    <r>
      <rPr>
        <i/>
        <sz val="10"/>
        <color theme="1"/>
        <rFont val="Calibri"/>
        <family val="2"/>
        <scheme val="minor"/>
      </rPr>
      <t xml:space="preserve"> NISR 2024 Supply &amp; Use Table </t>
    </r>
  </si>
  <si>
    <t>Total Use</t>
  </si>
  <si>
    <t>Table 2: Summary Input Output ratios by economic activity: Rwanda 2024, RWF billions</t>
  </si>
  <si>
    <t>Intermediate Demand/Inputs</t>
  </si>
  <si>
    <t>Intermediate Consumption/Inputs</t>
  </si>
  <si>
    <t>Taxes less subsidies on products</t>
  </si>
  <si>
    <t>Cultural, domestic &amp; other services</t>
  </si>
  <si>
    <t>R_S_T</t>
  </si>
  <si>
    <t>Household Final Consumption Expenditure</t>
  </si>
  <si>
    <t>General Government  and NGO Final Consumption Expenditure</t>
  </si>
  <si>
    <t>Gross Value Added (GVA)/GDP</t>
  </si>
  <si>
    <r>
      <rPr>
        <b/>
        <i/>
        <u/>
        <sz val="14"/>
        <color theme="1"/>
        <rFont val="Calibri"/>
        <family val="2"/>
        <scheme val="minor"/>
      </rPr>
      <t>Source:</t>
    </r>
    <r>
      <rPr>
        <i/>
        <sz val="14"/>
        <color theme="1"/>
        <rFont val="Calibri"/>
        <family val="2"/>
        <scheme val="minor"/>
      </rPr>
      <t xml:space="preserve"> NISR 2024 Supply &amp; Use Table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</si>
</sst>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_-* #,##0.000_-;\-* #,##0.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8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3" fillId="2" borderId="0" xfId="0" applyFont="1" applyFill="1"/>
    <xf numFmtId="0" fontId="5" fillId="2" borderId="5" xfId="0" applyFont="1" applyFill="1" applyBorder="1"/>
    <xf numFmtId="0" fontId="6" fillId="2" borderId="2" xfId="0" applyFont="1" applyFill="1" applyBorder="1"/>
    <xf numFmtId="0" fontId="5" fillId="0" borderId="0" xfId="0" applyFont="1"/>
    <xf numFmtId="0" fontId="4" fillId="0" borderId="0" xfId="0" applyFont="1"/>
    <xf numFmtId="0" fontId="4" fillId="2" borderId="0" xfId="0" applyFont="1" applyFill="1"/>
    <xf numFmtId="165" fontId="4" fillId="0" borderId="0" xfId="0" applyNumberFormat="1" applyFont="1"/>
    <xf numFmtId="166" fontId="4" fillId="0" borderId="0" xfId="0" applyNumberFormat="1" applyFont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5" fillId="2" borderId="6" xfId="0" applyFont="1" applyFill="1" applyBorder="1"/>
    <xf numFmtId="166" fontId="4" fillId="2" borderId="0" xfId="0" applyNumberFormat="1" applyFont="1" applyFill="1"/>
    <xf numFmtId="167" fontId="4" fillId="0" borderId="0" xfId="0" applyNumberFormat="1" applyFont="1"/>
    <xf numFmtId="166" fontId="5" fillId="2" borderId="0" xfId="0" applyNumberFormat="1" applyFont="1" applyFill="1"/>
    <xf numFmtId="166" fontId="5" fillId="2" borderId="7" xfId="0" applyNumberFormat="1" applyFont="1" applyFill="1" applyBorder="1"/>
    <xf numFmtId="166" fontId="4" fillId="2" borderId="7" xfId="0" applyNumberFormat="1" applyFont="1" applyFill="1" applyBorder="1"/>
    <xf numFmtId="0" fontId="5" fillId="2" borderId="8" xfId="0" applyFont="1" applyFill="1" applyBorder="1" applyAlignment="1">
      <alignment wrapText="1"/>
    </xf>
    <xf numFmtId="166" fontId="4" fillId="2" borderId="9" xfId="0" applyNumberFormat="1" applyFont="1" applyFill="1" applyBorder="1"/>
    <xf numFmtId="0" fontId="5" fillId="2" borderId="10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166" fontId="5" fillId="2" borderId="13" xfId="0" applyNumberFormat="1" applyFont="1" applyFill="1" applyBorder="1"/>
    <xf numFmtId="166" fontId="5" fillId="2" borderId="0" xfId="0" applyNumberFormat="1" applyFont="1" applyFill="1" applyBorder="1"/>
    <xf numFmtId="166" fontId="5" fillId="2" borderId="14" xfId="0" applyNumberFormat="1" applyFont="1" applyFill="1" applyBorder="1"/>
    <xf numFmtId="166" fontId="4" fillId="2" borderId="13" xfId="0" applyNumberFormat="1" applyFont="1" applyFill="1" applyBorder="1"/>
    <xf numFmtId="166" fontId="4" fillId="2" borderId="0" xfId="0" applyNumberFormat="1" applyFont="1" applyFill="1" applyBorder="1"/>
    <xf numFmtId="166" fontId="4" fillId="2" borderId="15" xfId="0" applyNumberFormat="1" applyFont="1" applyFill="1" applyBorder="1"/>
    <xf numFmtId="166" fontId="4" fillId="2" borderId="16" xfId="0" applyNumberFormat="1" applyFont="1" applyFill="1" applyBorder="1"/>
    <xf numFmtId="166" fontId="5" fillId="2" borderId="17" xfId="0" applyNumberFormat="1" applyFont="1" applyFill="1" applyBorder="1"/>
    <xf numFmtId="0" fontId="8" fillId="2" borderId="4" xfId="0" applyFont="1" applyFill="1" applyBorder="1"/>
    <xf numFmtId="0" fontId="8" fillId="2" borderId="5" xfId="0" applyFont="1" applyFill="1" applyBorder="1"/>
    <xf numFmtId="0" fontId="4" fillId="2" borderId="0" xfId="0" applyFont="1" applyFill="1" applyBorder="1"/>
    <xf numFmtId="0" fontId="5" fillId="2" borderId="19" xfId="0" applyFont="1" applyFill="1" applyBorder="1"/>
    <xf numFmtId="0" fontId="6" fillId="2" borderId="0" xfId="0" applyFont="1" applyFill="1" applyBorder="1"/>
    <xf numFmtId="0" fontId="9" fillId="0" borderId="0" xfId="0" applyFont="1"/>
    <xf numFmtId="0" fontId="10" fillId="2" borderId="0" xfId="0" applyFont="1" applyFill="1"/>
    <xf numFmtId="0" fontId="9" fillId="2" borderId="0" xfId="0" applyFont="1" applyFill="1"/>
    <xf numFmtId="0" fontId="10" fillId="2" borderId="4" xfId="0" applyFont="1" applyFill="1" applyBorder="1"/>
    <xf numFmtId="0" fontId="10" fillId="2" borderId="5" xfId="0" applyFont="1" applyFill="1" applyBorder="1"/>
    <xf numFmtId="0" fontId="10" fillId="2" borderId="18" xfId="0" applyFont="1" applyFill="1" applyBorder="1" applyAlignment="1">
      <alignment wrapText="1"/>
    </xf>
    <xf numFmtId="166" fontId="9" fillId="0" borderId="0" xfId="1" applyNumberFormat="1" applyFont="1"/>
    <xf numFmtId="166" fontId="10" fillId="0" borderId="0" xfId="1" applyNumberFormat="1" applyFont="1"/>
    <xf numFmtId="166" fontId="10" fillId="0" borderId="0" xfId="0" applyNumberFormat="1" applyFont="1"/>
    <xf numFmtId="166" fontId="9" fillId="0" borderId="0" xfId="0" applyNumberFormat="1" applyFont="1"/>
    <xf numFmtId="0" fontId="11" fillId="0" borderId="0" xfId="0" applyFont="1"/>
    <xf numFmtId="0" fontId="10" fillId="2" borderId="18" xfId="0" applyFont="1" applyFill="1" applyBorder="1" applyAlignment="1">
      <alignment vertical="top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B1:S124"/>
  <sheetViews>
    <sheetView topLeftCell="B1" zoomScaleNormal="100" workbookViewId="0">
      <pane xSplit="3" ySplit="5" topLeftCell="E6" activePane="bottomRight" state="frozen"/>
      <selection sqref="A1:XFD1048576"/>
      <selection pane="topRight" sqref="A1:XFD1048576"/>
      <selection pane="bottomLeft" sqref="A1:XFD1048576"/>
      <selection pane="bottomRight" activeCell="I12" sqref="I12"/>
    </sheetView>
  </sheetViews>
  <sheetFormatPr defaultColWidth="9.11328125" defaultRowHeight="13.5" x14ac:dyDescent="0.8"/>
  <cols>
    <col min="1" max="1" width="4.23046875" style="5" customWidth="1"/>
    <col min="2" max="3" width="5.11328125" style="5" customWidth="1"/>
    <col min="4" max="4" width="29.34375" style="5" customWidth="1"/>
    <col min="5" max="5" width="10.69140625" style="5" customWidth="1"/>
    <col min="6" max="8" width="9.11328125" style="5"/>
    <col min="9" max="9" width="10.23046875" style="5" customWidth="1"/>
    <col min="10" max="10" width="4.03515625" style="5" bestFit="1" customWidth="1"/>
    <col min="11" max="11" width="12.53515625" style="5" customWidth="1"/>
    <col min="12" max="13" width="12.69140625" style="5" customWidth="1"/>
    <col min="14" max="14" width="10.11328125" style="5" customWidth="1"/>
    <col min="15" max="15" width="10.34375" style="5" customWidth="1"/>
    <col min="16" max="16" width="11.921875" style="5" customWidth="1"/>
    <col min="17" max="18" width="9.11328125" style="5"/>
    <col min="19" max="19" width="9.23046875" style="5" bestFit="1" customWidth="1"/>
    <col min="20" max="16384" width="9.11328125" style="5"/>
  </cols>
  <sheetData>
    <row r="1" spans="2:19" ht="3" customHeight="1" x14ac:dyDescent="0.8">
      <c r="F1" s="5">
        <v>-1105256.8996051052</v>
      </c>
    </row>
    <row r="2" spans="2:19" ht="4.95" customHeight="1" x14ac:dyDescent="0.8"/>
    <row r="3" spans="2:19" ht="16.5" thickBot="1" x14ac:dyDescent="1.05">
      <c r="B3" s="1" t="s">
        <v>665</v>
      </c>
      <c r="C3" s="1"/>
      <c r="D3" s="6"/>
      <c r="E3" s="6"/>
      <c r="F3" s="6"/>
      <c r="G3" s="6"/>
      <c r="H3" s="6"/>
      <c r="I3" s="13"/>
      <c r="J3" s="6"/>
      <c r="K3" s="15"/>
      <c r="L3" s="15"/>
      <c r="M3" s="6"/>
      <c r="N3" s="6"/>
      <c r="O3" s="6"/>
      <c r="P3" s="6"/>
    </row>
    <row r="4" spans="2:19" ht="81" x14ac:dyDescent="0.8">
      <c r="B4" s="31" t="s">
        <v>659</v>
      </c>
      <c r="C4" s="32"/>
      <c r="D4" s="32" t="s">
        <v>660</v>
      </c>
      <c r="E4" s="20" t="s">
        <v>653</v>
      </c>
      <c r="F4" s="21" t="s">
        <v>657</v>
      </c>
      <c r="G4" s="21" t="s">
        <v>651</v>
      </c>
      <c r="H4" s="21" t="s">
        <v>654</v>
      </c>
      <c r="I4" s="22" t="s">
        <v>655</v>
      </c>
      <c r="J4" s="18"/>
      <c r="K4" s="20" t="s">
        <v>669</v>
      </c>
      <c r="L4" s="21" t="s">
        <v>674</v>
      </c>
      <c r="M4" s="21" t="s">
        <v>675</v>
      </c>
      <c r="N4" s="21" t="s">
        <v>658</v>
      </c>
      <c r="O4" s="21" t="s">
        <v>656</v>
      </c>
      <c r="P4" s="22" t="s">
        <v>667</v>
      </c>
    </row>
    <row r="5" spans="2:19" s="4" customFormat="1" x14ac:dyDescent="0.8">
      <c r="B5" s="12"/>
      <c r="C5" s="34"/>
      <c r="D5" s="2" t="s">
        <v>652</v>
      </c>
      <c r="E5" s="23">
        <v>36361.056600991389</v>
      </c>
      <c r="F5" s="24">
        <v>8617.777005406535</v>
      </c>
      <c r="G5" s="24">
        <v>0</v>
      </c>
      <c r="H5" s="24">
        <v>984.86997349733031</v>
      </c>
      <c r="I5" s="25">
        <v>45963.703579895264</v>
      </c>
      <c r="J5" s="16"/>
      <c r="K5" s="23">
        <v>17427.604442165659</v>
      </c>
      <c r="L5" s="24">
        <v>12281.372226260799</v>
      </c>
      <c r="M5" s="24">
        <v>3677.8829392195021</v>
      </c>
      <c r="N5" s="24">
        <v>6915.8118649908702</v>
      </c>
      <c r="O5" s="24">
        <v>5661.032180726068</v>
      </c>
      <c r="P5" s="25">
        <v>45963.703653362893</v>
      </c>
    </row>
    <row r="6" spans="2:19" ht="12.75" customHeight="1" x14ac:dyDescent="0.8">
      <c r="B6" s="9" t="s">
        <v>187</v>
      </c>
      <c r="C6" s="33"/>
      <c r="D6" s="6" t="s">
        <v>188</v>
      </c>
      <c r="E6" s="26">
        <v>3161.4497859264557</v>
      </c>
      <c r="F6" s="27">
        <v>335.68250464528921</v>
      </c>
      <c r="G6" s="27">
        <v>51.893756205253318</v>
      </c>
      <c r="H6" s="27">
        <v>98.427355356995037</v>
      </c>
      <c r="I6" s="25">
        <v>3647.4534021339932</v>
      </c>
      <c r="J6" s="17"/>
      <c r="K6" s="26">
        <v>788.53080401072157</v>
      </c>
      <c r="L6" s="27">
        <v>2277.7546570091426</v>
      </c>
      <c r="M6" s="27">
        <v>0</v>
      </c>
      <c r="N6" s="27">
        <v>-6.867191297613604</v>
      </c>
      <c r="O6" s="27">
        <v>101.80195694997998</v>
      </c>
      <c r="P6" s="25">
        <v>3647.4533832961251</v>
      </c>
      <c r="Q6" s="8"/>
      <c r="S6" s="7"/>
    </row>
    <row r="7" spans="2:19" ht="12.75" customHeight="1" x14ac:dyDescent="0.8">
      <c r="B7" s="9" t="s">
        <v>230</v>
      </c>
      <c r="C7" s="33"/>
      <c r="D7" s="6" t="s">
        <v>231</v>
      </c>
      <c r="E7" s="26">
        <v>401.71853389026359</v>
      </c>
      <c r="F7" s="27">
        <v>13.221865089844567</v>
      </c>
      <c r="G7" s="27">
        <v>2.04399167086819</v>
      </c>
      <c r="H7" s="27">
        <v>1.1743897490485797</v>
      </c>
      <c r="I7" s="25">
        <v>418.15878040002491</v>
      </c>
      <c r="J7" s="17"/>
      <c r="K7" s="26">
        <v>50.426098088769884</v>
      </c>
      <c r="L7" s="27">
        <v>18.441159651618694</v>
      </c>
      <c r="M7" s="27">
        <v>0</v>
      </c>
      <c r="N7" s="27">
        <v>33.399947671453077</v>
      </c>
      <c r="O7" s="27">
        <v>126.71832107850898</v>
      </c>
      <c r="P7" s="25">
        <v>418.15877663245374</v>
      </c>
      <c r="Q7" s="8"/>
      <c r="S7" s="7"/>
    </row>
    <row r="8" spans="2:19" ht="12.75" customHeight="1" x14ac:dyDescent="0.8">
      <c r="B8" s="9" t="s">
        <v>243</v>
      </c>
      <c r="C8" s="33"/>
      <c r="D8" s="6" t="s">
        <v>244</v>
      </c>
      <c r="E8" s="26">
        <v>626.23417939859507</v>
      </c>
      <c r="F8" s="27">
        <v>6.5002415889478478</v>
      </c>
      <c r="G8" s="27">
        <v>1.0048839234220779</v>
      </c>
      <c r="H8" s="27">
        <v>3.3470281475498966</v>
      </c>
      <c r="I8" s="25">
        <v>637.08633305851504</v>
      </c>
      <c r="J8" s="17"/>
      <c r="K8" s="26">
        <v>45.353664121364211</v>
      </c>
      <c r="L8" s="27">
        <v>102.20074885506162</v>
      </c>
      <c r="M8" s="27">
        <v>0</v>
      </c>
      <c r="N8" s="27">
        <v>289.65722859761956</v>
      </c>
      <c r="O8" s="27">
        <v>73.823950753017797</v>
      </c>
      <c r="P8" s="25">
        <v>637.0863280350859</v>
      </c>
      <c r="Q8" s="8"/>
    </row>
    <row r="9" spans="2:19" ht="12.75" customHeight="1" x14ac:dyDescent="0.8">
      <c r="B9" s="9" t="s">
        <v>262</v>
      </c>
      <c r="C9" s="33"/>
      <c r="D9" s="6" t="s">
        <v>263</v>
      </c>
      <c r="E9" s="26">
        <v>798.46498346915826</v>
      </c>
      <c r="F9" s="27">
        <v>21.150288181442733</v>
      </c>
      <c r="G9" s="27">
        <v>0</v>
      </c>
      <c r="H9" s="27">
        <v>4.979297699876957E-2</v>
      </c>
      <c r="I9" s="25">
        <v>819.6650646275998</v>
      </c>
      <c r="J9" s="17"/>
      <c r="K9" s="26">
        <v>15.969299669383167</v>
      </c>
      <c r="L9" s="27">
        <v>725.52803759218455</v>
      </c>
      <c r="M9" s="27">
        <v>0</v>
      </c>
      <c r="N9" s="27">
        <v>14.616933681850721</v>
      </c>
      <c r="O9" s="27">
        <v>8.485282526580006</v>
      </c>
      <c r="P9" s="25">
        <v>819.66506274381311</v>
      </c>
      <c r="Q9" s="8"/>
    </row>
    <row r="10" spans="2:19" ht="12.75" customHeight="1" x14ac:dyDescent="0.8">
      <c r="B10" s="9" t="s">
        <v>270</v>
      </c>
      <c r="C10" s="33"/>
      <c r="D10" s="6" t="s">
        <v>271</v>
      </c>
      <c r="E10" s="26">
        <v>75.119865387231059</v>
      </c>
      <c r="F10" s="27">
        <v>0.13394473293305878</v>
      </c>
      <c r="G10" s="27">
        <v>0</v>
      </c>
      <c r="H10" s="27">
        <v>5.3675450563401306</v>
      </c>
      <c r="I10" s="25">
        <v>80.621355176504238</v>
      </c>
      <c r="J10" s="17"/>
      <c r="K10" s="26">
        <v>21.033562308424695</v>
      </c>
      <c r="L10" s="27">
        <v>78.23766513401462</v>
      </c>
      <c r="M10" s="27">
        <v>0</v>
      </c>
      <c r="N10" s="27">
        <v>-0.15227378870346847</v>
      </c>
      <c r="O10" s="27">
        <v>3.9923489999999992E-2</v>
      </c>
      <c r="P10" s="25">
        <v>80.621354548575582</v>
      </c>
      <c r="Q10" s="8"/>
    </row>
    <row r="11" spans="2:19" ht="12.75" customHeight="1" x14ac:dyDescent="0.8">
      <c r="B11" s="9" t="s">
        <v>273</v>
      </c>
      <c r="C11" s="33"/>
      <c r="D11" s="6" t="s">
        <v>274</v>
      </c>
      <c r="E11" s="26">
        <v>717.44519942321335</v>
      </c>
      <c r="F11" s="27">
        <v>30.638520194434744</v>
      </c>
      <c r="G11" s="27">
        <v>0</v>
      </c>
      <c r="H11" s="27">
        <v>1.4779416750282711E-2</v>
      </c>
      <c r="I11" s="25">
        <v>748.09849903439851</v>
      </c>
      <c r="J11" s="17"/>
      <c r="K11" s="26">
        <v>363.17478613537946</v>
      </c>
      <c r="L11" s="27">
        <v>0</v>
      </c>
      <c r="M11" s="27">
        <v>0</v>
      </c>
      <c r="N11" s="27">
        <v>-1.5270267823961019</v>
      </c>
      <c r="O11" s="27">
        <v>313.89831842771991</v>
      </c>
      <c r="P11" s="25">
        <v>748.09868301724362</v>
      </c>
      <c r="Q11" s="8"/>
    </row>
    <row r="12" spans="2:19" ht="12.75" customHeight="1" x14ac:dyDescent="0.8">
      <c r="B12" s="9" t="s">
        <v>286</v>
      </c>
      <c r="C12" s="33"/>
      <c r="D12" s="6" t="s">
        <v>287</v>
      </c>
      <c r="E12" s="26">
        <v>1880.5578391146416</v>
      </c>
      <c r="F12" s="27">
        <v>1173.658695143381</v>
      </c>
      <c r="G12" s="27">
        <v>374.03996077450802</v>
      </c>
      <c r="H12" s="27">
        <v>224.17734450760514</v>
      </c>
      <c r="I12" s="25">
        <v>3652.4338395401355</v>
      </c>
      <c r="J12" s="17"/>
      <c r="K12" s="26">
        <v>1497.6698973348507</v>
      </c>
      <c r="L12" s="27">
        <v>2205.8208979898441</v>
      </c>
      <c r="M12" s="27">
        <v>0</v>
      </c>
      <c r="N12" s="27">
        <v>3.8693540653299934</v>
      </c>
      <c r="O12" s="27">
        <v>745.5250354846803</v>
      </c>
      <c r="P12" s="25">
        <v>3652.4338276094886</v>
      </c>
      <c r="Q12" s="8"/>
    </row>
    <row r="13" spans="2:19" ht="12.75" customHeight="1" x14ac:dyDescent="0.8">
      <c r="B13" s="9" t="s">
        <v>325</v>
      </c>
      <c r="C13" s="33"/>
      <c r="D13" s="6" t="s">
        <v>326</v>
      </c>
      <c r="E13" s="26">
        <v>984.94935530223631</v>
      </c>
      <c r="F13" s="27">
        <v>213.48987576287263</v>
      </c>
      <c r="G13" s="27">
        <v>288.56952177829754</v>
      </c>
      <c r="H13" s="27">
        <v>235.67457042678137</v>
      </c>
      <c r="I13" s="25">
        <v>1722.6833232701879</v>
      </c>
      <c r="J13" s="17"/>
      <c r="K13" s="26">
        <v>499.02935373868007</v>
      </c>
      <c r="L13" s="27">
        <v>917.22205597162338</v>
      </c>
      <c r="M13" s="27">
        <v>0</v>
      </c>
      <c r="N13" s="27">
        <v>-2.4169550210924462</v>
      </c>
      <c r="O13" s="27">
        <v>84.783057786339995</v>
      </c>
      <c r="P13" s="25">
        <v>1722.6833182467594</v>
      </c>
      <c r="Q13" s="8"/>
    </row>
    <row r="14" spans="2:19" ht="12.75" customHeight="1" x14ac:dyDescent="0.8">
      <c r="B14" s="9" t="s">
        <v>342</v>
      </c>
      <c r="C14" s="33"/>
      <c r="D14" s="6" t="s">
        <v>343</v>
      </c>
      <c r="E14" s="26">
        <v>388.37275912253233</v>
      </c>
      <c r="F14" s="27">
        <v>287.67482992324403</v>
      </c>
      <c r="G14" s="27">
        <v>212.20700677770876</v>
      </c>
      <c r="H14" s="27">
        <v>84.137103611511023</v>
      </c>
      <c r="I14" s="25">
        <v>972.3916994349961</v>
      </c>
      <c r="J14" s="17"/>
      <c r="K14" s="26">
        <v>253.58972155358555</v>
      </c>
      <c r="L14" s="27">
        <v>480.84085793108886</v>
      </c>
      <c r="M14" s="27">
        <v>0</v>
      </c>
      <c r="N14" s="27">
        <v>-1.9873543129496916</v>
      </c>
      <c r="O14" s="27">
        <v>98.399836493429987</v>
      </c>
      <c r="P14" s="25">
        <v>972.39169755120906</v>
      </c>
      <c r="Q14" s="8"/>
    </row>
    <row r="15" spans="2:19" ht="12.75" customHeight="1" x14ac:dyDescent="0.8">
      <c r="B15" s="9" t="s">
        <v>350</v>
      </c>
      <c r="C15" s="33"/>
      <c r="D15" s="6" t="s">
        <v>351</v>
      </c>
      <c r="E15" s="26">
        <v>315.86347235896113</v>
      </c>
      <c r="F15" s="27">
        <v>135.15001405843546</v>
      </c>
      <c r="G15" s="27">
        <v>90.835980345357854</v>
      </c>
      <c r="H15" s="27">
        <v>16.12722539974753</v>
      </c>
      <c r="I15" s="25">
        <v>557.97669216250188</v>
      </c>
      <c r="J15" s="17"/>
      <c r="K15" s="26">
        <v>237.10462103046703</v>
      </c>
      <c r="L15" s="27">
        <v>111.59153768964002</v>
      </c>
      <c r="M15" s="27">
        <v>0</v>
      </c>
      <c r="N15" s="27">
        <v>5.6633408901820657</v>
      </c>
      <c r="O15" s="27">
        <v>19.179982569450004</v>
      </c>
      <c r="P15" s="25">
        <v>557.97668965078765</v>
      </c>
      <c r="Q15" s="8"/>
    </row>
    <row r="16" spans="2:19" ht="12.75" customHeight="1" x14ac:dyDescent="0.8">
      <c r="B16" s="9" t="s">
        <v>362</v>
      </c>
      <c r="C16" s="33"/>
      <c r="D16" s="6" t="s">
        <v>363</v>
      </c>
      <c r="E16" s="26">
        <v>596.95755438163303</v>
      </c>
      <c r="F16" s="27">
        <v>1743.3812054034499</v>
      </c>
      <c r="G16" s="27">
        <v>520.69233680834577</v>
      </c>
      <c r="H16" s="27">
        <v>206.26511787141217</v>
      </c>
      <c r="I16" s="25">
        <v>3067.2962144648409</v>
      </c>
      <c r="J16" s="17"/>
      <c r="K16" s="26">
        <v>409.78197166653842</v>
      </c>
      <c r="L16" s="27">
        <v>722.04349853048484</v>
      </c>
      <c r="M16" s="27">
        <v>0</v>
      </c>
      <c r="N16" s="27">
        <v>-7.6010050787444022E-2</v>
      </c>
      <c r="O16" s="27">
        <v>330.60589379434009</v>
      </c>
      <c r="P16" s="25">
        <v>3067.2962088134836</v>
      </c>
      <c r="Q16" s="8"/>
    </row>
    <row r="17" spans="2:17" ht="12.75" customHeight="1" x14ac:dyDescent="0.8">
      <c r="B17" s="9" t="s">
        <v>384</v>
      </c>
      <c r="C17" s="33"/>
      <c r="D17" s="6" t="s">
        <v>385</v>
      </c>
      <c r="E17" s="26">
        <v>409.70983302322497</v>
      </c>
      <c r="F17" s="27">
        <v>262.59846505838783</v>
      </c>
      <c r="G17" s="27">
        <v>116.57285329035254</v>
      </c>
      <c r="H17" s="27">
        <v>9.3230888654064117</v>
      </c>
      <c r="I17" s="25">
        <v>798.20424023737178</v>
      </c>
      <c r="J17" s="17"/>
      <c r="K17" s="26">
        <v>287.84441447269359</v>
      </c>
      <c r="L17" s="27">
        <v>5.8832639337311683</v>
      </c>
      <c r="M17" s="27">
        <v>0</v>
      </c>
      <c r="N17" s="27">
        <v>18.176834919162712</v>
      </c>
      <c r="O17" s="27">
        <v>77.518653170400015</v>
      </c>
      <c r="P17" s="25">
        <v>798.20423772565744</v>
      </c>
      <c r="Q17" s="8"/>
    </row>
    <row r="18" spans="2:17" ht="12.75" customHeight="1" x14ac:dyDescent="0.8">
      <c r="B18" s="9" t="s">
        <v>395</v>
      </c>
      <c r="C18" s="33"/>
      <c r="D18" s="6" t="s">
        <v>396</v>
      </c>
      <c r="E18" s="26">
        <v>465.93775088841284</v>
      </c>
      <c r="F18" s="27">
        <v>3901.1502473334954</v>
      </c>
      <c r="G18" s="27">
        <v>1211.2729938046612</v>
      </c>
      <c r="H18" s="27">
        <v>136.87950166510464</v>
      </c>
      <c r="I18" s="25">
        <v>5715.2404936916737</v>
      </c>
      <c r="J18" s="17"/>
      <c r="K18" s="26">
        <v>349.07239239646287</v>
      </c>
      <c r="L18" s="27">
        <v>373.43615433665411</v>
      </c>
      <c r="M18" s="27">
        <v>0</v>
      </c>
      <c r="N18" s="27">
        <v>1955.4595075784966</v>
      </c>
      <c r="O18" s="27">
        <v>2211.2563464390396</v>
      </c>
      <c r="P18" s="25">
        <v>5715.2404842727428</v>
      </c>
      <c r="Q18" s="8"/>
    </row>
    <row r="19" spans="2:17" ht="12.75" customHeight="1" x14ac:dyDescent="0.8">
      <c r="B19" s="9" t="s">
        <v>429</v>
      </c>
      <c r="C19" s="33"/>
      <c r="D19" s="6" t="s">
        <v>430</v>
      </c>
      <c r="E19" s="26">
        <v>426.1568817809673</v>
      </c>
      <c r="F19" s="27">
        <v>297.54221085097737</v>
      </c>
      <c r="G19" s="27">
        <v>263.5297386727317</v>
      </c>
      <c r="H19" s="27">
        <v>29.489769759071162</v>
      </c>
      <c r="I19" s="25">
        <v>1016.7186010637475</v>
      </c>
      <c r="J19" s="17"/>
      <c r="K19" s="26">
        <v>316.18422193767719</v>
      </c>
      <c r="L19" s="27">
        <v>270.80670960187075</v>
      </c>
      <c r="M19" s="27">
        <v>0</v>
      </c>
      <c r="N19" s="27">
        <v>164.61124058430514</v>
      </c>
      <c r="O19" s="27">
        <v>43.442086437123599</v>
      </c>
      <c r="P19" s="25">
        <v>1016.7185966682472</v>
      </c>
      <c r="Q19" s="8"/>
    </row>
    <row r="20" spans="2:17" ht="12.75" customHeight="1" x14ac:dyDescent="0.8">
      <c r="B20" s="9" t="s">
        <v>446</v>
      </c>
      <c r="C20" s="33"/>
      <c r="D20" s="6" t="s">
        <v>447</v>
      </c>
      <c r="E20" s="26">
        <v>284.47428727231181</v>
      </c>
      <c r="F20" s="27">
        <v>19.796818472194996</v>
      </c>
      <c r="G20" s="27">
        <v>0</v>
      </c>
      <c r="H20" s="27">
        <v>-30.721304369429877</v>
      </c>
      <c r="I20" s="25">
        <v>273.54980137507692</v>
      </c>
      <c r="J20" s="17"/>
      <c r="K20" s="26">
        <v>137.81854573451812</v>
      </c>
      <c r="L20" s="27">
        <v>30.011983544910336</v>
      </c>
      <c r="M20" s="27">
        <v>0</v>
      </c>
      <c r="N20" s="27">
        <v>0</v>
      </c>
      <c r="O20" s="27">
        <v>1.6957530214599998</v>
      </c>
      <c r="P20" s="25">
        <v>273.54980074714808</v>
      </c>
      <c r="Q20" s="8"/>
    </row>
    <row r="21" spans="2:17" ht="12.75" customHeight="1" x14ac:dyDescent="0.8">
      <c r="B21" s="9" t="s">
        <v>450</v>
      </c>
      <c r="C21" s="33"/>
      <c r="D21" s="6" t="s">
        <v>451</v>
      </c>
      <c r="E21" s="26">
        <v>171.75854002127122</v>
      </c>
      <c r="F21" s="27">
        <v>0</v>
      </c>
      <c r="G21" s="27">
        <v>0</v>
      </c>
      <c r="H21" s="27">
        <v>2.0206321489325592</v>
      </c>
      <c r="I21" s="25">
        <v>173.77917217020376</v>
      </c>
      <c r="J21" s="17"/>
      <c r="K21" s="26">
        <v>93.558071638620319</v>
      </c>
      <c r="L21" s="27">
        <v>89.161728715259827</v>
      </c>
      <c r="M21" s="27">
        <v>0</v>
      </c>
      <c r="N21" s="27">
        <v>0</v>
      </c>
      <c r="O21" s="27">
        <v>0</v>
      </c>
      <c r="P21" s="25">
        <v>173.77917091434659</v>
      </c>
      <c r="Q21" s="8"/>
    </row>
    <row r="22" spans="2:17" ht="12.75" customHeight="1" x14ac:dyDescent="0.8">
      <c r="B22" s="9" t="s">
        <v>458</v>
      </c>
      <c r="C22" s="33"/>
      <c r="D22" s="6" t="s">
        <v>459</v>
      </c>
      <c r="E22" s="26">
        <v>7289.3070223813475</v>
      </c>
      <c r="F22" s="27">
        <v>31.427280609444512</v>
      </c>
      <c r="G22" s="27">
        <v>0</v>
      </c>
      <c r="H22" s="27">
        <v>0</v>
      </c>
      <c r="I22" s="25">
        <v>7320.7343029907925</v>
      </c>
      <c r="J22" s="17"/>
      <c r="K22" s="26">
        <v>5090.9252748601502</v>
      </c>
      <c r="L22" s="27">
        <v>58.117655499837817</v>
      </c>
      <c r="M22" s="27">
        <v>0</v>
      </c>
      <c r="N22" s="27">
        <v>4443.3545551575035</v>
      </c>
      <c r="O22" s="27">
        <v>6.1119698403588041</v>
      </c>
      <c r="P22" s="25">
        <v>7320.7343004790746</v>
      </c>
      <c r="Q22" s="8"/>
    </row>
    <row r="23" spans="2:17" ht="12.75" customHeight="1" x14ac:dyDescent="0.8">
      <c r="B23" s="9" t="s">
        <v>470</v>
      </c>
      <c r="C23" s="33"/>
      <c r="D23" s="6" t="s">
        <v>471</v>
      </c>
      <c r="E23" s="26">
        <v>228.96020148874959</v>
      </c>
      <c r="F23" s="27">
        <v>0</v>
      </c>
      <c r="G23" s="27">
        <v>0</v>
      </c>
      <c r="H23" s="27">
        <v>7.5490810070515471</v>
      </c>
      <c r="I23" s="25">
        <v>236.50928249580113</v>
      </c>
      <c r="J23" s="17"/>
      <c r="K23" s="26">
        <v>100.71732641433407</v>
      </c>
      <c r="L23" s="27">
        <v>51.059265577208024</v>
      </c>
      <c r="M23" s="27">
        <v>0</v>
      </c>
      <c r="N23" s="27">
        <v>0</v>
      </c>
      <c r="O23" s="27">
        <v>0</v>
      </c>
      <c r="P23" s="25">
        <v>236.5092818678724</v>
      </c>
      <c r="Q23" s="8"/>
    </row>
    <row r="24" spans="2:17" ht="12.75" customHeight="1" x14ac:dyDescent="0.8">
      <c r="B24" s="9" t="s">
        <v>473</v>
      </c>
      <c r="C24" s="33"/>
      <c r="D24" s="6" t="s">
        <v>474</v>
      </c>
      <c r="E24" s="26">
        <v>3132.6630240512582</v>
      </c>
      <c r="F24" s="27">
        <v>0</v>
      </c>
      <c r="G24" s="27">
        <v>-3132.6630240515069</v>
      </c>
      <c r="H24" s="27">
        <v>0</v>
      </c>
      <c r="I24" s="25">
        <v>-2.4866312742233278E-10</v>
      </c>
      <c r="J24" s="17"/>
      <c r="K24" s="26">
        <v>1310.4967016334449</v>
      </c>
      <c r="L24" s="27">
        <v>0</v>
      </c>
      <c r="M24" s="27">
        <v>0</v>
      </c>
      <c r="N24" s="27">
        <v>0</v>
      </c>
      <c r="O24" s="27">
        <v>0</v>
      </c>
      <c r="P24" s="25">
        <v>0</v>
      </c>
      <c r="Q24" s="8"/>
    </row>
    <row r="25" spans="2:17" ht="12.75" customHeight="1" x14ac:dyDescent="0.8">
      <c r="B25" s="9" t="s">
        <v>505</v>
      </c>
      <c r="C25" s="33"/>
      <c r="D25" s="6" t="s">
        <v>105</v>
      </c>
      <c r="E25" s="26">
        <v>1474.6497034137888</v>
      </c>
      <c r="F25" s="27">
        <v>-433.3699640589831</v>
      </c>
      <c r="G25" s="27">
        <v>0</v>
      </c>
      <c r="H25" s="27">
        <v>19.784850856285505</v>
      </c>
      <c r="I25" s="25">
        <v>1061.0645902110912</v>
      </c>
      <c r="J25" s="17"/>
      <c r="K25" s="26">
        <v>396.20609746466391</v>
      </c>
      <c r="L25" s="27">
        <v>130.36642164871651</v>
      </c>
      <c r="M25" s="27">
        <v>0</v>
      </c>
      <c r="N25" s="27">
        <v>0</v>
      </c>
      <c r="O25" s="27">
        <v>171.14513902946987</v>
      </c>
      <c r="P25" s="25">
        <v>1061.0645889552356</v>
      </c>
      <c r="Q25" s="8"/>
    </row>
    <row r="26" spans="2:17" ht="12.75" customHeight="1" x14ac:dyDescent="0.8">
      <c r="B26" s="9" t="s">
        <v>510</v>
      </c>
      <c r="C26" s="33"/>
      <c r="D26" s="6" t="s">
        <v>107</v>
      </c>
      <c r="E26" s="26">
        <v>689.22049725130921</v>
      </c>
      <c r="F26" s="27">
        <v>71.012242438990043</v>
      </c>
      <c r="G26" s="27">
        <v>0</v>
      </c>
      <c r="H26" s="27">
        <v>-294.4569321145222</v>
      </c>
      <c r="I26" s="25">
        <v>465.77580757577704</v>
      </c>
      <c r="J26" s="17"/>
      <c r="K26" s="26">
        <v>273.93326195434884</v>
      </c>
      <c r="L26" s="27">
        <v>14.751407588007234</v>
      </c>
      <c r="M26" s="27">
        <v>0</v>
      </c>
      <c r="N26" s="27">
        <v>0</v>
      </c>
      <c r="O26" s="27">
        <v>245.62253425205685</v>
      </c>
      <c r="P26" s="25">
        <v>465.77580631991958</v>
      </c>
      <c r="Q26" s="8"/>
    </row>
    <row r="27" spans="2:17" ht="12.75" customHeight="1" x14ac:dyDescent="0.8">
      <c r="B27" s="9" t="s">
        <v>515</v>
      </c>
      <c r="C27" s="33"/>
      <c r="D27" s="6" t="s">
        <v>516</v>
      </c>
      <c r="E27" s="26">
        <v>269.75178961840385</v>
      </c>
      <c r="F27" s="27">
        <v>0.28273583290839888</v>
      </c>
      <c r="G27" s="27">
        <v>0</v>
      </c>
      <c r="H27" s="27">
        <v>0.63188760841771596</v>
      </c>
      <c r="I27" s="25">
        <v>270.66641305972996</v>
      </c>
      <c r="J27" s="17"/>
      <c r="K27" s="26">
        <v>119.74075570202325</v>
      </c>
      <c r="L27" s="27">
        <v>3.3946938809839788</v>
      </c>
      <c r="M27" s="27">
        <v>0</v>
      </c>
      <c r="N27" s="27">
        <v>0</v>
      </c>
      <c r="O27" s="27">
        <v>1.6678152664735748</v>
      </c>
      <c r="P27" s="25">
        <v>270.66641180387239</v>
      </c>
      <c r="Q27" s="8"/>
    </row>
    <row r="28" spans="2:17" ht="12.75" customHeight="1" x14ac:dyDescent="0.8">
      <c r="B28" s="9" t="s">
        <v>522</v>
      </c>
      <c r="C28" s="33"/>
      <c r="D28" s="6" t="s">
        <v>113</v>
      </c>
      <c r="E28" s="26">
        <v>1475.646094019256</v>
      </c>
      <c r="F28" s="27">
        <v>330.38633684669009</v>
      </c>
      <c r="G28" s="27">
        <v>0</v>
      </c>
      <c r="H28" s="27">
        <v>70.114993288861029</v>
      </c>
      <c r="I28" s="25">
        <v>1876.1474241548074</v>
      </c>
      <c r="J28" s="17"/>
      <c r="K28" s="26">
        <v>794.93926918750708</v>
      </c>
      <c r="L28" s="27">
        <v>1134.7021623391304</v>
      </c>
      <c r="M28" s="27">
        <v>0</v>
      </c>
      <c r="N28" s="27">
        <v>0</v>
      </c>
      <c r="O28" s="27">
        <v>495.91549582205505</v>
      </c>
      <c r="P28" s="25">
        <v>1876.147422898948</v>
      </c>
      <c r="Q28" s="8"/>
    </row>
    <row r="29" spans="2:17" ht="12.75" customHeight="1" x14ac:dyDescent="0.8">
      <c r="B29" s="9" t="s">
        <v>527</v>
      </c>
      <c r="C29" s="33"/>
      <c r="D29" s="6" t="s">
        <v>528</v>
      </c>
      <c r="E29" s="26">
        <v>211.40758542110305</v>
      </c>
      <c r="F29" s="27">
        <v>9.1099890296179726</v>
      </c>
      <c r="G29" s="27">
        <v>0</v>
      </c>
      <c r="H29" s="27">
        <v>12.437457997301234</v>
      </c>
      <c r="I29" s="25">
        <v>232.95503244802228</v>
      </c>
      <c r="J29" s="17"/>
      <c r="K29" s="26">
        <v>162.83147578985762</v>
      </c>
      <c r="L29" s="27">
        <v>122.99298149285249</v>
      </c>
      <c r="M29" s="27">
        <v>0</v>
      </c>
      <c r="N29" s="27">
        <v>0</v>
      </c>
      <c r="O29" s="27">
        <v>0.24810108061</v>
      </c>
      <c r="P29" s="25">
        <v>232.95503056423621</v>
      </c>
      <c r="Q29" s="8"/>
    </row>
    <row r="30" spans="2:17" ht="12.75" customHeight="1" x14ac:dyDescent="0.8">
      <c r="B30" s="9" t="s">
        <v>535</v>
      </c>
      <c r="C30" s="33"/>
      <c r="D30" s="6" t="s">
        <v>117</v>
      </c>
      <c r="E30" s="26">
        <v>314.20700647845723</v>
      </c>
      <c r="F30" s="27">
        <v>32.24364021698905</v>
      </c>
      <c r="G30" s="27">
        <v>0</v>
      </c>
      <c r="H30" s="27">
        <v>19.862543555411442</v>
      </c>
      <c r="I30" s="25">
        <v>366.31319025085776</v>
      </c>
      <c r="J30" s="17"/>
      <c r="K30" s="26">
        <v>67.70430517342848</v>
      </c>
      <c r="L30" s="27">
        <v>33.416491377933689</v>
      </c>
      <c r="M30" s="27">
        <v>0</v>
      </c>
      <c r="N30" s="27">
        <v>0</v>
      </c>
      <c r="O30" s="27">
        <v>45.447037315601435</v>
      </c>
      <c r="P30" s="25">
        <v>366.31318962292949</v>
      </c>
      <c r="Q30" s="8"/>
    </row>
    <row r="31" spans="2:17" ht="12.75" customHeight="1" x14ac:dyDescent="0.8">
      <c r="B31" s="9" t="s">
        <v>538</v>
      </c>
      <c r="C31" s="33"/>
      <c r="D31" s="6" t="s">
        <v>119</v>
      </c>
      <c r="E31" s="26">
        <v>186.71987992199999</v>
      </c>
      <c r="F31" s="27">
        <v>0</v>
      </c>
      <c r="G31" s="27">
        <v>0</v>
      </c>
      <c r="H31" s="27">
        <v>0</v>
      </c>
      <c r="I31" s="25">
        <v>186.71987992199999</v>
      </c>
      <c r="J31" s="17"/>
      <c r="K31" s="26">
        <v>48.763346074791549</v>
      </c>
      <c r="L31" s="27">
        <v>0</v>
      </c>
      <c r="M31" s="27">
        <v>0</v>
      </c>
      <c r="N31" s="27">
        <v>0</v>
      </c>
      <c r="O31" s="27">
        <v>0</v>
      </c>
      <c r="P31" s="25">
        <v>186.71987929407121</v>
      </c>
      <c r="Q31" s="8"/>
    </row>
    <row r="32" spans="2:17" ht="12.75" customHeight="1" x14ac:dyDescent="0.8">
      <c r="B32" s="9" t="s">
        <v>540</v>
      </c>
      <c r="C32" s="33"/>
      <c r="D32" s="6" t="s">
        <v>541</v>
      </c>
      <c r="E32" s="26">
        <v>864.12190475923296</v>
      </c>
      <c r="F32" s="27">
        <v>-10.032008760664802</v>
      </c>
      <c r="G32" s="27">
        <v>0</v>
      </c>
      <c r="H32" s="27">
        <v>5.8561633443732841</v>
      </c>
      <c r="I32" s="25">
        <v>859.94605934294134</v>
      </c>
      <c r="J32" s="17"/>
      <c r="K32" s="26">
        <v>366.11117745625933</v>
      </c>
      <c r="L32" s="27">
        <v>106.3981871268071</v>
      </c>
      <c r="M32" s="27">
        <v>60.150044233821411</v>
      </c>
      <c r="N32" s="27">
        <v>0</v>
      </c>
      <c r="O32" s="27">
        <v>43.785901539727888</v>
      </c>
      <c r="P32" s="25">
        <v>859.94605620329844</v>
      </c>
      <c r="Q32" s="8"/>
    </row>
    <row r="33" spans="2:17" ht="12.75" customHeight="1" x14ac:dyDescent="0.8">
      <c r="B33" s="9" t="s">
        <v>552</v>
      </c>
      <c r="C33" s="33"/>
      <c r="D33" s="6" t="s">
        <v>553</v>
      </c>
      <c r="E33" s="26">
        <v>1415.7253177465986</v>
      </c>
      <c r="F33" s="27">
        <v>25.051316604416865</v>
      </c>
      <c r="G33" s="27">
        <v>0</v>
      </c>
      <c r="H33" s="27">
        <v>29.980429783375389</v>
      </c>
      <c r="I33" s="25">
        <v>1470.7570641343909</v>
      </c>
      <c r="J33" s="17"/>
      <c r="K33" s="26">
        <v>43.791363455554972</v>
      </c>
      <c r="L33" s="27">
        <v>1072.8043075879086</v>
      </c>
      <c r="M33" s="27">
        <v>0</v>
      </c>
      <c r="N33" s="27">
        <v>0</v>
      </c>
      <c r="O33" s="27">
        <v>79.751267517669618</v>
      </c>
      <c r="P33" s="25">
        <v>1470.7570622506043</v>
      </c>
      <c r="Q33" s="8"/>
    </row>
    <row r="34" spans="2:17" ht="12.75" customHeight="1" x14ac:dyDescent="0.8">
      <c r="B34" s="9" t="s">
        <v>559</v>
      </c>
      <c r="C34" s="33"/>
      <c r="D34" s="6" t="s">
        <v>560</v>
      </c>
      <c r="E34" s="26">
        <v>944.63964679311789</v>
      </c>
      <c r="F34" s="27">
        <v>0.44520975017175435</v>
      </c>
      <c r="G34" s="27">
        <v>0</v>
      </c>
      <c r="H34" s="27">
        <v>2.5261876276706854</v>
      </c>
      <c r="I34" s="25">
        <v>947.61104417096033</v>
      </c>
      <c r="J34" s="17"/>
      <c r="K34" s="26">
        <v>356.90757519901757</v>
      </c>
      <c r="L34" s="27">
        <v>20.261261980060517</v>
      </c>
      <c r="M34" s="27">
        <v>0</v>
      </c>
      <c r="N34" s="27">
        <v>0</v>
      </c>
      <c r="O34" s="27">
        <v>0.89797924387593819</v>
      </c>
      <c r="P34" s="25">
        <v>947.6110391475321</v>
      </c>
      <c r="Q34" s="8"/>
    </row>
    <row r="35" spans="2:17" ht="12.75" customHeight="1" x14ac:dyDescent="0.8">
      <c r="B35" s="9" t="s">
        <v>578</v>
      </c>
      <c r="C35" s="33"/>
      <c r="D35" s="6" t="s">
        <v>579</v>
      </c>
      <c r="E35" s="26">
        <v>1223.5094666848122</v>
      </c>
      <c r="F35" s="27">
        <v>26.996256762900266</v>
      </c>
      <c r="G35" s="27">
        <v>0</v>
      </c>
      <c r="H35" s="27">
        <v>21.804740069890322</v>
      </c>
      <c r="I35" s="25">
        <v>1272.3104635176028</v>
      </c>
      <c r="J35" s="17"/>
      <c r="K35" s="26">
        <v>383.36317091956079</v>
      </c>
      <c r="L35" s="27">
        <v>241.32503684671258</v>
      </c>
      <c r="M35" s="27">
        <v>0</v>
      </c>
      <c r="N35" s="27">
        <v>0</v>
      </c>
      <c r="O35" s="27">
        <v>5.5664793771897623</v>
      </c>
      <c r="P35" s="25">
        <v>1272.3104603779586</v>
      </c>
      <c r="Q35" s="8"/>
    </row>
    <row r="36" spans="2:17" ht="12.75" customHeight="1" x14ac:dyDescent="0.8">
      <c r="B36" s="9" t="s">
        <v>593</v>
      </c>
      <c r="C36" s="33"/>
      <c r="D36" s="6" t="s">
        <v>594</v>
      </c>
      <c r="E36" s="26">
        <v>2440.3083272933673</v>
      </c>
      <c r="F36" s="27">
        <v>0</v>
      </c>
      <c r="G36" s="27">
        <v>0</v>
      </c>
      <c r="H36" s="27">
        <v>0</v>
      </c>
      <c r="I36" s="25">
        <v>2440.3083272933673</v>
      </c>
      <c r="J36" s="17"/>
      <c r="K36" s="26">
        <v>1614.6213314696781</v>
      </c>
      <c r="L36" s="27">
        <v>48.78356867735544</v>
      </c>
      <c r="M36" s="27">
        <v>2190.2630585866345</v>
      </c>
      <c r="N36" s="27">
        <v>0</v>
      </c>
      <c r="O36" s="27">
        <v>201.26169877351998</v>
      </c>
      <c r="P36" s="25">
        <v>2440.3083260375101</v>
      </c>
      <c r="Q36" s="8"/>
    </row>
    <row r="37" spans="2:17" ht="12.75" customHeight="1" x14ac:dyDescent="0.8">
      <c r="B37" s="9" t="s">
        <v>601</v>
      </c>
      <c r="C37" s="33"/>
      <c r="D37" s="6" t="s">
        <v>143</v>
      </c>
      <c r="E37" s="26">
        <v>1073.8505364223697</v>
      </c>
      <c r="F37" s="27">
        <v>0</v>
      </c>
      <c r="G37" s="27">
        <v>0</v>
      </c>
      <c r="H37" s="27">
        <v>18.602129462272551</v>
      </c>
      <c r="I37" s="25">
        <v>1092.4526658846423</v>
      </c>
      <c r="J37" s="17"/>
      <c r="K37" s="26">
        <v>397.5571399639469</v>
      </c>
      <c r="L37" s="27">
        <v>203.13213541189458</v>
      </c>
      <c r="M37" s="27">
        <v>888.79913457120108</v>
      </c>
      <c r="N37" s="27">
        <v>0</v>
      </c>
      <c r="O37" s="27">
        <v>0</v>
      </c>
      <c r="P37" s="25">
        <v>1092.4526640008557</v>
      </c>
      <c r="Q37" s="8"/>
    </row>
    <row r="38" spans="2:17" ht="12.75" customHeight="1" x14ac:dyDescent="0.8">
      <c r="B38" s="9" t="s">
        <v>612</v>
      </c>
      <c r="C38" s="33"/>
      <c r="D38" s="6" t="s">
        <v>613</v>
      </c>
      <c r="E38" s="26">
        <v>523.21682074578905</v>
      </c>
      <c r="F38" s="27">
        <v>0</v>
      </c>
      <c r="G38" s="27">
        <v>0</v>
      </c>
      <c r="H38" s="27">
        <v>7.4015812026749099</v>
      </c>
      <c r="I38" s="25">
        <v>530.618401948464</v>
      </c>
      <c r="J38" s="17"/>
      <c r="K38" s="26">
        <v>274.64612383208362</v>
      </c>
      <c r="L38" s="27">
        <v>77.762974555047052</v>
      </c>
      <c r="M38" s="27">
        <v>446.16027174678641</v>
      </c>
      <c r="N38" s="27">
        <v>0</v>
      </c>
      <c r="O38" s="27">
        <v>0</v>
      </c>
      <c r="P38" s="25">
        <v>530.61840069260654</v>
      </c>
      <c r="Q38" s="8"/>
    </row>
    <row r="39" spans="2:17" ht="12.75" customHeight="1" x14ac:dyDescent="0.8">
      <c r="B39" s="9" t="s">
        <v>619</v>
      </c>
      <c r="C39" s="33"/>
      <c r="D39" s="6" t="s">
        <v>620</v>
      </c>
      <c r="E39" s="26">
        <v>327.39948945602004</v>
      </c>
      <c r="F39" s="27">
        <v>92.454243694722919</v>
      </c>
      <c r="G39" s="27">
        <v>0</v>
      </c>
      <c r="H39" s="27">
        <v>14.113854717362202</v>
      </c>
      <c r="I39" s="25">
        <v>433.96758786810517</v>
      </c>
      <c r="J39" s="17"/>
      <c r="K39" s="26">
        <v>156.33735831689856</v>
      </c>
      <c r="L39" s="27">
        <v>213.56888963057432</v>
      </c>
      <c r="M39" s="27">
        <v>0</v>
      </c>
      <c r="N39" s="27">
        <v>2.9733098509825553E-2</v>
      </c>
      <c r="O39" s="27">
        <v>126.43636324538737</v>
      </c>
      <c r="P39" s="25">
        <v>433.96758472846227</v>
      </c>
      <c r="Q39" s="8"/>
    </row>
    <row r="40" spans="2:17" ht="12.75" customHeight="1" x14ac:dyDescent="0.8">
      <c r="B40" s="9" t="s">
        <v>633</v>
      </c>
      <c r="C40" s="33"/>
      <c r="D40" s="6" t="s">
        <v>153</v>
      </c>
      <c r="E40" s="26">
        <v>508.16166028229634</v>
      </c>
      <c r="F40" s="27">
        <v>0</v>
      </c>
      <c r="G40" s="27">
        <v>0</v>
      </c>
      <c r="H40" s="27">
        <v>26.907064501080313</v>
      </c>
      <c r="I40" s="25">
        <v>535.06872478337664</v>
      </c>
      <c r="J40" s="17"/>
      <c r="K40" s="26">
        <v>101.86989175990853</v>
      </c>
      <c r="L40" s="27">
        <v>277.13402317956303</v>
      </c>
      <c r="M40" s="27">
        <v>92.510430081058416</v>
      </c>
      <c r="N40" s="27">
        <v>0</v>
      </c>
      <c r="O40" s="27">
        <v>0</v>
      </c>
      <c r="P40" s="25">
        <v>535.0687222716615</v>
      </c>
      <c r="Q40" s="8"/>
    </row>
    <row r="41" spans="2:17" ht="12.75" customHeight="1" x14ac:dyDescent="0.8">
      <c r="B41" s="9" t="s">
        <v>642</v>
      </c>
      <c r="C41" s="33"/>
      <c r="D41" s="6" t="s">
        <v>155</v>
      </c>
      <c r="E41" s="26">
        <v>62.419806000999998</v>
      </c>
      <c r="F41" s="27">
        <v>0</v>
      </c>
      <c r="G41" s="27">
        <v>0</v>
      </c>
      <c r="H41" s="27">
        <v>0</v>
      </c>
      <c r="I41" s="25">
        <v>62.419806000999998</v>
      </c>
      <c r="J41" s="17"/>
      <c r="K41" s="26">
        <v>0</v>
      </c>
      <c r="L41" s="27">
        <v>62.419805373071384</v>
      </c>
      <c r="M41" s="27">
        <v>0</v>
      </c>
      <c r="N41" s="27">
        <v>0</v>
      </c>
      <c r="O41" s="27">
        <v>0</v>
      </c>
      <c r="P41" s="25">
        <v>62.419805373071384</v>
      </c>
      <c r="Q41" s="8"/>
    </row>
    <row r="42" spans="2:17" ht="12.75" customHeight="1" x14ac:dyDescent="0.8">
      <c r="B42" s="10" t="s">
        <v>644</v>
      </c>
      <c r="C42" s="11"/>
      <c r="D42" s="11" t="s">
        <v>157</v>
      </c>
      <c r="E42" s="26">
        <v>0</v>
      </c>
      <c r="F42" s="27">
        <v>0</v>
      </c>
      <c r="G42" s="27">
        <v>0</v>
      </c>
      <c r="H42" s="27">
        <v>0</v>
      </c>
      <c r="I42" s="25">
        <v>0</v>
      </c>
      <c r="J42" s="17"/>
      <c r="K42" s="26">
        <v>0</v>
      </c>
      <c r="L42" s="27">
        <v>0</v>
      </c>
      <c r="M42" s="27">
        <v>0</v>
      </c>
      <c r="N42" s="27">
        <v>0</v>
      </c>
      <c r="O42" s="27">
        <v>0</v>
      </c>
      <c r="P42" s="25">
        <v>0</v>
      </c>
      <c r="Q42" s="14"/>
    </row>
    <row r="43" spans="2:17" x14ac:dyDescent="0.8">
      <c r="B43" s="3" t="s">
        <v>666</v>
      </c>
      <c r="C43" s="35"/>
      <c r="D43" s="6"/>
      <c r="E43" s="26">
        <v>0</v>
      </c>
      <c r="F43" s="27">
        <v>0</v>
      </c>
      <c r="G43" s="27">
        <v>0</v>
      </c>
      <c r="H43" s="27">
        <v>0</v>
      </c>
      <c r="I43" s="25">
        <v>0</v>
      </c>
      <c r="J43" s="17"/>
      <c r="K43" s="26">
        <v>0</v>
      </c>
      <c r="L43" s="27">
        <v>0</v>
      </c>
      <c r="M43" s="27">
        <v>0</v>
      </c>
      <c r="N43" s="27">
        <v>0</v>
      </c>
      <c r="O43" s="27">
        <v>0</v>
      </c>
      <c r="P43" s="25">
        <v>0</v>
      </c>
      <c r="Q43" s="8"/>
    </row>
    <row r="44" spans="2:17" s="4" customFormat="1" x14ac:dyDescent="0.8">
      <c r="B44" s="12"/>
      <c r="C44" s="34"/>
      <c r="D44" s="2" t="s">
        <v>652</v>
      </c>
      <c r="E44" s="23">
        <v>36361.056600991396</v>
      </c>
      <c r="F44" s="24">
        <v>8617.7770054065313</v>
      </c>
      <c r="G44" s="24">
        <v>0</v>
      </c>
      <c r="H44" s="24">
        <v>984.86997349733031</v>
      </c>
      <c r="I44" s="25">
        <v>45963.703579895249</v>
      </c>
      <c r="J44" s="16"/>
      <c r="K44" s="23">
        <v>17427.604442165662</v>
      </c>
      <c r="L44" s="24">
        <v>12626.057145304321</v>
      </c>
      <c r="M44" s="15">
        <v>3677.8829392195016</v>
      </c>
      <c r="N44" s="24">
        <v>6915.8118649908702</v>
      </c>
      <c r="O44" s="24">
        <v>5661.0321807260671</v>
      </c>
      <c r="P44" s="25">
        <v>45963.703653362893</v>
      </c>
    </row>
    <row r="45" spans="2:17" ht="12.75" customHeight="1" x14ac:dyDescent="0.8">
      <c r="B45" s="9" t="s">
        <v>0</v>
      </c>
      <c r="C45" s="33" t="str">
        <f>LEFT(B45,2)</f>
        <v>A1</v>
      </c>
      <c r="D45" s="6" t="s">
        <v>1</v>
      </c>
      <c r="E45" s="26">
        <v>435.92018208175477</v>
      </c>
      <c r="F45" s="27">
        <v>170.16389888802237</v>
      </c>
      <c r="G45" s="27">
        <v>26.305940171536225</v>
      </c>
      <c r="H45" s="27">
        <v>19.039992824853648</v>
      </c>
      <c r="I45" s="25">
        <v>651.43001396616705</v>
      </c>
      <c r="J45" s="17"/>
      <c r="K45" s="26">
        <v>120.33668158776155</v>
      </c>
      <c r="L45" s="27">
        <v>157.84980109318622</v>
      </c>
      <c r="M45" s="27">
        <v>0</v>
      </c>
      <c r="N45" s="27">
        <v>-11.8952825189604</v>
      </c>
      <c r="O45" s="27">
        <v>9.95047143651</v>
      </c>
      <c r="P45" s="25">
        <v>651.43001082652438</v>
      </c>
      <c r="Q45" s="8"/>
    </row>
    <row r="46" spans="2:17" ht="12.75" customHeight="1" x14ac:dyDescent="0.8">
      <c r="B46" s="9" t="s">
        <v>2</v>
      </c>
      <c r="C46" s="33" t="str">
        <f t="shared" ref="C46:C109" si="0">LEFT(B46,2)</f>
        <v>A1</v>
      </c>
      <c r="D46" s="6" t="s">
        <v>3</v>
      </c>
      <c r="E46" s="26">
        <v>1246.6707532423</v>
      </c>
      <c r="F46" s="27">
        <v>46.479834206282312</v>
      </c>
      <c r="G46" s="27">
        <v>7.1854003452165225</v>
      </c>
      <c r="H46" s="27">
        <v>37.58740784042849</v>
      </c>
      <c r="I46" s="25">
        <v>1337.9233956342273</v>
      </c>
      <c r="J46" s="17"/>
      <c r="K46" s="26">
        <v>266.42783603841724</v>
      </c>
      <c r="L46" s="27">
        <v>943.8003341741022</v>
      </c>
      <c r="M46" s="27">
        <v>0</v>
      </c>
      <c r="N46" s="27">
        <v>0.1947939168529044</v>
      </c>
      <c r="O46" s="27">
        <v>9.9502182339999994</v>
      </c>
      <c r="P46" s="25">
        <v>1337.9233931225108</v>
      </c>
      <c r="Q46" s="8"/>
    </row>
    <row r="47" spans="2:17" ht="12.75" customHeight="1" x14ac:dyDescent="0.8">
      <c r="B47" s="9" t="s">
        <v>4</v>
      </c>
      <c r="C47" s="33" t="str">
        <f t="shared" si="0"/>
        <v>A1</v>
      </c>
      <c r="D47" s="6" t="s">
        <v>5</v>
      </c>
      <c r="E47" s="26">
        <v>867.3368173487529</v>
      </c>
      <c r="F47" s="27">
        <v>25.119650701406361</v>
      </c>
      <c r="G47" s="27">
        <v>3.8832915371545735</v>
      </c>
      <c r="H47" s="27">
        <v>31.601126547887596</v>
      </c>
      <c r="I47" s="25">
        <v>927.94088613520148</v>
      </c>
      <c r="J47" s="17"/>
      <c r="K47" s="26">
        <v>297.15009166946504</v>
      </c>
      <c r="L47" s="27">
        <v>774.34864555361332</v>
      </c>
      <c r="M47" s="27">
        <v>0</v>
      </c>
      <c r="N47" s="27">
        <v>0.11413215966731251</v>
      </c>
      <c r="O47" s="27">
        <v>50.043702009629996</v>
      </c>
      <c r="P47" s="25">
        <v>927.94088048384299</v>
      </c>
      <c r="Q47" s="8"/>
    </row>
    <row r="48" spans="2:17" ht="12.75" customHeight="1" x14ac:dyDescent="0.8">
      <c r="B48" s="9" t="s">
        <v>6</v>
      </c>
      <c r="C48" s="33" t="str">
        <f t="shared" si="0"/>
        <v>A1</v>
      </c>
      <c r="D48" s="6" t="s">
        <v>7</v>
      </c>
      <c r="E48" s="26">
        <v>545.16436356961594</v>
      </c>
      <c r="F48" s="27">
        <v>37.871689971743024</v>
      </c>
      <c r="G48" s="27">
        <v>5.8546519978789995</v>
      </c>
      <c r="H48" s="27">
        <v>9.7238169601529982</v>
      </c>
      <c r="I48" s="25">
        <v>598.61452249939111</v>
      </c>
      <c r="J48" s="17"/>
      <c r="K48" s="26">
        <v>80.328615134381465</v>
      </c>
      <c r="L48" s="27">
        <v>395.79357702608127</v>
      </c>
      <c r="M48" s="27">
        <v>0</v>
      </c>
      <c r="N48" s="27">
        <v>5.9944158192410146</v>
      </c>
      <c r="O48" s="27">
        <v>21.587817070180002</v>
      </c>
      <c r="P48" s="25">
        <v>598.61451684802455</v>
      </c>
      <c r="Q48" s="8"/>
    </row>
    <row r="49" spans="2:17" ht="12.75" customHeight="1" x14ac:dyDescent="0.8">
      <c r="B49" s="9" t="s">
        <v>8</v>
      </c>
      <c r="C49" s="33" t="str">
        <f t="shared" si="0"/>
        <v>A1</v>
      </c>
      <c r="D49" s="6" t="s">
        <v>9</v>
      </c>
      <c r="E49" s="26">
        <v>66.357669684032501</v>
      </c>
      <c r="F49" s="27">
        <v>56.047430877835119</v>
      </c>
      <c r="G49" s="27">
        <v>8.6644721534669937</v>
      </c>
      <c r="H49" s="27">
        <v>0.47501118367230377</v>
      </c>
      <c r="I49" s="25">
        <v>131.54458389900691</v>
      </c>
      <c r="J49" s="17"/>
      <c r="K49" s="26">
        <v>24.287579580696281</v>
      </c>
      <c r="L49" s="27">
        <v>5.9622991621593755</v>
      </c>
      <c r="M49" s="27">
        <v>0</v>
      </c>
      <c r="N49" s="27">
        <v>-1.2752506744144378</v>
      </c>
      <c r="O49" s="27">
        <v>10.269748199659999</v>
      </c>
      <c r="P49" s="25">
        <v>131.54458201522291</v>
      </c>
      <c r="Q49" s="8"/>
    </row>
    <row r="50" spans="2:17" ht="12.75" customHeight="1" x14ac:dyDescent="0.8">
      <c r="B50" s="9" t="s">
        <v>10</v>
      </c>
      <c r="C50" s="33" t="str">
        <f t="shared" si="0"/>
        <v>A2</v>
      </c>
      <c r="D50" s="6" t="s">
        <v>11</v>
      </c>
      <c r="E50" s="26">
        <v>184.52588865853446</v>
      </c>
      <c r="F50" s="27">
        <v>2.7763956812241313</v>
      </c>
      <c r="G50" s="27">
        <v>0.42920795280352175</v>
      </c>
      <c r="H50" s="27">
        <v>1.4648008366422188E-2</v>
      </c>
      <c r="I50" s="25">
        <v>187.74614030092852</v>
      </c>
      <c r="J50" s="17"/>
      <c r="K50" s="26">
        <v>11.851915934254418</v>
      </c>
      <c r="L50" s="27">
        <v>0</v>
      </c>
      <c r="M50" s="27">
        <v>0</v>
      </c>
      <c r="N50" s="27">
        <v>29.486244801556627</v>
      </c>
      <c r="O50" s="27">
        <v>121.01187384450002</v>
      </c>
      <c r="P50" s="25">
        <v>187.74613967299982</v>
      </c>
      <c r="Q50" s="8"/>
    </row>
    <row r="51" spans="2:17" ht="12.75" customHeight="1" x14ac:dyDescent="0.8">
      <c r="B51" s="9" t="s">
        <v>12</v>
      </c>
      <c r="C51" s="33" t="str">
        <f t="shared" si="0"/>
        <v>A2</v>
      </c>
      <c r="D51" s="6" t="s">
        <v>13</v>
      </c>
      <c r="E51" s="26">
        <v>64.076692611494735</v>
      </c>
      <c r="F51" s="27">
        <v>0</v>
      </c>
      <c r="G51" s="27">
        <v>0</v>
      </c>
      <c r="H51" s="27">
        <v>0</v>
      </c>
      <c r="I51" s="25">
        <v>64.076692611494735</v>
      </c>
      <c r="J51" s="17"/>
      <c r="K51" s="26">
        <v>4.1155828035697839</v>
      </c>
      <c r="L51" s="27">
        <v>0</v>
      </c>
      <c r="M51" s="27">
        <v>0</v>
      </c>
      <c r="N51" s="27">
        <v>3.6957380638908708</v>
      </c>
      <c r="O51" s="27">
        <v>0</v>
      </c>
      <c r="P51" s="25">
        <v>64.07669198356605</v>
      </c>
      <c r="Q51" s="8"/>
    </row>
    <row r="52" spans="2:17" ht="12.75" customHeight="1" x14ac:dyDescent="0.8">
      <c r="B52" s="9" t="s">
        <v>14</v>
      </c>
      <c r="C52" s="33" t="str">
        <f t="shared" si="0"/>
        <v>A2</v>
      </c>
      <c r="D52" s="6" t="s">
        <v>15</v>
      </c>
      <c r="E52" s="26">
        <v>153.1159526202344</v>
      </c>
      <c r="F52" s="27">
        <v>10.445469408620434</v>
      </c>
      <c r="G52" s="27">
        <v>1.6147837180646685</v>
      </c>
      <c r="H52" s="27">
        <v>1.1597417406821575</v>
      </c>
      <c r="I52" s="25">
        <v>166.33594748760166</v>
      </c>
      <c r="J52" s="17"/>
      <c r="K52" s="26">
        <v>34.458599350945683</v>
      </c>
      <c r="L52" s="27">
        <v>18.441159651618694</v>
      </c>
      <c r="M52" s="27">
        <v>0</v>
      </c>
      <c r="N52" s="27">
        <v>0.21796480600557669</v>
      </c>
      <c r="O52" s="27">
        <v>5.7064472340089551</v>
      </c>
      <c r="P52" s="25">
        <v>166.33594497588786</v>
      </c>
      <c r="Q52" s="8"/>
    </row>
    <row r="53" spans="2:17" ht="12.75" customHeight="1" x14ac:dyDescent="0.8">
      <c r="B53" s="9" t="s">
        <v>16</v>
      </c>
      <c r="C53" s="33" t="str">
        <f t="shared" si="0"/>
        <v>A3</v>
      </c>
      <c r="D53" s="6" t="s">
        <v>17</v>
      </c>
      <c r="E53" s="26">
        <v>413.6706468079592</v>
      </c>
      <c r="F53" s="27">
        <v>2.7126389122810877</v>
      </c>
      <c r="G53" s="27">
        <v>0.41935168034910508</v>
      </c>
      <c r="H53" s="27">
        <v>1.6326389871844298</v>
      </c>
      <c r="I53" s="25">
        <v>418.4352763877738</v>
      </c>
      <c r="J53" s="17"/>
      <c r="K53" s="26">
        <v>28.95694527655715</v>
      </c>
      <c r="L53" s="27">
        <v>15.276696138251447</v>
      </c>
      <c r="M53" s="27">
        <v>0</v>
      </c>
      <c r="N53" s="27">
        <v>289.79135054959363</v>
      </c>
      <c r="O53" s="27">
        <v>68.152038587307743</v>
      </c>
      <c r="P53" s="25">
        <v>418.4352738760594</v>
      </c>
      <c r="Q53" s="8"/>
    </row>
    <row r="54" spans="2:17" ht="12.75" customHeight="1" x14ac:dyDescent="0.8">
      <c r="B54" s="9" t="s">
        <v>18</v>
      </c>
      <c r="C54" s="33" t="str">
        <f t="shared" si="0"/>
        <v>A3</v>
      </c>
      <c r="D54" s="6" t="s">
        <v>19</v>
      </c>
      <c r="E54" s="26">
        <v>212.5635325906359</v>
      </c>
      <c r="F54" s="27">
        <v>3.7876026766667601</v>
      </c>
      <c r="G54" s="27">
        <v>0.58553224307297269</v>
      </c>
      <c r="H54" s="27">
        <v>1.7143891603654671</v>
      </c>
      <c r="I54" s="25">
        <v>218.65105667074113</v>
      </c>
      <c r="J54" s="17"/>
      <c r="K54" s="26">
        <v>16.396718844807062</v>
      </c>
      <c r="L54" s="27">
        <v>86.924052716810166</v>
      </c>
      <c r="M54" s="27">
        <v>0</v>
      </c>
      <c r="N54" s="27">
        <v>-0.13412195197406451</v>
      </c>
      <c r="O54" s="27">
        <v>5.6719121657099993</v>
      </c>
      <c r="P54" s="25">
        <v>218.65105415902644</v>
      </c>
      <c r="Q54" s="8"/>
    </row>
    <row r="55" spans="2:17" ht="12.75" customHeight="1" x14ac:dyDescent="0.8">
      <c r="B55" s="9" t="s">
        <v>20</v>
      </c>
      <c r="C55" s="33" t="str">
        <f t="shared" si="0"/>
        <v>A4</v>
      </c>
      <c r="D55" s="6" t="s">
        <v>21</v>
      </c>
      <c r="E55" s="26">
        <v>798.46498346915826</v>
      </c>
      <c r="F55" s="27">
        <v>21.150288181442733</v>
      </c>
      <c r="G55" s="27">
        <v>0</v>
      </c>
      <c r="H55" s="27">
        <v>4.979297699876957E-2</v>
      </c>
      <c r="I55" s="25">
        <v>819.6650646275998</v>
      </c>
      <c r="J55" s="17"/>
      <c r="K55" s="26">
        <v>15.969299669383167</v>
      </c>
      <c r="L55" s="27">
        <v>725.52803759218455</v>
      </c>
      <c r="M55" s="27">
        <v>0</v>
      </c>
      <c r="N55" s="27">
        <v>14.616933681850721</v>
      </c>
      <c r="O55" s="27">
        <v>8.485282526580006</v>
      </c>
      <c r="P55" s="25">
        <v>819.66506274381311</v>
      </c>
      <c r="Q55" s="8"/>
    </row>
    <row r="56" spans="2:17" ht="12.75" customHeight="1" x14ac:dyDescent="0.8">
      <c r="B56" s="9" t="s">
        <v>22</v>
      </c>
      <c r="C56" s="33" t="str">
        <f t="shared" si="0"/>
        <v>A5</v>
      </c>
      <c r="D56" s="6" t="s">
        <v>23</v>
      </c>
      <c r="E56" s="26">
        <v>75.119865387231059</v>
      </c>
      <c r="F56" s="27">
        <v>0.13394473293305878</v>
      </c>
      <c r="G56" s="27">
        <v>0</v>
      </c>
      <c r="H56" s="27">
        <v>5.3675450563401306</v>
      </c>
      <c r="I56" s="25">
        <v>80.621355176504238</v>
      </c>
      <c r="J56" s="17"/>
      <c r="K56" s="26">
        <v>21.033562308424695</v>
      </c>
      <c r="L56" s="27">
        <v>78.23766513401462</v>
      </c>
      <c r="M56" s="27">
        <v>0</v>
      </c>
      <c r="N56" s="27">
        <v>-0.15227378870346847</v>
      </c>
      <c r="O56" s="27">
        <v>3.9923489999999992E-2</v>
      </c>
      <c r="P56" s="25">
        <v>80.621354548575582</v>
      </c>
      <c r="Q56" s="8"/>
    </row>
    <row r="57" spans="2:17" ht="12.75" customHeight="1" x14ac:dyDescent="0.8">
      <c r="B57" s="9" t="s">
        <v>24</v>
      </c>
      <c r="C57" s="33" t="str">
        <f t="shared" si="0"/>
        <v>B0</v>
      </c>
      <c r="D57" s="6" t="s">
        <v>25</v>
      </c>
      <c r="E57" s="26">
        <v>0</v>
      </c>
      <c r="F57" s="27">
        <v>3.7349797491967589E-2</v>
      </c>
      <c r="G57" s="27">
        <v>0</v>
      </c>
      <c r="H57" s="27">
        <v>5.1594264620661206E-3</v>
      </c>
      <c r="I57" s="25">
        <v>4.2509223954033705E-2</v>
      </c>
      <c r="J57" s="17"/>
      <c r="K57" s="26">
        <v>0</v>
      </c>
      <c r="L57" s="27">
        <v>0</v>
      </c>
      <c r="M57" s="27">
        <v>0</v>
      </c>
      <c r="N57" s="27">
        <v>-1.1020283607616712E-4</v>
      </c>
      <c r="O57" s="27">
        <v>1.7687000000000001E-2</v>
      </c>
      <c r="P57" s="25">
        <v>4.2508596025703581E-2</v>
      </c>
      <c r="Q57" s="8"/>
    </row>
    <row r="58" spans="2:17" ht="12.75" customHeight="1" x14ac:dyDescent="0.8">
      <c r="B58" s="9" t="s">
        <v>26</v>
      </c>
      <c r="C58" s="33" t="str">
        <f t="shared" si="0"/>
        <v>B0</v>
      </c>
      <c r="D58" s="6" t="s">
        <v>27</v>
      </c>
      <c r="E58" s="26">
        <v>272.82807869575123</v>
      </c>
      <c r="F58" s="27">
        <v>3.5665318909247161</v>
      </c>
      <c r="G58" s="27">
        <v>0</v>
      </c>
      <c r="H58" s="27">
        <v>0</v>
      </c>
      <c r="I58" s="25">
        <v>276.39461058667592</v>
      </c>
      <c r="J58" s="17"/>
      <c r="K58" s="26">
        <v>178.03782807658737</v>
      </c>
      <c r="L58" s="27">
        <v>0</v>
      </c>
      <c r="M58" s="27">
        <v>0</v>
      </c>
      <c r="N58" s="27">
        <v>-1.7430000000000001</v>
      </c>
      <c r="O58" s="27">
        <v>274.09682365399993</v>
      </c>
      <c r="P58" s="25">
        <v>276.39479645330715</v>
      </c>
      <c r="Q58" s="8"/>
    </row>
    <row r="59" spans="2:17" ht="12.75" customHeight="1" x14ac:dyDescent="0.8">
      <c r="B59" s="9" t="s">
        <v>28</v>
      </c>
      <c r="C59" s="33" t="str">
        <f t="shared" si="0"/>
        <v>B0</v>
      </c>
      <c r="D59" s="6" t="s">
        <v>29</v>
      </c>
      <c r="E59" s="26">
        <v>444.61712072746218</v>
      </c>
      <c r="F59" s="27">
        <v>27.034638506018059</v>
      </c>
      <c r="G59" s="27">
        <v>0</v>
      </c>
      <c r="H59" s="27">
        <v>9.6199902882165914E-3</v>
      </c>
      <c r="I59" s="25">
        <v>471.66137922376845</v>
      </c>
      <c r="J59" s="17"/>
      <c r="K59" s="26">
        <v>185.13695805879209</v>
      </c>
      <c r="L59" s="27">
        <v>0</v>
      </c>
      <c r="M59" s="27">
        <v>0</v>
      </c>
      <c r="N59" s="27">
        <v>0.21608342043997442</v>
      </c>
      <c r="O59" s="27">
        <v>39.78380777372</v>
      </c>
      <c r="P59" s="25">
        <v>471.66137796791082</v>
      </c>
      <c r="Q59" s="8"/>
    </row>
    <row r="60" spans="2:17" ht="12.75" customHeight="1" x14ac:dyDescent="0.8">
      <c r="B60" s="9" t="s">
        <v>30</v>
      </c>
      <c r="C60" s="33" t="str">
        <f t="shared" si="0"/>
        <v>C1</v>
      </c>
      <c r="D60" s="6" t="s">
        <v>31</v>
      </c>
      <c r="E60" s="26">
        <v>186.60307581983301</v>
      </c>
      <c r="F60" s="27">
        <v>6.6184818951821383</v>
      </c>
      <c r="G60" s="27">
        <v>27.486780402817477</v>
      </c>
      <c r="H60" s="27">
        <v>15.410578237564343</v>
      </c>
      <c r="I60" s="25">
        <v>236.11891635539695</v>
      </c>
      <c r="J60" s="17"/>
      <c r="K60" s="26">
        <v>120.19327453717206</v>
      </c>
      <c r="L60" s="27">
        <v>144.89848529173429</v>
      </c>
      <c r="M60" s="27">
        <v>0</v>
      </c>
      <c r="N60" s="27">
        <v>-4.4259917041247321E-2</v>
      </c>
      <c r="O60" s="27">
        <v>40.66831973500031</v>
      </c>
      <c r="P60" s="25">
        <v>236.11891509953972</v>
      </c>
      <c r="Q60" s="8"/>
    </row>
    <row r="61" spans="2:17" ht="12.75" customHeight="1" x14ac:dyDescent="0.8">
      <c r="B61" s="9" t="s">
        <v>32</v>
      </c>
      <c r="C61" s="33" t="str">
        <f t="shared" si="0"/>
        <v>C1</v>
      </c>
      <c r="D61" s="6" t="s">
        <v>33</v>
      </c>
      <c r="E61" s="26">
        <v>2.4621162843151194</v>
      </c>
      <c r="F61" s="27">
        <v>102.61324148396237</v>
      </c>
      <c r="G61" s="27">
        <v>15.748316688445856</v>
      </c>
      <c r="H61" s="27">
        <v>4.6184365242186258</v>
      </c>
      <c r="I61" s="25">
        <v>125.44211098094199</v>
      </c>
      <c r="J61" s="17"/>
      <c r="K61" s="26">
        <v>1.7250543487375189</v>
      </c>
      <c r="L61" s="27">
        <v>44.69225284874117</v>
      </c>
      <c r="M61" s="27">
        <v>0</v>
      </c>
      <c r="N61" s="27">
        <v>1.6828902468262108</v>
      </c>
      <c r="O61" s="27">
        <v>72.789310571279998</v>
      </c>
      <c r="P61" s="25">
        <v>125.44211035301321</v>
      </c>
      <c r="Q61" s="8"/>
    </row>
    <row r="62" spans="2:17" ht="12.75" customHeight="1" x14ac:dyDescent="0.8">
      <c r="B62" s="9" t="s">
        <v>34</v>
      </c>
      <c r="C62" s="33" t="str">
        <f t="shared" si="0"/>
        <v>C1</v>
      </c>
      <c r="D62" s="6" t="s">
        <v>35</v>
      </c>
      <c r="E62" s="26">
        <v>43.652608221229876</v>
      </c>
      <c r="F62" s="27">
        <v>22.830144913702242</v>
      </c>
      <c r="G62" s="27">
        <v>17.985775307509982</v>
      </c>
      <c r="H62" s="27">
        <v>8.5355863559047176</v>
      </c>
      <c r="I62" s="25">
        <v>93.004114798346805</v>
      </c>
      <c r="J62" s="17"/>
      <c r="K62" s="26">
        <v>37.083540177553537</v>
      </c>
      <c r="L62" s="27">
        <v>74.868393288626805</v>
      </c>
      <c r="M62" s="27">
        <v>0</v>
      </c>
      <c r="N62" s="27">
        <v>-0.54156556287710544</v>
      </c>
      <c r="O62" s="27">
        <v>13.061804359330001</v>
      </c>
      <c r="P62" s="25">
        <v>93.00411354248925</v>
      </c>
      <c r="Q62" s="8"/>
    </row>
    <row r="63" spans="2:17" ht="12.75" customHeight="1" x14ac:dyDescent="0.8">
      <c r="B63" s="9" t="s">
        <v>36</v>
      </c>
      <c r="C63" s="33" t="str">
        <f t="shared" si="0"/>
        <v>C1</v>
      </c>
      <c r="D63" s="6" t="s">
        <v>37</v>
      </c>
      <c r="E63" s="26">
        <v>204.53589356047291</v>
      </c>
      <c r="F63" s="27">
        <v>279.02530861382485</v>
      </c>
      <c r="G63" s="27">
        <v>38.106345081582987</v>
      </c>
      <c r="H63" s="27">
        <v>36.504481427465677</v>
      </c>
      <c r="I63" s="25">
        <v>558.17202868334641</v>
      </c>
      <c r="J63" s="17"/>
      <c r="K63" s="26">
        <v>143.68397694879852</v>
      </c>
      <c r="L63" s="27">
        <v>351.78466230224149</v>
      </c>
      <c r="M63" s="27">
        <v>0</v>
      </c>
      <c r="N63" s="27">
        <v>18.978835654255409</v>
      </c>
      <c r="O63" s="27">
        <v>130.70394480731002</v>
      </c>
      <c r="P63" s="25">
        <v>558.17202805541785</v>
      </c>
      <c r="Q63" s="8"/>
    </row>
    <row r="64" spans="2:17" ht="12.75" customHeight="1" x14ac:dyDescent="0.8">
      <c r="B64" s="9" t="s">
        <v>38</v>
      </c>
      <c r="C64" s="33" t="str">
        <f t="shared" si="0"/>
        <v>C1</v>
      </c>
      <c r="D64" s="6" t="s">
        <v>39</v>
      </c>
      <c r="E64" s="26">
        <v>128.87290379420929</v>
      </c>
      <c r="F64" s="27">
        <v>10.059387028964611</v>
      </c>
      <c r="G64" s="27">
        <v>12.935814292403245</v>
      </c>
      <c r="H64" s="27">
        <v>12.607849824464338</v>
      </c>
      <c r="I64" s="25">
        <v>164.47595494004148</v>
      </c>
      <c r="J64" s="17"/>
      <c r="K64" s="26">
        <v>81.811762488238259</v>
      </c>
      <c r="L64" s="27">
        <v>123.37626212723119</v>
      </c>
      <c r="M64" s="27">
        <v>0</v>
      </c>
      <c r="N64" s="27">
        <v>-0.97417025198179563</v>
      </c>
      <c r="O64" s="27">
        <v>5.5827588191799995</v>
      </c>
      <c r="P64" s="25">
        <v>164.47595431211261</v>
      </c>
      <c r="Q64" s="8"/>
    </row>
    <row r="65" spans="2:17" ht="12.75" customHeight="1" x14ac:dyDescent="0.8">
      <c r="B65" s="9" t="s">
        <v>40</v>
      </c>
      <c r="C65" s="33" t="str">
        <f t="shared" si="0"/>
        <v>C1</v>
      </c>
      <c r="D65" s="6" t="s">
        <v>41</v>
      </c>
      <c r="E65" s="26">
        <v>882.51674357206355</v>
      </c>
      <c r="F65" s="27">
        <v>363.49430957668596</v>
      </c>
      <c r="G65" s="27">
        <v>130.31593274051835</v>
      </c>
      <c r="H65" s="27">
        <v>87.597921184341644</v>
      </c>
      <c r="I65" s="25">
        <v>1463.9249070736096</v>
      </c>
      <c r="J65" s="17"/>
      <c r="K65" s="26">
        <v>745.97016225792368</v>
      </c>
      <c r="L65" s="27">
        <v>1006.1062031712397</v>
      </c>
      <c r="M65" s="27">
        <v>0</v>
      </c>
      <c r="N65" s="27">
        <v>-1.9854165715034979</v>
      </c>
      <c r="O65" s="27">
        <v>181.14148625463</v>
      </c>
      <c r="P65" s="25">
        <v>1463.9249039339647</v>
      </c>
      <c r="Q65" s="8"/>
    </row>
    <row r="66" spans="2:17" ht="12.75" customHeight="1" x14ac:dyDescent="0.8">
      <c r="B66" s="9" t="s">
        <v>42</v>
      </c>
      <c r="C66" s="33" t="str">
        <f t="shared" si="0"/>
        <v>C1</v>
      </c>
      <c r="D66" s="6" t="s">
        <v>43</v>
      </c>
      <c r="E66" s="26">
        <v>125.16994221623612</v>
      </c>
      <c r="F66" s="27">
        <v>17.016261016090109</v>
      </c>
      <c r="G66" s="27">
        <v>38.837636319743055</v>
      </c>
      <c r="H66" s="27">
        <v>15.519738458859578</v>
      </c>
      <c r="I66" s="25">
        <v>196.54357801092891</v>
      </c>
      <c r="J66" s="17"/>
      <c r="K66" s="26">
        <v>118.607308512491</v>
      </c>
      <c r="L66" s="27">
        <v>177.58711958554247</v>
      </c>
      <c r="M66" s="27">
        <v>0</v>
      </c>
      <c r="N66" s="27">
        <v>1.8114636366900645E-2</v>
      </c>
      <c r="O66" s="27">
        <v>13.335312588040001</v>
      </c>
      <c r="P66" s="25">
        <v>196.54357738299973</v>
      </c>
      <c r="Q66" s="8"/>
    </row>
    <row r="67" spans="2:17" ht="12.75" customHeight="1" x14ac:dyDescent="0.8">
      <c r="B67" s="9" t="s">
        <v>44</v>
      </c>
      <c r="C67" s="33" t="str">
        <f t="shared" si="0"/>
        <v>C1</v>
      </c>
      <c r="D67" s="6" t="s">
        <v>45</v>
      </c>
      <c r="E67" s="26">
        <v>53.793562613526504</v>
      </c>
      <c r="F67" s="27">
        <v>9.5096154201375887E-3</v>
      </c>
      <c r="G67" s="27">
        <v>8.9851130622357598</v>
      </c>
      <c r="H67" s="27">
        <v>4.5972294868748547</v>
      </c>
      <c r="I67" s="25">
        <v>67.385414778057253</v>
      </c>
      <c r="J67" s="17"/>
      <c r="K67" s="26">
        <v>47.670104620353669</v>
      </c>
      <c r="L67" s="27">
        <v>46.522330036941973</v>
      </c>
      <c r="M67" s="27">
        <v>0</v>
      </c>
      <c r="N67" s="27">
        <v>0</v>
      </c>
      <c r="O67" s="27">
        <v>1.4212199999999999E-3</v>
      </c>
      <c r="P67" s="25">
        <v>67.38541415012871</v>
      </c>
      <c r="Q67" s="8"/>
    </row>
    <row r="68" spans="2:17" ht="12.75" customHeight="1" x14ac:dyDescent="0.8">
      <c r="B68" s="9" t="s">
        <v>46</v>
      </c>
      <c r="C68" s="33" t="str">
        <f t="shared" si="0"/>
        <v>C1</v>
      </c>
      <c r="D68" s="6" t="s">
        <v>47</v>
      </c>
      <c r="E68" s="26">
        <v>252.95099303275509</v>
      </c>
      <c r="F68" s="27">
        <v>371.9920509995485</v>
      </c>
      <c r="G68" s="27">
        <v>83.638246879251255</v>
      </c>
      <c r="H68" s="27">
        <v>38.78552300791133</v>
      </c>
      <c r="I68" s="25">
        <v>747.36681391946615</v>
      </c>
      <c r="J68" s="17"/>
      <c r="K68" s="26">
        <v>200.92471344358225</v>
      </c>
      <c r="L68" s="27">
        <v>235.98518933754514</v>
      </c>
      <c r="M68" s="27">
        <v>0</v>
      </c>
      <c r="N68" s="27">
        <v>-13.265074168714881</v>
      </c>
      <c r="O68" s="27">
        <v>288.24067712990995</v>
      </c>
      <c r="P68" s="25">
        <v>747.36681077982303</v>
      </c>
      <c r="Q68" s="8"/>
    </row>
    <row r="69" spans="2:17" ht="12.75" customHeight="1" x14ac:dyDescent="0.8">
      <c r="B69" s="9" t="s">
        <v>48</v>
      </c>
      <c r="C69" s="33" t="str">
        <f t="shared" si="0"/>
        <v>C2</v>
      </c>
      <c r="D69" s="6" t="s">
        <v>49</v>
      </c>
      <c r="E69" s="26">
        <v>742.76373021992583</v>
      </c>
      <c r="F69" s="27">
        <v>204.93138442403819</v>
      </c>
      <c r="G69" s="27">
        <v>245.24377275157914</v>
      </c>
      <c r="H69" s="27">
        <v>176.7122534018479</v>
      </c>
      <c r="I69" s="25">
        <v>1369.651140797391</v>
      </c>
      <c r="J69" s="17"/>
      <c r="K69" s="26">
        <v>365.17842780215273</v>
      </c>
      <c r="L69" s="27">
        <v>671.26496638378194</v>
      </c>
      <c r="M69" s="27">
        <v>0</v>
      </c>
      <c r="N69" s="27">
        <v>-3.3649475011739045</v>
      </c>
      <c r="O69" s="27">
        <v>83.95183151434</v>
      </c>
      <c r="P69" s="25">
        <v>1369.6511376577491</v>
      </c>
      <c r="Q69" s="8"/>
    </row>
    <row r="70" spans="2:17" ht="12.75" customHeight="1" x14ac:dyDescent="0.8">
      <c r="B70" s="9" t="s">
        <v>50</v>
      </c>
      <c r="C70" s="33" t="str">
        <f t="shared" si="0"/>
        <v>C2</v>
      </c>
      <c r="D70" s="6" t="s">
        <v>51</v>
      </c>
      <c r="E70" s="26">
        <v>241.4696818633104</v>
      </c>
      <c r="F70" s="27">
        <v>1.2757460357813273</v>
      </c>
      <c r="G70" s="27">
        <v>41.113912166746871</v>
      </c>
      <c r="H70" s="27">
        <v>33.467236744180887</v>
      </c>
      <c r="I70" s="25">
        <v>317.3265768100195</v>
      </c>
      <c r="J70" s="17"/>
      <c r="K70" s="26">
        <v>133.49037923573223</v>
      </c>
      <c r="L70" s="27">
        <v>211.04254498134671</v>
      </c>
      <c r="M70" s="27">
        <v>0</v>
      </c>
      <c r="N70" s="27">
        <v>0.49505196472768781</v>
      </c>
      <c r="O70" s="27">
        <v>0.49310635899999999</v>
      </c>
      <c r="P70" s="25">
        <v>317.32657555416165</v>
      </c>
      <c r="Q70" s="8"/>
    </row>
    <row r="71" spans="2:17" ht="12.75" customHeight="1" x14ac:dyDescent="0.8">
      <c r="B71" s="9" t="s">
        <v>52</v>
      </c>
      <c r="C71" s="33" t="str">
        <f t="shared" si="0"/>
        <v>C2</v>
      </c>
      <c r="D71" s="6" t="s">
        <v>53</v>
      </c>
      <c r="E71" s="26">
        <v>0.71594321900000002</v>
      </c>
      <c r="F71" s="27">
        <v>7.2827453030531295</v>
      </c>
      <c r="G71" s="27">
        <v>2.2118368599715232</v>
      </c>
      <c r="H71" s="27">
        <v>25.495080280752557</v>
      </c>
      <c r="I71" s="25">
        <v>35.705605662777209</v>
      </c>
      <c r="J71" s="17"/>
      <c r="K71" s="26">
        <v>0.36054670079511159</v>
      </c>
      <c r="L71" s="27">
        <v>34.914544606494665</v>
      </c>
      <c r="M71" s="27">
        <v>0</v>
      </c>
      <c r="N71" s="27">
        <v>0.45294051535377072</v>
      </c>
      <c r="O71" s="27">
        <v>0.33811991299999999</v>
      </c>
      <c r="P71" s="25">
        <v>35.705605034848439</v>
      </c>
      <c r="Q71" s="8"/>
    </row>
    <row r="72" spans="2:17" ht="12.75" customHeight="1" x14ac:dyDescent="0.8">
      <c r="B72" s="9" t="s">
        <v>54</v>
      </c>
      <c r="C72" s="33" t="str">
        <f t="shared" si="0"/>
        <v>C3</v>
      </c>
      <c r="D72" s="6" t="s">
        <v>55</v>
      </c>
      <c r="E72" s="26">
        <v>388.37275912253233</v>
      </c>
      <c r="F72" s="27">
        <v>287.67482992324403</v>
      </c>
      <c r="G72" s="27">
        <v>212.20700677770876</v>
      </c>
      <c r="H72" s="27">
        <v>84.137103611511023</v>
      </c>
      <c r="I72" s="25">
        <v>972.3916994349961</v>
      </c>
      <c r="J72" s="17"/>
      <c r="K72" s="26">
        <v>253.58972155358555</v>
      </c>
      <c r="L72" s="27">
        <v>480.84085793108886</v>
      </c>
      <c r="M72" s="27">
        <v>0</v>
      </c>
      <c r="N72" s="27">
        <v>-1.9873543129496916</v>
      </c>
      <c r="O72" s="27">
        <v>98.399836493429987</v>
      </c>
      <c r="P72" s="25">
        <v>972.39169755120906</v>
      </c>
      <c r="Q72" s="8"/>
    </row>
    <row r="73" spans="2:17" ht="12.75" customHeight="1" x14ac:dyDescent="0.8">
      <c r="B73" s="9" t="s">
        <v>56</v>
      </c>
      <c r="C73" s="33" t="str">
        <f t="shared" si="0"/>
        <v>C4</v>
      </c>
      <c r="D73" s="6" t="s">
        <v>57</v>
      </c>
      <c r="E73" s="26">
        <v>244.58421785865306</v>
      </c>
      <c r="F73" s="27">
        <v>116.5842021837872</v>
      </c>
      <c r="G73" s="27">
        <v>55.779106002937112</v>
      </c>
      <c r="H73" s="27">
        <v>14.408599666593863</v>
      </c>
      <c r="I73" s="25">
        <v>431.35612571197123</v>
      </c>
      <c r="J73" s="17"/>
      <c r="K73" s="26">
        <v>187.86547749510765</v>
      </c>
      <c r="L73" s="27">
        <v>108.86768268237041</v>
      </c>
      <c r="M73" s="27">
        <v>0</v>
      </c>
      <c r="N73" s="27">
        <v>6.1833035624920951</v>
      </c>
      <c r="O73" s="27">
        <v>14.339304496550001</v>
      </c>
      <c r="P73" s="25">
        <v>431.35612382818522</v>
      </c>
      <c r="Q73" s="8"/>
    </row>
    <row r="74" spans="2:17" ht="12.75" customHeight="1" x14ac:dyDescent="0.8">
      <c r="B74" s="9" t="s">
        <v>58</v>
      </c>
      <c r="C74" s="33" t="str">
        <f t="shared" si="0"/>
        <v>C4</v>
      </c>
      <c r="D74" s="6" t="s">
        <v>59</v>
      </c>
      <c r="E74" s="26">
        <v>71.279254500308085</v>
      </c>
      <c r="F74" s="27">
        <v>18.565811874648258</v>
      </c>
      <c r="G74" s="27">
        <v>35.056874342420741</v>
      </c>
      <c r="H74" s="27">
        <v>1.718625733153665</v>
      </c>
      <c r="I74" s="25">
        <v>126.62056645053075</v>
      </c>
      <c r="J74" s="17"/>
      <c r="K74" s="26">
        <v>49.239143535359368</v>
      </c>
      <c r="L74" s="27">
        <v>2.7238550072696017</v>
      </c>
      <c r="M74" s="27">
        <v>0</v>
      </c>
      <c r="N74" s="27">
        <v>-0.51996267231002868</v>
      </c>
      <c r="O74" s="27">
        <v>4.8406780729000003</v>
      </c>
      <c r="P74" s="25">
        <v>126.62056582260233</v>
      </c>
      <c r="Q74" s="8"/>
    </row>
    <row r="75" spans="2:17" ht="12.75" customHeight="1" x14ac:dyDescent="0.8">
      <c r="B75" s="9" t="s">
        <v>60</v>
      </c>
      <c r="C75" s="33" t="str">
        <f t="shared" si="0"/>
        <v>C5</v>
      </c>
      <c r="D75" s="6" t="s">
        <v>61</v>
      </c>
      <c r="E75" s="26">
        <v>0</v>
      </c>
      <c r="F75" s="27">
        <v>973.69724134433443</v>
      </c>
      <c r="G75" s="27">
        <v>256.48531876037146</v>
      </c>
      <c r="H75" s="27">
        <v>138.39299892398159</v>
      </c>
      <c r="I75" s="25">
        <v>1368.5755590286874</v>
      </c>
      <c r="J75" s="17"/>
      <c r="K75" s="26">
        <v>0</v>
      </c>
      <c r="L75" s="27">
        <v>205.58497000977866</v>
      </c>
      <c r="M75" s="27">
        <v>0</v>
      </c>
      <c r="N75" s="27">
        <v>1.3210276776111385</v>
      </c>
      <c r="O75" s="27">
        <v>242.45036190053</v>
      </c>
      <c r="P75" s="25">
        <v>1368.5755584007591</v>
      </c>
      <c r="Q75" s="8"/>
    </row>
    <row r="76" spans="2:17" ht="12.75" customHeight="1" x14ac:dyDescent="0.8">
      <c r="B76" s="9" t="s">
        <v>62</v>
      </c>
      <c r="C76" s="33" t="str">
        <f t="shared" si="0"/>
        <v>C5</v>
      </c>
      <c r="D76" s="6" t="s">
        <v>63</v>
      </c>
      <c r="E76" s="26">
        <v>462.75718557125123</v>
      </c>
      <c r="F76" s="27">
        <v>495.48615060949453</v>
      </c>
      <c r="G76" s="27">
        <v>175.11855525747302</v>
      </c>
      <c r="H76" s="27">
        <v>30.153406891618001</v>
      </c>
      <c r="I76" s="25">
        <v>1163.5152983298367</v>
      </c>
      <c r="J76" s="17"/>
      <c r="K76" s="26">
        <v>307.30214111437283</v>
      </c>
      <c r="L76" s="27">
        <v>231.78481998805435</v>
      </c>
      <c r="M76" s="27">
        <v>0</v>
      </c>
      <c r="N76" s="27">
        <v>1.4822895840719221</v>
      </c>
      <c r="O76" s="27">
        <v>50.447968065449999</v>
      </c>
      <c r="P76" s="25">
        <v>1163.5152958181229</v>
      </c>
      <c r="Q76" s="8"/>
    </row>
    <row r="77" spans="2:17" ht="12.75" customHeight="1" x14ac:dyDescent="0.8">
      <c r="B77" s="9" t="s">
        <v>64</v>
      </c>
      <c r="C77" s="33" t="str">
        <f t="shared" si="0"/>
        <v>C5</v>
      </c>
      <c r="D77" s="6" t="s">
        <v>65</v>
      </c>
      <c r="E77" s="26">
        <v>34.606017369</v>
      </c>
      <c r="F77" s="27">
        <v>125.5356228363766</v>
      </c>
      <c r="G77" s="27">
        <v>41.792144396113393</v>
      </c>
      <c r="H77" s="27">
        <v>13.393278377804574</v>
      </c>
      <c r="I77" s="25">
        <v>215.3270629792946</v>
      </c>
      <c r="J77" s="17"/>
      <c r="K77" s="26">
        <v>26.173552236969087</v>
      </c>
      <c r="L77" s="27">
        <v>103.0867462607513</v>
      </c>
      <c r="M77" s="27">
        <v>0</v>
      </c>
      <c r="N77" s="27">
        <v>-1.9860885666926953</v>
      </c>
      <c r="O77" s="27">
        <v>7.3330648475200002</v>
      </c>
      <c r="P77" s="25">
        <v>215.32706235136575</v>
      </c>
      <c r="Q77" s="8"/>
    </row>
    <row r="78" spans="2:17" ht="12.75" customHeight="1" x14ac:dyDescent="0.8">
      <c r="B78" s="9" t="s">
        <v>66</v>
      </c>
      <c r="C78" s="33" t="str">
        <f t="shared" si="0"/>
        <v>C5</v>
      </c>
      <c r="D78" s="6" t="s">
        <v>67</v>
      </c>
      <c r="E78" s="26">
        <v>99.594351441381818</v>
      </c>
      <c r="F78" s="27">
        <v>148.66219061324455</v>
      </c>
      <c r="G78" s="27">
        <v>47.296318394387882</v>
      </c>
      <c r="H78" s="27">
        <v>24.325433678007975</v>
      </c>
      <c r="I78" s="25">
        <v>319.87829412702223</v>
      </c>
      <c r="J78" s="17"/>
      <c r="K78" s="26">
        <v>76.306278315196508</v>
      </c>
      <c r="L78" s="27">
        <v>181.58696227190063</v>
      </c>
      <c r="M78" s="27">
        <v>0</v>
      </c>
      <c r="N78" s="27">
        <v>-0.89323874577780926</v>
      </c>
      <c r="O78" s="27">
        <v>30.374498980839999</v>
      </c>
      <c r="P78" s="25">
        <v>319.8782922432361</v>
      </c>
      <c r="Q78" s="8"/>
    </row>
    <row r="79" spans="2:17" ht="12.75" customHeight="1" x14ac:dyDescent="0.8">
      <c r="B79" s="9" t="s">
        <v>68</v>
      </c>
      <c r="C79" s="33" t="str">
        <f t="shared" si="0"/>
        <v>C6</v>
      </c>
      <c r="D79" s="6" t="s">
        <v>69</v>
      </c>
      <c r="E79" s="26">
        <v>65.327141096009996</v>
      </c>
      <c r="F79" s="27">
        <v>64.569897943014396</v>
      </c>
      <c r="G79" s="27">
        <v>22.56313864728163</v>
      </c>
      <c r="H79" s="27">
        <v>6.0777298513156532</v>
      </c>
      <c r="I79" s="25">
        <v>158.53790753762166</v>
      </c>
      <c r="J79" s="17"/>
      <c r="K79" s="26">
        <v>54.814376763177769</v>
      </c>
      <c r="L79" s="27">
        <v>5.8832639337311683</v>
      </c>
      <c r="M79" s="27">
        <v>0</v>
      </c>
      <c r="N79" s="27">
        <v>-1.8457287032705165</v>
      </c>
      <c r="O79" s="27">
        <v>10.543872251820002</v>
      </c>
      <c r="P79" s="25">
        <v>158.53790690969311</v>
      </c>
      <c r="Q79" s="8"/>
    </row>
    <row r="80" spans="2:17" ht="12.75" customHeight="1" x14ac:dyDescent="0.8">
      <c r="B80" s="9" t="s">
        <v>70</v>
      </c>
      <c r="C80" s="33" t="str">
        <f t="shared" si="0"/>
        <v>C6</v>
      </c>
      <c r="D80" s="6" t="s">
        <v>71</v>
      </c>
      <c r="E80" s="26">
        <v>224.160987584205</v>
      </c>
      <c r="F80" s="27">
        <v>137.50720062369405</v>
      </c>
      <c r="G80" s="27">
        <v>62.821828235781531</v>
      </c>
      <c r="H80" s="27">
        <v>1.3354300362198133</v>
      </c>
      <c r="I80" s="25">
        <v>425.82544647990039</v>
      </c>
      <c r="J80" s="17"/>
      <c r="K80" s="26">
        <v>162.204930174954</v>
      </c>
      <c r="L80" s="27">
        <v>0</v>
      </c>
      <c r="M80" s="27">
        <v>0</v>
      </c>
      <c r="N80" s="27">
        <v>18.073676959781299</v>
      </c>
      <c r="O80" s="27">
        <v>59.406477908579994</v>
      </c>
      <c r="P80" s="25">
        <v>425.82544522404311</v>
      </c>
      <c r="Q80" s="8"/>
    </row>
    <row r="81" spans="2:17" ht="12.75" customHeight="1" x14ac:dyDescent="0.8">
      <c r="B81" s="9" t="s">
        <v>72</v>
      </c>
      <c r="C81" s="33" t="str">
        <f t="shared" si="0"/>
        <v>C6</v>
      </c>
      <c r="D81" s="6" t="s">
        <v>73</v>
      </c>
      <c r="E81" s="26">
        <v>120.22170434301</v>
      </c>
      <c r="F81" s="27">
        <v>60.521366491679387</v>
      </c>
      <c r="G81" s="27">
        <v>31.187886407289355</v>
      </c>
      <c r="H81" s="27">
        <v>1.9099289778709436</v>
      </c>
      <c r="I81" s="25">
        <v>213.84088621984969</v>
      </c>
      <c r="J81" s="17"/>
      <c r="K81" s="26">
        <v>70.825107534561809</v>
      </c>
      <c r="L81" s="27">
        <v>0</v>
      </c>
      <c r="M81" s="27">
        <v>0</v>
      </c>
      <c r="N81" s="27">
        <v>1.948886662651931</v>
      </c>
      <c r="O81" s="27">
        <v>7.5683030099999993</v>
      </c>
      <c r="P81" s="25">
        <v>213.84088559192116</v>
      </c>
      <c r="Q81" s="8"/>
    </row>
    <row r="82" spans="2:17" ht="12.75" customHeight="1" x14ac:dyDescent="0.8">
      <c r="B82" s="9" t="s">
        <v>74</v>
      </c>
      <c r="C82" s="33" t="str">
        <f t="shared" si="0"/>
        <v>C7</v>
      </c>
      <c r="D82" s="6" t="s">
        <v>75</v>
      </c>
      <c r="E82" s="26">
        <v>276.18263316140286</v>
      </c>
      <c r="F82" s="27">
        <v>2471.5909631003738</v>
      </c>
      <c r="G82" s="27">
        <v>477.28875424344596</v>
      </c>
      <c r="H82" s="27">
        <v>24.653996130998259</v>
      </c>
      <c r="I82" s="25">
        <v>3249.7163466362208</v>
      </c>
      <c r="J82" s="17"/>
      <c r="K82" s="26">
        <v>230.67919023106163</v>
      </c>
      <c r="L82" s="27">
        <v>35.719406307246075</v>
      </c>
      <c r="M82" s="27">
        <v>0</v>
      </c>
      <c r="N82" s="27">
        <v>364.74150950604627</v>
      </c>
      <c r="O82" s="27">
        <v>2124.7140633719</v>
      </c>
      <c r="P82" s="25">
        <v>3249.7163447524349</v>
      </c>
      <c r="Q82" s="8"/>
    </row>
    <row r="83" spans="2:17" ht="12.75" customHeight="1" x14ac:dyDescent="0.8">
      <c r="B83" s="9" t="s">
        <v>76</v>
      </c>
      <c r="C83" s="33" t="str">
        <f t="shared" si="0"/>
        <v>C7</v>
      </c>
      <c r="D83" s="6" t="s">
        <v>77</v>
      </c>
      <c r="E83" s="26">
        <v>41.663332998999998</v>
      </c>
      <c r="F83" s="27">
        <v>963.34473019298468</v>
      </c>
      <c r="G83" s="27">
        <v>343.80614920674816</v>
      </c>
      <c r="H83" s="27">
        <v>49.757816028499974</v>
      </c>
      <c r="I83" s="25">
        <v>1398.5720284272327</v>
      </c>
      <c r="J83" s="17"/>
      <c r="K83" s="26">
        <v>37.553191737608536</v>
      </c>
      <c r="L83" s="27">
        <v>126.5020996047266</v>
      </c>
      <c r="M83" s="27">
        <v>0</v>
      </c>
      <c r="N83" s="27">
        <v>1057.4682297568854</v>
      </c>
      <c r="O83" s="27">
        <v>63.867081884229997</v>
      </c>
      <c r="P83" s="25">
        <v>1398.5720227758745</v>
      </c>
      <c r="Q83" s="8"/>
    </row>
    <row r="84" spans="2:17" ht="12.75" customHeight="1" x14ac:dyDescent="0.8">
      <c r="B84" s="9" t="s">
        <v>78</v>
      </c>
      <c r="C84" s="33" t="str">
        <f t="shared" si="0"/>
        <v>C7</v>
      </c>
      <c r="D84" s="6" t="s">
        <v>79</v>
      </c>
      <c r="E84" s="26">
        <v>148.09178472800997</v>
      </c>
      <c r="F84" s="27">
        <v>466.2145540401371</v>
      </c>
      <c r="G84" s="27">
        <v>390.1780903544668</v>
      </c>
      <c r="H84" s="27">
        <v>62.467689505606394</v>
      </c>
      <c r="I84" s="25">
        <v>1066.9521186282202</v>
      </c>
      <c r="J84" s="17"/>
      <c r="K84" s="26">
        <v>80.840010427792734</v>
      </c>
      <c r="L84" s="27">
        <v>211.21464842468146</v>
      </c>
      <c r="M84" s="27">
        <v>0</v>
      </c>
      <c r="N84" s="27">
        <v>533.24976831556489</v>
      </c>
      <c r="O84" s="27">
        <v>22.675201182910001</v>
      </c>
      <c r="P84" s="25">
        <v>1066.9521167444341</v>
      </c>
      <c r="Q84" s="8"/>
    </row>
    <row r="85" spans="2:17" ht="12.75" customHeight="1" x14ac:dyDescent="0.8">
      <c r="B85" s="9" t="s">
        <v>80</v>
      </c>
      <c r="C85" s="33" t="str">
        <f t="shared" si="0"/>
        <v>C8</v>
      </c>
      <c r="D85" s="6" t="s">
        <v>81</v>
      </c>
      <c r="E85" s="26">
        <v>114.16093360664085</v>
      </c>
      <c r="F85" s="27">
        <v>33.323605072822318</v>
      </c>
      <c r="G85" s="27">
        <v>59.562692778539706</v>
      </c>
      <c r="H85" s="27">
        <v>16.9834180262405</v>
      </c>
      <c r="I85" s="25">
        <v>224.03064948424336</v>
      </c>
      <c r="J85" s="17"/>
      <c r="K85" s="26">
        <v>95.776487457731861</v>
      </c>
      <c r="L85" s="27">
        <v>156.70535504771374</v>
      </c>
      <c r="M85" s="27">
        <v>0</v>
      </c>
      <c r="N85" s="27">
        <v>42.334274437034217</v>
      </c>
      <c r="O85" s="27">
        <v>13.050019726590003</v>
      </c>
      <c r="P85" s="25">
        <v>224.03064822838616</v>
      </c>
      <c r="Q85" s="8"/>
    </row>
    <row r="86" spans="2:17" ht="12.75" customHeight="1" x14ac:dyDescent="0.8">
      <c r="B86" s="9" t="s">
        <v>82</v>
      </c>
      <c r="C86" s="33" t="str">
        <f t="shared" si="0"/>
        <v>C8</v>
      </c>
      <c r="D86" s="6" t="s">
        <v>83</v>
      </c>
      <c r="E86" s="26">
        <v>298.91152348432644</v>
      </c>
      <c r="F86" s="27">
        <v>233.38557464927553</v>
      </c>
      <c r="G86" s="27">
        <v>203.96704589419195</v>
      </c>
      <c r="H86" s="27">
        <v>12.506351732830664</v>
      </c>
      <c r="I86" s="25">
        <v>748.7704957606245</v>
      </c>
      <c r="J86" s="17"/>
      <c r="K86" s="26">
        <v>216.61212844708135</v>
      </c>
      <c r="L86" s="27">
        <v>114.10135455415701</v>
      </c>
      <c r="M86" s="27">
        <v>0</v>
      </c>
      <c r="N86" s="27">
        <v>122.27696614727093</v>
      </c>
      <c r="O86" s="27">
        <v>29.956104826320004</v>
      </c>
      <c r="P86" s="25">
        <v>748.77049324890993</v>
      </c>
      <c r="Q86" s="8"/>
    </row>
    <row r="87" spans="2:17" ht="12.75" customHeight="1" x14ac:dyDescent="0.8">
      <c r="B87" s="9" t="s">
        <v>84</v>
      </c>
      <c r="C87" s="33" t="str">
        <f t="shared" si="0"/>
        <v>C8</v>
      </c>
      <c r="D87" s="6" t="s">
        <v>85</v>
      </c>
      <c r="E87" s="26">
        <v>13.084424690000001</v>
      </c>
      <c r="F87" s="27">
        <v>30.833031128879583</v>
      </c>
      <c r="G87" s="27">
        <v>0</v>
      </c>
      <c r="H87" s="27">
        <v>0</v>
      </c>
      <c r="I87" s="25">
        <v>43.917455818879581</v>
      </c>
      <c r="J87" s="17"/>
      <c r="K87" s="26">
        <v>3.7956060328639798</v>
      </c>
      <c r="L87" s="27">
        <v>0</v>
      </c>
      <c r="M87" s="27">
        <v>0</v>
      </c>
      <c r="N87" s="27">
        <v>0</v>
      </c>
      <c r="O87" s="27">
        <v>0.43596188421359944</v>
      </c>
      <c r="P87" s="25">
        <v>43.917455190950974</v>
      </c>
      <c r="Q87" s="8"/>
    </row>
    <row r="88" spans="2:17" ht="12.75" customHeight="1" x14ac:dyDescent="0.8">
      <c r="B88" s="9" t="s">
        <v>86</v>
      </c>
      <c r="C88" s="33" t="str">
        <f t="shared" si="0"/>
        <v>D0</v>
      </c>
      <c r="D88" s="6" t="s">
        <v>87</v>
      </c>
      <c r="E88" s="26">
        <v>284.47428727231181</v>
      </c>
      <c r="F88" s="27">
        <v>19.796818472194996</v>
      </c>
      <c r="G88" s="27">
        <v>0</v>
      </c>
      <c r="H88" s="27">
        <v>-30.721304369429877</v>
      </c>
      <c r="I88" s="25">
        <v>273.54980137507692</v>
      </c>
      <c r="J88" s="17"/>
      <c r="K88" s="26">
        <v>137.81854573451812</v>
      </c>
      <c r="L88" s="27">
        <v>30.011983544910336</v>
      </c>
      <c r="M88" s="27">
        <v>0</v>
      </c>
      <c r="N88" s="27">
        <v>0</v>
      </c>
      <c r="O88" s="27">
        <v>1.6957530214599998</v>
      </c>
      <c r="P88" s="25">
        <v>273.54980074714808</v>
      </c>
      <c r="Q88" s="8"/>
    </row>
    <row r="89" spans="2:17" ht="12.75" customHeight="1" x14ac:dyDescent="0.8">
      <c r="B89" s="9" t="s">
        <v>88</v>
      </c>
      <c r="C89" s="33" t="str">
        <f t="shared" si="0"/>
        <v>E0</v>
      </c>
      <c r="D89" s="6" t="s">
        <v>89</v>
      </c>
      <c r="E89" s="26">
        <v>112.72686386367377</v>
      </c>
      <c r="F89" s="27">
        <v>0</v>
      </c>
      <c r="G89" s="27">
        <v>0</v>
      </c>
      <c r="H89" s="27">
        <v>2.0206321489325592</v>
      </c>
      <c r="I89" s="25">
        <v>114.74749601260633</v>
      </c>
      <c r="J89" s="17"/>
      <c r="K89" s="26">
        <v>76.951699344355802</v>
      </c>
      <c r="L89" s="27">
        <v>44.598555325478259</v>
      </c>
      <c r="M89" s="27">
        <v>0</v>
      </c>
      <c r="N89" s="27">
        <v>0</v>
      </c>
      <c r="O89" s="27">
        <v>0</v>
      </c>
      <c r="P89" s="25">
        <v>114.74749538467782</v>
      </c>
      <c r="Q89" s="8"/>
    </row>
    <row r="90" spans="2:17" ht="12.75" customHeight="1" x14ac:dyDescent="0.8">
      <c r="B90" s="9" t="s">
        <v>90</v>
      </c>
      <c r="C90" s="33" t="str">
        <f t="shared" si="0"/>
        <v>E0</v>
      </c>
      <c r="D90" s="6" t="s">
        <v>91</v>
      </c>
      <c r="E90" s="26">
        <v>59.031676157597438</v>
      </c>
      <c r="F90" s="27">
        <v>0</v>
      </c>
      <c r="G90" s="27">
        <v>0</v>
      </c>
      <c r="H90" s="27">
        <v>0</v>
      </c>
      <c r="I90" s="25">
        <v>59.031676157597438</v>
      </c>
      <c r="J90" s="17"/>
      <c r="K90" s="26">
        <v>16.606372294264514</v>
      </c>
      <c r="L90" s="27">
        <v>44.563173389781568</v>
      </c>
      <c r="M90" s="27">
        <v>0</v>
      </c>
      <c r="N90" s="27">
        <v>0</v>
      </c>
      <c r="O90" s="27">
        <v>0</v>
      </c>
      <c r="P90" s="25">
        <v>59.031675529668775</v>
      </c>
      <c r="Q90" s="8"/>
    </row>
    <row r="91" spans="2:17" ht="12.75" customHeight="1" x14ac:dyDescent="0.8">
      <c r="B91" s="9" t="s">
        <v>92</v>
      </c>
      <c r="C91" s="33" t="str">
        <f t="shared" si="0"/>
        <v>F0</v>
      </c>
      <c r="D91" s="6" t="s">
        <v>93</v>
      </c>
      <c r="E91" s="26">
        <v>7289.3070223813475</v>
      </c>
      <c r="F91" s="27">
        <v>31.427280609444512</v>
      </c>
      <c r="G91" s="27">
        <v>0</v>
      </c>
      <c r="H91" s="27">
        <v>0</v>
      </c>
      <c r="I91" s="25">
        <v>7320.7343029907925</v>
      </c>
      <c r="J91" s="17"/>
      <c r="K91" s="26">
        <v>5090.9252748601502</v>
      </c>
      <c r="L91" s="27">
        <v>58.117655499837817</v>
      </c>
      <c r="M91" s="27">
        <v>0</v>
      </c>
      <c r="N91" s="27">
        <v>4443.3545551575035</v>
      </c>
      <c r="O91" s="27">
        <v>6.1119698403588041</v>
      </c>
      <c r="P91" s="25">
        <v>7320.7343004790746</v>
      </c>
      <c r="Q91" s="8"/>
    </row>
    <row r="92" spans="2:17" ht="12.75" customHeight="1" x14ac:dyDescent="0.8">
      <c r="B92" s="9" t="s">
        <v>94</v>
      </c>
      <c r="C92" s="33" t="str">
        <f t="shared" si="0"/>
        <v>F0</v>
      </c>
      <c r="D92" s="6" t="s">
        <v>95</v>
      </c>
      <c r="E92" s="26">
        <v>0</v>
      </c>
      <c r="F92" s="27">
        <v>0</v>
      </c>
      <c r="G92" s="27">
        <v>0</v>
      </c>
      <c r="H92" s="27">
        <v>0</v>
      </c>
      <c r="I92" s="25">
        <v>0</v>
      </c>
      <c r="J92" s="17"/>
      <c r="K92" s="26">
        <v>0</v>
      </c>
      <c r="L92" s="27">
        <v>0</v>
      </c>
      <c r="M92" s="27">
        <v>0</v>
      </c>
      <c r="N92" s="27">
        <v>0</v>
      </c>
      <c r="O92" s="27">
        <v>0</v>
      </c>
      <c r="P92" s="25">
        <v>0</v>
      </c>
      <c r="Q92" s="8"/>
    </row>
    <row r="93" spans="2:17" ht="12.75" customHeight="1" x14ac:dyDescent="0.8">
      <c r="B93" s="9" t="s">
        <v>96</v>
      </c>
      <c r="C93" s="33" t="str">
        <f t="shared" si="0"/>
        <v>G1</v>
      </c>
      <c r="D93" s="6" t="s">
        <v>97</v>
      </c>
      <c r="E93" s="26">
        <v>228.96020148874959</v>
      </c>
      <c r="F93" s="27">
        <v>0</v>
      </c>
      <c r="G93" s="27">
        <v>0</v>
      </c>
      <c r="H93" s="27">
        <v>7.5490810070515471</v>
      </c>
      <c r="I93" s="25">
        <v>236.50928249580113</v>
      </c>
      <c r="J93" s="17"/>
      <c r="K93" s="26">
        <v>100.71732641433407</v>
      </c>
      <c r="L93" s="27">
        <v>51.059265577208024</v>
      </c>
      <c r="M93" s="27">
        <v>0</v>
      </c>
      <c r="N93" s="27">
        <v>0</v>
      </c>
      <c r="O93" s="27">
        <v>0</v>
      </c>
      <c r="P93" s="25">
        <v>236.5092818678724</v>
      </c>
      <c r="Q93" s="8"/>
    </row>
    <row r="94" spans="2:17" ht="12.75" customHeight="1" x14ac:dyDescent="0.8">
      <c r="B94" s="9" t="s">
        <v>98</v>
      </c>
      <c r="C94" s="33" t="str">
        <f t="shared" si="0"/>
        <v>G2</v>
      </c>
      <c r="D94" s="6" t="s">
        <v>99</v>
      </c>
      <c r="E94" s="26">
        <v>166.63715184634293</v>
      </c>
      <c r="F94" s="27">
        <v>0</v>
      </c>
      <c r="G94" s="27">
        <v>-166.63715184635944</v>
      </c>
      <c r="H94" s="27">
        <v>0</v>
      </c>
      <c r="I94" s="25">
        <v>-1.6530975699424742E-11</v>
      </c>
      <c r="J94" s="17"/>
      <c r="K94" s="26">
        <v>59.956705077372156</v>
      </c>
      <c r="L94" s="27">
        <v>0</v>
      </c>
      <c r="M94" s="27">
        <v>0</v>
      </c>
      <c r="N94" s="27">
        <v>0</v>
      </c>
      <c r="O94" s="27">
        <v>0</v>
      </c>
      <c r="P94" s="25">
        <v>0</v>
      </c>
      <c r="Q94" s="8"/>
    </row>
    <row r="95" spans="2:17" ht="12.75" customHeight="1" x14ac:dyDescent="0.8">
      <c r="B95" s="9" t="s">
        <v>100</v>
      </c>
      <c r="C95" s="33" t="str">
        <f t="shared" si="0"/>
        <v>G2</v>
      </c>
      <c r="D95" s="6" t="s">
        <v>101</v>
      </c>
      <c r="E95" s="26">
        <v>2137.6004194498928</v>
      </c>
      <c r="F95" s="27">
        <v>0</v>
      </c>
      <c r="G95" s="27">
        <v>-2137.6004194500256</v>
      </c>
      <c r="H95" s="27">
        <v>0</v>
      </c>
      <c r="I95" s="25">
        <v>-1.3271346688270568E-10</v>
      </c>
      <c r="J95" s="17"/>
      <c r="K95" s="26">
        <v>894.24030742632556</v>
      </c>
      <c r="L95" s="27">
        <v>0</v>
      </c>
      <c r="M95" s="27">
        <v>0</v>
      </c>
      <c r="N95" s="27">
        <v>0</v>
      </c>
      <c r="O95" s="27">
        <v>0</v>
      </c>
      <c r="P95" s="25">
        <v>0</v>
      </c>
      <c r="Q95" s="8"/>
    </row>
    <row r="96" spans="2:17" ht="12.75" customHeight="1" x14ac:dyDescent="0.8">
      <c r="B96" s="9" t="s">
        <v>102</v>
      </c>
      <c r="C96" s="33" t="str">
        <f t="shared" si="0"/>
        <v>G2</v>
      </c>
      <c r="D96" s="6" t="s">
        <v>103</v>
      </c>
      <c r="E96" s="26">
        <v>828.42545275502266</v>
      </c>
      <c r="F96" s="27">
        <v>0</v>
      </c>
      <c r="G96" s="27">
        <v>-828.42545275512202</v>
      </c>
      <c r="H96" s="27">
        <v>0</v>
      </c>
      <c r="I96" s="25">
        <v>-9.9302269518375394E-11</v>
      </c>
      <c r="J96" s="17"/>
      <c r="K96" s="26">
        <v>356.29968912974732</v>
      </c>
      <c r="L96" s="27">
        <v>0</v>
      </c>
      <c r="M96" s="27">
        <v>0</v>
      </c>
      <c r="N96" s="27">
        <v>0</v>
      </c>
      <c r="O96" s="27">
        <v>0</v>
      </c>
      <c r="P96" s="25">
        <v>0</v>
      </c>
      <c r="Q96" s="8"/>
    </row>
    <row r="97" spans="2:17" ht="12.75" customHeight="1" x14ac:dyDescent="0.8">
      <c r="B97" s="9" t="s">
        <v>104</v>
      </c>
      <c r="C97" s="33" t="str">
        <f t="shared" si="0"/>
        <v>H1</v>
      </c>
      <c r="D97" s="6" t="s">
        <v>105</v>
      </c>
      <c r="E97" s="26">
        <v>1474.6497034137888</v>
      </c>
      <c r="F97" s="27">
        <v>-433.3699640589831</v>
      </c>
      <c r="G97" s="27">
        <v>0</v>
      </c>
      <c r="H97" s="27">
        <v>19.784850856285505</v>
      </c>
      <c r="I97" s="25">
        <v>1061.0645902110912</v>
      </c>
      <c r="J97" s="17"/>
      <c r="K97" s="26">
        <v>396.20609746466391</v>
      </c>
      <c r="L97" s="27">
        <v>130.36642164871651</v>
      </c>
      <c r="M97" s="27">
        <v>0</v>
      </c>
      <c r="N97" s="27">
        <v>0</v>
      </c>
      <c r="O97" s="27">
        <v>171.14513902946987</v>
      </c>
      <c r="P97" s="25">
        <v>1061.0645889552356</v>
      </c>
      <c r="Q97" s="8"/>
    </row>
    <row r="98" spans="2:17" ht="12.75" customHeight="1" x14ac:dyDescent="0.8">
      <c r="B98" s="9" t="s">
        <v>106</v>
      </c>
      <c r="C98" s="33" t="str">
        <f t="shared" si="0"/>
        <v>H2</v>
      </c>
      <c r="D98" s="6" t="s">
        <v>107</v>
      </c>
      <c r="E98" s="26">
        <v>689.22049725130921</v>
      </c>
      <c r="F98" s="27">
        <v>71.012242438990043</v>
      </c>
      <c r="G98" s="27">
        <v>0</v>
      </c>
      <c r="H98" s="27">
        <v>-294.4569321145222</v>
      </c>
      <c r="I98" s="25">
        <v>465.77580757577704</v>
      </c>
      <c r="J98" s="17"/>
      <c r="K98" s="26">
        <v>273.93326195434884</v>
      </c>
      <c r="L98" s="27">
        <v>14.751407588007234</v>
      </c>
      <c r="M98" s="27">
        <v>0</v>
      </c>
      <c r="N98" s="27">
        <v>0</v>
      </c>
      <c r="O98" s="27">
        <v>245.62253425205685</v>
      </c>
      <c r="P98" s="25">
        <v>465.77580631991958</v>
      </c>
      <c r="Q98" s="8"/>
    </row>
    <row r="99" spans="2:17" ht="12.75" customHeight="1" x14ac:dyDescent="0.8">
      <c r="B99" s="9" t="s">
        <v>108</v>
      </c>
      <c r="C99" s="33" t="str">
        <f t="shared" si="0"/>
        <v>H3</v>
      </c>
      <c r="D99" s="6" t="s">
        <v>109</v>
      </c>
      <c r="E99" s="26">
        <v>250.69253165046032</v>
      </c>
      <c r="F99" s="27">
        <v>0</v>
      </c>
      <c r="G99" s="27">
        <v>0</v>
      </c>
      <c r="H99" s="27">
        <v>0.63188760841771596</v>
      </c>
      <c r="I99" s="25">
        <v>251.32441925887804</v>
      </c>
      <c r="J99" s="17"/>
      <c r="K99" s="26">
        <v>112.12351778109338</v>
      </c>
      <c r="L99" s="27">
        <v>2.4373612747198679</v>
      </c>
      <c r="M99" s="27">
        <v>0</v>
      </c>
      <c r="N99" s="27">
        <v>0</v>
      </c>
      <c r="O99" s="27">
        <v>0</v>
      </c>
      <c r="P99" s="25">
        <v>251.32441863094908</v>
      </c>
      <c r="Q99" s="8"/>
    </row>
    <row r="100" spans="2:17" ht="12.75" customHeight="1" x14ac:dyDescent="0.8">
      <c r="B100" s="9" t="s">
        <v>110</v>
      </c>
      <c r="C100" s="33" t="str">
        <f t="shared" si="0"/>
        <v>H3</v>
      </c>
      <c r="D100" s="6" t="s">
        <v>111</v>
      </c>
      <c r="E100" s="26">
        <v>19.059257967943491</v>
      </c>
      <c r="F100" s="27">
        <v>0.28273583290839888</v>
      </c>
      <c r="G100" s="27">
        <v>0</v>
      </c>
      <c r="H100" s="27">
        <v>0</v>
      </c>
      <c r="I100" s="25">
        <v>19.341993800851892</v>
      </c>
      <c r="J100" s="17"/>
      <c r="K100" s="26">
        <v>7.617237920929866</v>
      </c>
      <c r="L100" s="27">
        <v>0.9573326062641111</v>
      </c>
      <c r="M100" s="27">
        <v>0</v>
      </c>
      <c r="N100" s="27">
        <v>0</v>
      </c>
      <c r="O100" s="27">
        <v>1.6678152664735748</v>
      </c>
      <c r="P100" s="25">
        <v>19.341993172923335</v>
      </c>
      <c r="Q100" s="8"/>
    </row>
    <row r="101" spans="2:17" ht="12.75" customHeight="1" x14ac:dyDescent="0.8">
      <c r="B101" s="9" t="s">
        <v>112</v>
      </c>
      <c r="C101" s="33" t="str">
        <f t="shared" si="0"/>
        <v>I0</v>
      </c>
      <c r="D101" s="6" t="s">
        <v>113</v>
      </c>
      <c r="E101" s="26">
        <v>1475.646094019256</v>
      </c>
      <c r="F101" s="27">
        <v>330.38633684669009</v>
      </c>
      <c r="G101" s="27">
        <v>0</v>
      </c>
      <c r="H101" s="27">
        <v>70.114993288861029</v>
      </c>
      <c r="I101" s="25">
        <v>1876.1474241548074</v>
      </c>
      <c r="J101" s="17"/>
      <c r="K101" s="26">
        <v>794.93926918750708</v>
      </c>
      <c r="L101" s="27">
        <v>1134.7021623391304</v>
      </c>
      <c r="M101" s="27">
        <v>0</v>
      </c>
      <c r="N101" s="27">
        <v>0</v>
      </c>
      <c r="O101" s="27">
        <v>495.91549582205505</v>
      </c>
      <c r="P101" s="25">
        <v>1876.147422898948</v>
      </c>
      <c r="Q101" s="8"/>
    </row>
    <row r="102" spans="2:17" ht="12.75" customHeight="1" x14ac:dyDescent="0.8">
      <c r="B102" s="9" t="s">
        <v>114</v>
      </c>
      <c r="C102" s="33" t="str">
        <f t="shared" si="0"/>
        <v>J1</v>
      </c>
      <c r="D102" s="6" t="s">
        <v>115</v>
      </c>
      <c r="E102" s="26">
        <v>211.40758542110305</v>
      </c>
      <c r="F102" s="27">
        <v>9.1099890296179726</v>
      </c>
      <c r="G102" s="27">
        <v>0</v>
      </c>
      <c r="H102" s="27">
        <v>12.437457997301234</v>
      </c>
      <c r="I102" s="25">
        <v>232.95503244802228</v>
      </c>
      <c r="J102" s="17"/>
      <c r="K102" s="26">
        <v>162.83147578985762</v>
      </c>
      <c r="L102" s="27">
        <v>122.99298149285249</v>
      </c>
      <c r="M102" s="27">
        <v>0</v>
      </c>
      <c r="N102" s="27">
        <v>0</v>
      </c>
      <c r="O102" s="27">
        <v>0.24810108061</v>
      </c>
      <c r="P102" s="25">
        <v>232.95503056423621</v>
      </c>
      <c r="Q102" s="8"/>
    </row>
    <row r="103" spans="2:17" ht="12.75" customHeight="1" x14ac:dyDescent="0.8">
      <c r="B103" s="9" t="s">
        <v>116</v>
      </c>
      <c r="C103" s="33" t="str">
        <f t="shared" si="0"/>
        <v>J2</v>
      </c>
      <c r="D103" s="6" t="s">
        <v>117</v>
      </c>
      <c r="E103" s="26">
        <v>314.20700647845723</v>
      </c>
      <c r="F103" s="27">
        <v>32.24364021698905</v>
      </c>
      <c r="G103" s="27">
        <v>0</v>
      </c>
      <c r="H103" s="27">
        <v>19.862543555411442</v>
      </c>
      <c r="I103" s="25">
        <v>366.31319025085776</v>
      </c>
      <c r="J103" s="17"/>
      <c r="K103" s="26">
        <v>67.70430517342848</v>
      </c>
      <c r="L103" s="27">
        <v>33.416491377933689</v>
      </c>
      <c r="M103" s="27">
        <v>0</v>
      </c>
      <c r="N103" s="27">
        <v>0</v>
      </c>
      <c r="O103" s="27">
        <v>45.447037315601435</v>
      </c>
      <c r="P103" s="25">
        <v>366.31318962292949</v>
      </c>
      <c r="Q103" s="8"/>
    </row>
    <row r="104" spans="2:17" ht="12.75" customHeight="1" x14ac:dyDescent="0.8">
      <c r="B104" s="9" t="s">
        <v>118</v>
      </c>
      <c r="C104" s="33" t="str">
        <f t="shared" si="0"/>
        <v>J3</v>
      </c>
      <c r="D104" s="6" t="s">
        <v>119</v>
      </c>
      <c r="E104" s="26">
        <v>186.71987992199999</v>
      </c>
      <c r="F104" s="27">
        <v>0</v>
      </c>
      <c r="G104" s="27">
        <v>0</v>
      </c>
      <c r="H104" s="27">
        <v>0</v>
      </c>
      <c r="I104" s="25">
        <v>186.71987992199999</v>
      </c>
      <c r="J104" s="17"/>
      <c r="K104" s="26">
        <v>48.763346074791549</v>
      </c>
      <c r="L104" s="27">
        <v>0</v>
      </c>
      <c r="M104" s="27">
        <v>0</v>
      </c>
      <c r="N104" s="27">
        <v>0</v>
      </c>
      <c r="O104" s="27">
        <v>0</v>
      </c>
      <c r="P104" s="25">
        <v>186.71987929407121</v>
      </c>
      <c r="Q104" s="8"/>
    </row>
    <row r="105" spans="2:17" ht="12.75" customHeight="1" x14ac:dyDescent="0.8">
      <c r="B105" s="9" t="s">
        <v>120</v>
      </c>
      <c r="C105" s="33" t="str">
        <f t="shared" si="0"/>
        <v>K0</v>
      </c>
      <c r="D105" s="6" t="s">
        <v>121</v>
      </c>
      <c r="E105" s="26">
        <v>256.27686142459879</v>
      </c>
      <c r="F105" s="27">
        <v>35.746926352002554</v>
      </c>
      <c r="G105" s="27">
        <v>0</v>
      </c>
      <c r="H105" s="27">
        <v>0</v>
      </c>
      <c r="I105" s="25">
        <v>292.02378777660135</v>
      </c>
      <c r="J105" s="17"/>
      <c r="K105" s="26">
        <v>48.964714605307485</v>
      </c>
      <c r="L105" s="27">
        <v>69.982461090750064</v>
      </c>
      <c r="M105" s="27">
        <v>60.150044233821411</v>
      </c>
      <c r="N105" s="27">
        <v>0</v>
      </c>
      <c r="O105" s="27">
        <v>43.169129913222605</v>
      </c>
      <c r="P105" s="25">
        <v>292.0237858928154</v>
      </c>
      <c r="Q105" s="8"/>
    </row>
    <row r="106" spans="2:17" ht="12.75" customHeight="1" x14ac:dyDescent="0.8">
      <c r="B106" s="9" t="s">
        <v>122</v>
      </c>
      <c r="C106" s="33" t="str">
        <f t="shared" si="0"/>
        <v>K0</v>
      </c>
      <c r="D106" s="6" t="s">
        <v>123</v>
      </c>
      <c r="E106" s="26">
        <v>161.34256493024276</v>
      </c>
      <c r="F106" s="27">
        <v>-45.778935112667355</v>
      </c>
      <c r="G106" s="27">
        <v>0</v>
      </c>
      <c r="H106" s="27">
        <v>5.5981623273630863</v>
      </c>
      <c r="I106" s="25">
        <v>121.16179214493847</v>
      </c>
      <c r="J106" s="17"/>
      <c r="K106" s="26">
        <v>53.208184398369021</v>
      </c>
      <c r="L106" s="27">
        <v>35.429855828240122</v>
      </c>
      <c r="M106" s="27">
        <v>0</v>
      </c>
      <c r="N106" s="27">
        <v>0</v>
      </c>
      <c r="O106" s="27">
        <v>0.6167716265052785</v>
      </c>
      <c r="P106" s="25">
        <v>121.16179151701003</v>
      </c>
      <c r="Q106" s="8"/>
    </row>
    <row r="107" spans="2:17" ht="12.75" customHeight="1" x14ac:dyDescent="0.8">
      <c r="B107" s="9" t="s">
        <v>124</v>
      </c>
      <c r="C107" s="33" t="str">
        <f t="shared" si="0"/>
        <v>K0</v>
      </c>
      <c r="D107" s="6" t="s">
        <v>125</v>
      </c>
      <c r="E107" s="26">
        <v>446.50247840439147</v>
      </c>
      <c r="F107" s="27">
        <v>0</v>
      </c>
      <c r="G107" s="27">
        <v>0</v>
      </c>
      <c r="H107" s="27">
        <v>0.25800101701019801</v>
      </c>
      <c r="I107" s="25">
        <v>446.76047942140161</v>
      </c>
      <c r="J107" s="17"/>
      <c r="K107" s="26">
        <v>263.93827845258284</v>
      </c>
      <c r="L107" s="27">
        <v>0.98587020781691936</v>
      </c>
      <c r="M107" s="27">
        <v>0</v>
      </c>
      <c r="N107" s="27">
        <v>0</v>
      </c>
      <c r="O107" s="27">
        <v>0</v>
      </c>
      <c r="P107" s="25">
        <v>446.76047879347306</v>
      </c>
      <c r="Q107" s="8"/>
    </row>
    <row r="108" spans="2:17" ht="12.75" customHeight="1" x14ac:dyDescent="0.8">
      <c r="B108" s="9" t="s">
        <v>126</v>
      </c>
      <c r="C108" s="33" t="str">
        <f t="shared" si="0"/>
        <v>L0</v>
      </c>
      <c r="D108" s="6" t="s">
        <v>127</v>
      </c>
      <c r="E108" s="26">
        <v>945.23548086125152</v>
      </c>
      <c r="F108" s="27">
        <v>25.051316604416865</v>
      </c>
      <c r="G108" s="27">
        <v>0</v>
      </c>
      <c r="H108" s="27">
        <v>0</v>
      </c>
      <c r="I108" s="25">
        <v>970.28679746566831</v>
      </c>
      <c r="J108" s="17"/>
      <c r="K108" s="26">
        <v>10.500030000000171</v>
      </c>
      <c r="L108" s="27">
        <v>829.30622476730753</v>
      </c>
      <c r="M108" s="27">
        <v>0</v>
      </c>
      <c r="N108" s="27">
        <v>0</v>
      </c>
      <c r="O108" s="27">
        <v>79.751267517669618</v>
      </c>
      <c r="P108" s="25">
        <v>970.28679620981006</v>
      </c>
      <c r="Q108" s="8"/>
    </row>
    <row r="109" spans="2:17" ht="12.75" customHeight="1" x14ac:dyDescent="0.8">
      <c r="B109" s="9" t="s">
        <v>128</v>
      </c>
      <c r="C109" s="33" t="str">
        <f t="shared" si="0"/>
        <v>L0</v>
      </c>
      <c r="D109" s="6" t="s">
        <v>129</v>
      </c>
      <c r="E109" s="26">
        <v>470.48983688534736</v>
      </c>
      <c r="F109" s="27">
        <v>0</v>
      </c>
      <c r="G109" s="27">
        <v>0</v>
      </c>
      <c r="H109" s="27">
        <v>29.980429783375389</v>
      </c>
      <c r="I109" s="25">
        <v>500.47026666872279</v>
      </c>
      <c r="J109" s="17"/>
      <c r="K109" s="26">
        <v>33.291333455554799</v>
      </c>
      <c r="L109" s="27">
        <v>243.49808282060121</v>
      </c>
      <c r="M109" s="27">
        <v>0</v>
      </c>
      <c r="N109" s="27">
        <v>0</v>
      </c>
      <c r="O109" s="27">
        <v>0</v>
      </c>
      <c r="P109" s="25">
        <v>500.47026604079406</v>
      </c>
      <c r="Q109" s="8"/>
    </row>
    <row r="110" spans="2:17" ht="12.75" customHeight="1" x14ac:dyDescent="0.8">
      <c r="B110" s="9" t="s">
        <v>130</v>
      </c>
      <c r="C110" s="33" t="str">
        <f t="shared" ref="C110:C124" si="1">LEFT(B110,2)</f>
        <v>M0</v>
      </c>
      <c r="D110" s="6" t="s">
        <v>131</v>
      </c>
      <c r="E110" s="26">
        <v>276.97039466944398</v>
      </c>
      <c r="F110" s="27">
        <v>0</v>
      </c>
      <c r="G110" s="27">
        <v>0</v>
      </c>
      <c r="H110" s="27">
        <v>0</v>
      </c>
      <c r="I110" s="25">
        <v>276.97039466944398</v>
      </c>
      <c r="J110" s="17"/>
      <c r="K110" s="26">
        <v>87.50684213480335</v>
      </c>
      <c r="L110" s="27">
        <v>2.1481363161420188</v>
      </c>
      <c r="M110" s="27">
        <v>0</v>
      </c>
      <c r="N110" s="27">
        <v>0</v>
      </c>
      <c r="O110" s="27">
        <v>0</v>
      </c>
      <c r="P110" s="25">
        <v>276.97039278565819</v>
      </c>
      <c r="Q110" s="8"/>
    </row>
    <row r="111" spans="2:17" ht="12.75" customHeight="1" x14ac:dyDescent="0.8">
      <c r="B111" s="9" t="s">
        <v>132</v>
      </c>
      <c r="C111" s="33" t="str">
        <f t="shared" si="1"/>
        <v>M0</v>
      </c>
      <c r="D111" s="6" t="s">
        <v>133</v>
      </c>
      <c r="E111" s="26">
        <v>135.421108782</v>
      </c>
      <c r="F111" s="27">
        <v>1.9830004694657757E-3</v>
      </c>
      <c r="G111" s="27">
        <v>0</v>
      </c>
      <c r="H111" s="27">
        <v>0</v>
      </c>
      <c r="I111" s="25">
        <v>135.42309178246944</v>
      </c>
      <c r="J111" s="17"/>
      <c r="K111" s="26">
        <v>70.512969968390806</v>
      </c>
      <c r="L111" s="27">
        <v>0</v>
      </c>
      <c r="M111" s="27">
        <v>0</v>
      </c>
      <c r="N111" s="27">
        <v>0</v>
      </c>
      <c r="O111" s="27">
        <v>0</v>
      </c>
      <c r="P111" s="25">
        <v>135.42309115454083</v>
      </c>
      <c r="Q111" s="8"/>
    </row>
    <row r="112" spans="2:17" ht="12.75" customHeight="1" x14ac:dyDescent="0.8">
      <c r="B112" s="9" t="s">
        <v>134</v>
      </c>
      <c r="C112" s="33" t="str">
        <f t="shared" si="1"/>
        <v>M0</v>
      </c>
      <c r="D112" s="6" t="s">
        <v>135</v>
      </c>
      <c r="E112" s="26">
        <v>532.24814334167388</v>
      </c>
      <c r="F112" s="27">
        <v>0.44322674970228859</v>
      </c>
      <c r="G112" s="27">
        <v>0</v>
      </c>
      <c r="H112" s="27">
        <v>2.5261876276706854</v>
      </c>
      <c r="I112" s="25">
        <v>535.21755771904679</v>
      </c>
      <c r="J112" s="17"/>
      <c r="K112" s="26">
        <v>198.8877630958234</v>
      </c>
      <c r="L112" s="27">
        <v>18.113125663918499</v>
      </c>
      <c r="M112" s="27">
        <v>0</v>
      </c>
      <c r="N112" s="27">
        <v>0</v>
      </c>
      <c r="O112" s="27">
        <v>0.89797924387593819</v>
      </c>
      <c r="P112" s="25">
        <v>535.21755520733302</v>
      </c>
      <c r="Q112" s="8"/>
    </row>
    <row r="113" spans="2:17" ht="12.75" customHeight="1" x14ac:dyDescent="0.8">
      <c r="B113" s="9" t="s">
        <v>136</v>
      </c>
      <c r="C113" s="33" t="str">
        <f t="shared" si="1"/>
        <v>N0</v>
      </c>
      <c r="D113" s="6" t="s">
        <v>137</v>
      </c>
      <c r="E113" s="26">
        <v>209.59453545261695</v>
      </c>
      <c r="F113" s="27">
        <v>0</v>
      </c>
      <c r="G113" s="27">
        <v>0</v>
      </c>
      <c r="H113" s="27">
        <v>19.078912953709128</v>
      </c>
      <c r="I113" s="25">
        <v>228.67344840632609</v>
      </c>
      <c r="J113" s="17"/>
      <c r="K113" s="26">
        <v>98.034977669327532</v>
      </c>
      <c r="L113" s="27">
        <v>228.67344777839691</v>
      </c>
      <c r="M113" s="27">
        <v>0</v>
      </c>
      <c r="N113" s="27">
        <v>0</v>
      </c>
      <c r="O113" s="27">
        <v>0</v>
      </c>
      <c r="P113" s="25">
        <v>228.67344777839691</v>
      </c>
      <c r="Q113" s="8"/>
    </row>
    <row r="114" spans="2:17" ht="12.75" customHeight="1" x14ac:dyDescent="0.8">
      <c r="B114" s="9" t="s">
        <v>138</v>
      </c>
      <c r="C114" s="33" t="str">
        <f t="shared" si="1"/>
        <v>N0</v>
      </c>
      <c r="D114" s="6" t="s">
        <v>139</v>
      </c>
      <c r="E114" s="26">
        <v>1013.9149312321953</v>
      </c>
      <c r="F114" s="27">
        <v>26.996256762900266</v>
      </c>
      <c r="G114" s="27">
        <v>0</v>
      </c>
      <c r="H114" s="27">
        <v>2.7258271161811924</v>
      </c>
      <c r="I114" s="25">
        <v>1043.6370151112767</v>
      </c>
      <c r="J114" s="17"/>
      <c r="K114" s="26">
        <v>285.32819325023326</v>
      </c>
      <c r="L114" s="27">
        <v>12.651589068315673</v>
      </c>
      <c r="M114" s="27">
        <v>0</v>
      </c>
      <c r="N114" s="27">
        <v>0</v>
      </c>
      <c r="O114" s="27">
        <v>5.5664793771897623</v>
      </c>
      <c r="P114" s="25">
        <v>1043.6370125995618</v>
      </c>
      <c r="Q114" s="8"/>
    </row>
    <row r="115" spans="2:17" ht="12.75" customHeight="1" x14ac:dyDescent="0.8">
      <c r="B115" s="9" t="s">
        <v>140</v>
      </c>
      <c r="C115" s="33" t="str">
        <f t="shared" si="1"/>
        <v>O0</v>
      </c>
      <c r="D115" s="6" t="s">
        <v>141</v>
      </c>
      <c r="E115" s="26">
        <v>2440.3083272933673</v>
      </c>
      <c r="F115" s="27">
        <v>0</v>
      </c>
      <c r="G115" s="27">
        <v>0</v>
      </c>
      <c r="H115" s="27">
        <v>0</v>
      </c>
      <c r="I115" s="25">
        <v>2440.3083272933673</v>
      </c>
      <c r="J115" s="17"/>
      <c r="K115" s="26">
        <v>1614.6213314696781</v>
      </c>
      <c r="L115" s="27">
        <v>48.78356867735544</v>
      </c>
      <c r="M115" s="27">
        <v>2190.2630585866345</v>
      </c>
      <c r="N115" s="27">
        <v>0</v>
      </c>
      <c r="O115" s="27">
        <v>201.26169877351998</v>
      </c>
      <c r="P115" s="25">
        <v>2440.3083260375101</v>
      </c>
      <c r="Q115" s="8"/>
    </row>
    <row r="116" spans="2:17" ht="12.75" customHeight="1" x14ac:dyDescent="0.8">
      <c r="B116" s="9" t="s">
        <v>142</v>
      </c>
      <c r="C116" s="33" t="str">
        <f t="shared" si="1"/>
        <v>P0</v>
      </c>
      <c r="D116" s="6" t="s">
        <v>143</v>
      </c>
      <c r="E116" s="26">
        <v>1073.8505364223697</v>
      </c>
      <c r="F116" s="27">
        <v>0</v>
      </c>
      <c r="G116" s="27">
        <v>0</v>
      </c>
      <c r="H116" s="27">
        <v>18.602129462272551</v>
      </c>
      <c r="I116" s="25">
        <v>1092.4526658846423</v>
      </c>
      <c r="J116" s="17"/>
      <c r="K116" s="26">
        <v>397.5571399639469</v>
      </c>
      <c r="L116" s="27">
        <v>203.13213541189458</v>
      </c>
      <c r="M116" s="27">
        <v>888.79913457120108</v>
      </c>
      <c r="N116" s="27">
        <v>0</v>
      </c>
      <c r="O116" s="27">
        <v>0</v>
      </c>
      <c r="P116" s="25">
        <v>1092.4526640008557</v>
      </c>
      <c r="Q116" s="8"/>
    </row>
    <row r="117" spans="2:17" ht="12.75" customHeight="1" x14ac:dyDescent="0.8">
      <c r="B117" s="9" t="s">
        <v>144</v>
      </c>
      <c r="C117" s="33" t="str">
        <f t="shared" si="1"/>
        <v>Q0</v>
      </c>
      <c r="D117" s="6" t="s">
        <v>145</v>
      </c>
      <c r="E117" s="26">
        <v>416.27470624847518</v>
      </c>
      <c r="F117" s="27">
        <v>0</v>
      </c>
      <c r="G117" s="27">
        <v>0</v>
      </c>
      <c r="H117" s="27">
        <v>6.0748204871194087</v>
      </c>
      <c r="I117" s="25">
        <v>422.34952673559462</v>
      </c>
      <c r="J117" s="17"/>
      <c r="K117" s="26">
        <v>222.31229061461633</v>
      </c>
      <c r="L117" s="27">
        <v>64.671947412027777</v>
      </c>
      <c r="M117" s="27">
        <v>350.98242430486459</v>
      </c>
      <c r="N117" s="27">
        <v>0</v>
      </c>
      <c r="O117" s="27">
        <v>0</v>
      </c>
      <c r="P117" s="25">
        <v>422.3495261076655</v>
      </c>
      <c r="Q117" s="8"/>
    </row>
    <row r="118" spans="2:17" ht="12.75" customHeight="1" x14ac:dyDescent="0.8">
      <c r="B118" s="9" t="s">
        <v>146</v>
      </c>
      <c r="C118" s="33" t="str">
        <f t="shared" si="1"/>
        <v>Q0</v>
      </c>
      <c r="D118" s="6" t="s">
        <v>147</v>
      </c>
      <c r="E118" s="26">
        <v>106.94211449731394</v>
      </c>
      <c r="F118" s="27">
        <v>0</v>
      </c>
      <c r="G118" s="27">
        <v>0</v>
      </c>
      <c r="H118" s="27">
        <v>1.326760715555501</v>
      </c>
      <c r="I118" s="25">
        <v>108.26887521286943</v>
      </c>
      <c r="J118" s="17"/>
      <c r="K118" s="26">
        <v>52.333833217467308</v>
      </c>
      <c r="L118" s="27">
        <v>13.091027143019275</v>
      </c>
      <c r="M118" s="27">
        <v>95.177847441921784</v>
      </c>
      <c r="N118" s="27">
        <v>0</v>
      </c>
      <c r="O118" s="27">
        <v>0</v>
      </c>
      <c r="P118" s="25">
        <v>108.26887458494106</v>
      </c>
      <c r="Q118" s="8"/>
    </row>
    <row r="119" spans="2:17" ht="12.75" customHeight="1" x14ac:dyDescent="0.8">
      <c r="B119" s="9" t="s">
        <v>148</v>
      </c>
      <c r="C119" s="33" t="str">
        <f t="shared" si="1"/>
        <v>R0</v>
      </c>
      <c r="D119" s="6" t="s">
        <v>149</v>
      </c>
      <c r="E119" s="26">
        <v>49.437731016000008</v>
      </c>
      <c r="F119" s="27">
        <v>16.420323857661426</v>
      </c>
      <c r="G119" s="27">
        <v>0</v>
      </c>
      <c r="H119" s="27">
        <v>0.99660386025808834</v>
      </c>
      <c r="I119" s="25">
        <v>66.854658733919521</v>
      </c>
      <c r="J119" s="17"/>
      <c r="K119" s="26">
        <v>23.514845448589849</v>
      </c>
      <c r="L119" s="27">
        <v>32.914024463756085</v>
      </c>
      <c r="M119" s="27">
        <v>0</v>
      </c>
      <c r="N119" s="27">
        <v>0</v>
      </c>
      <c r="O119" s="27">
        <v>33.940633014306222</v>
      </c>
      <c r="P119" s="25">
        <v>66.854657478062308</v>
      </c>
      <c r="Q119" s="8"/>
    </row>
    <row r="120" spans="2:17" ht="12.75" customHeight="1" x14ac:dyDescent="0.8">
      <c r="B120" s="9" t="s">
        <v>150</v>
      </c>
      <c r="C120" s="33" t="str">
        <f t="shared" si="1"/>
        <v>R0</v>
      </c>
      <c r="D120" s="6" t="s">
        <v>151</v>
      </c>
      <c r="E120" s="26">
        <v>277.96175844002005</v>
      </c>
      <c r="F120" s="27">
        <v>76.033919837061489</v>
      </c>
      <c r="G120" s="27">
        <v>0</v>
      </c>
      <c r="H120" s="27">
        <v>13.117250857104112</v>
      </c>
      <c r="I120" s="25">
        <v>367.11292913418566</v>
      </c>
      <c r="J120" s="17"/>
      <c r="K120" s="26">
        <v>132.82251286830871</v>
      </c>
      <c r="L120" s="27">
        <v>180.65486516681824</v>
      </c>
      <c r="M120" s="27">
        <v>0</v>
      </c>
      <c r="N120" s="27">
        <v>2.9733098509825553E-2</v>
      </c>
      <c r="O120" s="27">
        <v>92.495730231081154</v>
      </c>
      <c r="P120" s="25">
        <v>367.11292725039993</v>
      </c>
      <c r="Q120" s="8"/>
    </row>
    <row r="121" spans="2:17" ht="12.75" customHeight="1" x14ac:dyDescent="0.8">
      <c r="B121" s="9" t="s">
        <v>152</v>
      </c>
      <c r="C121" s="33" t="str">
        <f t="shared" si="1"/>
        <v>S0</v>
      </c>
      <c r="D121" s="6" t="s">
        <v>153</v>
      </c>
      <c r="E121" s="26">
        <v>508.16166028229634</v>
      </c>
      <c r="F121" s="27">
        <v>0</v>
      </c>
      <c r="G121" s="27">
        <v>0</v>
      </c>
      <c r="H121" s="27">
        <v>26.907064501080313</v>
      </c>
      <c r="I121" s="25">
        <v>535.06872478337664</v>
      </c>
      <c r="J121" s="17"/>
      <c r="K121" s="26">
        <v>101.86989175990853</v>
      </c>
      <c r="L121" s="27">
        <v>277.13402317956303</v>
      </c>
      <c r="M121" s="27">
        <v>92.510430081058416</v>
      </c>
      <c r="N121" s="27">
        <v>0</v>
      </c>
      <c r="O121" s="27">
        <v>0</v>
      </c>
      <c r="P121" s="25">
        <v>535.0687222716615</v>
      </c>
      <c r="Q121" s="8"/>
    </row>
    <row r="122" spans="2:17" ht="12.75" customHeight="1" x14ac:dyDescent="0.8">
      <c r="B122" s="9" t="s">
        <v>154</v>
      </c>
      <c r="C122" s="33" t="str">
        <f t="shared" si="1"/>
        <v>T0</v>
      </c>
      <c r="D122" s="6" t="s">
        <v>155</v>
      </c>
      <c r="E122" s="26">
        <v>62.419806000999998</v>
      </c>
      <c r="F122" s="27">
        <v>0</v>
      </c>
      <c r="G122" s="27">
        <v>0</v>
      </c>
      <c r="H122" s="27">
        <v>0</v>
      </c>
      <c r="I122" s="25">
        <v>62.419806000999998</v>
      </c>
      <c r="J122" s="17"/>
      <c r="K122" s="26">
        <v>0</v>
      </c>
      <c r="L122" s="27">
        <v>62.419805373071384</v>
      </c>
      <c r="M122" s="27">
        <v>0</v>
      </c>
      <c r="N122" s="27">
        <v>0</v>
      </c>
      <c r="O122" s="27">
        <v>0</v>
      </c>
      <c r="P122" s="25">
        <v>62.419805373071384</v>
      </c>
      <c r="Q122" s="8"/>
    </row>
    <row r="123" spans="2:17" ht="12.75" customHeight="1" x14ac:dyDescent="0.8">
      <c r="B123" s="9" t="s">
        <v>156</v>
      </c>
      <c r="C123" s="33" t="str">
        <f t="shared" si="1"/>
        <v>V0</v>
      </c>
      <c r="D123" s="6" t="s">
        <v>157</v>
      </c>
      <c r="E123" s="26">
        <v>0</v>
      </c>
      <c r="F123" s="27">
        <v>0</v>
      </c>
      <c r="G123" s="27">
        <v>0</v>
      </c>
      <c r="H123" s="27">
        <v>0</v>
      </c>
      <c r="I123" s="25">
        <v>0</v>
      </c>
      <c r="J123" s="17"/>
      <c r="K123" s="26">
        <v>0</v>
      </c>
      <c r="L123" s="27">
        <v>0</v>
      </c>
      <c r="M123" s="27">
        <v>0</v>
      </c>
      <c r="N123" s="27">
        <v>0</v>
      </c>
      <c r="O123" s="27">
        <v>0</v>
      </c>
      <c r="P123" s="25">
        <v>0</v>
      </c>
      <c r="Q123" s="8"/>
    </row>
    <row r="124" spans="2:17" ht="12.75" customHeight="1" thickBot="1" x14ac:dyDescent="0.95">
      <c r="B124" s="10" t="s">
        <v>158</v>
      </c>
      <c r="C124" s="33" t="str">
        <f t="shared" si="1"/>
        <v>X0</v>
      </c>
      <c r="D124" s="11" t="s">
        <v>159</v>
      </c>
      <c r="E124" s="28">
        <v>0</v>
      </c>
      <c r="F124" s="29">
        <v>0</v>
      </c>
      <c r="G124" s="29">
        <v>0</v>
      </c>
      <c r="H124" s="29">
        <v>0</v>
      </c>
      <c r="I124" s="30">
        <v>0</v>
      </c>
      <c r="J124" s="19"/>
      <c r="K124" s="28">
        <v>0</v>
      </c>
      <c r="L124" s="27">
        <v>0</v>
      </c>
      <c r="M124" s="27">
        <v>0</v>
      </c>
      <c r="N124" s="29">
        <v>0</v>
      </c>
      <c r="O124" s="29">
        <v>0</v>
      </c>
      <c r="P124" s="30">
        <v>0</v>
      </c>
      <c r="Q124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4"/>
  </sheetPr>
  <dimension ref="B1:F43"/>
  <sheetViews>
    <sheetView tabSelected="1" zoomScale="93" zoomScaleNormal="93" workbookViewId="0">
      <pane xSplit="3" ySplit="6" topLeftCell="D7" activePane="bottomRight" state="frozen"/>
      <selection sqref="A1:XFD1048576"/>
      <selection pane="topRight" sqref="A1:XFD1048576"/>
      <selection pane="bottomLeft" sqref="A1:XFD1048576"/>
      <selection pane="bottomRight" activeCell="H10" sqref="H10"/>
    </sheetView>
  </sheetViews>
  <sheetFormatPr defaultColWidth="17.19140625" defaultRowHeight="18.25" x14ac:dyDescent="1"/>
  <cols>
    <col min="1" max="1" width="7.11328125" style="36" customWidth="1"/>
    <col min="2" max="2" width="6.84375" style="36" customWidth="1"/>
    <col min="3" max="3" width="56.53515625" style="36" customWidth="1"/>
    <col min="4" max="4" width="16" style="36" customWidth="1"/>
    <col min="5" max="5" width="15.421875" style="36" customWidth="1"/>
    <col min="6" max="6" width="15.03515625" style="36" customWidth="1"/>
    <col min="7" max="16384" width="17.19140625" style="36"/>
  </cols>
  <sheetData>
    <row r="1" spans="2:6" ht="2.7" customHeight="1" x14ac:dyDescent="1"/>
    <row r="2" spans="2:6" ht="1.2" customHeight="1" x14ac:dyDescent="1"/>
    <row r="3" spans="2:6" x14ac:dyDescent="1">
      <c r="B3" s="37" t="s">
        <v>668</v>
      </c>
      <c r="C3" s="38"/>
      <c r="D3" s="38"/>
      <c r="E3" s="38"/>
    </row>
    <row r="4" spans="2:6" ht="2.7" customHeight="1" x14ac:dyDescent="1">
      <c r="B4" s="38"/>
      <c r="C4" s="38"/>
      <c r="D4" s="38"/>
      <c r="E4" s="38"/>
    </row>
    <row r="5" spans="2:6" ht="54.65" x14ac:dyDescent="1">
      <c r="B5" s="39" t="str">
        <f>SUT!B4</f>
        <v>RCPA</v>
      </c>
      <c r="C5" s="40" t="s">
        <v>662</v>
      </c>
      <c r="D5" s="41" t="s">
        <v>661</v>
      </c>
      <c r="E5" s="47" t="s">
        <v>670</v>
      </c>
      <c r="F5" s="41" t="s">
        <v>676</v>
      </c>
    </row>
    <row r="6" spans="2:6" x14ac:dyDescent="1">
      <c r="B6" s="42"/>
      <c r="C6" s="42" t="s">
        <v>652</v>
      </c>
      <c r="D6" s="43">
        <f>SUM(D7:D40)</f>
        <v>36361.056600991382</v>
      </c>
      <c r="E6" s="43">
        <f>SUM(E7:E40)</f>
        <v>17427.604372465601</v>
      </c>
      <c r="F6" s="44">
        <f>SUM(F7:F41)</f>
        <v>19918.452228525792</v>
      </c>
    </row>
    <row r="7" spans="2:6" x14ac:dyDescent="1">
      <c r="B7" s="42" t="str">
        <f>SUT!B6</f>
        <v>A1</v>
      </c>
      <c r="C7" s="42" t="str">
        <f>SUT!D6</f>
        <v>Food crops</v>
      </c>
      <c r="D7" s="42">
        <v>3161.4497859264557</v>
      </c>
      <c r="E7" s="42">
        <v>788.53080401072157</v>
      </c>
      <c r="F7" s="45">
        <f>D7-E7</f>
        <v>2372.9189819157341</v>
      </c>
    </row>
    <row r="8" spans="2:6" x14ac:dyDescent="1">
      <c r="B8" s="42" t="str">
        <f>SUT!B7</f>
        <v>A2</v>
      </c>
      <c r="C8" s="42" t="str">
        <f>SUT!D7</f>
        <v>Export crops</v>
      </c>
      <c r="D8" s="42">
        <v>401.71853389026359</v>
      </c>
      <c r="E8" s="42">
        <v>50.426098088769884</v>
      </c>
      <c r="F8" s="45">
        <f t="shared" ref="F8:F40" si="0">D8-E8</f>
        <v>351.2924358014937</v>
      </c>
    </row>
    <row r="9" spans="2:6" x14ac:dyDescent="1">
      <c r="B9" s="42" t="str">
        <f>SUT!B8</f>
        <v>A3</v>
      </c>
      <c r="C9" s="42" t="str">
        <f>SUT!D8</f>
        <v>Livestock &amp; livestock products</v>
      </c>
      <c r="D9" s="42">
        <v>626.23417939859507</v>
      </c>
      <c r="E9" s="42">
        <v>45.353664121364211</v>
      </c>
      <c r="F9" s="45">
        <f t="shared" si="0"/>
        <v>580.88051527723087</v>
      </c>
    </row>
    <row r="10" spans="2:6" x14ac:dyDescent="1">
      <c r="B10" s="42" t="str">
        <f>SUT!B9</f>
        <v>A4</v>
      </c>
      <c r="C10" s="42" t="str">
        <f>SUT!D9</f>
        <v>Forestry</v>
      </c>
      <c r="D10" s="42">
        <v>798.46498346915826</v>
      </c>
      <c r="E10" s="42">
        <v>15.969299669383167</v>
      </c>
      <c r="F10" s="45">
        <f t="shared" si="0"/>
        <v>782.49568379977507</v>
      </c>
    </row>
    <row r="11" spans="2:6" x14ac:dyDescent="1">
      <c r="B11" s="42" t="str">
        <f>SUT!B10</f>
        <v>A5</v>
      </c>
      <c r="C11" s="42" t="str">
        <f>SUT!D10</f>
        <v>Fishing</v>
      </c>
      <c r="D11" s="42">
        <v>75.119865387231059</v>
      </c>
      <c r="E11" s="42">
        <v>21.033562308424695</v>
      </c>
      <c r="F11" s="45">
        <f t="shared" si="0"/>
        <v>54.086303078806367</v>
      </c>
    </row>
    <row r="12" spans="2:6" x14ac:dyDescent="1">
      <c r="B12" s="42" t="str">
        <f>SUT!B11</f>
        <v>B0</v>
      </c>
      <c r="C12" s="42" t="str">
        <f>SUT!D11</f>
        <v>Mining &amp; quarrying</v>
      </c>
      <c r="D12" s="42">
        <v>717.44519942321335</v>
      </c>
      <c r="E12" s="42">
        <v>363.17478613537946</v>
      </c>
      <c r="F12" s="45">
        <f t="shared" si="0"/>
        <v>354.27041328783389</v>
      </c>
    </row>
    <row r="13" spans="2:6" x14ac:dyDescent="1">
      <c r="B13" s="42" t="str">
        <f>SUT!B12</f>
        <v>C1</v>
      </c>
      <c r="C13" s="42" t="str">
        <f>SUT!D12</f>
        <v>Manufacturing of food</v>
      </c>
      <c r="D13" s="42">
        <v>1880.5578391146416</v>
      </c>
      <c r="E13" s="42">
        <v>1497.6698973348507</v>
      </c>
      <c r="F13" s="45">
        <f t="shared" si="0"/>
        <v>382.88794177979094</v>
      </c>
    </row>
    <row r="14" spans="2:6" x14ac:dyDescent="1">
      <c r="B14" s="42" t="str">
        <f>SUT!B13</f>
        <v>C2</v>
      </c>
      <c r="C14" s="42" t="str">
        <f>SUT!D13</f>
        <v>Manufacturing of beverages &amp; tobacco</v>
      </c>
      <c r="D14" s="42">
        <v>984.94935530223631</v>
      </c>
      <c r="E14" s="42">
        <v>499.02935373868007</v>
      </c>
      <c r="F14" s="45">
        <f t="shared" si="0"/>
        <v>485.92000156355624</v>
      </c>
    </row>
    <row r="15" spans="2:6" x14ac:dyDescent="1">
      <c r="B15" s="42" t="str">
        <f>SUT!B14</f>
        <v>C3</v>
      </c>
      <c r="C15" s="42" t="str">
        <f>SUT!D14</f>
        <v>Manufacturing of textiles, clothing &amp; leather goods</v>
      </c>
      <c r="D15" s="42">
        <v>388.37275912253233</v>
      </c>
      <c r="E15" s="42">
        <v>253.58972155358555</v>
      </c>
      <c r="F15" s="45">
        <f t="shared" si="0"/>
        <v>134.78303756894678</v>
      </c>
    </row>
    <row r="16" spans="2:6" x14ac:dyDescent="1">
      <c r="B16" s="42" t="str">
        <f>SUT!B15</f>
        <v>C4</v>
      </c>
      <c r="C16" s="42" t="str">
        <f>SUT!D15</f>
        <v>Manufacturing of wood &amp; paper; printing</v>
      </c>
      <c r="D16" s="42">
        <v>315.86347235896113</v>
      </c>
      <c r="E16" s="42">
        <v>237.10462103046703</v>
      </c>
      <c r="F16" s="45">
        <f t="shared" si="0"/>
        <v>78.758851328494103</v>
      </c>
    </row>
    <row r="17" spans="2:6" x14ac:dyDescent="1">
      <c r="B17" s="42" t="str">
        <f>SUT!B16</f>
        <v>C5</v>
      </c>
      <c r="C17" s="42" t="str">
        <f>SUT!D16</f>
        <v>Manufacturing of chemicals, rubber &amp; plastic products</v>
      </c>
      <c r="D17" s="42">
        <v>596.95755438163303</v>
      </c>
      <c r="E17" s="42">
        <v>409.78197166653842</v>
      </c>
      <c r="F17" s="45">
        <f t="shared" si="0"/>
        <v>187.17558271509461</v>
      </c>
    </row>
    <row r="18" spans="2:6" x14ac:dyDescent="1">
      <c r="B18" s="42" t="str">
        <f>SUT!B17</f>
        <v>C6</v>
      </c>
      <c r="C18" s="42" t="str">
        <f>SUT!D17</f>
        <v>Manufacturing of non-metalic mineral products</v>
      </c>
      <c r="D18" s="42">
        <v>409.70983302322497</v>
      </c>
      <c r="E18" s="42">
        <v>287.84441447269359</v>
      </c>
      <c r="F18" s="45">
        <f t="shared" si="0"/>
        <v>121.86541855053139</v>
      </c>
    </row>
    <row r="19" spans="2:6" x14ac:dyDescent="1">
      <c r="B19" s="42" t="str">
        <f>SUT!B18</f>
        <v>C7</v>
      </c>
      <c r="C19" s="42" t="str">
        <f>SUT!D18</f>
        <v>Manufacturing of metal products, machinery &amp; equipment</v>
      </c>
      <c r="D19" s="42">
        <v>465.93775088841284</v>
      </c>
      <c r="E19" s="42">
        <v>349.07239239646287</v>
      </c>
      <c r="F19" s="45">
        <f t="shared" si="0"/>
        <v>116.86535849194996</v>
      </c>
    </row>
    <row r="20" spans="2:6" x14ac:dyDescent="1">
      <c r="B20" s="42" t="str">
        <f>SUT!B19</f>
        <v>C8</v>
      </c>
      <c r="C20" s="42" t="str">
        <f>SUT!D19</f>
        <v xml:space="preserve">Furniture &amp; other manufacturing </v>
      </c>
      <c r="D20" s="42">
        <v>426.1568817809673</v>
      </c>
      <c r="E20" s="42">
        <v>316.18422193767719</v>
      </c>
      <c r="F20" s="45">
        <f t="shared" si="0"/>
        <v>109.9726598432901</v>
      </c>
    </row>
    <row r="21" spans="2:6" x14ac:dyDescent="1">
      <c r="B21" s="42" t="str">
        <f>SUT!B20</f>
        <v>D0</v>
      </c>
      <c r="C21" s="42" t="str">
        <f>SUT!D20</f>
        <v>Electricity</v>
      </c>
      <c r="D21" s="42">
        <v>284.47428727231181</v>
      </c>
      <c r="E21" s="42">
        <v>137.81854573451812</v>
      </c>
      <c r="F21" s="45">
        <f t="shared" si="0"/>
        <v>146.65574153779369</v>
      </c>
    </row>
    <row r="22" spans="2:6" x14ac:dyDescent="1">
      <c r="B22" s="42" t="str">
        <f>SUT!B21</f>
        <v>E0</v>
      </c>
      <c r="C22" s="42" t="str">
        <f>SUT!D21</f>
        <v>Water &amp; waste management</v>
      </c>
      <c r="D22" s="42">
        <v>171.75854002127122</v>
      </c>
      <c r="E22" s="42">
        <v>93.558071638620319</v>
      </c>
      <c r="F22" s="45">
        <f t="shared" si="0"/>
        <v>78.200468382650897</v>
      </c>
    </row>
    <row r="23" spans="2:6" x14ac:dyDescent="1">
      <c r="B23" s="42" t="str">
        <f>SUT!B22</f>
        <v>F0</v>
      </c>
      <c r="C23" s="42" t="str">
        <f>SUT!D22</f>
        <v>Construction</v>
      </c>
      <c r="D23" s="42">
        <v>7289.3070223813475</v>
      </c>
      <c r="E23" s="42">
        <v>5090.9252748601502</v>
      </c>
      <c r="F23" s="45">
        <f t="shared" si="0"/>
        <v>2198.3817475211972</v>
      </c>
    </row>
    <row r="24" spans="2:6" x14ac:dyDescent="1">
      <c r="B24" s="42" t="str">
        <f>SUT!B23</f>
        <v>G1</v>
      </c>
      <c r="C24" s="42" t="str">
        <f>SUT!D23</f>
        <v>Maintenance &amp; repair of motor vehicles</v>
      </c>
      <c r="D24" s="42">
        <v>228.96020148874959</v>
      </c>
      <c r="E24" s="42">
        <v>100.71732641433407</v>
      </c>
      <c r="F24" s="45">
        <f t="shared" si="0"/>
        <v>128.24287507441551</v>
      </c>
    </row>
    <row r="25" spans="2:6" x14ac:dyDescent="1">
      <c r="B25" s="42" t="str">
        <f>SUT!B24</f>
        <v>G2</v>
      </c>
      <c r="C25" s="42" t="str">
        <f>SUT!D24</f>
        <v>Wholesale &amp; retail trade</v>
      </c>
      <c r="D25" s="42">
        <v>3132.6630240512582</v>
      </c>
      <c r="E25" s="42">
        <v>1310.4967016334449</v>
      </c>
      <c r="F25" s="45">
        <f t="shared" si="0"/>
        <v>1822.1663224178133</v>
      </c>
    </row>
    <row r="26" spans="2:6" x14ac:dyDescent="1">
      <c r="B26" s="42" t="str">
        <f>SUT!B25</f>
        <v>H1</v>
      </c>
      <c r="C26" s="42" t="str">
        <f>SUT!D25</f>
        <v>Land transport</v>
      </c>
      <c r="D26" s="42">
        <v>1474.6497034137888</v>
      </c>
      <c r="E26" s="42">
        <v>396.20609746466391</v>
      </c>
      <c r="F26" s="45">
        <f t="shared" si="0"/>
        <v>1078.443605949125</v>
      </c>
    </row>
    <row r="27" spans="2:6" x14ac:dyDescent="1">
      <c r="B27" s="42" t="str">
        <f>SUT!B26</f>
        <v>H2</v>
      </c>
      <c r="C27" s="42" t="str">
        <f>SUT!D26</f>
        <v>Air transport</v>
      </c>
      <c r="D27" s="42">
        <v>689.22049725130921</v>
      </c>
      <c r="E27" s="42">
        <v>273.93326195434884</v>
      </c>
      <c r="F27" s="45">
        <f t="shared" si="0"/>
        <v>415.28723529696038</v>
      </c>
    </row>
    <row r="28" spans="2:6" x14ac:dyDescent="1">
      <c r="B28" s="42" t="str">
        <f>SUT!B27</f>
        <v>H3</v>
      </c>
      <c r="C28" s="42" t="str">
        <f>SUT!D27</f>
        <v>Other transport &amp; postal services</v>
      </c>
      <c r="D28" s="42">
        <v>269.75178961840385</v>
      </c>
      <c r="E28" s="42">
        <v>119.74075570202325</v>
      </c>
      <c r="F28" s="45">
        <f t="shared" si="0"/>
        <v>150.0110339163806</v>
      </c>
    </row>
    <row r="29" spans="2:6" x14ac:dyDescent="1">
      <c r="B29" s="42" t="str">
        <f>SUT!B28</f>
        <v>I0</v>
      </c>
      <c r="C29" s="42" t="str">
        <f>SUT!D28</f>
        <v>Hotels &amp; restaurants</v>
      </c>
      <c r="D29" s="42">
        <v>1475.646094019256</v>
      </c>
      <c r="E29" s="42">
        <v>794.93926918750708</v>
      </c>
      <c r="F29" s="45">
        <f t="shared" si="0"/>
        <v>680.70682483174892</v>
      </c>
    </row>
    <row r="30" spans="2:6" x14ac:dyDescent="1">
      <c r="B30" s="42" t="str">
        <f>SUT!B29</f>
        <v>J1</v>
      </c>
      <c r="C30" s="42" t="str">
        <f>SUT!D29</f>
        <v>Publishing &amp; broadcasting activities</v>
      </c>
      <c r="D30" s="42">
        <v>211.40758542110305</v>
      </c>
      <c r="E30" s="42">
        <v>162.83147578985762</v>
      </c>
      <c r="F30" s="45">
        <f t="shared" si="0"/>
        <v>48.57610963124543</v>
      </c>
    </row>
    <row r="31" spans="2:6" x14ac:dyDescent="1">
      <c r="B31" s="42" t="str">
        <f>SUT!B30</f>
        <v>J2</v>
      </c>
      <c r="C31" s="42" t="str">
        <f>SUT!D30</f>
        <v>Telecommunication</v>
      </c>
      <c r="D31" s="42">
        <v>314.20700647845723</v>
      </c>
      <c r="E31" s="42">
        <v>67.70430517342848</v>
      </c>
      <c r="F31" s="45">
        <f t="shared" si="0"/>
        <v>246.50270130502875</v>
      </c>
    </row>
    <row r="32" spans="2:6" x14ac:dyDescent="1">
      <c r="B32" s="42" t="str">
        <f>SUT!B31</f>
        <v>J3</v>
      </c>
      <c r="C32" s="42" t="str">
        <f>SUT!D31</f>
        <v>Information technology services</v>
      </c>
      <c r="D32" s="42">
        <v>186.71987992199999</v>
      </c>
      <c r="E32" s="42">
        <v>48.763346074791549</v>
      </c>
      <c r="F32" s="45">
        <f t="shared" si="0"/>
        <v>137.95653384720845</v>
      </c>
    </row>
    <row r="33" spans="2:6" x14ac:dyDescent="1">
      <c r="B33" s="42" t="str">
        <f>SUT!B32</f>
        <v>K0</v>
      </c>
      <c r="C33" s="42" t="str">
        <f>SUT!D32</f>
        <v>Financial services</v>
      </c>
      <c r="D33" s="42">
        <v>864.12190475923296</v>
      </c>
      <c r="E33" s="42">
        <v>366.11117745625933</v>
      </c>
      <c r="F33" s="45">
        <f t="shared" si="0"/>
        <v>498.01072730297363</v>
      </c>
    </row>
    <row r="34" spans="2:6" x14ac:dyDescent="1">
      <c r="B34" s="42" t="str">
        <f>SUT!B33</f>
        <v>L0</v>
      </c>
      <c r="C34" s="42" t="str">
        <f>SUT!D33</f>
        <v>Real estate activities</v>
      </c>
      <c r="D34" s="42">
        <v>1415.7253177465986</v>
      </c>
      <c r="E34" s="42">
        <v>43.791363455554972</v>
      </c>
      <c r="F34" s="45">
        <f t="shared" si="0"/>
        <v>1371.9339542910436</v>
      </c>
    </row>
    <row r="35" spans="2:6" x14ac:dyDescent="1">
      <c r="B35" s="42" t="str">
        <f>SUT!B34</f>
        <v>M0</v>
      </c>
      <c r="C35" s="42" t="str">
        <f>SUT!D34</f>
        <v>Professional, scientific &amp; technical activities</v>
      </c>
      <c r="D35" s="42">
        <v>944.63964679311789</v>
      </c>
      <c r="E35" s="42">
        <v>356.90757519901757</v>
      </c>
      <c r="F35" s="45">
        <f t="shared" si="0"/>
        <v>587.73207159410026</v>
      </c>
    </row>
    <row r="36" spans="2:6" x14ac:dyDescent="1">
      <c r="B36" s="42" t="str">
        <f>SUT!B35</f>
        <v>N0</v>
      </c>
      <c r="C36" s="42" t="str">
        <f>SUT!D35</f>
        <v>Administrative &amp; support service activities</v>
      </c>
      <c r="D36" s="42">
        <v>1223.5094666848122</v>
      </c>
      <c r="E36" s="42">
        <v>383.36317091956079</v>
      </c>
      <c r="F36" s="45">
        <f t="shared" si="0"/>
        <v>840.14629576525135</v>
      </c>
    </row>
    <row r="37" spans="2:6" x14ac:dyDescent="1">
      <c r="B37" s="42" t="str">
        <f>SUT!B36</f>
        <v>O0</v>
      </c>
      <c r="C37" s="42" t="str">
        <f>SUT!D36</f>
        <v>Public administration &amp; defence; compulsory social security</v>
      </c>
      <c r="D37" s="42">
        <v>2440.3083272933673</v>
      </c>
      <c r="E37" s="42">
        <v>1614.6213314696781</v>
      </c>
      <c r="F37" s="45">
        <f t="shared" si="0"/>
        <v>825.68699582368913</v>
      </c>
    </row>
    <row r="38" spans="2:6" x14ac:dyDescent="1">
      <c r="B38" s="42" t="str">
        <f>SUT!B37</f>
        <v>P0</v>
      </c>
      <c r="C38" s="42" t="str">
        <f>SUT!D37</f>
        <v>Education</v>
      </c>
      <c r="D38" s="42">
        <v>1073.8505364223697</v>
      </c>
      <c r="E38" s="42">
        <v>397.5571399639469</v>
      </c>
      <c r="F38" s="45">
        <f t="shared" si="0"/>
        <v>676.29339645842288</v>
      </c>
    </row>
    <row r="39" spans="2:6" x14ac:dyDescent="1">
      <c r="B39" s="42" t="str">
        <f>SUT!B38</f>
        <v>Q0</v>
      </c>
      <c r="C39" s="42" t="str">
        <f>SUT!D38</f>
        <v>Human health &amp; social work activities</v>
      </c>
      <c r="D39" s="42">
        <v>523.21682074578905</v>
      </c>
      <c r="E39" s="42">
        <v>274.64612383208362</v>
      </c>
      <c r="F39" s="45">
        <f t="shared" si="0"/>
        <v>248.57069691370543</v>
      </c>
    </row>
    <row r="40" spans="2:6" x14ac:dyDescent="1">
      <c r="B40" s="42" t="s">
        <v>673</v>
      </c>
      <c r="C40" s="42" t="s">
        <v>672</v>
      </c>
      <c r="D40" s="42">
        <v>897.9809557393163</v>
      </c>
      <c r="E40" s="42">
        <v>258.2072500768071</v>
      </c>
      <c r="F40" s="45">
        <f t="shared" si="0"/>
        <v>639.7737056625092</v>
      </c>
    </row>
    <row r="41" spans="2:6" s="46" customFormat="1" x14ac:dyDescent="1">
      <c r="B41" s="42"/>
      <c r="C41" s="42" t="s">
        <v>671</v>
      </c>
      <c r="D41" s="42"/>
      <c r="E41" s="42"/>
      <c r="F41" s="45">
        <v>985</v>
      </c>
    </row>
    <row r="42" spans="2:6" s="46" customFormat="1" x14ac:dyDescent="1">
      <c r="B42" s="36"/>
      <c r="C42" s="36"/>
      <c r="D42" s="36"/>
      <c r="E42" s="36"/>
      <c r="F42" s="36"/>
    </row>
    <row r="43" spans="2:6" x14ac:dyDescent="1">
      <c r="B43" s="36" t="s">
        <v>677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0"/>
  <dimension ref="A6:U318"/>
  <sheetViews>
    <sheetView topLeftCell="H1" workbookViewId="0"/>
  </sheetViews>
  <sheetFormatPr defaultRowHeight="14.6" x14ac:dyDescent="0.85"/>
  <sheetData>
    <row r="6" spans="1:21" x14ac:dyDescent="0.85">
      <c r="A6" t="str">
        <f>LEFT(C6,2)</f>
        <v>A1</v>
      </c>
      <c r="B6" t="str">
        <f>LEFT(C6,1)</f>
        <v>A</v>
      </c>
      <c r="C6" t="s">
        <v>0</v>
      </c>
      <c r="D6" t="s">
        <v>1</v>
      </c>
      <c r="I6" t="s">
        <v>160</v>
      </c>
      <c r="J6" t="s">
        <v>181</v>
      </c>
      <c r="N6" t="s">
        <v>184</v>
      </c>
      <c r="O6" t="s">
        <v>185</v>
      </c>
      <c r="P6" t="s">
        <v>186</v>
      </c>
      <c r="S6" t="s">
        <v>184</v>
      </c>
      <c r="T6" t="s">
        <v>185</v>
      </c>
      <c r="U6" t="s">
        <v>186</v>
      </c>
    </row>
    <row r="7" spans="1:21" x14ac:dyDescent="0.85">
      <c r="A7" t="str">
        <f t="shared" ref="A7:A70" si="0">LEFT(C7,2)</f>
        <v>A1</v>
      </c>
      <c r="B7" t="str">
        <f t="shared" ref="B7:B70" si="1">LEFT(C7,1)</f>
        <v>A</v>
      </c>
      <c r="C7" t="s">
        <v>2</v>
      </c>
      <c r="D7" t="s">
        <v>3</v>
      </c>
      <c r="I7" t="s">
        <v>161</v>
      </c>
      <c r="J7" t="s">
        <v>182</v>
      </c>
      <c r="N7" t="s">
        <v>187</v>
      </c>
      <c r="O7">
        <v>2</v>
      </c>
      <c r="P7" t="s">
        <v>188</v>
      </c>
      <c r="S7" t="s">
        <v>187</v>
      </c>
      <c r="T7">
        <v>2</v>
      </c>
      <c r="U7" t="s">
        <v>188</v>
      </c>
    </row>
    <row r="8" spans="1:21" x14ac:dyDescent="0.85">
      <c r="A8" t="str">
        <f t="shared" si="0"/>
        <v>A1</v>
      </c>
      <c r="B8" t="str">
        <f t="shared" si="1"/>
        <v>A</v>
      </c>
      <c r="C8" t="s">
        <v>4</v>
      </c>
      <c r="D8" t="s">
        <v>5</v>
      </c>
      <c r="I8" t="s">
        <v>162</v>
      </c>
      <c r="J8" t="s">
        <v>183</v>
      </c>
      <c r="N8" t="s">
        <v>0</v>
      </c>
      <c r="O8">
        <v>3</v>
      </c>
      <c r="P8" t="s">
        <v>1</v>
      </c>
      <c r="S8" t="s">
        <v>230</v>
      </c>
      <c r="T8">
        <v>2</v>
      </c>
      <c r="U8" t="s">
        <v>231</v>
      </c>
    </row>
    <row r="9" spans="1:21" x14ac:dyDescent="0.85">
      <c r="A9" t="str">
        <f t="shared" si="0"/>
        <v>A1</v>
      </c>
      <c r="B9" t="str">
        <f t="shared" si="1"/>
        <v>A</v>
      </c>
      <c r="C9" t="s">
        <v>6</v>
      </c>
      <c r="D9" t="s">
        <v>7</v>
      </c>
      <c r="I9" t="s">
        <v>163</v>
      </c>
      <c r="J9" t="str">
        <f>U21</f>
        <v>Electricity</v>
      </c>
      <c r="N9" t="s">
        <v>189</v>
      </c>
      <c r="O9">
        <v>4</v>
      </c>
      <c r="P9" t="s">
        <v>190</v>
      </c>
      <c r="S9" t="s">
        <v>243</v>
      </c>
      <c r="T9">
        <v>2</v>
      </c>
      <c r="U9" t="s">
        <v>244</v>
      </c>
    </row>
    <row r="10" spans="1:21" x14ac:dyDescent="0.85">
      <c r="A10" t="str">
        <f t="shared" si="0"/>
        <v>A1</v>
      </c>
      <c r="B10" t="str">
        <f t="shared" si="1"/>
        <v>A</v>
      </c>
      <c r="C10" t="s">
        <v>8</v>
      </c>
      <c r="D10" t="s">
        <v>9</v>
      </c>
      <c r="I10" t="s">
        <v>164</v>
      </c>
      <c r="J10" t="str">
        <f>U22</f>
        <v>Water &amp; waste management</v>
      </c>
      <c r="N10" t="s">
        <v>191</v>
      </c>
      <c r="O10">
        <v>4</v>
      </c>
      <c r="P10" t="s">
        <v>192</v>
      </c>
      <c r="S10" t="s">
        <v>262</v>
      </c>
      <c r="T10">
        <v>2</v>
      </c>
      <c r="U10" t="s">
        <v>263</v>
      </c>
    </row>
    <row r="11" spans="1:21" x14ac:dyDescent="0.85">
      <c r="A11" t="str">
        <f t="shared" si="0"/>
        <v>A2</v>
      </c>
      <c r="B11" t="str">
        <f t="shared" si="1"/>
        <v>A</v>
      </c>
      <c r="C11" t="s">
        <v>10</v>
      </c>
      <c r="D11" t="s">
        <v>11</v>
      </c>
      <c r="I11" t="s">
        <v>165</v>
      </c>
      <c r="J11" t="str">
        <f>U23</f>
        <v>Construction</v>
      </c>
      <c r="N11" t="s">
        <v>193</v>
      </c>
      <c r="O11">
        <v>4</v>
      </c>
      <c r="P11" t="s">
        <v>194</v>
      </c>
      <c r="S11" t="s">
        <v>270</v>
      </c>
      <c r="T11">
        <v>2</v>
      </c>
      <c r="U11" t="s">
        <v>271</v>
      </c>
    </row>
    <row r="12" spans="1:21" x14ac:dyDescent="0.85">
      <c r="A12" t="str">
        <f t="shared" si="0"/>
        <v>A2</v>
      </c>
      <c r="B12" t="str">
        <f t="shared" si="1"/>
        <v>A</v>
      </c>
      <c r="C12" t="s">
        <v>12</v>
      </c>
      <c r="D12" t="s">
        <v>13</v>
      </c>
      <c r="I12" t="s">
        <v>166</v>
      </c>
      <c r="J12" t="str">
        <f>U25&amp;" and "&amp;U24</f>
        <v>Wholesale &amp; retail trade and Maintenance &amp; repair of motor vehicles</v>
      </c>
      <c r="N12" t="s">
        <v>195</v>
      </c>
      <c r="O12">
        <v>4</v>
      </c>
      <c r="P12" t="s">
        <v>196</v>
      </c>
      <c r="S12" t="s">
        <v>273</v>
      </c>
      <c r="T12">
        <v>2</v>
      </c>
      <c r="U12" t="s">
        <v>274</v>
      </c>
    </row>
    <row r="13" spans="1:21" x14ac:dyDescent="0.85">
      <c r="A13" t="str">
        <f t="shared" si="0"/>
        <v>A2</v>
      </c>
      <c r="B13" t="str">
        <f t="shared" si="1"/>
        <v>A</v>
      </c>
      <c r="C13" t="s">
        <v>14</v>
      </c>
      <c r="D13" t="s">
        <v>15</v>
      </c>
      <c r="I13" t="s">
        <v>167</v>
      </c>
      <c r="J13" t="s">
        <v>663</v>
      </c>
      <c r="N13" t="s">
        <v>197</v>
      </c>
      <c r="O13">
        <v>4</v>
      </c>
      <c r="P13" t="s">
        <v>198</v>
      </c>
      <c r="S13" t="s">
        <v>286</v>
      </c>
      <c r="T13">
        <v>2</v>
      </c>
      <c r="U13" t="s">
        <v>287</v>
      </c>
    </row>
    <row r="14" spans="1:21" x14ac:dyDescent="0.85">
      <c r="A14" t="str">
        <f t="shared" si="0"/>
        <v>A3</v>
      </c>
      <c r="B14" t="str">
        <f t="shared" si="1"/>
        <v>A</v>
      </c>
      <c r="C14" t="s">
        <v>16</v>
      </c>
      <c r="D14" t="s">
        <v>17</v>
      </c>
      <c r="I14" t="s">
        <v>168</v>
      </c>
      <c r="J14" t="str">
        <f>U29</f>
        <v>Hotels &amp; restaurants</v>
      </c>
      <c r="N14" t="s">
        <v>2</v>
      </c>
      <c r="O14">
        <v>3</v>
      </c>
      <c r="P14" t="s">
        <v>199</v>
      </c>
      <c r="S14" t="s">
        <v>325</v>
      </c>
      <c r="T14">
        <v>2</v>
      </c>
      <c r="U14" t="s">
        <v>326</v>
      </c>
    </row>
    <row r="15" spans="1:21" x14ac:dyDescent="0.85">
      <c r="A15" t="str">
        <f t="shared" si="0"/>
        <v>A3</v>
      </c>
      <c r="B15" t="str">
        <f t="shared" si="1"/>
        <v>A</v>
      </c>
      <c r="C15" t="s">
        <v>18</v>
      </c>
      <c r="D15" t="s">
        <v>19</v>
      </c>
      <c r="I15" t="s">
        <v>169</v>
      </c>
      <c r="J15" t="s">
        <v>664</v>
      </c>
      <c r="N15" t="s">
        <v>200</v>
      </c>
      <c r="O15">
        <v>4</v>
      </c>
      <c r="P15" t="s">
        <v>201</v>
      </c>
      <c r="S15" t="s">
        <v>342</v>
      </c>
      <c r="T15">
        <v>2</v>
      </c>
      <c r="U15" t="s">
        <v>343</v>
      </c>
    </row>
    <row r="16" spans="1:21" x14ac:dyDescent="0.85">
      <c r="A16" t="str">
        <f t="shared" si="0"/>
        <v>A4</v>
      </c>
      <c r="B16" t="str">
        <f t="shared" si="1"/>
        <v>A</v>
      </c>
      <c r="C16" t="s">
        <v>20</v>
      </c>
      <c r="D16" t="s">
        <v>21</v>
      </c>
      <c r="I16" t="s">
        <v>170</v>
      </c>
      <c r="J16" t="str">
        <f>U33</f>
        <v>Financial services</v>
      </c>
      <c r="N16" t="s">
        <v>202</v>
      </c>
      <c r="O16">
        <v>4</v>
      </c>
      <c r="P16" t="s">
        <v>203</v>
      </c>
      <c r="S16" t="s">
        <v>350</v>
      </c>
      <c r="T16">
        <v>2</v>
      </c>
      <c r="U16" t="s">
        <v>351</v>
      </c>
    </row>
    <row r="17" spans="1:21" x14ac:dyDescent="0.85">
      <c r="A17" t="str">
        <f t="shared" si="0"/>
        <v>A5</v>
      </c>
      <c r="B17" t="str">
        <f t="shared" si="1"/>
        <v>A</v>
      </c>
      <c r="C17" t="s">
        <v>22</v>
      </c>
      <c r="D17" t="s">
        <v>23</v>
      </c>
      <c r="I17" t="s">
        <v>171</v>
      </c>
      <c r="J17" t="str">
        <f t="shared" ref="J17:J26" si="2">U34</f>
        <v>Real estate activities</v>
      </c>
      <c r="N17" t="s">
        <v>204</v>
      </c>
      <c r="O17">
        <v>4</v>
      </c>
      <c r="P17" t="s">
        <v>205</v>
      </c>
      <c r="S17" t="s">
        <v>362</v>
      </c>
      <c r="T17">
        <v>2</v>
      </c>
      <c r="U17" t="s">
        <v>363</v>
      </c>
    </row>
    <row r="18" spans="1:21" x14ac:dyDescent="0.85">
      <c r="A18" t="str">
        <f t="shared" si="0"/>
        <v>B0</v>
      </c>
      <c r="B18" t="str">
        <f t="shared" si="1"/>
        <v>B</v>
      </c>
      <c r="C18" t="s">
        <v>24</v>
      </c>
      <c r="D18" t="s">
        <v>25</v>
      </c>
      <c r="I18" t="s">
        <v>172</v>
      </c>
      <c r="J18" t="str">
        <f t="shared" si="2"/>
        <v>Professional, scientific &amp; technical activities</v>
      </c>
      <c r="N18" t="s">
        <v>206</v>
      </c>
      <c r="O18">
        <v>4</v>
      </c>
      <c r="P18" t="s">
        <v>207</v>
      </c>
      <c r="S18" t="s">
        <v>384</v>
      </c>
      <c r="T18">
        <v>2</v>
      </c>
      <c r="U18" t="s">
        <v>385</v>
      </c>
    </row>
    <row r="19" spans="1:21" x14ac:dyDescent="0.85">
      <c r="A19" t="str">
        <f t="shared" si="0"/>
        <v>B0</v>
      </c>
      <c r="B19" t="str">
        <f t="shared" si="1"/>
        <v>B</v>
      </c>
      <c r="C19" t="s">
        <v>26</v>
      </c>
      <c r="D19" t="s">
        <v>27</v>
      </c>
      <c r="I19" t="s">
        <v>173</v>
      </c>
      <c r="J19" t="str">
        <f t="shared" si="2"/>
        <v>Administrative &amp; support service activities</v>
      </c>
      <c r="N19" t="s">
        <v>4</v>
      </c>
      <c r="O19">
        <v>3</v>
      </c>
      <c r="P19" t="s">
        <v>5</v>
      </c>
      <c r="S19" t="s">
        <v>395</v>
      </c>
      <c r="T19">
        <v>2</v>
      </c>
      <c r="U19" t="s">
        <v>396</v>
      </c>
    </row>
    <row r="20" spans="1:21" x14ac:dyDescent="0.85">
      <c r="A20" t="str">
        <f t="shared" si="0"/>
        <v>B0</v>
      </c>
      <c r="B20" t="str">
        <f t="shared" si="1"/>
        <v>B</v>
      </c>
      <c r="C20" t="s">
        <v>28</v>
      </c>
      <c r="D20" t="s">
        <v>29</v>
      </c>
      <c r="I20" t="s">
        <v>174</v>
      </c>
      <c r="J20" t="str">
        <f t="shared" si="2"/>
        <v>Public administration &amp; defence; compulsory social security</v>
      </c>
      <c r="N20" t="s">
        <v>208</v>
      </c>
      <c r="O20">
        <v>4</v>
      </c>
      <c r="P20" t="s">
        <v>209</v>
      </c>
      <c r="S20" t="s">
        <v>429</v>
      </c>
      <c r="T20">
        <v>2</v>
      </c>
      <c r="U20" t="s">
        <v>430</v>
      </c>
    </row>
    <row r="21" spans="1:21" x14ac:dyDescent="0.85">
      <c r="A21" t="str">
        <f t="shared" si="0"/>
        <v>C1</v>
      </c>
      <c r="B21" t="str">
        <f t="shared" si="1"/>
        <v>C</v>
      </c>
      <c r="C21" t="s">
        <v>30</v>
      </c>
      <c r="D21" t="s">
        <v>31</v>
      </c>
      <c r="I21" t="s">
        <v>175</v>
      </c>
      <c r="J21" t="str">
        <f t="shared" si="2"/>
        <v>Education</v>
      </c>
      <c r="N21" t="s">
        <v>210</v>
      </c>
      <c r="O21">
        <v>4</v>
      </c>
      <c r="P21" t="s">
        <v>211</v>
      </c>
      <c r="S21" t="s">
        <v>446</v>
      </c>
      <c r="T21">
        <v>2</v>
      </c>
      <c r="U21" t="s">
        <v>447</v>
      </c>
    </row>
    <row r="22" spans="1:21" x14ac:dyDescent="0.85">
      <c r="A22" t="str">
        <f t="shared" si="0"/>
        <v>C1</v>
      </c>
      <c r="B22" t="str">
        <f t="shared" si="1"/>
        <v>C</v>
      </c>
      <c r="C22" t="s">
        <v>32</v>
      </c>
      <c r="D22" t="s">
        <v>33</v>
      </c>
      <c r="I22" t="s">
        <v>176</v>
      </c>
      <c r="J22" t="str">
        <f t="shared" si="2"/>
        <v>Human health &amp; social work activities</v>
      </c>
      <c r="N22" t="s">
        <v>212</v>
      </c>
      <c r="O22">
        <v>4</v>
      </c>
      <c r="P22" t="s">
        <v>213</v>
      </c>
      <c r="S22" t="s">
        <v>450</v>
      </c>
      <c r="T22">
        <v>2</v>
      </c>
      <c r="U22" t="s">
        <v>451</v>
      </c>
    </row>
    <row r="23" spans="1:21" x14ac:dyDescent="0.85">
      <c r="A23" t="str">
        <f t="shared" si="0"/>
        <v>C1</v>
      </c>
      <c r="B23" t="str">
        <f t="shared" si="1"/>
        <v>C</v>
      </c>
      <c r="C23" t="s">
        <v>34</v>
      </c>
      <c r="D23" t="s">
        <v>35</v>
      </c>
      <c r="I23" t="s">
        <v>177</v>
      </c>
      <c r="J23" t="str">
        <f t="shared" si="2"/>
        <v>Arts, entertainment &amp; recreation</v>
      </c>
      <c r="N23" t="s">
        <v>6</v>
      </c>
      <c r="O23">
        <v>3</v>
      </c>
      <c r="P23" t="s">
        <v>214</v>
      </c>
      <c r="S23" t="s">
        <v>458</v>
      </c>
      <c r="T23">
        <v>2</v>
      </c>
      <c r="U23" t="s">
        <v>459</v>
      </c>
    </row>
    <row r="24" spans="1:21" x14ac:dyDescent="0.85">
      <c r="A24" t="str">
        <f t="shared" si="0"/>
        <v>C1</v>
      </c>
      <c r="B24" t="str">
        <f t="shared" si="1"/>
        <v>C</v>
      </c>
      <c r="C24" t="s">
        <v>36</v>
      </c>
      <c r="D24" t="s">
        <v>37</v>
      </c>
      <c r="I24" t="s">
        <v>178</v>
      </c>
      <c r="J24" t="str">
        <f t="shared" si="2"/>
        <v>Other service activities</v>
      </c>
      <c r="N24" t="s">
        <v>215</v>
      </c>
      <c r="O24">
        <v>4</v>
      </c>
      <c r="P24" t="s">
        <v>216</v>
      </c>
      <c r="S24" t="s">
        <v>470</v>
      </c>
      <c r="T24">
        <v>2</v>
      </c>
      <c r="U24" t="s">
        <v>471</v>
      </c>
    </row>
    <row r="25" spans="1:21" x14ac:dyDescent="0.85">
      <c r="A25" t="str">
        <f t="shared" si="0"/>
        <v>C1</v>
      </c>
      <c r="B25" t="str">
        <f t="shared" si="1"/>
        <v>C</v>
      </c>
      <c r="C25" t="s">
        <v>38</v>
      </c>
      <c r="D25" t="s">
        <v>39</v>
      </c>
      <c r="I25" t="s">
        <v>179</v>
      </c>
      <c r="J25" t="str">
        <f t="shared" si="2"/>
        <v>Domestic services</v>
      </c>
      <c r="N25" t="s">
        <v>217</v>
      </c>
      <c r="O25">
        <v>4</v>
      </c>
      <c r="P25" t="s">
        <v>218</v>
      </c>
      <c r="S25" t="s">
        <v>473</v>
      </c>
      <c r="T25">
        <v>2</v>
      </c>
      <c r="U25" t="s">
        <v>474</v>
      </c>
    </row>
    <row r="26" spans="1:21" x14ac:dyDescent="0.85">
      <c r="A26" t="str">
        <f t="shared" si="0"/>
        <v>C1</v>
      </c>
      <c r="B26" t="str">
        <f t="shared" si="1"/>
        <v>C</v>
      </c>
      <c r="C26" t="s">
        <v>40</v>
      </c>
      <c r="D26" t="s">
        <v>41</v>
      </c>
      <c r="I26" t="s">
        <v>180</v>
      </c>
      <c r="J26" t="str">
        <f t="shared" si="2"/>
        <v>Travel debits &amp; credits</v>
      </c>
      <c r="N26" t="s">
        <v>219</v>
      </c>
      <c r="O26">
        <v>4</v>
      </c>
      <c r="P26" t="s">
        <v>220</v>
      </c>
      <c r="S26" t="s">
        <v>505</v>
      </c>
      <c r="T26">
        <v>2</v>
      </c>
      <c r="U26" t="s">
        <v>105</v>
      </c>
    </row>
    <row r="27" spans="1:21" x14ac:dyDescent="0.85">
      <c r="A27" t="str">
        <f t="shared" si="0"/>
        <v>C1</v>
      </c>
      <c r="B27" t="str">
        <f t="shared" si="1"/>
        <v>C</v>
      </c>
      <c r="C27" t="s">
        <v>42</v>
      </c>
      <c r="D27" t="s">
        <v>43</v>
      </c>
      <c r="N27" t="s">
        <v>221</v>
      </c>
      <c r="O27">
        <v>4</v>
      </c>
      <c r="P27" t="s">
        <v>222</v>
      </c>
      <c r="S27" t="s">
        <v>510</v>
      </c>
      <c r="T27">
        <v>2</v>
      </c>
      <c r="U27" t="s">
        <v>107</v>
      </c>
    </row>
    <row r="28" spans="1:21" x14ac:dyDescent="0.85">
      <c r="A28" t="str">
        <f t="shared" si="0"/>
        <v>C1</v>
      </c>
      <c r="B28" t="str">
        <f t="shared" si="1"/>
        <v>C</v>
      </c>
      <c r="C28" t="s">
        <v>44</v>
      </c>
      <c r="D28" t="s">
        <v>45</v>
      </c>
      <c r="N28" t="s">
        <v>8</v>
      </c>
      <c r="O28">
        <v>3</v>
      </c>
      <c r="P28" t="s">
        <v>223</v>
      </c>
      <c r="S28" t="s">
        <v>515</v>
      </c>
      <c r="T28">
        <v>2</v>
      </c>
      <c r="U28" t="s">
        <v>516</v>
      </c>
    </row>
    <row r="29" spans="1:21" x14ac:dyDescent="0.85">
      <c r="A29" t="str">
        <f t="shared" si="0"/>
        <v>C1</v>
      </c>
      <c r="B29" t="str">
        <f t="shared" si="1"/>
        <v>C</v>
      </c>
      <c r="C29" t="s">
        <v>46</v>
      </c>
      <c r="D29" t="s">
        <v>47</v>
      </c>
      <c r="N29" t="s">
        <v>224</v>
      </c>
      <c r="O29">
        <v>4</v>
      </c>
      <c r="P29" t="s">
        <v>225</v>
      </c>
      <c r="S29" t="s">
        <v>522</v>
      </c>
      <c r="T29">
        <v>2</v>
      </c>
      <c r="U29" t="s">
        <v>113</v>
      </c>
    </row>
    <row r="30" spans="1:21" x14ac:dyDescent="0.85">
      <c r="A30" t="str">
        <f t="shared" si="0"/>
        <v>C2</v>
      </c>
      <c r="B30" t="str">
        <f t="shared" si="1"/>
        <v>C</v>
      </c>
      <c r="C30" t="s">
        <v>48</v>
      </c>
      <c r="D30" t="s">
        <v>49</v>
      </c>
      <c r="N30" t="s">
        <v>226</v>
      </c>
      <c r="O30">
        <v>4</v>
      </c>
      <c r="P30" t="s">
        <v>227</v>
      </c>
      <c r="S30" t="s">
        <v>527</v>
      </c>
      <c r="T30">
        <v>2</v>
      </c>
      <c r="U30" t="s">
        <v>528</v>
      </c>
    </row>
    <row r="31" spans="1:21" x14ac:dyDescent="0.85">
      <c r="A31" t="str">
        <f t="shared" si="0"/>
        <v>C2</v>
      </c>
      <c r="B31" t="str">
        <f t="shared" si="1"/>
        <v>C</v>
      </c>
      <c r="C31" t="s">
        <v>50</v>
      </c>
      <c r="D31" t="s">
        <v>51</v>
      </c>
      <c r="N31" t="s">
        <v>228</v>
      </c>
      <c r="O31">
        <v>4</v>
      </c>
      <c r="P31" t="s">
        <v>229</v>
      </c>
      <c r="S31" t="s">
        <v>535</v>
      </c>
      <c r="T31">
        <v>2</v>
      </c>
      <c r="U31" t="s">
        <v>117</v>
      </c>
    </row>
    <row r="32" spans="1:21" x14ac:dyDescent="0.85">
      <c r="A32" t="str">
        <f t="shared" si="0"/>
        <v>C2</v>
      </c>
      <c r="B32" t="str">
        <f t="shared" si="1"/>
        <v>C</v>
      </c>
      <c r="C32" t="s">
        <v>52</v>
      </c>
      <c r="D32" t="s">
        <v>53</v>
      </c>
      <c r="N32" t="s">
        <v>230</v>
      </c>
      <c r="O32">
        <v>2</v>
      </c>
      <c r="P32" t="s">
        <v>231</v>
      </c>
      <c r="S32" t="s">
        <v>538</v>
      </c>
      <c r="T32">
        <v>2</v>
      </c>
      <c r="U32" t="s">
        <v>119</v>
      </c>
    </row>
    <row r="33" spans="1:21" x14ac:dyDescent="0.85">
      <c r="A33" t="str">
        <f t="shared" si="0"/>
        <v>C3</v>
      </c>
      <c r="B33" t="str">
        <f t="shared" si="1"/>
        <v>C</v>
      </c>
      <c r="C33" t="s">
        <v>54</v>
      </c>
      <c r="D33" t="s">
        <v>55</v>
      </c>
      <c r="N33" t="s">
        <v>10</v>
      </c>
      <c r="O33">
        <v>3</v>
      </c>
      <c r="P33" t="s">
        <v>11</v>
      </c>
      <c r="S33" t="s">
        <v>540</v>
      </c>
      <c r="T33">
        <v>2</v>
      </c>
      <c r="U33" t="s">
        <v>541</v>
      </c>
    </row>
    <row r="34" spans="1:21" x14ac:dyDescent="0.85">
      <c r="A34" t="str">
        <f t="shared" si="0"/>
        <v>C4</v>
      </c>
      <c r="B34" t="str">
        <f t="shared" si="1"/>
        <v>C</v>
      </c>
      <c r="C34" t="s">
        <v>56</v>
      </c>
      <c r="D34" t="s">
        <v>57</v>
      </c>
      <c r="N34" t="s">
        <v>232</v>
      </c>
      <c r="O34">
        <v>4</v>
      </c>
      <c r="P34" t="s">
        <v>233</v>
      </c>
      <c r="S34" t="s">
        <v>552</v>
      </c>
      <c r="T34">
        <v>2</v>
      </c>
      <c r="U34" t="s">
        <v>553</v>
      </c>
    </row>
    <row r="35" spans="1:21" x14ac:dyDescent="0.85">
      <c r="A35" t="str">
        <f t="shared" si="0"/>
        <v>C4</v>
      </c>
      <c r="B35" t="str">
        <f t="shared" si="1"/>
        <v>C</v>
      </c>
      <c r="C35" t="s">
        <v>58</v>
      </c>
      <c r="D35" t="s">
        <v>59</v>
      </c>
      <c r="N35" t="s">
        <v>12</v>
      </c>
      <c r="O35">
        <v>3</v>
      </c>
      <c r="P35" t="s">
        <v>13</v>
      </c>
      <c r="S35" t="s">
        <v>559</v>
      </c>
      <c r="T35">
        <v>2</v>
      </c>
      <c r="U35" t="s">
        <v>560</v>
      </c>
    </row>
    <row r="36" spans="1:21" x14ac:dyDescent="0.85">
      <c r="A36" t="str">
        <f t="shared" si="0"/>
        <v>C5</v>
      </c>
      <c r="B36" t="str">
        <f t="shared" si="1"/>
        <v>C</v>
      </c>
      <c r="C36" t="s">
        <v>60</v>
      </c>
      <c r="D36" t="s">
        <v>61</v>
      </c>
      <c r="N36" t="s">
        <v>234</v>
      </c>
      <c r="O36">
        <v>4</v>
      </c>
      <c r="P36" t="s">
        <v>13</v>
      </c>
      <c r="S36" t="s">
        <v>578</v>
      </c>
      <c r="T36">
        <v>2</v>
      </c>
      <c r="U36" t="s">
        <v>579</v>
      </c>
    </row>
    <row r="37" spans="1:21" x14ac:dyDescent="0.85">
      <c r="A37" t="str">
        <f t="shared" si="0"/>
        <v>C5</v>
      </c>
      <c r="B37" t="str">
        <f t="shared" si="1"/>
        <v>C</v>
      </c>
      <c r="C37" t="s">
        <v>62</v>
      </c>
      <c r="D37" t="s">
        <v>63</v>
      </c>
      <c r="N37" t="s">
        <v>14</v>
      </c>
      <c r="O37">
        <v>3</v>
      </c>
      <c r="P37" t="s">
        <v>15</v>
      </c>
      <c r="S37" t="s">
        <v>593</v>
      </c>
      <c r="T37">
        <v>2</v>
      </c>
      <c r="U37" t="s">
        <v>594</v>
      </c>
    </row>
    <row r="38" spans="1:21" x14ac:dyDescent="0.85">
      <c r="A38" t="str">
        <f t="shared" si="0"/>
        <v>C5</v>
      </c>
      <c r="B38" t="str">
        <f t="shared" si="1"/>
        <v>C</v>
      </c>
      <c r="C38" t="s">
        <v>64</v>
      </c>
      <c r="D38" t="s">
        <v>65</v>
      </c>
      <c r="N38" t="s">
        <v>235</v>
      </c>
      <c r="O38">
        <v>4</v>
      </c>
      <c r="P38" t="s">
        <v>236</v>
      </c>
      <c r="S38" t="s">
        <v>601</v>
      </c>
      <c r="T38">
        <v>2</v>
      </c>
      <c r="U38" t="s">
        <v>143</v>
      </c>
    </row>
    <row r="39" spans="1:21" x14ac:dyDescent="0.85">
      <c r="A39" t="str">
        <f t="shared" si="0"/>
        <v>C5</v>
      </c>
      <c r="B39" t="str">
        <f t="shared" si="1"/>
        <v>C</v>
      </c>
      <c r="C39" t="s">
        <v>66</v>
      </c>
      <c r="D39" t="s">
        <v>67</v>
      </c>
      <c r="N39" t="s">
        <v>237</v>
      </c>
      <c r="O39">
        <v>4</v>
      </c>
      <c r="P39" t="s">
        <v>238</v>
      </c>
      <c r="S39" t="s">
        <v>612</v>
      </c>
      <c r="T39">
        <v>2</v>
      </c>
      <c r="U39" t="s">
        <v>613</v>
      </c>
    </row>
    <row r="40" spans="1:21" x14ac:dyDescent="0.85">
      <c r="A40" t="str">
        <f t="shared" si="0"/>
        <v>C6</v>
      </c>
      <c r="B40" t="str">
        <f t="shared" si="1"/>
        <v>C</v>
      </c>
      <c r="C40" t="s">
        <v>68</v>
      </c>
      <c r="D40" t="s">
        <v>69</v>
      </c>
      <c r="N40" t="s">
        <v>239</v>
      </c>
      <c r="O40">
        <v>4</v>
      </c>
      <c r="P40" t="s">
        <v>240</v>
      </c>
      <c r="S40" t="s">
        <v>619</v>
      </c>
      <c r="T40">
        <v>2</v>
      </c>
      <c r="U40" t="s">
        <v>620</v>
      </c>
    </row>
    <row r="41" spans="1:21" x14ac:dyDescent="0.85">
      <c r="A41" t="str">
        <f t="shared" si="0"/>
        <v>C6</v>
      </c>
      <c r="B41" t="str">
        <f t="shared" si="1"/>
        <v>C</v>
      </c>
      <c r="C41" t="s">
        <v>70</v>
      </c>
      <c r="D41" t="s">
        <v>71</v>
      </c>
      <c r="N41" t="s">
        <v>241</v>
      </c>
      <c r="O41">
        <v>4</v>
      </c>
      <c r="P41" t="s">
        <v>242</v>
      </c>
      <c r="S41" t="s">
        <v>633</v>
      </c>
      <c r="T41">
        <v>2</v>
      </c>
      <c r="U41" t="s">
        <v>153</v>
      </c>
    </row>
    <row r="42" spans="1:21" x14ac:dyDescent="0.85">
      <c r="A42" t="str">
        <f t="shared" si="0"/>
        <v>C6</v>
      </c>
      <c r="B42" t="str">
        <f t="shared" si="1"/>
        <v>C</v>
      </c>
      <c r="C42" t="s">
        <v>72</v>
      </c>
      <c r="D42" t="s">
        <v>73</v>
      </c>
      <c r="N42" t="s">
        <v>243</v>
      </c>
      <c r="O42">
        <v>2</v>
      </c>
      <c r="P42" t="s">
        <v>244</v>
      </c>
      <c r="S42" t="s">
        <v>642</v>
      </c>
      <c r="T42">
        <v>2</v>
      </c>
      <c r="U42" t="s">
        <v>155</v>
      </c>
    </row>
    <row r="43" spans="1:21" x14ac:dyDescent="0.85">
      <c r="A43" t="str">
        <f t="shared" si="0"/>
        <v>C7</v>
      </c>
      <c r="B43" t="str">
        <f t="shared" si="1"/>
        <v>C</v>
      </c>
      <c r="C43" t="s">
        <v>74</v>
      </c>
      <c r="D43" t="s">
        <v>75</v>
      </c>
      <c r="N43" t="s">
        <v>16</v>
      </c>
      <c r="O43">
        <v>3</v>
      </c>
      <c r="P43" t="s">
        <v>17</v>
      </c>
      <c r="S43" t="s">
        <v>644</v>
      </c>
      <c r="T43">
        <v>2</v>
      </c>
      <c r="U43" t="s">
        <v>157</v>
      </c>
    </row>
    <row r="44" spans="1:21" x14ac:dyDescent="0.85">
      <c r="A44" t="str">
        <f t="shared" si="0"/>
        <v>C7</v>
      </c>
      <c r="B44" t="str">
        <f t="shared" si="1"/>
        <v>C</v>
      </c>
      <c r="C44" t="s">
        <v>76</v>
      </c>
      <c r="D44" t="s">
        <v>77</v>
      </c>
      <c r="N44" t="s">
        <v>245</v>
      </c>
      <c r="O44">
        <v>4</v>
      </c>
      <c r="P44" t="s">
        <v>246</v>
      </c>
      <c r="S44" t="s">
        <v>649</v>
      </c>
      <c r="T44">
        <v>2</v>
      </c>
      <c r="U44" t="s">
        <v>159</v>
      </c>
    </row>
    <row r="45" spans="1:21" x14ac:dyDescent="0.85">
      <c r="A45" t="str">
        <f t="shared" si="0"/>
        <v>C7</v>
      </c>
      <c r="B45" t="str">
        <f t="shared" si="1"/>
        <v>C</v>
      </c>
      <c r="C45" t="s">
        <v>78</v>
      </c>
      <c r="D45" t="s">
        <v>79</v>
      </c>
      <c r="N45" t="s">
        <v>247</v>
      </c>
      <c r="O45">
        <v>4</v>
      </c>
      <c r="P45" t="s">
        <v>248</v>
      </c>
      <c r="S45" t="s">
        <v>0</v>
      </c>
      <c r="T45">
        <v>3</v>
      </c>
      <c r="U45" t="s">
        <v>1</v>
      </c>
    </row>
    <row r="46" spans="1:21" x14ac:dyDescent="0.85">
      <c r="A46" t="str">
        <f t="shared" si="0"/>
        <v>C8</v>
      </c>
      <c r="B46" t="str">
        <f t="shared" si="1"/>
        <v>C</v>
      </c>
      <c r="C46" t="s">
        <v>80</v>
      </c>
      <c r="D46" t="s">
        <v>81</v>
      </c>
      <c r="N46" t="s">
        <v>249</v>
      </c>
      <c r="O46">
        <v>4</v>
      </c>
      <c r="P46" t="s">
        <v>250</v>
      </c>
      <c r="S46" t="s">
        <v>2</v>
      </c>
      <c r="T46">
        <v>3</v>
      </c>
      <c r="U46" t="s">
        <v>199</v>
      </c>
    </row>
    <row r="47" spans="1:21" x14ac:dyDescent="0.85">
      <c r="A47" t="str">
        <f t="shared" si="0"/>
        <v>C8</v>
      </c>
      <c r="B47" t="str">
        <f t="shared" si="1"/>
        <v>C</v>
      </c>
      <c r="C47" t="s">
        <v>82</v>
      </c>
      <c r="D47" t="s">
        <v>83</v>
      </c>
      <c r="N47" t="s">
        <v>251</v>
      </c>
      <c r="O47">
        <v>4</v>
      </c>
      <c r="P47" t="s">
        <v>252</v>
      </c>
      <c r="S47" t="s">
        <v>4</v>
      </c>
      <c r="T47">
        <v>3</v>
      </c>
      <c r="U47" t="s">
        <v>5</v>
      </c>
    </row>
    <row r="48" spans="1:21" x14ac:dyDescent="0.85">
      <c r="A48" t="str">
        <f t="shared" si="0"/>
        <v>C8</v>
      </c>
      <c r="B48" t="str">
        <f t="shared" si="1"/>
        <v>C</v>
      </c>
      <c r="C48" t="s">
        <v>84</v>
      </c>
      <c r="D48" t="s">
        <v>85</v>
      </c>
      <c r="N48" t="s">
        <v>18</v>
      </c>
      <c r="O48">
        <v>3</v>
      </c>
      <c r="P48" t="s">
        <v>253</v>
      </c>
      <c r="S48" t="s">
        <v>6</v>
      </c>
      <c r="T48">
        <v>3</v>
      </c>
      <c r="U48" t="s">
        <v>214</v>
      </c>
    </row>
    <row r="49" spans="1:21" x14ac:dyDescent="0.85">
      <c r="A49" t="str">
        <f t="shared" si="0"/>
        <v>D0</v>
      </c>
      <c r="B49" t="str">
        <f t="shared" si="1"/>
        <v>D</v>
      </c>
      <c r="C49" t="s">
        <v>86</v>
      </c>
      <c r="D49" t="s">
        <v>87</v>
      </c>
      <c r="N49" t="s">
        <v>254</v>
      </c>
      <c r="O49">
        <v>4</v>
      </c>
      <c r="P49" t="s">
        <v>255</v>
      </c>
      <c r="S49" t="s">
        <v>8</v>
      </c>
      <c r="T49">
        <v>3</v>
      </c>
      <c r="U49" t="s">
        <v>223</v>
      </c>
    </row>
    <row r="50" spans="1:21" x14ac:dyDescent="0.85">
      <c r="A50" t="str">
        <f t="shared" si="0"/>
        <v>E0</v>
      </c>
      <c r="B50" t="str">
        <f t="shared" si="1"/>
        <v>E</v>
      </c>
      <c r="C50" t="s">
        <v>88</v>
      </c>
      <c r="D50" t="s">
        <v>89</v>
      </c>
      <c r="N50" t="s">
        <v>256</v>
      </c>
      <c r="O50">
        <v>4</v>
      </c>
      <c r="P50" t="s">
        <v>257</v>
      </c>
      <c r="S50" t="s">
        <v>10</v>
      </c>
      <c r="T50">
        <v>3</v>
      </c>
      <c r="U50" t="s">
        <v>11</v>
      </c>
    </row>
    <row r="51" spans="1:21" x14ac:dyDescent="0.85">
      <c r="A51" t="str">
        <f t="shared" si="0"/>
        <v>E0</v>
      </c>
      <c r="B51" t="str">
        <f t="shared" si="1"/>
        <v>E</v>
      </c>
      <c r="C51" t="s">
        <v>90</v>
      </c>
      <c r="D51" t="s">
        <v>91</v>
      </c>
      <c r="N51" t="s">
        <v>258</v>
      </c>
      <c r="O51">
        <v>4</v>
      </c>
      <c r="P51" t="s">
        <v>259</v>
      </c>
      <c r="S51" t="s">
        <v>12</v>
      </c>
      <c r="T51">
        <v>3</v>
      </c>
      <c r="U51" t="s">
        <v>13</v>
      </c>
    </row>
    <row r="52" spans="1:21" x14ac:dyDescent="0.85">
      <c r="A52" t="str">
        <f t="shared" si="0"/>
        <v>F0</v>
      </c>
      <c r="B52" t="str">
        <f t="shared" si="1"/>
        <v>F</v>
      </c>
      <c r="C52" t="s">
        <v>92</v>
      </c>
      <c r="D52" t="s">
        <v>93</v>
      </c>
      <c r="N52" t="s">
        <v>260</v>
      </c>
      <c r="O52">
        <v>4</v>
      </c>
      <c r="P52" t="s">
        <v>261</v>
      </c>
      <c r="S52" t="s">
        <v>14</v>
      </c>
      <c r="T52">
        <v>3</v>
      </c>
      <c r="U52" t="s">
        <v>15</v>
      </c>
    </row>
    <row r="53" spans="1:21" x14ac:dyDescent="0.85">
      <c r="A53" t="str">
        <f t="shared" si="0"/>
        <v>F0</v>
      </c>
      <c r="B53" t="str">
        <f t="shared" si="1"/>
        <v>F</v>
      </c>
      <c r="C53" t="s">
        <v>94</v>
      </c>
      <c r="D53" t="s">
        <v>95</v>
      </c>
      <c r="N53" t="s">
        <v>262</v>
      </c>
      <c r="O53">
        <v>2</v>
      </c>
      <c r="P53" t="s">
        <v>263</v>
      </c>
      <c r="S53" t="s">
        <v>16</v>
      </c>
      <c r="T53">
        <v>3</v>
      </c>
      <c r="U53" t="s">
        <v>17</v>
      </c>
    </row>
    <row r="54" spans="1:21" x14ac:dyDescent="0.85">
      <c r="A54" t="str">
        <f t="shared" si="0"/>
        <v>G1</v>
      </c>
      <c r="B54" t="str">
        <f t="shared" si="1"/>
        <v>G</v>
      </c>
      <c r="C54" t="s">
        <v>96</v>
      </c>
      <c r="D54" t="s">
        <v>97</v>
      </c>
      <c r="N54" t="s">
        <v>20</v>
      </c>
      <c r="O54">
        <v>3</v>
      </c>
      <c r="P54" t="s">
        <v>21</v>
      </c>
      <c r="S54" t="s">
        <v>18</v>
      </c>
      <c r="T54">
        <v>3</v>
      </c>
      <c r="U54" t="s">
        <v>253</v>
      </c>
    </row>
    <row r="55" spans="1:21" x14ac:dyDescent="0.85">
      <c r="A55" t="str">
        <f t="shared" si="0"/>
        <v>G2</v>
      </c>
      <c r="B55" t="str">
        <f t="shared" si="1"/>
        <v>G</v>
      </c>
      <c r="C55" t="s">
        <v>98</v>
      </c>
      <c r="D55" t="s">
        <v>99</v>
      </c>
      <c r="N55" t="s">
        <v>264</v>
      </c>
      <c r="O55">
        <v>4</v>
      </c>
      <c r="P55" t="s">
        <v>265</v>
      </c>
      <c r="S55" t="s">
        <v>20</v>
      </c>
      <c r="T55">
        <v>3</v>
      </c>
      <c r="U55" t="s">
        <v>21</v>
      </c>
    </row>
    <row r="56" spans="1:21" x14ac:dyDescent="0.85">
      <c r="A56" t="str">
        <f t="shared" si="0"/>
        <v>G2</v>
      </c>
      <c r="B56" t="str">
        <f t="shared" si="1"/>
        <v>G</v>
      </c>
      <c r="C56" t="s">
        <v>100</v>
      </c>
      <c r="D56" t="s">
        <v>101</v>
      </c>
      <c r="N56" t="s">
        <v>266</v>
      </c>
      <c r="O56">
        <v>4</v>
      </c>
      <c r="P56" t="s">
        <v>267</v>
      </c>
      <c r="S56" t="s">
        <v>22</v>
      </c>
      <c r="T56">
        <v>3</v>
      </c>
      <c r="U56" t="s">
        <v>23</v>
      </c>
    </row>
    <row r="57" spans="1:21" x14ac:dyDescent="0.85">
      <c r="A57" t="str">
        <f t="shared" si="0"/>
        <v>G2</v>
      </c>
      <c r="B57" t="str">
        <f t="shared" si="1"/>
        <v>G</v>
      </c>
      <c r="C57" t="s">
        <v>102</v>
      </c>
      <c r="D57" t="s">
        <v>103</v>
      </c>
      <c r="N57" t="s">
        <v>268</v>
      </c>
      <c r="O57">
        <v>4</v>
      </c>
      <c r="P57" t="s">
        <v>269</v>
      </c>
      <c r="S57" t="s">
        <v>24</v>
      </c>
      <c r="T57">
        <v>3</v>
      </c>
      <c r="U57" t="s">
        <v>25</v>
      </c>
    </row>
    <row r="58" spans="1:21" x14ac:dyDescent="0.85">
      <c r="A58" t="str">
        <f t="shared" si="0"/>
        <v>H1</v>
      </c>
      <c r="B58" t="str">
        <f t="shared" si="1"/>
        <v>H</v>
      </c>
      <c r="C58" t="s">
        <v>104</v>
      </c>
      <c r="D58" t="s">
        <v>105</v>
      </c>
      <c r="N58" t="s">
        <v>270</v>
      </c>
      <c r="O58">
        <v>2</v>
      </c>
      <c r="P58" t="s">
        <v>271</v>
      </c>
      <c r="S58" t="s">
        <v>26</v>
      </c>
      <c r="T58">
        <v>3</v>
      </c>
      <c r="U58" t="s">
        <v>27</v>
      </c>
    </row>
    <row r="59" spans="1:21" x14ac:dyDescent="0.85">
      <c r="A59" t="str">
        <f t="shared" si="0"/>
        <v>H2</v>
      </c>
      <c r="B59" t="str">
        <f t="shared" si="1"/>
        <v>H</v>
      </c>
      <c r="C59" t="s">
        <v>106</v>
      </c>
      <c r="D59" t="s">
        <v>107</v>
      </c>
      <c r="N59" t="s">
        <v>22</v>
      </c>
      <c r="O59">
        <v>3</v>
      </c>
      <c r="P59" t="s">
        <v>23</v>
      </c>
      <c r="S59" t="s">
        <v>28</v>
      </c>
      <c r="T59">
        <v>3</v>
      </c>
      <c r="U59" t="s">
        <v>29</v>
      </c>
    </row>
    <row r="60" spans="1:21" x14ac:dyDescent="0.85">
      <c r="A60" t="str">
        <f t="shared" si="0"/>
        <v>H3</v>
      </c>
      <c r="B60" t="str">
        <f t="shared" si="1"/>
        <v>H</v>
      </c>
      <c r="C60" t="s">
        <v>108</v>
      </c>
      <c r="D60" t="s">
        <v>109</v>
      </c>
      <c r="N60" t="s">
        <v>272</v>
      </c>
      <c r="O60">
        <v>4</v>
      </c>
      <c r="P60" t="s">
        <v>23</v>
      </c>
      <c r="S60" t="s">
        <v>30</v>
      </c>
      <c r="T60">
        <v>3</v>
      </c>
      <c r="U60" t="s">
        <v>288</v>
      </c>
    </row>
    <row r="61" spans="1:21" x14ac:dyDescent="0.85">
      <c r="A61" t="str">
        <f t="shared" si="0"/>
        <v>H3</v>
      </c>
      <c r="B61" t="str">
        <f t="shared" si="1"/>
        <v>H</v>
      </c>
      <c r="C61" t="s">
        <v>110</v>
      </c>
      <c r="D61" t="s">
        <v>111</v>
      </c>
      <c r="N61" t="s">
        <v>273</v>
      </c>
      <c r="O61">
        <v>2</v>
      </c>
      <c r="P61" t="s">
        <v>274</v>
      </c>
      <c r="S61" t="s">
        <v>32</v>
      </c>
      <c r="T61">
        <v>3</v>
      </c>
      <c r="U61" t="s">
        <v>293</v>
      </c>
    </row>
    <row r="62" spans="1:21" x14ac:dyDescent="0.85">
      <c r="A62" t="str">
        <f t="shared" si="0"/>
        <v>I0</v>
      </c>
      <c r="B62" t="str">
        <f t="shared" si="1"/>
        <v>I</v>
      </c>
      <c r="C62" t="s">
        <v>112</v>
      </c>
      <c r="D62" t="s">
        <v>113</v>
      </c>
      <c r="N62" t="s">
        <v>24</v>
      </c>
      <c r="O62">
        <v>3</v>
      </c>
      <c r="P62" t="s">
        <v>25</v>
      </c>
      <c r="S62" t="s">
        <v>34</v>
      </c>
      <c r="T62">
        <v>3</v>
      </c>
      <c r="U62" t="s">
        <v>295</v>
      </c>
    </row>
    <row r="63" spans="1:21" x14ac:dyDescent="0.85">
      <c r="A63" t="str">
        <f t="shared" si="0"/>
        <v>J1</v>
      </c>
      <c r="B63" t="str">
        <f t="shared" si="1"/>
        <v>J</v>
      </c>
      <c r="C63" t="s">
        <v>114</v>
      </c>
      <c r="D63" t="s">
        <v>115</v>
      </c>
      <c r="N63" t="s">
        <v>275</v>
      </c>
      <c r="O63">
        <v>4</v>
      </c>
      <c r="P63" t="s">
        <v>25</v>
      </c>
      <c r="S63" t="s">
        <v>36</v>
      </c>
      <c r="T63">
        <v>3</v>
      </c>
      <c r="U63" t="s">
        <v>300</v>
      </c>
    </row>
    <row r="64" spans="1:21" x14ac:dyDescent="0.85">
      <c r="A64" t="str">
        <f t="shared" si="0"/>
        <v>J2</v>
      </c>
      <c r="B64" t="str">
        <f t="shared" si="1"/>
        <v>J</v>
      </c>
      <c r="C64" t="s">
        <v>116</v>
      </c>
      <c r="D64" t="s">
        <v>117</v>
      </c>
      <c r="N64" t="s">
        <v>26</v>
      </c>
      <c r="O64">
        <v>3</v>
      </c>
      <c r="P64" t="s">
        <v>27</v>
      </c>
      <c r="S64" t="s">
        <v>38</v>
      </c>
      <c r="T64">
        <v>3</v>
      </c>
      <c r="U64" t="s">
        <v>39</v>
      </c>
    </row>
    <row r="65" spans="1:21" x14ac:dyDescent="0.85">
      <c r="A65" t="str">
        <f t="shared" si="0"/>
        <v>J3</v>
      </c>
      <c r="B65" t="str">
        <f t="shared" si="1"/>
        <v>J</v>
      </c>
      <c r="C65" t="s">
        <v>118</v>
      </c>
      <c r="D65" t="s">
        <v>119</v>
      </c>
      <c r="N65" t="s">
        <v>276</v>
      </c>
      <c r="O65">
        <v>4</v>
      </c>
      <c r="P65" t="s">
        <v>277</v>
      </c>
      <c r="S65" t="s">
        <v>40</v>
      </c>
      <c r="T65">
        <v>3</v>
      </c>
      <c r="U65" t="s">
        <v>41</v>
      </c>
    </row>
    <row r="66" spans="1:21" x14ac:dyDescent="0.85">
      <c r="A66" t="str">
        <f t="shared" si="0"/>
        <v>K0</v>
      </c>
      <c r="B66" t="str">
        <f t="shared" si="1"/>
        <v>K</v>
      </c>
      <c r="C66" t="s">
        <v>120</v>
      </c>
      <c r="D66" t="s">
        <v>121</v>
      </c>
      <c r="N66" t="s">
        <v>278</v>
      </c>
      <c r="O66">
        <v>4</v>
      </c>
      <c r="P66" t="s">
        <v>279</v>
      </c>
      <c r="S66" t="s">
        <v>42</v>
      </c>
      <c r="T66">
        <v>3</v>
      </c>
      <c r="U66" t="s">
        <v>43</v>
      </c>
    </row>
    <row r="67" spans="1:21" x14ac:dyDescent="0.85">
      <c r="A67" t="str">
        <f t="shared" si="0"/>
        <v>K0</v>
      </c>
      <c r="B67" t="str">
        <f t="shared" si="1"/>
        <v>K</v>
      </c>
      <c r="C67" t="s">
        <v>122</v>
      </c>
      <c r="D67" t="s">
        <v>123</v>
      </c>
      <c r="N67" t="s">
        <v>280</v>
      </c>
      <c r="O67">
        <v>4</v>
      </c>
      <c r="P67" t="s">
        <v>281</v>
      </c>
      <c r="S67" t="s">
        <v>44</v>
      </c>
      <c r="T67">
        <v>3</v>
      </c>
      <c r="U67" t="s">
        <v>45</v>
      </c>
    </row>
    <row r="68" spans="1:21" x14ac:dyDescent="0.85">
      <c r="A68" t="str">
        <f t="shared" si="0"/>
        <v>K0</v>
      </c>
      <c r="B68" t="str">
        <f t="shared" si="1"/>
        <v>K</v>
      </c>
      <c r="C68" t="s">
        <v>124</v>
      </c>
      <c r="D68" t="s">
        <v>125</v>
      </c>
      <c r="N68" t="s">
        <v>28</v>
      </c>
      <c r="O68">
        <v>3</v>
      </c>
      <c r="P68" t="s">
        <v>29</v>
      </c>
      <c r="S68" t="s">
        <v>46</v>
      </c>
      <c r="T68">
        <v>3</v>
      </c>
      <c r="U68" t="s">
        <v>47</v>
      </c>
    </row>
    <row r="69" spans="1:21" x14ac:dyDescent="0.85">
      <c r="A69" t="str">
        <f t="shared" si="0"/>
        <v>L0</v>
      </c>
      <c r="B69" t="str">
        <f t="shared" si="1"/>
        <v>L</v>
      </c>
      <c r="C69" t="s">
        <v>126</v>
      </c>
      <c r="D69" t="s">
        <v>127</v>
      </c>
      <c r="N69" t="s">
        <v>282</v>
      </c>
      <c r="O69">
        <v>4</v>
      </c>
      <c r="P69" t="s">
        <v>283</v>
      </c>
      <c r="S69" t="s">
        <v>48</v>
      </c>
      <c r="T69">
        <v>3</v>
      </c>
      <c r="U69" t="s">
        <v>49</v>
      </c>
    </row>
    <row r="70" spans="1:21" x14ac:dyDescent="0.85">
      <c r="A70" t="str">
        <f t="shared" si="0"/>
        <v>L0</v>
      </c>
      <c r="B70" t="str">
        <f t="shared" si="1"/>
        <v>L</v>
      </c>
      <c r="C70" t="s">
        <v>128</v>
      </c>
      <c r="D70" t="s">
        <v>129</v>
      </c>
      <c r="N70" t="s">
        <v>284</v>
      </c>
      <c r="O70">
        <v>4</v>
      </c>
      <c r="P70" t="s">
        <v>285</v>
      </c>
      <c r="S70" t="s">
        <v>50</v>
      </c>
      <c r="T70">
        <v>3</v>
      </c>
      <c r="U70" t="s">
        <v>51</v>
      </c>
    </row>
    <row r="71" spans="1:21" x14ac:dyDescent="0.85">
      <c r="A71" t="str">
        <f t="shared" ref="A71:A85" si="3">LEFT(C71,2)</f>
        <v>M0</v>
      </c>
      <c r="B71" t="str">
        <f t="shared" ref="B71:B85" si="4">LEFT(C71,1)</f>
        <v>M</v>
      </c>
      <c r="C71" t="s">
        <v>130</v>
      </c>
      <c r="D71" t="s">
        <v>131</v>
      </c>
      <c r="N71" t="s">
        <v>286</v>
      </c>
      <c r="O71">
        <v>2</v>
      </c>
      <c r="P71" t="s">
        <v>287</v>
      </c>
      <c r="S71" t="s">
        <v>52</v>
      </c>
      <c r="T71">
        <v>3</v>
      </c>
      <c r="U71" t="s">
        <v>53</v>
      </c>
    </row>
    <row r="72" spans="1:21" x14ac:dyDescent="0.85">
      <c r="A72" t="str">
        <f t="shared" si="3"/>
        <v>M0</v>
      </c>
      <c r="B72" t="str">
        <f t="shared" si="4"/>
        <v>M</v>
      </c>
      <c r="C72" t="s">
        <v>132</v>
      </c>
      <c r="D72" t="s">
        <v>133</v>
      </c>
      <c r="N72" t="s">
        <v>30</v>
      </c>
      <c r="O72">
        <v>3</v>
      </c>
      <c r="P72" t="s">
        <v>288</v>
      </c>
      <c r="S72" t="s">
        <v>54</v>
      </c>
      <c r="T72">
        <v>3</v>
      </c>
      <c r="U72" t="s">
        <v>55</v>
      </c>
    </row>
    <row r="73" spans="1:21" x14ac:dyDescent="0.85">
      <c r="A73" t="str">
        <f t="shared" si="3"/>
        <v>M0</v>
      </c>
      <c r="B73" t="str">
        <f t="shared" si="4"/>
        <v>M</v>
      </c>
      <c r="C73" t="s">
        <v>134</v>
      </c>
      <c r="D73" t="s">
        <v>135</v>
      </c>
      <c r="N73" t="s">
        <v>289</v>
      </c>
      <c r="O73">
        <v>4</v>
      </c>
      <c r="P73" t="s">
        <v>290</v>
      </c>
      <c r="S73" t="s">
        <v>56</v>
      </c>
      <c r="T73">
        <v>3</v>
      </c>
      <c r="U73" t="s">
        <v>352</v>
      </c>
    </row>
    <row r="74" spans="1:21" x14ac:dyDescent="0.85">
      <c r="A74" t="str">
        <f t="shared" si="3"/>
        <v>N0</v>
      </c>
      <c r="B74" t="str">
        <f t="shared" si="4"/>
        <v>N</v>
      </c>
      <c r="C74" t="s">
        <v>136</v>
      </c>
      <c r="D74" t="s">
        <v>137</v>
      </c>
      <c r="N74" t="s">
        <v>291</v>
      </c>
      <c r="O74">
        <v>4</v>
      </c>
      <c r="P74" t="s">
        <v>292</v>
      </c>
      <c r="S74" t="s">
        <v>58</v>
      </c>
      <c r="T74">
        <v>3</v>
      </c>
      <c r="U74" t="s">
        <v>359</v>
      </c>
    </row>
    <row r="75" spans="1:21" x14ac:dyDescent="0.85">
      <c r="A75" t="str">
        <f t="shared" si="3"/>
        <v>N0</v>
      </c>
      <c r="B75" t="str">
        <f t="shared" si="4"/>
        <v>N</v>
      </c>
      <c r="C75" t="s">
        <v>138</v>
      </c>
      <c r="D75" t="s">
        <v>139</v>
      </c>
      <c r="N75" t="s">
        <v>32</v>
      </c>
      <c r="O75">
        <v>3</v>
      </c>
      <c r="P75" t="s">
        <v>293</v>
      </c>
      <c r="S75" t="s">
        <v>60</v>
      </c>
      <c r="T75">
        <v>3</v>
      </c>
      <c r="U75" t="s">
        <v>364</v>
      </c>
    </row>
    <row r="76" spans="1:21" x14ac:dyDescent="0.85">
      <c r="A76" t="str">
        <f t="shared" si="3"/>
        <v>O0</v>
      </c>
      <c r="B76" t="str">
        <f t="shared" si="4"/>
        <v>O</v>
      </c>
      <c r="C76" t="s">
        <v>140</v>
      </c>
      <c r="D76" t="s">
        <v>141</v>
      </c>
      <c r="N76" t="s">
        <v>294</v>
      </c>
      <c r="O76">
        <v>4</v>
      </c>
      <c r="P76" t="s">
        <v>293</v>
      </c>
      <c r="S76" t="s">
        <v>62</v>
      </c>
      <c r="T76">
        <v>3</v>
      </c>
      <c r="U76" t="s">
        <v>367</v>
      </c>
    </row>
    <row r="77" spans="1:21" x14ac:dyDescent="0.85">
      <c r="A77" t="str">
        <f t="shared" si="3"/>
        <v>P0</v>
      </c>
      <c r="B77" t="str">
        <f t="shared" si="4"/>
        <v>P</v>
      </c>
      <c r="C77" t="s">
        <v>142</v>
      </c>
      <c r="D77" t="s">
        <v>143</v>
      </c>
      <c r="N77" t="s">
        <v>34</v>
      </c>
      <c r="O77">
        <v>3</v>
      </c>
      <c r="P77" t="s">
        <v>295</v>
      </c>
      <c r="S77" t="s">
        <v>64</v>
      </c>
      <c r="T77">
        <v>3</v>
      </c>
      <c r="U77" t="s">
        <v>65</v>
      </c>
    </row>
    <row r="78" spans="1:21" x14ac:dyDescent="0.85">
      <c r="A78" t="str">
        <f t="shared" si="3"/>
        <v>Q0</v>
      </c>
      <c r="B78" t="str">
        <f t="shared" si="4"/>
        <v>Q</v>
      </c>
      <c r="C78" t="s">
        <v>144</v>
      </c>
      <c r="D78" t="s">
        <v>145</v>
      </c>
      <c r="N78" t="s">
        <v>296</v>
      </c>
      <c r="O78">
        <v>4</v>
      </c>
      <c r="P78" t="s">
        <v>297</v>
      </c>
      <c r="S78" t="s">
        <v>66</v>
      </c>
      <c r="T78">
        <v>3</v>
      </c>
      <c r="U78" t="s">
        <v>377</v>
      </c>
    </row>
    <row r="79" spans="1:21" x14ac:dyDescent="0.85">
      <c r="A79" t="str">
        <f t="shared" si="3"/>
        <v>Q0</v>
      </c>
      <c r="B79" t="str">
        <f t="shared" si="4"/>
        <v>Q</v>
      </c>
      <c r="C79" t="s">
        <v>146</v>
      </c>
      <c r="D79" t="s">
        <v>147</v>
      </c>
      <c r="N79" t="s">
        <v>298</v>
      </c>
      <c r="O79">
        <v>4</v>
      </c>
      <c r="P79" t="s">
        <v>299</v>
      </c>
      <c r="S79" t="s">
        <v>68</v>
      </c>
      <c r="T79">
        <v>3</v>
      </c>
      <c r="U79" t="s">
        <v>69</v>
      </c>
    </row>
    <row r="80" spans="1:21" x14ac:dyDescent="0.85">
      <c r="A80" t="str">
        <f t="shared" si="3"/>
        <v>R0</v>
      </c>
      <c r="B80" t="str">
        <f t="shared" si="4"/>
        <v>R</v>
      </c>
      <c r="C80" t="s">
        <v>148</v>
      </c>
      <c r="D80" t="s">
        <v>149</v>
      </c>
      <c r="N80" t="s">
        <v>36</v>
      </c>
      <c r="O80">
        <v>3</v>
      </c>
      <c r="P80" t="s">
        <v>300</v>
      </c>
      <c r="S80" t="s">
        <v>70</v>
      </c>
      <c r="T80">
        <v>3</v>
      </c>
      <c r="U80" t="s">
        <v>388</v>
      </c>
    </row>
    <row r="81" spans="1:21" x14ac:dyDescent="0.85">
      <c r="A81" t="str">
        <f t="shared" si="3"/>
        <v>R0</v>
      </c>
      <c r="B81" t="str">
        <f t="shared" si="4"/>
        <v>R</v>
      </c>
      <c r="C81" t="s">
        <v>150</v>
      </c>
      <c r="D81" t="s">
        <v>151</v>
      </c>
      <c r="N81" t="s">
        <v>301</v>
      </c>
      <c r="O81">
        <v>4</v>
      </c>
      <c r="P81" t="s">
        <v>300</v>
      </c>
      <c r="S81" t="s">
        <v>72</v>
      </c>
      <c r="T81">
        <v>3</v>
      </c>
      <c r="U81" t="s">
        <v>73</v>
      </c>
    </row>
    <row r="82" spans="1:21" x14ac:dyDescent="0.85">
      <c r="A82" t="str">
        <f t="shared" si="3"/>
        <v>S0</v>
      </c>
      <c r="B82" t="str">
        <f t="shared" si="4"/>
        <v>S</v>
      </c>
      <c r="C82" t="s">
        <v>152</v>
      </c>
      <c r="D82" t="s">
        <v>153</v>
      </c>
      <c r="N82" t="s">
        <v>38</v>
      </c>
      <c r="O82">
        <v>3</v>
      </c>
      <c r="P82" t="s">
        <v>39</v>
      </c>
      <c r="S82" t="s">
        <v>74</v>
      </c>
      <c r="T82">
        <v>3</v>
      </c>
      <c r="U82" t="s">
        <v>397</v>
      </c>
    </row>
    <row r="83" spans="1:21" x14ac:dyDescent="0.85">
      <c r="A83" t="str">
        <f t="shared" si="3"/>
        <v>T0</v>
      </c>
      <c r="B83" t="str">
        <f t="shared" si="4"/>
        <v>T</v>
      </c>
      <c r="C83" t="s">
        <v>154</v>
      </c>
      <c r="D83" t="s">
        <v>155</v>
      </c>
      <c r="N83" t="s">
        <v>302</v>
      </c>
      <c r="O83">
        <v>4</v>
      </c>
      <c r="P83" t="s">
        <v>39</v>
      </c>
      <c r="S83" t="s">
        <v>76</v>
      </c>
      <c r="T83">
        <v>3</v>
      </c>
      <c r="U83" t="s">
        <v>404</v>
      </c>
    </row>
    <row r="84" spans="1:21" x14ac:dyDescent="0.85">
      <c r="A84" t="str">
        <f t="shared" si="3"/>
        <v>V0</v>
      </c>
      <c r="B84" t="str">
        <f t="shared" si="4"/>
        <v>V</v>
      </c>
      <c r="C84" t="s">
        <v>156</v>
      </c>
      <c r="D84" t="s">
        <v>157</v>
      </c>
      <c r="N84" t="s">
        <v>40</v>
      </c>
      <c r="O84">
        <v>3</v>
      </c>
      <c r="P84" t="s">
        <v>41</v>
      </c>
      <c r="S84" t="s">
        <v>78</v>
      </c>
      <c r="T84">
        <v>3</v>
      </c>
      <c r="U84" t="s">
        <v>79</v>
      </c>
    </row>
    <row r="85" spans="1:21" x14ac:dyDescent="0.85">
      <c r="A85" t="str">
        <f t="shared" si="3"/>
        <v>X0</v>
      </c>
      <c r="B85" t="str">
        <f t="shared" si="4"/>
        <v>X</v>
      </c>
      <c r="C85" t="s">
        <v>158</v>
      </c>
      <c r="D85" t="s">
        <v>159</v>
      </c>
      <c r="N85" t="s">
        <v>303</v>
      </c>
      <c r="O85">
        <v>4</v>
      </c>
      <c r="P85" t="s">
        <v>304</v>
      </c>
      <c r="S85" t="s">
        <v>80</v>
      </c>
      <c r="T85">
        <v>3</v>
      </c>
      <c r="U85" t="s">
        <v>81</v>
      </c>
    </row>
    <row r="86" spans="1:21" x14ac:dyDescent="0.85">
      <c r="N86" t="s">
        <v>305</v>
      </c>
      <c r="O86">
        <v>4</v>
      </c>
      <c r="P86" t="s">
        <v>306</v>
      </c>
      <c r="S86" t="s">
        <v>82</v>
      </c>
      <c r="T86">
        <v>3</v>
      </c>
      <c r="U86" t="s">
        <v>435</v>
      </c>
    </row>
    <row r="87" spans="1:21" x14ac:dyDescent="0.85">
      <c r="N87" t="s">
        <v>307</v>
      </c>
      <c r="O87">
        <v>4</v>
      </c>
      <c r="P87" t="s">
        <v>308</v>
      </c>
      <c r="S87" t="s">
        <v>84</v>
      </c>
      <c r="T87">
        <v>3</v>
      </c>
      <c r="U87" t="s">
        <v>444</v>
      </c>
    </row>
    <row r="88" spans="1:21" x14ac:dyDescent="0.85">
      <c r="N88" t="s">
        <v>309</v>
      </c>
      <c r="O88">
        <v>4</v>
      </c>
      <c r="P88" t="s">
        <v>310</v>
      </c>
      <c r="S88" t="s">
        <v>86</v>
      </c>
      <c r="T88">
        <v>3</v>
      </c>
      <c r="U88" t="s">
        <v>448</v>
      </c>
    </row>
    <row r="89" spans="1:21" x14ac:dyDescent="0.85">
      <c r="N89" t="s">
        <v>311</v>
      </c>
      <c r="O89">
        <v>4</v>
      </c>
      <c r="P89" t="s">
        <v>312</v>
      </c>
      <c r="S89" t="s">
        <v>88</v>
      </c>
      <c r="T89">
        <v>3</v>
      </c>
      <c r="U89" t="s">
        <v>452</v>
      </c>
    </row>
    <row r="90" spans="1:21" x14ac:dyDescent="0.85">
      <c r="N90" t="s">
        <v>42</v>
      </c>
      <c r="O90">
        <v>3</v>
      </c>
      <c r="P90" t="s">
        <v>43</v>
      </c>
      <c r="S90" t="s">
        <v>90</v>
      </c>
      <c r="T90">
        <v>3</v>
      </c>
      <c r="U90" t="s">
        <v>455</v>
      </c>
    </row>
    <row r="91" spans="1:21" x14ac:dyDescent="0.85">
      <c r="N91" t="s">
        <v>313</v>
      </c>
      <c r="O91">
        <v>4</v>
      </c>
      <c r="P91" t="s">
        <v>43</v>
      </c>
      <c r="S91" t="s">
        <v>92</v>
      </c>
      <c r="T91">
        <v>3</v>
      </c>
      <c r="U91" t="s">
        <v>93</v>
      </c>
    </row>
    <row r="92" spans="1:21" x14ac:dyDescent="0.85">
      <c r="N92" t="s">
        <v>44</v>
      </c>
      <c r="O92">
        <v>3</v>
      </c>
      <c r="P92" t="s">
        <v>45</v>
      </c>
      <c r="S92" t="s">
        <v>94</v>
      </c>
      <c r="T92">
        <v>3</v>
      </c>
      <c r="U92" t="s">
        <v>95</v>
      </c>
    </row>
    <row r="93" spans="1:21" x14ac:dyDescent="0.85">
      <c r="N93" t="s">
        <v>314</v>
      </c>
      <c r="O93">
        <v>4</v>
      </c>
      <c r="P93" t="s">
        <v>45</v>
      </c>
      <c r="S93" t="s">
        <v>96</v>
      </c>
      <c r="T93">
        <v>3</v>
      </c>
      <c r="U93" t="s">
        <v>471</v>
      </c>
    </row>
    <row r="94" spans="1:21" x14ac:dyDescent="0.85">
      <c r="N94" t="s">
        <v>46</v>
      </c>
      <c r="O94">
        <v>3</v>
      </c>
      <c r="P94" t="s">
        <v>47</v>
      </c>
      <c r="S94" t="s">
        <v>98</v>
      </c>
      <c r="T94">
        <v>3</v>
      </c>
      <c r="U94" t="s">
        <v>475</v>
      </c>
    </row>
    <row r="95" spans="1:21" x14ac:dyDescent="0.85">
      <c r="N95" t="s">
        <v>315</v>
      </c>
      <c r="O95">
        <v>4</v>
      </c>
      <c r="P95" t="s">
        <v>316</v>
      </c>
      <c r="S95" t="s">
        <v>100</v>
      </c>
      <c r="T95">
        <v>3</v>
      </c>
      <c r="U95" t="s">
        <v>477</v>
      </c>
    </row>
    <row r="96" spans="1:21" x14ac:dyDescent="0.85">
      <c r="N96" t="s">
        <v>317</v>
      </c>
      <c r="O96">
        <v>4</v>
      </c>
      <c r="P96" t="s">
        <v>318</v>
      </c>
      <c r="S96" t="s">
        <v>102</v>
      </c>
      <c r="T96">
        <v>3</v>
      </c>
      <c r="U96" t="s">
        <v>490</v>
      </c>
    </row>
    <row r="97" spans="14:21" x14ac:dyDescent="0.85">
      <c r="N97" t="s">
        <v>319</v>
      </c>
      <c r="O97">
        <v>4</v>
      </c>
      <c r="P97" t="s">
        <v>320</v>
      </c>
      <c r="S97" t="s">
        <v>104</v>
      </c>
      <c r="T97">
        <v>3</v>
      </c>
      <c r="U97" t="s">
        <v>105</v>
      </c>
    </row>
    <row r="98" spans="14:21" x14ac:dyDescent="0.85">
      <c r="N98" t="s">
        <v>321</v>
      </c>
      <c r="O98">
        <v>4</v>
      </c>
      <c r="P98" t="s">
        <v>322</v>
      </c>
      <c r="S98" t="s">
        <v>106</v>
      </c>
      <c r="T98">
        <v>3</v>
      </c>
      <c r="U98" t="s">
        <v>107</v>
      </c>
    </row>
    <row r="99" spans="14:21" x14ac:dyDescent="0.85">
      <c r="N99" t="s">
        <v>323</v>
      </c>
      <c r="O99">
        <v>4</v>
      </c>
      <c r="P99" t="s">
        <v>324</v>
      </c>
      <c r="S99" t="s">
        <v>108</v>
      </c>
      <c r="T99">
        <v>3</v>
      </c>
      <c r="U99" t="s">
        <v>109</v>
      </c>
    </row>
    <row r="100" spans="14:21" x14ac:dyDescent="0.85">
      <c r="N100" t="s">
        <v>325</v>
      </c>
      <c r="O100">
        <v>2</v>
      </c>
      <c r="P100" t="s">
        <v>326</v>
      </c>
      <c r="S100" t="s">
        <v>110</v>
      </c>
      <c r="T100">
        <v>3</v>
      </c>
      <c r="U100" t="s">
        <v>519</v>
      </c>
    </row>
    <row r="101" spans="14:21" x14ac:dyDescent="0.85">
      <c r="N101" t="s">
        <v>48</v>
      </c>
      <c r="O101">
        <v>3</v>
      </c>
      <c r="P101" t="s">
        <v>49</v>
      </c>
      <c r="S101" t="s">
        <v>112</v>
      </c>
      <c r="T101">
        <v>3</v>
      </c>
      <c r="U101" t="s">
        <v>113</v>
      </c>
    </row>
    <row r="102" spans="14:21" x14ac:dyDescent="0.85">
      <c r="N102" t="s">
        <v>327</v>
      </c>
      <c r="O102">
        <v>4</v>
      </c>
      <c r="P102" t="s">
        <v>328</v>
      </c>
      <c r="S102" t="s">
        <v>114</v>
      </c>
      <c r="T102">
        <v>3</v>
      </c>
      <c r="U102" t="s">
        <v>115</v>
      </c>
    </row>
    <row r="103" spans="14:21" x14ac:dyDescent="0.85">
      <c r="N103" t="s">
        <v>329</v>
      </c>
      <c r="O103">
        <v>4</v>
      </c>
      <c r="P103" t="s">
        <v>330</v>
      </c>
      <c r="S103" t="s">
        <v>116</v>
      </c>
      <c r="T103">
        <v>3</v>
      </c>
      <c r="U103" t="s">
        <v>117</v>
      </c>
    </row>
    <row r="104" spans="14:21" x14ac:dyDescent="0.85">
      <c r="N104" t="s">
        <v>331</v>
      </c>
      <c r="O104">
        <v>4</v>
      </c>
      <c r="P104" t="s">
        <v>332</v>
      </c>
      <c r="S104" t="s">
        <v>118</v>
      </c>
      <c r="T104">
        <v>3</v>
      </c>
      <c r="U104" t="s">
        <v>119</v>
      </c>
    </row>
    <row r="105" spans="14:21" x14ac:dyDescent="0.85">
      <c r="N105" t="s">
        <v>333</v>
      </c>
      <c r="O105">
        <v>4</v>
      </c>
      <c r="P105" t="s">
        <v>334</v>
      </c>
      <c r="S105" t="s">
        <v>120</v>
      </c>
      <c r="T105">
        <v>3</v>
      </c>
      <c r="U105" t="s">
        <v>121</v>
      </c>
    </row>
    <row r="106" spans="14:21" x14ac:dyDescent="0.85">
      <c r="N106" t="s">
        <v>335</v>
      </c>
      <c r="O106">
        <v>4</v>
      </c>
      <c r="P106" t="s">
        <v>336</v>
      </c>
      <c r="S106" t="s">
        <v>122</v>
      </c>
      <c r="T106">
        <v>3</v>
      </c>
      <c r="U106" t="s">
        <v>548</v>
      </c>
    </row>
    <row r="107" spans="14:21" x14ac:dyDescent="0.85">
      <c r="N107" t="s">
        <v>50</v>
      </c>
      <c r="O107">
        <v>3</v>
      </c>
      <c r="P107" t="s">
        <v>51</v>
      </c>
      <c r="S107" t="s">
        <v>124</v>
      </c>
      <c r="T107">
        <v>3</v>
      </c>
      <c r="U107" t="s">
        <v>125</v>
      </c>
    </row>
    <row r="108" spans="14:21" x14ac:dyDescent="0.85">
      <c r="N108" t="s">
        <v>337</v>
      </c>
      <c r="O108">
        <v>4</v>
      </c>
      <c r="P108" t="s">
        <v>338</v>
      </c>
      <c r="S108" t="s">
        <v>126</v>
      </c>
      <c r="T108">
        <v>3</v>
      </c>
      <c r="U108" t="s">
        <v>127</v>
      </c>
    </row>
    <row r="109" spans="14:21" x14ac:dyDescent="0.85">
      <c r="N109" t="s">
        <v>339</v>
      </c>
      <c r="O109">
        <v>4</v>
      </c>
      <c r="P109" t="s">
        <v>340</v>
      </c>
      <c r="S109" t="s">
        <v>128</v>
      </c>
      <c r="T109">
        <v>3</v>
      </c>
      <c r="U109" t="s">
        <v>129</v>
      </c>
    </row>
    <row r="110" spans="14:21" x14ac:dyDescent="0.85">
      <c r="N110" t="s">
        <v>52</v>
      </c>
      <c r="O110">
        <v>3</v>
      </c>
      <c r="P110" t="s">
        <v>53</v>
      </c>
      <c r="S110" t="s">
        <v>130</v>
      </c>
      <c r="T110">
        <v>3</v>
      </c>
      <c r="U110" t="s">
        <v>131</v>
      </c>
    </row>
    <row r="111" spans="14:21" x14ac:dyDescent="0.85">
      <c r="N111" t="s">
        <v>341</v>
      </c>
      <c r="O111">
        <v>4</v>
      </c>
      <c r="P111" t="s">
        <v>53</v>
      </c>
      <c r="S111" t="s">
        <v>132</v>
      </c>
      <c r="T111">
        <v>3</v>
      </c>
      <c r="U111" t="s">
        <v>567</v>
      </c>
    </row>
    <row r="112" spans="14:21" x14ac:dyDescent="0.85">
      <c r="N112" t="s">
        <v>342</v>
      </c>
      <c r="O112">
        <v>2</v>
      </c>
      <c r="P112" t="s">
        <v>343</v>
      </c>
      <c r="S112" t="s">
        <v>134</v>
      </c>
      <c r="T112">
        <v>3</v>
      </c>
      <c r="U112" t="s">
        <v>570</v>
      </c>
    </row>
    <row r="113" spans="14:21" x14ac:dyDescent="0.85">
      <c r="N113" t="s">
        <v>54</v>
      </c>
      <c r="O113">
        <v>3</v>
      </c>
      <c r="P113" t="s">
        <v>55</v>
      </c>
      <c r="S113" t="s">
        <v>136</v>
      </c>
      <c r="T113">
        <v>3</v>
      </c>
      <c r="U113" t="s">
        <v>580</v>
      </c>
    </row>
    <row r="114" spans="14:21" x14ac:dyDescent="0.85">
      <c r="N114" t="s">
        <v>344</v>
      </c>
      <c r="O114">
        <v>4</v>
      </c>
      <c r="P114" t="s">
        <v>345</v>
      </c>
      <c r="S114" t="s">
        <v>138</v>
      </c>
      <c r="T114">
        <v>3</v>
      </c>
      <c r="U114" t="s">
        <v>582</v>
      </c>
    </row>
    <row r="115" spans="14:21" x14ac:dyDescent="0.85">
      <c r="N115" t="s">
        <v>346</v>
      </c>
      <c r="O115">
        <v>4</v>
      </c>
      <c r="P115" t="s">
        <v>347</v>
      </c>
      <c r="S115" t="s">
        <v>140</v>
      </c>
      <c r="T115">
        <v>3</v>
      </c>
      <c r="U115" t="s">
        <v>594</v>
      </c>
    </row>
    <row r="116" spans="14:21" x14ac:dyDescent="0.85">
      <c r="N116" t="s">
        <v>348</v>
      </c>
      <c r="O116">
        <v>4</v>
      </c>
      <c r="P116" t="s">
        <v>349</v>
      </c>
      <c r="S116" t="s">
        <v>142</v>
      </c>
      <c r="T116">
        <v>3</v>
      </c>
      <c r="U116" t="s">
        <v>143</v>
      </c>
    </row>
    <row r="117" spans="14:21" x14ac:dyDescent="0.85">
      <c r="N117" t="s">
        <v>350</v>
      </c>
      <c r="O117">
        <v>2</v>
      </c>
      <c r="P117" t="s">
        <v>351</v>
      </c>
      <c r="S117" t="s">
        <v>144</v>
      </c>
      <c r="T117">
        <v>3</v>
      </c>
      <c r="U117" t="s">
        <v>145</v>
      </c>
    </row>
    <row r="118" spans="14:21" x14ac:dyDescent="0.85">
      <c r="N118" t="s">
        <v>56</v>
      </c>
      <c r="O118">
        <v>3</v>
      </c>
      <c r="P118" t="s">
        <v>352</v>
      </c>
      <c r="S118" t="s">
        <v>146</v>
      </c>
      <c r="T118">
        <v>3</v>
      </c>
      <c r="U118" t="s">
        <v>147</v>
      </c>
    </row>
    <row r="119" spans="14:21" x14ac:dyDescent="0.85">
      <c r="N119" t="s">
        <v>353</v>
      </c>
      <c r="O119">
        <v>4</v>
      </c>
      <c r="P119" t="s">
        <v>354</v>
      </c>
      <c r="S119" t="s">
        <v>148</v>
      </c>
      <c r="T119">
        <v>3</v>
      </c>
      <c r="U119" t="s">
        <v>621</v>
      </c>
    </row>
    <row r="120" spans="14:21" x14ac:dyDescent="0.85">
      <c r="N120" t="s">
        <v>355</v>
      </c>
      <c r="O120">
        <v>4</v>
      </c>
      <c r="P120" t="s">
        <v>356</v>
      </c>
      <c r="S120" t="s">
        <v>150</v>
      </c>
      <c r="T120">
        <v>3</v>
      </c>
      <c r="U120" t="s">
        <v>626</v>
      </c>
    </row>
    <row r="121" spans="14:21" x14ac:dyDescent="0.85">
      <c r="N121" t="s">
        <v>357</v>
      </c>
      <c r="O121">
        <v>4</v>
      </c>
      <c r="P121" t="s">
        <v>358</v>
      </c>
      <c r="S121" t="s">
        <v>152</v>
      </c>
      <c r="T121">
        <v>3</v>
      </c>
      <c r="U121" t="s">
        <v>153</v>
      </c>
    </row>
    <row r="122" spans="14:21" x14ac:dyDescent="0.85">
      <c r="N122" t="s">
        <v>58</v>
      </c>
      <c r="O122">
        <v>3</v>
      </c>
      <c r="P122" t="s">
        <v>359</v>
      </c>
      <c r="S122" t="s">
        <v>154</v>
      </c>
      <c r="T122">
        <v>3</v>
      </c>
      <c r="U122" t="s">
        <v>155</v>
      </c>
    </row>
    <row r="123" spans="14:21" x14ac:dyDescent="0.85">
      <c r="N123" t="s">
        <v>360</v>
      </c>
      <c r="O123">
        <v>4</v>
      </c>
      <c r="P123" t="s">
        <v>361</v>
      </c>
      <c r="S123" t="s">
        <v>156</v>
      </c>
      <c r="T123">
        <v>3</v>
      </c>
      <c r="U123" t="s">
        <v>157</v>
      </c>
    </row>
    <row r="124" spans="14:21" x14ac:dyDescent="0.85">
      <c r="N124" t="s">
        <v>362</v>
      </c>
      <c r="O124">
        <v>2</v>
      </c>
      <c r="P124" t="s">
        <v>363</v>
      </c>
      <c r="S124" t="s">
        <v>158</v>
      </c>
      <c r="T124">
        <v>3</v>
      </c>
      <c r="U124" t="s">
        <v>159</v>
      </c>
    </row>
    <row r="125" spans="14:21" x14ac:dyDescent="0.85">
      <c r="N125" t="s">
        <v>60</v>
      </c>
      <c r="O125">
        <v>3</v>
      </c>
      <c r="P125" t="s">
        <v>364</v>
      </c>
      <c r="S125" t="s">
        <v>189</v>
      </c>
      <c r="T125">
        <v>4</v>
      </c>
      <c r="U125" t="s">
        <v>190</v>
      </c>
    </row>
    <row r="126" spans="14:21" x14ac:dyDescent="0.85">
      <c r="N126" t="s">
        <v>365</v>
      </c>
      <c r="O126">
        <v>4</v>
      </c>
      <c r="P126" t="s">
        <v>366</v>
      </c>
      <c r="S126" t="s">
        <v>191</v>
      </c>
      <c r="T126">
        <v>4</v>
      </c>
      <c r="U126" t="s">
        <v>192</v>
      </c>
    </row>
    <row r="127" spans="14:21" x14ac:dyDescent="0.85">
      <c r="N127" t="s">
        <v>62</v>
      </c>
      <c r="O127">
        <v>3</v>
      </c>
      <c r="P127" t="s">
        <v>367</v>
      </c>
      <c r="S127" t="s">
        <v>193</v>
      </c>
      <c r="T127">
        <v>4</v>
      </c>
      <c r="U127" t="s">
        <v>194</v>
      </c>
    </row>
    <row r="128" spans="14:21" x14ac:dyDescent="0.85">
      <c r="N128" t="s">
        <v>368</v>
      </c>
      <c r="O128">
        <v>4</v>
      </c>
      <c r="P128" t="s">
        <v>369</v>
      </c>
      <c r="S128" t="s">
        <v>195</v>
      </c>
      <c r="T128">
        <v>4</v>
      </c>
      <c r="U128" t="s">
        <v>196</v>
      </c>
    </row>
    <row r="129" spans="14:21" x14ac:dyDescent="0.85">
      <c r="N129" t="s">
        <v>370</v>
      </c>
      <c r="O129">
        <v>4</v>
      </c>
      <c r="P129" t="s">
        <v>371</v>
      </c>
      <c r="S129" t="s">
        <v>197</v>
      </c>
      <c r="T129">
        <v>4</v>
      </c>
      <c r="U129" t="s">
        <v>198</v>
      </c>
    </row>
    <row r="130" spans="14:21" x14ac:dyDescent="0.85">
      <c r="N130" t="s">
        <v>372</v>
      </c>
      <c r="O130">
        <v>4</v>
      </c>
      <c r="P130" t="s">
        <v>373</v>
      </c>
      <c r="S130" t="s">
        <v>200</v>
      </c>
      <c r="T130">
        <v>4</v>
      </c>
      <c r="U130" t="s">
        <v>201</v>
      </c>
    </row>
    <row r="131" spans="14:21" x14ac:dyDescent="0.85">
      <c r="N131" t="s">
        <v>374</v>
      </c>
      <c r="O131">
        <v>4</v>
      </c>
      <c r="P131" t="s">
        <v>375</v>
      </c>
      <c r="S131" t="s">
        <v>202</v>
      </c>
      <c r="T131">
        <v>4</v>
      </c>
      <c r="U131" t="s">
        <v>203</v>
      </c>
    </row>
    <row r="132" spans="14:21" x14ac:dyDescent="0.85">
      <c r="N132" t="s">
        <v>64</v>
      </c>
      <c r="O132">
        <v>3</v>
      </c>
      <c r="P132" t="s">
        <v>65</v>
      </c>
      <c r="S132" t="s">
        <v>204</v>
      </c>
      <c r="T132">
        <v>4</v>
      </c>
      <c r="U132" t="s">
        <v>205</v>
      </c>
    </row>
    <row r="133" spans="14:21" x14ac:dyDescent="0.85">
      <c r="N133" t="s">
        <v>376</v>
      </c>
      <c r="O133">
        <v>4</v>
      </c>
      <c r="P133" t="s">
        <v>65</v>
      </c>
      <c r="S133" t="s">
        <v>206</v>
      </c>
      <c r="T133">
        <v>4</v>
      </c>
      <c r="U133" t="s">
        <v>207</v>
      </c>
    </row>
    <row r="134" spans="14:21" x14ac:dyDescent="0.85">
      <c r="N134" t="s">
        <v>66</v>
      </c>
      <c r="O134">
        <v>3</v>
      </c>
      <c r="P134" t="s">
        <v>377</v>
      </c>
      <c r="S134" t="s">
        <v>208</v>
      </c>
      <c r="T134">
        <v>4</v>
      </c>
      <c r="U134" t="s">
        <v>209</v>
      </c>
    </row>
    <row r="135" spans="14:21" x14ac:dyDescent="0.85">
      <c r="N135" t="s">
        <v>378</v>
      </c>
      <c r="O135">
        <v>4</v>
      </c>
      <c r="P135" t="s">
        <v>379</v>
      </c>
      <c r="S135" t="s">
        <v>210</v>
      </c>
      <c r="T135">
        <v>4</v>
      </c>
      <c r="U135" t="s">
        <v>211</v>
      </c>
    </row>
    <row r="136" spans="14:21" x14ac:dyDescent="0.85">
      <c r="N136" t="s">
        <v>380</v>
      </c>
      <c r="O136">
        <v>4</v>
      </c>
      <c r="P136" t="s">
        <v>381</v>
      </c>
      <c r="S136" t="s">
        <v>212</v>
      </c>
      <c r="T136">
        <v>4</v>
      </c>
      <c r="U136" t="s">
        <v>213</v>
      </c>
    </row>
    <row r="137" spans="14:21" x14ac:dyDescent="0.85">
      <c r="N137" t="s">
        <v>382</v>
      </c>
      <c r="O137">
        <v>4</v>
      </c>
      <c r="P137" t="s">
        <v>383</v>
      </c>
      <c r="S137" t="s">
        <v>215</v>
      </c>
      <c r="T137">
        <v>4</v>
      </c>
      <c r="U137" t="s">
        <v>216</v>
      </c>
    </row>
    <row r="138" spans="14:21" x14ac:dyDescent="0.85">
      <c r="N138" t="s">
        <v>384</v>
      </c>
      <c r="O138">
        <v>2</v>
      </c>
      <c r="P138" t="s">
        <v>385</v>
      </c>
      <c r="S138" t="s">
        <v>217</v>
      </c>
      <c r="T138">
        <v>4</v>
      </c>
      <c r="U138" t="s">
        <v>218</v>
      </c>
    </row>
    <row r="139" spans="14:21" x14ac:dyDescent="0.85">
      <c r="N139" t="s">
        <v>68</v>
      </c>
      <c r="O139">
        <v>3</v>
      </c>
      <c r="P139" t="s">
        <v>69</v>
      </c>
      <c r="S139" t="s">
        <v>219</v>
      </c>
      <c r="T139">
        <v>4</v>
      </c>
      <c r="U139" t="s">
        <v>220</v>
      </c>
    </row>
    <row r="140" spans="14:21" x14ac:dyDescent="0.85">
      <c r="N140" t="s">
        <v>386</v>
      </c>
      <c r="O140">
        <v>4</v>
      </c>
      <c r="P140" t="s">
        <v>387</v>
      </c>
      <c r="S140" t="s">
        <v>221</v>
      </c>
      <c r="T140">
        <v>4</v>
      </c>
      <c r="U140" t="s">
        <v>222</v>
      </c>
    </row>
    <row r="141" spans="14:21" x14ac:dyDescent="0.85">
      <c r="N141" t="s">
        <v>70</v>
      </c>
      <c r="O141">
        <v>3</v>
      </c>
      <c r="P141" t="s">
        <v>388</v>
      </c>
      <c r="S141" t="s">
        <v>224</v>
      </c>
      <c r="T141">
        <v>4</v>
      </c>
      <c r="U141" t="s">
        <v>225</v>
      </c>
    </row>
    <row r="142" spans="14:21" x14ac:dyDescent="0.85">
      <c r="N142" t="s">
        <v>389</v>
      </c>
      <c r="O142">
        <v>4</v>
      </c>
      <c r="P142" t="s">
        <v>390</v>
      </c>
      <c r="S142" t="s">
        <v>226</v>
      </c>
      <c r="T142">
        <v>4</v>
      </c>
      <c r="U142" t="s">
        <v>227</v>
      </c>
    </row>
    <row r="143" spans="14:21" x14ac:dyDescent="0.85">
      <c r="N143" t="s">
        <v>391</v>
      </c>
      <c r="O143">
        <v>4</v>
      </c>
      <c r="P143" t="s">
        <v>392</v>
      </c>
      <c r="S143" t="s">
        <v>228</v>
      </c>
      <c r="T143">
        <v>4</v>
      </c>
      <c r="U143" t="s">
        <v>229</v>
      </c>
    </row>
    <row r="144" spans="14:21" x14ac:dyDescent="0.85">
      <c r="N144" t="s">
        <v>72</v>
      </c>
      <c r="O144">
        <v>3</v>
      </c>
      <c r="P144" t="s">
        <v>73</v>
      </c>
      <c r="S144" t="s">
        <v>232</v>
      </c>
      <c r="T144">
        <v>4</v>
      </c>
      <c r="U144" t="s">
        <v>233</v>
      </c>
    </row>
    <row r="145" spans="14:21" x14ac:dyDescent="0.85">
      <c r="N145" t="s">
        <v>393</v>
      </c>
      <c r="O145">
        <v>4</v>
      </c>
      <c r="P145" t="s">
        <v>394</v>
      </c>
      <c r="S145" t="s">
        <v>234</v>
      </c>
      <c r="T145">
        <v>4</v>
      </c>
      <c r="U145" t="s">
        <v>13</v>
      </c>
    </row>
    <row r="146" spans="14:21" x14ac:dyDescent="0.85">
      <c r="N146" t="s">
        <v>395</v>
      </c>
      <c r="O146">
        <v>2</v>
      </c>
      <c r="P146" t="s">
        <v>396</v>
      </c>
      <c r="S146" t="s">
        <v>235</v>
      </c>
      <c r="T146">
        <v>4</v>
      </c>
      <c r="U146" t="s">
        <v>236</v>
      </c>
    </row>
    <row r="147" spans="14:21" x14ac:dyDescent="0.85">
      <c r="N147" t="s">
        <v>74</v>
      </c>
      <c r="O147">
        <v>3</v>
      </c>
      <c r="P147" t="s">
        <v>397</v>
      </c>
      <c r="S147" t="s">
        <v>237</v>
      </c>
      <c r="T147">
        <v>4</v>
      </c>
      <c r="U147" t="s">
        <v>238</v>
      </c>
    </row>
    <row r="148" spans="14:21" x14ac:dyDescent="0.85">
      <c r="N148" t="s">
        <v>398</v>
      </c>
      <c r="O148">
        <v>4</v>
      </c>
      <c r="P148" t="s">
        <v>399</v>
      </c>
      <c r="S148" t="s">
        <v>239</v>
      </c>
      <c r="T148">
        <v>4</v>
      </c>
      <c r="U148" t="s">
        <v>240</v>
      </c>
    </row>
    <row r="149" spans="14:21" x14ac:dyDescent="0.85">
      <c r="N149" t="s">
        <v>400</v>
      </c>
      <c r="O149">
        <v>4</v>
      </c>
      <c r="P149" t="s">
        <v>401</v>
      </c>
      <c r="S149" t="s">
        <v>241</v>
      </c>
      <c r="T149">
        <v>4</v>
      </c>
      <c r="U149" t="s">
        <v>242</v>
      </c>
    </row>
    <row r="150" spans="14:21" x14ac:dyDescent="0.85">
      <c r="N150" t="s">
        <v>402</v>
      </c>
      <c r="O150">
        <v>4</v>
      </c>
      <c r="P150" t="s">
        <v>403</v>
      </c>
      <c r="S150" t="s">
        <v>245</v>
      </c>
      <c r="T150">
        <v>4</v>
      </c>
      <c r="U150" t="s">
        <v>246</v>
      </c>
    </row>
    <row r="151" spans="14:21" x14ac:dyDescent="0.85">
      <c r="N151" t="s">
        <v>76</v>
      </c>
      <c r="O151">
        <v>3</v>
      </c>
      <c r="P151" t="s">
        <v>404</v>
      </c>
      <c r="S151" t="s">
        <v>247</v>
      </c>
      <c r="T151">
        <v>4</v>
      </c>
      <c r="U151" t="s">
        <v>248</v>
      </c>
    </row>
    <row r="152" spans="14:21" x14ac:dyDescent="0.85">
      <c r="N152" t="s">
        <v>405</v>
      </c>
      <c r="O152">
        <v>4</v>
      </c>
      <c r="P152" t="s">
        <v>406</v>
      </c>
      <c r="S152" t="s">
        <v>249</v>
      </c>
      <c r="T152">
        <v>4</v>
      </c>
      <c r="U152" t="s">
        <v>250</v>
      </c>
    </row>
    <row r="153" spans="14:21" x14ac:dyDescent="0.85">
      <c r="N153" t="s">
        <v>407</v>
      </c>
      <c r="O153">
        <v>4</v>
      </c>
      <c r="P153" t="s">
        <v>408</v>
      </c>
      <c r="S153" t="s">
        <v>251</v>
      </c>
      <c r="T153">
        <v>4</v>
      </c>
      <c r="U153" t="s">
        <v>252</v>
      </c>
    </row>
    <row r="154" spans="14:21" x14ac:dyDescent="0.85">
      <c r="N154" t="s">
        <v>409</v>
      </c>
      <c r="O154">
        <v>4</v>
      </c>
      <c r="P154" t="s">
        <v>410</v>
      </c>
      <c r="S154" t="s">
        <v>254</v>
      </c>
      <c r="T154">
        <v>4</v>
      </c>
      <c r="U154" t="s">
        <v>255</v>
      </c>
    </row>
    <row r="155" spans="14:21" x14ac:dyDescent="0.85">
      <c r="N155" t="s">
        <v>411</v>
      </c>
      <c r="O155">
        <v>4</v>
      </c>
      <c r="P155" t="s">
        <v>412</v>
      </c>
      <c r="S155" t="s">
        <v>256</v>
      </c>
      <c r="T155">
        <v>4</v>
      </c>
      <c r="U155" t="s">
        <v>257</v>
      </c>
    </row>
    <row r="156" spans="14:21" x14ac:dyDescent="0.85">
      <c r="N156" t="s">
        <v>413</v>
      </c>
      <c r="O156">
        <v>4</v>
      </c>
      <c r="P156" t="s">
        <v>414</v>
      </c>
      <c r="S156" t="s">
        <v>258</v>
      </c>
      <c r="T156">
        <v>4</v>
      </c>
      <c r="U156" t="s">
        <v>259</v>
      </c>
    </row>
    <row r="157" spans="14:21" x14ac:dyDescent="0.85">
      <c r="N157" t="s">
        <v>415</v>
      </c>
      <c r="O157">
        <v>4</v>
      </c>
      <c r="P157" t="s">
        <v>416</v>
      </c>
      <c r="S157" t="s">
        <v>260</v>
      </c>
      <c r="T157">
        <v>4</v>
      </c>
      <c r="U157" t="s">
        <v>261</v>
      </c>
    </row>
    <row r="158" spans="14:21" x14ac:dyDescent="0.85">
      <c r="N158" t="s">
        <v>417</v>
      </c>
      <c r="O158">
        <v>4</v>
      </c>
      <c r="P158" t="s">
        <v>418</v>
      </c>
      <c r="S158" t="s">
        <v>264</v>
      </c>
      <c r="T158">
        <v>4</v>
      </c>
      <c r="U158" t="s">
        <v>265</v>
      </c>
    </row>
    <row r="159" spans="14:21" x14ac:dyDescent="0.85">
      <c r="N159" t="s">
        <v>419</v>
      </c>
      <c r="O159">
        <v>4</v>
      </c>
      <c r="P159" t="s">
        <v>420</v>
      </c>
      <c r="S159" t="s">
        <v>266</v>
      </c>
      <c r="T159">
        <v>4</v>
      </c>
      <c r="U159" t="s">
        <v>267</v>
      </c>
    </row>
    <row r="160" spans="14:21" x14ac:dyDescent="0.85">
      <c r="N160" t="s">
        <v>421</v>
      </c>
      <c r="O160">
        <v>4</v>
      </c>
      <c r="P160" t="s">
        <v>422</v>
      </c>
      <c r="S160" t="s">
        <v>268</v>
      </c>
      <c r="T160">
        <v>4</v>
      </c>
      <c r="U160" t="s">
        <v>269</v>
      </c>
    </row>
    <row r="161" spans="14:21" x14ac:dyDescent="0.85">
      <c r="N161" t="s">
        <v>78</v>
      </c>
      <c r="O161">
        <v>3</v>
      </c>
      <c r="P161" t="s">
        <v>79</v>
      </c>
      <c r="S161" t="s">
        <v>272</v>
      </c>
      <c r="T161">
        <v>4</v>
      </c>
      <c r="U161" t="s">
        <v>23</v>
      </c>
    </row>
    <row r="162" spans="14:21" x14ac:dyDescent="0.85">
      <c r="N162" t="s">
        <v>423</v>
      </c>
      <c r="O162">
        <v>4</v>
      </c>
      <c r="P162" t="s">
        <v>424</v>
      </c>
      <c r="S162" t="s">
        <v>275</v>
      </c>
      <c r="T162">
        <v>4</v>
      </c>
      <c r="U162" t="s">
        <v>25</v>
      </c>
    </row>
    <row r="163" spans="14:21" x14ac:dyDescent="0.85">
      <c r="N163" t="s">
        <v>425</v>
      </c>
      <c r="O163">
        <v>4</v>
      </c>
      <c r="P163" t="s">
        <v>426</v>
      </c>
      <c r="S163" t="s">
        <v>276</v>
      </c>
      <c r="T163">
        <v>4</v>
      </c>
      <c r="U163" t="s">
        <v>277</v>
      </c>
    </row>
    <row r="164" spans="14:21" x14ac:dyDescent="0.85">
      <c r="N164" t="s">
        <v>427</v>
      </c>
      <c r="O164">
        <v>4</v>
      </c>
      <c r="P164" t="s">
        <v>428</v>
      </c>
      <c r="S164" t="s">
        <v>278</v>
      </c>
      <c r="T164">
        <v>4</v>
      </c>
      <c r="U164" t="s">
        <v>279</v>
      </c>
    </row>
    <row r="165" spans="14:21" x14ac:dyDescent="0.85">
      <c r="N165" t="s">
        <v>429</v>
      </c>
      <c r="O165">
        <v>2</v>
      </c>
      <c r="P165" t="s">
        <v>430</v>
      </c>
      <c r="S165" t="s">
        <v>280</v>
      </c>
      <c r="T165">
        <v>4</v>
      </c>
      <c r="U165" t="s">
        <v>281</v>
      </c>
    </row>
    <row r="166" spans="14:21" x14ac:dyDescent="0.85">
      <c r="N166" t="s">
        <v>80</v>
      </c>
      <c r="O166">
        <v>3</v>
      </c>
      <c r="P166" t="s">
        <v>81</v>
      </c>
      <c r="S166" t="s">
        <v>282</v>
      </c>
      <c r="T166">
        <v>4</v>
      </c>
      <c r="U166" t="s">
        <v>283</v>
      </c>
    </row>
    <row r="167" spans="14:21" x14ac:dyDescent="0.85">
      <c r="N167" t="s">
        <v>431</v>
      </c>
      <c r="O167">
        <v>4</v>
      </c>
      <c r="P167" t="s">
        <v>432</v>
      </c>
      <c r="S167" t="s">
        <v>284</v>
      </c>
      <c r="T167">
        <v>4</v>
      </c>
      <c r="U167" t="s">
        <v>285</v>
      </c>
    </row>
    <row r="168" spans="14:21" x14ac:dyDescent="0.85">
      <c r="N168" t="s">
        <v>433</v>
      </c>
      <c r="O168">
        <v>4</v>
      </c>
      <c r="P168" t="s">
        <v>434</v>
      </c>
      <c r="S168" t="s">
        <v>289</v>
      </c>
      <c r="T168">
        <v>4</v>
      </c>
      <c r="U168" t="s">
        <v>290</v>
      </c>
    </row>
    <row r="169" spans="14:21" x14ac:dyDescent="0.85">
      <c r="N169" t="s">
        <v>82</v>
      </c>
      <c r="O169">
        <v>3</v>
      </c>
      <c r="P169" t="s">
        <v>435</v>
      </c>
      <c r="S169" t="s">
        <v>291</v>
      </c>
      <c r="T169">
        <v>4</v>
      </c>
      <c r="U169" t="s">
        <v>292</v>
      </c>
    </row>
    <row r="170" spans="14:21" x14ac:dyDescent="0.85">
      <c r="N170" t="s">
        <v>436</v>
      </c>
      <c r="O170">
        <v>4</v>
      </c>
      <c r="P170" t="s">
        <v>437</v>
      </c>
      <c r="S170" t="s">
        <v>294</v>
      </c>
      <c r="T170">
        <v>4</v>
      </c>
      <c r="U170" t="s">
        <v>293</v>
      </c>
    </row>
    <row r="171" spans="14:21" x14ac:dyDescent="0.85">
      <c r="N171" t="s">
        <v>438</v>
      </c>
      <c r="O171">
        <v>4</v>
      </c>
      <c r="P171" t="s">
        <v>439</v>
      </c>
      <c r="S171" t="s">
        <v>296</v>
      </c>
      <c r="T171">
        <v>4</v>
      </c>
      <c r="U171" t="s">
        <v>297</v>
      </c>
    </row>
    <row r="172" spans="14:21" x14ac:dyDescent="0.85">
      <c r="N172" t="s">
        <v>440</v>
      </c>
      <c r="O172">
        <v>4</v>
      </c>
      <c r="P172" t="s">
        <v>441</v>
      </c>
      <c r="S172" t="s">
        <v>298</v>
      </c>
      <c r="T172">
        <v>4</v>
      </c>
      <c r="U172" t="s">
        <v>299</v>
      </c>
    </row>
    <row r="173" spans="14:21" x14ac:dyDescent="0.85">
      <c r="N173" t="s">
        <v>442</v>
      </c>
      <c r="O173">
        <v>4</v>
      </c>
      <c r="P173" t="s">
        <v>443</v>
      </c>
      <c r="S173" t="s">
        <v>301</v>
      </c>
      <c r="T173">
        <v>4</v>
      </c>
      <c r="U173" t="s">
        <v>300</v>
      </c>
    </row>
    <row r="174" spans="14:21" x14ac:dyDescent="0.85">
      <c r="N174" t="s">
        <v>84</v>
      </c>
      <c r="O174">
        <v>3</v>
      </c>
      <c r="P174" t="s">
        <v>444</v>
      </c>
      <c r="S174" t="s">
        <v>302</v>
      </c>
      <c r="T174">
        <v>4</v>
      </c>
      <c r="U174" t="s">
        <v>39</v>
      </c>
    </row>
    <row r="175" spans="14:21" x14ac:dyDescent="0.85">
      <c r="N175" t="s">
        <v>445</v>
      </c>
      <c r="O175">
        <v>4</v>
      </c>
      <c r="P175" t="s">
        <v>444</v>
      </c>
      <c r="S175" t="s">
        <v>303</v>
      </c>
      <c r="T175">
        <v>4</v>
      </c>
      <c r="U175" t="s">
        <v>304</v>
      </c>
    </row>
    <row r="176" spans="14:21" x14ac:dyDescent="0.85">
      <c r="N176" t="s">
        <v>446</v>
      </c>
      <c r="O176">
        <v>2</v>
      </c>
      <c r="P176" t="s">
        <v>447</v>
      </c>
      <c r="S176" t="s">
        <v>305</v>
      </c>
      <c r="T176">
        <v>4</v>
      </c>
      <c r="U176" t="s">
        <v>306</v>
      </c>
    </row>
    <row r="177" spans="14:21" x14ac:dyDescent="0.85">
      <c r="N177" t="s">
        <v>86</v>
      </c>
      <c r="O177">
        <v>3</v>
      </c>
      <c r="P177" t="s">
        <v>448</v>
      </c>
      <c r="S177" t="s">
        <v>307</v>
      </c>
      <c r="T177">
        <v>4</v>
      </c>
      <c r="U177" t="s">
        <v>308</v>
      </c>
    </row>
    <row r="178" spans="14:21" x14ac:dyDescent="0.85">
      <c r="N178" t="s">
        <v>449</v>
      </c>
      <c r="O178">
        <v>4</v>
      </c>
      <c r="P178" t="s">
        <v>447</v>
      </c>
      <c r="S178" t="s">
        <v>309</v>
      </c>
      <c r="T178">
        <v>4</v>
      </c>
      <c r="U178" t="s">
        <v>310</v>
      </c>
    </row>
    <row r="179" spans="14:21" x14ac:dyDescent="0.85">
      <c r="N179" t="s">
        <v>450</v>
      </c>
      <c r="O179">
        <v>2</v>
      </c>
      <c r="P179" t="s">
        <v>451</v>
      </c>
      <c r="S179" t="s">
        <v>311</v>
      </c>
      <c r="T179">
        <v>4</v>
      </c>
      <c r="U179" t="s">
        <v>312</v>
      </c>
    </row>
    <row r="180" spans="14:21" x14ac:dyDescent="0.85">
      <c r="N180" t="s">
        <v>88</v>
      </c>
      <c r="O180">
        <v>3</v>
      </c>
      <c r="P180" t="s">
        <v>452</v>
      </c>
      <c r="S180" t="s">
        <v>313</v>
      </c>
      <c r="T180">
        <v>4</v>
      </c>
      <c r="U180" t="s">
        <v>43</v>
      </c>
    </row>
    <row r="181" spans="14:21" x14ac:dyDescent="0.85">
      <c r="N181" t="s">
        <v>453</v>
      </c>
      <c r="O181">
        <v>4</v>
      </c>
      <c r="P181" t="s">
        <v>454</v>
      </c>
      <c r="S181" t="s">
        <v>314</v>
      </c>
      <c r="T181">
        <v>4</v>
      </c>
      <c r="U181" t="s">
        <v>45</v>
      </c>
    </row>
    <row r="182" spans="14:21" x14ac:dyDescent="0.85">
      <c r="N182" t="s">
        <v>90</v>
      </c>
      <c r="O182">
        <v>3</v>
      </c>
      <c r="P182" t="s">
        <v>455</v>
      </c>
      <c r="S182" t="s">
        <v>315</v>
      </c>
      <c r="T182">
        <v>4</v>
      </c>
      <c r="U182" t="s">
        <v>316</v>
      </c>
    </row>
    <row r="183" spans="14:21" x14ac:dyDescent="0.85">
      <c r="N183" t="s">
        <v>456</v>
      </c>
      <c r="O183">
        <v>4</v>
      </c>
      <c r="P183" t="s">
        <v>457</v>
      </c>
      <c r="S183" t="s">
        <v>317</v>
      </c>
      <c r="T183">
        <v>4</v>
      </c>
      <c r="U183" t="s">
        <v>318</v>
      </c>
    </row>
    <row r="184" spans="14:21" x14ac:dyDescent="0.85">
      <c r="N184" t="s">
        <v>458</v>
      </c>
      <c r="O184">
        <v>2</v>
      </c>
      <c r="P184" t="s">
        <v>459</v>
      </c>
      <c r="S184" t="s">
        <v>319</v>
      </c>
      <c r="T184">
        <v>4</v>
      </c>
      <c r="U184" t="s">
        <v>320</v>
      </c>
    </row>
    <row r="185" spans="14:21" x14ac:dyDescent="0.85">
      <c r="N185" t="s">
        <v>92</v>
      </c>
      <c r="O185">
        <v>3</v>
      </c>
      <c r="P185" t="s">
        <v>93</v>
      </c>
      <c r="S185" t="s">
        <v>321</v>
      </c>
      <c r="T185">
        <v>4</v>
      </c>
      <c r="U185" t="s">
        <v>322</v>
      </c>
    </row>
    <row r="186" spans="14:21" x14ac:dyDescent="0.85">
      <c r="N186" t="s">
        <v>460</v>
      </c>
      <c r="O186">
        <v>4</v>
      </c>
      <c r="P186" t="s">
        <v>461</v>
      </c>
      <c r="S186" t="s">
        <v>323</v>
      </c>
      <c r="T186">
        <v>4</v>
      </c>
      <c r="U186" t="s">
        <v>324</v>
      </c>
    </row>
    <row r="187" spans="14:21" x14ac:dyDescent="0.85">
      <c r="N187" t="s">
        <v>462</v>
      </c>
      <c r="O187">
        <v>4</v>
      </c>
      <c r="P187" t="s">
        <v>463</v>
      </c>
      <c r="S187" t="s">
        <v>327</v>
      </c>
      <c r="T187">
        <v>4</v>
      </c>
      <c r="U187" t="s">
        <v>328</v>
      </c>
    </row>
    <row r="188" spans="14:21" x14ac:dyDescent="0.85">
      <c r="N188" t="s">
        <v>464</v>
      </c>
      <c r="O188">
        <v>4</v>
      </c>
      <c r="P188" t="s">
        <v>465</v>
      </c>
      <c r="S188" t="s">
        <v>329</v>
      </c>
      <c r="T188">
        <v>4</v>
      </c>
      <c r="U188" t="s">
        <v>330</v>
      </c>
    </row>
    <row r="189" spans="14:21" x14ac:dyDescent="0.85">
      <c r="N189" t="s">
        <v>466</v>
      </c>
      <c r="O189">
        <v>4</v>
      </c>
      <c r="P189" t="s">
        <v>467</v>
      </c>
      <c r="S189" t="s">
        <v>331</v>
      </c>
      <c r="T189">
        <v>4</v>
      </c>
      <c r="U189" t="s">
        <v>332</v>
      </c>
    </row>
    <row r="190" spans="14:21" x14ac:dyDescent="0.85">
      <c r="N190" t="s">
        <v>94</v>
      </c>
      <c r="O190">
        <v>3</v>
      </c>
      <c r="P190" t="s">
        <v>95</v>
      </c>
      <c r="S190" t="s">
        <v>333</v>
      </c>
      <c r="T190">
        <v>4</v>
      </c>
      <c r="U190" t="s">
        <v>334</v>
      </c>
    </row>
    <row r="191" spans="14:21" x14ac:dyDescent="0.85">
      <c r="N191" t="s">
        <v>468</v>
      </c>
      <c r="O191">
        <v>4</v>
      </c>
      <c r="P191" t="s">
        <v>469</v>
      </c>
      <c r="S191" t="s">
        <v>335</v>
      </c>
      <c r="T191">
        <v>4</v>
      </c>
      <c r="U191" t="s">
        <v>336</v>
      </c>
    </row>
    <row r="192" spans="14:21" x14ac:dyDescent="0.85">
      <c r="N192" t="s">
        <v>470</v>
      </c>
      <c r="O192">
        <v>2</v>
      </c>
      <c r="P192" t="s">
        <v>471</v>
      </c>
      <c r="S192" t="s">
        <v>337</v>
      </c>
      <c r="T192">
        <v>4</v>
      </c>
      <c r="U192" t="s">
        <v>338</v>
      </c>
    </row>
    <row r="193" spans="14:21" x14ac:dyDescent="0.85">
      <c r="N193" t="s">
        <v>96</v>
      </c>
      <c r="O193">
        <v>3</v>
      </c>
      <c r="P193" t="s">
        <v>471</v>
      </c>
      <c r="S193" t="s">
        <v>339</v>
      </c>
      <c r="T193">
        <v>4</v>
      </c>
      <c r="U193" t="s">
        <v>340</v>
      </c>
    </row>
    <row r="194" spans="14:21" x14ac:dyDescent="0.85">
      <c r="N194" t="s">
        <v>472</v>
      </c>
      <c r="O194">
        <v>4</v>
      </c>
      <c r="P194" t="s">
        <v>471</v>
      </c>
      <c r="S194" t="s">
        <v>341</v>
      </c>
      <c r="T194">
        <v>4</v>
      </c>
      <c r="U194" t="s">
        <v>53</v>
      </c>
    </row>
    <row r="195" spans="14:21" x14ac:dyDescent="0.85">
      <c r="N195" t="s">
        <v>473</v>
      </c>
      <c r="O195">
        <v>2</v>
      </c>
      <c r="P195" t="s">
        <v>474</v>
      </c>
      <c r="S195" t="s">
        <v>344</v>
      </c>
      <c r="T195">
        <v>4</v>
      </c>
      <c r="U195" t="s">
        <v>345</v>
      </c>
    </row>
    <row r="196" spans="14:21" x14ac:dyDescent="0.85">
      <c r="N196" t="s">
        <v>98</v>
      </c>
      <c r="O196">
        <v>3</v>
      </c>
      <c r="P196" t="s">
        <v>475</v>
      </c>
      <c r="S196" t="s">
        <v>346</v>
      </c>
      <c r="T196">
        <v>4</v>
      </c>
      <c r="U196" t="s">
        <v>347</v>
      </c>
    </row>
    <row r="197" spans="14:21" x14ac:dyDescent="0.85">
      <c r="N197" t="s">
        <v>476</v>
      </c>
      <c r="O197">
        <v>4</v>
      </c>
      <c r="P197" t="s">
        <v>475</v>
      </c>
      <c r="S197" t="s">
        <v>348</v>
      </c>
      <c r="T197">
        <v>4</v>
      </c>
      <c r="U197" t="s">
        <v>349</v>
      </c>
    </row>
    <row r="198" spans="14:21" x14ac:dyDescent="0.85">
      <c r="N198" t="s">
        <v>100</v>
      </c>
      <c r="O198">
        <v>3</v>
      </c>
      <c r="P198" t="s">
        <v>477</v>
      </c>
      <c r="S198" t="s">
        <v>353</v>
      </c>
      <c r="T198">
        <v>4</v>
      </c>
      <c r="U198" t="s">
        <v>354</v>
      </c>
    </row>
    <row r="199" spans="14:21" x14ac:dyDescent="0.85">
      <c r="N199" t="s">
        <v>478</v>
      </c>
      <c r="O199">
        <v>4</v>
      </c>
      <c r="P199" t="s">
        <v>479</v>
      </c>
      <c r="S199" t="s">
        <v>355</v>
      </c>
      <c r="T199">
        <v>4</v>
      </c>
      <c r="U199" t="s">
        <v>356</v>
      </c>
    </row>
    <row r="200" spans="14:21" x14ac:dyDescent="0.85">
      <c r="N200" t="s">
        <v>480</v>
      </c>
      <c r="O200">
        <v>4</v>
      </c>
      <c r="P200" t="s">
        <v>481</v>
      </c>
      <c r="S200" t="s">
        <v>357</v>
      </c>
      <c r="T200">
        <v>4</v>
      </c>
      <c r="U200" t="s">
        <v>358</v>
      </c>
    </row>
    <row r="201" spans="14:21" x14ac:dyDescent="0.85">
      <c r="N201" t="s">
        <v>482</v>
      </c>
      <c r="O201">
        <v>4</v>
      </c>
      <c r="P201" t="s">
        <v>483</v>
      </c>
      <c r="S201" t="s">
        <v>360</v>
      </c>
      <c r="T201">
        <v>4</v>
      </c>
      <c r="U201" t="s">
        <v>361</v>
      </c>
    </row>
    <row r="202" spans="14:21" x14ac:dyDescent="0.85">
      <c r="N202" t="s">
        <v>484</v>
      </c>
      <c r="O202">
        <v>4</v>
      </c>
      <c r="P202" t="s">
        <v>485</v>
      </c>
      <c r="S202" t="s">
        <v>365</v>
      </c>
      <c r="T202">
        <v>4</v>
      </c>
      <c r="U202" t="s">
        <v>366</v>
      </c>
    </row>
    <row r="203" spans="14:21" x14ac:dyDescent="0.85">
      <c r="N203" t="s">
        <v>486</v>
      </c>
      <c r="O203">
        <v>4</v>
      </c>
      <c r="P203" t="s">
        <v>487</v>
      </c>
      <c r="S203" t="s">
        <v>368</v>
      </c>
      <c r="T203">
        <v>4</v>
      </c>
      <c r="U203" t="s">
        <v>369</v>
      </c>
    </row>
    <row r="204" spans="14:21" x14ac:dyDescent="0.85">
      <c r="N204" t="s">
        <v>488</v>
      </c>
      <c r="O204">
        <v>4</v>
      </c>
      <c r="P204" t="s">
        <v>489</v>
      </c>
      <c r="S204" t="s">
        <v>370</v>
      </c>
      <c r="T204">
        <v>4</v>
      </c>
      <c r="U204" t="s">
        <v>371</v>
      </c>
    </row>
    <row r="205" spans="14:21" x14ac:dyDescent="0.85">
      <c r="N205" t="s">
        <v>102</v>
      </c>
      <c r="O205">
        <v>3</v>
      </c>
      <c r="P205" t="s">
        <v>490</v>
      </c>
      <c r="S205" t="s">
        <v>372</v>
      </c>
      <c r="T205">
        <v>4</v>
      </c>
      <c r="U205" t="s">
        <v>373</v>
      </c>
    </row>
    <row r="206" spans="14:21" x14ac:dyDescent="0.85">
      <c r="N206" t="s">
        <v>491</v>
      </c>
      <c r="O206">
        <v>4</v>
      </c>
      <c r="P206" t="s">
        <v>492</v>
      </c>
      <c r="S206" t="s">
        <v>374</v>
      </c>
      <c r="T206">
        <v>4</v>
      </c>
      <c r="U206" t="s">
        <v>375</v>
      </c>
    </row>
    <row r="207" spans="14:21" x14ac:dyDescent="0.85">
      <c r="N207" t="s">
        <v>493</v>
      </c>
      <c r="O207">
        <v>4</v>
      </c>
      <c r="P207" t="s">
        <v>494</v>
      </c>
      <c r="S207" t="s">
        <v>376</v>
      </c>
      <c r="T207">
        <v>4</v>
      </c>
      <c r="U207" t="s">
        <v>65</v>
      </c>
    </row>
    <row r="208" spans="14:21" x14ac:dyDescent="0.85">
      <c r="N208" t="s">
        <v>495</v>
      </c>
      <c r="O208">
        <v>4</v>
      </c>
      <c r="P208" t="s">
        <v>496</v>
      </c>
      <c r="S208" t="s">
        <v>378</v>
      </c>
      <c r="T208">
        <v>4</v>
      </c>
      <c r="U208" t="s">
        <v>379</v>
      </c>
    </row>
    <row r="209" spans="14:21" x14ac:dyDescent="0.85">
      <c r="N209" t="s">
        <v>497</v>
      </c>
      <c r="O209">
        <v>4</v>
      </c>
      <c r="P209" t="s">
        <v>498</v>
      </c>
      <c r="S209" t="s">
        <v>380</v>
      </c>
      <c r="T209">
        <v>4</v>
      </c>
      <c r="U209" t="s">
        <v>381</v>
      </c>
    </row>
    <row r="210" spans="14:21" x14ac:dyDescent="0.85">
      <c r="N210" t="s">
        <v>499</v>
      </c>
      <c r="O210">
        <v>4</v>
      </c>
      <c r="P210" t="s">
        <v>500</v>
      </c>
      <c r="S210" t="s">
        <v>382</v>
      </c>
      <c r="T210">
        <v>4</v>
      </c>
      <c r="U210" t="s">
        <v>383</v>
      </c>
    </row>
    <row r="211" spans="14:21" x14ac:dyDescent="0.85">
      <c r="N211" t="s">
        <v>501</v>
      </c>
      <c r="O211">
        <v>4</v>
      </c>
      <c r="P211" t="s">
        <v>502</v>
      </c>
      <c r="S211" t="s">
        <v>386</v>
      </c>
      <c r="T211">
        <v>4</v>
      </c>
      <c r="U211" t="s">
        <v>387</v>
      </c>
    </row>
    <row r="212" spans="14:21" x14ac:dyDescent="0.85">
      <c r="N212" t="s">
        <v>503</v>
      </c>
      <c r="O212">
        <v>4</v>
      </c>
      <c r="P212" t="s">
        <v>504</v>
      </c>
      <c r="S212" t="s">
        <v>389</v>
      </c>
      <c r="T212">
        <v>4</v>
      </c>
      <c r="U212" t="s">
        <v>390</v>
      </c>
    </row>
    <row r="213" spans="14:21" x14ac:dyDescent="0.85">
      <c r="N213" t="s">
        <v>505</v>
      </c>
      <c r="O213">
        <v>2</v>
      </c>
      <c r="P213" t="s">
        <v>105</v>
      </c>
      <c r="S213" t="s">
        <v>391</v>
      </c>
      <c r="T213">
        <v>4</v>
      </c>
      <c r="U213" t="s">
        <v>392</v>
      </c>
    </row>
    <row r="214" spans="14:21" x14ac:dyDescent="0.85">
      <c r="N214" t="s">
        <v>104</v>
      </c>
      <c r="O214">
        <v>3</v>
      </c>
      <c r="P214" t="s">
        <v>105</v>
      </c>
      <c r="S214" t="s">
        <v>393</v>
      </c>
      <c r="T214">
        <v>4</v>
      </c>
      <c r="U214" t="s">
        <v>394</v>
      </c>
    </row>
    <row r="215" spans="14:21" x14ac:dyDescent="0.85">
      <c r="N215" t="s">
        <v>506</v>
      </c>
      <c r="O215">
        <v>4</v>
      </c>
      <c r="P215" t="s">
        <v>507</v>
      </c>
      <c r="S215" t="s">
        <v>398</v>
      </c>
      <c r="T215">
        <v>4</v>
      </c>
      <c r="U215" t="s">
        <v>399</v>
      </c>
    </row>
    <row r="216" spans="14:21" x14ac:dyDescent="0.85">
      <c r="N216" t="s">
        <v>508</v>
      </c>
      <c r="O216">
        <v>4</v>
      </c>
      <c r="P216" t="s">
        <v>509</v>
      </c>
      <c r="S216" t="s">
        <v>400</v>
      </c>
      <c r="T216">
        <v>4</v>
      </c>
      <c r="U216" t="s">
        <v>401</v>
      </c>
    </row>
    <row r="217" spans="14:21" x14ac:dyDescent="0.85">
      <c r="N217" t="s">
        <v>510</v>
      </c>
      <c r="O217">
        <v>2</v>
      </c>
      <c r="P217" t="s">
        <v>107</v>
      </c>
      <c r="S217" t="s">
        <v>402</v>
      </c>
      <c r="T217">
        <v>4</v>
      </c>
      <c r="U217" t="s">
        <v>403</v>
      </c>
    </row>
    <row r="218" spans="14:21" x14ac:dyDescent="0.85">
      <c r="N218" t="s">
        <v>106</v>
      </c>
      <c r="O218">
        <v>3</v>
      </c>
      <c r="P218" t="s">
        <v>107</v>
      </c>
      <c r="S218" t="s">
        <v>405</v>
      </c>
      <c r="T218">
        <v>4</v>
      </c>
      <c r="U218" t="s">
        <v>406</v>
      </c>
    </row>
    <row r="219" spans="14:21" x14ac:dyDescent="0.85">
      <c r="N219" t="s">
        <v>511</v>
      </c>
      <c r="O219">
        <v>4</v>
      </c>
      <c r="P219" t="s">
        <v>512</v>
      </c>
      <c r="S219" t="s">
        <v>407</v>
      </c>
      <c r="T219">
        <v>4</v>
      </c>
      <c r="U219" t="s">
        <v>408</v>
      </c>
    </row>
    <row r="220" spans="14:21" x14ac:dyDescent="0.85">
      <c r="N220" t="s">
        <v>513</v>
      </c>
      <c r="O220">
        <v>4</v>
      </c>
      <c r="P220" t="s">
        <v>514</v>
      </c>
      <c r="S220" t="s">
        <v>409</v>
      </c>
      <c r="T220">
        <v>4</v>
      </c>
      <c r="U220" t="s">
        <v>410</v>
      </c>
    </row>
    <row r="221" spans="14:21" x14ac:dyDescent="0.85">
      <c r="N221" t="s">
        <v>515</v>
      </c>
      <c r="O221">
        <v>2</v>
      </c>
      <c r="P221" t="s">
        <v>516</v>
      </c>
      <c r="S221" t="s">
        <v>411</v>
      </c>
      <c r="T221">
        <v>4</v>
      </c>
      <c r="U221" t="s">
        <v>412</v>
      </c>
    </row>
    <row r="222" spans="14:21" x14ac:dyDescent="0.85">
      <c r="N222" t="s">
        <v>108</v>
      </c>
      <c r="O222">
        <v>3</v>
      </c>
      <c r="P222" t="s">
        <v>109</v>
      </c>
      <c r="S222" t="s">
        <v>413</v>
      </c>
      <c r="T222">
        <v>4</v>
      </c>
      <c r="U222" t="s">
        <v>414</v>
      </c>
    </row>
    <row r="223" spans="14:21" x14ac:dyDescent="0.85">
      <c r="N223" t="s">
        <v>517</v>
      </c>
      <c r="O223">
        <v>4</v>
      </c>
      <c r="P223" t="s">
        <v>518</v>
      </c>
      <c r="S223" t="s">
        <v>415</v>
      </c>
      <c r="T223">
        <v>4</v>
      </c>
      <c r="U223" t="s">
        <v>416</v>
      </c>
    </row>
    <row r="224" spans="14:21" x14ac:dyDescent="0.85">
      <c r="N224" t="s">
        <v>110</v>
      </c>
      <c r="O224">
        <v>3</v>
      </c>
      <c r="P224" t="s">
        <v>519</v>
      </c>
      <c r="S224" t="s">
        <v>417</v>
      </c>
      <c r="T224">
        <v>4</v>
      </c>
      <c r="U224" t="s">
        <v>418</v>
      </c>
    </row>
    <row r="225" spans="14:21" x14ac:dyDescent="0.85">
      <c r="N225" t="s">
        <v>520</v>
      </c>
      <c r="O225">
        <v>4</v>
      </c>
      <c r="P225" t="s">
        <v>521</v>
      </c>
      <c r="S225" t="s">
        <v>419</v>
      </c>
      <c r="T225">
        <v>4</v>
      </c>
      <c r="U225" t="s">
        <v>420</v>
      </c>
    </row>
    <row r="226" spans="14:21" x14ac:dyDescent="0.85">
      <c r="N226" t="s">
        <v>522</v>
      </c>
      <c r="O226">
        <v>2</v>
      </c>
      <c r="P226" t="s">
        <v>113</v>
      </c>
      <c r="S226" t="s">
        <v>421</v>
      </c>
      <c r="T226">
        <v>4</v>
      </c>
      <c r="U226" t="s">
        <v>422</v>
      </c>
    </row>
    <row r="227" spans="14:21" x14ac:dyDescent="0.85">
      <c r="N227" t="s">
        <v>112</v>
      </c>
      <c r="O227">
        <v>3</v>
      </c>
      <c r="P227" t="s">
        <v>113</v>
      </c>
      <c r="S227" t="s">
        <v>423</v>
      </c>
      <c r="T227">
        <v>4</v>
      </c>
      <c r="U227" t="s">
        <v>424</v>
      </c>
    </row>
    <row r="228" spans="14:21" x14ac:dyDescent="0.85">
      <c r="N228" t="s">
        <v>523</v>
      </c>
      <c r="O228">
        <v>4</v>
      </c>
      <c r="P228" t="s">
        <v>524</v>
      </c>
      <c r="S228" t="s">
        <v>425</v>
      </c>
      <c r="T228">
        <v>4</v>
      </c>
      <c r="U228" t="s">
        <v>426</v>
      </c>
    </row>
    <row r="229" spans="14:21" x14ac:dyDescent="0.85">
      <c r="N229" t="s">
        <v>525</v>
      </c>
      <c r="O229">
        <v>4</v>
      </c>
      <c r="P229" t="s">
        <v>526</v>
      </c>
      <c r="S229" t="s">
        <v>427</v>
      </c>
      <c r="T229">
        <v>4</v>
      </c>
      <c r="U229" t="s">
        <v>428</v>
      </c>
    </row>
    <row r="230" spans="14:21" x14ac:dyDescent="0.85">
      <c r="N230" t="s">
        <v>527</v>
      </c>
      <c r="O230">
        <v>2</v>
      </c>
      <c r="P230" t="s">
        <v>528</v>
      </c>
      <c r="S230" t="s">
        <v>431</v>
      </c>
      <c r="T230">
        <v>4</v>
      </c>
      <c r="U230" t="s">
        <v>432</v>
      </c>
    </row>
    <row r="231" spans="14:21" x14ac:dyDescent="0.85">
      <c r="N231" t="s">
        <v>114</v>
      </c>
      <c r="O231">
        <v>3</v>
      </c>
      <c r="P231" t="s">
        <v>115</v>
      </c>
      <c r="S231" t="s">
        <v>433</v>
      </c>
      <c r="T231">
        <v>4</v>
      </c>
      <c r="U231" t="s">
        <v>434</v>
      </c>
    </row>
    <row r="232" spans="14:21" x14ac:dyDescent="0.85">
      <c r="N232" t="s">
        <v>529</v>
      </c>
      <c r="O232">
        <v>4</v>
      </c>
      <c r="P232" t="s">
        <v>530</v>
      </c>
      <c r="S232" t="s">
        <v>436</v>
      </c>
      <c r="T232">
        <v>4</v>
      </c>
      <c r="U232" t="s">
        <v>437</v>
      </c>
    </row>
    <row r="233" spans="14:21" x14ac:dyDescent="0.85">
      <c r="N233" t="s">
        <v>531</v>
      </c>
      <c r="O233">
        <v>4</v>
      </c>
      <c r="P233" t="s">
        <v>532</v>
      </c>
      <c r="S233" t="s">
        <v>438</v>
      </c>
      <c r="T233">
        <v>4</v>
      </c>
      <c r="U233" t="s">
        <v>439</v>
      </c>
    </row>
    <row r="234" spans="14:21" x14ac:dyDescent="0.85">
      <c r="N234" t="s">
        <v>533</v>
      </c>
      <c r="O234">
        <v>4</v>
      </c>
      <c r="P234" t="s">
        <v>534</v>
      </c>
      <c r="S234" t="s">
        <v>440</v>
      </c>
      <c r="T234">
        <v>4</v>
      </c>
      <c r="U234" t="s">
        <v>441</v>
      </c>
    </row>
    <row r="235" spans="14:21" x14ac:dyDescent="0.85">
      <c r="N235" t="s">
        <v>535</v>
      </c>
      <c r="O235">
        <v>2</v>
      </c>
      <c r="P235" t="s">
        <v>117</v>
      </c>
      <c r="S235" t="s">
        <v>442</v>
      </c>
      <c r="T235">
        <v>4</v>
      </c>
      <c r="U235" t="s">
        <v>443</v>
      </c>
    </row>
    <row r="236" spans="14:21" x14ac:dyDescent="0.85">
      <c r="N236" t="s">
        <v>116</v>
      </c>
      <c r="O236">
        <v>3</v>
      </c>
      <c r="P236" t="s">
        <v>117</v>
      </c>
      <c r="S236" t="s">
        <v>445</v>
      </c>
      <c r="T236">
        <v>4</v>
      </c>
      <c r="U236" t="s">
        <v>444</v>
      </c>
    </row>
    <row r="237" spans="14:21" x14ac:dyDescent="0.85">
      <c r="N237" t="s">
        <v>536</v>
      </c>
      <c r="O237">
        <v>4</v>
      </c>
      <c r="P237" t="s">
        <v>537</v>
      </c>
      <c r="S237" t="s">
        <v>449</v>
      </c>
      <c r="T237">
        <v>4</v>
      </c>
      <c r="U237" t="s">
        <v>447</v>
      </c>
    </row>
    <row r="238" spans="14:21" x14ac:dyDescent="0.85">
      <c r="N238" t="s">
        <v>538</v>
      </c>
      <c r="O238">
        <v>2</v>
      </c>
      <c r="P238" t="s">
        <v>119</v>
      </c>
      <c r="S238" t="s">
        <v>453</v>
      </c>
      <c r="T238">
        <v>4</v>
      </c>
      <c r="U238" t="s">
        <v>454</v>
      </c>
    </row>
    <row r="239" spans="14:21" x14ac:dyDescent="0.85">
      <c r="N239" t="s">
        <v>118</v>
      </c>
      <c r="O239">
        <v>3</v>
      </c>
      <c r="P239" t="s">
        <v>119</v>
      </c>
      <c r="S239" t="s">
        <v>456</v>
      </c>
      <c r="T239">
        <v>4</v>
      </c>
      <c r="U239" t="s">
        <v>457</v>
      </c>
    </row>
    <row r="240" spans="14:21" x14ac:dyDescent="0.85">
      <c r="N240" t="s">
        <v>539</v>
      </c>
      <c r="O240">
        <v>4</v>
      </c>
      <c r="P240" t="s">
        <v>119</v>
      </c>
      <c r="S240" t="s">
        <v>460</v>
      </c>
      <c r="T240">
        <v>4</v>
      </c>
      <c r="U240" t="s">
        <v>461</v>
      </c>
    </row>
    <row r="241" spans="14:21" x14ac:dyDescent="0.85">
      <c r="N241" t="s">
        <v>540</v>
      </c>
      <c r="O241">
        <v>2</v>
      </c>
      <c r="P241" t="s">
        <v>541</v>
      </c>
      <c r="S241" t="s">
        <v>462</v>
      </c>
      <c r="T241">
        <v>4</v>
      </c>
      <c r="U241" t="s">
        <v>463</v>
      </c>
    </row>
    <row r="242" spans="14:21" x14ac:dyDescent="0.85">
      <c r="N242" t="s">
        <v>120</v>
      </c>
      <c r="O242">
        <v>3</v>
      </c>
      <c r="P242" t="s">
        <v>121</v>
      </c>
      <c r="S242" t="s">
        <v>464</v>
      </c>
      <c r="T242">
        <v>4</v>
      </c>
      <c r="U242" t="s">
        <v>465</v>
      </c>
    </row>
    <row r="243" spans="14:21" x14ac:dyDescent="0.85">
      <c r="N243" t="s">
        <v>542</v>
      </c>
      <c r="O243">
        <v>4</v>
      </c>
      <c r="P243" t="s">
        <v>543</v>
      </c>
      <c r="S243" t="s">
        <v>466</v>
      </c>
      <c r="T243">
        <v>4</v>
      </c>
      <c r="U243" t="s">
        <v>467</v>
      </c>
    </row>
    <row r="244" spans="14:21" x14ac:dyDescent="0.85">
      <c r="N244" t="s">
        <v>544</v>
      </c>
      <c r="O244">
        <v>4</v>
      </c>
      <c r="P244" t="s">
        <v>545</v>
      </c>
      <c r="S244" t="s">
        <v>468</v>
      </c>
      <c r="T244">
        <v>4</v>
      </c>
      <c r="U244" t="s">
        <v>469</v>
      </c>
    </row>
    <row r="245" spans="14:21" x14ac:dyDescent="0.85">
      <c r="N245" t="s">
        <v>546</v>
      </c>
      <c r="O245">
        <v>4</v>
      </c>
      <c r="P245" t="s">
        <v>547</v>
      </c>
      <c r="S245" t="s">
        <v>472</v>
      </c>
      <c r="T245">
        <v>4</v>
      </c>
      <c r="U245" t="s">
        <v>471</v>
      </c>
    </row>
    <row r="246" spans="14:21" x14ac:dyDescent="0.85">
      <c r="N246" t="s">
        <v>122</v>
      </c>
      <c r="O246">
        <v>3</v>
      </c>
      <c r="P246" t="s">
        <v>548</v>
      </c>
      <c r="S246" t="s">
        <v>476</v>
      </c>
      <c r="T246">
        <v>4</v>
      </c>
      <c r="U246" t="s">
        <v>475</v>
      </c>
    </row>
    <row r="247" spans="14:21" x14ac:dyDescent="0.85">
      <c r="N247" t="s">
        <v>549</v>
      </c>
      <c r="O247">
        <v>4</v>
      </c>
      <c r="P247" t="s">
        <v>550</v>
      </c>
      <c r="S247" t="s">
        <v>478</v>
      </c>
      <c r="T247">
        <v>4</v>
      </c>
      <c r="U247" t="s">
        <v>479</v>
      </c>
    </row>
    <row r="248" spans="14:21" x14ac:dyDescent="0.85">
      <c r="N248" t="s">
        <v>124</v>
      </c>
      <c r="O248">
        <v>3</v>
      </c>
      <c r="P248" t="s">
        <v>125</v>
      </c>
      <c r="S248" t="s">
        <v>480</v>
      </c>
      <c r="T248">
        <v>4</v>
      </c>
      <c r="U248" t="s">
        <v>481</v>
      </c>
    </row>
    <row r="249" spans="14:21" x14ac:dyDescent="0.85">
      <c r="N249" t="s">
        <v>551</v>
      </c>
      <c r="O249">
        <v>4</v>
      </c>
      <c r="P249" t="s">
        <v>125</v>
      </c>
      <c r="S249" t="s">
        <v>482</v>
      </c>
      <c r="T249">
        <v>4</v>
      </c>
      <c r="U249" t="s">
        <v>483</v>
      </c>
    </row>
    <row r="250" spans="14:21" x14ac:dyDescent="0.85">
      <c r="N250" t="s">
        <v>552</v>
      </c>
      <c r="O250">
        <v>2</v>
      </c>
      <c r="P250" t="s">
        <v>553</v>
      </c>
      <c r="S250" t="s">
        <v>484</v>
      </c>
      <c r="T250">
        <v>4</v>
      </c>
      <c r="U250" t="s">
        <v>485</v>
      </c>
    </row>
    <row r="251" spans="14:21" x14ac:dyDescent="0.85">
      <c r="N251" t="s">
        <v>126</v>
      </c>
      <c r="O251">
        <v>3</v>
      </c>
      <c r="P251" t="s">
        <v>127</v>
      </c>
      <c r="S251" t="s">
        <v>486</v>
      </c>
      <c r="T251">
        <v>4</v>
      </c>
      <c r="U251" t="s">
        <v>487</v>
      </c>
    </row>
    <row r="252" spans="14:21" x14ac:dyDescent="0.85">
      <c r="N252" t="s">
        <v>554</v>
      </c>
      <c r="O252">
        <v>4</v>
      </c>
      <c r="P252" t="s">
        <v>555</v>
      </c>
      <c r="S252" t="s">
        <v>488</v>
      </c>
      <c r="T252">
        <v>4</v>
      </c>
      <c r="U252" t="s">
        <v>489</v>
      </c>
    </row>
    <row r="253" spans="14:21" x14ac:dyDescent="0.85">
      <c r="N253" t="s">
        <v>556</v>
      </c>
      <c r="O253">
        <v>4</v>
      </c>
      <c r="P253" t="s">
        <v>557</v>
      </c>
      <c r="S253" t="s">
        <v>491</v>
      </c>
      <c r="T253">
        <v>4</v>
      </c>
      <c r="U253" t="s">
        <v>492</v>
      </c>
    </row>
    <row r="254" spans="14:21" x14ac:dyDescent="0.85">
      <c r="N254" t="s">
        <v>128</v>
      </c>
      <c r="O254">
        <v>3</v>
      </c>
      <c r="P254" t="s">
        <v>129</v>
      </c>
      <c r="S254" t="s">
        <v>493</v>
      </c>
      <c r="T254">
        <v>4</v>
      </c>
      <c r="U254" t="s">
        <v>494</v>
      </c>
    </row>
    <row r="255" spans="14:21" x14ac:dyDescent="0.85">
      <c r="N255" t="s">
        <v>558</v>
      </c>
      <c r="O255">
        <v>4</v>
      </c>
      <c r="P255" t="s">
        <v>129</v>
      </c>
      <c r="S255" t="s">
        <v>495</v>
      </c>
      <c r="T255">
        <v>4</v>
      </c>
      <c r="U255" t="s">
        <v>496</v>
      </c>
    </row>
    <row r="256" spans="14:21" x14ac:dyDescent="0.85">
      <c r="N256" t="s">
        <v>559</v>
      </c>
      <c r="O256">
        <v>2</v>
      </c>
      <c r="P256" t="s">
        <v>560</v>
      </c>
      <c r="S256" t="s">
        <v>497</v>
      </c>
      <c r="T256">
        <v>4</v>
      </c>
      <c r="U256" t="s">
        <v>498</v>
      </c>
    </row>
    <row r="257" spans="14:21" x14ac:dyDescent="0.85">
      <c r="N257" t="s">
        <v>130</v>
      </c>
      <c r="O257">
        <v>3</v>
      </c>
      <c r="P257" t="s">
        <v>131</v>
      </c>
      <c r="S257" t="s">
        <v>499</v>
      </c>
      <c r="T257">
        <v>4</v>
      </c>
      <c r="U257" t="s">
        <v>500</v>
      </c>
    </row>
    <row r="258" spans="14:21" x14ac:dyDescent="0.85">
      <c r="N258" t="s">
        <v>561</v>
      </c>
      <c r="O258">
        <v>4</v>
      </c>
      <c r="P258" t="s">
        <v>562</v>
      </c>
      <c r="S258" t="s">
        <v>501</v>
      </c>
      <c r="T258">
        <v>4</v>
      </c>
      <c r="U258" t="s">
        <v>502</v>
      </c>
    </row>
    <row r="259" spans="14:21" x14ac:dyDescent="0.85">
      <c r="N259" t="s">
        <v>563</v>
      </c>
      <c r="O259">
        <v>4</v>
      </c>
      <c r="P259" t="s">
        <v>564</v>
      </c>
      <c r="S259" t="s">
        <v>503</v>
      </c>
      <c r="T259">
        <v>4</v>
      </c>
      <c r="U259" t="s">
        <v>504</v>
      </c>
    </row>
    <row r="260" spans="14:21" x14ac:dyDescent="0.85">
      <c r="N260" t="s">
        <v>565</v>
      </c>
      <c r="O260">
        <v>4</v>
      </c>
      <c r="P260" t="s">
        <v>566</v>
      </c>
      <c r="S260" t="s">
        <v>506</v>
      </c>
      <c r="T260">
        <v>4</v>
      </c>
      <c r="U260" t="s">
        <v>507</v>
      </c>
    </row>
    <row r="261" spans="14:21" x14ac:dyDescent="0.85">
      <c r="N261" t="s">
        <v>132</v>
      </c>
      <c r="O261">
        <v>3</v>
      </c>
      <c r="P261" t="s">
        <v>567</v>
      </c>
      <c r="S261" t="s">
        <v>508</v>
      </c>
      <c r="T261">
        <v>4</v>
      </c>
      <c r="U261" t="s">
        <v>509</v>
      </c>
    </row>
    <row r="262" spans="14:21" x14ac:dyDescent="0.85">
      <c r="N262" t="s">
        <v>568</v>
      </c>
      <c r="O262">
        <v>4</v>
      </c>
      <c r="P262" t="s">
        <v>569</v>
      </c>
      <c r="S262" t="s">
        <v>511</v>
      </c>
      <c r="T262">
        <v>4</v>
      </c>
      <c r="U262" t="s">
        <v>512</v>
      </c>
    </row>
    <row r="263" spans="14:21" x14ac:dyDescent="0.85">
      <c r="N263" t="s">
        <v>134</v>
      </c>
      <c r="O263">
        <v>3</v>
      </c>
      <c r="P263" t="s">
        <v>570</v>
      </c>
      <c r="S263" t="s">
        <v>513</v>
      </c>
      <c r="T263">
        <v>4</v>
      </c>
      <c r="U263" t="s">
        <v>514</v>
      </c>
    </row>
    <row r="264" spans="14:21" x14ac:dyDescent="0.85">
      <c r="N264" t="s">
        <v>571</v>
      </c>
      <c r="O264">
        <v>4</v>
      </c>
      <c r="P264" t="s">
        <v>572</v>
      </c>
      <c r="S264" t="s">
        <v>517</v>
      </c>
      <c r="T264">
        <v>4</v>
      </c>
      <c r="U264" t="s">
        <v>518</v>
      </c>
    </row>
    <row r="265" spans="14:21" x14ac:dyDescent="0.85">
      <c r="N265" t="s">
        <v>573</v>
      </c>
      <c r="O265">
        <v>4</v>
      </c>
      <c r="P265" t="s">
        <v>574</v>
      </c>
      <c r="S265" t="s">
        <v>520</v>
      </c>
      <c r="T265">
        <v>4</v>
      </c>
      <c r="U265" t="s">
        <v>521</v>
      </c>
    </row>
    <row r="266" spans="14:21" x14ac:dyDescent="0.85">
      <c r="N266" t="s">
        <v>575</v>
      </c>
      <c r="O266">
        <v>4</v>
      </c>
      <c r="P266" t="s">
        <v>570</v>
      </c>
      <c r="S266" t="s">
        <v>523</v>
      </c>
      <c r="T266">
        <v>4</v>
      </c>
      <c r="U266" t="s">
        <v>524</v>
      </c>
    </row>
    <row r="267" spans="14:21" x14ac:dyDescent="0.85">
      <c r="N267" t="s">
        <v>576</v>
      </c>
      <c r="O267">
        <v>4</v>
      </c>
      <c r="P267" t="s">
        <v>577</v>
      </c>
      <c r="S267" t="s">
        <v>525</v>
      </c>
      <c r="T267">
        <v>4</v>
      </c>
      <c r="U267" t="s">
        <v>526</v>
      </c>
    </row>
    <row r="268" spans="14:21" x14ac:dyDescent="0.85">
      <c r="N268" t="s">
        <v>578</v>
      </c>
      <c r="O268">
        <v>2</v>
      </c>
      <c r="P268" t="s">
        <v>579</v>
      </c>
      <c r="S268" t="s">
        <v>529</v>
      </c>
      <c r="T268">
        <v>4</v>
      </c>
      <c r="U268" t="s">
        <v>530</v>
      </c>
    </row>
    <row r="269" spans="14:21" x14ac:dyDescent="0.85">
      <c r="N269" t="s">
        <v>136</v>
      </c>
      <c r="O269">
        <v>3</v>
      </c>
      <c r="P269" t="s">
        <v>580</v>
      </c>
      <c r="S269" t="s">
        <v>531</v>
      </c>
      <c r="T269">
        <v>4</v>
      </c>
      <c r="U269" t="s">
        <v>532</v>
      </c>
    </row>
    <row r="270" spans="14:21" x14ac:dyDescent="0.85">
      <c r="N270" t="s">
        <v>581</v>
      </c>
      <c r="O270">
        <v>4</v>
      </c>
      <c r="P270" t="s">
        <v>580</v>
      </c>
      <c r="S270" t="s">
        <v>533</v>
      </c>
      <c r="T270">
        <v>4</v>
      </c>
      <c r="U270" t="s">
        <v>534</v>
      </c>
    </row>
    <row r="271" spans="14:21" x14ac:dyDescent="0.85">
      <c r="N271" t="s">
        <v>138</v>
      </c>
      <c r="O271">
        <v>3</v>
      </c>
      <c r="P271" t="s">
        <v>582</v>
      </c>
      <c r="S271" t="s">
        <v>536</v>
      </c>
      <c r="T271">
        <v>4</v>
      </c>
      <c r="U271" t="s">
        <v>537</v>
      </c>
    </row>
    <row r="272" spans="14:21" x14ac:dyDescent="0.85">
      <c r="N272" t="s">
        <v>583</v>
      </c>
      <c r="O272">
        <v>4</v>
      </c>
      <c r="P272" t="s">
        <v>584</v>
      </c>
      <c r="S272" t="s">
        <v>539</v>
      </c>
      <c r="T272">
        <v>4</v>
      </c>
      <c r="U272" t="s">
        <v>119</v>
      </c>
    </row>
    <row r="273" spans="14:21" x14ac:dyDescent="0.85">
      <c r="N273" t="s">
        <v>585</v>
      </c>
      <c r="O273">
        <v>4</v>
      </c>
      <c r="P273" t="s">
        <v>586</v>
      </c>
      <c r="S273" t="s">
        <v>542</v>
      </c>
      <c r="T273">
        <v>4</v>
      </c>
      <c r="U273" t="s">
        <v>543</v>
      </c>
    </row>
    <row r="274" spans="14:21" x14ac:dyDescent="0.85">
      <c r="N274" t="s">
        <v>587</v>
      </c>
      <c r="O274">
        <v>4</v>
      </c>
      <c r="P274" t="s">
        <v>588</v>
      </c>
      <c r="S274" t="s">
        <v>544</v>
      </c>
      <c r="T274">
        <v>4</v>
      </c>
      <c r="U274" t="s">
        <v>545</v>
      </c>
    </row>
    <row r="275" spans="14:21" x14ac:dyDescent="0.85">
      <c r="N275" t="s">
        <v>589</v>
      </c>
      <c r="O275">
        <v>4</v>
      </c>
      <c r="P275" t="s">
        <v>590</v>
      </c>
      <c r="S275" t="s">
        <v>546</v>
      </c>
      <c r="T275">
        <v>4</v>
      </c>
      <c r="U275" t="s">
        <v>547</v>
      </c>
    </row>
    <row r="276" spans="14:21" x14ac:dyDescent="0.85">
      <c r="N276" t="s">
        <v>591</v>
      </c>
      <c r="O276">
        <v>4</v>
      </c>
      <c r="P276" t="s">
        <v>592</v>
      </c>
      <c r="S276" t="s">
        <v>549</v>
      </c>
      <c r="T276">
        <v>4</v>
      </c>
      <c r="U276" t="s">
        <v>550</v>
      </c>
    </row>
    <row r="277" spans="14:21" x14ac:dyDescent="0.85">
      <c r="N277" t="s">
        <v>593</v>
      </c>
      <c r="O277">
        <v>2</v>
      </c>
      <c r="P277" t="s">
        <v>594</v>
      </c>
      <c r="S277" t="s">
        <v>551</v>
      </c>
      <c r="T277">
        <v>4</v>
      </c>
      <c r="U277" t="s">
        <v>125</v>
      </c>
    </row>
    <row r="278" spans="14:21" x14ac:dyDescent="0.85">
      <c r="N278" t="s">
        <v>140</v>
      </c>
      <c r="O278">
        <v>3</v>
      </c>
      <c r="P278" t="s">
        <v>594</v>
      </c>
      <c r="S278" t="s">
        <v>554</v>
      </c>
      <c r="T278">
        <v>4</v>
      </c>
      <c r="U278" t="s">
        <v>555</v>
      </c>
    </row>
    <row r="279" spans="14:21" x14ac:dyDescent="0.85">
      <c r="N279" t="s">
        <v>595</v>
      </c>
      <c r="O279">
        <v>4</v>
      </c>
      <c r="P279" t="s">
        <v>596</v>
      </c>
      <c r="S279" t="s">
        <v>556</v>
      </c>
      <c r="T279">
        <v>4</v>
      </c>
      <c r="U279" t="s">
        <v>557</v>
      </c>
    </row>
    <row r="280" spans="14:21" x14ac:dyDescent="0.85">
      <c r="N280" t="s">
        <v>597</v>
      </c>
      <c r="O280">
        <v>4</v>
      </c>
      <c r="P280" t="s">
        <v>598</v>
      </c>
      <c r="S280" t="s">
        <v>558</v>
      </c>
      <c r="T280">
        <v>4</v>
      </c>
      <c r="U280" t="s">
        <v>129</v>
      </c>
    </row>
    <row r="281" spans="14:21" x14ac:dyDescent="0.85">
      <c r="N281" t="s">
        <v>599</v>
      </c>
      <c r="O281">
        <v>4</v>
      </c>
      <c r="P281" t="s">
        <v>600</v>
      </c>
      <c r="S281" t="s">
        <v>561</v>
      </c>
      <c r="T281">
        <v>4</v>
      </c>
      <c r="U281" t="s">
        <v>562</v>
      </c>
    </row>
    <row r="282" spans="14:21" x14ac:dyDescent="0.85">
      <c r="N282" t="s">
        <v>601</v>
      </c>
      <c r="O282">
        <v>2</v>
      </c>
      <c r="P282" t="s">
        <v>143</v>
      </c>
      <c r="S282" t="s">
        <v>563</v>
      </c>
      <c r="T282">
        <v>4</v>
      </c>
      <c r="U282" t="s">
        <v>564</v>
      </c>
    </row>
    <row r="283" spans="14:21" x14ac:dyDescent="0.85">
      <c r="N283" t="s">
        <v>142</v>
      </c>
      <c r="O283">
        <v>3</v>
      </c>
      <c r="P283" t="s">
        <v>143</v>
      </c>
      <c r="S283" t="s">
        <v>565</v>
      </c>
      <c r="T283">
        <v>4</v>
      </c>
      <c r="U283" t="s">
        <v>566</v>
      </c>
    </row>
    <row r="284" spans="14:21" x14ac:dyDescent="0.85">
      <c r="N284" t="s">
        <v>602</v>
      </c>
      <c r="O284">
        <v>4</v>
      </c>
      <c r="P284" t="s">
        <v>603</v>
      </c>
      <c r="S284" t="s">
        <v>568</v>
      </c>
      <c r="T284">
        <v>4</v>
      </c>
      <c r="U284" t="s">
        <v>569</v>
      </c>
    </row>
    <row r="285" spans="14:21" x14ac:dyDescent="0.85">
      <c r="N285" t="s">
        <v>604</v>
      </c>
      <c r="O285">
        <v>4</v>
      </c>
      <c r="P285" t="s">
        <v>605</v>
      </c>
      <c r="S285" t="s">
        <v>571</v>
      </c>
      <c r="T285">
        <v>4</v>
      </c>
      <c r="U285" t="s">
        <v>572</v>
      </c>
    </row>
    <row r="286" spans="14:21" x14ac:dyDescent="0.85">
      <c r="N286" t="s">
        <v>606</v>
      </c>
      <c r="O286">
        <v>4</v>
      </c>
      <c r="P286" t="s">
        <v>607</v>
      </c>
      <c r="S286" t="s">
        <v>573</v>
      </c>
      <c r="T286">
        <v>4</v>
      </c>
      <c r="U286" t="s">
        <v>574</v>
      </c>
    </row>
    <row r="287" spans="14:21" x14ac:dyDescent="0.85">
      <c r="N287" t="s">
        <v>608</v>
      </c>
      <c r="O287">
        <v>4</v>
      </c>
      <c r="P287" t="s">
        <v>609</v>
      </c>
      <c r="S287" t="s">
        <v>575</v>
      </c>
      <c r="T287">
        <v>4</v>
      </c>
      <c r="U287" t="s">
        <v>570</v>
      </c>
    </row>
    <row r="288" spans="14:21" x14ac:dyDescent="0.85">
      <c r="N288" t="s">
        <v>610</v>
      </c>
      <c r="O288">
        <v>4</v>
      </c>
      <c r="P288" t="s">
        <v>611</v>
      </c>
      <c r="S288" t="s">
        <v>576</v>
      </c>
      <c r="T288">
        <v>4</v>
      </c>
      <c r="U288" t="s">
        <v>577</v>
      </c>
    </row>
    <row r="289" spans="14:21" x14ac:dyDescent="0.85">
      <c r="N289" t="s">
        <v>612</v>
      </c>
      <c r="O289">
        <v>2</v>
      </c>
      <c r="P289" t="s">
        <v>613</v>
      </c>
      <c r="S289" t="s">
        <v>581</v>
      </c>
      <c r="T289">
        <v>4</v>
      </c>
      <c r="U289" t="s">
        <v>580</v>
      </c>
    </row>
    <row r="290" spans="14:21" x14ac:dyDescent="0.85">
      <c r="N290" t="s">
        <v>144</v>
      </c>
      <c r="O290">
        <v>3</v>
      </c>
      <c r="P290" t="s">
        <v>145</v>
      </c>
      <c r="S290" t="s">
        <v>583</v>
      </c>
      <c r="T290">
        <v>4</v>
      </c>
      <c r="U290" t="s">
        <v>584</v>
      </c>
    </row>
    <row r="291" spans="14:21" x14ac:dyDescent="0.85">
      <c r="N291" t="s">
        <v>614</v>
      </c>
      <c r="O291">
        <v>4</v>
      </c>
      <c r="P291" t="s">
        <v>145</v>
      </c>
      <c r="S291" t="s">
        <v>585</v>
      </c>
      <c r="T291">
        <v>4</v>
      </c>
      <c r="U291" t="s">
        <v>586</v>
      </c>
    </row>
    <row r="292" spans="14:21" x14ac:dyDescent="0.85">
      <c r="N292" t="s">
        <v>146</v>
      </c>
      <c r="O292">
        <v>3</v>
      </c>
      <c r="P292" t="s">
        <v>147</v>
      </c>
      <c r="S292" t="s">
        <v>587</v>
      </c>
      <c r="T292">
        <v>4</v>
      </c>
      <c r="U292" t="s">
        <v>588</v>
      </c>
    </row>
    <row r="293" spans="14:21" x14ac:dyDescent="0.85">
      <c r="N293" t="s">
        <v>615</v>
      </c>
      <c r="O293">
        <v>4</v>
      </c>
      <c r="P293" t="s">
        <v>616</v>
      </c>
      <c r="S293" t="s">
        <v>589</v>
      </c>
      <c r="T293">
        <v>4</v>
      </c>
      <c r="U293" t="s">
        <v>590</v>
      </c>
    </row>
    <row r="294" spans="14:21" x14ac:dyDescent="0.85">
      <c r="N294" t="s">
        <v>617</v>
      </c>
      <c r="O294">
        <v>4</v>
      </c>
      <c r="P294" t="s">
        <v>618</v>
      </c>
      <c r="S294" t="s">
        <v>591</v>
      </c>
      <c r="T294">
        <v>4</v>
      </c>
      <c r="U294" t="s">
        <v>592</v>
      </c>
    </row>
    <row r="295" spans="14:21" x14ac:dyDescent="0.85">
      <c r="N295" t="s">
        <v>619</v>
      </c>
      <c r="O295">
        <v>2</v>
      </c>
      <c r="P295" t="s">
        <v>620</v>
      </c>
      <c r="S295" t="s">
        <v>595</v>
      </c>
      <c r="T295">
        <v>4</v>
      </c>
      <c r="U295" t="s">
        <v>596</v>
      </c>
    </row>
    <row r="296" spans="14:21" x14ac:dyDescent="0.85">
      <c r="N296" t="s">
        <v>148</v>
      </c>
      <c r="O296">
        <v>3</v>
      </c>
      <c r="P296" t="s">
        <v>621</v>
      </c>
      <c r="S296" t="s">
        <v>597</v>
      </c>
      <c r="T296">
        <v>4</v>
      </c>
      <c r="U296" t="s">
        <v>598</v>
      </c>
    </row>
    <row r="297" spans="14:21" x14ac:dyDescent="0.85">
      <c r="N297" t="s">
        <v>622</v>
      </c>
      <c r="O297">
        <v>4</v>
      </c>
      <c r="P297" t="s">
        <v>623</v>
      </c>
      <c r="S297" t="s">
        <v>599</v>
      </c>
      <c r="T297">
        <v>4</v>
      </c>
      <c r="U297" t="s">
        <v>600</v>
      </c>
    </row>
    <row r="298" spans="14:21" x14ac:dyDescent="0.85">
      <c r="N298" t="s">
        <v>624</v>
      </c>
      <c r="O298">
        <v>4</v>
      </c>
      <c r="P298" t="s">
        <v>625</v>
      </c>
      <c r="S298" t="s">
        <v>602</v>
      </c>
      <c r="T298">
        <v>4</v>
      </c>
      <c r="U298" t="s">
        <v>603</v>
      </c>
    </row>
    <row r="299" spans="14:21" x14ac:dyDescent="0.85">
      <c r="N299" t="s">
        <v>150</v>
      </c>
      <c r="O299">
        <v>3</v>
      </c>
      <c r="P299" t="s">
        <v>626</v>
      </c>
      <c r="S299" t="s">
        <v>604</v>
      </c>
      <c r="T299">
        <v>4</v>
      </c>
      <c r="U299" t="s">
        <v>605</v>
      </c>
    </row>
    <row r="300" spans="14:21" x14ac:dyDescent="0.85">
      <c r="N300" t="s">
        <v>627</v>
      </c>
      <c r="O300">
        <v>4</v>
      </c>
      <c r="P300" t="s">
        <v>628</v>
      </c>
      <c r="S300" t="s">
        <v>606</v>
      </c>
      <c r="T300">
        <v>4</v>
      </c>
      <c r="U300" t="s">
        <v>607</v>
      </c>
    </row>
    <row r="301" spans="14:21" x14ac:dyDescent="0.85">
      <c r="N301" t="s">
        <v>629</v>
      </c>
      <c r="O301">
        <v>4</v>
      </c>
      <c r="P301" t="s">
        <v>630</v>
      </c>
      <c r="S301" t="s">
        <v>608</v>
      </c>
      <c r="T301">
        <v>4</v>
      </c>
      <c r="U301" t="s">
        <v>609</v>
      </c>
    </row>
    <row r="302" spans="14:21" x14ac:dyDescent="0.85">
      <c r="N302" t="s">
        <v>631</v>
      </c>
      <c r="O302">
        <v>4</v>
      </c>
      <c r="P302" t="s">
        <v>632</v>
      </c>
      <c r="S302" t="s">
        <v>610</v>
      </c>
      <c r="T302">
        <v>4</v>
      </c>
      <c r="U302" t="s">
        <v>611</v>
      </c>
    </row>
    <row r="303" spans="14:21" x14ac:dyDescent="0.85">
      <c r="N303" t="s">
        <v>633</v>
      </c>
      <c r="O303">
        <v>2</v>
      </c>
      <c r="P303" t="s">
        <v>153</v>
      </c>
      <c r="S303" t="s">
        <v>614</v>
      </c>
      <c r="T303">
        <v>4</v>
      </c>
      <c r="U303" t="s">
        <v>145</v>
      </c>
    </row>
    <row r="304" spans="14:21" x14ac:dyDescent="0.85">
      <c r="N304" t="s">
        <v>152</v>
      </c>
      <c r="O304">
        <v>3</v>
      </c>
      <c r="P304" t="s">
        <v>153</v>
      </c>
      <c r="S304" t="s">
        <v>615</v>
      </c>
      <c r="T304">
        <v>4</v>
      </c>
      <c r="U304" t="s">
        <v>616</v>
      </c>
    </row>
    <row r="305" spans="14:21" x14ac:dyDescent="0.85">
      <c r="N305" t="s">
        <v>634</v>
      </c>
      <c r="O305">
        <v>4</v>
      </c>
      <c r="P305" t="s">
        <v>635</v>
      </c>
      <c r="S305" t="s">
        <v>617</v>
      </c>
      <c r="T305">
        <v>4</v>
      </c>
      <c r="U305" t="s">
        <v>618</v>
      </c>
    </row>
    <row r="306" spans="14:21" x14ac:dyDescent="0.85">
      <c r="N306" t="s">
        <v>636</v>
      </c>
      <c r="O306">
        <v>4</v>
      </c>
      <c r="P306" t="s">
        <v>637</v>
      </c>
      <c r="S306" t="s">
        <v>622</v>
      </c>
      <c r="T306">
        <v>4</v>
      </c>
      <c r="U306" t="s">
        <v>623</v>
      </c>
    </row>
    <row r="307" spans="14:21" x14ac:dyDescent="0.85">
      <c r="N307" t="s">
        <v>638</v>
      </c>
      <c r="O307">
        <v>4</v>
      </c>
      <c r="P307" t="s">
        <v>639</v>
      </c>
      <c r="S307" t="s">
        <v>624</v>
      </c>
      <c r="T307">
        <v>4</v>
      </c>
      <c r="U307" t="s">
        <v>625</v>
      </c>
    </row>
    <row r="308" spans="14:21" x14ac:dyDescent="0.85">
      <c r="N308" t="s">
        <v>640</v>
      </c>
      <c r="O308">
        <v>4</v>
      </c>
      <c r="P308" t="s">
        <v>641</v>
      </c>
      <c r="S308" t="s">
        <v>627</v>
      </c>
      <c r="T308">
        <v>4</v>
      </c>
      <c r="U308" t="s">
        <v>628</v>
      </c>
    </row>
    <row r="309" spans="14:21" x14ac:dyDescent="0.85">
      <c r="N309" t="s">
        <v>642</v>
      </c>
      <c r="O309">
        <v>2</v>
      </c>
      <c r="P309" t="s">
        <v>155</v>
      </c>
      <c r="S309" t="s">
        <v>629</v>
      </c>
      <c r="T309">
        <v>4</v>
      </c>
      <c r="U309" t="s">
        <v>630</v>
      </c>
    </row>
    <row r="310" spans="14:21" x14ac:dyDescent="0.85">
      <c r="N310" t="s">
        <v>154</v>
      </c>
      <c r="O310">
        <v>3</v>
      </c>
      <c r="P310" t="s">
        <v>155</v>
      </c>
      <c r="S310" t="s">
        <v>631</v>
      </c>
      <c r="T310">
        <v>4</v>
      </c>
      <c r="U310" t="s">
        <v>632</v>
      </c>
    </row>
    <row r="311" spans="14:21" x14ac:dyDescent="0.85">
      <c r="N311" t="s">
        <v>643</v>
      </c>
      <c r="O311">
        <v>4</v>
      </c>
      <c r="P311" t="s">
        <v>155</v>
      </c>
      <c r="S311" t="s">
        <v>634</v>
      </c>
      <c r="T311">
        <v>4</v>
      </c>
      <c r="U311" t="s">
        <v>635</v>
      </c>
    </row>
    <row r="312" spans="14:21" x14ac:dyDescent="0.85">
      <c r="N312" t="s">
        <v>644</v>
      </c>
      <c r="O312">
        <v>2</v>
      </c>
      <c r="P312" t="s">
        <v>157</v>
      </c>
      <c r="S312" t="s">
        <v>636</v>
      </c>
      <c r="T312">
        <v>4</v>
      </c>
      <c r="U312" t="s">
        <v>637</v>
      </c>
    </row>
    <row r="313" spans="14:21" x14ac:dyDescent="0.85">
      <c r="N313" t="s">
        <v>156</v>
      </c>
      <c r="O313">
        <v>3</v>
      </c>
      <c r="P313" t="s">
        <v>157</v>
      </c>
      <c r="S313" t="s">
        <v>638</v>
      </c>
      <c r="T313">
        <v>4</v>
      </c>
      <c r="U313" t="s">
        <v>639</v>
      </c>
    </row>
    <row r="314" spans="14:21" x14ac:dyDescent="0.85">
      <c r="N314" t="s">
        <v>645</v>
      </c>
      <c r="O314">
        <v>4</v>
      </c>
      <c r="P314" t="s">
        <v>646</v>
      </c>
      <c r="S314" t="s">
        <v>640</v>
      </c>
      <c r="T314">
        <v>4</v>
      </c>
      <c r="U314" t="s">
        <v>641</v>
      </c>
    </row>
    <row r="315" spans="14:21" x14ac:dyDescent="0.85">
      <c r="N315" t="s">
        <v>647</v>
      </c>
      <c r="O315">
        <v>4</v>
      </c>
      <c r="P315" t="s">
        <v>648</v>
      </c>
      <c r="S315" t="s">
        <v>643</v>
      </c>
      <c r="T315">
        <v>4</v>
      </c>
      <c r="U315" t="s">
        <v>155</v>
      </c>
    </row>
    <row r="316" spans="14:21" x14ac:dyDescent="0.85">
      <c r="N316" t="s">
        <v>649</v>
      </c>
      <c r="O316">
        <v>2</v>
      </c>
      <c r="P316" t="s">
        <v>159</v>
      </c>
      <c r="S316" t="s">
        <v>645</v>
      </c>
      <c r="T316">
        <v>4</v>
      </c>
      <c r="U316" t="s">
        <v>646</v>
      </c>
    </row>
    <row r="317" spans="14:21" x14ac:dyDescent="0.85">
      <c r="N317" t="s">
        <v>158</v>
      </c>
      <c r="O317">
        <v>3</v>
      </c>
      <c r="P317" t="s">
        <v>159</v>
      </c>
      <c r="S317" t="s">
        <v>647</v>
      </c>
      <c r="T317">
        <v>4</v>
      </c>
      <c r="U317" t="s">
        <v>648</v>
      </c>
    </row>
    <row r="318" spans="14:21" x14ac:dyDescent="0.85">
      <c r="N318" t="s">
        <v>650</v>
      </c>
      <c r="O318">
        <v>4</v>
      </c>
      <c r="P318" t="s">
        <v>159</v>
      </c>
      <c r="S318" t="s">
        <v>650</v>
      </c>
      <c r="T318">
        <v>4</v>
      </c>
      <c r="U318" t="s">
        <v>159</v>
      </c>
    </row>
  </sheetData>
  <sortState xmlns:xlrd2="http://schemas.microsoft.com/office/spreadsheetml/2017/richdata2" ref="S7:U318">
    <sortCondition ref="T7:T318"/>
    <sortCondition ref="S7:S3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SUT</vt:lpstr>
      <vt:lpstr>IO_Table</vt:lpstr>
      <vt:lpstr>RCPA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Youll</dc:creator>
  <cp:lastModifiedBy>Fabien MPAYIMANA</cp:lastModifiedBy>
  <dcterms:created xsi:type="dcterms:W3CDTF">2017-03-09T13:39:36Z</dcterms:created>
  <dcterms:modified xsi:type="dcterms:W3CDTF">2025-11-25T07:17:47Z</dcterms:modified>
</cp:coreProperties>
</file>