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ISR\"/>
    </mc:Choice>
  </mc:AlternateContent>
  <xr:revisionPtr revIDLastSave="0" documentId="8_{15D19F48-6F22-47F7-A527-E50AD6A56B86}" xr6:coauthVersionLast="47" xr6:coauthVersionMax="47" xr10:uidLastSave="{00000000-0000-0000-0000-000000000000}"/>
  <bookViews>
    <workbookView xWindow="57480" yWindow="-120" windowWidth="38640" windowHeight="21120" xr2:uid="{8FF53E77-636A-4FF5-A1E2-5C73A67D0E7B}"/>
  </bookViews>
  <sheets>
    <sheet name="Supply" sheetId="1" r:id="rId1"/>
    <sheet name="Use" sheetId="2" r:id="rId2"/>
    <sheet name="Domestic Supp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E83" i="2" l="1"/>
  <c r="CE82" i="2"/>
  <c r="CE81" i="2"/>
  <c r="CE80" i="2"/>
  <c r="CE79" i="2"/>
  <c r="CE78" i="2"/>
  <c r="CE77" i="2"/>
  <c r="CE76" i="2"/>
  <c r="CE75" i="2"/>
  <c r="CE74" i="2"/>
  <c r="CE73" i="2"/>
  <c r="CE72" i="2"/>
  <c r="CE71" i="2"/>
  <c r="CE70" i="2"/>
  <c r="CE69" i="2"/>
  <c r="CE68" i="2"/>
  <c r="CE67" i="2"/>
  <c r="CE66" i="2"/>
  <c r="CE65" i="2"/>
  <c r="CE64" i="2"/>
  <c r="CE63" i="2"/>
  <c r="CE62" i="2"/>
  <c r="CE61" i="2"/>
  <c r="CE60" i="2"/>
  <c r="CE59" i="2"/>
  <c r="CE58" i="2"/>
  <c r="CE57" i="2"/>
  <c r="CE56" i="2"/>
  <c r="CE55" i="2"/>
  <c r="CE54" i="2"/>
  <c r="CE53" i="2"/>
  <c r="CE52" i="2"/>
  <c r="CE51" i="2"/>
  <c r="CE50" i="2"/>
  <c r="CE49" i="2"/>
  <c r="CE48" i="2"/>
  <c r="CE47" i="2"/>
  <c r="CE46" i="2"/>
  <c r="CE45" i="2"/>
  <c r="CE44" i="2"/>
  <c r="CE43" i="2"/>
  <c r="CE42" i="2"/>
  <c r="CE41" i="2"/>
  <c r="CE40" i="2"/>
  <c r="CE39" i="2"/>
  <c r="CE38" i="2"/>
  <c r="CE37" i="2"/>
  <c r="CE36" i="2"/>
  <c r="CE35" i="2"/>
  <c r="CE34" i="2"/>
  <c r="CE33" i="2"/>
  <c r="CE32" i="2"/>
  <c r="CE31" i="2"/>
  <c r="CE30" i="2"/>
  <c r="CE29" i="2"/>
  <c r="CE28" i="2"/>
  <c r="CE27" i="2"/>
  <c r="CE26" i="2"/>
  <c r="CE25" i="2"/>
  <c r="CE24" i="2"/>
  <c r="CE23" i="2"/>
  <c r="CE22" i="2"/>
  <c r="CE21" i="2"/>
  <c r="CE20" i="2"/>
  <c r="CE19" i="2"/>
  <c r="CE18" i="2"/>
  <c r="CE17" i="2"/>
  <c r="CE16" i="2"/>
  <c r="CE15" i="2"/>
  <c r="CE14" i="2"/>
  <c r="CE13" i="2"/>
  <c r="CE12" i="2"/>
  <c r="CE11" i="2"/>
  <c r="CE10" i="2"/>
  <c r="CE9" i="2"/>
  <c r="CE8" i="2"/>
  <c r="CE7" i="2"/>
  <c r="CE6" i="2"/>
  <c r="CE5" i="2"/>
  <c r="CE4" i="2"/>
  <c r="CJ27" i="2"/>
  <c r="CC85" i="3" l="1"/>
  <c r="CD85" i="3"/>
  <c r="CJ28" i="2" l="1"/>
  <c r="E82" i="1"/>
  <c r="CJ69" i="2" l="1"/>
  <c r="CJ39" i="2"/>
  <c r="J50" i="1"/>
  <c r="CJ82" i="2"/>
  <c r="CJ12" i="2"/>
  <c r="CJ15" i="2"/>
  <c r="CJ31" i="2"/>
  <c r="CJ52" i="2"/>
  <c r="CJ48" i="2"/>
  <c r="CJ56" i="2"/>
  <c r="J13" i="1"/>
  <c r="J12" i="1"/>
  <c r="CJ47" i="2"/>
  <c r="CJ74" i="2"/>
  <c r="J39" i="1"/>
  <c r="J32" i="1"/>
  <c r="J80" i="1"/>
  <c r="J46" i="1"/>
  <c r="J51" i="1"/>
  <c r="J26" i="1"/>
  <c r="J48" i="1"/>
  <c r="CJ58" i="2"/>
  <c r="J79" i="1"/>
  <c r="J76" i="1"/>
  <c r="J67" i="1"/>
  <c r="CJ61" i="2"/>
  <c r="CJ14" i="2"/>
  <c r="J10" i="1"/>
  <c r="J7" i="1"/>
  <c r="CJ38" i="2"/>
  <c r="CJ81" i="2"/>
  <c r="CJ76" i="2"/>
  <c r="J42" i="1"/>
  <c r="J74" i="1"/>
  <c r="CJ62" i="2"/>
  <c r="CJ9" i="2"/>
  <c r="C82" i="1" l="1"/>
  <c r="J14" i="1"/>
  <c r="CJ72" i="2"/>
  <c r="J78" i="1"/>
  <c r="J55" i="1"/>
  <c r="J56" i="1"/>
  <c r="J58" i="1"/>
  <c r="J60" i="1"/>
  <c r="CJ67" i="2"/>
  <c r="J61" i="1"/>
  <c r="J66" i="1"/>
  <c r="J54" i="1"/>
  <c r="CJ60" i="2"/>
  <c r="J31" i="1"/>
  <c r="J36" i="1"/>
  <c r="J29" i="1"/>
  <c r="J59" i="1"/>
  <c r="J62" i="1"/>
  <c r="J19" i="1"/>
  <c r="CJ51" i="2"/>
  <c r="J18" i="1"/>
  <c r="J52" i="1"/>
  <c r="J65" i="1"/>
  <c r="J49" i="1"/>
  <c r="J47" i="1"/>
  <c r="J72" i="1"/>
  <c r="J45" i="1"/>
  <c r="CJ42" i="2"/>
  <c r="CJ13" i="2"/>
  <c r="CJ40" i="2"/>
  <c r="CJ7" i="2"/>
  <c r="CJ21" i="2"/>
  <c r="CJ41" i="2"/>
  <c r="CJ23" i="2"/>
  <c r="J37" i="1"/>
  <c r="CJ11" i="2"/>
  <c r="J68" i="1"/>
  <c r="CJ53" i="2"/>
  <c r="CJ18" i="2"/>
  <c r="J17" i="1"/>
  <c r="CJ54" i="2"/>
  <c r="J75" i="1"/>
  <c r="J41" i="1"/>
  <c r="J30" i="1"/>
  <c r="CJ26" i="2"/>
  <c r="J64" i="1"/>
  <c r="CJ43" i="2"/>
  <c r="J43" i="1"/>
  <c r="CJ46" i="2"/>
  <c r="J21" i="1"/>
  <c r="CJ19" i="2"/>
  <c r="J33" i="1"/>
  <c r="J9" i="1"/>
  <c r="CJ17" i="2"/>
  <c r="J57" i="1"/>
  <c r="J34" i="1"/>
  <c r="J40" i="1"/>
  <c r="J35" i="1"/>
  <c r="J11" i="1"/>
  <c r="J5" i="1"/>
  <c r="CJ22" i="2"/>
  <c r="J16" i="1"/>
  <c r="CJ79" i="2"/>
  <c r="J77" i="1"/>
  <c r="CJ16" i="2"/>
  <c r="J15" i="1"/>
  <c r="CJ77" i="2"/>
  <c r="CJ83" i="2"/>
  <c r="J20" i="1"/>
  <c r="CJ37" i="2"/>
  <c r="J38" i="1"/>
  <c r="J44" i="1"/>
  <c r="J81" i="1"/>
  <c r="J25" i="1"/>
  <c r="J4" i="1"/>
  <c r="J27" i="1"/>
  <c r="CJ36" i="2"/>
  <c r="CJ68" i="2"/>
  <c r="J3" i="1"/>
  <c r="CJ30" i="2"/>
  <c r="J53" i="1"/>
  <c r="J2" i="1"/>
  <c r="CJ25" i="2"/>
  <c r="CJ24" i="2"/>
  <c r="CJ35" i="2"/>
  <c r="J71" i="1"/>
  <c r="CJ20" i="2"/>
  <c r="J63" i="1"/>
  <c r="J69" i="1"/>
  <c r="CJ73" i="2"/>
  <c r="J22" i="1"/>
  <c r="CJ71" i="2"/>
  <c r="J24" i="1"/>
  <c r="CJ10" i="2"/>
  <c r="CJ45" i="2"/>
  <c r="CJ65" i="2"/>
  <c r="CJ66" i="2"/>
  <c r="CJ49" i="2"/>
  <c r="CJ33" i="2"/>
  <c r="J23" i="1"/>
  <c r="CJ59" i="2"/>
  <c r="J28" i="1"/>
  <c r="J8" i="1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J64" i="2"/>
  <c r="CJ8" i="2"/>
  <c r="F82" i="1"/>
  <c r="CJ29" i="2"/>
  <c r="CJ32" i="2"/>
  <c r="CJ34" i="2"/>
  <c r="CJ78" i="2"/>
  <c r="CJ70" i="2"/>
  <c r="CJ63" i="2"/>
  <c r="CJ50" i="2"/>
  <c r="CJ57" i="2"/>
  <c r="CJ55" i="2"/>
  <c r="CJ80" i="2"/>
  <c r="CJ44" i="2"/>
  <c r="BT85" i="3"/>
  <c r="BN85" i="3"/>
  <c r="BJ85" i="3"/>
  <c r="BB85" i="3"/>
  <c r="AQ85" i="3"/>
  <c r="AJ85" i="3"/>
  <c r="AA85" i="3"/>
  <c r="CE71" i="3"/>
  <c r="CE83" i="3"/>
  <c r="CE74" i="3"/>
  <c r="CE25" i="3"/>
  <c r="CE73" i="3"/>
  <c r="CE78" i="3"/>
  <c r="CE44" i="3"/>
  <c r="CE82" i="3"/>
  <c r="CE49" i="3"/>
  <c r="CE68" i="3"/>
  <c r="CE70" i="3"/>
  <c r="CE80" i="3"/>
  <c r="CE59" i="3"/>
  <c r="CE60" i="3"/>
  <c r="CE51" i="3"/>
  <c r="CE38" i="3"/>
  <c r="L85" i="3"/>
  <c r="CE32" i="3"/>
  <c r="CE58" i="3"/>
  <c r="CE37" i="3"/>
  <c r="CE45" i="3"/>
  <c r="CE18" i="3"/>
  <c r="CE34" i="3"/>
  <c r="CE55" i="3"/>
  <c r="CE72" i="3"/>
  <c r="CE22" i="3"/>
  <c r="CE28" i="3"/>
  <c r="CE29" i="3"/>
  <c r="CE77" i="3"/>
  <c r="CE14" i="3"/>
  <c r="CE42" i="3"/>
  <c r="CE21" i="3"/>
  <c r="CE69" i="3"/>
  <c r="CE52" i="3"/>
  <c r="CE31" i="3"/>
  <c r="CE76" i="3"/>
  <c r="CE64" i="3"/>
  <c r="CE9" i="3"/>
  <c r="CE13" i="3"/>
  <c r="CE20" i="3"/>
  <c r="CE57" i="3"/>
  <c r="CE10" i="3"/>
  <c r="CE35" i="3"/>
  <c r="CE41" i="3"/>
  <c r="CE40" i="3"/>
  <c r="CE50" i="3"/>
  <c r="CE81" i="3"/>
  <c r="CE24" i="3"/>
  <c r="CE33" i="3"/>
  <c r="CE16" i="3"/>
  <c r="CE36" i="3"/>
  <c r="G82" i="1" l="1"/>
  <c r="H82" i="1"/>
  <c r="BF85" i="3"/>
  <c r="BD85" i="3"/>
  <c r="BA85" i="3"/>
  <c r="AG85" i="3"/>
  <c r="AF85" i="3"/>
  <c r="CE23" i="3"/>
  <c r="V85" i="3"/>
  <c r="Q85" i="3"/>
  <c r="O85" i="3"/>
  <c r="CE26" i="3"/>
  <c r="CE79" i="3"/>
  <c r="CE63" i="3"/>
  <c r="CE75" i="3"/>
  <c r="CE67" i="3"/>
  <c r="CE27" i="3"/>
  <c r="BQ85" i="3"/>
  <c r="BP85" i="3"/>
  <c r="BL85" i="3"/>
  <c r="BK85" i="3"/>
  <c r="BC85" i="3"/>
  <c r="AY85" i="3"/>
  <c r="AH85" i="3"/>
  <c r="AE85" i="3"/>
  <c r="Y85" i="3"/>
  <c r="CE61" i="3"/>
  <c r="CE47" i="3"/>
  <c r="CE66" i="3"/>
  <c r="CE62" i="3"/>
  <c r="CB85" i="3"/>
  <c r="BY85" i="3"/>
  <c r="BS85" i="3"/>
  <c r="BO85" i="3"/>
  <c r="BG85" i="3"/>
  <c r="BE85" i="3"/>
  <c r="AZ85" i="3"/>
  <c r="AW85" i="3"/>
  <c r="AV85" i="3"/>
  <c r="AB85" i="3"/>
  <c r="Z85" i="3"/>
  <c r="U85" i="3"/>
  <c r="CE46" i="3"/>
  <c r="CE39" i="3"/>
  <c r="CE48" i="3"/>
  <c r="CE54" i="3"/>
  <c r="CA85" i="3"/>
  <c r="BR85" i="3"/>
  <c r="BM85" i="3"/>
  <c r="AD85" i="3"/>
  <c r="CE56" i="3"/>
  <c r="CE15" i="3"/>
  <c r="CE43" i="3"/>
  <c r="BZ85" i="3"/>
  <c r="BX85" i="3"/>
  <c r="BW85" i="3"/>
  <c r="BV85" i="3"/>
  <c r="BU85" i="3"/>
  <c r="BH85" i="3"/>
  <c r="AU85" i="3"/>
  <c r="BI85" i="3"/>
  <c r="AX85" i="3"/>
  <c r="AK85" i="3"/>
  <c r="AC85" i="3"/>
  <c r="R85" i="3"/>
  <c r="M85" i="3"/>
  <c r="CE53" i="3"/>
  <c r="AT85" i="3"/>
  <c r="AS85" i="3"/>
  <c r="AR85" i="3"/>
  <c r="AP85" i="3"/>
  <c r="AO85" i="3"/>
  <c r="AN85" i="3"/>
  <c r="AM85" i="3"/>
  <c r="AL85" i="3"/>
  <c r="T85" i="3"/>
  <c r="CE65" i="3"/>
  <c r="K85" i="3"/>
  <c r="I85" i="3"/>
  <c r="J85" i="3"/>
  <c r="H85" i="3"/>
  <c r="F85" i="3"/>
  <c r="CE17" i="3"/>
  <c r="X85" i="3"/>
  <c r="CE19" i="3"/>
  <c r="W85" i="3"/>
  <c r="CE30" i="3"/>
  <c r="S85" i="3"/>
  <c r="CE84" i="3"/>
  <c r="AI85" i="3"/>
  <c r="CE11" i="3"/>
  <c r="P85" i="3"/>
  <c r="N85" i="3"/>
  <c r="CE12" i="3"/>
  <c r="D85" i="3"/>
  <c r="CE6" i="3"/>
  <c r="E85" i="3"/>
  <c r="CE8" i="3"/>
  <c r="CE7" i="3"/>
  <c r="G85" i="3"/>
  <c r="J70" i="1"/>
  <c r="V70" i="1"/>
  <c r="CJ5" i="2"/>
  <c r="CG84" i="2"/>
  <c r="CJ6" i="2"/>
  <c r="CH84" i="2"/>
  <c r="J6" i="1"/>
  <c r="D82" i="1"/>
  <c r="CJ4" i="2"/>
  <c r="C84" i="2"/>
  <c r="CE84" i="2" s="1"/>
  <c r="C85" i="3"/>
  <c r="CE5" i="3"/>
  <c r="CE85" i="3" l="1"/>
  <c r="CI84" i="2"/>
  <c r="I82" i="1" l="1"/>
  <c r="J82" i="1" s="1"/>
  <c r="J73" i="1"/>
  <c r="CF84" i="2"/>
  <c r="CJ84" i="2" s="1"/>
  <c r="CJ75" i="2"/>
</calcChain>
</file>

<file path=xl/sharedStrings.xml><?xml version="1.0" encoding="utf-8"?>
<sst xmlns="http://schemas.openxmlformats.org/spreadsheetml/2006/main" count="901" uniqueCount="216">
  <si>
    <t>Margins</t>
  </si>
  <si>
    <t>Taxes</t>
  </si>
  <si>
    <t>Formal production</t>
  </si>
  <si>
    <t>Informal output</t>
  </si>
  <si>
    <t>Govt output</t>
  </si>
  <si>
    <t>Imports</t>
  </si>
  <si>
    <t>Total Supply</t>
  </si>
  <si>
    <t>A11</t>
  </si>
  <si>
    <t>Cereals</t>
  </si>
  <si>
    <t>A12</t>
  </si>
  <si>
    <t>Roots and Tubers</t>
  </si>
  <si>
    <t>A13</t>
  </si>
  <si>
    <t>Vegetables</t>
  </si>
  <si>
    <t>A14</t>
  </si>
  <si>
    <t>Bananas and fruit</t>
  </si>
  <si>
    <t>A15</t>
  </si>
  <si>
    <t>Oil seeds n.e.c. and oleaginous fruit</t>
  </si>
  <si>
    <t>A21</t>
  </si>
  <si>
    <t>Coffee</t>
  </si>
  <si>
    <t>A22</t>
  </si>
  <si>
    <t>Tea (unprocessed green leaf)</t>
  </si>
  <si>
    <t>A29</t>
  </si>
  <si>
    <t>Other agricultural products</t>
  </si>
  <si>
    <t>A31</t>
  </si>
  <si>
    <t>Livestock</t>
  </si>
  <si>
    <t>A32</t>
  </si>
  <si>
    <t>Livestock and hunting products</t>
  </si>
  <si>
    <t>A40</t>
  </si>
  <si>
    <t>Forestry products</t>
  </si>
  <si>
    <t>A50</t>
  </si>
  <si>
    <t>Fishery products</t>
  </si>
  <si>
    <t>B01</t>
  </si>
  <si>
    <t>Natural gas</t>
  </si>
  <si>
    <t>B03</t>
  </si>
  <si>
    <t>Metal ores</t>
  </si>
  <si>
    <t>B09</t>
  </si>
  <si>
    <t>Quarry &amp; other mining products</t>
  </si>
  <si>
    <t>C11</t>
  </si>
  <si>
    <t>Meat and meat products</t>
  </si>
  <si>
    <t>C12</t>
  </si>
  <si>
    <t>Prepared and preserved fish</t>
  </si>
  <si>
    <t>C13</t>
  </si>
  <si>
    <t>Prepared and preserved vegetables</t>
  </si>
  <si>
    <t>C14</t>
  </si>
  <si>
    <t>Animal and vegetable oils and fats</t>
  </si>
  <si>
    <t>C15</t>
  </si>
  <si>
    <t>Dairy products</t>
  </si>
  <si>
    <t>C16</t>
  </si>
  <si>
    <t>Grain mill products</t>
  </si>
  <si>
    <t>C17</t>
  </si>
  <si>
    <t>Bakery products</t>
  </si>
  <si>
    <t>C18</t>
  </si>
  <si>
    <t>Animal feed &amp; other by-products</t>
  </si>
  <si>
    <t>C19</t>
  </si>
  <si>
    <t>Other manufactured food products</t>
  </si>
  <si>
    <t>C21</t>
  </si>
  <si>
    <t>Alcoholic drinks</t>
  </si>
  <si>
    <t>C22</t>
  </si>
  <si>
    <t>Soft drinks</t>
  </si>
  <si>
    <t>C23</t>
  </si>
  <si>
    <t>Tobacco products</t>
  </si>
  <si>
    <t>C30</t>
  </si>
  <si>
    <t>Textiles, clothing &amp; leather products</t>
  </si>
  <si>
    <t>C41</t>
  </si>
  <si>
    <t>Wood, paper and related products</t>
  </si>
  <si>
    <t>C42</t>
  </si>
  <si>
    <t>Printing and reproduction of recorded media</t>
  </si>
  <si>
    <t>C51</t>
  </si>
  <si>
    <t>Coke and refined petroleum products</t>
  </si>
  <si>
    <t>C52</t>
  </si>
  <si>
    <t>Chemicals and chemical products</t>
  </si>
  <si>
    <t>C53</t>
  </si>
  <si>
    <t>Pharmaceutical products</t>
  </si>
  <si>
    <t>C54</t>
  </si>
  <si>
    <t>Rubber and plastics products</t>
  </si>
  <si>
    <t>C61</t>
  </si>
  <si>
    <t>Non-metallic mineral products n.e.c.</t>
  </si>
  <si>
    <t>C62</t>
  </si>
  <si>
    <t>Manufacture of cement, lime and plaster</t>
  </si>
  <si>
    <t>C63</t>
  </si>
  <si>
    <t>Manufacture of clay building materials</t>
  </si>
  <si>
    <t>C72</t>
  </si>
  <si>
    <t>Metals &amp; metal products, except machinery and equipment</t>
  </si>
  <si>
    <t>C74</t>
  </si>
  <si>
    <t>Machinery and equipment (except transport)</t>
  </si>
  <si>
    <t>C76</t>
  </si>
  <si>
    <t>Transport equipment</t>
  </si>
  <si>
    <t>C81</t>
  </si>
  <si>
    <t>Furniture</t>
  </si>
  <si>
    <t>C82</t>
  </si>
  <si>
    <t>Other manufacturing</t>
  </si>
  <si>
    <t>C83</t>
  </si>
  <si>
    <t>Repair and installation of machinery and equipment</t>
  </si>
  <si>
    <t>D00</t>
  </si>
  <si>
    <t>Electricity, gas, steam and air conditioning supply</t>
  </si>
  <si>
    <t>E01</t>
  </si>
  <si>
    <t>Water collection, treatment and supply: sewrage</t>
  </si>
  <si>
    <t>E02</t>
  </si>
  <si>
    <t>Waste collection and management</t>
  </si>
  <si>
    <t>F01</t>
  </si>
  <si>
    <t>Construction (modern)</t>
  </si>
  <si>
    <t>F02</t>
  </si>
  <si>
    <t>Construction (traditional)</t>
  </si>
  <si>
    <t>G10</t>
  </si>
  <si>
    <t>Maintenance and repair of motor vehicles</t>
  </si>
  <si>
    <t>G21</t>
  </si>
  <si>
    <t>Wholesale and retail trade of motor vehicles and motorcycles</t>
  </si>
  <si>
    <t>G22</t>
  </si>
  <si>
    <t>Wholesale trade, except of motor vehicles and motorcycles</t>
  </si>
  <si>
    <t>G23</t>
  </si>
  <si>
    <t>Retail trade, except of motor vehicles and motorcycles</t>
  </si>
  <si>
    <t>H10</t>
  </si>
  <si>
    <t>Land transport</t>
  </si>
  <si>
    <t>H20</t>
  </si>
  <si>
    <t>Air transport</t>
  </si>
  <si>
    <t>H31</t>
  </si>
  <si>
    <t xml:space="preserve">Services related to transport </t>
  </si>
  <si>
    <t>H32</t>
  </si>
  <si>
    <t>Postal and courier activities</t>
  </si>
  <si>
    <t>I00</t>
  </si>
  <si>
    <t>Hotels &amp; restaurants</t>
  </si>
  <si>
    <t>J10</t>
  </si>
  <si>
    <t>Publishing, video making, programming &amp; broadcasting activities</t>
  </si>
  <si>
    <t>J20</t>
  </si>
  <si>
    <t>Telecommunication</t>
  </si>
  <si>
    <t>J30</t>
  </si>
  <si>
    <t>Information technology services</t>
  </si>
  <si>
    <t>K01</t>
  </si>
  <si>
    <t>Monetary institutions</t>
  </si>
  <si>
    <t>K02</t>
  </si>
  <si>
    <t>Insurance, reinsurance and pension funding, except compulsory social security</t>
  </si>
  <si>
    <t>K03</t>
  </si>
  <si>
    <t>Other financial services</t>
  </si>
  <si>
    <t>L01</t>
  </si>
  <si>
    <t>Rental value of dwellings</t>
  </si>
  <si>
    <t>L09</t>
  </si>
  <si>
    <t>Other real estate activities</t>
  </si>
  <si>
    <t>M01</t>
  </si>
  <si>
    <t>Legal, accounting management &amp; head office activities</t>
  </si>
  <si>
    <t>M02</t>
  </si>
  <si>
    <t>Architectural and engineering activities</t>
  </si>
  <si>
    <t>M03</t>
  </si>
  <si>
    <t>Other professional, scientific and technical activities</t>
  </si>
  <si>
    <t>N01</t>
  </si>
  <si>
    <t>Travel agents and tour operators</t>
  </si>
  <si>
    <t>N09</t>
  </si>
  <si>
    <t>Other administrative and support service activities</t>
  </si>
  <si>
    <t>O00</t>
  </si>
  <si>
    <t>Public administration and defence; compulsory social security</t>
  </si>
  <si>
    <t>P00</t>
  </si>
  <si>
    <t>Education</t>
  </si>
  <si>
    <t>Q01</t>
  </si>
  <si>
    <t>Human health activities</t>
  </si>
  <si>
    <t>Q02</t>
  </si>
  <si>
    <t>Social work activities</t>
  </si>
  <si>
    <t>R01</t>
  </si>
  <si>
    <t>Libraries, archives, museums and other cultural activities</t>
  </si>
  <si>
    <t>R09</t>
  </si>
  <si>
    <t>Other arts, entertainment and recreation</t>
  </si>
  <si>
    <t>S00</t>
  </si>
  <si>
    <t>Other service activities</t>
  </si>
  <si>
    <t>T00</t>
  </si>
  <si>
    <t>Domestic services</t>
  </si>
  <si>
    <t>V00</t>
  </si>
  <si>
    <t>Travel debits &amp; credits</t>
  </si>
  <si>
    <t>X00</t>
  </si>
  <si>
    <t>Unallocated products</t>
  </si>
  <si>
    <t>Total Intermediate demand</t>
  </si>
  <si>
    <t>Household Final Consumption Expenditures</t>
  </si>
  <si>
    <t>Govt &amp; NGO FCE</t>
  </si>
  <si>
    <t>Gross Capital Formation</t>
  </si>
  <si>
    <t>Exports of Goods &amp; Services</t>
  </si>
  <si>
    <t>Total Use/ Demand</t>
  </si>
  <si>
    <t>Total</t>
  </si>
  <si>
    <t>Intermediate consumption matrix</t>
  </si>
  <si>
    <t>A1</t>
  </si>
  <si>
    <t>A2</t>
  </si>
  <si>
    <t>A3</t>
  </si>
  <si>
    <t>A4</t>
  </si>
  <si>
    <t>A5</t>
  </si>
  <si>
    <t>B0</t>
  </si>
  <si>
    <t>C1</t>
  </si>
  <si>
    <t>C2</t>
  </si>
  <si>
    <t>C3</t>
  </si>
  <si>
    <t>C4</t>
  </si>
  <si>
    <t>C5</t>
  </si>
  <si>
    <t>C6</t>
  </si>
  <si>
    <t>C7</t>
  </si>
  <si>
    <t>C8</t>
  </si>
  <si>
    <t>D0</t>
  </si>
  <si>
    <t>E0</t>
  </si>
  <si>
    <t>F0</t>
  </si>
  <si>
    <t>G1</t>
  </si>
  <si>
    <t>G2</t>
  </si>
  <si>
    <t>H1</t>
  </si>
  <si>
    <t>H2</t>
  </si>
  <si>
    <t>H3</t>
  </si>
  <si>
    <t>I0</t>
  </si>
  <si>
    <t>J1</t>
  </si>
  <si>
    <t>J2</t>
  </si>
  <si>
    <t>J3</t>
  </si>
  <si>
    <t>K0</t>
  </si>
  <si>
    <t>L0</t>
  </si>
  <si>
    <t>M0</t>
  </si>
  <si>
    <t>N0</t>
  </si>
  <si>
    <t>O0</t>
  </si>
  <si>
    <t>P0</t>
  </si>
  <si>
    <t>Q0</t>
  </si>
  <si>
    <t>R0</t>
  </si>
  <si>
    <t>S0</t>
  </si>
  <si>
    <t>T0</t>
  </si>
  <si>
    <t>Billions of FRW</t>
  </si>
  <si>
    <t>Labels</t>
  </si>
  <si>
    <t>TOTAL</t>
  </si>
  <si>
    <t>NGOs output</t>
  </si>
  <si>
    <t>Values in 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</si>
</sst>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£&quot;* #,##0.00_-;\-&quot;£&quot;* #,##0.00_-;_-&quot;£&quot;* &quot;-&quot;??_-;_-@_-"/>
    <numFmt numFmtId="166" formatCode="_-* #,##0_-;\-* #,##0_-;_-* &quot;-&quot;??_-;_-@_-"/>
    <numFmt numFmtId="167" formatCode="0.0%"/>
    <numFmt numFmtId="168" formatCode="_(* #,##0.000_);_(* \(#,##0.000\);_(* &quot;-&quot;??_);_(@_)"/>
    <numFmt numFmtId="169" formatCode="0.000"/>
    <numFmt numFmtId="170" formatCode="_(* #,##0_);_(* \(#,##0\);_(* &quot;-&quot;??_);_(@_)"/>
    <numFmt numFmtId="171" formatCode="#,##0_ ;[Red]\-#,##0\ "/>
    <numFmt numFmtId="172" formatCode="#,##0.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2"/>
      <name val="Aptos Narrow"/>
      <family val="2"/>
      <scheme val="minor"/>
    </font>
    <font>
      <i/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auto="1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/>
  </cellStyleXfs>
  <cellXfs count="84">
    <xf numFmtId="0" fontId="0" fillId="0" borderId="0" xfId="0"/>
    <xf numFmtId="0" fontId="1" fillId="0" borderId="0" xfId="4"/>
    <xf numFmtId="0" fontId="3" fillId="0" borderId="0" xfId="4" applyFont="1" applyAlignment="1">
      <alignment wrapText="1"/>
    </xf>
    <xf numFmtId="0" fontId="1" fillId="0" borderId="0" xfId="4" applyAlignment="1">
      <alignment wrapText="1"/>
    </xf>
    <xf numFmtId="0" fontId="6" fillId="3" borderId="1" xfId="0" applyFont="1" applyFill="1" applyBorder="1"/>
    <xf numFmtId="0" fontId="6" fillId="3" borderId="0" xfId="0" applyFont="1" applyFill="1"/>
    <xf numFmtId="166" fontId="6" fillId="3" borderId="0" xfId="1" applyNumberFormat="1" applyFont="1" applyFill="1" applyBorder="1"/>
    <xf numFmtId="3" fontId="7" fillId="2" borderId="0" xfId="4" applyNumberFormat="1" applyFont="1" applyFill="1"/>
    <xf numFmtId="3" fontId="1" fillId="0" borderId="0" xfId="4" applyNumberFormat="1"/>
    <xf numFmtId="2" fontId="1" fillId="0" borderId="0" xfId="2" applyNumberFormat="1" applyFont="1"/>
    <xf numFmtId="167" fontId="1" fillId="0" borderId="0" xfId="3" applyNumberFormat="1" applyFont="1"/>
    <xf numFmtId="0" fontId="6" fillId="3" borderId="2" xfId="0" applyFont="1" applyFill="1" applyBorder="1"/>
    <xf numFmtId="0" fontId="6" fillId="3" borderId="3" xfId="0" applyFont="1" applyFill="1" applyBorder="1"/>
    <xf numFmtId="166" fontId="6" fillId="3" borderId="3" xfId="1" applyNumberFormat="1" applyFont="1" applyFill="1" applyBorder="1"/>
    <xf numFmtId="164" fontId="1" fillId="0" borderId="0" xfId="4" applyNumberFormat="1"/>
    <xf numFmtId="168" fontId="1" fillId="0" borderId="0" xfId="1" applyNumberFormat="1" applyFont="1"/>
    <xf numFmtId="169" fontId="1" fillId="0" borderId="0" xfId="4" applyNumberFormat="1"/>
    <xf numFmtId="170" fontId="1" fillId="0" borderId="0" xfId="1" applyNumberFormat="1" applyFont="1"/>
    <xf numFmtId="167" fontId="1" fillId="0" borderId="0" xfId="4" applyNumberFormat="1"/>
    <xf numFmtId="0" fontId="1" fillId="0" borderId="0" xfId="3" applyNumberFormat="1" applyFont="1"/>
    <xf numFmtId="171" fontId="9" fillId="0" borderId="0" xfId="5" applyNumberFormat="1" applyFont="1"/>
    <xf numFmtId="3" fontId="4" fillId="0" borderId="0" xfId="4" applyNumberFormat="1" applyFont="1"/>
    <xf numFmtId="0" fontId="2" fillId="0" borderId="0" xfId="4" applyFont="1"/>
    <xf numFmtId="3" fontId="2" fillId="0" borderId="0" xfId="4" applyNumberFormat="1" applyFont="1"/>
    <xf numFmtId="2" fontId="2" fillId="0" borderId="0" xfId="2" applyNumberFormat="1" applyFont="1"/>
    <xf numFmtId="172" fontId="1" fillId="0" borderId="0" xfId="4" applyNumberFormat="1"/>
    <xf numFmtId="172" fontId="2" fillId="0" borderId="0" xfId="4" applyNumberFormat="1" applyFont="1"/>
    <xf numFmtId="0" fontId="10" fillId="4" borderId="0" xfId="4" applyFont="1" applyFill="1"/>
    <xf numFmtId="0" fontId="1" fillId="4" borderId="0" xfId="4" applyFill="1"/>
    <xf numFmtId="171" fontId="11" fillId="0" borderId="4" xfId="5" applyNumberFormat="1" applyFont="1" applyBorder="1" applyAlignment="1">
      <alignment horizontal="center" wrapText="1"/>
    </xf>
    <xf numFmtId="171" fontId="12" fillId="0" borderId="4" xfId="5" applyNumberFormat="1" applyFont="1" applyBorder="1" applyAlignment="1">
      <alignment horizontal="center" textRotation="85" wrapText="1"/>
    </xf>
    <xf numFmtId="0" fontId="1" fillId="0" borderId="0" xfId="0" applyFont="1" applyAlignment="1">
      <alignment horizontal="center"/>
    </xf>
    <xf numFmtId="3" fontId="14" fillId="2" borderId="0" xfId="4" applyNumberFormat="1" applyFont="1" applyFill="1"/>
    <xf numFmtId="171" fontId="11" fillId="0" borderId="5" xfId="5" applyNumberFormat="1" applyFont="1" applyBorder="1" applyAlignment="1">
      <alignment horizontal="center"/>
    </xf>
    <xf numFmtId="171" fontId="11" fillId="0" borderId="0" xfId="5" applyNumberFormat="1" applyFont="1" applyAlignment="1">
      <alignment horizontal="center"/>
    </xf>
    <xf numFmtId="171" fontId="12" fillId="0" borderId="5" xfId="5" applyNumberFormat="1" applyFont="1" applyBorder="1" applyAlignment="1">
      <alignment horizontal="center" textRotation="85" wrapText="1"/>
    </xf>
    <xf numFmtId="0" fontId="4" fillId="0" borderId="6" xfId="4" applyFont="1" applyBorder="1" applyAlignment="1">
      <alignment horizontal="center" wrapText="1"/>
    </xf>
    <xf numFmtId="166" fontId="1" fillId="0" borderId="0" xfId="1" applyNumberFormat="1" applyFont="1" applyAlignment="1">
      <alignment horizontal="center"/>
    </xf>
    <xf numFmtId="166" fontId="11" fillId="5" borderId="0" xfId="1" applyNumberFormat="1" applyFont="1" applyFill="1" applyAlignment="1">
      <alignment horizontal="center"/>
    </xf>
    <xf numFmtId="0" fontId="3" fillId="0" borderId="3" xfId="4" applyFont="1" applyBorder="1" applyAlignment="1">
      <alignment wrapText="1"/>
    </xf>
    <xf numFmtId="0" fontId="4" fillId="0" borderId="3" xfId="4" applyFont="1" applyBorder="1" applyAlignment="1">
      <alignment horizontal="center" wrapText="1"/>
    </xf>
    <xf numFmtId="0" fontId="1" fillId="0" borderId="3" xfId="4" applyBorder="1" applyAlignment="1">
      <alignment horizontal="center"/>
    </xf>
    <xf numFmtId="3" fontId="7" fillId="2" borderId="3" xfId="4" applyNumberFormat="1" applyFont="1" applyFill="1" applyBorder="1"/>
    <xf numFmtId="3" fontId="2" fillId="0" borderId="3" xfId="4" applyNumberFormat="1" applyFont="1" applyBorder="1"/>
    <xf numFmtId="171" fontId="12" fillId="0" borderId="7" xfId="5" applyNumberFormat="1" applyFont="1" applyBorder="1"/>
    <xf numFmtId="0" fontId="1" fillId="0" borderId="8" xfId="4" applyBorder="1"/>
    <xf numFmtId="0" fontId="13" fillId="0" borderId="7" xfId="0" applyFont="1" applyBorder="1" applyAlignment="1">
      <alignment vertical="center" wrapText="1"/>
    </xf>
    <xf numFmtId="0" fontId="1" fillId="0" borderId="5" xfId="4" applyBorder="1" applyAlignment="1">
      <alignment wrapText="1"/>
    </xf>
    <xf numFmtId="0" fontId="3" fillId="0" borderId="5" xfId="4" applyFont="1" applyBorder="1" applyAlignment="1">
      <alignment wrapText="1"/>
    </xf>
    <xf numFmtId="171" fontId="11" fillId="0" borderId="10" xfId="5" applyNumberFormat="1" applyFont="1" applyBorder="1" applyAlignment="1">
      <alignment horizontal="center" wrapText="1"/>
    </xf>
    <xf numFmtId="171" fontId="12" fillId="0" borderId="11" xfId="5" applyNumberFormat="1" applyFont="1" applyBorder="1" applyAlignment="1">
      <alignment horizontal="center" textRotation="85" wrapText="1"/>
    </xf>
    <xf numFmtId="0" fontId="5" fillId="2" borderId="5" xfId="4" applyFont="1" applyFill="1" applyBorder="1" applyAlignment="1">
      <alignment horizontal="center" wrapText="1"/>
    </xf>
    <xf numFmtId="0" fontId="4" fillId="0" borderId="5" xfId="4" applyFont="1" applyBorder="1" applyAlignment="1">
      <alignment horizontal="center" wrapText="1"/>
    </xf>
    <xf numFmtId="171" fontId="11" fillId="0" borderId="12" xfId="5" applyNumberFormat="1" applyFont="1" applyBorder="1" applyAlignment="1">
      <alignment wrapText="1"/>
    </xf>
    <xf numFmtId="171" fontId="15" fillId="0" borderId="7" xfId="5" applyNumberFormat="1" applyFont="1" applyBorder="1"/>
    <xf numFmtId="171" fontId="11" fillId="5" borderId="7" xfId="5" applyNumberFormat="1" applyFont="1" applyFill="1" applyBorder="1"/>
    <xf numFmtId="0" fontId="1" fillId="0" borderId="7" xfId="4" applyBorder="1"/>
    <xf numFmtId="171" fontId="15" fillId="0" borderId="9" xfId="5" applyNumberFormat="1" applyFont="1" applyBorder="1"/>
    <xf numFmtId="171" fontId="16" fillId="0" borderId="9" xfId="5" applyNumberFormat="1" applyFont="1" applyBorder="1"/>
    <xf numFmtId="0" fontId="1" fillId="0" borderId="3" xfId="0" applyFont="1" applyBorder="1" applyAlignment="1">
      <alignment horizontal="center"/>
    </xf>
    <xf numFmtId="171" fontId="15" fillId="0" borderId="8" xfId="5" applyNumberFormat="1" applyFont="1" applyBorder="1"/>
    <xf numFmtId="166" fontId="1" fillId="0" borderId="3" xfId="1" applyNumberFormat="1" applyFont="1" applyBorder="1" applyAlignment="1">
      <alignment horizontal="center"/>
    </xf>
    <xf numFmtId="166" fontId="1" fillId="0" borderId="7" xfId="1" applyNumberFormat="1" applyFont="1" applyBorder="1" applyAlignment="1">
      <alignment horizontal="center"/>
    </xf>
    <xf numFmtId="166" fontId="1" fillId="0" borderId="8" xfId="1" applyNumberFormat="1" applyFont="1" applyBorder="1" applyAlignment="1">
      <alignment horizontal="center"/>
    </xf>
    <xf numFmtId="166" fontId="11" fillId="5" borderId="7" xfId="1" applyNumberFormat="1" applyFont="1" applyFill="1" applyBorder="1" applyAlignment="1">
      <alignment horizontal="center"/>
    </xf>
    <xf numFmtId="171" fontId="11" fillId="0" borderId="9" xfId="5" applyNumberFormat="1" applyFont="1" applyBorder="1" applyAlignment="1">
      <alignment horizontal="center" wrapText="1"/>
    </xf>
    <xf numFmtId="3" fontId="2" fillId="0" borderId="5" xfId="4" applyNumberFormat="1" applyFont="1" applyBorder="1"/>
    <xf numFmtId="0" fontId="4" fillId="0" borderId="11" xfId="4" applyFont="1" applyBorder="1" applyAlignment="1">
      <alignment horizontal="center" wrapText="1"/>
    </xf>
    <xf numFmtId="171" fontId="12" fillId="0" borderId="9" xfId="5" applyNumberFormat="1" applyFont="1" applyBorder="1" applyAlignment="1">
      <alignment horizontal="center" textRotation="85" wrapText="1"/>
    </xf>
    <xf numFmtId="171" fontId="11" fillId="0" borderId="9" xfId="5" applyNumberFormat="1" applyFont="1" applyBorder="1" applyAlignment="1">
      <alignment horizontal="center"/>
    </xf>
    <xf numFmtId="0" fontId="0" fillId="0" borderId="5" xfId="0" applyBorder="1"/>
    <xf numFmtId="0" fontId="4" fillId="0" borderId="8" xfId="4" applyFont="1" applyBorder="1" applyAlignment="1">
      <alignment horizontal="center" wrapText="1"/>
    </xf>
    <xf numFmtId="166" fontId="6" fillId="3" borderId="7" xfId="1" applyNumberFormat="1" applyFont="1" applyFill="1" applyBorder="1"/>
    <xf numFmtId="166" fontId="6" fillId="3" borderId="8" xfId="1" applyNumberFormat="1" applyFont="1" applyFill="1" applyBorder="1"/>
    <xf numFmtId="3" fontId="4" fillId="0" borderId="7" xfId="4" applyNumberFormat="1" applyFont="1" applyBorder="1"/>
    <xf numFmtId="166" fontId="6" fillId="3" borderId="2" xfId="1" applyNumberFormat="1" applyFont="1" applyFill="1" applyBorder="1"/>
    <xf numFmtId="0" fontId="5" fillId="2" borderId="9" xfId="4" applyFont="1" applyFill="1" applyBorder="1" applyAlignment="1">
      <alignment horizontal="center" wrapText="1"/>
    </xf>
    <xf numFmtId="3" fontId="7" fillId="2" borderId="7" xfId="4" applyNumberFormat="1" applyFont="1" applyFill="1" applyBorder="1"/>
    <xf numFmtId="3" fontId="7" fillId="2" borderId="8" xfId="4" applyNumberFormat="1" applyFont="1" applyFill="1" applyBorder="1"/>
    <xf numFmtId="3" fontId="14" fillId="2" borderId="7" xfId="4" applyNumberFormat="1" applyFont="1" applyFill="1" applyBorder="1"/>
    <xf numFmtId="0" fontId="1" fillId="4" borderId="7" xfId="4" applyFill="1" applyBorder="1"/>
    <xf numFmtId="171" fontId="11" fillId="0" borderId="12" xfId="5" applyNumberFormat="1" applyFont="1" applyBorder="1" applyAlignment="1">
      <alignment horizontal="center" wrapText="1"/>
    </xf>
    <xf numFmtId="171" fontId="12" fillId="0" borderId="12" xfId="5" applyNumberFormat="1" applyFont="1" applyBorder="1" applyAlignment="1">
      <alignment horizontal="center" textRotation="85" wrapText="1"/>
    </xf>
    <xf numFmtId="3" fontId="2" fillId="0" borderId="7" xfId="4" applyNumberFormat="1" applyFont="1" applyBorder="1"/>
  </cellXfs>
  <cellStyles count="6">
    <cellStyle name="Comma" xfId="1" builtinId="3"/>
    <cellStyle name="Currency" xfId="2" builtinId="4"/>
    <cellStyle name="Normal" xfId="0" builtinId="0"/>
    <cellStyle name="Normal 2" xfId="4" xr:uid="{AB955F07-622B-4649-B558-2BA5DC223928}"/>
    <cellStyle name="Normal 2 2" xfId="5" xr:uid="{0C90CBB0-4896-48B9-A097-18892B47FA8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2F66-00ED-4FB8-8F73-30CE2309999C}">
  <dimension ref="A1:Z166"/>
  <sheetViews>
    <sheetView showGridLines="0" tabSelected="1" workbookViewId="0">
      <pane xSplit="2" ySplit="1" topLeftCell="C2" activePane="bottomRight" state="frozen"/>
      <selection activeCell="C2" sqref="C2"/>
      <selection pane="topRight" activeCell="C2" sqref="C2"/>
      <selection pane="bottomLeft" activeCell="C2" sqref="C2"/>
      <selection pane="bottomRight" activeCell="F15" sqref="F15"/>
    </sheetView>
  </sheetViews>
  <sheetFormatPr defaultColWidth="9.625" defaultRowHeight="14.25"/>
  <cols>
    <col min="1" max="1" width="9.08203125" style="1" customWidth="1"/>
    <col min="2" max="2" width="35.1640625" style="1" customWidth="1"/>
    <col min="3" max="3" width="10.83203125" style="1" bestFit="1" customWidth="1"/>
    <col min="4" max="4" width="10.1640625" style="1" bestFit="1" customWidth="1"/>
    <col min="5" max="5" width="13.375" style="1" customWidth="1"/>
    <col min="6" max="6" width="11.9140625" style="1" bestFit="1" customWidth="1"/>
    <col min="7" max="8" width="10.1640625" style="1" bestFit="1" customWidth="1"/>
    <col min="9" max="9" width="11.9140625" style="1" bestFit="1" customWidth="1"/>
    <col min="10" max="10" width="12.45703125" style="1" bestFit="1" customWidth="1"/>
    <col min="11" max="20" width="9.625" style="1"/>
    <col min="21" max="21" width="12.45703125" style="1" bestFit="1" customWidth="1"/>
    <col min="22" max="22" width="14.625" style="1" bestFit="1" customWidth="1"/>
    <col min="23" max="16384" width="9.625" style="1"/>
  </cols>
  <sheetData>
    <row r="1" spans="1:21" ht="29">
      <c r="A1" s="2"/>
      <c r="B1" s="39" t="s">
        <v>215</v>
      </c>
      <c r="C1" s="40" t="s">
        <v>0</v>
      </c>
      <c r="D1" s="40" t="s">
        <v>1</v>
      </c>
      <c r="E1" s="40" t="s">
        <v>2</v>
      </c>
      <c r="F1" s="40" t="s">
        <v>3</v>
      </c>
      <c r="G1" s="40" t="s">
        <v>214</v>
      </c>
      <c r="H1" s="40" t="s">
        <v>4</v>
      </c>
      <c r="I1" s="71" t="s">
        <v>5</v>
      </c>
      <c r="J1" s="40" t="s">
        <v>6</v>
      </c>
      <c r="L1" s="8"/>
      <c r="N1" s="9"/>
      <c r="S1" s="8"/>
      <c r="U1" s="10"/>
    </row>
    <row r="2" spans="1:21">
      <c r="A2" s="4" t="s">
        <v>7</v>
      </c>
      <c r="B2" s="5" t="s">
        <v>8</v>
      </c>
      <c r="C2" s="6">
        <v>26.306000000000001</v>
      </c>
      <c r="D2" s="6">
        <v>0</v>
      </c>
      <c r="E2" s="6">
        <v>0</v>
      </c>
      <c r="F2" s="6">
        <v>435.92</v>
      </c>
      <c r="G2" s="6">
        <v>0</v>
      </c>
      <c r="H2" s="6">
        <v>0</v>
      </c>
      <c r="I2" s="72">
        <v>170.16399999999999</v>
      </c>
      <c r="J2" s="6">
        <f>SUM(C2:I2)</f>
        <v>632.39</v>
      </c>
      <c r="L2" s="8"/>
      <c r="N2" s="9"/>
      <c r="S2" s="8"/>
      <c r="U2" s="10"/>
    </row>
    <row r="3" spans="1:21">
      <c r="A3" s="4" t="s">
        <v>9</v>
      </c>
      <c r="B3" s="5" t="s">
        <v>10</v>
      </c>
      <c r="C3" s="6">
        <v>7.1849999999999996</v>
      </c>
      <c r="D3" s="6">
        <v>0</v>
      </c>
      <c r="E3" s="6">
        <v>0</v>
      </c>
      <c r="F3" s="6">
        <v>1246.671</v>
      </c>
      <c r="G3" s="6">
        <v>0</v>
      </c>
      <c r="H3" s="6">
        <v>0</v>
      </c>
      <c r="I3" s="72">
        <v>46.48</v>
      </c>
      <c r="J3" s="6">
        <f t="shared" ref="J3:J33" si="0">SUM(C3:I3)</f>
        <v>1300.336</v>
      </c>
      <c r="L3" s="8"/>
      <c r="N3" s="9"/>
      <c r="S3" s="8"/>
      <c r="U3" s="10"/>
    </row>
    <row r="4" spans="1:21">
      <c r="A4" s="4" t="s">
        <v>11</v>
      </c>
      <c r="B4" s="5" t="s">
        <v>12</v>
      </c>
      <c r="C4" s="6">
        <v>3.883</v>
      </c>
      <c r="D4" s="6">
        <v>0</v>
      </c>
      <c r="E4" s="6">
        <v>0</v>
      </c>
      <c r="F4" s="6">
        <v>867.33699999999999</v>
      </c>
      <c r="G4" s="6">
        <v>0</v>
      </c>
      <c r="H4" s="6">
        <v>0</v>
      </c>
      <c r="I4" s="72">
        <v>25.12</v>
      </c>
      <c r="J4" s="6">
        <f t="shared" si="0"/>
        <v>896.34</v>
      </c>
      <c r="L4" s="8"/>
      <c r="N4" s="9"/>
      <c r="S4" s="8"/>
      <c r="U4" s="10"/>
    </row>
    <row r="5" spans="1:21">
      <c r="A5" s="4" t="s">
        <v>13</v>
      </c>
      <c r="B5" s="5" t="s">
        <v>14</v>
      </c>
      <c r="C5" s="6">
        <v>5.8550000000000004</v>
      </c>
      <c r="D5" s="6">
        <v>0</v>
      </c>
      <c r="E5" s="6">
        <v>0</v>
      </c>
      <c r="F5" s="6">
        <v>545.16399999999999</v>
      </c>
      <c r="G5" s="6">
        <v>0</v>
      </c>
      <c r="H5" s="6">
        <v>0</v>
      </c>
      <c r="I5" s="72">
        <v>37.872</v>
      </c>
      <c r="J5" s="6">
        <f t="shared" si="0"/>
        <v>588.89099999999996</v>
      </c>
      <c r="L5" s="8"/>
      <c r="N5" s="9"/>
      <c r="S5" s="8"/>
      <c r="U5" s="10"/>
    </row>
    <row r="6" spans="1:21">
      <c r="A6" s="4" t="s">
        <v>15</v>
      </c>
      <c r="B6" s="5" t="s">
        <v>16</v>
      </c>
      <c r="C6" s="6">
        <v>8.6639999999999997</v>
      </c>
      <c r="D6" s="6">
        <v>0</v>
      </c>
      <c r="E6" s="6">
        <v>0</v>
      </c>
      <c r="F6" s="6">
        <v>66.358000000000004</v>
      </c>
      <c r="G6" s="6">
        <v>0</v>
      </c>
      <c r="H6" s="6">
        <v>0</v>
      </c>
      <c r="I6" s="72">
        <v>56.046999999999997</v>
      </c>
      <c r="J6" s="6">
        <f t="shared" si="0"/>
        <v>131.06900000000002</v>
      </c>
      <c r="L6" s="8"/>
      <c r="N6" s="9"/>
      <c r="S6" s="8"/>
      <c r="U6" s="10"/>
    </row>
    <row r="7" spans="1:21">
      <c r="A7" s="4" t="s">
        <v>17</v>
      </c>
      <c r="B7" s="5" t="s">
        <v>18</v>
      </c>
      <c r="C7" s="6">
        <v>0.42899999999999999</v>
      </c>
      <c r="D7" s="6">
        <v>0</v>
      </c>
      <c r="E7" s="6">
        <v>0</v>
      </c>
      <c r="F7" s="6">
        <v>184.52600000000001</v>
      </c>
      <c r="G7" s="6">
        <v>0</v>
      </c>
      <c r="H7" s="6">
        <v>0</v>
      </c>
      <c r="I7" s="72">
        <v>2.7759999999999998</v>
      </c>
      <c r="J7" s="6">
        <f t="shared" si="0"/>
        <v>187.73100000000002</v>
      </c>
      <c r="L7" s="8"/>
      <c r="N7" s="9"/>
      <c r="S7" s="8"/>
      <c r="U7" s="10"/>
    </row>
    <row r="8" spans="1:21">
      <c r="A8" s="4" t="s">
        <v>19</v>
      </c>
      <c r="B8" s="5" t="s">
        <v>20</v>
      </c>
      <c r="C8" s="6">
        <v>0</v>
      </c>
      <c r="D8" s="6">
        <v>0</v>
      </c>
      <c r="E8" s="6">
        <v>0</v>
      </c>
      <c r="F8" s="6">
        <v>64.076999999999998</v>
      </c>
      <c r="G8" s="6">
        <v>0</v>
      </c>
      <c r="H8" s="6">
        <v>0</v>
      </c>
      <c r="I8" s="72">
        <v>0</v>
      </c>
      <c r="J8" s="6">
        <f t="shared" si="0"/>
        <v>64.076999999999998</v>
      </c>
      <c r="L8" s="8"/>
      <c r="N8" s="9"/>
      <c r="S8" s="8"/>
      <c r="U8" s="10"/>
    </row>
    <row r="9" spans="1:21">
      <c r="A9" s="4" t="s">
        <v>21</v>
      </c>
      <c r="B9" s="5" t="s">
        <v>22</v>
      </c>
      <c r="C9" s="6">
        <v>1.615</v>
      </c>
      <c r="D9" s="6">
        <v>0</v>
      </c>
      <c r="E9" s="6">
        <v>0</v>
      </c>
      <c r="F9" s="6">
        <v>153.11600000000001</v>
      </c>
      <c r="G9" s="6">
        <v>0</v>
      </c>
      <c r="H9" s="6">
        <v>0</v>
      </c>
      <c r="I9" s="72">
        <v>10.445</v>
      </c>
      <c r="J9" s="6">
        <f t="shared" si="0"/>
        <v>165.17600000000002</v>
      </c>
      <c r="L9" s="8"/>
      <c r="N9" s="9"/>
      <c r="S9" s="8"/>
      <c r="U9" s="10"/>
    </row>
    <row r="10" spans="1:21">
      <c r="A10" s="4" t="s">
        <v>23</v>
      </c>
      <c r="B10" s="5" t="s">
        <v>24</v>
      </c>
      <c r="C10" s="6">
        <v>0.41899999999999998</v>
      </c>
      <c r="D10" s="6">
        <v>0</v>
      </c>
      <c r="E10" s="6">
        <v>0</v>
      </c>
      <c r="F10" s="6">
        <v>413.67099999999999</v>
      </c>
      <c r="G10" s="6">
        <v>0</v>
      </c>
      <c r="H10" s="6">
        <v>0</v>
      </c>
      <c r="I10" s="72">
        <v>2.7130000000000001</v>
      </c>
      <c r="J10" s="6">
        <f t="shared" si="0"/>
        <v>416.803</v>
      </c>
      <c r="L10" s="8"/>
      <c r="N10" s="9"/>
      <c r="S10" s="8"/>
      <c r="U10" s="10"/>
    </row>
    <row r="11" spans="1:21">
      <c r="A11" s="4" t="s">
        <v>25</v>
      </c>
      <c r="B11" s="5" t="s">
        <v>26</v>
      </c>
      <c r="C11" s="6">
        <v>0.58599999999999997</v>
      </c>
      <c r="D11" s="6">
        <v>0</v>
      </c>
      <c r="E11" s="6">
        <v>0</v>
      </c>
      <c r="F11" s="6">
        <v>212.56399999999999</v>
      </c>
      <c r="G11" s="6">
        <v>0</v>
      </c>
      <c r="H11" s="6">
        <v>0</v>
      </c>
      <c r="I11" s="72">
        <v>3.7879999999999998</v>
      </c>
      <c r="J11" s="6">
        <f t="shared" si="0"/>
        <v>216.93800000000002</v>
      </c>
      <c r="L11" s="8"/>
      <c r="N11" s="9"/>
      <c r="S11" s="8"/>
      <c r="U11" s="10"/>
    </row>
    <row r="12" spans="1:21">
      <c r="A12" s="4" t="s">
        <v>27</v>
      </c>
      <c r="B12" s="5" t="s">
        <v>28</v>
      </c>
      <c r="C12" s="6">
        <v>0</v>
      </c>
      <c r="D12" s="6">
        <v>0</v>
      </c>
      <c r="E12" s="6">
        <v>0</v>
      </c>
      <c r="F12" s="6">
        <v>798.46500000000003</v>
      </c>
      <c r="G12" s="6">
        <v>0</v>
      </c>
      <c r="H12" s="6">
        <v>0</v>
      </c>
      <c r="I12" s="72">
        <v>21.15</v>
      </c>
      <c r="J12" s="6">
        <f t="shared" si="0"/>
        <v>819.61500000000001</v>
      </c>
      <c r="L12" s="8"/>
      <c r="N12" s="9"/>
      <c r="S12" s="8"/>
      <c r="U12" s="10"/>
    </row>
    <row r="13" spans="1:21">
      <c r="A13" s="4" t="s">
        <v>29</v>
      </c>
      <c r="B13" s="5" t="s">
        <v>30</v>
      </c>
      <c r="C13" s="6">
        <v>0</v>
      </c>
      <c r="D13" s="6">
        <v>0</v>
      </c>
      <c r="E13" s="6">
        <v>0</v>
      </c>
      <c r="F13" s="6">
        <v>75.12</v>
      </c>
      <c r="G13" s="6">
        <v>0</v>
      </c>
      <c r="H13" s="6">
        <v>0</v>
      </c>
      <c r="I13" s="72">
        <v>0.13400000000000001</v>
      </c>
      <c r="J13" s="6">
        <f t="shared" si="0"/>
        <v>75.254000000000005</v>
      </c>
      <c r="L13" s="8"/>
      <c r="N13" s="9"/>
      <c r="S13" s="8"/>
      <c r="U13" s="10"/>
    </row>
    <row r="14" spans="1:21">
      <c r="A14" s="4" t="s">
        <v>31</v>
      </c>
      <c r="B14" s="5" t="s">
        <v>32</v>
      </c>
      <c r="C14" s="6">
        <v>0</v>
      </c>
      <c r="D14" s="6">
        <v>5.0000000000000001E-3</v>
      </c>
      <c r="E14" s="6">
        <v>0</v>
      </c>
      <c r="F14" s="6">
        <v>0</v>
      </c>
      <c r="G14" s="6">
        <v>0</v>
      </c>
      <c r="H14" s="6">
        <v>0</v>
      </c>
      <c r="I14" s="72">
        <v>3.6999999999999998E-2</v>
      </c>
      <c r="J14" s="6">
        <f t="shared" si="0"/>
        <v>4.1999999999999996E-2</v>
      </c>
      <c r="L14" s="8"/>
      <c r="N14" s="9"/>
      <c r="S14" s="8"/>
      <c r="U14" s="10"/>
    </row>
    <row r="15" spans="1:21">
      <c r="A15" s="4" t="s">
        <v>33</v>
      </c>
      <c r="B15" s="5" t="s">
        <v>34</v>
      </c>
      <c r="C15" s="6">
        <v>0</v>
      </c>
      <c r="D15" s="6">
        <v>0</v>
      </c>
      <c r="E15" s="6">
        <v>293.98399999999998</v>
      </c>
      <c r="F15" s="6">
        <v>0</v>
      </c>
      <c r="G15" s="6">
        <v>0</v>
      </c>
      <c r="H15" s="6">
        <v>0</v>
      </c>
      <c r="I15" s="72">
        <v>3.5670000000000002</v>
      </c>
      <c r="J15" s="6">
        <f t="shared" si="0"/>
        <v>297.55099999999999</v>
      </c>
      <c r="L15" s="8"/>
      <c r="N15" s="9"/>
      <c r="S15" s="8"/>
      <c r="U15" s="10"/>
    </row>
    <row r="16" spans="1:21">
      <c r="A16" s="4" t="s">
        <v>35</v>
      </c>
      <c r="B16" s="5" t="s">
        <v>36</v>
      </c>
      <c r="C16" s="6">
        <v>0</v>
      </c>
      <c r="D16" s="6">
        <v>0.01</v>
      </c>
      <c r="E16" s="6">
        <v>123.255</v>
      </c>
      <c r="F16" s="6">
        <v>298.22000000000003</v>
      </c>
      <c r="G16" s="6">
        <v>0</v>
      </c>
      <c r="H16" s="6">
        <v>0</v>
      </c>
      <c r="I16" s="72">
        <v>27.035</v>
      </c>
      <c r="J16" s="6">
        <f t="shared" si="0"/>
        <v>448.52000000000004</v>
      </c>
      <c r="L16" s="8"/>
      <c r="N16" s="9"/>
      <c r="S16" s="8"/>
      <c r="U16" s="10"/>
    </row>
    <row r="17" spans="1:21">
      <c r="A17" s="4" t="s">
        <v>37</v>
      </c>
      <c r="B17" s="5" t="s">
        <v>38</v>
      </c>
      <c r="C17" s="6">
        <v>27.486999999999998</v>
      </c>
      <c r="D17" s="6">
        <v>17.449000000000002</v>
      </c>
      <c r="E17" s="6">
        <v>68.319999999999993</v>
      </c>
      <c r="F17" s="6">
        <v>118.283</v>
      </c>
      <c r="G17" s="6">
        <v>0</v>
      </c>
      <c r="H17" s="6">
        <v>0</v>
      </c>
      <c r="I17" s="72">
        <v>6.6180000000000003</v>
      </c>
      <c r="J17" s="6">
        <f t="shared" si="0"/>
        <v>238.15699999999998</v>
      </c>
      <c r="L17" s="8"/>
      <c r="N17" s="9"/>
      <c r="S17" s="8"/>
      <c r="U17" s="10"/>
    </row>
    <row r="18" spans="1:21">
      <c r="A18" s="4" t="s">
        <v>39</v>
      </c>
      <c r="B18" s="5" t="s">
        <v>40</v>
      </c>
      <c r="C18" s="6">
        <v>15.747999999999999</v>
      </c>
      <c r="D18" s="6">
        <v>4.9829999999999997</v>
      </c>
      <c r="E18" s="6">
        <v>2.3759999999999999</v>
      </c>
      <c r="F18" s="6">
        <v>8.6999999999999994E-2</v>
      </c>
      <c r="G18" s="6">
        <v>0</v>
      </c>
      <c r="H18" s="6">
        <v>0</v>
      </c>
      <c r="I18" s="72">
        <v>102.613</v>
      </c>
      <c r="J18" s="6">
        <f t="shared" si="0"/>
        <v>125.807</v>
      </c>
      <c r="L18" s="8"/>
      <c r="N18" s="9"/>
      <c r="S18" s="8"/>
      <c r="U18" s="10"/>
    </row>
    <row r="19" spans="1:21">
      <c r="A19" s="4" t="s">
        <v>41</v>
      </c>
      <c r="B19" s="5" t="s">
        <v>42</v>
      </c>
      <c r="C19" s="6">
        <v>17.986000000000001</v>
      </c>
      <c r="D19" s="6">
        <v>9.4809999999999999</v>
      </c>
      <c r="E19" s="6">
        <v>26.184000000000001</v>
      </c>
      <c r="F19" s="6">
        <v>13.441000000000001</v>
      </c>
      <c r="G19" s="6">
        <v>0</v>
      </c>
      <c r="H19" s="6">
        <v>0</v>
      </c>
      <c r="I19" s="72">
        <v>22.83</v>
      </c>
      <c r="J19" s="6">
        <f t="shared" si="0"/>
        <v>89.921999999999997</v>
      </c>
      <c r="L19" s="8"/>
      <c r="N19" s="9"/>
      <c r="S19" s="8"/>
      <c r="U19" s="10"/>
    </row>
    <row r="20" spans="1:21">
      <c r="A20" s="4" t="s">
        <v>43</v>
      </c>
      <c r="B20" s="5" t="s">
        <v>44</v>
      </c>
      <c r="C20" s="6">
        <v>38.106000000000002</v>
      </c>
      <c r="D20" s="6">
        <v>41.191000000000003</v>
      </c>
      <c r="E20" s="6">
        <v>204.07599999999999</v>
      </c>
      <c r="F20" s="6">
        <v>0.46</v>
      </c>
      <c r="G20" s="6">
        <v>0</v>
      </c>
      <c r="H20" s="6">
        <v>0</v>
      </c>
      <c r="I20" s="72">
        <v>279.02499999999998</v>
      </c>
      <c r="J20" s="6">
        <f t="shared" si="0"/>
        <v>562.85799999999995</v>
      </c>
      <c r="L20" s="8"/>
      <c r="N20" s="9"/>
      <c r="S20" s="8"/>
      <c r="U20" s="10"/>
    </row>
    <row r="21" spans="1:21">
      <c r="A21" s="4" t="s">
        <v>45</v>
      </c>
      <c r="B21" s="5" t="s">
        <v>46</v>
      </c>
      <c r="C21" s="6">
        <v>12.936</v>
      </c>
      <c r="D21" s="6">
        <v>14.23</v>
      </c>
      <c r="E21" s="6">
        <v>146.905</v>
      </c>
      <c r="F21" s="6">
        <v>48.634</v>
      </c>
      <c r="G21" s="6">
        <v>0</v>
      </c>
      <c r="H21" s="6">
        <v>0</v>
      </c>
      <c r="I21" s="72">
        <v>10.058999999999999</v>
      </c>
      <c r="J21" s="6">
        <f t="shared" si="0"/>
        <v>232.76399999999998</v>
      </c>
      <c r="L21" s="8"/>
      <c r="N21" s="9"/>
      <c r="S21" s="8"/>
      <c r="U21" s="10"/>
    </row>
    <row r="22" spans="1:21">
      <c r="A22" s="4" t="s">
        <v>47</v>
      </c>
      <c r="B22" s="5" t="s">
        <v>48</v>
      </c>
      <c r="C22" s="6">
        <v>130.316</v>
      </c>
      <c r="D22" s="6">
        <v>99.128</v>
      </c>
      <c r="E22" s="6">
        <v>385.76400000000001</v>
      </c>
      <c r="F22" s="6">
        <v>503.70499999999998</v>
      </c>
      <c r="G22" s="6">
        <v>0</v>
      </c>
      <c r="H22" s="6">
        <v>0</v>
      </c>
      <c r="I22" s="72">
        <v>363.49400000000003</v>
      </c>
      <c r="J22" s="6">
        <f t="shared" si="0"/>
        <v>1482.4070000000002</v>
      </c>
      <c r="L22" s="8"/>
      <c r="N22" s="9"/>
      <c r="S22" s="8"/>
      <c r="U22" s="10"/>
    </row>
    <row r="23" spans="1:21">
      <c r="A23" s="4" t="s">
        <v>49</v>
      </c>
      <c r="B23" s="5" t="s">
        <v>50</v>
      </c>
      <c r="C23" s="6">
        <v>38.838000000000001</v>
      </c>
      <c r="D23" s="6">
        <v>17.501999999999999</v>
      </c>
      <c r="E23" s="6">
        <v>41.741999999999997</v>
      </c>
      <c r="F23" s="6">
        <v>89.007000000000005</v>
      </c>
      <c r="G23" s="6">
        <v>0</v>
      </c>
      <c r="H23" s="6">
        <v>0</v>
      </c>
      <c r="I23" s="72">
        <v>17.015999999999998</v>
      </c>
      <c r="J23" s="6">
        <f t="shared" si="0"/>
        <v>204.10499999999999</v>
      </c>
      <c r="L23" s="8"/>
      <c r="N23" s="9"/>
      <c r="S23" s="8"/>
      <c r="U23" s="10"/>
    </row>
    <row r="24" spans="1:21">
      <c r="A24" s="4" t="s">
        <v>51</v>
      </c>
      <c r="B24" s="5" t="s">
        <v>52</v>
      </c>
      <c r="C24" s="6">
        <v>8.9849999999999994</v>
      </c>
      <c r="D24" s="6">
        <v>5.2060000000000004</v>
      </c>
      <c r="E24" s="6">
        <v>53.295999999999999</v>
      </c>
      <c r="F24" s="6">
        <v>0</v>
      </c>
      <c r="G24" s="6">
        <v>0</v>
      </c>
      <c r="H24" s="6">
        <v>0</v>
      </c>
      <c r="I24" s="72">
        <v>0.01</v>
      </c>
      <c r="J24" s="6">
        <f t="shared" si="0"/>
        <v>67.497</v>
      </c>
      <c r="L24" s="8"/>
      <c r="N24" s="9"/>
      <c r="S24" s="8"/>
      <c r="U24" s="10"/>
    </row>
    <row r="25" spans="1:21">
      <c r="A25" s="4" t="s">
        <v>53</v>
      </c>
      <c r="B25" s="5" t="s">
        <v>54</v>
      </c>
      <c r="C25" s="6">
        <v>83.638000000000005</v>
      </c>
      <c r="D25" s="6">
        <v>42.88</v>
      </c>
      <c r="E25" s="6">
        <v>255.26</v>
      </c>
      <c r="F25" s="6">
        <v>4.5999999999999999E-2</v>
      </c>
      <c r="G25" s="6">
        <v>0</v>
      </c>
      <c r="H25" s="6">
        <v>0</v>
      </c>
      <c r="I25" s="72">
        <v>371.99200000000002</v>
      </c>
      <c r="J25" s="6">
        <f t="shared" si="0"/>
        <v>753.81600000000003</v>
      </c>
      <c r="L25" s="8"/>
      <c r="N25" s="9"/>
      <c r="S25" s="8"/>
      <c r="U25" s="10"/>
    </row>
    <row r="26" spans="1:21">
      <c r="A26" s="4" t="s">
        <v>55</v>
      </c>
      <c r="B26" s="5" t="s">
        <v>56</v>
      </c>
      <c r="C26" s="6">
        <v>245.244</v>
      </c>
      <c r="D26" s="6">
        <v>186.02500000000001</v>
      </c>
      <c r="E26" s="6">
        <v>456.82100000000003</v>
      </c>
      <c r="F26" s="6">
        <v>361.66199999999998</v>
      </c>
      <c r="G26" s="6">
        <v>0</v>
      </c>
      <c r="H26" s="6">
        <v>0</v>
      </c>
      <c r="I26" s="72">
        <v>204.93100000000001</v>
      </c>
      <c r="J26" s="6">
        <f t="shared" si="0"/>
        <v>1454.683</v>
      </c>
      <c r="L26" s="8"/>
      <c r="N26" s="9"/>
      <c r="S26" s="8"/>
      <c r="U26" s="10"/>
    </row>
    <row r="27" spans="1:21">
      <c r="A27" s="4" t="s">
        <v>57</v>
      </c>
      <c r="B27" s="5" t="s">
        <v>58</v>
      </c>
      <c r="C27" s="6">
        <v>41.113999999999997</v>
      </c>
      <c r="D27" s="6">
        <v>36.317</v>
      </c>
      <c r="E27" s="6">
        <v>18.303000000000001</v>
      </c>
      <c r="F27" s="6">
        <v>68.087000000000003</v>
      </c>
      <c r="G27" s="6">
        <v>0</v>
      </c>
      <c r="H27" s="6">
        <v>0</v>
      </c>
      <c r="I27" s="72">
        <v>1.276</v>
      </c>
      <c r="J27" s="6">
        <f t="shared" si="0"/>
        <v>165.09700000000001</v>
      </c>
      <c r="L27" s="8"/>
      <c r="N27" s="9"/>
      <c r="S27" s="8"/>
      <c r="U27" s="10"/>
    </row>
    <row r="28" spans="1:21">
      <c r="A28" s="4" t="s">
        <v>59</v>
      </c>
      <c r="B28" s="5" t="s">
        <v>60</v>
      </c>
      <c r="C28" s="6">
        <v>2.2120000000000002</v>
      </c>
      <c r="D28" s="6">
        <v>26.202000000000002</v>
      </c>
      <c r="E28" s="6">
        <v>0.71599999999999997</v>
      </c>
      <c r="F28" s="6">
        <v>0</v>
      </c>
      <c r="G28" s="6">
        <v>0</v>
      </c>
      <c r="H28" s="6">
        <v>0</v>
      </c>
      <c r="I28" s="72">
        <v>7.2830000000000004</v>
      </c>
      <c r="J28" s="6">
        <f t="shared" si="0"/>
        <v>36.413000000000004</v>
      </c>
      <c r="L28" s="8"/>
      <c r="N28" s="9"/>
      <c r="S28" s="8"/>
      <c r="U28" s="10"/>
    </row>
    <row r="29" spans="1:21">
      <c r="A29" s="4" t="s">
        <v>61</v>
      </c>
      <c r="B29" s="5" t="s">
        <v>62</v>
      </c>
      <c r="C29" s="6">
        <v>212.20699999999999</v>
      </c>
      <c r="D29" s="6">
        <v>91.468999999999994</v>
      </c>
      <c r="E29" s="6">
        <v>187.655</v>
      </c>
      <c r="F29" s="6">
        <v>200.71700000000001</v>
      </c>
      <c r="G29" s="6">
        <v>0</v>
      </c>
      <c r="H29" s="6">
        <v>0</v>
      </c>
      <c r="I29" s="72">
        <v>287.67500000000001</v>
      </c>
      <c r="J29" s="6">
        <f t="shared" si="0"/>
        <v>979.72299999999996</v>
      </c>
      <c r="L29" s="8"/>
      <c r="N29" s="9"/>
      <c r="S29" s="8"/>
      <c r="U29" s="10"/>
    </row>
    <row r="30" spans="1:21">
      <c r="A30" s="4" t="s">
        <v>63</v>
      </c>
      <c r="B30" s="5" t="s">
        <v>64</v>
      </c>
      <c r="C30" s="6">
        <v>55.779000000000003</v>
      </c>
      <c r="D30" s="6">
        <v>15.894</v>
      </c>
      <c r="E30" s="6">
        <v>124.127</v>
      </c>
      <c r="F30" s="6">
        <v>126.16200000000001</v>
      </c>
      <c r="G30" s="6">
        <v>0</v>
      </c>
      <c r="H30" s="6">
        <v>0</v>
      </c>
      <c r="I30" s="72">
        <v>116.584</v>
      </c>
      <c r="J30" s="6">
        <f t="shared" si="0"/>
        <v>438.54599999999999</v>
      </c>
      <c r="L30" s="8"/>
      <c r="N30" s="9"/>
      <c r="S30" s="8"/>
      <c r="U30" s="10"/>
    </row>
    <row r="31" spans="1:21">
      <c r="A31" s="4" t="s">
        <v>65</v>
      </c>
      <c r="B31" s="5" t="s">
        <v>66</v>
      </c>
      <c r="C31" s="6">
        <v>35.057000000000002</v>
      </c>
      <c r="D31" s="6">
        <v>1.8149999999999999</v>
      </c>
      <c r="E31" s="6">
        <v>68.241</v>
      </c>
      <c r="F31" s="6">
        <v>0</v>
      </c>
      <c r="G31" s="6">
        <v>0</v>
      </c>
      <c r="H31" s="6">
        <v>0</v>
      </c>
      <c r="I31" s="72">
        <v>18.565999999999999</v>
      </c>
      <c r="J31" s="6">
        <f t="shared" si="0"/>
        <v>123.679</v>
      </c>
      <c r="L31" s="8"/>
      <c r="N31" s="9"/>
      <c r="S31" s="8"/>
      <c r="U31" s="10"/>
    </row>
    <row r="32" spans="1:21">
      <c r="A32" s="4" t="s">
        <v>67</v>
      </c>
      <c r="B32" s="5" t="s">
        <v>68</v>
      </c>
      <c r="C32" s="6">
        <v>256.48500000000001</v>
      </c>
      <c r="D32" s="6">
        <v>140.59800000000001</v>
      </c>
      <c r="E32" s="6">
        <v>0</v>
      </c>
      <c r="F32" s="6">
        <v>0</v>
      </c>
      <c r="G32" s="6">
        <v>0</v>
      </c>
      <c r="H32" s="6">
        <v>0</v>
      </c>
      <c r="I32" s="72">
        <v>973.697</v>
      </c>
      <c r="J32" s="6">
        <f t="shared" si="0"/>
        <v>1370.78</v>
      </c>
      <c r="L32" s="8"/>
      <c r="N32" s="9"/>
      <c r="S32" s="8"/>
      <c r="U32" s="10"/>
    </row>
    <row r="33" spans="1:21">
      <c r="A33" s="4" t="s">
        <v>69</v>
      </c>
      <c r="B33" s="5" t="s">
        <v>70</v>
      </c>
      <c r="C33" s="6">
        <v>175.119</v>
      </c>
      <c r="D33" s="6">
        <v>33.363999999999997</v>
      </c>
      <c r="E33" s="6">
        <v>283.10399999999998</v>
      </c>
      <c r="F33" s="6">
        <v>213.77099999999999</v>
      </c>
      <c r="G33" s="6">
        <v>0</v>
      </c>
      <c r="H33" s="6">
        <v>0</v>
      </c>
      <c r="I33" s="72">
        <v>495.48599999999999</v>
      </c>
      <c r="J33" s="6">
        <f t="shared" si="0"/>
        <v>1200.8440000000001</v>
      </c>
      <c r="L33" s="8"/>
      <c r="N33" s="9"/>
      <c r="S33" s="8"/>
      <c r="U33" s="10"/>
    </row>
    <row r="34" spans="1:21">
      <c r="A34" s="4" t="s">
        <v>71</v>
      </c>
      <c r="B34" s="5" t="s">
        <v>72</v>
      </c>
      <c r="C34" s="6">
        <v>41.792000000000002</v>
      </c>
      <c r="D34" s="6">
        <v>15.148999999999999</v>
      </c>
      <c r="E34" s="6">
        <v>34.606000000000002</v>
      </c>
      <c r="F34" s="6">
        <v>0</v>
      </c>
      <c r="G34" s="6">
        <v>0</v>
      </c>
      <c r="H34" s="6">
        <v>0</v>
      </c>
      <c r="I34" s="72">
        <v>125.536</v>
      </c>
      <c r="J34" s="6">
        <f t="shared" ref="J34:J82" si="1">SUM(C34:I34)</f>
        <v>217.083</v>
      </c>
      <c r="L34" s="8"/>
      <c r="N34" s="9"/>
      <c r="S34" s="8"/>
      <c r="U34" s="10"/>
    </row>
    <row r="35" spans="1:21">
      <c r="A35" s="4" t="s">
        <v>73</v>
      </c>
      <c r="B35" s="5" t="s">
        <v>74</v>
      </c>
      <c r="C35" s="6">
        <v>47.295999999999999</v>
      </c>
      <c r="D35" s="6">
        <v>26.27</v>
      </c>
      <c r="E35" s="6">
        <v>84.456999999999994</v>
      </c>
      <c r="F35" s="6">
        <v>0</v>
      </c>
      <c r="G35" s="6">
        <v>0</v>
      </c>
      <c r="H35" s="6">
        <v>0</v>
      </c>
      <c r="I35" s="72">
        <v>148.66200000000001</v>
      </c>
      <c r="J35" s="6">
        <f t="shared" si="1"/>
        <v>306.685</v>
      </c>
      <c r="L35" s="8"/>
      <c r="N35" s="9"/>
      <c r="S35" s="8"/>
      <c r="U35" s="10"/>
    </row>
    <row r="36" spans="1:21">
      <c r="A36" s="4" t="s">
        <v>75</v>
      </c>
      <c r="B36" s="5" t="s">
        <v>76</v>
      </c>
      <c r="C36" s="6">
        <v>22.562999999999999</v>
      </c>
      <c r="D36" s="6">
        <v>6.3739999999999997</v>
      </c>
      <c r="E36" s="6">
        <v>1.627</v>
      </c>
      <c r="F36" s="6">
        <v>63.7</v>
      </c>
      <c r="G36" s="6">
        <v>0</v>
      </c>
      <c r="H36" s="6">
        <v>0</v>
      </c>
      <c r="I36" s="72">
        <v>64.569999999999993</v>
      </c>
      <c r="J36" s="6">
        <f t="shared" si="1"/>
        <v>158.834</v>
      </c>
      <c r="L36" s="8"/>
      <c r="N36" s="9"/>
      <c r="S36" s="8"/>
      <c r="U36" s="10"/>
    </row>
    <row r="37" spans="1:21">
      <c r="A37" s="4" t="s">
        <v>77</v>
      </c>
      <c r="B37" s="5" t="s">
        <v>78</v>
      </c>
      <c r="C37" s="6">
        <v>62.822000000000003</v>
      </c>
      <c r="D37" s="6">
        <v>1.357</v>
      </c>
      <c r="E37" s="6">
        <v>213.43100000000001</v>
      </c>
      <c r="F37" s="6">
        <v>10.73</v>
      </c>
      <c r="G37" s="6">
        <v>0</v>
      </c>
      <c r="H37" s="6">
        <v>0</v>
      </c>
      <c r="I37" s="72">
        <v>137.50700000000001</v>
      </c>
      <c r="J37" s="6">
        <f t="shared" si="1"/>
        <v>425.84700000000004</v>
      </c>
      <c r="L37" s="8"/>
      <c r="N37" s="9"/>
      <c r="S37" s="8"/>
      <c r="U37" s="10"/>
    </row>
    <row r="38" spans="1:21">
      <c r="A38" s="4" t="s">
        <v>79</v>
      </c>
      <c r="B38" s="5" t="s">
        <v>80</v>
      </c>
      <c r="C38" s="6">
        <v>31.187999999999999</v>
      </c>
      <c r="D38" s="6">
        <v>1.94</v>
      </c>
      <c r="E38" s="6">
        <v>21.422000000000001</v>
      </c>
      <c r="F38" s="6">
        <v>98.8</v>
      </c>
      <c r="G38" s="6">
        <v>0</v>
      </c>
      <c r="H38" s="6">
        <v>0</v>
      </c>
      <c r="I38" s="72">
        <v>60.521000000000001</v>
      </c>
      <c r="J38" s="6">
        <f t="shared" si="1"/>
        <v>213.87099999999998</v>
      </c>
      <c r="L38" s="8"/>
      <c r="N38" s="9"/>
      <c r="S38" s="8"/>
      <c r="U38" s="10"/>
    </row>
    <row r="39" spans="1:21">
      <c r="A39" s="4" t="s">
        <v>81</v>
      </c>
      <c r="B39" s="5" t="s">
        <v>82</v>
      </c>
      <c r="C39" s="6">
        <v>477.28899999999999</v>
      </c>
      <c r="D39" s="6">
        <v>25.663</v>
      </c>
      <c r="E39" s="6">
        <v>280.65699999999998</v>
      </c>
      <c r="F39" s="6">
        <v>0</v>
      </c>
      <c r="G39" s="6">
        <v>0</v>
      </c>
      <c r="H39" s="6">
        <v>0</v>
      </c>
      <c r="I39" s="72">
        <v>2471.5909999999999</v>
      </c>
      <c r="J39" s="6">
        <f t="shared" si="1"/>
        <v>3255.2</v>
      </c>
      <c r="L39" s="8"/>
      <c r="N39" s="9"/>
      <c r="S39" s="8"/>
      <c r="U39" s="10"/>
    </row>
    <row r="40" spans="1:21">
      <c r="A40" s="4" t="s">
        <v>83</v>
      </c>
      <c r="B40" s="5" t="s">
        <v>84</v>
      </c>
      <c r="C40" s="6">
        <v>343.80599999999998</v>
      </c>
      <c r="D40" s="6">
        <v>52.537999999999997</v>
      </c>
      <c r="E40" s="6">
        <v>41.662999999999997</v>
      </c>
      <c r="F40" s="6">
        <v>0</v>
      </c>
      <c r="G40" s="6">
        <v>0</v>
      </c>
      <c r="H40" s="6">
        <v>0</v>
      </c>
      <c r="I40" s="72">
        <v>963.34500000000003</v>
      </c>
      <c r="J40" s="6">
        <f t="shared" si="1"/>
        <v>1401.3520000000001</v>
      </c>
      <c r="L40" s="8"/>
      <c r="N40" s="9"/>
      <c r="S40" s="8"/>
      <c r="U40" s="10"/>
    </row>
    <row r="41" spans="1:21">
      <c r="A41" s="4" t="s">
        <v>85</v>
      </c>
      <c r="B41" s="5" t="s">
        <v>86</v>
      </c>
      <c r="C41" s="6">
        <v>390.178</v>
      </c>
      <c r="D41" s="6">
        <v>66.908000000000001</v>
      </c>
      <c r="E41" s="6">
        <v>30.091999999999999</v>
      </c>
      <c r="F41" s="6">
        <v>118</v>
      </c>
      <c r="G41" s="6">
        <v>0</v>
      </c>
      <c r="H41" s="6">
        <v>0</v>
      </c>
      <c r="I41" s="72">
        <v>466.21499999999997</v>
      </c>
      <c r="J41" s="6">
        <f t="shared" si="1"/>
        <v>1071.393</v>
      </c>
      <c r="L41" s="8"/>
      <c r="N41" s="9"/>
      <c r="S41" s="8"/>
      <c r="U41" s="10"/>
    </row>
    <row r="42" spans="1:21">
      <c r="A42" s="4" t="s">
        <v>87</v>
      </c>
      <c r="B42" s="5" t="s">
        <v>88</v>
      </c>
      <c r="C42" s="6">
        <v>59.563000000000002</v>
      </c>
      <c r="D42" s="6">
        <v>18.638999999999999</v>
      </c>
      <c r="E42" s="6">
        <v>42.155999999999999</v>
      </c>
      <c r="F42" s="6">
        <v>83.052000000000007</v>
      </c>
      <c r="G42" s="6">
        <v>0</v>
      </c>
      <c r="H42" s="6">
        <v>0</v>
      </c>
      <c r="I42" s="72">
        <v>33.323999999999998</v>
      </c>
      <c r="J42" s="6">
        <f t="shared" si="1"/>
        <v>236.73400000000004</v>
      </c>
      <c r="L42" s="8"/>
      <c r="N42" s="9"/>
      <c r="S42" s="8"/>
      <c r="U42" s="10"/>
    </row>
    <row r="43" spans="1:21">
      <c r="A43" s="4" t="s">
        <v>89</v>
      </c>
      <c r="B43" s="5" t="s">
        <v>90</v>
      </c>
      <c r="C43" s="6">
        <v>203.96700000000001</v>
      </c>
      <c r="D43" s="6">
        <v>13.773999999999999</v>
      </c>
      <c r="E43" s="6">
        <v>98.718999999999994</v>
      </c>
      <c r="F43" s="6">
        <v>195</v>
      </c>
      <c r="G43" s="6">
        <v>0</v>
      </c>
      <c r="H43" s="6">
        <v>0</v>
      </c>
      <c r="I43" s="72">
        <v>233.386</v>
      </c>
      <c r="J43" s="6">
        <f t="shared" si="1"/>
        <v>744.846</v>
      </c>
      <c r="L43" s="8"/>
      <c r="N43" s="9"/>
      <c r="S43" s="8"/>
      <c r="U43" s="10"/>
    </row>
    <row r="44" spans="1:21">
      <c r="A44" s="4" t="s">
        <v>91</v>
      </c>
      <c r="B44" s="5" t="s">
        <v>92</v>
      </c>
      <c r="C44" s="6">
        <v>0</v>
      </c>
      <c r="D44" s="6">
        <v>0</v>
      </c>
      <c r="E44" s="6">
        <v>13.084</v>
      </c>
      <c r="F44" s="6">
        <v>0</v>
      </c>
      <c r="G44" s="6">
        <v>0</v>
      </c>
      <c r="H44" s="6">
        <v>0</v>
      </c>
      <c r="I44" s="72">
        <v>30.832999999999998</v>
      </c>
      <c r="J44" s="6">
        <f t="shared" si="1"/>
        <v>43.917000000000002</v>
      </c>
      <c r="L44" s="8"/>
      <c r="N44" s="9"/>
      <c r="S44" s="8"/>
      <c r="U44" s="10"/>
    </row>
    <row r="45" spans="1:21">
      <c r="A45" s="4" t="s">
        <v>93</v>
      </c>
      <c r="B45" s="5" t="s">
        <v>94</v>
      </c>
      <c r="C45" s="6">
        <v>0</v>
      </c>
      <c r="D45" s="6">
        <v>-30.001000000000001</v>
      </c>
      <c r="E45" s="6">
        <v>284.47399999999999</v>
      </c>
      <c r="F45" s="6">
        <v>0</v>
      </c>
      <c r="G45" s="6">
        <v>0</v>
      </c>
      <c r="H45" s="6">
        <v>0</v>
      </c>
      <c r="I45" s="72">
        <v>19.797000000000001</v>
      </c>
      <c r="J45" s="6">
        <f t="shared" si="1"/>
        <v>274.27</v>
      </c>
      <c r="L45" s="8"/>
      <c r="N45" s="9"/>
      <c r="S45" s="8"/>
      <c r="U45" s="10"/>
    </row>
    <row r="46" spans="1:21">
      <c r="A46" s="4" t="s">
        <v>95</v>
      </c>
      <c r="B46" s="5" t="s">
        <v>96</v>
      </c>
      <c r="C46" s="6">
        <v>0</v>
      </c>
      <c r="D46" s="6">
        <v>2.964</v>
      </c>
      <c r="E46" s="6">
        <v>113.59099999999999</v>
      </c>
      <c r="F46" s="6">
        <v>0</v>
      </c>
      <c r="G46" s="6">
        <v>0</v>
      </c>
      <c r="H46" s="6">
        <v>0</v>
      </c>
      <c r="I46" s="72">
        <v>0</v>
      </c>
      <c r="J46" s="6">
        <f t="shared" si="1"/>
        <v>116.55499999999999</v>
      </c>
      <c r="L46" s="8"/>
      <c r="N46" s="9"/>
      <c r="S46" s="8"/>
      <c r="U46" s="10"/>
    </row>
    <row r="47" spans="1:21">
      <c r="A47" s="4" t="s">
        <v>97</v>
      </c>
      <c r="B47" s="5" t="s">
        <v>98</v>
      </c>
      <c r="C47" s="6">
        <v>0</v>
      </c>
      <c r="D47" s="6">
        <v>0</v>
      </c>
      <c r="E47" s="6">
        <v>6.1840000000000002</v>
      </c>
      <c r="F47" s="6">
        <v>52.847999999999999</v>
      </c>
      <c r="G47" s="6">
        <v>0</v>
      </c>
      <c r="H47" s="6">
        <v>0</v>
      </c>
      <c r="I47" s="72">
        <v>0</v>
      </c>
      <c r="J47" s="6">
        <f t="shared" si="1"/>
        <v>59.031999999999996</v>
      </c>
      <c r="L47" s="8"/>
      <c r="N47" s="9"/>
      <c r="S47" s="8"/>
      <c r="U47" s="10"/>
    </row>
    <row r="48" spans="1:21">
      <c r="A48" s="4" t="s">
        <v>99</v>
      </c>
      <c r="B48" s="5" t="s">
        <v>100</v>
      </c>
      <c r="C48" s="6">
        <v>0</v>
      </c>
      <c r="D48" s="6">
        <v>0</v>
      </c>
      <c r="E48" s="6">
        <v>1715.0630000000001</v>
      </c>
      <c r="F48" s="6">
        <v>2382.953</v>
      </c>
      <c r="G48" s="6">
        <v>0</v>
      </c>
      <c r="H48" s="6">
        <v>0</v>
      </c>
      <c r="I48" s="72">
        <v>31.427</v>
      </c>
      <c r="J48" s="6">
        <f t="shared" si="1"/>
        <v>4129.4429999999993</v>
      </c>
      <c r="L48" s="8"/>
      <c r="N48" s="9"/>
      <c r="S48" s="8"/>
      <c r="U48" s="10"/>
    </row>
    <row r="49" spans="1:21">
      <c r="A49" s="4" t="s">
        <v>101</v>
      </c>
      <c r="B49" s="5" t="s">
        <v>102</v>
      </c>
      <c r="C49" s="6">
        <v>0</v>
      </c>
      <c r="D49" s="6">
        <v>0</v>
      </c>
      <c r="E49" s="6">
        <v>3195.5430000000001</v>
      </c>
      <c r="F49" s="6">
        <v>0</v>
      </c>
      <c r="G49" s="6">
        <v>0</v>
      </c>
      <c r="H49" s="6">
        <v>0</v>
      </c>
      <c r="I49" s="72">
        <v>0</v>
      </c>
      <c r="J49" s="6">
        <f t="shared" si="1"/>
        <v>3195.5430000000001</v>
      </c>
      <c r="L49" s="8"/>
      <c r="N49" s="9"/>
      <c r="S49" s="8"/>
      <c r="U49" s="10"/>
    </row>
    <row r="50" spans="1:21">
      <c r="A50" s="4" t="s">
        <v>103</v>
      </c>
      <c r="B50" s="5" t="s">
        <v>104</v>
      </c>
      <c r="C50" s="6">
        <v>0</v>
      </c>
      <c r="D50" s="6">
        <v>8.5489999999999995</v>
      </c>
      <c r="E50" s="6">
        <v>156.80500000000001</v>
      </c>
      <c r="F50" s="6">
        <v>103.31</v>
      </c>
      <c r="G50" s="6">
        <v>0</v>
      </c>
      <c r="H50" s="6">
        <v>0</v>
      </c>
      <c r="I50" s="72">
        <v>0</v>
      </c>
      <c r="J50" s="6">
        <f t="shared" si="1"/>
        <v>268.66399999999999</v>
      </c>
      <c r="L50" s="8"/>
      <c r="N50" s="9"/>
      <c r="S50" s="8"/>
      <c r="U50" s="10"/>
    </row>
    <row r="51" spans="1:21">
      <c r="A51" s="4" t="s">
        <v>105</v>
      </c>
      <c r="B51" s="5" t="s">
        <v>106</v>
      </c>
      <c r="C51" s="6">
        <v>-166.637</v>
      </c>
      <c r="D51" s="6">
        <v>0</v>
      </c>
      <c r="E51" s="6">
        <v>133.99600000000001</v>
      </c>
      <c r="F51" s="6">
        <v>0</v>
      </c>
      <c r="G51" s="6">
        <v>0</v>
      </c>
      <c r="H51" s="6">
        <v>0</v>
      </c>
      <c r="I51" s="72">
        <v>0</v>
      </c>
      <c r="J51" s="6">
        <f t="shared" si="1"/>
        <v>-32.640999999999991</v>
      </c>
      <c r="L51" s="8"/>
      <c r="N51" s="9"/>
      <c r="S51" s="8"/>
      <c r="U51" s="10"/>
    </row>
    <row r="52" spans="1:21">
      <c r="A52" s="4" t="s">
        <v>107</v>
      </c>
      <c r="B52" s="5" t="s">
        <v>108</v>
      </c>
      <c r="C52" s="6">
        <v>-2137.6</v>
      </c>
      <c r="D52" s="6">
        <v>0</v>
      </c>
      <c r="E52" s="6">
        <v>1656.2739999999999</v>
      </c>
      <c r="F52" s="6">
        <v>0</v>
      </c>
      <c r="G52" s="6">
        <v>0</v>
      </c>
      <c r="H52" s="6">
        <v>0</v>
      </c>
      <c r="I52" s="72">
        <v>0</v>
      </c>
      <c r="J52" s="6">
        <f t="shared" si="1"/>
        <v>-481.32600000000002</v>
      </c>
      <c r="L52" s="8"/>
      <c r="N52" s="9"/>
      <c r="S52" s="8"/>
      <c r="U52" s="10"/>
    </row>
    <row r="53" spans="1:21">
      <c r="A53" s="4" t="s">
        <v>109</v>
      </c>
      <c r="B53" s="5" t="s">
        <v>110</v>
      </c>
      <c r="C53" s="6">
        <v>-828.42499999999995</v>
      </c>
      <c r="D53" s="6">
        <v>0</v>
      </c>
      <c r="E53" s="6">
        <v>1116.837</v>
      </c>
      <c r="F53" s="6">
        <v>0</v>
      </c>
      <c r="G53" s="6">
        <v>0</v>
      </c>
      <c r="H53" s="6">
        <v>0</v>
      </c>
      <c r="I53" s="72">
        <v>0</v>
      </c>
      <c r="J53" s="6">
        <f t="shared" si="1"/>
        <v>288.41200000000003</v>
      </c>
      <c r="L53" s="8"/>
      <c r="N53" s="9"/>
      <c r="S53" s="8"/>
      <c r="U53" s="10"/>
    </row>
    <row r="54" spans="1:21">
      <c r="A54" s="4" t="s">
        <v>111</v>
      </c>
      <c r="B54" s="5" t="s">
        <v>112</v>
      </c>
      <c r="C54" s="6">
        <v>0</v>
      </c>
      <c r="D54" s="6">
        <v>22.405999999999999</v>
      </c>
      <c r="E54" s="6">
        <v>389.96300000000002</v>
      </c>
      <c r="F54" s="6">
        <v>1000.2</v>
      </c>
      <c r="G54" s="6">
        <v>0</v>
      </c>
      <c r="H54" s="6">
        <v>0</v>
      </c>
      <c r="I54" s="72">
        <v>-433.37</v>
      </c>
      <c r="J54" s="6">
        <f t="shared" si="1"/>
        <v>979.19899999999996</v>
      </c>
      <c r="L54" s="8"/>
      <c r="N54" s="9"/>
      <c r="S54" s="8"/>
      <c r="U54" s="10"/>
    </row>
    <row r="55" spans="1:21">
      <c r="A55" s="4" t="s">
        <v>113</v>
      </c>
      <c r="B55" s="5" t="s">
        <v>114</v>
      </c>
      <c r="C55" s="6">
        <v>0</v>
      </c>
      <c r="D55" s="6">
        <v>-294.04000000000002</v>
      </c>
      <c r="E55" s="6">
        <v>689.22</v>
      </c>
      <c r="F55" s="6">
        <v>0</v>
      </c>
      <c r="G55" s="6">
        <v>0</v>
      </c>
      <c r="H55" s="6">
        <v>0</v>
      </c>
      <c r="I55" s="72">
        <v>71.012</v>
      </c>
      <c r="J55" s="6">
        <f t="shared" si="1"/>
        <v>466.19200000000001</v>
      </c>
      <c r="L55" s="8"/>
      <c r="N55" s="9"/>
      <c r="S55" s="8"/>
      <c r="U55" s="10"/>
    </row>
    <row r="56" spans="1:21">
      <c r="A56" s="4" t="s">
        <v>115</v>
      </c>
      <c r="B56" s="5" t="s">
        <v>116</v>
      </c>
      <c r="C56" s="6">
        <v>0</v>
      </c>
      <c r="D56" s="6">
        <v>0.71599999999999997</v>
      </c>
      <c r="E56" s="6">
        <v>378.423</v>
      </c>
      <c r="F56" s="6">
        <v>0</v>
      </c>
      <c r="G56" s="6">
        <v>0</v>
      </c>
      <c r="H56" s="6">
        <v>0</v>
      </c>
      <c r="I56" s="72">
        <v>0</v>
      </c>
      <c r="J56" s="6">
        <f t="shared" si="1"/>
        <v>379.13900000000001</v>
      </c>
      <c r="L56" s="8"/>
      <c r="N56" s="9"/>
      <c r="S56" s="8"/>
      <c r="U56" s="10"/>
    </row>
    <row r="57" spans="1:21">
      <c r="A57" s="4" t="s">
        <v>117</v>
      </c>
      <c r="B57" s="5" t="s">
        <v>118</v>
      </c>
      <c r="C57" s="6">
        <v>0</v>
      </c>
      <c r="D57" s="6">
        <v>0</v>
      </c>
      <c r="E57" s="6">
        <v>21.561</v>
      </c>
      <c r="F57" s="6">
        <v>0</v>
      </c>
      <c r="G57" s="6">
        <v>0</v>
      </c>
      <c r="H57" s="6">
        <v>0</v>
      </c>
      <c r="I57" s="72">
        <v>0.28299999999999997</v>
      </c>
      <c r="J57" s="6">
        <f t="shared" si="1"/>
        <v>21.844000000000001</v>
      </c>
      <c r="L57" s="8"/>
      <c r="N57" s="9"/>
      <c r="S57" s="8"/>
      <c r="U57" s="10"/>
    </row>
    <row r="58" spans="1:21">
      <c r="A58" s="4" t="s">
        <v>119</v>
      </c>
      <c r="B58" s="5" t="s">
        <v>120</v>
      </c>
      <c r="C58" s="6">
        <v>0</v>
      </c>
      <c r="D58" s="6">
        <v>82.721999999999994</v>
      </c>
      <c r="E58" s="6">
        <v>501.93099999999998</v>
      </c>
      <c r="F58" s="6">
        <v>868.61300000000006</v>
      </c>
      <c r="G58" s="6">
        <v>0</v>
      </c>
      <c r="H58" s="6">
        <v>0</v>
      </c>
      <c r="I58" s="72">
        <v>330.38600000000002</v>
      </c>
      <c r="J58" s="6">
        <f t="shared" si="1"/>
        <v>1783.652</v>
      </c>
      <c r="L58" s="8"/>
      <c r="N58" s="9"/>
      <c r="S58" s="8"/>
      <c r="U58" s="10"/>
    </row>
    <row r="59" spans="1:21">
      <c r="A59" s="4" t="s">
        <v>121</v>
      </c>
      <c r="B59" s="5" t="s">
        <v>122</v>
      </c>
      <c r="C59" s="6">
        <v>0</v>
      </c>
      <c r="D59" s="6">
        <v>14.085000000000001</v>
      </c>
      <c r="E59" s="6">
        <v>226.42400000000001</v>
      </c>
      <c r="F59" s="6">
        <v>0</v>
      </c>
      <c r="G59" s="6">
        <v>0</v>
      </c>
      <c r="H59" s="6">
        <v>0</v>
      </c>
      <c r="I59" s="72">
        <v>9.11</v>
      </c>
      <c r="J59" s="6">
        <f t="shared" si="1"/>
        <v>249.61900000000003</v>
      </c>
      <c r="L59" s="8"/>
      <c r="N59" s="9"/>
      <c r="S59" s="8"/>
      <c r="U59" s="10"/>
    </row>
    <row r="60" spans="1:21">
      <c r="A60" s="4" t="s">
        <v>123</v>
      </c>
      <c r="B60" s="5" t="s">
        <v>124</v>
      </c>
      <c r="C60" s="6">
        <v>0</v>
      </c>
      <c r="D60" s="6">
        <v>21.06</v>
      </c>
      <c r="E60" s="6">
        <v>533.15200000000004</v>
      </c>
      <c r="F60" s="6">
        <v>0</v>
      </c>
      <c r="G60" s="6">
        <v>0</v>
      </c>
      <c r="H60" s="6">
        <v>0</v>
      </c>
      <c r="I60" s="72">
        <v>32.244</v>
      </c>
      <c r="J60" s="6">
        <f t="shared" si="1"/>
        <v>586.45600000000002</v>
      </c>
      <c r="L60" s="8"/>
      <c r="N60" s="9"/>
      <c r="S60" s="8"/>
      <c r="U60" s="10"/>
    </row>
    <row r="61" spans="1:21">
      <c r="A61" s="4" t="s">
        <v>125</v>
      </c>
      <c r="B61" s="5" t="s">
        <v>126</v>
      </c>
      <c r="C61" s="6">
        <v>0</v>
      </c>
      <c r="D61" s="6">
        <v>0</v>
      </c>
      <c r="E61" s="6">
        <v>186.72</v>
      </c>
      <c r="F61" s="6">
        <v>0</v>
      </c>
      <c r="G61" s="6">
        <v>0</v>
      </c>
      <c r="H61" s="6">
        <v>0</v>
      </c>
      <c r="I61" s="72">
        <v>0</v>
      </c>
      <c r="J61" s="6">
        <f t="shared" si="1"/>
        <v>186.72</v>
      </c>
      <c r="L61" s="8"/>
      <c r="N61" s="9"/>
      <c r="S61" s="8"/>
      <c r="U61" s="10"/>
    </row>
    <row r="62" spans="1:21">
      <c r="A62" s="4" t="s">
        <v>127</v>
      </c>
      <c r="B62" s="5" t="s">
        <v>128</v>
      </c>
      <c r="C62" s="6">
        <v>0</v>
      </c>
      <c r="D62" s="6">
        <v>0</v>
      </c>
      <c r="E62" s="6">
        <v>386.15800000000002</v>
      </c>
      <c r="F62" s="6">
        <v>0</v>
      </c>
      <c r="G62" s="6">
        <v>0</v>
      </c>
      <c r="H62" s="6">
        <v>60.15</v>
      </c>
      <c r="I62" s="72">
        <v>35.747</v>
      </c>
      <c r="J62" s="6">
        <f t="shared" si="1"/>
        <v>482.05500000000001</v>
      </c>
      <c r="L62" s="8"/>
      <c r="N62" s="9"/>
      <c r="S62" s="8"/>
      <c r="U62" s="10"/>
    </row>
    <row r="63" spans="1:21">
      <c r="A63" s="4" t="s">
        <v>129</v>
      </c>
      <c r="B63" s="5" t="s">
        <v>130</v>
      </c>
      <c r="C63" s="6">
        <v>0</v>
      </c>
      <c r="D63" s="6">
        <v>6.34</v>
      </c>
      <c r="E63" s="6">
        <v>117.90600000000001</v>
      </c>
      <c r="F63" s="6">
        <v>0</v>
      </c>
      <c r="G63" s="6">
        <v>0</v>
      </c>
      <c r="H63" s="6">
        <v>0</v>
      </c>
      <c r="I63" s="72">
        <v>-45.779000000000003</v>
      </c>
      <c r="J63" s="6">
        <f t="shared" si="1"/>
        <v>78.467000000000013</v>
      </c>
      <c r="L63" s="8"/>
      <c r="N63" s="9"/>
      <c r="S63" s="8"/>
      <c r="U63" s="10"/>
    </row>
    <row r="64" spans="1:21">
      <c r="A64" s="4" t="s">
        <v>131</v>
      </c>
      <c r="B64" s="5" t="s">
        <v>132</v>
      </c>
      <c r="C64" s="6">
        <v>0</v>
      </c>
      <c r="D64" s="6">
        <v>0.29199999999999998</v>
      </c>
      <c r="E64" s="6">
        <v>88.686000000000007</v>
      </c>
      <c r="F64" s="6">
        <v>0</v>
      </c>
      <c r="G64" s="6">
        <v>0</v>
      </c>
      <c r="H64" s="6">
        <v>0</v>
      </c>
      <c r="I64" s="72">
        <v>0</v>
      </c>
      <c r="J64" s="6">
        <f t="shared" si="1"/>
        <v>88.978000000000009</v>
      </c>
      <c r="L64" s="8"/>
      <c r="N64" s="9"/>
      <c r="S64" s="8"/>
      <c r="U64" s="10"/>
    </row>
    <row r="65" spans="1:26">
      <c r="A65" s="4" t="s">
        <v>133</v>
      </c>
      <c r="B65" s="5" t="s">
        <v>134</v>
      </c>
      <c r="C65" s="6">
        <v>0</v>
      </c>
      <c r="D65" s="6">
        <v>0</v>
      </c>
      <c r="E65" s="6">
        <v>0</v>
      </c>
      <c r="F65" s="6">
        <v>945.23500000000001</v>
      </c>
      <c r="G65" s="6">
        <v>0</v>
      </c>
      <c r="H65" s="6">
        <v>0</v>
      </c>
      <c r="I65" s="72">
        <v>25.050999999999998</v>
      </c>
      <c r="J65" s="6">
        <f t="shared" si="1"/>
        <v>970.28600000000006</v>
      </c>
      <c r="L65" s="8"/>
      <c r="N65" s="9"/>
      <c r="S65" s="8"/>
      <c r="U65" s="10"/>
    </row>
    <row r="66" spans="1:26">
      <c r="A66" s="4" t="s">
        <v>135</v>
      </c>
      <c r="B66" s="5" t="s">
        <v>136</v>
      </c>
      <c r="C66" s="6">
        <v>0</v>
      </c>
      <c r="D66" s="6">
        <v>33.953000000000003</v>
      </c>
      <c r="E66" s="6">
        <v>194.256</v>
      </c>
      <c r="F66" s="6">
        <v>262.95400000000001</v>
      </c>
      <c r="G66" s="6">
        <v>0</v>
      </c>
      <c r="H66" s="6">
        <v>0</v>
      </c>
      <c r="I66" s="72">
        <v>0</v>
      </c>
      <c r="J66" s="6">
        <f t="shared" si="1"/>
        <v>491.16300000000001</v>
      </c>
      <c r="L66" s="8"/>
      <c r="N66" s="9"/>
      <c r="S66" s="8"/>
      <c r="U66" s="10"/>
    </row>
    <row r="67" spans="1:26">
      <c r="A67" s="4" t="s">
        <v>137</v>
      </c>
      <c r="B67" s="5" t="s">
        <v>138</v>
      </c>
      <c r="C67" s="6">
        <v>0</v>
      </c>
      <c r="D67" s="6">
        <v>0</v>
      </c>
      <c r="E67" s="6">
        <v>260.21800000000002</v>
      </c>
      <c r="F67" s="6">
        <v>0</v>
      </c>
      <c r="G67" s="6">
        <v>0</v>
      </c>
      <c r="H67" s="6">
        <v>0</v>
      </c>
      <c r="I67" s="72">
        <v>0</v>
      </c>
      <c r="J67" s="6">
        <f t="shared" si="1"/>
        <v>260.21800000000002</v>
      </c>
      <c r="L67" s="8"/>
      <c r="N67" s="9"/>
      <c r="S67" s="8"/>
      <c r="U67" s="10"/>
    </row>
    <row r="68" spans="1:26">
      <c r="A68" s="4" t="s">
        <v>139</v>
      </c>
      <c r="B68" s="5" t="s">
        <v>140</v>
      </c>
      <c r="C68" s="6">
        <v>0</v>
      </c>
      <c r="D68" s="6">
        <v>0</v>
      </c>
      <c r="E68" s="6">
        <v>135.42099999999999</v>
      </c>
      <c r="F68" s="6">
        <v>0</v>
      </c>
      <c r="G68" s="6">
        <v>0</v>
      </c>
      <c r="H68" s="6">
        <v>0</v>
      </c>
      <c r="I68" s="72">
        <v>2E-3</v>
      </c>
      <c r="J68" s="6">
        <f t="shared" si="1"/>
        <v>135.423</v>
      </c>
      <c r="L68" s="8"/>
      <c r="N68" s="9"/>
      <c r="S68" s="8"/>
      <c r="U68" s="10"/>
    </row>
    <row r="69" spans="1:26">
      <c r="A69" s="4" t="s">
        <v>141</v>
      </c>
      <c r="B69" s="5" t="s">
        <v>142</v>
      </c>
      <c r="C69" s="6">
        <v>0</v>
      </c>
      <c r="D69" s="6">
        <v>2.8610000000000002</v>
      </c>
      <c r="E69" s="6">
        <v>530.65</v>
      </c>
      <c r="F69" s="6">
        <v>0</v>
      </c>
      <c r="G69" s="6">
        <v>0</v>
      </c>
      <c r="H69" s="6">
        <v>0</v>
      </c>
      <c r="I69" s="72">
        <v>0.443</v>
      </c>
      <c r="J69" s="6">
        <f t="shared" si="1"/>
        <v>533.95399999999995</v>
      </c>
      <c r="K69" s="14"/>
      <c r="L69" s="8"/>
      <c r="N69" s="9"/>
      <c r="S69" s="8"/>
      <c r="U69" s="10"/>
    </row>
    <row r="70" spans="1:26">
      <c r="A70" s="4" t="s">
        <v>143</v>
      </c>
      <c r="B70" s="5" t="s">
        <v>144</v>
      </c>
      <c r="C70" s="6">
        <v>0</v>
      </c>
      <c r="D70" s="6">
        <v>21.606999999999999</v>
      </c>
      <c r="E70" s="6">
        <v>231.44300000000001</v>
      </c>
      <c r="F70" s="6">
        <v>0</v>
      </c>
      <c r="G70" s="6">
        <v>0</v>
      </c>
      <c r="H70" s="6">
        <v>0</v>
      </c>
      <c r="I70" s="72">
        <v>0</v>
      </c>
      <c r="J70" s="6">
        <f t="shared" si="1"/>
        <v>253.05</v>
      </c>
      <c r="K70" s="14"/>
      <c r="L70" s="8"/>
      <c r="N70" s="9"/>
      <c r="S70" s="8"/>
      <c r="U70" s="10"/>
      <c r="V70" s="15">
        <f>0.18*(0.01*G70)/10^3</f>
        <v>0</v>
      </c>
      <c r="W70" s="16"/>
      <c r="X70" s="16"/>
      <c r="Y70" s="16"/>
      <c r="Z70" s="16"/>
    </row>
    <row r="71" spans="1:26">
      <c r="A71" s="4" t="s">
        <v>145</v>
      </c>
      <c r="B71" s="5" t="s">
        <v>146</v>
      </c>
      <c r="C71" s="6">
        <v>0</v>
      </c>
      <c r="D71" s="6">
        <v>3.0870000000000002</v>
      </c>
      <c r="E71" s="6">
        <v>762.803</v>
      </c>
      <c r="F71" s="6">
        <v>225.96299999999999</v>
      </c>
      <c r="G71" s="6">
        <v>0</v>
      </c>
      <c r="H71" s="6">
        <v>0</v>
      </c>
      <c r="I71" s="72">
        <v>26.995999999999999</v>
      </c>
      <c r="J71" s="6">
        <f t="shared" si="1"/>
        <v>1018.8489999999999</v>
      </c>
      <c r="L71" s="8"/>
      <c r="N71" s="9"/>
      <c r="S71" s="8"/>
      <c r="U71" s="10"/>
    </row>
    <row r="72" spans="1:26">
      <c r="A72" s="4" t="s">
        <v>147</v>
      </c>
      <c r="B72" s="5" t="s">
        <v>148</v>
      </c>
      <c r="C72" s="6">
        <v>0</v>
      </c>
      <c r="D72" s="6">
        <v>0</v>
      </c>
      <c r="E72" s="6">
        <v>2.4489999999999998</v>
      </c>
      <c r="F72" s="6">
        <v>0</v>
      </c>
      <c r="G72" s="6">
        <v>0</v>
      </c>
      <c r="H72" s="6">
        <v>2437.8589999999999</v>
      </c>
      <c r="I72" s="72">
        <v>0</v>
      </c>
      <c r="J72" s="6">
        <f t="shared" si="1"/>
        <v>2440.308</v>
      </c>
      <c r="L72" s="8"/>
      <c r="N72" s="9"/>
      <c r="S72" s="8"/>
      <c r="U72" s="10"/>
    </row>
    <row r="73" spans="1:26">
      <c r="A73" s="4" t="s">
        <v>149</v>
      </c>
      <c r="B73" s="5" t="s">
        <v>150</v>
      </c>
      <c r="C73" s="6">
        <v>0</v>
      </c>
      <c r="D73" s="6">
        <v>21.067</v>
      </c>
      <c r="E73" s="6">
        <v>151.53299999999999</v>
      </c>
      <c r="F73" s="6">
        <v>0</v>
      </c>
      <c r="G73" s="6">
        <v>193.809</v>
      </c>
      <c r="H73" s="6">
        <v>740.50300000000004</v>
      </c>
      <c r="I73" s="72">
        <v>0</v>
      </c>
      <c r="J73" s="6">
        <f t="shared" si="1"/>
        <v>1106.912</v>
      </c>
      <c r="L73" s="8"/>
      <c r="N73" s="9"/>
      <c r="S73" s="8"/>
      <c r="U73" s="10"/>
    </row>
    <row r="74" spans="1:26">
      <c r="A74" s="4" t="s">
        <v>151</v>
      </c>
      <c r="B74" s="5" t="s">
        <v>152</v>
      </c>
      <c r="C74" s="6">
        <v>0</v>
      </c>
      <c r="D74" s="6">
        <v>6.88</v>
      </c>
      <c r="E74" s="6">
        <v>130.75700000000001</v>
      </c>
      <c r="F74" s="6">
        <v>0</v>
      </c>
      <c r="G74" s="6">
        <v>7.2759999999999998</v>
      </c>
      <c r="H74" s="6">
        <v>345.06599999999997</v>
      </c>
      <c r="I74" s="72">
        <v>0</v>
      </c>
      <c r="J74" s="6">
        <f t="shared" si="1"/>
        <v>489.97899999999998</v>
      </c>
      <c r="L74" s="8"/>
      <c r="N74" s="9"/>
      <c r="S74" s="8"/>
      <c r="U74" s="10"/>
      <c r="V74" s="8"/>
      <c r="W74" s="17"/>
      <c r="X74" s="18"/>
    </row>
    <row r="75" spans="1:26">
      <c r="A75" s="4" t="s">
        <v>153</v>
      </c>
      <c r="B75" s="5" t="s">
        <v>154</v>
      </c>
      <c r="C75" s="6">
        <v>0</v>
      </c>
      <c r="D75" s="6">
        <v>1.5029999999999999</v>
      </c>
      <c r="E75" s="6">
        <v>13.24</v>
      </c>
      <c r="F75" s="6">
        <v>0</v>
      </c>
      <c r="G75" s="6">
        <v>93.701999999999998</v>
      </c>
      <c r="H75" s="6">
        <v>0</v>
      </c>
      <c r="I75" s="72">
        <v>0</v>
      </c>
      <c r="J75" s="6">
        <f t="shared" si="1"/>
        <v>108.44499999999999</v>
      </c>
      <c r="L75" s="8"/>
      <c r="N75" s="9"/>
      <c r="S75" s="8"/>
      <c r="U75" s="10"/>
    </row>
    <row r="76" spans="1:26">
      <c r="A76" s="4" t="s">
        <v>155</v>
      </c>
      <c r="B76" s="5" t="s">
        <v>156</v>
      </c>
      <c r="C76" s="6">
        <v>0</v>
      </c>
      <c r="D76" s="6">
        <v>1.129</v>
      </c>
      <c r="E76" s="6">
        <v>49.438000000000002</v>
      </c>
      <c r="F76" s="6">
        <v>0</v>
      </c>
      <c r="G76" s="6">
        <v>0</v>
      </c>
      <c r="H76" s="6">
        <v>0</v>
      </c>
      <c r="I76" s="72">
        <v>16.420000000000002</v>
      </c>
      <c r="J76" s="6">
        <f t="shared" si="1"/>
        <v>66.986999999999995</v>
      </c>
      <c r="L76" s="8"/>
      <c r="N76" s="9"/>
      <c r="S76" s="8"/>
      <c r="U76" s="10"/>
    </row>
    <row r="77" spans="1:26">
      <c r="A77" s="4" t="s">
        <v>157</v>
      </c>
      <c r="B77" s="5" t="s">
        <v>158</v>
      </c>
      <c r="C77" s="6">
        <v>0</v>
      </c>
      <c r="D77" s="6">
        <v>14.855</v>
      </c>
      <c r="E77" s="6">
        <v>237.96199999999999</v>
      </c>
      <c r="F77" s="6">
        <v>40</v>
      </c>
      <c r="G77" s="6">
        <v>0</v>
      </c>
      <c r="H77" s="6">
        <v>0</v>
      </c>
      <c r="I77" s="72">
        <v>76.034000000000006</v>
      </c>
      <c r="J77" s="6">
        <f t="shared" si="1"/>
        <v>368.851</v>
      </c>
      <c r="L77" s="8"/>
      <c r="N77" s="9"/>
      <c r="S77" s="8"/>
      <c r="U77" s="19"/>
    </row>
    <row r="78" spans="1:26" s="22" customFormat="1" ht="14.5">
      <c r="A78" s="4" t="s">
        <v>159</v>
      </c>
      <c r="B78" s="5" t="s">
        <v>160</v>
      </c>
      <c r="C78" s="6">
        <v>0</v>
      </c>
      <c r="D78" s="6">
        <v>30.472000000000001</v>
      </c>
      <c r="E78" s="6">
        <v>328.71699999999998</v>
      </c>
      <c r="F78" s="6">
        <v>231.05600000000001</v>
      </c>
      <c r="G78" s="6">
        <v>102.748</v>
      </c>
      <c r="H78" s="6">
        <v>0</v>
      </c>
      <c r="I78" s="72">
        <v>0</v>
      </c>
      <c r="J78" s="6">
        <f t="shared" si="1"/>
        <v>692.99300000000005</v>
      </c>
      <c r="L78" s="23"/>
      <c r="N78" s="24"/>
    </row>
    <row r="79" spans="1:26">
      <c r="A79" s="4" t="s">
        <v>161</v>
      </c>
      <c r="B79" s="5" t="s">
        <v>162</v>
      </c>
      <c r="C79" s="6">
        <v>0</v>
      </c>
      <c r="D79" s="6">
        <v>0</v>
      </c>
      <c r="E79" s="6">
        <v>62.42</v>
      </c>
      <c r="F79" s="6">
        <v>0</v>
      </c>
      <c r="G79" s="6">
        <v>0</v>
      </c>
      <c r="H79" s="6">
        <v>0</v>
      </c>
      <c r="I79" s="72">
        <v>0</v>
      </c>
      <c r="J79" s="6">
        <f t="shared" si="1"/>
        <v>62.42</v>
      </c>
    </row>
    <row r="80" spans="1:26">
      <c r="A80" s="4" t="s">
        <v>163</v>
      </c>
      <c r="B80" s="5" t="s">
        <v>164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72">
        <v>0</v>
      </c>
      <c r="J80" s="6">
        <f t="shared" si="1"/>
        <v>0</v>
      </c>
      <c r="T80" s="25"/>
      <c r="U80" s="25"/>
      <c r="V80" s="25"/>
      <c r="W80" s="25"/>
    </row>
    <row r="81" spans="1:23" ht="14.5">
      <c r="A81" s="11" t="s">
        <v>165</v>
      </c>
      <c r="B81" s="12" t="s">
        <v>166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73">
        <v>0</v>
      </c>
      <c r="J81" s="13">
        <f t="shared" si="1"/>
        <v>0</v>
      </c>
      <c r="T81" s="25"/>
      <c r="U81" s="25"/>
      <c r="V81" s="26"/>
      <c r="W81" s="26"/>
    </row>
    <row r="82" spans="1:23" ht="14.5">
      <c r="A82" s="20"/>
      <c r="B82" s="20"/>
      <c r="C82" s="21">
        <f>SUM(C2:C81)</f>
        <v>1.0000000004311005E-3</v>
      </c>
      <c r="D82" s="21">
        <f t="shared" ref="D82:I82" si="2">SUM(D2:D81)</f>
        <v>984.86800000000005</v>
      </c>
      <c r="E82" s="21">
        <f t="shared" si="2"/>
        <v>18592.260999999999</v>
      </c>
      <c r="F82" s="21">
        <f t="shared" si="2"/>
        <v>13787.684999999999</v>
      </c>
      <c r="G82" s="21">
        <f t="shared" si="2"/>
        <v>397.53500000000003</v>
      </c>
      <c r="H82" s="21">
        <f t="shared" si="2"/>
        <v>3583.578</v>
      </c>
      <c r="I82" s="74">
        <f t="shared" si="2"/>
        <v>8617.775999999998</v>
      </c>
      <c r="J82" s="21">
        <f t="shared" si="1"/>
        <v>45963.703999999998</v>
      </c>
    </row>
    <row r="83" spans="1:23">
      <c r="D83" s="8"/>
      <c r="E83" s="8"/>
      <c r="F83" s="8"/>
      <c r="G83" s="8"/>
      <c r="H83" s="8"/>
      <c r="I83" s="8"/>
    </row>
    <row r="84" spans="1:23">
      <c r="J84" s="18"/>
    </row>
    <row r="166" spans="20:20">
      <c r="T16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9AB7-5CC6-490C-A4D9-BD5DC389B555}">
  <dimension ref="A1:EW86"/>
  <sheetViews>
    <sheetView showGridLines="0" zoomScale="85" zoomScaleNormal="85" workbookViewId="0">
      <pane xSplit="2" ySplit="3" topLeftCell="BQ4" activePane="bottomRight" state="frozen"/>
      <selection activeCell="C2" sqref="C2"/>
      <selection pane="topRight" activeCell="C2" sqref="C2"/>
      <selection pane="bottomLeft" activeCell="C2" sqref="C2"/>
      <selection pane="bottomRight" activeCell="CF67" sqref="CF67"/>
    </sheetView>
  </sheetViews>
  <sheetFormatPr defaultColWidth="9.625" defaultRowHeight="14.25"/>
  <cols>
    <col min="1" max="1" width="9.625" style="1"/>
    <col min="2" max="2" width="39.625" style="1" customWidth="1"/>
    <col min="3" max="4" width="8.70703125" style="1" customWidth="1"/>
    <col min="5" max="5" width="8.625" style="1" bestFit="1" customWidth="1"/>
    <col min="6" max="7" width="7.625" style="1" bestFit="1" customWidth="1"/>
    <col min="8" max="9" width="6.625" style="1" bestFit="1" customWidth="1"/>
    <col min="10" max="11" width="7.625" style="1" bestFit="1" customWidth="1"/>
    <col min="12" max="13" width="6.625" style="1" bestFit="1" customWidth="1"/>
    <col min="14" max="14" width="7.625" style="1" bestFit="1" customWidth="1"/>
    <col min="15" max="15" width="4.70703125" style="1" bestFit="1" customWidth="1"/>
    <col min="16" max="16" width="7.625" style="1" bestFit="1" customWidth="1"/>
    <col min="17" max="17" width="8.625" style="1" bestFit="1" customWidth="1"/>
    <col min="18" max="18" width="7.625" style="1" bestFit="1" customWidth="1"/>
    <col min="19" max="19" width="5.5390625" style="1" bestFit="1" customWidth="1"/>
    <col min="20" max="20" width="6.625" style="1" bestFit="1" customWidth="1"/>
    <col min="21" max="21" width="7.625" style="1" bestFit="1" customWidth="1"/>
    <col min="22" max="23" width="8.625" style="1" bestFit="1" customWidth="1"/>
    <col min="24" max="28" width="7.625" style="1" bestFit="1" customWidth="1"/>
    <col min="29" max="29" width="5.08203125" style="1" bestFit="1" customWidth="1"/>
    <col min="30" max="31" width="8.625" style="1" bestFit="1" customWidth="1"/>
    <col min="32" max="32" width="7.9140625" style="1" bestFit="1" customWidth="1"/>
    <col min="33" max="33" width="5.5390625" style="1" bestFit="1" customWidth="1"/>
    <col min="34" max="37" width="7.625" style="1" bestFit="1" customWidth="1"/>
    <col min="38" max="38" width="7.9140625" style="1" bestFit="1" customWidth="1"/>
    <col min="39" max="39" width="7.625" style="1" bestFit="1" customWidth="1"/>
    <col min="40" max="40" width="10.25" style="1" bestFit="1" customWidth="1"/>
    <col min="41" max="41" width="7.9140625" style="1" bestFit="1" customWidth="1"/>
    <col min="42" max="44" width="7.625" style="1" bestFit="1" customWidth="1"/>
    <col min="45" max="47" width="7.9140625" style="1" bestFit="1" customWidth="1"/>
    <col min="48" max="48" width="6.625" style="1" bestFit="1" customWidth="1"/>
    <col min="49" max="49" width="10.1640625" style="1" bestFit="1" customWidth="1"/>
    <col min="50" max="50" width="8.625" style="1" bestFit="1" customWidth="1"/>
    <col min="51" max="51" width="7.625" style="1" bestFit="1" customWidth="1"/>
    <col min="52" max="52" width="7.9140625" style="1" bestFit="1" customWidth="1"/>
    <col min="53" max="53" width="10.25" style="1" bestFit="1" customWidth="1"/>
    <col min="54" max="54" width="7.9140625" style="1" bestFit="1" customWidth="1"/>
    <col min="55" max="57" width="8.625" style="1" bestFit="1" customWidth="1"/>
    <col min="58" max="58" width="6.625" style="1" bestFit="1" customWidth="1"/>
    <col min="59" max="59" width="8.625" style="1" bestFit="1" customWidth="1"/>
    <col min="60" max="60" width="7.9140625" style="1" bestFit="1" customWidth="1"/>
    <col min="61" max="63" width="7.625" style="1" bestFit="1" customWidth="1"/>
    <col min="64" max="64" width="10.25" style="1" bestFit="1" customWidth="1"/>
    <col min="65" max="65" width="7.625" style="1" bestFit="1" customWidth="1"/>
    <col min="66" max="66" width="5.5390625" style="1" bestFit="1" customWidth="1"/>
    <col min="67" max="67" width="7.625" style="1" bestFit="1" customWidth="1"/>
    <col min="68" max="68" width="7.9140625" style="1" bestFit="1" customWidth="1"/>
    <col min="69" max="69" width="7.625" style="1" bestFit="1" customWidth="1"/>
    <col min="70" max="70" width="7.9140625" style="1" bestFit="1" customWidth="1"/>
    <col min="71" max="71" width="7.625" style="1" bestFit="1" customWidth="1"/>
    <col min="72" max="72" width="7.9140625" style="1" bestFit="1" customWidth="1"/>
    <col min="73" max="73" width="10.25" style="1" bestFit="1" customWidth="1"/>
    <col min="74" max="76" width="7.625" style="1" bestFit="1" customWidth="1"/>
    <col min="77" max="78" width="7.9140625" style="1" bestFit="1" customWidth="1"/>
    <col min="79" max="79" width="7.625" style="1" bestFit="1" customWidth="1"/>
    <col min="80" max="82" width="4.70703125" style="1" bestFit="1" customWidth="1"/>
    <col min="83" max="84" width="15" style="1" customWidth="1"/>
    <col min="85" max="85" width="16.9140625" style="1" bestFit="1" customWidth="1"/>
    <col min="86" max="86" width="11.9140625" style="1" bestFit="1" customWidth="1"/>
    <col min="87" max="87" width="10.1640625" style="1" bestFit="1" customWidth="1"/>
    <col min="88" max="88" width="13" style="1" bestFit="1" customWidth="1"/>
    <col min="89" max="89" width="11.375" style="1" bestFit="1" customWidth="1"/>
    <col min="90" max="152" width="10.1640625" style="1" bestFit="1" customWidth="1"/>
    <col min="153" max="153" width="11.9140625" style="1" bestFit="1" customWidth="1"/>
    <col min="154" max="16384" width="9.625" style="1"/>
  </cols>
  <sheetData>
    <row r="1" spans="1:153" ht="16.25" thickBot="1">
      <c r="C1" s="27" t="s">
        <v>174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80"/>
    </row>
    <row r="2" spans="1:153" ht="15.75" thickTop="1" thickBot="1">
      <c r="C2" s="49" t="s">
        <v>7</v>
      </c>
      <c r="D2" s="29" t="s">
        <v>9</v>
      </c>
      <c r="E2" s="29" t="s">
        <v>11</v>
      </c>
      <c r="F2" s="29" t="s">
        <v>13</v>
      </c>
      <c r="G2" s="29" t="s">
        <v>15</v>
      </c>
      <c r="H2" s="29" t="s">
        <v>17</v>
      </c>
      <c r="I2" s="29" t="s">
        <v>19</v>
      </c>
      <c r="J2" s="29" t="s">
        <v>21</v>
      </c>
      <c r="K2" s="29" t="s">
        <v>23</v>
      </c>
      <c r="L2" s="29" t="s">
        <v>25</v>
      </c>
      <c r="M2" s="29" t="s">
        <v>27</v>
      </c>
      <c r="N2" s="29" t="s">
        <v>29</v>
      </c>
      <c r="O2" s="29" t="s">
        <v>31</v>
      </c>
      <c r="P2" s="29" t="s">
        <v>33</v>
      </c>
      <c r="Q2" s="29" t="s">
        <v>35</v>
      </c>
      <c r="R2" s="29" t="s">
        <v>37</v>
      </c>
      <c r="S2" s="29" t="s">
        <v>39</v>
      </c>
      <c r="T2" s="29" t="s">
        <v>41</v>
      </c>
      <c r="U2" s="29" t="s">
        <v>43</v>
      </c>
      <c r="V2" s="29" t="s">
        <v>45</v>
      </c>
      <c r="W2" s="29" t="s">
        <v>47</v>
      </c>
      <c r="X2" s="29" t="s">
        <v>49</v>
      </c>
      <c r="Y2" s="29" t="s">
        <v>51</v>
      </c>
      <c r="Z2" s="29" t="s">
        <v>53</v>
      </c>
      <c r="AA2" s="29" t="s">
        <v>55</v>
      </c>
      <c r="AB2" s="29" t="s">
        <v>57</v>
      </c>
      <c r="AC2" s="29" t="s">
        <v>59</v>
      </c>
      <c r="AD2" s="29" t="s">
        <v>61</v>
      </c>
      <c r="AE2" s="29" t="s">
        <v>63</v>
      </c>
      <c r="AF2" s="29" t="s">
        <v>65</v>
      </c>
      <c r="AG2" s="29" t="s">
        <v>67</v>
      </c>
      <c r="AH2" s="29" t="s">
        <v>69</v>
      </c>
      <c r="AI2" s="29" t="s">
        <v>71</v>
      </c>
      <c r="AJ2" s="29" t="s">
        <v>73</v>
      </c>
      <c r="AK2" s="29" t="s">
        <v>75</v>
      </c>
      <c r="AL2" s="29" t="s">
        <v>77</v>
      </c>
      <c r="AM2" s="29" t="s">
        <v>79</v>
      </c>
      <c r="AN2" s="29" t="s">
        <v>81</v>
      </c>
      <c r="AO2" s="29" t="s">
        <v>83</v>
      </c>
      <c r="AP2" s="29" t="s">
        <v>85</v>
      </c>
      <c r="AQ2" s="29" t="s">
        <v>87</v>
      </c>
      <c r="AR2" s="29" t="s">
        <v>89</v>
      </c>
      <c r="AS2" s="29" t="s">
        <v>91</v>
      </c>
      <c r="AT2" s="29" t="s">
        <v>93</v>
      </c>
      <c r="AU2" s="29" t="s">
        <v>95</v>
      </c>
      <c r="AV2" s="29" t="s">
        <v>97</v>
      </c>
      <c r="AW2" s="29" t="s">
        <v>99</v>
      </c>
      <c r="AX2" s="29" t="s">
        <v>101</v>
      </c>
      <c r="AY2" s="29" t="s">
        <v>103</v>
      </c>
      <c r="AZ2" s="29" t="s">
        <v>105</v>
      </c>
      <c r="BA2" s="29" t="s">
        <v>107</v>
      </c>
      <c r="BB2" s="29" t="s">
        <v>109</v>
      </c>
      <c r="BC2" s="29" t="s">
        <v>111</v>
      </c>
      <c r="BD2" s="29" t="s">
        <v>113</v>
      </c>
      <c r="BE2" s="29" t="s">
        <v>115</v>
      </c>
      <c r="BF2" s="29" t="s">
        <v>117</v>
      </c>
      <c r="BG2" s="29" t="s">
        <v>119</v>
      </c>
      <c r="BH2" s="29" t="s">
        <v>121</v>
      </c>
      <c r="BI2" s="29" t="s">
        <v>123</v>
      </c>
      <c r="BJ2" s="29" t="s">
        <v>125</v>
      </c>
      <c r="BK2" s="29" t="s">
        <v>127</v>
      </c>
      <c r="BL2" s="29" t="s">
        <v>129</v>
      </c>
      <c r="BM2" s="29" t="s">
        <v>131</v>
      </c>
      <c r="BN2" s="29" t="s">
        <v>133</v>
      </c>
      <c r="BO2" s="29" t="s">
        <v>135</v>
      </c>
      <c r="BP2" s="29" t="s">
        <v>137</v>
      </c>
      <c r="BQ2" s="29" t="s">
        <v>139</v>
      </c>
      <c r="BR2" s="29" t="s">
        <v>141</v>
      </c>
      <c r="BS2" s="29" t="s">
        <v>143</v>
      </c>
      <c r="BT2" s="29" t="s">
        <v>145</v>
      </c>
      <c r="BU2" s="29" t="s">
        <v>147</v>
      </c>
      <c r="BV2" s="29" t="s">
        <v>149</v>
      </c>
      <c r="BW2" s="29" t="s">
        <v>151</v>
      </c>
      <c r="BX2" s="29" t="s">
        <v>153</v>
      </c>
      <c r="BY2" s="29" t="s">
        <v>155</v>
      </c>
      <c r="BZ2" s="29" t="s">
        <v>157</v>
      </c>
      <c r="CA2" s="29" t="s">
        <v>159</v>
      </c>
      <c r="CB2" s="29" t="s">
        <v>161</v>
      </c>
      <c r="CC2" s="29" t="s">
        <v>163</v>
      </c>
      <c r="CD2" s="81" t="s">
        <v>165</v>
      </c>
      <c r="CE2" s="3"/>
      <c r="CF2" s="3"/>
    </row>
    <row r="3" spans="1:153" s="3" customFormat="1" ht="100.5" customHeight="1" thickTop="1" thickBot="1">
      <c r="A3" s="47"/>
      <c r="B3" s="48" t="s">
        <v>215</v>
      </c>
      <c r="C3" s="50" t="s">
        <v>8</v>
      </c>
      <c r="D3" s="30" t="s">
        <v>10</v>
      </c>
      <c r="E3" s="30" t="s">
        <v>12</v>
      </c>
      <c r="F3" s="30" t="s">
        <v>14</v>
      </c>
      <c r="G3" s="30" t="s">
        <v>16</v>
      </c>
      <c r="H3" s="30" t="s">
        <v>18</v>
      </c>
      <c r="I3" s="30" t="s">
        <v>20</v>
      </c>
      <c r="J3" s="30" t="s">
        <v>22</v>
      </c>
      <c r="K3" s="30" t="s">
        <v>24</v>
      </c>
      <c r="L3" s="30" t="s">
        <v>26</v>
      </c>
      <c r="M3" s="30" t="s">
        <v>28</v>
      </c>
      <c r="N3" s="30" t="s">
        <v>30</v>
      </c>
      <c r="O3" s="30" t="s">
        <v>32</v>
      </c>
      <c r="P3" s="30" t="s">
        <v>34</v>
      </c>
      <c r="Q3" s="30" t="s">
        <v>36</v>
      </c>
      <c r="R3" s="30" t="s">
        <v>38</v>
      </c>
      <c r="S3" s="30" t="s">
        <v>40</v>
      </c>
      <c r="T3" s="30" t="s">
        <v>42</v>
      </c>
      <c r="U3" s="30" t="s">
        <v>44</v>
      </c>
      <c r="V3" s="30" t="s">
        <v>46</v>
      </c>
      <c r="W3" s="30" t="s">
        <v>48</v>
      </c>
      <c r="X3" s="30" t="s">
        <v>50</v>
      </c>
      <c r="Y3" s="30" t="s">
        <v>52</v>
      </c>
      <c r="Z3" s="30" t="s">
        <v>54</v>
      </c>
      <c r="AA3" s="30" t="s">
        <v>56</v>
      </c>
      <c r="AB3" s="30" t="s">
        <v>58</v>
      </c>
      <c r="AC3" s="30" t="s">
        <v>60</v>
      </c>
      <c r="AD3" s="30" t="s">
        <v>62</v>
      </c>
      <c r="AE3" s="30" t="s">
        <v>64</v>
      </c>
      <c r="AF3" s="30" t="s">
        <v>66</v>
      </c>
      <c r="AG3" s="30" t="s">
        <v>68</v>
      </c>
      <c r="AH3" s="30" t="s">
        <v>70</v>
      </c>
      <c r="AI3" s="30" t="s">
        <v>72</v>
      </c>
      <c r="AJ3" s="30" t="s">
        <v>74</v>
      </c>
      <c r="AK3" s="30" t="s">
        <v>76</v>
      </c>
      <c r="AL3" s="30" t="s">
        <v>78</v>
      </c>
      <c r="AM3" s="30" t="s">
        <v>80</v>
      </c>
      <c r="AN3" s="30" t="s">
        <v>82</v>
      </c>
      <c r="AO3" s="30" t="s">
        <v>84</v>
      </c>
      <c r="AP3" s="30" t="s">
        <v>86</v>
      </c>
      <c r="AQ3" s="30" t="s">
        <v>88</v>
      </c>
      <c r="AR3" s="30" t="s">
        <v>90</v>
      </c>
      <c r="AS3" s="30" t="s">
        <v>92</v>
      </c>
      <c r="AT3" s="30" t="s">
        <v>94</v>
      </c>
      <c r="AU3" s="30" t="s">
        <v>96</v>
      </c>
      <c r="AV3" s="30" t="s">
        <v>98</v>
      </c>
      <c r="AW3" s="30" t="s">
        <v>100</v>
      </c>
      <c r="AX3" s="30" t="s">
        <v>102</v>
      </c>
      <c r="AY3" s="30" t="s">
        <v>104</v>
      </c>
      <c r="AZ3" s="30" t="s">
        <v>106</v>
      </c>
      <c r="BA3" s="30" t="s">
        <v>108</v>
      </c>
      <c r="BB3" s="30" t="s">
        <v>110</v>
      </c>
      <c r="BC3" s="30" t="s">
        <v>112</v>
      </c>
      <c r="BD3" s="30" t="s">
        <v>114</v>
      </c>
      <c r="BE3" s="30" t="s">
        <v>116</v>
      </c>
      <c r="BF3" s="30" t="s">
        <v>118</v>
      </c>
      <c r="BG3" s="30" t="s">
        <v>120</v>
      </c>
      <c r="BH3" s="30" t="s">
        <v>122</v>
      </c>
      <c r="BI3" s="30" t="s">
        <v>124</v>
      </c>
      <c r="BJ3" s="30" t="s">
        <v>126</v>
      </c>
      <c r="BK3" s="30" t="s">
        <v>128</v>
      </c>
      <c r="BL3" s="30" t="s">
        <v>130</v>
      </c>
      <c r="BM3" s="30" t="s">
        <v>132</v>
      </c>
      <c r="BN3" s="30" t="s">
        <v>134</v>
      </c>
      <c r="BO3" s="30" t="s">
        <v>136</v>
      </c>
      <c r="BP3" s="30" t="s">
        <v>138</v>
      </c>
      <c r="BQ3" s="30" t="s">
        <v>140</v>
      </c>
      <c r="BR3" s="30" t="s">
        <v>142</v>
      </c>
      <c r="BS3" s="30" t="s">
        <v>144</v>
      </c>
      <c r="BT3" s="30" t="s">
        <v>146</v>
      </c>
      <c r="BU3" s="30" t="s">
        <v>148</v>
      </c>
      <c r="BV3" s="30" t="s">
        <v>150</v>
      </c>
      <c r="BW3" s="30" t="s">
        <v>152</v>
      </c>
      <c r="BX3" s="30" t="s">
        <v>154</v>
      </c>
      <c r="BY3" s="30" t="s">
        <v>156</v>
      </c>
      <c r="BZ3" s="30" t="s">
        <v>158</v>
      </c>
      <c r="CA3" s="30" t="s">
        <v>160</v>
      </c>
      <c r="CB3" s="30" t="s">
        <v>162</v>
      </c>
      <c r="CC3" s="30" t="s">
        <v>164</v>
      </c>
      <c r="CD3" s="82" t="s">
        <v>166</v>
      </c>
      <c r="CE3" s="51" t="s">
        <v>167</v>
      </c>
      <c r="CF3" s="51" t="s">
        <v>168</v>
      </c>
      <c r="CG3" s="51" t="s">
        <v>169</v>
      </c>
      <c r="CH3" s="51" t="s">
        <v>170</v>
      </c>
      <c r="CI3" s="76" t="s">
        <v>171</v>
      </c>
      <c r="CJ3" s="52" t="s">
        <v>172</v>
      </c>
    </row>
    <row r="4" spans="1:153" ht="15.25" thickTop="1">
      <c r="A4" s="31" t="s">
        <v>7</v>
      </c>
      <c r="B4" s="44" t="s">
        <v>8</v>
      </c>
      <c r="C4" s="6">
        <v>7.226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1.101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348.51900000000001</v>
      </c>
      <c r="X4" s="6">
        <v>14.471</v>
      </c>
      <c r="Y4" s="6">
        <v>8.0399999999999991</v>
      </c>
      <c r="Z4" s="6">
        <v>15.467000000000001</v>
      </c>
      <c r="AA4" s="6">
        <v>93.132000000000005</v>
      </c>
      <c r="AB4" s="6">
        <v>1.4039999999999999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5.452</v>
      </c>
      <c r="BV4" s="6">
        <v>0.71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7">
        <f>SUM(C4:CD4)</f>
        <v>495.52199999999999</v>
      </c>
      <c r="CF4" s="7">
        <v>138.81</v>
      </c>
      <c r="CG4" s="7">
        <v>0</v>
      </c>
      <c r="CH4" s="7">
        <v>-11.895</v>
      </c>
      <c r="CI4" s="77">
        <v>9.9499999999999993</v>
      </c>
      <c r="CJ4" s="23">
        <f>SUM(CE4:CI4)</f>
        <v>632.38700000000006</v>
      </c>
      <c r="CK4" s="23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</row>
    <row r="5" spans="1:153" ht="14.5">
      <c r="A5" s="31" t="s">
        <v>9</v>
      </c>
      <c r="B5" s="44" t="s">
        <v>10</v>
      </c>
      <c r="C5" s="6">
        <v>0</v>
      </c>
      <c r="D5" s="6">
        <v>67.078000000000003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282.36799999999999</v>
      </c>
      <c r="X5" s="6">
        <v>1.498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32.880000000000003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0.153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7">
        <f t="shared" ref="CE5:CE68" si="0">SUM(C5:CD5)</f>
        <v>383.97700000000003</v>
      </c>
      <c r="CF5" s="7">
        <v>906.21299999999997</v>
      </c>
      <c r="CG5" s="7">
        <v>0</v>
      </c>
      <c r="CH5" s="7">
        <v>0.19500000000000001</v>
      </c>
      <c r="CI5" s="77">
        <v>9.9499999999999993</v>
      </c>
      <c r="CJ5" s="23">
        <f t="shared" ref="CJ5:CJ67" si="1">SUM(CE5:CI5)</f>
        <v>1300.335</v>
      </c>
      <c r="CK5" s="23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  <row r="6" spans="1:153" ht="14.5">
      <c r="A6" s="31" t="s">
        <v>11</v>
      </c>
      <c r="B6" s="44" t="s">
        <v>12</v>
      </c>
      <c r="C6" s="6">
        <v>0</v>
      </c>
      <c r="D6" s="6">
        <v>0</v>
      </c>
      <c r="E6" s="6">
        <v>59.515000000000001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8.3699999999999992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24.922999999999998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10.625999999999999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7">
        <f t="shared" si="0"/>
        <v>103.43400000000001</v>
      </c>
      <c r="CF6" s="7">
        <v>742.74800000000005</v>
      </c>
      <c r="CG6" s="7">
        <v>0</v>
      </c>
      <c r="CH6" s="7">
        <v>0.114</v>
      </c>
      <c r="CI6" s="77">
        <v>50.043999999999997</v>
      </c>
      <c r="CJ6" s="23">
        <f t="shared" si="1"/>
        <v>896.34</v>
      </c>
      <c r="CK6" s="23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</row>
    <row r="7" spans="1:153" ht="14.5">
      <c r="A7" s="31" t="s">
        <v>13</v>
      </c>
      <c r="B7" s="44" t="s">
        <v>14</v>
      </c>
      <c r="C7" s="6">
        <v>0</v>
      </c>
      <c r="D7" s="6">
        <v>0</v>
      </c>
      <c r="E7" s="6">
        <v>0</v>
      </c>
      <c r="F7" s="6">
        <v>44.484000000000002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5.3739999999999997</v>
      </c>
      <c r="U7" s="6">
        <v>0.95199999999999996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87.347999999999999</v>
      </c>
      <c r="AB7" s="6">
        <v>12.433999999999999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1.7000000000000001E-2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24.63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7">
        <f t="shared" si="0"/>
        <v>175.239</v>
      </c>
      <c r="CF7" s="7">
        <v>386.07</v>
      </c>
      <c r="CG7" s="7">
        <v>0</v>
      </c>
      <c r="CH7" s="7">
        <v>5.9939999999999998</v>
      </c>
      <c r="CI7" s="77">
        <v>21.588000000000001</v>
      </c>
      <c r="CJ7" s="23">
        <f t="shared" si="1"/>
        <v>588.89099999999996</v>
      </c>
      <c r="CK7" s="23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</row>
    <row r="8" spans="1:153" ht="14.5">
      <c r="A8" s="31" t="s">
        <v>15</v>
      </c>
      <c r="B8" s="44" t="s">
        <v>16</v>
      </c>
      <c r="C8" s="6">
        <v>0</v>
      </c>
      <c r="D8" s="6">
        <v>0</v>
      </c>
      <c r="E8" s="6">
        <v>0</v>
      </c>
      <c r="F8" s="6">
        <v>0</v>
      </c>
      <c r="G8" s="6">
        <v>5.367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94.266999999999996</v>
      </c>
      <c r="V8" s="6">
        <v>0</v>
      </c>
      <c r="W8" s="6">
        <v>15.895</v>
      </c>
      <c r="X8" s="6">
        <v>0</v>
      </c>
      <c r="Y8" s="6">
        <v>0.121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0.93799999999999994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7">
        <f t="shared" si="0"/>
        <v>116.58799999999999</v>
      </c>
      <c r="CF8" s="7">
        <v>5.4870000000000001</v>
      </c>
      <c r="CG8" s="7">
        <v>0</v>
      </c>
      <c r="CH8" s="7">
        <v>-1.2749999999999999</v>
      </c>
      <c r="CI8" s="77">
        <v>10.27</v>
      </c>
      <c r="CJ8" s="23">
        <f t="shared" si="1"/>
        <v>131.07</v>
      </c>
      <c r="CK8" s="23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</row>
    <row r="9" spans="1:153" ht="14.5">
      <c r="A9" s="31" t="s">
        <v>17</v>
      </c>
      <c r="B9" s="44" t="s">
        <v>18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9.6180000000000003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27.414000000000001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0.216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7">
        <f t="shared" si="0"/>
        <v>37.248000000000005</v>
      </c>
      <c r="CF9" s="7">
        <v>-1.4999999999999999E-2</v>
      </c>
      <c r="CG9" s="7">
        <v>0</v>
      </c>
      <c r="CH9" s="7">
        <v>29.486000000000001</v>
      </c>
      <c r="CI9" s="77">
        <v>121.012</v>
      </c>
      <c r="CJ9" s="23">
        <f t="shared" si="1"/>
        <v>187.73099999999999</v>
      </c>
      <c r="CK9" s="23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</row>
    <row r="10" spans="1:153" ht="14.5">
      <c r="A10" s="31" t="s">
        <v>19</v>
      </c>
      <c r="B10" s="44" t="s">
        <v>20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3.665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56.715000000000003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7">
        <f t="shared" si="0"/>
        <v>60.38</v>
      </c>
      <c r="CF10" s="7">
        <v>0</v>
      </c>
      <c r="CG10" s="7">
        <v>0</v>
      </c>
      <c r="CH10" s="7">
        <v>3.6960000000000002</v>
      </c>
      <c r="CI10" s="77">
        <v>0</v>
      </c>
      <c r="CJ10" s="23">
        <f t="shared" si="1"/>
        <v>64.076000000000008</v>
      </c>
      <c r="CK10" s="23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</row>
    <row r="11" spans="1:153" ht="14.5">
      <c r="A11" s="31" t="s">
        <v>21</v>
      </c>
      <c r="B11" s="44" t="s">
        <v>22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4.4089999999999998</v>
      </c>
      <c r="K11" s="6">
        <v>13.010999999999999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8.8740000000000006</v>
      </c>
      <c r="U11" s="6">
        <v>0</v>
      </c>
      <c r="V11" s="6">
        <v>4.4180000000000001</v>
      </c>
      <c r="W11" s="6">
        <v>0</v>
      </c>
      <c r="X11" s="6">
        <v>0</v>
      </c>
      <c r="Y11" s="6">
        <v>15.355</v>
      </c>
      <c r="Z11" s="6">
        <v>88.004999999999995</v>
      </c>
      <c r="AA11" s="6">
        <v>0</v>
      </c>
      <c r="AB11" s="6">
        <v>0</v>
      </c>
      <c r="AC11" s="6">
        <v>0.318</v>
      </c>
      <c r="AD11" s="6">
        <v>0</v>
      </c>
      <c r="AE11" s="6">
        <v>0</v>
      </c>
      <c r="AF11" s="6">
        <v>0</v>
      </c>
      <c r="AG11" s="6">
        <v>0</v>
      </c>
      <c r="AH11" s="6">
        <v>7.5810000000000004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7">
        <f t="shared" si="0"/>
        <v>141.971</v>
      </c>
      <c r="CF11" s="7">
        <v>17.280999999999999</v>
      </c>
      <c r="CG11" s="7">
        <v>0</v>
      </c>
      <c r="CH11" s="7">
        <v>0.218</v>
      </c>
      <c r="CI11" s="77">
        <v>5.7060000000000004</v>
      </c>
      <c r="CJ11" s="23">
        <f t="shared" si="1"/>
        <v>165.17599999999999</v>
      </c>
      <c r="CK11" s="23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</row>
    <row r="12" spans="1:153" ht="14.5">
      <c r="A12" s="31" t="s">
        <v>23</v>
      </c>
      <c r="B12" s="44" t="s">
        <v>24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15.943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8.8179999999999996</v>
      </c>
      <c r="S12" s="6">
        <v>0</v>
      </c>
      <c r="T12" s="6">
        <v>0</v>
      </c>
      <c r="U12" s="6">
        <v>16.46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3.9950000000000001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7">
        <f t="shared" si="0"/>
        <v>45.216000000000001</v>
      </c>
      <c r="CF12" s="7">
        <v>13.644</v>
      </c>
      <c r="CG12" s="7">
        <v>0</v>
      </c>
      <c r="CH12" s="7">
        <v>289.791</v>
      </c>
      <c r="CI12" s="77">
        <v>68.152000000000001</v>
      </c>
      <c r="CJ12" s="23">
        <f>SUM(CE12:CI12)</f>
        <v>416.803</v>
      </c>
      <c r="CK12" s="23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</row>
    <row r="13" spans="1:153" ht="14.5">
      <c r="A13" s="31" t="s">
        <v>25</v>
      </c>
      <c r="B13" s="44" t="s">
        <v>26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3.8540000000000001</v>
      </c>
      <c r="U13" s="6">
        <v>0</v>
      </c>
      <c r="V13" s="6">
        <v>109.32299999999999</v>
      </c>
      <c r="W13" s="6">
        <v>0</v>
      </c>
      <c r="X13" s="6">
        <v>3.9470000000000001</v>
      </c>
      <c r="Y13" s="6">
        <v>0</v>
      </c>
      <c r="Z13" s="6">
        <v>2.25</v>
      </c>
      <c r="AA13" s="6">
        <v>0</v>
      </c>
      <c r="AB13" s="6">
        <v>0</v>
      </c>
      <c r="AC13" s="6">
        <v>0</v>
      </c>
      <c r="AD13" s="6">
        <v>3.8519999999999999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2.8759999999999999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8.7999999999999995E-2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7">
        <f t="shared" si="0"/>
        <v>126.19</v>
      </c>
      <c r="CF13" s="7">
        <v>85.21</v>
      </c>
      <c r="CG13" s="7">
        <v>0</v>
      </c>
      <c r="CH13" s="7">
        <v>-0.13400000000000001</v>
      </c>
      <c r="CI13" s="77">
        <v>5.6719999999999997</v>
      </c>
      <c r="CJ13" s="23">
        <f t="shared" si="1"/>
        <v>216.93799999999999</v>
      </c>
      <c r="CK13" s="23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</row>
    <row r="14" spans="1:153" ht="14.5">
      <c r="A14" s="31" t="s">
        <v>27</v>
      </c>
      <c r="B14" s="44" t="s">
        <v>28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0.85799999999999998</v>
      </c>
      <c r="U14" s="6">
        <v>0</v>
      </c>
      <c r="V14" s="6">
        <v>0</v>
      </c>
      <c r="W14" s="6">
        <v>4.8000000000000001E-2</v>
      </c>
      <c r="X14" s="6">
        <v>0</v>
      </c>
      <c r="Y14" s="6">
        <v>0.11799999999999999</v>
      </c>
      <c r="Z14" s="6">
        <v>0.61399999999999999</v>
      </c>
      <c r="AA14" s="6">
        <v>0</v>
      </c>
      <c r="AB14" s="6">
        <v>0.104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32.572000000000003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28.882999999999999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2.9590000000000001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2.8130000000000002</v>
      </c>
      <c r="BV14" s="6">
        <v>2.0659999999999998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7">
        <f t="shared" si="0"/>
        <v>71.035000000000011</v>
      </c>
      <c r="CF14" s="7">
        <v>725.47799999999995</v>
      </c>
      <c r="CG14" s="7">
        <v>0</v>
      </c>
      <c r="CH14" s="7">
        <v>14.617000000000001</v>
      </c>
      <c r="CI14" s="77">
        <v>8.4849999999999994</v>
      </c>
      <c r="CJ14" s="23">
        <f t="shared" si="1"/>
        <v>819.6149999999999</v>
      </c>
      <c r="CK14" s="23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</row>
    <row r="15" spans="1:153" ht="14.5">
      <c r="A15" s="31" t="s">
        <v>29</v>
      </c>
      <c r="B15" s="44" t="s">
        <v>30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5.8000000000000003E-2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2.4380000000000002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7">
        <f t="shared" si="0"/>
        <v>2.496</v>
      </c>
      <c r="CF15" s="7">
        <v>72.87</v>
      </c>
      <c r="CG15" s="7">
        <v>0</v>
      </c>
      <c r="CH15" s="7">
        <v>-0.152</v>
      </c>
      <c r="CI15" s="77">
        <v>0.04</v>
      </c>
      <c r="CJ15" s="23">
        <f t="shared" si="1"/>
        <v>75.254000000000005</v>
      </c>
      <c r="CK15" s="23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</row>
    <row r="16" spans="1:153" ht="14.5">
      <c r="A16" s="31" t="s">
        <v>31</v>
      </c>
      <c r="B16" s="44" t="s">
        <v>32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2.5000000000000001E-2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7">
        <f t="shared" si="0"/>
        <v>2.5000000000000001E-2</v>
      </c>
      <c r="CF16" s="7">
        <v>0</v>
      </c>
      <c r="CG16" s="7">
        <v>0</v>
      </c>
      <c r="CH16" s="7">
        <v>0</v>
      </c>
      <c r="CI16" s="77">
        <v>1.7999999999999999E-2</v>
      </c>
      <c r="CJ16" s="23">
        <f t="shared" si="1"/>
        <v>4.2999999999999997E-2</v>
      </c>
      <c r="CK16" s="23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</row>
    <row r="17" spans="1:153" ht="14.5">
      <c r="A17" s="31" t="s">
        <v>33</v>
      </c>
      <c r="B17" s="44" t="s">
        <v>34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4.0410000000000004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7">
        <f t="shared" si="0"/>
        <v>4.0410000000000004</v>
      </c>
      <c r="CF17" s="7">
        <v>0</v>
      </c>
      <c r="CG17" s="7">
        <v>0</v>
      </c>
      <c r="CH17" s="7">
        <v>-1.7430000000000001</v>
      </c>
      <c r="CI17" s="77">
        <v>274.09699999999998</v>
      </c>
      <c r="CJ17" s="23">
        <f t="shared" si="1"/>
        <v>276.39499999999998</v>
      </c>
      <c r="CK17" s="23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</row>
    <row r="18" spans="1:153" ht="14.5">
      <c r="A18" s="31" t="s">
        <v>35</v>
      </c>
      <c r="B18" s="44" t="s">
        <v>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5.069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7.1999999999999995E-2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3.5030000000000001</v>
      </c>
      <c r="AL18" s="6">
        <v>8.0190000000000001</v>
      </c>
      <c r="AM18" s="6">
        <v>40.712000000000003</v>
      </c>
      <c r="AN18" s="6">
        <v>0</v>
      </c>
      <c r="AO18" s="6">
        <v>0</v>
      </c>
      <c r="AP18" s="6">
        <v>0</v>
      </c>
      <c r="AQ18" s="6">
        <v>0</v>
      </c>
      <c r="AR18" s="6">
        <v>0.153</v>
      </c>
      <c r="AS18" s="6">
        <v>0</v>
      </c>
      <c r="AT18" s="6">
        <v>0</v>
      </c>
      <c r="AU18" s="6">
        <v>0</v>
      </c>
      <c r="AV18" s="6">
        <v>0</v>
      </c>
      <c r="AW18" s="6">
        <v>193.45</v>
      </c>
      <c r="AX18" s="6">
        <v>180.684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7">
        <f t="shared" si="0"/>
        <v>431.66199999999998</v>
      </c>
      <c r="CF18" s="7">
        <v>0</v>
      </c>
      <c r="CG18" s="7">
        <v>0</v>
      </c>
      <c r="CH18" s="7">
        <v>0.216</v>
      </c>
      <c r="CI18" s="77">
        <v>39.783999999999999</v>
      </c>
      <c r="CJ18" s="23">
        <f t="shared" si="1"/>
        <v>471.66199999999998</v>
      </c>
      <c r="CK18" s="23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</row>
    <row r="19" spans="1:153" ht="14.5">
      <c r="A19" s="31" t="s">
        <v>37</v>
      </c>
      <c r="B19" s="44" t="s">
        <v>38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50.595999999999997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7">
        <f t="shared" si="0"/>
        <v>50.595999999999997</v>
      </c>
      <c r="CF19" s="7">
        <v>146.93600000000001</v>
      </c>
      <c r="CG19" s="7">
        <v>0</v>
      </c>
      <c r="CH19" s="7">
        <v>-4.3999999999999997E-2</v>
      </c>
      <c r="CI19" s="77">
        <v>40.667999999999999</v>
      </c>
      <c r="CJ19" s="23">
        <f t="shared" si="1"/>
        <v>238.15600000000001</v>
      </c>
      <c r="CK19" s="23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</row>
    <row r="20" spans="1:153" ht="14.5">
      <c r="A20" s="31" t="s">
        <v>39</v>
      </c>
      <c r="B20" s="44" t="s">
        <v>40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6.2779999999999996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7">
        <f t="shared" si="0"/>
        <v>6.2779999999999996</v>
      </c>
      <c r="CF20" s="7">
        <v>45.057000000000002</v>
      </c>
      <c r="CG20" s="7">
        <v>0</v>
      </c>
      <c r="CH20" s="7">
        <v>1.6830000000000001</v>
      </c>
      <c r="CI20" s="77">
        <v>72.789000000000001</v>
      </c>
      <c r="CJ20" s="23">
        <f t="shared" si="1"/>
        <v>125.807</v>
      </c>
      <c r="CK20" s="23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</row>
    <row r="21" spans="1:153" ht="14.5">
      <c r="A21" s="31" t="s">
        <v>41</v>
      </c>
      <c r="B21" s="44" t="s">
        <v>42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5.6150000000000002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7">
        <f t="shared" si="0"/>
        <v>5.6150000000000002</v>
      </c>
      <c r="CF21" s="7">
        <v>75.813999999999993</v>
      </c>
      <c r="CG21" s="7">
        <v>0</v>
      </c>
      <c r="CH21" s="7">
        <v>-0.54200000000000004</v>
      </c>
      <c r="CI21" s="77">
        <v>13.061999999999999</v>
      </c>
      <c r="CJ21" s="23">
        <f t="shared" si="1"/>
        <v>93.948999999999984</v>
      </c>
      <c r="CK21" s="23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</row>
    <row r="22" spans="1:153" ht="14.5">
      <c r="A22" s="31" t="s">
        <v>43</v>
      </c>
      <c r="B22" s="44" t="s">
        <v>44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0.71</v>
      </c>
      <c r="U22" s="6">
        <v>0</v>
      </c>
      <c r="V22" s="6">
        <v>0</v>
      </c>
      <c r="W22" s="6">
        <v>0</v>
      </c>
      <c r="X22" s="6">
        <v>1.0780000000000001</v>
      </c>
      <c r="Y22" s="6">
        <v>0</v>
      </c>
      <c r="Z22" s="6">
        <v>7.2249999999999996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47.692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7">
        <f t="shared" si="0"/>
        <v>56.704999999999998</v>
      </c>
      <c r="CF22" s="7">
        <v>356.471</v>
      </c>
      <c r="CG22" s="7">
        <v>0</v>
      </c>
      <c r="CH22" s="7">
        <v>18.978999999999999</v>
      </c>
      <c r="CI22" s="77">
        <v>130.70400000000001</v>
      </c>
      <c r="CJ22" s="23">
        <f t="shared" si="1"/>
        <v>562.85899999999992</v>
      </c>
      <c r="CK22" s="23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</row>
    <row r="23" spans="1:153" ht="14.5">
      <c r="A23" s="31" t="s">
        <v>45</v>
      </c>
      <c r="B23" s="44" t="s">
        <v>46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5.3940000000000001</v>
      </c>
      <c r="Y23" s="6">
        <v>0</v>
      </c>
      <c r="Z23" s="6">
        <v>11.89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2.585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11.36</v>
      </c>
      <c r="BV23" s="6">
        <v>5.2629999999999999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7">
        <f t="shared" si="0"/>
        <v>36.491999999999997</v>
      </c>
      <c r="CF23" s="7">
        <v>124.998</v>
      </c>
      <c r="CG23" s="7">
        <v>0</v>
      </c>
      <c r="CH23" s="7">
        <v>-0.97399999999999998</v>
      </c>
      <c r="CI23" s="77">
        <v>5.5830000000000002</v>
      </c>
      <c r="CJ23" s="23">
        <f t="shared" si="1"/>
        <v>166.09900000000002</v>
      </c>
      <c r="CK23" s="23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</row>
    <row r="24" spans="1:153" ht="14.5">
      <c r="A24" s="31" t="s">
        <v>47</v>
      </c>
      <c r="B24" s="44" t="s">
        <v>48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5.4610000000000003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86.742000000000004</v>
      </c>
      <c r="Y24" s="6">
        <v>4.58</v>
      </c>
      <c r="Z24" s="6">
        <v>25.331</v>
      </c>
      <c r="AA24" s="6">
        <v>23.067</v>
      </c>
      <c r="AB24" s="6">
        <v>8.3550000000000004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38.368000000000002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14.954000000000001</v>
      </c>
      <c r="BV24" s="6">
        <v>71.804000000000002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7">
        <f t="shared" si="0"/>
        <v>278.66200000000003</v>
      </c>
      <c r="CF24" s="7">
        <v>1017.636</v>
      </c>
      <c r="CG24" s="7">
        <v>0</v>
      </c>
      <c r="CH24" s="7">
        <v>-1.9850000000000001</v>
      </c>
      <c r="CI24" s="77">
        <v>181.14099999999999</v>
      </c>
      <c r="CJ24" s="23">
        <f t="shared" si="1"/>
        <v>1475.4540000000002</v>
      </c>
      <c r="CK24" s="23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</row>
    <row r="25" spans="1:153" ht="14.5">
      <c r="A25" s="31" t="s">
        <v>49</v>
      </c>
      <c r="B25" s="44" t="s">
        <v>50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5.6029999999999998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7">
        <f t="shared" si="0"/>
        <v>5.6029999999999998</v>
      </c>
      <c r="CF25" s="7">
        <v>179.57</v>
      </c>
      <c r="CG25" s="7">
        <v>0</v>
      </c>
      <c r="CH25" s="7">
        <v>1.7999999999999999E-2</v>
      </c>
      <c r="CI25" s="77">
        <v>13.335000000000001</v>
      </c>
      <c r="CJ25" s="23">
        <f t="shared" si="1"/>
        <v>198.52600000000001</v>
      </c>
      <c r="CK25" s="23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</row>
    <row r="26" spans="1:153" ht="14.5">
      <c r="A26" s="31" t="s">
        <v>51</v>
      </c>
      <c r="B26" s="44" t="s">
        <v>52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9.1940000000000008</v>
      </c>
      <c r="L26" s="6">
        <v>1.1739999999999999</v>
      </c>
      <c r="M26" s="6">
        <v>0</v>
      </c>
      <c r="N26" s="6">
        <v>10.493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7">
        <f t="shared" si="0"/>
        <v>20.861000000000001</v>
      </c>
      <c r="CF26" s="7">
        <v>47.131</v>
      </c>
      <c r="CG26" s="7">
        <v>0</v>
      </c>
      <c r="CH26" s="7">
        <v>0</v>
      </c>
      <c r="CI26" s="77">
        <v>1E-3</v>
      </c>
      <c r="CJ26" s="23">
        <f t="shared" si="1"/>
        <v>67.993000000000009</v>
      </c>
      <c r="CK26" s="23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</row>
    <row r="27" spans="1:153" ht="14.5">
      <c r="A27" s="31" t="s">
        <v>53</v>
      </c>
      <c r="B27" s="44" t="s">
        <v>54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1.131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8.8999999999999996E-2</v>
      </c>
      <c r="W27" s="6">
        <v>0.499</v>
      </c>
      <c r="X27" s="6">
        <v>4.907</v>
      </c>
      <c r="Y27" s="6">
        <v>0.20200000000000001</v>
      </c>
      <c r="Z27" s="6">
        <v>43.731000000000002</v>
      </c>
      <c r="AA27" s="6">
        <v>71.004000000000005</v>
      </c>
      <c r="AB27" s="6">
        <v>3.17</v>
      </c>
      <c r="AC27" s="6">
        <v>0</v>
      </c>
      <c r="AD27" s="6">
        <v>0.70199999999999996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1.2999999999999999E-2</v>
      </c>
      <c r="BA27" s="6">
        <v>0</v>
      </c>
      <c r="BB27" s="6">
        <v>0</v>
      </c>
      <c r="BC27" s="6">
        <v>0</v>
      </c>
      <c r="BD27" s="6">
        <v>3.7029999999999998</v>
      </c>
      <c r="BE27" s="6">
        <v>1.883</v>
      </c>
      <c r="BF27" s="6">
        <v>3.0000000000000001E-3</v>
      </c>
      <c r="BG27" s="6">
        <v>19.635999999999999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0.52200000000000002</v>
      </c>
      <c r="BQ27" s="6">
        <v>1.8939999999999999</v>
      </c>
      <c r="BR27" s="6">
        <v>1.3779999999999999</v>
      </c>
      <c r="BS27" s="6">
        <v>0.94599999999999995</v>
      </c>
      <c r="BT27" s="6">
        <v>0</v>
      </c>
      <c r="BU27" s="6">
        <v>23.395</v>
      </c>
      <c r="BV27" s="6">
        <v>55.85</v>
      </c>
      <c r="BW27" s="6">
        <v>0</v>
      </c>
      <c r="BX27" s="6">
        <v>0</v>
      </c>
      <c r="BY27" s="6">
        <v>0</v>
      </c>
      <c r="BZ27" s="6">
        <v>1.2969999999999999</v>
      </c>
      <c r="CA27" s="6">
        <v>0.45300000000000001</v>
      </c>
      <c r="CB27" s="6">
        <v>0</v>
      </c>
      <c r="CC27" s="6">
        <v>0</v>
      </c>
      <c r="CD27" s="6">
        <v>0</v>
      </c>
      <c r="CE27" s="7">
        <f t="shared" si="0"/>
        <v>236.40799999999999</v>
      </c>
      <c r="CF27" s="7">
        <v>240.08</v>
      </c>
      <c r="CG27" s="7">
        <v>0</v>
      </c>
      <c r="CH27" s="7">
        <v>-13.265000000000001</v>
      </c>
      <c r="CI27" s="77">
        <v>288.24099999999999</v>
      </c>
      <c r="CJ27" s="23">
        <f>SUM(CE27:CI27)</f>
        <v>751.46399999999994</v>
      </c>
      <c r="CK27" s="23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</row>
    <row r="28" spans="1:153" ht="14.5">
      <c r="A28" s="31" t="s">
        <v>55</v>
      </c>
      <c r="B28" s="44" t="s">
        <v>56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85.058999999999997</v>
      </c>
      <c r="X28" s="6">
        <v>0</v>
      </c>
      <c r="Y28" s="6">
        <v>0</v>
      </c>
      <c r="Z28" s="6">
        <v>0</v>
      </c>
      <c r="AA28" s="6">
        <v>6.11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1.5509999999999999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70.867999999999995</v>
      </c>
      <c r="BB28" s="6">
        <v>34.469000000000001</v>
      </c>
      <c r="BC28" s="6">
        <v>0</v>
      </c>
      <c r="BD28" s="6">
        <v>0</v>
      </c>
      <c r="BE28" s="6">
        <v>0</v>
      </c>
      <c r="BF28" s="6">
        <v>0</v>
      </c>
      <c r="BG28" s="6">
        <v>419.74200000000002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7">
        <f t="shared" si="0"/>
        <v>617.79899999999998</v>
      </c>
      <c r="CF28" s="7">
        <v>680.57799999999997</v>
      </c>
      <c r="CG28" s="7">
        <v>0</v>
      </c>
      <c r="CH28" s="7">
        <v>-3.3650000000000002</v>
      </c>
      <c r="CI28" s="77">
        <v>83.951999999999998</v>
      </c>
      <c r="CJ28" s="23">
        <f t="shared" si="1"/>
        <v>1378.9639999999999</v>
      </c>
      <c r="CK28" s="23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</row>
    <row r="29" spans="1:153" ht="14.5">
      <c r="A29" s="31" t="s">
        <v>57</v>
      </c>
      <c r="B29" s="44" t="s">
        <v>58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0.22700000000000001</v>
      </c>
      <c r="Q29" s="6">
        <v>0.156</v>
      </c>
      <c r="R29" s="6">
        <v>0.80100000000000005</v>
      </c>
      <c r="S29" s="6">
        <v>1.2E-2</v>
      </c>
      <c r="T29" s="6">
        <v>2.5999999999999999E-2</v>
      </c>
      <c r="U29" s="6">
        <v>0.432</v>
      </c>
      <c r="V29" s="6">
        <v>0.157</v>
      </c>
      <c r="W29" s="6">
        <v>1.3759999999999999</v>
      </c>
      <c r="X29" s="6">
        <v>4.2000000000000003E-2</v>
      </c>
      <c r="Y29" s="6">
        <v>6.9000000000000006E-2</v>
      </c>
      <c r="Z29" s="6">
        <v>0.624</v>
      </c>
      <c r="AA29" s="6">
        <v>3.5379999999999998</v>
      </c>
      <c r="AB29" s="6">
        <v>1.0999999999999999E-2</v>
      </c>
      <c r="AC29" s="6">
        <v>0</v>
      </c>
      <c r="AD29" s="6">
        <v>0.499</v>
      </c>
      <c r="AE29" s="6">
        <v>0.26400000000000001</v>
      </c>
      <c r="AF29" s="6">
        <v>0.123</v>
      </c>
      <c r="AG29" s="6">
        <v>0</v>
      </c>
      <c r="AH29" s="6">
        <v>0.94699999999999995</v>
      </c>
      <c r="AI29" s="6">
        <v>0.09</v>
      </c>
      <c r="AJ29" s="6">
        <v>0.41699999999999998</v>
      </c>
      <c r="AK29" s="6">
        <v>3.0000000000000001E-3</v>
      </c>
      <c r="AL29" s="6">
        <v>1.048</v>
      </c>
      <c r="AM29" s="6">
        <v>3.9E-2</v>
      </c>
      <c r="AN29" s="6">
        <v>3.9830000000000001</v>
      </c>
      <c r="AO29" s="6">
        <v>0.152</v>
      </c>
      <c r="AP29" s="6">
        <v>8.5999999999999993E-2</v>
      </c>
      <c r="AQ29" s="6">
        <v>0.17499999999999999</v>
      </c>
      <c r="AR29" s="6">
        <v>0.125</v>
      </c>
      <c r="AS29" s="6">
        <v>7.0000000000000001E-3</v>
      </c>
      <c r="AT29" s="6">
        <v>1.2430000000000001</v>
      </c>
      <c r="AU29" s="6">
        <v>0.629</v>
      </c>
      <c r="AV29" s="6">
        <v>1.9E-2</v>
      </c>
      <c r="AW29" s="6">
        <v>5.3570000000000002</v>
      </c>
      <c r="AX29" s="6">
        <v>15.462</v>
      </c>
      <c r="AY29" s="6">
        <v>9.5000000000000001E-2</v>
      </c>
      <c r="AZ29" s="6">
        <v>0.01</v>
      </c>
      <c r="BA29" s="6">
        <v>10.144</v>
      </c>
      <c r="BB29" s="6">
        <v>7.7990000000000004</v>
      </c>
      <c r="BC29" s="6">
        <v>0.14599999999999999</v>
      </c>
      <c r="BD29" s="6">
        <v>1.4079999999999999</v>
      </c>
      <c r="BE29" s="6">
        <v>0.63700000000000001</v>
      </c>
      <c r="BF29" s="6">
        <v>0.01</v>
      </c>
      <c r="BG29" s="6">
        <v>10.294</v>
      </c>
      <c r="BH29" s="6">
        <v>2.8479999999999999</v>
      </c>
      <c r="BI29" s="6">
        <v>0.67200000000000004</v>
      </c>
      <c r="BJ29" s="6">
        <v>0.14299999999999999</v>
      </c>
      <c r="BK29" s="6">
        <v>2.4060000000000001</v>
      </c>
      <c r="BL29" s="6">
        <v>0.19900000000000001</v>
      </c>
      <c r="BM29" s="6">
        <v>0.36</v>
      </c>
      <c r="BN29" s="6">
        <v>0</v>
      </c>
      <c r="BO29" s="6">
        <v>0.68100000000000005</v>
      </c>
      <c r="BP29" s="6">
        <v>0.28299999999999997</v>
      </c>
      <c r="BQ29" s="6">
        <v>1.409</v>
      </c>
      <c r="BR29" s="6">
        <v>1.0660000000000001</v>
      </c>
      <c r="BS29" s="6">
        <v>0.33300000000000002</v>
      </c>
      <c r="BT29" s="6">
        <v>1.1910000000000001</v>
      </c>
      <c r="BU29" s="6">
        <v>16.609000000000002</v>
      </c>
      <c r="BV29" s="6">
        <v>5.38</v>
      </c>
      <c r="BW29" s="6">
        <v>1.024</v>
      </c>
      <c r="BX29" s="6">
        <v>0.01</v>
      </c>
      <c r="BY29" s="6">
        <v>1.258</v>
      </c>
      <c r="BZ29" s="6">
        <v>0.67400000000000004</v>
      </c>
      <c r="CA29" s="6">
        <v>7.0000000000000007E-2</v>
      </c>
      <c r="CB29" s="6">
        <v>0</v>
      </c>
      <c r="CC29" s="6">
        <v>0</v>
      </c>
      <c r="CD29" s="6">
        <v>0</v>
      </c>
      <c r="CE29" s="7">
        <f t="shared" si="0"/>
        <v>105.298</v>
      </c>
      <c r="CF29" s="7">
        <v>213.893</v>
      </c>
      <c r="CG29" s="7">
        <v>0</v>
      </c>
      <c r="CH29" s="7">
        <v>0.495</v>
      </c>
      <c r="CI29" s="77">
        <v>0.49299999999999999</v>
      </c>
      <c r="CJ29" s="23">
        <f t="shared" si="1"/>
        <v>320.17900000000003</v>
      </c>
      <c r="CK29" s="23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</row>
    <row r="30" spans="1:153" ht="14.5">
      <c r="A30" s="31" t="s">
        <v>59</v>
      </c>
      <c r="B30" s="44" t="s">
        <v>60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7">
        <f t="shared" si="0"/>
        <v>0</v>
      </c>
      <c r="CF30" s="7">
        <v>35.621000000000002</v>
      </c>
      <c r="CG30" s="7">
        <v>0</v>
      </c>
      <c r="CH30" s="7">
        <v>0.45300000000000001</v>
      </c>
      <c r="CI30" s="77">
        <v>0.33800000000000002</v>
      </c>
      <c r="CJ30" s="23">
        <f t="shared" si="1"/>
        <v>36.412000000000006</v>
      </c>
      <c r="CK30" s="23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</row>
    <row r="31" spans="1:153" ht="14.5">
      <c r="A31" s="31" t="s">
        <v>61</v>
      </c>
      <c r="B31" s="44" t="s">
        <v>62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8.2000000000000003E-2</v>
      </c>
      <c r="Q31" s="6">
        <v>0.1</v>
      </c>
      <c r="R31" s="6">
        <v>0.222</v>
      </c>
      <c r="S31" s="6">
        <v>0</v>
      </c>
      <c r="T31" s="6">
        <v>8.9999999999999993E-3</v>
      </c>
      <c r="U31" s="6">
        <v>0</v>
      </c>
      <c r="V31" s="6">
        <v>6.9000000000000006E-2</v>
      </c>
      <c r="W31" s="6">
        <v>1.4139999999999999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206.30799999999999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29.931999999999999</v>
      </c>
      <c r="AR31" s="6">
        <v>6.1369999999999996</v>
      </c>
      <c r="AS31" s="6">
        <v>0</v>
      </c>
      <c r="AT31" s="6">
        <v>1.782</v>
      </c>
      <c r="AU31" s="6">
        <v>0.33200000000000002</v>
      </c>
      <c r="AV31" s="6">
        <v>0</v>
      </c>
      <c r="AW31" s="6">
        <v>39.378999999999998</v>
      </c>
      <c r="AX31" s="6">
        <v>25.591999999999999</v>
      </c>
      <c r="AY31" s="6">
        <v>0</v>
      </c>
      <c r="AZ31" s="6">
        <v>0</v>
      </c>
      <c r="BA31" s="6">
        <v>19.776</v>
      </c>
      <c r="BB31" s="6">
        <v>9.1010000000000009</v>
      </c>
      <c r="BC31" s="6">
        <v>3.2410000000000001</v>
      </c>
      <c r="BD31" s="6">
        <v>0.71299999999999997</v>
      </c>
      <c r="BE31" s="6">
        <v>0.376</v>
      </c>
      <c r="BF31" s="6">
        <v>0</v>
      </c>
      <c r="BG31" s="6">
        <v>2.1240000000000001</v>
      </c>
      <c r="BH31" s="6">
        <v>0</v>
      </c>
      <c r="BI31" s="6">
        <v>1.859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3.7879999999999998</v>
      </c>
      <c r="BU31" s="6">
        <v>41.115000000000002</v>
      </c>
      <c r="BV31" s="6">
        <v>0.84099999999999997</v>
      </c>
      <c r="BW31" s="6">
        <v>0.185</v>
      </c>
      <c r="BX31" s="6">
        <v>0.184</v>
      </c>
      <c r="BY31" s="6">
        <v>0</v>
      </c>
      <c r="BZ31" s="6">
        <v>0.47699999999999998</v>
      </c>
      <c r="CA31" s="6">
        <v>0</v>
      </c>
      <c r="CB31" s="6">
        <v>0</v>
      </c>
      <c r="CC31" s="6">
        <v>0</v>
      </c>
      <c r="CD31" s="6">
        <v>0</v>
      </c>
      <c r="CE31" s="7">
        <f t="shared" si="0"/>
        <v>395.13799999999998</v>
      </c>
      <c r="CF31" s="7">
        <v>488.173</v>
      </c>
      <c r="CG31" s="7">
        <v>0</v>
      </c>
      <c r="CH31" s="7">
        <v>-1.9870000000000001</v>
      </c>
      <c r="CI31" s="77">
        <v>98.4</v>
      </c>
      <c r="CJ31" s="23">
        <f t="shared" si="1"/>
        <v>979.72399999999993</v>
      </c>
      <c r="CK31" s="23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</row>
    <row r="32" spans="1:153" ht="14.5">
      <c r="A32" s="31" t="s">
        <v>63</v>
      </c>
      <c r="B32" s="44" t="s">
        <v>64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112.258</v>
      </c>
      <c r="AF32" s="6">
        <v>29.733000000000001</v>
      </c>
      <c r="AG32" s="6">
        <v>0</v>
      </c>
      <c r="AH32" s="6">
        <v>0.752</v>
      </c>
      <c r="AI32" s="6">
        <v>0</v>
      </c>
      <c r="AJ32" s="6">
        <v>0.745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2.23</v>
      </c>
      <c r="AR32" s="6">
        <v>0.24399999999999999</v>
      </c>
      <c r="AS32" s="6">
        <v>0</v>
      </c>
      <c r="AT32" s="6">
        <v>3.7010000000000001</v>
      </c>
      <c r="AU32" s="6">
        <v>0</v>
      </c>
      <c r="AV32" s="6">
        <v>0</v>
      </c>
      <c r="AW32" s="6">
        <v>74.451999999999998</v>
      </c>
      <c r="AX32" s="6">
        <v>65.968000000000004</v>
      </c>
      <c r="AY32" s="6">
        <v>0</v>
      </c>
      <c r="AZ32" s="6">
        <v>0</v>
      </c>
      <c r="BA32" s="6">
        <v>3.0760000000000001</v>
      </c>
      <c r="BB32" s="6">
        <v>7.6319999999999997</v>
      </c>
      <c r="BC32" s="6">
        <v>0</v>
      </c>
      <c r="BD32" s="6">
        <v>0</v>
      </c>
      <c r="BE32" s="6">
        <v>0</v>
      </c>
      <c r="BF32" s="6">
        <v>0</v>
      </c>
      <c r="BG32" s="6">
        <v>4.4999999999999998E-2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0.59299999999999997</v>
      </c>
      <c r="BV32" s="6">
        <v>0.33400000000000002</v>
      </c>
      <c r="BW32" s="6">
        <v>0</v>
      </c>
      <c r="BX32" s="6">
        <v>0.20399999999999999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7">
        <f t="shared" si="0"/>
        <v>301.96700000000004</v>
      </c>
      <c r="CF32" s="7">
        <v>110.35299999999999</v>
      </c>
      <c r="CG32" s="7">
        <v>0</v>
      </c>
      <c r="CH32" s="7">
        <v>6.1829999999999998</v>
      </c>
      <c r="CI32" s="77">
        <v>14.339</v>
      </c>
      <c r="CJ32" s="23">
        <f t="shared" si="1"/>
        <v>432.84200000000004</v>
      </c>
      <c r="CK32" s="23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</row>
    <row r="33" spans="1:153" ht="14.5">
      <c r="A33" s="31" t="s">
        <v>65</v>
      </c>
      <c r="B33" s="44" t="s">
        <v>66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0.65100000000000002</v>
      </c>
      <c r="Q33" s="6">
        <v>0</v>
      </c>
      <c r="R33" s="6">
        <v>5.1109999999999998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0.113</v>
      </c>
      <c r="Z33" s="6">
        <v>0</v>
      </c>
      <c r="AA33" s="6">
        <v>0</v>
      </c>
      <c r="AB33" s="6">
        <v>2.3E-2</v>
      </c>
      <c r="AC33" s="6">
        <v>0</v>
      </c>
      <c r="AD33" s="6">
        <v>0</v>
      </c>
      <c r="AE33" s="6">
        <v>0</v>
      </c>
      <c r="AF33" s="6">
        <v>0.54400000000000004</v>
      </c>
      <c r="AG33" s="6">
        <v>0</v>
      </c>
      <c r="AH33" s="6">
        <v>0</v>
      </c>
      <c r="AI33" s="6">
        <v>0.09</v>
      </c>
      <c r="AJ33" s="6">
        <v>0</v>
      </c>
      <c r="AK33" s="6">
        <v>0</v>
      </c>
      <c r="AL33" s="6">
        <v>0.104</v>
      </c>
      <c r="AM33" s="6">
        <v>0</v>
      </c>
      <c r="AN33" s="6">
        <v>1E-3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2.93</v>
      </c>
      <c r="AV33" s="6">
        <v>0.65600000000000003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6.3E-2</v>
      </c>
      <c r="BG33" s="6">
        <v>0</v>
      </c>
      <c r="BH33" s="6">
        <v>25.712</v>
      </c>
      <c r="BI33" s="6">
        <v>0</v>
      </c>
      <c r="BJ33" s="6">
        <v>4.2549999999999999</v>
      </c>
      <c r="BK33" s="6">
        <v>18.068000000000001</v>
      </c>
      <c r="BL33" s="6">
        <v>0.13300000000000001</v>
      </c>
      <c r="BM33" s="6">
        <v>6.6440000000000001</v>
      </c>
      <c r="BN33" s="6">
        <v>0</v>
      </c>
      <c r="BO33" s="6">
        <v>0.99199999999999999</v>
      </c>
      <c r="BP33" s="6">
        <v>6.0190000000000001</v>
      </c>
      <c r="BQ33" s="6">
        <v>11.692</v>
      </c>
      <c r="BR33" s="6">
        <v>12.936</v>
      </c>
      <c r="BS33" s="6">
        <v>1.899</v>
      </c>
      <c r="BT33" s="6">
        <v>0.49099999999999999</v>
      </c>
      <c r="BU33" s="6">
        <v>0</v>
      </c>
      <c r="BV33" s="6">
        <v>3.5840000000000001</v>
      </c>
      <c r="BW33" s="6">
        <v>2.694</v>
      </c>
      <c r="BX33" s="6">
        <v>5.34</v>
      </c>
      <c r="BY33" s="6">
        <v>0</v>
      </c>
      <c r="BZ33" s="6">
        <v>8.7119999999999997</v>
      </c>
      <c r="CA33" s="6">
        <v>0.12</v>
      </c>
      <c r="CB33" s="6">
        <v>0</v>
      </c>
      <c r="CC33" s="6">
        <v>0</v>
      </c>
      <c r="CD33" s="6">
        <v>0</v>
      </c>
      <c r="CE33" s="7">
        <f t="shared" si="0"/>
        <v>119.57700000000004</v>
      </c>
      <c r="CF33" s="7">
        <v>2.82</v>
      </c>
      <c r="CG33" s="7">
        <v>0</v>
      </c>
      <c r="CH33" s="7">
        <v>-0.52</v>
      </c>
      <c r="CI33" s="77">
        <v>4.8410000000000002</v>
      </c>
      <c r="CJ33" s="23">
        <f t="shared" si="1"/>
        <v>126.71800000000003</v>
      </c>
      <c r="CK33" s="23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</row>
    <row r="34" spans="1:153" ht="14.5">
      <c r="A34" s="31" t="s">
        <v>67</v>
      </c>
      <c r="B34" s="44" t="s">
        <v>68</v>
      </c>
      <c r="C34" s="6">
        <v>4.3310000000000004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0.17299999999999999</v>
      </c>
      <c r="L34" s="6">
        <v>0.13100000000000001</v>
      </c>
      <c r="M34" s="6">
        <v>7.2889999999999997</v>
      </c>
      <c r="N34" s="6">
        <v>3.3319999999999999</v>
      </c>
      <c r="O34" s="6">
        <v>0</v>
      </c>
      <c r="P34" s="6">
        <v>38.508000000000003</v>
      </c>
      <c r="Q34" s="6">
        <v>122.194</v>
      </c>
      <c r="R34" s="6">
        <v>17.856999999999999</v>
      </c>
      <c r="S34" s="6">
        <v>0</v>
      </c>
      <c r="T34" s="6">
        <v>0.33300000000000002</v>
      </c>
      <c r="U34" s="6">
        <v>0</v>
      </c>
      <c r="V34" s="6">
        <v>0.56299999999999994</v>
      </c>
      <c r="W34" s="6">
        <v>0</v>
      </c>
      <c r="X34" s="6">
        <v>0</v>
      </c>
      <c r="Y34" s="6">
        <v>2.1190000000000002</v>
      </c>
      <c r="Z34" s="6">
        <v>1.85</v>
      </c>
      <c r="AA34" s="6">
        <v>0</v>
      </c>
      <c r="AB34" s="6">
        <v>0.182</v>
      </c>
      <c r="AC34" s="6">
        <v>0</v>
      </c>
      <c r="AD34" s="6">
        <v>0</v>
      </c>
      <c r="AE34" s="6">
        <v>1.9E-2</v>
      </c>
      <c r="AF34" s="6">
        <v>0.27400000000000002</v>
      </c>
      <c r="AG34" s="6">
        <v>0</v>
      </c>
      <c r="AH34" s="6">
        <v>20.256</v>
      </c>
      <c r="AI34" s="6">
        <v>0</v>
      </c>
      <c r="AJ34" s="6">
        <v>5.8999999999999997E-2</v>
      </c>
      <c r="AK34" s="6">
        <v>3.0000000000000001E-3</v>
      </c>
      <c r="AL34" s="6">
        <v>32.911000000000001</v>
      </c>
      <c r="AM34" s="6">
        <v>3.9E-2</v>
      </c>
      <c r="AN34" s="6">
        <v>3.0000000000000001E-3</v>
      </c>
      <c r="AO34" s="6">
        <v>0.59399999999999997</v>
      </c>
      <c r="AP34" s="6">
        <v>8.8999999999999996E-2</v>
      </c>
      <c r="AQ34" s="6">
        <v>0</v>
      </c>
      <c r="AR34" s="6">
        <v>8.0000000000000002E-3</v>
      </c>
      <c r="AS34" s="6">
        <v>8.0000000000000002E-3</v>
      </c>
      <c r="AT34" s="6">
        <v>13.022</v>
      </c>
      <c r="AU34" s="6">
        <v>15.285</v>
      </c>
      <c r="AV34" s="6">
        <v>2.09</v>
      </c>
      <c r="AW34" s="6">
        <v>0</v>
      </c>
      <c r="AX34" s="6">
        <v>0</v>
      </c>
      <c r="AY34" s="6">
        <v>3.629</v>
      </c>
      <c r="AZ34" s="6">
        <v>4.3999999999999997E-2</v>
      </c>
      <c r="BA34" s="6">
        <v>169.70500000000001</v>
      </c>
      <c r="BB34" s="6">
        <v>87.805999999999997</v>
      </c>
      <c r="BC34" s="6">
        <v>149.30799999999999</v>
      </c>
      <c r="BD34" s="6">
        <v>101.59699999999999</v>
      </c>
      <c r="BE34" s="6">
        <v>0</v>
      </c>
      <c r="BF34" s="6">
        <v>1.0249999999999999</v>
      </c>
      <c r="BG34" s="6">
        <v>0</v>
      </c>
      <c r="BH34" s="6">
        <v>1.673</v>
      </c>
      <c r="BI34" s="6">
        <v>4.9080000000000004</v>
      </c>
      <c r="BJ34" s="6">
        <v>3.3000000000000002E-2</v>
      </c>
      <c r="BK34" s="6">
        <v>1.4079999999999999</v>
      </c>
      <c r="BL34" s="6">
        <v>0.40899999999999997</v>
      </c>
      <c r="BM34" s="6">
        <v>4.9530000000000003</v>
      </c>
      <c r="BN34" s="6">
        <v>0</v>
      </c>
      <c r="BO34" s="6">
        <v>0</v>
      </c>
      <c r="BP34" s="6">
        <v>1.4390000000000001</v>
      </c>
      <c r="BQ34" s="6">
        <v>10.218999999999999</v>
      </c>
      <c r="BR34" s="6">
        <v>23.837</v>
      </c>
      <c r="BS34" s="6">
        <v>6.6879999999999997</v>
      </c>
      <c r="BT34" s="6">
        <v>3.9729999999999999</v>
      </c>
      <c r="BU34" s="6">
        <v>25.957999999999998</v>
      </c>
      <c r="BV34" s="6">
        <v>0.26100000000000001</v>
      </c>
      <c r="BW34" s="6">
        <v>8.59</v>
      </c>
      <c r="BX34" s="6">
        <v>0.371</v>
      </c>
      <c r="BY34" s="6">
        <v>0</v>
      </c>
      <c r="BZ34" s="6">
        <v>16.709</v>
      </c>
      <c r="CA34" s="6">
        <v>11.156000000000001</v>
      </c>
      <c r="CB34" s="6">
        <v>0</v>
      </c>
      <c r="CC34" s="6">
        <v>0</v>
      </c>
      <c r="CD34" s="6">
        <v>0</v>
      </c>
      <c r="CE34" s="7">
        <f t="shared" si="0"/>
        <v>919.22099999999978</v>
      </c>
      <c r="CF34" s="7">
        <v>207.79</v>
      </c>
      <c r="CG34" s="7">
        <v>0</v>
      </c>
      <c r="CH34" s="7">
        <v>1.321</v>
      </c>
      <c r="CI34" s="77">
        <v>242.45</v>
      </c>
      <c r="CJ34" s="23">
        <f t="shared" si="1"/>
        <v>1370.7819999999997</v>
      </c>
      <c r="CK34" s="23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</row>
    <row r="35" spans="1:153" ht="14.5">
      <c r="A35" s="31" t="s">
        <v>69</v>
      </c>
      <c r="B35" s="44" t="s">
        <v>70</v>
      </c>
      <c r="C35" s="6">
        <v>101.675</v>
      </c>
      <c r="D35" s="6">
        <v>199.29499999999999</v>
      </c>
      <c r="E35" s="6">
        <v>224.95099999999999</v>
      </c>
      <c r="F35" s="6">
        <v>16.890999999999998</v>
      </c>
      <c r="G35" s="6">
        <v>10.804</v>
      </c>
      <c r="H35" s="6">
        <v>1.274</v>
      </c>
      <c r="I35" s="6">
        <v>0.44900000000000001</v>
      </c>
      <c r="J35" s="6">
        <v>3.2269999999999999</v>
      </c>
      <c r="K35" s="6">
        <v>0.99399999999999999</v>
      </c>
      <c r="L35" s="6">
        <v>1.7999999999999999E-2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5.5E-2</v>
      </c>
      <c r="T35" s="6">
        <v>3.05</v>
      </c>
      <c r="U35" s="6">
        <v>3.0000000000000001E-3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1E-3</v>
      </c>
      <c r="AD35" s="6">
        <v>24.466000000000001</v>
      </c>
      <c r="AE35" s="6">
        <v>0</v>
      </c>
      <c r="AF35" s="6">
        <v>0.68799999999999994</v>
      </c>
      <c r="AG35" s="6">
        <v>0</v>
      </c>
      <c r="AH35" s="6">
        <v>40.731999999999999</v>
      </c>
      <c r="AI35" s="6">
        <v>18.006</v>
      </c>
      <c r="AJ35" s="6">
        <v>47.743000000000002</v>
      </c>
      <c r="AK35" s="6">
        <v>3.5000000000000003E-2</v>
      </c>
      <c r="AL35" s="6">
        <v>0</v>
      </c>
      <c r="AM35" s="6">
        <v>0.09</v>
      </c>
      <c r="AN35" s="6">
        <v>6.0000000000000001E-3</v>
      </c>
      <c r="AO35" s="6">
        <v>0</v>
      </c>
      <c r="AP35" s="6">
        <v>0</v>
      </c>
      <c r="AQ35" s="6">
        <v>36.408000000000001</v>
      </c>
      <c r="AR35" s="6">
        <v>10.526999999999999</v>
      </c>
      <c r="AS35" s="6">
        <v>0</v>
      </c>
      <c r="AT35" s="6">
        <v>0</v>
      </c>
      <c r="AU35" s="6">
        <v>0</v>
      </c>
      <c r="AV35" s="6">
        <v>7.5999999999999998E-2</v>
      </c>
      <c r="AW35" s="6">
        <v>66.781999999999996</v>
      </c>
      <c r="AX35" s="6">
        <v>61.494999999999997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0.47899999999999998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0.219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8.9149999999999991</v>
      </c>
      <c r="BV35" s="6">
        <v>0.156</v>
      </c>
      <c r="BW35" s="6">
        <v>0.29099999999999998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7">
        <f t="shared" si="0"/>
        <v>879.80099999999993</v>
      </c>
      <c r="CF35" s="7">
        <v>234.99600000000001</v>
      </c>
      <c r="CG35" s="7">
        <v>0</v>
      </c>
      <c r="CH35" s="7">
        <v>1.482</v>
      </c>
      <c r="CI35" s="77">
        <v>50.448</v>
      </c>
      <c r="CJ35" s="23">
        <f t="shared" si="1"/>
        <v>1166.7270000000001</v>
      </c>
      <c r="CK35" s="23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</row>
    <row r="36" spans="1:153" ht="14.5">
      <c r="A36" s="31" t="s">
        <v>71</v>
      </c>
      <c r="B36" s="44" t="s">
        <v>72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3.7999999999999999E-2</v>
      </c>
      <c r="L36" s="6">
        <v>2.1000000000000001E-2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70.298000000000002</v>
      </c>
      <c r="BB36" s="6">
        <v>31.620999999999999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7.0999999999999994E-2</v>
      </c>
      <c r="BV36" s="6">
        <v>0</v>
      </c>
      <c r="BW36" s="6">
        <v>4.8440000000000003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7">
        <f t="shared" si="0"/>
        <v>106.89299999999999</v>
      </c>
      <c r="CF36" s="7">
        <v>104.843</v>
      </c>
      <c r="CG36" s="7">
        <v>0</v>
      </c>
      <c r="CH36" s="7">
        <v>-1.986</v>
      </c>
      <c r="CI36" s="77">
        <v>7.3330000000000002</v>
      </c>
      <c r="CJ36" s="23">
        <f t="shared" si="1"/>
        <v>217.083</v>
      </c>
      <c r="CK36" s="23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</row>
    <row r="37" spans="1:153" ht="14.5">
      <c r="A37" s="31" t="s">
        <v>73</v>
      </c>
      <c r="B37" s="44" t="s">
        <v>74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57.43</v>
      </c>
      <c r="AX37" s="6">
        <v>29.896000000000001</v>
      </c>
      <c r="AY37" s="6">
        <v>9.8879999999999999</v>
      </c>
      <c r="AZ37" s="6">
        <v>0</v>
      </c>
      <c r="BA37" s="6">
        <v>0</v>
      </c>
      <c r="BB37" s="6">
        <v>0</v>
      </c>
      <c r="BC37" s="6">
        <v>1.335</v>
      </c>
      <c r="BD37" s="6">
        <v>10.023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0.19600000000000001</v>
      </c>
      <c r="BV37" s="6">
        <v>4.1000000000000002E-2</v>
      </c>
      <c r="BW37" s="6">
        <v>1E-3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7">
        <f t="shared" si="0"/>
        <v>108.80999999999999</v>
      </c>
      <c r="CF37" s="7">
        <v>183.53200000000001</v>
      </c>
      <c r="CG37" s="7">
        <v>0</v>
      </c>
      <c r="CH37" s="7">
        <v>-0.89300000000000002</v>
      </c>
      <c r="CI37" s="77">
        <v>30.373999999999999</v>
      </c>
      <c r="CJ37" s="23">
        <f t="shared" si="1"/>
        <v>321.82300000000004</v>
      </c>
      <c r="CK37" s="23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</row>
    <row r="38" spans="1:153" ht="14.5">
      <c r="A38" s="31" t="s">
        <v>75</v>
      </c>
      <c r="B38" s="44" t="s">
        <v>76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78.384</v>
      </c>
      <c r="AX38" s="6">
        <v>65.572000000000003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7">
        <f t="shared" si="0"/>
        <v>143.95600000000002</v>
      </c>
      <c r="CF38" s="7">
        <v>6.18</v>
      </c>
      <c r="CG38" s="7">
        <v>0</v>
      </c>
      <c r="CH38" s="7">
        <v>-1.8460000000000001</v>
      </c>
      <c r="CI38" s="77">
        <v>10.544</v>
      </c>
      <c r="CJ38" s="23">
        <f t="shared" si="1"/>
        <v>158.83400000000003</v>
      </c>
      <c r="CK38" s="23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</row>
    <row r="39" spans="1:153" ht="14.5">
      <c r="A39" s="31" t="s">
        <v>77</v>
      </c>
      <c r="B39" s="44" t="s">
        <v>78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19.122</v>
      </c>
      <c r="AI39" s="6">
        <v>0</v>
      </c>
      <c r="AJ39" s="6">
        <v>0.13400000000000001</v>
      </c>
      <c r="AK39" s="6">
        <v>48.945999999999998</v>
      </c>
      <c r="AL39" s="6">
        <v>4.2850000000000001</v>
      </c>
      <c r="AM39" s="6">
        <v>0</v>
      </c>
      <c r="AN39" s="6">
        <v>4.8029999999999999</v>
      </c>
      <c r="AO39" s="6">
        <v>0</v>
      </c>
      <c r="AP39" s="6">
        <v>0</v>
      </c>
      <c r="AQ39" s="6">
        <v>0</v>
      </c>
      <c r="AR39" s="6">
        <v>1.325</v>
      </c>
      <c r="AS39" s="6">
        <v>0</v>
      </c>
      <c r="AT39" s="6">
        <v>3.5219999999999998</v>
      </c>
      <c r="AU39" s="6">
        <v>0</v>
      </c>
      <c r="AV39" s="6">
        <v>0</v>
      </c>
      <c r="AW39" s="6">
        <v>148.35900000000001</v>
      </c>
      <c r="AX39" s="6">
        <v>117.846</v>
      </c>
      <c r="AY39" s="6">
        <v>0</v>
      </c>
      <c r="AZ39" s="6">
        <v>2E-3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1E-3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7">
        <f t="shared" si="0"/>
        <v>348.34499999999997</v>
      </c>
      <c r="CF39" s="7">
        <v>2.1000000000000001E-2</v>
      </c>
      <c r="CG39" s="7">
        <v>0</v>
      </c>
      <c r="CH39" s="7">
        <v>18.074000000000002</v>
      </c>
      <c r="CI39" s="77">
        <v>59.405999999999999</v>
      </c>
      <c r="CJ39" s="23">
        <f t="shared" si="1"/>
        <v>425.846</v>
      </c>
      <c r="CK39" s="23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</row>
    <row r="40" spans="1:153" ht="14.5">
      <c r="A40" s="31" t="s">
        <v>79</v>
      </c>
      <c r="B40" s="44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111.26300000000001</v>
      </c>
      <c r="AX40" s="6">
        <v>93.06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7">
        <f t="shared" si="0"/>
        <v>204.32300000000001</v>
      </c>
      <c r="CF40" s="7">
        <v>0.03</v>
      </c>
      <c r="CG40" s="7">
        <v>0</v>
      </c>
      <c r="CH40" s="7">
        <v>1.9490000000000001</v>
      </c>
      <c r="CI40" s="77">
        <v>7.5679999999999996</v>
      </c>
      <c r="CJ40" s="23">
        <f t="shared" si="1"/>
        <v>213.87000000000003</v>
      </c>
      <c r="CK40" s="23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</row>
    <row r="41" spans="1:153" ht="14.5">
      <c r="A41" s="31" t="s">
        <v>81</v>
      </c>
      <c r="B41" s="44" t="s">
        <v>82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0.122</v>
      </c>
      <c r="Q41" s="6">
        <v>0.188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0.47199999999999998</v>
      </c>
      <c r="AG41" s="6">
        <v>0</v>
      </c>
      <c r="AH41" s="6">
        <v>0</v>
      </c>
      <c r="AI41" s="6">
        <v>0</v>
      </c>
      <c r="AJ41" s="6">
        <v>1.9570000000000001</v>
      </c>
      <c r="AK41" s="6">
        <v>0</v>
      </c>
      <c r="AL41" s="6">
        <v>0</v>
      </c>
      <c r="AM41" s="6">
        <v>0</v>
      </c>
      <c r="AN41" s="6">
        <v>101.34699999999999</v>
      </c>
      <c r="AO41" s="6">
        <v>11.909000000000001</v>
      </c>
      <c r="AP41" s="6">
        <v>0</v>
      </c>
      <c r="AQ41" s="6">
        <v>9.2059999999999995</v>
      </c>
      <c r="AR41" s="6">
        <v>0</v>
      </c>
      <c r="AS41" s="6">
        <v>0.375</v>
      </c>
      <c r="AT41" s="6">
        <v>6.8179999999999996</v>
      </c>
      <c r="AU41" s="6">
        <v>0</v>
      </c>
      <c r="AV41" s="6">
        <v>0</v>
      </c>
      <c r="AW41" s="6">
        <v>293.21100000000001</v>
      </c>
      <c r="AX41" s="6">
        <v>245.24100000000001</v>
      </c>
      <c r="AY41" s="6">
        <v>0</v>
      </c>
      <c r="AZ41" s="6">
        <v>1E-3</v>
      </c>
      <c r="BA41" s="6">
        <v>50.915999999999997</v>
      </c>
      <c r="BB41" s="6">
        <v>2.3380000000000001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0.29199999999999998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0.151</v>
      </c>
      <c r="CA41" s="6">
        <v>0</v>
      </c>
      <c r="CB41" s="6">
        <v>0</v>
      </c>
      <c r="CC41" s="6">
        <v>0</v>
      </c>
      <c r="CD41" s="6">
        <v>0</v>
      </c>
      <c r="CE41" s="7">
        <f t="shared" si="0"/>
        <v>724.54399999999987</v>
      </c>
      <c r="CF41" s="7">
        <v>36.728000000000002</v>
      </c>
      <c r="CG41" s="7">
        <v>0</v>
      </c>
      <c r="CH41" s="7">
        <v>364.74200000000002</v>
      </c>
      <c r="CI41" s="77">
        <v>2124.7139999999999</v>
      </c>
      <c r="CJ41" s="23">
        <f t="shared" si="1"/>
        <v>3250.7280000000001</v>
      </c>
      <c r="CK41" s="23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</row>
    <row r="42" spans="1:153" ht="14.5">
      <c r="A42" s="31" t="s">
        <v>83</v>
      </c>
      <c r="B42" s="44" t="s">
        <v>84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2.0659999999999998</v>
      </c>
      <c r="AT42" s="6">
        <v>0</v>
      </c>
      <c r="AU42" s="6">
        <v>0</v>
      </c>
      <c r="AV42" s="6">
        <v>0</v>
      </c>
      <c r="AW42" s="6">
        <v>46.517000000000003</v>
      </c>
      <c r="AX42" s="6">
        <v>34.106999999999999</v>
      </c>
      <c r="AY42" s="6">
        <v>0</v>
      </c>
      <c r="AZ42" s="6">
        <v>6.9000000000000006E-2</v>
      </c>
      <c r="BA42" s="6">
        <v>15.54</v>
      </c>
      <c r="BB42" s="6">
        <v>4.9740000000000002</v>
      </c>
      <c r="BC42" s="6">
        <v>0</v>
      </c>
      <c r="BD42" s="6">
        <v>0</v>
      </c>
      <c r="BE42" s="6">
        <v>0</v>
      </c>
      <c r="BF42" s="6">
        <v>0</v>
      </c>
      <c r="BG42" s="6">
        <v>5.5E-2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41.06</v>
      </c>
      <c r="BV42" s="6">
        <v>4.8170000000000002</v>
      </c>
      <c r="BW42" s="6">
        <v>1.377</v>
      </c>
      <c r="BX42" s="6">
        <v>0</v>
      </c>
      <c r="BY42" s="6">
        <v>0</v>
      </c>
      <c r="BZ42" s="6">
        <v>0.152</v>
      </c>
      <c r="CA42" s="6">
        <v>0</v>
      </c>
      <c r="CB42" s="6">
        <v>0</v>
      </c>
      <c r="CC42" s="6">
        <v>0</v>
      </c>
      <c r="CD42" s="6">
        <v>0</v>
      </c>
      <c r="CE42" s="7">
        <f t="shared" si="0"/>
        <v>150.73400000000004</v>
      </c>
      <c r="CF42" s="7">
        <v>129.28200000000001</v>
      </c>
      <c r="CG42" s="7">
        <v>0</v>
      </c>
      <c r="CH42" s="7">
        <v>1057.4680000000001</v>
      </c>
      <c r="CI42" s="77">
        <v>63.866999999999997</v>
      </c>
      <c r="CJ42" s="23">
        <f t="shared" si="1"/>
        <v>1401.3510000000001</v>
      </c>
      <c r="CK42" s="23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</row>
    <row r="43" spans="1:153" ht="14.5">
      <c r="A43" s="31" t="s">
        <v>85</v>
      </c>
      <c r="B43" s="44" t="s">
        <v>86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71.150000000000006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52.488</v>
      </c>
      <c r="AQ43" s="6">
        <v>0</v>
      </c>
      <c r="AR43" s="6">
        <v>0</v>
      </c>
      <c r="AS43" s="6">
        <v>0</v>
      </c>
      <c r="AT43" s="6">
        <v>0</v>
      </c>
      <c r="AU43" s="6">
        <v>7.8819999999999997</v>
      </c>
      <c r="AV43" s="6">
        <v>0.97699999999999998</v>
      </c>
      <c r="AW43" s="6">
        <v>0</v>
      </c>
      <c r="AX43" s="6">
        <v>0</v>
      </c>
      <c r="AY43" s="6">
        <v>75.804000000000002</v>
      </c>
      <c r="AZ43" s="6">
        <v>5.5910000000000002</v>
      </c>
      <c r="BA43" s="6">
        <v>1.179</v>
      </c>
      <c r="BB43" s="6">
        <v>0</v>
      </c>
      <c r="BC43" s="6">
        <v>56.868000000000002</v>
      </c>
      <c r="BD43" s="6">
        <v>0</v>
      </c>
      <c r="BE43" s="6">
        <v>0</v>
      </c>
      <c r="BF43" s="6">
        <v>0.83599999999999997</v>
      </c>
      <c r="BG43" s="6">
        <v>0</v>
      </c>
      <c r="BH43" s="6">
        <v>0</v>
      </c>
      <c r="BI43" s="6">
        <v>0</v>
      </c>
      <c r="BJ43" s="6">
        <v>0</v>
      </c>
      <c r="BK43" s="6">
        <v>1.5109999999999999</v>
      </c>
      <c r="BL43" s="6">
        <v>0</v>
      </c>
      <c r="BM43" s="6">
        <v>10.308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12.747</v>
      </c>
      <c r="BT43" s="6">
        <v>0</v>
      </c>
      <c r="BU43" s="6">
        <v>0.67500000000000004</v>
      </c>
      <c r="BV43" s="6">
        <v>3.0000000000000001E-3</v>
      </c>
      <c r="BW43" s="6">
        <v>0.156</v>
      </c>
      <c r="BX43" s="6">
        <v>1.7000000000000001E-2</v>
      </c>
      <c r="BY43" s="6">
        <v>0</v>
      </c>
      <c r="BZ43" s="6">
        <v>0.44500000000000001</v>
      </c>
      <c r="CA43" s="6">
        <v>1.177</v>
      </c>
      <c r="CB43" s="6">
        <v>0</v>
      </c>
      <c r="CC43" s="6">
        <v>0</v>
      </c>
      <c r="CD43" s="6">
        <v>0</v>
      </c>
      <c r="CE43" s="7">
        <f t="shared" si="0"/>
        <v>299.81400000000008</v>
      </c>
      <c r="CF43" s="7">
        <v>215.655</v>
      </c>
      <c r="CG43" s="7">
        <v>0</v>
      </c>
      <c r="CH43" s="7">
        <v>533.25</v>
      </c>
      <c r="CI43" s="77">
        <v>22.675000000000001</v>
      </c>
      <c r="CJ43" s="23">
        <f t="shared" si="1"/>
        <v>1071.394</v>
      </c>
      <c r="CK43" s="23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</row>
    <row r="44" spans="1:153" ht="14.5">
      <c r="A44" s="31" t="s">
        <v>87</v>
      </c>
      <c r="B44" s="44" t="s">
        <v>88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2.6779999999999999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0.73099999999999998</v>
      </c>
      <c r="BV44" s="6">
        <v>8.5190000000000001</v>
      </c>
      <c r="BW44" s="6">
        <v>1.2999999999999999E-2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7">
        <f t="shared" si="0"/>
        <v>11.941000000000001</v>
      </c>
      <c r="CF44" s="7">
        <v>158.36099999999999</v>
      </c>
      <c r="CG44" s="7">
        <v>0</v>
      </c>
      <c r="CH44" s="7">
        <v>42.334000000000003</v>
      </c>
      <c r="CI44" s="77">
        <v>13.05</v>
      </c>
      <c r="CJ44" s="23">
        <f t="shared" si="1"/>
        <v>225.68600000000001</v>
      </c>
      <c r="CK44" s="23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</row>
    <row r="45" spans="1:153" ht="14.5">
      <c r="A45" s="31" t="s">
        <v>89</v>
      </c>
      <c r="B45" s="44" t="s">
        <v>90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19.745000000000001</v>
      </c>
      <c r="Q45" s="6">
        <v>0</v>
      </c>
      <c r="R45" s="6">
        <v>5.2050000000000001</v>
      </c>
      <c r="S45" s="6">
        <v>0</v>
      </c>
      <c r="T45" s="6">
        <v>0.441</v>
      </c>
      <c r="U45" s="6">
        <v>0</v>
      </c>
      <c r="V45" s="6">
        <v>0</v>
      </c>
      <c r="W45" s="6">
        <v>0</v>
      </c>
      <c r="X45" s="6">
        <v>3.488</v>
      </c>
      <c r="Y45" s="6">
        <v>4.1710000000000003</v>
      </c>
      <c r="Z45" s="6">
        <v>3.956</v>
      </c>
      <c r="AA45" s="6">
        <v>0</v>
      </c>
      <c r="AB45" s="6">
        <v>3.03</v>
      </c>
      <c r="AC45" s="6">
        <v>0</v>
      </c>
      <c r="AD45" s="6">
        <v>4.8440000000000003</v>
      </c>
      <c r="AE45" s="6">
        <v>57.774999999999999</v>
      </c>
      <c r="AF45" s="6">
        <v>6.4749999999999996</v>
      </c>
      <c r="AG45" s="6">
        <v>0</v>
      </c>
      <c r="AH45" s="6">
        <v>45.884999999999998</v>
      </c>
      <c r="AI45" s="6">
        <v>0</v>
      </c>
      <c r="AJ45" s="6">
        <v>0</v>
      </c>
      <c r="AK45" s="6">
        <v>0</v>
      </c>
      <c r="AL45" s="6">
        <v>14.601000000000001</v>
      </c>
      <c r="AM45" s="6">
        <v>0</v>
      </c>
      <c r="AN45" s="6">
        <v>6.9089999999999998</v>
      </c>
      <c r="AO45" s="6">
        <v>7.819</v>
      </c>
      <c r="AP45" s="6">
        <v>1.248</v>
      </c>
      <c r="AQ45" s="6">
        <v>16.885999999999999</v>
      </c>
      <c r="AR45" s="6">
        <v>11.997999999999999</v>
      </c>
      <c r="AS45" s="6">
        <v>0</v>
      </c>
      <c r="AT45" s="6">
        <v>27.459</v>
      </c>
      <c r="AU45" s="6">
        <v>7.1029999999999998</v>
      </c>
      <c r="AV45" s="6">
        <v>3.2389999999999999</v>
      </c>
      <c r="AW45" s="6">
        <v>29.515000000000001</v>
      </c>
      <c r="AX45" s="6">
        <v>40.734999999999999</v>
      </c>
      <c r="AY45" s="6">
        <v>0</v>
      </c>
      <c r="AZ45" s="6">
        <v>3.9E-2</v>
      </c>
      <c r="BA45" s="6">
        <v>0</v>
      </c>
      <c r="BB45" s="6">
        <v>0</v>
      </c>
      <c r="BC45" s="6">
        <v>0</v>
      </c>
      <c r="BD45" s="6">
        <v>10.500999999999999</v>
      </c>
      <c r="BE45" s="6">
        <v>0</v>
      </c>
      <c r="BF45" s="6">
        <v>0.33500000000000002</v>
      </c>
      <c r="BG45" s="6">
        <v>0</v>
      </c>
      <c r="BH45" s="6">
        <v>0</v>
      </c>
      <c r="BI45" s="6">
        <v>6.9219999999999997</v>
      </c>
      <c r="BJ45" s="6">
        <v>4.7649999999999997</v>
      </c>
      <c r="BK45" s="6">
        <v>0</v>
      </c>
      <c r="BL45" s="6">
        <v>2.7650000000000001</v>
      </c>
      <c r="BM45" s="6">
        <v>0</v>
      </c>
      <c r="BN45" s="6">
        <v>0</v>
      </c>
      <c r="BO45" s="6">
        <v>0.70399999999999996</v>
      </c>
      <c r="BP45" s="6">
        <v>0</v>
      </c>
      <c r="BQ45" s="6">
        <v>8.4030000000000005</v>
      </c>
      <c r="BR45" s="6">
        <v>0</v>
      </c>
      <c r="BS45" s="6">
        <v>1.556</v>
      </c>
      <c r="BT45" s="6">
        <v>21.818000000000001</v>
      </c>
      <c r="BU45" s="6">
        <v>0.59499999999999997</v>
      </c>
      <c r="BV45" s="6">
        <v>0.70599999999999996</v>
      </c>
      <c r="BW45" s="6">
        <v>91.370999999999995</v>
      </c>
      <c r="BX45" s="6">
        <v>2.4630000000000001</v>
      </c>
      <c r="BY45" s="6">
        <v>0</v>
      </c>
      <c r="BZ45" s="6">
        <v>0</v>
      </c>
      <c r="CA45" s="6">
        <v>6.9669999999999996</v>
      </c>
      <c r="CB45" s="6">
        <v>0</v>
      </c>
      <c r="CC45" s="6">
        <v>0</v>
      </c>
      <c r="CD45" s="6">
        <v>0</v>
      </c>
      <c r="CE45" s="7">
        <f t="shared" si="0"/>
        <v>482.43699999999995</v>
      </c>
      <c r="CF45" s="7">
        <v>115.369</v>
      </c>
      <c r="CG45" s="7">
        <v>0</v>
      </c>
      <c r="CH45" s="7">
        <v>122.277</v>
      </c>
      <c r="CI45" s="77">
        <v>29.956</v>
      </c>
      <c r="CJ45" s="23">
        <f t="shared" si="1"/>
        <v>750.03899999999999</v>
      </c>
      <c r="CK45" s="23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</row>
    <row r="46" spans="1:153" ht="14.5">
      <c r="A46" s="31" t="s">
        <v>91</v>
      </c>
      <c r="B46" s="44" t="s">
        <v>92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8.2000000000000003E-2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0.28899999999999998</v>
      </c>
      <c r="AM46" s="6">
        <v>0</v>
      </c>
      <c r="AN46" s="6">
        <v>2E-3</v>
      </c>
      <c r="AO46" s="6">
        <v>0</v>
      </c>
      <c r="AP46" s="6">
        <v>0</v>
      </c>
      <c r="AQ46" s="6">
        <v>0</v>
      </c>
      <c r="AR46" s="6">
        <v>16.898</v>
      </c>
      <c r="AS46" s="6">
        <v>0</v>
      </c>
      <c r="AT46" s="6">
        <v>0</v>
      </c>
      <c r="AU46" s="6">
        <v>5.12</v>
      </c>
      <c r="AV46" s="6">
        <v>4.6079999999999997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0.36799999999999999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0.1</v>
      </c>
      <c r="BP46" s="6">
        <v>0</v>
      </c>
      <c r="BQ46" s="6">
        <v>0</v>
      </c>
      <c r="BR46" s="6">
        <v>0</v>
      </c>
      <c r="BS46" s="6">
        <v>0</v>
      </c>
      <c r="BT46" s="6">
        <v>2.141</v>
      </c>
      <c r="BU46" s="6">
        <v>0</v>
      </c>
      <c r="BV46" s="6">
        <v>1E-3</v>
      </c>
      <c r="BW46" s="6">
        <v>6.0000000000000001E-3</v>
      </c>
      <c r="BX46" s="6">
        <v>7.5110000000000001</v>
      </c>
      <c r="BY46" s="6">
        <v>0</v>
      </c>
      <c r="BZ46" s="6">
        <v>0.94699999999999995</v>
      </c>
      <c r="CA46" s="6">
        <v>5.4080000000000004</v>
      </c>
      <c r="CB46" s="6">
        <v>0</v>
      </c>
      <c r="CC46" s="6">
        <v>0</v>
      </c>
      <c r="CD46" s="6">
        <v>0</v>
      </c>
      <c r="CE46" s="7">
        <f t="shared" si="0"/>
        <v>43.481000000000009</v>
      </c>
      <c r="CF46" s="7">
        <v>0</v>
      </c>
      <c r="CG46" s="7">
        <v>0</v>
      </c>
      <c r="CH46" s="7">
        <v>0</v>
      </c>
      <c r="CI46" s="77">
        <v>0.436</v>
      </c>
      <c r="CJ46" s="23">
        <f t="shared" si="1"/>
        <v>43.917000000000009</v>
      </c>
      <c r="CK46" s="23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</row>
    <row r="47" spans="1:153" ht="14.5">
      <c r="A47" s="31" t="s">
        <v>93</v>
      </c>
      <c r="B47" s="44" t="s">
        <v>94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0.4</v>
      </c>
      <c r="K47" s="6">
        <v>0.63200000000000001</v>
      </c>
      <c r="L47" s="6">
        <v>0</v>
      </c>
      <c r="M47" s="6">
        <v>0</v>
      </c>
      <c r="N47" s="6">
        <v>0</v>
      </c>
      <c r="O47" s="6">
        <v>0</v>
      </c>
      <c r="P47" s="6">
        <v>16.37</v>
      </c>
      <c r="Q47" s="6">
        <v>0</v>
      </c>
      <c r="R47" s="6">
        <v>8.8000000000000007</v>
      </c>
      <c r="S47" s="6">
        <v>0.70499999999999996</v>
      </c>
      <c r="T47" s="6">
        <v>3.4000000000000002E-2</v>
      </c>
      <c r="U47" s="6">
        <v>7.1769999999999996</v>
      </c>
      <c r="V47" s="6">
        <v>0.27800000000000002</v>
      </c>
      <c r="W47" s="6">
        <v>0</v>
      </c>
      <c r="X47" s="6">
        <v>0.114</v>
      </c>
      <c r="Y47" s="6">
        <v>0.91100000000000003</v>
      </c>
      <c r="Z47" s="6">
        <v>0</v>
      </c>
      <c r="AA47" s="6">
        <v>21.437999999999999</v>
      </c>
      <c r="AB47" s="6">
        <v>0.39</v>
      </c>
      <c r="AC47" s="6">
        <v>1.7000000000000001E-2</v>
      </c>
      <c r="AD47" s="6">
        <v>0</v>
      </c>
      <c r="AE47" s="6">
        <v>2.1549999999999998</v>
      </c>
      <c r="AF47" s="6">
        <v>0.14299999999999999</v>
      </c>
      <c r="AG47" s="6">
        <v>0</v>
      </c>
      <c r="AH47" s="6">
        <v>0.19400000000000001</v>
      </c>
      <c r="AI47" s="6">
        <v>0</v>
      </c>
      <c r="AJ47" s="6">
        <v>0.497</v>
      </c>
      <c r="AK47" s="6">
        <v>0</v>
      </c>
      <c r="AL47" s="6">
        <v>20.966999999999999</v>
      </c>
      <c r="AM47" s="6">
        <v>5.5010000000000003</v>
      </c>
      <c r="AN47" s="6">
        <v>8.0000000000000002E-3</v>
      </c>
      <c r="AO47" s="6">
        <v>0.19800000000000001</v>
      </c>
      <c r="AP47" s="6">
        <v>3.214</v>
      </c>
      <c r="AQ47" s="6">
        <v>0</v>
      </c>
      <c r="AR47" s="6">
        <v>1.179</v>
      </c>
      <c r="AS47" s="6">
        <v>0.26800000000000002</v>
      </c>
      <c r="AT47" s="6">
        <v>0.28299999999999997</v>
      </c>
      <c r="AU47" s="6">
        <v>0</v>
      </c>
      <c r="AV47" s="6">
        <v>0.03</v>
      </c>
      <c r="AW47" s="6">
        <v>25.756</v>
      </c>
      <c r="AX47" s="6">
        <v>10.315</v>
      </c>
      <c r="AY47" s="6">
        <v>4.7510000000000003</v>
      </c>
      <c r="AZ47" s="6">
        <v>0</v>
      </c>
      <c r="BA47" s="6">
        <v>0</v>
      </c>
      <c r="BB47" s="6">
        <v>0</v>
      </c>
      <c r="BC47" s="6">
        <v>0</v>
      </c>
      <c r="BD47" s="6">
        <v>0.94699999999999995</v>
      </c>
      <c r="BE47" s="6">
        <v>0</v>
      </c>
      <c r="BF47" s="6">
        <v>0.13300000000000001</v>
      </c>
      <c r="BG47" s="6">
        <v>5.0419999999999998</v>
      </c>
      <c r="BH47" s="6">
        <v>35.871000000000002</v>
      </c>
      <c r="BI47" s="6">
        <v>2.1579999999999999</v>
      </c>
      <c r="BJ47" s="6">
        <v>4.1470000000000002</v>
      </c>
      <c r="BK47" s="6">
        <v>5.1760000000000002</v>
      </c>
      <c r="BL47" s="6">
        <v>6.0000000000000001E-3</v>
      </c>
      <c r="BM47" s="6">
        <v>0</v>
      </c>
      <c r="BN47" s="6">
        <v>0</v>
      </c>
      <c r="BO47" s="6">
        <v>0.63100000000000001</v>
      </c>
      <c r="BP47" s="6">
        <v>2.0739999999999998</v>
      </c>
      <c r="BQ47" s="6">
        <v>0</v>
      </c>
      <c r="BR47" s="6">
        <v>2.605</v>
      </c>
      <c r="BS47" s="6">
        <v>0</v>
      </c>
      <c r="BT47" s="6">
        <v>2.3090000000000002</v>
      </c>
      <c r="BU47" s="6">
        <v>9.8320000000000007</v>
      </c>
      <c r="BV47" s="6">
        <v>9.7370000000000001</v>
      </c>
      <c r="BW47" s="6">
        <v>5.5730000000000004</v>
      </c>
      <c r="BX47" s="6">
        <v>2.004</v>
      </c>
      <c r="BY47" s="6">
        <v>4.5209999999999999</v>
      </c>
      <c r="BZ47" s="6">
        <v>13.617000000000001</v>
      </c>
      <c r="CA47" s="6">
        <v>2.7330000000000001</v>
      </c>
      <c r="CB47" s="6">
        <v>0</v>
      </c>
      <c r="CC47" s="6">
        <v>0</v>
      </c>
      <c r="CD47" s="6">
        <v>0</v>
      </c>
      <c r="CE47" s="7">
        <f t="shared" si="0"/>
        <v>241.84099999999995</v>
      </c>
      <c r="CF47" s="7">
        <v>30.731999999999999</v>
      </c>
      <c r="CG47" s="7">
        <v>0</v>
      </c>
      <c r="CH47" s="7">
        <v>0</v>
      </c>
      <c r="CI47" s="77">
        <v>1.696</v>
      </c>
      <c r="CJ47" s="23">
        <f t="shared" si="1"/>
        <v>274.26900000000001</v>
      </c>
      <c r="CK47" s="23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</row>
    <row r="48" spans="1:153" ht="14.5">
      <c r="A48" s="31" t="s">
        <v>95</v>
      </c>
      <c r="B48" s="44" t="s">
        <v>96</v>
      </c>
      <c r="C48" s="6">
        <v>0.36799999999999999</v>
      </c>
      <c r="D48" s="6">
        <v>0</v>
      </c>
      <c r="E48" s="6">
        <v>0.89900000000000002</v>
      </c>
      <c r="F48" s="6">
        <v>0.252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1.004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4.2999999999999997E-2</v>
      </c>
      <c r="W48" s="6">
        <v>6.9000000000000006E-2</v>
      </c>
      <c r="X48" s="6">
        <v>0</v>
      </c>
      <c r="Y48" s="6">
        <v>0</v>
      </c>
      <c r="Z48" s="6">
        <v>3.2000000000000001E-2</v>
      </c>
      <c r="AA48" s="6">
        <v>4.0339999999999998</v>
      </c>
      <c r="AB48" s="6">
        <v>3.1E-2</v>
      </c>
      <c r="AC48" s="6">
        <v>0</v>
      </c>
      <c r="AD48" s="6">
        <v>0.186</v>
      </c>
      <c r="AE48" s="6">
        <v>0.34300000000000003</v>
      </c>
      <c r="AF48" s="6">
        <v>0</v>
      </c>
      <c r="AG48" s="6">
        <v>0</v>
      </c>
      <c r="AH48" s="6">
        <v>1.298</v>
      </c>
      <c r="AI48" s="6">
        <v>0.125</v>
      </c>
      <c r="AJ48" s="6">
        <v>0</v>
      </c>
      <c r="AK48" s="6">
        <v>0</v>
      </c>
      <c r="AL48" s="6">
        <v>1.554</v>
      </c>
      <c r="AM48" s="6">
        <v>0</v>
      </c>
      <c r="AN48" s="6">
        <v>0.74199999999999999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0.47799999999999998</v>
      </c>
      <c r="AU48" s="6">
        <v>1.2909999999999999</v>
      </c>
      <c r="AV48" s="6">
        <v>0</v>
      </c>
      <c r="AW48" s="6">
        <v>0.68500000000000005</v>
      </c>
      <c r="AX48" s="6">
        <v>0.57299999999999995</v>
      </c>
      <c r="AY48" s="6">
        <v>5.3090000000000002</v>
      </c>
      <c r="AZ48" s="6">
        <v>3.0000000000000001E-3</v>
      </c>
      <c r="BA48" s="6">
        <v>0.41699999999999998</v>
      </c>
      <c r="BB48" s="6">
        <v>0.47199999999999998</v>
      </c>
      <c r="BC48" s="6">
        <v>7.3999999999999996E-2</v>
      </c>
      <c r="BD48" s="6">
        <v>0</v>
      </c>
      <c r="BE48" s="6">
        <v>0</v>
      </c>
      <c r="BF48" s="6">
        <v>9.8000000000000004E-2</v>
      </c>
      <c r="BG48" s="6">
        <v>3.3149999999999999</v>
      </c>
      <c r="BH48" s="6">
        <v>0</v>
      </c>
      <c r="BI48" s="6">
        <v>0.34899999999999998</v>
      </c>
      <c r="BJ48" s="6">
        <v>7.2279999999999998</v>
      </c>
      <c r="BK48" s="6">
        <v>4.3</v>
      </c>
      <c r="BL48" s="6">
        <v>9.0999999999999998E-2</v>
      </c>
      <c r="BM48" s="6">
        <v>0</v>
      </c>
      <c r="BN48" s="6">
        <v>0</v>
      </c>
      <c r="BO48" s="6">
        <v>2.8839999999999999</v>
      </c>
      <c r="BP48" s="6">
        <v>0</v>
      </c>
      <c r="BQ48" s="6">
        <v>0</v>
      </c>
      <c r="BR48" s="6">
        <v>0.30299999999999999</v>
      </c>
      <c r="BS48" s="6">
        <v>0</v>
      </c>
      <c r="BT48" s="6">
        <v>1.7170000000000001</v>
      </c>
      <c r="BU48" s="6">
        <v>12.592000000000001</v>
      </c>
      <c r="BV48" s="6">
        <v>9.11</v>
      </c>
      <c r="BW48" s="6">
        <v>2.774</v>
      </c>
      <c r="BX48" s="6">
        <v>4.7030000000000003</v>
      </c>
      <c r="BY48" s="6">
        <v>0</v>
      </c>
      <c r="BZ48" s="6">
        <v>0.40400000000000003</v>
      </c>
      <c r="CA48" s="6">
        <v>0</v>
      </c>
      <c r="CB48" s="6">
        <v>0</v>
      </c>
      <c r="CC48" s="6">
        <v>0</v>
      </c>
      <c r="CD48" s="6">
        <v>0</v>
      </c>
      <c r="CE48" s="7">
        <f t="shared" si="0"/>
        <v>70.149999999999991</v>
      </c>
      <c r="CF48" s="7">
        <v>45.542000000000002</v>
      </c>
      <c r="CG48" s="7">
        <v>0</v>
      </c>
      <c r="CH48" s="7">
        <v>0</v>
      </c>
      <c r="CI48" s="77">
        <v>0</v>
      </c>
      <c r="CJ48" s="23">
        <f t="shared" si="1"/>
        <v>115.69199999999999</v>
      </c>
      <c r="CK48" s="23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</row>
    <row r="49" spans="1:153" ht="14.5">
      <c r="A49" s="31" t="s">
        <v>97</v>
      </c>
      <c r="B49" s="44" t="s">
        <v>98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0.312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0.32200000000000001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0.11799999999999999</v>
      </c>
      <c r="AX49" s="6">
        <v>9.9000000000000005E-2</v>
      </c>
      <c r="AY49" s="6">
        <v>0</v>
      </c>
      <c r="AZ49" s="6">
        <v>0</v>
      </c>
      <c r="BA49" s="6">
        <v>0.05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0.49099999999999999</v>
      </c>
      <c r="BH49" s="6">
        <v>0</v>
      </c>
      <c r="BI49" s="6">
        <v>0</v>
      </c>
      <c r="BJ49" s="6">
        <v>0</v>
      </c>
      <c r="BK49" s="6">
        <v>11.627000000000001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1.4E-2</v>
      </c>
      <c r="BW49" s="6">
        <v>2.1000000000000001E-2</v>
      </c>
      <c r="BX49" s="6">
        <v>1.0999999999999999E-2</v>
      </c>
      <c r="BY49" s="6">
        <v>0</v>
      </c>
      <c r="BZ49" s="6">
        <v>0</v>
      </c>
      <c r="CA49" s="6">
        <v>1.4019999999999999</v>
      </c>
      <c r="CB49" s="6">
        <v>0</v>
      </c>
      <c r="CC49" s="6">
        <v>0</v>
      </c>
      <c r="CD49" s="6">
        <v>0</v>
      </c>
      <c r="CE49" s="7">
        <f t="shared" si="0"/>
        <v>14.466999999999999</v>
      </c>
      <c r="CF49" s="7">
        <v>44.563000000000002</v>
      </c>
      <c r="CG49" s="7">
        <v>0</v>
      </c>
      <c r="CH49" s="7">
        <v>0</v>
      </c>
      <c r="CI49" s="77">
        <v>0</v>
      </c>
      <c r="CJ49" s="23">
        <f t="shared" si="1"/>
        <v>59.03</v>
      </c>
      <c r="CK49" s="23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</row>
    <row r="50" spans="1:153" ht="14.5">
      <c r="A50" s="31" t="s">
        <v>99</v>
      </c>
      <c r="B50" s="44" t="s">
        <v>100</v>
      </c>
      <c r="C50" s="6">
        <v>6.2830000000000004</v>
      </c>
      <c r="D50" s="6">
        <v>0</v>
      </c>
      <c r="E50" s="6">
        <v>11.734</v>
      </c>
      <c r="F50" s="6">
        <v>18.544</v>
      </c>
      <c r="G50" s="6">
        <v>8.0459999999999994</v>
      </c>
      <c r="H50" s="6">
        <v>0</v>
      </c>
      <c r="I50" s="6">
        <v>0</v>
      </c>
      <c r="J50" s="6">
        <v>9.2449999999999992</v>
      </c>
      <c r="K50" s="6">
        <v>8.2460000000000004</v>
      </c>
      <c r="L50" s="6">
        <v>0</v>
      </c>
      <c r="M50" s="6">
        <v>0</v>
      </c>
      <c r="N50" s="6">
        <v>0</v>
      </c>
      <c r="O50" s="6">
        <v>0</v>
      </c>
      <c r="P50" s="6">
        <v>26.297000000000001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6.8000000000000005E-2</v>
      </c>
      <c r="W50" s="6">
        <v>0</v>
      </c>
      <c r="X50" s="6">
        <v>0</v>
      </c>
      <c r="Y50" s="6">
        <v>0</v>
      </c>
      <c r="Z50" s="6">
        <v>1.042</v>
      </c>
      <c r="AA50" s="6">
        <v>0</v>
      </c>
      <c r="AB50" s="6">
        <v>0.26700000000000002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1.024</v>
      </c>
      <c r="AI50" s="6">
        <v>0</v>
      </c>
      <c r="AJ50" s="6">
        <v>0.39100000000000001</v>
      </c>
      <c r="AK50" s="6">
        <v>0</v>
      </c>
      <c r="AL50" s="6">
        <v>0</v>
      </c>
      <c r="AM50" s="6">
        <v>0</v>
      </c>
      <c r="AN50" s="6">
        <v>12.752000000000001</v>
      </c>
      <c r="AO50" s="6">
        <v>0.39100000000000001</v>
      </c>
      <c r="AP50" s="6">
        <v>0</v>
      </c>
      <c r="AQ50" s="6">
        <v>0</v>
      </c>
      <c r="AR50" s="6">
        <v>13.711</v>
      </c>
      <c r="AS50" s="6">
        <v>0</v>
      </c>
      <c r="AT50" s="6">
        <v>35.588999999999999</v>
      </c>
      <c r="AU50" s="6">
        <v>1.0349999999999999</v>
      </c>
      <c r="AV50" s="6">
        <v>0.22800000000000001</v>
      </c>
      <c r="AW50" s="6">
        <v>1157.1479999999999</v>
      </c>
      <c r="AX50" s="6">
        <v>660.47400000000005</v>
      </c>
      <c r="AY50" s="6">
        <v>0</v>
      </c>
      <c r="AZ50" s="6">
        <v>4.7E-2</v>
      </c>
      <c r="BA50" s="6">
        <v>0</v>
      </c>
      <c r="BB50" s="6">
        <v>0</v>
      </c>
      <c r="BC50" s="6">
        <v>3.427</v>
      </c>
      <c r="BD50" s="6">
        <v>0</v>
      </c>
      <c r="BE50" s="6">
        <v>0</v>
      </c>
      <c r="BF50" s="6">
        <v>1.1519999999999999</v>
      </c>
      <c r="BG50" s="6">
        <v>34.451000000000001</v>
      </c>
      <c r="BH50" s="6">
        <v>0</v>
      </c>
      <c r="BI50" s="6">
        <v>10.741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24.972999999999999</v>
      </c>
      <c r="BP50" s="6">
        <v>0</v>
      </c>
      <c r="BQ50" s="6">
        <v>0</v>
      </c>
      <c r="BR50" s="6">
        <v>0</v>
      </c>
      <c r="BS50" s="6">
        <v>8.2449999999999992</v>
      </c>
      <c r="BT50" s="6">
        <v>79.843999999999994</v>
      </c>
      <c r="BU50" s="6">
        <v>638.05600000000004</v>
      </c>
      <c r="BV50" s="6">
        <v>0.14000000000000001</v>
      </c>
      <c r="BW50" s="6">
        <v>0.61699999999999999</v>
      </c>
      <c r="BX50" s="6">
        <v>0.21299999999999999</v>
      </c>
      <c r="BY50" s="6">
        <v>0</v>
      </c>
      <c r="BZ50" s="6">
        <v>14.122</v>
      </c>
      <c r="CA50" s="6">
        <v>24.605</v>
      </c>
      <c r="CB50" s="6">
        <v>0</v>
      </c>
      <c r="CC50" s="6">
        <v>0</v>
      </c>
      <c r="CD50" s="6">
        <v>0</v>
      </c>
      <c r="CE50" s="7">
        <f t="shared" si="0"/>
        <v>2813.1480000000001</v>
      </c>
      <c r="CF50" s="7">
        <v>58.118000000000002</v>
      </c>
      <c r="CG50" s="7">
        <v>0</v>
      </c>
      <c r="CH50" s="7">
        <v>4443.3549999999996</v>
      </c>
      <c r="CI50" s="77">
        <v>6.1120000000000001</v>
      </c>
      <c r="CJ50" s="23">
        <f t="shared" si="1"/>
        <v>7320.7329999999993</v>
      </c>
      <c r="CK50" s="23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</row>
    <row r="51" spans="1:153" ht="14.5">
      <c r="A51" s="31" t="s">
        <v>101</v>
      </c>
      <c r="B51" s="44" t="s">
        <v>102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7">
        <f t="shared" si="0"/>
        <v>0</v>
      </c>
      <c r="CF51" s="7">
        <v>0</v>
      </c>
      <c r="CG51" s="7">
        <v>0</v>
      </c>
      <c r="CH51" s="7">
        <v>0</v>
      </c>
      <c r="CI51" s="77">
        <v>0</v>
      </c>
      <c r="CJ51" s="23">
        <f t="shared" si="1"/>
        <v>0</v>
      </c>
      <c r="CK51" s="23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</row>
    <row r="52" spans="1:153" ht="14.5">
      <c r="A52" s="31" t="s">
        <v>103</v>
      </c>
      <c r="B52" s="44" t="s">
        <v>104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1.9650000000000001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3.4000000000000002E-2</v>
      </c>
      <c r="X52" s="6">
        <v>0</v>
      </c>
      <c r="Y52" s="6">
        <v>0.245</v>
      </c>
      <c r="Z52" s="6">
        <v>1.085</v>
      </c>
      <c r="AA52" s="6">
        <v>0</v>
      </c>
      <c r="AB52" s="6">
        <v>0</v>
      </c>
      <c r="AC52" s="6">
        <v>0</v>
      </c>
      <c r="AD52" s="6">
        <v>1.173</v>
      </c>
      <c r="AE52" s="6">
        <v>0.33600000000000002</v>
      </c>
      <c r="AF52" s="6">
        <v>0</v>
      </c>
      <c r="AG52" s="6">
        <v>0</v>
      </c>
      <c r="AH52" s="6">
        <v>9.8949999999999996</v>
      </c>
      <c r="AI52" s="6">
        <v>0</v>
      </c>
      <c r="AJ52" s="6">
        <v>0.83599999999999997</v>
      </c>
      <c r="AK52" s="6">
        <v>0</v>
      </c>
      <c r="AL52" s="6">
        <v>5.6000000000000001E-2</v>
      </c>
      <c r="AM52" s="6">
        <v>0</v>
      </c>
      <c r="AN52" s="6">
        <v>0.96699999999999997</v>
      </c>
      <c r="AO52" s="6">
        <v>4.9770000000000003</v>
      </c>
      <c r="AP52" s="6">
        <v>0</v>
      </c>
      <c r="AQ52" s="6">
        <v>0.53300000000000003</v>
      </c>
      <c r="AR52" s="6">
        <v>5.2999999999999999E-2</v>
      </c>
      <c r="AS52" s="6">
        <v>0</v>
      </c>
      <c r="AT52" s="6">
        <v>0</v>
      </c>
      <c r="AU52" s="6">
        <v>5.0549999999999997</v>
      </c>
      <c r="AV52" s="6">
        <v>0.8</v>
      </c>
      <c r="AW52" s="6">
        <v>8.0370000000000008</v>
      </c>
      <c r="AX52" s="6">
        <v>6.7160000000000002</v>
      </c>
      <c r="AY52" s="6">
        <v>6.6120000000000001</v>
      </c>
      <c r="AZ52" s="6">
        <v>4.9000000000000002E-2</v>
      </c>
      <c r="BA52" s="6">
        <v>6.8209999999999997</v>
      </c>
      <c r="BB52" s="6">
        <v>1.893</v>
      </c>
      <c r="BC52" s="6">
        <v>44.442999999999998</v>
      </c>
      <c r="BD52" s="6">
        <v>6.8339999999999996</v>
      </c>
      <c r="BE52" s="6">
        <v>2.097</v>
      </c>
      <c r="BF52" s="6">
        <v>1.1479999999999999</v>
      </c>
      <c r="BG52" s="6">
        <v>3.722</v>
      </c>
      <c r="BH52" s="6">
        <v>0</v>
      </c>
      <c r="BI52" s="6">
        <v>1.2729999999999999</v>
      </c>
      <c r="BJ52" s="6">
        <v>0</v>
      </c>
      <c r="BK52" s="6">
        <v>1.4019999999999999</v>
      </c>
      <c r="BL52" s="6">
        <v>0.224</v>
      </c>
      <c r="BM52" s="6">
        <v>0</v>
      </c>
      <c r="BN52" s="6">
        <v>0</v>
      </c>
      <c r="BO52" s="6">
        <v>0.253</v>
      </c>
      <c r="BP52" s="6">
        <v>1.2390000000000001</v>
      </c>
      <c r="BQ52" s="6">
        <v>0</v>
      </c>
      <c r="BR52" s="6">
        <v>2.8780000000000001</v>
      </c>
      <c r="BS52" s="6">
        <v>12.396000000000001</v>
      </c>
      <c r="BT52" s="6">
        <v>6.4539999999999997</v>
      </c>
      <c r="BU52" s="6">
        <v>22.626999999999999</v>
      </c>
      <c r="BV52" s="6">
        <v>1.7689999999999999</v>
      </c>
      <c r="BW52" s="6">
        <v>8.0489999999999995</v>
      </c>
      <c r="BX52" s="6">
        <v>0.38400000000000001</v>
      </c>
      <c r="BY52" s="6">
        <v>0</v>
      </c>
      <c r="BZ52" s="6">
        <v>0.40799999999999997</v>
      </c>
      <c r="CA52" s="6">
        <v>9.7100000000000009</v>
      </c>
      <c r="CB52" s="6">
        <v>0</v>
      </c>
      <c r="CC52" s="6">
        <v>0</v>
      </c>
      <c r="CD52" s="6">
        <v>0</v>
      </c>
      <c r="CE52" s="7">
        <f t="shared" si="0"/>
        <v>185.44800000000001</v>
      </c>
      <c r="CF52" s="7">
        <v>52.06</v>
      </c>
      <c r="CG52" s="7">
        <v>0</v>
      </c>
      <c r="CH52" s="7">
        <v>0</v>
      </c>
      <c r="CI52" s="77">
        <v>0</v>
      </c>
      <c r="CJ52" s="23">
        <f t="shared" si="1"/>
        <v>237.50800000000001</v>
      </c>
      <c r="CK52" s="23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</row>
    <row r="53" spans="1:153" ht="14.5">
      <c r="A53" s="31" t="s">
        <v>105</v>
      </c>
      <c r="B53" s="44" t="s">
        <v>106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7">
        <f t="shared" si="0"/>
        <v>0</v>
      </c>
      <c r="CF53" s="7">
        <v>0</v>
      </c>
      <c r="CG53" s="7">
        <v>0</v>
      </c>
      <c r="CH53" s="7">
        <v>0</v>
      </c>
      <c r="CI53" s="77">
        <v>0</v>
      </c>
      <c r="CJ53" s="23">
        <f t="shared" si="1"/>
        <v>0</v>
      </c>
      <c r="CK53" s="23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</row>
    <row r="54" spans="1:153" ht="14.5">
      <c r="A54" s="31" t="s">
        <v>107</v>
      </c>
      <c r="B54" s="44" t="s">
        <v>108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7">
        <f t="shared" si="0"/>
        <v>0</v>
      </c>
      <c r="CF54" s="7">
        <v>0</v>
      </c>
      <c r="CG54" s="7">
        <v>0</v>
      </c>
      <c r="CH54" s="7">
        <v>0</v>
      </c>
      <c r="CI54" s="77">
        <v>0</v>
      </c>
      <c r="CJ54" s="23">
        <f t="shared" si="1"/>
        <v>0</v>
      </c>
      <c r="CK54" s="23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</row>
    <row r="55" spans="1:153" ht="14.5">
      <c r="A55" s="31" t="s">
        <v>109</v>
      </c>
      <c r="B55" s="44" t="s">
        <v>110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7">
        <f t="shared" si="0"/>
        <v>0</v>
      </c>
      <c r="CF55" s="7">
        <v>0</v>
      </c>
      <c r="CG55" s="7">
        <v>0</v>
      </c>
      <c r="CH55" s="7">
        <v>0</v>
      </c>
      <c r="CI55" s="77">
        <v>0</v>
      </c>
      <c r="CJ55" s="23">
        <f t="shared" si="1"/>
        <v>0</v>
      </c>
      <c r="CK55" s="23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</row>
    <row r="56" spans="1:153" ht="14.5">
      <c r="A56" s="31" t="s">
        <v>111</v>
      </c>
      <c r="B56" s="44" t="s">
        <v>112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3.9220000000000002</v>
      </c>
      <c r="N56" s="6">
        <v>6.1429999999999998</v>
      </c>
      <c r="O56" s="6">
        <v>0</v>
      </c>
      <c r="P56" s="6">
        <v>0.12</v>
      </c>
      <c r="Q56" s="6">
        <v>0</v>
      </c>
      <c r="R56" s="6">
        <v>19.445</v>
      </c>
      <c r="S56" s="6">
        <v>0.182</v>
      </c>
      <c r="T56" s="6">
        <v>0</v>
      </c>
      <c r="U56" s="6">
        <v>5.056</v>
      </c>
      <c r="V56" s="6">
        <v>1.1479999999999999</v>
      </c>
      <c r="W56" s="6">
        <v>0</v>
      </c>
      <c r="X56" s="6">
        <v>0</v>
      </c>
      <c r="Y56" s="6">
        <v>1.413</v>
      </c>
      <c r="Z56" s="6">
        <v>8.4280000000000008</v>
      </c>
      <c r="AA56" s="6">
        <v>18.800999999999998</v>
      </c>
      <c r="AB56" s="6">
        <v>0.215</v>
      </c>
      <c r="AC56" s="6">
        <v>5.0000000000000001E-3</v>
      </c>
      <c r="AD56" s="6">
        <v>0</v>
      </c>
      <c r="AE56" s="6">
        <v>2.532</v>
      </c>
      <c r="AF56" s="6">
        <v>1.458</v>
      </c>
      <c r="AG56" s="6">
        <v>0</v>
      </c>
      <c r="AH56" s="6">
        <v>32.835000000000001</v>
      </c>
      <c r="AI56" s="6">
        <v>2.5910000000000002</v>
      </c>
      <c r="AJ56" s="6">
        <v>1.839</v>
      </c>
      <c r="AK56" s="6">
        <v>0</v>
      </c>
      <c r="AL56" s="6">
        <v>13.417</v>
      </c>
      <c r="AM56" s="6">
        <v>4.2759999999999998</v>
      </c>
      <c r="AN56" s="6">
        <v>4.5860000000000003</v>
      </c>
      <c r="AO56" s="6">
        <v>1.002</v>
      </c>
      <c r="AP56" s="6">
        <v>3.3559999999999999</v>
      </c>
      <c r="AQ56" s="6">
        <v>0.03</v>
      </c>
      <c r="AR56" s="6">
        <v>1.2E-2</v>
      </c>
      <c r="AS56" s="6">
        <v>0.114</v>
      </c>
      <c r="AT56" s="6">
        <v>1.0389999999999999</v>
      </c>
      <c r="AU56" s="6">
        <v>3.4830000000000001</v>
      </c>
      <c r="AV56" s="6">
        <v>0.59199999999999997</v>
      </c>
      <c r="AW56" s="6">
        <v>21.954000000000001</v>
      </c>
      <c r="AX56" s="6">
        <v>44.085999999999999</v>
      </c>
      <c r="AY56" s="6">
        <v>0.504</v>
      </c>
      <c r="AZ56" s="6">
        <v>33.26</v>
      </c>
      <c r="BA56" s="6">
        <v>3.8530000000000002</v>
      </c>
      <c r="BB56" s="6">
        <v>25.385000000000002</v>
      </c>
      <c r="BC56" s="6">
        <v>18.338999999999999</v>
      </c>
      <c r="BD56" s="6">
        <v>15.131</v>
      </c>
      <c r="BE56" s="6">
        <v>118.56399999999999</v>
      </c>
      <c r="BF56" s="6">
        <v>1.359</v>
      </c>
      <c r="BG56" s="6">
        <v>2.2080000000000002</v>
      </c>
      <c r="BH56" s="6">
        <v>22.004000000000001</v>
      </c>
      <c r="BI56" s="6">
        <v>1.216</v>
      </c>
      <c r="BJ56" s="6">
        <v>0</v>
      </c>
      <c r="BK56" s="6">
        <v>20.192</v>
      </c>
      <c r="BL56" s="6">
        <v>0.36599999999999999</v>
      </c>
      <c r="BM56" s="6">
        <v>0</v>
      </c>
      <c r="BN56" s="6">
        <v>0</v>
      </c>
      <c r="BO56" s="6">
        <v>3.1309999999999998</v>
      </c>
      <c r="BP56" s="6">
        <v>5.0810000000000004</v>
      </c>
      <c r="BQ56" s="6">
        <v>0</v>
      </c>
      <c r="BR56" s="6">
        <v>10.677</v>
      </c>
      <c r="BS56" s="6">
        <v>22.021999999999998</v>
      </c>
      <c r="BT56" s="6">
        <v>42.941000000000003</v>
      </c>
      <c r="BU56" s="6">
        <v>122.03400000000001</v>
      </c>
      <c r="BV56" s="6">
        <v>31.718</v>
      </c>
      <c r="BW56" s="6">
        <v>24.481000000000002</v>
      </c>
      <c r="BX56" s="6">
        <v>2.641</v>
      </c>
      <c r="BY56" s="6">
        <v>1.1479999999999999</v>
      </c>
      <c r="BZ56" s="6">
        <v>26.058</v>
      </c>
      <c r="CA56" s="6">
        <v>1.1619999999999999</v>
      </c>
      <c r="CB56" s="6">
        <v>0</v>
      </c>
      <c r="CC56" s="6">
        <v>0</v>
      </c>
      <c r="CD56" s="6">
        <v>0</v>
      </c>
      <c r="CE56" s="7">
        <f t="shared" si="0"/>
        <v>759.55499999999995</v>
      </c>
      <c r="CF56" s="7">
        <v>132.988</v>
      </c>
      <c r="CG56" s="7">
        <v>0</v>
      </c>
      <c r="CH56" s="7">
        <v>0</v>
      </c>
      <c r="CI56" s="77">
        <v>171.14500000000001</v>
      </c>
      <c r="CJ56" s="23">
        <f t="shared" si="1"/>
        <v>1063.6879999999999</v>
      </c>
      <c r="CK56" s="23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</row>
    <row r="57" spans="1:153" ht="14.5">
      <c r="A57" s="31" t="s">
        <v>113</v>
      </c>
      <c r="B57" s="44" t="s">
        <v>114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0.64500000000000002</v>
      </c>
      <c r="Q57" s="6">
        <v>0</v>
      </c>
      <c r="R57" s="6">
        <v>2.4830000000000001</v>
      </c>
      <c r="S57" s="6">
        <v>0</v>
      </c>
      <c r="T57" s="6">
        <v>0</v>
      </c>
      <c r="U57" s="6">
        <v>0.70199999999999996</v>
      </c>
      <c r="V57" s="6">
        <v>0</v>
      </c>
      <c r="W57" s="6">
        <v>0</v>
      </c>
      <c r="X57" s="6">
        <v>0</v>
      </c>
      <c r="Y57" s="6">
        <v>0</v>
      </c>
      <c r="Z57" s="6">
        <v>4.9969999999999999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6.3570000000000002</v>
      </c>
      <c r="AS57" s="6">
        <v>0</v>
      </c>
      <c r="AT57" s="6">
        <v>0.66500000000000004</v>
      </c>
      <c r="AU57" s="6">
        <v>0.24099999999999999</v>
      </c>
      <c r="AV57" s="6">
        <v>0</v>
      </c>
      <c r="AW57" s="6">
        <v>34.747</v>
      </c>
      <c r="AX57" s="6">
        <v>49.502000000000002</v>
      </c>
      <c r="AY57" s="6">
        <v>0</v>
      </c>
      <c r="AZ57" s="6">
        <v>2.5000000000000001E-2</v>
      </c>
      <c r="BA57" s="6">
        <v>22.242000000000001</v>
      </c>
      <c r="BB57" s="6">
        <v>9.7579999999999991</v>
      </c>
      <c r="BC57" s="6">
        <v>0</v>
      </c>
      <c r="BD57" s="6">
        <v>0</v>
      </c>
      <c r="BE57" s="6">
        <v>10.585000000000001</v>
      </c>
      <c r="BF57" s="6">
        <v>0</v>
      </c>
      <c r="BG57" s="6">
        <v>0.79500000000000004</v>
      </c>
      <c r="BH57" s="6">
        <v>0</v>
      </c>
      <c r="BI57" s="6">
        <v>11.209</v>
      </c>
      <c r="BJ57" s="6">
        <v>0</v>
      </c>
      <c r="BK57" s="6">
        <v>1.0489999999999999</v>
      </c>
      <c r="BL57" s="6">
        <v>0</v>
      </c>
      <c r="BM57" s="6">
        <v>0</v>
      </c>
      <c r="BN57" s="6">
        <v>0</v>
      </c>
      <c r="BO57" s="6">
        <v>0</v>
      </c>
      <c r="BP57" s="6">
        <v>2.6629999999999998</v>
      </c>
      <c r="BQ57" s="6">
        <v>0</v>
      </c>
      <c r="BR57" s="6">
        <v>7.117</v>
      </c>
      <c r="BS57" s="6">
        <v>0</v>
      </c>
      <c r="BT57" s="6">
        <v>12.063000000000001</v>
      </c>
      <c r="BU57" s="6">
        <v>9.36</v>
      </c>
      <c r="BV57" s="6">
        <v>2.2599999999999998</v>
      </c>
      <c r="BW57" s="6">
        <v>1.1659999999999999</v>
      </c>
      <c r="BX57" s="6">
        <v>2E-3</v>
      </c>
      <c r="BY57" s="6">
        <v>0</v>
      </c>
      <c r="BZ57" s="6">
        <v>0.80300000000000005</v>
      </c>
      <c r="CA57" s="6">
        <v>13.967000000000001</v>
      </c>
      <c r="CB57" s="6">
        <v>0</v>
      </c>
      <c r="CC57" s="6">
        <v>0</v>
      </c>
      <c r="CD57" s="6">
        <v>0</v>
      </c>
      <c r="CE57" s="7">
        <f t="shared" si="0"/>
        <v>205.40299999999999</v>
      </c>
      <c r="CF57" s="7">
        <v>15.169</v>
      </c>
      <c r="CG57" s="7">
        <v>0</v>
      </c>
      <c r="CH57" s="7">
        <v>0</v>
      </c>
      <c r="CI57" s="77">
        <v>245.62299999999999</v>
      </c>
      <c r="CJ57" s="23">
        <f t="shared" si="1"/>
        <v>466.19499999999999</v>
      </c>
      <c r="CK57" s="23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</row>
    <row r="58" spans="1:153" ht="14.5">
      <c r="A58" s="31" t="s">
        <v>115</v>
      </c>
      <c r="B58" s="44" t="s">
        <v>116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12.156000000000001</v>
      </c>
      <c r="Q58" s="6">
        <v>0</v>
      </c>
      <c r="R58" s="6">
        <v>0</v>
      </c>
      <c r="S58" s="6">
        <v>6.4000000000000001E-2</v>
      </c>
      <c r="T58" s="6">
        <v>0.57699999999999996</v>
      </c>
      <c r="U58" s="6">
        <v>0</v>
      </c>
      <c r="V58" s="6">
        <v>0.75700000000000001</v>
      </c>
      <c r="W58" s="6">
        <v>11.151</v>
      </c>
      <c r="X58" s="6">
        <v>0</v>
      </c>
      <c r="Y58" s="6">
        <v>0.502</v>
      </c>
      <c r="Z58" s="6">
        <v>0</v>
      </c>
      <c r="AA58" s="6">
        <v>27.795000000000002</v>
      </c>
      <c r="AB58" s="6">
        <v>0.17399999999999999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4.7590000000000003</v>
      </c>
      <c r="AI58" s="6">
        <v>0</v>
      </c>
      <c r="AJ58" s="6">
        <v>0</v>
      </c>
      <c r="AK58" s="6">
        <v>0</v>
      </c>
      <c r="AL58" s="6">
        <v>5.681</v>
      </c>
      <c r="AM58" s="6">
        <v>0</v>
      </c>
      <c r="AN58" s="6">
        <v>42.548999999999999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2.4E-2</v>
      </c>
      <c r="BA58" s="6">
        <v>63.271999999999998</v>
      </c>
      <c r="BB58" s="6">
        <v>33.22</v>
      </c>
      <c r="BC58" s="6">
        <v>4.2439999999999998</v>
      </c>
      <c r="BD58" s="6">
        <v>6.2839999999999998</v>
      </c>
      <c r="BE58" s="6">
        <v>4.1340000000000003</v>
      </c>
      <c r="BF58" s="6">
        <v>0</v>
      </c>
      <c r="BG58" s="6">
        <v>2.65</v>
      </c>
      <c r="BH58" s="6">
        <v>0</v>
      </c>
      <c r="BI58" s="6">
        <v>4.202</v>
      </c>
      <c r="BJ58" s="6">
        <v>0</v>
      </c>
      <c r="BK58" s="6">
        <v>17.719000000000001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4.3330000000000002</v>
      </c>
      <c r="BS58" s="6">
        <v>1.9059999999999999</v>
      </c>
      <c r="BT58" s="6">
        <v>0</v>
      </c>
      <c r="BU58" s="6">
        <v>0</v>
      </c>
      <c r="BV58" s="6">
        <v>0.41899999999999998</v>
      </c>
      <c r="BW58" s="6">
        <v>0.30199999999999999</v>
      </c>
      <c r="BX58" s="6">
        <v>1.2E-2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7">
        <f t="shared" si="0"/>
        <v>248.88599999999997</v>
      </c>
      <c r="CF58" s="7">
        <v>2.5209999999999999</v>
      </c>
      <c r="CG58" s="7">
        <v>0</v>
      </c>
      <c r="CH58" s="7">
        <v>0</v>
      </c>
      <c r="CI58" s="77">
        <v>0</v>
      </c>
      <c r="CJ58" s="23">
        <f t="shared" si="1"/>
        <v>251.40699999999995</v>
      </c>
      <c r="CK58" s="23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</row>
    <row r="59" spans="1:153" ht="14.5">
      <c r="A59" s="31" t="s">
        <v>117</v>
      </c>
      <c r="B59" s="44" t="s">
        <v>118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1.6879999999999999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0.16600000000000001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0.112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0.82499999999999996</v>
      </c>
      <c r="AX59" s="6">
        <v>0.83599999999999997</v>
      </c>
      <c r="AY59" s="6">
        <v>0</v>
      </c>
      <c r="AZ59" s="6">
        <v>0</v>
      </c>
      <c r="BA59" s="6">
        <v>9.8000000000000004E-2</v>
      </c>
      <c r="BB59" s="6">
        <v>9.7000000000000003E-2</v>
      </c>
      <c r="BC59" s="6">
        <v>0</v>
      </c>
      <c r="BD59" s="6">
        <v>2.181</v>
      </c>
      <c r="BE59" s="6">
        <v>0</v>
      </c>
      <c r="BF59" s="6">
        <v>0</v>
      </c>
      <c r="BG59" s="6">
        <v>0.08</v>
      </c>
      <c r="BH59" s="6">
        <v>0</v>
      </c>
      <c r="BI59" s="6">
        <v>0</v>
      </c>
      <c r="BJ59" s="6">
        <v>0</v>
      </c>
      <c r="BK59" s="6">
        <v>2.0619999999999998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1.67</v>
      </c>
      <c r="BU59" s="6">
        <v>6.7880000000000003</v>
      </c>
      <c r="BV59" s="6">
        <v>3.5999999999999997E-2</v>
      </c>
      <c r="BW59" s="6">
        <v>7.4999999999999997E-2</v>
      </c>
      <c r="BX59" s="6">
        <v>2E-3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7">
        <f t="shared" si="0"/>
        <v>16.716000000000001</v>
      </c>
      <c r="CF59" s="7">
        <v>0.95699999999999996</v>
      </c>
      <c r="CG59" s="7">
        <v>0</v>
      </c>
      <c r="CH59" s="7">
        <v>0</v>
      </c>
      <c r="CI59" s="77">
        <v>1.6679999999999999</v>
      </c>
      <c r="CJ59" s="23">
        <f t="shared" si="1"/>
        <v>19.341000000000001</v>
      </c>
      <c r="CK59" s="23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</row>
    <row r="60" spans="1:153" ht="14.5">
      <c r="A60" s="31" t="s">
        <v>119</v>
      </c>
      <c r="B60" s="44" t="s">
        <v>120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0.85399999999999998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0.69599999999999995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6.8000000000000005E-2</v>
      </c>
      <c r="AG60" s="6">
        <v>0</v>
      </c>
      <c r="AH60" s="6">
        <v>0</v>
      </c>
      <c r="AI60" s="6">
        <v>0</v>
      </c>
      <c r="AJ60" s="6">
        <v>0.20899999999999999</v>
      </c>
      <c r="AK60" s="6">
        <v>0</v>
      </c>
      <c r="AL60" s="6">
        <v>0</v>
      </c>
      <c r="AM60" s="6">
        <v>0</v>
      </c>
      <c r="AN60" s="6">
        <v>2E-3</v>
      </c>
      <c r="AO60" s="6">
        <v>1.85</v>
      </c>
      <c r="AP60" s="6">
        <v>0</v>
      </c>
      <c r="AQ60" s="6">
        <v>0</v>
      </c>
      <c r="AR60" s="6">
        <v>8.0000000000000002E-3</v>
      </c>
      <c r="AS60" s="6">
        <v>0</v>
      </c>
      <c r="AT60" s="6">
        <v>2.4119999999999999</v>
      </c>
      <c r="AU60" s="6">
        <v>7.0570000000000004</v>
      </c>
      <c r="AV60" s="6">
        <v>1.1519999999999999</v>
      </c>
      <c r="AW60" s="6">
        <v>8.2799999999999994</v>
      </c>
      <c r="AX60" s="6">
        <v>18.202000000000002</v>
      </c>
      <c r="AY60" s="6">
        <v>0.124</v>
      </c>
      <c r="AZ60" s="6">
        <v>2E-3</v>
      </c>
      <c r="BA60" s="6">
        <v>0</v>
      </c>
      <c r="BB60" s="6">
        <v>0</v>
      </c>
      <c r="BC60" s="6">
        <v>0</v>
      </c>
      <c r="BD60" s="6">
        <v>10.273999999999999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1.5149999999999999</v>
      </c>
      <c r="BK60" s="6">
        <v>8.1110000000000007</v>
      </c>
      <c r="BL60" s="6">
        <v>0.219</v>
      </c>
      <c r="BM60" s="6">
        <v>7.8230000000000004</v>
      </c>
      <c r="BN60" s="6">
        <v>0</v>
      </c>
      <c r="BO60" s="6">
        <v>0.45600000000000002</v>
      </c>
      <c r="BP60" s="6">
        <v>0.85299999999999998</v>
      </c>
      <c r="BQ60" s="6">
        <v>0</v>
      </c>
      <c r="BR60" s="6">
        <v>0.35799999999999998</v>
      </c>
      <c r="BS60" s="6">
        <v>0</v>
      </c>
      <c r="BT60" s="6">
        <v>12.678000000000001</v>
      </c>
      <c r="BU60" s="6">
        <v>79.841999999999999</v>
      </c>
      <c r="BV60" s="6">
        <v>34.479999999999997</v>
      </c>
      <c r="BW60" s="6">
        <v>28.184999999999999</v>
      </c>
      <c r="BX60" s="6">
        <v>11.739000000000001</v>
      </c>
      <c r="BY60" s="6">
        <v>0</v>
      </c>
      <c r="BZ60" s="6">
        <v>4.5510000000000002</v>
      </c>
      <c r="CA60" s="6">
        <v>3.5310000000000001</v>
      </c>
      <c r="CB60" s="6">
        <v>0</v>
      </c>
      <c r="CC60" s="6">
        <v>0</v>
      </c>
      <c r="CD60" s="6">
        <v>0</v>
      </c>
      <c r="CE60" s="7">
        <f t="shared" si="0"/>
        <v>245.53100000000001</v>
      </c>
      <c r="CF60" s="7">
        <v>1147.31</v>
      </c>
      <c r="CG60" s="7">
        <v>0</v>
      </c>
      <c r="CH60" s="7">
        <v>0</v>
      </c>
      <c r="CI60" s="77">
        <v>495.91500000000002</v>
      </c>
      <c r="CJ60" s="23">
        <f t="shared" si="1"/>
        <v>1888.7559999999999</v>
      </c>
      <c r="CK60" s="23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</row>
    <row r="61" spans="1:153" ht="14.5">
      <c r="A61" s="31" t="s">
        <v>121</v>
      </c>
      <c r="B61" s="44" t="s">
        <v>122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0.95299999999999996</v>
      </c>
      <c r="I61" s="6">
        <v>0</v>
      </c>
      <c r="J61" s="6">
        <v>1.19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1.66</v>
      </c>
      <c r="W61" s="6">
        <v>0</v>
      </c>
      <c r="X61" s="6">
        <v>0</v>
      </c>
      <c r="Y61" s="6">
        <v>0</v>
      </c>
      <c r="Z61" s="6">
        <v>2.988</v>
      </c>
      <c r="AA61" s="6">
        <v>0.872</v>
      </c>
      <c r="AB61" s="6">
        <v>1.0389999999999999</v>
      </c>
      <c r="AC61" s="6">
        <v>0</v>
      </c>
      <c r="AD61" s="6">
        <v>0.56899999999999995</v>
      </c>
      <c r="AE61" s="6">
        <v>0.877</v>
      </c>
      <c r="AF61" s="6">
        <v>1.1819999999999999</v>
      </c>
      <c r="AG61" s="6">
        <v>0</v>
      </c>
      <c r="AH61" s="6">
        <v>1.07</v>
      </c>
      <c r="AI61" s="6">
        <v>0</v>
      </c>
      <c r="AJ61" s="6">
        <v>1.385</v>
      </c>
      <c r="AK61" s="6">
        <v>0.54400000000000004</v>
      </c>
      <c r="AL61" s="6">
        <v>3.0000000000000001E-3</v>
      </c>
      <c r="AM61" s="6">
        <v>3.4000000000000002E-2</v>
      </c>
      <c r="AN61" s="6">
        <v>1.125</v>
      </c>
      <c r="AO61" s="6">
        <v>1.115</v>
      </c>
      <c r="AP61" s="6">
        <v>1.216</v>
      </c>
      <c r="AQ61" s="6">
        <v>2.9969999999999999</v>
      </c>
      <c r="AR61" s="6">
        <v>7.9009999999999998</v>
      </c>
      <c r="AS61" s="6">
        <v>0</v>
      </c>
      <c r="AT61" s="6">
        <v>0.59899999999999998</v>
      </c>
      <c r="AU61" s="6">
        <v>0.309</v>
      </c>
      <c r="AV61" s="6">
        <v>0.19800000000000001</v>
      </c>
      <c r="AW61" s="6">
        <v>35.439</v>
      </c>
      <c r="AX61" s="6">
        <v>0</v>
      </c>
      <c r="AY61" s="6">
        <v>1.258</v>
      </c>
      <c r="AZ61" s="6">
        <v>0.82699999999999996</v>
      </c>
      <c r="BA61" s="6">
        <v>3.7429999999999999</v>
      </c>
      <c r="BB61" s="6">
        <v>0</v>
      </c>
      <c r="BC61" s="6">
        <v>3.52</v>
      </c>
      <c r="BD61" s="6">
        <v>0.55300000000000005</v>
      </c>
      <c r="BE61" s="6">
        <v>2.149</v>
      </c>
      <c r="BF61" s="6">
        <v>0</v>
      </c>
      <c r="BG61" s="6">
        <v>0.93</v>
      </c>
      <c r="BH61" s="6">
        <v>0</v>
      </c>
      <c r="BI61" s="6">
        <v>0.14499999999999999</v>
      </c>
      <c r="BJ61" s="6">
        <v>0</v>
      </c>
      <c r="BK61" s="6">
        <v>0.997</v>
      </c>
      <c r="BL61" s="6">
        <v>0.871</v>
      </c>
      <c r="BM61" s="6">
        <v>1.07</v>
      </c>
      <c r="BN61" s="6">
        <v>0</v>
      </c>
      <c r="BO61" s="6">
        <v>0.122</v>
      </c>
      <c r="BP61" s="6">
        <v>0</v>
      </c>
      <c r="BQ61" s="6">
        <v>0</v>
      </c>
      <c r="BR61" s="6">
        <v>2.407</v>
      </c>
      <c r="BS61" s="6">
        <v>0</v>
      </c>
      <c r="BT61" s="6">
        <v>1.954</v>
      </c>
      <c r="BU61" s="6">
        <v>6.5540000000000003</v>
      </c>
      <c r="BV61" s="6">
        <v>10.532</v>
      </c>
      <c r="BW61" s="6">
        <v>4.5270000000000001</v>
      </c>
      <c r="BX61" s="6">
        <v>0.77400000000000002</v>
      </c>
      <c r="BY61" s="6">
        <v>0.496</v>
      </c>
      <c r="BZ61" s="6">
        <v>0.71199999999999997</v>
      </c>
      <c r="CA61" s="6">
        <v>0.30499999999999999</v>
      </c>
      <c r="CB61" s="6">
        <v>0</v>
      </c>
      <c r="CC61" s="6">
        <v>0</v>
      </c>
      <c r="CD61" s="6">
        <v>0</v>
      </c>
      <c r="CE61" s="7">
        <f t="shared" si="0"/>
        <v>109.71099999999997</v>
      </c>
      <c r="CF61" s="7">
        <v>124.64100000000001</v>
      </c>
      <c r="CG61" s="7">
        <v>0</v>
      </c>
      <c r="CH61" s="7">
        <v>0</v>
      </c>
      <c r="CI61" s="77">
        <v>0.248</v>
      </c>
      <c r="CJ61" s="23">
        <f t="shared" si="1"/>
        <v>234.59999999999997</v>
      </c>
      <c r="CK61" s="23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</row>
    <row r="62" spans="1:153" ht="14.5">
      <c r="A62" s="31" t="s">
        <v>123</v>
      </c>
      <c r="B62" s="44" t="s">
        <v>124</v>
      </c>
      <c r="C62" s="6">
        <v>0.29099999999999998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2.5999999999999999E-2</v>
      </c>
      <c r="L62" s="6">
        <v>1.9E-2</v>
      </c>
      <c r="M62" s="6">
        <v>4.758</v>
      </c>
      <c r="N62" s="6">
        <v>1.0649999999999999</v>
      </c>
      <c r="O62" s="6">
        <v>0</v>
      </c>
      <c r="P62" s="6">
        <v>2.0430000000000001</v>
      </c>
      <c r="Q62" s="6">
        <v>0</v>
      </c>
      <c r="R62" s="6">
        <v>0</v>
      </c>
      <c r="S62" s="6">
        <v>0.38500000000000001</v>
      </c>
      <c r="T62" s="6">
        <v>0</v>
      </c>
      <c r="U62" s="6">
        <v>11.002000000000001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4.7E-2</v>
      </c>
      <c r="AC62" s="6">
        <v>0.01</v>
      </c>
      <c r="AD62" s="6">
        <v>0</v>
      </c>
      <c r="AE62" s="6">
        <v>0</v>
      </c>
      <c r="AF62" s="6">
        <v>0.35099999999999998</v>
      </c>
      <c r="AG62" s="6">
        <v>0</v>
      </c>
      <c r="AH62" s="6">
        <v>7.0350000000000001</v>
      </c>
      <c r="AI62" s="6">
        <v>0.88</v>
      </c>
      <c r="AJ62" s="6">
        <v>0</v>
      </c>
      <c r="AK62" s="6">
        <v>0</v>
      </c>
      <c r="AL62" s="6">
        <v>1.6E-2</v>
      </c>
      <c r="AM62" s="6">
        <v>17.306999999999999</v>
      </c>
      <c r="AN62" s="6">
        <v>0</v>
      </c>
      <c r="AO62" s="6">
        <v>0.29499999999999998</v>
      </c>
      <c r="AP62" s="6">
        <v>4.0380000000000003</v>
      </c>
      <c r="AQ62" s="6">
        <v>0</v>
      </c>
      <c r="AR62" s="6">
        <v>1.2999999999999999E-2</v>
      </c>
      <c r="AS62" s="6">
        <v>0.55500000000000005</v>
      </c>
      <c r="AT62" s="6">
        <v>5.1059999999999999</v>
      </c>
      <c r="AU62" s="6">
        <v>1.6830000000000001</v>
      </c>
      <c r="AV62" s="6">
        <v>0</v>
      </c>
      <c r="AW62" s="6">
        <v>3.9750000000000001</v>
      </c>
      <c r="AX62" s="6">
        <v>0.97299999999999998</v>
      </c>
      <c r="AY62" s="6">
        <v>8.7999999999999995E-2</v>
      </c>
      <c r="AZ62" s="6">
        <v>0</v>
      </c>
      <c r="BA62" s="6">
        <v>0</v>
      </c>
      <c r="BB62" s="6">
        <v>0</v>
      </c>
      <c r="BC62" s="6">
        <v>0</v>
      </c>
      <c r="BD62" s="6">
        <v>14.997</v>
      </c>
      <c r="BE62" s="6">
        <v>0</v>
      </c>
      <c r="BF62" s="6">
        <v>0.23400000000000001</v>
      </c>
      <c r="BG62" s="6">
        <v>0.78100000000000003</v>
      </c>
      <c r="BH62" s="6">
        <v>48.259</v>
      </c>
      <c r="BI62" s="6">
        <v>9.7690000000000001</v>
      </c>
      <c r="BJ62" s="6">
        <v>5.7350000000000003</v>
      </c>
      <c r="BK62" s="6">
        <v>26.542000000000002</v>
      </c>
      <c r="BL62" s="6">
        <v>0.58099999999999996</v>
      </c>
      <c r="BM62" s="6">
        <v>0</v>
      </c>
      <c r="BN62" s="6">
        <v>0</v>
      </c>
      <c r="BO62" s="6">
        <v>0.52700000000000002</v>
      </c>
      <c r="BP62" s="6">
        <v>1.8069999999999999</v>
      </c>
      <c r="BQ62" s="6">
        <v>0</v>
      </c>
      <c r="BR62" s="6">
        <v>3.302</v>
      </c>
      <c r="BS62" s="6">
        <v>6.2069999999999999</v>
      </c>
      <c r="BT62" s="6">
        <v>5.5609999999999999</v>
      </c>
      <c r="BU62" s="6">
        <v>58.162999999999997</v>
      </c>
      <c r="BV62" s="6">
        <v>12.954000000000001</v>
      </c>
      <c r="BW62" s="6">
        <v>7.0179999999999998</v>
      </c>
      <c r="BX62" s="6">
        <v>1.5940000000000001</v>
      </c>
      <c r="BY62" s="6">
        <v>3.528</v>
      </c>
      <c r="BZ62" s="6">
        <v>15.648999999999999</v>
      </c>
      <c r="CA62" s="6">
        <v>2.2829999999999999</v>
      </c>
      <c r="CB62" s="6">
        <v>0</v>
      </c>
      <c r="CC62" s="6">
        <v>0</v>
      </c>
      <c r="CD62" s="6">
        <v>0</v>
      </c>
      <c r="CE62" s="7">
        <f t="shared" si="0"/>
        <v>287.452</v>
      </c>
      <c r="CF62" s="7">
        <v>34.613999999999997</v>
      </c>
      <c r="CG62" s="7">
        <v>0</v>
      </c>
      <c r="CH62" s="7">
        <v>0</v>
      </c>
      <c r="CI62" s="77">
        <v>45.447000000000003</v>
      </c>
      <c r="CJ62" s="23">
        <f t="shared" si="1"/>
        <v>367.51299999999998</v>
      </c>
      <c r="CK62" s="23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</row>
    <row r="63" spans="1:153" ht="14.5">
      <c r="A63" s="31" t="s">
        <v>125</v>
      </c>
      <c r="B63" s="44" t="s">
        <v>126</v>
      </c>
      <c r="C63" s="6">
        <v>0.16300000000000001</v>
      </c>
      <c r="D63" s="6">
        <v>5.5E-2</v>
      </c>
      <c r="E63" s="6">
        <v>5.0999999999999997E-2</v>
      </c>
      <c r="F63" s="6">
        <v>0.158</v>
      </c>
      <c r="G63" s="6">
        <v>7.0999999999999994E-2</v>
      </c>
      <c r="H63" s="6">
        <v>8.0000000000000002E-3</v>
      </c>
      <c r="I63" s="6">
        <v>3.0000000000000001E-3</v>
      </c>
      <c r="J63" s="6">
        <v>4.4999999999999998E-2</v>
      </c>
      <c r="K63" s="6">
        <v>1.9E-2</v>
      </c>
      <c r="L63" s="6">
        <v>1E-3</v>
      </c>
      <c r="M63" s="6">
        <v>0</v>
      </c>
      <c r="N63" s="6">
        <v>0</v>
      </c>
      <c r="O63" s="6">
        <v>0</v>
      </c>
      <c r="P63" s="6">
        <v>7.0780000000000003</v>
      </c>
      <c r="Q63" s="6">
        <v>16.236000000000001</v>
      </c>
      <c r="R63" s="6">
        <v>15.122999999999999</v>
      </c>
      <c r="S63" s="6">
        <v>0.08</v>
      </c>
      <c r="T63" s="6">
        <v>0.62</v>
      </c>
      <c r="U63" s="6">
        <v>2.0019999999999998</v>
      </c>
      <c r="V63" s="6">
        <v>1.002</v>
      </c>
      <c r="W63" s="6">
        <v>0.71399999999999997</v>
      </c>
      <c r="X63" s="6">
        <v>0.39200000000000002</v>
      </c>
      <c r="Y63" s="6">
        <v>0.86899999999999999</v>
      </c>
      <c r="Z63" s="6">
        <v>1.583</v>
      </c>
      <c r="AA63" s="6">
        <v>4.9740000000000002</v>
      </c>
      <c r="AB63" s="6">
        <v>0.33600000000000002</v>
      </c>
      <c r="AC63" s="6">
        <v>2E-3</v>
      </c>
      <c r="AD63" s="6">
        <v>2.4860000000000002</v>
      </c>
      <c r="AE63" s="6">
        <v>6.7969999999999997</v>
      </c>
      <c r="AF63" s="6">
        <v>0.68400000000000005</v>
      </c>
      <c r="AG63" s="6">
        <v>0</v>
      </c>
      <c r="AH63" s="6">
        <v>5.9470000000000001</v>
      </c>
      <c r="AI63" s="6">
        <v>0.56899999999999995</v>
      </c>
      <c r="AJ63" s="6">
        <v>2.2229999999999999</v>
      </c>
      <c r="AK63" s="6">
        <v>1.4590000000000001</v>
      </c>
      <c r="AL63" s="6">
        <v>3.1070000000000002</v>
      </c>
      <c r="AM63" s="6">
        <v>1.673</v>
      </c>
      <c r="AN63" s="6">
        <v>5.1280000000000001</v>
      </c>
      <c r="AO63" s="6">
        <v>0.83599999999999997</v>
      </c>
      <c r="AP63" s="6">
        <v>3.121</v>
      </c>
      <c r="AQ63" s="6">
        <v>3.44</v>
      </c>
      <c r="AR63" s="6">
        <v>1.0820000000000001</v>
      </c>
      <c r="AS63" s="6">
        <v>4.9000000000000002E-2</v>
      </c>
      <c r="AT63" s="6">
        <v>15.683999999999999</v>
      </c>
      <c r="AU63" s="6">
        <v>3.5089999999999999</v>
      </c>
      <c r="AV63" s="6">
        <v>0.55200000000000005</v>
      </c>
      <c r="AW63" s="6">
        <v>0.40100000000000002</v>
      </c>
      <c r="AX63" s="6">
        <v>0.24299999999999999</v>
      </c>
      <c r="AY63" s="6">
        <v>0.75600000000000001</v>
      </c>
      <c r="AZ63" s="6">
        <v>5.1999999999999998E-2</v>
      </c>
      <c r="BA63" s="6">
        <v>1.321</v>
      </c>
      <c r="BB63" s="6">
        <v>8.8019999999999996</v>
      </c>
      <c r="BC63" s="6">
        <v>1.208</v>
      </c>
      <c r="BD63" s="6">
        <v>4.1509999999999998</v>
      </c>
      <c r="BE63" s="6">
        <v>1.829</v>
      </c>
      <c r="BF63" s="6">
        <v>7.3999999999999996E-2</v>
      </c>
      <c r="BG63" s="6">
        <v>0.246</v>
      </c>
      <c r="BH63" s="6">
        <v>0</v>
      </c>
      <c r="BI63" s="6">
        <v>3.0409999999999999</v>
      </c>
      <c r="BJ63" s="6">
        <v>10.99</v>
      </c>
      <c r="BK63" s="6">
        <v>7.117</v>
      </c>
      <c r="BL63" s="6">
        <v>1.2849999999999999</v>
      </c>
      <c r="BM63" s="6">
        <v>1.919</v>
      </c>
      <c r="BN63" s="6">
        <v>0</v>
      </c>
      <c r="BO63" s="6">
        <v>0</v>
      </c>
      <c r="BP63" s="6">
        <v>1.8859999999999999</v>
      </c>
      <c r="BQ63" s="6">
        <v>7.9740000000000002</v>
      </c>
      <c r="BR63" s="6">
        <v>6.2229999999999999</v>
      </c>
      <c r="BS63" s="6">
        <v>1.2829999999999999</v>
      </c>
      <c r="BT63" s="6">
        <v>2.7109999999999999</v>
      </c>
      <c r="BU63" s="6">
        <v>1.79</v>
      </c>
      <c r="BV63" s="6">
        <v>0.52100000000000002</v>
      </c>
      <c r="BW63" s="6">
        <v>0.59299999999999997</v>
      </c>
      <c r="BX63" s="6">
        <v>6.6000000000000003E-2</v>
      </c>
      <c r="BY63" s="6">
        <v>5.6879999999999997</v>
      </c>
      <c r="BZ63" s="6">
        <v>3.6360000000000001</v>
      </c>
      <c r="CA63" s="6">
        <v>0.98599999999999999</v>
      </c>
      <c r="CB63" s="6">
        <v>0</v>
      </c>
      <c r="CC63" s="6">
        <v>0</v>
      </c>
      <c r="CD63" s="6">
        <v>0</v>
      </c>
      <c r="CE63" s="7">
        <f t="shared" si="0"/>
        <v>186.72299999999996</v>
      </c>
      <c r="CF63" s="7">
        <v>0</v>
      </c>
      <c r="CG63" s="7">
        <v>0</v>
      </c>
      <c r="CH63" s="7">
        <v>0</v>
      </c>
      <c r="CI63" s="77">
        <v>0</v>
      </c>
      <c r="CJ63" s="23">
        <f t="shared" si="1"/>
        <v>186.72299999999996</v>
      </c>
      <c r="CK63" s="23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</row>
    <row r="64" spans="1:153" ht="14.5">
      <c r="A64" s="31" t="s">
        <v>127</v>
      </c>
      <c r="B64" s="44" t="s">
        <v>128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0.17599999999999999</v>
      </c>
      <c r="Q64" s="6">
        <v>0.90100000000000002</v>
      </c>
      <c r="R64" s="6">
        <v>0.34599999999999997</v>
      </c>
      <c r="S64" s="6">
        <v>2.7E-2</v>
      </c>
      <c r="T64" s="6">
        <v>8.6999999999999994E-2</v>
      </c>
      <c r="U64" s="6">
        <v>0.624</v>
      </c>
      <c r="V64" s="6">
        <v>0.443</v>
      </c>
      <c r="W64" s="6">
        <v>0.78100000000000003</v>
      </c>
      <c r="X64" s="6">
        <v>8.8999999999999996E-2</v>
      </c>
      <c r="Y64" s="6">
        <v>0.183</v>
      </c>
      <c r="Z64" s="6">
        <v>0.96399999999999997</v>
      </c>
      <c r="AA64" s="6">
        <v>1.8520000000000001</v>
      </c>
      <c r="AB64" s="6">
        <v>5.8999999999999997E-2</v>
      </c>
      <c r="AC64" s="6">
        <v>2E-3</v>
      </c>
      <c r="AD64" s="6">
        <v>0.82599999999999996</v>
      </c>
      <c r="AE64" s="6">
        <v>0.53300000000000003</v>
      </c>
      <c r="AF64" s="6">
        <v>0.39</v>
      </c>
      <c r="AG64" s="6">
        <v>0</v>
      </c>
      <c r="AH64" s="6">
        <v>1.089</v>
      </c>
      <c r="AI64" s="6">
        <v>0.26400000000000001</v>
      </c>
      <c r="AJ64" s="6">
        <v>0.66500000000000004</v>
      </c>
      <c r="AK64" s="6">
        <v>8.9999999999999993E-3</v>
      </c>
      <c r="AL64" s="6">
        <v>1.234</v>
      </c>
      <c r="AM64" s="6">
        <v>5.2999999999999999E-2</v>
      </c>
      <c r="AN64" s="6">
        <v>1.2989999999999999</v>
      </c>
      <c r="AO64" s="6">
        <v>0.21299999999999999</v>
      </c>
      <c r="AP64" s="6">
        <v>0.112</v>
      </c>
      <c r="AQ64" s="6">
        <v>0.23200000000000001</v>
      </c>
      <c r="AR64" s="6">
        <v>0.159</v>
      </c>
      <c r="AS64" s="6">
        <v>6.7000000000000004E-2</v>
      </c>
      <c r="AT64" s="6">
        <v>0</v>
      </c>
      <c r="AU64" s="6">
        <v>0</v>
      </c>
      <c r="AV64" s="6">
        <v>4.1000000000000002E-2</v>
      </c>
      <c r="AW64" s="6">
        <v>13.56</v>
      </c>
      <c r="AX64" s="6">
        <v>0</v>
      </c>
      <c r="AY64" s="6">
        <v>0.48399999999999999</v>
      </c>
      <c r="AZ64" s="6">
        <v>0.217</v>
      </c>
      <c r="BA64" s="6">
        <v>29.876000000000001</v>
      </c>
      <c r="BB64" s="6">
        <v>17.100000000000001</v>
      </c>
      <c r="BC64" s="6">
        <v>1.5229999999999999</v>
      </c>
      <c r="BD64" s="6">
        <v>1.3480000000000001</v>
      </c>
      <c r="BE64" s="6">
        <v>1.6859999999999999</v>
      </c>
      <c r="BF64" s="6">
        <v>4.9000000000000002E-2</v>
      </c>
      <c r="BG64" s="6">
        <v>0.48199999999999998</v>
      </c>
      <c r="BH64" s="6">
        <v>0.25900000000000001</v>
      </c>
      <c r="BI64" s="6">
        <v>1.556</v>
      </c>
      <c r="BJ64" s="6">
        <v>0.66700000000000004</v>
      </c>
      <c r="BK64" s="6">
        <v>6.22</v>
      </c>
      <c r="BL64" s="6">
        <v>2.3820000000000001</v>
      </c>
      <c r="BM64" s="6">
        <v>9.3629999999999995</v>
      </c>
      <c r="BN64" s="6">
        <v>0</v>
      </c>
      <c r="BO64" s="6">
        <v>0.42599999999999999</v>
      </c>
      <c r="BP64" s="6">
        <v>0.77800000000000002</v>
      </c>
      <c r="BQ64" s="6">
        <v>0.35599999999999998</v>
      </c>
      <c r="BR64" s="6">
        <v>0.40100000000000002</v>
      </c>
      <c r="BS64" s="6">
        <v>0.80300000000000005</v>
      </c>
      <c r="BT64" s="6">
        <v>1.2290000000000001</v>
      </c>
      <c r="BU64" s="6">
        <v>12.013999999999999</v>
      </c>
      <c r="BV64" s="6">
        <v>0.40400000000000003</v>
      </c>
      <c r="BW64" s="6">
        <v>0.35599999999999998</v>
      </c>
      <c r="BX64" s="6">
        <v>4.9000000000000002E-2</v>
      </c>
      <c r="BY64" s="6">
        <v>3.3000000000000002E-2</v>
      </c>
      <c r="BZ64" s="6">
        <v>0.85599999999999998</v>
      </c>
      <c r="CA64" s="6">
        <v>0.52600000000000002</v>
      </c>
      <c r="CB64" s="6">
        <v>0</v>
      </c>
      <c r="CC64" s="6">
        <v>0</v>
      </c>
      <c r="CD64" s="6">
        <v>0</v>
      </c>
      <c r="CE64" s="7">
        <f t="shared" si="0"/>
        <v>118.72299999999997</v>
      </c>
      <c r="CF64" s="7">
        <v>69.981999999999999</v>
      </c>
      <c r="CG64" s="7">
        <v>60.15</v>
      </c>
      <c r="CH64" s="7">
        <v>0</v>
      </c>
      <c r="CI64" s="77">
        <v>43.168999999999997</v>
      </c>
      <c r="CJ64" s="23">
        <f t="shared" si="1"/>
        <v>292.024</v>
      </c>
      <c r="CK64" s="23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</row>
    <row r="65" spans="1:153" ht="14.5">
      <c r="A65" s="31" t="s">
        <v>129</v>
      </c>
      <c r="B65" s="44" t="s">
        <v>130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0.77800000000000002</v>
      </c>
      <c r="Q65" s="6">
        <v>0</v>
      </c>
      <c r="R65" s="6">
        <v>9.4429999999999996</v>
      </c>
      <c r="S65" s="6">
        <v>0</v>
      </c>
      <c r="T65" s="6">
        <v>0</v>
      </c>
      <c r="U65" s="6">
        <v>0</v>
      </c>
      <c r="V65" s="6">
        <v>0.17199999999999999</v>
      </c>
      <c r="W65" s="6">
        <v>0</v>
      </c>
      <c r="X65" s="6">
        <v>0</v>
      </c>
      <c r="Y65" s="6">
        <v>0</v>
      </c>
      <c r="Z65" s="6">
        <v>0.73099999999999998</v>
      </c>
      <c r="AA65" s="6">
        <v>0</v>
      </c>
      <c r="AB65" s="6">
        <v>0</v>
      </c>
      <c r="AC65" s="6">
        <v>0</v>
      </c>
      <c r="AD65" s="6">
        <v>8.0000000000000002E-3</v>
      </c>
      <c r="AE65" s="6">
        <v>0</v>
      </c>
      <c r="AF65" s="6">
        <v>0.17</v>
      </c>
      <c r="AG65" s="6">
        <v>0</v>
      </c>
      <c r="AH65" s="6">
        <v>2.363</v>
      </c>
      <c r="AI65" s="6">
        <v>0.11799999999999999</v>
      </c>
      <c r="AJ65" s="6">
        <v>0</v>
      </c>
      <c r="AK65" s="6">
        <v>0</v>
      </c>
      <c r="AL65" s="6">
        <v>1.5529999999999999</v>
      </c>
      <c r="AM65" s="6">
        <v>0</v>
      </c>
      <c r="AN65" s="6">
        <v>0</v>
      </c>
      <c r="AO65" s="6">
        <v>0.254</v>
      </c>
      <c r="AP65" s="6">
        <v>0</v>
      </c>
      <c r="AQ65" s="6">
        <v>8.0000000000000002E-3</v>
      </c>
      <c r="AR65" s="6">
        <v>0</v>
      </c>
      <c r="AS65" s="6">
        <v>0</v>
      </c>
      <c r="AT65" s="6">
        <v>0</v>
      </c>
      <c r="AU65" s="6">
        <v>0.35699999999999998</v>
      </c>
      <c r="AV65" s="6">
        <v>6.0999999999999999E-2</v>
      </c>
      <c r="AW65" s="6">
        <v>0</v>
      </c>
      <c r="AX65" s="6">
        <v>0</v>
      </c>
      <c r="AY65" s="6">
        <v>0</v>
      </c>
      <c r="AZ65" s="6">
        <v>2.1000000000000001E-2</v>
      </c>
      <c r="BA65" s="6">
        <v>0</v>
      </c>
      <c r="BB65" s="6">
        <v>0</v>
      </c>
      <c r="BC65" s="6">
        <v>13.252000000000001</v>
      </c>
      <c r="BD65" s="6">
        <v>2.306</v>
      </c>
      <c r="BE65" s="6">
        <v>0.877</v>
      </c>
      <c r="BF65" s="6">
        <v>0.44500000000000001</v>
      </c>
      <c r="BG65" s="6">
        <v>0.32100000000000001</v>
      </c>
      <c r="BH65" s="6">
        <v>0</v>
      </c>
      <c r="BI65" s="6">
        <v>8.4000000000000005E-2</v>
      </c>
      <c r="BJ65" s="6">
        <v>0</v>
      </c>
      <c r="BK65" s="6">
        <v>1.625</v>
      </c>
      <c r="BL65" s="6">
        <v>0.33900000000000002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12.750999999999999</v>
      </c>
      <c r="BT65" s="6">
        <v>3.5110000000000001</v>
      </c>
      <c r="BU65" s="6">
        <v>23.837</v>
      </c>
      <c r="BV65" s="6">
        <v>0.48199999999999998</v>
      </c>
      <c r="BW65" s="6">
        <v>5.6150000000000002</v>
      </c>
      <c r="BX65" s="6">
        <v>9.1999999999999998E-2</v>
      </c>
      <c r="BY65" s="6">
        <v>0</v>
      </c>
      <c r="BZ65" s="6">
        <v>0</v>
      </c>
      <c r="CA65" s="6">
        <v>3.536</v>
      </c>
      <c r="CB65" s="6">
        <v>0</v>
      </c>
      <c r="CC65" s="6">
        <v>0</v>
      </c>
      <c r="CD65" s="6">
        <v>0</v>
      </c>
      <c r="CE65" s="7">
        <f t="shared" si="0"/>
        <v>85.11</v>
      </c>
      <c r="CF65" s="7">
        <v>36.171999999999997</v>
      </c>
      <c r="CG65" s="7">
        <v>0</v>
      </c>
      <c r="CH65" s="7">
        <v>0</v>
      </c>
      <c r="CI65" s="77">
        <v>0.61699999999999999</v>
      </c>
      <c r="CJ65" s="23">
        <f t="shared" si="1"/>
        <v>121.899</v>
      </c>
      <c r="CK65" s="23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</row>
    <row r="66" spans="1:153" ht="14.5">
      <c r="A66" s="31" t="s">
        <v>131</v>
      </c>
      <c r="B66" s="44" t="s">
        <v>132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22.811</v>
      </c>
      <c r="Q66" s="6">
        <v>14.88</v>
      </c>
      <c r="R66" s="6">
        <v>2.4950000000000001</v>
      </c>
      <c r="S66" s="6">
        <v>0.157</v>
      </c>
      <c r="T66" s="6">
        <v>0.80400000000000005</v>
      </c>
      <c r="U66" s="6">
        <v>4.3230000000000004</v>
      </c>
      <c r="V66" s="6">
        <v>1.7929999999999999</v>
      </c>
      <c r="W66" s="6">
        <v>2.2200000000000002</v>
      </c>
      <c r="X66" s="6">
        <v>0.34200000000000003</v>
      </c>
      <c r="Y66" s="6">
        <v>1.407</v>
      </c>
      <c r="Z66" s="6">
        <v>3.202</v>
      </c>
      <c r="AA66" s="6">
        <v>15.561999999999999</v>
      </c>
      <c r="AB66" s="6">
        <v>0.81200000000000006</v>
      </c>
      <c r="AC66" s="6">
        <v>5.0000000000000001E-3</v>
      </c>
      <c r="AD66" s="6">
        <v>3.6669999999999998</v>
      </c>
      <c r="AE66" s="6">
        <v>6.1639999999999997</v>
      </c>
      <c r="AF66" s="6">
        <v>1.48</v>
      </c>
      <c r="AG66" s="6">
        <v>0</v>
      </c>
      <c r="AH66" s="6">
        <v>7.2830000000000004</v>
      </c>
      <c r="AI66" s="6">
        <v>1.109</v>
      </c>
      <c r="AJ66" s="6">
        <v>4.2880000000000003</v>
      </c>
      <c r="AK66" s="6">
        <v>3.2000000000000001E-2</v>
      </c>
      <c r="AL66" s="6">
        <v>6.6340000000000003</v>
      </c>
      <c r="AM66" s="6">
        <v>0.65400000000000003</v>
      </c>
      <c r="AN66" s="6">
        <v>32.662999999999997</v>
      </c>
      <c r="AO66" s="6">
        <v>1.4039999999999999</v>
      </c>
      <c r="AP66" s="6">
        <v>1.5009999999999999</v>
      </c>
      <c r="AQ66" s="6">
        <v>1.6080000000000001</v>
      </c>
      <c r="AR66" s="6">
        <v>1.78</v>
      </c>
      <c r="AS66" s="6">
        <v>0.245</v>
      </c>
      <c r="AT66" s="6">
        <v>8.7230000000000008</v>
      </c>
      <c r="AU66" s="6">
        <v>7.2389999999999999</v>
      </c>
      <c r="AV66" s="6">
        <v>0.27700000000000002</v>
      </c>
      <c r="AW66" s="6">
        <v>4.7990000000000004</v>
      </c>
      <c r="AX66" s="6">
        <v>18.292999999999999</v>
      </c>
      <c r="AY66" s="6">
        <v>1.492</v>
      </c>
      <c r="AZ66" s="6">
        <v>0.25900000000000001</v>
      </c>
      <c r="BA66" s="6">
        <v>40.988999999999997</v>
      </c>
      <c r="BB66" s="6">
        <v>49.686999999999998</v>
      </c>
      <c r="BC66" s="6">
        <v>3.9409999999999998</v>
      </c>
      <c r="BD66" s="6">
        <v>18.965</v>
      </c>
      <c r="BE66" s="6">
        <v>7.2460000000000004</v>
      </c>
      <c r="BF66" s="6">
        <v>0.23</v>
      </c>
      <c r="BG66" s="6">
        <v>1.327</v>
      </c>
      <c r="BH66" s="6">
        <v>0</v>
      </c>
      <c r="BI66" s="6">
        <v>15.374000000000001</v>
      </c>
      <c r="BJ66" s="6">
        <v>4.5220000000000002</v>
      </c>
      <c r="BK66" s="6">
        <v>13.706</v>
      </c>
      <c r="BL66" s="6">
        <v>9.7889999999999997</v>
      </c>
      <c r="BM66" s="6">
        <v>4.4939999999999998</v>
      </c>
      <c r="BN66" s="6">
        <v>0</v>
      </c>
      <c r="BO66" s="6">
        <v>0</v>
      </c>
      <c r="BP66" s="6">
        <v>8.5619999999999994</v>
      </c>
      <c r="BQ66" s="6">
        <v>15.238</v>
      </c>
      <c r="BR66" s="6">
        <v>27.527999999999999</v>
      </c>
      <c r="BS66" s="6">
        <v>4.4260000000000002</v>
      </c>
      <c r="BT66" s="6">
        <v>15.359</v>
      </c>
      <c r="BU66" s="6">
        <v>0</v>
      </c>
      <c r="BV66" s="6">
        <v>1.6180000000000001</v>
      </c>
      <c r="BW66" s="6">
        <v>1.837</v>
      </c>
      <c r="BX66" s="6">
        <v>0.17199999999999999</v>
      </c>
      <c r="BY66" s="6">
        <v>6.625</v>
      </c>
      <c r="BZ66" s="6">
        <v>10.085000000000001</v>
      </c>
      <c r="CA66" s="6">
        <v>1.647</v>
      </c>
      <c r="CB66" s="6">
        <v>0</v>
      </c>
      <c r="CC66" s="6">
        <v>0</v>
      </c>
      <c r="CD66" s="6">
        <v>0</v>
      </c>
      <c r="CE66" s="7">
        <f t="shared" si="0"/>
        <v>445.77399999999989</v>
      </c>
      <c r="CF66" s="7">
        <v>1.02</v>
      </c>
      <c r="CG66" s="7">
        <v>0</v>
      </c>
      <c r="CH66" s="7">
        <v>0</v>
      </c>
      <c r="CI66" s="77">
        <v>0</v>
      </c>
      <c r="CJ66" s="23">
        <f t="shared" si="1"/>
        <v>446.79399999999987</v>
      </c>
      <c r="CK66" s="23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</row>
    <row r="67" spans="1:153" ht="14.5">
      <c r="A67" s="31" t="s">
        <v>133</v>
      </c>
      <c r="B67" s="44" t="s">
        <v>134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23.821000000000002</v>
      </c>
      <c r="BV67" s="6">
        <v>35.543999999999997</v>
      </c>
      <c r="BW67" s="6">
        <v>0</v>
      </c>
      <c r="BX67" s="6">
        <v>0</v>
      </c>
      <c r="BY67" s="6">
        <v>0</v>
      </c>
      <c r="BZ67" s="6">
        <v>0</v>
      </c>
      <c r="CA67" s="6">
        <v>1.865</v>
      </c>
      <c r="CB67" s="6">
        <v>0</v>
      </c>
      <c r="CC67" s="6">
        <v>0</v>
      </c>
      <c r="CD67" s="6">
        <v>0</v>
      </c>
      <c r="CE67" s="7">
        <f t="shared" si="0"/>
        <v>61.23</v>
      </c>
      <c r="CF67" s="7">
        <v>829.30600000000004</v>
      </c>
      <c r="CG67" s="7">
        <v>0</v>
      </c>
      <c r="CH67" s="7">
        <v>0</v>
      </c>
      <c r="CI67" s="77">
        <v>79.751000000000005</v>
      </c>
      <c r="CJ67" s="23">
        <f t="shared" si="1"/>
        <v>970.28700000000003</v>
      </c>
      <c r="CK67" s="23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</row>
    <row r="68" spans="1:153" ht="14.5">
      <c r="A68" s="31" t="s">
        <v>135</v>
      </c>
      <c r="B68" s="44" t="s">
        <v>136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0.96099999999999997</v>
      </c>
      <c r="Q68" s="6">
        <v>0.79300000000000004</v>
      </c>
      <c r="R68" s="6">
        <v>3.0110000000000001</v>
      </c>
      <c r="S68" s="6">
        <v>0</v>
      </c>
      <c r="T68" s="6">
        <v>0</v>
      </c>
      <c r="U68" s="6">
        <v>4.9000000000000002E-2</v>
      </c>
      <c r="V68" s="6">
        <v>7.0000000000000001E-3</v>
      </c>
      <c r="W68" s="6">
        <v>8.3000000000000004E-2</v>
      </c>
      <c r="X68" s="6">
        <v>1.288</v>
      </c>
      <c r="Y68" s="6">
        <v>0</v>
      </c>
      <c r="Z68" s="6">
        <v>1.143</v>
      </c>
      <c r="AA68" s="6">
        <v>0.11899999999999999</v>
      </c>
      <c r="AB68" s="6">
        <v>0.246</v>
      </c>
      <c r="AC68" s="6">
        <v>0</v>
      </c>
      <c r="AD68" s="6">
        <v>2.2570000000000001</v>
      </c>
      <c r="AE68" s="6">
        <v>0.58499999999999996</v>
      </c>
      <c r="AF68" s="6">
        <v>0.93799999999999994</v>
      </c>
      <c r="AG68" s="6">
        <v>0</v>
      </c>
      <c r="AH68" s="6">
        <v>1.37</v>
      </c>
      <c r="AI68" s="6">
        <v>0</v>
      </c>
      <c r="AJ68" s="6">
        <v>0.14199999999999999</v>
      </c>
      <c r="AK68" s="6">
        <v>0.27700000000000002</v>
      </c>
      <c r="AL68" s="6">
        <v>0.105</v>
      </c>
      <c r="AM68" s="6">
        <v>0</v>
      </c>
      <c r="AN68" s="6">
        <v>1.2430000000000001</v>
      </c>
      <c r="AO68" s="6">
        <v>2.1000000000000001E-2</v>
      </c>
      <c r="AP68" s="6">
        <v>7.6999999999999999E-2</v>
      </c>
      <c r="AQ68" s="6">
        <v>0.37</v>
      </c>
      <c r="AR68" s="6">
        <v>0.14799999999999999</v>
      </c>
      <c r="AS68" s="6">
        <v>3.9E-2</v>
      </c>
      <c r="AT68" s="6">
        <v>0.84799999999999998</v>
      </c>
      <c r="AU68" s="6">
        <v>0.88800000000000001</v>
      </c>
      <c r="AV68" s="6">
        <v>0.309</v>
      </c>
      <c r="AW68" s="6">
        <v>10.9</v>
      </c>
      <c r="AX68" s="6">
        <v>0</v>
      </c>
      <c r="AY68" s="6">
        <v>1.6679999999999999</v>
      </c>
      <c r="AZ68" s="6">
        <v>0.27700000000000002</v>
      </c>
      <c r="BA68" s="6">
        <v>64.06</v>
      </c>
      <c r="BB68" s="6">
        <v>38.368000000000002</v>
      </c>
      <c r="BC68" s="6">
        <v>5.8360000000000003</v>
      </c>
      <c r="BD68" s="6">
        <v>9.0999999999999998E-2</v>
      </c>
      <c r="BE68" s="6">
        <v>0.86899999999999999</v>
      </c>
      <c r="BF68" s="6">
        <v>0</v>
      </c>
      <c r="BG68" s="6">
        <v>6.7960000000000003</v>
      </c>
      <c r="BH68" s="6">
        <v>0.27100000000000002</v>
      </c>
      <c r="BI68" s="6">
        <v>7.3559999999999999</v>
      </c>
      <c r="BJ68" s="6">
        <v>1.226</v>
      </c>
      <c r="BK68" s="6">
        <v>29.14</v>
      </c>
      <c r="BL68" s="6">
        <v>0</v>
      </c>
      <c r="BM68" s="6">
        <v>0.01</v>
      </c>
      <c r="BN68" s="6">
        <v>0</v>
      </c>
      <c r="BO68" s="6">
        <v>1.1619999999999999</v>
      </c>
      <c r="BP68" s="6">
        <v>1.528</v>
      </c>
      <c r="BQ68" s="6">
        <v>0.26200000000000001</v>
      </c>
      <c r="BR68" s="6">
        <v>0.38400000000000001</v>
      </c>
      <c r="BS68" s="6">
        <v>0.66300000000000003</v>
      </c>
      <c r="BT68" s="6">
        <v>1.6060000000000001</v>
      </c>
      <c r="BU68" s="6">
        <v>49.531999999999996</v>
      </c>
      <c r="BV68" s="6">
        <v>0.14399999999999999</v>
      </c>
      <c r="BW68" s="6">
        <v>0.80700000000000005</v>
      </c>
      <c r="BX68" s="6">
        <v>5.6180000000000003</v>
      </c>
      <c r="BY68" s="6">
        <v>0.218</v>
      </c>
      <c r="BZ68" s="6">
        <v>1.746</v>
      </c>
      <c r="CA68" s="6">
        <v>9.1129999999999995</v>
      </c>
      <c r="CB68" s="6">
        <v>0</v>
      </c>
      <c r="CC68" s="6">
        <v>0</v>
      </c>
      <c r="CD68" s="6">
        <v>0</v>
      </c>
      <c r="CE68" s="7">
        <f t="shared" si="0"/>
        <v>256.96799999999996</v>
      </c>
      <c r="CF68" s="7">
        <v>247.471</v>
      </c>
      <c r="CG68" s="7">
        <v>0</v>
      </c>
      <c r="CH68" s="7">
        <v>0</v>
      </c>
      <c r="CI68" s="77">
        <v>0</v>
      </c>
      <c r="CJ68" s="23">
        <f t="shared" ref="CJ68:CJ84" si="2">SUM(CE68:CI68)</f>
        <v>504.43899999999996</v>
      </c>
      <c r="CK68" s="23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</row>
    <row r="69" spans="1:153" ht="14.5">
      <c r="A69" s="31" t="s">
        <v>137</v>
      </c>
      <c r="B69" s="44" t="s">
        <v>138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4.149</v>
      </c>
      <c r="Q69" s="6">
        <v>0</v>
      </c>
      <c r="R69" s="6">
        <v>0</v>
      </c>
      <c r="S69" s="6">
        <v>0</v>
      </c>
      <c r="T69" s="6">
        <v>0.14199999999999999</v>
      </c>
      <c r="U69" s="6">
        <v>0</v>
      </c>
      <c r="V69" s="6">
        <v>1.36</v>
      </c>
      <c r="W69" s="6">
        <v>0.14899999999999999</v>
      </c>
      <c r="X69" s="6">
        <v>0</v>
      </c>
      <c r="Y69" s="6">
        <v>5.69</v>
      </c>
      <c r="Z69" s="6">
        <v>0.95899999999999996</v>
      </c>
      <c r="AA69" s="6">
        <v>1.1919999999999999</v>
      </c>
      <c r="AB69" s="6">
        <v>0.433</v>
      </c>
      <c r="AC69" s="6">
        <v>0</v>
      </c>
      <c r="AD69" s="6">
        <v>0</v>
      </c>
      <c r="AE69" s="6">
        <v>0.93700000000000006</v>
      </c>
      <c r="AF69" s="6">
        <v>0.25600000000000001</v>
      </c>
      <c r="AG69" s="6">
        <v>0</v>
      </c>
      <c r="AH69" s="6">
        <v>41.47</v>
      </c>
      <c r="AI69" s="6">
        <v>1.1299999999999999</v>
      </c>
      <c r="AJ69" s="6">
        <v>0.443</v>
      </c>
      <c r="AK69" s="6">
        <v>0</v>
      </c>
      <c r="AL69" s="6">
        <v>0.70099999999999996</v>
      </c>
      <c r="AM69" s="6">
        <v>0.44700000000000001</v>
      </c>
      <c r="AN69" s="6">
        <v>1.0269999999999999</v>
      </c>
      <c r="AO69" s="6">
        <v>0</v>
      </c>
      <c r="AP69" s="6">
        <v>0</v>
      </c>
      <c r="AQ69" s="6">
        <v>0.19500000000000001</v>
      </c>
      <c r="AR69" s="6">
        <v>1.5669999999999999</v>
      </c>
      <c r="AS69" s="6">
        <v>0</v>
      </c>
      <c r="AT69" s="6">
        <v>0</v>
      </c>
      <c r="AU69" s="6">
        <v>1.5049999999999999</v>
      </c>
      <c r="AV69" s="6">
        <v>0.23699999999999999</v>
      </c>
      <c r="AW69" s="6">
        <v>11.028</v>
      </c>
      <c r="AX69" s="6">
        <v>1.5980000000000001</v>
      </c>
      <c r="AY69" s="6">
        <v>0</v>
      </c>
      <c r="AZ69" s="6">
        <v>8.5999999999999993E-2</v>
      </c>
      <c r="BA69" s="6">
        <v>38.805</v>
      </c>
      <c r="BB69" s="6">
        <v>24.847000000000001</v>
      </c>
      <c r="BC69" s="6">
        <v>13.906000000000001</v>
      </c>
      <c r="BD69" s="6">
        <v>11.68</v>
      </c>
      <c r="BE69" s="6">
        <v>9.516</v>
      </c>
      <c r="BF69" s="6">
        <v>0.48499999999999999</v>
      </c>
      <c r="BG69" s="6">
        <v>2.8679999999999999</v>
      </c>
      <c r="BH69" s="6">
        <v>0</v>
      </c>
      <c r="BI69" s="6">
        <v>2.895</v>
      </c>
      <c r="BJ69" s="6">
        <v>0</v>
      </c>
      <c r="BK69" s="6">
        <v>10.169</v>
      </c>
      <c r="BL69" s="6">
        <v>3.0049999999999999</v>
      </c>
      <c r="BM69" s="6">
        <v>3.0179999999999998</v>
      </c>
      <c r="BN69" s="6">
        <v>0</v>
      </c>
      <c r="BO69" s="6">
        <v>1.268</v>
      </c>
      <c r="BP69" s="6">
        <v>18.404</v>
      </c>
      <c r="BQ69" s="6">
        <v>2.758</v>
      </c>
      <c r="BR69" s="6">
        <v>39.610999999999997</v>
      </c>
      <c r="BS69" s="6">
        <v>3.492</v>
      </c>
      <c r="BT69" s="6">
        <v>2.5449999999999999</v>
      </c>
      <c r="BU69" s="6">
        <v>6.0670000000000002</v>
      </c>
      <c r="BV69" s="6">
        <v>0.46</v>
      </c>
      <c r="BW69" s="6">
        <v>0.16500000000000001</v>
      </c>
      <c r="BX69" s="6">
        <v>9.5000000000000001E-2</v>
      </c>
      <c r="BY69" s="6">
        <v>0</v>
      </c>
      <c r="BZ69" s="6">
        <v>0</v>
      </c>
      <c r="CA69" s="6">
        <v>2.0649999999999999</v>
      </c>
      <c r="CB69" s="6">
        <v>0</v>
      </c>
      <c r="CC69" s="6">
        <v>0</v>
      </c>
      <c r="CD69" s="6">
        <v>0</v>
      </c>
      <c r="CE69" s="7">
        <f t="shared" ref="CE69:CE83" si="3">SUM(C69:CD69)</f>
        <v>274.8250000000001</v>
      </c>
      <c r="CF69" s="7">
        <v>2.1480000000000001</v>
      </c>
      <c r="CG69" s="7">
        <v>0</v>
      </c>
      <c r="CH69" s="7">
        <v>0</v>
      </c>
      <c r="CI69" s="77">
        <v>0</v>
      </c>
      <c r="CJ69" s="23">
        <f t="shared" si="2"/>
        <v>276.97300000000013</v>
      </c>
      <c r="CK69" s="23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</row>
    <row r="70" spans="1:153" ht="14.5">
      <c r="A70" s="31" t="s">
        <v>139</v>
      </c>
      <c r="B70" s="44" t="s">
        <v>140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34.396999999999998</v>
      </c>
      <c r="AX70" s="6">
        <v>80.757000000000005</v>
      </c>
      <c r="AY70" s="6">
        <v>0</v>
      </c>
      <c r="AZ70" s="6">
        <v>0.03</v>
      </c>
      <c r="BA70" s="6">
        <v>11.27</v>
      </c>
      <c r="BB70" s="6">
        <v>4.4729999999999999</v>
      </c>
      <c r="BC70" s="6">
        <v>0</v>
      </c>
      <c r="BD70" s="6">
        <v>2.012</v>
      </c>
      <c r="BE70" s="6">
        <v>0</v>
      </c>
      <c r="BF70" s="6">
        <v>0</v>
      </c>
      <c r="BG70" s="6">
        <v>0</v>
      </c>
      <c r="BH70" s="6">
        <v>2.1019999999999999</v>
      </c>
      <c r="BI70" s="6">
        <v>0.38300000000000001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7">
        <f t="shared" si="3"/>
        <v>135.42400000000001</v>
      </c>
      <c r="CF70" s="7">
        <v>0</v>
      </c>
      <c r="CG70" s="7">
        <v>0</v>
      </c>
      <c r="CH70" s="7">
        <v>0</v>
      </c>
      <c r="CI70" s="77">
        <v>0</v>
      </c>
      <c r="CJ70" s="23">
        <f t="shared" si="2"/>
        <v>135.42400000000001</v>
      </c>
      <c r="CK70" s="23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</row>
    <row r="71" spans="1:153" ht="14.5">
      <c r="A71" s="31" t="s">
        <v>141</v>
      </c>
      <c r="B71" s="44" t="s">
        <v>142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4.6760000000000002</v>
      </c>
      <c r="L71" s="6">
        <v>0.41799999999999998</v>
      </c>
      <c r="M71" s="6">
        <v>0</v>
      </c>
      <c r="N71" s="6">
        <v>0</v>
      </c>
      <c r="O71" s="6">
        <v>0</v>
      </c>
      <c r="P71" s="6">
        <v>15.404999999999999</v>
      </c>
      <c r="Q71" s="6">
        <v>0</v>
      </c>
      <c r="R71" s="6">
        <v>6.5049999999999999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0.77600000000000002</v>
      </c>
      <c r="AC71" s="6">
        <v>0</v>
      </c>
      <c r="AD71" s="6">
        <v>0</v>
      </c>
      <c r="AE71" s="6">
        <v>0</v>
      </c>
      <c r="AF71" s="6">
        <v>1.147</v>
      </c>
      <c r="AG71" s="6">
        <v>0</v>
      </c>
      <c r="AH71" s="6">
        <v>3.133</v>
      </c>
      <c r="AI71" s="6">
        <v>0.59899999999999998</v>
      </c>
      <c r="AJ71" s="6">
        <v>0</v>
      </c>
      <c r="AK71" s="6">
        <v>1E-3</v>
      </c>
      <c r="AL71" s="6">
        <v>7.931</v>
      </c>
      <c r="AM71" s="6">
        <v>0</v>
      </c>
      <c r="AN71" s="6">
        <v>5.0000000000000001E-3</v>
      </c>
      <c r="AO71" s="6">
        <v>3.79</v>
      </c>
      <c r="AP71" s="6">
        <v>7.891</v>
      </c>
      <c r="AQ71" s="6">
        <v>0.78400000000000003</v>
      </c>
      <c r="AR71" s="6">
        <v>3.6999999999999998E-2</v>
      </c>
      <c r="AS71" s="6">
        <v>0</v>
      </c>
      <c r="AT71" s="6">
        <v>3.42</v>
      </c>
      <c r="AU71" s="6">
        <v>2.4990000000000001</v>
      </c>
      <c r="AV71" s="6">
        <v>0.18</v>
      </c>
      <c r="AW71" s="6">
        <v>11.481999999999999</v>
      </c>
      <c r="AX71" s="6">
        <v>3.7549999999999999</v>
      </c>
      <c r="AY71" s="6">
        <v>0.88400000000000001</v>
      </c>
      <c r="AZ71" s="6">
        <v>2.8000000000000001E-2</v>
      </c>
      <c r="BA71" s="6">
        <v>0</v>
      </c>
      <c r="BB71" s="6">
        <v>0</v>
      </c>
      <c r="BC71" s="6">
        <v>0</v>
      </c>
      <c r="BD71" s="6">
        <v>36.984000000000002</v>
      </c>
      <c r="BE71" s="6">
        <v>0</v>
      </c>
      <c r="BF71" s="6">
        <v>0.42099999999999999</v>
      </c>
      <c r="BG71" s="6">
        <v>0</v>
      </c>
      <c r="BH71" s="6">
        <v>25.675999999999998</v>
      </c>
      <c r="BI71" s="6">
        <v>6.6529999999999996</v>
      </c>
      <c r="BJ71" s="6">
        <v>3.411</v>
      </c>
      <c r="BK71" s="6">
        <v>9.6910000000000007</v>
      </c>
      <c r="BL71" s="6">
        <v>0.76400000000000001</v>
      </c>
      <c r="BM71" s="6">
        <v>6.944</v>
      </c>
      <c r="BN71" s="6">
        <v>0</v>
      </c>
      <c r="BO71" s="6">
        <v>1.085</v>
      </c>
      <c r="BP71" s="6">
        <v>14.218999999999999</v>
      </c>
      <c r="BQ71" s="6">
        <v>9.0280000000000005</v>
      </c>
      <c r="BR71" s="6">
        <v>23.742000000000001</v>
      </c>
      <c r="BS71" s="6">
        <v>2.8260000000000001</v>
      </c>
      <c r="BT71" s="6">
        <v>26.38</v>
      </c>
      <c r="BU71" s="6">
        <v>152.209</v>
      </c>
      <c r="BV71" s="6">
        <v>58.097000000000001</v>
      </c>
      <c r="BW71" s="6">
        <v>49.072000000000003</v>
      </c>
      <c r="BX71" s="6">
        <v>1.456</v>
      </c>
      <c r="BY71" s="6">
        <v>0</v>
      </c>
      <c r="BZ71" s="6">
        <v>6.8140000000000001</v>
      </c>
      <c r="CA71" s="6">
        <v>5.3890000000000002</v>
      </c>
      <c r="CB71" s="6">
        <v>0</v>
      </c>
      <c r="CC71" s="6">
        <v>0</v>
      </c>
      <c r="CD71" s="6">
        <v>0</v>
      </c>
      <c r="CE71" s="7">
        <f t="shared" si="3"/>
        <v>516.20699999999999</v>
      </c>
      <c r="CF71" s="7">
        <v>18.448</v>
      </c>
      <c r="CG71" s="7">
        <v>0</v>
      </c>
      <c r="CH71" s="7">
        <v>0</v>
      </c>
      <c r="CI71" s="77">
        <v>0.89800000000000002</v>
      </c>
      <c r="CJ71" s="23">
        <f t="shared" si="2"/>
        <v>535.553</v>
      </c>
      <c r="CK71" s="23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</row>
    <row r="72" spans="1:153" ht="14.5">
      <c r="A72" s="31" t="s">
        <v>143</v>
      </c>
      <c r="B72" s="44" t="s">
        <v>144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7">
        <f t="shared" si="3"/>
        <v>0</v>
      </c>
      <c r="CF72" s="7">
        <v>231.20099999999999</v>
      </c>
      <c r="CG72" s="7">
        <v>0</v>
      </c>
      <c r="CH72" s="7">
        <v>0</v>
      </c>
      <c r="CI72" s="77">
        <v>0</v>
      </c>
      <c r="CJ72" s="23">
        <f t="shared" si="2"/>
        <v>231.20099999999999</v>
      </c>
      <c r="CK72" s="23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</row>
    <row r="73" spans="1:153" s="22" customFormat="1" ht="14.5">
      <c r="A73" s="31" t="s">
        <v>145</v>
      </c>
      <c r="B73" s="44" t="s">
        <v>146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4.633</v>
      </c>
      <c r="Q73" s="6">
        <v>8.3559999999999999</v>
      </c>
      <c r="R73" s="6">
        <v>6.47</v>
      </c>
      <c r="S73" s="6">
        <v>1E-3</v>
      </c>
      <c r="T73" s="6">
        <v>3.2000000000000001E-2</v>
      </c>
      <c r="U73" s="6">
        <v>0.63600000000000001</v>
      </c>
      <c r="V73" s="6">
        <v>0.41799999999999998</v>
      </c>
      <c r="W73" s="6">
        <v>1.6879999999999999</v>
      </c>
      <c r="X73" s="6">
        <v>0.115</v>
      </c>
      <c r="Y73" s="6">
        <v>0.19900000000000001</v>
      </c>
      <c r="Z73" s="6">
        <v>2.738</v>
      </c>
      <c r="AA73" s="6">
        <v>11.878</v>
      </c>
      <c r="AB73" s="6">
        <v>2.1000000000000001E-2</v>
      </c>
      <c r="AC73" s="6">
        <v>0</v>
      </c>
      <c r="AD73" s="6">
        <v>0.625</v>
      </c>
      <c r="AE73" s="6">
        <v>0.68100000000000005</v>
      </c>
      <c r="AF73" s="6">
        <v>0.32400000000000001</v>
      </c>
      <c r="AG73" s="6">
        <v>0</v>
      </c>
      <c r="AH73" s="6">
        <v>3.0390000000000001</v>
      </c>
      <c r="AI73" s="6">
        <v>6.3E-2</v>
      </c>
      <c r="AJ73" s="6">
        <v>0.44600000000000001</v>
      </c>
      <c r="AK73" s="6">
        <v>1E-3</v>
      </c>
      <c r="AL73" s="6">
        <v>3.3940000000000001</v>
      </c>
      <c r="AM73" s="6">
        <v>0</v>
      </c>
      <c r="AN73" s="6">
        <v>7.782</v>
      </c>
      <c r="AO73" s="6">
        <v>0.49099999999999999</v>
      </c>
      <c r="AP73" s="6">
        <v>2.403</v>
      </c>
      <c r="AQ73" s="6">
        <v>0.113</v>
      </c>
      <c r="AR73" s="6">
        <v>9.7000000000000003E-2</v>
      </c>
      <c r="AS73" s="6">
        <v>3.0000000000000001E-3</v>
      </c>
      <c r="AT73" s="6">
        <v>5.4240000000000004</v>
      </c>
      <c r="AU73" s="6">
        <v>0.55400000000000005</v>
      </c>
      <c r="AV73" s="6">
        <v>3.9E-2</v>
      </c>
      <c r="AW73" s="6">
        <v>474.428</v>
      </c>
      <c r="AX73" s="6">
        <v>149.744</v>
      </c>
      <c r="AY73" s="6">
        <v>0.22600000000000001</v>
      </c>
      <c r="AZ73" s="6">
        <v>1.4999999999999999E-2</v>
      </c>
      <c r="BA73" s="6">
        <v>50.192</v>
      </c>
      <c r="BB73" s="6">
        <v>26.08</v>
      </c>
      <c r="BC73" s="6">
        <v>27.574000000000002</v>
      </c>
      <c r="BD73" s="6">
        <v>10.004</v>
      </c>
      <c r="BE73" s="6">
        <v>6.1589999999999998</v>
      </c>
      <c r="BF73" s="6">
        <v>0.106</v>
      </c>
      <c r="BG73" s="6">
        <v>5.1360000000000001</v>
      </c>
      <c r="BH73" s="6">
        <v>0</v>
      </c>
      <c r="BI73" s="6">
        <v>0.96599999999999997</v>
      </c>
      <c r="BJ73" s="6">
        <v>0.127</v>
      </c>
      <c r="BK73" s="6">
        <v>23.195</v>
      </c>
      <c r="BL73" s="6">
        <v>0.214</v>
      </c>
      <c r="BM73" s="6">
        <v>0.34</v>
      </c>
      <c r="BN73" s="6">
        <v>0</v>
      </c>
      <c r="BO73" s="6">
        <v>0.82299999999999995</v>
      </c>
      <c r="BP73" s="6">
        <v>1.95</v>
      </c>
      <c r="BQ73" s="6">
        <v>1.2789999999999999</v>
      </c>
      <c r="BR73" s="6">
        <v>3.6560000000000001</v>
      </c>
      <c r="BS73" s="6">
        <v>4.327</v>
      </c>
      <c r="BT73" s="6">
        <v>6.1109999999999998</v>
      </c>
      <c r="BU73" s="6">
        <v>145.375</v>
      </c>
      <c r="BV73" s="6">
        <v>14.449</v>
      </c>
      <c r="BW73" s="6">
        <v>2.702</v>
      </c>
      <c r="BX73" s="6">
        <v>0.71699999999999997</v>
      </c>
      <c r="BY73" s="6">
        <v>0</v>
      </c>
      <c r="BZ73" s="6">
        <v>3.798</v>
      </c>
      <c r="CA73" s="6">
        <v>3.06</v>
      </c>
      <c r="CB73" s="6">
        <v>0</v>
      </c>
      <c r="CC73" s="6">
        <v>0</v>
      </c>
      <c r="CD73" s="6">
        <v>0</v>
      </c>
      <c r="CE73" s="7">
        <f t="shared" si="3"/>
        <v>1025.4169999999999</v>
      </c>
      <c r="CF73" s="7">
        <v>13.013</v>
      </c>
      <c r="CG73" s="7">
        <v>0</v>
      </c>
      <c r="CH73" s="7">
        <v>0</v>
      </c>
      <c r="CI73" s="77">
        <v>5.5659999999999998</v>
      </c>
      <c r="CJ73" s="23">
        <f t="shared" si="2"/>
        <v>1043.9959999999999</v>
      </c>
      <c r="CK73" s="23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</row>
    <row r="74" spans="1:153" ht="14.5">
      <c r="A74" s="31" t="s">
        <v>147</v>
      </c>
      <c r="B74" s="44" t="s">
        <v>148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7">
        <f t="shared" si="3"/>
        <v>0</v>
      </c>
      <c r="CF74" s="7">
        <v>48.783999999999999</v>
      </c>
      <c r="CG74" s="7">
        <v>2190.2629999999999</v>
      </c>
      <c r="CH74" s="7">
        <v>0</v>
      </c>
      <c r="CI74" s="77">
        <v>201.262</v>
      </c>
      <c r="CJ74" s="23">
        <f t="shared" si="2"/>
        <v>2440.3090000000002</v>
      </c>
    </row>
    <row r="75" spans="1:153" ht="14.5">
      <c r="A75" s="31" t="s">
        <v>149</v>
      </c>
      <c r="B75" s="44" t="s">
        <v>150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9.1999999999999998E-2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5.5E-2</v>
      </c>
      <c r="AS75" s="6">
        <v>0</v>
      </c>
      <c r="AT75" s="6">
        <v>0</v>
      </c>
      <c r="AU75" s="6">
        <v>8.9999999999999993E-3</v>
      </c>
      <c r="AV75" s="6">
        <v>0</v>
      </c>
      <c r="AW75" s="6">
        <v>0</v>
      </c>
      <c r="AX75" s="6">
        <v>2.5000000000000001E-2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1.0999999999999999E-2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0.186</v>
      </c>
      <c r="BW75" s="6">
        <v>0</v>
      </c>
      <c r="BX75" s="6">
        <v>0.14299999999999999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7">
        <f t="shared" si="3"/>
        <v>0.52100000000000002</v>
      </c>
      <c r="CF75" s="7">
        <v>205.59700000000001</v>
      </c>
      <c r="CG75" s="7">
        <v>888.79899999999998</v>
      </c>
      <c r="CH75" s="7">
        <v>0</v>
      </c>
      <c r="CI75" s="77">
        <v>0</v>
      </c>
      <c r="CJ75" s="23">
        <f t="shared" si="2"/>
        <v>1094.9169999999999</v>
      </c>
    </row>
    <row r="76" spans="1:153" ht="14.5">
      <c r="A76" s="31" t="s">
        <v>151</v>
      </c>
      <c r="B76" s="44" t="s">
        <v>152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6.1429999999999998</v>
      </c>
      <c r="BV76" s="6">
        <v>0</v>
      </c>
      <c r="BW76" s="6">
        <v>0.55200000000000005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7">
        <f t="shared" si="3"/>
        <v>6.6950000000000003</v>
      </c>
      <c r="CF76" s="7">
        <v>65.477000000000004</v>
      </c>
      <c r="CG76" s="7">
        <v>350.98200000000003</v>
      </c>
      <c r="CH76" s="7">
        <v>0</v>
      </c>
      <c r="CI76" s="77">
        <v>0</v>
      </c>
      <c r="CJ76" s="23">
        <f t="shared" si="2"/>
        <v>423.154</v>
      </c>
    </row>
    <row r="77" spans="1:153" ht="14.5">
      <c r="A77" s="31" t="s">
        <v>153</v>
      </c>
      <c r="B77" s="44" t="s">
        <v>154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7">
        <f t="shared" si="3"/>
        <v>0</v>
      </c>
      <c r="CF77" s="7">
        <v>13.266999999999999</v>
      </c>
      <c r="CG77" s="7">
        <v>95.177999999999997</v>
      </c>
      <c r="CH77" s="7">
        <v>0</v>
      </c>
      <c r="CI77" s="77">
        <v>0</v>
      </c>
      <c r="CJ77" s="23">
        <f t="shared" si="2"/>
        <v>108.44499999999999</v>
      </c>
    </row>
    <row r="78" spans="1:153" ht="14.5">
      <c r="A78" s="31" t="s">
        <v>155</v>
      </c>
      <c r="B78" s="44" t="s">
        <v>156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7">
        <f t="shared" si="3"/>
        <v>0</v>
      </c>
      <c r="CF78" s="7">
        <v>33.045999999999999</v>
      </c>
      <c r="CG78" s="7">
        <v>0</v>
      </c>
      <c r="CH78" s="7">
        <v>0</v>
      </c>
      <c r="CI78" s="77">
        <v>33.941000000000003</v>
      </c>
      <c r="CJ78" s="23">
        <f t="shared" si="2"/>
        <v>66.986999999999995</v>
      </c>
    </row>
    <row r="79" spans="1:153" ht="14.5">
      <c r="A79" s="31" t="s">
        <v>157</v>
      </c>
      <c r="B79" s="44" t="s">
        <v>158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12.246</v>
      </c>
      <c r="Q79" s="6">
        <v>0</v>
      </c>
      <c r="R79" s="6">
        <v>8.0609999999999999</v>
      </c>
      <c r="S79" s="6">
        <v>0</v>
      </c>
      <c r="T79" s="6">
        <v>0</v>
      </c>
      <c r="U79" s="6">
        <v>0</v>
      </c>
      <c r="V79" s="6">
        <v>0</v>
      </c>
      <c r="W79" s="6">
        <v>9.5000000000000001E-2</v>
      </c>
      <c r="X79" s="6">
        <v>0</v>
      </c>
      <c r="Y79" s="6">
        <v>0.44400000000000001</v>
      </c>
      <c r="Z79" s="6">
        <v>0.61099999999999999</v>
      </c>
      <c r="AA79" s="6">
        <v>6.3E-2</v>
      </c>
      <c r="AB79" s="6">
        <v>0</v>
      </c>
      <c r="AC79" s="6">
        <v>0</v>
      </c>
      <c r="AD79" s="6">
        <v>0.95399999999999996</v>
      </c>
      <c r="AE79" s="6">
        <v>0</v>
      </c>
      <c r="AF79" s="6">
        <v>0.16300000000000001</v>
      </c>
      <c r="AG79" s="6">
        <v>0</v>
      </c>
      <c r="AH79" s="6">
        <v>2.081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0.54600000000000004</v>
      </c>
      <c r="AO79" s="6">
        <v>0</v>
      </c>
      <c r="AP79" s="6">
        <v>0</v>
      </c>
      <c r="AQ79" s="6">
        <v>0</v>
      </c>
      <c r="AR79" s="6">
        <v>0.39100000000000001</v>
      </c>
      <c r="AS79" s="6">
        <v>0</v>
      </c>
      <c r="AT79" s="6">
        <v>0</v>
      </c>
      <c r="AU79" s="6">
        <v>1.548</v>
      </c>
      <c r="AV79" s="6">
        <v>0.24399999999999999</v>
      </c>
      <c r="AW79" s="6">
        <v>0.61099999999999999</v>
      </c>
      <c r="AX79" s="6">
        <v>0.51100000000000001</v>
      </c>
      <c r="AY79" s="6">
        <v>0</v>
      </c>
      <c r="AZ79" s="6">
        <v>2.9000000000000001E-2</v>
      </c>
      <c r="BA79" s="6">
        <v>0.41599999999999998</v>
      </c>
      <c r="BB79" s="6">
        <v>0.78300000000000003</v>
      </c>
      <c r="BC79" s="6">
        <v>0.439</v>
      </c>
      <c r="BD79" s="6">
        <v>1.246</v>
      </c>
      <c r="BE79" s="6">
        <v>0.64500000000000002</v>
      </c>
      <c r="BF79" s="6">
        <v>4.2999999999999997E-2</v>
      </c>
      <c r="BG79" s="6">
        <v>8.8819999999999997</v>
      </c>
      <c r="BH79" s="6">
        <v>9.7219999999999995</v>
      </c>
      <c r="BI79" s="6">
        <v>0.33200000000000002</v>
      </c>
      <c r="BJ79" s="6">
        <v>0</v>
      </c>
      <c r="BK79" s="6">
        <v>1.179</v>
      </c>
      <c r="BL79" s="6">
        <v>0.13200000000000001</v>
      </c>
      <c r="BM79" s="6">
        <v>0</v>
      </c>
      <c r="BN79" s="6">
        <v>0</v>
      </c>
      <c r="BO79" s="6">
        <v>0</v>
      </c>
      <c r="BP79" s="6">
        <v>1.1140000000000001</v>
      </c>
      <c r="BQ79" s="6">
        <v>0</v>
      </c>
      <c r="BR79" s="6">
        <v>2.5859999999999999</v>
      </c>
      <c r="BS79" s="6">
        <v>2.74</v>
      </c>
      <c r="BT79" s="6">
        <v>2.4529999999999998</v>
      </c>
      <c r="BU79" s="6">
        <v>12.568</v>
      </c>
      <c r="BV79" s="6">
        <v>5.9489999999999998</v>
      </c>
      <c r="BW79" s="6">
        <v>3.669</v>
      </c>
      <c r="BX79" s="6">
        <v>3.57</v>
      </c>
      <c r="BY79" s="6">
        <v>0</v>
      </c>
      <c r="BZ79" s="6">
        <v>0</v>
      </c>
      <c r="CA79" s="6">
        <v>6.8650000000000002</v>
      </c>
      <c r="CB79" s="6">
        <v>0</v>
      </c>
      <c r="CC79" s="6">
        <v>0</v>
      </c>
      <c r="CD79" s="6">
        <v>0</v>
      </c>
      <c r="CE79" s="7">
        <f t="shared" si="3"/>
        <v>93.930999999999983</v>
      </c>
      <c r="CF79" s="7">
        <v>182.393</v>
      </c>
      <c r="CG79" s="7">
        <v>0</v>
      </c>
      <c r="CH79" s="7">
        <v>0.03</v>
      </c>
      <c r="CI79" s="77">
        <v>92.495999999999995</v>
      </c>
      <c r="CJ79" s="23">
        <f t="shared" si="2"/>
        <v>368.84999999999991</v>
      </c>
    </row>
    <row r="80" spans="1:153" ht="14.5">
      <c r="A80" s="31" t="s">
        <v>159</v>
      </c>
      <c r="B80" s="44" t="s">
        <v>160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0.436</v>
      </c>
      <c r="W80" s="6">
        <v>0</v>
      </c>
      <c r="X80" s="6">
        <v>0</v>
      </c>
      <c r="Y80" s="6">
        <v>0</v>
      </c>
      <c r="Z80" s="6">
        <v>13.808999999999999</v>
      </c>
      <c r="AA80" s="6">
        <v>20.905000000000001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0.70299999999999996</v>
      </c>
      <c r="AI80" s="6">
        <v>0.218</v>
      </c>
      <c r="AJ80" s="6">
        <v>0.74299999999999999</v>
      </c>
      <c r="AK80" s="6">
        <v>0</v>
      </c>
      <c r="AL80" s="6">
        <v>2.0219999999999998</v>
      </c>
      <c r="AM80" s="6">
        <v>0</v>
      </c>
      <c r="AN80" s="6">
        <v>0</v>
      </c>
      <c r="AO80" s="6">
        <v>0.24099999999999999</v>
      </c>
      <c r="AP80" s="6">
        <v>0</v>
      </c>
      <c r="AQ80" s="6">
        <v>0</v>
      </c>
      <c r="AR80" s="6">
        <v>0.246</v>
      </c>
      <c r="AS80" s="6">
        <v>0</v>
      </c>
      <c r="AT80" s="6">
        <v>0</v>
      </c>
      <c r="AU80" s="6">
        <v>0</v>
      </c>
      <c r="AV80" s="6">
        <v>0</v>
      </c>
      <c r="AW80" s="6">
        <v>23.177</v>
      </c>
      <c r="AX80" s="6">
        <v>18.713999999999999</v>
      </c>
      <c r="AY80" s="6">
        <v>0</v>
      </c>
      <c r="AZ80" s="6">
        <v>0</v>
      </c>
      <c r="BA80" s="6">
        <v>0.316</v>
      </c>
      <c r="BB80" s="6">
        <v>1.2E-2</v>
      </c>
      <c r="BC80" s="6">
        <v>0.17499999999999999</v>
      </c>
      <c r="BD80" s="6">
        <v>0</v>
      </c>
      <c r="BE80" s="6">
        <v>0</v>
      </c>
      <c r="BF80" s="6">
        <v>0</v>
      </c>
      <c r="BG80" s="6">
        <v>5.0919999999999996</v>
      </c>
      <c r="BH80" s="6">
        <v>0</v>
      </c>
      <c r="BI80" s="6">
        <v>5.6829999999999998</v>
      </c>
      <c r="BJ80" s="6">
        <v>0</v>
      </c>
      <c r="BK80" s="6">
        <v>0.83299999999999996</v>
      </c>
      <c r="BL80" s="6">
        <v>0.126</v>
      </c>
      <c r="BM80" s="6">
        <v>0</v>
      </c>
      <c r="BN80" s="6">
        <v>0</v>
      </c>
      <c r="BO80" s="6">
        <v>0</v>
      </c>
      <c r="BP80" s="6">
        <v>14.571999999999999</v>
      </c>
      <c r="BQ80" s="6">
        <v>0</v>
      </c>
      <c r="BR80" s="6">
        <v>20.774999999999999</v>
      </c>
      <c r="BS80" s="6">
        <v>0</v>
      </c>
      <c r="BT80" s="6">
        <v>14.038</v>
      </c>
      <c r="BU80" s="6">
        <v>20.925999999999998</v>
      </c>
      <c r="BV80" s="6">
        <v>1.2110000000000001</v>
      </c>
      <c r="BW80" s="6">
        <v>0.27300000000000002</v>
      </c>
      <c r="BX80" s="6">
        <v>0.17699999999999999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7">
        <f t="shared" si="3"/>
        <v>165.423</v>
      </c>
      <c r="CF80" s="7">
        <v>280.69900000000001</v>
      </c>
      <c r="CG80" s="7">
        <v>92.51</v>
      </c>
      <c r="CH80" s="7">
        <v>0</v>
      </c>
      <c r="CI80" s="77">
        <v>0</v>
      </c>
      <c r="CJ80" s="23">
        <f t="shared" si="2"/>
        <v>538.63200000000006</v>
      </c>
    </row>
    <row r="81" spans="1:88" ht="14.5">
      <c r="A81" s="31" t="s">
        <v>161</v>
      </c>
      <c r="B81" s="44" t="s">
        <v>162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7">
        <f t="shared" si="3"/>
        <v>0</v>
      </c>
      <c r="CF81" s="7">
        <v>62.42</v>
      </c>
      <c r="CG81" s="7">
        <v>0</v>
      </c>
      <c r="CH81" s="7">
        <v>0</v>
      </c>
      <c r="CI81" s="77">
        <v>0</v>
      </c>
      <c r="CJ81" s="23">
        <f t="shared" si="2"/>
        <v>62.42</v>
      </c>
    </row>
    <row r="82" spans="1:88" ht="14.5">
      <c r="A82" s="31" t="s">
        <v>163</v>
      </c>
      <c r="B82" s="44" t="s">
        <v>164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7">
        <f t="shared" si="3"/>
        <v>0</v>
      </c>
      <c r="CF82" s="7">
        <v>0</v>
      </c>
      <c r="CG82" s="7">
        <v>0</v>
      </c>
      <c r="CH82" s="7">
        <v>0</v>
      </c>
      <c r="CI82" s="77">
        <v>0</v>
      </c>
      <c r="CJ82" s="23">
        <f t="shared" si="2"/>
        <v>0</v>
      </c>
    </row>
    <row r="83" spans="1:88" ht="14.5">
      <c r="A83" s="41" t="s">
        <v>165</v>
      </c>
      <c r="B83" s="45" t="s">
        <v>166</v>
      </c>
      <c r="C83" s="75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42">
        <f t="shared" si="3"/>
        <v>0</v>
      </c>
      <c r="CF83" s="42">
        <v>0</v>
      </c>
      <c r="CG83" s="42">
        <v>0</v>
      </c>
      <c r="CH83" s="42">
        <v>0</v>
      </c>
      <c r="CI83" s="78">
        <v>0</v>
      </c>
      <c r="CJ83" s="43">
        <f t="shared" si="2"/>
        <v>0</v>
      </c>
    </row>
    <row r="84" spans="1:88" ht="15.5">
      <c r="B84" s="46" t="s">
        <v>173</v>
      </c>
      <c r="C84" s="23">
        <f t="shared" ref="C84:BN84" si="4">SUM(C4:C83)</f>
        <v>120.33699999999999</v>
      </c>
      <c r="D84" s="23">
        <f t="shared" si="4"/>
        <v>266.428</v>
      </c>
      <c r="E84" s="23">
        <f t="shared" si="4"/>
        <v>297.14999999999998</v>
      </c>
      <c r="F84" s="23">
        <f t="shared" si="4"/>
        <v>80.329000000000008</v>
      </c>
      <c r="G84" s="23">
        <f t="shared" si="4"/>
        <v>24.288</v>
      </c>
      <c r="H84" s="23">
        <f t="shared" si="4"/>
        <v>11.852999999999998</v>
      </c>
      <c r="I84" s="23">
        <f t="shared" si="4"/>
        <v>4.117</v>
      </c>
      <c r="J84" s="23">
        <f t="shared" si="4"/>
        <v>34.458999999999996</v>
      </c>
      <c r="K84" s="23">
        <f t="shared" si="4"/>
        <v>43.571000000000005</v>
      </c>
      <c r="L84" s="23">
        <f t="shared" si="4"/>
        <v>1.7819999999999996</v>
      </c>
      <c r="M84" s="23">
        <f t="shared" si="4"/>
        <v>15.969000000000001</v>
      </c>
      <c r="N84" s="23">
        <f t="shared" si="4"/>
        <v>21.033000000000001</v>
      </c>
      <c r="O84" s="23">
        <f t="shared" si="4"/>
        <v>0</v>
      </c>
      <c r="P84" s="23">
        <f t="shared" si="4"/>
        <v>191.84500000000006</v>
      </c>
      <c r="Q84" s="23">
        <f t="shared" si="4"/>
        <v>168.96500000000003</v>
      </c>
      <c r="R84" s="23">
        <f t="shared" si="4"/>
        <v>120.196</v>
      </c>
      <c r="S84" s="23">
        <f t="shared" si="4"/>
        <v>1.726</v>
      </c>
      <c r="T84" s="23">
        <f t="shared" si="4"/>
        <v>34.195</v>
      </c>
      <c r="U84" s="23">
        <f t="shared" si="4"/>
        <v>143.685</v>
      </c>
      <c r="V84" s="23">
        <f t="shared" si="4"/>
        <v>124.20400000000002</v>
      </c>
      <c r="W84" s="23">
        <f t="shared" si="4"/>
        <v>752.16199999999981</v>
      </c>
      <c r="X84" s="23">
        <f t="shared" si="4"/>
        <v>123.90699999999998</v>
      </c>
      <c r="Y84" s="23">
        <f t="shared" si="4"/>
        <v>47.446999999999989</v>
      </c>
      <c r="Z84" s="23">
        <f t="shared" si="4"/>
        <v>329.45600000000002</v>
      </c>
      <c r="AA84" s="23">
        <f t="shared" si="4"/>
        <v>414.02100000000007</v>
      </c>
      <c r="AB84" s="23">
        <f t="shared" si="4"/>
        <v>33.641000000000005</v>
      </c>
      <c r="AC84" s="23">
        <f t="shared" si="4"/>
        <v>0.36000000000000004</v>
      </c>
      <c r="AD84" s="23">
        <f t="shared" si="4"/>
        <v>253.58799999999999</v>
      </c>
      <c r="AE84" s="23">
        <f t="shared" si="4"/>
        <v>192.25600000000003</v>
      </c>
      <c r="AF84" s="23">
        <f t="shared" si="4"/>
        <v>47.062999999999995</v>
      </c>
      <c r="AG84" s="23">
        <f t="shared" si="4"/>
        <v>0</v>
      </c>
      <c r="AH84" s="23">
        <f t="shared" si="4"/>
        <v>333.03000000000003</v>
      </c>
      <c r="AI84" s="23">
        <f t="shared" si="4"/>
        <v>26.173999999999992</v>
      </c>
      <c r="AJ84" s="23">
        <f t="shared" si="4"/>
        <v>65.161999999999992</v>
      </c>
      <c r="AK84" s="23">
        <f t="shared" si="4"/>
        <v>54.812999999999988</v>
      </c>
      <c r="AL84" s="23">
        <f t="shared" si="4"/>
        <v>162.20399999999998</v>
      </c>
      <c r="AM84" s="23">
        <f t="shared" si="4"/>
        <v>70.825000000000003</v>
      </c>
      <c r="AN84" s="23">
        <f t="shared" si="4"/>
        <v>235.18199999999999</v>
      </c>
      <c r="AO84" s="23">
        <f t="shared" si="4"/>
        <v>37.552</v>
      </c>
      <c r="AP84" s="23">
        <f t="shared" si="4"/>
        <v>80.84</v>
      </c>
      <c r="AQ84" s="23">
        <f t="shared" si="4"/>
        <v>105.14700000000001</v>
      </c>
      <c r="AR84" s="23">
        <f t="shared" si="4"/>
        <v>82.210999999999984</v>
      </c>
      <c r="AS84" s="23">
        <f t="shared" si="4"/>
        <v>3.7960000000000007</v>
      </c>
      <c r="AT84" s="23">
        <f t="shared" si="4"/>
        <v>137.81700000000001</v>
      </c>
      <c r="AU84" s="23">
        <f t="shared" si="4"/>
        <v>77.542999999999992</v>
      </c>
      <c r="AV84" s="23">
        <f t="shared" si="4"/>
        <v>16.604999999999997</v>
      </c>
      <c r="AW84" s="23">
        <f t="shared" si="4"/>
        <v>3025.8459999999991</v>
      </c>
      <c r="AX84" s="23">
        <f t="shared" si="4"/>
        <v>2069.9569999999999</v>
      </c>
      <c r="AY84" s="23">
        <f t="shared" si="4"/>
        <v>113.57199999999999</v>
      </c>
      <c r="AZ84" s="23">
        <f t="shared" si="4"/>
        <v>41.02</v>
      </c>
      <c r="BA84" s="23">
        <f t="shared" si="4"/>
        <v>749.24300000000017</v>
      </c>
      <c r="BB84" s="23">
        <f t="shared" si="4"/>
        <v>426.71699999999998</v>
      </c>
      <c r="BC84" s="23">
        <f t="shared" si="4"/>
        <v>352.79900000000004</v>
      </c>
      <c r="BD84" s="23">
        <f t="shared" si="4"/>
        <v>273.93300000000005</v>
      </c>
      <c r="BE84" s="23">
        <f t="shared" si="4"/>
        <v>169.25200000000004</v>
      </c>
      <c r="BF84" s="23">
        <f t="shared" si="4"/>
        <v>8.6169999999999991</v>
      </c>
      <c r="BG84" s="23">
        <f t="shared" si="4"/>
        <v>793.25999999999988</v>
      </c>
      <c r="BH84" s="23">
        <f t="shared" si="4"/>
        <v>174.39699999999999</v>
      </c>
      <c r="BI84" s="23">
        <f t="shared" si="4"/>
        <v>100.03799999999998</v>
      </c>
      <c r="BJ84" s="23">
        <f t="shared" si="4"/>
        <v>48.764000000000003</v>
      </c>
      <c r="BK84" s="23">
        <f t="shared" si="4"/>
        <v>225.45599999999999</v>
      </c>
      <c r="BL84" s="23">
        <f t="shared" si="4"/>
        <v>23.9</v>
      </c>
      <c r="BM84" s="23">
        <f t="shared" si="4"/>
        <v>57.246000000000002</v>
      </c>
      <c r="BN84" s="23">
        <f t="shared" si="4"/>
        <v>0</v>
      </c>
      <c r="BO84" s="23">
        <f t="shared" ref="BO84:CC84" si="5">SUM(BO4:BO83)</f>
        <v>40.437000000000005</v>
      </c>
      <c r="BP84" s="23">
        <f t="shared" si="5"/>
        <v>84.992999999999995</v>
      </c>
      <c r="BQ84" s="23">
        <f t="shared" si="5"/>
        <v>70.512</v>
      </c>
      <c r="BR84" s="23">
        <f t="shared" si="5"/>
        <v>198.10300000000001</v>
      </c>
      <c r="BS84" s="23">
        <f t="shared" si="5"/>
        <v>108.25599999999999</v>
      </c>
      <c r="BT84" s="23">
        <f t="shared" si="5"/>
        <v>276.53599999999994</v>
      </c>
      <c r="BU84" s="23">
        <f t="shared" si="5"/>
        <v>1614.6219999999998</v>
      </c>
      <c r="BV84" s="23">
        <f t="shared" si="5"/>
        <v>403.43799999999999</v>
      </c>
      <c r="BW84" s="23">
        <f t="shared" si="5"/>
        <v>258.98099999999994</v>
      </c>
      <c r="BX84" s="23">
        <f t="shared" si="5"/>
        <v>52.33400000000001</v>
      </c>
      <c r="BY84" s="23">
        <f t="shared" si="5"/>
        <v>23.515000000000001</v>
      </c>
      <c r="BZ84" s="23">
        <f t="shared" si="5"/>
        <v>132.82300000000001</v>
      </c>
      <c r="CA84" s="23">
        <f t="shared" si="5"/>
        <v>120.10100000000001</v>
      </c>
      <c r="CB84" s="23">
        <f t="shared" si="5"/>
        <v>0</v>
      </c>
      <c r="CC84" s="23">
        <f t="shared" si="5"/>
        <v>0</v>
      </c>
      <c r="CD84" s="83">
        <f>SUM(CD4:CD83)</f>
        <v>0</v>
      </c>
      <c r="CE84" s="32">
        <f>SUM(C84:CD84)</f>
        <v>17427.601999999999</v>
      </c>
      <c r="CF84" s="32">
        <f>SUM(CF4:CF83)</f>
        <v>12281.372999999998</v>
      </c>
      <c r="CG84" s="32">
        <f t="shared" ref="CG84:CI84" si="6">SUM(CG4:CG83)</f>
        <v>3677.8820000000001</v>
      </c>
      <c r="CH84" s="32">
        <f t="shared" si="6"/>
        <v>6915.8139999999994</v>
      </c>
      <c r="CI84" s="79">
        <f t="shared" si="6"/>
        <v>5661.03</v>
      </c>
      <c r="CJ84" s="23">
        <f t="shared" si="2"/>
        <v>45963.700999999994</v>
      </c>
    </row>
    <row r="86" spans="1:88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F6F0-6582-431D-9AFB-B1D5204F3786}">
  <dimension ref="A1:FC85"/>
  <sheetViews>
    <sheetView showGridLines="0" zoomScale="70" zoomScaleNormal="70" workbookViewId="0">
      <pane xSplit="2" ySplit="4" topLeftCell="BK5" activePane="bottomRight" state="frozen"/>
      <selection activeCell="C2" sqref="C2"/>
      <selection pane="topRight" activeCell="C2" sqref="C2"/>
      <selection pane="bottomLeft" activeCell="C2" sqref="C2"/>
      <selection pane="bottomRight" activeCell="BZ27" sqref="BZ27"/>
    </sheetView>
  </sheetViews>
  <sheetFormatPr defaultColWidth="9.625" defaultRowHeight="14.25"/>
  <cols>
    <col min="1" max="1" width="4.08203125" style="1" bestFit="1" customWidth="1"/>
    <col min="2" max="2" width="50.83203125" style="1" customWidth="1"/>
    <col min="3" max="3" width="8.375" style="1" bestFit="1" customWidth="1"/>
    <col min="4" max="6" width="7.45703125" style="1" bestFit="1" customWidth="1"/>
    <col min="7" max="12" width="6.375" style="1" bestFit="1" customWidth="1"/>
    <col min="13" max="13" width="7.1640625" style="1" bestFit="1" customWidth="1"/>
    <col min="14" max="14" width="6.375" style="1" bestFit="1" customWidth="1"/>
    <col min="15" max="16" width="7.45703125" style="1" bestFit="1" customWidth="1"/>
    <col min="17" max="17" width="6.375" style="1" bestFit="1" customWidth="1"/>
    <col min="18" max="18" width="6.625" style="1" bestFit="1" customWidth="1"/>
    <col min="19" max="19" width="8.5390625" style="1" bestFit="1" customWidth="1"/>
    <col min="20" max="20" width="7.45703125" style="1" bestFit="1" customWidth="1"/>
    <col min="21" max="21" width="6.375" style="1" bestFit="1" customWidth="1"/>
    <col min="22" max="22" width="7.45703125" style="1" bestFit="1" customWidth="1"/>
    <col min="23" max="23" width="8.5390625" style="1" bestFit="1" customWidth="1"/>
    <col min="24" max="25" width="7.45703125" style="1" bestFit="1" customWidth="1"/>
    <col min="26" max="26" width="9.08203125" style="1" bestFit="1" customWidth="1"/>
    <col min="27" max="27" width="6.375" style="1" bestFit="1" customWidth="1"/>
    <col min="28" max="28" width="7.45703125" style="1" bestFit="1" customWidth="1"/>
    <col min="29" max="30" width="6.375" style="1" bestFit="1" customWidth="1"/>
    <col min="31" max="31" width="7.45703125" style="1" bestFit="1" customWidth="1"/>
    <col min="32" max="32" width="11.9140625" style="1" bestFit="1" customWidth="1"/>
    <col min="33" max="33" width="9.08203125" style="1" bestFit="1" customWidth="1"/>
    <col min="34" max="34" width="6.375" style="1" bestFit="1" customWidth="1"/>
    <col min="35" max="36" width="7.45703125" style="1" bestFit="1" customWidth="1"/>
    <col min="37" max="37" width="11.9140625" style="1" bestFit="1" customWidth="1"/>
    <col min="38" max="39" width="9.08203125" style="1" bestFit="1" customWidth="1"/>
    <col min="40" max="40" width="6.375" style="1" bestFit="1" customWidth="1"/>
    <col min="41" max="41" width="8.5390625" style="1" bestFit="1" customWidth="1"/>
    <col min="42" max="42" width="6.375" style="1" bestFit="1" customWidth="1"/>
    <col min="43" max="43" width="9.08203125" style="1" bestFit="1" customWidth="1"/>
    <col min="44" max="45" width="11.9140625" style="1" bestFit="1" customWidth="1"/>
    <col min="46" max="46" width="9.08203125" style="1" bestFit="1" customWidth="1"/>
    <col min="47" max="48" width="8.5390625" style="1" bestFit="1" customWidth="1"/>
    <col min="49" max="49" width="11.9140625" style="1" bestFit="1" customWidth="1"/>
    <col min="50" max="52" width="7.45703125" style="1" bestFit="1" customWidth="1"/>
    <col min="53" max="53" width="14.625" style="1" bestFit="1" customWidth="1"/>
    <col min="54" max="54" width="8.5390625" style="1" bestFit="1" customWidth="1"/>
    <col min="55" max="55" width="6.375" style="1" bestFit="1" customWidth="1"/>
    <col min="56" max="56" width="7.45703125" style="1" bestFit="1" customWidth="1"/>
    <col min="57" max="57" width="9.08203125" style="1" bestFit="1" customWidth="1"/>
    <col min="58" max="58" width="6.375" style="1" bestFit="1" customWidth="1"/>
    <col min="59" max="59" width="9.08203125" style="1" bestFit="1" customWidth="1"/>
    <col min="60" max="60" width="7.45703125" style="1" bestFit="1" customWidth="1"/>
    <col min="61" max="61" width="9.08203125" style="1" bestFit="1" customWidth="1"/>
    <col min="62" max="62" width="11.9140625" style="1" bestFit="1" customWidth="1"/>
    <col min="63" max="65" width="7.45703125" style="1" bestFit="1" customWidth="1"/>
    <col min="66" max="67" width="9.08203125" style="1" bestFit="1" customWidth="1"/>
    <col min="68" max="68" width="7.45703125" style="1" bestFit="1" customWidth="1"/>
    <col min="69" max="69" width="8.5390625" style="1" bestFit="1" customWidth="1"/>
    <col min="70" max="70" width="6.375" style="1" bestFit="1" customWidth="1"/>
    <col min="71" max="71" width="6.625" style="1" bestFit="1" customWidth="1"/>
    <col min="72" max="73" width="11.375" style="1" bestFit="1" customWidth="1"/>
    <col min="74" max="75" width="6.9140625" style="1" bestFit="1" customWidth="1"/>
    <col min="76" max="76" width="6.625" style="1" bestFit="1" customWidth="1"/>
    <col min="77" max="78" width="8.5390625" style="1" bestFit="1" customWidth="1"/>
    <col min="79" max="79" width="6.45703125" style="1" customWidth="1"/>
    <col min="80" max="82" width="6.625" style="1" bestFit="1" customWidth="1"/>
    <col min="83" max="83" width="13" style="1" bestFit="1" customWidth="1"/>
    <col min="84" max="84" width="8.375" style="1" customWidth="1"/>
    <col min="85" max="85" width="13" style="1" customWidth="1"/>
    <col min="86" max="158" width="10.1640625" style="1" bestFit="1" customWidth="1"/>
    <col min="159" max="159" width="11.9140625" style="1" bestFit="1" customWidth="1"/>
    <col min="160" max="16384" width="9.625" style="1"/>
  </cols>
  <sheetData>
    <row r="1" spans="1:159" ht="15.5">
      <c r="B1" s="56"/>
      <c r="C1" s="27" t="s">
        <v>174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</row>
    <row r="2" spans="1:159" ht="16" thickBot="1">
      <c r="A2" s="70"/>
      <c r="B2" s="57"/>
      <c r="C2" s="33" t="s">
        <v>175</v>
      </c>
      <c r="D2" s="33" t="s">
        <v>175</v>
      </c>
      <c r="E2" s="33" t="s">
        <v>175</v>
      </c>
      <c r="F2" s="33" t="s">
        <v>175</v>
      </c>
      <c r="G2" s="33" t="s">
        <v>175</v>
      </c>
      <c r="H2" s="33" t="s">
        <v>176</v>
      </c>
      <c r="I2" s="33" t="s">
        <v>176</v>
      </c>
      <c r="J2" s="33" t="s">
        <v>176</v>
      </c>
      <c r="K2" s="33" t="s">
        <v>177</v>
      </c>
      <c r="L2" s="33" t="s">
        <v>177</v>
      </c>
      <c r="M2" s="33" t="s">
        <v>178</v>
      </c>
      <c r="N2" s="33" t="s">
        <v>179</v>
      </c>
      <c r="O2" s="33" t="s">
        <v>180</v>
      </c>
      <c r="P2" s="33" t="s">
        <v>180</v>
      </c>
      <c r="Q2" s="33" t="s">
        <v>180</v>
      </c>
      <c r="R2" s="33" t="s">
        <v>181</v>
      </c>
      <c r="S2" s="33" t="s">
        <v>181</v>
      </c>
      <c r="T2" s="33" t="s">
        <v>181</v>
      </c>
      <c r="U2" s="33" t="s">
        <v>181</v>
      </c>
      <c r="V2" s="33" t="s">
        <v>181</v>
      </c>
      <c r="W2" s="33" t="s">
        <v>181</v>
      </c>
      <c r="X2" s="33" t="s">
        <v>181</v>
      </c>
      <c r="Y2" s="33" t="s">
        <v>181</v>
      </c>
      <c r="Z2" s="33" t="s">
        <v>181</v>
      </c>
      <c r="AA2" s="33" t="s">
        <v>182</v>
      </c>
      <c r="AB2" s="33" t="s">
        <v>182</v>
      </c>
      <c r="AC2" s="33" t="s">
        <v>182</v>
      </c>
      <c r="AD2" s="33" t="s">
        <v>183</v>
      </c>
      <c r="AE2" s="33" t="s">
        <v>184</v>
      </c>
      <c r="AF2" s="33" t="s">
        <v>184</v>
      </c>
      <c r="AG2" s="33" t="s">
        <v>185</v>
      </c>
      <c r="AH2" s="33" t="s">
        <v>185</v>
      </c>
      <c r="AI2" s="33" t="s">
        <v>185</v>
      </c>
      <c r="AJ2" s="33" t="s">
        <v>185</v>
      </c>
      <c r="AK2" s="33" t="s">
        <v>186</v>
      </c>
      <c r="AL2" s="33" t="s">
        <v>186</v>
      </c>
      <c r="AM2" s="33" t="s">
        <v>186</v>
      </c>
      <c r="AN2" s="33" t="s">
        <v>187</v>
      </c>
      <c r="AO2" s="33" t="s">
        <v>187</v>
      </c>
      <c r="AP2" s="33" t="s">
        <v>187</v>
      </c>
      <c r="AQ2" s="33" t="s">
        <v>188</v>
      </c>
      <c r="AR2" s="33" t="s">
        <v>188</v>
      </c>
      <c r="AS2" s="33" t="s">
        <v>188</v>
      </c>
      <c r="AT2" s="33" t="s">
        <v>189</v>
      </c>
      <c r="AU2" s="33" t="s">
        <v>190</v>
      </c>
      <c r="AV2" s="33" t="s">
        <v>190</v>
      </c>
      <c r="AW2" s="33" t="s">
        <v>191</v>
      </c>
      <c r="AX2" s="33" t="s">
        <v>191</v>
      </c>
      <c r="AY2" s="33" t="s">
        <v>192</v>
      </c>
      <c r="AZ2" s="33" t="s">
        <v>193</v>
      </c>
      <c r="BA2" s="33" t="s">
        <v>193</v>
      </c>
      <c r="BB2" s="33" t="s">
        <v>193</v>
      </c>
      <c r="BC2" s="33" t="s">
        <v>194</v>
      </c>
      <c r="BD2" s="33" t="s">
        <v>195</v>
      </c>
      <c r="BE2" s="33" t="s">
        <v>196</v>
      </c>
      <c r="BF2" s="33" t="s">
        <v>196</v>
      </c>
      <c r="BG2" s="33" t="s">
        <v>197</v>
      </c>
      <c r="BH2" s="33" t="s">
        <v>198</v>
      </c>
      <c r="BI2" s="33" t="s">
        <v>199</v>
      </c>
      <c r="BJ2" s="33" t="s">
        <v>200</v>
      </c>
      <c r="BK2" s="33" t="s">
        <v>201</v>
      </c>
      <c r="BL2" s="33" t="s">
        <v>201</v>
      </c>
      <c r="BM2" s="33" t="s">
        <v>201</v>
      </c>
      <c r="BN2" s="33" t="s">
        <v>202</v>
      </c>
      <c r="BO2" s="33" t="s">
        <v>202</v>
      </c>
      <c r="BP2" s="33" t="s">
        <v>203</v>
      </c>
      <c r="BQ2" s="33" t="s">
        <v>203</v>
      </c>
      <c r="BR2" s="33" t="s">
        <v>203</v>
      </c>
      <c r="BS2" s="33" t="s">
        <v>204</v>
      </c>
      <c r="BT2" s="33" t="s">
        <v>204</v>
      </c>
      <c r="BU2" s="33" t="s">
        <v>205</v>
      </c>
      <c r="BV2" s="33" t="s">
        <v>206</v>
      </c>
      <c r="BW2" s="33" t="s">
        <v>207</v>
      </c>
      <c r="BX2" s="33" t="s">
        <v>207</v>
      </c>
      <c r="BY2" s="33" t="s">
        <v>208</v>
      </c>
      <c r="BZ2" s="33" t="s">
        <v>208</v>
      </c>
      <c r="CA2" s="33" t="s">
        <v>209</v>
      </c>
      <c r="CB2" s="33" t="s">
        <v>210</v>
      </c>
      <c r="CC2" s="34"/>
      <c r="CD2" s="69"/>
    </row>
    <row r="3" spans="1:159" s="3" customFormat="1" ht="110" customHeight="1" thickTop="1" thickBot="1">
      <c r="A3" s="70"/>
      <c r="B3" s="58" t="s">
        <v>211</v>
      </c>
      <c r="C3" s="35" t="s">
        <v>8</v>
      </c>
      <c r="D3" s="30" t="s">
        <v>10</v>
      </c>
      <c r="E3" s="30" t="s">
        <v>12</v>
      </c>
      <c r="F3" s="30" t="s">
        <v>14</v>
      </c>
      <c r="G3" s="30" t="s">
        <v>16</v>
      </c>
      <c r="H3" s="30" t="s">
        <v>18</v>
      </c>
      <c r="I3" s="30" t="s">
        <v>20</v>
      </c>
      <c r="J3" s="30" t="s">
        <v>22</v>
      </c>
      <c r="K3" s="30" t="s">
        <v>24</v>
      </c>
      <c r="L3" s="30" t="s">
        <v>26</v>
      </c>
      <c r="M3" s="30" t="s">
        <v>28</v>
      </c>
      <c r="N3" s="30" t="s">
        <v>30</v>
      </c>
      <c r="O3" s="30" t="s">
        <v>32</v>
      </c>
      <c r="P3" s="30" t="s">
        <v>34</v>
      </c>
      <c r="Q3" s="30" t="s">
        <v>36</v>
      </c>
      <c r="R3" s="30" t="s">
        <v>38</v>
      </c>
      <c r="S3" s="30" t="s">
        <v>40</v>
      </c>
      <c r="T3" s="30" t="s">
        <v>42</v>
      </c>
      <c r="U3" s="30" t="s">
        <v>44</v>
      </c>
      <c r="V3" s="30" t="s">
        <v>46</v>
      </c>
      <c r="W3" s="30" t="s">
        <v>48</v>
      </c>
      <c r="X3" s="30" t="s">
        <v>50</v>
      </c>
      <c r="Y3" s="30" t="s">
        <v>52</v>
      </c>
      <c r="Z3" s="30" t="s">
        <v>54</v>
      </c>
      <c r="AA3" s="30" t="s">
        <v>56</v>
      </c>
      <c r="AB3" s="30" t="s">
        <v>58</v>
      </c>
      <c r="AC3" s="30" t="s">
        <v>60</v>
      </c>
      <c r="AD3" s="30" t="s">
        <v>62</v>
      </c>
      <c r="AE3" s="30" t="s">
        <v>64</v>
      </c>
      <c r="AF3" s="30" t="s">
        <v>66</v>
      </c>
      <c r="AG3" s="30" t="s">
        <v>68</v>
      </c>
      <c r="AH3" s="30" t="s">
        <v>70</v>
      </c>
      <c r="AI3" s="30" t="s">
        <v>72</v>
      </c>
      <c r="AJ3" s="30" t="s">
        <v>74</v>
      </c>
      <c r="AK3" s="30" t="s">
        <v>76</v>
      </c>
      <c r="AL3" s="30" t="s">
        <v>78</v>
      </c>
      <c r="AM3" s="30" t="s">
        <v>80</v>
      </c>
      <c r="AN3" s="30" t="s">
        <v>82</v>
      </c>
      <c r="AO3" s="30" t="s">
        <v>84</v>
      </c>
      <c r="AP3" s="30" t="s">
        <v>86</v>
      </c>
      <c r="AQ3" s="30" t="s">
        <v>88</v>
      </c>
      <c r="AR3" s="30" t="s">
        <v>90</v>
      </c>
      <c r="AS3" s="30" t="s">
        <v>92</v>
      </c>
      <c r="AT3" s="30" t="s">
        <v>94</v>
      </c>
      <c r="AU3" s="30" t="s">
        <v>96</v>
      </c>
      <c r="AV3" s="30" t="s">
        <v>98</v>
      </c>
      <c r="AW3" s="30" t="s">
        <v>100</v>
      </c>
      <c r="AX3" s="30" t="s">
        <v>102</v>
      </c>
      <c r="AY3" s="30" t="s">
        <v>104</v>
      </c>
      <c r="AZ3" s="30" t="s">
        <v>106</v>
      </c>
      <c r="BA3" s="30" t="s">
        <v>108</v>
      </c>
      <c r="BB3" s="30" t="s">
        <v>110</v>
      </c>
      <c r="BC3" s="30" t="s">
        <v>112</v>
      </c>
      <c r="BD3" s="30" t="s">
        <v>114</v>
      </c>
      <c r="BE3" s="30" t="s">
        <v>116</v>
      </c>
      <c r="BF3" s="30" t="s">
        <v>118</v>
      </c>
      <c r="BG3" s="30" t="s">
        <v>120</v>
      </c>
      <c r="BH3" s="30" t="s">
        <v>122</v>
      </c>
      <c r="BI3" s="30" t="s">
        <v>124</v>
      </c>
      <c r="BJ3" s="30" t="s">
        <v>126</v>
      </c>
      <c r="BK3" s="30" t="s">
        <v>128</v>
      </c>
      <c r="BL3" s="30" t="s">
        <v>130</v>
      </c>
      <c r="BM3" s="30" t="s">
        <v>132</v>
      </c>
      <c r="BN3" s="30" t="s">
        <v>134</v>
      </c>
      <c r="BO3" s="30" t="s">
        <v>136</v>
      </c>
      <c r="BP3" s="30" t="s">
        <v>138</v>
      </c>
      <c r="BQ3" s="30" t="s">
        <v>140</v>
      </c>
      <c r="BR3" s="30" t="s">
        <v>142</v>
      </c>
      <c r="BS3" s="30" t="s">
        <v>144</v>
      </c>
      <c r="BT3" s="30" t="s">
        <v>146</v>
      </c>
      <c r="BU3" s="30" t="s">
        <v>148</v>
      </c>
      <c r="BV3" s="30" t="s">
        <v>150</v>
      </c>
      <c r="BW3" s="30" t="s">
        <v>152</v>
      </c>
      <c r="BX3" s="30" t="s">
        <v>154</v>
      </c>
      <c r="BY3" s="30" t="s">
        <v>156</v>
      </c>
      <c r="BZ3" s="30" t="s">
        <v>158</v>
      </c>
      <c r="CA3" s="30" t="s">
        <v>160</v>
      </c>
      <c r="CB3" s="30" t="s">
        <v>162</v>
      </c>
      <c r="CC3" s="30" t="s">
        <v>164</v>
      </c>
      <c r="CD3" s="68" t="s">
        <v>166</v>
      </c>
      <c r="CE3" s="67" t="s">
        <v>6</v>
      </c>
      <c r="CF3" s="36"/>
      <c r="CG3" s="36"/>
    </row>
    <row r="4" spans="1:159" ht="16" thickTop="1" thickBot="1">
      <c r="A4" s="70"/>
      <c r="B4" s="53" t="s">
        <v>212</v>
      </c>
      <c r="C4" s="29" t="s">
        <v>7</v>
      </c>
      <c r="D4" s="29" t="s">
        <v>9</v>
      </c>
      <c r="E4" s="29" t="s">
        <v>11</v>
      </c>
      <c r="F4" s="29" t="s">
        <v>13</v>
      </c>
      <c r="G4" s="29" t="s">
        <v>15</v>
      </c>
      <c r="H4" s="29" t="s">
        <v>17</v>
      </c>
      <c r="I4" s="29" t="s">
        <v>19</v>
      </c>
      <c r="J4" s="29" t="s">
        <v>21</v>
      </c>
      <c r="K4" s="29" t="s">
        <v>23</v>
      </c>
      <c r="L4" s="29" t="s">
        <v>25</v>
      </c>
      <c r="M4" s="29" t="s">
        <v>27</v>
      </c>
      <c r="N4" s="29" t="s">
        <v>29</v>
      </c>
      <c r="O4" s="29" t="s">
        <v>31</v>
      </c>
      <c r="P4" s="29" t="s">
        <v>33</v>
      </c>
      <c r="Q4" s="29" t="s">
        <v>35</v>
      </c>
      <c r="R4" s="29" t="s">
        <v>37</v>
      </c>
      <c r="S4" s="29" t="s">
        <v>39</v>
      </c>
      <c r="T4" s="29" t="s">
        <v>41</v>
      </c>
      <c r="U4" s="29" t="s">
        <v>43</v>
      </c>
      <c r="V4" s="29" t="s">
        <v>45</v>
      </c>
      <c r="W4" s="29" t="s">
        <v>47</v>
      </c>
      <c r="X4" s="29" t="s">
        <v>49</v>
      </c>
      <c r="Y4" s="29" t="s">
        <v>51</v>
      </c>
      <c r="Z4" s="29" t="s">
        <v>53</v>
      </c>
      <c r="AA4" s="29" t="s">
        <v>55</v>
      </c>
      <c r="AB4" s="29" t="s">
        <v>57</v>
      </c>
      <c r="AC4" s="29" t="s">
        <v>59</v>
      </c>
      <c r="AD4" s="29" t="s">
        <v>61</v>
      </c>
      <c r="AE4" s="29" t="s">
        <v>63</v>
      </c>
      <c r="AF4" s="29" t="s">
        <v>65</v>
      </c>
      <c r="AG4" s="29" t="s">
        <v>67</v>
      </c>
      <c r="AH4" s="29" t="s">
        <v>69</v>
      </c>
      <c r="AI4" s="29" t="s">
        <v>71</v>
      </c>
      <c r="AJ4" s="29" t="s">
        <v>73</v>
      </c>
      <c r="AK4" s="29" t="s">
        <v>75</v>
      </c>
      <c r="AL4" s="29" t="s">
        <v>77</v>
      </c>
      <c r="AM4" s="29" t="s">
        <v>79</v>
      </c>
      <c r="AN4" s="29" t="s">
        <v>81</v>
      </c>
      <c r="AO4" s="29" t="s">
        <v>83</v>
      </c>
      <c r="AP4" s="29" t="s">
        <v>85</v>
      </c>
      <c r="AQ4" s="29" t="s">
        <v>87</v>
      </c>
      <c r="AR4" s="29" t="s">
        <v>89</v>
      </c>
      <c r="AS4" s="29" t="s">
        <v>91</v>
      </c>
      <c r="AT4" s="29" t="s">
        <v>93</v>
      </c>
      <c r="AU4" s="29" t="s">
        <v>95</v>
      </c>
      <c r="AV4" s="29" t="s">
        <v>97</v>
      </c>
      <c r="AW4" s="29" t="s">
        <v>99</v>
      </c>
      <c r="AX4" s="29" t="s">
        <v>101</v>
      </c>
      <c r="AY4" s="29" t="s">
        <v>103</v>
      </c>
      <c r="AZ4" s="29" t="s">
        <v>105</v>
      </c>
      <c r="BA4" s="29" t="s">
        <v>107</v>
      </c>
      <c r="BB4" s="29" t="s">
        <v>109</v>
      </c>
      <c r="BC4" s="29" t="s">
        <v>111</v>
      </c>
      <c r="BD4" s="29" t="s">
        <v>113</v>
      </c>
      <c r="BE4" s="29" t="s">
        <v>115</v>
      </c>
      <c r="BF4" s="29" t="s">
        <v>117</v>
      </c>
      <c r="BG4" s="29" t="s">
        <v>119</v>
      </c>
      <c r="BH4" s="29" t="s">
        <v>121</v>
      </c>
      <c r="BI4" s="29" t="s">
        <v>123</v>
      </c>
      <c r="BJ4" s="29" t="s">
        <v>125</v>
      </c>
      <c r="BK4" s="29" t="s">
        <v>127</v>
      </c>
      <c r="BL4" s="29" t="s">
        <v>129</v>
      </c>
      <c r="BM4" s="29" t="s">
        <v>131</v>
      </c>
      <c r="BN4" s="29" t="s">
        <v>133</v>
      </c>
      <c r="BO4" s="29" t="s">
        <v>135</v>
      </c>
      <c r="BP4" s="29" t="s">
        <v>137</v>
      </c>
      <c r="BQ4" s="29" t="s">
        <v>139</v>
      </c>
      <c r="BR4" s="29" t="s">
        <v>141</v>
      </c>
      <c r="BS4" s="29" t="s">
        <v>143</v>
      </c>
      <c r="BT4" s="29" t="s">
        <v>145</v>
      </c>
      <c r="BU4" s="29" t="s">
        <v>147</v>
      </c>
      <c r="BV4" s="29" t="s">
        <v>149</v>
      </c>
      <c r="BW4" s="29" t="s">
        <v>151</v>
      </c>
      <c r="BX4" s="29" t="s">
        <v>153</v>
      </c>
      <c r="BY4" s="29" t="s">
        <v>155</v>
      </c>
      <c r="BZ4" s="29" t="s">
        <v>157</v>
      </c>
      <c r="CA4" s="29" t="s">
        <v>159</v>
      </c>
      <c r="CB4" s="29" t="s">
        <v>161</v>
      </c>
      <c r="CC4" s="29" t="s">
        <v>163</v>
      </c>
      <c r="CD4" s="65" t="s">
        <v>165</v>
      </c>
      <c r="CE4" s="66"/>
      <c r="CF4" s="23"/>
      <c r="CG4" s="23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</row>
    <row r="5" spans="1:159" ht="16.25" thickTop="1">
      <c r="A5" s="31" t="s">
        <v>7</v>
      </c>
      <c r="B5" s="54" t="s">
        <v>8</v>
      </c>
      <c r="C5" s="37">
        <v>435.92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7">
        <v>0</v>
      </c>
      <c r="BC5" s="37">
        <v>0</v>
      </c>
      <c r="BD5" s="37">
        <v>0</v>
      </c>
      <c r="BE5" s="37">
        <v>0</v>
      </c>
      <c r="BF5" s="37">
        <v>0</v>
      </c>
      <c r="BG5" s="37">
        <v>0</v>
      </c>
      <c r="BH5" s="37">
        <v>0</v>
      </c>
      <c r="BI5" s="37">
        <v>0</v>
      </c>
      <c r="BJ5" s="37">
        <v>0</v>
      </c>
      <c r="BK5" s="37">
        <v>0</v>
      </c>
      <c r="BL5" s="37">
        <v>0</v>
      </c>
      <c r="BM5" s="37">
        <v>0</v>
      </c>
      <c r="BN5" s="37">
        <v>0</v>
      </c>
      <c r="BO5" s="37">
        <v>0</v>
      </c>
      <c r="BP5" s="37">
        <v>0</v>
      </c>
      <c r="BQ5" s="37">
        <v>0</v>
      </c>
      <c r="BR5" s="37">
        <v>0</v>
      </c>
      <c r="BS5" s="37">
        <v>0</v>
      </c>
      <c r="BT5" s="37">
        <v>0</v>
      </c>
      <c r="BU5" s="37">
        <v>0</v>
      </c>
      <c r="BV5" s="37">
        <v>0</v>
      </c>
      <c r="BW5" s="37">
        <v>0</v>
      </c>
      <c r="BX5" s="37">
        <v>0</v>
      </c>
      <c r="BY5" s="37">
        <v>0</v>
      </c>
      <c r="BZ5" s="37">
        <v>0</v>
      </c>
      <c r="CA5" s="37">
        <v>0</v>
      </c>
      <c r="CB5" s="37">
        <v>0</v>
      </c>
      <c r="CC5" s="37">
        <v>0</v>
      </c>
      <c r="CD5" s="62">
        <v>0</v>
      </c>
      <c r="CE5" s="23">
        <f>SUM(C5:CD5)</f>
        <v>435.92</v>
      </c>
      <c r="CF5" s="23"/>
      <c r="CG5" s="23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</row>
    <row r="6" spans="1:159" ht="15.5">
      <c r="A6" s="31" t="s">
        <v>9</v>
      </c>
      <c r="B6" s="54" t="s">
        <v>10</v>
      </c>
      <c r="C6" s="37">
        <v>0</v>
      </c>
      <c r="D6" s="37">
        <v>1246.671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v>0</v>
      </c>
      <c r="AO6" s="37">
        <v>0</v>
      </c>
      <c r="AP6" s="37">
        <v>0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37">
        <v>0</v>
      </c>
      <c r="AZ6" s="37">
        <v>0</v>
      </c>
      <c r="BA6" s="37">
        <v>0</v>
      </c>
      <c r="BB6" s="37">
        <v>0</v>
      </c>
      <c r="BC6" s="37">
        <v>0</v>
      </c>
      <c r="BD6" s="37">
        <v>0</v>
      </c>
      <c r="BE6" s="37">
        <v>0</v>
      </c>
      <c r="BF6" s="37">
        <v>0</v>
      </c>
      <c r="BG6" s="37">
        <v>0</v>
      </c>
      <c r="BH6" s="37">
        <v>0</v>
      </c>
      <c r="BI6" s="37">
        <v>0</v>
      </c>
      <c r="BJ6" s="37">
        <v>0</v>
      </c>
      <c r="BK6" s="37">
        <v>0</v>
      </c>
      <c r="BL6" s="37">
        <v>0</v>
      </c>
      <c r="BM6" s="37">
        <v>0</v>
      </c>
      <c r="BN6" s="37">
        <v>0</v>
      </c>
      <c r="BO6" s="37">
        <v>0</v>
      </c>
      <c r="BP6" s="37">
        <v>0</v>
      </c>
      <c r="BQ6" s="37">
        <v>0</v>
      </c>
      <c r="BR6" s="37">
        <v>0</v>
      </c>
      <c r="BS6" s="37">
        <v>0</v>
      </c>
      <c r="BT6" s="37">
        <v>0</v>
      </c>
      <c r="BU6" s="37">
        <v>0</v>
      </c>
      <c r="BV6" s="37">
        <v>0</v>
      </c>
      <c r="BW6" s="37">
        <v>0</v>
      </c>
      <c r="BX6" s="37">
        <v>0</v>
      </c>
      <c r="BY6" s="37">
        <v>0</v>
      </c>
      <c r="BZ6" s="37">
        <v>0</v>
      </c>
      <c r="CA6" s="37">
        <v>0</v>
      </c>
      <c r="CB6" s="37">
        <v>0</v>
      </c>
      <c r="CC6" s="37">
        <v>0</v>
      </c>
      <c r="CD6" s="62">
        <v>0</v>
      </c>
      <c r="CE6" s="23">
        <f t="shared" ref="CE6:CE69" si="0">SUM(C6:CD6)</f>
        <v>1246.671</v>
      </c>
      <c r="CF6" s="23"/>
      <c r="CG6" s="23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</row>
    <row r="7" spans="1:159" ht="15.5">
      <c r="A7" s="31" t="s">
        <v>11</v>
      </c>
      <c r="B7" s="54" t="s">
        <v>12</v>
      </c>
      <c r="C7" s="37">
        <v>0</v>
      </c>
      <c r="D7" s="37">
        <v>0</v>
      </c>
      <c r="E7" s="37">
        <v>867.33699999999999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>
        <v>0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 s="37">
        <v>0</v>
      </c>
      <c r="BI7" s="37">
        <v>0</v>
      </c>
      <c r="BJ7" s="37">
        <v>0</v>
      </c>
      <c r="BK7" s="37">
        <v>0</v>
      </c>
      <c r="BL7" s="37">
        <v>0</v>
      </c>
      <c r="BM7" s="37">
        <v>0</v>
      </c>
      <c r="BN7" s="37">
        <v>0</v>
      </c>
      <c r="BO7" s="37">
        <v>0</v>
      </c>
      <c r="BP7" s="37">
        <v>0</v>
      </c>
      <c r="BQ7" s="37">
        <v>0</v>
      </c>
      <c r="BR7" s="37">
        <v>0</v>
      </c>
      <c r="BS7" s="37">
        <v>0</v>
      </c>
      <c r="BT7" s="37">
        <v>0</v>
      </c>
      <c r="BU7" s="37">
        <v>0</v>
      </c>
      <c r="BV7" s="37">
        <v>0</v>
      </c>
      <c r="BW7" s="37">
        <v>0</v>
      </c>
      <c r="BX7" s="37">
        <v>0</v>
      </c>
      <c r="BY7" s="37">
        <v>0</v>
      </c>
      <c r="BZ7" s="37">
        <v>0</v>
      </c>
      <c r="CA7" s="37">
        <v>0</v>
      </c>
      <c r="CB7" s="37">
        <v>0</v>
      </c>
      <c r="CC7" s="37">
        <v>0</v>
      </c>
      <c r="CD7" s="62">
        <v>0</v>
      </c>
      <c r="CE7" s="23">
        <f t="shared" si="0"/>
        <v>867.33699999999999</v>
      </c>
      <c r="CF7" s="23"/>
      <c r="CG7" s="23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</row>
    <row r="8" spans="1:159" ht="15.5">
      <c r="A8" s="31" t="s">
        <v>13</v>
      </c>
      <c r="B8" s="54" t="s">
        <v>14</v>
      </c>
      <c r="C8" s="37">
        <v>0</v>
      </c>
      <c r="D8" s="37">
        <v>0</v>
      </c>
      <c r="E8" s="37">
        <v>0</v>
      </c>
      <c r="F8" s="37">
        <v>545.16399999999999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37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37">
        <v>0</v>
      </c>
      <c r="AZ8" s="37">
        <v>0</v>
      </c>
      <c r="BA8" s="37">
        <v>0</v>
      </c>
      <c r="BB8" s="37">
        <v>0</v>
      </c>
      <c r="BC8" s="37">
        <v>0</v>
      </c>
      <c r="BD8" s="37">
        <v>0</v>
      </c>
      <c r="BE8" s="37">
        <v>0</v>
      </c>
      <c r="BF8" s="37">
        <v>0</v>
      </c>
      <c r="BG8" s="37">
        <v>0</v>
      </c>
      <c r="BH8" s="37">
        <v>0</v>
      </c>
      <c r="BI8" s="37">
        <v>0</v>
      </c>
      <c r="BJ8" s="37">
        <v>0</v>
      </c>
      <c r="BK8" s="37">
        <v>0</v>
      </c>
      <c r="BL8" s="37">
        <v>0</v>
      </c>
      <c r="BM8" s="37">
        <v>0</v>
      </c>
      <c r="BN8" s="37">
        <v>0</v>
      </c>
      <c r="BO8" s="37">
        <v>0</v>
      </c>
      <c r="BP8" s="37">
        <v>0</v>
      </c>
      <c r="BQ8" s="37">
        <v>0</v>
      </c>
      <c r="BR8" s="37">
        <v>0</v>
      </c>
      <c r="BS8" s="37">
        <v>0</v>
      </c>
      <c r="BT8" s="37">
        <v>0</v>
      </c>
      <c r="BU8" s="37">
        <v>0</v>
      </c>
      <c r="BV8" s="37">
        <v>0</v>
      </c>
      <c r="BW8" s="37">
        <v>0</v>
      </c>
      <c r="BX8" s="37">
        <v>0</v>
      </c>
      <c r="BY8" s="37">
        <v>0</v>
      </c>
      <c r="BZ8" s="37">
        <v>0</v>
      </c>
      <c r="CA8" s="37">
        <v>0</v>
      </c>
      <c r="CB8" s="37">
        <v>0</v>
      </c>
      <c r="CC8" s="37">
        <v>0</v>
      </c>
      <c r="CD8" s="62">
        <v>0</v>
      </c>
      <c r="CE8" s="23">
        <f t="shared" si="0"/>
        <v>545.16399999999999</v>
      </c>
      <c r="CF8" s="23"/>
      <c r="CG8" s="23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</row>
    <row r="9" spans="1:159" ht="15.5">
      <c r="A9" s="31" t="s">
        <v>15</v>
      </c>
      <c r="B9" s="54" t="s">
        <v>16</v>
      </c>
      <c r="C9" s="37">
        <v>0</v>
      </c>
      <c r="D9" s="37">
        <v>0</v>
      </c>
      <c r="E9" s="37">
        <v>0</v>
      </c>
      <c r="F9" s="37">
        <v>0</v>
      </c>
      <c r="G9" s="37">
        <v>66.358000000000004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  <c r="AV9" s="37">
        <v>0</v>
      </c>
      <c r="AW9" s="37">
        <v>0</v>
      </c>
      <c r="AX9" s="37">
        <v>0</v>
      </c>
      <c r="AY9" s="37">
        <v>0</v>
      </c>
      <c r="AZ9" s="37">
        <v>0</v>
      </c>
      <c r="BA9" s="37">
        <v>0</v>
      </c>
      <c r="BB9" s="37">
        <v>0</v>
      </c>
      <c r="BC9" s="37">
        <v>0</v>
      </c>
      <c r="BD9" s="37">
        <v>0</v>
      </c>
      <c r="BE9" s="37">
        <v>0</v>
      </c>
      <c r="BF9" s="37">
        <v>0</v>
      </c>
      <c r="BG9" s="37">
        <v>0</v>
      </c>
      <c r="BH9" s="37">
        <v>0</v>
      </c>
      <c r="BI9" s="37">
        <v>0</v>
      </c>
      <c r="BJ9" s="37">
        <v>0</v>
      </c>
      <c r="BK9" s="37">
        <v>0</v>
      </c>
      <c r="BL9" s="37">
        <v>0</v>
      </c>
      <c r="BM9" s="37">
        <v>0</v>
      </c>
      <c r="BN9" s="37">
        <v>0</v>
      </c>
      <c r="BO9" s="37">
        <v>0</v>
      </c>
      <c r="BP9" s="37">
        <v>0</v>
      </c>
      <c r="BQ9" s="37">
        <v>0</v>
      </c>
      <c r="BR9" s="37">
        <v>0</v>
      </c>
      <c r="BS9" s="37">
        <v>0</v>
      </c>
      <c r="BT9" s="37">
        <v>0</v>
      </c>
      <c r="BU9" s="37">
        <v>0</v>
      </c>
      <c r="BV9" s="37">
        <v>0</v>
      </c>
      <c r="BW9" s="37">
        <v>0</v>
      </c>
      <c r="BX9" s="37">
        <v>0</v>
      </c>
      <c r="BY9" s="37">
        <v>0</v>
      </c>
      <c r="BZ9" s="37">
        <v>0</v>
      </c>
      <c r="CA9" s="37">
        <v>0</v>
      </c>
      <c r="CB9" s="37">
        <v>0</v>
      </c>
      <c r="CC9" s="37">
        <v>0</v>
      </c>
      <c r="CD9" s="62">
        <v>0</v>
      </c>
      <c r="CE9" s="23">
        <f t="shared" si="0"/>
        <v>66.358000000000004</v>
      </c>
      <c r="CF9" s="23"/>
      <c r="CG9" s="23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</row>
    <row r="10" spans="1:159" ht="15.5">
      <c r="A10" s="31" t="s">
        <v>17</v>
      </c>
      <c r="B10" s="54" t="s">
        <v>18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184.52600000000001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  <c r="AV10" s="37">
        <v>0</v>
      </c>
      <c r="AW10" s="37">
        <v>0</v>
      </c>
      <c r="AX10" s="37">
        <v>0</v>
      </c>
      <c r="AY10" s="37">
        <v>0</v>
      </c>
      <c r="AZ10" s="37">
        <v>0</v>
      </c>
      <c r="BA10" s="37">
        <v>0</v>
      </c>
      <c r="BB10" s="37">
        <v>0</v>
      </c>
      <c r="BC10" s="37">
        <v>0</v>
      </c>
      <c r="BD10" s="37">
        <v>0</v>
      </c>
      <c r="BE10" s="37">
        <v>0</v>
      </c>
      <c r="BF10" s="37">
        <v>0</v>
      </c>
      <c r="BG10" s="37">
        <v>0</v>
      </c>
      <c r="BH10" s="37">
        <v>0</v>
      </c>
      <c r="BI10" s="37">
        <v>0</v>
      </c>
      <c r="BJ10" s="37">
        <v>0</v>
      </c>
      <c r="BK10" s="37">
        <v>0</v>
      </c>
      <c r="BL10" s="37">
        <v>0</v>
      </c>
      <c r="BM10" s="37">
        <v>0</v>
      </c>
      <c r="BN10" s="37">
        <v>0</v>
      </c>
      <c r="BO10" s="37">
        <v>0</v>
      </c>
      <c r="BP10" s="37">
        <v>0</v>
      </c>
      <c r="BQ10" s="37">
        <v>0</v>
      </c>
      <c r="BR10" s="37">
        <v>0</v>
      </c>
      <c r="BS10" s="37">
        <v>0</v>
      </c>
      <c r="BT10" s="37">
        <v>0</v>
      </c>
      <c r="BU10" s="37">
        <v>0</v>
      </c>
      <c r="BV10" s="37">
        <v>0</v>
      </c>
      <c r="BW10" s="37">
        <v>0</v>
      </c>
      <c r="BX10" s="37">
        <v>0</v>
      </c>
      <c r="BY10" s="37">
        <v>0</v>
      </c>
      <c r="BZ10" s="37">
        <v>0</v>
      </c>
      <c r="CA10" s="37">
        <v>0</v>
      </c>
      <c r="CB10" s="37">
        <v>0</v>
      </c>
      <c r="CC10" s="37">
        <v>0</v>
      </c>
      <c r="CD10" s="62">
        <v>0</v>
      </c>
      <c r="CE10" s="23">
        <f t="shared" si="0"/>
        <v>184.52600000000001</v>
      </c>
      <c r="CF10" s="23"/>
      <c r="CG10" s="23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</row>
    <row r="11" spans="1:159" ht="15.5">
      <c r="A11" s="31" t="s">
        <v>19</v>
      </c>
      <c r="B11" s="54" t="s">
        <v>20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64.076999999999998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  <c r="AV11" s="37">
        <v>0</v>
      </c>
      <c r="AW11" s="37">
        <v>0</v>
      </c>
      <c r="AX11" s="37">
        <v>0</v>
      </c>
      <c r="AY11" s="37">
        <v>0</v>
      </c>
      <c r="AZ11" s="37">
        <v>0</v>
      </c>
      <c r="BA11" s="37">
        <v>0</v>
      </c>
      <c r="BB11" s="37">
        <v>0</v>
      </c>
      <c r="BC11" s="37">
        <v>0</v>
      </c>
      <c r="BD11" s="37">
        <v>0</v>
      </c>
      <c r="BE11" s="37">
        <v>0</v>
      </c>
      <c r="BF11" s="37">
        <v>0</v>
      </c>
      <c r="BG11" s="37">
        <v>0</v>
      </c>
      <c r="BH11" s="37">
        <v>0</v>
      </c>
      <c r="BI11" s="37">
        <v>0</v>
      </c>
      <c r="BJ11" s="37">
        <v>0</v>
      </c>
      <c r="BK11" s="37">
        <v>0</v>
      </c>
      <c r="BL11" s="37">
        <v>0</v>
      </c>
      <c r="BM11" s="37">
        <v>0</v>
      </c>
      <c r="BN11" s="37">
        <v>0</v>
      </c>
      <c r="BO11" s="37">
        <v>0</v>
      </c>
      <c r="BP11" s="37">
        <v>0</v>
      </c>
      <c r="BQ11" s="37">
        <v>0</v>
      </c>
      <c r="BR11" s="37">
        <v>0</v>
      </c>
      <c r="BS11" s="37">
        <v>0</v>
      </c>
      <c r="BT11" s="37">
        <v>0</v>
      </c>
      <c r="BU11" s="37">
        <v>0</v>
      </c>
      <c r="BV11" s="37">
        <v>0</v>
      </c>
      <c r="BW11" s="37">
        <v>0</v>
      </c>
      <c r="BX11" s="37">
        <v>0</v>
      </c>
      <c r="BY11" s="37">
        <v>0</v>
      </c>
      <c r="BZ11" s="37">
        <v>0</v>
      </c>
      <c r="CA11" s="37">
        <v>0</v>
      </c>
      <c r="CB11" s="37">
        <v>0</v>
      </c>
      <c r="CC11" s="37">
        <v>0</v>
      </c>
      <c r="CD11" s="62">
        <v>0</v>
      </c>
      <c r="CE11" s="23">
        <f t="shared" si="0"/>
        <v>64.076999999999998</v>
      </c>
      <c r="CF11" s="23"/>
      <c r="CG11" s="23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</row>
    <row r="12" spans="1:159" ht="15.5">
      <c r="A12" s="31" t="s">
        <v>21</v>
      </c>
      <c r="B12" s="54" t="s">
        <v>22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153.11600000000001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  <c r="AV12" s="37">
        <v>0</v>
      </c>
      <c r="AW12" s="37">
        <v>0</v>
      </c>
      <c r="AX12" s="37">
        <v>0</v>
      </c>
      <c r="AY12" s="37">
        <v>0</v>
      </c>
      <c r="AZ12" s="37">
        <v>0</v>
      </c>
      <c r="BA12" s="37">
        <v>0</v>
      </c>
      <c r="BB12" s="37">
        <v>0</v>
      </c>
      <c r="BC12" s="37">
        <v>0</v>
      </c>
      <c r="BD12" s="37">
        <v>0</v>
      </c>
      <c r="BE12" s="37">
        <v>0</v>
      </c>
      <c r="BF12" s="37">
        <v>0</v>
      </c>
      <c r="BG12" s="37">
        <v>0</v>
      </c>
      <c r="BH12" s="37">
        <v>0</v>
      </c>
      <c r="BI12" s="37">
        <v>0</v>
      </c>
      <c r="BJ12" s="37">
        <v>0</v>
      </c>
      <c r="BK12" s="37">
        <v>0</v>
      </c>
      <c r="BL12" s="37">
        <v>0</v>
      </c>
      <c r="BM12" s="37">
        <v>0</v>
      </c>
      <c r="BN12" s="37">
        <v>0</v>
      </c>
      <c r="BO12" s="37">
        <v>0</v>
      </c>
      <c r="BP12" s="37">
        <v>0</v>
      </c>
      <c r="BQ12" s="37">
        <v>0</v>
      </c>
      <c r="BR12" s="37">
        <v>0</v>
      </c>
      <c r="BS12" s="37">
        <v>0</v>
      </c>
      <c r="BT12" s="37">
        <v>0</v>
      </c>
      <c r="BU12" s="37">
        <v>0</v>
      </c>
      <c r="BV12" s="37">
        <v>0</v>
      </c>
      <c r="BW12" s="37">
        <v>0</v>
      </c>
      <c r="BX12" s="37">
        <v>0</v>
      </c>
      <c r="BY12" s="37">
        <v>0</v>
      </c>
      <c r="BZ12" s="37">
        <v>0</v>
      </c>
      <c r="CA12" s="37">
        <v>0</v>
      </c>
      <c r="CB12" s="37">
        <v>0</v>
      </c>
      <c r="CC12" s="37">
        <v>0</v>
      </c>
      <c r="CD12" s="62">
        <v>0</v>
      </c>
      <c r="CE12" s="23">
        <f t="shared" si="0"/>
        <v>153.11600000000001</v>
      </c>
      <c r="CF12" s="23"/>
      <c r="CG12" s="23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</row>
    <row r="13" spans="1:159" ht="15.5">
      <c r="A13" s="31" t="s">
        <v>23</v>
      </c>
      <c r="B13" s="54" t="s">
        <v>24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413.67099999999999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37">
        <v>0</v>
      </c>
      <c r="AZ13" s="37">
        <v>0</v>
      </c>
      <c r="BA13" s="37">
        <v>0</v>
      </c>
      <c r="BB13" s="37">
        <v>0</v>
      </c>
      <c r="BC13" s="37">
        <v>0</v>
      </c>
      <c r="BD13" s="37">
        <v>0</v>
      </c>
      <c r="BE13" s="37">
        <v>0</v>
      </c>
      <c r="BF13" s="37">
        <v>0</v>
      </c>
      <c r="BG13" s="37">
        <v>0</v>
      </c>
      <c r="BH13" s="37">
        <v>0</v>
      </c>
      <c r="BI13" s="37">
        <v>0</v>
      </c>
      <c r="BJ13" s="37">
        <v>0</v>
      </c>
      <c r="BK13" s="37">
        <v>0</v>
      </c>
      <c r="BL13" s="37">
        <v>0</v>
      </c>
      <c r="BM13" s="37">
        <v>0</v>
      </c>
      <c r="BN13" s="37">
        <v>0</v>
      </c>
      <c r="BO13" s="37">
        <v>0</v>
      </c>
      <c r="BP13" s="37">
        <v>0</v>
      </c>
      <c r="BQ13" s="37">
        <v>0</v>
      </c>
      <c r="BR13" s="37">
        <v>0</v>
      </c>
      <c r="BS13" s="37">
        <v>0</v>
      </c>
      <c r="BT13" s="37">
        <v>0</v>
      </c>
      <c r="BU13" s="37">
        <v>0</v>
      </c>
      <c r="BV13" s="37">
        <v>0</v>
      </c>
      <c r="BW13" s="37">
        <v>0</v>
      </c>
      <c r="BX13" s="37">
        <v>0</v>
      </c>
      <c r="BY13" s="37">
        <v>0</v>
      </c>
      <c r="BZ13" s="37">
        <v>0</v>
      </c>
      <c r="CA13" s="37">
        <v>0</v>
      </c>
      <c r="CB13" s="37">
        <v>0</v>
      </c>
      <c r="CC13" s="37">
        <v>0</v>
      </c>
      <c r="CD13" s="62">
        <v>0</v>
      </c>
      <c r="CE13" s="23">
        <f t="shared" si="0"/>
        <v>413.67099999999999</v>
      </c>
      <c r="CF13" s="23"/>
      <c r="CG13" s="23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</row>
    <row r="14" spans="1:159" ht="15.5">
      <c r="A14" s="31" t="s">
        <v>25</v>
      </c>
      <c r="B14" s="54" t="s">
        <v>26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208.77500000000001</v>
      </c>
      <c r="L14" s="37">
        <v>3.7890000000000001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  <c r="AV14" s="37">
        <v>0</v>
      </c>
      <c r="AW14" s="37">
        <v>0</v>
      </c>
      <c r="AX14" s="37">
        <v>0</v>
      </c>
      <c r="AY14" s="37">
        <v>0</v>
      </c>
      <c r="AZ14" s="37">
        <v>0</v>
      </c>
      <c r="BA14" s="37">
        <v>0</v>
      </c>
      <c r="BB14" s="37">
        <v>0</v>
      </c>
      <c r="BC14" s="37">
        <v>0</v>
      </c>
      <c r="BD14" s="37">
        <v>0</v>
      </c>
      <c r="BE14" s="37">
        <v>0</v>
      </c>
      <c r="BF14" s="37">
        <v>0</v>
      </c>
      <c r="BG14" s="37">
        <v>0</v>
      </c>
      <c r="BH14" s="37">
        <v>0</v>
      </c>
      <c r="BI14" s="37">
        <v>0</v>
      </c>
      <c r="BJ14" s="37">
        <v>0</v>
      </c>
      <c r="BK14" s="37">
        <v>0</v>
      </c>
      <c r="BL14" s="37">
        <v>0</v>
      </c>
      <c r="BM14" s="37">
        <v>0</v>
      </c>
      <c r="BN14" s="37">
        <v>0</v>
      </c>
      <c r="BO14" s="37">
        <v>0</v>
      </c>
      <c r="BP14" s="37">
        <v>0</v>
      </c>
      <c r="BQ14" s="37">
        <v>0</v>
      </c>
      <c r="BR14" s="37">
        <v>0</v>
      </c>
      <c r="BS14" s="37">
        <v>0</v>
      </c>
      <c r="BT14" s="37">
        <v>0</v>
      </c>
      <c r="BU14" s="37">
        <v>0</v>
      </c>
      <c r="BV14" s="37">
        <v>0</v>
      </c>
      <c r="BW14" s="37">
        <v>0</v>
      </c>
      <c r="BX14" s="37">
        <v>0</v>
      </c>
      <c r="BY14" s="37">
        <v>0</v>
      </c>
      <c r="BZ14" s="37">
        <v>0</v>
      </c>
      <c r="CA14" s="37">
        <v>0</v>
      </c>
      <c r="CB14" s="37">
        <v>0</v>
      </c>
      <c r="CC14" s="37">
        <v>0</v>
      </c>
      <c r="CD14" s="62">
        <v>0</v>
      </c>
      <c r="CE14" s="23">
        <f t="shared" si="0"/>
        <v>212.56399999999999</v>
      </c>
      <c r="CF14" s="23"/>
      <c r="CG14" s="23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</row>
    <row r="15" spans="1:159" ht="15.5">
      <c r="A15" s="31" t="s">
        <v>27</v>
      </c>
      <c r="B15" s="54" t="s">
        <v>28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798.46500000000003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  <c r="BA15" s="37">
        <v>0</v>
      </c>
      <c r="BB15" s="37">
        <v>0</v>
      </c>
      <c r="BC15" s="37">
        <v>0</v>
      </c>
      <c r="BD15" s="37">
        <v>0</v>
      </c>
      <c r="BE15" s="37">
        <v>0</v>
      </c>
      <c r="BF15" s="37">
        <v>0</v>
      </c>
      <c r="BG15" s="37">
        <v>0</v>
      </c>
      <c r="BH15" s="37">
        <v>0</v>
      </c>
      <c r="BI15" s="37">
        <v>0</v>
      </c>
      <c r="BJ15" s="37">
        <v>0</v>
      </c>
      <c r="BK15" s="37">
        <v>0</v>
      </c>
      <c r="BL15" s="37">
        <v>0</v>
      </c>
      <c r="BM15" s="37">
        <v>0</v>
      </c>
      <c r="BN15" s="37">
        <v>0</v>
      </c>
      <c r="BO15" s="37">
        <v>0</v>
      </c>
      <c r="BP15" s="37">
        <v>0</v>
      </c>
      <c r="BQ15" s="37">
        <v>0</v>
      </c>
      <c r="BR15" s="37">
        <v>0</v>
      </c>
      <c r="BS15" s="37">
        <v>0</v>
      </c>
      <c r="BT15" s="37">
        <v>0</v>
      </c>
      <c r="BU15" s="37">
        <v>0</v>
      </c>
      <c r="BV15" s="37">
        <v>0</v>
      </c>
      <c r="BW15" s="37">
        <v>0</v>
      </c>
      <c r="BX15" s="37">
        <v>0</v>
      </c>
      <c r="BY15" s="37">
        <v>0</v>
      </c>
      <c r="BZ15" s="37">
        <v>0</v>
      </c>
      <c r="CA15" s="37">
        <v>0</v>
      </c>
      <c r="CB15" s="37">
        <v>0</v>
      </c>
      <c r="CC15" s="37">
        <v>0</v>
      </c>
      <c r="CD15" s="62">
        <v>0</v>
      </c>
      <c r="CE15" s="23">
        <f t="shared" si="0"/>
        <v>798.46500000000003</v>
      </c>
      <c r="CF15" s="23"/>
      <c r="CG15" s="23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</row>
    <row r="16" spans="1:159" ht="15.5">
      <c r="A16" s="31" t="s">
        <v>29</v>
      </c>
      <c r="B16" s="54" t="s">
        <v>30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75.12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  <c r="AV16" s="37">
        <v>0</v>
      </c>
      <c r="AW16" s="37">
        <v>0</v>
      </c>
      <c r="AX16" s="37">
        <v>0</v>
      </c>
      <c r="AY16" s="37">
        <v>0</v>
      </c>
      <c r="AZ16" s="37">
        <v>0</v>
      </c>
      <c r="BA16" s="37">
        <v>0</v>
      </c>
      <c r="BB16" s="37">
        <v>0</v>
      </c>
      <c r="BC16" s="37">
        <v>0</v>
      </c>
      <c r="BD16" s="37">
        <v>0</v>
      </c>
      <c r="BE16" s="37">
        <v>0</v>
      </c>
      <c r="BF16" s="37">
        <v>0</v>
      </c>
      <c r="BG16" s="37">
        <v>0</v>
      </c>
      <c r="BH16" s="37">
        <v>0</v>
      </c>
      <c r="BI16" s="37">
        <v>0</v>
      </c>
      <c r="BJ16" s="37">
        <v>0</v>
      </c>
      <c r="BK16" s="37">
        <v>0</v>
      </c>
      <c r="BL16" s="37">
        <v>0</v>
      </c>
      <c r="BM16" s="37">
        <v>0</v>
      </c>
      <c r="BN16" s="37">
        <v>0</v>
      </c>
      <c r="BO16" s="37">
        <v>0</v>
      </c>
      <c r="BP16" s="37">
        <v>0</v>
      </c>
      <c r="BQ16" s="37">
        <v>0</v>
      </c>
      <c r="BR16" s="37">
        <v>0</v>
      </c>
      <c r="BS16" s="37">
        <v>0</v>
      </c>
      <c r="BT16" s="37">
        <v>0</v>
      </c>
      <c r="BU16" s="37">
        <v>0</v>
      </c>
      <c r="BV16" s="37">
        <v>0</v>
      </c>
      <c r="BW16" s="37">
        <v>0</v>
      </c>
      <c r="BX16" s="37">
        <v>0</v>
      </c>
      <c r="BY16" s="37">
        <v>0</v>
      </c>
      <c r="BZ16" s="37">
        <v>0</v>
      </c>
      <c r="CA16" s="37">
        <v>0</v>
      </c>
      <c r="CB16" s="37">
        <v>0</v>
      </c>
      <c r="CC16" s="37">
        <v>0</v>
      </c>
      <c r="CD16" s="62">
        <v>0</v>
      </c>
      <c r="CE16" s="23">
        <f t="shared" si="0"/>
        <v>75.12</v>
      </c>
      <c r="CF16" s="23"/>
      <c r="CG16" s="23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</row>
    <row r="17" spans="1:159" ht="15.5">
      <c r="A17" s="31" t="s">
        <v>31</v>
      </c>
      <c r="B17" s="54" t="s">
        <v>32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  <c r="AV17" s="37">
        <v>0</v>
      </c>
      <c r="AW17" s="37">
        <v>0</v>
      </c>
      <c r="AX17" s="37">
        <v>0</v>
      </c>
      <c r="AY17" s="37">
        <v>0</v>
      </c>
      <c r="AZ17" s="37">
        <v>0</v>
      </c>
      <c r="BA17" s="37">
        <v>0</v>
      </c>
      <c r="BB17" s="37">
        <v>0</v>
      </c>
      <c r="BC17" s="37">
        <v>0</v>
      </c>
      <c r="BD17" s="37">
        <v>0</v>
      </c>
      <c r="BE17" s="37">
        <v>0</v>
      </c>
      <c r="BF17" s="37">
        <v>0</v>
      </c>
      <c r="BG17" s="37">
        <v>0</v>
      </c>
      <c r="BH17" s="37">
        <v>0</v>
      </c>
      <c r="BI17" s="37">
        <v>0</v>
      </c>
      <c r="BJ17" s="37">
        <v>0</v>
      </c>
      <c r="BK17" s="37">
        <v>0</v>
      </c>
      <c r="BL17" s="37">
        <v>0</v>
      </c>
      <c r="BM17" s="37">
        <v>0</v>
      </c>
      <c r="BN17" s="37">
        <v>0</v>
      </c>
      <c r="BO17" s="37">
        <v>0</v>
      </c>
      <c r="BP17" s="37">
        <v>0</v>
      </c>
      <c r="BQ17" s="37">
        <v>0</v>
      </c>
      <c r="BR17" s="37">
        <v>0</v>
      </c>
      <c r="BS17" s="37">
        <v>0</v>
      </c>
      <c r="BT17" s="37">
        <v>0</v>
      </c>
      <c r="BU17" s="37">
        <v>0</v>
      </c>
      <c r="BV17" s="37">
        <v>0</v>
      </c>
      <c r="BW17" s="37">
        <v>0</v>
      </c>
      <c r="BX17" s="37">
        <v>0</v>
      </c>
      <c r="BY17" s="37">
        <v>0</v>
      </c>
      <c r="BZ17" s="37">
        <v>0</v>
      </c>
      <c r="CA17" s="37">
        <v>0</v>
      </c>
      <c r="CB17" s="37">
        <v>0</v>
      </c>
      <c r="CC17" s="37">
        <v>0</v>
      </c>
      <c r="CD17" s="62">
        <v>0</v>
      </c>
      <c r="CE17" s="23">
        <f t="shared" si="0"/>
        <v>0</v>
      </c>
      <c r="CF17" s="23"/>
      <c r="CG17" s="23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</row>
    <row r="18" spans="1:159" ht="15.5">
      <c r="A18" s="31" t="s">
        <v>33</v>
      </c>
      <c r="B18" s="54" t="s">
        <v>34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272.82799999999997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  <c r="AV18" s="37">
        <v>0</v>
      </c>
      <c r="AW18" s="37">
        <v>0</v>
      </c>
      <c r="AX18" s="37">
        <v>0</v>
      </c>
      <c r="AY18" s="37">
        <v>0</v>
      </c>
      <c r="AZ18" s="37">
        <v>0</v>
      </c>
      <c r="BA18" s="37">
        <v>0</v>
      </c>
      <c r="BB18" s="37">
        <v>0</v>
      </c>
      <c r="BC18" s="37">
        <v>0</v>
      </c>
      <c r="BD18" s="37">
        <v>0</v>
      </c>
      <c r="BE18" s="37">
        <v>0</v>
      </c>
      <c r="BF18" s="37">
        <v>0</v>
      </c>
      <c r="BG18" s="37">
        <v>0</v>
      </c>
      <c r="BH18" s="37">
        <v>0</v>
      </c>
      <c r="BI18" s="37">
        <v>0</v>
      </c>
      <c r="BJ18" s="37">
        <v>0</v>
      </c>
      <c r="BK18" s="37">
        <v>0</v>
      </c>
      <c r="BL18" s="37">
        <v>0</v>
      </c>
      <c r="BM18" s="37">
        <v>0</v>
      </c>
      <c r="BN18" s="37">
        <v>0</v>
      </c>
      <c r="BO18" s="37">
        <v>0</v>
      </c>
      <c r="BP18" s="37">
        <v>0</v>
      </c>
      <c r="BQ18" s="37">
        <v>0</v>
      </c>
      <c r="BR18" s="37">
        <v>0</v>
      </c>
      <c r="BS18" s="37">
        <v>0</v>
      </c>
      <c r="BT18" s="37">
        <v>0</v>
      </c>
      <c r="BU18" s="37">
        <v>0</v>
      </c>
      <c r="BV18" s="37">
        <v>0</v>
      </c>
      <c r="BW18" s="37">
        <v>0</v>
      </c>
      <c r="BX18" s="37">
        <v>0</v>
      </c>
      <c r="BY18" s="37">
        <v>0</v>
      </c>
      <c r="BZ18" s="37">
        <v>0</v>
      </c>
      <c r="CA18" s="37">
        <v>0</v>
      </c>
      <c r="CB18" s="37">
        <v>0</v>
      </c>
      <c r="CC18" s="37">
        <v>0</v>
      </c>
      <c r="CD18" s="62">
        <v>0</v>
      </c>
      <c r="CE18" s="23">
        <f t="shared" si="0"/>
        <v>272.82799999999997</v>
      </c>
      <c r="CF18" s="23"/>
      <c r="CG18" s="23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</row>
    <row r="19" spans="1:159" ht="15.5">
      <c r="A19" s="31" t="s">
        <v>35</v>
      </c>
      <c r="B19" s="54" t="s">
        <v>36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20.802</v>
      </c>
      <c r="Q19" s="37">
        <v>420.70499999999998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3.11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0</v>
      </c>
      <c r="AY19" s="37">
        <v>0</v>
      </c>
      <c r="AZ19" s="37">
        <v>0</v>
      </c>
      <c r="BA19" s="37">
        <v>0</v>
      </c>
      <c r="BB19" s="37">
        <v>0</v>
      </c>
      <c r="BC19" s="37">
        <v>0</v>
      </c>
      <c r="BD19" s="37">
        <v>0</v>
      </c>
      <c r="BE19" s="37">
        <v>0</v>
      </c>
      <c r="BF19" s="37">
        <v>0</v>
      </c>
      <c r="BG19" s="37">
        <v>0</v>
      </c>
      <c r="BH19" s="37">
        <v>0</v>
      </c>
      <c r="BI19" s="37">
        <v>0</v>
      </c>
      <c r="BJ19" s="37">
        <v>0</v>
      </c>
      <c r="BK19" s="37">
        <v>0</v>
      </c>
      <c r="BL19" s="37">
        <v>0</v>
      </c>
      <c r="BM19" s="37">
        <v>0</v>
      </c>
      <c r="BN19" s="37">
        <v>0</v>
      </c>
      <c r="BO19" s="37">
        <v>0</v>
      </c>
      <c r="BP19" s="37">
        <v>0</v>
      </c>
      <c r="BQ19" s="37">
        <v>0</v>
      </c>
      <c r="BR19" s="37">
        <v>0</v>
      </c>
      <c r="BS19" s="37">
        <v>0</v>
      </c>
      <c r="BT19" s="37">
        <v>0</v>
      </c>
      <c r="BU19" s="37">
        <v>0</v>
      </c>
      <c r="BV19" s="37">
        <v>0</v>
      </c>
      <c r="BW19" s="37">
        <v>0</v>
      </c>
      <c r="BX19" s="37">
        <v>0</v>
      </c>
      <c r="BY19" s="37">
        <v>0</v>
      </c>
      <c r="BZ19" s="37">
        <v>0</v>
      </c>
      <c r="CA19" s="37">
        <v>0</v>
      </c>
      <c r="CB19" s="37">
        <v>0</v>
      </c>
      <c r="CC19" s="37">
        <v>0</v>
      </c>
      <c r="CD19" s="62">
        <v>0</v>
      </c>
      <c r="CE19" s="23">
        <f t="shared" si="0"/>
        <v>444.61700000000002</v>
      </c>
      <c r="CF19" s="23"/>
      <c r="CG19" s="23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</row>
    <row r="20" spans="1:159" ht="15.5">
      <c r="A20" s="31" t="s">
        <v>37</v>
      </c>
      <c r="B20" s="54" t="s">
        <v>38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186.60300000000001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0</v>
      </c>
      <c r="AT20" s="37">
        <v>0</v>
      </c>
      <c r="AU20" s="37">
        <v>0</v>
      </c>
      <c r="AV20" s="37">
        <v>0</v>
      </c>
      <c r="AW20" s="37">
        <v>0</v>
      </c>
      <c r="AX20" s="37">
        <v>0</v>
      </c>
      <c r="AY20" s="37">
        <v>0</v>
      </c>
      <c r="AZ20" s="37">
        <v>0</v>
      </c>
      <c r="BA20" s="37">
        <v>0</v>
      </c>
      <c r="BB20" s="37">
        <v>0</v>
      </c>
      <c r="BC20" s="37">
        <v>0</v>
      </c>
      <c r="BD20" s="37">
        <v>0</v>
      </c>
      <c r="BE20" s="37">
        <v>0</v>
      </c>
      <c r="BF20" s="37">
        <v>0</v>
      </c>
      <c r="BG20" s="37">
        <v>0</v>
      </c>
      <c r="BH20" s="37">
        <v>0</v>
      </c>
      <c r="BI20" s="37">
        <v>0</v>
      </c>
      <c r="BJ20" s="37">
        <v>0</v>
      </c>
      <c r="BK20" s="37">
        <v>0</v>
      </c>
      <c r="BL20" s="37">
        <v>0</v>
      </c>
      <c r="BM20" s="37">
        <v>0</v>
      </c>
      <c r="BN20" s="37">
        <v>0</v>
      </c>
      <c r="BO20" s="37">
        <v>0</v>
      </c>
      <c r="BP20" s="37">
        <v>0</v>
      </c>
      <c r="BQ20" s="37">
        <v>0</v>
      </c>
      <c r="BR20" s="37">
        <v>0</v>
      </c>
      <c r="BS20" s="37">
        <v>0</v>
      </c>
      <c r="BT20" s="37">
        <v>0</v>
      </c>
      <c r="BU20" s="37">
        <v>0</v>
      </c>
      <c r="BV20" s="37">
        <v>0</v>
      </c>
      <c r="BW20" s="37">
        <v>0</v>
      </c>
      <c r="BX20" s="37">
        <v>0</v>
      </c>
      <c r="BY20" s="37">
        <v>0</v>
      </c>
      <c r="BZ20" s="37">
        <v>0</v>
      </c>
      <c r="CA20" s="37">
        <v>0</v>
      </c>
      <c r="CB20" s="37">
        <v>0</v>
      </c>
      <c r="CC20" s="37">
        <v>0</v>
      </c>
      <c r="CD20" s="62">
        <v>0</v>
      </c>
      <c r="CE20" s="23">
        <f t="shared" si="0"/>
        <v>186.60300000000001</v>
      </c>
      <c r="CF20" s="23"/>
      <c r="CG20" s="23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</row>
    <row r="21" spans="1:159" ht="15.5">
      <c r="A21" s="31" t="s">
        <v>39</v>
      </c>
      <c r="B21" s="54" t="s">
        <v>40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2.4620000000000002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  <c r="AV21" s="37">
        <v>0</v>
      </c>
      <c r="AW21" s="37">
        <v>0</v>
      </c>
      <c r="AX21" s="37">
        <v>0</v>
      </c>
      <c r="AY21" s="37">
        <v>0</v>
      </c>
      <c r="AZ21" s="37">
        <v>0</v>
      </c>
      <c r="BA21" s="37">
        <v>0</v>
      </c>
      <c r="BB21" s="37">
        <v>0</v>
      </c>
      <c r="BC21" s="37">
        <v>0</v>
      </c>
      <c r="BD21" s="37">
        <v>0</v>
      </c>
      <c r="BE21" s="37">
        <v>0</v>
      </c>
      <c r="BF21" s="37">
        <v>0</v>
      </c>
      <c r="BG21" s="37">
        <v>0</v>
      </c>
      <c r="BH21" s="37">
        <v>0</v>
      </c>
      <c r="BI21" s="37">
        <v>0</v>
      </c>
      <c r="BJ21" s="37">
        <v>0</v>
      </c>
      <c r="BK21" s="37">
        <v>0</v>
      </c>
      <c r="BL21" s="37">
        <v>0</v>
      </c>
      <c r="BM21" s="37">
        <v>0</v>
      </c>
      <c r="BN21" s="37">
        <v>0</v>
      </c>
      <c r="BO21" s="37">
        <v>0</v>
      </c>
      <c r="BP21" s="37">
        <v>0</v>
      </c>
      <c r="BQ21" s="37">
        <v>0</v>
      </c>
      <c r="BR21" s="37">
        <v>0</v>
      </c>
      <c r="BS21" s="37">
        <v>0</v>
      </c>
      <c r="BT21" s="37">
        <v>0</v>
      </c>
      <c r="BU21" s="37">
        <v>0</v>
      </c>
      <c r="BV21" s="37">
        <v>0</v>
      </c>
      <c r="BW21" s="37">
        <v>0</v>
      </c>
      <c r="BX21" s="37">
        <v>0</v>
      </c>
      <c r="BY21" s="37">
        <v>0</v>
      </c>
      <c r="BZ21" s="37">
        <v>0</v>
      </c>
      <c r="CA21" s="37">
        <v>0</v>
      </c>
      <c r="CB21" s="37">
        <v>0</v>
      </c>
      <c r="CC21" s="37">
        <v>0</v>
      </c>
      <c r="CD21" s="62">
        <v>0</v>
      </c>
      <c r="CE21" s="23">
        <f t="shared" si="0"/>
        <v>2.4620000000000002</v>
      </c>
      <c r="CF21" s="23"/>
      <c r="CG21" s="23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</row>
    <row r="22" spans="1:159" ht="15.5">
      <c r="A22" s="31" t="s">
        <v>41</v>
      </c>
      <c r="B22" s="54" t="s">
        <v>42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36.165999999999997</v>
      </c>
      <c r="U22" s="37">
        <v>0</v>
      </c>
      <c r="V22" s="37">
        <v>4.8410000000000002</v>
      </c>
      <c r="W22" s="37">
        <v>0</v>
      </c>
      <c r="X22" s="37">
        <v>1.2050000000000001</v>
      </c>
      <c r="Y22" s="37">
        <v>0</v>
      </c>
      <c r="Z22" s="37">
        <v>0</v>
      </c>
      <c r="AA22" s="37">
        <v>0</v>
      </c>
      <c r="AB22" s="37">
        <v>1.4410000000000001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37">
        <v>0</v>
      </c>
      <c r="BX22" s="37">
        <v>0</v>
      </c>
      <c r="BY22" s="37">
        <v>0</v>
      </c>
      <c r="BZ22" s="37">
        <v>0</v>
      </c>
      <c r="CA22" s="37">
        <v>0</v>
      </c>
      <c r="CB22" s="37">
        <v>0</v>
      </c>
      <c r="CC22" s="37">
        <v>0</v>
      </c>
      <c r="CD22" s="62">
        <v>0</v>
      </c>
      <c r="CE22" s="23">
        <f t="shared" si="0"/>
        <v>43.652999999999999</v>
      </c>
      <c r="CF22" s="23"/>
      <c r="CG22" s="23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</row>
    <row r="23" spans="1:159" ht="15.5">
      <c r="A23" s="31" t="s">
        <v>43</v>
      </c>
      <c r="B23" s="54" t="s">
        <v>44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204.536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  <c r="AV23" s="37">
        <v>0</v>
      </c>
      <c r="AW23" s="37">
        <v>0</v>
      </c>
      <c r="AX23" s="37">
        <v>0</v>
      </c>
      <c r="AY23" s="37">
        <v>0</v>
      </c>
      <c r="AZ23" s="37">
        <v>0</v>
      </c>
      <c r="BA23" s="37">
        <v>0</v>
      </c>
      <c r="BB23" s="37">
        <v>0</v>
      </c>
      <c r="BC23" s="37">
        <v>0</v>
      </c>
      <c r="BD23" s="37">
        <v>0</v>
      </c>
      <c r="BE23" s="37">
        <v>0</v>
      </c>
      <c r="BF23" s="37">
        <v>0</v>
      </c>
      <c r="BG23" s="37">
        <v>0</v>
      </c>
      <c r="BH23" s="37">
        <v>0</v>
      </c>
      <c r="BI23" s="37">
        <v>0</v>
      </c>
      <c r="BJ23" s="37">
        <v>0</v>
      </c>
      <c r="BK23" s="37">
        <v>0</v>
      </c>
      <c r="BL23" s="37">
        <v>0</v>
      </c>
      <c r="BM23" s="37">
        <v>0</v>
      </c>
      <c r="BN23" s="37">
        <v>0</v>
      </c>
      <c r="BO23" s="37">
        <v>0</v>
      </c>
      <c r="BP23" s="37">
        <v>0</v>
      </c>
      <c r="BQ23" s="37">
        <v>0</v>
      </c>
      <c r="BR23" s="37">
        <v>0</v>
      </c>
      <c r="BS23" s="37">
        <v>0</v>
      </c>
      <c r="BT23" s="37">
        <v>0</v>
      </c>
      <c r="BU23" s="37">
        <v>0</v>
      </c>
      <c r="BV23" s="37">
        <v>0</v>
      </c>
      <c r="BW23" s="37">
        <v>0</v>
      </c>
      <c r="BX23" s="37">
        <v>0</v>
      </c>
      <c r="BY23" s="37">
        <v>0</v>
      </c>
      <c r="BZ23" s="37">
        <v>0</v>
      </c>
      <c r="CA23" s="37">
        <v>0</v>
      </c>
      <c r="CB23" s="37">
        <v>0</v>
      </c>
      <c r="CC23" s="37">
        <v>0</v>
      </c>
      <c r="CD23" s="62">
        <v>0</v>
      </c>
      <c r="CE23" s="23">
        <f t="shared" si="0"/>
        <v>204.536</v>
      </c>
      <c r="CF23" s="23"/>
      <c r="CG23" s="23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</row>
    <row r="24" spans="1:159" ht="15.5">
      <c r="A24" s="31" t="s">
        <v>45</v>
      </c>
      <c r="B24" s="54" t="s">
        <v>46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128.77799999999999</v>
      </c>
      <c r="W24" s="37">
        <v>0</v>
      </c>
      <c r="X24" s="37">
        <v>0</v>
      </c>
      <c r="Y24" s="37">
        <v>0</v>
      </c>
      <c r="Z24" s="37">
        <v>9.5000000000000001E-2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0</v>
      </c>
      <c r="AY24" s="37">
        <v>0</v>
      </c>
      <c r="AZ24" s="37">
        <v>0</v>
      </c>
      <c r="BA24" s="37">
        <v>0</v>
      </c>
      <c r="BB24" s="37">
        <v>0</v>
      </c>
      <c r="BC24" s="37">
        <v>0</v>
      </c>
      <c r="BD24" s="37">
        <v>0</v>
      </c>
      <c r="BE24" s="37">
        <v>0</v>
      </c>
      <c r="BF24" s="37">
        <v>0</v>
      </c>
      <c r="BG24" s="37">
        <v>0</v>
      </c>
      <c r="BH24" s="37">
        <v>0</v>
      </c>
      <c r="BI24" s="37">
        <v>0</v>
      </c>
      <c r="BJ24" s="37">
        <v>0</v>
      </c>
      <c r="BK24" s="37">
        <v>0</v>
      </c>
      <c r="BL24" s="37">
        <v>0</v>
      </c>
      <c r="BM24" s="37">
        <v>0</v>
      </c>
      <c r="BN24" s="37">
        <v>0</v>
      </c>
      <c r="BO24" s="37">
        <v>0</v>
      </c>
      <c r="BP24" s="37">
        <v>0</v>
      </c>
      <c r="BQ24" s="37">
        <v>0</v>
      </c>
      <c r="BR24" s="37">
        <v>0</v>
      </c>
      <c r="BS24" s="37">
        <v>0</v>
      </c>
      <c r="BT24" s="37">
        <v>0</v>
      </c>
      <c r="BU24" s="37">
        <v>0</v>
      </c>
      <c r="BV24" s="37">
        <v>0</v>
      </c>
      <c r="BW24" s="37">
        <v>0</v>
      </c>
      <c r="BX24" s="37">
        <v>0</v>
      </c>
      <c r="BY24" s="37">
        <v>0</v>
      </c>
      <c r="BZ24" s="37">
        <v>0</v>
      </c>
      <c r="CA24" s="37">
        <v>0</v>
      </c>
      <c r="CB24" s="37">
        <v>0</v>
      </c>
      <c r="CC24" s="37">
        <v>0</v>
      </c>
      <c r="CD24" s="62">
        <v>0</v>
      </c>
      <c r="CE24" s="23">
        <f t="shared" si="0"/>
        <v>128.87299999999999</v>
      </c>
      <c r="CF24" s="23"/>
      <c r="CG24" s="23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</row>
    <row r="25" spans="1:159" ht="15.5">
      <c r="A25" s="31" t="s">
        <v>47</v>
      </c>
      <c r="B25" s="54" t="s">
        <v>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881.75400000000002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  <c r="AV25" s="37">
        <v>0</v>
      </c>
      <c r="AW25" s="37">
        <v>0</v>
      </c>
      <c r="AX25" s="37">
        <v>0</v>
      </c>
      <c r="AY25" s="37">
        <v>0</v>
      </c>
      <c r="AZ25" s="37">
        <v>0</v>
      </c>
      <c r="BA25" s="37">
        <v>0.76300000000000001</v>
      </c>
      <c r="BB25" s="37">
        <v>0</v>
      </c>
      <c r="BC25" s="37">
        <v>0</v>
      </c>
      <c r="BD25" s="37">
        <v>0</v>
      </c>
      <c r="BE25" s="37">
        <v>0</v>
      </c>
      <c r="BF25" s="37">
        <v>0</v>
      </c>
      <c r="BG25" s="37">
        <v>0</v>
      </c>
      <c r="BH25" s="37">
        <v>0</v>
      </c>
      <c r="BI25" s="37">
        <v>0</v>
      </c>
      <c r="BJ25" s="37">
        <v>0</v>
      </c>
      <c r="BK25" s="37">
        <v>0</v>
      </c>
      <c r="BL25" s="37">
        <v>0</v>
      </c>
      <c r="BM25" s="37">
        <v>0</v>
      </c>
      <c r="BN25" s="37">
        <v>0</v>
      </c>
      <c r="BO25" s="37">
        <v>0</v>
      </c>
      <c r="BP25" s="37">
        <v>0</v>
      </c>
      <c r="BQ25" s="37">
        <v>0</v>
      </c>
      <c r="BR25" s="37">
        <v>0</v>
      </c>
      <c r="BS25" s="37">
        <v>0</v>
      </c>
      <c r="BT25" s="37">
        <v>0</v>
      </c>
      <c r="BU25" s="37">
        <v>0</v>
      </c>
      <c r="BV25" s="37">
        <v>0</v>
      </c>
      <c r="BW25" s="37">
        <v>0</v>
      </c>
      <c r="BX25" s="37">
        <v>0</v>
      </c>
      <c r="BY25" s="37">
        <v>0</v>
      </c>
      <c r="BZ25" s="37">
        <v>0</v>
      </c>
      <c r="CA25" s="37">
        <v>0</v>
      </c>
      <c r="CB25" s="37">
        <v>0</v>
      </c>
      <c r="CC25" s="37">
        <v>0</v>
      </c>
      <c r="CD25" s="62">
        <v>0</v>
      </c>
      <c r="CE25" s="23">
        <f t="shared" si="0"/>
        <v>882.51700000000005</v>
      </c>
      <c r="CF25" s="23"/>
      <c r="CG25" s="23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</row>
    <row r="26" spans="1:159" ht="15.5">
      <c r="A26" s="31" t="s">
        <v>49</v>
      </c>
      <c r="B26" s="54" t="s">
        <v>50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125.17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  <c r="AV26" s="37">
        <v>0</v>
      </c>
      <c r="AW26" s="37">
        <v>0</v>
      </c>
      <c r="AX26" s="37">
        <v>0</v>
      </c>
      <c r="AY26" s="37">
        <v>0</v>
      </c>
      <c r="AZ26" s="37">
        <v>0</v>
      </c>
      <c r="BA26" s="37">
        <v>0</v>
      </c>
      <c r="BB26" s="37">
        <v>0</v>
      </c>
      <c r="BC26" s="37">
        <v>0</v>
      </c>
      <c r="BD26" s="37">
        <v>0</v>
      </c>
      <c r="BE26" s="37">
        <v>0</v>
      </c>
      <c r="BF26" s="37">
        <v>0</v>
      </c>
      <c r="BG26" s="37">
        <v>0</v>
      </c>
      <c r="BH26" s="37">
        <v>0</v>
      </c>
      <c r="BI26" s="37">
        <v>0</v>
      </c>
      <c r="BJ26" s="37">
        <v>0</v>
      </c>
      <c r="BK26" s="37">
        <v>0</v>
      </c>
      <c r="BL26" s="37">
        <v>0</v>
      </c>
      <c r="BM26" s="37">
        <v>0</v>
      </c>
      <c r="BN26" s="37">
        <v>0</v>
      </c>
      <c r="BO26" s="37">
        <v>0</v>
      </c>
      <c r="BP26" s="37">
        <v>0</v>
      </c>
      <c r="BQ26" s="37">
        <v>0</v>
      </c>
      <c r="BR26" s="37">
        <v>0</v>
      </c>
      <c r="BS26" s="37">
        <v>0</v>
      </c>
      <c r="BT26" s="37">
        <v>0</v>
      </c>
      <c r="BU26" s="37">
        <v>0</v>
      </c>
      <c r="BV26" s="37">
        <v>0</v>
      </c>
      <c r="BW26" s="37">
        <v>0</v>
      </c>
      <c r="BX26" s="37">
        <v>0</v>
      </c>
      <c r="BY26" s="37">
        <v>0</v>
      </c>
      <c r="BZ26" s="37">
        <v>0</v>
      </c>
      <c r="CA26" s="37">
        <v>0</v>
      </c>
      <c r="CB26" s="37">
        <v>0</v>
      </c>
      <c r="CC26" s="37">
        <v>0</v>
      </c>
      <c r="CD26" s="62">
        <v>0</v>
      </c>
      <c r="CE26" s="23">
        <f t="shared" si="0"/>
        <v>125.17</v>
      </c>
      <c r="CF26" s="23"/>
      <c r="CG26" s="23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</row>
    <row r="27" spans="1:159" ht="15.5">
      <c r="A27" s="31" t="s">
        <v>51</v>
      </c>
      <c r="B27" s="54" t="s">
        <v>52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53.295999999999999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7">
        <v>0</v>
      </c>
      <c r="AV27" s="37">
        <v>0</v>
      </c>
      <c r="AW27" s="37">
        <v>0</v>
      </c>
      <c r="AX27" s="37">
        <v>0</v>
      </c>
      <c r="AY27" s="37">
        <v>0</v>
      </c>
      <c r="AZ27" s="37">
        <v>0</v>
      </c>
      <c r="BA27" s="37">
        <v>0.497</v>
      </c>
      <c r="BB27" s="37">
        <v>0</v>
      </c>
      <c r="BC27" s="37">
        <v>0</v>
      </c>
      <c r="BD27" s="37">
        <v>0</v>
      </c>
      <c r="BE27" s="37">
        <v>0</v>
      </c>
      <c r="BF27" s="37">
        <v>0</v>
      </c>
      <c r="BG27" s="37">
        <v>0</v>
      </c>
      <c r="BH27" s="37">
        <v>0</v>
      </c>
      <c r="BI27" s="37">
        <v>0</v>
      </c>
      <c r="BJ27" s="37">
        <v>0</v>
      </c>
      <c r="BK27" s="37">
        <v>0</v>
      </c>
      <c r="BL27" s="37">
        <v>0</v>
      </c>
      <c r="BM27" s="37">
        <v>0</v>
      </c>
      <c r="BN27" s="37">
        <v>0</v>
      </c>
      <c r="BO27" s="37">
        <v>0</v>
      </c>
      <c r="BP27" s="37">
        <v>0</v>
      </c>
      <c r="BQ27" s="37">
        <v>0</v>
      </c>
      <c r="BR27" s="37">
        <v>0</v>
      </c>
      <c r="BS27" s="37">
        <v>0</v>
      </c>
      <c r="BT27" s="37">
        <v>0</v>
      </c>
      <c r="BU27" s="37">
        <v>0</v>
      </c>
      <c r="BV27" s="37">
        <v>0</v>
      </c>
      <c r="BW27" s="37">
        <v>0</v>
      </c>
      <c r="BX27" s="37">
        <v>0</v>
      </c>
      <c r="BY27" s="37">
        <v>0</v>
      </c>
      <c r="BZ27" s="37">
        <v>0</v>
      </c>
      <c r="CA27" s="37">
        <v>0</v>
      </c>
      <c r="CB27" s="37">
        <v>0</v>
      </c>
      <c r="CC27" s="37">
        <v>0</v>
      </c>
      <c r="CD27" s="62">
        <v>0</v>
      </c>
      <c r="CE27" s="23">
        <f t="shared" si="0"/>
        <v>53.792999999999999</v>
      </c>
      <c r="CF27" s="23"/>
      <c r="CG27" s="23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</row>
    <row r="28" spans="1:159" ht="15.5">
      <c r="A28" s="31" t="s">
        <v>53</v>
      </c>
      <c r="B28" s="54" t="s">
        <v>54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37">
        <v>1.2999999999999999E-2</v>
      </c>
      <c r="I28" s="37">
        <v>3.3000000000000002E-2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252.905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37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0</v>
      </c>
      <c r="AY28" s="37">
        <v>0</v>
      </c>
      <c r="AZ28" s="37">
        <v>0</v>
      </c>
      <c r="BA28" s="37">
        <v>0</v>
      </c>
      <c r="BB28" s="37">
        <v>0</v>
      </c>
      <c r="BC28" s="37">
        <v>0</v>
      </c>
      <c r="BD28" s="37">
        <v>0</v>
      </c>
      <c r="BE28" s="37">
        <v>0</v>
      </c>
      <c r="BF28" s="37">
        <v>0</v>
      </c>
      <c r="BG28" s="37">
        <v>0</v>
      </c>
      <c r="BH28" s="37">
        <v>0</v>
      </c>
      <c r="BI28" s="37">
        <v>0</v>
      </c>
      <c r="BJ28" s="37">
        <v>0</v>
      </c>
      <c r="BK28" s="37">
        <v>0</v>
      </c>
      <c r="BL28" s="37">
        <v>0</v>
      </c>
      <c r="BM28" s="37">
        <v>0</v>
      </c>
      <c r="BN28" s="37">
        <v>0</v>
      </c>
      <c r="BO28" s="37">
        <v>0</v>
      </c>
      <c r="BP28" s="37">
        <v>0</v>
      </c>
      <c r="BQ28" s="37">
        <v>0</v>
      </c>
      <c r="BR28" s="37">
        <v>0</v>
      </c>
      <c r="BS28" s="37">
        <v>0</v>
      </c>
      <c r="BT28" s="37">
        <v>0</v>
      </c>
      <c r="BU28" s="37">
        <v>0</v>
      </c>
      <c r="BV28" s="37">
        <v>0</v>
      </c>
      <c r="BW28" s="37">
        <v>0</v>
      </c>
      <c r="BX28" s="37">
        <v>0</v>
      </c>
      <c r="BY28" s="37">
        <v>0</v>
      </c>
      <c r="BZ28" s="37">
        <v>0</v>
      </c>
      <c r="CA28" s="37">
        <v>0</v>
      </c>
      <c r="CB28" s="37">
        <v>0</v>
      </c>
      <c r="CC28" s="37">
        <v>0</v>
      </c>
      <c r="CD28" s="62">
        <v>0</v>
      </c>
      <c r="CE28" s="23">
        <f t="shared" si="0"/>
        <v>252.95099999999999</v>
      </c>
      <c r="CF28" s="23"/>
      <c r="CG28" s="23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</row>
    <row r="29" spans="1:159" ht="15.5">
      <c r="A29" s="31" t="s">
        <v>55</v>
      </c>
      <c r="B29" s="54" t="s">
        <v>56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742.76400000000001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37">
        <v>0</v>
      </c>
      <c r="AS29" s="37">
        <v>0</v>
      </c>
      <c r="AT29" s="37">
        <v>0</v>
      </c>
      <c r="AU29" s="37">
        <v>0</v>
      </c>
      <c r="AV29" s="37">
        <v>0</v>
      </c>
      <c r="AW29" s="37">
        <v>0</v>
      </c>
      <c r="AX29" s="37">
        <v>0</v>
      </c>
      <c r="AY29" s="37">
        <v>0</v>
      </c>
      <c r="AZ29" s="37">
        <v>0</v>
      </c>
      <c r="BA29" s="37">
        <v>0</v>
      </c>
      <c r="BB29" s="37">
        <v>0</v>
      </c>
      <c r="BC29" s="37">
        <v>0</v>
      </c>
      <c r="BD29" s="37">
        <v>0</v>
      </c>
      <c r="BE29" s="37">
        <v>0</v>
      </c>
      <c r="BF29" s="37">
        <v>0</v>
      </c>
      <c r="BG29" s="37">
        <v>0</v>
      </c>
      <c r="BH29" s="37">
        <v>0</v>
      </c>
      <c r="BI29" s="37">
        <v>0</v>
      </c>
      <c r="BJ29" s="37">
        <v>0</v>
      </c>
      <c r="BK29" s="37">
        <v>0</v>
      </c>
      <c r="BL29" s="37">
        <v>0</v>
      </c>
      <c r="BM29" s="37">
        <v>0</v>
      </c>
      <c r="BN29" s="37">
        <v>0</v>
      </c>
      <c r="BO29" s="37">
        <v>0</v>
      </c>
      <c r="BP29" s="37">
        <v>0</v>
      </c>
      <c r="BQ29" s="37">
        <v>0</v>
      </c>
      <c r="BR29" s="37">
        <v>0</v>
      </c>
      <c r="BS29" s="37">
        <v>0</v>
      </c>
      <c r="BT29" s="37">
        <v>0</v>
      </c>
      <c r="BU29" s="37">
        <v>0</v>
      </c>
      <c r="BV29" s="37">
        <v>0</v>
      </c>
      <c r="BW29" s="37">
        <v>0</v>
      </c>
      <c r="BX29" s="37">
        <v>0</v>
      </c>
      <c r="BY29" s="37">
        <v>0</v>
      </c>
      <c r="BZ29" s="37">
        <v>0</v>
      </c>
      <c r="CA29" s="37">
        <v>0</v>
      </c>
      <c r="CB29" s="37">
        <v>0</v>
      </c>
      <c r="CC29" s="37">
        <v>0</v>
      </c>
      <c r="CD29" s="62">
        <v>0</v>
      </c>
      <c r="CE29" s="23">
        <f t="shared" si="0"/>
        <v>742.76400000000001</v>
      </c>
      <c r="CF29" s="23"/>
      <c r="CG29" s="23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</row>
    <row r="30" spans="1:159" ht="15.5">
      <c r="A30" s="31" t="s">
        <v>57</v>
      </c>
      <c r="B30" s="54" t="s">
        <v>58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2.0179999999999998</v>
      </c>
      <c r="U30" s="37">
        <v>0</v>
      </c>
      <c r="V30" s="37">
        <v>61.92</v>
      </c>
      <c r="W30" s="37">
        <v>0</v>
      </c>
      <c r="X30" s="37">
        <v>0</v>
      </c>
      <c r="Y30" s="37">
        <v>0</v>
      </c>
      <c r="Z30" s="37">
        <v>0</v>
      </c>
      <c r="AA30" s="37">
        <v>74.123000000000005</v>
      </c>
      <c r="AB30" s="37">
        <v>86.39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17.018999999999998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37">
        <v>0</v>
      </c>
      <c r="AS30" s="37">
        <v>0</v>
      </c>
      <c r="AT30" s="37">
        <v>0</v>
      </c>
      <c r="AU30" s="37">
        <v>0</v>
      </c>
      <c r="AV30" s="37">
        <v>0</v>
      </c>
      <c r="AW30" s="37">
        <v>0</v>
      </c>
      <c r="AX30" s="37">
        <v>0</v>
      </c>
      <c r="AY30" s="37">
        <v>0</v>
      </c>
      <c r="AZ30" s="37">
        <v>0</v>
      </c>
      <c r="BA30" s="37">
        <v>0</v>
      </c>
      <c r="BB30" s="37">
        <v>0</v>
      </c>
      <c r="BC30" s="37">
        <v>0</v>
      </c>
      <c r="BD30" s="37">
        <v>0</v>
      </c>
      <c r="BE30" s="37">
        <v>0</v>
      </c>
      <c r="BF30" s="37">
        <v>0</v>
      </c>
      <c r="BG30" s="37">
        <v>0</v>
      </c>
      <c r="BH30" s="37">
        <v>0</v>
      </c>
      <c r="BI30" s="37">
        <v>0</v>
      </c>
      <c r="BJ30" s="37">
        <v>0</v>
      </c>
      <c r="BK30" s="37">
        <v>0</v>
      </c>
      <c r="BL30" s="37">
        <v>0</v>
      </c>
      <c r="BM30" s="37">
        <v>0</v>
      </c>
      <c r="BN30" s="37">
        <v>0</v>
      </c>
      <c r="BO30" s="37">
        <v>0</v>
      </c>
      <c r="BP30" s="37">
        <v>0</v>
      </c>
      <c r="BQ30" s="37">
        <v>0</v>
      </c>
      <c r="BR30" s="37">
        <v>0</v>
      </c>
      <c r="BS30" s="37">
        <v>0</v>
      </c>
      <c r="BT30" s="37">
        <v>0</v>
      </c>
      <c r="BU30" s="37">
        <v>0</v>
      </c>
      <c r="BV30" s="37">
        <v>0</v>
      </c>
      <c r="BW30" s="37">
        <v>0</v>
      </c>
      <c r="BX30" s="37">
        <v>0</v>
      </c>
      <c r="BY30" s="37">
        <v>0</v>
      </c>
      <c r="BZ30" s="37">
        <v>0</v>
      </c>
      <c r="CA30" s="37">
        <v>0</v>
      </c>
      <c r="CB30" s="37">
        <v>0</v>
      </c>
      <c r="CC30" s="37">
        <v>0</v>
      </c>
      <c r="CD30" s="62">
        <v>0</v>
      </c>
      <c r="CE30" s="23">
        <f t="shared" si="0"/>
        <v>241.47000000000003</v>
      </c>
      <c r="CF30" s="23"/>
      <c r="CG30" s="23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</row>
    <row r="31" spans="1:159" ht="15.5">
      <c r="A31" s="31" t="s">
        <v>59</v>
      </c>
      <c r="B31" s="54" t="s">
        <v>60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0.71599999999999997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37">
        <v>0</v>
      </c>
      <c r="AL31" s="37">
        <v>0</v>
      </c>
      <c r="AM31" s="37">
        <v>0</v>
      </c>
      <c r="AN31" s="37">
        <v>0</v>
      </c>
      <c r="AO31" s="37">
        <v>0</v>
      </c>
      <c r="AP31" s="37">
        <v>0</v>
      </c>
      <c r="AQ31" s="37">
        <v>0</v>
      </c>
      <c r="AR31" s="37">
        <v>0</v>
      </c>
      <c r="AS31" s="37">
        <v>0</v>
      </c>
      <c r="AT31" s="37">
        <v>0</v>
      </c>
      <c r="AU31" s="37">
        <v>0</v>
      </c>
      <c r="AV31" s="37">
        <v>0</v>
      </c>
      <c r="AW31" s="37">
        <v>0</v>
      </c>
      <c r="AX31" s="37">
        <v>0</v>
      </c>
      <c r="AY31" s="37">
        <v>0</v>
      </c>
      <c r="AZ31" s="37">
        <v>0</v>
      </c>
      <c r="BA31" s="37">
        <v>0</v>
      </c>
      <c r="BB31" s="37">
        <v>0</v>
      </c>
      <c r="BC31" s="37">
        <v>0</v>
      </c>
      <c r="BD31" s="37">
        <v>0</v>
      </c>
      <c r="BE31" s="37">
        <v>0</v>
      </c>
      <c r="BF31" s="37">
        <v>0</v>
      </c>
      <c r="BG31" s="37">
        <v>0</v>
      </c>
      <c r="BH31" s="37">
        <v>0</v>
      </c>
      <c r="BI31" s="37">
        <v>0</v>
      </c>
      <c r="BJ31" s="37">
        <v>0</v>
      </c>
      <c r="BK31" s="37">
        <v>0</v>
      </c>
      <c r="BL31" s="37">
        <v>0</v>
      </c>
      <c r="BM31" s="37">
        <v>0</v>
      </c>
      <c r="BN31" s="37">
        <v>0</v>
      </c>
      <c r="BO31" s="37">
        <v>0</v>
      </c>
      <c r="BP31" s="37">
        <v>0</v>
      </c>
      <c r="BQ31" s="37">
        <v>0</v>
      </c>
      <c r="BR31" s="37">
        <v>0</v>
      </c>
      <c r="BS31" s="37">
        <v>0</v>
      </c>
      <c r="BT31" s="37">
        <v>0</v>
      </c>
      <c r="BU31" s="37">
        <v>0</v>
      </c>
      <c r="BV31" s="37">
        <v>0</v>
      </c>
      <c r="BW31" s="37">
        <v>0</v>
      </c>
      <c r="BX31" s="37">
        <v>0</v>
      </c>
      <c r="BY31" s="37">
        <v>0</v>
      </c>
      <c r="BZ31" s="37">
        <v>0</v>
      </c>
      <c r="CA31" s="37">
        <v>0</v>
      </c>
      <c r="CB31" s="37">
        <v>0</v>
      </c>
      <c r="CC31" s="37">
        <v>0</v>
      </c>
      <c r="CD31" s="62">
        <v>0</v>
      </c>
      <c r="CE31" s="23">
        <f t="shared" si="0"/>
        <v>0.71599999999999997</v>
      </c>
      <c r="CF31" s="23"/>
      <c r="CG31" s="23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</row>
    <row r="32" spans="1:159" ht="15.5">
      <c r="A32" s="31" t="s">
        <v>61</v>
      </c>
      <c r="B32" s="54" t="s">
        <v>62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388.37200000000001</v>
      </c>
      <c r="AE32" s="37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37">
        <v>0</v>
      </c>
      <c r="AL32" s="37">
        <v>0</v>
      </c>
      <c r="AM32" s="37">
        <v>0</v>
      </c>
      <c r="AN32" s="37">
        <v>0</v>
      </c>
      <c r="AO32" s="37">
        <v>0</v>
      </c>
      <c r="AP32" s="37">
        <v>0</v>
      </c>
      <c r="AQ32" s="37">
        <v>0</v>
      </c>
      <c r="AR32" s="37">
        <v>0</v>
      </c>
      <c r="AS32" s="37">
        <v>0</v>
      </c>
      <c r="AT32" s="37">
        <v>0</v>
      </c>
      <c r="AU32" s="37">
        <v>0</v>
      </c>
      <c r="AV32" s="37">
        <v>0</v>
      </c>
      <c r="AW32" s="37">
        <v>0</v>
      </c>
      <c r="AX32" s="37">
        <v>0</v>
      </c>
      <c r="AY32" s="37">
        <v>0</v>
      </c>
      <c r="AZ32" s="37">
        <v>0</v>
      </c>
      <c r="BA32" s="37">
        <v>0</v>
      </c>
      <c r="BB32" s="37">
        <v>0</v>
      </c>
      <c r="BC32" s="37">
        <v>0</v>
      </c>
      <c r="BD32" s="37">
        <v>0</v>
      </c>
      <c r="BE32" s="37">
        <v>0</v>
      </c>
      <c r="BF32" s="37">
        <v>0</v>
      </c>
      <c r="BG32" s="37">
        <v>0</v>
      </c>
      <c r="BH32" s="37">
        <v>0</v>
      </c>
      <c r="BI32" s="37">
        <v>0</v>
      </c>
      <c r="BJ32" s="37">
        <v>0</v>
      </c>
      <c r="BK32" s="37">
        <v>0</v>
      </c>
      <c r="BL32" s="37">
        <v>0</v>
      </c>
      <c r="BM32" s="37">
        <v>0</v>
      </c>
      <c r="BN32" s="37">
        <v>0</v>
      </c>
      <c r="BO32" s="37">
        <v>0</v>
      </c>
      <c r="BP32" s="37">
        <v>0</v>
      </c>
      <c r="BQ32" s="37">
        <v>0</v>
      </c>
      <c r="BR32" s="37">
        <v>0</v>
      </c>
      <c r="BS32" s="37">
        <v>0</v>
      </c>
      <c r="BT32" s="37">
        <v>0</v>
      </c>
      <c r="BU32" s="37">
        <v>0</v>
      </c>
      <c r="BV32" s="37">
        <v>0</v>
      </c>
      <c r="BW32" s="37">
        <v>0</v>
      </c>
      <c r="BX32" s="37">
        <v>0</v>
      </c>
      <c r="BY32" s="37">
        <v>0</v>
      </c>
      <c r="BZ32" s="37">
        <v>0</v>
      </c>
      <c r="CA32" s="37">
        <v>0</v>
      </c>
      <c r="CB32" s="37">
        <v>0</v>
      </c>
      <c r="CC32" s="37">
        <v>0</v>
      </c>
      <c r="CD32" s="62">
        <v>0</v>
      </c>
      <c r="CE32" s="23">
        <f t="shared" si="0"/>
        <v>388.37200000000001</v>
      </c>
      <c r="CF32" s="23"/>
      <c r="CG32" s="23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</row>
    <row r="33" spans="1:159" ht="15.5">
      <c r="A33" s="31" t="s">
        <v>63</v>
      </c>
      <c r="B33" s="54" t="s">
        <v>64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244.584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37">
        <v>0</v>
      </c>
      <c r="AL33" s="37">
        <v>0</v>
      </c>
      <c r="AM33" s="37">
        <v>0</v>
      </c>
      <c r="AN33" s="37">
        <v>0</v>
      </c>
      <c r="AO33" s="37">
        <v>0</v>
      </c>
      <c r="AP33" s="37">
        <v>0</v>
      </c>
      <c r="AQ33" s="37">
        <v>0</v>
      </c>
      <c r="AR33" s="37">
        <v>0</v>
      </c>
      <c r="AS33" s="37">
        <v>0</v>
      </c>
      <c r="AT33" s="37">
        <v>0</v>
      </c>
      <c r="AU33" s="37">
        <v>0</v>
      </c>
      <c r="AV33" s="37">
        <v>0</v>
      </c>
      <c r="AW33" s="37">
        <v>0</v>
      </c>
      <c r="AX33" s="37">
        <v>0</v>
      </c>
      <c r="AY33" s="37">
        <v>0</v>
      </c>
      <c r="AZ33" s="37">
        <v>0</v>
      </c>
      <c r="BA33" s="37">
        <v>0</v>
      </c>
      <c r="BB33" s="37">
        <v>0</v>
      </c>
      <c r="BC33" s="37">
        <v>0</v>
      </c>
      <c r="BD33" s="37">
        <v>0</v>
      </c>
      <c r="BE33" s="37">
        <v>0</v>
      </c>
      <c r="BF33" s="37">
        <v>0</v>
      </c>
      <c r="BG33" s="37">
        <v>0</v>
      </c>
      <c r="BH33" s="37">
        <v>0</v>
      </c>
      <c r="BI33" s="37">
        <v>0</v>
      </c>
      <c r="BJ33" s="37">
        <v>0</v>
      </c>
      <c r="BK33" s="37">
        <v>0</v>
      </c>
      <c r="BL33" s="37">
        <v>0</v>
      </c>
      <c r="BM33" s="37">
        <v>0</v>
      </c>
      <c r="BN33" s="37">
        <v>0</v>
      </c>
      <c r="BO33" s="37">
        <v>0</v>
      </c>
      <c r="BP33" s="37">
        <v>0</v>
      </c>
      <c r="BQ33" s="37">
        <v>0</v>
      </c>
      <c r="BR33" s="37">
        <v>0</v>
      </c>
      <c r="BS33" s="37">
        <v>0</v>
      </c>
      <c r="BT33" s="37">
        <v>0</v>
      </c>
      <c r="BU33" s="37">
        <v>0</v>
      </c>
      <c r="BV33" s="37">
        <v>0</v>
      </c>
      <c r="BW33" s="37">
        <v>0</v>
      </c>
      <c r="BX33" s="37">
        <v>0</v>
      </c>
      <c r="BY33" s="37">
        <v>0</v>
      </c>
      <c r="BZ33" s="37">
        <v>0</v>
      </c>
      <c r="CA33" s="37">
        <v>0</v>
      </c>
      <c r="CB33" s="37">
        <v>0</v>
      </c>
      <c r="CC33" s="37">
        <v>0</v>
      </c>
      <c r="CD33" s="62">
        <v>0</v>
      </c>
      <c r="CE33" s="23">
        <f t="shared" si="0"/>
        <v>244.584</v>
      </c>
      <c r="CF33" s="23"/>
      <c r="CG33" s="23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</row>
    <row r="34" spans="1:159" ht="15.5">
      <c r="A34" s="31" t="s">
        <v>65</v>
      </c>
      <c r="B34" s="54" t="s">
        <v>66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2.0939999999999999</v>
      </c>
      <c r="AF34" s="37">
        <v>68.241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0.80800000000000005</v>
      </c>
      <c r="AS34" s="37">
        <v>0</v>
      </c>
      <c r="AT34" s="37">
        <v>0</v>
      </c>
      <c r="AU34" s="37">
        <v>0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7">
        <v>0.13700000000000001</v>
      </c>
      <c r="BC34" s="37">
        <v>0</v>
      </c>
      <c r="BD34" s="37">
        <v>0</v>
      </c>
      <c r="BE34" s="37">
        <v>0</v>
      </c>
      <c r="BF34" s="37">
        <v>0</v>
      </c>
      <c r="BG34" s="37">
        <v>0</v>
      </c>
      <c r="BH34" s="37">
        <v>0</v>
      </c>
      <c r="BI34" s="37">
        <v>0</v>
      </c>
      <c r="BJ34" s="37">
        <v>0</v>
      </c>
      <c r="BK34" s="37">
        <v>0</v>
      </c>
      <c r="BL34" s="37">
        <v>0</v>
      </c>
      <c r="BM34" s="37">
        <v>0</v>
      </c>
      <c r="BN34" s="37">
        <v>0</v>
      </c>
      <c r="BO34" s="37">
        <v>0</v>
      </c>
      <c r="BP34" s="37">
        <v>0</v>
      </c>
      <c r="BQ34" s="37">
        <v>0</v>
      </c>
      <c r="BR34" s="37">
        <v>0</v>
      </c>
      <c r="BS34" s="37">
        <v>0</v>
      </c>
      <c r="BT34" s="37">
        <v>0</v>
      </c>
      <c r="BU34" s="37">
        <v>0</v>
      </c>
      <c r="BV34" s="37">
        <v>0</v>
      </c>
      <c r="BW34" s="37">
        <v>0</v>
      </c>
      <c r="BX34" s="37">
        <v>0</v>
      </c>
      <c r="BY34" s="37">
        <v>0</v>
      </c>
      <c r="BZ34" s="37">
        <v>0</v>
      </c>
      <c r="CA34" s="37">
        <v>0</v>
      </c>
      <c r="CB34" s="37">
        <v>0</v>
      </c>
      <c r="CC34" s="37">
        <v>0</v>
      </c>
      <c r="CD34" s="62">
        <v>0</v>
      </c>
      <c r="CE34" s="23">
        <f t="shared" si="0"/>
        <v>71.28</v>
      </c>
      <c r="CF34" s="23"/>
      <c r="CG34" s="23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</row>
    <row r="35" spans="1:159" ht="15.5">
      <c r="A35" s="31" t="s">
        <v>67</v>
      </c>
      <c r="B35" s="54" t="s">
        <v>68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  <c r="AQ35" s="37">
        <v>0</v>
      </c>
      <c r="AR35" s="37">
        <v>0</v>
      </c>
      <c r="AS35" s="37">
        <v>0</v>
      </c>
      <c r="AT35" s="37">
        <v>0</v>
      </c>
      <c r="AU35" s="37">
        <v>0</v>
      </c>
      <c r="AV35" s="37">
        <v>0</v>
      </c>
      <c r="AW35" s="37">
        <v>0</v>
      </c>
      <c r="AX35" s="37">
        <v>0</v>
      </c>
      <c r="AY35" s="37">
        <v>0</v>
      </c>
      <c r="AZ35" s="37">
        <v>0</v>
      </c>
      <c r="BA35" s="37">
        <v>0</v>
      </c>
      <c r="BB35" s="37">
        <v>0</v>
      </c>
      <c r="BC35" s="37">
        <v>0</v>
      </c>
      <c r="BD35" s="37">
        <v>0</v>
      </c>
      <c r="BE35" s="37">
        <v>0</v>
      </c>
      <c r="BF35" s="37">
        <v>0</v>
      </c>
      <c r="BG35" s="37">
        <v>0</v>
      </c>
      <c r="BH35" s="37">
        <v>0</v>
      </c>
      <c r="BI35" s="37">
        <v>0</v>
      </c>
      <c r="BJ35" s="37">
        <v>0</v>
      </c>
      <c r="BK35" s="37">
        <v>0</v>
      </c>
      <c r="BL35" s="37">
        <v>0</v>
      </c>
      <c r="BM35" s="37">
        <v>0</v>
      </c>
      <c r="BN35" s="37">
        <v>0</v>
      </c>
      <c r="BO35" s="37">
        <v>0</v>
      </c>
      <c r="BP35" s="37">
        <v>0</v>
      </c>
      <c r="BQ35" s="37">
        <v>0</v>
      </c>
      <c r="BR35" s="37">
        <v>0</v>
      </c>
      <c r="BS35" s="37">
        <v>0</v>
      </c>
      <c r="BT35" s="37">
        <v>0</v>
      </c>
      <c r="BU35" s="37">
        <v>0</v>
      </c>
      <c r="BV35" s="37">
        <v>0</v>
      </c>
      <c r="BW35" s="37">
        <v>0</v>
      </c>
      <c r="BX35" s="37">
        <v>0</v>
      </c>
      <c r="BY35" s="37">
        <v>0</v>
      </c>
      <c r="BZ35" s="37">
        <v>0</v>
      </c>
      <c r="CA35" s="37">
        <v>0</v>
      </c>
      <c r="CB35" s="37">
        <v>0</v>
      </c>
      <c r="CC35" s="37">
        <v>0</v>
      </c>
      <c r="CD35" s="62">
        <v>0</v>
      </c>
      <c r="CE35" s="23">
        <f t="shared" si="0"/>
        <v>0</v>
      </c>
      <c r="CF35" s="23"/>
      <c r="CG35" s="23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</row>
    <row r="36" spans="1:159" ht="15.5">
      <c r="A36" s="31" t="s">
        <v>69</v>
      </c>
      <c r="B36" s="54" t="s">
        <v>70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3.3069999999999999</v>
      </c>
      <c r="AF36" s="37">
        <v>0</v>
      </c>
      <c r="AG36" s="37">
        <v>0</v>
      </c>
      <c r="AH36" s="37">
        <v>454.346</v>
      </c>
      <c r="AI36" s="37">
        <v>0</v>
      </c>
      <c r="AJ36" s="37">
        <v>0</v>
      </c>
      <c r="AK36" s="37">
        <v>0</v>
      </c>
      <c r="AL36" s="37">
        <v>0</v>
      </c>
      <c r="AM36" s="37">
        <v>0</v>
      </c>
      <c r="AN36" s="37">
        <v>0</v>
      </c>
      <c r="AO36" s="37">
        <v>0</v>
      </c>
      <c r="AP36" s="37">
        <v>0</v>
      </c>
      <c r="AQ36" s="37">
        <v>0</v>
      </c>
      <c r="AR36" s="37">
        <v>5.1040000000000001</v>
      </c>
      <c r="AS36" s="37">
        <v>0</v>
      </c>
      <c r="AT36" s="37">
        <v>0</v>
      </c>
      <c r="AU36" s="37">
        <v>0</v>
      </c>
      <c r="AV36" s="37">
        <v>0</v>
      </c>
      <c r="AW36" s="37">
        <v>0</v>
      </c>
      <c r="AX36" s="37">
        <v>0</v>
      </c>
      <c r="AY36" s="37">
        <v>0</v>
      </c>
      <c r="AZ36" s="37">
        <v>0</v>
      </c>
      <c r="BA36" s="37">
        <v>0</v>
      </c>
      <c r="BB36" s="37">
        <v>0</v>
      </c>
      <c r="BC36" s="37">
        <v>0</v>
      </c>
      <c r="BD36" s="37">
        <v>0</v>
      </c>
      <c r="BE36" s="37">
        <v>0</v>
      </c>
      <c r="BF36" s="37">
        <v>0</v>
      </c>
      <c r="BG36" s="37">
        <v>0</v>
      </c>
      <c r="BH36" s="37">
        <v>0</v>
      </c>
      <c r="BI36" s="37">
        <v>0</v>
      </c>
      <c r="BJ36" s="37">
        <v>0</v>
      </c>
      <c r="BK36" s="37">
        <v>0</v>
      </c>
      <c r="BL36" s="37">
        <v>0</v>
      </c>
      <c r="BM36" s="37">
        <v>0</v>
      </c>
      <c r="BN36" s="37">
        <v>0</v>
      </c>
      <c r="BO36" s="37">
        <v>0</v>
      </c>
      <c r="BP36" s="37">
        <v>0</v>
      </c>
      <c r="BQ36" s="37">
        <v>0</v>
      </c>
      <c r="BR36" s="37">
        <v>0</v>
      </c>
      <c r="BS36" s="37">
        <v>0</v>
      </c>
      <c r="BT36" s="37">
        <v>0</v>
      </c>
      <c r="BU36" s="37">
        <v>0</v>
      </c>
      <c r="BV36" s="37">
        <v>0</v>
      </c>
      <c r="BW36" s="37">
        <v>0</v>
      </c>
      <c r="BX36" s="37">
        <v>0</v>
      </c>
      <c r="BY36" s="37">
        <v>0</v>
      </c>
      <c r="BZ36" s="37">
        <v>0</v>
      </c>
      <c r="CA36" s="37">
        <v>0</v>
      </c>
      <c r="CB36" s="37">
        <v>0</v>
      </c>
      <c r="CC36" s="37">
        <v>0</v>
      </c>
      <c r="CD36" s="62">
        <v>0</v>
      </c>
      <c r="CE36" s="23">
        <f t="shared" si="0"/>
        <v>462.75700000000001</v>
      </c>
      <c r="CF36" s="23"/>
      <c r="CG36" s="23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</row>
    <row r="37" spans="1:159" ht="15.5">
      <c r="A37" s="31" t="s">
        <v>71</v>
      </c>
      <c r="B37" s="54" t="s">
        <v>72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  <c r="AH37" s="37">
        <v>0</v>
      </c>
      <c r="AI37" s="37">
        <v>34.606000000000002</v>
      </c>
      <c r="AJ37" s="37">
        <v>0</v>
      </c>
      <c r="AK37" s="37">
        <v>0</v>
      </c>
      <c r="AL37" s="37">
        <v>0</v>
      </c>
      <c r="AM37" s="37">
        <v>0</v>
      </c>
      <c r="AN37" s="37">
        <v>0</v>
      </c>
      <c r="AO37" s="37">
        <v>0</v>
      </c>
      <c r="AP37" s="37">
        <v>0</v>
      </c>
      <c r="AQ37" s="37">
        <v>0</v>
      </c>
      <c r="AR37" s="37">
        <v>0</v>
      </c>
      <c r="AS37" s="37">
        <v>0</v>
      </c>
      <c r="AT37" s="37">
        <v>0</v>
      </c>
      <c r="AU37" s="37">
        <v>0</v>
      </c>
      <c r="AV37" s="37">
        <v>0</v>
      </c>
      <c r="AW37" s="37">
        <v>0</v>
      </c>
      <c r="AX37" s="37">
        <v>0</v>
      </c>
      <c r="AY37" s="37">
        <v>0</v>
      </c>
      <c r="AZ37" s="37">
        <v>0</v>
      </c>
      <c r="BA37" s="37">
        <v>0</v>
      </c>
      <c r="BB37" s="37">
        <v>0</v>
      </c>
      <c r="BC37" s="37">
        <v>0</v>
      </c>
      <c r="BD37" s="37">
        <v>0</v>
      </c>
      <c r="BE37" s="37">
        <v>0</v>
      </c>
      <c r="BF37" s="37">
        <v>0</v>
      </c>
      <c r="BG37" s="37">
        <v>0</v>
      </c>
      <c r="BH37" s="37">
        <v>0</v>
      </c>
      <c r="BI37" s="37">
        <v>0</v>
      </c>
      <c r="BJ37" s="37">
        <v>0</v>
      </c>
      <c r="BK37" s="37">
        <v>0</v>
      </c>
      <c r="BL37" s="37">
        <v>0</v>
      </c>
      <c r="BM37" s="37">
        <v>0</v>
      </c>
      <c r="BN37" s="37">
        <v>0</v>
      </c>
      <c r="BO37" s="37">
        <v>0</v>
      </c>
      <c r="BP37" s="37">
        <v>0</v>
      </c>
      <c r="BQ37" s="37">
        <v>0</v>
      </c>
      <c r="BR37" s="37">
        <v>0</v>
      </c>
      <c r="BS37" s="37">
        <v>0</v>
      </c>
      <c r="BT37" s="37">
        <v>0</v>
      </c>
      <c r="BU37" s="37">
        <v>0</v>
      </c>
      <c r="BV37" s="37">
        <v>0</v>
      </c>
      <c r="BW37" s="37">
        <v>0</v>
      </c>
      <c r="BX37" s="37">
        <v>0</v>
      </c>
      <c r="BY37" s="37">
        <v>0</v>
      </c>
      <c r="BZ37" s="37">
        <v>0</v>
      </c>
      <c r="CA37" s="37">
        <v>0</v>
      </c>
      <c r="CB37" s="37">
        <v>0</v>
      </c>
      <c r="CC37" s="37">
        <v>0</v>
      </c>
      <c r="CD37" s="62">
        <v>0</v>
      </c>
      <c r="CE37" s="23">
        <f t="shared" si="0"/>
        <v>34.606000000000002</v>
      </c>
      <c r="CF37" s="23"/>
      <c r="CG37" s="23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</row>
    <row r="38" spans="1:159" ht="15.5">
      <c r="A38" s="31" t="s">
        <v>73</v>
      </c>
      <c r="B38" s="54" t="s">
        <v>74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6.8330000000000002</v>
      </c>
      <c r="AI38" s="37">
        <v>0</v>
      </c>
      <c r="AJ38" s="37">
        <v>78.227999999999994</v>
      </c>
      <c r="AK38" s="37">
        <v>0</v>
      </c>
      <c r="AL38" s="37">
        <v>0</v>
      </c>
      <c r="AM38" s="37">
        <v>0</v>
      </c>
      <c r="AN38" s="37">
        <v>0</v>
      </c>
      <c r="AO38" s="37">
        <v>0</v>
      </c>
      <c r="AP38" s="37">
        <v>0</v>
      </c>
      <c r="AQ38" s="37">
        <v>10.487</v>
      </c>
      <c r="AR38" s="37">
        <v>4.0469999999999997</v>
      </c>
      <c r="AS38" s="37">
        <v>0</v>
      </c>
      <c r="AT38" s="37">
        <v>0</v>
      </c>
      <c r="AU38" s="37">
        <v>0</v>
      </c>
      <c r="AV38" s="37">
        <v>0</v>
      </c>
      <c r="AW38" s="37">
        <v>0</v>
      </c>
      <c r="AX38" s="37">
        <v>0</v>
      </c>
      <c r="AY38" s="37">
        <v>0</v>
      </c>
      <c r="AZ38" s="37">
        <v>0</v>
      </c>
      <c r="BA38" s="37">
        <v>0</v>
      </c>
      <c r="BB38" s="37">
        <v>0</v>
      </c>
      <c r="BC38" s="37">
        <v>0</v>
      </c>
      <c r="BD38" s="37">
        <v>0</v>
      </c>
      <c r="BE38" s="37">
        <v>0</v>
      </c>
      <c r="BF38" s="37">
        <v>0</v>
      </c>
      <c r="BG38" s="37">
        <v>0</v>
      </c>
      <c r="BH38" s="37">
        <v>0</v>
      </c>
      <c r="BI38" s="37">
        <v>0</v>
      </c>
      <c r="BJ38" s="37">
        <v>0</v>
      </c>
      <c r="BK38" s="37">
        <v>0</v>
      </c>
      <c r="BL38" s="37">
        <v>0</v>
      </c>
      <c r="BM38" s="37">
        <v>0</v>
      </c>
      <c r="BN38" s="37">
        <v>0</v>
      </c>
      <c r="BO38" s="37">
        <v>0</v>
      </c>
      <c r="BP38" s="37">
        <v>0</v>
      </c>
      <c r="BQ38" s="37">
        <v>0</v>
      </c>
      <c r="BR38" s="37">
        <v>0</v>
      </c>
      <c r="BS38" s="37">
        <v>0</v>
      </c>
      <c r="BT38" s="37">
        <v>0</v>
      </c>
      <c r="BU38" s="37">
        <v>0</v>
      </c>
      <c r="BV38" s="37">
        <v>0</v>
      </c>
      <c r="BW38" s="37">
        <v>0</v>
      </c>
      <c r="BX38" s="37">
        <v>0</v>
      </c>
      <c r="BY38" s="37">
        <v>0</v>
      </c>
      <c r="BZ38" s="37">
        <v>0</v>
      </c>
      <c r="CA38" s="37">
        <v>0</v>
      </c>
      <c r="CB38" s="37">
        <v>0</v>
      </c>
      <c r="CC38" s="37">
        <v>0</v>
      </c>
      <c r="CD38" s="62">
        <v>0</v>
      </c>
      <c r="CE38" s="23">
        <f t="shared" si="0"/>
        <v>99.594999999999985</v>
      </c>
      <c r="CF38" s="23"/>
      <c r="CG38" s="23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</row>
    <row r="39" spans="1:159" ht="15.5">
      <c r="A39" s="31" t="s">
        <v>75</v>
      </c>
      <c r="B39" s="54" t="s">
        <v>76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65.326999999999998</v>
      </c>
      <c r="AL39" s="37">
        <v>0</v>
      </c>
      <c r="AM39" s="37">
        <v>0</v>
      </c>
      <c r="AN39" s="37">
        <v>0</v>
      </c>
      <c r="AO39" s="37">
        <v>0</v>
      </c>
      <c r="AP39" s="37">
        <v>0</v>
      </c>
      <c r="AQ39" s="37">
        <v>0</v>
      </c>
      <c r="AR39" s="37">
        <v>0</v>
      </c>
      <c r="AS39" s="37">
        <v>0</v>
      </c>
      <c r="AT39" s="37">
        <v>0</v>
      </c>
      <c r="AU39" s="37">
        <v>0</v>
      </c>
      <c r="AV39" s="37">
        <v>0</v>
      </c>
      <c r="AW39" s="37">
        <v>0</v>
      </c>
      <c r="AX39" s="37">
        <v>0</v>
      </c>
      <c r="AY39" s="37">
        <v>0</v>
      </c>
      <c r="AZ39" s="37">
        <v>0</v>
      </c>
      <c r="BA39" s="37">
        <v>0</v>
      </c>
      <c r="BB39" s="37">
        <v>0</v>
      </c>
      <c r="BC39" s="37">
        <v>0</v>
      </c>
      <c r="BD39" s="37">
        <v>0</v>
      </c>
      <c r="BE39" s="37">
        <v>0</v>
      </c>
      <c r="BF39" s="37">
        <v>0</v>
      </c>
      <c r="BG39" s="37">
        <v>0</v>
      </c>
      <c r="BH39" s="37">
        <v>0</v>
      </c>
      <c r="BI39" s="37">
        <v>0</v>
      </c>
      <c r="BJ39" s="37">
        <v>0</v>
      </c>
      <c r="BK39" s="37">
        <v>0</v>
      </c>
      <c r="BL39" s="37">
        <v>0</v>
      </c>
      <c r="BM39" s="37">
        <v>0</v>
      </c>
      <c r="BN39" s="37">
        <v>0</v>
      </c>
      <c r="BO39" s="37">
        <v>0</v>
      </c>
      <c r="BP39" s="37">
        <v>0</v>
      </c>
      <c r="BQ39" s="37">
        <v>0</v>
      </c>
      <c r="BR39" s="37">
        <v>0</v>
      </c>
      <c r="BS39" s="37">
        <v>0</v>
      </c>
      <c r="BT39" s="37">
        <v>0</v>
      </c>
      <c r="BU39" s="37">
        <v>0</v>
      </c>
      <c r="BV39" s="37">
        <v>0</v>
      </c>
      <c r="BW39" s="37">
        <v>0</v>
      </c>
      <c r="BX39" s="37">
        <v>0</v>
      </c>
      <c r="BY39" s="37">
        <v>0</v>
      </c>
      <c r="BZ39" s="37">
        <v>0</v>
      </c>
      <c r="CA39" s="37">
        <v>0</v>
      </c>
      <c r="CB39" s="37">
        <v>0</v>
      </c>
      <c r="CC39" s="37">
        <v>0</v>
      </c>
      <c r="CD39" s="62">
        <v>0</v>
      </c>
      <c r="CE39" s="23">
        <f t="shared" si="0"/>
        <v>65.326999999999998</v>
      </c>
      <c r="CF39" s="23"/>
      <c r="CG39" s="23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</row>
    <row r="40" spans="1:159" ht="15.5">
      <c r="A40" s="31" t="s">
        <v>77</v>
      </c>
      <c r="B40" s="54" t="s">
        <v>78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37">
        <v>224.161</v>
      </c>
      <c r="AM40" s="37">
        <v>0</v>
      </c>
      <c r="AN40" s="37">
        <v>0</v>
      </c>
      <c r="AO40" s="37">
        <v>0</v>
      </c>
      <c r="AP40" s="37">
        <v>0</v>
      </c>
      <c r="AQ40" s="37">
        <v>0</v>
      </c>
      <c r="AR40" s="37">
        <v>0</v>
      </c>
      <c r="AS40" s="37">
        <v>0</v>
      </c>
      <c r="AT40" s="37">
        <v>0</v>
      </c>
      <c r="AU40" s="37">
        <v>0</v>
      </c>
      <c r="AV40" s="37">
        <v>0</v>
      </c>
      <c r="AW40" s="37">
        <v>0</v>
      </c>
      <c r="AX40" s="37">
        <v>0</v>
      </c>
      <c r="AY40" s="37">
        <v>0</v>
      </c>
      <c r="AZ40" s="37">
        <v>0</v>
      </c>
      <c r="BA40" s="37">
        <v>0</v>
      </c>
      <c r="BB40" s="37">
        <v>0</v>
      </c>
      <c r="BC40" s="37">
        <v>0</v>
      </c>
      <c r="BD40" s="37">
        <v>0</v>
      </c>
      <c r="BE40" s="37">
        <v>0</v>
      </c>
      <c r="BF40" s="37">
        <v>0</v>
      </c>
      <c r="BG40" s="37">
        <v>0</v>
      </c>
      <c r="BH40" s="37">
        <v>0</v>
      </c>
      <c r="BI40" s="37">
        <v>0</v>
      </c>
      <c r="BJ40" s="37">
        <v>0</v>
      </c>
      <c r="BK40" s="37">
        <v>0</v>
      </c>
      <c r="BL40" s="37">
        <v>0</v>
      </c>
      <c r="BM40" s="37">
        <v>0</v>
      </c>
      <c r="BN40" s="37">
        <v>0</v>
      </c>
      <c r="BO40" s="37">
        <v>0</v>
      </c>
      <c r="BP40" s="37">
        <v>0</v>
      </c>
      <c r="BQ40" s="37">
        <v>0</v>
      </c>
      <c r="BR40" s="37">
        <v>0</v>
      </c>
      <c r="BS40" s="37">
        <v>0</v>
      </c>
      <c r="BT40" s="37">
        <v>0</v>
      </c>
      <c r="BU40" s="37">
        <v>0</v>
      </c>
      <c r="BV40" s="37">
        <v>0</v>
      </c>
      <c r="BW40" s="37">
        <v>0</v>
      </c>
      <c r="BX40" s="37">
        <v>0</v>
      </c>
      <c r="BY40" s="37">
        <v>0</v>
      </c>
      <c r="BZ40" s="37">
        <v>0</v>
      </c>
      <c r="CA40" s="37">
        <v>0</v>
      </c>
      <c r="CB40" s="37">
        <v>0</v>
      </c>
      <c r="CC40" s="37">
        <v>0</v>
      </c>
      <c r="CD40" s="62">
        <v>0</v>
      </c>
      <c r="CE40" s="23">
        <f t="shared" si="0"/>
        <v>224.161</v>
      </c>
      <c r="CF40" s="23"/>
      <c r="CG40" s="23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</row>
    <row r="41" spans="1:159" ht="15.5">
      <c r="A41" s="31" t="s">
        <v>79</v>
      </c>
      <c r="B41" s="54" t="s">
        <v>80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0</v>
      </c>
      <c r="AK41" s="37">
        <v>0</v>
      </c>
      <c r="AL41" s="37">
        <v>0</v>
      </c>
      <c r="AM41" s="37">
        <v>120.22199999999999</v>
      </c>
      <c r="AN41" s="37">
        <v>0</v>
      </c>
      <c r="AO41" s="37">
        <v>0</v>
      </c>
      <c r="AP41" s="37">
        <v>0</v>
      </c>
      <c r="AQ41" s="37">
        <v>0</v>
      </c>
      <c r="AR41" s="37">
        <v>0</v>
      </c>
      <c r="AS41" s="37">
        <v>0</v>
      </c>
      <c r="AT41" s="37">
        <v>0</v>
      </c>
      <c r="AU41" s="37">
        <v>0</v>
      </c>
      <c r="AV41" s="37">
        <v>0</v>
      </c>
      <c r="AW41" s="37">
        <v>0</v>
      </c>
      <c r="AX41" s="37">
        <v>0</v>
      </c>
      <c r="AY41" s="37">
        <v>0</v>
      </c>
      <c r="AZ41" s="37">
        <v>0</v>
      </c>
      <c r="BA41" s="37">
        <v>0</v>
      </c>
      <c r="BB41" s="37">
        <v>0</v>
      </c>
      <c r="BC41" s="37">
        <v>0</v>
      </c>
      <c r="BD41" s="37">
        <v>0</v>
      </c>
      <c r="BE41" s="37">
        <v>0</v>
      </c>
      <c r="BF41" s="37">
        <v>0</v>
      </c>
      <c r="BG41" s="37">
        <v>0</v>
      </c>
      <c r="BH41" s="37">
        <v>0</v>
      </c>
      <c r="BI41" s="37">
        <v>0</v>
      </c>
      <c r="BJ41" s="37">
        <v>0</v>
      </c>
      <c r="BK41" s="37">
        <v>0</v>
      </c>
      <c r="BL41" s="37">
        <v>0</v>
      </c>
      <c r="BM41" s="37">
        <v>0</v>
      </c>
      <c r="BN41" s="37">
        <v>0</v>
      </c>
      <c r="BO41" s="37">
        <v>0</v>
      </c>
      <c r="BP41" s="37">
        <v>0</v>
      </c>
      <c r="BQ41" s="37">
        <v>0</v>
      </c>
      <c r="BR41" s="37">
        <v>0</v>
      </c>
      <c r="BS41" s="37">
        <v>0</v>
      </c>
      <c r="BT41" s="37">
        <v>0</v>
      </c>
      <c r="BU41" s="37">
        <v>0</v>
      </c>
      <c r="BV41" s="37">
        <v>0</v>
      </c>
      <c r="BW41" s="37">
        <v>0</v>
      </c>
      <c r="BX41" s="37">
        <v>0</v>
      </c>
      <c r="BY41" s="37">
        <v>0</v>
      </c>
      <c r="BZ41" s="37">
        <v>0</v>
      </c>
      <c r="CA41" s="37">
        <v>0</v>
      </c>
      <c r="CB41" s="37">
        <v>0</v>
      </c>
      <c r="CC41" s="37">
        <v>0</v>
      </c>
      <c r="CD41" s="62">
        <v>0</v>
      </c>
      <c r="CE41" s="23">
        <f t="shared" si="0"/>
        <v>120.22199999999999</v>
      </c>
      <c r="CF41" s="23"/>
      <c r="CG41" s="23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</row>
    <row r="42" spans="1:159" ht="15.5">
      <c r="A42" s="31" t="s">
        <v>81</v>
      </c>
      <c r="B42" s="54" t="s">
        <v>82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2.0209999999999999</v>
      </c>
      <c r="AK42" s="37">
        <v>0</v>
      </c>
      <c r="AL42" s="37">
        <v>0</v>
      </c>
      <c r="AM42" s="37">
        <v>0</v>
      </c>
      <c r="AN42" s="37">
        <v>273.04000000000002</v>
      </c>
      <c r="AO42" s="37">
        <v>0</v>
      </c>
      <c r="AP42" s="37">
        <v>0</v>
      </c>
      <c r="AQ42" s="37">
        <v>1.121</v>
      </c>
      <c r="AR42" s="37">
        <v>0</v>
      </c>
      <c r="AS42" s="37">
        <v>0</v>
      </c>
      <c r="AT42" s="37">
        <v>0</v>
      </c>
      <c r="AU42" s="37">
        <v>0</v>
      </c>
      <c r="AV42" s="37">
        <v>0</v>
      </c>
      <c r="AW42" s="37">
        <v>0</v>
      </c>
      <c r="AX42" s="37">
        <v>0</v>
      </c>
      <c r="AY42" s="37">
        <v>0</v>
      </c>
      <c r="AZ42" s="37">
        <v>0</v>
      </c>
      <c r="BA42" s="37">
        <v>1E-3</v>
      </c>
      <c r="BB42" s="37">
        <v>0</v>
      </c>
      <c r="BC42" s="37">
        <v>0</v>
      </c>
      <c r="BD42" s="37">
        <v>0</v>
      </c>
      <c r="BE42" s="37">
        <v>0</v>
      </c>
      <c r="BF42" s="37">
        <v>0</v>
      </c>
      <c r="BG42" s="37">
        <v>0</v>
      </c>
      <c r="BH42" s="37">
        <v>0</v>
      </c>
      <c r="BI42" s="37">
        <v>0</v>
      </c>
      <c r="BJ42" s="37">
        <v>0</v>
      </c>
      <c r="BK42" s="37">
        <v>0</v>
      </c>
      <c r="BL42" s="37">
        <v>0</v>
      </c>
      <c r="BM42" s="37">
        <v>0</v>
      </c>
      <c r="BN42" s="37">
        <v>0</v>
      </c>
      <c r="BO42" s="37">
        <v>0</v>
      </c>
      <c r="BP42" s="37">
        <v>0</v>
      </c>
      <c r="BQ42" s="37">
        <v>0</v>
      </c>
      <c r="BR42" s="37">
        <v>0</v>
      </c>
      <c r="BS42" s="37">
        <v>0</v>
      </c>
      <c r="BT42" s="37">
        <v>0</v>
      </c>
      <c r="BU42" s="37">
        <v>0</v>
      </c>
      <c r="BV42" s="37">
        <v>0</v>
      </c>
      <c r="BW42" s="37">
        <v>0</v>
      </c>
      <c r="BX42" s="37">
        <v>0</v>
      </c>
      <c r="BY42" s="37">
        <v>0</v>
      </c>
      <c r="BZ42" s="37">
        <v>0</v>
      </c>
      <c r="CA42" s="37">
        <v>0</v>
      </c>
      <c r="CB42" s="37">
        <v>0</v>
      </c>
      <c r="CC42" s="37">
        <v>0</v>
      </c>
      <c r="CD42" s="62">
        <v>0</v>
      </c>
      <c r="CE42" s="23">
        <f t="shared" si="0"/>
        <v>276.18299999999999</v>
      </c>
      <c r="CF42" s="23"/>
      <c r="CG42" s="23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</row>
    <row r="43" spans="1:159" ht="15.5">
      <c r="A43" s="31" t="s">
        <v>83</v>
      </c>
      <c r="B43" s="54" t="s">
        <v>84</v>
      </c>
      <c r="C43" s="37">
        <v>0</v>
      </c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37">
        <v>0</v>
      </c>
      <c r="AM43" s="37">
        <v>0</v>
      </c>
      <c r="AN43" s="37">
        <v>0</v>
      </c>
      <c r="AO43" s="37">
        <v>41.662999999999997</v>
      </c>
      <c r="AP43" s="37">
        <v>0</v>
      </c>
      <c r="AQ43" s="37">
        <v>0</v>
      </c>
      <c r="AR43" s="37">
        <v>0</v>
      </c>
      <c r="AS43" s="37">
        <v>0</v>
      </c>
      <c r="AT43" s="37">
        <v>0</v>
      </c>
      <c r="AU43" s="37">
        <v>0</v>
      </c>
      <c r="AV43" s="37">
        <v>0</v>
      </c>
      <c r="AW43" s="37">
        <v>0</v>
      </c>
      <c r="AX43" s="37">
        <v>0</v>
      </c>
      <c r="AY43" s="37">
        <v>0</v>
      </c>
      <c r="AZ43" s="37">
        <v>0</v>
      </c>
      <c r="BA43" s="37">
        <v>0</v>
      </c>
      <c r="BB43" s="37">
        <v>0</v>
      </c>
      <c r="BC43" s="37">
        <v>0</v>
      </c>
      <c r="BD43" s="37">
        <v>0</v>
      </c>
      <c r="BE43" s="37">
        <v>0</v>
      </c>
      <c r="BF43" s="37">
        <v>0</v>
      </c>
      <c r="BG43" s="37">
        <v>0</v>
      </c>
      <c r="BH43" s="37">
        <v>0</v>
      </c>
      <c r="BI43" s="37">
        <v>0</v>
      </c>
      <c r="BJ43" s="37">
        <v>0</v>
      </c>
      <c r="BK43" s="37">
        <v>0</v>
      </c>
      <c r="BL43" s="37">
        <v>0</v>
      </c>
      <c r="BM43" s="37">
        <v>0</v>
      </c>
      <c r="BN43" s="37">
        <v>0</v>
      </c>
      <c r="BO43" s="37">
        <v>0</v>
      </c>
      <c r="BP43" s="37">
        <v>0</v>
      </c>
      <c r="BQ43" s="37">
        <v>0</v>
      </c>
      <c r="BR43" s="37">
        <v>0</v>
      </c>
      <c r="BS43" s="37">
        <v>0</v>
      </c>
      <c r="BT43" s="37">
        <v>0</v>
      </c>
      <c r="BU43" s="37">
        <v>0</v>
      </c>
      <c r="BV43" s="37">
        <v>0</v>
      </c>
      <c r="BW43" s="37">
        <v>0</v>
      </c>
      <c r="BX43" s="37">
        <v>0</v>
      </c>
      <c r="BY43" s="37">
        <v>0</v>
      </c>
      <c r="BZ43" s="37">
        <v>0</v>
      </c>
      <c r="CA43" s="37">
        <v>0</v>
      </c>
      <c r="CB43" s="37">
        <v>0</v>
      </c>
      <c r="CC43" s="37">
        <v>0</v>
      </c>
      <c r="CD43" s="62">
        <v>0</v>
      </c>
      <c r="CE43" s="23">
        <f t="shared" si="0"/>
        <v>41.662999999999997</v>
      </c>
      <c r="CF43" s="23"/>
      <c r="CG43" s="23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</row>
    <row r="44" spans="1:159" ht="15.5">
      <c r="A44" s="31" t="s">
        <v>85</v>
      </c>
      <c r="B44" s="54" t="s">
        <v>86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  <c r="AL44" s="37">
        <v>0</v>
      </c>
      <c r="AM44" s="37">
        <v>0</v>
      </c>
      <c r="AN44" s="37">
        <v>0</v>
      </c>
      <c r="AO44" s="37">
        <v>0</v>
      </c>
      <c r="AP44" s="37">
        <v>148.09200000000001</v>
      </c>
      <c r="AQ44" s="37">
        <v>0</v>
      </c>
      <c r="AR44" s="37">
        <v>0</v>
      </c>
      <c r="AS44" s="37">
        <v>0</v>
      </c>
      <c r="AT44" s="37">
        <v>0</v>
      </c>
      <c r="AU44" s="37">
        <v>0</v>
      </c>
      <c r="AV44" s="37">
        <v>0</v>
      </c>
      <c r="AW44" s="37">
        <v>0</v>
      </c>
      <c r="AX44" s="37">
        <v>0</v>
      </c>
      <c r="AY44" s="37">
        <v>0</v>
      </c>
      <c r="AZ44" s="37">
        <v>0</v>
      </c>
      <c r="BA44" s="37">
        <v>0</v>
      </c>
      <c r="BB44" s="37">
        <v>0</v>
      </c>
      <c r="BC44" s="37">
        <v>0</v>
      </c>
      <c r="BD44" s="37">
        <v>0</v>
      </c>
      <c r="BE44" s="37">
        <v>0</v>
      </c>
      <c r="BF44" s="37">
        <v>0</v>
      </c>
      <c r="BG44" s="37">
        <v>0</v>
      </c>
      <c r="BH44" s="37">
        <v>0</v>
      </c>
      <c r="BI44" s="37">
        <v>0</v>
      </c>
      <c r="BJ44" s="37">
        <v>0</v>
      </c>
      <c r="BK44" s="37">
        <v>0</v>
      </c>
      <c r="BL44" s="37">
        <v>0</v>
      </c>
      <c r="BM44" s="37">
        <v>0</v>
      </c>
      <c r="BN44" s="37">
        <v>0</v>
      </c>
      <c r="BO44" s="37">
        <v>0</v>
      </c>
      <c r="BP44" s="37">
        <v>0</v>
      </c>
      <c r="BQ44" s="37">
        <v>0</v>
      </c>
      <c r="BR44" s="37">
        <v>0</v>
      </c>
      <c r="BS44" s="37">
        <v>0</v>
      </c>
      <c r="BT44" s="37">
        <v>0</v>
      </c>
      <c r="BU44" s="37">
        <v>0</v>
      </c>
      <c r="BV44" s="37">
        <v>0</v>
      </c>
      <c r="BW44" s="37">
        <v>0</v>
      </c>
      <c r="BX44" s="37">
        <v>0</v>
      </c>
      <c r="BY44" s="37">
        <v>0</v>
      </c>
      <c r="BZ44" s="37">
        <v>0</v>
      </c>
      <c r="CA44" s="37">
        <v>0</v>
      </c>
      <c r="CB44" s="37">
        <v>0</v>
      </c>
      <c r="CC44" s="37">
        <v>0</v>
      </c>
      <c r="CD44" s="62">
        <v>0</v>
      </c>
      <c r="CE44" s="23">
        <f t="shared" si="0"/>
        <v>148.09200000000001</v>
      </c>
      <c r="CF44" s="23"/>
      <c r="CG44" s="23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</row>
    <row r="45" spans="1:159" ht="15.5">
      <c r="A45" s="31" t="s">
        <v>87</v>
      </c>
      <c r="B45" s="54" t="s">
        <v>88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0.30299999999999999</v>
      </c>
      <c r="AF45" s="37">
        <v>0</v>
      </c>
      <c r="AG45" s="37">
        <v>0</v>
      </c>
      <c r="AH45" s="37">
        <v>0.25700000000000001</v>
      </c>
      <c r="AI45" s="37">
        <v>0</v>
      </c>
      <c r="AJ45" s="37">
        <v>0</v>
      </c>
      <c r="AK45" s="37">
        <v>0</v>
      </c>
      <c r="AL45" s="37">
        <v>0</v>
      </c>
      <c r="AM45" s="37">
        <v>0</v>
      </c>
      <c r="AN45" s="37">
        <v>0</v>
      </c>
      <c r="AO45" s="37">
        <v>0</v>
      </c>
      <c r="AP45" s="37">
        <v>0</v>
      </c>
      <c r="AQ45" s="37">
        <v>113.6</v>
      </c>
      <c r="AR45" s="37">
        <v>0</v>
      </c>
      <c r="AS45" s="37">
        <v>0</v>
      </c>
      <c r="AT45" s="37">
        <v>0</v>
      </c>
      <c r="AU45" s="37">
        <v>0</v>
      </c>
      <c r="AV45" s="37">
        <v>0</v>
      </c>
      <c r="AW45" s="37">
        <v>0</v>
      </c>
      <c r="AX45" s="37">
        <v>0</v>
      </c>
      <c r="AY45" s="37">
        <v>0</v>
      </c>
      <c r="AZ45" s="37">
        <v>0</v>
      </c>
      <c r="BA45" s="37">
        <v>0</v>
      </c>
      <c r="BB45" s="37">
        <v>0</v>
      </c>
      <c r="BC45" s="37">
        <v>0</v>
      </c>
      <c r="BD45" s="37">
        <v>0</v>
      </c>
      <c r="BE45" s="37">
        <v>0</v>
      </c>
      <c r="BF45" s="37">
        <v>0</v>
      </c>
      <c r="BG45" s="37">
        <v>0</v>
      </c>
      <c r="BH45" s="37">
        <v>0</v>
      </c>
      <c r="BI45" s="37">
        <v>0</v>
      </c>
      <c r="BJ45" s="37">
        <v>0</v>
      </c>
      <c r="BK45" s="37">
        <v>0</v>
      </c>
      <c r="BL45" s="37">
        <v>0</v>
      </c>
      <c r="BM45" s="37">
        <v>0</v>
      </c>
      <c r="BN45" s="37">
        <v>0</v>
      </c>
      <c r="BO45" s="37">
        <v>0</v>
      </c>
      <c r="BP45" s="37">
        <v>0</v>
      </c>
      <c r="BQ45" s="37">
        <v>0</v>
      </c>
      <c r="BR45" s="37">
        <v>0</v>
      </c>
      <c r="BS45" s="37">
        <v>0</v>
      </c>
      <c r="BT45" s="37">
        <v>0</v>
      </c>
      <c r="BU45" s="37">
        <v>0</v>
      </c>
      <c r="BV45" s="37">
        <v>0</v>
      </c>
      <c r="BW45" s="37">
        <v>0</v>
      </c>
      <c r="BX45" s="37">
        <v>0</v>
      </c>
      <c r="BY45" s="37">
        <v>0</v>
      </c>
      <c r="BZ45" s="37">
        <v>0</v>
      </c>
      <c r="CA45" s="37">
        <v>0</v>
      </c>
      <c r="CB45" s="37">
        <v>0</v>
      </c>
      <c r="CC45" s="37">
        <v>0</v>
      </c>
      <c r="CD45" s="62">
        <v>0</v>
      </c>
      <c r="CE45" s="23">
        <f t="shared" si="0"/>
        <v>114.16</v>
      </c>
      <c r="CF45" s="23"/>
      <c r="CG45" s="23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</row>
    <row r="46" spans="1:159" ht="15.5">
      <c r="A46" s="31" t="s">
        <v>89</v>
      </c>
      <c r="B46" s="54" t="s">
        <v>90</v>
      </c>
      <c r="C46" s="37">
        <v>0</v>
      </c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0.35399999999999998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162.26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0</v>
      </c>
      <c r="AG46" s="37">
        <v>0</v>
      </c>
      <c r="AH46" s="37">
        <v>12.467000000000001</v>
      </c>
      <c r="AI46" s="37">
        <v>0</v>
      </c>
      <c r="AJ46" s="37">
        <v>4.2069999999999999</v>
      </c>
      <c r="AK46" s="37">
        <v>0</v>
      </c>
      <c r="AL46" s="37">
        <v>0</v>
      </c>
      <c r="AM46" s="37">
        <v>0</v>
      </c>
      <c r="AN46" s="37">
        <v>0</v>
      </c>
      <c r="AO46" s="37">
        <v>0</v>
      </c>
      <c r="AP46" s="37">
        <v>0</v>
      </c>
      <c r="AQ46" s="37">
        <v>0</v>
      </c>
      <c r="AR46" s="37">
        <v>118.76</v>
      </c>
      <c r="AS46" s="37">
        <v>0</v>
      </c>
      <c r="AT46" s="37">
        <v>0</v>
      </c>
      <c r="AU46" s="37">
        <v>0.86399999999999999</v>
      </c>
      <c r="AV46" s="37">
        <v>0</v>
      </c>
      <c r="AW46" s="37">
        <v>0</v>
      </c>
      <c r="AX46" s="37">
        <v>0</v>
      </c>
      <c r="AY46" s="37">
        <v>0</v>
      </c>
      <c r="AZ46" s="37">
        <v>0</v>
      </c>
      <c r="BA46" s="37">
        <v>0</v>
      </c>
      <c r="BB46" s="37">
        <v>0</v>
      </c>
      <c r="BC46" s="37">
        <v>0</v>
      </c>
      <c r="BD46" s="37">
        <v>0</v>
      </c>
      <c r="BE46" s="37">
        <v>0</v>
      </c>
      <c r="BF46" s="37">
        <v>0</v>
      </c>
      <c r="BG46" s="37">
        <v>0</v>
      </c>
      <c r="BH46" s="37">
        <v>0</v>
      </c>
      <c r="BI46" s="37">
        <v>0</v>
      </c>
      <c r="BJ46" s="37">
        <v>0</v>
      </c>
      <c r="BK46" s="37">
        <v>0</v>
      </c>
      <c r="BL46" s="37">
        <v>0</v>
      </c>
      <c r="BM46" s="37">
        <v>0</v>
      </c>
      <c r="BN46" s="37">
        <v>0</v>
      </c>
      <c r="BO46" s="37">
        <v>0</v>
      </c>
      <c r="BP46" s="37">
        <v>0</v>
      </c>
      <c r="BQ46" s="37">
        <v>0</v>
      </c>
      <c r="BR46" s="37">
        <v>0</v>
      </c>
      <c r="BS46" s="37">
        <v>0</v>
      </c>
      <c r="BT46" s="37">
        <v>0</v>
      </c>
      <c r="BU46" s="37">
        <v>0</v>
      </c>
      <c r="BV46" s="37">
        <v>0</v>
      </c>
      <c r="BW46" s="37">
        <v>0</v>
      </c>
      <c r="BX46" s="37">
        <v>0</v>
      </c>
      <c r="BY46" s="37">
        <v>0</v>
      </c>
      <c r="BZ46" s="37">
        <v>0</v>
      </c>
      <c r="CA46" s="37">
        <v>0</v>
      </c>
      <c r="CB46" s="37">
        <v>0</v>
      </c>
      <c r="CC46" s="37">
        <v>0</v>
      </c>
      <c r="CD46" s="62">
        <v>0</v>
      </c>
      <c r="CE46" s="23">
        <f t="shared" si="0"/>
        <v>298.91199999999998</v>
      </c>
      <c r="CF46" s="23"/>
      <c r="CG46" s="23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</row>
    <row r="47" spans="1:159" ht="15.5">
      <c r="A47" s="31" t="s">
        <v>91</v>
      </c>
      <c r="B47" s="54" t="s">
        <v>92</v>
      </c>
      <c r="C47" s="37">
        <v>0</v>
      </c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7">
        <v>0</v>
      </c>
      <c r="AG47" s="37">
        <v>0</v>
      </c>
      <c r="AH47" s="37">
        <v>0</v>
      </c>
      <c r="AI47" s="37">
        <v>0</v>
      </c>
      <c r="AJ47" s="37">
        <v>0</v>
      </c>
      <c r="AK47" s="37">
        <v>0</v>
      </c>
      <c r="AL47" s="37">
        <v>0</v>
      </c>
      <c r="AM47" s="37">
        <v>0</v>
      </c>
      <c r="AN47" s="37">
        <v>0</v>
      </c>
      <c r="AO47" s="37">
        <v>0</v>
      </c>
      <c r="AP47" s="37">
        <v>0</v>
      </c>
      <c r="AQ47" s="37">
        <v>0</v>
      </c>
      <c r="AR47" s="37">
        <v>0</v>
      </c>
      <c r="AS47" s="37">
        <v>13.084</v>
      </c>
      <c r="AT47" s="37">
        <v>0</v>
      </c>
      <c r="AU47" s="37">
        <v>0</v>
      </c>
      <c r="AV47" s="37">
        <v>0</v>
      </c>
      <c r="AW47" s="37">
        <v>0</v>
      </c>
      <c r="AX47" s="37">
        <v>0</v>
      </c>
      <c r="AY47" s="37">
        <v>0</v>
      </c>
      <c r="AZ47" s="37">
        <v>0</v>
      </c>
      <c r="BA47" s="37">
        <v>0</v>
      </c>
      <c r="BB47" s="37">
        <v>0</v>
      </c>
      <c r="BC47" s="37">
        <v>0</v>
      </c>
      <c r="BD47" s="37">
        <v>0</v>
      </c>
      <c r="BE47" s="37">
        <v>0</v>
      </c>
      <c r="BF47" s="37">
        <v>0</v>
      </c>
      <c r="BG47" s="37">
        <v>0</v>
      </c>
      <c r="BH47" s="37">
        <v>0</v>
      </c>
      <c r="BI47" s="37">
        <v>0</v>
      </c>
      <c r="BJ47" s="37">
        <v>0</v>
      </c>
      <c r="BK47" s="37">
        <v>0</v>
      </c>
      <c r="BL47" s="37">
        <v>0</v>
      </c>
      <c r="BM47" s="37">
        <v>0</v>
      </c>
      <c r="BN47" s="37">
        <v>0</v>
      </c>
      <c r="BO47" s="37">
        <v>0</v>
      </c>
      <c r="BP47" s="37">
        <v>0</v>
      </c>
      <c r="BQ47" s="37">
        <v>0</v>
      </c>
      <c r="BR47" s="37">
        <v>0</v>
      </c>
      <c r="BS47" s="37">
        <v>0</v>
      </c>
      <c r="BT47" s="37">
        <v>0</v>
      </c>
      <c r="BU47" s="37">
        <v>0</v>
      </c>
      <c r="BV47" s="37">
        <v>0</v>
      </c>
      <c r="BW47" s="37">
        <v>0</v>
      </c>
      <c r="BX47" s="37">
        <v>0</v>
      </c>
      <c r="BY47" s="37">
        <v>0</v>
      </c>
      <c r="BZ47" s="37">
        <v>0</v>
      </c>
      <c r="CA47" s="37">
        <v>0</v>
      </c>
      <c r="CB47" s="37">
        <v>0</v>
      </c>
      <c r="CC47" s="37">
        <v>0</v>
      </c>
      <c r="CD47" s="62">
        <v>0</v>
      </c>
      <c r="CE47" s="23">
        <f t="shared" si="0"/>
        <v>13.084</v>
      </c>
      <c r="CF47" s="23"/>
      <c r="CG47" s="23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</row>
    <row r="48" spans="1:159" ht="15.5">
      <c r="A48" s="31" t="s">
        <v>93</v>
      </c>
      <c r="B48" s="54" t="s">
        <v>94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  <c r="AD48" s="37">
        <v>0</v>
      </c>
      <c r="AE48" s="37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37">
        <v>0</v>
      </c>
      <c r="AL48" s="37">
        <v>0</v>
      </c>
      <c r="AM48" s="37">
        <v>0</v>
      </c>
      <c r="AN48" s="37">
        <v>0</v>
      </c>
      <c r="AO48" s="37">
        <v>0</v>
      </c>
      <c r="AP48" s="37">
        <v>0</v>
      </c>
      <c r="AQ48" s="37">
        <v>0</v>
      </c>
      <c r="AR48" s="37">
        <v>0</v>
      </c>
      <c r="AS48" s="37">
        <v>0</v>
      </c>
      <c r="AT48" s="37">
        <v>284.47399999999999</v>
      </c>
      <c r="AU48" s="37">
        <v>0</v>
      </c>
      <c r="AV48" s="37">
        <v>0</v>
      </c>
      <c r="AW48" s="37">
        <v>0</v>
      </c>
      <c r="AX48" s="37">
        <v>0</v>
      </c>
      <c r="AY48" s="37">
        <v>0</v>
      </c>
      <c r="AZ48" s="37">
        <v>0</v>
      </c>
      <c r="BA48" s="37">
        <v>0</v>
      </c>
      <c r="BB48" s="37">
        <v>0</v>
      </c>
      <c r="BC48" s="37">
        <v>0</v>
      </c>
      <c r="BD48" s="37">
        <v>0</v>
      </c>
      <c r="BE48" s="37">
        <v>0</v>
      </c>
      <c r="BF48" s="37">
        <v>0</v>
      </c>
      <c r="BG48" s="37">
        <v>0</v>
      </c>
      <c r="BH48" s="37">
        <v>0</v>
      </c>
      <c r="BI48" s="37">
        <v>0</v>
      </c>
      <c r="BJ48" s="37">
        <v>0</v>
      </c>
      <c r="BK48" s="37">
        <v>0</v>
      </c>
      <c r="BL48" s="37">
        <v>0</v>
      </c>
      <c r="BM48" s="37">
        <v>0</v>
      </c>
      <c r="BN48" s="37">
        <v>0</v>
      </c>
      <c r="BO48" s="37">
        <v>0</v>
      </c>
      <c r="BP48" s="37">
        <v>0</v>
      </c>
      <c r="BQ48" s="37">
        <v>0</v>
      </c>
      <c r="BR48" s="37">
        <v>0</v>
      </c>
      <c r="BS48" s="37">
        <v>0</v>
      </c>
      <c r="BT48" s="37">
        <v>0</v>
      </c>
      <c r="BU48" s="37">
        <v>0</v>
      </c>
      <c r="BV48" s="37">
        <v>0</v>
      </c>
      <c r="BW48" s="37">
        <v>0</v>
      </c>
      <c r="BX48" s="37">
        <v>0</v>
      </c>
      <c r="BY48" s="37">
        <v>0</v>
      </c>
      <c r="BZ48" s="37">
        <v>0</v>
      </c>
      <c r="CA48" s="37">
        <v>0</v>
      </c>
      <c r="CB48" s="37">
        <v>0</v>
      </c>
      <c r="CC48" s="37">
        <v>0</v>
      </c>
      <c r="CD48" s="62">
        <v>0</v>
      </c>
      <c r="CE48" s="23">
        <f t="shared" si="0"/>
        <v>284.47399999999999</v>
      </c>
      <c r="CF48" s="23"/>
      <c r="CG48" s="23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</row>
    <row r="49" spans="1:159" ht="15.5">
      <c r="A49" s="31" t="s">
        <v>95</v>
      </c>
      <c r="B49" s="54" t="s">
        <v>96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37">
        <v>0</v>
      </c>
      <c r="AL49" s="37">
        <v>0</v>
      </c>
      <c r="AM49" s="37">
        <v>0</v>
      </c>
      <c r="AN49" s="37">
        <v>0</v>
      </c>
      <c r="AO49" s="37">
        <v>0</v>
      </c>
      <c r="AP49" s="37">
        <v>0</v>
      </c>
      <c r="AQ49" s="37">
        <v>0</v>
      </c>
      <c r="AR49" s="37">
        <v>0</v>
      </c>
      <c r="AS49" s="37">
        <v>0</v>
      </c>
      <c r="AT49" s="37">
        <v>0</v>
      </c>
      <c r="AU49" s="37">
        <v>112.727</v>
      </c>
      <c r="AV49" s="37">
        <v>0</v>
      </c>
      <c r="AW49" s="37">
        <v>0</v>
      </c>
      <c r="AX49" s="37">
        <v>0</v>
      </c>
      <c r="AY49" s="37">
        <v>0</v>
      </c>
      <c r="AZ49" s="37">
        <v>0</v>
      </c>
      <c r="BA49" s="37">
        <v>0</v>
      </c>
      <c r="BB49" s="37">
        <v>0</v>
      </c>
      <c r="BC49" s="37">
        <v>0</v>
      </c>
      <c r="BD49" s="37">
        <v>0</v>
      </c>
      <c r="BE49" s="37">
        <v>0</v>
      </c>
      <c r="BF49" s="37">
        <v>0</v>
      </c>
      <c r="BG49" s="37">
        <v>0</v>
      </c>
      <c r="BH49" s="37">
        <v>0</v>
      </c>
      <c r="BI49" s="37">
        <v>0</v>
      </c>
      <c r="BJ49" s="37">
        <v>0</v>
      </c>
      <c r="BK49" s="37">
        <v>0</v>
      </c>
      <c r="BL49" s="37">
        <v>0</v>
      </c>
      <c r="BM49" s="37">
        <v>0</v>
      </c>
      <c r="BN49" s="37">
        <v>0</v>
      </c>
      <c r="BO49" s="37">
        <v>0</v>
      </c>
      <c r="BP49" s="37">
        <v>0</v>
      </c>
      <c r="BQ49" s="37">
        <v>0</v>
      </c>
      <c r="BR49" s="37">
        <v>0</v>
      </c>
      <c r="BS49" s="37">
        <v>0</v>
      </c>
      <c r="BT49" s="37">
        <v>0</v>
      </c>
      <c r="BU49" s="37">
        <v>0</v>
      </c>
      <c r="BV49" s="37">
        <v>0</v>
      </c>
      <c r="BW49" s="37">
        <v>0</v>
      </c>
      <c r="BX49" s="37">
        <v>0</v>
      </c>
      <c r="BY49" s="37">
        <v>0</v>
      </c>
      <c r="BZ49" s="37">
        <v>0</v>
      </c>
      <c r="CA49" s="37">
        <v>0</v>
      </c>
      <c r="CB49" s="37">
        <v>0</v>
      </c>
      <c r="CC49" s="37">
        <v>0</v>
      </c>
      <c r="CD49" s="62">
        <v>0</v>
      </c>
      <c r="CE49" s="23">
        <f t="shared" si="0"/>
        <v>112.727</v>
      </c>
      <c r="CF49" s="23"/>
      <c r="CG49" s="23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</row>
    <row r="50" spans="1:159" ht="15.5">
      <c r="A50" s="31" t="s">
        <v>97</v>
      </c>
      <c r="B50" s="54" t="s">
        <v>98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0</v>
      </c>
      <c r="AG50" s="37">
        <v>0</v>
      </c>
      <c r="AH50" s="37">
        <v>0</v>
      </c>
      <c r="AI50" s="37">
        <v>0</v>
      </c>
      <c r="AJ50" s="37">
        <v>0</v>
      </c>
      <c r="AK50" s="37">
        <v>0</v>
      </c>
      <c r="AL50" s="37">
        <v>0</v>
      </c>
      <c r="AM50" s="37">
        <v>0</v>
      </c>
      <c r="AN50" s="37">
        <v>0</v>
      </c>
      <c r="AO50" s="37">
        <v>0</v>
      </c>
      <c r="AP50" s="37">
        <v>0</v>
      </c>
      <c r="AQ50" s="37">
        <v>0</v>
      </c>
      <c r="AR50" s="37">
        <v>0</v>
      </c>
      <c r="AS50" s="37">
        <v>0</v>
      </c>
      <c r="AT50" s="37">
        <v>0</v>
      </c>
      <c r="AU50" s="37">
        <v>0</v>
      </c>
      <c r="AV50" s="37">
        <v>59.031999999999996</v>
      </c>
      <c r="AW50" s="37">
        <v>0</v>
      </c>
      <c r="AX50" s="37">
        <v>0</v>
      </c>
      <c r="AY50" s="37">
        <v>0</v>
      </c>
      <c r="AZ50" s="37">
        <v>0</v>
      </c>
      <c r="BA50" s="37">
        <v>0</v>
      </c>
      <c r="BB50" s="37">
        <v>0</v>
      </c>
      <c r="BC50" s="37">
        <v>0</v>
      </c>
      <c r="BD50" s="37">
        <v>0</v>
      </c>
      <c r="BE50" s="37">
        <v>0</v>
      </c>
      <c r="BF50" s="37">
        <v>0</v>
      </c>
      <c r="BG50" s="37">
        <v>0</v>
      </c>
      <c r="BH50" s="37">
        <v>0</v>
      </c>
      <c r="BI50" s="37">
        <v>0</v>
      </c>
      <c r="BJ50" s="37">
        <v>0</v>
      </c>
      <c r="BK50" s="37">
        <v>0</v>
      </c>
      <c r="BL50" s="37">
        <v>0</v>
      </c>
      <c r="BM50" s="37">
        <v>0</v>
      </c>
      <c r="BN50" s="37">
        <v>0</v>
      </c>
      <c r="BO50" s="37">
        <v>0</v>
      </c>
      <c r="BP50" s="37">
        <v>0</v>
      </c>
      <c r="BQ50" s="37">
        <v>0</v>
      </c>
      <c r="BR50" s="37">
        <v>0</v>
      </c>
      <c r="BS50" s="37">
        <v>0</v>
      </c>
      <c r="BT50" s="37">
        <v>0</v>
      </c>
      <c r="BU50" s="37">
        <v>0</v>
      </c>
      <c r="BV50" s="37">
        <v>0</v>
      </c>
      <c r="BW50" s="37">
        <v>0</v>
      </c>
      <c r="BX50" s="37">
        <v>0</v>
      </c>
      <c r="BY50" s="37">
        <v>0</v>
      </c>
      <c r="BZ50" s="37">
        <v>0</v>
      </c>
      <c r="CA50" s="37">
        <v>0</v>
      </c>
      <c r="CB50" s="37">
        <v>0</v>
      </c>
      <c r="CC50" s="37">
        <v>0</v>
      </c>
      <c r="CD50" s="62">
        <v>0</v>
      </c>
      <c r="CE50" s="23">
        <f t="shared" si="0"/>
        <v>59.031999999999996</v>
      </c>
      <c r="CF50" s="23"/>
      <c r="CG50" s="23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</row>
    <row r="51" spans="1:159" ht="15.5">
      <c r="A51" s="31" t="s">
        <v>99</v>
      </c>
      <c r="B51" s="54" t="s">
        <v>100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37">
        <v>0</v>
      </c>
      <c r="AG51" s="37">
        <v>0</v>
      </c>
      <c r="AH51" s="37">
        <v>0</v>
      </c>
      <c r="AI51" s="37">
        <v>0</v>
      </c>
      <c r="AJ51" s="37">
        <v>0</v>
      </c>
      <c r="AK51" s="37">
        <v>0</v>
      </c>
      <c r="AL51" s="37">
        <v>0</v>
      </c>
      <c r="AM51" s="37">
        <v>0</v>
      </c>
      <c r="AN51" s="37">
        <v>0</v>
      </c>
      <c r="AO51" s="37">
        <v>0</v>
      </c>
      <c r="AP51" s="37">
        <v>0</v>
      </c>
      <c r="AQ51" s="37">
        <v>0</v>
      </c>
      <c r="AR51" s="37">
        <v>0</v>
      </c>
      <c r="AS51" s="37">
        <v>0</v>
      </c>
      <c r="AT51" s="37">
        <v>0</v>
      </c>
      <c r="AU51" s="37">
        <v>0</v>
      </c>
      <c r="AV51" s="37">
        <v>0</v>
      </c>
      <c r="AW51" s="37">
        <v>4090.5120000000002</v>
      </c>
      <c r="AX51" s="37">
        <v>3195.5430000000001</v>
      </c>
      <c r="AY51" s="37">
        <v>0</v>
      </c>
      <c r="AZ51" s="37">
        <v>0.89800000000000002</v>
      </c>
      <c r="BA51" s="37">
        <v>0</v>
      </c>
      <c r="BB51" s="37">
        <v>0</v>
      </c>
      <c r="BC51" s="37">
        <v>0.11899999999999999</v>
      </c>
      <c r="BD51" s="37">
        <v>0</v>
      </c>
      <c r="BE51" s="37">
        <v>0</v>
      </c>
      <c r="BF51" s="37">
        <v>0</v>
      </c>
      <c r="BG51" s="37">
        <v>2.2349999999999999</v>
      </c>
      <c r="BH51" s="37">
        <v>0</v>
      </c>
      <c r="BI51" s="37">
        <v>0</v>
      </c>
      <c r="BJ51" s="37">
        <v>0</v>
      </c>
      <c r="BK51" s="37">
        <v>0</v>
      </c>
      <c r="BL51" s="37">
        <v>0</v>
      </c>
      <c r="BM51" s="37">
        <v>0</v>
      </c>
      <c r="BN51" s="37">
        <v>0</v>
      </c>
      <c r="BO51" s="37">
        <v>0</v>
      </c>
      <c r="BP51" s="37">
        <v>0</v>
      </c>
      <c r="BQ51" s="37">
        <v>0</v>
      </c>
      <c r="BR51" s="37">
        <v>0</v>
      </c>
      <c r="BS51" s="37">
        <v>0</v>
      </c>
      <c r="BT51" s="37">
        <v>0</v>
      </c>
      <c r="BU51" s="37">
        <v>0</v>
      </c>
      <c r="BV51" s="37">
        <v>0</v>
      </c>
      <c r="BW51" s="37">
        <v>0</v>
      </c>
      <c r="BX51" s="37">
        <v>0</v>
      </c>
      <c r="BY51" s="37">
        <v>0</v>
      </c>
      <c r="BZ51" s="37">
        <v>0</v>
      </c>
      <c r="CA51" s="37">
        <v>0</v>
      </c>
      <c r="CB51" s="37">
        <v>0</v>
      </c>
      <c r="CC51" s="37">
        <v>0</v>
      </c>
      <c r="CD51" s="62">
        <v>0</v>
      </c>
      <c r="CE51" s="23">
        <f t="shared" si="0"/>
        <v>7289.3069999999998</v>
      </c>
      <c r="CF51" s="23"/>
      <c r="CG51" s="23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</row>
    <row r="52" spans="1:159" ht="15.5">
      <c r="A52" s="31" t="s">
        <v>101</v>
      </c>
      <c r="B52" s="54" t="s">
        <v>102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37">
        <v>0</v>
      </c>
      <c r="AH52" s="37">
        <v>0</v>
      </c>
      <c r="AI52" s="37">
        <v>0</v>
      </c>
      <c r="AJ52" s="37">
        <v>0</v>
      </c>
      <c r="AK52" s="37">
        <v>0</v>
      </c>
      <c r="AL52" s="37">
        <v>0</v>
      </c>
      <c r="AM52" s="37">
        <v>0</v>
      </c>
      <c r="AN52" s="37">
        <v>0</v>
      </c>
      <c r="AO52" s="37">
        <v>0</v>
      </c>
      <c r="AP52" s="37">
        <v>0</v>
      </c>
      <c r="AQ52" s="37">
        <v>0</v>
      </c>
      <c r="AR52" s="37">
        <v>0</v>
      </c>
      <c r="AS52" s="37">
        <v>0</v>
      </c>
      <c r="AT52" s="37">
        <v>0</v>
      </c>
      <c r="AU52" s="37">
        <v>0</v>
      </c>
      <c r="AV52" s="37">
        <v>0</v>
      </c>
      <c r="AW52" s="37">
        <v>0</v>
      </c>
      <c r="AX52" s="37">
        <v>0</v>
      </c>
      <c r="AY52" s="37">
        <v>0</v>
      </c>
      <c r="AZ52" s="37">
        <v>0</v>
      </c>
      <c r="BA52" s="37">
        <v>0</v>
      </c>
      <c r="BB52" s="37">
        <v>0</v>
      </c>
      <c r="BC52" s="37">
        <v>0</v>
      </c>
      <c r="BD52" s="37">
        <v>0</v>
      </c>
      <c r="BE52" s="37">
        <v>0</v>
      </c>
      <c r="BF52" s="37">
        <v>0</v>
      </c>
      <c r="BG52" s="37">
        <v>0</v>
      </c>
      <c r="BH52" s="37">
        <v>0</v>
      </c>
      <c r="BI52" s="37">
        <v>0</v>
      </c>
      <c r="BJ52" s="37">
        <v>0</v>
      </c>
      <c r="BK52" s="37">
        <v>0</v>
      </c>
      <c r="BL52" s="37">
        <v>0</v>
      </c>
      <c r="BM52" s="37">
        <v>0</v>
      </c>
      <c r="BN52" s="37">
        <v>0</v>
      </c>
      <c r="BO52" s="37">
        <v>0</v>
      </c>
      <c r="BP52" s="37">
        <v>0</v>
      </c>
      <c r="BQ52" s="37">
        <v>0</v>
      </c>
      <c r="BR52" s="37">
        <v>0</v>
      </c>
      <c r="BS52" s="37">
        <v>0</v>
      </c>
      <c r="BT52" s="37">
        <v>0</v>
      </c>
      <c r="BU52" s="37">
        <v>0</v>
      </c>
      <c r="BV52" s="37">
        <v>0</v>
      </c>
      <c r="BW52" s="37">
        <v>0</v>
      </c>
      <c r="BX52" s="37">
        <v>0</v>
      </c>
      <c r="BY52" s="37">
        <v>0</v>
      </c>
      <c r="BZ52" s="37">
        <v>0</v>
      </c>
      <c r="CA52" s="37">
        <v>0</v>
      </c>
      <c r="CB52" s="37">
        <v>0</v>
      </c>
      <c r="CC52" s="37">
        <v>0</v>
      </c>
      <c r="CD52" s="62">
        <v>0</v>
      </c>
      <c r="CE52" s="23">
        <f t="shared" si="0"/>
        <v>0</v>
      </c>
      <c r="CF52" s="23"/>
      <c r="CG52" s="23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</row>
    <row r="53" spans="1:159" ht="15.5">
      <c r="A53" s="31" t="s">
        <v>103</v>
      </c>
      <c r="B53" s="54" t="s">
        <v>104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7">
        <v>0</v>
      </c>
      <c r="AG53" s="37">
        <v>0</v>
      </c>
      <c r="AH53" s="37">
        <v>10.954000000000001</v>
      </c>
      <c r="AI53" s="37">
        <v>0</v>
      </c>
      <c r="AJ53" s="37">
        <v>0</v>
      </c>
      <c r="AK53" s="37">
        <v>0</v>
      </c>
      <c r="AL53" s="37">
        <v>0</v>
      </c>
      <c r="AM53" s="37">
        <v>0</v>
      </c>
      <c r="AN53" s="37">
        <v>0</v>
      </c>
      <c r="AO53" s="37">
        <v>0</v>
      </c>
      <c r="AP53" s="37">
        <v>0</v>
      </c>
      <c r="AQ53" s="37">
        <v>0</v>
      </c>
      <c r="AR53" s="37">
        <v>0</v>
      </c>
      <c r="AS53" s="37">
        <v>0</v>
      </c>
      <c r="AT53" s="37">
        <v>0</v>
      </c>
      <c r="AU53" s="37">
        <v>0</v>
      </c>
      <c r="AV53" s="37">
        <v>0</v>
      </c>
      <c r="AW53" s="37">
        <v>0</v>
      </c>
      <c r="AX53" s="37">
        <v>0</v>
      </c>
      <c r="AY53" s="37">
        <v>192.58500000000001</v>
      </c>
      <c r="AZ53" s="37">
        <v>11.98</v>
      </c>
      <c r="BA53" s="37">
        <v>8.9209999999999994</v>
      </c>
      <c r="BB53" s="37">
        <v>4.5199999999999996</v>
      </c>
      <c r="BC53" s="37">
        <v>0</v>
      </c>
      <c r="BD53" s="37">
        <v>0</v>
      </c>
      <c r="BE53" s="37">
        <v>0</v>
      </c>
      <c r="BF53" s="37">
        <v>0</v>
      </c>
      <c r="BG53" s="37">
        <v>0</v>
      </c>
      <c r="BH53" s="37">
        <v>0</v>
      </c>
      <c r="BI53" s="37">
        <v>0</v>
      </c>
      <c r="BJ53" s="37">
        <v>0</v>
      </c>
      <c r="BK53" s="37">
        <v>0</v>
      </c>
      <c r="BL53" s="37">
        <v>0</v>
      </c>
      <c r="BM53" s="37">
        <v>0</v>
      </c>
      <c r="BN53" s="37">
        <v>0</v>
      </c>
      <c r="BO53" s="37">
        <v>0</v>
      </c>
      <c r="BP53" s="37">
        <v>0</v>
      </c>
      <c r="BQ53" s="37">
        <v>0</v>
      </c>
      <c r="BR53" s="37">
        <v>0</v>
      </c>
      <c r="BS53" s="37">
        <v>0</v>
      </c>
      <c r="BT53" s="37">
        <v>0</v>
      </c>
      <c r="BU53" s="37">
        <v>0</v>
      </c>
      <c r="BV53" s="37">
        <v>0</v>
      </c>
      <c r="BW53" s="37">
        <v>0</v>
      </c>
      <c r="BX53" s="37">
        <v>0</v>
      </c>
      <c r="BY53" s="37">
        <v>0</v>
      </c>
      <c r="BZ53" s="37">
        <v>0</v>
      </c>
      <c r="CA53" s="37">
        <v>0</v>
      </c>
      <c r="CB53" s="37">
        <v>0</v>
      </c>
      <c r="CC53" s="37">
        <v>0</v>
      </c>
      <c r="CD53" s="62">
        <v>0</v>
      </c>
      <c r="CE53" s="23">
        <f t="shared" si="0"/>
        <v>228.96</v>
      </c>
      <c r="CF53" s="23"/>
      <c r="CG53" s="23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</row>
    <row r="54" spans="1:159" ht="15.5">
      <c r="A54" s="31" t="s">
        <v>105</v>
      </c>
      <c r="B54" s="54" t="s">
        <v>106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v>0</v>
      </c>
      <c r="AG54" s="37">
        <v>0</v>
      </c>
      <c r="AH54" s="37">
        <v>0</v>
      </c>
      <c r="AI54" s="37">
        <v>0</v>
      </c>
      <c r="AJ54" s="37">
        <v>0</v>
      </c>
      <c r="AK54" s="37">
        <v>0</v>
      </c>
      <c r="AL54" s="37">
        <v>0</v>
      </c>
      <c r="AM54" s="37">
        <v>0</v>
      </c>
      <c r="AN54" s="37">
        <v>0</v>
      </c>
      <c r="AO54" s="37">
        <v>0</v>
      </c>
      <c r="AP54" s="37">
        <v>0</v>
      </c>
      <c r="AQ54" s="37">
        <v>0</v>
      </c>
      <c r="AR54" s="37">
        <v>0</v>
      </c>
      <c r="AS54" s="37">
        <v>0</v>
      </c>
      <c r="AT54" s="37">
        <v>0</v>
      </c>
      <c r="AU54" s="37">
        <v>0</v>
      </c>
      <c r="AV54" s="37">
        <v>0</v>
      </c>
      <c r="AW54" s="37">
        <v>0</v>
      </c>
      <c r="AX54" s="37">
        <v>0</v>
      </c>
      <c r="AY54" s="37">
        <v>67.53</v>
      </c>
      <c r="AZ54" s="37">
        <v>98.763999999999996</v>
      </c>
      <c r="BA54" s="37">
        <v>0.34300000000000003</v>
      </c>
      <c r="BB54" s="37">
        <v>0</v>
      </c>
      <c r="BC54" s="37">
        <v>0</v>
      </c>
      <c r="BD54" s="37">
        <v>0</v>
      </c>
      <c r="BE54" s="37">
        <v>0</v>
      </c>
      <c r="BF54" s="37">
        <v>0</v>
      </c>
      <c r="BG54" s="37">
        <v>0</v>
      </c>
      <c r="BH54" s="37">
        <v>0</v>
      </c>
      <c r="BI54" s="37">
        <v>0</v>
      </c>
      <c r="BJ54" s="37">
        <v>0</v>
      </c>
      <c r="BK54" s="37">
        <v>0</v>
      </c>
      <c r="BL54" s="37">
        <v>0</v>
      </c>
      <c r="BM54" s="37">
        <v>0</v>
      </c>
      <c r="BN54" s="37">
        <v>0</v>
      </c>
      <c r="BO54" s="37">
        <v>0</v>
      </c>
      <c r="BP54" s="37">
        <v>0</v>
      </c>
      <c r="BQ54" s="37">
        <v>0</v>
      </c>
      <c r="BR54" s="37">
        <v>0</v>
      </c>
      <c r="BS54" s="37">
        <v>0</v>
      </c>
      <c r="BT54" s="37">
        <v>0</v>
      </c>
      <c r="BU54" s="37">
        <v>0</v>
      </c>
      <c r="BV54" s="37">
        <v>0</v>
      </c>
      <c r="BW54" s="37">
        <v>0</v>
      </c>
      <c r="BX54" s="37">
        <v>0</v>
      </c>
      <c r="BY54" s="37">
        <v>0</v>
      </c>
      <c r="BZ54" s="37">
        <v>0</v>
      </c>
      <c r="CA54" s="37">
        <v>0</v>
      </c>
      <c r="CB54" s="37">
        <v>0</v>
      </c>
      <c r="CC54" s="37">
        <v>0</v>
      </c>
      <c r="CD54" s="62">
        <v>0</v>
      </c>
      <c r="CE54" s="23">
        <f t="shared" si="0"/>
        <v>166.63699999999997</v>
      </c>
      <c r="CF54" s="23"/>
      <c r="CG54" s="23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</row>
    <row r="55" spans="1:159" ht="15.5">
      <c r="A55" s="31" t="s">
        <v>107</v>
      </c>
      <c r="B55" s="54" t="s">
        <v>108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7.4589999999999996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0</v>
      </c>
      <c r="AG55" s="37">
        <v>0</v>
      </c>
      <c r="AH55" s="37">
        <v>0</v>
      </c>
      <c r="AI55" s="37">
        <v>0</v>
      </c>
      <c r="AJ55" s="37">
        <v>0</v>
      </c>
      <c r="AK55" s="37">
        <v>0</v>
      </c>
      <c r="AL55" s="37">
        <v>0</v>
      </c>
      <c r="AM55" s="37">
        <v>0</v>
      </c>
      <c r="AN55" s="37">
        <v>5.149</v>
      </c>
      <c r="AO55" s="37">
        <v>0</v>
      </c>
      <c r="AP55" s="37">
        <v>0</v>
      </c>
      <c r="AQ55" s="37">
        <v>0</v>
      </c>
      <c r="AR55" s="37">
        <v>0</v>
      </c>
      <c r="AS55" s="37">
        <v>0</v>
      </c>
      <c r="AT55" s="37">
        <v>0</v>
      </c>
      <c r="AU55" s="37">
        <v>0</v>
      </c>
      <c r="AV55" s="37">
        <v>0</v>
      </c>
      <c r="AW55" s="37">
        <v>7.2389999999999999</v>
      </c>
      <c r="AX55" s="37">
        <v>0</v>
      </c>
      <c r="AY55" s="37">
        <v>0</v>
      </c>
      <c r="AZ55" s="37">
        <v>19.692</v>
      </c>
      <c r="BA55" s="37">
        <v>1214.6559999999999</v>
      </c>
      <c r="BB55" s="37">
        <v>761.21600000000001</v>
      </c>
      <c r="BC55" s="37">
        <v>20.599</v>
      </c>
      <c r="BD55" s="37">
        <v>0</v>
      </c>
      <c r="BE55" s="37">
        <v>25.318000000000001</v>
      </c>
      <c r="BF55" s="37">
        <v>3.9E-2</v>
      </c>
      <c r="BG55" s="37">
        <v>0.25800000000000001</v>
      </c>
      <c r="BH55" s="37">
        <v>0</v>
      </c>
      <c r="BI55" s="37">
        <v>75.974999999999994</v>
      </c>
      <c r="BJ55" s="37">
        <v>0</v>
      </c>
      <c r="BK55" s="37">
        <v>0</v>
      </c>
      <c r="BL55" s="37">
        <v>0</v>
      </c>
      <c r="BM55" s="37">
        <v>0</v>
      </c>
      <c r="BN55" s="37">
        <v>0</v>
      </c>
      <c r="BO55" s="37">
        <v>0</v>
      </c>
      <c r="BP55" s="37">
        <v>0</v>
      </c>
      <c r="BQ55" s="37">
        <v>0</v>
      </c>
      <c r="BR55" s="37">
        <v>0</v>
      </c>
      <c r="BS55" s="37">
        <v>0</v>
      </c>
      <c r="BT55" s="37">
        <v>0</v>
      </c>
      <c r="BU55" s="37">
        <v>0</v>
      </c>
      <c r="BV55" s="37">
        <v>0</v>
      </c>
      <c r="BW55" s="37">
        <v>0</v>
      </c>
      <c r="BX55" s="37">
        <v>0</v>
      </c>
      <c r="BY55" s="37">
        <v>0</v>
      </c>
      <c r="BZ55" s="37">
        <v>0</v>
      </c>
      <c r="CA55" s="37">
        <v>0</v>
      </c>
      <c r="CB55" s="37">
        <v>0</v>
      </c>
      <c r="CC55" s="37">
        <v>0</v>
      </c>
      <c r="CD55" s="62">
        <v>0</v>
      </c>
      <c r="CE55" s="23">
        <f t="shared" si="0"/>
        <v>2137.6</v>
      </c>
      <c r="CF55" s="23"/>
      <c r="CG55" s="23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</row>
    <row r="56" spans="1:159" ht="15.5">
      <c r="A56" s="31" t="s">
        <v>109</v>
      </c>
      <c r="B56" s="54" t="s">
        <v>110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1.5960000000000001</v>
      </c>
      <c r="AB56" s="37">
        <v>0</v>
      </c>
      <c r="AC56" s="37">
        <v>0</v>
      </c>
      <c r="AD56" s="37">
        <v>0</v>
      </c>
      <c r="AE56" s="37">
        <v>0</v>
      </c>
      <c r="AF56" s="37">
        <v>0</v>
      </c>
      <c r="AG56" s="37">
        <v>0</v>
      </c>
      <c r="AH56" s="37">
        <v>0</v>
      </c>
      <c r="AI56" s="37">
        <v>0</v>
      </c>
      <c r="AJ56" s="37">
        <v>0</v>
      </c>
      <c r="AK56" s="37">
        <v>0</v>
      </c>
      <c r="AL56" s="37">
        <v>0</v>
      </c>
      <c r="AM56" s="37">
        <v>0</v>
      </c>
      <c r="AN56" s="37">
        <v>0.127</v>
      </c>
      <c r="AO56" s="37">
        <v>0</v>
      </c>
      <c r="AP56" s="37">
        <v>0</v>
      </c>
      <c r="AQ56" s="37">
        <v>0</v>
      </c>
      <c r="AR56" s="37">
        <v>0</v>
      </c>
      <c r="AS56" s="37">
        <v>0</v>
      </c>
      <c r="AT56" s="37">
        <v>0</v>
      </c>
      <c r="AU56" s="37">
        <v>0</v>
      </c>
      <c r="AV56" s="37">
        <v>0</v>
      </c>
      <c r="AW56" s="37">
        <v>0</v>
      </c>
      <c r="AX56" s="37">
        <v>0</v>
      </c>
      <c r="AY56" s="37">
        <v>0</v>
      </c>
      <c r="AZ56" s="37">
        <v>2.2989999999999999</v>
      </c>
      <c r="BA56" s="37">
        <v>426.48899999999998</v>
      </c>
      <c r="BB56" s="37">
        <v>350.15800000000002</v>
      </c>
      <c r="BC56" s="37">
        <v>0</v>
      </c>
      <c r="BD56" s="37">
        <v>0</v>
      </c>
      <c r="BE56" s="37">
        <v>0</v>
      </c>
      <c r="BF56" s="37">
        <v>0</v>
      </c>
      <c r="BG56" s="37">
        <v>47.755000000000003</v>
      </c>
      <c r="BH56" s="37">
        <v>0</v>
      </c>
      <c r="BI56" s="37">
        <v>0</v>
      </c>
      <c r="BJ56" s="37">
        <v>0</v>
      </c>
      <c r="BK56" s="37">
        <v>0</v>
      </c>
      <c r="BL56" s="37">
        <v>0</v>
      </c>
      <c r="BM56" s="37">
        <v>0</v>
      </c>
      <c r="BN56" s="37">
        <v>0</v>
      </c>
      <c r="BO56" s="37">
        <v>0</v>
      </c>
      <c r="BP56" s="37">
        <v>0</v>
      </c>
      <c r="BQ56" s="37">
        <v>0</v>
      </c>
      <c r="BR56" s="37">
        <v>0</v>
      </c>
      <c r="BS56" s="37">
        <v>0</v>
      </c>
      <c r="BT56" s="37">
        <v>0</v>
      </c>
      <c r="BU56" s="37">
        <v>0</v>
      </c>
      <c r="BV56" s="37">
        <v>0</v>
      </c>
      <c r="BW56" s="37">
        <v>0</v>
      </c>
      <c r="BX56" s="37">
        <v>0</v>
      </c>
      <c r="BY56" s="37">
        <v>0</v>
      </c>
      <c r="BZ56" s="37">
        <v>0</v>
      </c>
      <c r="CA56" s="37">
        <v>0</v>
      </c>
      <c r="CB56" s="37">
        <v>0</v>
      </c>
      <c r="CC56" s="37">
        <v>0</v>
      </c>
      <c r="CD56" s="62">
        <v>0</v>
      </c>
      <c r="CE56" s="23">
        <f t="shared" si="0"/>
        <v>828.42399999999998</v>
      </c>
      <c r="CF56" s="23"/>
      <c r="CG56" s="23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</row>
    <row r="57" spans="1:159" ht="15.5">
      <c r="A57" s="31" t="s">
        <v>111</v>
      </c>
      <c r="B57" s="54" t="s">
        <v>112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0.255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7">
        <v>0</v>
      </c>
      <c r="AG57" s="37">
        <v>0</v>
      </c>
      <c r="AH57" s="37">
        <v>0</v>
      </c>
      <c r="AI57" s="37">
        <v>0</v>
      </c>
      <c r="AJ57" s="37">
        <v>0</v>
      </c>
      <c r="AK57" s="37">
        <v>0</v>
      </c>
      <c r="AL57" s="37">
        <v>0</v>
      </c>
      <c r="AM57" s="37">
        <v>0</v>
      </c>
      <c r="AN57" s="37">
        <v>0</v>
      </c>
      <c r="AO57" s="37">
        <v>0</v>
      </c>
      <c r="AP57" s="37">
        <v>0</v>
      </c>
      <c r="AQ57" s="37">
        <v>0</v>
      </c>
      <c r="AR57" s="37">
        <v>0</v>
      </c>
      <c r="AS57" s="37">
        <v>0</v>
      </c>
      <c r="AT57" s="37">
        <v>0</v>
      </c>
      <c r="AU57" s="37">
        <v>0</v>
      </c>
      <c r="AV57" s="37">
        <v>0</v>
      </c>
      <c r="AW57" s="37">
        <v>0.159</v>
      </c>
      <c r="AX57" s="37">
        <v>0</v>
      </c>
      <c r="AY57" s="37">
        <v>0</v>
      </c>
      <c r="AZ57" s="37">
        <v>0.34699999999999998</v>
      </c>
      <c r="BA57" s="37">
        <v>4.0759999999999996</v>
      </c>
      <c r="BB57" s="37">
        <v>0</v>
      </c>
      <c r="BC57" s="37">
        <v>1361.3489999999999</v>
      </c>
      <c r="BD57" s="37">
        <v>0</v>
      </c>
      <c r="BE57" s="37">
        <v>102.41200000000001</v>
      </c>
      <c r="BF57" s="37">
        <v>2.2789999999999999</v>
      </c>
      <c r="BG57" s="37">
        <v>0</v>
      </c>
      <c r="BH57" s="37">
        <v>0</v>
      </c>
      <c r="BI57" s="37">
        <v>0</v>
      </c>
      <c r="BJ57" s="37">
        <v>0</v>
      </c>
      <c r="BK57" s="37">
        <v>0</v>
      </c>
      <c r="BL57" s="37">
        <v>0</v>
      </c>
      <c r="BM57" s="37">
        <v>0</v>
      </c>
      <c r="BN57" s="37">
        <v>0</v>
      </c>
      <c r="BO57" s="37">
        <v>0</v>
      </c>
      <c r="BP57" s="37">
        <v>0</v>
      </c>
      <c r="BQ57" s="37">
        <v>0</v>
      </c>
      <c r="BR57" s="37">
        <v>0</v>
      </c>
      <c r="BS57" s="37">
        <v>3.7719999999999998</v>
      </c>
      <c r="BT57" s="37">
        <v>0</v>
      </c>
      <c r="BU57" s="37">
        <v>0</v>
      </c>
      <c r="BV57" s="37">
        <v>0</v>
      </c>
      <c r="BW57" s="37">
        <v>0</v>
      </c>
      <c r="BX57" s="37">
        <v>0</v>
      </c>
      <c r="BY57" s="37">
        <v>0</v>
      </c>
      <c r="BZ57" s="37">
        <v>0</v>
      </c>
      <c r="CA57" s="37">
        <v>0</v>
      </c>
      <c r="CB57" s="37">
        <v>0</v>
      </c>
      <c r="CC57" s="37">
        <v>0</v>
      </c>
      <c r="CD57" s="62">
        <v>0</v>
      </c>
      <c r="CE57" s="23">
        <f t="shared" si="0"/>
        <v>1474.6489999999999</v>
      </c>
      <c r="CF57" s="23"/>
      <c r="CG57" s="23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</row>
    <row r="58" spans="1:159" ht="15.5">
      <c r="A58" s="31" t="s">
        <v>113</v>
      </c>
      <c r="B58" s="54" t="s">
        <v>114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>
        <v>0</v>
      </c>
      <c r="AJ58" s="37">
        <v>0</v>
      </c>
      <c r="AK58" s="37">
        <v>0</v>
      </c>
      <c r="AL58" s="37">
        <v>0</v>
      </c>
      <c r="AM58" s="37">
        <v>0</v>
      </c>
      <c r="AN58" s="37">
        <v>0</v>
      </c>
      <c r="AO58" s="37">
        <v>0</v>
      </c>
      <c r="AP58" s="37">
        <v>0</v>
      </c>
      <c r="AQ58" s="37">
        <v>0</v>
      </c>
      <c r="AR58" s="37">
        <v>0</v>
      </c>
      <c r="AS58" s="37">
        <v>0</v>
      </c>
      <c r="AT58" s="37">
        <v>0</v>
      </c>
      <c r="AU58" s="37">
        <v>0</v>
      </c>
      <c r="AV58" s="37">
        <v>0</v>
      </c>
      <c r="AW58" s="37">
        <v>0</v>
      </c>
      <c r="AX58" s="37">
        <v>0</v>
      </c>
      <c r="AY58" s="37">
        <v>0</v>
      </c>
      <c r="AZ58" s="37">
        <v>0</v>
      </c>
      <c r="BA58" s="37">
        <v>0</v>
      </c>
      <c r="BB58" s="37">
        <v>0</v>
      </c>
      <c r="BC58" s="37">
        <v>0</v>
      </c>
      <c r="BD58" s="37">
        <v>689.22</v>
      </c>
      <c r="BE58" s="37">
        <v>0</v>
      </c>
      <c r="BF58" s="37">
        <v>0</v>
      </c>
      <c r="BG58" s="37">
        <v>0</v>
      </c>
      <c r="BH58" s="37">
        <v>0</v>
      </c>
      <c r="BI58" s="37">
        <v>0</v>
      </c>
      <c r="BJ58" s="37">
        <v>0</v>
      </c>
      <c r="BK58" s="37">
        <v>0</v>
      </c>
      <c r="BL58" s="37">
        <v>0</v>
      </c>
      <c r="BM58" s="37">
        <v>0</v>
      </c>
      <c r="BN58" s="37">
        <v>0</v>
      </c>
      <c r="BO58" s="37">
        <v>0</v>
      </c>
      <c r="BP58" s="37">
        <v>0</v>
      </c>
      <c r="BQ58" s="37">
        <v>0</v>
      </c>
      <c r="BR58" s="37">
        <v>0</v>
      </c>
      <c r="BS58" s="37">
        <v>0</v>
      </c>
      <c r="BT58" s="37">
        <v>0</v>
      </c>
      <c r="BU58" s="37">
        <v>0</v>
      </c>
      <c r="BV58" s="37">
        <v>0</v>
      </c>
      <c r="BW58" s="37">
        <v>0</v>
      </c>
      <c r="BX58" s="37">
        <v>0</v>
      </c>
      <c r="BY58" s="37">
        <v>0</v>
      </c>
      <c r="BZ58" s="37">
        <v>0</v>
      </c>
      <c r="CA58" s="37">
        <v>0</v>
      </c>
      <c r="CB58" s="37">
        <v>0</v>
      </c>
      <c r="CC58" s="37">
        <v>0</v>
      </c>
      <c r="CD58" s="62">
        <v>0</v>
      </c>
      <c r="CE58" s="23">
        <f t="shared" si="0"/>
        <v>689.22</v>
      </c>
      <c r="CF58" s="23"/>
      <c r="CG58" s="23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</row>
    <row r="59" spans="1:159" ht="15.5">
      <c r="A59" s="31" t="s">
        <v>115</v>
      </c>
      <c r="B59" s="54" t="s">
        <v>116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0</v>
      </c>
      <c r="AG59" s="37">
        <v>0</v>
      </c>
      <c r="AH59" s="37">
        <v>0</v>
      </c>
      <c r="AI59" s="37">
        <v>0</v>
      </c>
      <c r="AJ59" s="37">
        <v>0</v>
      </c>
      <c r="AK59" s="37">
        <v>0</v>
      </c>
      <c r="AL59" s="37">
        <v>0</v>
      </c>
      <c r="AM59" s="37">
        <v>0</v>
      </c>
      <c r="AN59" s="37">
        <v>0</v>
      </c>
      <c r="AO59" s="37">
        <v>0</v>
      </c>
      <c r="AP59" s="37">
        <v>0</v>
      </c>
      <c r="AQ59" s="37">
        <v>0</v>
      </c>
      <c r="AR59" s="37">
        <v>0</v>
      </c>
      <c r="AS59" s="37">
        <v>0</v>
      </c>
      <c r="AT59" s="37">
        <v>0</v>
      </c>
      <c r="AU59" s="37">
        <v>0</v>
      </c>
      <c r="AV59" s="37">
        <v>0</v>
      </c>
      <c r="AW59" s="37">
        <v>0</v>
      </c>
      <c r="AX59" s="37">
        <v>0</v>
      </c>
      <c r="AY59" s="37">
        <v>0</v>
      </c>
      <c r="AZ59" s="37">
        <v>0</v>
      </c>
      <c r="BA59" s="37">
        <v>0</v>
      </c>
      <c r="BB59" s="37">
        <v>0</v>
      </c>
      <c r="BC59" s="37">
        <v>0</v>
      </c>
      <c r="BD59" s="37">
        <v>0</v>
      </c>
      <c r="BE59" s="37">
        <v>250.69300000000001</v>
      </c>
      <c r="BF59" s="37">
        <v>0</v>
      </c>
      <c r="BG59" s="37">
        <v>0</v>
      </c>
      <c r="BH59" s="37">
        <v>0</v>
      </c>
      <c r="BI59" s="37">
        <v>0</v>
      </c>
      <c r="BJ59" s="37">
        <v>0</v>
      </c>
      <c r="BK59" s="37">
        <v>0</v>
      </c>
      <c r="BL59" s="37">
        <v>0</v>
      </c>
      <c r="BM59" s="37">
        <v>0</v>
      </c>
      <c r="BN59" s="37">
        <v>0</v>
      </c>
      <c r="BO59" s="37">
        <v>0</v>
      </c>
      <c r="BP59" s="37">
        <v>0</v>
      </c>
      <c r="BQ59" s="37">
        <v>0</v>
      </c>
      <c r="BR59" s="37">
        <v>0</v>
      </c>
      <c r="BS59" s="37">
        <v>0</v>
      </c>
      <c r="BT59" s="37">
        <v>0</v>
      </c>
      <c r="BU59" s="37">
        <v>0</v>
      </c>
      <c r="BV59" s="37">
        <v>0</v>
      </c>
      <c r="BW59" s="37">
        <v>0</v>
      </c>
      <c r="BX59" s="37">
        <v>0</v>
      </c>
      <c r="BY59" s="37">
        <v>0</v>
      </c>
      <c r="BZ59" s="37">
        <v>0</v>
      </c>
      <c r="CA59" s="37">
        <v>0</v>
      </c>
      <c r="CB59" s="37">
        <v>0</v>
      </c>
      <c r="CC59" s="37">
        <v>0</v>
      </c>
      <c r="CD59" s="62">
        <v>0</v>
      </c>
      <c r="CE59" s="23">
        <f t="shared" si="0"/>
        <v>250.69300000000001</v>
      </c>
      <c r="CF59" s="23"/>
      <c r="CG59" s="23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</row>
    <row r="60" spans="1:159" ht="15.5">
      <c r="A60" s="31" t="s">
        <v>117</v>
      </c>
      <c r="B60" s="54" t="s">
        <v>118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37">
        <v>0</v>
      </c>
      <c r="U60" s="37">
        <v>0</v>
      </c>
      <c r="V60" s="37">
        <v>0</v>
      </c>
      <c r="W60" s="37">
        <v>0</v>
      </c>
      <c r="X60" s="37">
        <v>0</v>
      </c>
      <c r="Y60" s="37">
        <v>0</v>
      </c>
      <c r="Z60" s="37">
        <v>0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37">
        <v>0</v>
      </c>
      <c r="AG60" s="37">
        <v>0</v>
      </c>
      <c r="AH60" s="37">
        <v>0</v>
      </c>
      <c r="AI60" s="37">
        <v>0</v>
      </c>
      <c r="AJ60" s="37">
        <v>0</v>
      </c>
      <c r="AK60" s="37">
        <v>0</v>
      </c>
      <c r="AL60" s="37">
        <v>0</v>
      </c>
      <c r="AM60" s="37">
        <v>0</v>
      </c>
      <c r="AN60" s="37">
        <v>0</v>
      </c>
      <c r="AO60" s="37">
        <v>0</v>
      </c>
      <c r="AP60" s="37">
        <v>0</v>
      </c>
      <c r="AQ60" s="37">
        <v>0</v>
      </c>
      <c r="AR60" s="37">
        <v>0</v>
      </c>
      <c r="AS60" s="37">
        <v>0</v>
      </c>
      <c r="AT60" s="37">
        <v>0</v>
      </c>
      <c r="AU60" s="37">
        <v>0</v>
      </c>
      <c r="AV60" s="37">
        <v>0</v>
      </c>
      <c r="AW60" s="37">
        <v>0</v>
      </c>
      <c r="AX60" s="37">
        <v>0</v>
      </c>
      <c r="AY60" s="37">
        <v>0</v>
      </c>
      <c r="AZ60" s="37">
        <v>0</v>
      </c>
      <c r="BA60" s="37">
        <v>0</v>
      </c>
      <c r="BB60" s="37">
        <v>0</v>
      </c>
      <c r="BC60" s="37">
        <v>0</v>
      </c>
      <c r="BD60" s="37">
        <v>0</v>
      </c>
      <c r="BE60" s="37">
        <v>0</v>
      </c>
      <c r="BF60" s="37">
        <v>19.059000000000001</v>
      </c>
      <c r="BG60" s="37">
        <v>0</v>
      </c>
      <c r="BH60" s="37">
        <v>0</v>
      </c>
      <c r="BI60" s="37">
        <v>0</v>
      </c>
      <c r="BJ60" s="37">
        <v>0</v>
      </c>
      <c r="BK60" s="37">
        <v>0</v>
      </c>
      <c r="BL60" s="37">
        <v>0</v>
      </c>
      <c r="BM60" s="37">
        <v>0</v>
      </c>
      <c r="BN60" s="37">
        <v>0</v>
      </c>
      <c r="BO60" s="37">
        <v>0</v>
      </c>
      <c r="BP60" s="37">
        <v>0</v>
      </c>
      <c r="BQ60" s="37">
        <v>0</v>
      </c>
      <c r="BR60" s="37">
        <v>0</v>
      </c>
      <c r="BS60" s="37">
        <v>0</v>
      </c>
      <c r="BT60" s="37">
        <v>0</v>
      </c>
      <c r="BU60" s="37">
        <v>0</v>
      </c>
      <c r="BV60" s="37">
        <v>0</v>
      </c>
      <c r="BW60" s="37">
        <v>0</v>
      </c>
      <c r="BX60" s="37">
        <v>0</v>
      </c>
      <c r="BY60" s="37">
        <v>0</v>
      </c>
      <c r="BZ60" s="37">
        <v>0</v>
      </c>
      <c r="CA60" s="37">
        <v>0</v>
      </c>
      <c r="CB60" s="37">
        <v>0</v>
      </c>
      <c r="CC60" s="37">
        <v>0</v>
      </c>
      <c r="CD60" s="62">
        <v>0</v>
      </c>
      <c r="CE60" s="23">
        <f t="shared" si="0"/>
        <v>19.059000000000001</v>
      </c>
      <c r="CF60" s="23"/>
      <c r="CG60" s="23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</row>
    <row r="61" spans="1:159" ht="15.5">
      <c r="A61" s="31" t="s">
        <v>119</v>
      </c>
      <c r="B61" s="54" t="s">
        <v>120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4.3739999999999997</v>
      </c>
      <c r="Y61" s="37">
        <v>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37">
        <v>0</v>
      </c>
      <c r="AH61" s="37">
        <v>0</v>
      </c>
      <c r="AI61" s="37">
        <v>0</v>
      </c>
      <c r="AJ61" s="37">
        <v>0</v>
      </c>
      <c r="AK61" s="37">
        <v>0</v>
      </c>
      <c r="AL61" s="37">
        <v>0</v>
      </c>
      <c r="AM61" s="37">
        <v>0</v>
      </c>
      <c r="AN61" s="37">
        <v>0</v>
      </c>
      <c r="AO61" s="37">
        <v>0</v>
      </c>
      <c r="AP61" s="37">
        <v>0</v>
      </c>
      <c r="AQ61" s="37">
        <v>0</v>
      </c>
      <c r="AR61" s="37">
        <v>0</v>
      </c>
      <c r="AS61" s="37">
        <v>0</v>
      </c>
      <c r="AT61" s="37">
        <v>0</v>
      </c>
      <c r="AU61" s="37">
        <v>0</v>
      </c>
      <c r="AV61" s="37">
        <v>0</v>
      </c>
      <c r="AW61" s="37">
        <v>0</v>
      </c>
      <c r="AX61" s="37">
        <v>0</v>
      </c>
      <c r="AY61" s="37">
        <v>0</v>
      </c>
      <c r="AZ61" s="37">
        <v>0</v>
      </c>
      <c r="BA61" s="37">
        <v>0</v>
      </c>
      <c r="BB61" s="37">
        <v>0.221</v>
      </c>
      <c r="BC61" s="37">
        <v>0</v>
      </c>
      <c r="BD61" s="37">
        <v>0</v>
      </c>
      <c r="BE61" s="37">
        <v>0</v>
      </c>
      <c r="BF61" s="37">
        <v>0</v>
      </c>
      <c r="BG61" s="37">
        <v>1320.296</v>
      </c>
      <c r="BH61" s="37">
        <v>0</v>
      </c>
      <c r="BI61" s="37">
        <v>0</v>
      </c>
      <c r="BJ61" s="37">
        <v>0</v>
      </c>
      <c r="BK61" s="37">
        <v>0</v>
      </c>
      <c r="BL61" s="37">
        <v>0</v>
      </c>
      <c r="BM61" s="37">
        <v>0</v>
      </c>
      <c r="BN61" s="37">
        <v>0</v>
      </c>
      <c r="BO61" s="37">
        <v>0</v>
      </c>
      <c r="BP61" s="37">
        <v>0</v>
      </c>
      <c r="BQ61" s="37">
        <v>0</v>
      </c>
      <c r="BR61" s="37">
        <v>0</v>
      </c>
      <c r="BS61" s="37">
        <v>3.14</v>
      </c>
      <c r="BT61" s="37">
        <v>0</v>
      </c>
      <c r="BU61" s="37">
        <v>0</v>
      </c>
      <c r="BV61" s="37">
        <v>8.7889999999999997</v>
      </c>
      <c r="BW61" s="37">
        <v>0</v>
      </c>
      <c r="BX61" s="37">
        <v>0</v>
      </c>
      <c r="BY61" s="37">
        <v>0</v>
      </c>
      <c r="BZ61" s="37">
        <v>0</v>
      </c>
      <c r="CA61" s="37">
        <v>138.827</v>
      </c>
      <c r="CB61" s="37">
        <v>0</v>
      </c>
      <c r="CC61" s="37">
        <v>0</v>
      </c>
      <c r="CD61" s="62">
        <v>0</v>
      </c>
      <c r="CE61" s="23">
        <f t="shared" si="0"/>
        <v>1475.6470000000002</v>
      </c>
      <c r="CF61" s="23"/>
      <c r="CG61" s="23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</row>
    <row r="62" spans="1:159" ht="15.5">
      <c r="A62" s="31" t="s">
        <v>121</v>
      </c>
      <c r="B62" s="54" t="s">
        <v>122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37">
        <v>0</v>
      </c>
      <c r="AK62" s="37">
        <v>0</v>
      </c>
      <c r="AL62" s="37">
        <v>0</v>
      </c>
      <c r="AM62" s="37">
        <v>0</v>
      </c>
      <c r="AN62" s="37">
        <v>0</v>
      </c>
      <c r="AO62" s="37">
        <v>0</v>
      </c>
      <c r="AP62" s="37">
        <v>0</v>
      </c>
      <c r="AQ62" s="37">
        <v>0</v>
      </c>
      <c r="AR62" s="37">
        <v>0</v>
      </c>
      <c r="AS62" s="37">
        <v>0</v>
      </c>
      <c r="AT62" s="37">
        <v>0</v>
      </c>
      <c r="AU62" s="37">
        <v>0</v>
      </c>
      <c r="AV62" s="37">
        <v>0</v>
      </c>
      <c r="AW62" s="37">
        <v>0</v>
      </c>
      <c r="AX62" s="37">
        <v>0</v>
      </c>
      <c r="AY62" s="37">
        <v>0</v>
      </c>
      <c r="AZ62" s="37">
        <v>0</v>
      </c>
      <c r="BA62" s="37">
        <v>0</v>
      </c>
      <c r="BB62" s="37">
        <v>0</v>
      </c>
      <c r="BC62" s="37">
        <v>0</v>
      </c>
      <c r="BD62" s="37">
        <v>0</v>
      </c>
      <c r="BE62" s="37">
        <v>0</v>
      </c>
      <c r="BF62" s="37">
        <v>0</v>
      </c>
      <c r="BG62" s="37">
        <v>0</v>
      </c>
      <c r="BH62" s="37">
        <v>211.40799999999999</v>
      </c>
      <c r="BI62" s="37">
        <v>0</v>
      </c>
      <c r="BJ62" s="37">
        <v>0</v>
      </c>
      <c r="BK62" s="37">
        <v>0</v>
      </c>
      <c r="BL62" s="37">
        <v>0</v>
      </c>
      <c r="BM62" s="37">
        <v>0</v>
      </c>
      <c r="BN62" s="37">
        <v>0</v>
      </c>
      <c r="BO62" s="37">
        <v>0</v>
      </c>
      <c r="BP62" s="37">
        <v>0</v>
      </c>
      <c r="BQ62" s="37">
        <v>0</v>
      </c>
      <c r="BR62" s="37">
        <v>0</v>
      </c>
      <c r="BS62" s="37">
        <v>0</v>
      </c>
      <c r="BT62" s="37">
        <v>0</v>
      </c>
      <c r="BU62" s="37">
        <v>0</v>
      </c>
      <c r="BV62" s="37">
        <v>0</v>
      </c>
      <c r="BW62" s="37">
        <v>0</v>
      </c>
      <c r="BX62" s="37">
        <v>0</v>
      </c>
      <c r="BY62" s="37">
        <v>0</v>
      </c>
      <c r="BZ62" s="37">
        <v>0</v>
      </c>
      <c r="CA62" s="37">
        <v>0</v>
      </c>
      <c r="CB62" s="37">
        <v>0</v>
      </c>
      <c r="CC62" s="37">
        <v>0</v>
      </c>
      <c r="CD62" s="62">
        <v>0</v>
      </c>
      <c r="CE62" s="23">
        <f t="shared" si="0"/>
        <v>211.40799999999999</v>
      </c>
      <c r="CF62" s="23"/>
      <c r="CG62" s="23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</row>
    <row r="63" spans="1:159" ht="15.5">
      <c r="A63" s="31" t="s">
        <v>123</v>
      </c>
      <c r="B63" s="54" t="s">
        <v>124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7">
        <v>0</v>
      </c>
      <c r="AG63" s="37">
        <v>0</v>
      </c>
      <c r="AH63" s="37">
        <v>0</v>
      </c>
      <c r="AI63" s="37">
        <v>0</v>
      </c>
      <c r="AJ63" s="37">
        <v>0</v>
      </c>
      <c r="AK63" s="37">
        <v>0</v>
      </c>
      <c r="AL63" s="37">
        <v>0</v>
      </c>
      <c r="AM63" s="37">
        <v>0</v>
      </c>
      <c r="AN63" s="37">
        <v>0</v>
      </c>
      <c r="AO63" s="37">
        <v>0</v>
      </c>
      <c r="AP63" s="37">
        <v>0</v>
      </c>
      <c r="AQ63" s="37">
        <v>0</v>
      </c>
      <c r="AR63" s="37">
        <v>0</v>
      </c>
      <c r="AS63" s="37">
        <v>0</v>
      </c>
      <c r="AT63" s="37">
        <v>0</v>
      </c>
      <c r="AU63" s="37">
        <v>0</v>
      </c>
      <c r="AV63" s="37">
        <v>0</v>
      </c>
      <c r="AW63" s="37">
        <v>0</v>
      </c>
      <c r="AX63" s="37">
        <v>0</v>
      </c>
      <c r="AY63" s="37">
        <v>0</v>
      </c>
      <c r="AZ63" s="37">
        <v>0</v>
      </c>
      <c r="BA63" s="37">
        <v>0</v>
      </c>
      <c r="BB63" s="37">
        <v>0</v>
      </c>
      <c r="BC63" s="37">
        <v>0</v>
      </c>
      <c r="BD63" s="37">
        <v>0</v>
      </c>
      <c r="BE63" s="37">
        <v>0</v>
      </c>
      <c r="BF63" s="37">
        <v>0</v>
      </c>
      <c r="BG63" s="37">
        <v>0</v>
      </c>
      <c r="BH63" s="37">
        <v>15.016999999999999</v>
      </c>
      <c r="BI63" s="37">
        <v>299.19</v>
      </c>
      <c r="BJ63" s="37">
        <v>0</v>
      </c>
      <c r="BK63" s="37">
        <v>0</v>
      </c>
      <c r="BL63" s="37">
        <v>0</v>
      </c>
      <c r="BM63" s="37">
        <v>0</v>
      </c>
      <c r="BN63" s="37">
        <v>0</v>
      </c>
      <c r="BO63" s="37">
        <v>0</v>
      </c>
      <c r="BP63" s="37">
        <v>0</v>
      </c>
      <c r="BQ63" s="37">
        <v>0</v>
      </c>
      <c r="BR63" s="37">
        <v>0</v>
      </c>
      <c r="BS63" s="37">
        <v>0</v>
      </c>
      <c r="BT63" s="37">
        <v>0</v>
      </c>
      <c r="BU63" s="37">
        <v>0</v>
      </c>
      <c r="BV63" s="37">
        <v>0</v>
      </c>
      <c r="BW63" s="37">
        <v>0</v>
      </c>
      <c r="BX63" s="37">
        <v>0</v>
      </c>
      <c r="BY63" s="37">
        <v>0</v>
      </c>
      <c r="BZ63" s="37">
        <v>0</v>
      </c>
      <c r="CA63" s="37">
        <v>0</v>
      </c>
      <c r="CB63" s="37">
        <v>0</v>
      </c>
      <c r="CC63" s="37">
        <v>0</v>
      </c>
      <c r="CD63" s="62">
        <v>0</v>
      </c>
      <c r="CE63" s="23">
        <f t="shared" si="0"/>
        <v>314.20699999999999</v>
      </c>
      <c r="CF63" s="23"/>
      <c r="CG63" s="23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</row>
    <row r="64" spans="1:159" ht="15.5">
      <c r="A64" s="31" t="s">
        <v>125</v>
      </c>
      <c r="B64" s="54" t="s">
        <v>126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7">
        <v>0</v>
      </c>
      <c r="AH64" s="37">
        <v>0</v>
      </c>
      <c r="AI64" s="37">
        <v>0</v>
      </c>
      <c r="AJ64" s="37">
        <v>0</v>
      </c>
      <c r="AK64" s="37">
        <v>0</v>
      </c>
      <c r="AL64" s="37">
        <v>0</v>
      </c>
      <c r="AM64" s="37">
        <v>0</v>
      </c>
      <c r="AN64" s="37">
        <v>0</v>
      </c>
      <c r="AO64" s="37">
        <v>0</v>
      </c>
      <c r="AP64" s="37">
        <v>0</v>
      </c>
      <c r="AQ64" s="37">
        <v>0</v>
      </c>
      <c r="AR64" s="37">
        <v>0</v>
      </c>
      <c r="AS64" s="37">
        <v>0</v>
      </c>
      <c r="AT64" s="37">
        <v>0</v>
      </c>
      <c r="AU64" s="37">
        <v>0</v>
      </c>
      <c r="AV64" s="37">
        <v>0</v>
      </c>
      <c r="AW64" s="37">
        <v>0</v>
      </c>
      <c r="AX64" s="37">
        <v>0</v>
      </c>
      <c r="AY64" s="37">
        <v>0</v>
      </c>
      <c r="AZ64" s="37">
        <v>0</v>
      </c>
      <c r="BA64" s="37">
        <v>0</v>
      </c>
      <c r="BB64" s="37">
        <v>0</v>
      </c>
      <c r="BC64" s="37">
        <v>0</v>
      </c>
      <c r="BD64" s="37">
        <v>0</v>
      </c>
      <c r="BE64" s="37">
        <v>0</v>
      </c>
      <c r="BF64" s="37">
        <v>0</v>
      </c>
      <c r="BG64" s="37">
        <v>0</v>
      </c>
      <c r="BH64" s="37">
        <v>0</v>
      </c>
      <c r="BI64" s="37">
        <v>0</v>
      </c>
      <c r="BJ64" s="37">
        <v>186.72</v>
      </c>
      <c r="BK64" s="37">
        <v>0</v>
      </c>
      <c r="BL64" s="37">
        <v>0</v>
      </c>
      <c r="BM64" s="37">
        <v>0</v>
      </c>
      <c r="BN64" s="37">
        <v>0</v>
      </c>
      <c r="BO64" s="37">
        <v>0</v>
      </c>
      <c r="BP64" s="37">
        <v>0</v>
      </c>
      <c r="BQ64" s="37">
        <v>0</v>
      </c>
      <c r="BR64" s="37">
        <v>0</v>
      </c>
      <c r="BS64" s="37">
        <v>0</v>
      </c>
      <c r="BT64" s="37">
        <v>0</v>
      </c>
      <c r="BU64" s="37">
        <v>0</v>
      </c>
      <c r="BV64" s="37">
        <v>0</v>
      </c>
      <c r="BW64" s="37">
        <v>0</v>
      </c>
      <c r="BX64" s="37">
        <v>0</v>
      </c>
      <c r="BY64" s="37">
        <v>0</v>
      </c>
      <c r="BZ64" s="37">
        <v>0</v>
      </c>
      <c r="CA64" s="37">
        <v>0</v>
      </c>
      <c r="CB64" s="37">
        <v>0</v>
      </c>
      <c r="CC64" s="37">
        <v>0</v>
      </c>
      <c r="CD64" s="62">
        <v>0</v>
      </c>
      <c r="CE64" s="23">
        <f t="shared" si="0"/>
        <v>186.72</v>
      </c>
      <c r="CF64" s="23"/>
      <c r="CG64" s="23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</row>
    <row r="65" spans="1:159" ht="15.5">
      <c r="A65" s="31" t="s">
        <v>127</v>
      </c>
      <c r="B65" s="54" t="s">
        <v>128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v>0</v>
      </c>
      <c r="AG65" s="37">
        <v>0</v>
      </c>
      <c r="AH65" s="37">
        <v>0</v>
      </c>
      <c r="AI65" s="37">
        <v>0</v>
      </c>
      <c r="AJ65" s="37">
        <v>0</v>
      </c>
      <c r="AK65" s="37">
        <v>0</v>
      </c>
      <c r="AL65" s="37">
        <v>0</v>
      </c>
      <c r="AM65" s="37">
        <v>0</v>
      </c>
      <c r="AN65" s="37">
        <v>0</v>
      </c>
      <c r="AO65" s="37">
        <v>0</v>
      </c>
      <c r="AP65" s="37">
        <v>0</v>
      </c>
      <c r="AQ65" s="37">
        <v>0</v>
      </c>
      <c r="AR65" s="37">
        <v>0</v>
      </c>
      <c r="AS65" s="37">
        <v>0</v>
      </c>
      <c r="AT65" s="37">
        <v>0</v>
      </c>
      <c r="AU65" s="37">
        <v>0</v>
      </c>
      <c r="AV65" s="37">
        <v>0</v>
      </c>
      <c r="AW65" s="37">
        <v>0</v>
      </c>
      <c r="AX65" s="37">
        <v>0</v>
      </c>
      <c r="AY65" s="37">
        <v>0</v>
      </c>
      <c r="AZ65" s="37">
        <v>0</v>
      </c>
      <c r="BA65" s="37">
        <v>0</v>
      </c>
      <c r="BB65" s="37">
        <v>0</v>
      </c>
      <c r="BC65" s="37">
        <v>0</v>
      </c>
      <c r="BD65" s="37">
        <v>0</v>
      </c>
      <c r="BE65" s="37">
        <v>0</v>
      </c>
      <c r="BF65" s="37">
        <v>0</v>
      </c>
      <c r="BG65" s="37">
        <v>0</v>
      </c>
      <c r="BH65" s="37">
        <v>0</v>
      </c>
      <c r="BI65" s="37">
        <v>0</v>
      </c>
      <c r="BJ65" s="37">
        <v>0</v>
      </c>
      <c r="BK65" s="37">
        <v>252.45400000000001</v>
      </c>
      <c r="BL65" s="37">
        <v>0</v>
      </c>
      <c r="BM65" s="37">
        <v>3.823</v>
      </c>
      <c r="BN65" s="37">
        <v>0</v>
      </c>
      <c r="BO65" s="37">
        <v>0</v>
      </c>
      <c r="BP65" s="37">
        <v>0</v>
      </c>
      <c r="BQ65" s="37">
        <v>0</v>
      </c>
      <c r="BR65" s="37">
        <v>0</v>
      </c>
      <c r="BS65" s="37">
        <v>0</v>
      </c>
      <c r="BT65" s="37">
        <v>0</v>
      </c>
      <c r="BU65" s="37">
        <v>0</v>
      </c>
      <c r="BV65" s="37">
        <v>0</v>
      </c>
      <c r="BW65" s="37">
        <v>0</v>
      </c>
      <c r="BX65" s="37">
        <v>0</v>
      </c>
      <c r="BY65" s="37">
        <v>0</v>
      </c>
      <c r="BZ65" s="37">
        <v>0</v>
      </c>
      <c r="CA65" s="37">
        <v>0</v>
      </c>
      <c r="CB65" s="37">
        <v>0</v>
      </c>
      <c r="CC65" s="37">
        <v>0</v>
      </c>
      <c r="CD65" s="62">
        <v>0</v>
      </c>
      <c r="CE65" s="23">
        <f t="shared" si="0"/>
        <v>256.27699999999999</v>
      </c>
      <c r="CF65" s="23"/>
      <c r="CG65" s="23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</row>
    <row r="66" spans="1:159" ht="15.5">
      <c r="A66" s="31" t="s">
        <v>129</v>
      </c>
      <c r="B66" s="54" t="s">
        <v>130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37">
        <v>0</v>
      </c>
      <c r="AF66" s="37">
        <v>0</v>
      </c>
      <c r="AG66" s="37">
        <v>0</v>
      </c>
      <c r="AH66" s="37">
        <v>0</v>
      </c>
      <c r="AI66" s="37">
        <v>0</v>
      </c>
      <c r="AJ66" s="37">
        <v>0</v>
      </c>
      <c r="AK66" s="37">
        <v>0</v>
      </c>
      <c r="AL66" s="37">
        <v>0</v>
      </c>
      <c r="AM66" s="37">
        <v>0</v>
      </c>
      <c r="AN66" s="37">
        <v>0</v>
      </c>
      <c r="AO66" s="37">
        <v>0</v>
      </c>
      <c r="AP66" s="37">
        <v>0</v>
      </c>
      <c r="AQ66" s="37">
        <v>0</v>
      </c>
      <c r="AR66" s="37">
        <v>0</v>
      </c>
      <c r="AS66" s="37">
        <v>0</v>
      </c>
      <c r="AT66" s="37">
        <v>0</v>
      </c>
      <c r="AU66" s="37">
        <v>0</v>
      </c>
      <c r="AV66" s="37">
        <v>0</v>
      </c>
      <c r="AW66" s="37">
        <v>0</v>
      </c>
      <c r="AX66" s="37">
        <v>0</v>
      </c>
      <c r="AY66" s="37">
        <v>0</v>
      </c>
      <c r="AZ66" s="37">
        <v>0</v>
      </c>
      <c r="BA66" s="37">
        <v>0</v>
      </c>
      <c r="BB66" s="37">
        <v>0</v>
      </c>
      <c r="BC66" s="37">
        <v>0</v>
      </c>
      <c r="BD66" s="37">
        <v>0</v>
      </c>
      <c r="BE66" s="37">
        <v>0</v>
      </c>
      <c r="BF66" s="37">
        <v>0</v>
      </c>
      <c r="BG66" s="37">
        <v>0</v>
      </c>
      <c r="BH66" s="37">
        <v>0</v>
      </c>
      <c r="BI66" s="37">
        <v>0</v>
      </c>
      <c r="BJ66" s="37">
        <v>0</v>
      </c>
      <c r="BK66" s="37">
        <v>0</v>
      </c>
      <c r="BL66" s="37">
        <v>102.09099999999999</v>
      </c>
      <c r="BM66" s="37">
        <v>0</v>
      </c>
      <c r="BN66" s="37">
        <v>0</v>
      </c>
      <c r="BO66" s="37">
        <v>0</v>
      </c>
      <c r="BP66" s="37">
        <v>0</v>
      </c>
      <c r="BQ66" s="37">
        <v>0</v>
      </c>
      <c r="BR66" s="37">
        <v>0</v>
      </c>
      <c r="BS66" s="37">
        <v>0</v>
      </c>
      <c r="BT66" s="37">
        <v>0</v>
      </c>
      <c r="BU66" s="37">
        <v>0</v>
      </c>
      <c r="BV66" s="37">
        <v>0</v>
      </c>
      <c r="BW66" s="37">
        <v>59.250999999999998</v>
      </c>
      <c r="BX66" s="37">
        <v>0</v>
      </c>
      <c r="BY66" s="37">
        <v>0</v>
      </c>
      <c r="BZ66" s="37">
        <v>0</v>
      </c>
      <c r="CA66" s="37">
        <v>0</v>
      </c>
      <c r="CB66" s="37">
        <v>0</v>
      </c>
      <c r="CC66" s="37">
        <v>0</v>
      </c>
      <c r="CD66" s="62">
        <v>0</v>
      </c>
      <c r="CE66" s="23">
        <f t="shared" si="0"/>
        <v>161.34199999999998</v>
      </c>
      <c r="CF66" s="23"/>
      <c r="CG66" s="23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</row>
    <row r="67" spans="1:159" ht="15.5">
      <c r="A67" s="31" t="s">
        <v>131</v>
      </c>
      <c r="B67" s="54" t="s">
        <v>132</v>
      </c>
      <c r="C67" s="37">
        <v>0</v>
      </c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37">
        <v>0</v>
      </c>
      <c r="AG67" s="37">
        <v>0</v>
      </c>
      <c r="AH67" s="37">
        <v>0</v>
      </c>
      <c r="AI67" s="37">
        <v>0</v>
      </c>
      <c r="AJ67" s="37">
        <v>0</v>
      </c>
      <c r="AK67" s="37">
        <v>0</v>
      </c>
      <c r="AL67" s="37">
        <v>0</v>
      </c>
      <c r="AM67" s="37">
        <v>0</v>
      </c>
      <c r="AN67" s="37">
        <v>0</v>
      </c>
      <c r="AO67" s="37">
        <v>0</v>
      </c>
      <c r="AP67" s="37">
        <v>0</v>
      </c>
      <c r="AQ67" s="37">
        <v>0</v>
      </c>
      <c r="AR67" s="37">
        <v>0</v>
      </c>
      <c r="AS67" s="37">
        <v>0</v>
      </c>
      <c r="AT67" s="37">
        <v>0</v>
      </c>
      <c r="AU67" s="37">
        <v>0</v>
      </c>
      <c r="AV67" s="37">
        <v>0</v>
      </c>
      <c r="AW67" s="37">
        <v>0</v>
      </c>
      <c r="AX67" s="37">
        <v>0</v>
      </c>
      <c r="AY67" s="37">
        <v>0</v>
      </c>
      <c r="AZ67" s="37">
        <v>0</v>
      </c>
      <c r="BA67" s="37">
        <v>0</v>
      </c>
      <c r="BB67" s="37">
        <v>7.0000000000000001E-3</v>
      </c>
      <c r="BC67" s="37">
        <v>0</v>
      </c>
      <c r="BD67" s="37">
        <v>0</v>
      </c>
      <c r="BE67" s="37">
        <v>0</v>
      </c>
      <c r="BF67" s="37">
        <v>0.184</v>
      </c>
      <c r="BG67" s="37">
        <v>0</v>
      </c>
      <c r="BH67" s="37">
        <v>0</v>
      </c>
      <c r="BI67" s="37">
        <v>157.98699999999999</v>
      </c>
      <c r="BJ67" s="37">
        <v>0</v>
      </c>
      <c r="BK67" s="37">
        <v>191.81700000000001</v>
      </c>
      <c r="BL67" s="37">
        <v>11.645</v>
      </c>
      <c r="BM67" s="37">
        <v>84.864000000000004</v>
      </c>
      <c r="BN67" s="37">
        <v>0</v>
      </c>
      <c r="BO67" s="37">
        <v>0</v>
      </c>
      <c r="BP67" s="37">
        <v>0</v>
      </c>
      <c r="BQ67" s="37">
        <v>0</v>
      </c>
      <c r="BR67" s="37">
        <v>0</v>
      </c>
      <c r="BS67" s="37">
        <v>0</v>
      </c>
      <c r="BT67" s="37">
        <v>0</v>
      </c>
      <c r="BU67" s="37">
        <v>0</v>
      </c>
      <c r="BV67" s="37">
        <v>0</v>
      </c>
      <c r="BW67" s="37">
        <v>0</v>
      </c>
      <c r="BX67" s="37">
        <v>0</v>
      </c>
      <c r="BY67" s="37">
        <v>0</v>
      </c>
      <c r="BZ67" s="37">
        <v>0</v>
      </c>
      <c r="CA67" s="37">
        <v>0</v>
      </c>
      <c r="CB67" s="37">
        <v>0</v>
      </c>
      <c r="CC67" s="37">
        <v>0</v>
      </c>
      <c r="CD67" s="62">
        <v>0</v>
      </c>
      <c r="CE67" s="23">
        <f t="shared" si="0"/>
        <v>446.50400000000002</v>
      </c>
      <c r="CF67" s="23"/>
      <c r="CG67" s="23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</row>
    <row r="68" spans="1:159" ht="15.5">
      <c r="A68" s="31" t="s">
        <v>133</v>
      </c>
      <c r="B68" s="54" t="s">
        <v>134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7">
        <v>0</v>
      </c>
      <c r="AG68" s="37">
        <v>0</v>
      </c>
      <c r="AH68" s="37">
        <v>0</v>
      </c>
      <c r="AI68" s="37">
        <v>0</v>
      </c>
      <c r="AJ68" s="37">
        <v>0</v>
      </c>
      <c r="AK68" s="37">
        <v>0</v>
      </c>
      <c r="AL68" s="37">
        <v>0</v>
      </c>
      <c r="AM68" s="37">
        <v>0</v>
      </c>
      <c r="AN68" s="37">
        <v>0</v>
      </c>
      <c r="AO68" s="37">
        <v>0</v>
      </c>
      <c r="AP68" s="37">
        <v>0</v>
      </c>
      <c r="AQ68" s="37">
        <v>0</v>
      </c>
      <c r="AR68" s="37">
        <v>0</v>
      </c>
      <c r="AS68" s="37">
        <v>0</v>
      </c>
      <c r="AT68" s="37">
        <v>0</v>
      </c>
      <c r="AU68" s="37">
        <v>0</v>
      </c>
      <c r="AV68" s="37">
        <v>0</v>
      </c>
      <c r="AW68" s="37">
        <v>0</v>
      </c>
      <c r="AX68" s="37">
        <v>0</v>
      </c>
      <c r="AY68" s="37">
        <v>0</v>
      </c>
      <c r="AZ68" s="37">
        <v>0</v>
      </c>
      <c r="BA68" s="37">
        <v>0</v>
      </c>
      <c r="BB68" s="37">
        <v>0</v>
      </c>
      <c r="BC68" s="37">
        <v>0</v>
      </c>
      <c r="BD68" s="37">
        <v>0</v>
      </c>
      <c r="BE68" s="37">
        <v>0</v>
      </c>
      <c r="BF68" s="37">
        <v>0</v>
      </c>
      <c r="BG68" s="37">
        <v>0</v>
      </c>
      <c r="BH68" s="37">
        <v>0</v>
      </c>
      <c r="BI68" s="37">
        <v>0</v>
      </c>
      <c r="BJ68" s="37">
        <v>0</v>
      </c>
      <c r="BK68" s="37">
        <v>0</v>
      </c>
      <c r="BL68" s="37">
        <v>0</v>
      </c>
      <c r="BM68" s="37">
        <v>0</v>
      </c>
      <c r="BN68" s="37">
        <v>595.23400000000004</v>
      </c>
      <c r="BO68" s="37">
        <v>350.00099999999998</v>
      </c>
      <c r="BP68" s="37">
        <v>0</v>
      </c>
      <c r="BQ68" s="37">
        <v>0</v>
      </c>
      <c r="BR68" s="37">
        <v>0</v>
      </c>
      <c r="BS68" s="37">
        <v>0</v>
      </c>
      <c r="BT68" s="37">
        <v>0</v>
      </c>
      <c r="BU68" s="37">
        <v>0</v>
      </c>
      <c r="BV68" s="37">
        <v>0</v>
      </c>
      <c r="BW68" s="37">
        <v>0</v>
      </c>
      <c r="BX68" s="37">
        <v>0</v>
      </c>
      <c r="BY68" s="37">
        <v>0</v>
      </c>
      <c r="BZ68" s="37">
        <v>0</v>
      </c>
      <c r="CA68" s="37">
        <v>0</v>
      </c>
      <c r="CB68" s="37">
        <v>0</v>
      </c>
      <c r="CC68" s="37">
        <v>0</v>
      </c>
      <c r="CD68" s="62">
        <v>0</v>
      </c>
      <c r="CE68" s="23">
        <f t="shared" si="0"/>
        <v>945.23500000000001</v>
      </c>
      <c r="CF68" s="23"/>
      <c r="CG68" s="23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</row>
    <row r="69" spans="1:159" ht="15.5">
      <c r="A69" s="31" t="s">
        <v>135</v>
      </c>
      <c r="B69" s="54" t="s">
        <v>136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37">
        <v>0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7">
        <v>0</v>
      </c>
      <c r="AG69" s="37">
        <v>0</v>
      </c>
      <c r="AH69" s="37">
        <v>0</v>
      </c>
      <c r="AI69" s="37">
        <v>0</v>
      </c>
      <c r="AJ69" s="37">
        <v>0</v>
      </c>
      <c r="AK69" s="37">
        <v>0</v>
      </c>
      <c r="AL69" s="37">
        <v>0</v>
      </c>
      <c r="AM69" s="37">
        <v>0</v>
      </c>
      <c r="AN69" s="37">
        <v>0</v>
      </c>
      <c r="AO69" s="37">
        <v>0</v>
      </c>
      <c r="AP69" s="37">
        <v>0</v>
      </c>
      <c r="AQ69" s="37">
        <v>0</v>
      </c>
      <c r="AR69" s="37">
        <v>0</v>
      </c>
      <c r="AS69" s="37">
        <v>0</v>
      </c>
      <c r="AT69" s="37">
        <v>0</v>
      </c>
      <c r="AU69" s="37">
        <v>0</v>
      </c>
      <c r="AV69" s="37">
        <v>0</v>
      </c>
      <c r="AW69" s="37">
        <v>0</v>
      </c>
      <c r="AX69" s="37">
        <v>0</v>
      </c>
      <c r="AY69" s="37">
        <v>0</v>
      </c>
      <c r="AZ69" s="37">
        <v>0</v>
      </c>
      <c r="BA69" s="37">
        <v>6.5000000000000002E-2</v>
      </c>
      <c r="BB69" s="37">
        <v>0.56599999999999995</v>
      </c>
      <c r="BC69" s="37">
        <v>8.0960000000000001</v>
      </c>
      <c r="BD69" s="37">
        <v>0</v>
      </c>
      <c r="BE69" s="37">
        <v>0</v>
      </c>
      <c r="BF69" s="37">
        <v>0</v>
      </c>
      <c r="BG69" s="37">
        <v>0</v>
      </c>
      <c r="BH69" s="37">
        <v>0</v>
      </c>
      <c r="BI69" s="37">
        <v>0</v>
      </c>
      <c r="BJ69" s="37">
        <v>0</v>
      </c>
      <c r="BK69" s="37">
        <v>0</v>
      </c>
      <c r="BL69" s="37">
        <v>4.1689999999999996</v>
      </c>
      <c r="BM69" s="37">
        <v>0</v>
      </c>
      <c r="BN69" s="37">
        <v>0</v>
      </c>
      <c r="BO69" s="37">
        <v>457.21</v>
      </c>
      <c r="BP69" s="37">
        <v>0</v>
      </c>
      <c r="BQ69" s="37">
        <v>0</v>
      </c>
      <c r="BR69" s="37">
        <v>0</v>
      </c>
      <c r="BS69" s="37">
        <v>0</v>
      </c>
      <c r="BT69" s="37">
        <v>0</v>
      </c>
      <c r="BU69" s="37">
        <v>0</v>
      </c>
      <c r="BV69" s="37">
        <v>0.30599999999999999</v>
      </c>
      <c r="BW69" s="37">
        <v>7.8E-2</v>
      </c>
      <c r="BX69" s="37">
        <v>0</v>
      </c>
      <c r="BY69" s="37">
        <v>0</v>
      </c>
      <c r="BZ69" s="37">
        <v>0</v>
      </c>
      <c r="CA69" s="37">
        <v>0</v>
      </c>
      <c r="CB69" s="37">
        <v>0</v>
      </c>
      <c r="CC69" s="37">
        <v>0</v>
      </c>
      <c r="CD69" s="62">
        <v>0</v>
      </c>
      <c r="CE69" s="23">
        <f t="shared" si="0"/>
        <v>470.48999999999995</v>
      </c>
      <c r="CF69" s="23"/>
      <c r="CG69" s="23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</row>
    <row r="70" spans="1:159" s="22" customFormat="1" ht="15.5">
      <c r="A70" s="31" t="s">
        <v>137</v>
      </c>
      <c r="B70" s="54" t="s">
        <v>138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>
        <v>0</v>
      </c>
      <c r="AI70" s="37">
        <v>0</v>
      </c>
      <c r="AJ70" s="37">
        <v>0</v>
      </c>
      <c r="AK70" s="37">
        <v>0</v>
      </c>
      <c r="AL70" s="37">
        <v>0</v>
      </c>
      <c r="AM70" s="37">
        <v>0</v>
      </c>
      <c r="AN70" s="37">
        <v>0</v>
      </c>
      <c r="AO70" s="37">
        <v>0</v>
      </c>
      <c r="AP70" s="37">
        <v>0</v>
      </c>
      <c r="AQ70" s="37">
        <v>0</v>
      </c>
      <c r="AR70" s="37">
        <v>0</v>
      </c>
      <c r="AS70" s="37">
        <v>0</v>
      </c>
      <c r="AT70" s="37">
        <v>0</v>
      </c>
      <c r="AU70" s="37">
        <v>0</v>
      </c>
      <c r="AV70" s="37">
        <v>0</v>
      </c>
      <c r="AW70" s="37">
        <v>0</v>
      </c>
      <c r="AX70" s="37">
        <v>0</v>
      </c>
      <c r="AY70" s="37">
        <v>0</v>
      </c>
      <c r="AZ70" s="37">
        <v>0</v>
      </c>
      <c r="BA70" s="37">
        <v>0</v>
      </c>
      <c r="BB70" s="37">
        <v>0</v>
      </c>
      <c r="BC70" s="37">
        <v>0</v>
      </c>
      <c r="BD70" s="37">
        <v>0</v>
      </c>
      <c r="BE70" s="37">
        <v>0</v>
      </c>
      <c r="BF70" s="37">
        <v>0</v>
      </c>
      <c r="BG70" s="37">
        <v>0</v>
      </c>
      <c r="BH70" s="37">
        <v>0</v>
      </c>
      <c r="BI70" s="37">
        <v>0</v>
      </c>
      <c r="BJ70" s="37">
        <v>0</v>
      </c>
      <c r="BK70" s="37">
        <v>0</v>
      </c>
      <c r="BL70" s="37">
        <v>0</v>
      </c>
      <c r="BM70" s="37">
        <v>0</v>
      </c>
      <c r="BN70" s="37">
        <v>0</v>
      </c>
      <c r="BO70" s="37">
        <v>0</v>
      </c>
      <c r="BP70" s="37">
        <v>260.21800000000002</v>
      </c>
      <c r="BQ70" s="37">
        <v>0</v>
      </c>
      <c r="BR70" s="37">
        <v>0</v>
      </c>
      <c r="BS70" s="37">
        <v>0</v>
      </c>
      <c r="BT70" s="37">
        <v>0</v>
      </c>
      <c r="BU70" s="37">
        <v>0</v>
      </c>
      <c r="BV70" s="37">
        <v>0</v>
      </c>
      <c r="BW70" s="37">
        <v>0</v>
      </c>
      <c r="BX70" s="37">
        <v>0</v>
      </c>
      <c r="BY70" s="37">
        <v>0</v>
      </c>
      <c r="BZ70" s="37">
        <v>0</v>
      </c>
      <c r="CA70" s="37">
        <v>16.751999999999999</v>
      </c>
      <c r="CB70" s="37">
        <v>0</v>
      </c>
      <c r="CC70" s="37">
        <v>0</v>
      </c>
      <c r="CD70" s="62">
        <v>0</v>
      </c>
      <c r="CE70" s="23">
        <f t="shared" ref="CE70:CE83" si="1">SUM(C70:CD70)</f>
        <v>276.97000000000003</v>
      </c>
      <c r="CF70" s="23"/>
      <c r="CG70" s="23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</row>
    <row r="71" spans="1:159" ht="15.5">
      <c r="A71" s="31" t="s">
        <v>139</v>
      </c>
      <c r="B71" s="54" t="s">
        <v>140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0</v>
      </c>
      <c r="AI71" s="37">
        <v>0</v>
      </c>
      <c r="AJ71" s="37">
        <v>0</v>
      </c>
      <c r="AK71" s="37">
        <v>0</v>
      </c>
      <c r="AL71" s="37">
        <v>0</v>
      </c>
      <c r="AM71" s="37">
        <v>0</v>
      </c>
      <c r="AN71" s="37">
        <v>0</v>
      </c>
      <c r="AO71" s="37">
        <v>0</v>
      </c>
      <c r="AP71" s="37">
        <v>0</v>
      </c>
      <c r="AQ71" s="37">
        <v>0</v>
      </c>
      <c r="AR71" s="37">
        <v>0</v>
      </c>
      <c r="AS71" s="37">
        <v>0</v>
      </c>
      <c r="AT71" s="37">
        <v>0</v>
      </c>
      <c r="AU71" s="37">
        <v>0</v>
      </c>
      <c r="AV71" s="37">
        <v>0</v>
      </c>
      <c r="AW71" s="37">
        <v>0</v>
      </c>
      <c r="AX71" s="37">
        <v>0</v>
      </c>
      <c r="AY71" s="37">
        <v>0</v>
      </c>
      <c r="AZ71" s="37">
        <v>0</v>
      </c>
      <c r="BA71" s="37">
        <v>0</v>
      </c>
      <c r="BB71" s="37">
        <v>0</v>
      </c>
      <c r="BC71" s="37">
        <v>0</v>
      </c>
      <c r="BD71" s="37">
        <v>0</v>
      </c>
      <c r="BE71" s="37">
        <v>0</v>
      </c>
      <c r="BF71" s="37">
        <v>0</v>
      </c>
      <c r="BG71" s="37">
        <v>0</v>
      </c>
      <c r="BH71" s="37">
        <v>0</v>
      </c>
      <c r="BI71" s="37">
        <v>0</v>
      </c>
      <c r="BJ71" s="37">
        <v>0</v>
      </c>
      <c r="BK71" s="37">
        <v>0</v>
      </c>
      <c r="BL71" s="37">
        <v>0</v>
      </c>
      <c r="BM71" s="37">
        <v>0</v>
      </c>
      <c r="BN71" s="37">
        <v>0</v>
      </c>
      <c r="BO71" s="37">
        <v>0</v>
      </c>
      <c r="BP71" s="37">
        <v>0</v>
      </c>
      <c r="BQ71" s="37">
        <v>135.42099999999999</v>
      </c>
      <c r="BR71" s="37">
        <v>0</v>
      </c>
      <c r="BS71" s="37">
        <v>0</v>
      </c>
      <c r="BT71" s="37">
        <v>0</v>
      </c>
      <c r="BU71" s="37">
        <v>0</v>
      </c>
      <c r="BV71" s="37">
        <v>0</v>
      </c>
      <c r="BW71" s="37">
        <v>0</v>
      </c>
      <c r="BX71" s="37">
        <v>0</v>
      </c>
      <c r="BY71" s="37">
        <v>0</v>
      </c>
      <c r="BZ71" s="37">
        <v>0</v>
      </c>
      <c r="CA71" s="37">
        <v>0</v>
      </c>
      <c r="CB71" s="37">
        <v>0</v>
      </c>
      <c r="CC71" s="37">
        <v>0</v>
      </c>
      <c r="CD71" s="62">
        <v>0</v>
      </c>
      <c r="CE71" s="23">
        <f t="shared" si="1"/>
        <v>135.42099999999999</v>
      </c>
      <c r="CF71" s="23"/>
      <c r="CG71" s="23"/>
    </row>
    <row r="72" spans="1:159" ht="15.5">
      <c r="A72" s="31" t="s">
        <v>141</v>
      </c>
      <c r="B72" s="54" t="s">
        <v>142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0</v>
      </c>
      <c r="AG72" s="37">
        <v>0</v>
      </c>
      <c r="AH72" s="37">
        <v>0</v>
      </c>
      <c r="AI72" s="37">
        <v>0</v>
      </c>
      <c r="AJ72" s="37">
        <v>0</v>
      </c>
      <c r="AK72" s="37">
        <v>0</v>
      </c>
      <c r="AL72" s="37">
        <v>0</v>
      </c>
      <c r="AM72" s="37">
        <v>0</v>
      </c>
      <c r="AN72" s="37">
        <v>0</v>
      </c>
      <c r="AO72" s="37">
        <v>0</v>
      </c>
      <c r="AP72" s="37">
        <v>0</v>
      </c>
      <c r="AQ72" s="37">
        <v>0</v>
      </c>
      <c r="AR72" s="37">
        <v>0</v>
      </c>
      <c r="AS72" s="37">
        <v>0</v>
      </c>
      <c r="AT72" s="37">
        <v>0</v>
      </c>
      <c r="AU72" s="37">
        <v>0</v>
      </c>
      <c r="AV72" s="37">
        <v>0</v>
      </c>
      <c r="AW72" s="37">
        <v>0</v>
      </c>
      <c r="AX72" s="37">
        <v>0</v>
      </c>
      <c r="AY72" s="37">
        <v>0</v>
      </c>
      <c r="AZ72" s="37">
        <v>0</v>
      </c>
      <c r="BA72" s="37">
        <v>0</v>
      </c>
      <c r="BB72" s="37">
        <v>0</v>
      </c>
      <c r="BC72" s="37">
        <v>0</v>
      </c>
      <c r="BD72" s="37">
        <v>0</v>
      </c>
      <c r="BE72" s="37">
        <v>0</v>
      </c>
      <c r="BF72" s="37">
        <v>0</v>
      </c>
      <c r="BG72" s="37">
        <v>0</v>
      </c>
      <c r="BH72" s="37">
        <v>0</v>
      </c>
      <c r="BI72" s="37">
        <v>0</v>
      </c>
      <c r="BJ72" s="37">
        <v>0</v>
      </c>
      <c r="BK72" s="37">
        <v>0</v>
      </c>
      <c r="BL72" s="37">
        <v>0</v>
      </c>
      <c r="BM72" s="37">
        <v>0</v>
      </c>
      <c r="BN72" s="37">
        <v>0</v>
      </c>
      <c r="BO72" s="37">
        <v>0</v>
      </c>
      <c r="BP72" s="37">
        <v>0</v>
      </c>
      <c r="BQ72" s="37">
        <v>0</v>
      </c>
      <c r="BR72" s="37">
        <v>530.65</v>
      </c>
      <c r="BS72" s="37">
        <v>0</v>
      </c>
      <c r="BT72" s="37">
        <v>0</v>
      </c>
      <c r="BU72" s="37">
        <v>0</v>
      </c>
      <c r="BV72" s="37">
        <v>1.5980000000000001</v>
      </c>
      <c r="BW72" s="37">
        <v>0</v>
      </c>
      <c r="BX72" s="37">
        <v>0</v>
      </c>
      <c r="BY72" s="37">
        <v>0</v>
      </c>
      <c r="BZ72" s="37">
        <v>0</v>
      </c>
      <c r="CA72" s="37">
        <v>0</v>
      </c>
      <c r="CB72" s="37">
        <v>0</v>
      </c>
      <c r="CC72" s="37">
        <v>0</v>
      </c>
      <c r="CD72" s="62">
        <v>0</v>
      </c>
      <c r="CE72" s="23">
        <f t="shared" si="1"/>
        <v>532.24799999999993</v>
      </c>
      <c r="CF72" s="23"/>
      <c r="CG72" s="23"/>
    </row>
    <row r="73" spans="1:159" ht="15.5">
      <c r="A73" s="31" t="s">
        <v>143</v>
      </c>
      <c r="B73" s="54" t="s">
        <v>144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0</v>
      </c>
      <c r="AG73" s="37">
        <v>0</v>
      </c>
      <c r="AH73" s="37">
        <v>0</v>
      </c>
      <c r="AI73" s="37">
        <v>0</v>
      </c>
      <c r="AJ73" s="37">
        <v>0</v>
      </c>
      <c r="AK73" s="37">
        <v>0</v>
      </c>
      <c r="AL73" s="37">
        <v>0</v>
      </c>
      <c r="AM73" s="37">
        <v>0</v>
      </c>
      <c r="AN73" s="37">
        <v>0</v>
      </c>
      <c r="AO73" s="37">
        <v>0</v>
      </c>
      <c r="AP73" s="37">
        <v>0</v>
      </c>
      <c r="AQ73" s="37">
        <v>0</v>
      </c>
      <c r="AR73" s="37">
        <v>0</v>
      </c>
      <c r="AS73" s="37">
        <v>0</v>
      </c>
      <c r="AT73" s="37">
        <v>0</v>
      </c>
      <c r="AU73" s="37">
        <v>0</v>
      </c>
      <c r="AV73" s="37">
        <v>0</v>
      </c>
      <c r="AW73" s="37">
        <v>0</v>
      </c>
      <c r="AX73" s="37">
        <v>0</v>
      </c>
      <c r="AY73" s="37">
        <v>0</v>
      </c>
      <c r="AZ73" s="37">
        <v>0</v>
      </c>
      <c r="BA73" s="37">
        <v>0</v>
      </c>
      <c r="BB73" s="37">
        <v>0</v>
      </c>
      <c r="BC73" s="37">
        <v>0</v>
      </c>
      <c r="BD73" s="37">
        <v>0</v>
      </c>
      <c r="BE73" s="37">
        <v>0</v>
      </c>
      <c r="BF73" s="37">
        <v>0</v>
      </c>
      <c r="BG73" s="37">
        <v>0</v>
      </c>
      <c r="BH73" s="37">
        <v>0</v>
      </c>
      <c r="BI73" s="37">
        <v>0</v>
      </c>
      <c r="BJ73" s="37">
        <v>0</v>
      </c>
      <c r="BK73" s="37">
        <v>0</v>
      </c>
      <c r="BL73" s="37">
        <v>0</v>
      </c>
      <c r="BM73" s="37">
        <v>0</v>
      </c>
      <c r="BN73" s="37">
        <v>0</v>
      </c>
      <c r="BO73" s="37">
        <v>0</v>
      </c>
      <c r="BP73" s="37">
        <v>0</v>
      </c>
      <c r="BQ73" s="37">
        <v>0</v>
      </c>
      <c r="BR73" s="37">
        <v>0</v>
      </c>
      <c r="BS73" s="37">
        <v>209.595</v>
      </c>
      <c r="BT73" s="37">
        <v>0</v>
      </c>
      <c r="BU73" s="37">
        <v>0</v>
      </c>
      <c r="BV73" s="37">
        <v>0</v>
      </c>
      <c r="BW73" s="37">
        <v>0</v>
      </c>
      <c r="BX73" s="37">
        <v>0</v>
      </c>
      <c r="BY73" s="37">
        <v>0</v>
      </c>
      <c r="BZ73" s="37">
        <v>0</v>
      </c>
      <c r="CA73" s="37">
        <v>0</v>
      </c>
      <c r="CB73" s="37">
        <v>0</v>
      </c>
      <c r="CC73" s="37">
        <v>0</v>
      </c>
      <c r="CD73" s="62">
        <v>0</v>
      </c>
      <c r="CE73" s="23">
        <f t="shared" si="1"/>
        <v>209.595</v>
      </c>
      <c r="CF73" s="23"/>
      <c r="CG73" s="23"/>
    </row>
    <row r="74" spans="1:159" ht="15.5">
      <c r="A74" s="31" t="s">
        <v>145</v>
      </c>
      <c r="B74" s="54" t="s">
        <v>146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0</v>
      </c>
      <c r="AG74" s="37">
        <v>0</v>
      </c>
      <c r="AH74" s="37">
        <v>0</v>
      </c>
      <c r="AI74" s="37">
        <v>0</v>
      </c>
      <c r="AJ74" s="37">
        <v>0</v>
      </c>
      <c r="AK74" s="37">
        <v>0</v>
      </c>
      <c r="AL74" s="37">
        <v>0</v>
      </c>
      <c r="AM74" s="37">
        <v>0</v>
      </c>
      <c r="AN74" s="37">
        <v>0</v>
      </c>
      <c r="AO74" s="37">
        <v>0</v>
      </c>
      <c r="AP74" s="37">
        <v>0</v>
      </c>
      <c r="AQ74" s="37">
        <v>0</v>
      </c>
      <c r="AR74" s="37">
        <v>0</v>
      </c>
      <c r="AS74" s="37">
        <v>0</v>
      </c>
      <c r="AT74" s="37">
        <v>0</v>
      </c>
      <c r="AU74" s="37">
        <v>0</v>
      </c>
      <c r="AV74" s="37">
        <v>0</v>
      </c>
      <c r="AW74" s="37">
        <v>0.106</v>
      </c>
      <c r="AX74" s="37">
        <v>0</v>
      </c>
      <c r="AY74" s="37">
        <v>0</v>
      </c>
      <c r="AZ74" s="37">
        <v>1.4999999999999999E-2</v>
      </c>
      <c r="BA74" s="37">
        <v>0.46300000000000002</v>
      </c>
      <c r="BB74" s="37">
        <v>0</v>
      </c>
      <c r="BC74" s="37">
        <v>0</v>
      </c>
      <c r="BD74" s="37">
        <v>0</v>
      </c>
      <c r="BE74" s="37">
        <v>0</v>
      </c>
      <c r="BF74" s="37">
        <v>0</v>
      </c>
      <c r="BG74" s="37">
        <v>0</v>
      </c>
      <c r="BH74" s="37">
        <v>0</v>
      </c>
      <c r="BI74" s="37">
        <v>0</v>
      </c>
      <c r="BJ74" s="37">
        <v>0</v>
      </c>
      <c r="BK74" s="37">
        <v>0</v>
      </c>
      <c r="BL74" s="37">
        <v>0</v>
      </c>
      <c r="BM74" s="37">
        <v>0</v>
      </c>
      <c r="BN74" s="37">
        <v>0</v>
      </c>
      <c r="BO74" s="37">
        <v>0</v>
      </c>
      <c r="BP74" s="37">
        <v>0</v>
      </c>
      <c r="BQ74" s="37">
        <v>0</v>
      </c>
      <c r="BR74" s="37">
        <v>0</v>
      </c>
      <c r="BS74" s="37">
        <v>14.936999999999999</v>
      </c>
      <c r="BT74" s="37">
        <v>988.76599999999996</v>
      </c>
      <c r="BU74" s="37">
        <v>0</v>
      </c>
      <c r="BV74" s="37">
        <v>0.15</v>
      </c>
      <c r="BW74" s="37">
        <v>8.9999999999999993E-3</v>
      </c>
      <c r="BX74" s="37">
        <v>0</v>
      </c>
      <c r="BY74" s="37">
        <v>0</v>
      </c>
      <c r="BZ74" s="37">
        <v>0</v>
      </c>
      <c r="CA74" s="37">
        <v>9.468</v>
      </c>
      <c r="CB74" s="37">
        <v>0</v>
      </c>
      <c r="CC74" s="37">
        <v>0</v>
      </c>
      <c r="CD74" s="62">
        <v>0</v>
      </c>
      <c r="CE74" s="23">
        <f t="shared" si="1"/>
        <v>1013.9139999999999</v>
      </c>
      <c r="CF74" s="23"/>
      <c r="CG74" s="23"/>
    </row>
    <row r="75" spans="1:159" ht="15.5">
      <c r="A75" s="31" t="s">
        <v>147</v>
      </c>
      <c r="B75" s="54" t="s">
        <v>148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37">
        <v>0</v>
      </c>
      <c r="AH75" s="37">
        <v>0</v>
      </c>
      <c r="AI75" s="37">
        <v>0</v>
      </c>
      <c r="AJ75" s="37">
        <v>0</v>
      </c>
      <c r="AK75" s="37">
        <v>0</v>
      </c>
      <c r="AL75" s="37">
        <v>0</v>
      </c>
      <c r="AM75" s="37">
        <v>0</v>
      </c>
      <c r="AN75" s="37">
        <v>0</v>
      </c>
      <c r="AO75" s="37">
        <v>0</v>
      </c>
      <c r="AP75" s="37">
        <v>0</v>
      </c>
      <c r="AQ75" s="37">
        <v>0</v>
      </c>
      <c r="AR75" s="37">
        <v>0</v>
      </c>
      <c r="AS75" s="37">
        <v>0</v>
      </c>
      <c r="AT75" s="37">
        <v>0</v>
      </c>
      <c r="AU75" s="37">
        <v>0</v>
      </c>
      <c r="AV75" s="37">
        <v>0</v>
      </c>
      <c r="AW75" s="37">
        <v>0</v>
      </c>
      <c r="AX75" s="37">
        <v>0</v>
      </c>
      <c r="AY75" s="37">
        <v>0</v>
      </c>
      <c r="AZ75" s="37">
        <v>0</v>
      </c>
      <c r="BA75" s="37">
        <v>0</v>
      </c>
      <c r="BB75" s="37">
        <v>0</v>
      </c>
      <c r="BC75" s="37">
        <v>0</v>
      </c>
      <c r="BD75" s="37">
        <v>0</v>
      </c>
      <c r="BE75" s="37">
        <v>0</v>
      </c>
      <c r="BF75" s="37">
        <v>0</v>
      </c>
      <c r="BG75" s="37">
        <v>0</v>
      </c>
      <c r="BH75" s="37">
        <v>0</v>
      </c>
      <c r="BI75" s="37">
        <v>0</v>
      </c>
      <c r="BJ75" s="37">
        <v>0</v>
      </c>
      <c r="BK75" s="37">
        <v>0</v>
      </c>
      <c r="BL75" s="37">
        <v>0</v>
      </c>
      <c r="BM75" s="37">
        <v>0</v>
      </c>
      <c r="BN75" s="37">
        <v>0</v>
      </c>
      <c r="BO75" s="37">
        <v>0</v>
      </c>
      <c r="BP75" s="37">
        <v>0</v>
      </c>
      <c r="BQ75" s="37">
        <v>0</v>
      </c>
      <c r="BR75" s="37">
        <v>0</v>
      </c>
      <c r="BS75" s="37">
        <v>0</v>
      </c>
      <c r="BT75" s="37">
        <v>0</v>
      </c>
      <c r="BU75" s="37">
        <v>2440.308</v>
      </c>
      <c r="BV75" s="37">
        <v>0</v>
      </c>
      <c r="BW75" s="37">
        <v>0</v>
      </c>
      <c r="BX75" s="37">
        <v>0</v>
      </c>
      <c r="BY75" s="37">
        <v>0</v>
      </c>
      <c r="BZ75" s="37">
        <v>0</v>
      </c>
      <c r="CA75" s="37">
        <v>0</v>
      </c>
      <c r="CB75" s="37">
        <v>0</v>
      </c>
      <c r="CC75" s="37">
        <v>0</v>
      </c>
      <c r="CD75" s="62">
        <v>0</v>
      </c>
      <c r="CE75" s="23">
        <f t="shared" si="1"/>
        <v>2440.308</v>
      </c>
      <c r="CF75" s="23"/>
      <c r="CG75" s="23"/>
    </row>
    <row r="76" spans="1:159" ht="15.5">
      <c r="A76" s="31" t="s">
        <v>149</v>
      </c>
      <c r="B76" s="54" t="s">
        <v>150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v>0</v>
      </c>
      <c r="AG76" s="37">
        <v>0</v>
      </c>
      <c r="AH76" s="37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>
        <v>0</v>
      </c>
      <c r="AQ76" s="37">
        <v>0</v>
      </c>
      <c r="AR76" s="37">
        <v>0</v>
      </c>
      <c r="AS76" s="37">
        <v>0</v>
      </c>
      <c r="AT76" s="37">
        <v>0</v>
      </c>
      <c r="AU76" s="37">
        <v>0</v>
      </c>
      <c r="AV76" s="37">
        <v>0</v>
      </c>
      <c r="AW76" s="37">
        <v>0</v>
      </c>
      <c r="AX76" s="37">
        <v>0</v>
      </c>
      <c r="AY76" s="37">
        <v>0</v>
      </c>
      <c r="AZ76" s="37">
        <v>0</v>
      </c>
      <c r="BA76" s="37">
        <v>0</v>
      </c>
      <c r="BB76" s="37">
        <v>0</v>
      </c>
      <c r="BC76" s="37">
        <v>0</v>
      </c>
      <c r="BD76" s="37">
        <v>0</v>
      </c>
      <c r="BE76" s="37">
        <v>0</v>
      </c>
      <c r="BF76" s="37">
        <v>0</v>
      </c>
      <c r="BG76" s="37">
        <v>0</v>
      </c>
      <c r="BH76" s="37">
        <v>0</v>
      </c>
      <c r="BI76" s="37">
        <v>0</v>
      </c>
      <c r="BJ76" s="37">
        <v>0</v>
      </c>
      <c r="BK76" s="37">
        <v>0</v>
      </c>
      <c r="BL76" s="37">
        <v>0</v>
      </c>
      <c r="BM76" s="37">
        <v>0</v>
      </c>
      <c r="BN76" s="37">
        <v>0</v>
      </c>
      <c r="BO76" s="37">
        <v>0</v>
      </c>
      <c r="BP76" s="37">
        <v>0</v>
      </c>
      <c r="BQ76" s="37">
        <v>0</v>
      </c>
      <c r="BR76" s="37">
        <v>0</v>
      </c>
      <c r="BS76" s="37">
        <v>0</v>
      </c>
      <c r="BT76" s="37">
        <v>0</v>
      </c>
      <c r="BU76" s="37">
        <v>0</v>
      </c>
      <c r="BV76" s="37">
        <v>1073.8510000000001</v>
      </c>
      <c r="BW76" s="37">
        <v>0</v>
      </c>
      <c r="BX76" s="37">
        <v>0</v>
      </c>
      <c r="BY76" s="37">
        <v>0</v>
      </c>
      <c r="BZ76" s="37">
        <v>0</v>
      </c>
      <c r="CA76" s="37">
        <v>0</v>
      </c>
      <c r="CB76" s="37">
        <v>0</v>
      </c>
      <c r="CC76" s="37">
        <v>0</v>
      </c>
      <c r="CD76" s="62">
        <v>0</v>
      </c>
      <c r="CE76" s="23">
        <f t="shared" si="1"/>
        <v>1073.8510000000001</v>
      </c>
      <c r="CF76" s="23"/>
      <c r="CG76" s="23"/>
    </row>
    <row r="77" spans="1:159" ht="15.5">
      <c r="A77" s="31" t="s">
        <v>151</v>
      </c>
      <c r="B77" s="54" t="s">
        <v>152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37">
        <v>0</v>
      </c>
      <c r="U77" s="37">
        <v>0</v>
      </c>
      <c r="V77" s="37">
        <v>0</v>
      </c>
      <c r="W77" s="37">
        <v>0</v>
      </c>
      <c r="X77" s="37">
        <v>0</v>
      </c>
      <c r="Y77" s="37">
        <v>0</v>
      </c>
      <c r="Z77" s="37">
        <v>0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7">
        <v>0</v>
      </c>
      <c r="AG77" s="37">
        <v>0</v>
      </c>
      <c r="AH77" s="37">
        <v>0</v>
      </c>
      <c r="AI77" s="37">
        <v>0</v>
      </c>
      <c r="AJ77" s="37">
        <v>0</v>
      </c>
      <c r="AK77" s="37">
        <v>0</v>
      </c>
      <c r="AL77" s="37">
        <v>0</v>
      </c>
      <c r="AM77" s="37">
        <v>0</v>
      </c>
      <c r="AN77" s="37">
        <v>0</v>
      </c>
      <c r="AO77" s="37">
        <v>0</v>
      </c>
      <c r="AP77" s="37">
        <v>0</v>
      </c>
      <c r="AQ77" s="37">
        <v>0</v>
      </c>
      <c r="AR77" s="37">
        <v>0</v>
      </c>
      <c r="AS77" s="37">
        <v>0</v>
      </c>
      <c r="AT77" s="37">
        <v>0</v>
      </c>
      <c r="AU77" s="37">
        <v>0</v>
      </c>
      <c r="AV77" s="37">
        <v>0</v>
      </c>
      <c r="AW77" s="37">
        <v>0</v>
      </c>
      <c r="AX77" s="37">
        <v>0</v>
      </c>
      <c r="AY77" s="37">
        <v>0</v>
      </c>
      <c r="AZ77" s="37">
        <v>0</v>
      </c>
      <c r="BA77" s="37">
        <v>0</v>
      </c>
      <c r="BB77" s="37">
        <v>0</v>
      </c>
      <c r="BC77" s="37">
        <v>0</v>
      </c>
      <c r="BD77" s="37">
        <v>0</v>
      </c>
      <c r="BE77" s="37">
        <v>0</v>
      </c>
      <c r="BF77" s="37">
        <v>0</v>
      </c>
      <c r="BG77" s="37">
        <v>0</v>
      </c>
      <c r="BH77" s="37">
        <v>0</v>
      </c>
      <c r="BI77" s="37">
        <v>0</v>
      </c>
      <c r="BJ77" s="37">
        <v>0</v>
      </c>
      <c r="BK77" s="37">
        <v>0</v>
      </c>
      <c r="BL77" s="37">
        <v>0</v>
      </c>
      <c r="BM77" s="37">
        <v>0</v>
      </c>
      <c r="BN77" s="37">
        <v>0</v>
      </c>
      <c r="BO77" s="37">
        <v>0</v>
      </c>
      <c r="BP77" s="37">
        <v>0</v>
      </c>
      <c r="BQ77" s="37">
        <v>0</v>
      </c>
      <c r="BR77" s="37">
        <v>0</v>
      </c>
      <c r="BS77" s="37">
        <v>0</v>
      </c>
      <c r="BT77" s="37">
        <v>0</v>
      </c>
      <c r="BU77" s="37">
        <v>0</v>
      </c>
      <c r="BV77" s="37">
        <v>0</v>
      </c>
      <c r="BW77" s="37">
        <v>416.27499999999998</v>
      </c>
      <c r="BX77" s="37">
        <v>0</v>
      </c>
      <c r="BY77" s="37">
        <v>0</v>
      </c>
      <c r="BZ77" s="37">
        <v>0</v>
      </c>
      <c r="CA77" s="37">
        <v>0</v>
      </c>
      <c r="CB77" s="37">
        <v>0</v>
      </c>
      <c r="CC77" s="37">
        <v>0</v>
      </c>
      <c r="CD77" s="62">
        <v>0</v>
      </c>
      <c r="CE77" s="23">
        <f t="shared" si="1"/>
        <v>416.27499999999998</v>
      </c>
      <c r="CF77" s="23"/>
      <c r="CG77" s="23"/>
    </row>
    <row r="78" spans="1:159" ht="15.5">
      <c r="A78" s="31" t="s">
        <v>153</v>
      </c>
      <c r="B78" s="54" t="s">
        <v>154</v>
      </c>
      <c r="C78" s="37">
        <v>0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37">
        <v>0</v>
      </c>
      <c r="T78" s="37">
        <v>0</v>
      </c>
      <c r="U78" s="37">
        <v>0</v>
      </c>
      <c r="V78" s="37">
        <v>0</v>
      </c>
      <c r="W78" s="37">
        <v>0</v>
      </c>
      <c r="X78" s="37">
        <v>0</v>
      </c>
      <c r="Y78" s="37">
        <v>0</v>
      </c>
      <c r="Z78" s="37">
        <v>0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7">
        <v>0</v>
      </c>
      <c r="AG78" s="37">
        <v>0</v>
      </c>
      <c r="AH78" s="37">
        <v>0</v>
      </c>
      <c r="AI78" s="37">
        <v>0</v>
      </c>
      <c r="AJ78" s="37">
        <v>0</v>
      </c>
      <c r="AK78" s="37">
        <v>0</v>
      </c>
      <c r="AL78" s="37">
        <v>0</v>
      </c>
      <c r="AM78" s="37">
        <v>0</v>
      </c>
      <c r="AN78" s="37">
        <v>0</v>
      </c>
      <c r="AO78" s="37">
        <v>0</v>
      </c>
      <c r="AP78" s="37">
        <v>0</v>
      </c>
      <c r="AQ78" s="37">
        <v>0</v>
      </c>
      <c r="AR78" s="37">
        <v>0</v>
      </c>
      <c r="AS78" s="37">
        <v>0</v>
      </c>
      <c r="AT78" s="37">
        <v>0</v>
      </c>
      <c r="AU78" s="37">
        <v>0</v>
      </c>
      <c r="AV78" s="37">
        <v>0</v>
      </c>
      <c r="AW78" s="37">
        <v>0</v>
      </c>
      <c r="AX78" s="37">
        <v>0</v>
      </c>
      <c r="AY78" s="37">
        <v>0</v>
      </c>
      <c r="AZ78" s="37">
        <v>0</v>
      </c>
      <c r="BA78" s="37">
        <v>0</v>
      </c>
      <c r="BB78" s="37">
        <v>0</v>
      </c>
      <c r="BC78" s="37">
        <v>0</v>
      </c>
      <c r="BD78" s="37">
        <v>0</v>
      </c>
      <c r="BE78" s="37">
        <v>0</v>
      </c>
      <c r="BF78" s="37">
        <v>0</v>
      </c>
      <c r="BG78" s="37">
        <v>0</v>
      </c>
      <c r="BH78" s="37">
        <v>0</v>
      </c>
      <c r="BI78" s="37">
        <v>0</v>
      </c>
      <c r="BJ78" s="37">
        <v>0</v>
      </c>
      <c r="BK78" s="37">
        <v>0</v>
      </c>
      <c r="BL78" s="37">
        <v>0</v>
      </c>
      <c r="BM78" s="37">
        <v>0</v>
      </c>
      <c r="BN78" s="37">
        <v>0</v>
      </c>
      <c r="BO78" s="37">
        <v>0</v>
      </c>
      <c r="BP78" s="37">
        <v>0</v>
      </c>
      <c r="BQ78" s="37">
        <v>0</v>
      </c>
      <c r="BR78" s="37">
        <v>0</v>
      </c>
      <c r="BS78" s="37">
        <v>0</v>
      </c>
      <c r="BT78" s="37">
        <v>0</v>
      </c>
      <c r="BU78" s="37">
        <v>0</v>
      </c>
      <c r="BV78" s="37">
        <v>0</v>
      </c>
      <c r="BW78" s="37">
        <v>0</v>
      </c>
      <c r="BX78" s="37">
        <v>106.94199999999999</v>
      </c>
      <c r="BY78" s="37">
        <v>0</v>
      </c>
      <c r="BZ78" s="37">
        <v>0</v>
      </c>
      <c r="CA78" s="37">
        <v>0</v>
      </c>
      <c r="CB78" s="37">
        <v>0</v>
      </c>
      <c r="CC78" s="37">
        <v>0</v>
      </c>
      <c r="CD78" s="62">
        <v>0</v>
      </c>
      <c r="CE78" s="23">
        <f t="shared" si="1"/>
        <v>106.94199999999999</v>
      </c>
      <c r="CF78" s="23"/>
      <c r="CG78" s="23"/>
    </row>
    <row r="79" spans="1:159" ht="15.5">
      <c r="A79" s="31" t="s">
        <v>155</v>
      </c>
      <c r="B79" s="54" t="s">
        <v>156</v>
      </c>
      <c r="C79" s="37">
        <v>0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v>0</v>
      </c>
      <c r="AG79" s="37">
        <v>0</v>
      </c>
      <c r="AH79" s="37">
        <v>0</v>
      </c>
      <c r="AI79" s="37">
        <v>0</v>
      </c>
      <c r="AJ79" s="37">
        <v>0</v>
      </c>
      <c r="AK79" s="37">
        <v>0</v>
      </c>
      <c r="AL79" s="37">
        <v>0</v>
      </c>
      <c r="AM79" s="37">
        <v>0</v>
      </c>
      <c r="AN79" s="37">
        <v>0</v>
      </c>
      <c r="AO79" s="37">
        <v>0</v>
      </c>
      <c r="AP79" s="37">
        <v>0</v>
      </c>
      <c r="AQ79" s="37">
        <v>0</v>
      </c>
      <c r="AR79" s="37">
        <v>0</v>
      </c>
      <c r="AS79" s="37">
        <v>0</v>
      </c>
      <c r="AT79" s="37">
        <v>0</v>
      </c>
      <c r="AU79" s="37">
        <v>0</v>
      </c>
      <c r="AV79" s="37">
        <v>0</v>
      </c>
      <c r="AW79" s="37">
        <v>0</v>
      </c>
      <c r="AX79" s="37">
        <v>0</v>
      </c>
      <c r="AY79" s="37">
        <v>0</v>
      </c>
      <c r="AZ79" s="37">
        <v>0</v>
      </c>
      <c r="BA79" s="37">
        <v>0</v>
      </c>
      <c r="BB79" s="37">
        <v>0</v>
      </c>
      <c r="BC79" s="37">
        <v>0</v>
      </c>
      <c r="BD79" s="37">
        <v>0</v>
      </c>
      <c r="BE79" s="37">
        <v>0</v>
      </c>
      <c r="BF79" s="37">
        <v>0</v>
      </c>
      <c r="BG79" s="37">
        <v>0</v>
      </c>
      <c r="BH79" s="37">
        <v>0</v>
      </c>
      <c r="BI79" s="37">
        <v>0</v>
      </c>
      <c r="BJ79" s="37">
        <v>0</v>
      </c>
      <c r="BK79" s="37">
        <v>0</v>
      </c>
      <c r="BL79" s="37">
        <v>0</v>
      </c>
      <c r="BM79" s="37">
        <v>0</v>
      </c>
      <c r="BN79" s="37">
        <v>0</v>
      </c>
      <c r="BO79" s="37">
        <v>0</v>
      </c>
      <c r="BP79" s="37">
        <v>0</v>
      </c>
      <c r="BQ79" s="37">
        <v>0</v>
      </c>
      <c r="BR79" s="37">
        <v>0</v>
      </c>
      <c r="BS79" s="37">
        <v>0</v>
      </c>
      <c r="BT79" s="37">
        <v>0</v>
      </c>
      <c r="BU79" s="37">
        <v>0</v>
      </c>
      <c r="BV79" s="37">
        <v>0</v>
      </c>
      <c r="BW79" s="37">
        <v>0</v>
      </c>
      <c r="BX79" s="37">
        <v>0</v>
      </c>
      <c r="BY79" s="37">
        <v>49.438000000000002</v>
      </c>
      <c r="BZ79" s="37">
        <v>0</v>
      </c>
      <c r="CA79" s="37">
        <v>0</v>
      </c>
      <c r="CB79" s="37">
        <v>0</v>
      </c>
      <c r="CC79" s="37">
        <v>0</v>
      </c>
      <c r="CD79" s="62">
        <v>0</v>
      </c>
      <c r="CE79" s="23">
        <f t="shared" si="1"/>
        <v>49.438000000000002</v>
      </c>
      <c r="CF79" s="23"/>
      <c r="CG79" s="23"/>
    </row>
    <row r="80" spans="1:159" ht="15.5">
      <c r="A80" s="31" t="s">
        <v>157</v>
      </c>
      <c r="B80" s="54" t="s">
        <v>158</v>
      </c>
      <c r="C80" s="37">
        <v>0</v>
      </c>
      <c r="D80" s="37">
        <v>0</v>
      </c>
      <c r="E80" s="37">
        <v>0</v>
      </c>
      <c r="F80" s="37">
        <v>0</v>
      </c>
      <c r="G80" s="37">
        <v>0</v>
      </c>
      <c r="H80" s="37">
        <v>0</v>
      </c>
      <c r="I80" s="37">
        <v>0</v>
      </c>
      <c r="J80" s="37">
        <v>0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0</v>
      </c>
      <c r="S80" s="37">
        <v>0</v>
      </c>
      <c r="T80" s="37">
        <v>0</v>
      </c>
      <c r="U80" s="37">
        <v>0</v>
      </c>
      <c r="V80" s="37">
        <v>0</v>
      </c>
      <c r="W80" s="37">
        <v>0</v>
      </c>
      <c r="X80" s="37">
        <v>0</v>
      </c>
      <c r="Y80" s="37">
        <v>0</v>
      </c>
      <c r="Z80" s="37">
        <v>0</v>
      </c>
      <c r="AA80" s="37">
        <v>0</v>
      </c>
      <c r="AB80" s="37">
        <v>0</v>
      </c>
      <c r="AC80" s="37">
        <v>0</v>
      </c>
      <c r="AD80" s="37">
        <v>0</v>
      </c>
      <c r="AE80" s="37">
        <v>0</v>
      </c>
      <c r="AF80" s="37">
        <v>0</v>
      </c>
      <c r="AG80" s="37">
        <v>0</v>
      </c>
      <c r="AH80" s="37">
        <v>0</v>
      </c>
      <c r="AI80" s="37">
        <v>0</v>
      </c>
      <c r="AJ80" s="37">
        <v>0</v>
      </c>
      <c r="AK80" s="37">
        <v>0</v>
      </c>
      <c r="AL80" s="37">
        <v>0</v>
      </c>
      <c r="AM80" s="37">
        <v>0</v>
      </c>
      <c r="AN80" s="37">
        <v>0</v>
      </c>
      <c r="AO80" s="37">
        <v>0</v>
      </c>
      <c r="AP80" s="37">
        <v>0</v>
      </c>
      <c r="AQ80" s="37">
        <v>0</v>
      </c>
      <c r="AR80" s="37">
        <v>0</v>
      </c>
      <c r="AS80" s="37">
        <v>0</v>
      </c>
      <c r="AT80" s="37">
        <v>0</v>
      </c>
      <c r="AU80" s="37">
        <v>0</v>
      </c>
      <c r="AV80" s="37">
        <v>0</v>
      </c>
      <c r="AW80" s="37">
        <v>0</v>
      </c>
      <c r="AX80" s="37">
        <v>0</v>
      </c>
      <c r="AY80" s="37">
        <v>0</v>
      </c>
      <c r="AZ80" s="37">
        <v>0</v>
      </c>
      <c r="BA80" s="37">
        <v>0</v>
      </c>
      <c r="BB80" s="37">
        <v>0</v>
      </c>
      <c r="BC80" s="37">
        <v>0</v>
      </c>
      <c r="BD80" s="37">
        <v>0</v>
      </c>
      <c r="BE80" s="37">
        <v>0</v>
      </c>
      <c r="BF80" s="37">
        <v>0</v>
      </c>
      <c r="BG80" s="37">
        <v>0</v>
      </c>
      <c r="BH80" s="37">
        <v>0</v>
      </c>
      <c r="BI80" s="37">
        <v>0</v>
      </c>
      <c r="BJ80" s="37">
        <v>0</v>
      </c>
      <c r="BK80" s="37">
        <v>0</v>
      </c>
      <c r="BL80" s="37">
        <v>0</v>
      </c>
      <c r="BM80" s="37">
        <v>0</v>
      </c>
      <c r="BN80" s="37">
        <v>0</v>
      </c>
      <c r="BO80" s="37">
        <v>0</v>
      </c>
      <c r="BP80" s="37">
        <v>0</v>
      </c>
      <c r="BQ80" s="37">
        <v>0</v>
      </c>
      <c r="BR80" s="37">
        <v>0</v>
      </c>
      <c r="BS80" s="37">
        <v>0</v>
      </c>
      <c r="BT80" s="37">
        <v>0</v>
      </c>
      <c r="BU80" s="37">
        <v>0</v>
      </c>
      <c r="BV80" s="37">
        <v>0</v>
      </c>
      <c r="BW80" s="37">
        <v>0</v>
      </c>
      <c r="BX80" s="37">
        <v>0</v>
      </c>
      <c r="BY80" s="37">
        <v>0</v>
      </c>
      <c r="BZ80" s="37">
        <v>277.96199999999999</v>
      </c>
      <c r="CA80" s="37">
        <v>0</v>
      </c>
      <c r="CB80" s="37">
        <v>0</v>
      </c>
      <c r="CC80" s="37">
        <v>0</v>
      </c>
      <c r="CD80" s="62">
        <v>0</v>
      </c>
      <c r="CE80" s="23">
        <f t="shared" si="1"/>
        <v>277.96199999999999</v>
      </c>
      <c r="CF80" s="23"/>
      <c r="CG80" s="23"/>
    </row>
    <row r="81" spans="1:159" ht="15.5">
      <c r="A81" s="31" t="s">
        <v>159</v>
      </c>
      <c r="B81" s="54" t="s">
        <v>160</v>
      </c>
      <c r="C81" s="37">
        <v>0</v>
      </c>
      <c r="D81" s="37">
        <v>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37">
        <v>0</v>
      </c>
      <c r="P81" s="37">
        <v>0</v>
      </c>
      <c r="Q81" s="37">
        <v>0</v>
      </c>
      <c r="R81" s="37">
        <v>0</v>
      </c>
      <c r="S81" s="37">
        <v>0</v>
      </c>
      <c r="T81" s="37">
        <v>0</v>
      </c>
      <c r="U81" s="37">
        <v>0</v>
      </c>
      <c r="V81" s="37">
        <v>0</v>
      </c>
      <c r="W81" s="37">
        <v>0</v>
      </c>
      <c r="X81" s="37">
        <v>0</v>
      </c>
      <c r="Y81" s="37">
        <v>0</v>
      </c>
      <c r="Z81" s="37">
        <v>0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7">
        <v>0</v>
      </c>
      <c r="AG81" s="37">
        <v>0</v>
      </c>
      <c r="AH81" s="37">
        <v>0</v>
      </c>
      <c r="AI81" s="37">
        <v>0</v>
      </c>
      <c r="AJ81" s="37">
        <v>0</v>
      </c>
      <c r="AK81" s="37">
        <v>0</v>
      </c>
      <c r="AL81" s="37">
        <v>0</v>
      </c>
      <c r="AM81" s="37">
        <v>0</v>
      </c>
      <c r="AN81" s="37">
        <v>0</v>
      </c>
      <c r="AO81" s="37">
        <v>0</v>
      </c>
      <c r="AP81" s="37">
        <v>0</v>
      </c>
      <c r="AQ81" s="37">
        <v>0</v>
      </c>
      <c r="AR81" s="37">
        <v>0</v>
      </c>
      <c r="AS81" s="37">
        <v>0</v>
      </c>
      <c r="AT81" s="37">
        <v>0</v>
      </c>
      <c r="AU81" s="37">
        <v>0</v>
      </c>
      <c r="AV81" s="37">
        <v>0</v>
      </c>
      <c r="AW81" s="37">
        <v>0</v>
      </c>
      <c r="AX81" s="37">
        <v>0</v>
      </c>
      <c r="AY81" s="37">
        <v>0</v>
      </c>
      <c r="AZ81" s="37">
        <v>0</v>
      </c>
      <c r="BA81" s="37">
        <v>0</v>
      </c>
      <c r="BB81" s="37">
        <v>1.2999999999999999E-2</v>
      </c>
      <c r="BC81" s="37">
        <v>0</v>
      </c>
      <c r="BD81" s="37">
        <v>0</v>
      </c>
      <c r="BE81" s="37">
        <v>0</v>
      </c>
      <c r="BF81" s="37">
        <v>0</v>
      </c>
      <c r="BG81" s="37">
        <v>0</v>
      </c>
      <c r="BH81" s="37">
        <v>0</v>
      </c>
      <c r="BI81" s="37">
        <v>0</v>
      </c>
      <c r="BJ81" s="37">
        <v>0</v>
      </c>
      <c r="BK81" s="37">
        <v>2.0369999999999999</v>
      </c>
      <c r="BL81" s="37">
        <v>0</v>
      </c>
      <c r="BM81" s="37">
        <v>0</v>
      </c>
      <c r="BN81" s="37">
        <v>0</v>
      </c>
      <c r="BO81" s="37">
        <v>0</v>
      </c>
      <c r="BP81" s="37">
        <v>0</v>
      </c>
      <c r="BQ81" s="37">
        <v>0</v>
      </c>
      <c r="BR81" s="37">
        <v>0</v>
      </c>
      <c r="BS81" s="37">
        <v>0</v>
      </c>
      <c r="BT81" s="37">
        <v>0</v>
      </c>
      <c r="BU81" s="37">
        <v>0</v>
      </c>
      <c r="BV81" s="37">
        <v>1.1499999999999999</v>
      </c>
      <c r="BW81" s="37">
        <v>7.4870000000000001</v>
      </c>
      <c r="BX81" s="37">
        <v>0</v>
      </c>
      <c r="BY81" s="37">
        <v>0</v>
      </c>
      <c r="BZ81" s="37">
        <v>0</v>
      </c>
      <c r="CA81" s="37">
        <v>497.47399999999999</v>
      </c>
      <c r="CB81" s="37">
        <v>0</v>
      </c>
      <c r="CC81" s="37">
        <v>0</v>
      </c>
      <c r="CD81" s="62">
        <v>0</v>
      </c>
      <c r="CE81" s="23">
        <f t="shared" si="1"/>
        <v>508.161</v>
      </c>
      <c r="CF81" s="23"/>
      <c r="CG81" s="23"/>
    </row>
    <row r="82" spans="1:159" ht="15.5">
      <c r="A82" s="31" t="s">
        <v>161</v>
      </c>
      <c r="B82" s="54" t="s">
        <v>162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0</v>
      </c>
      <c r="S82" s="37">
        <v>0</v>
      </c>
      <c r="T82" s="37">
        <v>0</v>
      </c>
      <c r="U82" s="37">
        <v>0</v>
      </c>
      <c r="V82" s="37">
        <v>0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37">
        <v>0</v>
      </c>
      <c r="AC82" s="37">
        <v>0</v>
      </c>
      <c r="AD82" s="37">
        <v>0</v>
      </c>
      <c r="AE82" s="37">
        <v>0</v>
      </c>
      <c r="AF82" s="37">
        <v>0</v>
      </c>
      <c r="AG82" s="37">
        <v>0</v>
      </c>
      <c r="AH82" s="37">
        <v>0</v>
      </c>
      <c r="AI82" s="37">
        <v>0</v>
      </c>
      <c r="AJ82" s="37">
        <v>0</v>
      </c>
      <c r="AK82" s="37">
        <v>0</v>
      </c>
      <c r="AL82" s="37">
        <v>0</v>
      </c>
      <c r="AM82" s="37">
        <v>0</v>
      </c>
      <c r="AN82" s="37">
        <v>0</v>
      </c>
      <c r="AO82" s="37">
        <v>0</v>
      </c>
      <c r="AP82" s="37">
        <v>0</v>
      </c>
      <c r="AQ82" s="37">
        <v>0</v>
      </c>
      <c r="AR82" s="37">
        <v>0</v>
      </c>
      <c r="AS82" s="37">
        <v>0</v>
      </c>
      <c r="AT82" s="37">
        <v>0</v>
      </c>
      <c r="AU82" s="37">
        <v>0</v>
      </c>
      <c r="AV82" s="37">
        <v>0</v>
      </c>
      <c r="AW82" s="37">
        <v>0</v>
      </c>
      <c r="AX82" s="37">
        <v>0</v>
      </c>
      <c r="AY82" s="37">
        <v>0</v>
      </c>
      <c r="AZ82" s="37">
        <v>0</v>
      </c>
      <c r="BA82" s="37">
        <v>0</v>
      </c>
      <c r="BB82" s="37">
        <v>0</v>
      </c>
      <c r="BC82" s="37">
        <v>0</v>
      </c>
      <c r="BD82" s="37">
        <v>0</v>
      </c>
      <c r="BE82" s="37">
        <v>0</v>
      </c>
      <c r="BF82" s="37">
        <v>0</v>
      </c>
      <c r="BG82" s="37">
        <v>0</v>
      </c>
      <c r="BH82" s="37">
        <v>0</v>
      </c>
      <c r="BI82" s="37">
        <v>0</v>
      </c>
      <c r="BJ82" s="37">
        <v>0</v>
      </c>
      <c r="BK82" s="37">
        <v>0</v>
      </c>
      <c r="BL82" s="37">
        <v>0</v>
      </c>
      <c r="BM82" s="37">
        <v>0</v>
      </c>
      <c r="BN82" s="37">
        <v>0</v>
      </c>
      <c r="BO82" s="37">
        <v>0</v>
      </c>
      <c r="BP82" s="37">
        <v>0</v>
      </c>
      <c r="BQ82" s="37">
        <v>0</v>
      </c>
      <c r="BR82" s="37">
        <v>0</v>
      </c>
      <c r="BS82" s="37">
        <v>0</v>
      </c>
      <c r="BT82" s="37">
        <v>0</v>
      </c>
      <c r="BU82" s="37">
        <v>0</v>
      </c>
      <c r="BV82" s="37">
        <v>0</v>
      </c>
      <c r="BW82" s="37">
        <v>0</v>
      </c>
      <c r="BX82" s="37">
        <v>0</v>
      </c>
      <c r="BY82" s="37">
        <v>0</v>
      </c>
      <c r="BZ82" s="37">
        <v>0</v>
      </c>
      <c r="CA82" s="37">
        <v>0</v>
      </c>
      <c r="CB82" s="37">
        <v>62.42</v>
      </c>
      <c r="CC82" s="37">
        <v>0</v>
      </c>
      <c r="CD82" s="62">
        <v>0</v>
      </c>
      <c r="CE82" s="23">
        <f t="shared" si="1"/>
        <v>62.42</v>
      </c>
      <c r="CF82" s="23"/>
      <c r="CG82" s="23"/>
    </row>
    <row r="83" spans="1:159" ht="15.5">
      <c r="A83" s="31" t="s">
        <v>163</v>
      </c>
      <c r="B83" s="54" t="s">
        <v>164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37">
        <v>0</v>
      </c>
      <c r="T83" s="37">
        <v>0</v>
      </c>
      <c r="U83" s="37">
        <v>0</v>
      </c>
      <c r="V83" s="37">
        <v>0</v>
      </c>
      <c r="W83" s="37">
        <v>0</v>
      </c>
      <c r="X83" s="37">
        <v>0</v>
      </c>
      <c r="Y83" s="37">
        <v>0</v>
      </c>
      <c r="Z83" s="37">
        <v>0</v>
      </c>
      <c r="AA83" s="37">
        <v>0</v>
      </c>
      <c r="AB83" s="37">
        <v>0</v>
      </c>
      <c r="AC83" s="37">
        <v>0</v>
      </c>
      <c r="AD83" s="37">
        <v>0</v>
      </c>
      <c r="AE83" s="37">
        <v>0</v>
      </c>
      <c r="AF83" s="37">
        <v>0</v>
      </c>
      <c r="AG83" s="37">
        <v>0</v>
      </c>
      <c r="AH83" s="37">
        <v>0</v>
      </c>
      <c r="AI83" s="37">
        <v>0</v>
      </c>
      <c r="AJ83" s="37">
        <v>0</v>
      </c>
      <c r="AK83" s="37">
        <v>0</v>
      </c>
      <c r="AL83" s="37">
        <v>0</v>
      </c>
      <c r="AM83" s="37">
        <v>0</v>
      </c>
      <c r="AN83" s="37">
        <v>0</v>
      </c>
      <c r="AO83" s="37">
        <v>0</v>
      </c>
      <c r="AP83" s="37">
        <v>0</v>
      </c>
      <c r="AQ83" s="37">
        <v>0</v>
      </c>
      <c r="AR83" s="37">
        <v>0</v>
      </c>
      <c r="AS83" s="37">
        <v>0</v>
      </c>
      <c r="AT83" s="37">
        <v>0</v>
      </c>
      <c r="AU83" s="37">
        <v>0</v>
      </c>
      <c r="AV83" s="37">
        <v>0</v>
      </c>
      <c r="AW83" s="37">
        <v>0</v>
      </c>
      <c r="AX83" s="37">
        <v>0</v>
      </c>
      <c r="AY83" s="37">
        <v>0</v>
      </c>
      <c r="AZ83" s="37">
        <v>0</v>
      </c>
      <c r="BA83" s="37">
        <v>0</v>
      </c>
      <c r="BB83" s="37">
        <v>0</v>
      </c>
      <c r="BC83" s="37">
        <v>0</v>
      </c>
      <c r="BD83" s="37">
        <v>0</v>
      </c>
      <c r="BE83" s="37">
        <v>0</v>
      </c>
      <c r="BF83" s="37">
        <v>0</v>
      </c>
      <c r="BG83" s="37">
        <v>0</v>
      </c>
      <c r="BH83" s="37">
        <v>0</v>
      </c>
      <c r="BI83" s="37">
        <v>0</v>
      </c>
      <c r="BJ83" s="37">
        <v>0</v>
      </c>
      <c r="BK83" s="37">
        <v>0</v>
      </c>
      <c r="BL83" s="37">
        <v>0</v>
      </c>
      <c r="BM83" s="37">
        <v>0</v>
      </c>
      <c r="BN83" s="37">
        <v>0</v>
      </c>
      <c r="BO83" s="37">
        <v>0</v>
      </c>
      <c r="BP83" s="37">
        <v>0</v>
      </c>
      <c r="BQ83" s="37">
        <v>0</v>
      </c>
      <c r="BR83" s="37">
        <v>0</v>
      </c>
      <c r="BS83" s="37">
        <v>0</v>
      </c>
      <c r="BT83" s="37">
        <v>0</v>
      </c>
      <c r="BU83" s="37">
        <v>0</v>
      </c>
      <c r="BV83" s="37">
        <v>0</v>
      </c>
      <c r="BW83" s="37">
        <v>0</v>
      </c>
      <c r="BX83" s="37">
        <v>0</v>
      </c>
      <c r="BY83" s="37">
        <v>0</v>
      </c>
      <c r="BZ83" s="37">
        <v>0</v>
      </c>
      <c r="CA83" s="37">
        <v>0</v>
      </c>
      <c r="CB83" s="37">
        <v>0</v>
      </c>
      <c r="CC83" s="37">
        <v>0</v>
      </c>
      <c r="CD83" s="62">
        <v>0</v>
      </c>
      <c r="CE83" s="23">
        <f t="shared" si="1"/>
        <v>0</v>
      </c>
      <c r="CF83" s="23"/>
      <c r="CG83" s="23"/>
    </row>
    <row r="84" spans="1:159" ht="15.5">
      <c r="A84" s="59" t="s">
        <v>165</v>
      </c>
      <c r="B84" s="60" t="s">
        <v>166</v>
      </c>
      <c r="C84" s="61">
        <v>0</v>
      </c>
      <c r="D84" s="61">
        <v>0</v>
      </c>
      <c r="E84" s="61">
        <v>0</v>
      </c>
      <c r="F84" s="61">
        <v>0</v>
      </c>
      <c r="G84" s="61">
        <v>0</v>
      </c>
      <c r="H84" s="61">
        <v>0</v>
      </c>
      <c r="I84" s="61">
        <v>0</v>
      </c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0</v>
      </c>
      <c r="P84" s="61">
        <v>0</v>
      </c>
      <c r="Q84" s="61">
        <v>0</v>
      </c>
      <c r="R84" s="61">
        <v>0</v>
      </c>
      <c r="S84" s="61">
        <v>0</v>
      </c>
      <c r="T84" s="61">
        <v>0</v>
      </c>
      <c r="U84" s="61">
        <v>0</v>
      </c>
      <c r="V84" s="61">
        <v>0</v>
      </c>
      <c r="W84" s="61">
        <v>0</v>
      </c>
      <c r="X84" s="61">
        <v>0</v>
      </c>
      <c r="Y84" s="61">
        <v>0</v>
      </c>
      <c r="Z84" s="61">
        <v>0</v>
      </c>
      <c r="AA84" s="61">
        <v>0</v>
      </c>
      <c r="AB84" s="61">
        <v>0</v>
      </c>
      <c r="AC84" s="61">
        <v>0</v>
      </c>
      <c r="AD84" s="61">
        <v>0</v>
      </c>
      <c r="AE84" s="61">
        <v>0</v>
      </c>
      <c r="AF84" s="61">
        <v>0</v>
      </c>
      <c r="AG84" s="61">
        <v>0</v>
      </c>
      <c r="AH84" s="61">
        <v>0</v>
      </c>
      <c r="AI84" s="61">
        <v>0</v>
      </c>
      <c r="AJ84" s="61">
        <v>0</v>
      </c>
      <c r="AK84" s="61">
        <v>0</v>
      </c>
      <c r="AL84" s="61">
        <v>0</v>
      </c>
      <c r="AM84" s="61">
        <v>0</v>
      </c>
      <c r="AN84" s="61">
        <v>0</v>
      </c>
      <c r="AO84" s="61">
        <v>0</v>
      </c>
      <c r="AP84" s="61">
        <v>0</v>
      </c>
      <c r="AQ84" s="61">
        <v>0</v>
      </c>
      <c r="AR84" s="61">
        <v>0</v>
      </c>
      <c r="AS84" s="61">
        <v>0</v>
      </c>
      <c r="AT84" s="61">
        <v>0</v>
      </c>
      <c r="AU84" s="61">
        <v>0</v>
      </c>
      <c r="AV84" s="61">
        <v>0</v>
      </c>
      <c r="AW84" s="61">
        <v>0</v>
      </c>
      <c r="AX84" s="61">
        <v>0</v>
      </c>
      <c r="AY84" s="61">
        <v>0</v>
      </c>
      <c r="AZ84" s="61">
        <v>0</v>
      </c>
      <c r="BA84" s="61">
        <v>0</v>
      </c>
      <c r="BB84" s="61">
        <v>0</v>
      </c>
      <c r="BC84" s="61">
        <v>0</v>
      </c>
      <c r="BD84" s="61">
        <v>0</v>
      </c>
      <c r="BE84" s="61">
        <v>0</v>
      </c>
      <c r="BF84" s="61">
        <v>0</v>
      </c>
      <c r="BG84" s="61">
        <v>0</v>
      </c>
      <c r="BH84" s="61">
        <v>0</v>
      </c>
      <c r="BI84" s="61">
        <v>0</v>
      </c>
      <c r="BJ84" s="61">
        <v>0</v>
      </c>
      <c r="BK84" s="61">
        <v>0</v>
      </c>
      <c r="BL84" s="61">
        <v>0</v>
      </c>
      <c r="BM84" s="61">
        <v>0</v>
      </c>
      <c r="BN84" s="61">
        <v>0</v>
      </c>
      <c r="BO84" s="61">
        <v>0</v>
      </c>
      <c r="BP84" s="61">
        <v>0</v>
      </c>
      <c r="BQ84" s="61">
        <v>0</v>
      </c>
      <c r="BR84" s="61">
        <v>0</v>
      </c>
      <c r="BS84" s="61">
        <v>0</v>
      </c>
      <c r="BT84" s="61">
        <v>0</v>
      </c>
      <c r="BU84" s="61">
        <v>0</v>
      </c>
      <c r="BV84" s="61">
        <v>0</v>
      </c>
      <c r="BW84" s="61">
        <v>0</v>
      </c>
      <c r="BX84" s="61">
        <v>0</v>
      </c>
      <c r="BY84" s="61">
        <v>0</v>
      </c>
      <c r="BZ84" s="61">
        <v>0</v>
      </c>
      <c r="CA84" s="61">
        <v>0</v>
      </c>
      <c r="CB84" s="61">
        <v>0</v>
      </c>
      <c r="CC84" s="61">
        <v>0</v>
      </c>
      <c r="CD84" s="63">
        <v>0</v>
      </c>
      <c r="CE84" s="43">
        <f>SUM(C84:CD84)</f>
        <v>0</v>
      </c>
      <c r="CF84" s="23"/>
      <c r="CG84" s="23"/>
    </row>
    <row r="85" spans="1:159" ht="14.5">
      <c r="A85"/>
      <c r="B85" s="55" t="s">
        <v>213</v>
      </c>
      <c r="C85" s="38">
        <f>SUM(C5:C84)</f>
        <v>435.92</v>
      </c>
      <c r="D85" s="38">
        <f t="shared" ref="D85:BO85" si="2">SUM(D5:D84)</f>
        <v>1246.671</v>
      </c>
      <c r="E85" s="38">
        <f t="shared" si="2"/>
        <v>867.33699999999999</v>
      </c>
      <c r="F85" s="38">
        <f t="shared" si="2"/>
        <v>545.16399999999999</v>
      </c>
      <c r="G85" s="38">
        <f t="shared" si="2"/>
        <v>66.358000000000004</v>
      </c>
      <c r="H85" s="38">
        <f t="shared" si="2"/>
        <v>184.53900000000002</v>
      </c>
      <c r="I85" s="38">
        <f t="shared" si="2"/>
        <v>64.11</v>
      </c>
      <c r="J85" s="38">
        <f t="shared" si="2"/>
        <v>153.11600000000001</v>
      </c>
      <c r="K85" s="38">
        <f t="shared" si="2"/>
        <v>622.44600000000003</v>
      </c>
      <c r="L85" s="38">
        <f t="shared" si="2"/>
        <v>3.7890000000000001</v>
      </c>
      <c r="M85" s="38">
        <f t="shared" si="2"/>
        <v>798.46500000000003</v>
      </c>
      <c r="N85" s="38">
        <f t="shared" si="2"/>
        <v>75.12</v>
      </c>
      <c r="O85" s="38">
        <f t="shared" si="2"/>
        <v>0</v>
      </c>
      <c r="P85" s="38">
        <f t="shared" si="2"/>
        <v>293.98399999999998</v>
      </c>
      <c r="Q85" s="38">
        <f t="shared" si="2"/>
        <v>420.70499999999998</v>
      </c>
      <c r="R85" s="38">
        <f t="shared" si="2"/>
        <v>186.60300000000001</v>
      </c>
      <c r="S85" s="38">
        <f t="shared" si="2"/>
        <v>2.4620000000000002</v>
      </c>
      <c r="T85" s="38">
        <f t="shared" si="2"/>
        <v>38.183999999999997</v>
      </c>
      <c r="U85" s="38">
        <f t="shared" si="2"/>
        <v>204.536</v>
      </c>
      <c r="V85" s="38">
        <f t="shared" si="2"/>
        <v>195.53899999999999</v>
      </c>
      <c r="W85" s="38">
        <f t="shared" si="2"/>
        <v>889.46799999999996</v>
      </c>
      <c r="X85" s="38">
        <f t="shared" si="2"/>
        <v>130.749</v>
      </c>
      <c r="Y85" s="38">
        <f t="shared" si="2"/>
        <v>53.295999999999999</v>
      </c>
      <c r="Z85" s="38">
        <f t="shared" si="2"/>
        <v>415.26</v>
      </c>
      <c r="AA85" s="38">
        <f t="shared" si="2"/>
        <v>818.48300000000006</v>
      </c>
      <c r="AB85" s="38">
        <f t="shared" si="2"/>
        <v>87.831000000000003</v>
      </c>
      <c r="AC85" s="38">
        <f t="shared" si="2"/>
        <v>0.71599999999999997</v>
      </c>
      <c r="AD85" s="38">
        <f t="shared" si="2"/>
        <v>388.37200000000001</v>
      </c>
      <c r="AE85" s="38">
        <f t="shared" si="2"/>
        <v>250.28799999999998</v>
      </c>
      <c r="AF85" s="38">
        <f t="shared" si="2"/>
        <v>68.241</v>
      </c>
      <c r="AG85" s="38">
        <f t="shared" si="2"/>
        <v>0</v>
      </c>
      <c r="AH85" s="38">
        <f t="shared" si="2"/>
        <v>501.87600000000003</v>
      </c>
      <c r="AI85" s="38">
        <f t="shared" si="2"/>
        <v>34.606000000000002</v>
      </c>
      <c r="AJ85" s="38">
        <f t="shared" si="2"/>
        <v>84.455999999999989</v>
      </c>
      <c r="AK85" s="38">
        <f t="shared" si="2"/>
        <v>65.326999999999998</v>
      </c>
      <c r="AL85" s="38">
        <f t="shared" si="2"/>
        <v>224.161</v>
      </c>
      <c r="AM85" s="38">
        <f t="shared" si="2"/>
        <v>120.22199999999999</v>
      </c>
      <c r="AN85" s="38">
        <f t="shared" si="2"/>
        <v>281.42600000000004</v>
      </c>
      <c r="AO85" s="38">
        <f t="shared" si="2"/>
        <v>41.662999999999997</v>
      </c>
      <c r="AP85" s="38">
        <f t="shared" si="2"/>
        <v>148.09200000000001</v>
      </c>
      <c r="AQ85" s="38">
        <f t="shared" si="2"/>
        <v>125.208</v>
      </c>
      <c r="AR85" s="38">
        <f t="shared" si="2"/>
        <v>128.71899999999999</v>
      </c>
      <c r="AS85" s="38">
        <f t="shared" si="2"/>
        <v>13.084</v>
      </c>
      <c r="AT85" s="38">
        <f t="shared" si="2"/>
        <v>284.47399999999999</v>
      </c>
      <c r="AU85" s="38">
        <f t="shared" si="2"/>
        <v>113.59100000000001</v>
      </c>
      <c r="AV85" s="38">
        <f t="shared" si="2"/>
        <v>59.031999999999996</v>
      </c>
      <c r="AW85" s="38">
        <f t="shared" si="2"/>
        <v>4098.0159999999996</v>
      </c>
      <c r="AX85" s="38">
        <f t="shared" si="2"/>
        <v>3195.5430000000001</v>
      </c>
      <c r="AY85" s="38">
        <f t="shared" si="2"/>
        <v>260.11500000000001</v>
      </c>
      <c r="AZ85" s="38">
        <f t="shared" si="2"/>
        <v>133.995</v>
      </c>
      <c r="BA85" s="38">
        <f t="shared" si="2"/>
        <v>1656.2740000000001</v>
      </c>
      <c r="BB85" s="38">
        <f t="shared" si="2"/>
        <v>1116.838</v>
      </c>
      <c r="BC85" s="38">
        <f t="shared" si="2"/>
        <v>1390.163</v>
      </c>
      <c r="BD85" s="38">
        <f t="shared" si="2"/>
        <v>689.22</v>
      </c>
      <c r="BE85" s="38">
        <f t="shared" si="2"/>
        <v>378.423</v>
      </c>
      <c r="BF85" s="38">
        <f t="shared" si="2"/>
        <v>21.561000000000003</v>
      </c>
      <c r="BG85" s="38">
        <f t="shared" si="2"/>
        <v>1370.5440000000001</v>
      </c>
      <c r="BH85" s="38">
        <f t="shared" si="2"/>
        <v>226.42499999999998</v>
      </c>
      <c r="BI85" s="38">
        <f t="shared" si="2"/>
        <v>533.15199999999993</v>
      </c>
      <c r="BJ85" s="38">
        <f t="shared" si="2"/>
        <v>186.72</v>
      </c>
      <c r="BK85" s="38">
        <f t="shared" si="2"/>
        <v>446.30799999999999</v>
      </c>
      <c r="BL85" s="38">
        <f t="shared" si="2"/>
        <v>117.90499999999999</v>
      </c>
      <c r="BM85" s="38">
        <f t="shared" si="2"/>
        <v>88.686999999999998</v>
      </c>
      <c r="BN85" s="38">
        <f t="shared" si="2"/>
        <v>595.23400000000004</v>
      </c>
      <c r="BO85" s="38">
        <f t="shared" si="2"/>
        <v>807.21100000000001</v>
      </c>
      <c r="BP85" s="38">
        <f t="shared" ref="BP85:CD85" si="3">SUM(BP5:BP84)</f>
        <v>260.21800000000002</v>
      </c>
      <c r="BQ85" s="38">
        <f t="shared" si="3"/>
        <v>135.42099999999999</v>
      </c>
      <c r="BR85" s="38">
        <f t="shared" si="3"/>
        <v>530.65</v>
      </c>
      <c r="BS85" s="38">
        <f t="shared" si="3"/>
        <v>231.44400000000002</v>
      </c>
      <c r="BT85" s="38">
        <f t="shared" si="3"/>
        <v>988.76599999999996</v>
      </c>
      <c r="BU85" s="38">
        <f t="shared" si="3"/>
        <v>2440.308</v>
      </c>
      <c r="BV85" s="38">
        <f t="shared" si="3"/>
        <v>1085.8440000000003</v>
      </c>
      <c r="BW85" s="38">
        <f t="shared" si="3"/>
        <v>483.1</v>
      </c>
      <c r="BX85" s="38">
        <f t="shared" si="3"/>
        <v>106.94199999999999</v>
      </c>
      <c r="BY85" s="38">
        <f t="shared" si="3"/>
        <v>49.438000000000002</v>
      </c>
      <c r="BZ85" s="38">
        <f t="shared" si="3"/>
        <v>277.96199999999999</v>
      </c>
      <c r="CA85" s="38">
        <f t="shared" si="3"/>
        <v>662.52099999999996</v>
      </c>
      <c r="CB85" s="38">
        <f t="shared" si="3"/>
        <v>62.42</v>
      </c>
      <c r="CC85" s="38">
        <f t="shared" si="3"/>
        <v>0</v>
      </c>
      <c r="CD85" s="64">
        <f t="shared" si="3"/>
        <v>0</v>
      </c>
      <c r="CE85" s="38">
        <f>SUM(CE5:CE84)</f>
        <v>36361.057000000008</v>
      </c>
      <c r="CF85" s="23"/>
      <c r="CG85" s="23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Supply</vt:lpstr>
      <vt:lpstr>Use</vt:lpstr>
      <vt:lpstr>Domestic 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Balint Van</dc:creator>
  <cp:lastModifiedBy>NISR</cp:lastModifiedBy>
  <dcterms:created xsi:type="dcterms:W3CDTF">2025-11-21T08:52:30Z</dcterms:created>
  <dcterms:modified xsi:type="dcterms:W3CDTF">2026-02-13T16:19:37Z</dcterms:modified>
</cp:coreProperties>
</file>