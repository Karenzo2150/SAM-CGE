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ISR\"/>
    </mc:Choice>
  </mc:AlternateContent>
  <xr:revisionPtr revIDLastSave="0" documentId="8_{9EF60276-F029-4842-908A-37FFD32D48C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CFA" sheetId="5" r:id="rId1"/>
    <sheet name="IC matrix" sheetId="7" r:id="rId2"/>
    <sheet name="Make" sheetId="3" r:id="rId3"/>
  </sheets>
  <definedNames>
    <definedName name="_xlnm._FilterDatabase" localSheetId="0" hidden="1">CFA!$A$3:$X$3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3" l="1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4" i="3"/>
  <c r="D63" i="3"/>
  <c r="D62" i="3"/>
  <c r="D61" i="3"/>
  <c r="D60" i="3"/>
  <c r="D59" i="3"/>
  <c r="D58" i="3"/>
  <c r="D57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7" i="3"/>
  <c r="D36" i="3"/>
  <c r="D35" i="3"/>
  <c r="D34" i="3"/>
  <c r="D33" i="3"/>
  <c r="D32" i="3"/>
  <c r="D31" i="3"/>
  <c r="D30" i="3"/>
  <c r="D29" i="3"/>
  <c r="BS6" i="3"/>
  <c r="D28" i="3"/>
  <c r="D27" i="3"/>
  <c r="D26" i="3"/>
  <c r="D25" i="3"/>
  <c r="D24" i="3"/>
  <c r="D23" i="3"/>
  <c r="D22" i="3"/>
  <c r="D21" i="3"/>
  <c r="D20" i="3"/>
  <c r="D19" i="3"/>
  <c r="D18" i="3"/>
  <c r="D16" i="3"/>
  <c r="D15" i="3"/>
  <c r="D14" i="3"/>
  <c r="D13" i="3"/>
  <c r="D12" i="3"/>
  <c r="D11" i="3"/>
  <c r="D10" i="3"/>
  <c r="CD6" i="3"/>
  <c r="CA6" i="3"/>
  <c r="BZ6" i="3"/>
  <c r="BY6" i="3"/>
  <c r="BW6" i="3"/>
  <c r="BO6" i="3"/>
  <c r="BM6" i="3"/>
  <c r="BF6" i="3"/>
  <c r="BB6" i="3"/>
  <c r="BA6" i="3"/>
  <c r="AT6" i="3"/>
  <c r="AQ6" i="3"/>
  <c r="AO6" i="3"/>
  <c r="AL6" i="3"/>
  <c r="AE6" i="3"/>
  <c r="AD6" i="3"/>
  <c r="Z6" i="3"/>
  <c r="V6" i="3"/>
  <c r="S6" i="3"/>
  <c r="O6" i="3"/>
  <c r="G6" i="3"/>
  <c r="D9" i="3"/>
  <c r="BX6" i="3"/>
  <c r="BU6" i="3"/>
  <c r="BT6" i="3"/>
  <c r="BN6" i="3"/>
  <c r="BL6" i="3"/>
  <c r="BI6" i="3"/>
  <c r="BH6" i="3"/>
  <c r="BG6" i="3"/>
  <c r="BD6" i="3"/>
  <c r="AZ6" i="3"/>
  <c r="AW6" i="3"/>
  <c r="AV6" i="3"/>
  <c r="AU6" i="3"/>
  <c r="AN6" i="3"/>
  <c r="AK6" i="3"/>
  <c r="AJ6" i="3"/>
  <c r="AI6" i="3"/>
  <c r="AC6" i="3"/>
  <c r="AB6" i="3"/>
  <c r="Y6" i="3"/>
  <c r="X6" i="3"/>
  <c r="W6" i="3"/>
  <c r="R6" i="3"/>
  <c r="Q6" i="3"/>
  <c r="P6" i="3"/>
  <c r="L6" i="3"/>
  <c r="I6" i="3"/>
  <c r="H6" i="3"/>
  <c r="F6" i="3"/>
  <c r="CC6" i="3"/>
  <c r="BE6" i="3"/>
  <c r="AG6" i="3"/>
  <c r="J6" i="3"/>
  <c r="AH6" i="3"/>
  <c r="AP6" i="3"/>
  <c r="AX6" i="3"/>
  <c r="BV6" i="3"/>
  <c r="D55" i="3"/>
  <c r="AA6" i="3"/>
  <c r="AY6" i="3"/>
  <c r="BP6" i="3"/>
  <c r="D56" i="3"/>
  <c r="AR6" i="3"/>
  <c r="U6" i="3"/>
  <c r="AS6" i="3"/>
  <c r="M6" i="3"/>
  <c r="N6" i="3"/>
  <c r="BJ6" i="3"/>
  <c r="D65" i="3"/>
  <c r="D17" i="3"/>
  <c r="BK6" i="3"/>
  <c r="T6" i="3"/>
  <c r="BQ6" i="3"/>
  <c r="BR6" i="3"/>
  <c r="AM6" i="3"/>
  <c r="BC6" i="3"/>
  <c r="AF6" i="3"/>
  <c r="CB6" i="3"/>
  <c r="D86" i="3"/>
  <c r="D38" i="3"/>
  <c r="K6" i="3" l="1"/>
  <c r="E6" i="3"/>
  <c r="D8" i="3"/>
  <c r="D6" i="3" s="1"/>
  <c r="D51" i="7" l="1"/>
  <c r="D49" i="7" l="1"/>
  <c r="E6" i="7"/>
  <c r="D8" i="7"/>
  <c r="D66" i="7"/>
  <c r="I6" i="7"/>
  <c r="D86" i="7"/>
  <c r="T6" i="7"/>
  <c r="D64" i="7"/>
  <c r="D46" i="7"/>
  <c r="D54" i="7"/>
  <c r="AG6" i="7"/>
  <c r="D82" i="7"/>
  <c r="BB6" i="7"/>
  <c r="H6" i="7"/>
  <c r="BF6" i="7"/>
  <c r="D75" i="7"/>
  <c r="D43" i="7"/>
  <c r="AH6" i="7"/>
  <c r="D21" i="7"/>
  <c r="D24" i="7"/>
  <c r="BZ6" i="7"/>
  <c r="D25" i="7"/>
  <c r="BE6" i="7"/>
  <c r="AM6" i="7"/>
  <c r="D73" i="7"/>
  <c r="D56" i="7"/>
  <c r="D47" i="7"/>
  <c r="D36" i="7"/>
  <c r="D55" i="7"/>
  <c r="D50" i="7"/>
  <c r="AA6" i="7"/>
  <c r="D57" i="7"/>
  <c r="D61" i="7"/>
  <c r="D45" i="7"/>
  <c r="AR6" i="7"/>
  <c r="BX6" i="7"/>
  <c r="BN6" i="7"/>
  <c r="AY6" i="7"/>
  <c r="AO6" i="7"/>
  <c r="AC6" i="7"/>
  <c r="R6" i="7"/>
  <c r="F6" i="7"/>
  <c r="D52" i="7"/>
  <c r="AQ6" i="7"/>
  <c r="D16" i="7"/>
  <c r="D71" i="7"/>
  <c r="AS6" i="7"/>
  <c r="AZ6" i="7"/>
  <c r="D37" i="7"/>
  <c r="BD6" i="7"/>
  <c r="D22" i="7"/>
  <c r="D19" i="7"/>
  <c r="D18" i="7"/>
  <c r="D13" i="7"/>
  <c r="D12" i="7"/>
  <c r="D9" i="7"/>
  <c r="BT6" i="7"/>
  <c r="BL6" i="7"/>
  <c r="AU6" i="7"/>
  <c r="AN6" i="7"/>
  <c r="AB6" i="7"/>
  <c r="P6" i="7"/>
  <c r="D85" i="7"/>
  <c r="D35" i="7"/>
  <c r="D70" i="7"/>
  <c r="BP6" i="7"/>
  <c r="D59" i="7"/>
  <c r="AE6" i="7"/>
  <c r="D32" i="7"/>
  <c r="D33" i="7"/>
  <c r="CA6" i="7"/>
  <c r="BG6" i="7"/>
  <c r="AT6" i="7"/>
  <c r="AI6" i="7"/>
  <c r="V6" i="7"/>
  <c r="J6" i="7"/>
  <c r="D67" i="7"/>
  <c r="D77" i="7"/>
  <c r="Q6" i="7"/>
  <c r="D29" i="7"/>
  <c r="D20" i="7"/>
  <c r="D17" i="7"/>
  <c r="D10" i="7"/>
  <c r="BW6" i="7"/>
  <c r="BK6" i="7"/>
  <c r="AW6" i="7"/>
  <c r="AJ6" i="7"/>
  <c r="W6" i="7"/>
  <c r="K6" i="7"/>
  <c r="D84" i="7"/>
  <c r="D83" i="7"/>
  <c r="D81" i="7"/>
  <c r="D80" i="7"/>
  <c r="D74" i="7"/>
  <c r="AP6" i="7"/>
  <c r="D28" i="7"/>
  <c r="D11" i="7"/>
  <c r="BV6" i="7"/>
  <c r="BJ6" i="7"/>
  <c r="AX6" i="7"/>
  <c r="AL6" i="7"/>
  <c r="Z6" i="7"/>
  <c r="M6" i="7"/>
  <c r="BY6" i="7"/>
  <c r="BM6" i="7"/>
  <c r="BA6" i="7"/>
  <c r="AK6" i="7"/>
  <c r="X6" i="7"/>
  <c r="L6" i="7"/>
  <c r="D78" i="7"/>
  <c r="D15" i="7"/>
  <c r="CB6" i="7"/>
  <c r="O6" i="7"/>
  <c r="D58" i="7"/>
  <c r="D44" i="7"/>
  <c r="D41" i="7"/>
  <c r="BO6" i="7"/>
  <c r="D34" i="7"/>
  <c r="CC6" i="7"/>
  <c r="D72" i="7"/>
  <c r="D68" i="7"/>
  <c r="D63" i="7"/>
  <c r="D42" i="7"/>
  <c r="D38" i="7"/>
  <c r="BS6" i="7"/>
  <c r="AD6" i="7"/>
  <c r="D79" i="7"/>
  <c r="D30" i="7"/>
  <c r="AV6" i="7"/>
  <c r="G6" i="7"/>
  <c r="D31" i="7"/>
  <c r="U6" i="7"/>
  <c r="BH6" i="7"/>
  <c r="Y6" i="7"/>
  <c r="BC6" i="7"/>
  <c r="D27" i="7"/>
  <c r="D48" i="7"/>
  <c r="N6" i="7"/>
  <c r="BQ6" i="7"/>
  <c r="D62" i="7"/>
  <c r="D69" i="7"/>
  <c r="D65" i="7"/>
  <c r="CE6" i="7"/>
  <c r="S6" i="7"/>
  <c r="BR6" i="7"/>
  <c r="D76" i="7"/>
  <c r="D60" i="7"/>
  <c r="D40" i="7"/>
  <c r="AF6" i="7"/>
  <c r="D26" i="7"/>
  <c r="D23" i="7"/>
  <c r="BU6" i="7"/>
  <c r="D53" i="7"/>
  <c r="D39" i="7"/>
  <c r="D14" i="7"/>
  <c r="CD6" i="7"/>
  <c r="BI6" i="7"/>
  <c r="D6" i="7" l="1"/>
</calcChain>
</file>

<file path=xl/sharedStrings.xml><?xml version="1.0" encoding="utf-8"?>
<sst xmlns="http://schemas.openxmlformats.org/spreadsheetml/2006/main" count="1051" uniqueCount="292">
  <si>
    <t>SUT Part C:  Intermediate consumption matrix</t>
  </si>
  <si>
    <t>by product</t>
  </si>
  <si>
    <t>Billions of FRW</t>
  </si>
  <si>
    <t>Cereals</t>
  </si>
  <si>
    <t>Roots and Tubers</t>
  </si>
  <si>
    <t>Vegetables</t>
  </si>
  <si>
    <t>Bananas and fruit</t>
  </si>
  <si>
    <t>Oil seeds n.e.c. and oleaginous fruit</t>
  </si>
  <si>
    <t>Coffee</t>
  </si>
  <si>
    <t>Tea (unprocessed green leaf)</t>
  </si>
  <si>
    <t>Other agricultural products</t>
  </si>
  <si>
    <t>Livestock</t>
  </si>
  <si>
    <t>Livestock and hunting products</t>
  </si>
  <si>
    <t>Forestry products</t>
  </si>
  <si>
    <t>Fishery products</t>
  </si>
  <si>
    <t>Natural gas</t>
  </si>
  <si>
    <t>Metal ores</t>
  </si>
  <si>
    <t>Quarry &amp; other mining products</t>
  </si>
  <si>
    <t>Meat and meat products</t>
  </si>
  <si>
    <t>Prepared and preserved fish</t>
  </si>
  <si>
    <t>Prepared and preserved vegetables</t>
  </si>
  <si>
    <t>Animal and vegetable oils and fats</t>
  </si>
  <si>
    <t>Dairy products</t>
  </si>
  <si>
    <t>Grain mill products</t>
  </si>
  <si>
    <t>Bakery products</t>
  </si>
  <si>
    <t>Animal feed &amp; other by-products</t>
  </si>
  <si>
    <t>Other manufactured food products</t>
  </si>
  <si>
    <t>Alcoholic drinks</t>
  </si>
  <si>
    <t>Soft drinks</t>
  </si>
  <si>
    <t>Tobacco products</t>
  </si>
  <si>
    <t>Textiles, clothing &amp; leather products</t>
  </si>
  <si>
    <t>Wood, paper and related products</t>
  </si>
  <si>
    <t>Printing and reproduction of recorded media</t>
  </si>
  <si>
    <t>Coke and refined petroleum products</t>
  </si>
  <si>
    <t>Chemicals and chemical products</t>
  </si>
  <si>
    <t>Pharmaceutical products</t>
  </si>
  <si>
    <t>Rubber and plastics products</t>
  </si>
  <si>
    <t>Non-metallic mineral products n.e.c.</t>
  </si>
  <si>
    <t>Manufacture of cement, lime and plaster</t>
  </si>
  <si>
    <t>Manufacture of clay building materials</t>
  </si>
  <si>
    <t>Metals &amp; metal products, except machinery and equipment</t>
  </si>
  <si>
    <t>Machinery and equipment (except transport)</t>
  </si>
  <si>
    <t>Transport equipment</t>
  </si>
  <si>
    <t>Furniture</t>
  </si>
  <si>
    <t>Other manufacturing</t>
  </si>
  <si>
    <t>Repair and installation of machinery and equipment</t>
  </si>
  <si>
    <t>Electricity, gas, steam and air conditioning supply</t>
  </si>
  <si>
    <t>Water collection, treatment and supply: sewrage</t>
  </si>
  <si>
    <t>Waste collection and management</t>
  </si>
  <si>
    <t>Construction (modern)</t>
  </si>
  <si>
    <t>Construction (traditional)</t>
  </si>
  <si>
    <t>Maintenance and repair of motor vehicles</t>
  </si>
  <si>
    <t>Wholesale and retail trade of motor vehicles and motorcycles</t>
  </si>
  <si>
    <t>Wholesale trade, except of motor vehicles and motorcycles</t>
  </si>
  <si>
    <t>Retail trade, except of motor vehicles and motorcycles</t>
  </si>
  <si>
    <t>Land transport</t>
  </si>
  <si>
    <t>Air transport</t>
  </si>
  <si>
    <t xml:space="preserve">Services related to transport </t>
  </si>
  <si>
    <t>Postal and courier activities</t>
  </si>
  <si>
    <t>Hotels &amp; restaurants</t>
  </si>
  <si>
    <t>Publishing, video making, programming &amp; broadcasting activities</t>
  </si>
  <si>
    <t>Telecommunication</t>
  </si>
  <si>
    <t>Information technology services</t>
  </si>
  <si>
    <t>Monetary institutions</t>
  </si>
  <si>
    <t>Insurance, reinsurance and pension funding, except compulsory social security</t>
  </si>
  <si>
    <t>Other financial services</t>
  </si>
  <si>
    <t>Rental value of dwellings</t>
  </si>
  <si>
    <t>Other real estate activities</t>
  </si>
  <si>
    <t>Legal, accounting management &amp; head office activities</t>
  </si>
  <si>
    <t>Architectural and engineering activities</t>
  </si>
  <si>
    <t>Other professional, scientific and technical activities</t>
  </si>
  <si>
    <t>Travel agents and tour operators</t>
  </si>
  <si>
    <t>Other administrative and support service activities</t>
  </si>
  <si>
    <t>Public administration and defence; compulsory social security</t>
  </si>
  <si>
    <t>Education</t>
  </si>
  <si>
    <t>Human health activities</t>
  </si>
  <si>
    <t>Social work activities</t>
  </si>
  <si>
    <t>Libraries, archives, museums and other cultural activities</t>
  </si>
  <si>
    <t>Other arts, entertainment and recreation</t>
  </si>
  <si>
    <t>Other service activities</t>
  </si>
  <si>
    <t>Domestic services</t>
  </si>
  <si>
    <t>Travel debits &amp; credits</t>
  </si>
  <si>
    <t>Labels</t>
  </si>
  <si>
    <t>RCPA</t>
  </si>
  <si>
    <t>A11</t>
  </si>
  <si>
    <t>A12</t>
  </si>
  <si>
    <t>A13</t>
  </si>
  <si>
    <t>A14</t>
  </si>
  <si>
    <t>A15</t>
  </si>
  <si>
    <t>A21</t>
  </si>
  <si>
    <t>A22</t>
  </si>
  <si>
    <t>A29</t>
  </si>
  <si>
    <t>A31</t>
  </si>
  <si>
    <t>A32</t>
  </si>
  <si>
    <t>A40</t>
  </si>
  <si>
    <t>A50</t>
  </si>
  <si>
    <t>B01</t>
  </si>
  <si>
    <t>B03</t>
  </si>
  <si>
    <t>B09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</si>
  <si>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</si>
  <si>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</si>
  <si>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</si>
  <si>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</si>
  <si>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</si>
  <si>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</si>
  <si>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</si>
  <si>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</si>
  <si>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</si>
  <si>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</si>
  <si>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C22</t>
  </si>
  <si>
    <t>C23</t>
  </si>
  <si>
    <t>C30</t>
  </si>
  <si>
    <t>C41</t>
  </si>
  <si>
    <t>C42</t>
  </si>
  <si>
    <t>C51</t>
  </si>
  <si>
    <t>C52</t>
  </si>
  <si>
    <t>C53</t>
  </si>
  <si>
    <t>C54</t>
  </si>
  <si>
    <t>C61</t>
  </si>
  <si>
    <t>C62</t>
  </si>
  <si>
    <t>C63</t>
  </si>
  <si>
    <t>C72</t>
  </si>
  <si>
    <t>C74</t>
  </si>
  <si>
    <t>C76</t>
  </si>
  <si>
    <t>C81</t>
  </si>
  <si>
    <t>C82</t>
  </si>
  <si>
    <t>C83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</si>
  <si>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</si>
  <si>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</si>
  <si>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</si>
  <si>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</si>
  <si>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</si>
  <si>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</si>
  <si>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</si>
  <si>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</si>
  <si>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</si>
  <si>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</si>
  <si>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</si>
  <si>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</si>
  <si>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</si>
  <si>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</si>
  <si>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</si>
  <si>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</si>
  <si>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</si>
  <si>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</si>
  <si>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</si>
  <si>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</si>
  <si>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</si>
  <si>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</si>
  <si>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</si>
  <si>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</si>
  <si>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</si>
  <si>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</si>
  <si>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</si>
  <si>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</si>
  <si>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</si>
  <si>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</si>
  <si>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</si>
  <si>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</si>
  <si>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</si>
  <si>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</si>
  <si>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</si>
  <si>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</si>
  <si>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TOTAL</t>
  </si>
  <si>
    <t>Activity</t>
  </si>
  <si>
    <t>Product</t>
  </si>
  <si>
    <t>Domestic Production</t>
  </si>
  <si>
    <t>Imports of Goods &amp; Services</t>
  </si>
  <si>
    <t>Margins</t>
  </si>
  <si>
    <t>Taxes on products less Subsidies on products</t>
  </si>
  <si>
    <t>Total Supply</t>
  </si>
  <si>
    <t>Intermediate Demand</t>
  </si>
  <si>
    <t>Household Final Consumption Expenditure</t>
  </si>
  <si>
    <t>General Government and NGO Final Consumption Expenditure</t>
  </si>
  <si>
    <t>Gross Capital Formation</t>
  </si>
  <si>
    <t>Exports of Goods &amp; Services</t>
  </si>
  <si>
    <t>Total Demand</t>
  </si>
  <si>
    <t>Total</t>
  </si>
  <si>
    <t>X00</t>
  </si>
  <si>
    <t>Unallocated products</t>
  </si>
  <si>
    <t>A111</t>
  </si>
  <si>
    <t>Sorghum</t>
  </si>
  <si>
    <t>A112</t>
  </si>
  <si>
    <t>Maize</t>
  </si>
  <si>
    <t>A113</t>
  </si>
  <si>
    <t>Wheat</t>
  </si>
  <si>
    <t>A116</t>
  </si>
  <si>
    <t>Paddy &amp; husked rice</t>
  </si>
  <si>
    <t>A119</t>
  </si>
  <si>
    <t>Other cereals</t>
  </si>
  <si>
    <t>A121</t>
  </si>
  <si>
    <t>Irish potatoes</t>
  </si>
  <si>
    <t>A122</t>
  </si>
  <si>
    <t>Sweet potatoes</t>
  </si>
  <si>
    <t>A123</t>
  </si>
  <si>
    <t>Cassava</t>
  </si>
  <si>
    <t>A129</t>
  </si>
  <si>
    <t>Other roots &amp; tubers</t>
  </si>
  <si>
    <t>A131</t>
  </si>
  <si>
    <t xml:space="preserve">Dried beans </t>
  </si>
  <si>
    <t>A132</t>
  </si>
  <si>
    <t>Peas &amp; other legumes</t>
  </si>
  <si>
    <t>A139</t>
  </si>
  <si>
    <t>Other vegetables</t>
  </si>
  <si>
    <t>A141</t>
  </si>
  <si>
    <t>Bananas for beer</t>
  </si>
  <si>
    <t>A142</t>
  </si>
  <si>
    <t>Bananas for cooking</t>
  </si>
  <si>
    <t>A143</t>
  </si>
  <si>
    <t>Bananas (sweet)</t>
  </si>
  <si>
    <t>A149</t>
  </si>
  <si>
    <t>Other fruit &amp; nuts</t>
  </si>
  <si>
    <t>A151</t>
  </si>
  <si>
    <t>Ground nuts</t>
  </si>
  <si>
    <t>A152</t>
  </si>
  <si>
    <t>Soya</t>
  </si>
  <si>
    <t>A159</t>
  </si>
  <si>
    <t>Other oil seeds</t>
  </si>
  <si>
    <t>A210</t>
  </si>
  <si>
    <t>Coffee, not roasted, not decaffeinated</t>
  </si>
  <si>
    <t>A220</t>
  </si>
  <si>
    <t>A291</t>
  </si>
  <si>
    <t>Tobacco, raw</t>
  </si>
  <si>
    <t>A292</t>
  </si>
  <si>
    <t>Sugar cane</t>
  </si>
  <si>
    <t>A293</t>
  </si>
  <si>
    <t>Pyrethrum</t>
  </si>
  <si>
    <t>A299</t>
  </si>
  <si>
    <t>Agricultural products n.e.c.</t>
  </si>
  <si>
    <t>A311</t>
  </si>
  <si>
    <t>Bovine cattle, live</t>
  </si>
  <si>
    <t>A312</t>
  </si>
  <si>
    <t>Sheep, goats, pigs,live</t>
  </si>
  <si>
    <t>A313</t>
  </si>
  <si>
    <t>Poultry, live</t>
  </si>
  <si>
    <t>A319</t>
  </si>
  <si>
    <t>Other live animals</t>
  </si>
  <si>
    <t>A321</t>
  </si>
  <si>
    <t>Raw milk</t>
  </si>
  <si>
    <t>A322</t>
  </si>
  <si>
    <t>Eggs</t>
  </si>
  <si>
    <t>A323</t>
  </si>
  <si>
    <t>Natural honey</t>
  </si>
  <si>
    <t>A329</t>
  </si>
  <si>
    <t>Other livestock &amp; hunting products</t>
  </si>
  <si>
    <t>A401</t>
  </si>
  <si>
    <t>Fuel wood</t>
  </si>
  <si>
    <t>A402</t>
  </si>
  <si>
    <t>Charcoal</t>
  </si>
  <si>
    <t>A409</t>
  </si>
  <si>
    <t>Other forestry products</t>
  </si>
  <si>
    <t>A500</t>
  </si>
  <si>
    <t>SUT Part D:  Make matrix</t>
  </si>
  <si>
    <t>A1</t>
  </si>
  <si>
    <t>A2</t>
  </si>
  <si>
    <t>A3</t>
  </si>
  <si>
    <t>A4</t>
  </si>
  <si>
    <t>A5</t>
  </si>
  <si>
    <t>B0</t>
  </si>
  <si>
    <t>C1</t>
  </si>
  <si>
    <t>C2</t>
  </si>
  <si>
    <t>C3</t>
  </si>
  <si>
    <t>C4</t>
  </si>
  <si>
    <t>C5</t>
  </si>
  <si>
    <t>C6</t>
  </si>
  <si>
    <t>C7</t>
  </si>
  <si>
    <t>C8</t>
  </si>
  <si>
    <t>D0</t>
  </si>
  <si>
    <t>E0</t>
  </si>
  <si>
    <t>F0</t>
  </si>
  <si>
    <t>G1</t>
  </si>
  <si>
    <t>G2</t>
  </si>
  <si>
    <t>H1</t>
  </si>
  <si>
    <t>H2</t>
  </si>
  <si>
    <t>H3</t>
  </si>
  <si>
    <t>I0</t>
  </si>
  <si>
    <t>J1</t>
  </si>
  <si>
    <t>J2</t>
  </si>
  <si>
    <t>J3</t>
  </si>
  <si>
    <t>K0</t>
  </si>
  <si>
    <t>L0</t>
  </si>
  <si>
    <t>M0</t>
  </si>
  <si>
    <t>N0</t>
  </si>
  <si>
    <t>O0</t>
  </si>
  <si>
    <t>P0</t>
  </si>
  <si>
    <t>Q0</t>
  </si>
  <si>
    <t>R0</t>
  </si>
  <si>
    <t>S0</t>
  </si>
  <si>
    <t>T0</t>
  </si>
  <si>
    <t>V0</t>
  </si>
  <si>
    <t>Source: NISR Supply Use Table 2024</t>
  </si>
  <si>
    <t>Table 1: Summary Supply and Use Table: Rwanda 2024, RWF 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</si>
</sst>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\-* #,##0.00_-;_-* &quot;-&quot;??_-;_-@_-"/>
    <numFmt numFmtId="165" formatCode="#,##0_ ;[Red]\-#,##0\ "/>
    <numFmt numFmtId="166" formatCode="_-* #,##0_-;\-* #,##0_-;_-* &quot;-&quot;??_-;_-@_-"/>
    <numFmt numFmtId="167" formatCode="_-* #,##0.0_-;\-* #,##0.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165" fontId="3" fillId="0" borderId="0" xfId="2" applyNumberFormat="1" applyFont="1"/>
    <xf numFmtId="165" fontId="3" fillId="0" borderId="0" xfId="2" applyNumberFormat="1" applyFont="1" applyAlignment="1">
      <alignment horizontal="center"/>
    </xf>
    <xf numFmtId="165" fontId="4" fillId="0" borderId="1" xfId="2" applyNumberFormat="1" applyFont="1" applyBorder="1"/>
    <xf numFmtId="165" fontId="5" fillId="0" borderId="1" xfId="2" applyNumberFormat="1" applyFont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165" fontId="6" fillId="0" borderId="0" xfId="2" applyNumberFormat="1" applyFont="1"/>
    <xf numFmtId="165" fontId="7" fillId="0" borderId="1" xfId="2" applyNumberFormat="1" applyFont="1" applyBorder="1" applyAlignment="1">
      <alignment horizontal="center" textRotation="85" wrapText="1"/>
    </xf>
    <xf numFmtId="165" fontId="7" fillId="0" borderId="2" xfId="2" applyNumberFormat="1" applyFont="1" applyBorder="1" applyAlignment="1">
      <alignment horizontal="center" textRotation="85" wrapText="1"/>
    </xf>
    <xf numFmtId="165" fontId="5" fillId="0" borderId="2" xfId="2" applyNumberFormat="1" applyFont="1" applyBorder="1" applyAlignment="1">
      <alignment wrapText="1"/>
    </xf>
    <xf numFmtId="165" fontId="5" fillId="0" borderId="2" xfId="2" applyNumberFormat="1" applyFont="1" applyBorder="1" applyAlignment="1">
      <alignment horizontal="center" wrapText="1"/>
    </xf>
    <xf numFmtId="165" fontId="5" fillId="0" borderId="0" xfId="2" applyNumberFormat="1" applyFont="1"/>
    <xf numFmtId="165" fontId="5" fillId="2" borderId="0" xfId="2" applyNumberFormat="1" applyFont="1" applyFill="1"/>
    <xf numFmtId="165" fontId="5" fillId="2" borderId="0" xfId="2" applyNumberFormat="1" applyFont="1" applyFill="1" applyAlignment="1">
      <alignment horizontal="center"/>
    </xf>
    <xf numFmtId="166" fontId="5" fillId="2" borderId="0" xfId="1" applyNumberFormat="1" applyFont="1" applyFill="1" applyAlignment="1">
      <alignment horizontal="center"/>
    </xf>
    <xf numFmtId="166" fontId="5" fillId="0" borderId="0" xfId="1" applyNumberFormat="1" applyFont="1" applyAlignment="1">
      <alignment horizontal="center"/>
    </xf>
    <xf numFmtId="165" fontId="7" fillId="0" borderId="0" xfId="2" applyNumberFormat="1" applyFont="1"/>
    <xf numFmtId="0" fontId="1" fillId="0" borderId="0" xfId="0" applyFont="1" applyAlignment="1">
      <alignment horizontal="center"/>
    </xf>
    <xf numFmtId="166" fontId="1" fillId="0" borderId="0" xfId="1" applyNumberFormat="1" applyFont="1" applyAlignment="1">
      <alignment horizontal="center"/>
    </xf>
    <xf numFmtId="165" fontId="5" fillId="0" borderId="1" xfId="2" applyNumberFormat="1" applyFont="1" applyBorder="1"/>
    <xf numFmtId="165" fontId="7" fillId="0" borderId="0" xfId="2" applyNumberFormat="1" applyFont="1" applyAlignment="1">
      <alignment horizontal="center"/>
    </xf>
    <xf numFmtId="0" fontId="8" fillId="0" borderId="0" xfId="0" applyFont="1"/>
    <xf numFmtId="0" fontId="9" fillId="3" borderId="0" xfId="0" applyFont="1" applyFill="1"/>
    <xf numFmtId="0" fontId="8" fillId="3" borderId="0" xfId="0" applyFont="1" applyFill="1"/>
    <xf numFmtId="0" fontId="10" fillId="3" borderId="0" xfId="0" applyFont="1" applyFill="1"/>
    <xf numFmtId="166" fontId="10" fillId="3" borderId="0" xfId="0" applyNumberFormat="1" applyFont="1" applyFill="1"/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0" borderId="0" xfId="0" applyFont="1"/>
    <xf numFmtId="0" fontId="10" fillId="3" borderId="7" xfId="0" applyFont="1" applyFill="1" applyBorder="1"/>
    <xf numFmtId="0" fontId="10" fillId="3" borderId="4" xfId="0" applyFont="1" applyFill="1" applyBorder="1"/>
    <xf numFmtId="166" fontId="10" fillId="3" borderId="4" xfId="0" applyNumberFormat="1" applyFont="1" applyFill="1" applyBorder="1"/>
    <xf numFmtId="0" fontId="10" fillId="3" borderId="5" xfId="0" applyFont="1" applyFill="1" applyBorder="1"/>
    <xf numFmtId="0" fontId="8" fillId="3" borderId="8" xfId="0" applyFont="1" applyFill="1" applyBorder="1"/>
    <xf numFmtId="166" fontId="8" fillId="3" borderId="0" xfId="1" applyNumberFormat="1" applyFont="1" applyFill="1" applyBorder="1"/>
    <xf numFmtId="166" fontId="10" fillId="3" borderId="10" xfId="0" applyNumberFormat="1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0" fontId="8" fillId="4" borderId="8" xfId="0" applyFont="1" applyFill="1" applyBorder="1" applyAlignment="1">
      <alignment horizontal="left"/>
    </xf>
    <xf numFmtId="0" fontId="8" fillId="4" borderId="0" xfId="0" applyFont="1" applyFill="1" applyAlignment="1">
      <alignment horizontal="left" indent="3"/>
    </xf>
    <xf numFmtId="164" fontId="0" fillId="0" borderId="0" xfId="0" applyNumberFormat="1"/>
    <xf numFmtId="0" fontId="10" fillId="3" borderId="8" xfId="0" applyFont="1" applyFill="1" applyBorder="1"/>
    <xf numFmtId="166" fontId="10" fillId="0" borderId="0" xfId="0" applyNumberFormat="1" applyFont="1"/>
    <xf numFmtId="0" fontId="8" fillId="0" borderId="10" xfId="0" applyFont="1" applyBorder="1"/>
    <xf numFmtId="164" fontId="8" fillId="0" borderId="0" xfId="0" applyNumberFormat="1" applyFont="1"/>
    <xf numFmtId="164" fontId="8" fillId="0" borderId="0" xfId="1" applyFont="1"/>
    <xf numFmtId="166" fontId="0" fillId="0" borderId="0" xfId="0" applyNumberFormat="1"/>
    <xf numFmtId="167" fontId="10" fillId="3" borderId="10" xfId="0" applyNumberFormat="1" applyFont="1" applyFill="1" applyBorder="1"/>
    <xf numFmtId="167" fontId="10" fillId="3" borderId="0" xfId="0" applyNumberFormat="1" applyFont="1" applyFill="1"/>
    <xf numFmtId="167" fontId="10" fillId="3" borderId="9" xfId="0" applyNumberFormat="1" applyFont="1" applyFill="1" applyBorder="1"/>
    <xf numFmtId="167" fontId="0" fillId="0" borderId="0" xfId="0" applyNumberFormat="1"/>
    <xf numFmtId="167" fontId="0" fillId="0" borderId="9" xfId="0" applyNumberFormat="1" applyBorder="1"/>
    <xf numFmtId="167" fontId="12" fillId="0" borderId="0" xfId="0" applyNumberFormat="1" applyFont="1"/>
    <xf numFmtId="167" fontId="8" fillId="3" borderId="9" xfId="0" applyNumberFormat="1" applyFont="1" applyFill="1" applyBorder="1"/>
    <xf numFmtId="167" fontId="0" fillId="0" borderId="12" xfId="0" applyNumberFormat="1" applyBorder="1"/>
    <xf numFmtId="167" fontId="8" fillId="3" borderId="13" xfId="0" applyNumberFormat="1" applyFont="1" applyFill="1" applyBorder="1"/>
    <xf numFmtId="167" fontId="0" fillId="0" borderId="14" xfId="0" applyNumberFormat="1" applyBorder="1"/>
    <xf numFmtId="166" fontId="8" fillId="0" borderId="0" xfId="0" applyNumberFormat="1" applyFon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1" defaultTableStyle="TableStyleMedium2" defaultPivotStyle="PivotStyleLight16">
    <tableStyle name="Invisible" pivot="0" table="0" count="0" xr9:uid="{3D427A00-8048-4929-B004-27AC7FD7FE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981F-EF2B-4D01-9323-7FCF1B4B1F77}">
  <dimension ref="A1:X122"/>
  <sheetViews>
    <sheetView tabSelected="1" zoomScale="80" zoomScaleNormal="80" workbookViewId="0">
      <pane xSplit="4" ySplit="3" topLeftCell="E4" activePane="bottomRight" state="frozen"/>
      <selection activeCell="F8" sqref="F8"/>
      <selection pane="topRight" activeCell="F8" sqref="F8"/>
      <selection pane="bottomLeft" activeCell="F8" sqref="F8"/>
      <selection pane="bottomRight" activeCell="F26" sqref="F26"/>
    </sheetView>
  </sheetViews>
  <sheetFormatPr defaultRowHeight="14.4" x14ac:dyDescent="0.3"/>
  <cols>
    <col min="1" max="2" width="5" customWidth="1"/>
    <col min="3" max="3" width="6" customWidth="1"/>
    <col min="4" max="4" width="38.77734375" customWidth="1"/>
    <col min="5" max="5" width="9.88671875" bestFit="1" customWidth="1"/>
    <col min="6" max="6" width="13.5546875" bestFit="1" customWidth="1"/>
    <col min="7" max="7" width="9.109375" bestFit="1" customWidth="1"/>
    <col min="10" max="10" width="2.21875" customWidth="1"/>
    <col min="11" max="11" width="11.33203125" customWidth="1"/>
    <col min="12" max="12" width="10.77734375" bestFit="1" customWidth="1"/>
    <col min="13" max="13" width="10.21875" bestFit="1" customWidth="1"/>
    <col min="14" max="14" width="9.5546875" bestFit="1" customWidth="1"/>
    <col min="15" max="15" width="9.109375" bestFit="1" customWidth="1"/>
    <col min="18" max="22" width="0" hidden="1" customWidth="1"/>
    <col min="23" max="24" width="10.77734375" bestFit="1" customWidth="1"/>
  </cols>
  <sheetData>
    <row r="1" spans="1:24" s="21" customFormat="1" ht="24.75" customHeight="1" x14ac:dyDescent="0.3">
      <c r="C1" s="22" t="s">
        <v>291</v>
      </c>
      <c r="D1" s="23"/>
      <c r="E1" s="23"/>
      <c r="F1" s="23"/>
      <c r="G1" s="23"/>
      <c r="H1" s="23"/>
      <c r="I1" s="24"/>
      <c r="J1" s="23"/>
      <c r="K1" s="25"/>
      <c r="L1" s="25"/>
      <c r="M1" s="23"/>
      <c r="N1" s="23"/>
      <c r="O1" s="23"/>
      <c r="P1" s="24"/>
    </row>
    <row r="2" spans="1:24" s="21" customFormat="1" ht="110.4" x14ac:dyDescent="0.3">
      <c r="A2" s="21">
        <v>6.8791072286753296</v>
      </c>
      <c r="C2" s="26" t="s">
        <v>83</v>
      </c>
      <c r="D2" s="27" t="s">
        <v>165</v>
      </c>
      <c r="E2" s="28" t="s">
        <v>166</v>
      </c>
      <c r="F2" s="28" t="s">
        <v>167</v>
      </c>
      <c r="G2" s="28" t="s">
        <v>168</v>
      </c>
      <c r="H2" s="28" t="s">
        <v>169</v>
      </c>
      <c r="I2" s="30" t="s">
        <v>170</v>
      </c>
      <c r="J2" s="29"/>
      <c r="K2" s="28" t="s">
        <v>171</v>
      </c>
      <c r="L2" s="28" t="s">
        <v>172</v>
      </c>
      <c r="M2" s="28" t="s">
        <v>173</v>
      </c>
      <c r="N2" s="28" t="s">
        <v>174</v>
      </c>
      <c r="O2" s="28" t="s">
        <v>175</v>
      </c>
      <c r="P2" s="30" t="s">
        <v>176</v>
      </c>
      <c r="R2" s="28"/>
      <c r="S2" s="28"/>
      <c r="T2" s="28"/>
      <c r="U2" s="28"/>
      <c r="V2" s="28"/>
    </row>
    <row r="3" spans="1:24" s="31" customFormat="1" ht="13.8" x14ac:dyDescent="0.3">
      <c r="C3" s="32"/>
      <c r="D3" s="33" t="s">
        <v>177</v>
      </c>
      <c r="E3" s="34">
        <v>36361.1</v>
      </c>
      <c r="F3" s="34">
        <v>8617.7999999999993</v>
      </c>
      <c r="G3" s="34">
        <v>0</v>
      </c>
      <c r="H3" s="34">
        <v>984.9</v>
      </c>
      <c r="I3" s="38">
        <v>45963.7</v>
      </c>
      <c r="J3" s="35"/>
      <c r="K3" s="34">
        <v>17427.599999999999</v>
      </c>
      <c r="L3" s="34">
        <v>12281.4</v>
      </c>
      <c r="M3" s="34">
        <v>3677.9</v>
      </c>
      <c r="N3" s="34">
        <v>6915.8</v>
      </c>
      <c r="O3" s="34">
        <v>5661</v>
      </c>
      <c r="P3" s="38">
        <v>45963.7</v>
      </c>
      <c r="Q3" s="45"/>
      <c r="R3" s="34"/>
      <c r="S3" s="34"/>
      <c r="T3" s="34"/>
      <c r="U3" s="34"/>
      <c r="V3" s="34"/>
    </row>
    <row r="4" spans="1:24" s="21" customFormat="1" ht="12.75" customHeight="1" x14ac:dyDescent="0.3">
      <c r="A4" s="21">
        <v>1</v>
      </c>
      <c r="B4" s="21">
        <v>3</v>
      </c>
      <c r="C4" s="44" t="s">
        <v>84</v>
      </c>
      <c r="D4" s="24" t="s">
        <v>3</v>
      </c>
      <c r="E4" s="51">
        <v>435.9</v>
      </c>
      <c r="F4" s="51">
        <v>170.2</v>
      </c>
      <c r="G4" s="51">
        <v>26.3</v>
      </c>
      <c r="H4" s="51">
        <v>0</v>
      </c>
      <c r="I4" s="50">
        <v>632.4</v>
      </c>
      <c r="J4" s="52"/>
      <c r="K4" s="51">
        <v>495.5</v>
      </c>
      <c r="L4" s="51">
        <v>138.80000000000001</v>
      </c>
      <c r="M4" s="51">
        <v>0</v>
      </c>
      <c r="N4" s="51">
        <v>-11.9</v>
      </c>
      <c r="O4" s="51">
        <v>10</v>
      </c>
      <c r="P4" s="50">
        <v>632.4</v>
      </c>
      <c r="Q4" s="60"/>
      <c r="R4" s="37"/>
      <c r="S4" s="37"/>
      <c r="T4" s="37"/>
      <c r="U4" s="37"/>
      <c r="V4" s="37"/>
      <c r="W4" s="47"/>
      <c r="X4" s="48"/>
    </row>
    <row r="5" spans="1:24" s="21" customFormat="1" ht="12.75" customHeight="1" x14ac:dyDescent="0.3">
      <c r="A5" s="21">
        <v>81</v>
      </c>
      <c r="B5" s="21">
        <v>4</v>
      </c>
      <c r="C5" s="41" t="s">
        <v>180</v>
      </c>
      <c r="D5" s="42" t="s">
        <v>181</v>
      </c>
      <c r="E5" s="53">
        <v>89.4</v>
      </c>
      <c r="F5" s="53">
        <v>18.7</v>
      </c>
      <c r="G5" s="53">
        <v>2.9</v>
      </c>
      <c r="H5" s="53">
        <v>0</v>
      </c>
      <c r="I5" s="50">
        <v>111</v>
      </c>
      <c r="J5" s="54"/>
      <c r="K5" s="53">
        <v>110.8</v>
      </c>
      <c r="L5" s="53">
        <v>0.9</v>
      </c>
      <c r="M5" s="53">
        <v>0</v>
      </c>
      <c r="N5" s="53">
        <v>-1.2</v>
      </c>
      <c r="O5" s="53">
        <v>0.5</v>
      </c>
      <c r="P5" s="50">
        <v>111</v>
      </c>
      <c r="Q5" s="60"/>
      <c r="R5"/>
      <c r="S5"/>
      <c r="T5"/>
      <c r="U5"/>
      <c r="V5"/>
      <c r="W5" s="47"/>
      <c r="X5" s="48"/>
    </row>
    <row r="6" spans="1:24" s="21" customFormat="1" ht="12.75" customHeight="1" x14ac:dyDescent="0.3">
      <c r="A6" s="21">
        <v>82</v>
      </c>
      <c r="B6" s="21">
        <v>4</v>
      </c>
      <c r="C6" s="41" t="s">
        <v>182</v>
      </c>
      <c r="D6" s="42" t="s">
        <v>183</v>
      </c>
      <c r="E6" s="53">
        <v>236.7</v>
      </c>
      <c r="F6" s="53">
        <v>51.6</v>
      </c>
      <c r="G6" s="53">
        <v>8</v>
      </c>
      <c r="H6" s="53">
        <v>0</v>
      </c>
      <c r="I6" s="50">
        <v>296.3</v>
      </c>
      <c r="J6" s="54"/>
      <c r="K6" s="53">
        <v>251.5</v>
      </c>
      <c r="L6" s="53">
        <v>50.8</v>
      </c>
      <c r="M6" s="53">
        <v>0</v>
      </c>
      <c r="N6" s="53">
        <v>-12.6</v>
      </c>
      <c r="O6" s="53">
        <v>6.6</v>
      </c>
      <c r="P6" s="50">
        <v>296.3</v>
      </c>
      <c r="Q6" s="60"/>
      <c r="R6"/>
      <c r="S6"/>
      <c r="T6"/>
      <c r="U6"/>
      <c r="V6"/>
      <c r="W6" s="47"/>
      <c r="X6" s="48"/>
    </row>
    <row r="7" spans="1:24" s="21" customFormat="1" ht="12.75" customHeight="1" x14ac:dyDescent="0.3">
      <c r="A7" s="21">
        <v>83</v>
      </c>
      <c r="B7" s="21">
        <v>4</v>
      </c>
      <c r="C7" s="41" t="s">
        <v>184</v>
      </c>
      <c r="D7" s="42" t="s">
        <v>185</v>
      </c>
      <c r="E7" s="53">
        <v>14.2</v>
      </c>
      <c r="F7" s="53">
        <v>94.3</v>
      </c>
      <c r="G7" s="53">
        <v>14.6</v>
      </c>
      <c r="H7" s="53">
        <v>0</v>
      </c>
      <c r="I7" s="50">
        <v>123.1</v>
      </c>
      <c r="J7" s="54"/>
      <c r="K7" s="53">
        <v>122.9</v>
      </c>
      <c r="L7" s="53">
        <v>0.1</v>
      </c>
      <c r="M7" s="53">
        <v>0</v>
      </c>
      <c r="N7" s="53">
        <v>0</v>
      </c>
      <c r="O7" s="53">
        <v>0.1</v>
      </c>
      <c r="P7" s="50">
        <v>123.1</v>
      </c>
      <c r="Q7" s="60"/>
      <c r="R7"/>
      <c r="S7"/>
      <c r="T7"/>
      <c r="U7"/>
      <c r="V7"/>
      <c r="W7" s="47"/>
      <c r="X7" s="48"/>
    </row>
    <row r="8" spans="1:24" s="21" customFormat="1" ht="12.75" customHeight="1" x14ac:dyDescent="0.3">
      <c r="A8" s="21">
        <v>84</v>
      </c>
      <c r="B8" s="21">
        <v>4</v>
      </c>
      <c r="C8" s="41" t="s">
        <v>186</v>
      </c>
      <c r="D8" s="42" t="s">
        <v>187</v>
      </c>
      <c r="E8" s="53">
        <v>87.1</v>
      </c>
      <c r="F8" s="53">
        <v>4.5999999999999996</v>
      </c>
      <c r="G8" s="53">
        <v>0.7</v>
      </c>
      <c r="H8" s="53">
        <v>0</v>
      </c>
      <c r="I8" s="50">
        <v>92.5</v>
      </c>
      <c r="J8" s="54"/>
      <c r="K8" s="53">
        <v>6.5</v>
      </c>
      <c r="L8" s="53">
        <v>81.2</v>
      </c>
      <c r="M8" s="53">
        <v>0</v>
      </c>
      <c r="N8" s="53">
        <v>2</v>
      </c>
      <c r="O8" s="53">
        <v>2.7</v>
      </c>
      <c r="P8" s="50">
        <v>92.5</v>
      </c>
      <c r="Q8" s="60"/>
      <c r="R8"/>
      <c r="S8"/>
      <c r="T8"/>
      <c r="U8"/>
      <c r="V8"/>
      <c r="W8" s="47"/>
      <c r="X8" s="48"/>
    </row>
    <row r="9" spans="1:24" s="21" customFormat="1" ht="12.75" customHeight="1" x14ac:dyDescent="0.3">
      <c r="A9" s="21">
        <v>85</v>
      </c>
      <c r="B9" s="21">
        <v>4</v>
      </c>
      <c r="C9" s="41" t="s">
        <v>188</v>
      </c>
      <c r="D9" s="42" t="s">
        <v>189</v>
      </c>
      <c r="E9" s="53">
        <v>8.4</v>
      </c>
      <c r="F9" s="53">
        <v>1</v>
      </c>
      <c r="G9" s="53">
        <v>0.2</v>
      </c>
      <c r="H9" s="53">
        <v>0</v>
      </c>
      <c r="I9" s="50">
        <v>9.5</v>
      </c>
      <c r="J9" s="54"/>
      <c r="K9" s="53">
        <v>3.8</v>
      </c>
      <c r="L9" s="53">
        <v>5.8</v>
      </c>
      <c r="M9" s="53">
        <v>0</v>
      </c>
      <c r="N9" s="53">
        <v>-0.2</v>
      </c>
      <c r="O9" s="53">
        <v>0</v>
      </c>
      <c r="P9" s="50">
        <v>9.5</v>
      </c>
      <c r="Q9" s="60"/>
      <c r="R9"/>
      <c r="S9"/>
      <c r="T9"/>
      <c r="U9"/>
      <c r="V9"/>
      <c r="W9" s="47"/>
      <c r="X9" s="48"/>
    </row>
    <row r="10" spans="1:24" s="21" customFormat="1" ht="12.75" customHeight="1" x14ac:dyDescent="0.3">
      <c r="A10" s="21">
        <v>2</v>
      </c>
      <c r="B10" s="21">
        <v>3</v>
      </c>
      <c r="C10" s="44" t="s">
        <v>85</v>
      </c>
      <c r="D10" s="24" t="s">
        <v>4</v>
      </c>
      <c r="E10" s="55">
        <v>1246.7</v>
      </c>
      <c r="F10" s="55">
        <v>46.5</v>
      </c>
      <c r="G10" s="55">
        <v>7.2</v>
      </c>
      <c r="H10" s="55">
        <v>0</v>
      </c>
      <c r="I10" s="50">
        <v>1300.3</v>
      </c>
      <c r="J10" s="52"/>
      <c r="K10" s="55">
        <v>384</v>
      </c>
      <c r="L10" s="55">
        <v>906.2</v>
      </c>
      <c r="M10" s="55">
        <v>0</v>
      </c>
      <c r="N10" s="55">
        <v>0.2</v>
      </c>
      <c r="O10" s="55">
        <v>10</v>
      </c>
      <c r="P10" s="50">
        <v>1300.3</v>
      </c>
      <c r="Q10" s="60"/>
      <c r="R10" s="37"/>
      <c r="S10" s="37"/>
      <c r="T10" s="37"/>
      <c r="U10" s="37"/>
      <c r="V10" s="37"/>
      <c r="W10" s="47"/>
      <c r="X10" s="48"/>
    </row>
    <row r="11" spans="1:24" s="21" customFormat="1" ht="12.75" customHeight="1" x14ac:dyDescent="0.3">
      <c r="A11" s="21">
        <v>86</v>
      </c>
      <c r="B11" s="21">
        <v>4</v>
      </c>
      <c r="C11" s="41" t="s">
        <v>190</v>
      </c>
      <c r="D11" s="42" t="s">
        <v>191</v>
      </c>
      <c r="E11" s="53">
        <v>425.8</v>
      </c>
      <c r="F11" s="53">
        <v>11.9</v>
      </c>
      <c r="G11" s="53">
        <v>1.8</v>
      </c>
      <c r="H11" s="53">
        <v>0</v>
      </c>
      <c r="I11" s="50">
        <v>439.5</v>
      </c>
      <c r="J11" s="54"/>
      <c r="K11" s="53">
        <v>121.4</v>
      </c>
      <c r="L11" s="53">
        <v>317.7</v>
      </c>
      <c r="M11" s="53">
        <v>0</v>
      </c>
      <c r="N11" s="53">
        <v>0</v>
      </c>
      <c r="O11" s="53">
        <v>0.4</v>
      </c>
      <c r="P11" s="50">
        <v>439.5</v>
      </c>
      <c r="Q11" s="60"/>
      <c r="R11"/>
      <c r="S11"/>
      <c r="T11"/>
      <c r="U11"/>
      <c r="V11"/>
      <c r="W11" s="47"/>
      <c r="X11" s="48"/>
    </row>
    <row r="12" spans="1:24" s="21" customFormat="1" ht="12.75" customHeight="1" x14ac:dyDescent="0.3">
      <c r="A12" s="21">
        <v>87</v>
      </c>
      <c r="B12" s="21">
        <v>4</v>
      </c>
      <c r="C12" s="41" t="s">
        <v>192</v>
      </c>
      <c r="D12" s="42" t="s">
        <v>193</v>
      </c>
      <c r="E12" s="53">
        <v>434.7</v>
      </c>
      <c r="F12" s="53">
        <v>0.4</v>
      </c>
      <c r="G12" s="53">
        <v>0.1</v>
      </c>
      <c r="H12" s="53">
        <v>0</v>
      </c>
      <c r="I12" s="50">
        <v>435.2</v>
      </c>
      <c r="J12" s="54"/>
      <c r="K12" s="53">
        <v>5.4</v>
      </c>
      <c r="L12" s="53">
        <v>429.8</v>
      </c>
      <c r="M12" s="53">
        <v>0</v>
      </c>
      <c r="N12" s="53">
        <v>0</v>
      </c>
      <c r="O12" s="53">
        <v>0</v>
      </c>
      <c r="P12" s="50">
        <v>435.2</v>
      </c>
      <c r="Q12" s="60"/>
      <c r="R12"/>
      <c r="S12"/>
      <c r="T12"/>
      <c r="U12"/>
      <c r="V12"/>
      <c r="W12" s="47"/>
      <c r="X12" s="48"/>
    </row>
    <row r="13" spans="1:24" s="21" customFormat="1" ht="12.75" customHeight="1" x14ac:dyDescent="0.3">
      <c r="A13" s="21">
        <v>88</v>
      </c>
      <c r="B13" s="21">
        <v>4</v>
      </c>
      <c r="C13" s="41" t="s">
        <v>194</v>
      </c>
      <c r="D13" s="42" t="s">
        <v>195</v>
      </c>
      <c r="E13" s="53">
        <v>300.2</v>
      </c>
      <c r="F13" s="53">
        <v>33.700000000000003</v>
      </c>
      <c r="G13" s="53">
        <v>5.2</v>
      </c>
      <c r="H13" s="53">
        <v>0</v>
      </c>
      <c r="I13" s="50">
        <v>339.1</v>
      </c>
      <c r="J13" s="54"/>
      <c r="K13" s="53">
        <v>237</v>
      </c>
      <c r="L13" s="53">
        <v>93</v>
      </c>
      <c r="M13" s="53">
        <v>0</v>
      </c>
      <c r="N13" s="53">
        <v>0.2</v>
      </c>
      <c r="O13" s="53">
        <v>8.8000000000000007</v>
      </c>
      <c r="P13" s="50">
        <v>339.1</v>
      </c>
      <c r="Q13" s="60"/>
      <c r="R13"/>
      <c r="S13"/>
      <c r="T13"/>
      <c r="U13"/>
      <c r="V13"/>
      <c r="W13" s="47"/>
      <c r="X13" s="48"/>
    </row>
    <row r="14" spans="1:24" s="21" customFormat="1" ht="12.75" customHeight="1" x14ac:dyDescent="0.3">
      <c r="A14" s="21">
        <v>89</v>
      </c>
      <c r="B14" s="21">
        <v>4</v>
      </c>
      <c r="C14" s="41" t="s">
        <v>196</v>
      </c>
      <c r="D14" s="42" t="s">
        <v>197</v>
      </c>
      <c r="E14" s="53">
        <v>86</v>
      </c>
      <c r="F14" s="53">
        <v>0.5</v>
      </c>
      <c r="G14" s="53">
        <v>0.1</v>
      </c>
      <c r="H14" s="53">
        <v>0</v>
      </c>
      <c r="I14" s="50">
        <v>86.5</v>
      </c>
      <c r="J14" s="54"/>
      <c r="K14" s="53">
        <v>20.100000000000001</v>
      </c>
      <c r="L14" s="53">
        <v>65.599999999999994</v>
      </c>
      <c r="M14" s="53">
        <v>0</v>
      </c>
      <c r="N14" s="53">
        <v>0</v>
      </c>
      <c r="O14" s="53">
        <v>0.8</v>
      </c>
      <c r="P14" s="50">
        <v>86.5</v>
      </c>
      <c r="Q14" s="60"/>
      <c r="R14"/>
      <c r="S14"/>
      <c r="T14"/>
      <c r="U14"/>
      <c r="V14"/>
      <c r="W14" s="47"/>
      <c r="X14" s="48"/>
    </row>
    <row r="15" spans="1:24" s="21" customFormat="1" ht="12.75" customHeight="1" x14ac:dyDescent="0.3">
      <c r="A15" s="21">
        <v>3</v>
      </c>
      <c r="B15" s="21">
        <v>3</v>
      </c>
      <c r="C15" s="44" t="s">
        <v>86</v>
      </c>
      <c r="D15" s="24" t="s">
        <v>5</v>
      </c>
      <c r="E15" s="55">
        <v>867.3</v>
      </c>
      <c r="F15" s="55">
        <v>25.1</v>
      </c>
      <c r="G15" s="55">
        <v>3.9</v>
      </c>
      <c r="H15" s="55">
        <v>0</v>
      </c>
      <c r="I15" s="50">
        <v>896.3</v>
      </c>
      <c r="J15" s="52"/>
      <c r="K15" s="55">
        <v>103.4</v>
      </c>
      <c r="L15" s="55">
        <v>742.7</v>
      </c>
      <c r="M15" s="55">
        <v>0</v>
      </c>
      <c r="N15" s="55">
        <v>0.1</v>
      </c>
      <c r="O15" s="55">
        <v>50</v>
      </c>
      <c r="P15" s="50">
        <v>896.3</v>
      </c>
      <c r="Q15" s="60"/>
      <c r="R15" s="37"/>
      <c r="S15" s="37"/>
      <c r="T15" s="37"/>
      <c r="U15" s="37"/>
      <c r="V15" s="37"/>
      <c r="W15" s="47"/>
      <c r="X15" s="48"/>
    </row>
    <row r="16" spans="1:24" s="21" customFormat="1" ht="12.75" customHeight="1" x14ac:dyDescent="0.3">
      <c r="A16" s="21">
        <v>90</v>
      </c>
      <c r="B16" s="21">
        <v>4</v>
      </c>
      <c r="C16" s="41" t="s">
        <v>198</v>
      </c>
      <c r="D16" s="42" t="s">
        <v>199</v>
      </c>
      <c r="E16" s="53">
        <v>365.3</v>
      </c>
      <c r="F16" s="53">
        <v>8.9</v>
      </c>
      <c r="G16" s="53">
        <v>1.4</v>
      </c>
      <c r="H16" s="53">
        <v>0</v>
      </c>
      <c r="I16" s="50">
        <v>375.6</v>
      </c>
      <c r="J16" s="54"/>
      <c r="K16" s="53">
        <v>46.6</v>
      </c>
      <c r="L16" s="53">
        <v>327.10000000000002</v>
      </c>
      <c r="M16" s="53">
        <v>0</v>
      </c>
      <c r="N16" s="53">
        <v>0</v>
      </c>
      <c r="O16" s="53">
        <v>1.9</v>
      </c>
      <c r="P16" s="50">
        <v>375.6</v>
      </c>
      <c r="Q16" s="60"/>
      <c r="R16"/>
      <c r="S16"/>
      <c r="T16"/>
      <c r="U16"/>
      <c r="V16"/>
      <c r="W16" s="47"/>
      <c r="X16" s="48"/>
    </row>
    <row r="17" spans="1:24" s="21" customFormat="1" ht="12.75" customHeight="1" x14ac:dyDescent="0.3">
      <c r="A17" s="21">
        <v>91</v>
      </c>
      <c r="B17" s="21">
        <v>4</v>
      </c>
      <c r="C17" s="41" t="s">
        <v>200</v>
      </c>
      <c r="D17" s="42" t="s">
        <v>201</v>
      </c>
      <c r="E17" s="53">
        <v>80.599999999999994</v>
      </c>
      <c r="F17" s="53">
        <v>0.1</v>
      </c>
      <c r="G17" s="53">
        <v>0</v>
      </c>
      <c r="H17" s="53">
        <v>0</v>
      </c>
      <c r="I17" s="50">
        <v>80.7</v>
      </c>
      <c r="J17" s="54"/>
      <c r="K17" s="53">
        <v>3.9</v>
      </c>
      <c r="L17" s="53">
        <v>66.3</v>
      </c>
      <c r="M17" s="53">
        <v>0</v>
      </c>
      <c r="N17" s="53">
        <v>0.1</v>
      </c>
      <c r="O17" s="53">
        <v>10.4</v>
      </c>
      <c r="P17" s="50">
        <v>80.7</v>
      </c>
      <c r="Q17" s="60"/>
      <c r="R17"/>
      <c r="S17"/>
      <c r="T17"/>
      <c r="U17"/>
      <c r="V17"/>
      <c r="W17" s="47"/>
      <c r="X17" s="48"/>
    </row>
    <row r="18" spans="1:24" s="21" customFormat="1" ht="12.75" customHeight="1" x14ac:dyDescent="0.3">
      <c r="A18" s="21">
        <v>92</v>
      </c>
      <c r="B18" s="21">
        <v>4</v>
      </c>
      <c r="C18" s="41" t="s">
        <v>202</v>
      </c>
      <c r="D18" s="42" t="s">
        <v>203</v>
      </c>
      <c r="E18" s="53">
        <v>421.4</v>
      </c>
      <c r="F18" s="53">
        <v>16.100000000000001</v>
      </c>
      <c r="G18" s="53">
        <v>2.5</v>
      </c>
      <c r="H18" s="53">
        <v>0</v>
      </c>
      <c r="I18" s="50">
        <v>440</v>
      </c>
      <c r="J18" s="54"/>
      <c r="K18" s="53">
        <v>53</v>
      </c>
      <c r="L18" s="53">
        <v>349.4</v>
      </c>
      <c r="M18" s="53">
        <v>0</v>
      </c>
      <c r="N18" s="53">
        <v>0</v>
      </c>
      <c r="O18" s="53">
        <v>37.700000000000003</v>
      </c>
      <c r="P18" s="50">
        <v>440</v>
      </c>
      <c r="Q18" s="60"/>
      <c r="R18"/>
      <c r="S18"/>
      <c r="T18"/>
      <c r="U18"/>
      <c r="V18"/>
      <c r="W18" s="47"/>
      <c r="X18" s="48"/>
    </row>
    <row r="19" spans="1:24" s="21" customFormat="1" ht="12.75" customHeight="1" x14ac:dyDescent="0.3">
      <c r="A19" s="21">
        <v>4</v>
      </c>
      <c r="B19" s="21">
        <v>3</v>
      </c>
      <c r="C19" s="44" t="s">
        <v>87</v>
      </c>
      <c r="D19" s="24" t="s">
        <v>6</v>
      </c>
      <c r="E19" s="55">
        <v>545.20000000000005</v>
      </c>
      <c r="F19" s="55">
        <v>37.9</v>
      </c>
      <c r="G19" s="55">
        <v>5.9</v>
      </c>
      <c r="H19" s="55">
        <v>0</v>
      </c>
      <c r="I19" s="50">
        <v>588.9</v>
      </c>
      <c r="J19" s="52"/>
      <c r="K19" s="55">
        <v>175.2</v>
      </c>
      <c r="L19" s="55">
        <v>386.1</v>
      </c>
      <c r="M19" s="55">
        <v>0</v>
      </c>
      <c r="N19" s="55">
        <v>6</v>
      </c>
      <c r="O19" s="55">
        <v>21.6</v>
      </c>
      <c r="P19" s="50">
        <v>588.9</v>
      </c>
      <c r="Q19" s="60"/>
      <c r="R19" s="37"/>
      <c r="S19" s="37"/>
      <c r="T19" s="37"/>
      <c r="U19" s="37"/>
      <c r="V19" s="37"/>
      <c r="W19" s="47"/>
      <c r="X19" s="48"/>
    </row>
    <row r="20" spans="1:24" s="21" customFormat="1" ht="12.75" customHeight="1" x14ac:dyDescent="0.3">
      <c r="A20" s="21">
        <v>93</v>
      </c>
      <c r="B20" s="21">
        <v>4</v>
      </c>
      <c r="C20" s="41" t="s">
        <v>204</v>
      </c>
      <c r="D20" s="42" t="s">
        <v>205</v>
      </c>
      <c r="E20" s="53">
        <v>90.5</v>
      </c>
      <c r="F20" s="53">
        <v>0</v>
      </c>
      <c r="G20" s="53">
        <v>0</v>
      </c>
      <c r="H20" s="53">
        <v>0</v>
      </c>
      <c r="I20" s="50">
        <v>90.5</v>
      </c>
      <c r="J20" s="54"/>
      <c r="K20" s="53">
        <v>78.599999999999994</v>
      </c>
      <c r="L20" s="53">
        <v>5.9</v>
      </c>
      <c r="M20" s="53">
        <v>0</v>
      </c>
      <c r="N20" s="53">
        <v>6</v>
      </c>
      <c r="O20" s="53">
        <v>0</v>
      </c>
      <c r="P20" s="50">
        <v>90.5</v>
      </c>
      <c r="Q20" s="60"/>
      <c r="R20"/>
      <c r="S20"/>
      <c r="T20"/>
      <c r="U20"/>
      <c r="V20"/>
      <c r="W20" s="47"/>
      <c r="X20" s="48"/>
    </row>
    <row r="21" spans="1:24" s="21" customFormat="1" ht="12.75" customHeight="1" x14ac:dyDescent="0.3">
      <c r="A21" s="21">
        <v>94</v>
      </c>
      <c r="B21" s="21">
        <v>4</v>
      </c>
      <c r="C21" s="41" t="s">
        <v>206</v>
      </c>
      <c r="D21" s="42" t="s">
        <v>207</v>
      </c>
      <c r="E21" s="53">
        <v>261.8</v>
      </c>
      <c r="F21" s="53">
        <v>0</v>
      </c>
      <c r="G21" s="53">
        <v>0</v>
      </c>
      <c r="H21" s="53">
        <v>0</v>
      </c>
      <c r="I21" s="50">
        <v>261.8</v>
      </c>
      <c r="J21" s="54"/>
      <c r="K21" s="53">
        <v>60.2</v>
      </c>
      <c r="L21" s="53">
        <v>201.6</v>
      </c>
      <c r="M21" s="53">
        <v>0</v>
      </c>
      <c r="N21" s="53">
        <v>0</v>
      </c>
      <c r="O21" s="53">
        <v>0</v>
      </c>
      <c r="P21" s="50">
        <v>261.8</v>
      </c>
      <c r="Q21" s="60"/>
      <c r="R21"/>
      <c r="S21"/>
      <c r="T21"/>
      <c r="U21"/>
      <c r="V21"/>
      <c r="W21" s="47"/>
      <c r="X21" s="48"/>
    </row>
    <row r="22" spans="1:24" s="21" customFormat="1" ht="12.75" customHeight="1" x14ac:dyDescent="0.3">
      <c r="A22" s="21">
        <v>95</v>
      </c>
      <c r="B22" s="21">
        <v>4</v>
      </c>
      <c r="C22" s="41" t="s">
        <v>208</v>
      </c>
      <c r="D22" s="42" t="s">
        <v>209</v>
      </c>
      <c r="E22" s="53">
        <v>60.6</v>
      </c>
      <c r="F22" s="53">
        <v>3.6</v>
      </c>
      <c r="G22" s="53">
        <v>0.6</v>
      </c>
      <c r="H22" s="53">
        <v>0</v>
      </c>
      <c r="I22" s="50">
        <v>64.7</v>
      </c>
      <c r="J22" s="54"/>
      <c r="K22" s="53">
        <v>22.3</v>
      </c>
      <c r="L22" s="53">
        <v>39.9</v>
      </c>
      <c r="M22" s="53">
        <v>0</v>
      </c>
      <c r="N22" s="53">
        <v>0</v>
      </c>
      <c r="O22" s="53">
        <v>2.5</v>
      </c>
      <c r="P22" s="50">
        <v>64.7</v>
      </c>
      <c r="Q22" s="60"/>
      <c r="R22"/>
      <c r="S22"/>
      <c r="T22"/>
      <c r="U22"/>
      <c r="V22"/>
      <c r="W22" s="47"/>
      <c r="X22" s="48"/>
    </row>
    <row r="23" spans="1:24" s="21" customFormat="1" ht="12.75" customHeight="1" x14ac:dyDescent="0.3">
      <c r="A23" s="21">
        <v>96</v>
      </c>
      <c r="B23" s="21">
        <v>4</v>
      </c>
      <c r="C23" s="41" t="s">
        <v>210</v>
      </c>
      <c r="D23" s="42" t="s">
        <v>211</v>
      </c>
      <c r="E23" s="53">
        <v>132.30000000000001</v>
      </c>
      <c r="F23" s="53">
        <v>34.299999999999997</v>
      </c>
      <c r="G23" s="53">
        <v>5.3</v>
      </c>
      <c r="H23" s="53">
        <v>0</v>
      </c>
      <c r="I23" s="50">
        <v>171.9</v>
      </c>
      <c r="J23" s="54"/>
      <c r="K23" s="53">
        <v>14</v>
      </c>
      <c r="L23" s="53">
        <v>138.69999999999999</v>
      </c>
      <c r="M23" s="53">
        <v>0</v>
      </c>
      <c r="N23" s="53">
        <v>0</v>
      </c>
      <c r="O23" s="53">
        <v>19.100000000000001</v>
      </c>
      <c r="P23" s="50">
        <v>171.9</v>
      </c>
      <c r="Q23" s="60"/>
      <c r="R23"/>
      <c r="S23"/>
      <c r="T23"/>
      <c r="U23"/>
      <c r="V23"/>
      <c r="W23" s="47"/>
      <c r="X23" s="48"/>
    </row>
    <row r="24" spans="1:24" s="21" customFormat="1" ht="12.75" customHeight="1" x14ac:dyDescent="0.3">
      <c r="A24" s="21">
        <v>5</v>
      </c>
      <c r="B24" s="21">
        <v>3</v>
      </c>
      <c r="C24" s="44" t="s">
        <v>88</v>
      </c>
      <c r="D24" s="24" t="s">
        <v>7</v>
      </c>
      <c r="E24" s="55">
        <v>66.400000000000006</v>
      </c>
      <c r="F24" s="55">
        <v>56</v>
      </c>
      <c r="G24" s="55">
        <v>8.6999999999999993</v>
      </c>
      <c r="H24" s="55">
        <v>0</v>
      </c>
      <c r="I24" s="50">
        <v>131.1</v>
      </c>
      <c r="J24" s="52"/>
      <c r="K24" s="55">
        <v>116.6</v>
      </c>
      <c r="L24" s="55">
        <v>5.5</v>
      </c>
      <c r="M24" s="55">
        <v>0</v>
      </c>
      <c r="N24" s="55">
        <v>-1.3</v>
      </c>
      <c r="O24" s="55">
        <v>10.3</v>
      </c>
      <c r="P24" s="50">
        <v>131.1</v>
      </c>
      <c r="Q24" s="60"/>
      <c r="R24" s="37"/>
      <c r="S24" s="37"/>
      <c r="T24" s="37"/>
      <c r="U24" s="37"/>
      <c r="V24" s="37"/>
      <c r="W24" s="47"/>
      <c r="X24" s="48"/>
    </row>
    <row r="25" spans="1:24" s="21" customFormat="1" ht="12.75" customHeight="1" x14ac:dyDescent="0.3">
      <c r="A25" s="21">
        <v>97</v>
      </c>
      <c r="B25" s="21">
        <v>4</v>
      </c>
      <c r="C25" s="41" t="s">
        <v>212</v>
      </c>
      <c r="D25" s="42" t="s">
        <v>213</v>
      </c>
      <c r="E25" s="53">
        <v>39.5</v>
      </c>
      <c r="F25" s="53">
        <v>49.1</v>
      </c>
      <c r="G25" s="53">
        <v>7.6</v>
      </c>
      <c r="H25" s="53">
        <v>0</v>
      </c>
      <c r="I25" s="50">
        <v>96.2</v>
      </c>
      <c r="J25" s="54"/>
      <c r="K25" s="53">
        <v>85</v>
      </c>
      <c r="L25" s="53">
        <v>3</v>
      </c>
      <c r="M25" s="53">
        <v>0</v>
      </c>
      <c r="N25" s="53">
        <v>-0.7</v>
      </c>
      <c r="O25" s="53">
        <v>8.9</v>
      </c>
      <c r="P25" s="50">
        <v>96.2</v>
      </c>
      <c r="Q25" s="60"/>
      <c r="R25"/>
      <c r="S25"/>
      <c r="T25"/>
      <c r="U25"/>
      <c r="V25"/>
      <c r="W25" s="47"/>
      <c r="X25" s="48"/>
    </row>
    <row r="26" spans="1:24" s="21" customFormat="1" ht="12.75" customHeight="1" x14ac:dyDescent="0.3">
      <c r="A26" s="21">
        <v>98</v>
      </c>
      <c r="B26" s="21">
        <v>4</v>
      </c>
      <c r="C26" s="41" t="s">
        <v>214</v>
      </c>
      <c r="D26" s="42" t="s">
        <v>215</v>
      </c>
      <c r="E26" s="53">
        <v>24.5</v>
      </c>
      <c r="F26" s="53">
        <v>5.7</v>
      </c>
      <c r="G26" s="53">
        <v>0.9</v>
      </c>
      <c r="H26" s="53">
        <v>0</v>
      </c>
      <c r="I26" s="50">
        <v>31.1</v>
      </c>
      <c r="J26" s="54"/>
      <c r="K26" s="53">
        <v>29</v>
      </c>
      <c r="L26" s="53">
        <v>2.5</v>
      </c>
      <c r="M26" s="53">
        <v>0</v>
      </c>
      <c r="N26" s="53">
        <v>-0.5</v>
      </c>
      <c r="O26" s="53">
        <v>0.1</v>
      </c>
      <c r="P26" s="50">
        <v>31.1</v>
      </c>
      <c r="Q26" s="60"/>
      <c r="R26"/>
      <c r="S26"/>
      <c r="T26"/>
      <c r="U26"/>
      <c r="V26"/>
      <c r="W26" s="47"/>
      <c r="X26" s="48"/>
    </row>
    <row r="27" spans="1:24" s="21" customFormat="1" ht="12.75" customHeight="1" x14ac:dyDescent="0.3">
      <c r="A27" s="21">
        <v>99</v>
      </c>
      <c r="B27" s="21">
        <v>4</v>
      </c>
      <c r="C27" s="41" t="s">
        <v>216</v>
      </c>
      <c r="D27" s="42" t="s">
        <v>217</v>
      </c>
      <c r="E27" s="53">
        <v>2.2999999999999998</v>
      </c>
      <c r="F27" s="53">
        <v>1.3</v>
      </c>
      <c r="G27" s="53">
        <v>0.2</v>
      </c>
      <c r="H27" s="53">
        <v>0</v>
      </c>
      <c r="I27" s="50">
        <v>3.8</v>
      </c>
      <c r="J27" s="54"/>
      <c r="K27" s="53">
        <v>2.6</v>
      </c>
      <c r="L27" s="53">
        <v>0</v>
      </c>
      <c r="M27" s="53">
        <v>0</v>
      </c>
      <c r="N27" s="53">
        <v>0</v>
      </c>
      <c r="O27" s="53">
        <v>1.3</v>
      </c>
      <c r="P27" s="50">
        <v>3.8</v>
      </c>
      <c r="Q27" s="60"/>
      <c r="R27"/>
      <c r="S27"/>
      <c r="T27"/>
      <c r="U27"/>
      <c r="V27"/>
      <c r="W27" s="47"/>
      <c r="X27" s="48"/>
    </row>
    <row r="28" spans="1:24" s="21" customFormat="1" ht="12.75" customHeight="1" x14ac:dyDescent="0.3">
      <c r="A28" s="21">
        <v>6</v>
      </c>
      <c r="B28" s="21">
        <v>3</v>
      </c>
      <c r="C28" s="44" t="s">
        <v>89</v>
      </c>
      <c r="D28" s="24" t="s">
        <v>8</v>
      </c>
      <c r="E28" s="55">
        <v>184.5</v>
      </c>
      <c r="F28" s="55">
        <v>2.8</v>
      </c>
      <c r="G28" s="55">
        <v>0.4</v>
      </c>
      <c r="H28" s="55">
        <v>0</v>
      </c>
      <c r="I28" s="50">
        <v>187.7</v>
      </c>
      <c r="J28" s="52"/>
      <c r="K28" s="55">
        <v>37.200000000000003</v>
      </c>
      <c r="L28" s="55">
        <v>0</v>
      </c>
      <c r="M28" s="55">
        <v>0</v>
      </c>
      <c r="N28" s="55">
        <v>29.5</v>
      </c>
      <c r="O28" s="55">
        <v>121</v>
      </c>
      <c r="P28" s="50">
        <v>187.7</v>
      </c>
      <c r="Q28" s="60"/>
      <c r="R28" s="37"/>
      <c r="S28" s="37"/>
      <c r="T28" s="37"/>
      <c r="U28" s="37"/>
      <c r="V28" s="37"/>
      <c r="W28" s="47"/>
      <c r="X28" s="48"/>
    </row>
    <row r="29" spans="1:24" s="21" customFormat="1" ht="12.75" customHeight="1" x14ac:dyDescent="0.3">
      <c r="A29" s="21">
        <v>100</v>
      </c>
      <c r="B29" s="21">
        <v>4</v>
      </c>
      <c r="C29" s="41" t="s">
        <v>218</v>
      </c>
      <c r="D29" s="42" t="s">
        <v>219</v>
      </c>
      <c r="E29" s="53">
        <v>184.5</v>
      </c>
      <c r="F29" s="53">
        <v>2.8</v>
      </c>
      <c r="G29" s="53">
        <v>0.4</v>
      </c>
      <c r="H29" s="53">
        <v>0</v>
      </c>
      <c r="I29" s="50">
        <v>187.7</v>
      </c>
      <c r="J29" s="54"/>
      <c r="K29" s="53">
        <v>37.200000000000003</v>
      </c>
      <c r="L29" s="53">
        <v>0</v>
      </c>
      <c r="M29" s="53">
        <v>0</v>
      </c>
      <c r="N29" s="53">
        <v>29.5</v>
      </c>
      <c r="O29" s="53">
        <v>121</v>
      </c>
      <c r="P29" s="50">
        <v>187.7</v>
      </c>
      <c r="Q29" s="60"/>
      <c r="R29"/>
      <c r="S29"/>
      <c r="T29"/>
      <c r="U29"/>
      <c r="V29"/>
      <c r="W29" s="47"/>
      <c r="X29" s="48"/>
    </row>
    <row r="30" spans="1:24" s="21" customFormat="1" ht="12.75" customHeight="1" x14ac:dyDescent="0.3">
      <c r="A30" s="21">
        <v>7</v>
      </c>
      <c r="B30" s="21">
        <v>3</v>
      </c>
      <c r="C30" s="44" t="s">
        <v>90</v>
      </c>
      <c r="D30" s="24" t="s">
        <v>9</v>
      </c>
      <c r="E30" s="55">
        <v>64.099999999999994</v>
      </c>
      <c r="F30" s="55">
        <v>0</v>
      </c>
      <c r="G30" s="55">
        <v>0</v>
      </c>
      <c r="H30" s="55">
        <v>0</v>
      </c>
      <c r="I30" s="50">
        <v>64.099999999999994</v>
      </c>
      <c r="J30" s="52"/>
      <c r="K30" s="55">
        <v>60.4</v>
      </c>
      <c r="L30" s="55">
        <v>0</v>
      </c>
      <c r="M30" s="55">
        <v>0</v>
      </c>
      <c r="N30" s="55">
        <v>3.7</v>
      </c>
      <c r="O30" s="55">
        <v>0</v>
      </c>
      <c r="P30" s="50">
        <v>64.099999999999994</v>
      </c>
      <c r="Q30" s="60"/>
      <c r="R30" s="37"/>
      <c r="S30" s="37"/>
      <c r="T30" s="37"/>
      <c r="U30" s="37"/>
      <c r="V30" s="37"/>
      <c r="W30" s="47"/>
      <c r="X30" s="48"/>
    </row>
    <row r="31" spans="1:24" s="21" customFormat="1" ht="12.75" customHeight="1" x14ac:dyDescent="0.3">
      <c r="A31" s="21">
        <v>101</v>
      </c>
      <c r="B31" s="21">
        <v>4</v>
      </c>
      <c r="C31" s="41" t="s">
        <v>220</v>
      </c>
      <c r="D31" s="42" t="s">
        <v>9</v>
      </c>
      <c r="E31" s="53">
        <v>64.099999999999994</v>
      </c>
      <c r="F31" s="53">
        <v>0</v>
      </c>
      <c r="G31" s="53">
        <v>0</v>
      </c>
      <c r="H31" s="53">
        <v>0</v>
      </c>
      <c r="I31" s="50">
        <v>64.099999999999994</v>
      </c>
      <c r="J31" s="54"/>
      <c r="K31" s="53">
        <v>60.4</v>
      </c>
      <c r="L31" s="53">
        <v>0</v>
      </c>
      <c r="M31" s="53">
        <v>0</v>
      </c>
      <c r="N31" s="53">
        <v>3.7</v>
      </c>
      <c r="O31" s="53">
        <v>0</v>
      </c>
      <c r="P31" s="50">
        <v>64.099999999999994</v>
      </c>
      <c r="Q31" s="60"/>
      <c r="R31"/>
      <c r="S31"/>
      <c r="T31"/>
      <c r="U31"/>
      <c r="V31"/>
      <c r="W31" s="47"/>
      <c r="X31" s="48"/>
    </row>
    <row r="32" spans="1:24" s="21" customFormat="1" ht="12.75" customHeight="1" x14ac:dyDescent="0.3">
      <c r="A32" s="21">
        <v>8</v>
      </c>
      <c r="B32" s="21">
        <v>3</v>
      </c>
      <c r="C32" s="44" t="s">
        <v>91</v>
      </c>
      <c r="D32" s="24" t="s">
        <v>10</v>
      </c>
      <c r="E32" s="55">
        <v>153.1</v>
      </c>
      <c r="F32" s="55">
        <v>10.4</v>
      </c>
      <c r="G32" s="55">
        <v>1.6</v>
      </c>
      <c r="H32" s="55">
        <v>0</v>
      </c>
      <c r="I32" s="50">
        <v>165.2</v>
      </c>
      <c r="J32" s="52"/>
      <c r="K32" s="55">
        <v>142</v>
      </c>
      <c r="L32" s="55">
        <v>17.3</v>
      </c>
      <c r="M32" s="55">
        <v>0</v>
      </c>
      <c r="N32" s="55">
        <v>0.2</v>
      </c>
      <c r="O32" s="55">
        <v>5.7</v>
      </c>
      <c r="P32" s="50">
        <v>165.2</v>
      </c>
      <c r="Q32" s="60"/>
      <c r="R32" s="37"/>
      <c r="S32" s="37"/>
      <c r="T32" s="37"/>
      <c r="U32" s="37"/>
      <c r="V32" s="37"/>
      <c r="W32" s="47"/>
      <c r="X32" s="48"/>
    </row>
    <row r="33" spans="1:24" s="21" customFormat="1" ht="12.75" customHeight="1" x14ac:dyDescent="0.3">
      <c r="A33" s="21">
        <v>102</v>
      </c>
      <c r="B33" s="21">
        <v>4</v>
      </c>
      <c r="C33" s="41" t="s">
        <v>221</v>
      </c>
      <c r="D33" s="42" t="s">
        <v>222</v>
      </c>
      <c r="E33" s="53">
        <v>3.9</v>
      </c>
      <c r="F33" s="53">
        <v>1.6</v>
      </c>
      <c r="G33" s="53">
        <v>0.2</v>
      </c>
      <c r="H33" s="53">
        <v>0</v>
      </c>
      <c r="I33" s="50">
        <v>5.8</v>
      </c>
      <c r="J33" s="54"/>
      <c r="K33" s="53">
        <v>0.3</v>
      </c>
      <c r="L33" s="53">
        <v>5.0999999999999996</v>
      </c>
      <c r="M33" s="53">
        <v>0</v>
      </c>
      <c r="N33" s="53">
        <v>0.2</v>
      </c>
      <c r="O33" s="53">
        <v>0.1</v>
      </c>
      <c r="P33" s="50">
        <v>5.7</v>
      </c>
      <c r="Q33" s="60"/>
      <c r="R33"/>
      <c r="S33"/>
      <c r="T33"/>
      <c r="U33"/>
      <c r="V33"/>
      <c r="W33" s="47"/>
      <c r="X33" s="48"/>
    </row>
    <row r="34" spans="1:24" s="21" customFormat="1" ht="12.75" customHeight="1" x14ac:dyDescent="0.3">
      <c r="A34" s="21">
        <v>103</v>
      </c>
      <c r="B34" s="21">
        <v>4</v>
      </c>
      <c r="C34" s="41" t="s">
        <v>223</v>
      </c>
      <c r="D34" s="42" t="s">
        <v>224</v>
      </c>
      <c r="E34" s="53">
        <v>23.5</v>
      </c>
      <c r="F34" s="53">
        <v>0</v>
      </c>
      <c r="G34" s="53">
        <v>0</v>
      </c>
      <c r="H34" s="53">
        <v>0</v>
      </c>
      <c r="I34" s="50">
        <v>23.5</v>
      </c>
      <c r="J34" s="54"/>
      <c r="K34" s="53">
        <v>11.3</v>
      </c>
      <c r="L34" s="53">
        <v>12.1</v>
      </c>
      <c r="M34" s="53">
        <v>0</v>
      </c>
      <c r="N34" s="53">
        <v>0</v>
      </c>
      <c r="O34" s="53">
        <v>0.2</v>
      </c>
      <c r="P34" s="50">
        <v>23.6</v>
      </c>
      <c r="Q34" s="60"/>
      <c r="R34"/>
      <c r="S34"/>
      <c r="T34"/>
      <c r="U34"/>
      <c r="V34"/>
      <c r="W34" s="47"/>
      <c r="X34" s="48"/>
    </row>
    <row r="35" spans="1:24" s="21" customFormat="1" ht="12.75" customHeight="1" x14ac:dyDescent="0.3">
      <c r="A35" s="21">
        <v>104</v>
      </c>
      <c r="B35" s="21">
        <v>4</v>
      </c>
      <c r="C35" s="41" t="s">
        <v>225</v>
      </c>
      <c r="D35" s="42" t="s">
        <v>226</v>
      </c>
      <c r="E35" s="53">
        <v>10.9</v>
      </c>
      <c r="F35" s="53">
        <v>0</v>
      </c>
      <c r="G35" s="53">
        <v>0</v>
      </c>
      <c r="H35" s="53">
        <v>0</v>
      </c>
      <c r="I35" s="50">
        <v>10.9</v>
      </c>
      <c r="J35" s="54"/>
      <c r="K35" s="53">
        <v>10.9</v>
      </c>
      <c r="L35" s="53">
        <v>0</v>
      </c>
      <c r="M35" s="53">
        <v>0</v>
      </c>
      <c r="N35" s="53">
        <v>0</v>
      </c>
      <c r="O35" s="53">
        <v>0</v>
      </c>
      <c r="P35" s="50">
        <v>10.9</v>
      </c>
      <c r="Q35" s="60"/>
      <c r="R35"/>
      <c r="S35"/>
      <c r="T35"/>
      <c r="U35"/>
      <c r="V35"/>
      <c r="W35" s="47"/>
      <c r="X35" s="48"/>
    </row>
    <row r="36" spans="1:24" s="21" customFormat="1" ht="12.75" customHeight="1" x14ac:dyDescent="0.3">
      <c r="A36" s="21">
        <v>105</v>
      </c>
      <c r="B36" s="21">
        <v>4</v>
      </c>
      <c r="C36" s="41" t="s">
        <v>227</v>
      </c>
      <c r="D36" s="42" t="s">
        <v>228</v>
      </c>
      <c r="E36" s="53">
        <v>114.8</v>
      </c>
      <c r="F36" s="53">
        <v>8.8000000000000007</v>
      </c>
      <c r="G36" s="53">
        <v>1.4</v>
      </c>
      <c r="H36" s="53">
        <v>0</v>
      </c>
      <c r="I36" s="50">
        <v>125</v>
      </c>
      <c r="J36" s="54"/>
      <c r="K36" s="53">
        <v>119.5</v>
      </c>
      <c r="L36" s="53">
        <v>0</v>
      </c>
      <c r="M36" s="53">
        <v>0</v>
      </c>
      <c r="N36" s="53">
        <v>0</v>
      </c>
      <c r="O36" s="53">
        <v>5.5</v>
      </c>
      <c r="P36" s="50">
        <v>125</v>
      </c>
      <c r="Q36" s="60"/>
      <c r="R36"/>
      <c r="S36"/>
      <c r="T36"/>
      <c r="U36"/>
      <c r="V36"/>
      <c r="W36" s="47"/>
      <c r="X36" s="48"/>
    </row>
    <row r="37" spans="1:24" s="21" customFormat="1" ht="12.75" customHeight="1" x14ac:dyDescent="0.3">
      <c r="A37" s="21">
        <v>9</v>
      </c>
      <c r="B37" s="21">
        <v>3</v>
      </c>
      <c r="C37" s="44" t="s">
        <v>92</v>
      </c>
      <c r="D37" s="24" t="s">
        <v>11</v>
      </c>
      <c r="E37" s="55">
        <v>413.7</v>
      </c>
      <c r="F37" s="55">
        <v>2.7</v>
      </c>
      <c r="G37" s="55">
        <v>0.4</v>
      </c>
      <c r="H37" s="55">
        <v>0</v>
      </c>
      <c r="I37" s="50">
        <v>416.8</v>
      </c>
      <c r="J37" s="52"/>
      <c r="K37" s="55">
        <v>45.2</v>
      </c>
      <c r="L37" s="55">
        <v>13.6</v>
      </c>
      <c r="M37" s="55">
        <v>0</v>
      </c>
      <c r="N37" s="55">
        <v>289.8</v>
      </c>
      <c r="O37" s="55">
        <v>68.2</v>
      </c>
      <c r="P37" s="50">
        <v>416.8</v>
      </c>
      <c r="Q37" s="60"/>
      <c r="R37" s="37"/>
      <c r="S37" s="37"/>
      <c r="T37" s="37"/>
      <c r="U37" s="37"/>
      <c r="V37" s="37"/>
      <c r="W37" s="47"/>
      <c r="X37" s="48"/>
    </row>
    <row r="38" spans="1:24" s="21" customFormat="1" ht="12.75" customHeight="1" x14ac:dyDescent="0.3">
      <c r="A38" s="21">
        <v>106</v>
      </c>
      <c r="B38" s="21">
        <v>4</v>
      </c>
      <c r="C38" s="41" t="s">
        <v>229</v>
      </c>
      <c r="D38" s="42" t="s">
        <v>230</v>
      </c>
      <c r="E38" s="53">
        <v>223.5</v>
      </c>
      <c r="F38" s="53">
        <v>0.2</v>
      </c>
      <c r="G38" s="53">
        <v>0</v>
      </c>
      <c r="H38" s="53">
        <v>0</v>
      </c>
      <c r="I38" s="50">
        <v>223.7</v>
      </c>
      <c r="J38" s="54"/>
      <c r="K38" s="53">
        <v>18.7</v>
      </c>
      <c r="L38" s="53">
        <v>0</v>
      </c>
      <c r="M38" s="53">
        <v>0</v>
      </c>
      <c r="N38" s="53">
        <v>172.5</v>
      </c>
      <c r="O38" s="53">
        <v>32.5</v>
      </c>
      <c r="P38" s="50">
        <v>223.7</v>
      </c>
      <c r="Q38" s="60"/>
      <c r="R38"/>
      <c r="S38"/>
      <c r="T38"/>
      <c r="U38"/>
      <c r="V38"/>
      <c r="W38" s="47"/>
      <c r="X38" s="48"/>
    </row>
    <row r="39" spans="1:24" s="21" customFormat="1" ht="12.75" customHeight="1" x14ac:dyDescent="0.3">
      <c r="A39" s="21">
        <v>107</v>
      </c>
      <c r="B39" s="21">
        <v>4</v>
      </c>
      <c r="C39" s="41" t="s">
        <v>231</v>
      </c>
      <c r="D39" s="42" t="s">
        <v>232</v>
      </c>
      <c r="E39" s="53">
        <v>148.1</v>
      </c>
      <c r="F39" s="53">
        <v>0.1</v>
      </c>
      <c r="G39" s="53">
        <v>0</v>
      </c>
      <c r="H39" s="53">
        <v>0</v>
      </c>
      <c r="I39" s="50">
        <v>148.19999999999999</v>
      </c>
      <c r="J39" s="54"/>
      <c r="K39" s="53">
        <v>15.8</v>
      </c>
      <c r="L39" s="53">
        <v>0</v>
      </c>
      <c r="M39" s="53">
        <v>0</v>
      </c>
      <c r="N39" s="53">
        <v>101.8</v>
      </c>
      <c r="O39" s="53">
        <v>30.6</v>
      </c>
      <c r="P39" s="50">
        <v>148.19999999999999</v>
      </c>
      <c r="Q39" s="60"/>
      <c r="R39"/>
      <c r="S39"/>
      <c r="T39"/>
      <c r="U39"/>
      <c r="V39"/>
      <c r="W39" s="47"/>
      <c r="X39" s="48"/>
    </row>
    <row r="40" spans="1:24" s="21" customFormat="1" ht="12.75" customHeight="1" x14ac:dyDescent="0.3">
      <c r="A40" s="21">
        <v>108</v>
      </c>
      <c r="B40" s="21">
        <v>4</v>
      </c>
      <c r="C40" s="41" t="s">
        <v>233</v>
      </c>
      <c r="D40" s="42" t="s">
        <v>234</v>
      </c>
      <c r="E40" s="53">
        <v>42</v>
      </c>
      <c r="F40" s="53">
        <v>2.4</v>
      </c>
      <c r="G40" s="53">
        <v>0.4</v>
      </c>
      <c r="H40" s="53">
        <v>0</v>
      </c>
      <c r="I40" s="50">
        <v>44.8</v>
      </c>
      <c r="J40" s="54"/>
      <c r="K40" s="53">
        <v>10.7</v>
      </c>
      <c r="L40" s="53">
        <v>13.6</v>
      </c>
      <c r="M40" s="53">
        <v>0</v>
      </c>
      <c r="N40" s="53">
        <v>15.6</v>
      </c>
      <c r="O40" s="53">
        <v>4.9000000000000004</v>
      </c>
      <c r="P40" s="50">
        <v>44.8</v>
      </c>
      <c r="Q40" s="60"/>
      <c r="R40"/>
      <c r="S40"/>
      <c r="T40"/>
      <c r="U40"/>
      <c r="V40"/>
      <c r="W40" s="47"/>
      <c r="X40" s="48"/>
    </row>
    <row r="41" spans="1:24" s="21" customFormat="1" ht="12.75" customHeight="1" x14ac:dyDescent="0.3">
      <c r="A41" s="21">
        <v>109</v>
      </c>
      <c r="B41" s="21">
        <v>4</v>
      </c>
      <c r="C41" s="41" t="s">
        <v>235</v>
      </c>
      <c r="D41" s="42" t="s">
        <v>236</v>
      </c>
      <c r="E41" s="53">
        <v>0.1</v>
      </c>
      <c r="F41" s="53">
        <v>0.1</v>
      </c>
      <c r="G41" s="53">
        <v>0</v>
      </c>
      <c r="H41" s="53">
        <v>0</v>
      </c>
      <c r="I41" s="50">
        <v>0.1</v>
      </c>
      <c r="J41" s="54"/>
      <c r="K41" s="53">
        <v>0</v>
      </c>
      <c r="L41" s="53">
        <v>0</v>
      </c>
      <c r="M41" s="53">
        <v>0</v>
      </c>
      <c r="N41" s="53">
        <v>-0.1</v>
      </c>
      <c r="O41" s="53">
        <v>0.3</v>
      </c>
      <c r="P41" s="50">
        <v>0.1</v>
      </c>
      <c r="Q41" s="60"/>
      <c r="R41"/>
      <c r="S41"/>
      <c r="T41"/>
      <c r="U41"/>
      <c r="V41"/>
      <c r="W41" s="47"/>
      <c r="X41" s="48"/>
    </row>
    <row r="42" spans="1:24" s="21" customFormat="1" ht="12.75" customHeight="1" x14ac:dyDescent="0.3">
      <c r="A42" s="21">
        <v>10</v>
      </c>
      <c r="B42" s="21">
        <v>3</v>
      </c>
      <c r="C42" s="44" t="s">
        <v>93</v>
      </c>
      <c r="D42" s="24" t="s">
        <v>12</v>
      </c>
      <c r="E42" s="55">
        <v>212.6</v>
      </c>
      <c r="F42" s="55">
        <v>3.8</v>
      </c>
      <c r="G42" s="55">
        <v>0.6</v>
      </c>
      <c r="H42" s="55">
        <v>0</v>
      </c>
      <c r="I42" s="50">
        <v>216.9</v>
      </c>
      <c r="J42" s="52"/>
      <c r="K42" s="55">
        <v>126.2</v>
      </c>
      <c r="L42" s="55">
        <v>85.2</v>
      </c>
      <c r="M42" s="55">
        <v>0</v>
      </c>
      <c r="N42" s="55">
        <v>-0.1</v>
      </c>
      <c r="O42" s="55">
        <v>5.7</v>
      </c>
      <c r="P42" s="50">
        <v>216.9</v>
      </c>
      <c r="Q42" s="60"/>
      <c r="R42" s="37"/>
      <c r="S42" s="37"/>
      <c r="T42" s="37"/>
      <c r="U42" s="37"/>
      <c r="V42" s="37"/>
      <c r="W42" s="47"/>
      <c r="X42" s="48"/>
    </row>
    <row r="43" spans="1:24" s="21" customFormat="1" ht="12.75" customHeight="1" x14ac:dyDescent="0.3">
      <c r="A43" s="21">
        <v>110</v>
      </c>
      <c r="B43" s="21">
        <v>4</v>
      </c>
      <c r="C43" s="41" t="s">
        <v>237</v>
      </c>
      <c r="D43" s="42" t="s">
        <v>238</v>
      </c>
      <c r="E43" s="53">
        <v>176.5</v>
      </c>
      <c r="F43" s="53">
        <v>0</v>
      </c>
      <c r="G43" s="53">
        <v>0</v>
      </c>
      <c r="H43" s="53">
        <v>0</v>
      </c>
      <c r="I43" s="50">
        <v>176.5</v>
      </c>
      <c r="J43" s="54"/>
      <c r="K43" s="53">
        <v>114.8</v>
      </c>
      <c r="L43" s="53">
        <v>58.7</v>
      </c>
      <c r="M43" s="53">
        <v>0</v>
      </c>
      <c r="N43" s="53">
        <v>0</v>
      </c>
      <c r="O43" s="53">
        <v>3</v>
      </c>
      <c r="P43" s="50">
        <v>176.5</v>
      </c>
      <c r="Q43" s="60"/>
      <c r="R43"/>
      <c r="S43"/>
      <c r="T43"/>
      <c r="U43"/>
      <c r="V43"/>
      <c r="W43" s="47"/>
      <c r="X43" s="48"/>
    </row>
    <row r="44" spans="1:24" s="21" customFormat="1" ht="12.75" customHeight="1" x14ac:dyDescent="0.3">
      <c r="A44" s="21">
        <v>111</v>
      </c>
      <c r="B44" s="21">
        <v>4</v>
      </c>
      <c r="C44" s="41" t="s">
        <v>239</v>
      </c>
      <c r="D44" s="42" t="s">
        <v>240</v>
      </c>
      <c r="E44" s="53">
        <v>28.9</v>
      </c>
      <c r="F44" s="53">
        <v>2.2000000000000002</v>
      </c>
      <c r="G44" s="53">
        <v>0.3</v>
      </c>
      <c r="H44" s="53">
        <v>0</v>
      </c>
      <c r="I44" s="50">
        <v>31.5</v>
      </c>
      <c r="J44" s="54"/>
      <c r="K44" s="53">
        <v>8.3000000000000007</v>
      </c>
      <c r="L44" s="53">
        <v>21.1</v>
      </c>
      <c r="M44" s="53">
        <v>0</v>
      </c>
      <c r="N44" s="53">
        <v>0</v>
      </c>
      <c r="O44" s="53">
        <v>2.1</v>
      </c>
      <c r="P44" s="50">
        <v>31.5</v>
      </c>
      <c r="Q44" s="60"/>
      <c r="R44"/>
      <c r="S44"/>
      <c r="T44"/>
      <c r="U44"/>
      <c r="V44"/>
      <c r="W44" s="47"/>
      <c r="X44" s="48"/>
    </row>
    <row r="45" spans="1:24" s="21" customFormat="1" ht="12.75" customHeight="1" x14ac:dyDescent="0.3">
      <c r="A45" s="21">
        <v>112</v>
      </c>
      <c r="B45" s="21">
        <v>4</v>
      </c>
      <c r="C45" s="41" t="s">
        <v>241</v>
      </c>
      <c r="D45" s="42" t="s">
        <v>242</v>
      </c>
      <c r="E45" s="53">
        <v>4.5999999999999996</v>
      </c>
      <c r="F45" s="53">
        <v>1.4</v>
      </c>
      <c r="G45" s="53">
        <v>0.2</v>
      </c>
      <c r="H45" s="53">
        <v>0</v>
      </c>
      <c r="I45" s="50">
        <v>6.2</v>
      </c>
      <c r="J45" s="54"/>
      <c r="K45" s="53">
        <v>0.9</v>
      </c>
      <c r="L45" s="53">
        <v>5.4</v>
      </c>
      <c r="M45" s="53">
        <v>0</v>
      </c>
      <c r="N45" s="53">
        <v>-0.1</v>
      </c>
      <c r="O45" s="53">
        <v>0</v>
      </c>
      <c r="P45" s="50">
        <v>6.2</v>
      </c>
      <c r="Q45" s="60"/>
      <c r="R45"/>
      <c r="S45"/>
      <c r="T45"/>
      <c r="U45"/>
      <c r="V45"/>
      <c r="W45" s="47"/>
      <c r="X45" s="48"/>
    </row>
    <row r="46" spans="1:24" s="21" customFormat="1" ht="12.75" customHeight="1" x14ac:dyDescent="0.3">
      <c r="A46" s="21">
        <v>113</v>
      </c>
      <c r="B46" s="21">
        <v>4</v>
      </c>
      <c r="C46" s="41" t="s">
        <v>243</v>
      </c>
      <c r="D46" s="42" t="s">
        <v>244</v>
      </c>
      <c r="E46" s="53">
        <v>2.6</v>
      </c>
      <c r="F46" s="53">
        <v>0.2</v>
      </c>
      <c r="G46" s="53">
        <v>0</v>
      </c>
      <c r="H46" s="53">
        <v>0</v>
      </c>
      <c r="I46" s="50">
        <v>2.8</v>
      </c>
      <c r="J46" s="54"/>
      <c r="K46" s="53">
        <v>2.2000000000000002</v>
      </c>
      <c r="L46" s="53">
        <v>0</v>
      </c>
      <c r="M46" s="53">
        <v>0</v>
      </c>
      <c r="N46" s="53">
        <v>0</v>
      </c>
      <c r="O46" s="53">
        <v>0.6</v>
      </c>
      <c r="P46" s="50">
        <v>2.8</v>
      </c>
      <c r="Q46" s="60"/>
      <c r="R46"/>
      <c r="S46"/>
      <c r="T46"/>
      <c r="U46"/>
      <c r="V46"/>
      <c r="W46" s="47"/>
      <c r="X46" s="48"/>
    </row>
    <row r="47" spans="1:24" s="21" customFormat="1" ht="12.75" customHeight="1" x14ac:dyDescent="0.3">
      <c r="A47" s="21">
        <v>11</v>
      </c>
      <c r="B47" s="21">
        <v>3</v>
      </c>
      <c r="C47" s="44" t="s">
        <v>94</v>
      </c>
      <c r="D47" s="24" t="s">
        <v>13</v>
      </c>
      <c r="E47" s="55">
        <v>798.5</v>
      </c>
      <c r="F47" s="55">
        <v>21.2</v>
      </c>
      <c r="G47" s="55">
        <v>0</v>
      </c>
      <c r="H47" s="55">
        <v>0</v>
      </c>
      <c r="I47" s="50">
        <v>819.6</v>
      </c>
      <c r="J47" s="52"/>
      <c r="K47" s="55">
        <v>71</v>
      </c>
      <c r="L47" s="55">
        <v>725.5</v>
      </c>
      <c r="M47" s="55">
        <v>0</v>
      </c>
      <c r="N47" s="55">
        <v>14.6</v>
      </c>
      <c r="O47" s="55">
        <v>8.5</v>
      </c>
      <c r="P47" s="50">
        <v>819.6</v>
      </c>
      <c r="Q47" s="60"/>
      <c r="R47" s="37"/>
      <c r="S47" s="37"/>
      <c r="T47" s="37"/>
      <c r="U47" s="37"/>
      <c r="V47" s="37"/>
      <c r="W47" s="47"/>
      <c r="X47" s="48"/>
    </row>
    <row r="48" spans="1:24" s="21" customFormat="1" ht="12.75" customHeight="1" x14ac:dyDescent="0.3">
      <c r="A48" s="21">
        <v>114</v>
      </c>
      <c r="B48" s="21">
        <v>4</v>
      </c>
      <c r="C48" s="41" t="s">
        <v>245</v>
      </c>
      <c r="D48" s="42" t="s">
        <v>246</v>
      </c>
      <c r="E48" s="53">
        <v>551.9</v>
      </c>
      <c r="F48" s="53">
        <v>0</v>
      </c>
      <c r="G48" s="53">
        <v>0</v>
      </c>
      <c r="H48" s="53">
        <v>0</v>
      </c>
      <c r="I48" s="50">
        <v>551.9</v>
      </c>
      <c r="J48" s="54"/>
      <c r="K48" s="53">
        <v>12.7</v>
      </c>
      <c r="L48" s="53">
        <v>539.1</v>
      </c>
      <c r="M48" s="53">
        <v>0</v>
      </c>
      <c r="N48" s="53">
        <v>0</v>
      </c>
      <c r="O48" s="53">
        <v>0</v>
      </c>
      <c r="P48" s="50">
        <v>551.9</v>
      </c>
      <c r="Q48" s="60"/>
      <c r="R48"/>
      <c r="S48"/>
      <c r="T48"/>
      <c r="U48"/>
      <c r="V48"/>
      <c r="W48" s="47"/>
      <c r="X48" s="48"/>
    </row>
    <row r="49" spans="1:24" s="21" customFormat="1" ht="12.75" customHeight="1" x14ac:dyDescent="0.3">
      <c r="A49" s="21">
        <v>115</v>
      </c>
      <c r="B49" s="21">
        <v>4</v>
      </c>
      <c r="C49" s="41" t="s">
        <v>247</v>
      </c>
      <c r="D49" s="42" t="s">
        <v>248</v>
      </c>
      <c r="E49" s="53">
        <v>140.80000000000001</v>
      </c>
      <c r="F49" s="53">
        <v>12.7</v>
      </c>
      <c r="G49" s="53">
        <v>0</v>
      </c>
      <c r="H49" s="53">
        <v>0</v>
      </c>
      <c r="I49" s="50">
        <v>153.5</v>
      </c>
      <c r="J49" s="54"/>
      <c r="K49" s="53">
        <v>58.3</v>
      </c>
      <c r="L49" s="53">
        <v>97.9</v>
      </c>
      <c r="M49" s="53">
        <v>0</v>
      </c>
      <c r="N49" s="53">
        <v>-3.1</v>
      </c>
      <c r="O49" s="53">
        <v>0.3</v>
      </c>
      <c r="P49" s="50">
        <v>153.5</v>
      </c>
      <c r="Q49" s="60"/>
      <c r="R49"/>
      <c r="S49"/>
      <c r="T49"/>
      <c r="U49"/>
      <c r="V49"/>
      <c r="W49" s="47"/>
      <c r="X49" s="48"/>
    </row>
    <row r="50" spans="1:24" s="21" customFormat="1" ht="12.75" customHeight="1" x14ac:dyDescent="0.3">
      <c r="A50" s="21">
        <v>116</v>
      </c>
      <c r="B50" s="21">
        <v>4</v>
      </c>
      <c r="C50" s="41" t="s">
        <v>249</v>
      </c>
      <c r="D50" s="42" t="s">
        <v>250</v>
      </c>
      <c r="E50" s="53">
        <v>105.8</v>
      </c>
      <c r="F50" s="53">
        <v>8.5</v>
      </c>
      <c r="G50" s="53">
        <v>0</v>
      </c>
      <c r="H50" s="53">
        <v>0</v>
      </c>
      <c r="I50" s="50">
        <v>114.3</v>
      </c>
      <c r="J50" s="54"/>
      <c r="K50" s="53">
        <v>0</v>
      </c>
      <c r="L50" s="53">
        <v>88.4</v>
      </c>
      <c r="M50" s="53">
        <v>0</v>
      </c>
      <c r="N50" s="53">
        <v>17.7</v>
      </c>
      <c r="O50" s="53">
        <v>8.1999999999999993</v>
      </c>
      <c r="P50" s="50">
        <v>114.3</v>
      </c>
      <c r="Q50" s="60"/>
      <c r="R50"/>
      <c r="S50"/>
      <c r="T50"/>
      <c r="U50"/>
      <c r="V50"/>
      <c r="W50" s="47"/>
      <c r="X50" s="48"/>
    </row>
    <row r="51" spans="1:24" s="21" customFormat="1" ht="12.75" customHeight="1" x14ac:dyDescent="0.3">
      <c r="A51" s="21">
        <v>12</v>
      </c>
      <c r="B51" s="21">
        <v>3</v>
      </c>
      <c r="C51" s="44" t="s">
        <v>95</v>
      </c>
      <c r="D51" s="24" t="s">
        <v>14</v>
      </c>
      <c r="E51" s="55">
        <v>75.099999999999994</v>
      </c>
      <c r="F51" s="55">
        <v>0.1</v>
      </c>
      <c r="G51" s="55">
        <v>0</v>
      </c>
      <c r="H51" s="55">
        <v>0</v>
      </c>
      <c r="I51" s="50">
        <v>75.3</v>
      </c>
      <c r="J51" s="52"/>
      <c r="K51" s="55">
        <v>2.5</v>
      </c>
      <c r="L51" s="55">
        <v>72.900000000000006</v>
      </c>
      <c r="M51" s="55">
        <v>0</v>
      </c>
      <c r="N51" s="55">
        <v>-0.2</v>
      </c>
      <c r="O51" s="55">
        <v>0</v>
      </c>
      <c r="P51" s="50">
        <v>75.3</v>
      </c>
      <c r="Q51" s="60"/>
      <c r="R51" s="37"/>
      <c r="S51" s="37"/>
      <c r="T51" s="37"/>
      <c r="U51" s="37"/>
      <c r="V51" s="37"/>
      <c r="W51" s="47"/>
      <c r="X51" s="48"/>
    </row>
    <row r="52" spans="1:24" s="21" customFormat="1" ht="12.75" customHeight="1" x14ac:dyDescent="0.3">
      <c r="A52" s="21">
        <v>117</v>
      </c>
      <c r="B52" s="21">
        <v>4</v>
      </c>
      <c r="C52" s="41" t="s">
        <v>251</v>
      </c>
      <c r="D52" s="42" t="s">
        <v>14</v>
      </c>
      <c r="E52" s="53">
        <v>75.099999999999994</v>
      </c>
      <c r="F52" s="53">
        <v>0.1</v>
      </c>
      <c r="G52" s="53">
        <v>0</v>
      </c>
      <c r="H52" s="53">
        <v>0</v>
      </c>
      <c r="I52" s="50">
        <v>75.3</v>
      </c>
      <c r="J52" s="54"/>
      <c r="K52" s="53">
        <v>2.5</v>
      </c>
      <c r="L52" s="53">
        <v>72.900000000000006</v>
      </c>
      <c r="M52" s="53">
        <v>0</v>
      </c>
      <c r="N52" s="53">
        <v>-0.2</v>
      </c>
      <c r="O52" s="53">
        <v>0</v>
      </c>
      <c r="P52" s="50">
        <v>75.3</v>
      </c>
      <c r="Q52" s="60"/>
      <c r="R52"/>
      <c r="S52"/>
      <c r="T52"/>
      <c r="U52"/>
      <c r="V52"/>
      <c r="W52" s="47"/>
      <c r="X52" s="48"/>
    </row>
    <row r="53" spans="1:24" s="21" customFormat="1" ht="12.75" customHeight="1" x14ac:dyDescent="0.3">
      <c r="A53" s="21">
        <v>13</v>
      </c>
      <c r="B53" s="21">
        <v>3</v>
      </c>
      <c r="C53" s="36" t="s">
        <v>96</v>
      </c>
      <c r="D53" s="23" t="s">
        <v>15</v>
      </c>
      <c r="E53" s="53">
        <v>0</v>
      </c>
      <c r="F53" s="53">
        <v>0</v>
      </c>
      <c r="G53" s="53">
        <v>0</v>
      </c>
      <c r="H53" s="53">
        <v>0</v>
      </c>
      <c r="I53" s="50">
        <v>0</v>
      </c>
      <c r="J53" s="56"/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0">
        <v>0</v>
      </c>
      <c r="Q53" s="60"/>
      <c r="R53" s="37"/>
      <c r="S53" s="37"/>
      <c r="T53" s="37"/>
      <c r="U53" s="37"/>
      <c r="V53" s="37"/>
      <c r="W53" s="47"/>
      <c r="X53" s="48"/>
    </row>
    <row r="54" spans="1:24" s="21" customFormat="1" ht="12.75" customHeight="1" x14ac:dyDescent="0.3">
      <c r="A54" s="21">
        <v>14</v>
      </c>
      <c r="B54" s="21">
        <v>3</v>
      </c>
      <c r="C54" s="36" t="s">
        <v>97</v>
      </c>
      <c r="D54" s="23" t="s">
        <v>16</v>
      </c>
      <c r="E54" s="53">
        <v>272.8</v>
      </c>
      <c r="F54" s="53">
        <v>3.6</v>
      </c>
      <c r="G54" s="53">
        <v>0</v>
      </c>
      <c r="H54" s="53">
        <v>0</v>
      </c>
      <c r="I54" s="50">
        <v>276.39999999999998</v>
      </c>
      <c r="J54" s="56"/>
      <c r="K54" s="53">
        <v>4</v>
      </c>
      <c r="L54" s="53">
        <v>0</v>
      </c>
      <c r="M54" s="53">
        <v>0</v>
      </c>
      <c r="N54" s="53">
        <v>-1.7</v>
      </c>
      <c r="O54" s="53">
        <v>274.10000000000002</v>
      </c>
      <c r="P54" s="50">
        <v>276.39999999999998</v>
      </c>
      <c r="Q54" s="60"/>
      <c r="R54" s="37"/>
      <c r="S54" s="37"/>
      <c r="T54" s="37"/>
      <c r="U54" s="37"/>
      <c r="V54" s="37"/>
      <c r="W54" s="47"/>
      <c r="X54" s="48"/>
    </row>
    <row r="55" spans="1:24" s="21" customFormat="1" ht="12.75" customHeight="1" x14ac:dyDescent="0.3">
      <c r="A55" s="21">
        <v>15</v>
      </c>
      <c r="B55" s="21">
        <v>3</v>
      </c>
      <c r="C55" s="36" t="s">
        <v>98</v>
      </c>
      <c r="D55" s="23" t="s">
        <v>17</v>
      </c>
      <c r="E55" s="53">
        <v>444.6</v>
      </c>
      <c r="F55" s="53">
        <v>27</v>
      </c>
      <c r="G55" s="53">
        <v>0</v>
      </c>
      <c r="H55" s="53">
        <v>0</v>
      </c>
      <c r="I55" s="50">
        <v>471.7</v>
      </c>
      <c r="J55" s="56"/>
      <c r="K55" s="53">
        <v>431.7</v>
      </c>
      <c r="L55" s="53">
        <v>0</v>
      </c>
      <c r="M55" s="53">
        <v>0</v>
      </c>
      <c r="N55" s="53">
        <v>0.2</v>
      </c>
      <c r="O55" s="53">
        <v>39.799999999999997</v>
      </c>
      <c r="P55" s="50">
        <v>471.7</v>
      </c>
      <c r="Q55" s="60"/>
      <c r="R55" s="37"/>
      <c r="S55" s="37"/>
      <c r="T55" s="37"/>
      <c r="U55" s="37"/>
      <c r="V55" s="37"/>
      <c r="W55" s="47"/>
      <c r="X55" s="48"/>
    </row>
    <row r="56" spans="1:24" s="21" customFormat="1" ht="12.75" customHeight="1" x14ac:dyDescent="0.3">
      <c r="A56" s="21">
        <v>16</v>
      </c>
      <c r="B56" s="21">
        <v>3</v>
      </c>
      <c r="C56" s="36" t="s">
        <v>99</v>
      </c>
      <c r="D56" s="23" t="s">
        <v>18</v>
      </c>
      <c r="E56" s="53">
        <v>186.6</v>
      </c>
      <c r="F56" s="53">
        <v>6.6</v>
      </c>
      <c r="G56" s="53">
        <v>27.5</v>
      </c>
      <c r="H56" s="53">
        <v>17.399999999999999</v>
      </c>
      <c r="I56" s="50">
        <v>238.2</v>
      </c>
      <c r="J56" s="56"/>
      <c r="K56" s="53">
        <v>50.6</v>
      </c>
      <c r="L56" s="53">
        <v>146.9</v>
      </c>
      <c r="M56" s="53">
        <v>0</v>
      </c>
      <c r="N56" s="53">
        <v>0</v>
      </c>
      <c r="O56" s="53">
        <v>40.700000000000003</v>
      </c>
      <c r="P56" s="50">
        <v>238.2</v>
      </c>
      <c r="Q56" s="60"/>
      <c r="R56" s="37"/>
      <c r="S56" s="37"/>
      <c r="T56" s="37"/>
      <c r="U56" s="37"/>
      <c r="V56" s="37"/>
      <c r="W56" s="47"/>
      <c r="X56" s="48"/>
    </row>
    <row r="57" spans="1:24" s="21" customFormat="1" ht="12.75" customHeight="1" x14ac:dyDescent="0.3">
      <c r="A57" s="21">
        <v>17</v>
      </c>
      <c r="B57" s="21">
        <v>3</v>
      </c>
      <c r="C57" s="36" t="s">
        <v>100</v>
      </c>
      <c r="D57" s="23" t="s">
        <v>19</v>
      </c>
      <c r="E57" s="53">
        <v>2.5</v>
      </c>
      <c r="F57" s="53">
        <v>102.6</v>
      </c>
      <c r="G57" s="53">
        <v>15.7</v>
      </c>
      <c r="H57" s="53">
        <v>5</v>
      </c>
      <c r="I57" s="50">
        <v>125.8</v>
      </c>
      <c r="J57" s="56"/>
      <c r="K57" s="53">
        <v>6.3</v>
      </c>
      <c r="L57" s="53">
        <v>45.1</v>
      </c>
      <c r="M57" s="53">
        <v>0</v>
      </c>
      <c r="N57" s="53">
        <v>1.7</v>
      </c>
      <c r="O57" s="53">
        <v>72.8</v>
      </c>
      <c r="P57" s="50">
        <v>125.8</v>
      </c>
      <c r="Q57" s="60"/>
      <c r="R57" s="37"/>
      <c r="S57" s="37"/>
      <c r="T57" s="37"/>
      <c r="U57" s="37"/>
      <c r="V57" s="37"/>
      <c r="W57" s="47"/>
      <c r="X57" s="48"/>
    </row>
    <row r="58" spans="1:24" s="21" customFormat="1" ht="12.75" customHeight="1" x14ac:dyDescent="0.3">
      <c r="A58" s="21">
        <v>18</v>
      </c>
      <c r="B58" s="21">
        <v>3</v>
      </c>
      <c r="C58" s="36" t="s">
        <v>101</v>
      </c>
      <c r="D58" s="23" t="s">
        <v>20</v>
      </c>
      <c r="E58" s="53">
        <v>43.7</v>
      </c>
      <c r="F58" s="53">
        <v>22.8</v>
      </c>
      <c r="G58" s="53">
        <v>18</v>
      </c>
      <c r="H58" s="53">
        <v>9.5</v>
      </c>
      <c r="I58" s="50">
        <v>93.9</v>
      </c>
      <c r="J58" s="56"/>
      <c r="K58" s="53">
        <v>5.6</v>
      </c>
      <c r="L58" s="53">
        <v>75.8</v>
      </c>
      <c r="M58" s="53">
        <v>0</v>
      </c>
      <c r="N58" s="53">
        <v>-0.5</v>
      </c>
      <c r="O58" s="53">
        <v>13.1</v>
      </c>
      <c r="P58" s="50">
        <v>93.9</v>
      </c>
      <c r="Q58" s="60"/>
      <c r="R58" s="37"/>
      <c r="S58" s="37"/>
      <c r="T58" s="37"/>
      <c r="U58" s="37"/>
      <c r="V58" s="37"/>
      <c r="W58" s="47"/>
      <c r="X58" s="48"/>
    </row>
    <row r="59" spans="1:24" s="21" customFormat="1" ht="12.75" customHeight="1" x14ac:dyDescent="0.3">
      <c r="A59" s="21">
        <v>19</v>
      </c>
      <c r="B59" s="21">
        <v>3</v>
      </c>
      <c r="C59" s="36" t="s">
        <v>102</v>
      </c>
      <c r="D59" s="23" t="s">
        <v>21</v>
      </c>
      <c r="E59" s="53">
        <v>204.5</v>
      </c>
      <c r="F59" s="53">
        <v>279</v>
      </c>
      <c r="G59" s="53">
        <v>38.1</v>
      </c>
      <c r="H59" s="53">
        <v>41.2</v>
      </c>
      <c r="I59" s="50">
        <v>562.9</v>
      </c>
      <c r="J59" s="56"/>
      <c r="K59" s="53">
        <v>56.7</v>
      </c>
      <c r="L59" s="53">
        <v>356.5</v>
      </c>
      <c r="M59" s="53">
        <v>0</v>
      </c>
      <c r="N59" s="53">
        <v>19</v>
      </c>
      <c r="O59" s="53">
        <v>130.69999999999999</v>
      </c>
      <c r="P59" s="50">
        <v>562.9</v>
      </c>
      <c r="Q59" s="60"/>
      <c r="R59" s="37"/>
      <c r="S59" s="37"/>
      <c r="T59" s="37"/>
      <c r="U59" s="37"/>
      <c r="V59" s="37"/>
      <c r="W59" s="47"/>
      <c r="X59" s="48"/>
    </row>
    <row r="60" spans="1:24" s="21" customFormat="1" ht="12.75" customHeight="1" x14ac:dyDescent="0.3">
      <c r="A60" s="21">
        <v>20</v>
      </c>
      <c r="B60" s="21">
        <v>3</v>
      </c>
      <c r="C60" s="36" t="s">
        <v>103</v>
      </c>
      <c r="D60" s="23" t="s">
        <v>22</v>
      </c>
      <c r="E60" s="53">
        <v>128.9</v>
      </c>
      <c r="F60" s="53">
        <v>10.1</v>
      </c>
      <c r="G60" s="53">
        <v>12.9</v>
      </c>
      <c r="H60" s="53">
        <v>14.2</v>
      </c>
      <c r="I60" s="50">
        <v>166.1</v>
      </c>
      <c r="J60" s="56"/>
      <c r="K60" s="53">
        <v>36.5</v>
      </c>
      <c r="L60" s="53">
        <v>125</v>
      </c>
      <c r="M60" s="53">
        <v>0</v>
      </c>
      <c r="N60" s="53">
        <v>-1</v>
      </c>
      <c r="O60" s="53">
        <v>5.6</v>
      </c>
      <c r="P60" s="50">
        <v>166.1</v>
      </c>
      <c r="Q60" s="60"/>
      <c r="R60" s="37"/>
      <c r="S60" s="37"/>
      <c r="T60" s="37"/>
      <c r="U60" s="37"/>
      <c r="V60" s="37"/>
      <c r="W60" s="47"/>
      <c r="X60" s="48"/>
    </row>
    <row r="61" spans="1:24" s="21" customFormat="1" ht="12.75" customHeight="1" x14ac:dyDescent="0.3">
      <c r="A61" s="21">
        <v>21</v>
      </c>
      <c r="B61" s="21">
        <v>3</v>
      </c>
      <c r="C61" s="36" t="s">
        <v>104</v>
      </c>
      <c r="D61" s="23" t="s">
        <v>23</v>
      </c>
      <c r="E61" s="53">
        <v>882.5</v>
      </c>
      <c r="F61" s="53">
        <v>363.5</v>
      </c>
      <c r="G61" s="53">
        <v>130.30000000000001</v>
      </c>
      <c r="H61" s="53">
        <v>99.1</v>
      </c>
      <c r="I61" s="50">
        <v>1475.5</v>
      </c>
      <c r="J61" s="56"/>
      <c r="K61" s="53">
        <v>278.7</v>
      </c>
      <c r="L61" s="53">
        <v>1017.6</v>
      </c>
      <c r="M61" s="53">
        <v>0</v>
      </c>
      <c r="N61" s="53">
        <v>-2</v>
      </c>
      <c r="O61" s="53">
        <v>181.1</v>
      </c>
      <c r="P61" s="50">
        <v>1475.5</v>
      </c>
      <c r="Q61" s="60"/>
      <c r="R61" s="37"/>
      <c r="S61" s="37"/>
      <c r="T61" s="37"/>
      <c r="U61" s="37"/>
      <c r="V61" s="37"/>
      <c r="W61" s="47"/>
      <c r="X61" s="48"/>
    </row>
    <row r="62" spans="1:24" s="21" customFormat="1" ht="12.75" customHeight="1" x14ac:dyDescent="0.3">
      <c r="A62" s="21">
        <v>22</v>
      </c>
      <c r="B62" s="21">
        <v>3</v>
      </c>
      <c r="C62" s="36" t="s">
        <v>105</v>
      </c>
      <c r="D62" s="23" t="s">
        <v>24</v>
      </c>
      <c r="E62" s="53">
        <v>125.2</v>
      </c>
      <c r="F62" s="53">
        <v>17</v>
      </c>
      <c r="G62" s="53">
        <v>38.799999999999997</v>
      </c>
      <c r="H62" s="53">
        <v>17.5</v>
      </c>
      <c r="I62" s="50">
        <v>198.5</v>
      </c>
      <c r="J62" s="56"/>
      <c r="K62" s="53">
        <v>5.6</v>
      </c>
      <c r="L62" s="53">
        <v>179.6</v>
      </c>
      <c r="M62" s="53">
        <v>0</v>
      </c>
      <c r="N62" s="53">
        <v>0</v>
      </c>
      <c r="O62" s="53">
        <v>13.3</v>
      </c>
      <c r="P62" s="50">
        <v>198.5</v>
      </c>
      <c r="Q62" s="60"/>
      <c r="R62" s="37"/>
      <c r="S62" s="37"/>
      <c r="T62" s="37"/>
      <c r="U62" s="37"/>
      <c r="V62" s="37"/>
      <c r="W62" s="47"/>
      <c r="X62" s="48"/>
    </row>
    <row r="63" spans="1:24" s="21" customFormat="1" ht="12.75" customHeight="1" x14ac:dyDescent="0.3">
      <c r="A63" s="21">
        <v>23</v>
      </c>
      <c r="B63" s="21">
        <v>3</v>
      </c>
      <c r="C63" s="36" t="s">
        <v>106</v>
      </c>
      <c r="D63" s="23" t="s">
        <v>25</v>
      </c>
      <c r="E63" s="53">
        <v>53.8</v>
      </c>
      <c r="F63" s="53">
        <v>0</v>
      </c>
      <c r="G63" s="53">
        <v>9</v>
      </c>
      <c r="H63" s="53">
        <v>5.2</v>
      </c>
      <c r="I63" s="50">
        <v>68</v>
      </c>
      <c r="J63" s="56"/>
      <c r="K63" s="53">
        <v>20.9</v>
      </c>
      <c r="L63" s="53">
        <v>47.1</v>
      </c>
      <c r="M63" s="53">
        <v>0</v>
      </c>
      <c r="N63" s="53">
        <v>0</v>
      </c>
      <c r="O63" s="53">
        <v>0</v>
      </c>
      <c r="P63" s="50">
        <v>68</v>
      </c>
      <c r="Q63" s="60"/>
      <c r="R63" s="37"/>
      <c r="S63" s="37"/>
      <c r="T63" s="37"/>
      <c r="U63" s="37"/>
      <c r="V63" s="37"/>
      <c r="W63" s="47"/>
      <c r="X63" s="48"/>
    </row>
    <row r="64" spans="1:24" s="21" customFormat="1" ht="12.75" customHeight="1" x14ac:dyDescent="0.3">
      <c r="A64" s="21">
        <v>24</v>
      </c>
      <c r="B64" s="21">
        <v>3</v>
      </c>
      <c r="C64" s="36" t="s">
        <v>107</v>
      </c>
      <c r="D64" s="23" t="s">
        <v>26</v>
      </c>
      <c r="E64" s="53">
        <v>253</v>
      </c>
      <c r="F64" s="53">
        <v>372</v>
      </c>
      <c r="G64" s="53">
        <v>83.6</v>
      </c>
      <c r="H64" s="53">
        <v>42.9</v>
      </c>
      <c r="I64" s="50">
        <v>751.5</v>
      </c>
      <c r="J64" s="56"/>
      <c r="K64" s="53">
        <v>236.4</v>
      </c>
      <c r="L64" s="53">
        <v>240.1</v>
      </c>
      <c r="M64" s="53">
        <v>0</v>
      </c>
      <c r="N64" s="53">
        <v>-13.3</v>
      </c>
      <c r="O64" s="53">
        <v>288.2</v>
      </c>
      <c r="P64" s="50">
        <v>751.5</v>
      </c>
      <c r="Q64" s="60"/>
      <c r="R64" s="37"/>
      <c r="S64" s="37"/>
      <c r="T64" s="37"/>
      <c r="U64" s="37"/>
      <c r="V64" s="37"/>
      <c r="W64" s="47"/>
      <c r="X64" s="48"/>
    </row>
    <row r="65" spans="1:24" s="21" customFormat="1" ht="12.75" customHeight="1" x14ac:dyDescent="0.3">
      <c r="A65" s="21">
        <v>25</v>
      </c>
      <c r="B65" s="21">
        <v>3</v>
      </c>
      <c r="C65" s="36" t="s">
        <v>108</v>
      </c>
      <c r="D65" s="23" t="s">
        <v>27</v>
      </c>
      <c r="E65" s="53">
        <v>742.8</v>
      </c>
      <c r="F65" s="53">
        <v>204.9</v>
      </c>
      <c r="G65" s="53">
        <v>245.2</v>
      </c>
      <c r="H65" s="53">
        <v>186</v>
      </c>
      <c r="I65" s="50">
        <v>1379</v>
      </c>
      <c r="J65" s="56"/>
      <c r="K65" s="53">
        <v>617.79999999999995</v>
      </c>
      <c r="L65" s="53">
        <v>680.6</v>
      </c>
      <c r="M65" s="53">
        <v>0</v>
      </c>
      <c r="N65" s="53">
        <v>-3.4</v>
      </c>
      <c r="O65" s="53">
        <v>84</v>
      </c>
      <c r="P65" s="50">
        <v>1379</v>
      </c>
      <c r="Q65" s="60"/>
      <c r="R65" s="37"/>
      <c r="S65" s="37"/>
      <c r="T65" s="37"/>
      <c r="U65" s="37"/>
      <c r="V65" s="37"/>
      <c r="W65" s="47"/>
      <c r="X65" s="48"/>
    </row>
    <row r="66" spans="1:24" s="21" customFormat="1" ht="12.75" customHeight="1" x14ac:dyDescent="0.3">
      <c r="A66" s="21">
        <v>26</v>
      </c>
      <c r="B66" s="21">
        <v>3</v>
      </c>
      <c r="C66" s="36" t="s">
        <v>109</v>
      </c>
      <c r="D66" s="23" t="s">
        <v>28</v>
      </c>
      <c r="E66" s="53">
        <v>241.5</v>
      </c>
      <c r="F66" s="53">
        <v>1.3</v>
      </c>
      <c r="G66" s="53">
        <v>41.1</v>
      </c>
      <c r="H66" s="53">
        <v>36.299999999999997</v>
      </c>
      <c r="I66" s="50">
        <v>320.2</v>
      </c>
      <c r="J66" s="56"/>
      <c r="K66" s="53">
        <v>105.3</v>
      </c>
      <c r="L66" s="53">
        <v>213.9</v>
      </c>
      <c r="M66" s="53">
        <v>0</v>
      </c>
      <c r="N66" s="53">
        <v>0.5</v>
      </c>
      <c r="O66" s="53">
        <v>0.5</v>
      </c>
      <c r="P66" s="50">
        <v>320.2</v>
      </c>
      <c r="Q66" s="60"/>
      <c r="R66" s="37"/>
      <c r="S66" s="37"/>
      <c r="T66" s="37"/>
      <c r="U66" s="37"/>
      <c r="V66" s="37"/>
      <c r="W66" s="47"/>
      <c r="X66" s="48"/>
    </row>
    <row r="67" spans="1:24" s="21" customFormat="1" ht="12.75" customHeight="1" x14ac:dyDescent="0.3">
      <c r="A67" s="21">
        <v>27</v>
      </c>
      <c r="B67" s="21">
        <v>3</v>
      </c>
      <c r="C67" s="36" t="s">
        <v>110</v>
      </c>
      <c r="D67" s="23" t="s">
        <v>29</v>
      </c>
      <c r="E67" s="53">
        <v>0.7</v>
      </c>
      <c r="F67" s="53">
        <v>7.3</v>
      </c>
      <c r="G67" s="53">
        <v>2.2000000000000002</v>
      </c>
      <c r="H67" s="53">
        <v>26.2</v>
      </c>
      <c r="I67" s="50">
        <v>36.4</v>
      </c>
      <c r="J67" s="56"/>
      <c r="K67" s="53">
        <v>0</v>
      </c>
      <c r="L67" s="53">
        <v>35.6</v>
      </c>
      <c r="M67" s="53">
        <v>0</v>
      </c>
      <c r="N67" s="53">
        <v>0.5</v>
      </c>
      <c r="O67" s="53">
        <v>0.3</v>
      </c>
      <c r="P67" s="50">
        <v>36.4</v>
      </c>
      <c r="Q67" s="60"/>
      <c r="R67" s="37"/>
      <c r="S67" s="37"/>
      <c r="T67" s="37"/>
      <c r="U67" s="37"/>
      <c r="V67" s="37"/>
      <c r="W67" s="47"/>
      <c r="X67" s="48"/>
    </row>
    <row r="68" spans="1:24" s="21" customFormat="1" ht="12.75" customHeight="1" x14ac:dyDescent="0.3">
      <c r="A68" s="21">
        <v>28</v>
      </c>
      <c r="B68" s="21">
        <v>3</v>
      </c>
      <c r="C68" s="36" t="s">
        <v>111</v>
      </c>
      <c r="D68" s="23" t="s">
        <v>30</v>
      </c>
      <c r="E68" s="53">
        <v>388.4</v>
      </c>
      <c r="F68" s="53">
        <v>287.7</v>
      </c>
      <c r="G68" s="53">
        <v>212.2</v>
      </c>
      <c r="H68" s="53">
        <v>91.5</v>
      </c>
      <c r="I68" s="50">
        <v>979.7</v>
      </c>
      <c r="J68" s="56"/>
      <c r="K68" s="53">
        <v>395.1</v>
      </c>
      <c r="L68" s="53">
        <v>488.2</v>
      </c>
      <c r="M68" s="53">
        <v>0</v>
      </c>
      <c r="N68" s="53">
        <v>-2</v>
      </c>
      <c r="O68" s="53">
        <v>98.4</v>
      </c>
      <c r="P68" s="50">
        <v>979.7</v>
      </c>
      <c r="Q68" s="60"/>
      <c r="R68" s="37"/>
      <c r="S68" s="37"/>
      <c r="T68" s="37"/>
      <c r="U68" s="37"/>
      <c r="V68" s="37"/>
      <c r="W68" s="47"/>
      <c r="X68" s="48"/>
    </row>
    <row r="69" spans="1:24" s="21" customFormat="1" ht="12.75" customHeight="1" x14ac:dyDescent="0.3">
      <c r="A69" s="21">
        <v>29</v>
      </c>
      <c r="B69" s="21">
        <v>3</v>
      </c>
      <c r="C69" s="36" t="s">
        <v>112</v>
      </c>
      <c r="D69" s="23" t="s">
        <v>31</v>
      </c>
      <c r="E69" s="53">
        <v>244.6</v>
      </c>
      <c r="F69" s="53">
        <v>116.6</v>
      </c>
      <c r="G69" s="53">
        <v>55.8</v>
      </c>
      <c r="H69" s="53">
        <v>15.9</v>
      </c>
      <c r="I69" s="50">
        <v>432.8</v>
      </c>
      <c r="J69" s="56"/>
      <c r="K69" s="53">
        <v>302</v>
      </c>
      <c r="L69" s="53">
        <v>110.4</v>
      </c>
      <c r="M69" s="53">
        <v>0</v>
      </c>
      <c r="N69" s="53">
        <v>6.2</v>
      </c>
      <c r="O69" s="53">
        <v>14.3</v>
      </c>
      <c r="P69" s="50">
        <v>432.8</v>
      </c>
      <c r="Q69" s="60"/>
      <c r="R69" s="37"/>
      <c r="S69" s="37"/>
      <c r="T69" s="37"/>
      <c r="U69" s="37"/>
      <c r="V69" s="37"/>
      <c r="W69" s="47"/>
      <c r="X69" s="48"/>
    </row>
    <row r="70" spans="1:24" s="21" customFormat="1" ht="12.75" customHeight="1" x14ac:dyDescent="0.3">
      <c r="A70" s="21">
        <v>30</v>
      </c>
      <c r="B70" s="21">
        <v>3</v>
      </c>
      <c r="C70" s="36" t="s">
        <v>113</v>
      </c>
      <c r="D70" s="23" t="s">
        <v>32</v>
      </c>
      <c r="E70" s="53">
        <v>71.3</v>
      </c>
      <c r="F70" s="53">
        <v>18.600000000000001</v>
      </c>
      <c r="G70" s="53">
        <v>35.1</v>
      </c>
      <c r="H70" s="53">
        <v>1.8</v>
      </c>
      <c r="I70" s="50">
        <v>126.7</v>
      </c>
      <c r="J70" s="56"/>
      <c r="K70" s="53">
        <v>119.6</v>
      </c>
      <c r="L70" s="53">
        <v>2.8</v>
      </c>
      <c r="M70" s="53">
        <v>0</v>
      </c>
      <c r="N70" s="53">
        <v>-0.5</v>
      </c>
      <c r="O70" s="53">
        <v>4.8</v>
      </c>
      <c r="P70" s="50">
        <v>126.7</v>
      </c>
      <c r="Q70" s="60"/>
      <c r="R70" s="37"/>
      <c r="S70" s="37"/>
      <c r="T70" s="37"/>
      <c r="U70" s="37"/>
      <c r="V70" s="37"/>
      <c r="W70" s="47"/>
      <c r="X70" s="48"/>
    </row>
    <row r="71" spans="1:24" s="21" customFormat="1" ht="12.75" customHeight="1" x14ac:dyDescent="0.3">
      <c r="A71" s="21">
        <v>31</v>
      </c>
      <c r="B71" s="21">
        <v>3</v>
      </c>
      <c r="C71" s="36" t="s">
        <v>114</v>
      </c>
      <c r="D71" s="23" t="s">
        <v>33</v>
      </c>
      <c r="E71" s="53">
        <v>0</v>
      </c>
      <c r="F71" s="53">
        <v>973.7</v>
      </c>
      <c r="G71" s="53">
        <v>256.5</v>
      </c>
      <c r="H71" s="53">
        <v>140.6</v>
      </c>
      <c r="I71" s="50">
        <v>1370.8</v>
      </c>
      <c r="J71" s="56"/>
      <c r="K71" s="53">
        <v>919.2</v>
      </c>
      <c r="L71" s="53">
        <v>207.8</v>
      </c>
      <c r="M71" s="53">
        <v>0</v>
      </c>
      <c r="N71" s="53">
        <v>1.3</v>
      </c>
      <c r="O71" s="53">
        <v>242.5</v>
      </c>
      <c r="P71" s="50">
        <v>1370.8</v>
      </c>
      <c r="Q71" s="60"/>
      <c r="R71" s="37"/>
      <c r="S71" s="37"/>
      <c r="T71" s="37"/>
      <c r="U71" s="37"/>
      <c r="V71" s="37"/>
      <c r="W71" s="47"/>
      <c r="X71" s="48"/>
    </row>
    <row r="72" spans="1:24" s="21" customFormat="1" ht="12.75" customHeight="1" x14ac:dyDescent="0.3">
      <c r="A72" s="21">
        <v>32</v>
      </c>
      <c r="B72" s="21">
        <v>3</v>
      </c>
      <c r="C72" s="36" t="s">
        <v>115</v>
      </c>
      <c r="D72" s="23" t="s">
        <v>34</v>
      </c>
      <c r="E72" s="53">
        <v>462.8</v>
      </c>
      <c r="F72" s="53">
        <v>495.5</v>
      </c>
      <c r="G72" s="53">
        <v>175.1</v>
      </c>
      <c r="H72" s="53">
        <v>33.4</v>
      </c>
      <c r="I72" s="50">
        <v>1166.7</v>
      </c>
      <c r="J72" s="56"/>
      <c r="K72" s="53">
        <v>879.8</v>
      </c>
      <c r="L72" s="53">
        <v>235</v>
      </c>
      <c r="M72" s="53">
        <v>0</v>
      </c>
      <c r="N72" s="53">
        <v>1.5</v>
      </c>
      <c r="O72" s="53">
        <v>50.4</v>
      </c>
      <c r="P72" s="50">
        <v>1166.7</v>
      </c>
      <c r="Q72" s="60"/>
      <c r="R72" s="37"/>
      <c r="S72" s="37"/>
      <c r="T72" s="37"/>
      <c r="U72" s="37"/>
      <c r="V72" s="37"/>
      <c r="W72" s="47"/>
      <c r="X72" s="48"/>
    </row>
    <row r="73" spans="1:24" s="21" customFormat="1" ht="12.75" customHeight="1" x14ac:dyDescent="0.3">
      <c r="A73" s="21">
        <v>33</v>
      </c>
      <c r="B73" s="21">
        <v>3</v>
      </c>
      <c r="C73" s="36" t="s">
        <v>116</v>
      </c>
      <c r="D73" s="23" t="s">
        <v>35</v>
      </c>
      <c r="E73" s="53">
        <v>34.6</v>
      </c>
      <c r="F73" s="53">
        <v>125.5</v>
      </c>
      <c r="G73" s="53">
        <v>41.8</v>
      </c>
      <c r="H73" s="53">
        <v>15.1</v>
      </c>
      <c r="I73" s="50">
        <v>217.1</v>
      </c>
      <c r="J73" s="56"/>
      <c r="K73" s="53">
        <v>106.9</v>
      </c>
      <c r="L73" s="53">
        <v>104.8</v>
      </c>
      <c r="M73" s="53">
        <v>0</v>
      </c>
      <c r="N73" s="53">
        <v>-2</v>
      </c>
      <c r="O73" s="53">
        <v>7.3</v>
      </c>
      <c r="P73" s="50">
        <v>217.1</v>
      </c>
      <c r="Q73" s="60"/>
      <c r="R73" s="37"/>
      <c r="S73" s="37"/>
      <c r="T73" s="37"/>
      <c r="U73" s="37"/>
      <c r="V73" s="37"/>
      <c r="W73" s="47"/>
      <c r="X73" s="48"/>
    </row>
    <row r="74" spans="1:24" s="21" customFormat="1" ht="12.75" customHeight="1" x14ac:dyDescent="0.3">
      <c r="A74" s="21">
        <v>34</v>
      </c>
      <c r="B74" s="21">
        <v>3</v>
      </c>
      <c r="C74" s="36" t="s">
        <v>117</v>
      </c>
      <c r="D74" s="23" t="s">
        <v>36</v>
      </c>
      <c r="E74" s="53">
        <v>99.6</v>
      </c>
      <c r="F74" s="53">
        <v>148.69999999999999</v>
      </c>
      <c r="G74" s="53">
        <v>47.3</v>
      </c>
      <c r="H74" s="53">
        <v>26.3</v>
      </c>
      <c r="I74" s="50">
        <v>321.8</v>
      </c>
      <c r="J74" s="56"/>
      <c r="K74" s="53">
        <v>108.8</v>
      </c>
      <c r="L74" s="53">
        <v>183.5</v>
      </c>
      <c r="M74" s="53">
        <v>0</v>
      </c>
      <c r="N74" s="53">
        <v>-0.9</v>
      </c>
      <c r="O74" s="53">
        <v>30.4</v>
      </c>
      <c r="P74" s="50">
        <v>321.8</v>
      </c>
      <c r="Q74" s="60"/>
      <c r="R74" s="37"/>
      <c r="S74" s="37"/>
      <c r="T74" s="37"/>
      <c r="U74" s="37"/>
      <c r="V74" s="37"/>
      <c r="W74" s="47"/>
      <c r="X74" s="48"/>
    </row>
    <row r="75" spans="1:24" s="21" customFormat="1" ht="12.75" customHeight="1" x14ac:dyDescent="0.3">
      <c r="A75" s="21">
        <v>35</v>
      </c>
      <c r="B75" s="21">
        <v>3</v>
      </c>
      <c r="C75" s="36" t="s">
        <v>118</v>
      </c>
      <c r="D75" s="23" t="s">
        <v>37</v>
      </c>
      <c r="E75" s="53">
        <v>65.3</v>
      </c>
      <c r="F75" s="53">
        <v>64.599999999999994</v>
      </c>
      <c r="G75" s="53">
        <v>22.6</v>
      </c>
      <c r="H75" s="53">
        <v>6.4</v>
      </c>
      <c r="I75" s="50">
        <v>158.80000000000001</v>
      </c>
      <c r="J75" s="56"/>
      <c r="K75" s="53">
        <v>144</v>
      </c>
      <c r="L75" s="53">
        <v>6.2</v>
      </c>
      <c r="M75" s="53">
        <v>0</v>
      </c>
      <c r="N75" s="53">
        <v>-1.8</v>
      </c>
      <c r="O75" s="53">
        <v>10.5</v>
      </c>
      <c r="P75" s="50">
        <v>158.80000000000001</v>
      </c>
      <c r="Q75" s="60"/>
      <c r="R75" s="37"/>
      <c r="S75" s="37"/>
      <c r="T75" s="37"/>
      <c r="U75" s="37"/>
      <c r="V75" s="37"/>
      <c r="W75" s="47"/>
      <c r="X75" s="48"/>
    </row>
    <row r="76" spans="1:24" s="21" customFormat="1" ht="12.75" customHeight="1" x14ac:dyDescent="0.3">
      <c r="A76" s="21">
        <v>36</v>
      </c>
      <c r="B76" s="21">
        <v>3</v>
      </c>
      <c r="C76" s="36" t="s">
        <v>119</v>
      </c>
      <c r="D76" s="23" t="s">
        <v>38</v>
      </c>
      <c r="E76" s="53">
        <v>224.2</v>
      </c>
      <c r="F76" s="53">
        <v>137.5</v>
      </c>
      <c r="G76" s="53">
        <v>62.8</v>
      </c>
      <c r="H76" s="53">
        <v>1.4</v>
      </c>
      <c r="I76" s="50">
        <v>425.8</v>
      </c>
      <c r="J76" s="56"/>
      <c r="K76" s="53">
        <v>348.3</v>
      </c>
      <c r="L76" s="53">
        <v>0</v>
      </c>
      <c r="M76" s="53">
        <v>0</v>
      </c>
      <c r="N76" s="53">
        <v>18.100000000000001</v>
      </c>
      <c r="O76" s="53">
        <v>59.4</v>
      </c>
      <c r="P76" s="50">
        <v>425.8</v>
      </c>
      <c r="Q76" s="60"/>
      <c r="R76" s="37"/>
      <c r="S76" s="37"/>
      <c r="T76" s="37"/>
      <c r="U76" s="37"/>
      <c r="V76" s="37"/>
      <c r="W76" s="47"/>
      <c r="X76" s="48"/>
    </row>
    <row r="77" spans="1:24" s="21" customFormat="1" ht="12.75" customHeight="1" x14ac:dyDescent="0.3">
      <c r="A77" s="21">
        <v>37</v>
      </c>
      <c r="B77" s="21">
        <v>3</v>
      </c>
      <c r="C77" s="36" t="s">
        <v>120</v>
      </c>
      <c r="D77" s="23" t="s">
        <v>39</v>
      </c>
      <c r="E77" s="53">
        <v>120.2</v>
      </c>
      <c r="F77" s="53">
        <v>60.5</v>
      </c>
      <c r="G77" s="53">
        <v>31.2</v>
      </c>
      <c r="H77" s="53">
        <v>1.9</v>
      </c>
      <c r="I77" s="50">
        <v>213.9</v>
      </c>
      <c r="J77" s="56"/>
      <c r="K77" s="53">
        <v>204.3</v>
      </c>
      <c r="L77" s="53">
        <v>0</v>
      </c>
      <c r="M77" s="53">
        <v>0</v>
      </c>
      <c r="N77" s="53">
        <v>1.9</v>
      </c>
      <c r="O77" s="53">
        <v>7.6</v>
      </c>
      <c r="P77" s="50">
        <v>213.9</v>
      </c>
      <c r="Q77" s="60"/>
      <c r="R77" s="37"/>
      <c r="S77" s="37"/>
      <c r="T77" s="37"/>
      <c r="U77" s="37"/>
      <c r="V77" s="37"/>
      <c r="W77" s="47"/>
      <c r="X77" s="48"/>
    </row>
    <row r="78" spans="1:24" s="21" customFormat="1" ht="12.75" customHeight="1" x14ac:dyDescent="0.3">
      <c r="A78" s="21">
        <v>38</v>
      </c>
      <c r="B78" s="21">
        <v>3</v>
      </c>
      <c r="C78" s="36" t="s">
        <v>121</v>
      </c>
      <c r="D78" s="23" t="s">
        <v>40</v>
      </c>
      <c r="E78" s="53">
        <v>276.2</v>
      </c>
      <c r="F78" s="53">
        <v>2471.6</v>
      </c>
      <c r="G78" s="53">
        <v>477.3</v>
      </c>
      <c r="H78" s="53">
        <v>25.7</v>
      </c>
      <c r="I78" s="50">
        <v>3250.7</v>
      </c>
      <c r="J78" s="56"/>
      <c r="K78" s="53">
        <v>724.5</v>
      </c>
      <c r="L78" s="53">
        <v>36.700000000000003</v>
      </c>
      <c r="M78" s="53">
        <v>0</v>
      </c>
      <c r="N78" s="53">
        <v>364.7</v>
      </c>
      <c r="O78" s="53">
        <v>2124.6999999999998</v>
      </c>
      <c r="P78" s="50">
        <v>3250.7</v>
      </c>
      <c r="Q78" s="60"/>
      <c r="R78" s="37"/>
      <c r="S78" s="37"/>
      <c r="T78" s="37"/>
      <c r="U78" s="37"/>
      <c r="V78" s="37"/>
      <c r="W78" s="47"/>
      <c r="X78" s="48"/>
    </row>
    <row r="79" spans="1:24" s="21" customFormat="1" ht="12.75" customHeight="1" x14ac:dyDescent="0.3">
      <c r="A79" s="21">
        <v>39</v>
      </c>
      <c r="B79" s="21">
        <v>3</v>
      </c>
      <c r="C79" s="36" t="s">
        <v>122</v>
      </c>
      <c r="D79" s="23" t="s">
        <v>41</v>
      </c>
      <c r="E79" s="53">
        <v>41.7</v>
      </c>
      <c r="F79" s="53">
        <v>963.3</v>
      </c>
      <c r="G79" s="53">
        <v>343.8</v>
      </c>
      <c r="H79" s="53">
        <v>52.5</v>
      </c>
      <c r="I79" s="50">
        <v>1401.4</v>
      </c>
      <c r="J79" s="56"/>
      <c r="K79" s="53">
        <v>150.69999999999999</v>
      </c>
      <c r="L79" s="53">
        <v>129.30000000000001</v>
      </c>
      <c r="M79" s="53">
        <v>0</v>
      </c>
      <c r="N79" s="53">
        <v>1057.5</v>
      </c>
      <c r="O79" s="53">
        <v>63.9</v>
      </c>
      <c r="P79" s="50">
        <v>1401.4</v>
      </c>
      <c r="Q79" s="60"/>
      <c r="R79" s="37"/>
      <c r="S79" s="37"/>
      <c r="T79" s="37"/>
      <c r="U79" s="37"/>
      <c r="V79" s="37"/>
      <c r="W79" s="47"/>
      <c r="X79" s="48"/>
    </row>
    <row r="80" spans="1:24" s="21" customFormat="1" ht="12.75" customHeight="1" x14ac:dyDescent="0.3">
      <c r="A80" s="21">
        <v>40</v>
      </c>
      <c r="B80" s="21">
        <v>3</v>
      </c>
      <c r="C80" s="36" t="s">
        <v>123</v>
      </c>
      <c r="D80" s="23" t="s">
        <v>42</v>
      </c>
      <c r="E80" s="53">
        <v>148.1</v>
      </c>
      <c r="F80" s="53">
        <v>466.2</v>
      </c>
      <c r="G80" s="53">
        <v>390.2</v>
      </c>
      <c r="H80" s="53">
        <v>66.900000000000006</v>
      </c>
      <c r="I80" s="50">
        <v>1071.4000000000001</v>
      </c>
      <c r="J80" s="56"/>
      <c r="K80" s="53">
        <v>299.8</v>
      </c>
      <c r="L80" s="53">
        <v>215.7</v>
      </c>
      <c r="M80" s="53">
        <v>0</v>
      </c>
      <c r="N80" s="53">
        <v>533.20000000000005</v>
      </c>
      <c r="O80" s="53">
        <v>22.7</v>
      </c>
      <c r="P80" s="50">
        <v>1071.4000000000001</v>
      </c>
      <c r="Q80" s="60"/>
      <c r="R80" s="37"/>
      <c r="S80" s="37"/>
      <c r="T80" s="37"/>
      <c r="U80" s="37"/>
      <c r="V80" s="37"/>
      <c r="W80" s="47"/>
      <c r="X80" s="48"/>
    </row>
    <row r="81" spans="1:24" s="21" customFormat="1" ht="12.75" customHeight="1" x14ac:dyDescent="0.3">
      <c r="A81" s="21">
        <v>41</v>
      </c>
      <c r="B81" s="21">
        <v>3</v>
      </c>
      <c r="C81" s="36" t="s">
        <v>124</v>
      </c>
      <c r="D81" s="23" t="s">
        <v>43</v>
      </c>
      <c r="E81" s="53">
        <v>114.2</v>
      </c>
      <c r="F81" s="53">
        <v>33.299999999999997</v>
      </c>
      <c r="G81" s="53">
        <v>59.6</v>
      </c>
      <c r="H81" s="53">
        <v>18.600000000000001</v>
      </c>
      <c r="I81" s="50">
        <v>225.7</v>
      </c>
      <c r="J81" s="56"/>
      <c r="K81" s="53">
        <v>11.9</v>
      </c>
      <c r="L81" s="53">
        <v>158.4</v>
      </c>
      <c r="M81" s="53">
        <v>0</v>
      </c>
      <c r="N81" s="53">
        <v>42.3</v>
      </c>
      <c r="O81" s="53">
        <v>13.1</v>
      </c>
      <c r="P81" s="50">
        <v>225.7</v>
      </c>
      <c r="Q81" s="60"/>
      <c r="R81" s="37"/>
      <c r="S81" s="37"/>
      <c r="T81" s="37"/>
      <c r="U81" s="37"/>
      <c r="V81" s="37"/>
      <c r="W81" s="47"/>
      <c r="X81" s="48"/>
    </row>
    <row r="82" spans="1:24" s="21" customFormat="1" ht="12.75" customHeight="1" x14ac:dyDescent="0.3">
      <c r="A82" s="21">
        <v>42</v>
      </c>
      <c r="B82" s="21">
        <v>3</v>
      </c>
      <c r="C82" s="36" t="s">
        <v>125</v>
      </c>
      <c r="D82" s="23" t="s">
        <v>44</v>
      </c>
      <c r="E82" s="53">
        <v>298.89999999999998</v>
      </c>
      <c r="F82" s="53">
        <v>233.4</v>
      </c>
      <c r="G82" s="53">
        <v>204</v>
      </c>
      <c r="H82" s="53">
        <v>13.8</v>
      </c>
      <c r="I82" s="50">
        <v>750</v>
      </c>
      <c r="J82" s="56"/>
      <c r="K82" s="53">
        <v>482.4</v>
      </c>
      <c r="L82" s="53">
        <v>115.4</v>
      </c>
      <c r="M82" s="53">
        <v>0</v>
      </c>
      <c r="N82" s="53">
        <v>122.3</v>
      </c>
      <c r="O82" s="53">
        <v>30</v>
      </c>
      <c r="P82" s="50">
        <v>750</v>
      </c>
      <c r="Q82" s="60"/>
      <c r="R82" s="37"/>
      <c r="S82" s="37"/>
      <c r="T82" s="37"/>
      <c r="U82" s="37"/>
      <c r="V82" s="37"/>
      <c r="W82" s="47"/>
      <c r="X82" s="48"/>
    </row>
    <row r="83" spans="1:24" s="21" customFormat="1" ht="12.75" customHeight="1" x14ac:dyDescent="0.3">
      <c r="A83" s="21">
        <v>43</v>
      </c>
      <c r="B83" s="46">
        <v>3</v>
      </c>
      <c r="C83" s="23" t="s">
        <v>126</v>
      </c>
      <c r="D83" s="23" t="s">
        <v>45</v>
      </c>
      <c r="E83" s="53">
        <v>13.1</v>
      </c>
      <c r="F83" s="53">
        <v>30.8</v>
      </c>
      <c r="G83" s="53">
        <v>0</v>
      </c>
      <c r="H83" s="53">
        <v>0</v>
      </c>
      <c r="I83" s="50">
        <v>43.9</v>
      </c>
      <c r="J83" s="56"/>
      <c r="K83" s="53">
        <v>43.5</v>
      </c>
      <c r="L83" s="53">
        <v>0</v>
      </c>
      <c r="M83" s="53">
        <v>0</v>
      </c>
      <c r="N83" s="53">
        <v>0</v>
      </c>
      <c r="O83" s="53">
        <v>0.4</v>
      </c>
      <c r="P83" s="50">
        <v>43.9</v>
      </c>
      <c r="Q83" s="60"/>
      <c r="R83" s="37"/>
      <c r="S83" s="37"/>
      <c r="T83" s="37"/>
      <c r="U83" s="37"/>
      <c r="V83" s="37"/>
      <c r="W83" s="47"/>
      <c r="X83" s="48"/>
    </row>
    <row r="84" spans="1:24" x14ac:dyDescent="0.3">
      <c r="A84" s="21">
        <v>44</v>
      </c>
      <c r="B84" s="21">
        <v>3</v>
      </c>
      <c r="C84" s="36" t="s">
        <v>127</v>
      </c>
      <c r="D84" s="23" t="s">
        <v>46</v>
      </c>
      <c r="E84" s="53">
        <v>284.5</v>
      </c>
      <c r="F84" s="53">
        <v>19.8</v>
      </c>
      <c r="G84" s="53">
        <v>0</v>
      </c>
      <c r="H84" s="53">
        <v>-30</v>
      </c>
      <c r="I84" s="50">
        <v>274.3</v>
      </c>
      <c r="J84" s="56"/>
      <c r="K84" s="53">
        <v>241.8</v>
      </c>
      <c r="L84" s="53">
        <v>30.7</v>
      </c>
      <c r="M84" s="53">
        <v>0</v>
      </c>
      <c r="N84" s="53">
        <v>0</v>
      </c>
      <c r="O84" s="53">
        <v>1.7</v>
      </c>
      <c r="P84" s="50">
        <v>274.3</v>
      </c>
      <c r="Q84" s="60"/>
      <c r="R84" s="37"/>
      <c r="S84" s="37"/>
      <c r="T84" s="37"/>
      <c r="U84" s="37"/>
      <c r="V84" s="37"/>
      <c r="W84" s="47"/>
      <c r="X84" s="48"/>
    </row>
    <row r="85" spans="1:24" x14ac:dyDescent="0.3">
      <c r="A85" s="21">
        <v>45</v>
      </c>
      <c r="B85" s="21">
        <v>3</v>
      </c>
      <c r="C85" s="36" t="s">
        <v>128</v>
      </c>
      <c r="D85" s="23" t="s">
        <v>47</v>
      </c>
      <c r="E85" s="53">
        <v>112.7</v>
      </c>
      <c r="F85" s="53">
        <v>0</v>
      </c>
      <c r="G85" s="53">
        <v>0</v>
      </c>
      <c r="H85" s="53">
        <v>3</v>
      </c>
      <c r="I85" s="50">
        <v>115.7</v>
      </c>
      <c r="J85" s="56"/>
      <c r="K85" s="53">
        <v>70.099999999999994</v>
      </c>
      <c r="L85" s="53">
        <v>45.5</v>
      </c>
      <c r="M85" s="53">
        <v>0</v>
      </c>
      <c r="N85" s="53">
        <v>0</v>
      </c>
      <c r="O85" s="53">
        <v>0</v>
      </c>
      <c r="P85" s="50">
        <v>115.7</v>
      </c>
      <c r="Q85" s="60"/>
      <c r="R85" s="37"/>
      <c r="S85" s="37"/>
      <c r="T85" s="37"/>
      <c r="U85" s="37"/>
      <c r="V85" s="37"/>
      <c r="W85" s="47"/>
      <c r="X85" s="48"/>
    </row>
    <row r="86" spans="1:24" x14ac:dyDescent="0.3">
      <c r="A86" s="21">
        <v>46</v>
      </c>
      <c r="B86" s="21">
        <v>3</v>
      </c>
      <c r="C86" s="36" t="s">
        <v>129</v>
      </c>
      <c r="D86" s="23" t="s">
        <v>48</v>
      </c>
      <c r="E86" s="53">
        <v>59</v>
      </c>
      <c r="F86" s="53">
        <v>0</v>
      </c>
      <c r="G86" s="53">
        <v>0</v>
      </c>
      <c r="H86" s="53">
        <v>0</v>
      </c>
      <c r="I86" s="50">
        <v>59</v>
      </c>
      <c r="J86" s="56"/>
      <c r="K86" s="53">
        <v>14.5</v>
      </c>
      <c r="L86" s="53">
        <v>44.6</v>
      </c>
      <c r="M86" s="53">
        <v>0</v>
      </c>
      <c r="N86" s="53">
        <v>0</v>
      </c>
      <c r="O86" s="53">
        <v>0</v>
      </c>
      <c r="P86" s="50">
        <v>59</v>
      </c>
      <c r="Q86" s="60"/>
      <c r="R86" s="37"/>
      <c r="S86" s="37"/>
      <c r="T86" s="37"/>
      <c r="U86" s="37"/>
      <c r="V86" s="37"/>
      <c r="W86" s="47"/>
      <c r="X86" s="48"/>
    </row>
    <row r="87" spans="1:24" x14ac:dyDescent="0.3">
      <c r="A87" s="21">
        <v>47</v>
      </c>
      <c r="B87" s="21">
        <v>3</v>
      </c>
      <c r="C87" s="36" t="s">
        <v>130</v>
      </c>
      <c r="D87" s="23" t="s">
        <v>49</v>
      </c>
      <c r="E87" s="53">
        <v>7289.3</v>
      </c>
      <c r="F87" s="53">
        <v>31.4</v>
      </c>
      <c r="G87" s="53">
        <v>0</v>
      </c>
      <c r="H87" s="53">
        <v>0</v>
      </c>
      <c r="I87" s="50">
        <v>7320.7</v>
      </c>
      <c r="J87" s="56"/>
      <c r="K87" s="53">
        <v>2813.2</v>
      </c>
      <c r="L87" s="53">
        <v>58.1</v>
      </c>
      <c r="M87" s="53">
        <v>0</v>
      </c>
      <c r="N87" s="53">
        <v>4443.3999999999996</v>
      </c>
      <c r="O87" s="53">
        <v>6.1</v>
      </c>
      <c r="P87" s="50">
        <v>7320.7</v>
      </c>
      <c r="Q87" s="60"/>
      <c r="R87" s="37"/>
      <c r="S87" s="37"/>
      <c r="T87" s="37"/>
      <c r="U87" s="37"/>
      <c r="V87" s="37"/>
      <c r="W87" s="47"/>
      <c r="X87" s="48"/>
    </row>
    <row r="88" spans="1:24" x14ac:dyDescent="0.3">
      <c r="A88" s="21">
        <v>48</v>
      </c>
      <c r="B88" s="21">
        <v>3</v>
      </c>
      <c r="C88" s="36" t="s">
        <v>131</v>
      </c>
      <c r="D88" s="23" t="s">
        <v>50</v>
      </c>
      <c r="E88" s="53">
        <v>0</v>
      </c>
      <c r="F88" s="53">
        <v>0</v>
      </c>
      <c r="G88" s="53">
        <v>0</v>
      </c>
      <c r="H88" s="53">
        <v>0</v>
      </c>
      <c r="I88" s="50">
        <v>0</v>
      </c>
      <c r="J88" s="56"/>
      <c r="K88" s="53">
        <v>0</v>
      </c>
      <c r="L88" s="53">
        <v>0</v>
      </c>
      <c r="M88" s="53">
        <v>0</v>
      </c>
      <c r="N88" s="53">
        <v>0</v>
      </c>
      <c r="O88" s="53">
        <v>0</v>
      </c>
      <c r="P88" s="50">
        <v>0</v>
      </c>
      <c r="Q88" s="60"/>
      <c r="R88" s="37"/>
      <c r="S88" s="37"/>
      <c r="T88" s="37"/>
      <c r="U88" s="37"/>
      <c r="V88" s="37"/>
      <c r="W88" s="47"/>
      <c r="X88" s="48"/>
    </row>
    <row r="89" spans="1:24" x14ac:dyDescent="0.3">
      <c r="A89" s="21">
        <v>49</v>
      </c>
      <c r="B89" s="21">
        <v>3</v>
      </c>
      <c r="C89" s="36" t="s">
        <v>132</v>
      </c>
      <c r="D89" s="23" t="s">
        <v>51</v>
      </c>
      <c r="E89" s="53">
        <v>229</v>
      </c>
      <c r="F89" s="53">
        <v>0</v>
      </c>
      <c r="G89" s="53">
        <v>0</v>
      </c>
      <c r="H89" s="53">
        <v>8.5</v>
      </c>
      <c r="I89" s="50">
        <v>237.5</v>
      </c>
      <c r="J89" s="56"/>
      <c r="K89" s="53">
        <v>185.5</v>
      </c>
      <c r="L89" s="53">
        <v>52.1</v>
      </c>
      <c r="M89" s="53">
        <v>0</v>
      </c>
      <c r="N89" s="53">
        <v>0</v>
      </c>
      <c r="O89" s="53">
        <v>0</v>
      </c>
      <c r="P89" s="50">
        <v>237.5</v>
      </c>
      <c r="Q89" s="60"/>
      <c r="R89" s="37"/>
      <c r="S89" s="37"/>
      <c r="T89" s="37"/>
      <c r="U89" s="37"/>
      <c r="V89" s="37"/>
      <c r="W89" s="47"/>
      <c r="X89" s="48"/>
    </row>
    <row r="90" spans="1:24" x14ac:dyDescent="0.3">
      <c r="A90" s="21">
        <v>50</v>
      </c>
      <c r="B90" s="21">
        <v>3</v>
      </c>
      <c r="C90" s="36" t="s">
        <v>133</v>
      </c>
      <c r="D90" s="23" t="s">
        <v>52</v>
      </c>
      <c r="E90" s="53">
        <v>166.6</v>
      </c>
      <c r="F90" s="53">
        <v>0</v>
      </c>
      <c r="G90" s="53">
        <v>-166.6</v>
      </c>
      <c r="H90" s="53">
        <v>0</v>
      </c>
      <c r="I90" s="50">
        <v>0</v>
      </c>
      <c r="J90" s="56"/>
      <c r="K90" s="53">
        <v>0</v>
      </c>
      <c r="L90" s="53">
        <v>0</v>
      </c>
      <c r="M90" s="53">
        <v>0</v>
      </c>
      <c r="N90" s="53">
        <v>0</v>
      </c>
      <c r="O90" s="53">
        <v>0</v>
      </c>
      <c r="P90" s="50">
        <v>0</v>
      </c>
      <c r="Q90" s="60"/>
      <c r="R90" s="37"/>
      <c r="S90" s="37"/>
      <c r="T90" s="37"/>
      <c r="U90" s="37"/>
      <c r="V90" s="37"/>
      <c r="W90" s="47"/>
      <c r="X90" s="48"/>
    </row>
    <row r="91" spans="1:24" x14ac:dyDescent="0.3">
      <c r="A91" s="21">
        <v>51</v>
      </c>
      <c r="B91" s="21">
        <v>3</v>
      </c>
      <c r="C91" s="36" t="s">
        <v>134</v>
      </c>
      <c r="D91" s="23" t="s">
        <v>53</v>
      </c>
      <c r="E91" s="53">
        <v>2137.6</v>
      </c>
      <c r="F91" s="53">
        <v>0</v>
      </c>
      <c r="G91" s="53">
        <v>-2137.6</v>
      </c>
      <c r="H91" s="53">
        <v>0</v>
      </c>
      <c r="I91" s="50">
        <v>0</v>
      </c>
      <c r="J91" s="56"/>
      <c r="K91" s="53">
        <v>0</v>
      </c>
      <c r="L91" s="53">
        <v>0</v>
      </c>
      <c r="M91" s="53">
        <v>0</v>
      </c>
      <c r="N91" s="53">
        <v>0</v>
      </c>
      <c r="O91" s="53">
        <v>0</v>
      </c>
      <c r="P91" s="50">
        <v>0</v>
      </c>
      <c r="Q91" s="60"/>
      <c r="R91" s="37"/>
      <c r="S91" s="37"/>
      <c r="T91" s="37"/>
      <c r="U91" s="37"/>
      <c r="V91" s="37"/>
      <c r="W91" s="47"/>
      <c r="X91" s="48"/>
    </row>
    <row r="92" spans="1:24" x14ac:dyDescent="0.3">
      <c r="A92" s="21">
        <v>52</v>
      </c>
      <c r="B92" s="21">
        <v>3</v>
      </c>
      <c r="C92" s="36" t="s">
        <v>135</v>
      </c>
      <c r="D92" s="23" t="s">
        <v>54</v>
      </c>
      <c r="E92" s="53">
        <v>828.4</v>
      </c>
      <c r="F92" s="53">
        <v>0</v>
      </c>
      <c r="G92" s="53">
        <v>-828.4</v>
      </c>
      <c r="H92" s="53">
        <v>0</v>
      </c>
      <c r="I92" s="50">
        <v>0</v>
      </c>
      <c r="J92" s="56"/>
      <c r="K92" s="53">
        <v>0</v>
      </c>
      <c r="L92" s="53">
        <v>0</v>
      </c>
      <c r="M92" s="53">
        <v>0</v>
      </c>
      <c r="N92" s="53">
        <v>0</v>
      </c>
      <c r="O92" s="53">
        <v>0</v>
      </c>
      <c r="P92" s="50">
        <v>0</v>
      </c>
      <c r="Q92" s="60"/>
      <c r="R92" s="37"/>
      <c r="S92" s="37"/>
      <c r="T92" s="37"/>
      <c r="U92" s="37"/>
      <c r="V92" s="37"/>
      <c r="W92" s="47"/>
      <c r="X92" s="48"/>
    </row>
    <row r="93" spans="1:24" x14ac:dyDescent="0.3">
      <c r="A93" s="21">
        <v>53</v>
      </c>
      <c r="B93" s="21">
        <v>3</v>
      </c>
      <c r="C93" s="36" t="s">
        <v>136</v>
      </c>
      <c r="D93" s="23" t="s">
        <v>55</v>
      </c>
      <c r="E93" s="53">
        <v>1474.6</v>
      </c>
      <c r="F93" s="53">
        <v>-433.4</v>
      </c>
      <c r="G93" s="53">
        <v>0</v>
      </c>
      <c r="H93" s="53">
        <v>22.4</v>
      </c>
      <c r="I93" s="50">
        <v>1063.7</v>
      </c>
      <c r="J93" s="56"/>
      <c r="K93" s="53">
        <v>759.6</v>
      </c>
      <c r="L93" s="53">
        <v>133</v>
      </c>
      <c r="M93" s="53">
        <v>0</v>
      </c>
      <c r="N93" s="53">
        <v>0</v>
      </c>
      <c r="O93" s="53">
        <v>171.1</v>
      </c>
      <c r="P93" s="50">
        <v>1063.7</v>
      </c>
      <c r="Q93" s="60"/>
      <c r="R93" s="37"/>
      <c r="S93" s="37"/>
      <c r="T93" s="37"/>
      <c r="U93" s="37"/>
      <c r="V93" s="37"/>
      <c r="W93" s="47"/>
      <c r="X93" s="48"/>
    </row>
    <row r="94" spans="1:24" x14ac:dyDescent="0.3">
      <c r="A94" s="21">
        <v>54</v>
      </c>
      <c r="B94" s="21">
        <v>3</v>
      </c>
      <c r="C94" s="36" t="s">
        <v>137</v>
      </c>
      <c r="D94" s="23" t="s">
        <v>56</v>
      </c>
      <c r="E94" s="53">
        <v>689.2</v>
      </c>
      <c r="F94" s="53">
        <v>71</v>
      </c>
      <c r="G94" s="53">
        <v>0</v>
      </c>
      <c r="H94" s="53">
        <v>-294</v>
      </c>
      <c r="I94" s="50">
        <v>466.2</v>
      </c>
      <c r="J94" s="56"/>
      <c r="K94" s="53">
        <v>205.4</v>
      </c>
      <c r="L94" s="53">
        <v>15.2</v>
      </c>
      <c r="M94" s="53">
        <v>0</v>
      </c>
      <c r="N94" s="53">
        <v>0</v>
      </c>
      <c r="O94" s="53">
        <v>245.6</v>
      </c>
      <c r="P94" s="50">
        <v>466.2</v>
      </c>
      <c r="Q94" s="60"/>
      <c r="R94" s="37"/>
      <c r="S94" s="37"/>
      <c r="T94" s="37"/>
      <c r="U94" s="37"/>
      <c r="V94" s="37"/>
      <c r="W94" s="47"/>
      <c r="X94" s="48"/>
    </row>
    <row r="95" spans="1:24" x14ac:dyDescent="0.3">
      <c r="A95" s="21">
        <v>55</v>
      </c>
      <c r="B95" s="21">
        <v>3</v>
      </c>
      <c r="C95" s="36" t="s">
        <v>138</v>
      </c>
      <c r="D95" s="23" t="s">
        <v>57</v>
      </c>
      <c r="E95" s="53">
        <v>250.7</v>
      </c>
      <c r="F95" s="53">
        <v>0</v>
      </c>
      <c r="G95" s="53">
        <v>0</v>
      </c>
      <c r="H95" s="53">
        <v>0.7</v>
      </c>
      <c r="I95" s="50">
        <v>251.4</v>
      </c>
      <c r="J95" s="56"/>
      <c r="K95" s="53">
        <v>248.9</v>
      </c>
      <c r="L95" s="53">
        <v>2.5</v>
      </c>
      <c r="M95" s="53">
        <v>0</v>
      </c>
      <c r="N95" s="53">
        <v>0</v>
      </c>
      <c r="O95" s="53">
        <v>0</v>
      </c>
      <c r="P95" s="50">
        <v>251.4</v>
      </c>
      <c r="Q95" s="60"/>
      <c r="R95" s="37"/>
      <c r="S95" s="37"/>
      <c r="T95" s="37"/>
      <c r="U95" s="37"/>
      <c r="V95" s="37"/>
      <c r="W95" s="47"/>
      <c r="X95" s="48"/>
    </row>
    <row r="96" spans="1:24" x14ac:dyDescent="0.3">
      <c r="A96" s="21">
        <v>56</v>
      </c>
      <c r="B96" s="21">
        <v>3</v>
      </c>
      <c r="C96" s="36" t="s">
        <v>139</v>
      </c>
      <c r="D96" s="23" t="s">
        <v>58</v>
      </c>
      <c r="E96" s="53">
        <v>19.100000000000001</v>
      </c>
      <c r="F96" s="53">
        <v>0.3</v>
      </c>
      <c r="G96" s="53">
        <v>0</v>
      </c>
      <c r="H96" s="53">
        <v>0</v>
      </c>
      <c r="I96" s="50">
        <v>19.3</v>
      </c>
      <c r="J96" s="56"/>
      <c r="K96" s="53">
        <v>16.7</v>
      </c>
      <c r="L96" s="53">
        <v>1</v>
      </c>
      <c r="M96" s="53">
        <v>0</v>
      </c>
      <c r="N96" s="53">
        <v>0</v>
      </c>
      <c r="O96" s="53">
        <v>1.7</v>
      </c>
      <c r="P96" s="50">
        <v>19.3</v>
      </c>
      <c r="Q96" s="60"/>
      <c r="R96" s="37"/>
      <c r="S96" s="37"/>
      <c r="T96" s="37"/>
      <c r="U96" s="37"/>
      <c r="V96" s="37"/>
      <c r="W96" s="47"/>
      <c r="X96" s="48"/>
    </row>
    <row r="97" spans="1:24" x14ac:dyDescent="0.3">
      <c r="A97" s="21">
        <v>57</v>
      </c>
      <c r="B97" s="21">
        <v>3</v>
      </c>
      <c r="C97" s="36" t="s">
        <v>140</v>
      </c>
      <c r="D97" s="23" t="s">
        <v>59</v>
      </c>
      <c r="E97" s="53">
        <v>1475.6</v>
      </c>
      <c r="F97" s="53">
        <v>330.4</v>
      </c>
      <c r="G97" s="53">
        <v>0</v>
      </c>
      <c r="H97" s="53">
        <v>82.7</v>
      </c>
      <c r="I97" s="50">
        <v>1888.8</v>
      </c>
      <c r="J97" s="56"/>
      <c r="K97" s="53">
        <v>245.5</v>
      </c>
      <c r="L97" s="53">
        <v>1147.3</v>
      </c>
      <c r="M97" s="53">
        <v>0</v>
      </c>
      <c r="N97" s="53">
        <v>0</v>
      </c>
      <c r="O97" s="53">
        <v>495.9</v>
      </c>
      <c r="P97" s="50">
        <v>1888.8</v>
      </c>
      <c r="Q97" s="60"/>
      <c r="R97" s="37"/>
      <c r="S97" s="37"/>
      <c r="T97" s="37"/>
      <c r="U97" s="37"/>
      <c r="V97" s="37"/>
      <c r="W97" s="47"/>
      <c r="X97" s="48"/>
    </row>
    <row r="98" spans="1:24" x14ac:dyDescent="0.3">
      <c r="A98" s="21">
        <v>58</v>
      </c>
      <c r="B98" s="21">
        <v>3</v>
      </c>
      <c r="C98" s="36" t="s">
        <v>141</v>
      </c>
      <c r="D98" s="23" t="s">
        <v>60</v>
      </c>
      <c r="E98" s="53">
        <v>211.4</v>
      </c>
      <c r="F98" s="53">
        <v>9.1</v>
      </c>
      <c r="G98" s="53">
        <v>0</v>
      </c>
      <c r="H98" s="53">
        <v>14.1</v>
      </c>
      <c r="I98" s="50">
        <v>234.6</v>
      </c>
      <c r="J98" s="56"/>
      <c r="K98" s="53">
        <v>109.7</v>
      </c>
      <c r="L98" s="53">
        <v>124.6</v>
      </c>
      <c r="M98" s="53">
        <v>0</v>
      </c>
      <c r="N98" s="53">
        <v>0</v>
      </c>
      <c r="O98" s="53">
        <v>0.2</v>
      </c>
      <c r="P98" s="50">
        <v>234.6</v>
      </c>
      <c r="Q98" s="60"/>
      <c r="R98" s="37"/>
      <c r="S98" s="37"/>
      <c r="T98" s="37"/>
      <c r="U98" s="37"/>
      <c r="V98" s="37"/>
      <c r="W98" s="47"/>
      <c r="X98" s="48"/>
    </row>
    <row r="99" spans="1:24" x14ac:dyDescent="0.3">
      <c r="A99" s="21">
        <v>59</v>
      </c>
      <c r="B99" s="21">
        <v>3</v>
      </c>
      <c r="C99" s="36" t="s">
        <v>142</v>
      </c>
      <c r="D99" s="23" t="s">
        <v>61</v>
      </c>
      <c r="E99" s="53">
        <v>314.2</v>
      </c>
      <c r="F99" s="53">
        <v>32.200000000000003</v>
      </c>
      <c r="G99" s="53">
        <v>0</v>
      </c>
      <c r="H99" s="53">
        <v>21.1</v>
      </c>
      <c r="I99" s="50">
        <v>367.5</v>
      </c>
      <c r="J99" s="56"/>
      <c r="K99" s="53">
        <v>287.39999999999998</v>
      </c>
      <c r="L99" s="53">
        <v>34.6</v>
      </c>
      <c r="M99" s="53">
        <v>0</v>
      </c>
      <c r="N99" s="53">
        <v>0</v>
      </c>
      <c r="O99" s="53">
        <v>45.4</v>
      </c>
      <c r="P99" s="50">
        <v>367.5</v>
      </c>
      <c r="Q99" s="60"/>
      <c r="R99" s="37"/>
      <c r="S99" s="37"/>
      <c r="T99" s="37"/>
      <c r="U99" s="37"/>
      <c r="V99" s="37"/>
      <c r="W99" s="47"/>
      <c r="X99" s="48"/>
    </row>
    <row r="100" spans="1:24" x14ac:dyDescent="0.3">
      <c r="A100" s="21">
        <v>60</v>
      </c>
      <c r="B100" s="21">
        <v>3</v>
      </c>
      <c r="C100" s="36" t="s">
        <v>143</v>
      </c>
      <c r="D100" s="23" t="s">
        <v>62</v>
      </c>
      <c r="E100" s="53">
        <v>186.7</v>
      </c>
      <c r="F100" s="53">
        <v>0</v>
      </c>
      <c r="G100" s="53">
        <v>0</v>
      </c>
      <c r="H100" s="53">
        <v>0</v>
      </c>
      <c r="I100" s="50">
        <v>186.7</v>
      </c>
      <c r="J100" s="56"/>
      <c r="K100" s="53">
        <v>186.7</v>
      </c>
      <c r="L100" s="53">
        <v>0</v>
      </c>
      <c r="M100" s="53">
        <v>0</v>
      </c>
      <c r="N100" s="53">
        <v>0</v>
      </c>
      <c r="O100" s="53">
        <v>0</v>
      </c>
      <c r="P100" s="50">
        <v>186.7</v>
      </c>
      <c r="Q100" s="60"/>
      <c r="R100" s="37"/>
      <c r="S100" s="37"/>
      <c r="T100" s="37"/>
      <c r="U100" s="37"/>
      <c r="V100" s="37"/>
      <c r="W100" s="47"/>
      <c r="X100" s="48"/>
    </row>
    <row r="101" spans="1:24" x14ac:dyDescent="0.3">
      <c r="A101" s="21">
        <v>61</v>
      </c>
      <c r="B101" s="21">
        <v>3</v>
      </c>
      <c r="C101" s="36" t="s">
        <v>144</v>
      </c>
      <c r="D101" s="23" t="s">
        <v>63</v>
      </c>
      <c r="E101" s="53">
        <v>256.3</v>
      </c>
      <c r="F101" s="53">
        <v>35.700000000000003</v>
      </c>
      <c r="G101" s="53">
        <v>0</v>
      </c>
      <c r="H101" s="53">
        <v>0</v>
      </c>
      <c r="I101" s="50">
        <v>292</v>
      </c>
      <c r="J101" s="56"/>
      <c r="K101" s="53">
        <v>118.7</v>
      </c>
      <c r="L101" s="53">
        <v>70</v>
      </c>
      <c r="M101" s="53">
        <v>60.2</v>
      </c>
      <c r="N101" s="53">
        <v>0</v>
      </c>
      <c r="O101" s="53">
        <v>43.2</v>
      </c>
      <c r="P101" s="50">
        <v>292</v>
      </c>
      <c r="Q101" s="60"/>
      <c r="R101" s="37"/>
      <c r="S101" s="37"/>
      <c r="T101" s="37"/>
      <c r="U101" s="37"/>
      <c r="V101" s="37"/>
      <c r="W101" s="47"/>
      <c r="X101" s="48"/>
    </row>
    <row r="102" spans="1:24" x14ac:dyDescent="0.3">
      <c r="A102" s="21">
        <v>62</v>
      </c>
      <c r="B102" s="21">
        <v>3</v>
      </c>
      <c r="C102" s="36" t="s">
        <v>145</v>
      </c>
      <c r="D102" s="23" t="s">
        <v>64</v>
      </c>
      <c r="E102" s="53">
        <v>161.30000000000001</v>
      </c>
      <c r="F102" s="53">
        <v>-45.8</v>
      </c>
      <c r="G102" s="53">
        <v>0</v>
      </c>
      <c r="H102" s="53">
        <v>6.3</v>
      </c>
      <c r="I102" s="50">
        <v>121.9</v>
      </c>
      <c r="J102" s="56"/>
      <c r="K102" s="53">
        <v>85.1</v>
      </c>
      <c r="L102" s="53">
        <v>36.200000000000003</v>
      </c>
      <c r="M102" s="53">
        <v>0</v>
      </c>
      <c r="N102" s="53">
        <v>0</v>
      </c>
      <c r="O102" s="53">
        <v>0.6</v>
      </c>
      <c r="P102" s="50">
        <v>121.9</v>
      </c>
      <c r="Q102" s="60"/>
      <c r="R102" s="37"/>
      <c r="S102" s="37"/>
      <c r="T102" s="37"/>
      <c r="U102" s="37"/>
      <c r="V102" s="37"/>
      <c r="W102" s="47"/>
      <c r="X102" s="48"/>
    </row>
    <row r="103" spans="1:24" x14ac:dyDescent="0.3">
      <c r="A103" s="21">
        <v>63</v>
      </c>
      <c r="B103" s="21">
        <v>3</v>
      </c>
      <c r="C103" s="36" t="s">
        <v>146</v>
      </c>
      <c r="D103" s="23" t="s">
        <v>65</v>
      </c>
      <c r="E103" s="53">
        <v>446.5</v>
      </c>
      <c r="F103" s="53">
        <v>0</v>
      </c>
      <c r="G103" s="53">
        <v>0</v>
      </c>
      <c r="H103" s="53">
        <v>0.3</v>
      </c>
      <c r="I103" s="50">
        <v>446.8</v>
      </c>
      <c r="J103" s="56"/>
      <c r="K103" s="53">
        <v>445.8</v>
      </c>
      <c r="L103" s="53">
        <v>1</v>
      </c>
      <c r="M103" s="53">
        <v>0</v>
      </c>
      <c r="N103" s="53">
        <v>0</v>
      </c>
      <c r="O103" s="53">
        <v>0</v>
      </c>
      <c r="P103" s="50">
        <v>446.8</v>
      </c>
      <c r="Q103" s="60"/>
      <c r="R103" s="37"/>
      <c r="S103" s="37"/>
      <c r="T103" s="37"/>
      <c r="U103" s="37"/>
      <c r="V103" s="37"/>
      <c r="W103" s="47"/>
      <c r="X103" s="48"/>
    </row>
    <row r="104" spans="1:24" x14ac:dyDescent="0.3">
      <c r="A104" s="21">
        <v>64</v>
      </c>
      <c r="B104" s="21">
        <v>3</v>
      </c>
      <c r="C104" s="36" t="s">
        <v>147</v>
      </c>
      <c r="D104" s="23" t="s">
        <v>66</v>
      </c>
      <c r="E104" s="53">
        <v>945.2</v>
      </c>
      <c r="F104" s="53">
        <v>25.1</v>
      </c>
      <c r="G104" s="53">
        <v>0</v>
      </c>
      <c r="H104" s="53">
        <v>0</v>
      </c>
      <c r="I104" s="50">
        <v>970.3</v>
      </c>
      <c r="J104" s="56"/>
      <c r="K104" s="53">
        <v>61.2</v>
      </c>
      <c r="L104" s="53">
        <v>829.3</v>
      </c>
      <c r="M104" s="53">
        <v>0</v>
      </c>
      <c r="N104" s="53">
        <v>0</v>
      </c>
      <c r="O104" s="53">
        <v>79.8</v>
      </c>
      <c r="P104" s="50">
        <v>970.3</v>
      </c>
      <c r="Q104" s="60"/>
      <c r="R104" s="37"/>
      <c r="S104" s="37"/>
      <c r="T104" s="37"/>
      <c r="U104" s="37"/>
      <c r="V104" s="37"/>
      <c r="W104" s="47"/>
      <c r="X104" s="48"/>
    </row>
    <row r="105" spans="1:24" x14ac:dyDescent="0.3">
      <c r="A105" s="21">
        <v>65</v>
      </c>
      <c r="B105" s="21">
        <v>3</v>
      </c>
      <c r="C105" s="36" t="s">
        <v>148</v>
      </c>
      <c r="D105" s="23" t="s">
        <v>67</v>
      </c>
      <c r="E105" s="53">
        <v>470.5</v>
      </c>
      <c r="F105" s="53">
        <v>0</v>
      </c>
      <c r="G105" s="53">
        <v>0</v>
      </c>
      <c r="H105" s="53">
        <v>34</v>
      </c>
      <c r="I105" s="50">
        <v>504.4</v>
      </c>
      <c r="J105" s="56"/>
      <c r="K105" s="53">
        <v>257</v>
      </c>
      <c r="L105" s="53">
        <v>247.5</v>
      </c>
      <c r="M105" s="53">
        <v>0</v>
      </c>
      <c r="N105" s="53">
        <v>0</v>
      </c>
      <c r="O105" s="53">
        <v>0</v>
      </c>
      <c r="P105" s="50">
        <v>504.4</v>
      </c>
      <c r="Q105" s="60"/>
      <c r="R105" s="37"/>
      <c r="S105" s="37"/>
      <c r="T105" s="37"/>
      <c r="U105" s="37"/>
      <c r="V105" s="37"/>
      <c r="W105" s="47"/>
      <c r="X105" s="48"/>
    </row>
    <row r="106" spans="1:24" x14ac:dyDescent="0.3">
      <c r="A106" s="21">
        <v>66</v>
      </c>
      <c r="B106" s="21">
        <v>3</v>
      </c>
      <c r="C106" s="36" t="s">
        <v>149</v>
      </c>
      <c r="D106" s="23" t="s">
        <v>68</v>
      </c>
      <c r="E106" s="53">
        <v>277</v>
      </c>
      <c r="F106" s="53">
        <v>0</v>
      </c>
      <c r="G106" s="53">
        <v>0</v>
      </c>
      <c r="H106" s="53">
        <v>0</v>
      </c>
      <c r="I106" s="50">
        <v>277</v>
      </c>
      <c r="J106" s="56"/>
      <c r="K106" s="53">
        <v>274.8</v>
      </c>
      <c r="L106" s="53">
        <v>2.1</v>
      </c>
      <c r="M106" s="53">
        <v>0</v>
      </c>
      <c r="N106" s="53">
        <v>0</v>
      </c>
      <c r="O106" s="53">
        <v>0</v>
      </c>
      <c r="P106" s="50">
        <v>277</v>
      </c>
      <c r="Q106" s="60"/>
      <c r="R106" s="37"/>
      <c r="S106" s="37"/>
      <c r="T106" s="37"/>
      <c r="U106" s="37"/>
      <c r="V106" s="37"/>
      <c r="W106" s="47"/>
      <c r="X106" s="48"/>
    </row>
    <row r="107" spans="1:24" x14ac:dyDescent="0.3">
      <c r="A107" s="21">
        <v>67</v>
      </c>
      <c r="B107" s="21">
        <v>3</v>
      </c>
      <c r="C107" s="36" t="s">
        <v>150</v>
      </c>
      <c r="D107" s="23" t="s">
        <v>69</v>
      </c>
      <c r="E107" s="53">
        <v>135.4</v>
      </c>
      <c r="F107" s="53">
        <v>0</v>
      </c>
      <c r="G107" s="53">
        <v>0</v>
      </c>
      <c r="H107" s="53">
        <v>0</v>
      </c>
      <c r="I107" s="50">
        <v>135.4</v>
      </c>
      <c r="J107" s="56"/>
      <c r="K107" s="53">
        <v>135.4</v>
      </c>
      <c r="L107" s="53">
        <v>0</v>
      </c>
      <c r="M107" s="53">
        <v>0</v>
      </c>
      <c r="N107" s="53">
        <v>0</v>
      </c>
      <c r="O107" s="53">
        <v>0</v>
      </c>
      <c r="P107" s="50">
        <v>135.4</v>
      </c>
      <c r="Q107" s="60"/>
      <c r="R107" s="37"/>
      <c r="S107" s="37"/>
      <c r="T107" s="37"/>
      <c r="U107" s="37"/>
      <c r="V107" s="37"/>
      <c r="W107" s="47"/>
      <c r="X107" s="48"/>
    </row>
    <row r="108" spans="1:24" x14ac:dyDescent="0.3">
      <c r="A108" s="21">
        <v>68</v>
      </c>
      <c r="B108" s="21">
        <v>3</v>
      </c>
      <c r="C108" s="36" t="s">
        <v>151</v>
      </c>
      <c r="D108" s="23" t="s">
        <v>70</v>
      </c>
      <c r="E108" s="53">
        <v>532.20000000000005</v>
      </c>
      <c r="F108" s="53">
        <v>0.4</v>
      </c>
      <c r="G108" s="53">
        <v>0</v>
      </c>
      <c r="H108" s="53">
        <v>2.9</v>
      </c>
      <c r="I108" s="50">
        <v>535.6</v>
      </c>
      <c r="J108" s="56"/>
      <c r="K108" s="53">
        <v>516.20000000000005</v>
      </c>
      <c r="L108" s="53">
        <v>18.399999999999999</v>
      </c>
      <c r="M108" s="53">
        <v>0</v>
      </c>
      <c r="N108" s="53">
        <v>0</v>
      </c>
      <c r="O108" s="53">
        <v>0.9</v>
      </c>
      <c r="P108" s="50">
        <v>535.6</v>
      </c>
      <c r="Q108" s="60"/>
      <c r="R108" s="37"/>
      <c r="S108" s="37"/>
      <c r="T108" s="37"/>
      <c r="U108" s="37"/>
      <c r="V108" s="37"/>
      <c r="W108" s="47"/>
      <c r="X108" s="48"/>
    </row>
    <row r="109" spans="1:24" x14ac:dyDescent="0.3">
      <c r="A109" s="21">
        <v>69</v>
      </c>
      <c r="B109" s="21">
        <v>3</v>
      </c>
      <c r="C109" s="36" t="s">
        <v>152</v>
      </c>
      <c r="D109" s="23" t="s">
        <v>71</v>
      </c>
      <c r="E109" s="53">
        <v>209.6</v>
      </c>
      <c r="F109" s="53">
        <v>0</v>
      </c>
      <c r="G109" s="53">
        <v>0</v>
      </c>
      <c r="H109" s="53">
        <v>21.6</v>
      </c>
      <c r="I109" s="50">
        <v>231.2</v>
      </c>
      <c r="J109" s="56"/>
      <c r="K109" s="53">
        <v>0</v>
      </c>
      <c r="L109" s="53">
        <v>231.2</v>
      </c>
      <c r="M109" s="53">
        <v>0</v>
      </c>
      <c r="N109" s="53">
        <v>0</v>
      </c>
      <c r="O109" s="53">
        <v>0</v>
      </c>
      <c r="P109" s="50">
        <v>231.2</v>
      </c>
      <c r="Q109" s="60"/>
      <c r="R109" s="37"/>
      <c r="S109" s="37"/>
      <c r="T109" s="37"/>
      <c r="U109" s="37"/>
      <c r="V109" s="37"/>
      <c r="W109" s="47"/>
      <c r="X109" s="48"/>
    </row>
    <row r="110" spans="1:24" x14ac:dyDescent="0.3">
      <c r="A110" s="21">
        <v>70</v>
      </c>
      <c r="B110" s="21">
        <v>3</v>
      </c>
      <c r="C110" s="36" t="s">
        <v>153</v>
      </c>
      <c r="D110" s="23" t="s">
        <v>72</v>
      </c>
      <c r="E110" s="53">
        <v>1013.9</v>
      </c>
      <c r="F110" s="53">
        <v>27</v>
      </c>
      <c r="G110" s="53">
        <v>0</v>
      </c>
      <c r="H110" s="53">
        <v>3.1</v>
      </c>
      <c r="I110" s="50">
        <v>1044</v>
      </c>
      <c r="J110" s="56"/>
      <c r="K110" s="53">
        <v>1025.4000000000001</v>
      </c>
      <c r="L110" s="53">
        <v>13</v>
      </c>
      <c r="M110" s="53">
        <v>0</v>
      </c>
      <c r="N110" s="53">
        <v>0</v>
      </c>
      <c r="O110" s="53">
        <v>5.6</v>
      </c>
      <c r="P110" s="50">
        <v>1044</v>
      </c>
      <c r="Q110" s="60"/>
      <c r="R110" s="37"/>
      <c r="S110" s="37"/>
      <c r="T110" s="37"/>
      <c r="U110" s="37"/>
      <c r="V110" s="37"/>
      <c r="W110" s="47"/>
      <c r="X110" s="48"/>
    </row>
    <row r="111" spans="1:24" x14ac:dyDescent="0.3">
      <c r="A111" s="21">
        <v>71</v>
      </c>
      <c r="B111" s="21">
        <v>3</v>
      </c>
      <c r="C111" s="36" t="s">
        <v>154</v>
      </c>
      <c r="D111" s="23" t="s">
        <v>73</v>
      </c>
      <c r="E111" s="53">
        <v>2440.3000000000002</v>
      </c>
      <c r="F111" s="53">
        <v>0</v>
      </c>
      <c r="G111" s="53">
        <v>0</v>
      </c>
      <c r="H111" s="53">
        <v>0</v>
      </c>
      <c r="I111" s="50">
        <v>2440.3000000000002</v>
      </c>
      <c r="J111" s="56"/>
      <c r="K111" s="53">
        <v>0</v>
      </c>
      <c r="L111" s="53">
        <v>48.8</v>
      </c>
      <c r="M111" s="53">
        <v>2190.3000000000002</v>
      </c>
      <c r="N111" s="53">
        <v>0</v>
      </c>
      <c r="O111" s="53">
        <v>201.3</v>
      </c>
      <c r="P111" s="50">
        <v>2440.3000000000002</v>
      </c>
      <c r="Q111" s="60"/>
      <c r="R111" s="37"/>
      <c r="S111" s="37"/>
      <c r="T111" s="37"/>
      <c r="U111" s="37"/>
      <c r="V111" s="37"/>
      <c r="W111" s="47"/>
      <c r="X111" s="48"/>
    </row>
    <row r="112" spans="1:24" x14ac:dyDescent="0.3">
      <c r="A112" s="21">
        <v>72</v>
      </c>
      <c r="B112" s="21">
        <v>3</v>
      </c>
      <c r="C112" s="36" t="s">
        <v>155</v>
      </c>
      <c r="D112" s="23" t="s">
        <v>74</v>
      </c>
      <c r="E112" s="53">
        <v>1073.9000000000001</v>
      </c>
      <c r="F112" s="53">
        <v>0</v>
      </c>
      <c r="G112" s="53">
        <v>0</v>
      </c>
      <c r="H112" s="53">
        <v>21.1</v>
      </c>
      <c r="I112" s="50">
        <v>1094.9000000000001</v>
      </c>
      <c r="J112" s="56"/>
      <c r="K112" s="53">
        <v>0.5</v>
      </c>
      <c r="L112" s="53">
        <v>205.6</v>
      </c>
      <c r="M112" s="53">
        <v>888.8</v>
      </c>
      <c r="N112" s="53">
        <v>0</v>
      </c>
      <c r="O112" s="53">
        <v>0</v>
      </c>
      <c r="P112" s="50">
        <v>1094.9000000000001</v>
      </c>
      <c r="Q112" s="60"/>
      <c r="R112" s="37"/>
      <c r="S112" s="37"/>
      <c r="T112" s="37"/>
      <c r="U112" s="37"/>
      <c r="V112" s="37"/>
      <c r="W112" s="47"/>
      <c r="X112" s="48"/>
    </row>
    <row r="113" spans="1:24" x14ac:dyDescent="0.3">
      <c r="A113" s="21">
        <v>73</v>
      </c>
      <c r="B113" s="21">
        <v>3</v>
      </c>
      <c r="C113" s="36" t="s">
        <v>156</v>
      </c>
      <c r="D113" s="23" t="s">
        <v>75</v>
      </c>
      <c r="E113" s="53">
        <v>416.3</v>
      </c>
      <c r="F113" s="53">
        <v>0</v>
      </c>
      <c r="G113" s="53">
        <v>0</v>
      </c>
      <c r="H113" s="53">
        <v>6.9</v>
      </c>
      <c r="I113" s="50">
        <v>423.2</v>
      </c>
      <c r="J113" s="56"/>
      <c r="K113" s="53">
        <v>6.7</v>
      </c>
      <c r="L113" s="53">
        <v>65.5</v>
      </c>
      <c r="M113" s="53">
        <v>351</v>
      </c>
      <c r="N113" s="53">
        <v>0</v>
      </c>
      <c r="O113" s="53">
        <v>0</v>
      </c>
      <c r="P113" s="50">
        <v>423.2</v>
      </c>
      <c r="Q113" s="60"/>
      <c r="R113" s="37"/>
      <c r="S113" s="37"/>
      <c r="T113" s="37"/>
      <c r="U113" s="37"/>
      <c r="V113" s="37"/>
      <c r="W113" s="47"/>
      <c r="X113" s="48"/>
    </row>
    <row r="114" spans="1:24" x14ac:dyDescent="0.3">
      <c r="A114" s="21">
        <v>74</v>
      </c>
      <c r="B114" s="21">
        <v>3</v>
      </c>
      <c r="C114" s="36" t="s">
        <v>157</v>
      </c>
      <c r="D114" s="23" t="s">
        <v>76</v>
      </c>
      <c r="E114" s="53">
        <v>106.9</v>
      </c>
      <c r="F114" s="53">
        <v>0</v>
      </c>
      <c r="G114" s="53">
        <v>0</v>
      </c>
      <c r="H114" s="53">
        <v>1.5</v>
      </c>
      <c r="I114" s="50">
        <v>108.4</v>
      </c>
      <c r="J114" s="56"/>
      <c r="K114" s="53">
        <v>0</v>
      </c>
      <c r="L114" s="53">
        <v>13.3</v>
      </c>
      <c r="M114" s="53">
        <v>95.2</v>
      </c>
      <c r="N114" s="53">
        <v>0</v>
      </c>
      <c r="O114" s="53">
        <v>0</v>
      </c>
      <c r="P114" s="50">
        <v>108.4</v>
      </c>
      <c r="Q114" s="60"/>
      <c r="R114" s="37"/>
      <c r="S114" s="37"/>
      <c r="T114" s="37"/>
      <c r="U114" s="37"/>
      <c r="V114" s="37"/>
      <c r="W114" s="47"/>
      <c r="X114" s="48"/>
    </row>
    <row r="115" spans="1:24" x14ac:dyDescent="0.3">
      <c r="A115" s="21">
        <v>75</v>
      </c>
      <c r="B115" s="21">
        <v>3</v>
      </c>
      <c r="C115" s="36" t="s">
        <v>158</v>
      </c>
      <c r="D115" s="23" t="s">
        <v>77</v>
      </c>
      <c r="E115" s="53">
        <v>49.4</v>
      </c>
      <c r="F115" s="53">
        <v>16.399999999999999</v>
      </c>
      <c r="G115" s="53">
        <v>0</v>
      </c>
      <c r="H115" s="53">
        <v>1.1000000000000001</v>
      </c>
      <c r="I115" s="50">
        <v>67</v>
      </c>
      <c r="J115" s="56"/>
      <c r="K115" s="53">
        <v>0</v>
      </c>
      <c r="L115" s="53">
        <v>33</v>
      </c>
      <c r="M115" s="53">
        <v>0</v>
      </c>
      <c r="N115" s="53">
        <v>0</v>
      </c>
      <c r="O115" s="53">
        <v>33.9</v>
      </c>
      <c r="P115" s="50">
        <v>67</v>
      </c>
      <c r="Q115" s="60"/>
      <c r="R115" s="37"/>
      <c r="S115" s="37"/>
      <c r="T115" s="37"/>
      <c r="U115" s="37"/>
      <c r="V115" s="37"/>
      <c r="W115" s="47"/>
      <c r="X115" s="48"/>
    </row>
    <row r="116" spans="1:24" x14ac:dyDescent="0.3">
      <c r="A116" s="21">
        <v>76</v>
      </c>
      <c r="B116" s="21">
        <v>3</v>
      </c>
      <c r="C116" s="36" t="s">
        <v>159</v>
      </c>
      <c r="D116" s="23" t="s">
        <v>78</v>
      </c>
      <c r="E116" s="53">
        <v>278</v>
      </c>
      <c r="F116" s="53">
        <v>76</v>
      </c>
      <c r="G116" s="53">
        <v>0</v>
      </c>
      <c r="H116" s="53">
        <v>14.9</v>
      </c>
      <c r="I116" s="50">
        <v>368.9</v>
      </c>
      <c r="J116" s="56"/>
      <c r="K116" s="53">
        <v>93.9</v>
      </c>
      <c r="L116" s="53">
        <v>182.4</v>
      </c>
      <c r="M116" s="53">
        <v>0</v>
      </c>
      <c r="N116" s="53">
        <v>0</v>
      </c>
      <c r="O116" s="53">
        <v>92.5</v>
      </c>
      <c r="P116" s="50">
        <v>368.9</v>
      </c>
      <c r="Q116" s="60"/>
      <c r="R116" s="37"/>
      <c r="S116" s="37"/>
      <c r="T116" s="37"/>
      <c r="U116" s="37"/>
      <c r="V116" s="37"/>
      <c r="W116" s="47"/>
      <c r="X116" s="48"/>
    </row>
    <row r="117" spans="1:24" x14ac:dyDescent="0.3">
      <c r="A117" s="21">
        <v>77</v>
      </c>
      <c r="B117" s="21">
        <v>3</v>
      </c>
      <c r="C117" s="36" t="s">
        <v>160</v>
      </c>
      <c r="D117" s="23" t="s">
        <v>79</v>
      </c>
      <c r="E117" s="53">
        <v>508.2</v>
      </c>
      <c r="F117" s="53">
        <v>0</v>
      </c>
      <c r="G117" s="53">
        <v>0</v>
      </c>
      <c r="H117" s="53">
        <v>30.5</v>
      </c>
      <c r="I117" s="50">
        <v>538.6</v>
      </c>
      <c r="J117" s="56"/>
      <c r="K117" s="53">
        <v>165.4</v>
      </c>
      <c r="L117" s="53">
        <v>280.7</v>
      </c>
      <c r="M117" s="53">
        <v>92.5</v>
      </c>
      <c r="N117" s="53">
        <v>0</v>
      </c>
      <c r="O117" s="53">
        <v>0</v>
      </c>
      <c r="P117" s="50">
        <v>538.6</v>
      </c>
      <c r="Q117" s="60"/>
      <c r="R117" s="37"/>
      <c r="S117" s="37"/>
      <c r="T117" s="37"/>
      <c r="U117" s="37"/>
      <c r="V117" s="37"/>
      <c r="W117" s="47"/>
      <c r="X117" s="48"/>
    </row>
    <row r="118" spans="1:24" x14ac:dyDescent="0.3">
      <c r="A118" s="21">
        <v>78</v>
      </c>
      <c r="B118" s="21">
        <v>3</v>
      </c>
      <c r="C118" s="36" t="s">
        <v>161</v>
      </c>
      <c r="D118" s="23" t="s">
        <v>80</v>
      </c>
      <c r="E118" s="53">
        <v>62.4</v>
      </c>
      <c r="F118" s="53">
        <v>0</v>
      </c>
      <c r="G118" s="53">
        <v>0</v>
      </c>
      <c r="H118" s="53">
        <v>0</v>
      </c>
      <c r="I118" s="50">
        <v>62.4</v>
      </c>
      <c r="J118" s="56"/>
      <c r="K118" s="53">
        <v>0</v>
      </c>
      <c r="L118" s="53">
        <v>62.4</v>
      </c>
      <c r="M118" s="53">
        <v>0</v>
      </c>
      <c r="N118" s="53">
        <v>0</v>
      </c>
      <c r="O118" s="53">
        <v>0</v>
      </c>
      <c r="P118" s="50">
        <v>62.4</v>
      </c>
      <c r="Q118" s="60"/>
      <c r="R118" s="37"/>
      <c r="S118" s="37"/>
      <c r="T118" s="37"/>
      <c r="U118" s="37"/>
      <c r="V118" s="37"/>
      <c r="W118" s="47"/>
      <c r="X118" s="48"/>
    </row>
    <row r="119" spans="1:24" x14ac:dyDescent="0.3">
      <c r="A119" s="21">
        <v>79</v>
      </c>
      <c r="B119" s="21">
        <v>3</v>
      </c>
      <c r="C119" s="36" t="s">
        <v>162</v>
      </c>
      <c r="D119" s="23" t="s">
        <v>81</v>
      </c>
      <c r="E119" s="53">
        <v>0</v>
      </c>
      <c r="F119" s="53">
        <v>0</v>
      </c>
      <c r="G119" s="53">
        <v>0</v>
      </c>
      <c r="H119" s="53">
        <v>0</v>
      </c>
      <c r="I119" s="50">
        <v>0</v>
      </c>
      <c r="J119" s="56"/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0">
        <v>0</v>
      </c>
      <c r="Q119" s="60"/>
      <c r="R119" s="37"/>
      <c r="S119" s="37"/>
      <c r="T119" s="37"/>
      <c r="U119" s="37"/>
      <c r="V119" s="37"/>
      <c r="W119" s="47"/>
      <c r="X119" s="48"/>
    </row>
    <row r="120" spans="1:24" x14ac:dyDescent="0.3">
      <c r="A120" s="21">
        <v>80</v>
      </c>
      <c r="B120" s="21">
        <v>3</v>
      </c>
      <c r="C120" s="39" t="s">
        <v>178</v>
      </c>
      <c r="D120" s="40" t="s">
        <v>179</v>
      </c>
      <c r="E120" s="57">
        <v>0</v>
      </c>
      <c r="F120" s="57">
        <v>0</v>
      </c>
      <c r="G120" s="57">
        <v>0</v>
      </c>
      <c r="H120" s="57">
        <v>0</v>
      </c>
      <c r="I120" s="59">
        <v>0</v>
      </c>
      <c r="J120" s="58"/>
      <c r="K120" s="57">
        <v>0</v>
      </c>
      <c r="L120" s="57">
        <v>0</v>
      </c>
      <c r="M120" s="57">
        <v>0</v>
      </c>
      <c r="N120" s="57">
        <v>0</v>
      </c>
      <c r="O120" s="57">
        <v>0</v>
      </c>
      <c r="P120" s="59">
        <v>0</v>
      </c>
      <c r="Q120" s="60"/>
      <c r="R120" s="37"/>
      <c r="S120" s="37"/>
      <c r="T120" s="37"/>
      <c r="U120" s="37"/>
      <c r="V120" s="37"/>
      <c r="W120" s="47"/>
      <c r="X120" s="48"/>
    </row>
    <row r="121" spans="1:24" x14ac:dyDescent="0.3">
      <c r="H121" s="49"/>
      <c r="W121" s="43"/>
      <c r="X121" s="43"/>
    </row>
    <row r="122" spans="1:24" x14ac:dyDescent="0.3">
      <c r="L12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03A-6472-43A2-9E0D-972144C9BC49}">
  <dimension ref="A1:CE90"/>
  <sheetViews>
    <sheetView zoomScale="88" zoomScaleNormal="88" workbookViewId="0">
      <pane xSplit="4" ySplit="7" topLeftCell="AZ34" activePane="bottomRight" state="frozen"/>
      <selection activeCell="F8" sqref="F8"/>
      <selection pane="topRight" activeCell="F8" sqref="F8"/>
      <selection pane="bottomLeft" activeCell="F8" sqref="F8"/>
      <selection pane="bottomRight" activeCell="E8" sqref="E8:CE86"/>
    </sheetView>
  </sheetViews>
  <sheetFormatPr defaultRowHeight="14.4" x14ac:dyDescent="0.3"/>
  <cols>
    <col min="2" max="2" width="35" style="16" customWidth="1"/>
    <col min="3" max="3" width="5.21875" style="20" bestFit="1" customWidth="1"/>
    <col min="4" max="83" width="10.21875" style="20" customWidth="1"/>
  </cols>
  <sheetData>
    <row r="1" spans="1:83" ht="18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 ht="16.2" thickBot="1" x14ac:dyDescent="0.35">
      <c r="B2" s="3" t="s">
        <v>1</v>
      </c>
      <c r="C2" s="4"/>
      <c r="D2" s="4"/>
      <c r="E2" s="4" t="s">
        <v>164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</row>
    <row r="3" spans="1:83" ht="94.2" thickTop="1" thickBot="1" x14ac:dyDescent="0.35">
      <c r="B3" s="6" t="s">
        <v>2</v>
      </c>
      <c r="C3" s="5"/>
      <c r="D3" s="5"/>
      <c r="E3" s="7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 t="s">
        <v>29</v>
      </c>
      <c r="AF3" s="8" t="s">
        <v>30</v>
      </c>
      <c r="AG3" s="8" t="s">
        <v>31</v>
      </c>
      <c r="AH3" s="8" t="s">
        <v>32</v>
      </c>
      <c r="AI3" s="8" t="s">
        <v>33</v>
      </c>
      <c r="AJ3" s="8" t="s">
        <v>34</v>
      </c>
      <c r="AK3" s="8" t="s">
        <v>35</v>
      </c>
      <c r="AL3" s="8" t="s">
        <v>36</v>
      </c>
      <c r="AM3" s="8" t="s">
        <v>37</v>
      </c>
      <c r="AN3" s="8" t="s">
        <v>38</v>
      </c>
      <c r="AO3" s="8" t="s">
        <v>39</v>
      </c>
      <c r="AP3" s="8" t="s">
        <v>40</v>
      </c>
      <c r="AQ3" s="8" t="s">
        <v>41</v>
      </c>
      <c r="AR3" s="8" t="s">
        <v>42</v>
      </c>
      <c r="AS3" s="8" t="s">
        <v>43</v>
      </c>
      <c r="AT3" s="8" t="s">
        <v>44</v>
      </c>
      <c r="AU3" s="8" t="s">
        <v>45</v>
      </c>
      <c r="AV3" s="8" t="s">
        <v>46</v>
      </c>
      <c r="AW3" s="8" t="s">
        <v>47</v>
      </c>
      <c r="AX3" s="8" t="s">
        <v>48</v>
      </c>
      <c r="AY3" s="8" t="s">
        <v>49</v>
      </c>
      <c r="AZ3" s="8" t="s">
        <v>50</v>
      </c>
      <c r="BA3" s="8" t="s">
        <v>51</v>
      </c>
      <c r="BB3" s="8" t="s">
        <v>52</v>
      </c>
      <c r="BC3" s="8" t="s">
        <v>53</v>
      </c>
      <c r="BD3" s="8" t="s">
        <v>54</v>
      </c>
      <c r="BE3" s="8" t="s">
        <v>55</v>
      </c>
      <c r="BF3" s="8" t="s">
        <v>56</v>
      </c>
      <c r="BG3" s="8" t="s">
        <v>57</v>
      </c>
      <c r="BH3" s="8" t="s">
        <v>58</v>
      </c>
      <c r="BI3" s="8" t="s">
        <v>59</v>
      </c>
      <c r="BJ3" s="8" t="s">
        <v>60</v>
      </c>
      <c r="BK3" s="8" t="s">
        <v>61</v>
      </c>
      <c r="BL3" s="8" t="s">
        <v>62</v>
      </c>
      <c r="BM3" s="8" t="s">
        <v>63</v>
      </c>
      <c r="BN3" s="8" t="s">
        <v>64</v>
      </c>
      <c r="BO3" s="8" t="s">
        <v>65</v>
      </c>
      <c r="BP3" s="8" t="s">
        <v>66</v>
      </c>
      <c r="BQ3" s="8" t="s">
        <v>67</v>
      </c>
      <c r="BR3" s="8" t="s">
        <v>68</v>
      </c>
      <c r="BS3" s="8" t="s">
        <v>69</v>
      </c>
      <c r="BT3" s="8" t="s">
        <v>70</v>
      </c>
      <c r="BU3" s="8" t="s">
        <v>71</v>
      </c>
      <c r="BV3" s="8" t="s">
        <v>72</v>
      </c>
      <c r="BW3" s="8" t="s">
        <v>73</v>
      </c>
      <c r="BX3" s="8" t="s">
        <v>74</v>
      </c>
      <c r="BY3" s="8" t="s">
        <v>75</v>
      </c>
      <c r="BZ3" s="8" t="s">
        <v>76</v>
      </c>
      <c r="CA3" s="8" t="s">
        <v>77</v>
      </c>
      <c r="CB3" s="8" t="s">
        <v>78</v>
      </c>
      <c r="CC3" s="8" t="s">
        <v>79</v>
      </c>
      <c r="CD3" s="8" t="s">
        <v>80</v>
      </c>
      <c r="CE3" s="8" t="s">
        <v>81</v>
      </c>
    </row>
    <row r="4" spans="1:83" ht="15.6" thickTop="1" thickBot="1" x14ac:dyDescent="0.35">
      <c r="B4" s="9" t="s">
        <v>82</v>
      </c>
      <c r="C4" s="10" t="s">
        <v>83</v>
      </c>
      <c r="D4" s="10"/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  <c r="O4" s="10" t="s">
        <v>94</v>
      </c>
      <c r="P4" s="10" t="s">
        <v>95</v>
      </c>
      <c r="Q4" s="10" t="s">
        <v>96</v>
      </c>
      <c r="R4" s="10" t="s">
        <v>97</v>
      </c>
      <c r="S4" s="10" t="s">
        <v>98</v>
      </c>
      <c r="T4" s="10" t="s">
        <v>99</v>
      </c>
      <c r="U4" s="10" t="s">
        <v>100</v>
      </c>
      <c r="V4" s="10" t="s">
        <v>101</v>
      </c>
      <c r="W4" s="10" t="s">
        <v>102</v>
      </c>
      <c r="X4" s="10" t="s">
        <v>103</v>
      </c>
      <c r="Y4" s="10" t="s">
        <v>104</v>
      </c>
      <c r="Z4" s="10" t="s">
        <v>105</v>
      </c>
      <c r="AA4" s="10" t="s">
        <v>106</v>
      </c>
      <c r="AB4" s="10" t="s">
        <v>107</v>
      </c>
      <c r="AC4" s="10" t="s">
        <v>108</v>
      </c>
      <c r="AD4" s="10" t="s">
        <v>109</v>
      </c>
      <c r="AE4" s="10" t="s">
        <v>110</v>
      </c>
      <c r="AF4" s="10" t="s">
        <v>111</v>
      </c>
      <c r="AG4" s="10" t="s">
        <v>112</v>
      </c>
      <c r="AH4" s="10" t="s">
        <v>113</v>
      </c>
      <c r="AI4" s="10" t="s">
        <v>114</v>
      </c>
      <c r="AJ4" s="10" t="s">
        <v>115</v>
      </c>
      <c r="AK4" s="10" t="s">
        <v>116</v>
      </c>
      <c r="AL4" s="10" t="s">
        <v>117</v>
      </c>
      <c r="AM4" s="10" t="s">
        <v>118</v>
      </c>
      <c r="AN4" s="10" t="s">
        <v>119</v>
      </c>
      <c r="AO4" s="10" t="s">
        <v>120</v>
      </c>
      <c r="AP4" s="10" t="s">
        <v>121</v>
      </c>
      <c r="AQ4" s="10" t="s">
        <v>122</v>
      </c>
      <c r="AR4" s="10" t="s">
        <v>123</v>
      </c>
      <c r="AS4" s="10" t="s">
        <v>124</v>
      </c>
      <c r="AT4" s="10" t="s">
        <v>125</v>
      </c>
      <c r="AU4" s="10" t="s">
        <v>126</v>
      </c>
      <c r="AV4" s="10" t="s">
        <v>127</v>
      </c>
      <c r="AW4" s="10" t="s">
        <v>128</v>
      </c>
      <c r="AX4" s="10" t="s">
        <v>129</v>
      </c>
      <c r="AY4" s="10" t="s">
        <v>130</v>
      </c>
      <c r="AZ4" s="10" t="s">
        <v>131</v>
      </c>
      <c r="BA4" s="10" t="s">
        <v>132</v>
      </c>
      <c r="BB4" s="10" t="s">
        <v>133</v>
      </c>
      <c r="BC4" s="10" t="s">
        <v>134</v>
      </c>
      <c r="BD4" s="10" t="s">
        <v>135</v>
      </c>
      <c r="BE4" s="10" t="s">
        <v>136</v>
      </c>
      <c r="BF4" s="10" t="s">
        <v>137</v>
      </c>
      <c r="BG4" s="10" t="s">
        <v>138</v>
      </c>
      <c r="BH4" s="10" t="s">
        <v>139</v>
      </c>
      <c r="BI4" s="10" t="s">
        <v>140</v>
      </c>
      <c r="BJ4" s="10" t="s">
        <v>141</v>
      </c>
      <c r="BK4" s="10" t="s">
        <v>142</v>
      </c>
      <c r="BL4" s="10" t="s">
        <v>143</v>
      </c>
      <c r="BM4" s="10" t="s">
        <v>144</v>
      </c>
      <c r="BN4" s="10" t="s">
        <v>145</v>
      </c>
      <c r="BO4" s="10" t="s">
        <v>146</v>
      </c>
      <c r="BP4" s="10" t="s">
        <v>147</v>
      </c>
      <c r="BQ4" s="10" t="s">
        <v>148</v>
      </c>
      <c r="BR4" s="10" t="s">
        <v>149</v>
      </c>
      <c r="BS4" s="10" t="s">
        <v>150</v>
      </c>
      <c r="BT4" s="10" t="s">
        <v>151</v>
      </c>
      <c r="BU4" s="10" t="s">
        <v>152</v>
      </c>
      <c r="BV4" s="10" t="s">
        <v>153</v>
      </c>
      <c r="BW4" s="10" t="s">
        <v>154</v>
      </c>
      <c r="BX4" s="10" t="s">
        <v>155</v>
      </c>
      <c r="BY4" s="10" t="s">
        <v>156</v>
      </c>
      <c r="BZ4" s="10" t="s">
        <v>157</v>
      </c>
      <c r="CA4" s="10" t="s">
        <v>158</v>
      </c>
      <c r="CB4" s="10" t="s">
        <v>159</v>
      </c>
      <c r="CC4" s="10" t="s">
        <v>160</v>
      </c>
      <c r="CD4" s="10" t="s">
        <v>161</v>
      </c>
      <c r="CE4" s="10" t="s">
        <v>162</v>
      </c>
    </row>
    <row r="5" spans="1:83" ht="15" thickTop="1" x14ac:dyDescent="0.3"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</row>
    <row r="6" spans="1:83" x14ac:dyDescent="0.3">
      <c r="B6" s="12" t="s">
        <v>163</v>
      </c>
      <c r="C6" s="13"/>
      <c r="D6" s="14">
        <f>SUM(D8:D86)</f>
        <v>17427.602000000006</v>
      </c>
      <c r="E6" s="14">
        <f>SUM(E8:E86)</f>
        <v>120.33699999999999</v>
      </c>
      <c r="F6" s="14">
        <f t="shared" ref="F6:BQ6" si="0">SUM(F8:F86)</f>
        <v>266.428</v>
      </c>
      <c r="G6" s="14">
        <f t="shared" si="0"/>
        <v>297.14999999999998</v>
      </c>
      <c r="H6" s="14">
        <f t="shared" si="0"/>
        <v>80.329000000000008</v>
      </c>
      <c r="I6" s="14">
        <f t="shared" si="0"/>
        <v>24.288</v>
      </c>
      <c r="J6" s="14">
        <f t="shared" si="0"/>
        <v>11.852999999999998</v>
      </c>
      <c r="K6" s="14">
        <f t="shared" si="0"/>
        <v>4.117</v>
      </c>
      <c r="L6" s="14">
        <f t="shared" si="0"/>
        <v>34.458999999999996</v>
      </c>
      <c r="M6" s="14">
        <f t="shared" si="0"/>
        <v>43.571000000000005</v>
      </c>
      <c r="N6" s="14">
        <f t="shared" si="0"/>
        <v>1.7819999999999996</v>
      </c>
      <c r="O6" s="14">
        <f t="shared" si="0"/>
        <v>15.969000000000001</v>
      </c>
      <c r="P6" s="14">
        <f t="shared" si="0"/>
        <v>21.033000000000001</v>
      </c>
      <c r="Q6" s="14">
        <f t="shared" si="0"/>
        <v>0</v>
      </c>
      <c r="R6" s="14">
        <f t="shared" si="0"/>
        <v>191.84500000000006</v>
      </c>
      <c r="S6" s="14">
        <f t="shared" si="0"/>
        <v>168.96500000000003</v>
      </c>
      <c r="T6" s="14">
        <f t="shared" si="0"/>
        <v>120.196</v>
      </c>
      <c r="U6" s="14">
        <f t="shared" si="0"/>
        <v>1.726</v>
      </c>
      <c r="V6" s="14">
        <f t="shared" si="0"/>
        <v>34.195</v>
      </c>
      <c r="W6" s="14">
        <f t="shared" si="0"/>
        <v>143.685</v>
      </c>
      <c r="X6" s="14">
        <f t="shared" si="0"/>
        <v>124.20400000000002</v>
      </c>
      <c r="Y6" s="14">
        <f t="shared" si="0"/>
        <v>752.16199999999981</v>
      </c>
      <c r="Z6" s="14">
        <f t="shared" si="0"/>
        <v>123.90699999999998</v>
      </c>
      <c r="AA6" s="14">
        <f t="shared" si="0"/>
        <v>47.446999999999989</v>
      </c>
      <c r="AB6" s="14">
        <f t="shared" si="0"/>
        <v>329.45600000000002</v>
      </c>
      <c r="AC6" s="14">
        <f t="shared" si="0"/>
        <v>414.02100000000007</v>
      </c>
      <c r="AD6" s="14">
        <f t="shared" si="0"/>
        <v>33.641000000000005</v>
      </c>
      <c r="AE6" s="14">
        <f t="shared" si="0"/>
        <v>0.36000000000000004</v>
      </c>
      <c r="AF6" s="14">
        <f t="shared" si="0"/>
        <v>253.58799999999999</v>
      </c>
      <c r="AG6" s="14">
        <f t="shared" si="0"/>
        <v>192.25600000000003</v>
      </c>
      <c r="AH6" s="14">
        <f t="shared" si="0"/>
        <v>47.062999999999995</v>
      </c>
      <c r="AI6" s="14">
        <f t="shared" si="0"/>
        <v>0</v>
      </c>
      <c r="AJ6" s="14">
        <f t="shared" si="0"/>
        <v>333.03000000000003</v>
      </c>
      <c r="AK6" s="14">
        <f t="shared" si="0"/>
        <v>26.173999999999992</v>
      </c>
      <c r="AL6" s="14">
        <f t="shared" si="0"/>
        <v>65.161999999999992</v>
      </c>
      <c r="AM6" s="14">
        <f t="shared" si="0"/>
        <v>54.812999999999988</v>
      </c>
      <c r="AN6" s="14">
        <f t="shared" si="0"/>
        <v>162.20399999999998</v>
      </c>
      <c r="AO6" s="14">
        <f t="shared" si="0"/>
        <v>70.825000000000003</v>
      </c>
      <c r="AP6" s="14">
        <f t="shared" si="0"/>
        <v>235.18199999999999</v>
      </c>
      <c r="AQ6" s="14">
        <f t="shared" si="0"/>
        <v>37.552</v>
      </c>
      <c r="AR6" s="14">
        <f t="shared" si="0"/>
        <v>80.84</v>
      </c>
      <c r="AS6" s="14">
        <f t="shared" si="0"/>
        <v>105.14700000000001</v>
      </c>
      <c r="AT6" s="14">
        <f t="shared" si="0"/>
        <v>82.210999999999984</v>
      </c>
      <c r="AU6" s="14">
        <f t="shared" si="0"/>
        <v>3.7960000000000007</v>
      </c>
      <c r="AV6" s="14">
        <f t="shared" si="0"/>
        <v>137.81700000000001</v>
      </c>
      <c r="AW6" s="14">
        <f t="shared" si="0"/>
        <v>77.542999999999992</v>
      </c>
      <c r="AX6" s="14">
        <f t="shared" si="0"/>
        <v>16.604999999999997</v>
      </c>
      <c r="AY6" s="14">
        <f t="shared" si="0"/>
        <v>3025.8459999999991</v>
      </c>
      <c r="AZ6" s="14">
        <f t="shared" si="0"/>
        <v>2069.9569999999999</v>
      </c>
      <c r="BA6" s="14">
        <f t="shared" si="0"/>
        <v>113.57199999999999</v>
      </c>
      <c r="BB6" s="14">
        <f t="shared" si="0"/>
        <v>41.02</v>
      </c>
      <c r="BC6" s="14">
        <f t="shared" si="0"/>
        <v>749.24300000000017</v>
      </c>
      <c r="BD6" s="14">
        <f t="shared" si="0"/>
        <v>426.71699999999998</v>
      </c>
      <c r="BE6" s="14">
        <f t="shared" si="0"/>
        <v>352.79900000000004</v>
      </c>
      <c r="BF6" s="14">
        <f t="shared" si="0"/>
        <v>273.93300000000005</v>
      </c>
      <c r="BG6" s="14">
        <f t="shared" si="0"/>
        <v>169.25200000000004</v>
      </c>
      <c r="BH6" s="14">
        <f t="shared" si="0"/>
        <v>8.6169999999999991</v>
      </c>
      <c r="BI6" s="14">
        <f t="shared" si="0"/>
        <v>793.25999999999988</v>
      </c>
      <c r="BJ6" s="14">
        <f t="shared" si="0"/>
        <v>174.39699999999999</v>
      </c>
      <c r="BK6" s="14">
        <f t="shared" si="0"/>
        <v>100.03799999999998</v>
      </c>
      <c r="BL6" s="14">
        <f t="shared" si="0"/>
        <v>48.764000000000003</v>
      </c>
      <c r="BM6" s="14">
        <f t="shared" si="0"/>
        <v>225.45599999999999</v>
      </c>
      <c r="BN6" s="14">
        <f t="shared" si="0"/>
        <v>23.9</v>
      </c>
      <c r="BO6" s="14">
        <f t="shared" si="0"/>
        <v>57.246000000000002</v>
      </c>
      <c r="BP6" s="14">
        <f t="shared" si="0"/>
        <v>0</v>
      </c>
      <c r="BQ6" s="14">
        <f t="shared" si="0"/>
        <v>40.437000000000005</v>
      </c>
      <c r="BR6" s="14">
        <f t="shared" ref="BR6:CE6" si="1">SUM(BR8:BR86)</f>
        <v>84.992999999999995</v>
      </c>
      <c r="BS6" s="14">
        <f t="shared" si="1"/>
        <v>70.512</v>
      </c>
      <c r="BT6" s="14">
        <f t="shared" si="1"/>
        <v>198.10300000000001</v>
      </c>
      <c r="BU6" s="14">
        <f t="shared" si="1"/>
        <v>108.25599999999999</v>
      </c>
      <c r="BV6" s="14">
        <f t="shared" si="1"/>
        <v>276.53599999999994</v>
      </c>
      <c r="BW6" s="14">
        <f t="shared" si="1"/>
        <v>1614.6219999999998</v>
      </c>
      <c r="BX6" s="14">
        <f t="shared" si="1"/>
        <v>403.43799999999999</v>
      </c>
      <c r="BY6" s="14">
        <f t="shared" si="1"/>
        <v>258.98099999999994</v>
      </c>
      <c r="BZ6" s="14">
        <f t="shared" si="1"/>
        <v>52.33400000000001</v>
      </c>
      <c r="CA6" s="14">
        <f t="shared" si="1"/>
        <v>23.515000000000001</v>
      </c>
      <c r="CB6" s="14">
        <f t="shared" si="1"/>
        <v>132.82300000000001</v>
      </c>
      <c r="CC6" s="14">
        <f t="shared" si="1"/>
        <v>120.10100000000001</v>
      </c>
      <c r="CD6" s="14">
        <f t="shared" si="1"/>
        <v>0</v>
      </c>
      <c r="CE6" s="14">
        <f t="shared" si="1"/>
        <v>0</v>
      </c>
    </row>
    <row r="7" spans="1:83" ht="9" customHeight="1" x14ac:dyDescent="0.3">
      <c r="B7" s="11"/>
      <c r="C7" s="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</row>
    <row r="8" spans="1:83" x14ac:dyDescent="0.3">
      <c r="A8" s="49"/>
      <c r="B8" s="16" t="s">
        <v>3</v>
      </c>
      <c r="C8" s="17" t="s">
        <v>84</v>
      </c>
      <c r="D8" s="18">
        <f>SUM(E8:CE8)</f>
        <v>495.52199999999999</v>
      </c>
      <c r="E8" s="18">
        <v>7.226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1.101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348.51900000000001</v>
      </c>
      <c r="Z8" s="18">
        <v>14.471</v>
      </c>
      <c r="AA8" s="18">
        <v>8.0399999999999991</v>
      </c>
      <c r="AB8" s="18">
        <v>15.467000000000001</v>
      </c>
      <c r="AC8" s="18">
        <v>93.132000000000005</v>
      </c>
      <c r="AD8" s="18">
        <v>1.4039999999999999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5.452</v>
      </c>
      <c r="BX8" s="18">
        <v>0.71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</row>
    <row r="9" spans="1:83" x14ac:dyDescent="0.3">
      <c r="A9" s="43"/>
      <c r="B9" s="16" t="s">
        <v>4</v>
      </c>
      <c r="C9" s="17" t="s">
        <v>85</v>
      </c>
      <c r="D9" s="18">
        <f t="shared" ref="D9:D72" si="2">SUM(E9:CE9)</f>
        <v>383.97700000000003</v>
      </c>
      <c r="E9" s="18">
        <v>0</v>
      </c>
      <c r="F9" s="18">
        <v>67.078000000000003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282.36799999999999</v>
      </c>
      <c r="Z9" s="18">
        <v>1.498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32.880000000000003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0.153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</row>
    <row r="10" spans="1:83" x14ac:dyDescent="0.3">
      <c r="A10" s="43"/>
      <c r="B10" s="16" t="s">
        <v>5</v>
      </c>
      <c r="C10" s="17" t="s">
        <v>86</v>
      </c>
      <c r="D10" s="18">
        <f t="shared" si="2"/>
        <v>103.43400000000001</v>
      </c>
      <c r="E10" s="18">
        <v>0</v>
      </c>
      <c r="F10" s="18">
        <v>0</v>
      </c>
      <c r="G10" s="18">
        <v>59.515000000000001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8.3699999999999992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24.922999999999998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10.625999999999999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</row>
    <row r="11" spans="1:83" x14ac:dyDescent="0.3">
      <c r="A11" s="43"/>
      <c r="B11" s="16" t="s">
        <v>6</v>
      </c>
      <c r="C11" s="17" t="s">
        <v>87</v>
      </c>
      <c r="D11" s="18">
        <f t="shared" si="2"/>
        <v>175.239</v>
      </c>
      <c r="E11" s="18">
        <v>0</v>
      </c>
      <c r="F11" s="18">
        <v>0</v>
      </c>
      <c r="G11" s="18">
        <v>0</v>
      </c>
      <c r="H11" s="18">
        <v>44.484000000000002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5.3739999999999997</v>
      </c>
      <c r="W11" s="18">
        <v>0.95199999999999996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87.347999999999999</v>
      </c>
      <c r="AD11" s="18">
        <v>12.433999999999999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1.7000000000000001E-2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24.63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</row>
    <row r="12" spans="1:83" x14ac:dyDescent="0.3">
      <c r="A12" s="43"/>
      <c r="B12" s="16" t="s">
        <v>7</v>
      </c>
      <c r="C12" s="17" t="s">
        <v>88</v>
      </c>
      <c r="D12" s="18">
        <f t="shared" si="2"/>
        <v>116.58799999999999</v>
      </c>
      <c r="E12" s="18">
        <v>0</v>
      </c>
      <c r="F12" s="18">
        <v>0</v>
      </c>
      <c r="G12" s="18">
        <v>0</v>
      </c>
      <c r="H12" s="18">
        <v>0</v>
      </c>
      <c r="I12" s="18">
        <v>5.367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94.266999999999996</v>
      </c>
      <c r="X12" s="18">
        <v>0</v>
      </c>
      <c r="Y12" s="18">
        <v>15.895</v>
      </c>
      <c r="Z12" s="18">
        <v>0</v>
      </c>
      <c r="AA12" s="18">
        <v>0.121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0.93799999999999994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</row>
    <row r="13" spans="1:83" x14ac:dyDescent="0.3">
      <c r="A13" s="43"/>
      <c r="B13" s="16" t="s">
        <v>8</v>
      </c>
      <c r="C13" s="17" t="s">
        <v>89</v>
      </c>
      <c r="D13" s="18">
        <f t="shared" si="2"/>
        <v>37.248000000000005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9.6180000000000003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27.414000000000001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0.216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</row>
    <row r="14" spans="1:83" x14ac:dyDescent="0.3">
      <c r="B14" s="16" t="s">
        <v>9</v>
      </c>
      <c r="C14" s="17" t="s">
        <v>90</v>
      </c>
      <c r="D14" s="18">
        <f t="shared" si="2"/>
        <v>60.38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3.665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56.715000000000003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</row>
    <row r="15" spans="1:83" x14ac:dyDescent="0.3">
      <c r="B15" s="16" t="s">
        <v>10</v>
      </c>
      <c r="C15" s="17" t="s">
        <v>91</v>
      </c>
      <c r="D15" s="18">
        <f t="shared" si="2"/>
        <v>141.971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4.4089999999999998</v>
      </c>
      <c r="M15" s="18">
        <v>13.010999999999999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8.8740000000000006</v>
      </c>
      <c r="W15" s="18">
        <v>0</v>
      </c>
      <c r="X15" s="18">
        <v>4.4180000000000001</v>
      </c>
      <c r="Y15" s="18">
        <v>0</v>
      </c>
      <c r="Z15" s="18">
        <v>0</v>
      </c>
      <c r="AA15" s="18">
        <v>15.355</v>
      </c>
      <c r="AB15" s="18">
        <v>88.004999999999995</v>
      </c>
      <c r="AC15" s="18">
        <v>0</v>
      </c>
      <c r="AD15" s="18">
        <v>0</v>
      </c>
      <c r="AE15" s="18">
        <v>0.318</v>
      </c>
      <c r="AF15" s="18">
        <v>0</v>
      </c>
      <c r="AG15" s="18">
        <v>0</v>
      </c>
      <c r="AH15" s="18">
        <v>0</v>
      </c>
      <c r="AI15" s="18">
        <v>0</v>
      </c>
      <c r="AJ15" s="18">
        <v>7.5810000000000004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</row>
    <row r="16" spans="1:83" x14ac:dyDescent="0.3">
      <c r="B16" s="16" t="s">
        <v>11</v>
      </c>
      <c r="C16" s="17" t="s">
        <v>92</v>
      </c>
      <c r="D16" s="18">
        <f t="shared" si="2"/>
        <v>45.216000000000001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15.943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8.8179999999999996</v>
      </c>
      <c r="U16" s="18">
        <v>0</v>
      </c>
      <c r="V16" s="18">
        <v>0</v>
      </c>
      <c r="W16" s="18">
        <v>16.46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3.9950000000000001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</row>
    <row r="17" spans="2:83" x14ac:dyDescent="0.3">
      <c r="B17" s="16" t="s">
        <v>12</v>
      </c>
      <c r="C17" s="17" t="s">
        <v>93</v>
      </c>
      <c r="D17" s="18">
        <f t="shared" si="2"/>
        <v>126.19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3.8540000000000001</v>
      </c>
      <c r="W17" s="18">
        <v>0</v>
      </c>
      <c r="X17" s="18">
        <v>109.32299999999999</v>
      </c>
      <c r="Y17" s="18">
        <v>0</v>
      </c>
      <c r="Z17" s="18">
        <v>3.9470000000000001</v>
      </c>
      <c r="AA17" s="18">
        <v>0</v>
      </c>
      <c r="AB17" s="18">
        <v>2.25</v>
      </c>
      <c r="AC17" s="18">
        <v>0</v>
      </c>
      <c r="AD17" s="18">
        <v>0</v>
      </c>
      <c r="AE17" s="18">
        <v>0</v>
      </c>
      <c r="AF17" s="18">
        <v>3.8519999999999999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2.8759999999999999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8.7999999999999995E-2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</row>
    <row r="18" spans="2:83" x14ac:dyDescent="0.3">
      <c r="B18" s="16" t="s">
        <v>13</v>
      </c>
      <c r="C18" s="17" t="s">
        <v>94</v>
      </c>
      <c r="D18" s="18">
        <f t="shared" si="2"/>
        <v>71.035000000000011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0.85799999999999998</v>
      </c>
      <c r="W18" s="18">
        <v>0</v>
      </c>
      <c r="X18" s="18">
        <v>0</v>
      </c>
      <c r="Y18" s="18">
        <v>4.8000000000000001E-2</v>
      </c>
      <c r="Z18" s="18">
        <v>0</v>
      </c>
      <c r="AA18" s="18">
        <v>0.11799999999999999</v>
      </c>
      <c r="AB18" s="18">
        <v>0.61399999999999999</v>
      </c>
      <c r="AC18" s="18">
        <v>0</v>
      </c>
      <c r="AD18" s="18">
        <v>0.104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32.572000000000003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28.882999999999999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2.9590000000000001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2.8130000000000002</v>
      </c>
      <c r="BX18" s="18">
        <v>2.0659999999999998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</row>
    <row r="19" spans="2:83" x14ac:dyDescent="0.3">
      <c r="B19" s="16" t="s">
        <v>14</v>
      </c>
      <c r="C19" s="17" t="s">
        <v>95</v>
      </c>
      <c r="D19" s="18">
        <f t="shared" si="2"/>
        <v>2.496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5.8000000000000003E-2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2.4380000000000002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</row>
    <row r="20" spans="2:83" x14ac:dyDescent="0.3">
      <c r="B20" s="16" t="s">
        <v>15</v>
      </c>
      <c r="C20" s="17" t="s">
        <v>96</v>
      </c>
      <c r="D20" s="18">
        <f t="shared" si="2"/>
        <v>2.5000000000000001E-2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2.5000000000000001E-2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</row>
    <row r="21" spans="2:83" x14ac:dyDescent="0.3">
      <c r="B21" s="16" t="s">
        <v>16</v>
      </c>
      <c r="C21" s="17" t="s">
        <v>97</v>
      </c>
      <c r="D21" s="18">
        <f t="shared" si="2"/>
        <v>4.0410000000000004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4.0410000000000004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</row>
    <row r="22" spans="2:83" x14ac:dyDescent="0.3">
      <c r="B22" s="16" t="s">
        <v>17</v>
      </c>
      <c r="C22" s="17" t="s">
        <v>98</v>
      </c>
      <c r="D22" s="18">
        <f t="shared" si="2"/>
        <v>431.66199999999998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5.069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7.1999999999999995E-2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3.5030000000000001</v>
      </c>
      <c r="AN22" s="18">
        <v>8.0190000000000001</v>
      </c>
      <c r="AO22" s="18">
        <v>40.712000000000003</v>
      </c>
      <c r="AP22" s="18">
        <v>0</v>
      </c>
      <c r="AQ22" s="18">
        <v>0</v>
      </c>
      <c r="AR22" s="18">
        <v>0</v>
      </c>
      <c r="AS22" s="18">
        <v>0</v>
      </c>
      <c r="AT22" s="18">
        <v>0.153</v>
      </c>
      <c r="AU22" s="18">
        <v>0</v>
      </c>
      <c r="AV22" s="18">
        <v>0</v>
      </c>
      <c r="AW22" s="18">
        <v>0</v>
      </c>
      <c r="AX22" s="18">
        <v>0</v>
      </c>
      <c r="AY22" s="18">
        <v>193.45</v>
      </c>
      <c r="AZ22" s="18">
        <v>180.684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</row>
    <row r="23" spans="2:83" x14ac:dyDescent="0.3">
      <c r="B23" s="16" t="s">
        <v>18</v>
      </c>
      <c r="C23" s="17" t="s">
        <v>99</v>
      </c>
      <c r="D23" s="18">
        <f t="shared" si="2"/>
        <v>50.595999999999997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50.595999999999997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</row>
    <row r="24" spans="2:83" x14ac:dyDescent="0.3">
      <c r="B24" s="16" t="s">
        <v>19</v>
      </c>
      <c r="C24" s="17" t="s">
        <v>100</v>
      </c>
      <c r="D24" s="18">
        <f t="shared" si="2"/>
        <v>6.2779999999999996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6.2779999999999996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</row>
    <row r="25" spans="2:83" x14ac:dyDescent="0.3">
      <c r="B25" s="16" t="s">
        <v>20</v>
      </c>
      <c r="C25" s="17" t="s">
        <v>101</v>
      </c>
      <c r="D25" s="18">
        <f t="shared" si="2"/>
        <v>5.6150000000000002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5.6150000000000002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</row>
    <row r="26" spans="2:83" x14ac:dyDescent="0.3">
      <c r="B26" s="16" t="s">
        <v>21</v>
      </c>
      <c r="C26" s="17" t="s">
        <v>102</v>
      </c>
      <c r="D26" s="18">
        <f t="shared" si="2"/>
        <v>56.704999999999998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0.71</v>
      </c>
      <c r="W26" s="18">
        <v>0</v>
      </c>
      <c r="X26" s="18">
        <v>0</v>
      </c>
      <c r="Y26" s="18">
        <v>0</v>
      </c>
      <c r="Z26" s="18">
        <v>1.0780000000000001</v>
      </c>
      <c r="AA26" s="18">
        <v>0</v>
      </c>
      <c r="AB26" s="18">
        <v>7.2249999999999996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47.692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</row>
    <row r="27" spans="2:83" x14ac:dyDescent="0.3">
      <c r="B27" s="16" t="s">
        <v>22</v>
      </c>
      <c r="C27" s="17" t="s">
        <v>103</v>
      </c>
      <c r="D27" s="18">
        <f t="shared" si="2"/>
        <v>36.491999999999997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5.3940000000000001</v>
      </c>
      <c r="AA27" s="18">
        <v>0</v>
      </c>
      <c r="AB27" s="18">
        <v>11.89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2.585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11.36</v>
      </c>
      <c r="BX27" s="18">
        <v>5.2629999999999999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</row>
    <row r="28" spans="2:83" x14ac:dyDescent="0.3">
      <c r="B28" s="16" t="s">
        <v>23</v>
      </c>
      <c r="C28" s="17" t="s">
        <v>104</v>
      </c>
      <c r="D28" s="18">
        <f t="shared" si="2"/>
        <v>278.66200000000003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5.4610000000000003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86.742000000000004</v>
      </c>
      <c r="AA28" s="18">
        <v>4.58</v>
      </c>
      <c r="AB28" s="18">
        <v>25.331</v>
      </c>
      <c r="AC28" s="18">
        <v>23.067</v>
      </c>
      <c r="AD28" s="18">
        <v>8.3550000000000004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38.368000000000002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14.954000000000001</v>
      </c>
      <c r="BX28" s="18">
        <v>71.804000000000002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</row>
    <row r="29" spans="2:83" x14ac:dyDescent="0.3">
      <c r="B29" s="16" t="s">
        <v>24</v>
      </c>
      <c r="C29" s="17" t="s">
        <v>105</v>
      </c>
      <c r="D29" s="18">
        <f t="shared" si="2"/>
        <v>5.6029999999999998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5.6029999999999998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</row>
    <row r="30" spans="2:83" x14ac:dyDescent="0.3">
      <c r="B30" s="16" t="s">
        <v>25</v>
      </c>
      <c r="C30" s="17" t="s">
        <v>106</v>
      </c>
      <c r="D30" s="18">
        <f t="shared" si="2"/>
        <v>20.861000000000001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9.1940000000000008</v>
      </c>
      <c r="N30" s="18">
        <v>1.1739999999999999</v>
      </c>
      <c r="O30" s="18">
        <v>0</v>
      </c>
      <c r="P30" s="18">
        <v>10.493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</row>
    <row r="31" spans="2:83" x14ac:dyDescent="0.3">
      <c r="B31" s="16" t="s">
        <v>26</v>
      </c>
      <c r="C31" s="17" t="s">
        <v>107</v>
      </c>
      <c r="D31" s="18">
        <f t="shared" si="2"/>
        <v>236.40799999999999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1.131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8.8999999999999996E-2</v>
      </c>
      <c r="Y31" s="18">
        <v>0.499</v>
      </c>
      <c r="Z31" s="18">
        <v>4.907</v>
      </c>
      <c r="AA31" s="18">
        <v>0.20200000000000001</v>
      </c>
      <c r="AB31" s="18">
        <v>43.731000000000002</v>
      </c>
      <c r="AC31" s="18">
        <v>71.004000000000005</v>
      </c>
      <c r="AD31" s="18">
        <v>3.17</v>
      </c>
      <c r="AE31" s="18">
        <v>0</v>
      </c>
      <c r="AF31" s="18">
        <v>0.70199999999999996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1.2999999999999999E-2</v>
      </c>
      <c r="BC31" s="18">
        <v>0</v>
      </c>
      <c r="BD31" s="18">
        <v>0</v>
      </c>
      <c r="BE31" s="18">
        <v>0</v>
      </c>
      <c r="BF31" s="18">
        <v>3.7029999999999998</v>
      </c>
      <c r="BG31" s="18">
        <v>1.883</v>
      </c>
      <c r="BH31" s="18">
        <v>3.0000000000000001E-3</v>
      </c>
      <c r="BI31" s="18">
        <v>19.635999999999999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0.52200000000000002</v>
      </c>
      <c r="BS31" s="18">
        <v>1.8939999999999999</v>
      </c>
      <c r="BT31" s="18">
        <v>1.3779999999999999</v>
      </c>
      <c r="BU31" s="18">
        <v>0.94599999999999995</v>
      </c>
      <c r="BV31" s="18">
        <v>0</v>
      </c>
      <c r="BW31" s="18">
        <v>23.395</v>
      </c>
      <c r="BX31" s="18">
        <v>55.85</v>
      </c>
      <c r="BY31" s="18">
        <v>0</v>
      </c>
      <c r="BZ31" s="18">
        <v>0</v>
      </c>
      <c r="CA31" s="18">
        <v>0</v>
      </c>
      <c r="CB31" s="18">
        <v>1.2969999999999999</v>
      </c>
      <c r="CC31" s="18">
        <v>0.45300000000000001</v>
      </c>
      <c r="CD31" s="18">
        <v>0</v>
      </c>
      <c r="CE31" s="18">
        <v>0</v>
      </c>
    </row>
    <row r="32" spans="2:83" x14ac:dyDescent="0.3">
      <c r="B32" s="16" t="s">
        <v>27</v>
      </c>
      <c r="C32" s="17" t="s">
        <v>108</v>
      </c>
      <c r="D32" s="18">
        <f t="shared" si="2"/>
        <v>617.79899999999998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85.058999999999997</v>
      </c>
      <c r="Z32" s="18">
        <v>0</v>
      </c>
      <c r="AA32" s="18">
        <v>0</v>
      </c>
      <c r="AB32" s="18">
        <v>0</v>
      </c>
      <c r="AC32" s="18">
        <v>6.11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1.5509999999999999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70.867999999999995</v>
      </c>
      <c r="BD32" s="18">
        <v>34.469000000000001</v>
      </c>
      <c r="BE32" s="18">
        <v>0</v>
      </c>
      <c r="BF32" s="18">
        <v>0</v>
      </c>
      <c r="BG32" s="18">
        <v>0</v>
      </c>
      <c r="BH32" s="18">
        <v>0</v>
      </c>
      <c r="BI32" s="18">
        <v>419.74200000000002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</row>
    <row r="33" spans="2:83" x14ac:dyDescent="0.3">
      <c r="B33" s="16" t="s">
        <v>28</v>
      </c>
      <c r="C33" s="17" t="s">
        <v>109</v>
      </c>
      <c r="D33" s="18">
        <f t="shared" si="2"/>
        <v>105.298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0.22700000000000001</v>
      </c>
      <c r="S33" s="18">
        <v>0.156</v>
      </c>
      <c r="T33" s="18">
        <v>0.80100000000000005</v>
      </c>
      <c r="U33" s="18">
        <v>1.2E-2</v>
      </c>
      <c r="V33" s="18">
        <v>2.5999999999999999E-2</v>
      </c>
      <c r="W33" s="18">
        <v>0.432</v>
      </c>
      <c r="X33" s="18">
        <v>0.157</v>
      </c>
      <c r="Y33" s="18">
        <v>1.3759999999999999</v>
      </c>
      <c r="Z33" s="18">
        <v>4.2000000000000003E-2</v>
      </c>
      <c r="AA33" s="18">
        <v>6.9000000000000006E-2</v>
      </c>
      <c r="AB33" s="18">
        <v>0.624</v>
      </c>
      <c r="AC33" s="18">
        <v>3.5379999999999998</v>
      </c>
      <c r="AD33" s="18">
        <v>1.0999999999999999E-2</v>
      </c>
      <c r="AE33" s="18">
        <v>0</v>
      </c>
      <c r="AF33" s="18">
        <v>0.499</v>
      </c>
      <c r="AG33" s="18">
        <v>0.26400000000000001</v>
      </c>
      <c r="AH33" s="18">
        <v>0.123</v>
      </c>
      <c r="AI33" s="18">
        <v>0</v>
      </c>
      <c r="AJ33" s="18">
        <v>0.94699999999999995</v>
      </c>
      <c r="AK33" s="18">
        <v>0.09</v>
      </c>
      <c r="AL33" s="18">
        <v>0.41699999999999998</v>
      </c>
      <c r="AM33" s="18">
        <v>3.0000000000000001E-3</v>
      </c>
      <c r="AN33" s="18">
        <v>1.048</v>
      </c>
      <c r="AO33" s="18">
        <v>3.9E-2</v>
      </c>
      <c r="AP33" s="18">
        <v>3.9830000000000001</v>
      </c>
      <c r="AQ33" s="18">
        <v>0.152</v>
      </c>
      <c r="AR33" s="18">
        <v>8.5999999999999993E-2</v>
      </c>
      <c r="AS33" s="18">
        <v>0.17499999999999999</v>
      </c>
      <c r="AT33" s="18">
        <v>0.125</v>
      </c>
      <c r="AU33" s="18">
        <v>7.0000000000000001E-3</v>
      </c>
      <c r="AV33" s="18">
        <v>1.2430000000000001</v>
      </c>
      <c r="AW33" s="18">
        <v>0.629</v>
      </c>
      <c r="AX33" s="18">
        <v>1.9E-2</v>
      </c>
      <c r="AY33" s="18">
        <v>5.3570000000000002</v>
      </c>
      <c r="AZ33" s="18">
        <v>15.462</v>
      </c>
      <c r="BA33" s="18">
        <v>9.5000000000000001E-2</v>
      </c>
      <c r="BB33" s="18">
        <v>0.01</v>
      </c>
      <c r="BC33" s="18">
        <v>10.144</v>
      </c>
      <c r="BD33" s="18">
        <v>7.7990000000000004</v>
      </c>
      <c r="BE33" s="18">
        <v>0.14599999999999999</v>
      </c>
      <c r="BF33" s="18">
        <v>1.4079999999999999</v>
      </c>
      <c r="BG33" s="18">
        <v>0.63700000000000001</v>
      </c>
      <c r="BH33" s="18">
        <v>0.01</v>
      </c>
      <c r="BI33" s="18">
        <v>10.294</v>
      </c>
      <c r="BJ33" s="18">
        <v>2.8479999999999999</v>
      </c>
      <c r="BK33" s="18">
        <v>0.67200000000000004</v>
      </c>
      <c r="BL33" s="18">
        <v>0.14299999999999999</v>
      </c>
      <c r="BM33" s="18">
        <v>2.4060000000000001</v>
      </c>
      <c r="BN33" s="18">
        <v>0.19900000000000001</v>
      </c>
      <c r="BO33" s="18">
        <v>0.36</v>
      </c>
      <c r="BP33" s="18">
        <v>0</v>
      </c>
      <c r="BQ33" s="18">
        <v>0.68100000000000005</v>
      </c>
      <c r="BR33" s="18">
        <v>0.28299999999999997</v>
      </c>
      <c r="BS33" s="18">
        <v>1.409</v>
      </c>
      <c r="BT33" s="18">
        <v>1.0660000000000001</v>
      </c>
      <c r="BU33" s="18">
        <v>0.33300000000000002</v>
      </c>
      <c r="BV33" s="18">
        <v>1.1910000000000001</v>
      </c>
      <c r="BW33" s="18">
        <v>16.609000000000002</v>
      </c>
      <c r="BX33" s="18">
        <v>5.38</v>
      </c>
      <c r="BY33" s="18">
        <v>1.024</v>
      </c>
      <c r="BZ33" s="18">
        <v>0.01</v>
      </c>
      <c r="CA33" s="18">
        <v>1.258</v>
      </c>
      <c r="CB33" s="18">
        <v>0.67400000000000004</v>
      </c>
      <c r="CC33" s="18">
        <v>7.0000000000000007E-2</v>
      </c>
      <c r="CD33" s="18">
        <v>0</v>
      </c>
      <c r="CE33" s="18">
        <v>0</v>
      </c>
    </row>
    <row r="34" spans="2:83" x14ac:dyDescent="0.3">
      <c r="B34" s="16" t="s">
        <v>29</v>
      </c>
      <c r="C34" s="17" t="s">
        <v>110</v>
      </c>
      <c r="D34" s="18">
        <f t="shared" si="2"/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</row>
    <row r="35" spans="2:83" x14ac:dyDescent="0.3">
      <c r="B35" s="16" t="s">
        <v>30</v>
      </c>
      <c r="C35" s="17" t="s">
        <v>111</v>
      </c>
      <c r="D35" s="18">
        <f t="shared" si="2"/>
        <v>395.13799999999998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8.2000000000000003E-2</v>
      </c>
      <c r="S35" s="18">
        <v>0.1</v>
      </c>
      <c r="T35" s="18">
        <v>0.222</v>
      </c>
      <c r="U35" s="18">
        <v>0</v>
      </c>
      <c r="V35" s="18">
        <v>8.9999999999999993E-3</v>
      </c>
      <c r="W35" s="18">
        <v>0</v>
      </c>
      <c r="X35" s="18">
        <v>6.9000000000000006E-2</v>
      </c>
      <c r="Y35" s="18">
        <v>1.4139999999999999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206.30799999999999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29.931999999999999</v>
      </c>
      <c r="AT35" s="18">
        <v>6.1369999999999996</v>
      </c>
      <c r="AU35" s="18">
        <v>0</v>
      </c>
      <c r="AV35" s="18">
        <v>1.782</v>
      </c>
      <c r="AW35" s="18">
        <v>0.33200000000000002</v>
      </c>
      <c r="AX35" s="18">
        <v>0</v>
      </c>
      <c r="AY35" s="18">
        <v>39.378999999999998</v>
      </c>
      <c r="AZ35" s="18">
        <v>25.591999999999999</v>
      </c>
      <c r="BA35" s="18">
        <v>0</v>
      </c>
      <c r="BB35" s="18">
        <v>0</v>
      </c>
      <c r="BC35" s="18">
        <v>19.776</v>
      </c>
      <c r="BD35" s="18">
        <v>9.1010000000000009</v>
      </c>
      <c r="BE35" s="18">
        <v>3.2410000000000001</v>
      </c>
      <c r="BF35" s="18">
        <v>0.71299999999999997</v>
      </c>
      <c r="BG35" s="18">
        <v>0.376</v>
      </c>
      <c r="BH35" s="18">
        <v>0</v>
      </c>
      <c r="BI35" s="18">
        <v>2.1240000000000001</v>
      </c>
      <c r="BJ35" s="18">
        <v>0</v>
      </c>
      <c r="BK35" s="18">
        <v>1.859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3.7879999999999998</v>
      </c>
      <c r="BW35" s="18">
        <v>41.115000000000002</v>
      </c>
      <c r="BX35" s="18">
        <v>0.84099999999999997</v>
      </c>
      <c r="BY35" s="18">
        <v>0.185</v>
      </c>
      <c r="BZ35" s="18">
        <v>0.184</v>
      </c>
      <c r="CA35" s="18">
        <v>0</v>
      </c>
      <c r="CB35" s="18">
        <v>0.47699999999999998</v>
      </c>
      <c r="CC35" s="18">
        <v>0</v>
      </c>
      <c r="CD35" s="18">
        <v>0</v>
      </c>
      <c r="CE35" s="18">
        <v>0</v>
      </c>
    </row>
    <row r="36" spans="2:83" x14ac:dyDescent="0.3">
      <c r="B36" s="16" t="s">
        <v>31</v>
      </c>
      <c r="C36" s="17" t="s">
        <v>112</v>
      </c>
      <c r="D36" s="18">
        <f t="shared" si="2"/>
        <v>301.96700000000004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112.258</v>
      </c>
      <c r="AH36" s="18">
        <v>29.733000000000001</v>
      </c>
      <c r="AI36" s="18">
        <v>0</v>
      </c>
      <c r="AJ36" s="18">
        <v>0.752</v>
      </c>
      <c r="AK36" s="18">
        <v>0</v>
      </c>
      <c r="AL36" s="18">
        <v>0.745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2.23</v>
      </c>
      <c r="AT36" s="18">
        <v>0.24399999999999999</v>
      </c>
      <c r="AU36" s="18">
        <v>0</v>
      </c>
      <c r="AV36" s="18">
        <v>3.7010000000000001</v>
      </c>
      <c r="AW36" s="18">
        <v>0</v>
      </c>
      <c r="AX36" s="18">
        <v>0</v>
      </c>
      <c r="AY36" s="18">
        <v>74.451999999999998</v>
      </c>
      <c r="AZ36" s="18">
        <v>65.968000000000004</v>
      </c>
      <c r="BA36" s="18">
        <v>0</v>
      </c>
      <c r="BB36" s="18">
        <v>0</v>
      </c>
      <c r="BC36" s="18">
        <v>3.0760000000000001</v>
      </c>
      <c r="BD36" s="18">
        <v>7.6319999999999997</v>
      </c>
      <c r="BE36" s="18">
        <v>0</v>
      </c>
      <c r="BF36" s="18">
        <v>0</v>
      </c>
      <c r="BG36" s="18">
        <v>0</v>
      </c>
      <c r="BH36" s="18">
        <v>0</v>
      </c>
      <c r="BI36" s="18">
        <v>4.4999999999999998E-2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0.59299999999999997</v>
      </c>
      <c r="BX36" s="18">
        <v>0.33400000000000002</v>
      </c>
      <c r="BY36" s="18">
        <v>0</v>
      </c>
      <c r="BZ36" s="18">
        <v>0.20399999999999999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</row>
    <row r="37" spans="2:83" x14ac:dyDescent="0.3">
      <c r="B37" s="16" t="s">
        <v>32</v>
      </c>
      <c r="C37" s="17" t="s">
        <v>113</v>
      </c>
      <c r="D37" s="18">
        <f t="shared" si="2"/>
        <v>119.57700000000004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0.65100000000000002</v>
      </c>
      <c r="S37" s="18">
        <v>0</v>
      </c>
      <c r="T37" s="18">
        <v>5.1109999999999998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0.113</v>
      </c>
      <c r="AB37" s="18">
        <v>0</v>
      </c>
      <c r="AC37" s="18">
        <v>0</v>
      </c>
      <c r="AD37" s="18">
        <v>2.3E-2</v>
      </c>
      <c r="AE37" s="18">
        <v>0</v>
      </c>
      <c r="AF37" s="18">
        <v>0</v>
      </c>
      <c r="AG37" s="18">
        <v>0</v>
      </c>
      <c r="AH37" s="18">
        <v>0.54400000000000004</v>
      </c>
      <c r="AI37" s="18">
        <v>0</v>
      </c>
      <c r="AJ37" s="18">
        <v>0</v>
      </c>
      <c r="AK37" s="18">
        <v>0.09</v>
      </c>
      <c r="AL37" s="18">
        <v>0</v>
      </c>
      <c r="AM37" s="18">
        <v>0</v>
      </c>
      <c r="AN37" s="18">
        <v>0.104</v>
      </c>
      <c r="AO37" s="18">
        <v>0</v>
      </c>
      <c r="AP37" s="18">
        <v>1E-3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2.93</v>
      </c>
      <c r="AX37" s="18">
        <v>0.65600000000000003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6.3E-2</v>
      </c>
      <c r="BI37" s="18">
        <v>0</v>
      </c>
      <c r="BJ37" s="18">
        <v>25.712</v>
      </c>
      <c r="BK37" s="18">
        <v>0</v>
      </c>
      <c r="BL37" s="18">
        <v>4.2549999999999999</v>
      </c>
      <c r="BM37" s="18">
        <v>18.068000000000001</v>
      </c>
      <c r="BN37" s="18">
        <v>0.13300000000000001</v>
      </c>
      <c r="BO37" s="18">
        <v>6.6440000000000001</v>
      </c>
      <c r="BP37" s="18">
        <v>0</v>
      </c>
      <c r="BQ37" s="18">
        <v>0.99199999999999999</v>
      </c>
      <c r="BR37" s="18">
        <v>6.0190000000000001</v>
      </c>
      <c r="BS37" s="18">
        <v>11.692</v>
      </c>
      <c r="BT37" s="18">
        <v>12.936</v>
      </c>
      <c r="BU37" s="18">
        <v>1.899</v>
      </c>
      <c r="BV37" s="18">
        <v>0.49099999999999999</v>
      </c>
      <c r="BW37" s="18">
        <v>0</v>
      </c>
      <c r="BX37" s="18">
        <v>3.5840000000000001</v>
      </c>
      <c r="BY37" s="18">
        <v>2.694</v>
      </c>
      <c r="BZ37" s="18">
        <v>5.34</v>
      </c>
      <c r="CA37" s="18">
        <v>0</v>
      </c>
      <c r="CB37" s="18">
        <v>8.7119999999999997</v>
      </c>
      <c r="CC37" s="18">
        <v>0.12</v>
      </c>
      <c r="CD37" s="18">
        <v>0</v>
      </c>
      <c r="CE37" s="18">
        <v>0</v>
      </c>
    </row>
    <row r="38" spans="2:83" x14ac:dyDescent="0.3">
      <c r="B38" s="16" t="s">
        <v>33</v>
      </c>
      <c r="C38" s="17" t="s">
        <v>114</v>
      </c>
      <c r="D38" s="18">
        <f t="shared" si="2"/>
        <v>919.22099999999978</v>
      </c>
      <c r="E38" s="18">
        <v>4.3310000000000004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0.17299999999999999</v>
      </c>
      <c r="N38" s="18">
        <v>0.13100000000000001</v>
      </c>
      <c r="O38" s="18">
        <v>7.2889999999999997</v>
      </c>
      <c r="P38" s="18">
        <v>3.3319999999999999</v>
      </c>
      <c r="Q38" s="18">
        <v>0</v>
      </c>
      <c r="R38" s="18">
        <v>38.508000000000003</v>
      </c>
      <c r="S38" s="18">
        <v>122.194</v>
      </c>
      <c r="T38" s="18">
        <v>17.856999999999999</v>
      </c>
      <c r="U38" s="18">
        <v>0</v>
      </c>
      <c r="V38" s="18">
        <v>0.33300000000000002</v>
      </c>
      <c r="W38" s="18">
        <v>0</v>
      </c>
      <c r="X38" s="18">
        <v>0.56299999999999994</v>
      </c>
      <c r="Y38" s="18">
        <v>0</v>
      </c>
      <c r="Z38" s="18">
        <v>0</v>
      </c>
      <c r="AA38" s="18">
        <v>2.1190000000000002</v>
      </c>
      <c r="AB38" s="18">
        <v>1.85</v>
      </c>
      <c r="AC38" s="18">
        <v>0</v>
      </c>
      <c r="AD38" s="18">
        <v>0.182</v>
      </c>
      <c r="AE38" s="18">
        <v>0</v>
      </c>
      <c r="AF38" s="18">
        <v>0</v>
      </c>
      <c r="AG38" s="18">
        <v>1.9E-2</v>
      </c>
      <c r="AH38" s="18">
        <v>0.27400000000000002</v>
      </c>
      <c r="AI38" s="18">
        <v>0</v>
      </c>
      <c r="AJ38" s="18">
        <v>20.256</v>
      </c>
      <c r="AK38" s="18">
        <v>0</v>
      </c>
      <c r="AL38" s="18">
        <v>5.8999999999999997E-2</v>
      </c>
      <c r="AM38" s="18">
        <v>3.0000000000000001E-3</v>
      </c>
      <c r="AN38" s="18">
        <v>32.911000000000001</v>
      </c>
      <c r="AO38" s="18">
        <v>3.9E-2</v>
      </c>
      <c r="AP38" s="18">
        <v>3.0000000000000001E-3</v>
      </c>
      <c r="AQ38" s="18">
        <v>0.59399999999999997</v>
      </c>
      <c r="AR38" s="18">
        <v>8.8999999999999996E-2</v>
      </c>
      <c r="AS38" s="18">
        <v>0</v>
      </c>
      <c r="AT38" s="18">
        <v>8.0000000000000002E-3</v>
      </c>
      <c r="AU38" s="18">
        <v>8.0000000000000002E-3</v>
      </c>
      <c r="AV38" s="18">
        <v>13.022</v>
      </c>
      <c r="AW38" s="18">
        <v>15.285</v>
      </c>
      <c r="AX38" s="18">
        <v>2.09</v>
      </c>
      <c r="AY38" s="18">
        <v>0</v>
      </c>
      <c r="AZ38" s="18">
        <v>0</v>
      </c>
      <c r="BA38" s="18">
        <v>3.629</v>
      </c>
      <c r="BB38" s="18">
        <v>4.3999999999999997E-2</v>
      </c>
      <c r="BC38" s="18">
        <v>169.70500000000001</v>
      </c>
      <c r="BD38" s="18">
        <v>87.805999999999997</v>
      </c>
      <c r="BE38" s="18">
        <v>149.30799999999999</v>
      </c>
      <c r="BF38" s="18">
        <v>101.59699999999999</v>
      </c>
      <c r="BG38" s="18">
        <v>0</v>
      </c>
      <c r="BH38" s="18">
        <v>1.0249999999999999</v>
      </c>
      <c r="BI38" s="18">
        <v>0</v>
      </c>
      <c r="BJ38" s="18">
        <v>1.673</v>
      </c>
      <c r="BK38" s="18">
        <v>4.9080000000000004</v>
      </c>
      <c r="BL38" s="18">
        <v>3.3000000000000002E-2</v>
      </c>
      <c r="BM38" s="18">
        <v>1.4079999999999999</v>
      </c>
      <c r="BN38" s="18">
        <v>0.40899999999999997</v>
      </c>
      <c r="BO38" s="18">
        <v>4.9530000000000003</v>
      </c>
      <c r="BP38" s="18">
        <v>0</v>
      </c>
      <c r="BQ38" s="18">
        <v>0</v>
      </c>
      <c r="BR38" s="18">
        <v>1.4390000000000001</v>
      </c>
      <c r="BS38" s="18">
        <v>10.218999999999999</v>
      </c>
      <c r="BT38" s="18">
        <v>23.837</v>
      </c>
      <c r="BU38" s="18">
        <v>6.6879999999999997</v>
      </c>
      <c r="BV38" s="18">
        <v>3.9729999999999999</v>
      </c>
      <c r="BW38" s="18">
        <v>25.957999999999998</v>
      </c>
      <c r="BX38" s="18">
        <v>0.26100000000000001</v>
      </c>
      <c r="BY38" s="18">
        <v>8.59</v>
      </c>
      <c r="BZ38" s="18">
        <v>0.371</v>
      </c>
      <c r="CA38" s="18">
        <v>0</v>
      </c>
      <c r="CB38" s="18">
        <v>16.709</v>
      </c>
      <c r="CC38" s="18">
        <v>11.156000000000001</v>
      </c>
      <c r="CD38" s="18">
        <v>0</v>
      </c>
      <c r="CE38" s="18">
        <v>0</v>
      </c>
    </row>
    <row r="39" spans="2:83" x14ac:dyDescent="0.3">
      <c r="B39" s="16" t="s">
        <v>34</v>
      </c>
      <c r="C39" s="17" t="s">
        <v>115</v>
      </c>
      <c r="D39" s="18">
        <f t="shared" si="2"/>
        <v>879.80099999999993</v>
      </c>
      <c r="E39" s="18">
        <v>101.675</v>
      </c>
      <c r="F39" s="18">
        <v>199.29499999999999</v>
      </c>
      <c r="G39" s="18">
        <v>224.95099999999999</v>
      </c>
      <c r="H39" s="18">
        <v>16.890999999999998</v>
      </c>
      <c r="I39" s="18">
        <v>10.804</v>
      </c>
      <c r="J39" s="18">
        <v>1.274</v>
      </c>
      <c r="K39" s="18">
        <v>0.44900000000000001</v>
      </c>
      <c r="L39" s="18">
        <v>3.2269999999999999</v>
      </c>
      <c r="M39" s="18">
        <v>0.99399999999999999</v>
      </c>
      <c r="N39" s="18">
        <v>1.7999999999999999E-2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5.5E-2</v>
      </c>
      <c r="V39" s="18">
        <v>3.05</v>
      </c>
      <c r="W39" s="18">
        <v>3.0000000000000001E-3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1E-3</v>
      </c>
      <c r="AF39" s="18">
        <v>24.466000000000001</v>
      </c>
      <c r="AG39" s="18">
        <v>0</v>
      </c>
      <c r="AH39" s="18">
        <v>0.68799999999999994</v>
      </c>
      <c r="AI39" s="18">
        <v>0</v>
      </c>
      <c r="AJ39" s="18">
        <v>40.731999999999999</v>
      </c>
      <c r="AK39" s="18">
        <v>18.006</v>
      </c>
      <c r="AL39" s="18">
        <v>47.743000000000002</v>
      </c>
      <c r="AM39" s="18">
        <v>3.5000000000000003E-2</v>
      </c>
      <c r="AN39" s="18">
        <v>0</v>
      </c>
      <c r="AO39" s="18">
        <v>0.09</v>
      </c>
      <c r="AP39" s="18">
        <v>6.0000000000000001E-3</v>
      </c>
      <c r="AQ39" s="18">
        <v>0</v>
      </c>
      <c r="AR39" s="18">
        <v>0</v>
      </c>
      <c r="AS39" s="18">
        <v>36.408000000000001</v>
      </c>
      <c r="AT39" s="18">
        <v>10.526999999999999</v>
      </c>
      <c r="AU39" s="18">
        <v>0</v>
      </c>
      <c r="AV39" s="18">
        <v>0</v>
      </c>
      <c r="AW39" s="18">
        <v>0</v>
      </c>
      <c r="AX39" s="18">
        <v>7.5999999999999998E-2</v>
      </c>
      <c r="AY39" s="18">
        <v>66.781999999999996</v>
      </c>
      <c r="AZ39" s="18">
        <v>61.494999999999997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0.47899999999999998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0.219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8.9149999999999991</v>
      </c>
      <c r="BX39" s="18">
        <v>0.156</v>
      </c>
      <c r="BY39" s="18">
        <v>0.29099999999999998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</row>
    <row r="40" spans="2:83" x14ac:dyDescent="0.3">
      <c r="B40" s="16" t="s">
        <v>35</v>
      </c>
      <c r="C40" s="17" t="s">
        <v>116</v>
      </c>
      <c r="D40" s="18">
        <f t="shared" si="2"/>
        <v>106.89299999999999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3.7999999999999999E-2</v>
      </c>
      <c r="N40" s="18">
        <v>2.1000000000000001E-2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70.298000000000002</v>
      </c>
      <c r="BD40" s="18">
        <v>31.620999999999999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7.0999999999999994E-2</v>
      </c>
      <c r="BX40" s="18">
        <v>0</v>
      </c>
      <c r="BY40" s="18">
        <v>4.8440000000000003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</row>
    <row r="41" spans="2:83" x14ac:dyDescent="0.3">
      <c r="B41" s="16" t="s">
        <v>36</v>
      </c>
      <c r="C41" s="17" t="s">
        <v>117</v>
      </c>
      <c r="D41" s="18">
        <f t="shared" si="2"/>
        <v>108.80999999999999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57.43</v>
      </c>
      <c r="AZ41" s="18">
        <v>29.896000000000001</v>
      </c>
      <c r="BA41" s="18">
        <v>9.8879999999999999</v>
      </c>
      <c r="BB41" s="18">
        <v>0</v>
      </c>
      <c r="BC41" s="18">
        <v>0</v>
      </c>
      <c r="BD41" s="18">
        <v>0</v>
      </c>
      <c r="BE41" s="18">
        <v>1.335</v>
      </c>
      <c r="BF41" s="18">
        <v>10.023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0.19600000000000001</v>
      </c>
      <c r="BX41" s="18">
        <v>4.1000000000000002E-2</v>
      </c>
      <c r="BY41" s="18">
        <v>1E-3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</row>
    <row r="42" spans="2:83" x14ac:dyDescent="0.3">
      <c r="B42" s="16" t="s">
        <v>37</v>
      </c>
      <c r="C42" s="17" t="s">
        <v>118</v>
      </c>
      <c r="D42" s="18">
        <f t="shared" si="2"/>
        <v>143.95600000000002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78.384</v>
      </c>
      <c r="AZ42" s="18">
        <v>65.572000000000003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</row>
    <row r="43" spans="2:83" x14ac:dyDescent="0.3">
      <c r="B43" s="16" t="s">
        <v>38</v>
      </c>
      <c r="C43" s="17" t="s">
        <v>119</v>
      </c>
      <c r="D43" s="18">
        <f t="shared" si="2"/>
        <v>348.34499999999997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19.122</v>
      </c>
      <c r="AK43" s="18">
        <v>0</v>
      </c>
      <c r="AL43" s="18">
        <v>0.13400000000000001</v>
      </c>
      <c r="AM43" s="18">
        <v>48.945999999999998</v>
      </c>
      <c r="AN43" s="18">
        <v>4.2850000000000001</v>
      </c>
      <c r="AO43" s="18">
        <v>0</v>
      </c>
      <c r="AP43" s="18">
        <v>4.8029999999999999</v>
      </c>
      <c r="AQ43" s="18">
        <v>0</v>
      </c>
      <c r="AR43" s="18">
        <v>0</v>
      </c>
      <c r="AS43" s="18">
        <v>0</v>
      </c>
      <c r="AT43" s="18">
        <v>1.325</v>
      </c>
      <c r="AU43" s="18">
        <v>0</v>
      </c>
      <c r="AV43" s="18">
        <v>3.5219999999999998</v>
      </c>
      <c r="AW43" s="18">
        <v>0</v>
      </c>
      <c r="AX43" s="18">
        <v>0</v>
      </c>
      <c r="AY43" s="18">
        <v>148.35900000000001</v>
      </c>
      <c r="AZ43" s="18">
        <v>117.846</v>
      </c>
      <c r="BA43" s="18">
        <v>0</v>
      </c>
      <c r="BB43" s="18">
        <v>2E-3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1E-3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</row>
    <row r="44" spans="2:83" x14ac:dyDescent="0.3">
      <c r="B44" s="16" t="s">
        <v>39</v>
      </c>
      <c r="C44" s="17" t="s">
        <v>120</v>
      </c>
      <c r="D44" s="18">
        <f t="shared" si="2"/>
        <v>204.32300000000001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111.26300000000001</v>
      </c>
      <c r="AZ44" s="18">
        <v>93.06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</row>
    <row r="45" spans="2:83" x14ac:dyDescent="0.3">
      <c r="B45" s="16" t="s">
        <v>40</v>
      </c>
      <c r="C45" s="17" t="s">
        <v>121</v>
      </c>
      <c r="D45" s="18">
        <f t="shared" si="2"/>
        <v>724.54399999999987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0.122</v>
      </c>
      <c r="S45" s="18">
        <v>0.188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0.47199999999999998</v>
      </c>
      <c r="AI45" s="18">
        <v>0</v>
      </c>
      <c r="AJ45" s="18">
        <v>0</v>
      </c>
      <c r="AK45" s="18">
        <v>0</v>
      </c>
      <c r="AL45" s="18">
        <v>1.9570000000000001</v>
      </c>
      <c r="AM45" s="18">
        <v>0</v>
      </c>
      <c r="AN45" s="18">
        <v>0</v>
      </c>
      <c r="AO45" s="18">
        <v>0</v>
      </c>
      <c r="AP45" s="18">
        <v>101.34699999999999</v>
      </c>
      <c r="AQ45" s="18">
        <v>11.909000000000001</v>
      </c>
      <c r="AR45" s="18">
        <v>0</v>
      </c>
      <c r="AS45" s="18">
        <v>9.2059999999999995</v>
      </c>
      <c r="AT45" s="18">
        <v>0</v>
      </c>
      <c r="AU45" s="18">
        <v>0.375</v>
      </c>
      <c r="AV45" s="18">
        <v>6.8179999999999996</v>
      </c>
      <c r="AW45" s="18">
        <v>0</v>
      </c>
      <c r="AX45" s="18">
        <v>0</v>
      </c>
      <c r="AY45" s="18">
        <v>293.21100000000001</v>
      </c>
      <c r="AZ45" s="18">
        <v>245.24100000000001</v>
      </c>
      <c r="BA45" s="18">
        <v>0</v>
      </c>
      <c r="BB45" s="18">
        <v>1E-3</v>
      </c>
      <c r="BC45" s="18">
        <v>50.915999999999997</v>
      </c>
      <c r="BD45" s="18">
        <v>2.3380000000000001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0.29199999999999998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0.151</v>
      </c>
      <c r="CC45" s="18">
        <v>0</v>
      </c>
      <c r="CD45" s="18">
        <v>0</v>
      </c>
      <c r="CE45" s="18">
        <v>0</v>
      </c>
    </row>
    <row r="46" spans="2:83" x14ac:dyDescent="0.3">
      <c r="B46" s="16" t="s">
        <v>41</v>
      </c>
      <c r="C46" s="17" t="s">
        <v>122</v>
      </c>
      <c r="D46" s="18">
        <f t="shared" si="2"/>
        <v>150.73400000000004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2.0659999999999998</v>
      </c>
      <c r="AV46" s="18">
        <v>0</v>
      </c>
      <c r="AW46" s="18">
        <v>0</v>
      </c>
      <c r="AX46" s="18">
        <v>0</v>
      </c>
      <c r="AY46" s="18">
        <v>46.517000000000003</v>
      </c>
      <c r="AZ46" s="18">
        <v>34.106999999999999</v>
      </c>
      <c r="BA46" s="18">
        <v>0</v>
      </c>
      <c r="BB46" s="18">
        <v>6.9000000000000006E-2</v>
      </c>
      <c r="BC46" s="18">
        <v>15.54</v>
      </c>
      <c r="BD46" s="18">
        <v>4.9740000000000002</v>
      </c>
      <c r="BE46" s="18">
        <v>0</v>
      </c>
      <c r="BF46" s="18">
        <v>0</v>
      </c>
      <c r="BG46" s="18">
        <v>0</v>
      </c>
      <c r="BH46" s="18">
        <v>0</v>
      </c>
      <c r="BI46" s="18">
        <v>5.5E-2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41.06</v>
      </c>
      <c r="BX46" s="18">
        <v>4.8170000000000002</v>
      </c>
      <c r="BY46" s="18">
        <v>1.377</v>
      </c>
      <c r="BZ46" s="18">
        <v>0</v>
      </c>
      <c r="CA46" s="18">
        <v>0</v>
      </c>
      <c r="CB46" s="18">
        <v>0.152</v>
      </c>
      <c r="CC46" s="18">
        <v>0</v>
      </c>
      <c r="CD46" s="18">
        <v>0</v>
      </c>
      <c r="CE46" s="18">
        <v>0</v>
      </c>
    </row>
    <row r="47" spans="2:83" x14ac:dyDescent="0.3">
      <c r="B47" s="16" t="s">
        <v>42</v>
      </c>
      <c r="C47" s="17" t="s">
        <v>123</v>
      </c>
      <c r="D47" s="18">
        <f t="shared" si="2"/>
        <v>299.81400000000008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71.150000000000006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52.488</v>
      </c>
      <c r="AS47" s="18">
        <v>0</v>
      </c>
      <c r="AT47" s="18">
        <v>0</v>
      </c>
      <c r="AU47" s="18">
        <v>0</v>
      </c>
      <c r="AV47" s="18">
        <v>0</v>
      </c>
      <c r="AW47" s="18">
        <v>7.8819999999999997</v>
      </c>
      <c r="AX47" s="18">
        <v>0.97699999999999998</v>
      </c>
      <c r="AY47" s="18">
        <v>0</v>
      </c>
      <c r="AZ47" s="18">
        <v>0</v>
      </c>
      <c r="BA47" s="18">
        <v>75.804000000000002</v>
      </c>
      <c r="BB47" s="18">
        <v>5.5910000000000002</v>
      </c>
      <c r="BC47" s="18">
        <v>1.179</v>
      </c>
      <c r="BD47" s="18">
        <v>0</v>
      </c>
      <c r="BE47" s="18">
        <v>56.868000000000002</v>
      </c>
      <c r="BF47" s="18">
        <v>0</v>
      </c>
      <c r="BG47" s="18">
        <v>0</v>
      </c>
      <c r="BH47" s="18">
        <v>0.83599999999999997</v>
      </c>
      <c r="BI47" s="18">
        <v>0</v>
      </c>
      <c r="BJ47" s="18">
        <v>0</v>
      </c>
      <c r="BK47" s="18">
        <v>0</v>
      </c>
      <c r="BL47" s="18">
        <v>0</v>
      </c>
      <c r="BM47" s="18">
        <v>1.5109999999999999</v>
      </c>
      <c r="BN47" s="18">
        <v>0</v>
      </c>
      <c r="BO47" s="18">
        <v>10.308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12.747</v>
      </c>
      <c r="BV47" s="18">
        <v>0</v>
      </c>
      <c r="BW47" s="18">
        <v>0.67500000000000004</v>
      </c>
      <c r="BX47" s="18">
        <v>3.0000000000000001E-3</v>
      </c>
      <c r="BY47" s="18">
        <v>0.156</v>
      </c>
      <c r="BZ47" s="18">
        <v>1.7000000000000001E-2</v>
      </c>
      <c r="CA47" s="18">
        <v>0</v>
      </c>
      <c r="CB47" s="18">
        <v>0.44500000000000001</v>
      </c>
      <c r="CC47" s="18">
        <v>1.177</v>
      </c>
      <c r="CD47" s="18">
        <v>0</v>
      </c>
      <c r="CE47" s="18">
        <v>0</v>
      </c>
    </row>
    <row r="48" spans="2:83" x14ac:dyDescent="0.3">
      <c r="B48" s="16" t="s">
        <v>43</v>
      </c>
      <c r="C48" s="17" t="s">
        <v>124</v>
      </c>
      <c r="D48" s="18">
        <f t="shared" si="2"/>
        <v>11.941000000000001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2.6779999999999999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0.73099999999999998</v>
      </c>
      <c r="BX48" s="18">
        <v>8.5190000000000001</v>
      </c>
      <c r="BY48" s="18">
        <v>1.2999999999999999E-2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</row>
    <row r="49" spans="2:83" x14ac:dyDescent="0.3">
      <c r="B49" s="16" t="s">
        <v>44</v>
      </c>
      <c r="C49" s="17" t="s">
        <v>125</v>
      </c>
      <c r="D49" s="18">
        <f t="shared" si="2"/>
        <v>482.43699999999995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19.745000000000001</v>
      </c>
      <c r="S49" s="18">
        <v>0</v>
      </c>
      <c r="T49" s="18">
        <v>5.2050000000000001</v>
      </c>
      <c r="U49" s="18">
        <v>0</v>
      </c>
      <c r="V49" s="18">
        <v>0.441</v>
      </c>
      <c r="W49" s="18">
        <v>0</v>
      </c>
      <c r="X49" s="18">
        <v>0</v>
      </c>
      <c r="Y49" s="18">
        <v>0</v>
      </c>
      <c r="Z49" s="18">
        <v>3.488</v>
      </c>
      <c r="AA49" s="18">
        <v>4.1710000000000003</v>
      </c>
      <c r="AB49" s="18">
        <v>3.956</v>
      </c>
      <c r="AC49" s="18">
        <v>0</v>
      </c>
      <c r="AD49" s="18">
        <v>3.03</v>
      </c>
      <c r="AE49" s="18">
        <v>0</v>
      </c>
      <c r="AF49" s="18">
        <v>4.8440000000000003</v>
      </c>
      <c r="AG49" s="18">
        <v>57.774999999999999</v>
      </c>
      <c r="AH49" s="18">
        <v>6.4749999999999996</v>
      </c>
      <c r="AI49" s="18">
        <v>0</v>
      </c>
      <c r="AJ49" s="18">
        <v>45.884999999999998</v>
      </c>
      <c r="AK49" s="18">
        <v>0</v>
      </c>
      <c r="AL49" s="18">
        <v>0</v>
      </c>
      <c r="AM49" s="18">
        <v>0</v>
      </c>
      <c r="AN49" s="18">
        <v>14.601000000000001</v>
      </c>
      <c r="AO49" s="18">
        <v>0</v>
      </c>
      <c r="AP49" s="18">
        <v>6.9089999999999998</v>
      </c>
      <c r="AQ49" s="18">
        <v>7.819</v>
      </c>
      <c r="AR49" s="18">
        <v>1.248</v>
      </c>
      <c r="AS49" s="18">
        <v>16.885999999999999</v>
      </c>
      <c r="AT49" s="18">
        <v>11.997999999999999</v>
      </c>
      <c r="AU49" s="18">
        <v>0</v>
      </c>
      <c r="AV49" s="18">
        <v>27.459</v>
      </c>
      <c r="AW49" s="18">
        <v>7.1029999999999998</v>
      </c>
      <c r="AX49" s="18">
        <v>3.2389999999999999</v>
      </c>
      <c r="AY49" s="18">
        <v>29.515000000000001</v>
      </c>
      <c r="AZ49" s="18">
        <v>40.734999999999999</v>
      </c>
      <c r="BA49" s="18">
        <v>0</v>
      </c>
      <c r="BB49" s="18">
        <v>3.9E-2</v>
      </c>
      <c r="BC49" s="18">
        <v>0</v>
      </c>
      <c r="BD49" s="18">
        <v>0</v>
      </c>
      <c r="BE49" s="18">
        <v>0</v>
      </c>
      <c r="BF49" s="18">
        <v>10.500999999999999</v>
      </c>
      <c r="BG49" s="18">
        <v>0</v>
      </c>
      <c r="BH49" s="18">
        <v>0.33500000000000002</v>
      </c>
      <c r="BI49" s="18">
        <v>0</v>
      </c>
      <c r="BJ49" s="18">
        <v>0</v>
      </c>
      <c r="BK49" s="18">
        <v>6.9219999999999997</v>
      </c>
      <c r="BL49" s="18">
        <v>4.7649999999999997</v>
      </c>
      <c r="BM49" s="18">
        <v>0</v>
      </c>
      <c r="BN49" s="18">
        <v>2.7650000000000001</v>
      </c>
      <c r="BO49" s="18">
        <v>0</v>
      </c>
      <c r="BP49" s="18">
        <v>0</v>
      </c>
      <c r="BQ49" s="18">
        <v>0.70399999999999996</v>
      </c>
      <c r="BR49" s="18">
        <v>0</v>
      </c>
      <c r="BS49" s="18">
        <v>8.4030000000000005</v>
      </c>
      <c r="BT49" s="18">
        <v>0</v>
      </c>
      <c r="BU49" s="18">
        <v>1.556</v>
      </c>
      <c r="BV49" s="18">
        <v>21.818000000000001</v>
      </c>
      <c r="BW49" s="18">
        <v>0.59499999999999997</v>
      </c>
      <c r="BX49" s="18">
        <v>0.70599999999999996</v>
      </c>
      <c r="BY49" s="18">
        <v>91.370999999999995</v>
      </c>
      <c r="BZ49" s="18">
        <v>2.4630000000000001</v>
      </c>
      <c r="CA49" s="18">
        <v>0</v>
      </c>
      <c r="CB49" s="18">
        <v>0</v>
      </c>
      <c r="CC49" s="18">
        <v>6.9669999999999996</v>
      </c>
      <c r="CD49" s="18">
        <v>0</v>
      </c>
      <c r="CE49" s="18">
        <v>0</v>
      </c>
    </row>
    <row r="50" spans="2:83" x14ac:dyDescent="0.3">
      <c r="B50" s="16" t="s">
        <v>45</v>
      </c>
      <c r="C50" s="17" t="s">
        <v>126</v>
      </c>
      <c r="D50" s="18">
        <f t="shared" si="2"/>
        <v>43.481000000000009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8.2000000000000003E-2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0.28899999999999998</v>
      </c>
      <c r="AO50" s="18">
        <v>0</v>
      </c>
      <c r="AP50" s="18">
        <v>2E-3</v>
      </c>
      <c r="AQ50" s="18">
        <v>0</v>
      </c>
      <c r="AR50" s="18">
        <v>0</v>
      </c>
      <c r="AS50" s="18">
        <v>0</v>
      </c>
      <c r="AT50" s="18">
        <v>16.898</v>
      </c>
      <c r="AU50" s="18">
        <v>0</v>
      </c>
      <c r="AV50" s="18">
        <v>0</v>
      </c>
      <c r="AW50" s="18">
        <v>5.12</v>
      </c>
      <c r="AX50" s="18">
        <v>4.6079999999999997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0.36799999999999999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0.1</v>
      </c>
      <c r="BR50" s="18">
        <v>0</v>
      </c>
      <c r="BS50" s="18">
        <v>0</v>
      </c>
      <c r="BT50" s="18">
        <v>0</v>
      </c>
      <c r="BU50" s="18">
        <v>0</v>
      </c>
      <c r="BV50" s="18">
        <v>2.141</v>
      </c>
      <c r="BW50" s="18">
        <v>0</v>
      </c>
      <c r="BX50" s="18">
        <v>1E-3</v>
      </c>
      <c r="BY50" s="18">
        <v>6.0000000000000001E-3</v>
      </c>
      <c r="BZ50" s="18">
        <v>7.5110000000000001</v>
      </c>
      <c r="CA50" s="18">
        <v>0</v>
      </c>
      <c r="CB50" s="18">
        <v>0.94699999999999995</v>
      </c>
      <c r="CC50" s="18">
        <v>5.4080000000000004</v>
      </c>
      <c r="CD50" s="18">
        <v>0</v>
      </c>
      <c r="CE50" s="18">
        <v>0</v>
      </c>
    </row>
    <row r="51" spans="2:83" x14ac:dyDescent="0.3">
      <c r="B51" s="16" t="s">
        <v>46</v>
      </c>
      <c r="C51" s="17" t="s">
        <v>127</v>
      </c>
      <c r="D51" s="18">
        <f t="shared" si="2"/>
        <v>241.84099999999995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0.4</v>
      </c>
      <c r="M51" s="18">
        <v>0.63200000000000001</v>
      </c>
      <c r="N51" s="18">
        <v>0</v>
      </c>
      <c r="O51" s="18">
        <v>0</v>
      </c>
      <c r="P51" s="18">
        <v>0</v>
      </c>
      <c r="Q51" s="18">
        <v>0</v>
      </c>
      <c r="R51" s="18">
        <v>16.37</v>
      </c>
      <c r="S51" s="18">
        <v>0</v>
      </c>
      <c r="T51" s="18">
        <v>8.8000000000000007</v>
      </c>
      <c r="U51" s="18">
        <v>0.70499999999999996</v>
      </c>
      <c r="V51" s="18">
        <v>3.4000000000000002E-2</v>
      </c>
      <c r="W51" s="18">
        <v>7.1769999999999996</v>
      </c>
      <c r="X51" s="18">
        <v>0.27800000000000002</v>
      </c>
      <c r="Y51" s="18">
        <v>0</v>
      </c>
      <c r="Z51" s="18">
        <v>0.114</v>
      </c>
      <c r="AA51" s="18">
        <v>0.91100000000000003</v>
      </c>
      <c r="AB51" s="18">
        <v>0</v>
      </c>
      <c r="AC51" s="18">
        <v>21.437999999999999</v>
      </c>
      <c r="AD51" s="18">
        <v>0.39</v>
      </c>
      <c r="AE51" s="18">
        <v>1.7000000000000001E-2</v>
      </c>
      <c r="AF51" s="18">
        <v>0</v>
      </c>
      <c r="AG51" s="18">
        <v>2.1549999999999998</v>
      </c>
      <c r="AH51" s="18">
        <v>0.14299999999999999</v>
      </c>
      <c r="AI51" s="18">
        <v>0</v>
      </c>
      <c r="AJ51" s="18">
        <v>0.19400000000000001</v>
      </c>
      <c r="AK51" s="18">
        <v>0</v>
      </c>
      <c r="AL51" s="18">
        <v>0.497</v>
      </c>
      <c r="AM51" s="18">
        <v>0</v>
      </c>
      <c r="AN51" s="18">
        <v>20.966999999999999</v>
      </c>
      <c r="AO51" s="18">
        <v>5.5010000000000003</v>
      </c>
      <c r="AP51" s="18">
        <v>8.0000000000000002E-3</v>
      </c>
      <c r="AQ51" s="18">
        <v>0.19800000000000001</v>
      </c>
      <c r="AR51" s="18">
        <v>3.214</v>
      </c>
      <c r="AS51" s="18">
        <v>0</v>
      </c>
      <c r="AT51" s="18">
        <v>1.179</v>
      </c>
      <c r="AU51" s="18">
        <v>0.26800000000000002</v>
      </c>
      <c r="AV51" s="18">
        <v>0.28299999999999997</v>
      </c>
      <c r="AW51" s="18">
        <v>0</v>
      </c>
      <c r="AX51" s="18">
        <v>0.03</v>
      </c>
      <c r="AY51" s="18">
        <v>25.756</v>
      </c>
      <c r="AZ51" s="18">
        <v>10.315</v>
      </c>
      <c r="BA51" s="18">
        <v>4.7510000000000003</v>
      </c>
      <c r="BB51" s="18">
        <v>0</v>
      </c>
      <c r="BC51" s="18">
        <v>0</v>
      </c>
      <c r="BD51" s="18">
        <v>0</v>
      </c>
      <c r="BE51" s="18">
        <v>0</v>
      </c>
      <c r="BF51" s="18">
        <v>0.94699999999999995</v>
      </c>
      <c r="BG51" s="18">
        <v>0</v>
      </c>
      <c r="BH51" s="18">
        <v>0.13300000000000001</v>
      </c>
      <c r="BI51" s="18">
        <v>5.0419999999999998</v>
      </c>
      <c r="BJ51" s="18">
        <v>35.871000000000002</v>
      </c>
      <c r="BK51" s="18">
        <v>2.1579999999999999</v>
      </c>
      <c r="BL51" s="18">
        <v>4.1470000000000002</v>
      </c>
      <c r="BM51" s="18">
        <v>5.1760000000000002</v>
      </c>
      <c r="BN51" s="18">
        <v>6.0000000000000001E-3</v>
      </c>
      <c r="BO51" s="18">
        <v>0</v>
      </c>
      <c r="BP51" s="18">
        <v>0</v>
      </c>
      <c r="BQ51" s="18">
        <v>0.63100000000000001</v>
      </c>
      <c r="BR51" s="18">
        <v>2.0739999999999998</v>
      </c>
      <c r="BS51" s="18">
        <v>0</v>
      </c>
      <c r="BT51" s="18">
        <v>2.605</v>
      </c>
      <c r="BU51" s="18">
        <v>0</v>
      </c>
      <c r="BV51" s="18">
        <v>2.3090000000000002</v>
      </c>
      <c r="BW51" s="18">
        <v>9.8320000000000007</v>
      </c>
      <c r="BX51" s="18">
        <v>9.7370000000000001</v>
      </c>
      <c r="BY51" s="18">
        <v>5.5730000000000004</v>
      </c>
      <c r="BZ51" s="18">
        <v>2.004</v>
      </c>
      <c r="CA51" s="18">
        <v>4.5209999999999999</v>
      </c>
      <c r="CB51" s="18">
        <v>13.617000000000001</v>
      </c>
      <c r="CC51" s="18">
        <v>2.7330000000000001</v>
      </c>
      <c r="CD51" s="18">
        <v>0</v>
      </c>
      <c r="CE51" s="18">
        <v>0</v>
      </c>
    </row>
    <row r="52" spans="2:83" x14ac:dyDescent="0.3">
      <c r="B52" s="16" t="s">
        <v>47</v>
      </c>
      <c r="C52" s="17" t="s">
        <v>128</v>
      </c>
      <c r="D52" s="18">
        <f t="shared" si="2"/>
        <v>70.149999999999991</v>
      </c>
      <c r="E52" s="18">
        <v>0.36799999999999999</v>
      </c>
      <c r="F52" s="18">
        <v>0</v>
      </c>
      <c r="G52" s="18">
        <v>0.89900000000000002</v>
      </c>
      <c r="H52" s="18">
        <v>0.252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1.004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4.2999999999999997E-2</v>
      </c>
      <c r="Y52" s="18">
        <v>6.9000000000000006E-2</v>
      </c>
      <c r="Z52" s="18">
        <v>0</v>
      </c>
      <c r="AA52" s="18">
        <v>0</v>
      </c>
      <c r="AB52" s="18">
        <v>3.2000000000000001E-2</v>
      </c>
      <c r="AC52" s="18">
        <v>4.0339999999999998</v>
      </c>
      <c r="AD52" s="18">
        <v>3.1E-2</v>
      </c>
      <c r="AE52" s="18">
        <v>0</v>
      </c>
      <c r="AF52" s="18">
        <v>0.186</v>
      </c>
      <c r="AG52" s="18">
        <v>0.34300000000000003</v>
      </c>
      <c r="AH52" s="18">
        <v>0</v>
      </c>
      <c r="AI52" s="18">
        <v>0</v>
      </c>
      <c r="AJ52" s="18">
        <v>1.298</v>
      </c>
      <c r="AK52" s="18">
        <v>0.125</v>
      </c>
      <c r="AL52" s="18">
        <v>0</v>
      </c>
      <c r="AM52" s="18">
        <v>0</v>
      </c>
      <c r="AN52" s="18">
        <v>1.554</v>
      </c>
      <c r="AO52" s="18">
        <v>0</v>
      </c>
      <c r="AP52" s="18">
        <v>0.74199999999999999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0.47799999999999998</v>
      </c>
      <c r="AW52" s="18">
        <v>1.2909999999999999</v>
      </c>
      <c r="AX52" s="18">
        <v>0</v>
      </c>
      <c r="AY52" s="18">
        <v>0.68500000000000005</v>
      </c>
      <c r="AZ52" s="18">
        <v>0.57299999999999995</v>
      </c>
      <c r="BA52" s="18">
        <v>5.3090000000000002</v>
      </c>
      <c r="BB52" s="18">
        <v>3.0000000000000001E-3</v>
      </c>
      <c r="BC52" s="18">
        <v>0.41699999999999998</v>
      </c>
      <c r="BD52" s="18">
        <v>0.47199999999999998</v>
      </c>
      <c r="BE52" s="18">
        <v>7.3999999999999996E-2</v>
      </c>
      <c r="BF52" s="18">
        <v>0</v>
      </c>
      <c r="BG52" s="18">
        <v>0</v>
      </c>
      <c r="BH52" s="18">
        <v>9.8000000000000004E-2</v>
      </c>
      <c r="BI52" s="18">
        <v>3.3149999999999999</v>
      </c>
      <c r="BJ52" s="18">
        <v>0</v>
      </c>
      <c r="BK52" s="18">
        <v>0.34899999999999998</v>
      </c>
      <c r="BL52" s="18">
        <v>7.2279999999999998</v>
      </c>
      <c r="BM52" s="18">
        <v>4.3</v>
      </c>
      <c r="BN52" s="18">
        <v>9.0999999999999998E-2</v>
      </c>
      <c r="BO52" s="18">
        <v>0</v>
      </c>
      <c r="BP52" s="18">
        <v>0</v>
      </c>
      <c r="BQ52" s="18">
        <v>2.8839999999999999</v>
      </c>
      <c r="BR52" s="18">
        <v>0</v>
      </c>
      <c r="BS52" s="18">
        <v>0</v>
      </c>
      <c r="BT52" s="18">
        <v>0.30299999999999999</v>
      </c>
      <c r="BU52" s="18">
        <v>0</v>
      </c>
      <c r="BV52" s="18">
        <v>1.7170000000000001</v>
      </c>
      <c r="BW52" s="18">
        <v>12.592000000000001</v>
      </c>
      <c r="BX52" s="18">
        <v>9.11</v>
      </c>
      <c r="BY52" s="18">
        <v>2.774</v>
      </c>
      <c r="BZ52" s="18">
        <v>4.7030000000000003</v>
      </c>
      <c r="CA52" s="18">
        <v>0</v>
      </c>
      <c r="CB52" s="18">
        <v>0.40400000000000003</v>
      </c>
      <c r="CC52" s="18">
        <v>0</v>
      </c>
      <c r="CD52" s="18">
        <v>0</v>
      </c>
      <c r="CE52" s="18">
        <v>0</v>
      </c>
    </row>
    <row r="53" spans="2:83" x14ac:dyDescent="0.3">
      <c r="B53" s="16" t="s">
        <v>48</v>
      </c>
      <c r="C53" s="17" t="s">
        <v>129</v>
      </c>
      <c r="D53" s="18">
        <f t="shared" si="2"/>
        <v>14.466999999999999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0.312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0.32200000000000001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0.11799999999999999</v>
      </c>
      <c r="AZ53" s="18">
        <v>9.9000000000000005E-2</v>
      </c>
      <c r="BA53" s="18">
        <v>0</v>
      </c>
      <c r="BB53" s="18">
        <v>0</v>
      </c>
      <c r="BC53" s="18">
        <v>0.05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0.49099999999999999</v>
      </c>
      <c r="BJ53" s="18">
        <v>0</v>
      </c>
      <c r="BK53" s="18">
        <v>0</v>
      </c>
      <c r="BL53" s="18">
        <v>0</v>
      </c>
      <c r="BM53" s="18">
        <v>11.627000000000001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1.4E-2</v>
      </c>
      <c r="BY53" s="18">
        <v>2.1000000000000001E-2</v>
      </c>
      <c r="BZ53" s="18">
        <v>1.0999999999999999E-2</v>
      </c>
      <c r="CA53" s="18">
        <v>0</v>
      </c>
      <c r="CB53" s="18">
        <v>0</v>
      </c>
      <c r="CC53" s="18">
        <v>1.4019999999999999</v>
      </c>
      <c r="CD53" s="18">
        <v>0</v>
      </c>
      <c r="CE53" s="18">
        <v>0</v>
      </c>
    </row>
    <row r="54" spans="2:83" x14ac:dyDescent="0.3">
      <c r="B54" s="16" t="s">
        <v>49</v>
      </c>
      <c r="C54" s="17" t="s">
        <v>130</v>
      </c>
      <c r="D54" s="18">
        <f t="shared" si="2"/>
        <v>2813.1480000000001</v>
      </c>
      <c r="E54" s="18">
        <v>6.2830000000000004</v>
      </c>
      <c r="F54" s="18">
        <v>0</v>
      </c>
      <c r="G54" s="18">
        <v>11.734</v>
      </c>
      <c r="H54" s="18">
        <v>18.544</v>
      </c>
      <c r="I54" s="18">
        <v>8.0459999999999994</v>
      </c>
      <c r="J54" s="18">
        <v>0</v>
      </c>
      <c r="K54" s="18">
        <v>0</v>
      </c>
      <c r="L54" s="18">
        <v>9.2449999999999992</v>
      </c>
      <c r="M54" s="18">
        <v>8.2460000000000004</v>
      </c>
      <c r="N54" s="18">
        <v>0</v>
      </c>
      <c r="O54" s="18">
        <v>0</v>
      </c>
      <c r="P54" s="18">
        <v>0</v>
      </c>
      <c r="Q54" s="18">
        <v>0</v>
      </c>
      <c r="R54" s="18">
        <v>26.297000000000001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6.8000000000000005E-2</v>
      </c>
      <c r="Y54" s="18">
        <v>0</v>
      </c>
      <c r="Z54" s="18">
        <v>0</v>
      </c>
      <c r="AA54" s="18">
        <v>0</v>
      </c>
      <c r="AB54" s="18">
        <v>1.042</v>
      </c>
      <c r="AC54" s="18">
        <v>0</v>
      </c>
      <c r="AD54" s="18">
        <v>0.26700000000000002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1.024</v>
      </c>
      <c r="AK54" s="18">
        <v>0</v>
      </c>
      <c r="AL54" s="18">
        <v>0.39100000000000001</v>
      </c>
      <c r="AM54" s="18">
        <v>0</v>
      </c>
      <c r="AN54" s="18">
        <v>0</v>
      </c>
      <c r="AO54" s="18">
        <v>0</v>
      </c>
      <c r="AP54" s="18">
        <v>12.752000000000001</v>
      </c>
      <c r="AQ54" s="18">
        <v>0.39100000000000001</v>
      </c>
      <c r="AR54" s="18">
        <v>0</v>
      </c>
      <c r="AS54" s="18">
        <v>0</v>
      </c>
      <c r="AT54" s="18">
        <v>13.711</v>
      </c>
      <c r="AU54" s="18">
        <v>0</v>
      </c>
      <c r="AV54" s="18">
        <v>35.588999999999999</v>
      </c>
      <c r="AW54" s="18">
        <v>1.0349999999999999</v>
      </c>
      <c r="AX54" s="18">
        <v>0.22800000000000001</v>
      </c>
      <c r="AY54" s="18">
        <v>1157.1479999999999</v>
      </c>
      <c r="AZ54" s="18">
        <v>660.47400000000005</v>
      </c>
      <c r="BA54" s="18">
        <v>0</v>
      </c>
      <c r="BB54" s="18">
        <v>4.7E-2</v>
      </c>
      <c r="BC54" s="18">
        <v>0</v>
      </c>
      <c r="BD54" s="18">
        <v>0</v>
      </c>
      <c r="BE54" s="18">
        <v>3.427</v>
      </c>
      <c r="BF54" s="18">
        <v>0</v>
      </c>
      <c r="BG54" s="18">
        <v>0</v>
      </c>
      <c r="BH54" s="18">
        <v>1.1519999999999999</v>
      </c>
      <c r="BI54" s="18">
        <v>34.451000000000001</v>
      </c>
      <c r="BJ54" s="18">
        <v>0</v>
      </c>
      <c r="BK54" s="18">
        <v>10.741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24.972999999999999</v>
      </c>
      <c r="BR54" s="18">
        <v>0</v>
      </c>
      <c r="BS54" s="18">
        <v>0</v>
      </c>
      <c r="BT54" s="18">
        <v>0</v>
      </c>
      <c r="BU54" s="18">
        <v>8.2449999999999992</v>
      </c>
      <c r="BV54" s="18">
        <v>79.843999999999994</v>
      </c>
      <c r="BW54" s="18">
        <v>638.05600000000004</v>
      </c>
      <c r="BX54" s="18">
        <v>0.14000000000000001</v>
      </c>
      <c r="BY54" s="18">
        <v>0.61699999999999999</v>
      </c>
      <c r="BZ54" s="18">
        <v>0.21299999999999999</v>
      </c>
      <c r="CA54" s="18">
        <v>0</v>
      </c>
      <c r="CB54" s="18">
        <v>14.122</v>
      </c>
      <c r="CC54" s="18">
        <v>24.605</v>
      </c>
      <c r="CD54" s="18">
        <v>0</v>
      </c>
      <c r="CE54" s="18">
        <v>0</v>
      </c>
    </row>
    <row r="55" spans="2:83" x14ac:dyDescent="0.3">
      <c r="B55" s="16" t="s">
        <v>50</v>
      </c>
      <c r="C55" s="17" t="s">
        <v>131</v>
      </c>
      <c r="D55" s="18">
        <f t="shared" si="2"/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</row>
    <row r="56" spans="2:83" x14ac:dyDescent="0.3">
      <c r="B56" s="16" t="s">
        <v>51</v>
      </c>
      <c r="C56" s="17" t="s">
        <v>132</v>
      </c>
      <c r="D56" s="18">
        <f t="shared" si="2"/>
        <v>185.44800000000001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1.9650000000000001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3.4000000000000002E-2</v>
      </c>
      <c r="Z56" s="18">
        <v>0</v>
      </c>
      <c r="AA56" s="18">
        <v>0.245</v>
      </c>
      <c r="AB56" s="18">
        <v>1.085</v>
      </c>
      <c r="AC56" s="18">
        <v>0</v>
      </c>
      <c r="AD56" s="18">
        <v>0</v>
      </c>
      <c r="AE56" s="18">
        <v>0</v>
      </c>
      <c r="AF56" s="18">
        <v>1.173</v>
      </c>
      <c r="AG56" s="18">
        <v>0.33600000000000002</v>
      </c>
      <c r="AH56" s="18">
        <v>0</v>
      </c>
      <c r="AI56" s="18">
        <v>0</v>
      </c>
      <c r="AJ56" s="18">
        <v>9.8949999999999996</v>
      </c>
      <c r="AK56" s="18">
        <v>0</v>
      </c>
      <c r="AL56" s="18">
        <v>0.83599999999999997</v>
      </c>
      <c r="AM56" s="18">
        <v>0</v>
      </c>
      <c r="AN56" s="18">
        <v>5.6000000000000001E-2</v>
      </c>
      <c r="AO56" s="18">
        <v>0</v>
      </c>
      <c r="AP56" s="18">
        <v>0.96699999999999997</v>
      </c>
      <c r="AQ56" s="18">
        <v>4.9770000000000003</v>
      </c>
      <c r="AR56" s="18">
        <v>0</v>
      </c>
      <c r="AS56" s="18">
        <v>0.53300000000000003</v>
      </c>
      <c r="AT56" s="18">
        <v>5.2999999999999999E-2</v>
      </c>
      <c r="AU56" s="18">
        <v>0</v>
      </c>
      <c r="AV56" s="18">
        <v>0</v>
      </c>
      <c r="AW56" s="18">
        <v>5.0549999999999997</v>
      </c>
      <c r="AX56" s="18">
        <v>0.8</v>
      </c>
      <c r="AY56" s="18">
        <v>8.0370000000000008</v>
      </c>
      <c r="AZ56" s="18">
        <v>6.7160000000000002</v>
      </c>
      <c r="BA56" s="18">
        <v>6.6120000000000001</v>
      </c>
      <c r="BB56" s="18">
        <v>4.9000000000000002E-2</v>
      </c>
      <c r="BC56" s="18">
        <v>6.8209999999999997</v>
      </c>
      <c r="BD56" s="18">
        <v>1.893</v>
      </c>
      <c r="BE56" s="18">
        <v>44.442999999999998</v>
      </c>
      <c r="BF56" s="18">
        <v>6.8339999999999996</v>
      </c>
      <c r="BG56" s="18">
        <v>2.097</v>
      </c>
      <c r="BH56" s="18">
        <v>1.1479999999999999</v>
      </c>
      <c r="BI56" s="18">
        <v>3.722</v>
      </c>
      <c r="BJ56" s="18">
        <v>0</v>
      </c>
      <c r="BK56" s="18">
        <v>1.2729999999999999</v>
      </c>
      <c r="BL56" s="18">
        <v>0</v>
      </c>
      <c r="BM56" s="18">
        <v>1.4019999999999999</v>
      </c>
      <c r="BN56" s="18">
        <v>0.224</v>
      </c>
      <c r="BO56" s="18">
        <v>0</v>
      </c>
      <c r="BP56" s="18">
        <v>0</v>
      </c>
      <c r="BQ56" s="18">
        <v>0.253</v>
      </c>
      <c r="BR56" s="18">
        <v>1.2390000000000001</v>
      </c>
      <c r="BS56" s="18">
        <v>0</v>
      </c>
      <c r="BT56" s="18">
        <v>2.8780000000000001</v>
      </c>
      <c r="BU56" s="18">
        <v>12.396000000000001</v>
      </c>
      <c r="BV56" s="18">
        <v>6.4539999999999997</v>
      </c>
      <c r="BW56" s="18">
        <v>22.626999999999999</v>
      </c>
      <c r="BX56" s="18">
        <v>1.7689999999999999</v>
      </c>
      <c r="BY56" s="18">
        <v>8.0489999999999995</v>
      </c>
      <c r="BZ56" s="18">
        <v>0.38400000000000001</v>
      </c>
      <c r="CA56" s="18">
        <v>0</v>
      </c>
      <c r="CB56" s="18">
        <v>0.40799999999999997</v>
      </c>
      <c r="CC56" s="18">
        <v>9.7100000000000009</v>
      </c>
      <c r="CD56" s="18">
        <v>0</v>
      </c>
      <c r="CE56" s="18">
        <v>0</v>
      </c>
    </row>
    <row r="57" spans="2:83" x14ac:dyDescent="0.3">
      <c r="B57" s="16" t="s">
        <v>52</v>
      </c>
      <c r="C57" s="17" t="s">
        <v>133</v>
      </c>
      <c r="D57" s="18">
        <f t="shared" si="2"/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</row>
    <row r="58" spans="2:83" x14ac:dyDescent="0.3">
      <c r="B58" s="16" t="s">
        <v>53</v>
      </c>
      <c r="C58" s="17" t="s">
        <v>134</v>
      </c>
      <c r="D58" s="18">
        <f t="shared" si="2"/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</row>
    <row r="59" spans="2:83" x14ac:dyDescent="0.3">
      <c r="B59" s="16" t="s">
        <v>54</v>
      </c>
      <c r="C59" s="17" t="s">
        <v>135</v>
      </c>
      <c r="D59" s="18">
        <f t="shared" si="2"/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</row>
    <row r="60" spans="2:83" x14ac:dyDescent="0.3">
      <c r="B60" s="16" t="s">
        <v>55</v>
      </c>
      <c r="C60" s="17" t="s">
        <v>136</v>
      </c>
      <c r="D60" s="18">
        <f t="shared" si="2"/>
        <v>759.55499999999995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3.9220000000000002</v>
      </c>
      <c r="P60" s="18">
        <v>6.1429999999999998</v>
      </c>
      <c r="Q60" s="18">
        <v>0</v>
      </c>
      <c r="R60" s="18">
        <v>0.12</v>
      </c>
      <c r="S60" s="18">
        <v>0</v>
      </c>
      <c r="T60" s="18">
        <v>19.445</v>
      </c>
      <c r="U60" s="18">
        <v>0.182</v>
      </c>
      <c r="V60" s="18">
        <v>0</v>
      </c>
      <c r="W60" s="18">
        <v>5.056</v>
      </c>
      <c r="X60" s="18">
        <v>1.1479999999999999</v>
      </c>
      <c r="Y60" s="18">
        <v>0</v>
      </c>
      <c r="Z60" s="18">
        <v>0</v>
      </c>
      <c r="AA60" s="18">
        <v>1.413</v>
      </c>
      <c r="AB60" s="18">
        <v>8.4280000000000008</v>
      </c>
      <c r="AC60" s="18">
        <v>18.800999999999998</v>
      </c>
      <c r="AD60" s="18">
        <v>0.215</v>
      </c>
      <c r="AE60" s="18">
        <v>5.0000000000000001E-3</v>
      </c>
      <c r="AF60" s="18">
        <v>0</v>
      </c>
      <c r="AG60" s="18">
        <v>2.532</v>
      </c>
      <c r="AH60" s="18">
        <v>1.458</v>
      </c>
      <c r="AI60" s="18">
        <v>0</v>
      </c>
      <c r="AJ60" s="18">
        <v>32.835000000000001</v>
      </c>
      <c r="AK60" s="18">
        <v>2.5910000000000002</v>
      </c>
      <c r="AL60" s="18">
        <v>1.839</v>
      </c>
      <c r="AM60" s="18">
        <v>0</v>
      </c>
      <c r="AN60" s="18">
        <v>13.417</v>
      </c>
      <c r="AO60" s="18">
        <v>4.2759999999999998</v>
      </c>
      <c r="AP60" s="18">
        <v>4.5860000000000003</v>
      </c>
      <c r="AQ60" s="18">
        <v>1.002</v>
      </c>
      <c r="AR60" s="18">
        <v>3.3559999999999999</v>
      </c>
      <c r="AS60" s="18">
        <v>0.03</v>
      </c>
      <c r="AT60" s="18">
        <v>1.2E-2</v>
      </c>
      <c r="AU60" s="18">
        <v>0.114</v>
      </c>
      <c r="AV60" s="18">
        <v>1.0389999999999999</v>
      </c>
      <c r="AW60" s="18">
        <v>3.4830000000000001</v>
      </c>
      <c r="AX60" s="18">
        <v>0.59199999999999997</v>
      </c>
      <c r="AY60" s="18">
        <v>21.954000000000001</v>
      </c>
      <c r="AZ60" s="18">
        <v>44.085999999999999</v>
      </c>
      <c r="BA60" s="18">
        <v>0.504</v>
      </c>
      <c r="BB60" s="18">
        <v>33.26</v>
      </c>
      <c r="BC60" s="18">
        <v>3.8530000000000002</v>
      </c>
      <c r="BD60" s="18">
        <v>25.385000000000002</v>
      </c>
      <c r="BE60" s="18">
        <v>18.338999999999999</v>
      </c>
      <c r="BF60" s="18">
        <v>15.131</v>
      </c>
      <c r="BG60" s="18">
        <v>118.56399999999999</v>
      </c>
      <c r="BH60" s="18">
        <v>1.359</v>
      </c>
      <c r="BI60" s="18">
        <v>2.2080000000000002</v>
      </c>
      <c r="BJ60" s="18">
        <v>22.004000000000001</v>
      </c>
      <c r="BK60" s="18">
        <v>1.216</v>
      </c>
      <c r="BL60" s="18">
        <v>0</v>
      </c>
      <c r="BM60" s="18">
        <v>20.192</v>
      </c>
      <c r="BN60" s="18">
        <v>0.36599999999999999</v>
      </c>
      <c r="BO60" s="18">
        <v>0</v>
      </c>
      <c r="BP60" s="18">
        <v>0</v>
      </c>
      <c r="BQ60" s="18">
        <v>3.1309999999999998</v>
      </c>
      <c r="BR60" s="18">
        <v>5.0810000000000004</v>
      </c>
      <c r="BS60" s="18">
        <v>0</v>
      </c>
      <c r="BT60" s="18">
        <v>10.677</v>
      </c>
      <c r="BU60" s="18">
        <v>22.021999999999998</v>
      </c>
      <c r="BV60" s="18">
        <v>42.941000000000003</v>
      </c>
      <c r="BW60" s="18">
        <v>122.03400000000001</v>
      </c>
      <c r="BX60" s="18">
        <v>31.718</v>
      </c>
      <c r="BY60" s="18">
        <v>24.481000000000002</v>
      </c>
      <c r="BZ60" s="18">
        <v>2.641</v>
      </c>
      <c r="CA60" s="18">
        <v>1.1479999999999999</v>
      </c>
      <c r="CB60" s="18">
        <v>26.058</v>
      </c>
      <c r="CC60" s="18">
        <v>1.1619999999999999</v>
      </c>
      <c r="CD60" s="18">
        <v>0</v>
      </c>
      <c r="CE60" s="18">
        <v>0</v>
      </c>
    </row>
    <row r="61" spans="2:83" x14ac:dyDescent="0.3">
      <c r="B61" s="16" t="s">
        <v>56</v>
      </c>
      <c r="C61" s="17" t="s">
        <v>137</v>
      </c>
      <c r="D61" s="18">
        <f t="shared" si="2"/>
        <v>205.40299999999999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0.64500000000000002</v>
      </c>
      <c r="S61" s="18">
        <v>0</v>
      </c>
      <c r="T61" s="18">
        <v>2.4830000000000001</v>
      </c>
      <c r="U61" s="18">
        <v>0</v>
      </c>
      <c r="V61" s="18">
        <v>0</v>
      </c>
      <c r="W61" s="18">
        <v>0.70199999999999996</v>
      </c>
      <c r="X61" s="18">
        <v>0</v>
      </c>
      <c r="Y61" s="18">
        <v>0</v>
      </c>
      <c r="Z61" s="18">
        <v>0</v>
      </c>
      <c r="AA61" s="18">
        <v>0</v>
      </c>
      <c r="AB61" s="18">
        <v>4.9969999999999999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6.3570000000000002</v>
      </c>
      <c r="AU61" s="18">
        <v>0</v>
      </c>
      <c r="AV61" s="18">
        <v>0.66500000000000004</v>
      </c>
      <c r="AW61" s="18">
        <v>0.24099999999999999</v>
      </c>
      <c r="AX61" s="18">
        <v>0</v>
      </c>
      <c r="AY61" s="18">
        <v>34.747</v>
      </c>
      <c r="AZ61" s="18">
        <v>49.502000000000002</v>
      </c>
      <c r="BA61" s="18">
        <v>0</v>
      </c>
      <c r="BB61" s="18">
        <v>2.5000000000000001E-2</v>
      </c>
      <c r="BC61" s="18">
        <v>22.242000000000001</v>
      </c>
      <c r="BD61" s="18">
        <v>9.7579999999999991</v>
      </c>
      <c r="BE61" s="18">
        <v>0</v>
      </c>
      <c r="BF61" s="18">
        <v>0</v>
      </c>
      <c r="BG61" s="18">
        <v>10.585000000000001</v>
      </c>
      <c r="BH61" s="18">
        <v>0</v>
      </c>
      <c r="BI61" s="18">
        <v>0.79500000000000004</v>
      </c>
      <c r="BJ61" s="18">
        <v>0</v>
      </c>
      <c r="BK61" s="18">
        <v>11.209</v>
      </c>
      <c r="BL61" s="18">
        <v>0</v>
      </c>
      <c r="BM61" s="18">
        <v>1.0489999999999999</v>
      </c>
      <c r="BN61" s="18">
        <v>0</v>
      </c>
      <c r="BO61" s="18">
        <v>0</v>
      </c>
      <c r="BP61" s="18">
        <v>0</v>
      </c>
      <c r="BQ61" s="18">
        <v>0</v>
      </c>
      <c r="BR61" s="18">
        <v>2.6629999999999998</v>
      </c>
      <c r="BS61" s="18">
        <v>0</v>
      </c>
      <c r="BT61" s="18">
        <v>7.117</v>
      </c>
      <c r="BU61" s="18">
        <v>0</v>
      </c>
      <c r="BV61" s="18">
        <v>12.063000000000001</v>
      </c>
      <c r="BW61" s="18">
        <v>9.36</v>
      </c>
      <c r="BX61" s="18">
        <v>2.2599999999999998</v>
      </c>
      <c r="BY61" s="18">
        <v>1.1659999999999999</v>
      </c>
      <c r="BZ61" s="18">
        <v>2E-3</v>
      </c>
      <c r="CA61" s="18">
        <v>0</v>
      </c>
      <c r="CB61" s="18">
        <v>0.80300000000000005</v>
      </c>
      <c r="CC61" s="18">
        <v>13.967000000000001</v>
      </c>
      <c r="CD61" s="18">
        <v>0</v>
      </c>
      <c r="CE61" s="18">
        <v>0</v>
      </c>
    </row>
    <row r="62" spans="2:83" x14ac:dyDescent="0.3">
      <c r="B62" s="16" t="s">
        <v>57</v>
      </c>
      <c r="C62" s="17" t="s">
        <v>138</v>
      </c>
      <c r="D62" s="18">
        <f t="shared" si="2"/>
        <v>248.88599999999997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12.156000000000001</v>
      </c>
      <c r="S62" s="18">
        <v>0</v>
      </c>
      <c r="T62" s="18">
        <v>0</v>
      </c>
      <c r="U62" s="18">
        <v>6.4000000000000001E-2</v>
      </c>
      <c r="V62" s="18">
        <v>0.57699999999999996</v>
      </c>
      <c r="W62" s="18">
        <v>0</v>
      </c>
      <c r="X62" s="18">
        <v>0.75700000000000001</v>
      </c>
      <c r="Y62" s="18">
        <v>11.151</v>
      </c>
      <c r="Z62" s="18">
        <v>0</v>
      </c>
      <c r="AA62" s="18">
        <v>0.502</v>
      </c>
      <c r="AB62" s="18">
        <v>0</v>
      </c>
      <c r="AC62" s="18">
        <v>27.795000000000002</v>
      </c>
      <c r="AD62" s="18">
        <v>0.17399999999999999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4.7590000000000003</v>
      </c>
      <c r="AK62" s="18">
        <v>0</v>
      </c>
      <c r="AL62" s="18">
        <v>0</v>
      </c>
      <c r="AM62" s="18">
        <v>0</v>
      </c>
      <c r="AN62" s="18">
        <v>5.681</v>
      </c>
      <c r="AO62" s="18">
        <v>0</v>
      </c>
      <c r="AP62" s="18">
        <v>42.548999999999999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2.4E-2</v>
      </c>
      <c r="BC62" s="18">
        <v>63.271999999999998</v>
      </c>
      <c r="BD62" s="18">
        <v>33.22</v>
      </c>
      <c r="BE62" s="18">
        <v>4.2439999999999998</v>
      </c>
      <c r="BF62" s="18">
        <v>6.2839999999999998</v>
      </c>
      <c r="BG62" s="18">
        <v>4.1340000000000003</v>
      </c>
      <c r="BH62" s="18">
        <v>0</v>
      </c>
      <c r="BI62" s="18">
        <v>2.65</v>
      </c>
      <c r="BJ62" s="18">
        <v>0</v>
      </c>
      <c r="BK62" s="18">
        <v>4.202</v>
      </c>
      <c r="BL62" s="18">
        <v>0</v>
      </c>
      <c r="BM62" s="18">
        <v>17.719000000000001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4.3330000000000002</v>
      </c>
      <c r="BU62" s="18">
        <v>1.9059999999999999</v>
      </c>
      <c r="BV62" s="18">
        <v>0</v>
      </c>
      <c r="BW62" s="18">
        <v>0</v>
      </c>
      <c r="BX62" s="18">
        <v>0.41899999999999998</v>
      </c>
      <c r="BY62" s="18">
        <v>0.30199999999999999</v>
      </c>
      <c r="BZ62" s="18">
        <v>1.2E-2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</row>
    <row r="63" spans="2:83" x14ac:dyDescent="0.3">
      <c r="B63" s="16" t="s">
        <v>58</v>
      </c>
      <c r="C63" s="17" t="s">
        <v>139</v>
      </c>
      <c r="D63" s="18">
        <f t="shared" si="2"/>
        <v>16.716000000000001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1.6879999999999999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0.16600000000000001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0.112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0.82499999999999996</v>
      </c>
      <c r="AZ63" s="18">
        <v>0.83599999999999997</v>
      </c>
      <c r="BA63" s="18">
        <v>0</v>
      </c>
      <c r="BB63" s="18">
        <v>0</v>
      </c>
      <c r="BC63" s="18">
        <v>9.8000000000000004E-2</v>
      </c>
      <c r="BD63" s="18">
        <v>9.7000000000000003E-2</v>
      </c>
      <c r="BE63" s="18">
        <v>0</v>
      </c>
      <c r="BF63" s="18">
        <v>2.181</v>
      </c>
      <c r="BG63" s="18">
        <v>0</v>
      </c>
      <c r="BH63" s="18">
        <v>0</v>
      </c>
      <c r="BI63" s="18">
        <v>0.08</v>
      </c>
      <c r="BJ63" s="18">
        <v>0</v>
      </c>
      <c r="BK63" s="18">
        <v>0</v>
      </c>
      <c r="BL63" s="18">
        <v>0</v>
      </c>
      <c r="BM63" s="18">
        <v>2.0619999999999998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1.67</v>
      </c>
      <c r="BW63" s="18">
        <v>6.7880000000000003</v>
      </c>
      <c r="BX63" s="18">
        <v>3.5999999999999997E-2</v>
      </c>
      <c r="BY63" s="18">
        <v>7.4999999999999997E-2</v>
      </c>
      <c r="BZ63" s="18">
        <v>2E-3</v>
      </c>
      <c r="CA63" s="18">
        <v>0</v>
      </c>
      <c r="CB63" s="18">
        <v>0</v>
      </c>
      <c r="CC63" s="18">
        <v>0</v>
      </c>
      <c r="CD63" s="18">
        <v>0</v>
      </c>
      <c r="CE63" s="18">
        <v>0</v>
      </c>
    </row>
    <row r="64" spans="2:83" x14ac:dyDescent="0.3">
      <c r="B64" s="16" t="s">
        <v>59</v>
      </c>
      <c r="C64" s="17" t="s">
        <v>140</v>
      </c>
      <c r="D64" s="18">
        <f t="shared" si="2"/>
        <v>245.53100000000001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0.85399999999999998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0.69599999999999995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6.8000000000000005E-2</v>
      </c>
      <c r="AI64" s="18">
        <v>0</v>
      </c>
      <c r="AJ64" s="18">
        <v>0</v>
      </c>
      <c r="AK64" s="18">
        <v>0</v>
      </c>
      <c r="AL64" s="18">
        <v>0.20899999999999999</v>
      </c>
      <c r="AM64" s="18">
        <v>0</v>
      </c>
      <c r="AN64" s="18">
        <v>0</v>
      </c>
      <c r="AO64" s="18">
        <v>0</v>
      </c>
      <c r="AP64" s="18">
        <v>2E-3</v>
      </c>
      <c r="AQ64" s="18">
        <v>1.85</v>
      </c>
      <c r="AR64" s="18">
        <v>0</v>
      </c>
      <c r="AS64" s="18">
        <v>0</v>
      </c>
      <c r="AT64" s="18">
        <v>8.0000000000000002E-3</v>
      </c>
      <c r="AU64" s="18">
        <v>0</v>
      </c>
      <c r="AV64" s="18">
        <v>2.4119999999999999</v>
      </c>
      <c r="AW64" s="18">
        <v>7.0570000000000004</v>
      </c>
      <c r="AX64" s="18">
        <v>1.1519999999999999</v>
      </c>
      <c r="AY64" s="18">
        <v>8.2799999999999994</v>
      </c>
      <c r="AZ64" s="18">
        <v>18.202000000000002</v>
      </c>
      <c r="BA64" s="18">
        <v>0.124</v>
      </c>
      <c r="BB64" s="18">
        <v>2E-3</v>
      </c>
      <c r="BC64" s="18">
        <v>0</v>
      </c>
      <c r="BD64" s="18">
        <v>0</v>
      </c>
      <c r="BE64" s="18">
        <v>0</v>
      </c>
      <c r="BF64" s="18">
        <v>10.273999999999999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1.5149999999999999</v>
      </c>
      <c r="BM64" s="18">
        <v>8.1110000000000007</v>
      </c>
      <c r="BN64" s="18">
        <v>0.219</v>
      </c>
      <c r="BO64" s="18">
        <v>7.8230000000000004</v>
      </c>
      <c r="BP64" s="18">
        <v>0</v>
      </c>
      <c r="BQ64" s="18">
        <v>0.45600000000000002</v>
      </c>
      <c r="BR64" s="18">
        <v>0.85299999999999998</v>
      </c>
      <c r="BS64" s="18">
        <v>0</v>
      </c>
      <c r="BT64" s="18">
        <v>0.35799999999999998</v>
      </c>
      <c r="BU64" s="18">
        <v>0</v>
      </c>
      <c r="BV64" s="18">
        <v>12.678000000000001</v>
      </c>
      <c r="BW64" s="18">
        <v>79.841999999999999</v>
      </c>
      <c r="BX64" s="18">
        <v>34.479999999999997</v>
      </c>
      <c r="BY64" s="18">
        <v>28.184999999999999</v>
      </c>
      <c r="BZ64" s="18">
        <v>11.739000000000001</v>
      </c>
      <c r="CA64" s="18">
        <v>0</v>
      </c>
      <c r="CB64" s="18">
        <v>4.5510000000000002</v>
      </c>
      <c r="CC64" s="18">
        <v>3.5310000000000001</v>
      </c>
      <c r="CD64" s="18">
        <v>0</v>
      </c>
      <c r="CE64" s="18">
        <v>0</v>
      </c>
    </row>
    <row r="65" spans="2:83" x14ac:dyDescent="0.3">
      <c r="B65" s="16" t="s">
        <v>60</v>
      </c>
      <c r="C65" s="17" t="s">
        <v>141</v>
      </c>
      <c r="D65" s="18">
        <f t="shared" si="2"/>
        <v>109.71099999999997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0.95299999999999996</v>
      </c>
      <c r="K65" s="18">
        <v>0</v>
      </c>
      <c r="L65" s="18">
        <v>1.19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1.66</v>
      </c>
      <c r="Y65" s="18">
        <v>0</v>
      </c>
      <c r="Z65" s="18">
        <v>0</v>
      </c>
      <c r="AA65" s="18">
        <v>0</v>
      </c>
      <c r="AB65" s="18">
        <v>2.988</v>
      </c>
      <c r="AC65" s="18">
        <v>0.872</v>
      </c>
      <c r="AD65" s="18">
        <v>1.0389999999999999</v>
      </c>
      <c r="AE65" s="18">
        <v>0</v>
      </c>
      <c r="AF65" s="18">
        <v>0.56899999999999995</v>
      </c>
      <c r="AG65" s="18">
        <v>0.877</v>
      </c>
      <c r="AH65" s="18">
        <v>1.1819999999999999</v>
      </c>
      <c r="AI65" s="18">
        <v>0</v>
      </c>
      <c r="AJ65" s="18">
        <v>1.07</v>
      </c>
      <c r="AK65" s="18">
        <v>0</v>
      </c>
      <c r="AL65" s="18">
        <v>1.385</v>
      </c>
      <c r="AM65" s="18">
        <v>0.54400000000000004</v>
      </c>
      <c r="AN65" s="18">
        <v>3.0000000000000001E-3</v>
      </c>
      <c r="AO65" s="18">
        <v>3.4000000000000002E-2</v>
      </c>
      <c r="AP65" s="18">
        <v>1.125</v>
      </c>
      <c r="AQ65" s="18">
        <v>1.115</v>
      </c>
      <c r="AR65" s="18">
        <v>1.216</v>
      </c>
      <c r="AS65" s="18">
        <v>2.9969999999999999</v>
      </c>
      <c r="AT65" s="18">
        <v>7.9009999999999998</v>
      </c>
      <c r="AU65" s="18">
        <v>0</v>
      </c>
      <c r="AV65" s="18">
        <v>0.59899999999999998</v>
      </c>
      <c r="AW65" s="18">
        <v>0.309</v>
      </c>
      <c r="AX65" s="18">
        <v>0.19800000000000001</v>
      </c>
      <c r="AY65" s="18">
        <v>35.439</v>
      </c>
      <c r="AZ65" s="18">
        <v>0</v>
      </c>
      <c r="BA65" s="18">
        <v>1.258</v>
      </c>
      <c r="BB65" s="18">
        <v>0.82699999999999996</v>
      </c>
      <c r="BC65" s="18">
        <v>3.7429999999999999</v>
      </c>
      <c r="BD65" s="18">
        <v>0</v>
      </c>
      <c r="BE65" s="18">
        <v>3.52</v>
      </c>
      <c r="BF65" s="18">
        <v>0.55300000000000005</v>
      </c>
      <c r="BG65" s="18">
        <v>2.149</v>
      </c>
      <c r="BH65" s="18">
        <v>0</v>
      </c>
      <c r="BI65" s="18">
        <v>0.93</v>
      </c>
      <c r="BJ65" s="18">
        <v>0</v>
      </c>
      <c r="BK65" s="18">
        <v>0.14499999999999999</v>
      </c>
      <c r="BL65" s="18">
        <v>0</v>
      </c>
      <c r="BM65" s="18">
        <v>0.997</v>
      </c>
      <c r="BN65" s="18">
        <v>0.871</v>
      </c>
      <c r="BO65" s="18">
        <v>1.07</v>
      </c>
      <c r="BP65" s="18">
        <v>0</v>
      </c>
      <c r="BQ65" s="18">
        <v>0.122</v>
      </c>
      <c r="BR65" s="18">
        <v>0</v>
      </c>
      <c r="BS65" s="18">
        <v>0</v>
      </c>
      <c r="BT65" s="18">
        <v>2.407</v>
      </c>
      <c r="BU65" s="18">
        <v>0</v>
      </c>
      <c r="BV65" s="18">
        <v>1.954</v>
      </c>
      <c r="BW65" s="18">
        <v>6.5540000000000003</v>
      </c>
      <c r="BX65" s="18">
        <v>10.532</v>
      </c>
      <c r="BY65" s="18">
        <v>4.5270000000000001</v>
      </c>
      <c r="BZ65" s="18">
        <v>0.77400000000000002</v>
      </c>
      <c r="CA65" s="18">
        <v>0.496</v>
      </c>
      <c r="CB65" s="18">
        <v>0.71199999999999997</v>
      </c>
      <c r="CC65" s="18">
        <v>0.30499999999999999</v>
      </c>
      <c r="CD65" s="18">
        <v>0</v>
      </c>
      <c r="CE65" s="18">
        <v>0</v>
      </c>
    </row>
    <row r="66" spans="2:83" x14ac:dyDescent="0.3">
      <c r="B66" s="16" t="s">
        <v>61</v>
      </c>
      <c r="C66" s="17" t="s">
        <v>142</v>
      </c>
      <c r="D66" s="18">
        <f t="shared" si="2"/>
        <v>287.452</v>
      </c>
      <c r="E66" s="18">
        <v>0.29099999999999998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2.5999999999999999E-2</v>
      </c>
      <c r="N66" s="18">
        <v>1.9E-2</v>
      </c>
      <c r="O66" s="18">
        <v>4.758</v>
      </c>
      <c r="P66" s="18">
        <v>1.0649999999999999</v>
      </c>
      <c r="Q66" s="18">
        <v>0</v>
      </c>
      <c r="R66" s="18">
        <v>2.0430000000000001</v>
      </c>
      <c r="S66" s="18">
        <v>0</v>
      </c>
      <c r="T66" s="18">
        <v>0</v>
      </c>
      <c r="U66" s="18">
        <v>0.38500000000000001</v>
      </c>
      <c r="V66" s="18">
        <v>0</v>
      </c>
      <c r="W66" s="18">
        <v>11.002000000000001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4.7E-2</v>
      </c>
      <c r="AE66" s="18">
        <v>0.01</v>
      </c>
      <c r="AF66" s="18">
        <v>0</v>
      </c>
      <c r="AG66" s="18">
        <v>0</v>
      </c>
      <c r="AH66" s="18">
        <v>0.35099999999999998</v>
      </c>
      <c r="AI66" s="18">
        <v>0</v>
      </c>
      <c r="AJ66" s="18">
        <v>7.0350000000000001</v>
      </c>
      <c r="AK66" s="18">
        <v>0.88</v>
      </c>
      <c r="AL66" s="18">
        <v>0</v>
      </c>
      <c r="AM66" s="18">
        <v>0</v>
      </c>
      <c r="AN66" s="18">
        <v>1.6E-2</v>
      </c>
      <c r="AO66" s="18">
        <v>17.306999999999999</v>
      </c>
      <c r="AP66" s="18">
        <v>0</v>
      </c>
      <c r="AQ66" s="18">
        <v>0.29499999999999998</v>
      </c>
      <c r="AR66" s="18">
        <v>4.0380000000000003</v>
      </c>
      <c r="AS66" s="18">
        <v>0</v>
      </c>
      <c r="AT66" s="18">
        <v>1.2999999999999999E-2</v>
      </c>
      <c r="AU66" s="18">
        <v>0.55500000000000005</v>
      </c>
      <c r="AV66" s="18">
        <v>5.1059999999999999</v>
      </c>
      <c r="AW66" s="18">
        <v>1.6830000000000001</v>
      </c>
      <c r="AX66" s="18">
        <v>0</v>
      </c>
      <c r="AY66" s="18">
        <v>3.9750000000000001</v>
      </c>
      <c r="AZ66" s="18">
        <v>0.97299999999999998</v>
      </c>
      <c r="BA66" s="18">
        <v>8.7999999999999995E-2</v>
      </c>
      <c r="BB66" s="18">
        <v>0</v>
      </c>
      <c r="BC66" s="18">
        <v>0</v>
      </c>
      <c r="BD66" s="18">
        <v>0</v>
      </c>
      <c r="BE66" s="18">
        <v>0</v>
      </c>
      <c r="BF66" s="18">
        <v>14.997</v>
      </c>
      <c r="BG66" s="18">
        <v>0</v>
      </c>
      <c r="BH66" s="18">
        <v>0.23400000000000001</v>
      </c>
      <c r="BI66" s="18">
        <v>0.78100000000000003</v>
      </c>
      <c r="BJ66" s="18">
        <v>48.259</v>
      </c>
      <c r="BK66" s="18">
        <v>9.7690000000000001</v>
      </c>
      <c r="BL66" s="18">
        <v>5.7350000000000003</v>
      </c>
      <c r="BM66" s="18">
        <v>26.542000000000002</v>
      </c>
      <c r="BN66" s="18">
        <v>0.58099999999999996</v>
      </c>
      <c r="BO66" s="18">
        <v>0</v>
      </c>
      <c r="BP66" s="18">
        <v>0</v>
      </c>
      <c r="BQ66" s="18">
        <v>0.52700000000000002</v>
      </c>
      <c r="BR66" s="18">
        <v>1.8069999999999999</v>
      </c>
      <c r="BS66" s="18">
        <v>0</v>
      </c>
      <c r="BT66" s="18">
        <v>3.302</v>
      </c>
      <c r="BU66" s="18">
        <v>6.2069999999999999</v>
      </c>
      <c r="BV66" s="18">
        <v>5.5609999999999999</v>
      </c>
      <c r="BW66" s="18">
        <v>58.162999999999997</v>
      </c>
      <c r="BX66" s="18">
        <v>12.954000000000001</v>
      </c>
      <c r="BY66" s="18">
        <v>7.0179999999999998</v>
      </c>
      <c r="BZ66" s="18">
        <v>1.5940000000000001</v>
      </c>
      <c r="CA66" s="18">
        <v>3.528</v>
      </c>
      <c r="CB66" s="18">
        <v>15.648999999999999</v>
      </c>
      <c r="CC66" s="18">
        <v>2.2829999999999999</v>
      </c>
      <c r="CD66" s="18">
        <v>0</v>
      </c>
      <c r="CE66" s="18">
        <v>0</v>
      </c>
    </row>
    <row r="67" spans="2:83" x14ac:dyDescent="0.3">
      <c r="B67" s="16" t="s">
        <v>62</v>
      </c>
      <c r="C67" s="17" t="s">
        <v>143</v>
      </c>
      <c r="D67" s="18">
        <f t="shared" si="2"/>
        <v>186.72299999999996</v>
      </c>
      <c r="E67" s="18">
        <v>0.16300000000000001</v>
      </c>
      <c r="F67" s="18">
        <v>5.5E-2</v>
      </c>
      <c r="G67" s="18">
        <v>5.0999999999999997E-2</v>
      </c>
      <c r="H67" s="18">
        <v>0.158</v>
      </c>
      <c r="I67" s="18">
        <v>7.0999999999999994E-2</v>
      </c>
      <c r="J67" s="18">
        <v>8.0000000000000002E-3</v>
      </c>
      <c r="K67" s="18">
        <v>3.0000000000000001E-3</v>
      </c>
      <c r="L67" s="18">
        <v>4.4999999999999998E-2</v>
      </c>
      <c r="M67" s="18">
        <v>1.9E-2</v>
      </c>
      <c r="N67" s="18">
        <v>1E-3</v>
      </c>
      <c r="O67" s="18">
        <v>0</v>
      </c>
      <c r="P67" s="18">
        <v>0</v>
      </c>
      <c r="Q67" s="18">
        <v>0</v>
      </c>
      <c r="R67" s="18">
        <v>7.0780000000000003</v>
      </c>
      <c r="S67" s="18">
        <v>16.236000000000001</v>
      </c>
      <c r="T67" s="18">
        <v>15.122999999999999</v>
      </c>
      <c r="U67" s="18">
        <v>0.08</v>
      </c>
      <c r="V67" s="18">
        <v>0.62</v>
      </c>
      <c r="W67" s="18">
        <v>2.0019999999999998</v>
      </c>
      <c r="X67" s="18">
        <v>1.002</v>
      </c>
      <c r="Y67" s="18">
        <v>0.71399999999999997</v>
      </c>
      <c r="Z67" s="18">
        <v>0.39200000000000002</v>
      </c>
      <c r="AA67" s="18">
        <v>0.86899999999999999</v>
      </c>
      <c r="AB67" s="18">
        <v>1.583</v>
      </c>
      <c r="AC67" s="18">
        <v>4.9740000000000002</v>
      </c>
      <c r="AD67" s="18">
        <v>0.33600000000000002</v>
      </c>
      <c r="AE67" s="18">
        <v>2E-3</v>
      </c>
      <c r="AF67" s="18">
        <v>2.4860000000000002</v>
      </c>
      <c r="AG67" s="18">
        <v>6.7969999999999997</v>
      </c>
      <c r="AH67" s="18">
        <v>0.68400000000000005</v>
      </c>
      <c r="AI67" s="18">
        <v>0</v>
      </c>
      <c r="AJ67" s="18">
        <v>5.9470000000000001</v>
      </c>
      <c r="AK67" s="18">
        <v>0.56899999999999995</v>
      </c>
      <c r="AL67" s="18">
        <v>2.2229999999999999</v>
      </c>
      <c r="AM67" s="18">
        <v>1.4590000000000001</v>
      </c>
      <c r="AN67" s="18">
        <v>3.1070000000000002</v>
      </c>
      <c r="AO67" s="18">
        <v>1.673</v>
      </c>
      <c r="AP67" s="18">
        <v>5.1280000000000001</v>
      </c>
      <c r="AQ67" s="18">
        <v>0.83599999999999997</v>
      </c>
      <c r="AR67" s="18">
        <v>3.121</v>
      </c>
      <c r="AS67" s="18">
        <v>3.44</v>
      </c>
      <c r="AT67" s="18">
        <v>1.0820000000000001</v>
      </c>
      <c r="AU67" s="18">
        <v>4.9000000000000002E-2</v>
      </c>
      <c r="AV67" s="18">
        <v>15.683999999999999</v>
      </c>
      <c r="AW67" s="18">
        <v>3.5089999999999999</v>
      </c>
      <c r="AX67" s="18">
        <v>0.55200000000000005</v>
      </c>
      <c r="AY67" s="18">
        <v>0.40100000000000002</v>
      </c>
      <c r="AZ67" s="18">
        <v>0.24299999999999999</v>
      </c>
      <c r="BA67" s="18">
        <v>0.75600000000000001</v>
      </c>
      <c r="BB67" s="18">
        <v>5.1999999999999998E-2</v>
      </c>
      <c r="BC67" s="18">
        <v>1.321</v>
      </c>
      <c r="BD67" s="18">
        <v>8.8019999999999996</v>
      </c>
      <c r="BE67" s="18">
        <v>1.208</v>
      </c>
      <c r="BF67" s="18">
        <v>4.1509999999999998</v>
      </c>
      <c r="BG67" s="18">
        <v>1.829</v>
      </c>
      <c r="BH67" s="18">
        <v>7.3999999999999996E-2</v>
      </c>
      <c r="BI67" s="18">
        <v>0.246</v>
      </c>
      <c r="BJ67" s="18">
        <v>0</v>
      </c>
      <c r="BK67" s="18">
        <v>3.0409999999999999</v>
      </c>
      <c r="BL67" s="18">
        <v>10.99</v>
      </c>
      <c r="BM67" s="18">
        <v>7.117</v>
      </c>
      <c r="BN67" s="18">
        <v>1.2849999999999999</v>
      </c>
      <c r="BO67" s="18">
        <v>1.919</v>
      </c>
      <c r="BP67" s="18">
        <v>0</v>
      </c>
      <c r="BQ67" s="18">
        <v>0</v>
      </c>
      <c r="BR67" s="18">
        <v>1.8859999999999999</v>
      </c>
      <c r="BS67" s="18">
        <v>7.9740000000000002</v>
      </c>
      <c r="BT67" s="18">
        <v>6.2229999999999999</v>
      </c>
      <c r="BU67" s="18">
        <v>1.2829999999999999</v>
      </c>
      <c r="BV67" s="18">
        <v>2.7109999999999999</v>
      </c>
      <c r="BW67" s="18">
        <v>1.79</v>
      </c>
      <c r="BX67" s="18">
        <v>0.52100000000000002</v>
      </c>
      <c r="BY67" s="18">
        <v>0.59299999999999997</v>
      </c>
      <c r="BZ67" s="18">
        <v>6.6000000000000003E-2</v>
      </c>
      <c r="CA67" s="18">
        <v>5.6879999999999997</v>
      </c>
      <c r="CB67" s="18">
        <v>3.6360000000000001</v>
      </c>
      <c r="CC67" s="18">
        <v>0.98599999999999999</v>
      </c>
      <c r="CD67" s="18">
        <v>0</v>
      </c>
      <c r="CE67" s="18">
        <v>0</v>
      </c>
    </row>
    <row r="68" spans="2:83" x14ac:dyDescent="0.3">
      <c r="B68" s="16" t="s">
        <v>63</v>
      </c>
      <c r="C68" s="17" t="s">
        <v>144</v>
      </c>
      <c r="D68" s="18">
        <f t="shared" si="2"/>
        <v>118.72299999999997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0.17599999999999999</v>
      </c>
      <c r="S68" s="18">
        <v>0.90100000000000002</v>
      </c>
      <c r="T68" s="18">
        <v>0.34599999999999997</v>
      </c>
      <c r="U68" s="18">
        <v>2.7E-2</v>
      </c>
      <c r="V68" s="18">
        <v>8.6999999999999994E-2</v>
      </c>
      <c r="W68" s="18">
        <v>0.624</v>
      </c>
      <c r="X68" s="18">
        <v>0.443</v>
      </c>
      <c r="Y68" s="18">
        <v>0.78100000000000003</v>
      </c>
      <c r="Z68" s="18">
        <v>8.8999999999999996E-2</v>
      </c>
      <c r="AA68" s="18">
        <v>0.183</v>
      </c>
      <c r="AB68" s="18">
        <v>0.96399999999999997</v>
      </c>
      <c r="AC68" s="18">
        <v>1.8520000000000001</v>
      </c>
      <c r="AD68" s="18">
        <v>5.8999999999999997E-2</v>
      </c>
      <c r="AE68" s="18">
        <v>2E-3</v>
      </c>
      <c r="AF68" s="18">
        <v>0.82599999999999996</v>
      </c>
      <c r="AG68" s="18">
        <v>0.53300000000000003</v>
      </c>
      <c r="AH68" s="18">
        <v>0.39</v>
      </c>
      <c r="AI68" s="18">
        <v>0</v>
      </c>
      <c r="AJ68" s="18">
        <v>1.089</v>
      </c>
      <c r="AK68" s="18">
        <v>0.26400000000000001</v>
      </c>
      <c r="AL68" s="18">
        <v>0.66500000000000004</v>
      </c>
      <c r="AM68" s="18">
        <v>8.9999999999999993E-3</v>
      </c>
      <c r="AN68" s="18">
        <v>1.234</v>
      </c>
      <c r="AO68" s="18">
        <v>5.2999999999999999E-2</v>
      </c>
      <c r="AP68" s="18">
        <v>1.2989999999999999</v>
      </c>
      <c r="AQ68" s="18">
        <v>0.21299999999999999</v>
      </c>
      <c r="AR68" s="18">
        <v>0.112</v>
      </c>
      <c r="AS68" s="18">
        <v>0.23200000000000001</v>
      </c>
      <c r="AT68" s="18">
        <v>0.159</v>
      </c>
      <c r="AU68" s="18">
        <v>6.7000000000000004E-2</v>
      </c>
      <c r="AV68" s="18">
        <v>0</v>
      </c>
      <c r="AW68" s="18">
        <v>0</v>
      </c>
      <c r="AX68" s="18">
        <v>4.1000000000000002E-2</v>
      </c>
      <c r="AY68" s="18">
        <v>13.56</v>
      </c>
      <c r="AZ68" s="18">
        <v>0</v>
      </c>
      <c r="BA68" s="18">
        <v>0.48399999999999999</v>
      </c>
      <c r="BB68" s="18">
        <v>0.217</v>
      </c>
      <c r="BC68" s="18">
        <v>29.876000000000001</v>
      </c>
      <c r="BD68" s="18">
        <v>17.100000000000001</v>
      </c>
      <c r="BE68" s="18">
        <v>1.5229999999999999</v>
      </c>
      <c r="BF68" s="18">
        <v>1.3480000000000001</v>
      </c>
      <c r="BG68" s="18">
        <v>1.6859999999999999</v>
      </c>
      <c r="BH68" s="18">
        <v>4.9000000000000002E-2</v>
      </c>
      <c r="BI68" s="18">
        <v>0.48199999999999998</v>
      </c>
      <c r="BJ68" s="18">
        <v>0.25900000000000001</v>
      </c>
      <c r="BK68" s="18">
        <v>1.556</v>
      </c>
      <c r="BL68" s="18">
        <v>0.66700000000000004</v>
      </c>
      <c r="BM68" s="18">
        <v>6.22</v>
      </c>
      <c r="BN68" s="18">
        <v>2.3820000000000001</v>
      </c>
      <c r="BO68" s="18">
        <v>9.3629999999999995</v>
      </c>
      <c r="BP68" s="18">
        <v>0</v>
      </c>
      <c r="BQ68" s="18">
        <v>0.42599999999999999</v>
      </c>
      <c r="BR68" s="18">
        <v>0.77800000000000002</v>
      </c>
      <c r="BS68" s="18">
        <v>0.35599999999999998</v>
      </c>
      <c r="BT68" s="18">
        <v>0.40100000000000002</v>
      </c>
      <c r="BU68" s="18">
        <v>0.80300000000000005</v>
      </c>
      <c r="BV68" s="18">
        <v>1.2290000000000001</v>
      </c>
      <c r="BW68" s="18">
        <v>12.013999999999999</v>
      </c>
      <c r="BX68" s="18">
        <v>0.40400000000000003</v>
      </c>
      <c r="BY68" s="18">
        <v>0.35599999999999998</v>
      </c>
      <c r="BZ68" s="18">
        <v>4.9000000000000002E-2</v>
      </c>
      <c r="CA68" s="18">
        <v>3.3000000000000002E-2</v>
      </c>
      <c r="CB68" s="18">
        <v>0.85599999999999998</v>
      </c>
      <c r="CC68" s="18">
        <v>0.52600000000000002</v>
      </c>
      <c r="CD68" s="18">
        <v>0</v>
      </c>
      <c r="CE68" s="18">
        <v>0</v>
      </c>
    </row>
    <row r="69" spans="2:83" x14ac:dyDescent="0.3">
      <c r="B69" s="16" t="s">
        <v>64</v>
      </c>
      <c r="C69" s="17" t="s">
        <v>145</v>
      </c>
      <c r="D69" s="18">
        <f t="shared" si="2"/>
        <v>85.11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0.77800000000000002</v>
      </c>
      <c r="S69" s="18">
        <v>0</v>
      </c>
      <c r="T69" s="18">
        <v>9.4429999999999996</v>
      </c>
      <c r="U69" s="18">
        <v>0</v>
      </c>
      <c r="V69" s="18">
        <v>0</v>
      </c>
      <c r="W69" s="18">
        <v>0</v>
      </c>
      <c r="X69" s="18">
        <v>0.17199999999999999</v>
      </c>
      <c r="Y69" s="18">
        <v>0</v>
      </c>
      <c r="Z69" s="18">
        <v>0</v>
      </c>
      <c r="AA69" s="18">
        <v>0</v>
      </c>
      <c r="AB69" s="18">
        <v>0.73099999999999998</v>
      </c>
      <c r="AC69" s="18">
        <v>0</v>
      </c>
      <c r="AD69" s="18">
        <v>0</v>
      </c>
      <c r="AE69" s="18">
        <v>0</v>
      </c>
      <c r="AF69" s="18">
        <v>8.0000000000000002E-3</v>
      </c>
      <c r="AG69" s="18">
        <v>0</v>
      </c>
      <c r="AH69" s="18">
        <v>0.17</v>
      </c>
      <c r="AI69" s="18">
        <v>0</v>
      </c>
      <c r="AJ69" s="18">
        <v>2.363</v>
      </c>
      <c r="AK69" s="18">
        <v>0.11799999999999999</v>
      </c>
      <c r="AL69" s="18">
        <v>0</v>
      </c>
      <c r="AM69" s="18">
        <v>0</v>
      </c>
      <c r="AN69" s="18">
        <v>1.5529999999999999</v>
      </c>
      <c r="AO69" s="18">
        <v>0</v>
      </c>
      <c r="AP69" s="18">
        <v>0</v>
      </c>
      <c r="AQ69" s="18">
        <v>0.254</v>
      </c>
      <c r="AR69" s="18">
        <v>0</v>
      </c>
      <c r="AS69" s="18">
        <v>8.0000000000000002E-3</v>
      </c>
      <c r="AT69" s="18">
        <v>0</v>
      </c>
      <c r="AU69" s="18">
        <v>0</v>
      </c>
      <c r="AV69" s="18">
        <v>0</v>
      </c>
      <c r="AW69" s="18">
        <v>0.35699999999999998</v>
      </c>
      <c r="AX69" s="18">
        <v>6.0999999999999999E-2</v>
      </c>
      <c r="AY69" s="18">
        <v>0</v>
      </c>
      <c r="AZ69" s="18">
        <v>0</v>
      </c>
      <c r="BA69" s="18">
        <v>0</v>
      </c>
      <c r="BB69" s="18">
        <v>2.1000000000000001E-2</v>
      </c>
      <c r="BC69" s="18">
        <v>0</v>
      </c>
      <c r="BD69" s="18">
        <v>0</v>
      </c>
      <c r="BE69" s="18">
        <v>13.252000000000001</v>
      </c>
      <c r="BF69" s="18">
        <v>2.306</v>
      </c>
      <c r="BG69" s="18">
        <v>0.877</v>
      </c>
      <c r="BH69" s="18">
        <v>0.44500000000000001</v>
      </c>
      <c r="BI69" s="18">
        <v>0.32100000000000001</v>
      </c>
      <c r="BJ69" s="18">
        <v>0</v>
      </c>
      <c r="BK69" s="18">
        <v>8.4000000000000005E-2</v>
      </c>
      <c r="BL69" s="18">
        <v>0</v>
      </c>
      <c r="BM69" s="18">
        <v>1.625</v>
      </c>
      <c r="BN69" s="18">
        <v>0.33900000000000002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12.750999999999999</v>
      </c>
      <c r="BV69" s="18">
        <v>3.5110000000000001</v>
      </c>
      <c r="BW69" s="18">
        <v>23.837</v>
      </c>
      <c r="BX69" s="18">
        <v>0.48199999999999998</v>
      </c>
      <c r="BY69" s="18">
        <v>5.6150000000000002</v>
      </c>
      <c r="BZ69" s="18">
        <v>9.1999999999999998E-2</v>
      </c>
      <c r="CA69" s="18">
        <v>0</v>
      </c>
      <c r="CB69" s="18">
        <v>0</v>
      </c>
      <c r="CC69" s="18">
        <v>3.536</v>
      </c>
      <c r="CD69" s="18">
        <v>0</v>
      </c>
      <c r="CE69" s="18">
        <v>0</v>
      </c>
    </row>
    <row r="70" spans="2:83" x14ac:dyDescent="0.3">
      <c r="B70" s="16" t="s">
        <v>65</v>
      </c>
      <c r="C70" s="17" t="s">
        <v>146</v>
      </c>
      <c r="D70" s="18">
        <f t="shared" si="2"/>
        <v>445.77399999999989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22.811</v>
      </c>
      <c r="S70" s="18">
        <v>14.88</v>
      </c>
      <c r="T70" s="18">
        <v>2.4950000000000001</v>
      </c>
      <c r="U70" s="18">
        <v>0.157</v>
      </c>
      <c r="V70" s="18">
        <v>0.80400000000000005</v>
      </c>
      <c r="W70" s="18">
        <v>4.3230000000000004</v>
      </c>
      <c r="X70" s="18">
        <v>1.7929999999999999</v>
      </c>
      <c r="Y70" s="18">
        <v>2.2200000000000002</v>
      </c>
      <c r="Z70" s="18">
        <v>0.34200000000000003</v>
      </c>
      <c r="AA70" s="18">
        <v>1.407</v>
      </c>
      <c r="AB70" s="18">
        <v>3.202</v>
      </c>
      <c r="AC70" s="18">
        <v>15.561999999999999</v>
      </c>
      <c r="AD70" s="18">
        <v>0.81200000000000006</v>
      </c>
      <c r="AE70" s="18">
        <v>5.0000000000000001E-3</v>
      </c>
      <c r="AF70" s="18">
        <v>3.6669999999999998</v>
      </c>
      <c r="AG70" s="18">
        <v>6.1639999999999997</v>
      </c>
      <c r="AH70" s="18">
        <v>1.48</v>
      </c>
      <c r="AI70" s="18">
        <v>0</v>
      </c>
      <c r="AJ70" s="18">
        <v>7.2830000000000004</v>
      </c>
      <c r="AK70" s="18">
        <v>1.109</v>
      </c>
      <c r="AL70" s="18">
        <v>4.2880000000000003</v>
      </c>
      <c r="AM70" s="18">
        <v>3.2000000000000001E-2</v>
      </c>
      <c r="AN70" s="18">
        <v>6.6340000000000003</v>
      </c>
      <c r="AO70" s="18">
        <v>0.65400000000000003</v>
      </c>
      <c r="AP70" s="18">
        <v>32.662999999999997</v>
      </c>
      <c r="AQ70" s="18">
        <v>1.4039999999999999</v>
      </c>
      <c r="AR70" s="18">
        <v>1.5009999999999999</v>
      </c>
      <c r="AS70" s="18">
        <v>1.6080000000000001</v>
      </c>
      <c r="AT70" s="18">
        <v>1.78</v>
      </c>
      <c r="AU70" s="18">
        <v>0.245</v>
      </c>
      <c r="AV70" s="18">
        <v>8.7230000000000008</v>
      </c>
      <c r="AW70" s="18">
        <v>7.2389999999999999</v>
      </c>
      <c r="AX70" s="18">
        <v>0.27700000000000002</v>
      </c>
      <c r="AY70" s="18">
        <v>4.7990000000000004</v>
      </c>
      <c r="AZ70" s="18">
        <v>18.292999999999999</v>
      </c>
      <c r="BA70" s="18">
        <v>1.492</v>
      </c>
      <c r="BB70" s="18">
        <v>0.25900000000000001</v>
      </c>
      <c r="BC70" s="18">
        <v>40.988999999999997</v>
      </c>
      <c r="BD70" s="18">
        <v>49.686999999999998</v>
      </c>
      <c r="BE70" s="18">
        <v>3.9409999999999998</v>
      </c>
      <c r="BF70" s="18">
        <v>18.965</v>
      </c>
      <c r="BG70" s="18">
        <v>7.2460000000000004</v>
      </c>
      <c r="BH70" s="18">
        <v>0.23</v>
      </c>
      <c r="BI70" s="18">
        <v>1.327</v>
      </c>
      <c r="BJ70" s="18">
        <v>0</v>
      </c>
      <c r="BK70" s="18">
        <v>15.374000000000001</v>
      </c>
      <c r="BL70" s="18">
        <v>4.5220000000000002</v>
      </c>
      <c r="BM70" s="18">
        <v>13.706</v>
      </c>
      <c r="BN70" s="18">
        <v>9.7889999999999997</v>
      </c>
      <c r="BO70" s="18">
        <v>4.4939999999999998</v>
      </c>
      <c r="BP70" s="18">
        <v>0</v>
      </c>
      <c r="BQ70" s="18">
        <v>0</v>
      </c>
      <c r="BR70" s="18">
        <v>8.5619999999999994</v>
      </c>
      <c r="BS70" s="18">
        <v>15.238</v>
      </c>
      <c r="BT70" s="18">
        <v>27.527999999999999</v>
      </c>
      <c r="BU70" s="18">
        <v>4.4260000000000002</v>
      </c>
      <c r="BV70" s="18">
        <v>15.359</v>
      </c>
      <c r="BW70" s="18">
        <v>0</v>
      </c>
      <c r="BX70" s="18">
        <v>1.6180000000000001</v>
      </c>
      <c r="BY70" s="18">
        <v>1.837</v>
      </c>
      <c r="BZ70" s="18">
        <v>0.17199999999999999</v>
      </c>
      <c r="CA70" s="18">
        <v>6.625</v>
      </c>
      <c r="CB70" s="18">
        <v>10.085000000000001</v>
      </c>
      <c r="CC70" s="18">
        <v>1.647</v>
      </c>
      <c r="CD70" s="18">
        <v>0</v>
      </c>
      <c r="CE70" s="18">
        <v>0</v>
      </c>
    </row>
    <row r="71" spans="2:83" x14ac:dyDescent="0.3">
      <c r="B71" s="16" t="s">
        <v>66</v>
      </c>
      <c r="C71" s="17" t="s">
        <v>147</v>
      </c>
      <c r="D71" s="18">
        <f t="shared" si="2"/>
        <v>61.23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23.821000000000002</v>
      </c>
      <c r="BX71" s="18">
        <v>35.543999999999997</v>
      </c>
      <c r="BY71" s="18">
        <v>0</v>
      </c>
      <c r="BZ71" s="18">
        <v>0</v>
      </c>
      <c r="CA71" s="18">
        <v>0</v>
      </c>
      <c r="CB71" s="18">
        <v>0</v>
      </c>
      <c r="CC71" s="18">
        <v>1.865</v>
      </c>
      <c r="CD71" s="18">
        <v>0</v>
      </c>
      <c r="CE71" s="18">
        <v>0</v>
      </c>
    </row>
    <row r="72" spans="2:83" x14ac:dyDescent="0.3">
      <c r="B72" s="16" t="s">
        <v>67</v>
      </c>
      <c r="C72" s="17" t="s">
        <v>148</v>
      </c>
      <c r="D72" s="18">
        <f t="shared" si="2"/>
        <v>256.96799999999996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0.96099999999999997</v>
      </c>
      <c r="S72" s="18">
        <v>0.79300000000000004</v>
      </c>
      <c r="T72" s="18">
        <v>3.0110000000000001</v>
      </c>
      <c r="U72" s="18">
        <v>0</v>
      </c>
      <c r="V72" s="18">
        <v>0</v>
      </c>
      <c r="W72" s="18">
        <v>4.9000000000000002E-2</v>
      </c>
      <c r="X72" s="18">
        <v>7.0000000000000001E-3</v>
      </c>
      <c r="Y72" s="18">
        <v>8.3000000000000004E-2</v>
      </c>
      <c r="Z72" s="18">
        <v>1.288</v>
      </c>
      <c r="AA72" s="18">
        <v>0</v>
      </c>
      <c r="AB72" s="18">
        <v>1.143</v>
      </c>
      <c r="AC72" s="18">
        <v>0.11899999999999999</v>
      </c>
      <c r="AD72" s="18">
        <v>0.246</v>
      </c>
      <c r="AE72" s="18">
        <v>0</v>
      </c>
      <c r="AF72" s="18">
        <v>2.2570000000000001</v>
      </c>
      <c r="AG72" s="18">
        <v>0.58499999999999996</v>
      </c>
      <c r="AH72" s="18">
        <v>0.93799999999999994</v>
      </c>
      <c r="AI72" s="18">
        <v>0</v>
      </c>
      <c r="AJ72" s="18">
        <v>1.37</v>
      </c>
      <c r="AK72" s="18">
        <v>0</v>
      </c>
      <c r="AL72" s="18">
        <v>0.14199999999999999</v>
      </c>
      <c r="AM72" s="18">
        <v>0.27700000000000002</v>
      </c>
      <c r="AN72" s="18">
        <v>0.105</v>
      </c>
      <c r="AO72" s="18">
        <v>0</v>
      </c>
      <c r="AP72" s="18">
        <v>1.2430000000000001</v>
      </c>
      <c r="AQ72" s="18">
        <v>2.1000000000000001E-2</v>
      </c>
      <c r="AR72" s="18">
        <v>7.6999999999999999E-2</v>
      </c>
      <c r="AS72" s="18">
        <v>0.37</v>
      </c>
      <c r="AT72" s="18">
        <v>0.14799999999999999</v>
      </c>
      <c r="AU72" s="18">
        <v>3.9E-2</v>
      </c>
      <c r="AV72" s="18">
        <v>0.84799999999999998</v>
      </c>
      <c r="AW72" s="18">
        <v>0.88800000000000001</v>
      </c>
      <c r="AX72" s="18">
        <v>0.309</v>
      </c>
      <c r="AY72" s="18">
        <v>10.9</v>
      </c>
      <c r="AZ72" s="18">
        <v>0</v>
      </c>
      <c r="BA72" s="18">
        <v>1.6679999999999999</v>
      </c>
      <c r="BB72" s="18">
        <v>0.27700000000000002</v>
      </c>
      <c r="BC72" s="18">
        <v>64.06</v>
      </c>
      <c r="BD72" s="18">
        <v>38.368000000000002</v>
      </c>
      <c r="BE72" s="18">
        <v>5.8360000000000003</v>
      </c>
      <c r="BF72" s="18">
        <v>9.0999999999999998E-2</v>
      </c>
      <c r="BG72" s="18">
        <v>0.86899999999999999</v>
      </c>
      <c r="BH72" s="18">
        <v>0</v>
      </c>
      <c r="BI72" s="18">
        <v>6.7960000000000003</v>
      </c>
      <c r="BJ72" s="18">
        <v>0.27100000000000002</v>
      </c>
      <c r="BK72" s="18">
        <v>7.3559999999999999</v>
      </c>
      <c r="BL72" s="18">
        <v>1.226</v>
      </c>
      <c r="BM72" s="18">
        <v>29.14</v>
      </c>
      <c r="BN72" s="18">
        <v>0</v>
      </c>
      <c r="BO72" s="18">
        <v>0.01</v>
      </c>
      <c r="BP72" s="18">
        <v>0</v>
      </c>
      <c r="BQ72" s="18">
        <v>1.1619999999999999</v>
      </c>
      <c r="BR72" s="18">
        <v>1.528</v>
      </c>
      <c r="BS72" s="18">
        <v>0.26200000000000001</v>
      </c>
      <c r="BT72" s="18">
        <v>0.38400000000000001</v>
      </c>
      <c r="BU72" s="18">
        <v>0.66300000000000003</v>
      </c>
      <c r="BV72" s="18">
        <v>1.6060000000000001</v>
      </c>
      <c r="BW72" s="18">
        <v>49.531999999999996</v>
      </c>
      <c r="BX72" s="18">
        <v>0.14399999999999999</v>
      </c>
      <c r="BY72" s="18">
        <v>0.80700000000000005</v>
      </c>
      <c r="BZ72" s="18">
        <v>5.6180000000000003</v>
      </c>
      <c r="CA72" s="18">
        <v>0.218</v>
      </c>
      <c r="CB72" s="18">
        <v>1.746</v>
      </c>
      <c r="CC72" s="18">
        <v>9.1129999999999995</v>
      </c>
      <c r="CD72" s="18">
        <v>0</v>
      </c>
      <c r="CE72" s="18">
        <v>0</v>
      </c>
    </row>
    <row r="73" spans="2:83" x14ac:dyDescent="0.3">
      <c r="B73" s="16" t="s">
        <v>68</v>
      </c>
      <c r="C73" s="17" t="s">
        <v>149</v>
      </c>
      <c r="D73" s="18">
        <f t="shared" ref="D73:D86" si="3">SUM(E73:CE73)</f>
        <v>274.8250000000001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4.149</v>
      </c>
      <c r="S73" s="18">
        <v>0</v>
      </c>
      <c r="T73" s="18">
        <v>0</v>
      </c>
      <c r="U73" s="18">
        <v>0</v>
      </c>
      <c r="V73" s="18">
        <v>0.14199999999999999</v>
      </c>
      <c r="W73" s="18">
        <v>0</v>
      </c>
      <c r="X73" s="18">
        <v>1.36</v>
      </c>
      <c r="Y73" s="18">
        <v>0.14899999999999999</v>
      </c>
      <c r="Z73" s="18">
        <v>0</v>
      </c>
      <c r="AA73" s="18">
        <v>5.69</v>
      </c>
      <c r="AB73" s="18">
        <v>0.95899999999999996</v>
      </c>
      <c r="AC73" s="18">
        <v>1.1919999999999999</v>
      </c>
      <c r="AD73" s="18">
        <v>0.433</v>
      </c>
      <c r="AE73" s="18">
        <v>0</v>
      </c>
      <c r="AF73" s="18">
        <v>0</v>
      </c>
      <c r="AG73" s="18">
        <v>0.93700000000000006</v>
      </c>
      <c r="AH73" s="18">
        <v>0.25600000000000001</v>
      </c>
      <c r="AI73" s="18">
        <v>0</v>
      </c>
      <c r="AJ73" s="18">
        <v>41.47</v>
      </c>
      <c r="AK73" s="18">
        <v>1.1299999999999999</v>
      </c>
      <c r="AL73" s="18">
        <v>0.443</v>
      </c>
      <c r="AM73" s="18">
        <v>0</v>
      </c>
      <c r="AN73" s="18">
        <v>0.70099999999999996</v>
      </c>
      <c r="AO73" s="18">
        <v>0.44700000000000001</v>
      </c>
      <c r="AP73" s="18">
        <v>1.0269999999999999</v>
      </c>
      <c r="AQ73" s="18">
        <v>0</v>
      </c>
      <c r="AR73" s="18">
        <v>0</v>
      </c>
      <c r="AS73" s="18">
        <v>0.19500000000000001</v>
      </c>
      <c r="AT73" s="18">
        <v>1.5669999999999999</v>
      </c>
      <c r="AU73" s="18">
        <v>0</v>
      </c>
      <c r="AV73" s="18">
        <v>0</v>
      </c>
      <c r="AW73" s="18">
        <v>1.5049999999999999</v>
      </c>
      <c r="AX73" s="18">
        <v>0.23699999999999999</v>
      </c>
      <c r="AY73" s="18">
        <v>11.028</v>
      </c>
      <c r="AZ73" s="18">
        <v>1.5980000000000001</v>
      </c>
      <c r="BA73" s="18">
        <v>0</v>
      </c>
      <c r="BB73" s="18">
        <v>8.5999999999999993E-2</v>
      </c>
      <c r="BC73" s="18">
        <v>38.805</v>
      </c>
      <c r="BD73" s="18">
        <v>24.847000000000001</v>
      </c>
      <c r="BE73" s="18">
        <v>13.906000000000001</v>
      </c>
      <c r="BF73" s="18">
        <v>11.68</v>
      </c>
      <c r="BG73" s="18">
        <v>9.516</v>
      </c>
      <c r="BH73" s="18">
        <v>0.48499999999999999</v>
      </c>
      <c r="BI73" s="18">
        <v>2.8679999999999999</v>
      </c>
      <c r="BJ73" s="18">
        <v>0</v>
      </c>
      <c r="BK73" s="18">
        <v>2.895</v>
      </c>
      <c r="BL73" s="18">
        <v>0</v>
      </c>
      <c r="BM73" s="18">
        <v>10.169</v>
      </c>
      <c r="BN73" s="18">
        <v>3.0049999999999999</v>
      </c>
      <c r="BO73" s="18">
        <v>3.0179999999999998</v>
      </c>
      <c r="BP73" s="18">
        <v>0</v>
      </c>
      <c r="BQ73" s="18">
        <v>1.268</v>
      </c>
      <c r="BR73" s="18">
        <v>18.404</v>
      </c>
      <c r="BS73" s="18">
        <v>2.758</v>
      </c>
      <c r="BT73" s="18">
        <v>39.610999999999997</v>
      </c>
      <c r="BU73" s="18">
        <v>3.492</v>
      </c>
      <c r="BV73" s="18">
        <v>2.5449999999999999</v>
      </c>
      <c r="BW73" s="18">
        <v>6.0670000000000002</v>
      </c>
      <c r="BX73" s="18">
        <v>0.46</v>
      </c>
      <c r="BY73" s="18">
        <v>0.16500000000000001</v>
      </c>
      <c r="BZ73" s="18">
        <v>9.5000000000000001E-2</v>
      </c>
      <c r="CA73" s="18">
        <v>0</v>
      </c>
      <c r="CB73" s="18">
        <v>0</v>
      </c>
      <c r="CC73" s="18">
        <v>2.0649999999999999</v>
      </c>
      <c r="CD73" s="18">
        <v>0</v>
      </c>
      <c r="CE73" s="18">
        <v>0</v>
      </c>
    </row>
    <row r="74" spans="2:83" x14ac:dyDescent="0.3">
      <c r="B74" s="16" t="s">
        <v>69</v>
      </c>
      <c r="C74" s="17" t="s">
        <v>150</v>
      </c>
      <c r="D74" s="18">
        <f t="shared" si="3"/>
        <v>135.42400000000001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34.396999999999998</v>
      </c>
      <c r="AZ74" s="18">
        <v>80.757000000000005</v>
      </c>
      <c r="BA74" s="18">
        <v>0</v>
      </c>
      <c r="BB74" s="18">
        <v>0.03</v>
      </c>
      <c r="BC74" s="18">
        <v>11.27</v>
      </c>
      <c r="BD74" s="18">
        <v>4.4729999999999999</v>
      </c>
      <c r="BE74" s="18">
        <v>0</v>
      </c>
      <c r="BF74" s="18">
        <v>2.012</v>
      </c>
      <c r="BG74" s="18">
        <v>0</v>
      </c>
      <c r="BH74" s="18">
        <v>0</v>
      </c>
      <c r="BI74" s="18">
        <v>0</v>
      </c>
      <c r="BJ74" s="18">
        <v>2.1019999999999999</v>
      </c>
      <c r="BK74" s="18">
        <v>0.38300000000000001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</row>
    <row r="75" spans="2:83" x14ac:dyDescent="0.3">
      <c r="B75" s="16" t="s">
        <v>70</v>
      </c>
      <c r="C75" s="17" t="s">
        <v>151</v>
      </c>
      <c r="D75" s="18">
        <f t="shared" si="3"/>
        <v>516.20699999999999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4.6760000000000002</v>
      </c>
      <c r="N75" s="18">
        <v>0.41799999999999998</v>
      </c>
      <c r="O75" s="18">
        <v>0</v>
      </c>
      <c r="P75" s="18">
        <v>0</v>
      </c>
      <c r="Q75" s="18">
        <v>0</v>
      </c>
      <c r="R75" s="18">
        <v>15.404999999999999</v>
      </c>
      <c r="S75" s="18">
        <v>0</v>
      </c>
      <c r="T75" s="18">
        <v>6.5049999999999999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0.77600000000000002</v>
      </c>
      <c r="AE75" s="18">
        <v>0</v>
      </c>
      <c r="AF75" s="18">
        <v>0</v>
      </c>
      <c r="AG75" s="18">
        <v>0</v>
      </c>
      <c r="AH75" s="18">
        <v>1.147</v>
      </c>
      <c r="AI75" s="18">
        <v>0</v>
      </c>
      <c r="AJ75" s="18">
        <v>3.133</v>
      </c>
      <c r="AK75" s="18">
        <v>0.59899999999999998</v>
      </c>
      <c r="AL75" s="18">
        <v>0</v>
      </c>
      <c r="AM75" s="18">
        <v>1E-3</v>
      </c>
      <c r="AN75" s="18">
        <v>7.931</v>
      </c>
      <c r="AO75" s="18">
        <v>0</v>
      </c>
      <c r="AP75" s="18">
        <v>5.0000000000000001E-3</v>
      </c>
      <c r="AQ75" s="18">
        <v>3.79</v>
      </c>
      <c r="AR75" s="18">
        <v>7.891</v>
      </c>
      <c r="AS75" s="18">
        <v>0.78400000000000003</v>
      </c>
      <c r="AT75" s="18">
        <v>3.6999999999999998E-2</v>
      </c>
      <c r="AU75" s="18">
        <v>0</v>
      </c>
      <c r="AV75" s="18">
        <v>3.42</v>
      </c>
      <c r="AW75" s="18">
        <v>2.4990000000000001</v>
      </c>
      <c r="AX75" s="18">
        <v>0.18</v>
      </c>
      <c r="AY75" s="18">
        <v>11.481999999999999</v>
      </c>
      <c r="AZ75" s="18">
        <v>3.7549999999999999</v>
      </c>
      <c r="BA75" s="18">
        <v>0.88400000000000001</v>
      </c>
      <c r="BB75" s="18">
        <v>2.8000000000000001E-2</v>
      </c>
      <c r="BC75" s="18">
        <v>0</v>
      </c>
      <c r="BD75" s="18">
        <v>0</v>
      </c>
      <c r="BE75" s="18">
        <v>0</v>
      </c>
      <c r="BF75" s="18">
        <v>36.984000000000002</v>
      </c>
      <c r="BG75" s="18">
        <v>0</v>
      </c>
      <c r="BH75" s="18">
        <v>0.42099999999999999</v>
      </c>
      <c r="BI75" s="18">
        <v>0</v>
      </c>
      <c r="BJ75" s="18">
        <v>25.675999999999998</v>
      </c>
      <c r="BK75" s="18">
        <v>6.6529999999999996</v>
      </c>
      <c r="BL75" s="18">
        <v>3.411</v>
      </c>
      <c r="BM75" s="18">
        <v>9.6910000000000007</v>
      </c>
      <c r="BN75" s="18">
        <v>0.76400000000000001</v>
      </c>
      <c r="BO75" s="18">
        <v>6.944</v>
      </c>
      <c r="BP75" s="18">
        <v>0</v>
      </c>
      <c r="BQ75" s="18">
        <v>1.085</v>
      </c>
      <c r="BR75" s="18">
        <v>14.218999999999999</v>
      </c>
      <c r="BS75" s="18">
        <v>9.0280000000000005</v>
      </c>
      <c r="BT75" s="18">
        <v>23.742000000000001</v>
      </c>
      <c r="BU75" s="18">
        <v>2.8260000000000001</v>
      </c>
      <c r="BV75" s="18">
        <v>26.38</v>
      </c>
      <c r="BW75" s="18">
        <v>152.209</v>
      </c>
      <c r="BX75" s="18">
        <v>58.097000000000001</v>
      </c>
      <c r="BY75" s="18">
        <v>49.072000000000003</v>
      </c>
      <c r="BZ75" s="18">
        <v>1.456</v>
      </c>
      <c r="CA75" s="18">
        <v>0</v>
      </c>
      <c r="CB75" s="18">
        <v>6.8140000000000001</v>
      </c>
      <c r="CC75" s="18">
        <v>5.3890000000000002</v>
      </c>
      <c r="CD75" s="18">
        <v>0</v>
      </c>
      <c r="CE75" s="18">
        <v>0</v>
      </c>
    </row>
    <row r="76" spans="2:83" x14ac:dyDescent="0.3">
      <c r="B76" s="16" t="s">
        <v>71</v>
      </c>
      <c r="C76" s="17" t="s">
        <v>152</v>
      </c>
      <c r="D76" s="18">
        <f t="shared" si="3"/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</row>
    <row r="77" spans="2:83" x14ac:dyDescent="0.3">
      <c r="B77" s="16" t="s">
        <v>72</v>
      </c>
      <c r="C77" s="17" t="s">
        <v>153</v>
      </c>
      <c r="D77" s="18">
        <f t="shared" si="3"/>
        <v>1025.4169999999999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4.633</v>
      </c>
      <c r="S77" s="18">
        <v>8.3559999999999999</v>
      </c>
      <c r="T77" s="18">
        <v>6.47</v>
      </c>
      <c r="U77" s="18">
        <v>1E-3</v>
      </c>
      <c r="V77" s="18">
        <v>3.2000000000000001E-2</v>
      </c>
      <c r="W77" s="18">
        <v>0.63600000000000001</v>
      </c>
      <c r="X77" s="18">
        <v>0.41799999999999998</v>
      </c>
      <c r="Y77" s="18">
        <v>1.6879999999999999</v>
      </c>
      <c r="Z77" s="18">
        <v>0.115</v>
      </c>
      <c r="AA77" s="18">
        <v>0.19900000000000001</v>
      </c>
      <c r="AB77" s="18">
        <v>2.738</v>
      </c>
      <c r="AC77" s="18">
        <v>11.878</v>
      </c>
      <c r="AD77" s="18">
        <v>2.1000000000000001E-2</v>
      </c>
      <c r="AE77" s="18">
        <v>0</v>
      </c>
      <c r="AF77" s="18">
        <v>0.625</v>
      </c>
      <c r="AG77" s="18">
        <v>0.68100000000000005</v>
      </c>
      <c r="AH77" s="18">
        <v>0.32400000000000001</v>
      </c>
      <c r="AI77" s="18">
        <v>0</v>
      </c>
      <c r="AJ77" s="18">
        <v>3.0390000000000001</v>
      </c>
      <c r="AK77" s="18">
        <v>6.3E-2</v>
      </c>
      <c r="AL77" s="18">
        <v>0.44600000000000001</v>
      </c>
      <c r="AM77" s="18">
        <v>1E-3</v>
      </c>
      <c r="AN77" s="18">
        <v>3.3940000000000001</v>
      </c>
      <c r="AO77" s="18">
        <v>0</v>
      </c>
      <c r="AP77" s="18">
        <v>7.782</v>
      </c>
      <c r="AQ77" s="18">
        <v>0.49099999999999999</v>
      </c>
      <c r="AR77" s="18">
        <v>2.403</v>
      </c>
      <c r="AS77" s="18">
        <v>0.113</v>
      </c>
      <c r="AT77" s="18">
        <v>9.7000000000000003E-2</v>
      </c>
      <c r="AU77" s="18">
        <v>3.0000000000000001E-3</v>
      </c>
      <c r="AV77" s="18">
        <v>5.4240000000000004</v>
      </c>
      <c r="AW77" s="18">
        <v>0.55400000000000005</v>
      </c>
      <c r="AX77" s="18">
        <v>3.9E-2</v>
      </c>
      <c r="AY77" s="18">
        <v>474.428</v>
      </c>
      <c r="AZ77" s="18">
        <v>149.744</v>
      </c>
      <c r="BA77" s="18">
        <v>0.22600000000000001</v>
      </c>
      <c r="BB77" s="18">
        <v>1.4999999999999999E-2</v>
      </c>
      <c r="BC77" s="18">
        <v>50.192</v>
      </c>
      <c r="BD77" s="18">
        <v>26.08</v>
      </c>
      <c r="BE77" s="18">
        <v>27.574000000000002</v>
      </c>
      <c r="BF77" s="18">
        <v>10.004</v>
      </c>
      <c r="BG77" s="18">
        <v>6.1589999999999998</v>
      </c>
      <c r="BH77" s="18">
        <v>0.106</v>
      </c>
      <c r="BI77" s="18">
        <v>5.1360000000000001</v>
      </c>
      <c r="BJ77" s="18">
        <v>0</v>
      </c>
      <c r="BK77" s="18">
        <v>0.96599999999999997</v>
      </c>
      <c r="BL77" s="18">
        <v>0.127</v>
      </c>
      <c r="BM77" s="18">
        <v>23.195</v>
      </c>
      <c r="BN77" s="18">
        <v>0.214</v>
      </c>
      <c r="BO77" s="18">
        <v>0.34</v>
      </c>
      <c r="BP77" s="18">
        <v>0</v>
      </c>
      <c r="BQ77" s="18">
        <v>0.82299999999999995</v>
      </c>
      <c r="BR77" s="18">
        <v>1.95</v>
      </c>
      <c r="BS77" s="18">
        <v>1.2789999999999999</v>
      </c>
      <c r="BT77" s="18">
        <v>3.6560000000000001</v>
      </c>
      <c r="BU77" s="18">
        <v>4.327</v>
      </c>
      <c r="BV77" s="18">
        <v>6.1109999999999998</v>
      </c>
      <c r="BW77" s="18">
        <v>145.375</v>
      </c>
      <c r="BX77" s="18">
        <v>14.449</v>
      </c>
      <c r="BY77" s="18">
        <v>2.702</v>
      </c>
      <c r="BZ77" s="18">
        <v>0.71699999999999997</v>
      </c>
      <c r="CA77" s="18">
        <v>0</v>
      </c>
      <c r="CB77" s="18">
        <v>3.798</v>
      </c>
      <c r="CC77" s="18">
        <v>3.06</v>
      </c>
      <c r="CD77" s="18">
        <v>0</v>
      </c>
      <c r="CE77" s="18">
        <v>0</v>
      </c>
    </row>
    <row r="78" spans="2:83" x14ac:dyDescent="0.3">
      <c r="B78" s="16" t="s">
        <v>73</v>
      </c>
      <c r="C78" s="17" t="s">
        <v>154</v>
      </c>
      <c r="D78" s="18">
        <f t="shared" si="3"/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</row>
    <row r="79" spans="2:83" x14ac:dyDescent="0.3">
      <c r="B79" s="16" t="s">
        <v>74</v>
      </c>
      <c r="C79" s="17" t="s">
        <v>155</v>
      </c>
      <c r="D79" s="18">
        <f t="shared" si="3"/>
        <v>0.52100000000000002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9.1999999999999998E-2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5.5E-2</v>
      </c>
      <c r="AU79" s="18">
        <v>0</v>
      </c>
      <c r="AV79" s="18">
        <v>0</v>
      </c>
      <c r="AW79" s="18">
        <v>8.9999999999999993E-3</v>
      </c>
      <c r="AX79" s="18">
        <v>0</v>
      </c>
      <c r="AY79" s="18">
        <v>0</v>
      </c>
      <c r="AZ79" s="18">
        <v>2.5000000000000001E-2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1.0999999999999999E-2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0.186</v>
      </c>
      <c r="BY79" s="18">
        <v>0</v>
      </c>
      <c r="BZ79" s="18">
        <v>0.14299999999999999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</row>
    <row r="80" spans="2:83" x14ac:dyDescent="0.3">
      <c r="B80" s="16" t="s">
        <v>75</v>
      </c>
      <c r="C80" s="17" t="s">
        <v>156</v>
      </c>
      <c r="D80" s="18">
        <f t="shared" si="3"/>
        <v>6.6950000000000003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6.1429999999999998</v>
      </c>
      <c r="BX80" s="18">
        <v>0</v>
      </c>
      <c r="BY80" s="18">
        <v>0.55200000000000005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</row>
    <row r="81" spans="2:83" x14ac:dyDescent="0.3">
      <c r="B81" s="16" t="s">
        <v>76</v>
      </c>
      <c r="C81" s="17" t="s">
        <v>157</v>
      </c>
      <c r="D81" s="18">
        <f t="shared" si="3"/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</row>
    <row r="82" spans="2:83" x14ac:dyDescent="0.3">
      <c r="B82" s="16" t="s">
        <v>77</v>
      </c>
      <c r="C82" s="17" t="s">
        <v>158</v>
      </c>
      <c r="D82" s="18">
        <f t="shared" si="3"/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</row>
    <row r="83" spans="2:83" x14ac:dyDescent="0.3">
      <c r="B83" s="16" t="s">
        <v>78</v>
      </c>
      <c r="C83" s="17" t="s">
        <v>159</v>
      </c>
      <c r="D83" s="18">
        <f t="shared" si="3"/>
        <v>93.930999999999983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12.246</v>
      </c>
      <c r="S83" s="18">
        <v>0</v>
      </c>
      <c r="T83" s="18">
        <v>8.0609999999999999</v>
      </c>
      <c r="U83" s="18">
        <v>0</v>
      </c>
      <c r="V83" s="18">
        <v>0</v>
      </c>
      <c r="W83" s="18">
        <v>0</v>
      </c>
      <c r="X83" s="18">
        <v>0</v>
      </c>
      <c r="Y83" s="18">
        <v>9.5000000000000001E-2</v>
      </c>
      <c r="Z83" s="18">
        <v>0</v>
      </c>
      <c r="AA83" s="18">
        <v>0.44400000000000001</v>
      </c>
      <c r="AB83" s="18">
        <v>0.61099999999999999</v>
      </c>
      <c r="AC83" s="18">
        <v>6.3E-2</v>
      </c>
      <c r="AD83" s="18">
        <v>0</v>
      </c>
      <c r="AE83" s="18">
        <v>0</v>
      </c>
      <c r="AF83" s="18">
        <v>0.95399999999999996</v>
      </c>
      <c r="AG83" s="18">
        <v>0</v>
      </c>
      <c r="AH83" s="18">
        <v>0.16300000000000001</v>
      </c>
      <c r="AI83" s="18">
        <v>0</v>
      </c>
      <c r="AJ83" s="18">
        <v>2.081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0.54600000000000004</v>
      </c>
      <c r="AQ83" s="18">
        <v>0</v>
      </c>
      <c r="AR83" s="18">
        <v>0</v>
      </c>
      <c r="AS83" s="18">
        <v>0</v>
      </c>
      <c r="AT83" s="18">
        <v>0.39100000000000001</v>
      </c>
      <c r="AU83" s="18">
        <v>0</v>
      </c>
      <c r="AV83" s="18">
        <v>0</v>
      </c>
      <c r="AW83" s="18">
        <v>1.548</v>
      </c>
      <c r="AX83" s="18">
        <v>0.24399999999999999</v>
      </c>
      <c r="AY83" s="18">
        <v>0.61099999999999999</v>
      </c>
      <c r="AZ83" s="18">
        <v>0.51100000000000001</v>
      </c>
      <c r="BA83" s="18">
        <v>0</v>
      </c>
      <c r="BB83" s="18">
        <v>2.9000000000000001E-2</v>
      </c>
      <c r="BC83" s="18">
        <v>0.41599999999999998</v>
      </c>
      <c r="BD83" s="18">
        <v>0.78300000000000003</v>
      </c>
      <c r="BE83" s="18">
        <v>0.439</v>
      </c>
      <c r="BF83" s="18">
        <v>1.246</v>
      </c>
      <c r="BG83" s="18">
        <v>0.64500000000000002</v>
      </c>
      <c r="BH83" s="18">
        <v>4.2999999999999997E-2</v>
      </c>
      <c r="BI83" s="18">
        <v>8.8819999999999997</v>
      </c>
      <c r="BJ83" s="18">
        <v>9.7219999999999995</v>
      </c>
      <c r="BK83" s="18">
        <v>0.33200000000000002</v>
      </c>
      <c r="BL83" s="18">
        <v>0</v>
      </c>
      <c r="BM83" s="18">
        <v>1.179</v>
      </c>
      <c r="BN83" s="18">
        <v>0.13200000000000001</v>
      </c>
      <c r="BO83" s="18">
        <v>0</v>
      </c>
      <c r="BP83" s="18">
        <v>0</v>
      </c>
      <c r="BQ83" s="18">
        <v>0</v>
      </c>
      <c r="BR83" s="18">
        <v>1.1140000000000001</v>
      </c>
      <c r="BS83" s="18">
        <v>0</v>
      </c>
      <c r="BT83" s="18">
        <v>2.5859999999999999</v>
      </c>
      <c r="BU83" s="18">
        <v>2.74</v>
      </c>
      <c r="BV83" s="18">
        <v>2.4529999999999998</v>
      </c>
      <c r="BW83" s="18">
        <v>12.568</v>
      </c>
      <c r="BX83" s="18">
        <v>5.9489999999999998</v>
      </c>
      <c r="BY83" s="18">
        <v>3.669</v>
      </c>
      <c r="BZ83" s="18">
        <v>3.57</v>
      </c>
      <c r="CA83" s="18">
        <v>0</v>
      </c>
      <c r="CB83" s="18">
        <v>0</v>
      </c>
      <c r="CC83" s="18">
        <v>6.8650000000000002</v>
      </c>
      <c r="CD83" s="18">
        <v>0</v>
      </c>
      <c r="CE83" s="18">
        <v>0</v>
      </c>
    </row>
    <row r="84" spans="2:83" x14ac:dyDescent="0.3">
      <c r="B84" s="16" t="s">
        <v>79</v>
      </c>
      <c r="C84" s="17" t="s">
        <v>160</v>
      </c>
      <c r="D84" s="18">
        <f t="shared" si="3"/>
        <v>165.423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0.436</v>
      </c>
      <c r="Y84" s="18">
        <v>0</v>
      </c>
      <c r="Z84" s="18">
        <v>0</v>
      </c>
      <c r="AA84" s="18">
        <v>0</v>
      </c>
      <c r="AB84" s="18">
        <v>13.808999999999999</v>
      </c>
      <c r="AC84" s="18">
        <v>20.905000000000001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0.70299999999999996</v>
      </c>
      <c r="AK84" s="18">
        <v>0.218</v>
      </c>
      <c r="AL84" s="18">
        <v>0.74299999999999999</v>
      </c>
      <c r="AM84" s="18">
        <v>0</v>
      </c>
      <c r="AN84" s="18">
        <v>2.0219999999999998</v>
      </c>
      <c r="AO84" s="18">
        <v>0</v>
      </c>
      <c r="AP84" s="18">
        <v>0</v>
      </c>
      <c r="AQ84" s="18">
        <v>0.24099999999999999</v>
      </c>
      <c r="AR84" s="18">
        <v>0</v>
      </c>
      <c r="AS84" s="18">
        <v>0</v>
      </c>
      <c r="AT84" s="18">
        <v>0.246</v>
      </c>
      <c r="AU84" s="18">
        <v>0</v>
      </c>
      <c r="AV84" s="18">
        <v>0</v>
      </c>
      <c r="AW84" s="18">
        <v>0</v>
      </c>
      <c r="AX84" s="18">
        <v>0</v>
      </c>
      <c r="AY84" s="18">
        <v>23.177</v>
      </c>
      <c r="AZ84" s="18">
        <v>18.713999999999999</v>
      </c>
      <c r="BA84" s="18">
        <v>0</v>
      </c>
      <c r="BB84" s="18">
        <v>0</v>
      </c>
      <c r="BC84" s="18">
        <v>0.316</v>
      </c>
      <c r="BD84" s="18">
        <v>1.2E-2</v>
      </c>
      <c r="BE84" s="18">
        <v>0.17499999999999999</v>
      </c>
      <c r="BF84" s="18">
        <v>0</v>
      </c>
      <c r="BG84" s="18">
        <v>0</v>
      </c>
      <c r="BH84" s="18">
        <v>0</v>
      </c>
      <c r="BI84" s="18">
        <v>5.0919999999999996</v>
      </c>
      <c r="BJ84" s="18">
        <v>0</v>
      </c>
      <c r="BK84" s="18">
        <v>5.6829999999999998</v>
      </c>
      <c r="BL84" s="18">
        <v>0</v>
      </c>
      <c r="BM84" s="18">
        <v>0.83299999999999996</v>
      </c>
      <c r="BN84" s="18">
        <v>0.126</v>
      </c>
      <c r="BO84" s="18">
        <v>0</v>
      </c>
      <c r="BP84" s="18">
        <v>0</v>
      </c>
      <c r="BQ84" s="18">
        <v>0</v>
      </c>
      <c r="BR84" s="18">
        <v>14.571999999999999</v>
      </c>
      <c r="BS84" s="18">
        <v>0</v>
      </c>
      <c r="BT84" s="18">
        <v>20.774999999999999</v>
      </c>
      <c r="BU84" s="18">
        <v>0</v>
      </c>
      <c r="BV84" s="18">
        <v>14.038</v>
      </c>
      <c r="BW84" s="18">
        <v>20.925999999999998</v>
      </c>
      <c r="BX84" s="18">
        <v>1.2110000000000001</v>
      </c>
      <c r="BY84" s="18">
        <v>0.27300000000000002</v>
      </c>
      <c r="BZ84" s="18">
        <v>0.17699999999999999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</row>
    <row r="85" spans="2:83" x14ac:dyDescent="0.3">
      <c r="B85" s="16" t="s">
        <v>80</v>
      </c>
      <c r="C85" s="17" t="s">
        <v>161</v>
      </c>
      <c r="D85" s="18">
        <f t="shared" si="3"/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</row>
    <row r="86" spans="2:83" x14ac:dyDescent="0.3">
      <c r="B86" s="16" t="s">
        <v>81</v>
      </c>
      <c r="C86" s="17" t="s">
        <v>162</v>
      </c>
      <c r="D86" s="18">
        <f t="shared" si="3"/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</row>
    <row r="87" spans="2:83" ht="15" thickBot="1" x14ac:dyDescent="0.35">
      <c r="B87" s="1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</row>
    <row r="88" spans="2:83" ht="15" thickTop="1" x14ac:dyDescent="0.3">
      <c r="B88" s="6" t="s">
        <v>290</v>
      </c>
    </row>
    <row r="89" spans="2:83" x14ac:dyDescent="0.3"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</row>
    <row r="90" spans="2:83" x14ac:dyDescent="0.3"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88"/>
  <sheetViews>
    <sheetView zoomScale="70" zoomScaleNormal="70" workbookViewId="0">
      <pane xSplit="4" ySplit="7" topLeftCell="AI8" activePane="bottomRight" state="frozen"/>
      <selection activeCell="F8" sqref="F8"/>
      <selection pane="topRight" activeCell="F8" sqref="F8"/>
      <selection pane="bottomLeft" activeCell="F8" sqref="F8"/>
      <selection pane="bottomRight" activeCell="AV35" sqref="AV35"/>
    </sheetView>
  </sheetViews>
  <sheetFormatPr defaultRowHeight="14.4" x14ac:dyDescent="0.3"/>
  <cols>
    <col min="1" max="1" width="3.77734375" bestFit="1" customWidth="1"/>
    <col min="2" max="2" width="48" customWidth="1"/>
  </cols>
  <sheetData>
    <row r="1" spans="1:82" ht="18" x14ac:dyDescent="0.35">
      <c r="B1" s="1" t="s">
        <v>252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ht="16.2" thickBot="1" x14ac:dyDescent="0.35">
      <c r="B2" s="3" t="s">
        <v>1</v>
      </c>
      <c r="C2" s="4"/>
      <c r="D2" s="4"/>
      <c r="E2" s="4" t="s">
        <v>253</v>
      </c>
      <c r="F2" s="4" t="s">
        <v>253</v>
      </c>
      <c r="G2" s="4" t="s">
        <v>253</v>
      </c>
      <c r="H2" s="4" t="s">
        <v>253</v>
      </c>
      <c r="I2" s="4" t="s">
        <v>253</v>
      </c>
      <c r="J2" s="4" t="s">
        <v>254</v>
      </c>
      <c r="K2" s="4" t="s">
        <v>254</v>
      </c>
      <c r="L2" s="4" t="s">
        <v>254</v>
      </c>
      <c r="M2" s="4" t="s">
        <v>255</v>
      </c>
      <c r="N2" s="4" t="s">
        <v>255</v>
      </c>
      <c r="O2" s="4" t="s">
        <v>256</v>
      </c>
      <c r="P2" s="4" t="s">
        <v>257</v>
      </c>
      <c r="Q2" s="4" t="s">
        <v>258</v>
      </c>
      <c r="R2" s="4" t="s">
        <v>258</v>
      </c>
      <c r="S2" s="4" t="s">
        <v>258</v>
      </c>
      <c r="T2" s="4" t="s">
        <v>259</v>
      </c>
      <c r="U2" s="4" t="s">
        <v>259</v>
      </c>
      <c r="V2" s="4" t="s">
        <v>259</v>
      </c>
      <c r="W2" s="4" t="s">
        <v>259</v>
      </c>
      <c r="X2" s="4" t="s">
        <v>259</v>
      </c>
      <c r="Y2" s="4" t="s">
        <v>259</v>
      </c>
      <c r="Z2" s="4" t="s">
        <v>259</v>
      </c>
      <c r="AA2" s="4" t="s">
        <v>259</v>
      </c>
      <c r="AB2" s="4" t="s">
        <v>259</v>
      </c>
      <c r="AC2" s="4" t="s">
        <v>260</v>
      </c>
      <c r="AD2" s="4" t="s">
        <v>260</v>
      </c>
      <c r="AE2" s="4" t="s">
        <v>260</v>
      </c>
      <c r="AF2" s="4" t="s">
        <v>261</v>
      </c>
      <c r="AG2" s="4" t="s">
        <v>262</v>
      </c>
      <c r="AH2" s="4" t="s">
        <v>262</v>
      </c>
      <c r="AI2" s="4" t="s">
        <v>263</v>
      </c>
      <c r="AJ2" s="4" t="s">
        <v>263</v>
      </c>
      <c r="AK2" s="4" t="s">
        <v>263</v>
      </c>
      <c r="AL2" s="4" t="s">
        <v>263</v>
      </c>
      <c r="AM2" s="4" t="s">
        <v>264</v>
      </c>
      <c r="AN2" s="4" t="s">
        <v>264</v>
      </c>
      <c r="AO2" s="4" t="s">
        <v>264</v>
      </c>
      <c r="AP2" s="4" t="s">
        <v>265</v>
      </c>
      <c r="AQ2" s="4" t="s">
        <v>265</v>
      </c>
      <c r="AR2" s="4" t="s">
        <v>265</v>
      </c>
      <c r="AS2" s="4" t="s">
        <v>266</v>
      </c>
      <c r="AT2" s="4" t="s">
        <v>266</v>
      </c>
      <c r="AU2" s="4" t="s">
        <v>266</v>
      </c>
      <c r="AV2" s="4" t="s">
        <v>267</v>
      </c>
      <c r="AW2" s="4" t="s">
        <v>268</v>
      </c>
      <c r="AX2" s="4" t="s">
        <v>268</v>
      </c>
      <c r="AY2" s="4" t="s">
        <v>269</v>
      </c>
      <c r="AZ2" s="4" t="s">
        <v>269</v>
      </c>
      <c r="BA2" s="4" t="s">
        <v>270</v>
      </c>
      <c r="BB2" s="4" t="s">
        <v>271</v>
      </c>
      <c r="BC2" s="4" t="s">
        <v>271</v>
      </c>
      <c r="BD2" s="4" t="s">
        <v>271</v>
      </c>
      <c r="BE2" s="4" t="s">
        <v>272</v>
      </c>
      <c r="BF2" s="4" t="s">
        <v>273</v>
      </c>
      <c r="BG2" s="4" t="s">
        <v>274</v>
      </c>
      <c r="BH2" s="4" t="s">
        <v>274</v>
      </c>
      <c r="BI2" s="4" t="s">
        <v>275</v>
      </c>
      <c r="BJ2" s="4" t="s">
        <v>276</v>
      </c>
      <c r="BK2" s="4" t="s">
        <v>277</v>
      </c>
      <c r="BL2" s="4" t="s">
        <v>278</v>
      </c>
      <c r="BM2" s="4" t="s">
        <v>279</v>
      </c>
      <c r="BN2" s="4" t="s">
        <v>279</v>
      </c>
      <c r="BO2" s="4" t="s">
        <v>279</v>
      </c>
      <c r="BP2" s="4" t="s">
        <v>280</v>
      </c>
      <c r="BQ2" s="4" t="s">
        <v>280</v>
      </c>
      <c r="BR2" s="4" t="s">
        <v>281</v>
      </c>
      <c r="BS2" s="4" t="s">
        <v>281</v>
      </c>
      <c r="BT2" s="4" t="s">
        <v>281</v>
      </c>
      <c r="BU2" s="4" t="s">
        <v>282</v>
      </c>
      <c r="BV2" s="4" t="s">
        <v>282</v>
      </c>
      <c r="BW2" s="4" t="s">
        <v>283</v>
      </c>
      <c r="BX2" s="4" t="s">
        <v>284</v>
      </c>
      <c r="BY2" s="4" t="s">
        <v>285</v>
      </c>
      <c r="BZ2" s="4" t="s">
        <v>285</v>
      </c>
      <c r="CA2" s="4" t="s">
        <v>286</v>
      </c>
      <c r="CB2" s="4" t="s">
        <v>286</v>
      </c>
      <c r="CC2" s="4" t="s">
        <v>287</v>
      </c>
      <c r="CD2" s="4" t="s">
        <v>288</v>
      </c>
    </row>
    <row r="3" spans="1:82" ht="100.8" thickTop="1" thickBot="1" x14ac:dyDescent="0.35">
      <c r="B3" s="6" t="s">
        <v>2</v>
      </c>
      <c r="C3" s="5"/>
      <c r="D3" s="5"/>
      <c r="E3" s="7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 t="s">
        <v>29</v>
      </c>
      <c r="AF3" s="8" t="s">
        <v>30</v>
      </c>
      <c r="AG3" s="8" t="s">
        <v>31</v>
      </c>
      <c r="AH3" s="8" t="s">
        <v>32</v>
      </c>
      <c r="AI3" s="8" t="s">
        <v>33</v>
      </c>
      <c r="AJ3" s="8" t="s">
        <v>34</v>
      </c>
      <c r="AK3" s="8" t="s">
        <v>35</v>
      </c>
      <c r="AL3" s="8" t="s">
        <v>36</v>
      </c>
      <c r="AM3" s="8" t="s">
        <v>37</v>
      </c>
      <c r="AN3" s="8" t="s">
        <v>38</v>
      </c>
      <c r="AO3" s="8" t="s">
        <v>39</v>
      </c>
      <c r="AP3" s="8" t="s">
        <v>40</v>
      </c>
      <c r="AQ3" s="8" t="s">
        <v>41</v>
      </c>
      <c r="AR3" s="8" t="s">
        <v>42</v>
      </c>
      <c r="AS3" s="8" t="s">
        <v>43</v>
      </c>
      <c r="AT3" s="8" t="s">
        <v>44</v>
      </c>
      <c r="AU3" s="8" t="s">
        <v>45</v>
      </c>
      <c r="AV3" s="8" t="s">
        <v>46</v>
      </c>
      <c r="AW3" s="8" t="s">
        <v>47</v>
      </c>
      <c r="AX3" s="8" t="s">
        <v>48</v>
      </c>
      <c r="AY3" s="8" t="s">
        <v>49</v>
      </c>
      <c r="AZ3" s="8" t="s">
        <v>50</v>
      </c>
      <c r="BA3" s="8" t="s">
        <v>51</v>
      </c>
      <c r="BB3" s="8" t="s">
        <v>52</v>
      </c>
      <c r="BC3" s="8" t="s">
        <v>53</v>
      </c>
      <c r="BD3" s="8" t="s">
        <v>54</v>
      </c>
      <c r="BE3" s="8" t="s">
        <v>55</v>
      </c>
      <c r="BF3" s="8" t="s">
        <v>56</v>
      </c>
      <c r="BG3" s="8" t="s">
        <v>57</v>
      </c>
      <c r="BH3" s="8" t="s">
        <v>58</v>
      </c>
      <c r="BI3" s="8" t="s">
        <v>59</v>
      </c>
      <c r="BJ3" s="8" t="s">
        <v>60</v>
      </c>
      <c r="BK3" s="8" t="s">
        <v>61</v>
      </c>
      <c r="BL3" s="8" t="s">
        <v>62</v>
      </c>
      <c r="BM3" s="8" t="s">
        <v>63</v>
      </c>
      <c r="BN3" s="8" t="s">
        <v>64</v>
      </c>
      <c r="BO3" s="8" t="s">
        <v>65</v>
      </c>
      <c r="BP3" s="8" t="s">
        <v>66</v>
      </c>
      <c r="BQ3" s="8" t="s">
        <v>67</v>
      </c>
      <c r="BR3" s="8" t="s">
        <v>68</v>
      </c>
      <c r="BS3" s="8" t="s">
        <v>69</v>
      </c>
      <c r="BT3" s="8" t="s">
        <v>70</v>
      </c>
      <c r="BU3" s="8" t="s">
        <v>71</v>
      </c>
      <c r="BV3" s="8" t="s">
        <v>72</v>
      </c>
      <c r="BW3" s="8" t="s">
        <v>73</v>
      </c>
      <c r="BX3" s="8" t="s">
        <v>74</v>
      </c>
      <c r="BY3" s="8" t="s">
        <v>75</v>
      </c>
      <c r="BZ3" s="8" t="s">
        <v>76</v>
      </c>
      <c r="CA3" s="8" t="s">
        <v>77</v>
      </c>
      <c r="CB3" s="8" t="s">
        <v>78</v>
      </c>
      <c r="CC3" s="8" t="s">
        <v>79</v>
      </c>
      <c r="CD3" s="8" t="s">
        <v>80</v>
      </c>
    </row>
    <row r="4" spans="1:82" ht="15.6" thickTop="1" thickBot="1" x14ac:dyDescent="0.35">
      <c r="B4" s="9" t="s">
        <v>82</v>
      </c>
      <c r="C4" s="10" t="s">
        <v>83</v>
      </c>
      <c r="D4" s="10"/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  <c r="O4" s="10" t="s">
        <v>94</v>
      </c>
      <c r="P4" s="10" t="s">
        <v>95</v>
      </c>
      <c r="Q4" s="10" t="s">
        <v>96</v>
      </c>
      <c r="R4" s="10" t="s">
        <v>97</v>
      </c>
      <c r="S4" s="10" t="s">
        <v>98</v>
      </c>
      <c r="T4" s="10" t="s">
        <v>99</v>
      </c>
      <c r="U4" s="10" t="s">
        <v>100</v>
      </c>
      <c r="V4" s="10" t="s">
        <v>101</v>
      </c>
      <c r="W4" s="10" t="s">
        <v>102</v>
      </c>
      <c r="X4" s="10" t="s">
        <v>103</v>
      </c>
      <c r="Y4" s="10" t="s">
        <v>104</v>
      </c>
      <c r="Z4" s="10" t="s">
        <v>105</v>
      </c>
      <c r="AA4" s="10" t="s">
        <v>106</v>
      </c>
      <c r="AB4" s="10" t="s">
        <v>107</v>
      </c>
      <c r="AC4" s="10" t="s">
        <v>108</v>
      </c>
      <c r="AD4" s="10" t="s">
        <v>109</v>
      </c>
      <c r="AE4" s="10" t="s">
        <v>110</v>
      </c>
      <c r="AF4" s="10" t="s">
        <v>111</v>
      </c>
      <c r="AG4" s="10" t="s">
        <v>112</v>
      </c>
      <c r="AH4" s="10" t="s">
        <v>113</v>
      </c>
      <c r="AI4" s="10" t="s">
        <v>114</v>
      </c>
      <c r="AJ4" s="10" t="s">
        <v>115</v>
      </c>
      <c r="AK4" s="10" t="s">
        <v>116</v>
      </c>
      <c r="AL4" s="10" t="s">
        <v>117</v>
      </c>
      <c r="AM4" s="10" t="s">
        <v>118</v>
      </c>
      <c r="AN4" s="10" t="s">
        <v>119</v>
      </c>
      <c r="AO4" s="10" t="s">
        <v>120</v>
      </c>
      <c r="AP4" s="10" t="s">
        <v>121</v>
      </c>
      <c r="AQ4" s="10" t="s">
        <v>122</v>
      </c>
      <c r="AR4" s="10" t="s">
        <v>123</v>
      </c>
      <c r="AS4" s="10" t="s">
        <v>124</v>
      </c>
      <c r="AT4" s="10" t="s">
        <v>125</v>
      </c>
      <c r="AU4" s="10" t="s">
        <v>126</v>
      </c>
      <c r="AV4" s="10" t="s">
        <v>127</v>
      </c>
      <c r="AW4" s="10" t="s">
        <v>128</v>
      </c>
      <c r="AX4" s="10" t="s">
        <v>129</v>
      </c>
      <c r="AY4" s="10" t="s">
        <v>130</v>
      </c>
      <c r="AZ4" s="10" t="s">
        <v>131</v>
      </c>
      <c r="BA4" s="10" t="s">
        <v>132</v>
      </c>
      <c r="BB4" s="10" t="s">
        <v>133</v>
      </c>
      <c r="BC4" s="10" t="s">
        <v>134</v>
      </c>
      <c r="BD4" s="10" t="s">
        <v>135</v>
      </c>
      <c r="BE4" s="10" t="s">
        <v>136</v>
      </c>
      <c r="BF4" s="10" t="s">
        <v>137</v>
      </c>
      <c r="BG4" s="10" t="s">
        <v>138</v>
      </c>
      <c r="BH4" s="10" t="s">
        <v>139</v>
      </c>
      <c r="BI4" s="10" t="s">
        <v>140</v>
      </c>
      <c r="BJ4" s="10" t="s">
        <v>141</v>
      </c>
      <c r="BK4" s="10" t="s">
        <v>142</v>
      </c>
      <c r="BL4" s="10" t="s">
        <v>143</v>
      </c>
      <c r="BM4" s="10" t="s">
        <v>144</v>
      </c>
      <c r="BN4" s="10" t="s">
        <v>145</v>
      </c>
      <c r="BO4" s="10" t="s">
        <v>146</v>
      </c>
      <c r="BP4" s="10" t="s">
        <v>147</v>
      </c>
      <c r="BQ4" s="10" t="s">
        <v>148</v>
      </c>
      <c r="BR4" s="10" t="s">
        <v>149</v>
      </c>
      <c r="BS4" s="10" t="s">
        <v>150</v>
      </c>
      <c r="BT4" s="10" t="s">
        <v>151</v>
      </c>
      <c r="BU4" s="10" t="s">
        <v>152</v>
      </c>
      <c r="BV4" s="10" t="s">
        <v>153</v>
      </c>
      <c r="BW4" s="10" t="s">
        <v>154</v>
      </c>
      <c r="BX4" s="10" t="s">
        <v>155</v>
      </c>
      <c r="BY4" s="10" t="s">
        <v>156</v>
      </c>
      <c r="BZ4" s="10" t="s">
        <v>157</v>
      </c>
      <c r="CA4" s="10" t="s">
        <v>158</v>
      </c>
      <c r="CB4" s="10" t="s">
        <v>159</v>
      </c>
      <c r="CC4" s="10" t="s">
        <v>160</v>
      </c>
      <c r="CD4" s="10" t="s">
        <v>161</v>
      </c>
    </row>
    <row r="5" spans="1:82" ht="15" thickTop="1" x14ac:dyDescent="0.3"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</row>
    <row r="6" spans="1:82" x14ac:dyDescent="0.3">
      <c r="B6" s="12" t="s">
        <v>163</v>
      </c>
      <c r="C6" s="13"/>
      <c r="D6" s="14">
        <f>SUM(D8:D86)</f>
        <v>36361.057000000008</v>
      </c>
      <c r="E6" s="14">
        <f>SUM(E8:E86)</f>
        <v>435.92</v>
      </c>
      <c r="F6" s="14">
        <f t="shared" ref="F6:BQ6" si="0">SUM(F8:F86)</f>
        <v>1246.671</v>
      </c>
      <c r="G6" s="14">
        <f t="shared" si="0"/>
        <v>867.33699999999999</v>
      </c>
      <c r="H6" s="14">
        <f t="shared" si="0"/>
        <v>545.16399999999999</v>
      </c>
      <c r="I6" s="14">
        <f t="shared" si="0"/>
        <v>66.358000000000004</v>
      </c>
      <c r="J6" s="14">
        <f t="shared" si="0"/>
        <v>184.53900000000002</v>
      </c>
      <c r="K6" s="14">
        <f t="shared" si="0"/>
        <v>64.11</v>
      </c>
      <c r="L6" s="14">
        <f t="shared" si="0"/>
        <v>153.11600000000001</v>
      </c>
      <c r="M6" s="14">
        <f t="shared" si="0"/>
        <v>622.44600000000003</v>
      </c>
      <c r="N6" s="14">
        <f t="shared" si="0"/>
        <v>3.7890000000000001</v>
      </c>
      <c r="O6" s="14">
        <f t="shared" si="0"/>
        <v>798.46500000000003</v>
      </c>
      <c r="P6" s="14">
        <f t="shared" si="0"/>
        <v>75.12</v>
      </c>
      <c r="Q6" s="14">
        <f t="shared" si="0"/>
        <v>0</v>
      </c>
      <c r="R6" s="14">
        <f t="shared" si="0"/>
        <v>293.98399999999998</v>
      </c>
      <c r="S6" s="14">
        <f t="shared" si="0"/>
        <v>420.70499999999998</v>
      </c>
      <c r="T6" s="14">
        <f t="shared" si="0"/>
        <v>186.60300000000001</v>
      </c>
      <c r="U6" s="14">
        <f t="shared" si="0"/>
        <v>2.4620000000000002</v>
      </c>
      <c r="V6" s="14">
        <f t="shared" si="0"/>
        <v>38.183999999999997</v>
      </c>
      <c r="W6" s="14">
        <f t="shared" si="0"/>
        <v>204.536</v>
      </c>
      <c r="X6" s="14">
        <f t="shared" si="0"/>
        <v>195.53899999999999</v>
      </c>
      <c r="Y6" s="14">
        <f t="shared" si="0"/>
        <v>889.46799999999996</v>
      </c>
      <c r="Z6" s="14">
        <f t="shared" si="0"/>
        <v>130.749</v>
      </c>
      <c r="AA6" s="14">
        <f t="shared" si="0"/>
        <v>53.295999999999999</v>
      </c>
      <c r="AB6" s="14">
        <f t="shared" si="0"/>
        <v>415.26</v>
      </c>
      <c r="AC6" s="14">
        <f t="shared" si="0"/>
        <v>818.48300000000006</v>
      </c>
      <c r="AD6" s="14">
        <f t="shared" si="0"/>
        <v>87.831000000000003</v>
      </c>
      <c r="AE6" s="14">
        <f t="shared" si="0"/>
        <v>0.71599999999999997</v>
      </c>
      <c r="AF6" s="14">
        <f t="shared" si="0"/>
        <v>388.37200000000001</v>
      </c>
      <c r="AG6" s="14">
        <f t="shared" si="0"/>
        <v>250.28799999999998</v>
      </c>
      <c r="AH6" s="14">
        <f t="shared" si="0"/>
        <v>68.241</v>
      </c>
      <c r="AI6" s="14">
        <f t="shared" si="0"/>
        <v>0</v>
      </c>
      <c r="AJ6" s="14">
        <f t="shared" si="0"/>
        <v>501.87600000000003</v>
      </c>
      <c r="AK6" s="14">
        <f t="shared" si="0"/>
        <v>34.606000000000002</v>
      </c>
      <c r="AL6" s="14">
        <f t="shared" si="0"/>
        <v>84.455999999999989</v>
      </c>
      <c r="AM6" s="14">
        <f t="shared" si="0"/>
        <v>65.326999999999998</v>
      </c>
      <c r="AN6" s="14">
        <f t="shared" si="0"/>
        <v>224.161</v>
      </c>
      <c r="AO6" s="14">
        <f t="shared" si="0"/>
        <v>120.22199999999999</v>
      </c>
      <c r="AP6" s="14">
        <f t="shared" si="0"/>
        <v>281.42600000000004</v>
      </c>
      <c r="AQ6" s="14">
        <f t="shared" si="0"/>
        <v>41.662999999999997</v>
      </c>
      <c r="AR6" s="14">
        <f t="shared" si="0"/>
        <v>148.09200000000001</v>
      </c>
      <c r="AS6" s="14">
        <f t="shared" si="0"/>
        <v>125.208</v>
      </c>
      <c r="AT6" s="14">
        <f t="shared" si="0"/>
        <v>128.71899999999999</v>
      </c>
      <c r="AU6" s="14">
        <f t="shared" si="0"/>
        <v>13.084</v>
      </c>
      <c r="AV6" s="14">
        <f t="shared" si="0"/>
        <v>284.47399999999999</v>
      </c>
      <c r="AW6" s="14">
        <f t="shared" si="0"/>
        <v>113.59100000000001</v>
      </c>
      <c r="AX6" s="14">
        <f t="shared" si="0"/>
        <v>59.031999999999996</v>
      </c>
      <c r="AY6" s="14">
        <f t="shared" si="0"/>
        <v>4098.0159999999996</v>
      </c>
      <c r="AZ6" s="14">
        <f t="shared" si="0"/>
        <v>3195.5430000000001</v>
      </c>
      <c r="BA6" s="14">
        <f t="shared" si="0"/>
        <v>260.11500000000001</v>
      </c>
      <c r="BB6" s="14">
        <f t="shared" si="0"/>
        <v>133.995</v>
      </c>
      <c r="BC6" s="14">
        <f t="shared" si="0"/>
        <v>1656.2740000000001</v>
      </c>
      <c r="BD6" s="14">
        <f t="shared" si="0"/>
        <v>1116.838</v>
      </c>
      <c r="BE6" s="14">
        <f t="shared" si="0"/>
        <v>1390.163</v>
      </c>
      <c r="BF6" s="14">
        <f t="shared" si="0"/>
        <v>689.22</v>
      </c>
      <c r="BG6" s="14">
        <f t="shared" si="0"/>
        <v>378.423</v>
      </c>
      <c r="BH6" s="14">
        <f t="shared" si="0"/>
        <v>21.561000000000003</v>
      </c>
      <c r="BI6" s="14">
        <f t="shared" si="0"/>
        <v>1370.5440000000001</v>
      </c>
      <c r="BJ6" s="14">
        <f t="shared" si="0"/>
        <v>226.42499999999998</v>
      </c>
      <c r="BK6" s="14">
        <f t="shared" si="0"/>
        <v>533.15199999999993</v>
      </c>
      <c r="BL6" s="14">
        <f t="shared" si="0"/>
        <v>186.72</v>
      </c>
      <c r="BM6" s="14">
        <f t="shared" si="0"/>
        <v>446.30799999999999</v>
      </c>
      <c r="BN6" s="14">
        <f t="shared" si="0"/>
        <v>117.90499999999999</v>
      </c>
      <c r="BO6" s="14">
        <f t="shared" si="0"/>
        <v>88.686999999999998</v>
      </c>
      <c r="BP6" s="14">
        <f t="shared" si="0"/>
        <v>595.23400000000004</v>
      </c>
      <c r="BQ6" s="14">
        <f t="shared" si="0"/>
        <v>807.21100000000001</v>
      </c>
      <c r="BR6" s="14">
        <f t="shared" ref="BR6:CD6" si="1">SUM(BR8:BR86)</f>
        <v>260.21800000000002</v>
      </c>
      <c r="BS6" s="14">
        <f t="shared" si="1"/>
        <v>135.42099999999999</v>
      </c>
      <c r="BT6" s="14">
        <f t="shared" si="1"/>
        <v>530.65</v>
      </c>
      <c r="BU6" s="14">
        <f t="shared" si="1"/>
        <v>231.44400000000002</v>
      </c>
      <c r="BV6" s="14">
        <f t="shared" si="1"/>
        <v>988.76599999999996</v>
      </c>
      <c r="BW6" s="14">
        <f t="shared" si="1"/>
        <v>2440.308</v>
      </c>
      <c r="BX6" s="14">
        <f t="shared" si="1"/>
        <v>1085.8440000000003</v>
      </c>
      <c r="BY6" s="14">
        <f t="shared" si="1"/>
        <v>483.1</v>
      </c>
      <c r="BZ6" s="14">
        <f t="shared" si="1"/>
        <v>106.94199999999999</v>
      </c>
      <c r="CA6" s="14">
        <f t="shared" si="1"/>
        <v>49.438000000000002</v>
      </c>
      <c r="CB6" s="14">
        <f t="shared" si="1"/>
        <v>277.96199999999999</v>
      </c>
      <c r="CC6" s="14">
        <f t="shared" si="1"/>
        <v>662.52099999999996</v>
      </c>
      <c r="CD6" s="14">
        <f t="shared" si="1"/>
        <v>62.42</v>
      </c>
    </row>
    <row r="7" spans="1:82" ht="7.5" customHeight="1" x14ac:dyDescent="0.3">
      <c r="B7" s="11"/>
      <c r="C7" s="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</row>
    <row r="8" spans="1:82" x14ac:dyDescent="0.3">
      <c r="A8" t="s">
        <v>253</v>
      </c>
      <c r="B8" s="16" t="s">
        <v>3</v>
      </c>
      <c r="C8" s="17" t="s">
        <v>84</v>
      </c>
      <c r="D8" s="14">
        <f>SUM(E8:CD8)</f>
        <v>435.92</v>
      </c>
      <c r="E8" s="18">
        <v>435.92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</row>
    <row r="9" spans="1:82" x14ac:dyDescent="0.3">
      <c r="A9" t="s">
        <v>253</v>
      </c>
      <c r="B9" s="16" t="s">
        <v>4</v>
      </c>
      <c r="C9" s="17" t="s">
        <v>85</v>
      </c>
      <c r="D9" s="14">
        <f t="shared" ref="D9:D72" si="2">SUM(E9:CD9)</f>
        <v>1246.671</v>
      </c>
      <c r="E9" s="18">
        <v>0</v>
      </c>
      <c r="F9" s="18">
        <v>1246.671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</row>
    <row r="10" spans="1:82" x14ac:dyDescent="0.3">
      <c r="A10" t="s">
        <v>253</v>
      </c>
      <c r="B10" s="16" t="s">
        <v>5</v>
      </c>
      <c r="C10" s="17" t="s">
        <v>86</v>
      </c>
      <c r="D10" s="14">
        <f t="shared" si="2"/>
        <v>867.33699999999999</v>
      </c>
      <c r="E10" s="18">
        <v>0</v>
      </c>
      <c r="F10" s="18">
        <v>0</v>
      </c>
      <c r="G10" s="18">
        <v>867.33699999999999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</row>
    <row r="11" spans="1:82" x14ac:dyDescent="0.3">
      <c r="A11" t="s">
        <v>253</v>
      </c>
      <c r="B11" s="16" t="s">
        <v>6</v>
      </c>
      <c r="C11" s="17" t="s">
        <v>87</v>
      </c>
      <c r="D11" s="14">
        <f t="shared" si="2"/>
        <v>545.16399999999999</v>
      </c>
      <c r="E11" s="18">
        <v>0</v>
      </c>
      <c r="F11" s="18">
        <v>0</v>
      </c>
      <c r="G11" s="18">
        <v>0</v>
      </c>
      <c r="H11" s="18">
        <v>545.16399999999999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</row>
    <row r="12" spans="1:82" x14ac:dyDescent="0.3">
      <c r="A12" t="s">
        <v>253</v>
      </c>
      <c r="B12" s="16" t="s">
        <v>7</v>
      </c>
      <c r="C12" s="17" t="s">
        <v>88</v>
      </c>
      <c r="D12" s="14">
        <f t="shared" si="2"/>
        <v>66.358000000000004</v>
      </c>
      <c r="E12" s="18">
        <v>0</v>
      </c>
      <c r="F12" s="18">
        <v>0</v>
      </c>
      <c r="G12" s="18">
        <v>0</v>
      </c>
      <c r="H12" s="18">
        <v>0</v>
      </c>
      <c r="I12" s="18">
        <v>66.358000000000004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</row>
    <row r="13" spans="1:82" x14ac:dyDescent="0.3">
      <c r="A13" t="s">
        <v>254</v>
      </c>
      <c r="B13" s="16" t="s">
        <v>8</v>
      </c>
      <c r="C13" s="17" t="s">
        <v>89</v>
      </c>
      <c r="D13" s="14">
        <f t="shared" si="2"/>
        <v>184.52600000000001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184.52600000000001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</row>
    <row r="14" spans="1:82" x14ac:dyDescent="0.3">
      <c r="A14" t="s">
        <v>254</v>
      </c>
      <c r="B14" s="16" t="s">
        <v>9</v>
      </c>
      <c r="C14" s="17" t="s">
        <v>90</v>
      </c>
      <c r="D14" s="14">
        <f t="shared" si="2"/>
        <v>64.076999999999998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64.076999999999998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</row>
    <row r="15" spans="1:82" x14ac:dyDescent="0.3">
      <c r="A15" t="s">
        <v>254</v>
      </c>
      <c r="B15" s="16" t="s">
        <v>10</v>
      </c>
      <c r="C15" s="17" t="s">
        <v>91</v>
      </c>
      <c r="D15" s="14">
        <f t="shared" si="2"/>
        <v>153.11600000000001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153.11600000000001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</row>
    <row r="16" spans="1:82" x14ac:dyDescent="0.3">
      <c r="A16" t="s">
        <v>255</v>
      </c>
      <c r="B16" s="16" t="s">
        <v>11</v>
      </c>
      <c r="C16" s="17" t="s">
        <v>92</v>
      </c>
      <c r="D16" s="14">
        <f t="shared" si="2"/>
        <v>413.67099999999999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413.67099999999999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</row>
    <row r="17" spans="1:82" x14ac:dyDescent="0.3">
      <c r="A17" t="s">
        <v>255</v>
      </c>
      <c r="B17" s="16" t="s">
        <v>12</v>
      </c>
      <c r="C17" s="17" t="s">
        <v>93</v>
      </c>
      <c r="D17" s="14">
        <f t="shared" si="2"/>
        <v>212.56399999999999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208.77500000000001</v>
      </c>
      <c r="N17" s="18">
        <v>3.7890000000000001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</row>
    <row r="18" spans="1:82" x14ac:dyDescent="0.3">
      <c r="A18" t="s">
        <v>256</v>
      </c>
      <c r="B18" s="16" t="s">
        <v>13</v>
      </c>
      <c r="C18" s="17" t="s">
        <v>94</v>
      </c>
      <c r="D18" s="14">
        <f t="shared" si="2"/>
        <v>798.46500000000003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798.46500000000003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</row>
    <row r="19" spans="1:82" x14ac:dyDescent="0.3">
      <c r="A19" t="s">
        <v>257</v>
      </c>
      <c r="B19" s="16" t="s">
        <v>14</v>
      </c>
      <c r="C19" s="17" t="s">
        <v>95</v>
      </c>
      <c r="D19" s="14">
        <f t="shared" si="2"/>
        <v>75.12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75.12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</row>
    <row r="20" spans="1:82" x14ac:dyDescent="0.3">
      <c r="A20" t="s">
        <v>258</v>
      </c>
      <c r="B20" s="16" t="s">
        <v>15</v>
      </c>
      <c r="C20" s="17" t="s">
        <v>96</v>
      </c>
      <c r="D20" s="14">
        <f t="shared" si="2"/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</row>
    <row r="21" spans="1:82" x14ac:dyDescent="0.3">
      <c r="A21" t="s">
        <v>258</v>
      </c>
      <c r="B21" s="16" t="s">
        <v>16</v>
      </c>
      <c r="C21" s="17" t="s">
        <v>97</v>
      </c>
      <c r="D21" s="14">
        <f t="shared" si="2"/>
        <v>272.82799999999997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272.82799999999997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</row>
    <row r="22" spans="1:82" x14ac:dyDescent="0.3">
      <c r="A22" t="s">
        <v>258</v>
      </c>
      <c r="B22" s="16" t="s">
        <v>17</v>
      </c>
      <c r="C22" s="17" t="s">
        <v>98</v>
      </c>
      <c r="D22" s="14">
        <f t="shared" si="2"/>
        <v>444.61700000000002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20.802</v>
      </c>
      <c r="S22" s="18">
        <v>420.70499999999998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3.11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</row>
    <row r="23" spans="1:82" x14ac:dyDescent="0.3">
      <c r="A23" t="s">
        <v>259</v>
      </c>
      <c r="B23" s="16" t="s">
        <v>18</v>
      </c>
      <c r="C23" s="17" t="s">
        <v>99</v>
      </c>
      <c r="D23" s="14">
        <f t="shared" si="2"/>
        <v>186.60300000000001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186.60300000000001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</row>
    <row r="24" spans="1:82" x14ac:dyDescent="0.3">
      <c r="A24" t="s">
        <v>259</v>
      </c>
      <c r="B24" s="16" t="s">
        <v>19</v>
      </c>
      <c r="C24" s="17" t="s">
        <v>100</v>
      </c>
      <c r="D24" s="14">
        <f t="shared" si="2"/>
        <v>2.4620000000000002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2.4620000000000002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</row>
    <row r="25" spans="1:82" x14ac:dyDescent="0.3">
      <c r="A25" t="s">
        <v>259</v>
      </c>
      <c r="B25" s="16" t="s">
        <v>20</v>
      </c>
      <c r="C25" s="17" t="s">
        <v>101</v>
      </c>
      <c r="D25" s="14">
        <f t="shared" si="2"/>
        <v>43.652999999999999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36.165999999999997</v>
      </c>
      <c r="W25" s="18">
        <v>0</v>
      </c>
      <c r="X25" s="18">
        <v>4.8410000000000002</v>
      </c>
      <c r="Y25" s="18">
        <v>0</v>
      </c>
      <c r="Z25" s="18">
        <v>1.2050000000000001</v>
      </c>
      <c r="AA25" s="18">
        <v>0</v>
      </c>
      <c r="AB25" s="18">
        <v>0</v>
      </c>
      <c r="AC25" s="18">
        <v>0</v>
      </c>
      <c r="AD25" s="18">
        <v>1.4410000000000001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</row>
    <row r="26" spans="1:82" x14ac:dyDescent="0.3">
      <c r="A26" t="s">
        <v>259</v>
      </c>
      <c r="B26" s="16" t="s">
        <v>21</v>
      </c>
      <c r="C26" s="17" t="s">
        <v>102</v>
      </c>
      <c r="D26" s="14">
        <f t="shared" si="2"/>
        <v>204.536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204.536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</row>
    <row r="27" spans="1:82" x14ac:dyDescent="0.3">
      <c r="A27" t="s">
        <v>259</v>
      </c>
      <c r="B27" s="16" t="s">
        <v>22</v>
      </c>
      <c r="C27" s="17" t="s">
        <v>103</v>
      </c>
      <c r="D27" s="14">
        <f t="shared" si="2"/>
        <v>128.87299999999999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128.77799999999999</v>
      </c>
      <c r="Y27" s="18">
        <v>0</v>
      </c>
      <c r="Z27" s="18">
        <v>0</v>
      </c>
      <c r="AA27" s="18">
        <v>0</v>
      </c>
      <c r="AB27" s="18">
        <v>9.5000000000000001E-2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</row>
    <row r="28" spans="1:82" x14ac:dyDescent="0.3">
      <c r="A28" t="s">
        <v>259</v>
      </c>
      <c r="B28" s="16" t="s">
        <v>23</v>
      </c>
      <c r="C28" s="17" t="s">
        <v>104</v>
      </c>
      <c r="D28" s="14">
        <f t="shared" si="2"/>
        <v>882.51700000000005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881.75400000000002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0.76300000000000001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</row>
    <row r="29" spans="1:82" x14ac:dyDescent="0.3">
      <c r="A29" t="s">
        <v>259</v>
      </c>
      <c r="B29" s="16" t="s">
        <v>24</v>
      </c>
      <c r="C29" s="17" t="s">
        <v>105</v>
      </c>
      <c r="D29" s="14">
        <f t="shared" si="2"/>
        <v>125.17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125.17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</row>
    <row r="30" spans="1:82" x14ac:dyDescent="0.3">
      <c r="A30" t="s">
        <v>259</v>
      </c>
      <c r="B30" s="16" t="s">
        <v>25</v>
      </c>
      <c r="C30" s="17" t="s">
        <v>106</v>
      </c>
      <c r="D30" s="14">
        <f t="shared" si="2"/>
        <v>53.792999999999999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53.295999999999999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0.497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</row>
    <row r="31" spans="1:82" x14ac:dyDescent="0.3">
      <c r="A31" t="s">
        <v>259</v>
      </c>
      <c r="B31" s="16" t="s">
        <v>26</v>
      </c>
      <c r="C31" s="17" t="s">
        <v>107</v>
      </c>
      <c r="D31" s="14">
        <f t="shared" si="2"/>
        <v>252.95099999999999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1.2999999999999999E-2</v>
      </c>
      <c r="K31" s="18">
        <v>3.3000000000000002E-2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252.905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</row>
    <row r="32" spans="1:82" x14ac:dyDescent="0.3">
      <c r="A32" t="s">
        <v>260</v>
      </c>
      <c r="B32" s="16" t="s">
        <v>27</v>
      </c>
      <c r="C32" s="17" t="s">
        <v>108</v>
      </c>
      <c r="D32" s="14">
        <f t="shared" si="2"/>
        <v>742.76400000000001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742.76400000000001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</row>
    <row r="33" spans="1:82" x14ac:dyDescent="0.3">
      <c r="A33" t="s">
        <v>260</v>
      </c>
      <c r="B33" s="16" t="s">
        <v>28</v>
      </c>
      <c r="C33" s="17" t="s">
        <v>109</v>
      </c>
      <c r="D33" s="14">
        <f t="shared" si="2"/>
        <v>241.47000000000003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2.0179999999999998</v>
      </c>
      <c r="W33" s="18">
        <v>0</v>
      </c>
      <c r="X33" s="18">
        <v>61.92</v>
      </c>
      <c r="Y33" s="18">
        <v>0</v>
      </c>
      <c r="Z33" s="18">
        <v>0</v>
      </c>
      <c r="AA33" s="18">
        <v>0</v>
      </c>
      <c r="AB33" s="18">
        <v>0</v>
      </c>
      <c r="AC33" s="18">
        <v>74.123000000000005</v>
      </c>
      <c r="AD33" s="18">
        <v>86.39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17.018999999999998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</row>
    <row r="34" spans="1:82" x14ac:dyDescent="0.3">
      <c r="A34" t="s">
        <v>260</v>
      </c>
      <c r="B34" s="16" t="s">
        <v>29</v>
      </c>
      <c r="C34" s="17" t="s">
        <v>110</v>
      </c>
      <c r="D34" s="14">
        <f t="shared" si="2"/>
        <v>0.71599999999999997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0.71599999999999997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</row>
    <row r="35" spans="1:82" x14ac:dyDescent="0.3">
      <c r="A35" t="s">
        <v>261</v>
      </c>
      <c r="B35" s="16" t="s">
        <v>30</v>
      </c>
      <c r="C35" s="17" t="s">
        <v>111</v>
      </c>
      <c r="D35" s="14">
        <f t="shared" si="2"/>
        <v>388.37200000000001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388.37200000000001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</row>
    <row r="36" spans="1:82" x14ac:dyDescent="0.3">
      <c r="A36" t="s">
        <v>262</v>
      </c>
      <c r="B36" s="16" t="s">
        <v>31</v>
      </c>
      <c r="C36" s="17" t="s">
        <v>112</v>
      </c>
      <c r="D36" s="14">
        <f t="shared" si="2"/>
        <v>244.584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244.584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</row>
    <row r="37" spans="1:82" x14ac:dyDescent="0.3">
      <c r="A37" t="s">
        <v>262</v>
      </c>
      <c r="B37" s="16" t="s">
        <v>32</v>
      </c>
      <c r="C37" s="17" t="s">
        <v>113</v>
      </c>
      <c r="D37" s="14">
        <f t="shared" si="2"/>
        <v>71.28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2.0939999999999999</v>
      </c>
      <c r="AH37" s="18">
        <v>68.241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0.80800000000000005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0.13700000000000001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</row>
    <row r="38" spans="1:82" x14ac:dyDescent="0.3">
      <c r="A38" t="s">
        <v>263</v>
      </c>
      <c r="B38" s="16" t="s">
        <v>33</v>
      </c>
      <c r="C38" s="17" t="s">
        <v>114</v>
      </c>
      <c r="D38" s="14">
        <f t="shared" si="2"/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</row>
    <row r="39" spans="1:82" x14ac:dyDescent="0.3">
      <c r="A39" t="s">
        <v>263</v>
      </c>
      <c r="B39" s="16" t="s">
        <v>34</v>
      </c>
      <c r="C39" s="17" t="s">
        <v>115</v>
      </c>
      <c r="D39" s="14">
        <f t="shared" si="2"/>
        <v>462.75700000000001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3.3069999999999999</v>
      </c>
      <c r="AH39" s="18">
        <v>0</v>
      </c>
      <c r="AI39" s="18">
        <v>0</v>
      </c>
      <c r="AJ39" s="18">
        <v>454.346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5.1040000000000001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</row>
    <row r="40" spans="1:82" x14ac:dyDescent="0.3">
      <c r="A40" t="s">
        <v>263</v>
      </c>
      <c r="B40" s="16" t="s">
        <v>35</v>
      </c>
      <c r="C40" s="17" t="s">
        <v>116</v>
      </c>
      <c r="D40" s="14">
        <f t="shared" si="2"/>
        <v>34.606000000000002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34.606000000000002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</row>
    <row r="41" spans="1:82" x14ac:dyDescent="0.3">
      <c r="A41" t="s">
        <v>263</v>
      </c>
      <c r="B41" s="16" t="s">
        <v>36</v>
      </c>
      <c r="C41" s="17" t="s">
        <v>117</v>
      </c>
      <c r="D41" s="14">
        <f t="shared" si="2"/>
        <v>99.594999999999985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6.8330000000000002</v>
      </c>
      <c r="AK41" s="18">
        <v>0</v>
      </c>
      <c r="AL41" s="18">
        <v>78.227999999999994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10.487</v>
      </c>
      <c r="AT41" s="18">
        <v>4.0469999999999997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</row>
    <row r="42" spans="1:82" x14ac:dyDescent="0.3">
      <c r="A42" t="s">
        <v>264</v>
      </c>
      <c r="B42" s="16" t="s">
        <v>37</v>
      </c>
      <c r="C42" s="17" t="s">
        <v>118</v>
      </c>
      <c r="D42" s="14">
        <f t="shared" si="2"/>
        <v>65.326999999999998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65.326999999999998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</row>
    <row r="43" spans="1:82" x14ac:dyDescent="0.3">
      <c r="A43" t="s">
        <v>264</v>
      </c>
      <c r="B43" s="16" t="s">
        <v>38</v>
      </c>
      <c r="C43" s="17" t="s">
        <v>119</v>
      </c>
      <c r="D43" s="14">
        <f t="shared" si="2"/>
        <v>224.161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224.161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</row>
    <row r="44" spans="1:82" x14ac:dyDescent="0.3">
      <c r="A44" t="s">
        <v>264</v>
      </c>
      <c r="B44" s="16" t="s">
        <v>39</v>
      </c>
      <c r="C44" s="17" t="s">
        <v>120</v>
      </c>
      <c r="D44" s="14">
        <f t="shared" si="2"/>
        <v>120.22199999999999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120.22199999999999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</row>
    <row r="45" spans="1:82" x14ac:dyDescent="0.3">
      <c r="A45" t="s">
        <v>265</v>
      </c>
      <c r="B45" s="16" t="s">
        <v>40</v>
      </c>
      <c r="C45" s="17" t="s">
        <v>121</v>
      </c>
      <c r="D45" s="14">
        <f t="shared" si="2"/>
        <v>276.18299999999999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2.0209999999999999</v>
      </c>
      <c r="AM45" s="18">
        <v>0</v>
      </c>
      <c r="AN45" s="18">
        <v>0</v>
      </c>
      <c r="AO45" s="18">
        <v>0</v>
      </c>
      <c r="AP45" s="18">
        <v>273.04000000000002</v>
      </c>
      <c r="AQ45" s="18">
        <v>0</v>
      </c>
      <c r="AR45" s="18">
        <v>0</v>
      </c>
      <c r="AS45" s="18">
        <v>1.121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1E-3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</row>
    <row r="46" spans="1:82" x14ac:dyDescent="0.3">
      <c r="A46" t="s">
        <v>265</v>
      </c>
      <c r="B46" s="16" t="s">
        <v>41</v>
      </c>
      <c r="C46" s="17" t="s">
        <v>122</v>
      </c>
      <c r="D46" s="14">
        <f t="shared" si="2"/>
        <v>41.662999999999997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41.662999999999997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</row>
    <row r="47" spans="1:82" x14ac:dyDescent="0.3">
      <c r="A47" t="s">
        <v>265</v>
      </c>
      <c r="B47" s="16" t="s">
        <v>42</v>
      </c>
      <c r="C47" s="17" t="s">
        <v>123</v>
      </c>
      <c r="D47" s="14">
        <f t="shared" si="2"/>
        <v>148.09200000000001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148.09200000000001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</row>
    <row r="48" spans="1:82" x14ac:dyDescent="0.3">
      <c r="A48" t="s">
        <v>266</v>
      </c>
      <c r="B48" s="16" t="s">
        <v>43</v>
      </c>
      <c r="C48" s="17" t="s">
        <v>124</v>
      </c>
      <c r="D48" s="14">
        <f t="shared" si="2"/>
        <v>114.16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0.30299999999999999</v>
      </c>
      <c r="AH48" s="18">
        <v>0</v>
      </c>
      <c r="AI48" s="18">
        <v>0</v>
      </c>
      <c r="AJ48" s="18">
        <v>0.25700000000000001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113.6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</row>
    <row r="49" spans="1:82" x14ac:dyDescent="0.3">
      <c r="A49" t="s">
        <v>266</v>
      </c>
      <c r="B49" s="16" t="s">
        <v>44</v>
      </c>
      <c r="C49" s="17" t="s">
        <v>125</v>
      </c>
      <c r="D49" s="14">
        <f t="shared" si="2"/>
        <v>298.91199999999998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0.35399999999999998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162.26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12.467000000000001</v>
      </c>
      <c r="AK49" s="18">
        <v>0</v>
      </c>
      <c r="AL49" s="18">
        <v>4.2069999999999999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118.76</v>
      </c>
      <c r="AU49" s="18">
        <v>0</v>
      </c>
      <c r="AV49" s="18">
        <v>0</v>
      </c>
      <c r="AW49" s="18">
        <v>0.86399999999999999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</row>
    <row r="50" spans="1:82" x14ac:dyDescent="0.3">
      <c r="A50" t="s">
        <v>266</v>
      </c>
      <c r="B50" s="16" t="s">
        <v>45</v>
      </c>
      <c r="C50" s="17" t="s">
        <v>126</v>
      </c>
      <c r="D50" s="14">
        <f t="shared" si="2"/>
        <v>13.084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13.084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</row>
    <row r="51" spans="1:82" x14ac:dyDescent="0.3">
      <c r="A51" t="s">
        <v>267</v>
      </c>
      <c r="B51" s="16" t="s">
        <v>46</v>
      </c>
      <c r="C51" s="17" t="s">
        <v>127</v>
      </c>
      <c r="D51" s="14">
        <f t="shared" si="2"/>
        <v>284.47399999999999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284.47399999999999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</row>
    <row r="52" spans="1:82" x14ac:dyDescent="0.3">
      <c r="A52" t="s">
        <v>268</v>
      </c>
      <c r="B52" s="16" t="s">
        <v>47</v>
      </c>
      <c r="C52" s="17" t="s">
        <v>128</v>
      </c>
      <c r="D52" s="14">
        <f t="shared" si="2"/>
        <v>112.727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112.727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</row>
    <row r="53" spans="1:82" x14ac:dyDescent="0.3">
      <c r="A53" t="s">
        <v>268</v>
      </c>
      <c r="B53" s="16" t="s">
        <v>48</v>
      </c>
      <c r="C53" s="17" t="s">
        <v>129</v>
      </c>
      <c r="D53" s="14">
        <f t="shared" si="2"/>
        <v>59.031999999999996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59.031999999999996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</row>
    <row r="54" spans="1:82" x14ac:dyDescent="0.3">
      <c r="A54" t="s">
        <v>269</v>
      </c>
      <c r="B54" s="16" t="s">
        <v>49</v>
      </c>
      <c r="C54" s="17" t="s">
        <v>130</v>
      </c>
      <c r="D54" s="14">
        <f t="shared" si="2"/>
        <v>7289.3069999999998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4090.5120000000002</v>
      </c>
      <c r="AZ54" s="18">
        <v>3195.5430000000001</v>
      </c>
      <c r="BA54" s="18">
        <v>0</v>
      </c>
      <c r="BB54" s="18">
        <v>0.89800000000000002</v>
      </c>
      <c r="BC54" s="18">
        <v>0</v>
      </c>
      <c r="BD54" s="18">
        <v>0</v>
      </c>
      <c r="BE54" s="18">
        <v>0.11899999999999999</v>
      </c>
      <c r="BF54" s="18">
        <v>0</v>
      </c>
      <c r="BG54" s="18">
        <v>0</v>
      </c>
      <c r="BH54" s="18">
        <v>0</v>
      </c>
      <c r="BI54" s="18">
        <v>2.2349999999999999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</row>
    <row r="55" spans="1:82" x14ac:dyDescent="0.3">
      <c r="A55" t="s">
        <v>269</v>
      </c>
      <c r="B55" s="16" t="s">
        <v>50</v>
      </c>
      <c r="C55" s="17" t="s">
        <v>131</v>
      </c>
      <c r="D55" s="14">
        <f t="shared" si="2"/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</row>
    <row r="56" spans="1:82" x14ac:dyDescent="0.3">
      <c r="A56" t="s">
        <v>270</v>
      </c>
      <c r="B56" s="16" t="s">
        <v>51</v>
      </c>
      <c r="C56" s="17" t="s">
        <v>132</v>
      </c>
      <c r="D56" s="14">
        <f t="shared" si="2"/>
        <v>228.96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10.954000000000001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192.58500000000001</v>
      </c>
      <c r="BB56" s="18">
        <v>11.98</v>
      </c>
      <c r="BC56" s="18">
        <v>8.9209999999999994</v>
      </c>
      <c r="BD56" s="18">
        <v>4.5199999999999996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</row>
    <row r="57" spans="1:82" x14ac:dyDescent="0.3">
      <c r="A57" t="s">
        <v>271</v>
      </c>
      <c r="B57" s="16" t="s">
        <v>52</v>
      </c>
      <c r="C57" s="17" t="s">
        <v>133</v>
      </c>
      <c r="D57" s="14">
        <f t="shared" si="2"/>
        <v>166.63699999999997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67.53</v>
      </c>
      <c r="BB57" s="18">
        <v>98.763999999999996</v>
      </c>
      <c r="BC57" s="18">
        <v>0.34300000000000003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</row>
    <row r="58" spans="1:82" x14ac:dyDescent="0.3">
      <c r="A58" t="s">
        <v>271</v>
      </c>
      <c r="B58" s="16" t="s">
        <v>53</v>
      </c>
      <c r="C58" s="17" t="s">
        <v>134</v>
      </c>
      <c r="D58" s="14">
        <f t="shared" si="2"/>
        <v>2137.6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7.4589999999999996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5.149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7.2389999999999999</v>
      </c>
      <c r="AZ58" s="18">
        <v>0</v>
      </c>
      <c r="BA58" s="18">
        <v>0</v>
      </c>
      <c r="BB58" s="18">
        <v>19.692</v>
      </c>
      <c r="BC58" s="18">
        <v>1214.6559999999999</v>
      </c>
      <c r="BD58" s="18">
        <v>761.21600000000001</v>
      </c>
      <c r="BE58" s="18">
        <v>20.599</v>
      </c>
      <c r="BF58" s="18">
        <v>0</v>
      </c>
      <c r="BG58" s="18">
        <v>25.318000000000001</v>
      </c>
      <c r="BH58" s="18">
        <v>3.9E-2</v>
      </c>
      <c r="BI58" s="18">
        <v>0.25800000000000001</v>
      </c>
      <c r="BJ58" s="18">
        <v>0</v>
      </c>
      <c r="BK58" s="18">
        <v>75.974999999999994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</row>
    <row r="59" spans="1:82" x14ac:dyDescent="0.3">
      <c r="A59" t="s">
        <v>271</v>
      </c>
      <c r="B59" s="16" t="s">
        <v>54</v>
      </c>
      <c r="C59" s="17" t="s">
        <v>135</v>
      </c>
      <c r="D59" s="14">
        <f t="shared" si="2"/>
        <v>828.42399999999998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1.5960000000000001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0.127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2.2989999999999999</v>
      </c>
      <c r="BC59" s="18">
        <v>426.48899999999998</v>
      </c>
      <c r="BD59" s="18">
        <v>350.15800000000002</v>
      </c>
      <c r="BE59" s="18">
        <v>0</v>
      </c>
      <c r="BF59" s="18">
        <v>0</v>
      </c>
      <c r="BG59" s="18">
        <v>0</v>
      </c>
      <c r="BH59" s="18">
        <v>0</v>
      </c>
      <c r="BI59" s="18">
        <v>47.755000000000003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</row>
    <row r="60" spans="1:82" x14ac:dyDescent="0.3">
      <c r="A60" t="s">
        <v>272</v>
      </c>
      <c r="B60" s="16" t="s">
        <v>55</v>
      </c>
      <c r="C60" s="17" t="s">
        <v>136</v>
      </c>
      <c r="D60" s="14">
        <f t="shared" si="2"/>
        <v>1474.6489999999999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0.255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0.159</v>
      </c>
      <c r="AZ60" s="18">
        <v>0</v>
      </c>
      <c r="BA60" s="18">
        <v>0</v>
      </c>
      <c r="BB60" s="18">
        <v>0.34699999999999998</v>
      </c>
      <c r="BC60" s="18">
        <v>4.0759999999999996</v>
      </c>
      <c r="BD60" s="18">
        <v>0</v>
      </c>
      <c r="BE60" s="18">
        <v>1361.3489999999999</v>
      </c>
      <c r="BF60" s="18">
        <v>0</v>
      </c>
      <c r="BG60" s="18">
        <v>102.41200000000001</v>
      </c>
      <c r="BH60" s="18">
        <v>2.2789999999999999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3.7719999999999998</v>
      </c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</row>
    <row r="61" spans="1:82" x14ac:dyDescent="0.3">
      <c r="A61" t="s">
        <v>273</v>
      </c>
      <c r="B61" s="16" t="s">
        <v>56</v>
      </c>
      <c r="C61" s="17" t="s">
        <v>137</v>
      </c>
      <c r="D61" s="14">
        <f t="shared" si="2"/>
        <v>689.22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689.22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0</v>
      </c>
      <c r="BZ61" s="18">
        <v>0</v>
      </c>
      <c r="CA61" s="18">
        <v>0</v>
      </c>
      <c r="CB61" s="18">
        <v>0</v>
      </c>
      <c r="CC61" s="18">
        <v>0</v>
      </c>
      <c r="CD61" s="18">
        <v>0</v>
      </c>
    </row>
    <row r="62" spans="1:82" x14ac:dyDescent="0.3">
      <c r="A62" t="s">
        <v>274</v>
      </c>
      <c r="B62" s="16" t="s">
        <v>57</v>
      </c>
      <c r="C62" s="17" t="s">
        <v>138</v>
      </c>
      <c r="D62" s="14">
        <f t="shared" si="2"/>
        <v>250.69300000000001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250.69300000000001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</row>
    <row r="63" spans="1:82" x14ac:dyDescent="0.3">
      <c r="A63" t="s">
        <v>274</v>
      </c>
      <c r="B63" s="16" t="s">
        <v>58</v>
      </c>
      <c r="C63" s="17" t="s">
        <v>139</v>
      </c>
      <c r="D63" s="14">
        <f t="shared" si="2"/>
        <v>19.059000000000001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19.059000000000001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</row>
    <row r="64" spans="1:82" x14ac:dyDescent="0.3">
      <c r="A64" t="s">
        <v>275</v>
      </c>
      <c r="B64" s="16" t="s">
        <v>59</v>
      </c>
      <c r="C64" s="17" t="s">
        <v>140</v>
      </c>
      <c r="D64" s="14">
        <f t="shared" si="2"/>
        <v>1475.6470000000002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4.3739999999999997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0.221</v>
      </c>
      <c r="BE64" s="18">
        <v>0</v>
      </c>
      <c r="BF64" s="18">
        <v>0</v>
      </c>
      <c r="BG64" s="18">
        <v>0</v>
      </c>
      <c r="BH64" s="18">
        <v>0</v>
      </c>
      <c r="BI64" s="18">
        <v>1320.296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0</v>
      </c>
      <c r="BU64" s="18">
        <v>3.14</v>
      </c>
      <c r="BV64" s="18">
        <v>0</v>
      </c>
      <c r="BW64" s="18">
        <v>0</v>
      </c>
      <c r="BX64" s="18">
        <v>8.7889999999999997</v>
      </c>
      <c r="BY64" s="18">
        <v>0</v>
      </c>
      <c r="BZ64" s="18">
        <v>0</v>
      </c>
      <c r="CA64" s="18">
        <v>0</v>
      </c>
      <c r="CB64" s="18">
        <v>0</v>
      </c>
      <c r="CC64" s="18">
        <v>138.827</v>
      </c>
      <c r="CD64" s="18">
        <v>0</v>
      </c>
    </row>
    <row r="65" spans="1:82" x14ac:dyDescent="0.3">
      <c r="A65" t="s">
        <v>276</v>
      </c>
      <c r="B65" s="16" t="s">
        <v>60</v>
      </c>
      <c r="C65" s="17" t="s">
        <v>141</v>
      </c>
      <c r="D65" s="14">
        <f t="shared" si="2"/>
        <v>211.40799999999999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211.40799999999999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</row>
    <row r="66" spans="1:82" x14ac:dyDescent="0.3">
      <c r="A66" t="s">
        <v>277</v>
      </c>
      <c r="B66" s="16" t="s">
        <v>61</v>
      </c>
      <c r="C66" s="17" t="s">
        <v>142</v>
      </c>
      <c r="D66" s="14">
        <f t="shared" si="2"/>
        <v>314.20699999999999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15.016999999999999</v>
      </c>
      <c r="BK66" s="18">
        <v>299.19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</row>
    <row r="67" spans="1:82" x14ac:dyDescent="0.3">
      <c r="A67" t="s">
        <v>278</v>
      </c>
      <c r="B67" s="16" t="s">
        <v>62</v>
      </c>
      <c r="C67" s="17" t="s">
        <v>143</v>
      </c>
      <c r="D67" s="14">
        <f t="shared" si="2"/>
        <v>186.72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186.72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</row>
    <row r="68" spans="1:82" x14ac:dyDescent="0.3">
      <c r="A68" t="s">
        <v>279</v>
      </c>
      <c r="B68" s="16" t="s">
        <v>63</v>
      </c>
      <c r="C68" s="17" t="s">
        <v>144</v>
      </c>
      <c r="D68" s="14">
        <f t="shared" si="2"/>
        <v>256.27699999999999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252.45400000000001</v>
      </c>
      <c r="BN68" s="18">
        <v>0</v>
      </c>
      <c r="BO68" s="18">
        <v>3.823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</row>
    <row r="69" spans="1:82" x14ac:dyDescent="0.3">
      <c r="A69" t="s">
        <v>279</v>
      </c>
      <c r="B69" s="16" t="s">
        <v>64</v>
      </c>
      <c r="C69" s="17" t="s">
        <v>145</v>
      </c>
      <c r="D69" s="14">
        <f t="shared" si="2"/>
        <v>161.34199999999998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102.09099999999999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59.250999999999998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</row>
    <row r="70" spans="1:82" x14ac:dyDescent="0.3">
      <c r="A70" t="s">
        <v>279</v>
      </c>
      <c r="B70" s="16" t="s">
        <v>65</v>
      </c>
      <c r="C70" s="17" t="s">
        <v>146</v>
      </c>
      <c r="D70" s="14">
        <f t="shared" si="2"/>
        <v>446.50400000000002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7.0000000000000001E-3</v>
      </c>
      <c r="BE70" s="18">
        <v>0</v>
      </c>
      <c r="BF70" s="18">
        <v>0</v>
      </c>
      <c r="BG70" s="18">
        <v>0</v>
      </c>
      <c r="BH70" s="18">
        <v>0.184</v>
      </c>
      <c r="BI70" s="18">
        <v>0</v>
      </c>
      <c r="BJ70" s="18">
        <v>0</v>
      </c>
      <c r="BK70" s="18">
        <v>157.98699999999999</v>
      </c>
      <c r="BL70" s="18">
        <v>0</v>
      </c>
      <c r="BM70" s="18">
        <v>191.81700000000001</v>
      </c>
      <c r="BN70" s="18">
        <v>11.645</v>
      </c>
      <c r="BO70" s="18">
        <v>84.864000000000004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</row>
    <row r="71" spans="1:82" x14ac:dyDescent="0.3">
      <c r="A71" t="s">
        <v>280</v>
      </c>
      <c r="B71" s="16" t="s">
        <v>66</v>
      </c>
      <c r="C71" s="17" t="s">
        <v>147</v>
      </c>
      <c r="D71" s="14">
        <f t="shared" si="2"/>
        <v>945.23500000000001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595.23400000000004</v>
      </c>
      <c r="BQ71" s="18">
        <v>350.00099999999998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</row>
    <row r="72" spans="1:82" x14ac:dyDescent="0.3">
      <c r="A72" t="s">
        <v>280</v>
      </c>
      <c r="B72" s="16" t="s">
        <v>67</v>
      </c>
      <c r="C72" s="17" t="s">
        <v>148</v>
      </c>
      <c r="D72" s="14">
        <f t="shared" si="2"/>
        <v>470.48999999999995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6.5000000000000002E-2</v>
      </c>
      <c r="BD72" s="18">
        <v>0.56599999999999995</v>
      </c>
      <c r="BE72" s="18">
        <v>8.0960000000000001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4.1689999999999996</v>
      </c>
      <c r="BO72" s="18">
        <v>0</v>
      </c>
      <c r="BP72" s="18">
        <v>0</v>
      </c>
      <c r="BQ72" s="18">
        <v>457.21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0.30599999999999999</v>
      </c>
      <c r="BY72" s="18">
        <v>7.8E-2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</row>
    <row r="73" spans="1:82" x14ac:dyDescent="0.3">
      <c r="A73" t="s">
        <v>281</v>
      </c>
      <c r="B73" s="16" t="s">
        <v>68</v>
      </c>
      <c r="C73" s="17" t="s">
        <v>149</v>
      </c>
      <c r="D73" s="14">
        <f t="shared" ref="D73:D86" si="3">SUM(E73:CD73)</f>
        <v>276.97000000000003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260.21800000000002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16.751999999999999</v>
      </c>
      <c r="CD73" s="18">
        <v>0</v>
      </c>
    </row>
    <row r="74" spans="1:82" x14ac:dyDescent="0.3">
      <c r="A74" t="s">
        <v>281</v>
      </c>
      <c r="B74" s="16" t="s">
        <v>69</v>
      </c>
      <c r="C74" s="17" t="s">
        <v>150</v>
      </c>
      <c r="D74" s="14">
        <f t="shared" si="3"/>
        <v>135.42099999999999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135.42099999999999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</row>
    <row r="75" spans="1:82" x14ac:dyDescent="0.3">
      <c r="A75" t="s">
        <v>281</v>
      </c>
      <c r="B75" s="16" t="s">
        <v>70</v>
      </c>
      <c r="C75" s="17" t="s">
        <v>151</v>
      </c>
      <c r="D75" s="14">
        <f t="shared" si="3"/>
        <v>532.24799999999993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530.65</v>
      </c>
      <c r="BU75" s="18">
        <v>0</v>
      </c>
      <c r="BV75" s="18">
        <v>0</v>
      </c>
      <c r="BW75" s="18">
        <v>0</v>
      </c>
      <c r="BX75" s="18">
        <v>1.5980000000000001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</row>
    <row r="76" spans="1:82" x14ac:dyDescent="0.3">
      <c r="A76" t="s">
        <v>282</v>
      </c>
      <c r="B76" s="16" t="s">
        <v>71</v>
      </c>
      <c r="C76" s="17" t="s">
        <v>152</v>
      </c>
      <c r="D76" s="14">
        <f t="shared" si="3"/>
        <v>209.595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209.595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</row>
    <row r="77" spans="1:82" x14ac:dyDescent="0.3">
      <c r="A77" t="s">
        <v>282</v>
      </c>
      <c r="B77" s="16" t="s">
        <v>72</v>
      </c>
      <c r="C77" s="17" t="s">
        <v>153</v>
      </c>
      <c r="D77" s="14">
        <f t="shared" si="3"/>
        <v>1013.9139999999999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0.106</v>
      </c>
      <c r="AZ77" s="18">
        <v>0</v>
      </c>
      <c r="BA77" s="18">
        <v>0</v>
      </c>
      <c r="BB77" s="18">
        <v>1.4999999999999999E-2</v>
      </c>
      <c r="BC77" s="18">
        <v>0.46300000000000002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14.936999999999999</v>
      </c>
      <c r="BV77" s="18">
        <v>988.76599999999996</v>
      </c>
      <c r="BW77" s="18">
        <v>0</v>
      </c>
      <c r="BX77" s="18">
        <v>0.15</v>
      </c>
      <c r="BY77" s="18">
        <v>8.9999999999999993E-3</v>
      </c>
      <c r="BZ77" s="18">
        <v>0</v>
      </c>
      <c r="CA77" s="18">
        <v>0</v>
      </c>
      <c r="CB77" s="18">
        <v>0</v>
      </c>
      <c r="CC77" s="18">
        <v>9.468</v>
      </c>
      <c r="CD77" s="18">
        <v>0</v>
      </c>
    </row>
    <row r="78" spans="1:82" x14ac:dyDescent="0.3">
      <c r="A78" t="s">
        <v>283</v>
      </c>
      <c r="B78" s="16" t="s">
        <v>73</v>
      </c>
      <c r="C78" s="17" t="s">
        <v>154</v>
      </c>
      <c r="D78" s="14">
        <f t="shared" si="3"/>
        <v>2440.308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2440.308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</row>
    <row r="79" spans="1:82" x14ac:dyDescent="0.3">
      <c r="A79" t="s">
        <v>284</v>
      </c>
      <c r="B79" s="16" t="s">
        <v>74</v>
      </c>
      <c r="C79" s="17" t="s">
        <v>155</v>
      </c>
      <c r="D79" s="14">
        <f t="shared" si="3"/>
        <v>1073.8510000000001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1073.8510000000001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</row>
    <row r="80" spans="1:82" x14ac:dyDescent="0.3">
      <c r="A80" t="s">
        <v>285</v>
      </c>
      <c r="B80" s="16" t="s">
        <v>75</v>
      </c>
      <c r="C80" s="17" t="s">
        <v>156</v>
      </c>
      <c r="D80" s="14">
        <f t="shared" si="3"/>
        <v>416.27499999999998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416.27499999999998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</row>
    <row r="81" spans="1:82" x14ac:dyDescent="0.3">
      <c r="A81" t="s">
        <v>285</v>
      </c>
      <c r="B81" s="16" t="s">
        <v>76</v>
      </c>
      <c r="C81" s="17" t="s">
        <v>157</v>
      </c>
      <c r="D81" s="14">
        <f t="shared" si="3"/>
        <v>106.94199999999999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106.94199999999999</v>
      </c>
      <c r="CA81" s="18">
        <v>0</v>
      </c>
      <c r="CB81" s="18">
        <v>0</v>
      </c>
      <c r="CC81" s="18">
        <v>0</v>
      </c>
      <c r="CD81" s="18">
        <v>0</v>
      </c>
    </row>
    <row r="82" spans="1:82" x14ac:dyDescent="0.3">
      <c r="A82" t="s">
        <v>286</v>
      </c>
      <c r="B82" s="16" t="s">
        <v>77</v>
      </c>
      <c r="C82" s="17" t="s">
        <v>158</v>
      </c>
      <c r="D82" s="14">
        <f t="shared" si="3"/>
        <v>49.438000000000002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49.438000000000002</v>
      </c>
      <c r="CB82" s="18">
        <v>0</v>
      </c>
      <c r="CC82" s="18">
        <v>0</v>
      </c>
      <c r="CD82" s="18">
        <v>0</v>
      </c>
    </row>
    <row r="83" spans="1:82" x14ac:dyDescent="0.3">
      <c r="A83" t="s">
        <v>286</v>
      </c>
      <c r="B83" s="16" t="s">
        <v>78</v>
      </c>
      <c r="C83" s="17" t="s">
        <v>159</v>
      </c>
      <c r="D83" s="14">
        <f t="shared" si="3"/>
        <v>277.96199999999999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>
        <v>0</v>
      </c>
      <c r="CA83" s="18">
        <v>0</v>
      </c>
      <c r="CB83" s="18">
        <v>277.96199999999999</v>
      </c>
      <c r="CC83" s="18">
        <v>0</v>
      </c>
      <c r="CD83" s="18">
        <v>0</v>
      </c>
    </row>
    <row r="84" spans="1:82" x14ac:dyDescent="0.3">
      <c r="A84" t="s">
        <v>287</v>
      </c>
      <c r="B84" s="16" t="s">
        <v>79</v>
      </c>
      <c r="C84" s="17" t="s">
        <v>160</v>
      </c>
      <c r="D84" s="14">
        <f t="shared" si="3"/>
        <v>508.161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1.2999999999999999E-2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2.0369999999999999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1.1499999999999999</v>
      </c>
      <c r="BY84" s="18">
        <v>7.4870000000000001</v>
      </c>
      <c r="BZ84" s="18">
        <v>0</v>
      </c>
      <c r="CA84" s="18">
        <v>0</v>
      </c>
      <c r="CB84" s="18">
        <v>0</v>
      </c>
      <c r="CC84" s="18">
        <v>497.47399999999999</v>
      </c>
      <c r="CD84" s="18">
        <v>0</v>
      </c>
    </row>
    <row r="85" spans="1:82" x14ac:dyDescent="0.3">
      <c r="A85" t="s">
        <v>288</v>
      </c>
      <c r="B85" s="16" t="s">
        <v>80</v>
      </c>
      <c r="C85" s="17" t="s">
        <v>161</v>
      </c>
      <c r="D85" s="14">
        <f t="shared" si="3"/>
        <v>62.42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62.42</v>
      </c>
    </row>
    <row r="86" spans="1:82" x14ac:dyDescent="0.3">
      <c r="A86" t="s">
        <v>289</v>
      </c>
      <c r="B86" s="16" t="s">
        <v>81</v>
      </c>
      <c r="C86" s="17" t="s">
        <v>162</v>
      </c>
      <c r="D86" s="14">
        <f t="shared" si="3"/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</row>
    <row r="87" spans="1:82" ht="7.5" customHeight="1" thickBot="1" x14ac:dyDescent="0.35">
      <c r="B87" s="1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</row>
    <row r="88" spans="1:82" ht="15" thickTop="1" x14ac:dyDescent="0.3">
      <c r="B88" s="6" t="s">
        <v>290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CFA</vt:lpstr>
      <vt:lpstr>IC matrix</vt:lpstr>
      <vt:lpstr>Make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NISR</cp:lastModifiedBy>
  <dcterms:created xsi:type="dcterms:W3CDTF">2020-09-23T06:24:52Z</dcterms:created>
  <dcterms:modified xsi:type="dcterms:W3CDTF">2026-02-23T10:14:14Z</dcterms:modified>
</cp:coreProperties>
</file>